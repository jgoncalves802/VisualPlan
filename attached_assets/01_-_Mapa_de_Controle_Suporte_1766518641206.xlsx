
<file path=[Content_Types].xml><?xml version="1.0" encoding="utf-8"?>
<Types xmlns="http://schemas.openxmlformats.org/package/2006/content-types">
  <Default Extension="bin" ContentType="application/vnd.openxmlformats-officedocument.spreadsheetml.printerSettings"/>
  <Default Extension="gif" ContentType="image/gi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milplanengenharia-my.sharepoint.com/personal/junior_silva_milplan_com_br/Documents/Área de Trabalho/Controle de cabos/"/>
    </mc:Choice>
  </mc:AlternateContent>
  <xr:revisionPtr revIDLastSave="827" documentId="8_{4A54514A-031E-4B7A-9EF9-F7EA513A1A30}" xr6:coauthVersionLast="47" xr6:coauthVersionMax="47" xr10:uidLastSave="{D0083464-FE68-4715-BAFD-290A986C4D85}"/>
  <bookViews>
    <workbookView xWindow="28680" yWindow="-120" windowWidth="24240" windowHeight="13020" firstSheet="6" activeTab="6" xr2:uid="{00000000-000D-0000-FFFF-FFFF00000000}"/>
  </bookViews>
  <sheets>
    <sheet name="PQ" sheetId="15" state="hidden" r:id="rId1"/>
    <sheet name="ITEM PQ" sheetId="4" state="hidden" r:id="rId2"/>
    <sheet name="CMS" sheetId="5" state="hidden" r:id="rId3"/>
    <sheet name="FAM 12-06" sheetId="6" state="hidden" r:id="rId4"/>
    <sheet name="DASHBOARD" sheetId="16" state="hidden" r:id="rId5"/>
    <sheet name="DADOS" sheetId="17" state="hidden" r:id="rId6"/>
    <sheet name="MAPA DE SUPORTE" sheetId="19" r:id="rId7"/>
    <sheet name="Planilha3" sheetId="21" r:id="rId8"/>
    <sheet name="Planilha1" sheetId="20" r:id="rId9"/>
    <sheet name="Planilha2" sheetId="14" state="hidden" r:id="rId10"/>
    <sheet name="MAPA DE THALES" sheetId="13" state="hidden" r:id="rId11"/>
    <sheet name="CALENDARIO" sheetId="11" state="hidden" r:id="rId12"/>
  </sheets>
  <externalReferences>
    <externalReference r:id="rId13"/>
    <externalReference r:id="rId14"/>
    <externalReference r:id="rId15"/>
    <externalReference r:id="rId16"/>
  </externalReferences>
  <definedNames>
    <definedName name="_________ago1" hidden="1">{"'gráf jan00'!$A$1:$AK$41"}</definedName>
    <definedName name="_________ago10" hidden="1">{"'gráf jan00'!$A$1:$AK$41"}</definedName>
    <definedName name="_________ago2" hidden="1">{"'gráf jan00'!$A$1:$AK$41"}</definedName>
    <definedName name="_________ago3" hidden="1">{"'gráf jan00'!$A$1:$AK$41"}</definedName>
    <definedName name="_________ago4" hidden="1">{"'gráf jan00'!$A$1:$AK$41"}</definedName>
    <definedName name="_________ago5" hidden="1">{"'gráf jan00'!$A$1:$AK$41"}</definedName>
    <definedName name="_________ago6" hidden="1">{"'gráf jan00'!$A$1:$AK$41"}</definedName>
    <definedName name="_________ago7" hidden="1">{"'gráf jan00'!$A$1:$AK$41"}</definedName>
    <definedName name="_________ago8" hidden="1">{"'gráf jan00'!$A$1:$AK$41"}</definedName>
    <definedName name="_________ago9" hidden="1">{"'gráf jan00'!$A$1:$AK$41"}</definedName>
    <definedName name="_________efc10" hidden="1">{"'RR'!$A$2:$E$81"}</definedName>
    <definedName name="_________EFC2" hidden="1">{"'RR'!$A$2:$E$81"}</definedName>
    <definedName name="_________EFC3" hidden="1">{"'RR'!$A$2:$E$81"}</definedName>
    <definedName name="_________EFC4" hidden="1">{"'RR'!$A$2:$E$81"}</definedName>
    <definedName name="_________n2" hidden="1">{#N/A,#N/A,FALSE,"PCOL"}</definedName>
    <definedName name="_________r" hidden="1">{#N/A,#N/A,FALSE,"PCOL"}</definedName>
    <definedName name="________ago99999" hidden="1">{"'gráf jan00'!$A$1:$AK$41"}</definedName>
    <definedName name="________DEF2" hidden="1">{#N/A,#N/A,FALSE,"DEF1";#N/A,#N/A,FALSE,"DEF2";#N/A,#N/A,FALSE,"DEF3"}</definedName>
    <definedName name="________DEF3" hidden="1">{#N/A,#N/A,FALSE,"DEF1";#N/A,#N/A,FALSE,"DEF2";#N/A,#N/A,FALSE,"DEF3"}</definedName>
    <definedName name="________ffp16" hidden="1">{"'gráf jan00'!$A$1:$AK$41"}</definedName>
    <definedName name="________ffp4589" hidden="1">{"'gráf jan00'!$A$1:$AK$41"}</definedName>
    <definedName name="________jun04" hidden="1">{"'gráf jan00'!$A$1:$AK$41"}</definedName>
    <definedName name="________MOA1" hidden="1">{#N/A,#N/A,FALSE,"DEF1";#N/A,#N/A,FALSE,"DEF2";#N/A,#N/A,FALSE,"DEF3"}</definedName>
    <definedName name="________MOA2" hidden="1">{#N/A,#N/A,FALSE,"DEF1";#N/A,#N/A,FALSE,"DEF2";#N/A,#N/A,FALSE,"DEF3"}</definedName>
    <definedName name="________PN10" hidden="1">{"'gráf jan00'!$A$1:$AK$41"}</definedName>
    <definedName name="_______ago1" hidden="1">{"'gráf jan00'!$A$1:$AK$41"}</definedName>
    <definedName name="_______ago10" hidden="1">{"'gráf jan00'!$A$1:$AK$41"}</definedName>
    <definedName name="_______ago2" hidden="1">{"'gráf jan00'!$A$1:$AK$41"}</definedName>
    <definedName name="_______ago3" hidden="1">{"'gráf jan00'!$A$1:$AK$41"}</definedName>
    <definedName name="_______ago4" hidden="1">{"'gráf jan00'!$A$1:$AK$41"}</definedName>
    <definedName name="_______ago5" hidden="1">{"'gráf jan00'!$A$1:$AK$41"}</definedName>
    <definedName name="_______ago6" hidden="1">{"'gráf jan00'!$A$1:$AK$41"}</definedName>
    <definedName name="_______ago7" hidden="1">{"'gráf jan00'!$A$1:$AK$41"}</definedName>
    <definedName name="_______ago8" hidden="1">{"'gráf jan00'!$A$1:$AK$41"}</definedName>
    <definedName name="_______ago9" hidden="1">{"'gráf jan00'!$A$1:$AK$41"}</definedName>
    <definedName name="_______efc10" hidden="1">{"'RR'!$A$2:$E$81"}</definedName>
    <definedName name="_______EFC2" hidden="1">{"'RR'!$A$2:$E$81"}</definedName>
    <definedName name="_______EFC3" hidden="1">{"'RR'!$A$2:$E$81"}</definedName>
    <definedName name="_______EFC4" hidden="1">{"'RR'!$A$2:$E$81"}</definedName>
    <definedName name="_______n2" hidden="1">{#N/A,#N/A,FALSE,"PCOL"}</definedName>
    <definedName name="_______r" hidden="1">{#N/A,#N/A,FALSE,"PCOL"}</definedName>
    <definedName name="______ago1" hidden="1">{"'gráf jan00'!$A$1:$AK$41"}</definedName>
    <definedName name="______ago10" hidden="1">{"'gráf jan00'!$A$1:$AK$41"}</definedName>
    <definedName name="______ago2" hidden="1">{"'gráf jan00'!$A$1:$AK$41"}</definedName>
    <definedName name="______ago3" hidden="1">{"'gráf jan00'!$A$1:$AK$41"}</definedName>
    <definedName name="______ago4" hidden="1">{"'gráf jan00'!$A$1:$AK$41"}</definedName>
    <definedName name="______ago5" hidden="1">{"'gráf jan00'!$A$1:$AK$41"}</definedName>
    <definedName name="______ago6" hidden="1">{"'gráf jan00'!$A$1:$AK$41"}</definedName>
    <definedName name="______ago7" hidden="1">{"'gráf jan00'!$A$1:$AK$41"}</definedName>
    <definedName name="______ago8" hidden="1">{"'gráf jan00'!$A$1:$AK$41"}</definedName>
    <definedName name="______ago9" hidden="1">{"'gráf jan00'!$A$1:$AK$41"}</definedName>
    <definedName name="______ago99999" hidden="1">{"'gráf jan00'!$A$1:$AK$41"}</definedName>
    <definedName name="______DEF2" hidden="1">{#N/A,#N/A,FALSE,"DEF1";#N/A,#N/A,FALSE,"DEF2";#N/A,#N/A,FALSE,"DEF3"}</definedName>
    <definedName name="______DEF3" hidden="1">{#N/A,#N/A,FALSE,"DEF1";#N/A,#N/A,FALSE,"DEF2";#N/A,#N/A,FALSE,"DEF3"}</definedName>
    <definedName name="______efc10" hidden="1">{"'RR'!$A$2:$E$81"}</definedName>
    <definedName name="______EFC2" hidden="1">{"'RR'!$A$2:$E$81"}</definedName>
    <definedName name="______EFC3" hidden="1">{"'RR'!$A$2:$E$81"}</definedName>
    <definedName name="______EFC4" hidden="1">{"'RR'!$A$2:$E$81"}</definedName>
    <definedName name="______ffp16" hidden="1">{"'gráf jan00'!$A$1:$AK$41"}</definedName>
    <definedName name="______ffp4589" hidden="1">{"'gráf jan00'!$A$1:$AK$41"}</definedName>
    <definedName name="______jun04" hidden="1">{"'gráf jan00'!$A$1:$AK$41"}</definedName>
    <definedName name="______MOA1" hidden="1">{#N/A,#N/A,FALSE,"DEF1";#N/A,#N/A,FALSE,"DEF2";#N/A,#N/A,FALSE,"DEF3"}</definedName>
    <definedName name="______MOA2" hidden="1">{#N/A,#N/A,FALSE,"DEF1";#N/A,#N/A,FALSE,"DEF2";#N/A,#N/A,FALSE,"DEF3"}</definedName>
    <definedName name="______n2" hidden="1">{#N/A,#N/A,FALSE,"PCOL"}</definedName>
    <definedName name="______PN10" hidden="1">{"'gráf jan00'!$A$1:$AK$41"}</definedName>
    <definedName name="______r" hidden="1">{#N/A,#N/A,FALSE,"PCOL"}</definedName>
    <definedName name="_____ago1" hidden="1">{"'gráf jan00'!$A$1:$AK$41"}</definedName>
    <definedName name="_____ago10" hidden="1">{"'gráf jan00'!$A$1:$AK$41"}</definedName>
    <definedName name="_____ago2" hidden="1">{"'gráf jan00'!$A$1:$AK$41"}</definedName>
    <definedName name="_____ago3" hidden="1">{"'gráf jan00'!$A$1:$AK$41"}</definedName>
    <definedName name="_____ago4" hidden="1">{"'gráf jan00'!$A$1:$AK$41"}</definedName>
    <definedName name="_____ago5" hidden="1">{"'gráf jan00'!$A$1:$AK$41"}</definedName>
    <definedName name="_____ago6" hidden="1">{"'gráf jan00'!$A$1:$AK$41"}</definedName>
    <definedName name="_____ago7" hidden="1">{"'gráf jan00'!$A$1:$AK$41"}</definedName>
    <definedName name="_____ago8" hidden="1">{"'gráf jan00'!$A$1:$AK$41"}</definedName>
    <definedName name="_____ago9" hidden="1">{"'gráf jan00'!$A$1:$AK$41"}</definedName>
    <definedName name="_____ago99999" hidden="1">{"'gráf jan00'!$A$1:$AK$41"}</definedName>
    <definedName name="_____arq1" hidden="1">{"'REL CUSTODIF'!$B$1:$H$72"}</definedName>
    <definedName name="_____DEF2" hidden="1">{#N/A,#N/A,FALSE,"DEF1";#N/A,#N/A,FALSE,"DEF2";#N/A,#N/A,FALSE,"DEF3"}</definedName>
    <definedName name="_____DEF3" hidden="1">{#N/A,#N/A,FALSE,"DEF1";#N/A,#N/A,FALSE,"DEF2";#N/A,#N/A,FALSE,"DEF3"}</definedName>
    <definedName name="_____efc10" hidden="1">{"'RR'!$A$2:$E$81"}</definedName>
    <definedName name="_____EFC2" hidden="1">{"'RR'!$A$2:$E$81"}</definedName>
    <definedName name="_____EFC3" hidden="1">{"'RR'!$A$2:$E$81"}</definedName>
    <definedName name="_____EFC4" hidden="1">{"'RR'!$A$2:$E$81"}</definedName>
    <definedName name="_____ffp16" hidden="1">{"'gráf jan00'!$A$1:$AK$41"}</definedName>
    <definedName name="_____ffp4589" hidden="1">{"'gráf jan00'!$A$1:$AK$41"}</definedName>
    <definedName name="_____jun04" hidden="1">{"'gráf jan00'!$A$1:$AK$41"}</definedName>
    <definedName name="_____MOA1" hidden="1">{#N/A,#N/A,FALSE,"DEF1";#N/A,#N/A,FALSE,"DEF2";#N/A,#N/A,FALSE,"DEF3"}</definedName>
    <definedName name="_____MOA2" hidden="1">{#N/A,#N/A,FALSE,"DEF1";#N/A,#N/A,FALSE,"DEF2";#N/A,#N/A,FALSE,"DEF3"}</definedName>
    <definedName name="_____n2" hidden="1">{#N/A,#N/A,FALSE,"PCOL"}</definedName>
    <definedName name="_____PN10" hidden="1">{"'gráf jan00'!$A$1:$AK$41"}</definedName>
    <definedName name="_____r" hidden="1">{#N/A,#N/A,FALSE,"PCOL"}</definedName>
    <definedName name="_____v1" hidden="1">{"'REL CUSTODIF'!$B$1:$H$72"}</definedName>
    <definedName name="_____x1" hidden="1">{"'REL CUSTODIF'!$B$1:$H$72"}</definedName>
    <definedName name="_____x10" hidden="1">{"'REL CUSTODIF'!$B$1:$H$72"}</definedName>
    <definedName name="_____x11" hidden="1">{"'REL CUSTODIF'!$B$1:$H$72"}</definedName>
    <definedName name="_____x12" hidden="1">{#N/A,#N/A,FALSE,"Suprimentos";#N/A,#N/A,FALSE,"Medicina e Segurança";#N/A,#N/A,FALSE,"Administração";#N/A,#N/A,FALSE,"Meio Ambiente";#N/A,#N/A,FALSE,"Operação (Mina)";#N/A,#N/A,FALSE,"Operação (Porto)"}</definedName>
    <definedName name="_____x13" hidden="1">{"'REL CUSTODIF'!$B$1:$H$72"}</definedName>
    <definedName name="_____x2" hidden="1">{"'REL CUSTODIF'!$B$1:$H$72"}</definedName>
    <definedName name="_____x20" hidden="1">{#N/A,#N/A,FALSE,"Suprimentos";#N/A,#N/A,FALSE,"Medicina e Segurança";#N/A,#N/A,FALSE,"Administração";#N/A,#N/A,FALSE,"Meio Ambiente";#N/A,#N/A,FALSE,"Operação (Mina)";#N/A,#N/A,FALSE,"Operação (Porto)"}</definedName>
    <definedName name="_____x3" hidden="1">{"'REL CUSTODIF'!$B$1:$H$72"}</definedName>
    <definedName name="_____x4" hidden="1">{"'REL CUSTODIF'!$B$1:$H$72"}</definedName>
    <definedName name="_____x5" hidden="1">{"'REL CUSTODIF'!$B$1:$H$72"}</definedName>
    <definedName name="_____x6" hidden="1">{#N/A,#N/A,FALSE,"Suprimentos";#N/A,#N/A,FALSE,"Medicina e Segurança";#N/A,#N/A,FALSE,"Administração";#N/A,#N/A,FALSE,"Meio Ambiente";#N/A,#N/A,FALSE,"Operação (Mina)";#N/A,#N/A,FALSE,"Operação (Porto)"}</definedName>
    <definedName name="_____x7" hidden="1">{"'REL CUSTODIF'!$B$1:$H$72"}</definedName>
    <definedName name="_____x8" hidden="1">{"'REL CUSTODIF'!$B$1:$H$72"}</definedName>
    <definedName name="____ago1" hidden="1">{"'gráf jan00'!$A$1:$AK$41"}</definedName>
    <definedName name="____ago10" hidden="1">{"'gráf jan00'!$A$1:$AK$41"}</definedName>
    <definedName name="____ago2" hidden="1">{"'gráf jan00'!$A$1:$AK$41"}</definedName>
    <definedName name="____ago3" hidden="1">{"'gráf jan00'!$A$1:$AK$41"}</definedName>
    <definedName name="____ago4" hidden="1">{"'gráf jan00'!$A$1:$AK$41"}</definedName>
    <definedName name="____ago5" hidden="1">{"'gráf jan00'!$A$1:$AK$41"}</definedName>
    <definedName name="____ago6" hidden="1">{"'gráf jan00'!$A$1:$AK$41"}</definedName>
    <definedName name="____ago7" hidden="1">{"'gráf jan00'!$A$1:$AK$41"}</definedName>
    <definedName name="____ago8" hidden="1">{"'gráf jan00'!$A$1:$AK$41"}</definedName>
    <definedName name="____ago9" hidden="1">{"'gráf jan00'!$A$1:$AK$41"}</definedName>
    <definedName name="____ago99999" hidden="1">{"'gráf jan00'!$A$1:$AK$41"}</definedName>
    <definedName name="____DEF2" hidden="1">{#N/A,#N/A,FALSE,"DEF1";#N/A,#N/A,FALSE,"DEF2";#N/A,#N/A,FALSE,"DEF3"}</definedName>
    <definedName name="____DEF3" hidden="1">{#N/A,#N/A,FALSE,"DEF1";#N/A,#N/A,FALSE,"DEF2";#N/A,#N/A,FALSE,"DEF3"}</definedName>
    <definedName name="____efc10" hidden="1">{"'RR'!$A$2:$E$81"}</definedName>
    <definedName name="____EFC2" hidden="1">{"'RR'!$A$2:$E$81"}</definedName>
    <definedName name="____EFC3" hidden="1">{"'RR'!$A$2:$E$81"}</definedName>
    <definedName name="____EFC4" hidden="1">{"'RR'!$A$2:$E$81"}</definedName>
    <definedName name="____ffp16" hidden="1">{"'gráf jan00'!$A$1:$AK$41"}</definedName>
    <definedName name="____ffp4589" hidden="1">{"'gráf jan00'!$A$1:$AK$41"}</definedName>
    <definedName name="____jun04" hidden="1">{"'gráf jan00'!$A$1:$AK$41"}</definedName>
    <definedName name="____MOA1" hidden="1">{#N/A,#N/A,FALSE,"DEF1";#N/A,#N/A,FALSE,"DEF2";#N/A,#N/A,FALSE,"DEF3"}</definedName>
    <definedName name="____MOA2" hidden="1">{#N/A,#N/A,FALSE,"DEF1";#N/A,#N/A,FALSE,"DEF2";#N/A,#N/A,FALSE,"DEF3"}</definedName>
    <definedName name="____n2" hidden="1">{#N/A,#N/A,FALSE,"PCOL"}</definedName>
    <definedName name="____PN10" hidden="1">{"'gráf jan00'!$A$1:$AK$41"}</definedName>
    <definedName name="___ago1" hidden="1">{"'gráf jan00'!$A$1:$AK$41"}</definedName>
    <definedName name="___ago10" hidden="1">{"'gráf jan00'!$A$1:$AK$41"}</definedName>
    <definedName name="___ago2" hidden="1">{"'gráf jan00'!$A$1:$AK$41"}</definedName>
    <definedName name="___ago3" hidden="1">{"'gráf jan00'!$A$1:$AK$41"}</definedName>
    <definedName name="___ago4" hidden="1">{"'gráf jan00'!$A$1:$AK$41"}</definedName>
    <definedName name="___ago5" hidden="1">{"'gráf jan00'!$A$1:$AK$41"}</definedName>
    <definedName name="___ago6" hidden="1">{"'gráf jan00'!$A$1:$AK$41"}</definedName>
    <definedName name="___ago7" hidden="1">{"'gráf jan00'!$A$1:$AK$41"}</definedName>
    <definedName name="___ago8" hidden="1">{"'gráf jan00'!$A$1:$AK$41"}</definedName>
    <definedName name="___ago9" hidden="1">{"'gráf jan00'!$A$1:$AK$41"}</definedName>
    <definedName name="___ago99999" hidden="1">{"'gráf jan00'!$A$1:$AK$41"}</definedName>
    <definedName name="___arq1" hidden="1">{"'REL CUSTODIF'!$B$1:$H$72"}</definedName>
    <definedName name="___DEF2" hidden="1">{#N/A,#N/A,FALSE,"DEF1";#N/A,#N/A,FALSE,"DEF2";#N/A,#N/A,FALSE,"DEF3"}</definedName>
    <definedName name="___DEF3" hidden="1">{#N/A,#N/A,FALSE,"DEF1";#N/A,#N/A,FALSE,"DEF2";#N/A,#N/A,FALSE,"DEF3"}</definedName>
    <definedName name="___efc10" hidden="1">{"'RR'!$A$2:$E$81"}</definedName>
    <definedName name="___EFC2" hidden="1">{"'RR'!$A$2:$E$81"}</definedName>
    <definedName name="___EFC3" hidden="1">{"'RR'!$A$2:$E$81"}</definedName>
    <definedName name="___EFC4" hidden="1">{"'RR'!$A$2:$E$81"}</definedName>
    <definedName name="___ffp16" hidden="1">{"'gráf jan00'!$A$1:$AK$41"}</definedName>
    <definedName name="___ffp4589" hidden="1">{"'gráf jan00'!$A$1:$AK$41"}</definedName>
    <definedName name="___jun04" hidden="1">{"'gráf jan00'!$A$1:$AK$41"}</definedName>
    <definedName name="___MOA1" hidden="1">{#N/A,#N/A,FALSE,"DEF1";#N/A,#N/A,FALSE,"DEF2";#N/A,#N/A,FALSE,"DEF3"}</definedName>
    <definedName name="___MOA2" hidden="1">{#N/A,#N/A,FALSE,"DEF1";#N/A,#N/A,FALSE,"DEF2";#N/A,#N/A,FALSE,"DEF3"}</definedName>
    <definedName name="___n2" hidden="1">{#N/A,#N/A,FALSE,"PCOL"}</definedName>
    <definedName name="___PN10" hidden="1">{"'gráf jan00'!$A$1:$AK$41"}</definedName>
    <definedName name="___r" hidden="1">{#N/A,#N/A,FALSE,"PCOL"}</definedName>
    <definedName name="___v1" hidden="1">{"'REL CUSTODIF'!$B$1:$H$72"}</definedName>
    <definedName name="___x1" hidden="1">{"'REL CUSTODIF'!$B$1:$H$72"}</definedName>
    <definedName name="___x10" hidden="1">{"'REL CUSTODIF'!$B$1:$H$72"}</definedName>
    <definedName name="___x11" hidden="1">{"'REL CUSTODIF'!$B$1:$H$72"}</definedName>
    <definedName name="___x12" hidden="1">{#N/A,#N/A,FALSE,"Suprimentos";#N/A,#N/A,FALSE,"Medicina e Segurança";#N/A,#N/A,FALSE,"Administração";#N/A,#N/A,FALSE,"Meio Ambiente";#N/A,#N/A,FALSE,"Operação (Mina)";#N/A,#N/A,FALSE,"Operação (Porto)"}</definedName>
    <definedName name="___x13" hidden="1">{"'REL CUSTODIF'!$B$1:$H$72"}</definedName>
    <definedName name="___x2" hidden="1">{"'REL CUSTODIF'!$B$1:$H$72"}</definedName>
    <definedName name="___x20" hidden="1">{#N/A,#N/A,FALSE,"Suprimentos";#N/A,#N/A,FALSE,"Medicina e Segurança";#N/A,#N/A,FALSE,"Administração";#N/A,#N/A,FALSE,"Meio Ambiente";#N/A,#N/A,FALSE,"Operação (Mina)";#N/A,#N/A,FALSE,"Operação (Porto)"}</definedName>
    <definedName name="___x3" hidden="1">{"'REL CUSTODIF'!$B$1:$H$72"}</definedName>
    <definedName name="___x4" hidden="1">{"'REL CUSTODIF'!$B$1:$H$72"}</definedName>
    <definedName name="___x5" hidden="1">{"'REL CUSTODIF'!$B$1:$H$72"}</definedName>
    <definedName name="___x6" hidden="1">{#N/A,#N/A,FALSE,"Suprimentos";#N/A,#N/A,FALSE,"Medicina e Segurança";#N/A,#N/A,FALSE,"Administração";#N/A,#N/A,FALSE,"Meio Ambiente";#N/A,#N/A,FALSE,"Operação (Mina)";#N/A,#N/A,FALSE,"Operação (Porto)"}</definedName>
    <definedName name="___x7" hidden="1">{"'REL CUSTODIF'!$B$1:$H$72"}</definedName>
    <definedName name="___x8" hidden="1">{"'REL CUSTODIF'!$B$1:$H$72"}</definedName>
    <definedName name="__ago1" hidden="1">{"'gráf jan00'!$A$1:$AK$41"}</definedName>
    <definedName name="__ago10" hidden="1">{"'gráf jan00'!$A$1:$AK$41"}</definedName>
    <definedName name="__ago2" hidden="1">{"'gráf jan00'!$A$1:$AK$41"}</definedName>
    <definedName name="__ago3" hidden="1">{"'gráf jan00'!$A$1:$AK$41"}</definedName>
    <definedName name="__ago4" hidden="1">{"'gráf jan00'!$A$1:$AK$41"}</definedName>
    <definedName name="__ago5" hidden="1">{"'gráf jan00'!$A$1:$AK$41"}</definedName>
    <definedName name="__ago6" hidden="1">{"'gráf jan00'!$A$1:$AK$41"}</definedName>
    <definedName name="__ago7" hidden="1">{"'gráf jan00'!$A$1:$AK$41"}</definedName>
    <definedName name="__ago8" hidden="1">{"'gráf jan00'!$A$1:$AK$41"}</definedName>
    <definedName name="__ago9" hidden="1">{"'gráf jan00'!$A$1:$AK$41"}</definedName>
    <definedName name="__ago99999" hidden="1">{"'gráf jan00'!$A$1:$AK$41"}</definedName>
    <definedName name="__arq1" hidden="1">{"'REL CUSTODIF'!$B$1:$H$72"}</definedName>
    <definedName name="__DEF2" hidden="1">{#N/A,#N/A,FALSE,"DEF1";#N/A,#N/A,FALSE,"DEF2";#N/A,#N/A,FALSE,"DEF3"}</definedName>
    <definedName name="__DEF3" hidden="1">{#N/A,#N/A,FALSE,"DEF1";#N/A,#N/A,FALSE,"DEF2";#N/A,#N/A,FALSE,"DEF3"}</definedName>
    <definedName name="__efc10" hidden="1">{"'RR'!$A$2:$E$81"}</definedName>
    <definedName name="__EFC2" hidden="1">{"'RR'!$A$2:$E$81"}</definedName>
    <definedName name="__EFC3" hidden="1">{"'RR'!$A$2:$E$81"}</definedName>
    <definedName name="__EFC4" hidden="1">{"'RR'!$A$2:$E$81"}</definedName>
    <definedName name="__ffp16" hidden="1">{"'gráf jan00'!$A$1:$AK$41"}</definedName>
    <definedName name="__ffp4589" hidden="1">{"'gráf jan00'!$A$1:$AK$41"}</definedName>
    <definedName name="__jun04" hidden="1">{"'gráf jan00'!$A$1:$AK$41"}</definedName>
    <definedName name="__MOA1" hidden="1">{#N/A,#N/A,FALSE,"DEF1";#N/A,#N/A,FALSE,"DEF2";#N/A,#N/A,FALSE,"DEF3"}</definedName>
    <definedName name="__MOA2" hidden="1">{#N/A,#N/A,FALSE,"DEF1";#N/A,#N/A,FALSE,"DEF2";#N/A,#N/A,FALSE,"DEF3"}</definedName>
    <definedName name="__n2" hidden="1">{#N/A,#N/A,FALSE,"PCOL"}</definedName>
    <definedName name="__PN10" hidden="1">{"'gráf jan00'!$A$1:$AK$41"}</definedName>
    <definedName name="__v1" hidden="1">{"'REL CUSTODIF'!$B$1:$H$72"}</definedName>
    <definedName name="__x1" hidden="1">{"'REL CUSTODIF'!$B$1:$H$72"}</definedName>
    <definedName name="__x10" hidden="1">{"'REL CUSTODIF'!$B$1:$H$72"}</definedName>
    <definedName name="__x11" hidden="1">{"'REL CUSTODIF'!$B$1:$H$72"}</definedName>
    <definedName name="__x12" hidden="1">{#N/A,#N/A,FALSE,"Suprimentos";#N/A,#N/A,FALSE,"Medicina e Segurança";#N/A,#N/A,FALSE,"Administração";#N/A,#N/A,FALSE,"Meio Ambiente";#N/A,#N/A,FALSE,"Operação (Mina)";#N/A,#N/A,FALSE,"Operação (Porto)"}</definedName>
    <definedName name="__x13" hidden="1">{"'REL CUSTODIF'!$B$1:$H$72"}</definedName>
    <definedName name="__x2" hidden="1">{"'REL CUSTODIF'!$B$1:$H$72"}</definedName>
    <definedName name="__x20" hidden="1">{#N/A,#N/A,FALSE,"Suprimentos";#N/A,#N/A,FALSE,"Medicina e Segurança";#N/A,#N/A,FALSE,"Administração";#N/A,#N/A,FALSE,"Meio Ambiente";#N/A,#N/A,FALSE,"Operação (Mina)";#N/A,#N/A,FALSE,"Operação (Porto)"}</definedName>
    <definedName name="__x3" hidden="1">{"'REL CUSTODIF'!$B$1:$H$72"}</definedName>
    <definedName name="__x4" hidden="1">{"'REL CUSTODIF'!$B$1:$H$72"}</definedName>
    <definedName name="__x5" hidden="1">{"'REL CUSTODIF'!$B$1:$H$72"}</definedName>
    <definedName name="__x6" hidden="1">{#N/A,#N/A,FALSE,"Suprimentos";#N/A,#N/A,FALSE,"Medicina e Segurança";#N/A,#N/A,FALSE,"Administração";#N/A,#N/A,FALSE,"Meio Ambiente";#N/A,#N/A,FALSE,"Operação (Mina)";#N/A,#N/A,FALSE,"Operação (Porto)"}</definedName>
    <definedName name="__x7" hidden="1">{"'REL CUSTODIF'!$B$1:$H$72"}</definedName>
    <definedName name="__x8" hidden="1">{"'REL CUSTODIF'!$B$1:$H$72"}</definedName>
    <definedName name="__xlfn.AVERAGEIF" hidden="1">#NAME?</definedName>
    <definedName name="__xlfn.RTD" hidden="1">#NAME?</definedName>
    <definedName name="_1__123Graph_ACHART_1" hidden="1">[1]EAIGESEN!$O$8:$O$8</definedName>
    <definedName name="_2__123Graph_ACHART_3" hidden="1">[1]EAIGESEN!$O$16:$O$17</definedName>
    <definedName name="_5__123Graph_ACHART_3" hidden="1">[2]EAIGESEN!$O$11:$O$12</definedName>
    <definedName name="_9__123Graph_ACHART_3" hidden="1">[2]EAIGESEN!$O$11:$O$12</definedName>
    <definedName name="_ago1" hidden="1">{"'gráf jan00'!$A$1:$AK$41"}</definedName>
    <definedName name="_ago10" hidden="1">{"'gráf jan00'!$A$1:$AK$41"}</definedName>
    <definedName name="_ago2" hidden="1">{"'gráf jan00'!$A$1:$AK$41"}</definedName>
    <definedName name="_ago3" hidden="1">{"'gráf jan00'!$A$1:$AK$41"}</definedName>
    <definedName name="_ago4" hidden="1">{"'gráf jan00'!$A$1:$AK$41"}</definedName>
    <definedName name="_ago5" hidden="1">{"'gráf jan00'!$A$1:$AK$41"}</definedName>
    <definedName name="_ago6" hidden="1">{"'gráf jan00'!$A$1:$AK$41"}</definedName>
    <definedName name="_ago7" hidden="1">{"'gráf jan00'!$A$1:$AK$41"}</definedName>
    <definedName name="_ago8" hidden="1">{"'gráf jan00'!$A$1:$AK$41"}</definedName>
    <definedName name="_ago9" hidden="1">{"'gráf jan00'!$A$1:$AK$41"}</definedName>
    <definedName name="_ago99999" hidden="1">{"'gráf jan00'!$A$1:$AK$41"}</definedName>
    <definedName name="_arq1" hidden="1">{"'REL CUSTODIF'!$B$1:$H$72"}</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dRecalcBehavior" hidden="1">1</definedName>
    <definedName name="_AtRisk_SimSetting_StdRecalcWithoutRiskStatic" hidden="1">0</definedName>
    <definedName name="_AtRisk_SimSetting_StdRecalcWithoutRiskStaticPercentile" hidden="1">0.5</definedName>
    <definedName name="_DEF2" hidden="1">{#N/A,#N/A,FALSE,"DEF1";#N/A,#N/A,FALSE,"DEF2";#N/A,#N/A,FALSE,"DEF3"}</definedName>
    <definedName name="_DEF3" hidden="1">{#N/A,#N/A,FALSE,"DEF1";#N/A,#N/A,FALSE,"DEF2";#N/A,#N/A,FALSE,"DEF3"}</definedName>
    <definedName name="_efc10" hidden="1">{"'RR'!$A$2:$E$81"}</definedName>
    <definedName name="_EFC2" hidden="1">{"'RR'!$A$2:$E$81"}</definedName>
    <definedName name="_EFC3" hidden="1">{"'RR'!$A$2:$E$81"}</definedName>
    <definedName name="_EFC4" hidden="1">{"'RR'!$A$2:$E$81"}</definedName>
    <definedName name="_ffp16" hidden="1">{"'gráf jan00'!$A$1:$AK$41"}</definedName>
    <definedName name="_ffp4589" hidden="1">{"'gráf jan00'!$A$1:$AK$41"}</definedName>
    <definedName name="_Fill" localSheetId="0" hidden="1">#REF!</definedName>
    <definedName name="_Fill" hidden="1">#REF!</definedName>
    <definedName name="_xlnm._FilterDatabase" localSheetId="11" hidden="1">CALENDARIO!$B$1:$M$903</definedName>
    <definedName name="_xlnm._FilterDatabase" localSheetId="3" hidden="1">'FAM 12-06'!$A$3:$L$1945</definedName>
    <definedName name="_xlnm._FilterDatabase" localSheetId="1" hidden="1">'ITEM PQ'!$A$1:$K$3106</definedName>
    <definedName name="_xlnm._FilterDatabase" localSheetId="6" hidden="1">'MAPA DE SUPORTE'!$C$3:$AT$408</definedName>
    <definedName name="_xlnm._FilterDatabase" localSheetId="10" hidden="1">'MAPA DE THALES'!$B$4:$S$128</definedName>
    <definedName name="_xlnm._FilterDatabase" localSheetId="8" hidden="1">Planilha1!$B$2:$C$107</definedName>
    <definedName name="_xlnm._FilterDatabase" localSheetId="7" hidden="1">Planilha3!$B$2:$H$107</definedName>
    <definedName name="_xlnm._FilterDatabase" localSheetId="0" hidden="1">PQ!$A$7:$Q$764</definedName>
    <definedName name="_jun04" hidden="1">{"'gráf jan00'!$A$1:$AK$41"}</definedName>
    <definedName name="_MatMult_B" hidden="1">#REF!</definedName>
    <definedName name="_MOA1" hidden="1">{#N/A,#N/A,FALSE,"DEF1";#N/A,#N/A,FALSE,"DEF2";#N/A,#N/A,FALSE,"DEF3"}</definedName>
    <definedName name="_MOA2" hidden="1">{#N/A,#N/A,FALSE,"DEF1";#N/A,#N/A,FALSE,"DEF2";#N/A,#N/A,FALSE,"DEF3"}</definedName>
    <definedName name="_n2" hidden="1">{#N/A,#N/A,FALSE,"PCOL"}</definedName>
    <definedName name="_Order1" hidden="1">255</definedName>
    <definedName name="_Order2" hidden="1">0</definedName>
    <definedName name="_PN10" hidden="1">{"'gráf jan00'!$A$1:$AK$41"}</definedName>
    <definedName name="_v1" hidden="1">{"'REL CUSTODIF'!$B$1:$H$72"}</definedName>
    <definedName name="_x1" hidden="1">{"'REL CUSTODIF'!$B$1:$H$72"}</definedName>
    <definedName name="_x10" hidden="1">{"'REL CUSTODIF'!$B$1:$H$72"}</definedName>
    <definedName name="_x11" hidden="1">{"'REL CUSTODIF'!$B$1:$H$72"}</definedName>
    <definedName name="_x12" hidden="1">{#N/A,#N/A,FALSE,"Suprimentos";#N/A,#N/A,FALSE,"Medicina e Segurança";#N/A,#N/A,FALSE,"Administração";#N/A,#N/A,FALSE,"Meio Ambiente";#N/A,#N/A,FALSE,"Operação (Mina)";#N/A,#N/A,FALSE,"Operação (Porto)"}</definedName>
    <definedName name="_x13" hidden="1">{"'REL CUSTODIF'!$B$1:$H$72"}</definedName>
    <definedName name="_x2" hidden="1">{"'REL CUSTODIF'!$B$1:$H$72"}</definedName>
    <definedName name="_x20" hidden="1">{#N/A,#N/A,FALSE,"Suprimentos";#N/A,#N/A,FALSE,"Medicina e Segurança";#N/A,#N/A,FALSE,"Administração";#N/A,#N/A,FALSE,"Meio Ambiente";#N/A,#N/A,FALSE,"Operação (Mina)";#N/A,#N/A,FALSE,"Operação (Porto)"}</definedName>
    <definedName name="_x3" hidden="1">{"'REL CUSTODIF'!$B$1:$H$72"}</definedName>
    <definedName name="_x4" hidden="1">{"'REL CUSTODIF'!$B$1:$H$72"}</definedName>
    <definedName name="_x5" hidden="1">{"'REL CUSTODIF'!$B$1:$H$72"}</definedName>
    <definedName name="_x6" hidden="1">{#N/A,#N/A,FALSE,"Suprimentos";#N/A,#N/A,FALSE,"Medicina e Segurança";#N/A,#N/A,FALSE,"Administração";#N/A,#N/A,FALSE,"Meio Ambiente";#N/A,#N/A,FALSE,"Operação (Mina)";#N/A,#N/A,FALSE,"Operação (Porto)"}</definedName>
    <definedName name="_x7" hidden="1">{"'REL CUSTODIF'!$B$1:$H$72"}</definedName>
    <definedName name="_x8" hidden="1">{"'REL CUSTODIF'!$B$1:$H$72"}</definedName>
    <definedName name="A_SD" hidden="1">{#N/A,#N/A,FALSE,"GERAL";#N/A,#N/A,FALSE,"012-96";#N/A,#N/A,FALSE,"018-96";#N/A,#N/A,FALSE,"027-96";#N/A,#N/A,FALSE,"059-96";#N/A,#N/A,FALSE,"076-96";#N/A,#N/A,FALSE,"019-97";#N/A,#N/A,FALSE,"021-97";#N/A,#N/A,FALSE,"022-97";#N/A,#N/A,FALSE,"028-97"}</definedName>
    <definedName name="aa" hidden="1">{#N/A,#N/A,FALSE,"GERAL";#N/A,#N/A,FALSE,"012-96";#N/A,#N/A,FALSE,"018-96";#N/A,#N/A,FALSE,"027-96";#N/A,#N/A,FALSE,"059-96";#N/A,#N/A,FALSE,"076-96";#N/A,#N/A,FALSE,"019-97";#N/A,#N/A,FALSE,"021-97";#N/A,#N/A,FALSE,"022-97";#N/A,#N/A,FALSE,"028-97"}</definedName>
    <definedName name="aaaaa" hidden="1">{"'gráf jan00'!$A$1:$AK$41"}</definedName>
    <definedName name="aaas" hidden="1">{"'gráf jan00'!$A$1:$AK$41"}</definedName>
    <definedName name="aasaasas" hidden="1">{#N/A,#N/A,TRUE,"indice";#N/A,#N/A,TRUE,"indicadores";#N/A,#N/A,TRUE,"comentarios"}</definedName>
    <definedName name="AB" hidden="1">{"'gráf jan00'!$A$1:$AK$41"}</definedName>
    <definedName name="ABARTH" hidden="1">{#N/A,#N/A,FALSE,"TEC-01";#N/A,#N/A,FALSE,"TEC - 02";#N/A,#N/A,FALSE,"TEC - 03";#N/A,#N/A,FALSE,"TEC - 04";#N/A,#N/A,FALSE,"TEC-07";#N/A,#N/A,FALSE,"TEC-08";#N/A,#N/A,FALSE,"TEC - 09A";#N/A,#N/A,FALSE,"TEC - 09B";#N/A,#N/A,FALSE,"TEC - 09C";#N/A,#N/A,FALSE,"TEC - 10";#N/A,#N/A,FALSE,"TEC-11"}</definedName>
    <definedName name="abc" hidden="1">{#N/A,#N/A,FALSE,"PCOL"}</definedName>
    <definedName name="ABC.XLS" hidden="1">{"'Quadro'!$A$4:$BG$78"}</definedName>
    <definedName name="abcd" hidden="1">{#N/A,#N/A,FALSE,"PCOL"}</definedName>
    <definedName name="abcde" hidden="1">{#N/A,#N/A,FALSE,"PCOL"}</definedName>
    <definedName name="abobora.xls" hidden="1">{"'Quadro'!$A$4:$BG$78"}</definedName>
    <definedName name="ACESITA" hidden="1">{#N/A,#N/A,FALSE,"GERAL";#N/A,#N/A,FALSE,"012-96";#N/A,#N/A,FALSE,"018-96";#N/A,#N/A,FALSE,"027-96";#N/A,#N/A,FALSE,"059-96";#N/A,#N/A,FALSE,"076-96";#N/A,#N/A,FALSE,"019-97";#N/A,#N/A,FALSE,"021-97";#N/A,#N/A,FALSE,"022-97";#N/A,#N/A,FALSE,"028-97"}</definedName>
    <definedName name="Acidente" hidden="1">{"'gráf jan00'!$A$1:$AK$41"}</definedName>
    <definedName name="adasdad" hidden="1">{"'gráf jan00'!$A$1:$AK$41"}</definedName>
    <definedName name="ADED" hidden="1">{"'gráf jan00'!$A$1:$AK$41"}</definedName>
    <definedName name="Adequaqção" hidden="1">{"'gráf jan00'!$A$1:$AK$41"}</definedName>
    <definedName name="aditivo" hidden="1">{#N/A,#N/A,FALSE,"PCOL"}</definedName>
    <definedName name="adsf" hidden="1">{"'gráf jan00'!$A$1:$AK$41"}</definedName>
    <definedName name="afds" hidden="1">{"'gráf jan00'!$A$1:$AK$41"}</definedName>
    <definedName name="AGAKLJDFK" hidden="1">{"'gráf jan00'!$A$1:$AK$41"}</definedName>
    <definedName name="ago" hidden="1">{"'gráf jan00'!$A$1:$AK$41"}</definedName>
    <definedName name="agost5" hidden="1">{"'gráf jan00'!$A$1:$AK$41"}</definedName>
    <definedName name="Agosto" hidden="1">{#N/A,#N/A,FALSE,"SITUAÇÃO DIÁRIA ";#N/A,#N/A,FALSE,"7 à 7"}</definedName>
    <definedName name="AHA" hidden="1">{"'RR'!$A$2:$E$81"}</definedName>
    <definedName name="aina" hidden="1">{#N/A,#N/A,FALSE,"PCOL"}</definedName>
    <definedName name="AMV" hidden="1">{"'gráf jan00'!$A$1:$AK$41"}</definedName>
    <definedName name="ANEXO1" hidden="1">{"'teste'!$B$2:$R$49"}</definedName>
    <definedName name="ANEXO2" hidden="1">{"'teste'!$B$2:$R$49"}</definedName>
    <definedName name="ans" hidden="1">{#N/A,#N/A,FALSE,"PCOL"}</definedName>
    <definedName name="anscount" hidden="1">1</definedName>
    <definedName name="AR" hidden="1">{"'Quadro'!$A$4:$BG$78"}</definedName>
    <definedName name="Arara" hidden="1">{#N/A,#N/A,FALSE,"PCOL"}</definedName>
    <definedName name="_xlnm.Print_Area" localSheetId="0">PQ!$A$1:$Q$764</definedName>
    <definedName name="AREAMADEIRITE">2.44*0.122</definedName>
    <definedName name="AREATABUA">0.75</definedName>
    <definedName name="AREEWR" hidden="1">{"'Quadro'!$A$4:$BG$78"}</definedName>
    <definedName name="as" hidden="1">{"'IndicadoresRH'!$AA$50:$AP$67"}</definedName>
    <definedName name="AS2DocOpenMode" hidden="1">"AS2DocumentEdit"</definedName>
    <definedName name="AS2NamedRange" hidden="1">18</definedName>
    <definedName name="asaasaas" hidden="1">{#N/A,#N/A,TRUE,"indice";#N/A,#N/A,TRUE,"indicadores";#N/A,#N/A,TRUE,"comentarios"}</definedName>
    <definedName name="asaasas"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ASD" hidden="1">{#N/A,#N/A,FALSE,"GERAL";#N/A,#N/A,FALSE,"012-96";#N/A,#N/A,FALSE,"018-96";#N/A,#N/A,FALSE,"027-96";#N/A,#N/A,FALSE,"059-96";#N/A,#N/A,FALSE,"076-96";#N/A,#N/A,FALSE,"019-97";#N/A,#N/A,FALSE,"021-97";#N/A,#N/A,FALSE,"022-97";#N/A,#N/A,FALSE,"028-97"}</definedName>
    <definedName name="asdad" hidden="1">{"'gráf jan00'!$A$1:$AK$41"}</definedName>
    <definedName name="asdadadad" hidden="1">{"'gráf jan00'!$A$1:$AK$41"}</definedName>
    <definedName name="asdasdasdas" hidden="1">{"'gráf jan00'!$A$1:$AK$41"}</definedName>
    <definedName name="asdf" hidden="1">{"'Quadro'!$A$4:$BG$78"}</definedName>
    <definedName name="asdfasfsafasf" hidden="1">{"'CptDifn'!$AA$32:$AG$32"}</definedName>
    <definedName name="asdg" hidden="1">{"'gráf jan00'!$A$1:$AK$41"}</definedName>
    <definedName name="asdryhsdfh"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ASDSD" hidden="1">{"'Quadro'!$A$4:$BG$78"}</definedName>
    <definedName name="asrgadg"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ASWEFGQ3" hidden="1">{"'gráf jan00'!$A$1:$AK$41"}</definedName>
    <definedName name="AT" hidden="1">{"'Quadro'!$A$4:$BG$78"}</definedName>
    <definedName name="AW" hidden="1">{"'Quadro'!$A$4:$BG$78"}</definedName>
    <definedName name="awdasda"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b" hidden="1">{#N/A,#N/A,FALSE,"GERAL";#N/A,#N/A,FALSE,"012-96";#N/A,#N/A,FALSE,"018-96";#N/A,#N/A,FALSE,"027-96";#N/A,#N/A,FALSE,"059-96";#N/A,#N/A,FALSE,"076-96";#N/A,#N/A,FALSE,"019-97";#N/A,#N/A,FALSE,"021-97";#N/A,#N/A,FALSE,"022-97";#N/A,#N/A,FALSE,"028-97"}</definedName>
    <definedName name="bbb" hidden="1">{#N/A,#N/A,FALSE,"CW Summary";#N/A,#N/A,FALSE,"Weekly Tracking";#N/A,#N/A,FALSE,"MSA";#N/A,#N/A,FALSE,"Parts";#N/A,#N/A,FALSE,"RS";#N/A,#N/A,FALSE,"Mods";#N/A,#N/A,FALSE,"GEVISA";#N/A,#N/A,FALSE,"HQ"}</definedName>
    <definedName name="bbbb" hidden="1">{#N/A,#N/A,FALSE,"PCOL"}</definedName>
    <definedName name="bbbbbbbbbbbbbbbbbbbbbbbbbbbbbbbb" hidden="1">{"'REL CUSTODIF'!$B$1:$H$72"}</definedName>
    <definedName name="Bbn" hidden="1">{"'IndicadoresRH'!$AA$50:$AP$67"}</definedName>
    <definedName name="bd" hidden="1">{"'IndicadoresRH'!$AA$50:$AP$67"}</definedName>
    <definedName name="BLPH200001" hidden="1">'[3]Stock Chart'!$B$5</definedName>
    <definedName name="BRITAGEM" localSheetId="0" hidden="1">{#N/A,#N/A,FALSE,"GERAL";#N/A,#N/A,FALSE,"012-96";#N/A,#N/A,FALSE,"018-96";#N/A,#N/A,FALSE,"027-96";#N/A,#N/A,FALSE,"059-96";#N/A,#N/A,FALSE,"076-96";#N/A,#N/A,FALSE,"019-97";#N/A,#N/A,FALSE,"021-97";#N/A,#N/A,FALSE,"022-97";#N/A,#N/A,FALSE,"028-97"}</definedName>
    <definedName name="BRITAGEM" hidden="1">{#N/A,#N/A,FALSE,"GERAL";#N/A,#N/A,FALSE,"012-96";#N/A,#N/A,FALSE,"018-96";#N/A,#N/A,FALSE,"027-96";#N/A,#N/A,FALSE,"059-96";#N/A,#N/A,FALSE,"076-96";#N/A,#N/A,FALSE,"019-97";#N/A,#N/A,FALSE,"021-97";#N/A,#N/A,FALSE,"022-97";#N/A,#N/A,FALSE,"028-97"}</definedName>
    <definedName name="BXF" hidden="1">{"'Quadro'!$A$4:$BG$78"}</definedName>
    <definedName name="ç" hidden="1">{"'gráf jan00'!$A$1:$AK$41"}</definedName>
    <definedName name="c_c" hidden="1">{"'REL CUSTODIF'!$B$1:$H$72"}</definedName>
    <definedName name="CAPA" hidden="1">{#N/A,#N/A,FALSE,"GERAL";#N/A,#N/A,FALSE,"012-96";#N/A,#N/A,FALSE,"018-96";#N/A,#N/A,FALSE,"027-96";#N/A,#N/A,FALSE,"059-96";#N/A,#N/A,FALSE,"076-96";#N/A,#N/A,FALSE,"019-97";#N/A,#N/A,FALSE,"021-97";#N/A,#N/A,FALSE,"022-97";#N/A,#N/A,FALSE,"028-97"}</definedName>
    <definedName name="capacitação" hidden="1">{"'gráf jan00'!$A$1:$AK$41"}</definedName>
    <definedName name="CAPTAÇÃO" hidden="1">{#N/A,#N/A,FALSE,"GERAL";#N/A,#N/A,FALSE,"012-96";#N/A,#N/A,FALSE,"018-96";#N/A,#N/A,FALSE,"027-96";#N/A,#N/A,FALSE,"059-96";#N/A,#N/A,FALSE,"076-96";#N/A,#N/A,FALSE,"019-97";#N/A,#N/A,FALSE,"021-97";#N/A,#N/A,FALSE,"022-97";#N/A,#N/A,FALSE,"028-97"}</definedName>
    <definedName name="car" hidden="1">{#N/A,#N/A,FALSE,"PCOL"}</definedName>
    <definedName name="çç" hidden="1">{"'REL CUSTODIF'!$B$1:$H$72"}</definedName>
    <definedName name="ccc" hidden="1">{#N/A,#N/A,FALSE,"CW Summary";#N/A,#N/A,FALSE,"Weekly Tracking";#N/A,#N/A,FALSE,"MSA";#N/A,#N/A,FALSE,"Parts";#N/A,#N/A,FALSE,"RS";#N/A,#N/A,FALSE,"Mods";#N/A,#N/A,FALSE,"GEVISA"}</definedName>
    <definedName name="ccccc" hidden="1">{#N/A,#N/A,FALSE,"GERAL";#N/A,#N/A,FALSE,"012-96";#N/A,#N/A,FALSE,"018-96";#N/A,#N/A,FALSE,"027-96";#N/A,#N/A,FALSE,"059-96";#N/A,#N/A,FALSE,"076-96";#N/A,#N/A,FALSE,"019-97";#N/A,#N/A,FALSE,"021-97";#N/A,#N/A,FALSE,"022-97";#N/A,#N/A,FALSE,"028-97"}</definedName>
    <definedName name="ccccccccc"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cfartaetfE" hidden="1">{"'REL CUSTODIF'!$B$1:$H$72"}</definedName>
    <definedName name="charles" hidden="1">{"'gráf jan00'!$A$1:$AK$41"}</definedName>
    <definedName name="CHECKSSO_OUT" hidden="1">{"'Quadro'!$A$4:$BG$78"}</definedName>
    <definedName name="ciclos" hidden="1">{"'RR'!$A$2:$E$81"}</definedName>
    <definedName name="cida" hidden="1">{#N/A,#N/A,FALSE,"PCOL"}</definedName>
    <definedName name="ÇL" hidden="1">{"'Quadro'!$A$4:$BG$78"}</definedName>
    <definedName name="claudio" hidden="1">{"'gráf jan00'!$A$1:$AK$41"}</definedName>
    <definedName name="çlçl" hidden="1">{"'Quadro'!$A$4:$BG$78"}</definedName>
    <definedName name="CMC" hidden="1">{"'Quadro'!$A$4:$BG$78"}</definedName>
    <definedName name="Cobra" hidden="1">{#N/A,#N/A,FALSE,"PCOL"}</definedName>
    <definedName name="Cobre" hidden="1">{"'CptDifn'!$AA$32:$AG$32"}</definedName>
    <definedName name="CONCEL" hidden="1">{#N/A,#N/A,FALSE,"GERAL";#N/A,#N/A,FALSE,"012-96";#N/A,#N/A,FALSE,"018-96";#N/A,#N/A,FALSE,"027-96";#N/A,#N/A,FALSE,"059-96";#N/A,#N/A,FALSE,"076-96";#N/A,#N/A,FALSE,"019-97";#N/A,#N/A,FALSE,"021-97";#N/A,#N/A,FALSE,"022-97";#N/A,#N/A,FALSE,"028-97"}</definedName>
    <definedName name="Concentrado_Cobre" hidden="1">{"'CptDifn'!$AA$32:$AG$32"}</definedName>
    <definedName name="Copia" hidden="1">{#N/A,#N/A,FALSE,"PCOL"}</definedName>
    <definedName name="copiaranch"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copiaranch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cor" hidden="1">{"'gráf jan00'!$A$1:$AK$41"}</definedName>
    <definedName name="Cronograma2" hidden="1">{#N/A,#N/A,TRUE,"indice";#N/A,#N/A,TRUE,"indicadores";#N/A,#N/A,TRUE,"comentarios"}</definedName>
    <definedName name="cvagf" hidden="1">{"'REL CUSTODIF'!$B$1:$H$72"}</definedName>
    <definedName name="cxz" hidden="1">{"'gráf jan00'!$A$1:$AK$41"}</definedName>
    <definedName name="da" hidden="1">{#N/A,#N/A,FALSE,"TEC-01";#N/A,#N/A,FALSE,"TEC - 02";#N/A,#N/A,FALSE,"TEC - 03";#N/A,#N/A,FALSE,"TEC - 04";#N/A,#N/A,FALSE,"TEC-07";#N/A,#N/A,FALSE,"TEC-08";#N/A,#N/A,FALSE,"TEC - 09A";#N/A,#N/A,FALSE,"TEC - 09B";#N/A,#N/A,FALSE,"TEC - 09C";#N/A,#N/A,FALSE,"TEC - 10";#N/A,#N/A,FALSE,"TEC-11"}</definedName>
    <definedName name="dada"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dadaa"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dadadada"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DATA_01" hidden="1">#REF!</definedName>
    <definedName name="DATA_02" hidden="1">#REF!</definedName>
    <definedName name="DATA_03" hidden="1">#REF!</definedName>
    <definedName name="DATA_04" hidden="1">#REF!</definedName>
    <definedName name="DATA_05" hidden="1">#REF!</definedName>
    <definedName name="DATA_06" hidden="1">#REF!</definedName>
    <definedName name="DATA_07" hidden="1">#REF!</definedName>
    <definedName name="DATA_08" hidden="1">#REF!</definedName>
    <definedName name="DATA_09" hidden="1">#REF!</definedName>
    <definedName name="david" hidden="1">{"'gráf jan00'!$A$1:$AK$41"}</definedName>
    <definedName name="david1" hidden="1">{"'gráf jan00'!$A$1:$AK$41"}</definedName>
    <definedName name="dcDCEDSDFV" hidden="1">{"'REL CUSTODIF'!$B$1:$H$72"}</definedName>
    <definedName name="DD" localSheetId="0" hidden="1">{#N/A,#N/A,FALSE,"GERAL";#N/A,#N/A,FALSE,"012-96";#N/A,#N/A,FALSE,"018-96";#N/A,#N/A,FALSE,"027-96";#N/A,#N/A,FALSE,"059-96";#N/A,#N/A,FALSE,"076-96";#N/A,#N/A,FALSE,"019-97";#N/A,#N/A,FALSE,"021-97";#N/A,#N/A,FALSE,"022-97";#N/A,#N/A,FALSE,"028-97"}</definedName>
    <definedName name="DD" hidden="1">{#N/A,#N/A,FALSE,"GERAL";#N/A,#N/A,FALSE,"012-96";#N/A,#N/A,FALSE,"018-96";#N/A,#N/A,FALSE,"027-96";#N/A,#N/A,FALSE,"059-96";#N/A,#N/A,FALSE,"076-96";#N/A,#N/A,FALSE,"019-97";#N/A,#N/A,FALSE,"021-97";#N/A,#N/A,FALSE,"022-97";#N/A,#N/A,FALSE,"028-97"}</definedName>
    <definedName name="dddd" localSheetId="0" hidden="1">{#N/A,#N/A,FALSE,"GERAL";#N/A,#N/A,FALSE,"012-96";#N/A,#N/A,FALSE,"018-96";#N/A,#N/A,FALSE,"027-96";#N/A,#N/A,FALSE,"059-96";#N/A,#N/A,FALSE,"076-96";#N/A,#N/A,FALSE,"019-97";#N/A,#N/A,FALSE,"021-97";#N/A,#N/A,FALSE,"022-97";#N/A,#N/A,FALSE,"028-97"}</definedName>
    <definedName name="dddd"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ddddd"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DDDDDDDDDDDDDDDDD"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DDEEERE" hidden="1">{"'gráf jan00'!$A$1:$AK$41"}</definedName>
    <definedName name="DEAM" hidden="1">{"'CptDifn'!$AA$32:$AG$32"}</definedName>
    <definedName name="DEAS" hidden="1">{"'CptDifn'!$AA$32:$AG$32"}</definedName>
    <definedName name="DECG" hidden="1">{"'CptDifn'!$AA$32:$AG$32"}</definedName>
    <definedName name="deees" hidden="1">{#N/A,#N/A,FALSE,"GERAL";#N/A,#N/A,FALSE,"012-96";#N/A,#N/A,FALSE,"018-96";#N/A,#N/A,FALSE,"027-96";#N/A,#N/A,FALSE,"059-96";#N/A,#N/A,FALSE,"076-96";#N/A,#N/A,FALSE,"019-97";#N/A,#N/A,FALSE,"021-97";#N/A,#N/A,FALSE,"022-97";#N/A,#N/A,FALSE,"028-97"}</definedName>
    <definedName name="DEFef" hidden="1">{#N/A,#N/A,FALSE,"GERAL";#N/A,#N/A,FALSE,"012-96";#N/A,#N/A,FALSE,"018-96";#N/A,#N/A,FALSE,"027-96";#N/A,#N/A,FALSE,"059-96";#N/A,#N/A,FALSE,"076-96";#N/A,#N/A,FALSE,"019-97";#N/A,#N/A,FALSE,"021-97";#N/A,#N/A,FALSE,"022-97";#N/A,#N/A,FALSE,"028-97"}</definedName>
    <definedName name="defwe" hidden="1">{"'Quadro'!$A$4:$BG$78"}</definedName>
    <definedName name="DEGL" hidden="1">{"'CptDifn'!$AA$32:$AG$32"}</definedName>
    <definedName name="deqwrfqe" hidden="1">{"'REL CUSTODIF'!$B$1:$H$72"}</definedName>
    <definedName name="DESCOR" hidden="1">{"'gráf jan00'!$A$1:$AK$41"}</definedName>
    <definedName name="descrisão" hidden="1">{"'gráf jan00'!$A$1:$AK$41"}</definedName>
    <definedName name="Detalhe" hidden="1">{"'Resumo'!$A$4:$N$60"}</definedName>
    <definedName name="DEVOLVER" hidden="1">{#N/A,#N/A,FALSE,"CPV";#N/A,#N/A,FALSE,"Pareto";#N/A,#N/A,FALSE,"Gráficos"}</definedName>
    <definedName name="DEWD" hidden="1">{"'REL CUSTODIF'!$B$1:$H$72"}</definedName>
    <definedName name="DFADFD" hidden="1">{"'REL CUSTODIF'!$B$1:$H$72"}</definedName>
    <definedName name="dfadsfsadf" hidden="1">{"'gráf jan00'!$A$1:$AK$41"}</definedName>
    <definedName name="dfawefe" hidden="1">{#N/A,#N/A,FALSE,"GERAL";#N/A,#N/A,FALSE,"012-96";#N/A,#N/A,FALSE,"018-96";#N/A,#N/A,FALSE,"027-96";#N/A,#N/A,FALSE,"059-96";#N/A,#N/A,FALSE,"076-96";#N/A,#N/A,FALSE,"019-97";#N/A,#N/A,FALSE,"021-97";#N/A,#N/A,FALSE,"022-97";#N/A,#N/A,FALSE,"028-97"}</definedName>
    <definedName name="dfdafdsf" hidden="1">{"'REL CUSTODIF'!$B$1:$H$72"}</definedName>
    <definedName name="dfdef" hidden="1">{#N/A,#N/A,FALSE,"GERAL";#N/A,#N/A,FALSE,"012-96";#N/A,#N/A,FALSE,"018-96";#N/A,#N/A,FALSE,"027-96";#N/A,#N/A,FALSE,"059-96";#N/A,#N/A,FALSE,"076-96";#N/A,#N/A,FALSE,"019-97";#N/A,#N/A,FALSE,"021-97";#N/A,#N/A,FALSE,"022-97";#N/A,#N/A,FALSE,"028-97"}</definedName>
    <definedName name="dfdf"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dfdfa" hidden="1">{"'REL CUSTODIF'!$B$1:$H$72"}</definedName>
    <definedName name="DFDFDF" hidden="1">{"'gráf jan00'!$A$1:$AK$41"}</definedName>
    <definedName name="DFEDFE" hidden="1">{"'REL CUSTODIF'!$B$1:$H$72"}</definedName>
    <definedName name="DFEFE" hidden="1">{"'REL CUSTODIF'!$B$1:$H$72"}</definedName>
    <definedName name="DFefEFGREQT" hidden="1">{#N/A,#N/A,FALSE,"GERAL";#N/A,#N/A,FALSE,"012-96";#N/A,#N/A,FALSE,"018-96";#N/A,#N/A,FALSE,"027-96";#N/A,#N/A,FALSE,"059-96";#N/A,#N/A,FALSE,"076-96";#N/A,#N/A,FALSE,"019-97";#N/A,#N/A,FALSE,"021-97";#N/A,#N/A,FALSE,"022-97";#N/A,#N/A,FALSE,"028-97"}</definedName>
    <definedName name="dferf" hidden="1">{"'REL CUSTODIF'!$B$1:$H$72"}</definedName>
    <definedName name="dferfewf" hidden="1">{"'REL CUSTODIF'!$B$1:$H$72"}</definedName>
    <definedName name="DFEWFEW" hidden="1">{"'REL CUSTODIF'!$B$1:$H$72"}</definedName>
    <definedName name="dffasf" hidden="1">{#N/A,#N/A,TRUE,"indice";#N/A,#N/A,TRUE,"indicadores";#N/A,#N/A,TRUE,"comentarios"}</definedName>
    <definedName name="DFGADET" hidden="1">{"'gráf jan00'!$A$1:$AK$41"}</definedName>
    <definedName name="DFGDFGD" hidden="1">{"'Quadro'!$A$4:$BG$78"}</definedName>
    <definedName name="dfhgdf" hidden="1">{#N/A,#N/A,TRUE,"indice";#N/A,#N/A,TRUE,"indicadores";#N/A,#N/A,TRUE,"comentarios"}</definedName>
    <definedName name="dfqefefqef" hidden="1">{"'REL CUSTODIF'!$B$1:$H$72"}</definedName>
    <definedName name="DFQEFEWFE" hidden="1">{"'REL CUSTODIF'!$B$1:$H$72"}</definedName>
    <definedName name="DFQFEWF" hidden="1">{"'REL CUSTODIF'!$B$1:$H$72"}</definedName>
    <definedName name="DFS" hidden="1">{"'REL CUSTODIF'!$B$1:$H$72"}</definedName>
    <definedName name="dfuil" hidden="1">{"'RR'!$A$2:$E$81"}</definedName>
    <definedName name="DGFAERFE" hidden="1">{"'REL CUSTODIF'!$B$1:$H$72"}</definedName>
    <definedName name="DILO_Ferrovia" hidden="1">{"'Quadro'!$A$4:$BG$78"}</definedName>
    <definedName name="disp1" hidden="1">{"'RR'!$A$2:$E$81"}</definedName>
    <definedName name="Displocopaul1" hidden="1">{"'gráf jan00'!$A$1:$AK$41"}</definedName>
    <definedName name="disppaul" hidden="1">{"'gráf jan00'!$A$1:$AK$41"}</definedName>
    <definedName name="Disppaul1" hidden="1">{"'gráf jan00'!$A$1:$AK$41"}</definedName>
    <definedName name="disppaul10" hidden="1">{"'gráf jan00'!$A$1:$AK$41"}</definedName>
    <definedName name="disppaul100" hidden="1">{"'gráf jan00'!$A$1:$AK$41"}</definedName>
    <definedName name="disppaul11" hidden="1">{"'Quadro'!$A$4:$BG$78"}</definedName>
    <definedName name="disppaul12" hidden="1">{"'gráf jan00'!$A$1:$AK$41"}</definedName>
    <definedName name="disppaul13" hidden="1">{"'gráf jan00'!$A$1:$AK$41"}</definedName>
    <definedName name="disppaul14" hidden="1">{"'gráf jan00'!$A$1:$AK$41"}</definedName>
    <definedName name="disppaul15" hidden="1">{"'gráf jan00'!$A$1:$AK$41"}</definedName>
    <definedName name="disppaul2" hidden="1">{"'gráf jan00'!$A$1:$AK$41"}</definedName>
    <definedName name="disppaul4" hidden="1">{"'gráf jan00'!$A$1:$AK$41"}</definedName>
    <definedName name="DispTelGASAG" hidden="1">{"'teste'!$B$2:$R$49"}</definedName>
    <definedName name="ditf" hidden="1">{"'CptDifn'!$AA$32:$AG$32"}</definedName>
    <definedName name="dksojd" hidden="1">{#N/A,#N/A,FALSE,"PCOL"}</definedName>
    <definedName name="dng" hidden="1">{#N/A,#N/A,FALSE,"GERAL";#N/A,#N/A,FALSE,"012-96";#N/A,#N/A,FALSE,"018-96";#N/A,#N/A,FALSE,"027-96";#N/A,#N/A,FALSE,"059-96";#N/A,#N/A,FALSE,"076-96";#N/A,#N/A,FALSE,"019-97";#N/A,#N/A,FALSE,"021-97";#N/A,#N/A,FALSE,"022-97";#N/A,#N/A,FALSE,"028-97"}</definedName>
    <definedName name="DOIS" hidden="1">{#N/A,#N/A,FALSE,"GERAL";#N/A,#N/A,FALSE,"012-96";#N/A,#N/A,FALSE,"018-96";#N/A,#N/A,FALSE,"027-96";#N/A,#N/A,FALSE,"059-96";#N/A,#N/A,FALSE,"076-96";#N/A,#N/A,FALSE,"019-97";#N/A,#N/A,FALSE,"021-97";#N/A,#N/A,FALSE,"022-97";#N/A,#N/A,FALSE,"028-97"}</definedName>
    <definedName name="DRENAGEM" hidden="1">{#N/A,#N/A,FALSE,"GERAL";#N/A,#N/A,FALSE,"012-96";#N/A,#N/A,FALSE,"018-96";#N/A,#N/A,FALSE,"027-96";#N/A,#N/A,FALSE,"059-96";#N/A,#N/A,FALSE,"076-96";#N/A,#N/A,FALSE,"019-97";#N/A,#N/A,FALSE,"021-97";#N/A,#N/A,FALSE,"022-97";#N/A,#N/A,FALSE,"028-97"}</definedName>
    <definedName name="DS" hidden="1">{"'Quadro'!$A$4:$BG$78"}</definedName>
    <definedName name="DSAD" hidden="1">{"'REL CUSTODIF'!$B$1:$H$72"}</definedName>
    <definedName name="dsadswd" hidden="1">{"'REL CUSTODIF'!$B$1:$H$72"}</definedName>
    <definedName name="dsda" hidden="1">{#N/A,#N/A,TRUE,"indice";#N/A,#N/A,TRUE,"indicadores";#N/A,#N/A,TRUE,"comentarios"}</definedName>
    <definedName name="DSFASDFDasf" hidden="1">{"'REL CUSTODIF'!$B$1:$H$72"}</definedName>
    <definedName name="dsfed" hidden="1">{"'REL CUSTODIF'!$B$1:$H$72"}</definedName>
    <definedName name="dsipaul" hidden="1">{"'gráf jan00'!$A$1:$AK$41"}</definedName>
    <definedName name="dssssss" hidden="1">{"'gráf jan00'!$A$1:$AK$41"}</definedName>
    <definedName name="DV" hidden="1">{"'Quadro'!$A$4:$BG$78"}</definedName>
    <definedName name="DVASDV" hidden="1">{"'REL CUSTODIF'!$B$1:$H$72"}</definedName>
    <definedName name="DVGFAZD" hidden="1">{"'REL CUSTODIF'!$B$1:$H$72"}</definedName>
    <definedName name="dvmdknvkndk" hidden="1">{#N/A,#N/A,FALSE,"GERAL";#N/A,#N/A,FALSE,"012-96";#N/A,#N/A,FALSE,"018-96";#N/A,#N/A,FALSE,"027-96";#N/A,#N/A,FALSE,"059-96";#N/A,#N/A,FALSE,"076-96";#N/A,#N/A,FALSE,"019-97";#N/A,#N/A,FALSE,"021-97";#N/A,#N/A,FALSE,"022-97";#N/A,#N/A,FALSE,"028-97"}</definedName>
    <definedName name="dwd" hidden="1">{"'Quadro'!$A$4:$BG$78"}</definedName>
    <definedName name="dwsdad" hidden="1">{"'ReceitaLiquidaME'!$AA$25:$AN$32"}</definedName>
    <definedName name="dxdxdx" hidden="1">{"'RR'!$A$2:$E$81"}</definedName>
    <definedName name="e" hidden="1">{#N/A,#N/A,FALSE,"TEC-01";#N/A,#N/A,FALSE,"TEC - 02";#N/A,#N/A,FALSE,"TEC - 03";#N/A,#N/A,FALSE,"TEC - 04";#N/A,#N/A,FALSE,"TEC-07";#N/A,#N/A,FALSE,"TEC-08";#N/A,#N/A,FALSE,"TEC - 09A";#N/A,#N/A,FALSE,"TEC - 09B";#N/A,#N/A,FALSE,"TEC - 09C";#N/A,#N/A,FALSE,"TEC - 10";#N/A,#N/A,FALSE,"TEC-11"}</definedName>
    <definedName name="ea" hidden="1">{#N/A,#N/A,FALSE,"TEC-01";#N/A,#N/A,FALSE,"TEC - 02";#N/A,#N/A,FALSE,"TEC - 03";#N/A,#N/A,FALSE,"TEC - 04";#N/A,#N/A,FALSE,"TEC-07";#N/A,#N/A,FALSE,"TEC-08";#N/A,#N/A,FALSE,"TEC - 09A";#N/A,#N/A,FALSE,"TEC - 09B";#N/A,#N/A,FALSE,"TEC - 09C";#N/A,#N/A,FALSE,"TEC - 10";#N/A,#N/A,FALSE,"TEC-11"}</definedName>
    <definedName name="EDFREWRF" hidden="1">{"'REL CUSTODIF'!$B$1:$H$72"}</definedName>
    <definedName name="ee"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EEE" hidden="1">{"'gráf jan00'!$A$1:$AK$41"}</definedName>
    <definedName name="eesdd" hidden="1">{#N/A,#N/A,TRUE,"indice";#N/A,#N/A,TRUE,"indicadores";#N/A,#N/A,TRUE,"comentarios"}</definedName>
    <definedName name="EFC" hidden="1">{"'RR'!$A$2:$E$81"}</definedName>
    <definedName name="EFCEletron" hidden="1">{"'RR'!$A$2:$E$81"}</definedName>
    <definedName name="EFEQF" hidden="1">{"'REL CUSTODIF'!$B$1:$H$72"}</definedName>
    <definedName name="EFVM" hidden="1">{"'RR'!$A$2:$E$81"}</definedName>
    <definedName name="EFVM2" hidden="1">{"'RR'!$A$2:$E$81"}</definedName>
    <definedName name="EFVM3" hidden="1">{"'RR'!$A$2:$E$81"}</definedName>
    <definedName name="EJI" hidden="1">{"'Quadro'!$A$4:$BG$78"}</definedName>
    <definedName name="Elton" hidden="1">{"'RR'!$A$2:$E$81"}</definedName>
    <definedName name="Energia" hidden="1">{#N/A,#N/A,FALSE,"Suprimentos";#N/A,#N/A,FALSE,"Medicina e Segurança";#N/A,#N/A,FALSE,"Administração";#N/A,#N/A,FALSE,"Meio Ambiente";#N/A,#N/A,FALSE,"Operação (Mina)";#N/A,#N/A,FALSE,"Operação (Porto)"}</definedName>
    <definedName name="erb" hidden="1">{"'Quadro'!$A$4:$BG$78"}</definedName>
    <definedName name="erc" hidden="1">{"'RR'!$A$2:$E$81"}</definedName>
    <definedName name="ERDQWD" hidden="1">{"'REL CUSTODIF'!$B$1:$H$72"}</definedName>
    <definedName name="erika" hidden="1">{#N/A,#N/A,FALSE,"ET-CAPA";#N/A,#N/A,FALSE,"ET-PAG1";#N/A,#N/A,FALSE,"ET-PAG2";#N/A,#N/A,FALSE,"ET-PAG3";#N/A,#N/A,FALSE,"ET-PAG4";#N/A,#N/A,FALSE,"ET-PAG5"}</definedName>
    <definedName name="ERQ4TRWER" hidden="1">{"'REL CUSTODIF'!$B$1:$H$72"}</definedName>
    <definedName name="ERQEER" hidden="1">{"'REL CUSTODIF'!$B$1:$H$72"}</definedName>
    <definedName name="ERRO" hidden="1">{"'CptDifn'!$AA$32:$AG$32"}</definedName>
    <definedName name="ERRO1" hidden="1">{"'CptDifn'!$AA$32:$AG$32"}</definedName>
    <definedName name="ERRO3" hidden="1">{"'CptDifn'!$AA$32:$AG$32"}</definedName>
    <definedName name="ERRO4" hidden="1">{"'CptDifn'!$AA$32:$AG$32"}</definedName>
    <definedName name="ERRO5" hidden="1">{"'CptDifn'!$AA$32:$AG$32"}</definedName>
    <definedName name="ERRO6" hidden="1">{"'CptDifn'!$AA$32:$AG$32"}</definedName>
    <definedName name="ERRRRRRRRRRRRRRRO" hidden="1">{"'CptDifn'!$AA$32:$AG$32"}</definedName>
    <definedName name="ERWGF2R3GF" hidden="1">{"'REL CUSTODIF'!$B$1:$H$72"}</definedName>
    <definedName name="ESPESSAMENTO" localSheetId="0" hidden="1">{#N/A,#N/A,FALSE,"GERAL";#N/A,#N/A,FALSE,"012-96";#N/A,#N/A,FALSE,"018-96";#N/A,#N/A,FALSE,"027-96";#N/A,#N/A,FALSE,"059-96";#N/A,#N/A,FALSE,"076-96";#N/A,#N/A,FALSE,"019-97";#N/A,#N/A,FALSE,"021-97";#N/A,#N/A,FALSE,"022-97";#N/A,#N/A,FALSE,"028-97"}</definedName>
    <definedName name="ESPESSAMENTO" hidden="1">{#N/A,#N/A,FALSE,"GERAL";#N/A,#N/A,FALSE,"012-96";#N/A,#N/A,FALSE,"018-96";#N/A,#N/A,FALSE,"027-96";#N/A,#N/A,FALSE,"059-96";#N/A,#N/A,FALSE,"076-96";#N/A,#N/A,FALSE,"019-97";#N/A,#N/A,FALSE,"021-97";#N/A,#N/A,FALSE,"022-97";#N/A,#N/A,FALSE,"028-97"}</definedName>
    <definedName name="est_B" hidden="1">{#N/A,#N/A,FALSE,"PCOL"}</definedName>
    <definedName name="ESTRADA" hidden="1">{#N/A,#N/A,FALSE,"GERAL";#N/A,#N/A,FALSE,"012-96";#N/A,#N/A,FALSE,"018-96";#N/A,#N/A,FALSE,"027-96";#N/A,#N/A,FALSE,"059-96";#N/A,#N/A,FALSE,"076-96";#N/A,#N/A,FALSE,"019-97";#N/A,#N/A,FALSE,"021-97";#N/A,#N/A,FALSE,"022-97";#N/A,#N/A,FALSE,"028-97"}</definedName>
    <definedName name="eU" hidden="1">{#N/A,#N/A,FALSE,"PCOL"}</definedName>
    <definedName name="ExecPess"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expansao" hidden="1">{"'CptDifn'!$AA$32:$AG$32"}</definedName>
    <definedName name="EXPLOSIVOS" localSheetId="0" hidden="1">{#N/A,#N/A,FALSE,"GERAL";#N/A,#N/A,FALSE,"012-96";#N/A,#N/A,FALSE,"018-96";#N/A,#N/A,FALSE,"027-96";#N/A,#N/A,FALSE,"059-96";#N/A,#N/A,FALSE,"076-96";#N/A,#N/A,FALSE,"019-97";#N/A,#N/A,FALSE,"021-97";#N/A,#N/A,FALSE,"022-97";#N/A,#N/A,FALSE,"028-97"}</definedName>
    <definedName name="EXPLOSIVOS" hidden="1">{#N/A,#N/A,FALSE,"GERAL";#N/A,#N/A,FALSE,"012-96";#N/A,#N/A,FALSE,"018-96";#N/A,#N/A,FALSE,"027-96";#N/A,#N/A,FALSE,"059-96";#N/A,#N/A,FALSE,"076-96";#N/A,#N/A,FALSE,"019-97";#N/A,#N/A,FALSE,"021-97";#N/A,#N/A,FALSE,"022-97";#N/A,#N/A,FALSE,"028-97"}</definedName>
    <definedName name="f" hidden="1">{#N/A,#N/A,FALSE,"GERAL";#N/A,#N/A,FALSE,"012-96";#N/A,#N/A,FALSE,"018-96";#N/A,#N/A,FALSE,"027-96";#N/A,#N/A,FALSE,"059-96";#N/A,#N/A,FALSE,"076-96";#N/A,#N/A,FALSE,"019-97";#N/A,#N/A,FALSE,"021-97";#N/A,#N/A,FALSE,"022-97";#N/A,#N/A,FALSE,"028-97"}</definedName>
    <definedName name="fabricia"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faca" hidden="1">{#N/A,#N/A,FALSE,"GERAL";#N/A,#N/A,FALSE,"012-96";#N/A,#N/A,FALSE,"018-96";#N/A,#N/A,FALSE,"027-96";#N/A,#N/A,FALSE,"059-96";#N/A,#N/A,FALSE,"076-96";#N/A,#N/A,FALSE,"019-97";#N/A,#N/A,FALSE,"021-97";#N/A,#N/A,FALSE,"022-97";#N/A,#N/A,FALSE,"028-97"}</definedName>
    <definedName name="FADSFDS" hidden="1">{"'REL CUSTODIF'!$B$1:$H$72"}</definedName>
    <definedName name="FAEFRQERF" hidden="1">{#N/A,#N/A,FALSE,"GERAL";#N/A,#N/A,FALSE,"012-96";#N/A,#N/A,FALSE,"018-96";#N/A,#N/A,FALSE,"027-96";#N/A,#N/A,FALSE,"059-96";#N/A,#N/A,FALSE,"076-96";#N/A,#N/A,FALSE,"019-97";#N/A,#N/A,FALSE,"021-97";#N/A,#N/A,FALSE,"022-97";#N/A,#N/A,FALSE,"028-97"}</definedName>
    <definedName name="FAROL_2" hidden="1">{"'gráf jan00'!$A$1:$AK$41"}</definedName>
    <definedName name="fasdfasfdadsf" hidden="1">{"'gráf jan00'!$A$1:$AK$41"}</definedName>
    <definedName name="fd" hidden="1">{"'Quadro'!$A$4:$BG$78"}</definedName>
    <definedName name="FDeded" hidden="1">{"'REL CUSTODIF'!$B$1:$H$72"}</definedName>
    <definedName name="FDEFDSF" hidden="1">{"'REL CUSTODIF'!$B$1:$H$72"}</definedName>
    <definedName name="FDFDFDFDF" hidden="1">{"'gráf jan00'!$A$1:$AK$41"}</definedName>
    <definedName name="fdfng" hidden="1">{#N/A,#N/A,FALSE,"GERAL";#N/A,#N/A,FALSE,"012-96";#N/A,#N/A,FALSE,"018-96";#N/A,#N/A,FALSE,"027-96";#N/A,#N/A,FALSE,"059-96";#N/A,#N/A,FALSE,"076-96";#N/A,#N/A,FALSE,"019-97";#N/A,#N/A,FALSE,"021-97";#N/A,#N/A,FALSE,"022-97";#N/A,#N/A,FALSE,"028-97"}</definedName>
    <definedName name="fds" hidden="1">{"'gráf jan00'!$A$1:$AK$41"}</definedName>
    <definedName name="FDSAFDSAF" hidden="1">{#N/A,#N/A,FALSE,"GERAL";#N/A,#N/A,FALSE,"012-96";#N/A,#N/A,FALSE,"018-96";#N/A,#N/A,FALSE,"027-96";#N/A,#N/A,FALSE,"059-96";#N/A,#N/A,FALSE,"076-96";#N/A,#N/A,FALSE,"019-97";#N/A,#N/A,FALSE,"021-97";#N/A,#N/A,FALSE,"022-97";#N/A,#N/A,FALSE,"028-97"}</definedName>
    <definedName name="FdsfdF" hidden="1">{"'REL CUSTODIF'!$B$1:$H$72"}</definedName>
    <definedName name="FDSFSD" hidden="1">{"'gráf jan00'!$A$1:$AK$41"}</definedName>
    <definedName name="FEFRQEFEFD" hidden="1">{"'REL CUSTODIF'!$B$1:$H$72"}</definedName>
    <definedName name="fegregtrtg"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Fer"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fernanda" hidden="1">{#N/A,#N/A,FALSE,"GERAL";#N/A,#N/A,FALSE,"012-96";#N/A,#N/A,FALSE,"018-96";#N/A,#N/A,FALSE,"027-96";#N/A,#N/A,FALSE,"059-96";#N/A,#N/A,FALSE,"076-96";#N/A,#N/A,FALSE,"019-97";#N/A,#N/A,FALSE,"021-97";#N/A,#N/A,FALSE,"022-97";#N/A,#N/A,FALSE,"028-97"}</definedName>
    <definedName name="Fevereiro" hidden="1">{"'Quadro'!$A$4:$BG$78"}</definedName>
    <definedName name="ff" hidden="1">{"'gráf jan00'!$A$1:$AK$41"}</definedName>
    <definedName name="fff" hidden="1">{#N/A,#N/A,FALSE,"TEC-01";#N/A,#N/A,FALSE,"TEC - 02";#N/A,#N/A,FALSE,"TEC - 03";#N/A,#N/A,FALSE,"TEC - 04";#N/A,#N/A,FALSE,"TEC-07";#N/A,#N/A,FALSE,"TEC-08";#N/A,#N/A,FALSE,"TEC - 09A";#N/A,#N/A,FALSE,"TEC - 09B";#N/A,#N/A,FALSE,"TEC - 09C";#N/A,#N/A,FALSE,"TEC - 10";#N/A,#N/A,FALSE,"TEC-11"}</definedName>
    <definedName name="FFVP" hidden="1">{"'gráf jan00'!$A$1:$AK$41"}</definedName>
    <definedName name="FFVP1" hidden="1">{"'gráf jan00'!$A$1:$AK$41"}</definedName>
    <definedName name="FFVP10" hidden="1">{"'gráf jan00'!$A$1:$AK$41"}</definedName>
    <definedName name="FFVP11" hidden="1">{"'gráf jan00'!$A$1:$AK$41"}</definedName>
    <definedName name="FFVP12" hidden="1">{"'gráf jan00'!$A$1:$AK$41"}</definedName>
    <definedName name="FFVP13" hidden="1">{"'gráf jan00'!$A$1:$AK$41"}</definedName>
    <definedName name="FFVP14" hidden="1">{"'gráf jan00'!$A$1:$AK$41"}</definedName>
    <definedName name="FFVP15" hidden="1">{"'gráf jan00'!$A$1:$AK$41"}</definedName>
    <definedName name="FFVP16" hidden="1">{"'gráf jan00'!$A$1:$AK$41"}</definedName>
    <definedName name="FFVP2" hidden="1">{"'gráf jan00'!$A$1:$AK$41"}</definedName>
    <definedName name="FFVP3" hidden="1">{"'gráf jan00'!$A$1:$AK$41"}</definedName>
    <definedName name="FFVP4" hidden="1">{"'gráf jan00'!$A$1:$AK$41"}</definedName>
    <definedName name="ffvp43" hidden="1">{"'gráf jan00'!$A$1:$AK$41"}</definedName>
    <definedName name="FFVP5" hidden="1">{"'gráf jan00'!$A$1:$AK$41"}</definedName>
    <definedName name="FFVP6" hidden="1">{"'gráf jan00'!$A$1:$AK$41"}</definedName>
    <definedName name="FFVP7" hidden="1">{"'gráf jan00'!$A$1:$AK$41"}</definedName>
    <definedName name="FFVP8" hidden="1">{"'gráf jan00'!$A$1:$AK$41"}</definedName>
    <definedName name="FFVP9" hidden="1">{"'gráf jan00'!$A$1:$AK$41"}</definedName>
    <definedName name="fgfsgrgq" hidden="1">{"'REL CUSTODIF'!$B$1:$H$72"}</definedName>
    <definedName name="fgs" hidden="1">{"'gráf jan00'!$A$1:$AK$41"}</definedName>
    <definedName name="fgwgA" hidden="1">{#N/A,#N/A,FALSE,"GERAL";#N/A,#N/A,FALSE,"012-96";#N/A,#N/A,FALSE,"018-96";#N/A,#N/A,FALSE,"027-96";#N/A,#N/A,FALSE,"059-96";#N/A,#N/A,FALSE,"076-96";#N/A,#N/A,FALSE,"019-97";#N/A,#N/A,FALSE,"021-97";#N/A,#N/A,FALSE,"022-97";#N/A,#N/A,FALSE,"028-97"}</definedName>
    <definedName name="FHDZ" hidden="1">{"'gráf jan00'!$A$1:$AK$41"}</definedName>
    <definedName name="filtragem" localSheetId="0" hidden="1">{#N/A,#N/A,FALSE,"GERAL";#N/A,#N/A,FALSE,"012-96";#N/A,#N/A,FALSE,"018-96";#N/A,#N/A,FALSE,"027-96";#N/A,#N/A,FALSE,"059-96";#N/A,#N/A,FALSE,"076-96";#N/A,#N/A,FALSE,"019-97";#N/A,#N/A,FALSE,"021-97";#N/A,#N/A,FALSE,"022-97";#N/A,#N/A,FALSE,"028-97"}</definedName>
    <definedName name="filtragem" hidden="1">{#N/A,#N/A,FALSE,"GERAL";#N/A,#N/A,FALSE,"012-96";#N/A,#N/A,FALSE,"018-96";#N/A,#N/A,FALSE,"027-96";#N/A,#N/A,FALSE,"059-96";#N/A,#N/A,FALSE,"076-96";#N/A,#N/A,FALSE,"019-97";#N/A,#N/A,FALSE,"021-97";#N/A,#N/A,FALSE,"022-97";#N/A,#N/A,FALSE,"028-97"}</definedName>
    <definedName name="FILTRO" hidden="1">{#N/A,#N/A,FALSE,"GERAL";#N/A,#N/A,FALSE,"012-96";#N/A,#N/A,FALSE,"018-96";#N/A,#N/A,FALSE,"027-96";#N/A,#N/A,FALSE,"059-96";#N/A,#N/A,FALSE,"076-96";#N/A,#N/A,FALSE,"019-97";#N/A,#N/A,FALSE,"021-97";#N/A,#N/A,FALSE,"022-97";#N/A,#N/A,FALSE,"028-97"}</definedName>
    <definedName name="FJASLJFIL" hidden="1">{"'gráf jan00'!$A$1:$AK$41"}</definedName>
    <definedName name="fjrjrjrtj"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FLOT" localSheetId="0" hidden="1">{#N/A,#N/A,FALSE,"GERAL";#N/A,#N/A,FALSE,"012-96";#N/A,#N/A,FALSE,"018-96";#N/A,#N/A,FALSE,"027-96";#N/A,#N/A,FALSE,"059-96";#N/A,#N/A,FALSE,"076-96";#N/A,#N/A,FALSE,"019-97";#N/A,#N/A,FALSE,"021-97";#N/A,#N/A,FALSE,"022-97";#N/A,#N/A,FALSE,"028-97"}</definedName>
    <definedName name="FLOT" hidden="1">{#N/A,#N/A,FALSE,"GERAL";#N/A,#N/A,FALSE,"012-96";#N/A,#N/A,FALSE,"018-96";#N/A,#N/A,FALSE,"027-96";#N/A,#N/A,FALSE,"059-96";#N/A,#N/A,FALSE,"076-96";#N/A,#N/A,FALSE,"019-97";#N/A,#N/A,FALSE,"021-97";#N/A,#N/A,FALSE,"022-97";#N/A,#N/A,FALSE,"028-97"}</definedName>
    <definedName name="FolResumoFlorestas" hidden="1">{"'REL CUSTODIF'!$B$1:$H$72"}</definedName>
    <definedName name="FQEWRFEWF" hidden="1">{"'REL CUSTODIF'!$B$1:$H$72"}</definedName>
    <definedName name="FRWAESR" hidden="1">{"'Quadro'!$A$4:$BG$78"}</definedName>
    <definedName name="FRWER" hidden="1">{"'REL CUSTODIF'!$B$1:$H$72"}</definedName>
    <definedName name="FSA" hidden="1">{"'Quadro'!$A$4:$BG$78"}</definedName>
    <definedName name="fsadfasd"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fsd" hidden="1">{"'gráf jan00'!$A$1:$AK$41"}</definedName>
    <definedName name="FSDF" hidden="1">{"'Quadro'!$A$4:$BG$78"}</definedName>
    <definedName name="FSDS" hidden="1">{"'gráf jan00'!$A$1:$AK$41"}</definedName>
    <definedName name="FTU" hidden="1">{"'Quadro'!$A$4:$BG$78"}</definedName>
    <definedName name="GAMAN" hidden="1">{#N/A,#N/A,FALSE,"PCOL"}</definedName>
    <definedName name="GAMAR" hidden="1">{"'CptDifn'!$AA$32:$AG$32"}</definedName>
    <definedName name="GAMAR1" hidden="1">{"'CptDifn'!$AA$32:$AG$32"}</definedName>
    <definedName name="gamen" hidden="1">{#N/A,#N/A,FALSE,"PCOL"}</definedName>
    <definedName name="garug01" hidden="1">{"'REL CUSTODIF'!$B$1:$H$72"}</definedName>
    <definedName name="garug1" hidden="1">{#N/A,#N/A,FALSE,"PCOL"}</definedName>
    <definedName name="GASEG" hidden="1">{"'Quadro'!$A$4:$BG$78"}</definedName>
    <definedName name="GAVTG" hidden="1">{"'gráf jan00'!$A$1:$AK$41"}</definedName>
    <definedName name="gdf" hidden="1">{#N/A,#N/A,FALSE,"GERAL";#N/A,#N/A,FALSE,"012-96";#N/A,#N/A,FALSE,"018-96";#N/A,#N/A,FALSE,"027-96";#N/A,#N/A,FALSE,"059-96";#N/A,#N/A,FALSE,"076-96";#N/A,#N/A,FALSE,"019-97";#N/A,#N/A,FALSE,"021-97";#N/A,#N/A,FALSE,"022-97";#N/A,#N/A,FALSE,"028-97"}</definedName>
    <definedName name="gdfg" hidden="1">{"'gráf jan00'!$A$1:$AK$41"}</definedName>
    <definedName name="GDS" hidden="1">{"'Quadro'!$A$4:$BG$78"}</definedName>
    <definedName name="gemin" hidden="1">{#N/A,#N/A,FALSE,"PCOL"}</definedName>
    <definedName name="Gemop" hidden="1">{#N/A,#N/A,TRUE,"indice";#N/A,#N/A,TRUE,"indicadores";#N/A,#N/A,TRUE,"comentarios"}</definedName>
    <definedName name="GERMINAÇÃO" hidden="1">{#N/A,#N/A,FALSE,"GERAL";#N/A,#N/A,FALSE,"012-96";#N/A,#N/A,FALSE,"018-96";#N/A,#N/A,FALSE,"027-96";#N/A,#N/A,FALSE,"059-96";#N/A,#N/A,FALSE,"076-96";#N/A,#N/A,FALSE,"019-97";#N/A,#N/A,FALSE,"021-97";#N/A,#N/A,FALSE,"022-97";#N/A,#N/A,FALSE,"028-97"}</definedName>
    <definedName name="Gerrot" hidden="1">{"'Quadro'!$A$4:$BG$78"}</definedName>
    <definedName name="getep" hidden="1">{#N/A,#N/A,TRUE,"indice";#N/A,#N/A,TRUE,"indicadores";#N/A,#N/A,TRUE,"comentarios"}</definedName>
    <definedName name="GFD" hidden="1">{"'gráf jan00'!$A$1:$AK$41"}</definedName>
    <definedName name="gfdddf" hidden="1">{"'CptDifn'!$AA$32:$AG$32"}</definedName>
    <definedName name="gg"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ggggggggggggg" hidden="1">{"'Quadro'!$A$4:$BG$78"}</definedName>
    <definedName name="gggggggggggggggggggggggg" hidden="1">{#N/A,#N/A,FALSE,"TEC-01";#N/A,#N/A,FALSE,"TEC - 02";#N/A,#N/A,FALSE,"TEC - 03";#N/A,#N/A,FALSE,"TEC - 04";#N/A,#N/A,FALSE,"TEC-07";#N/A,#N/A,FALSE,"TEC-08";#N/A,#N/A,FALSE,"TEC - 09A";#N/A,#N/A,FALSE,"TEC - 09B";#N/A,#N/A,FALSE,"TEC - 09C";#N/A,#N/A,FALSE,"TEC - 10";#N/A,#N/A,FALSE,"TEC-11"}</definedName>
    <definedName name="ggggggggggggggggggggggggg" hidden="1">{#N/A,#N/A,FALSE,"TEC-01";#N/A,#N/A,FALSE,"TEC - 02";#N/A,#N/A,FALSE,"TEC - 03";#N/A,#N/A,FALSE,"TEC - 04";#N/A,#N/A,FALSE,"TEC-07";#N/A,#N/A,FALSE,"TEC-08";#N/A,#N/A,FALSE,"TEC - 09A";#N/A,#N/A,FALSE,"TEC - 09B";#N/A,#N/A,FALSE,"TEC - 09C";#N/A,#N/A,FALSE,"TEC - 10";#N/A,#N/A,FALSE,"TEC-11"}</definedName>
    <definedName name="ggggggggggggggggggggggggggg" hidden="1">{#N/A,#N/A,FALSE,"TEC-01";#N/A,#N/A,FALSE,"TEC - 02";#N/A,#N/A,FALSE,"TEC - 03";#N/A,#N/A,FALSE,"TEC - 04";#N/A,#N/A,FALSE,"TEC-07";#N/A,#N/A,FALSE,"TEC-08";#N/A,#N/A,FALSE,"TEC - 09A";#N/A,#N/A,FALSE,"TEC - 09B";#N/A,#N/A,FALSE,"TEC - 09C";#N/A,#N/A,FALSE,"TEC - 10";#N/A,#N/A,FALSE,"TEC-11"}</definedName>
    <definedName name="ggtggg" hidden="1">{#N/A,#N/A,FALSE,"DEF1";#N/A,#N/A,FALSE,"DEF2";#N/A,#N/A,FALSE,"DEF3"}</definedName>
    <definedName name="GHFG" hidden="1">{"'RR'!$A$2:$E$81"}</definedName>
    <definedName name="GHJJKGK" hidden="1">{"'gráf jan00'!$A$1:$AK$41"}</definedName>
    <definedName name="gjgh" hidden="1">{#N/A,#N/A,FALSE,"GERAL";#N/A,#N/A,FALSE,"012-96";#N/A,#N/A,FALSE,"018-96";#N/A,#N/A,FALSE,"027-96";#N/A,#N/A,FALSE,"059-96";#N/A,#N/A,FALSE,"076-96";#N/A,#N/A,FALSE,"019-97";#N/A,#N/A,FALSE,"021-97";#N/A,#N/A,FALSE,"022-97";#N/A,#N/A,FALSE,"028-97"}</definedName>
    <definedName name="GRAF_10A" hidden="1">{#N/A,#N/A,FALSE,"SITUAÇÃO DIÁRIA ";#N/A,#N/A,FALSE,"7 à 7"}</definedName>
    <definedName name="GRAF_11A" hidden="1">{#N/A,#N/A,FALSE,"SITUAÇÃO DIÁRIA ";#N/A,#N/A,FALSE,"7 à 7"}</definedName>
    <definedName name="GRAF_12A" hidden="1">{#N/A,#N/A,FALSE,"SITUAÇÃO DIÁRIA ";#N/A,#N/A,FALSE,"7 à 7"}</definedName>
    <definedName name="GRAF_21" hidden="1">{#N/A,#N/A,FALSE,"SITUAÇÃO DIÁRIA ";#N/A,#N/A,FALSE,"7 à 7"}</definedName>
    <definedName name="graf_3" hidden="1">{#N/A,#N/A,FALSE,"SITUAÇÃO DIÁRIA ";#N/A,#N/A,FALSE,"7 à 7"}</definedName>
    <definedName name="GráficoICD" hidden="1">#N/A</definedName>
    <definedName name="grtgert" hidden="1">{#N/A,#N/A,TRUE,"indice";#N/A,#N/A,TRUE,"indicadores";#N/A,#N/A,TRUE,"comentarios"}</definedName>
    <definedName name="GTFHST" hidden="1">{#N/A,#N/A,FALSE,"GERAL";#N/A,#N/A,FALSE,"012-96";#N/A,#N/A,FALSE,"018-96";#N/A,#N/A,FALSE,"027-96";#N/A,#N/A,FALSE,"059-96";#N/A,#N/A,FALSE,"076-96";#N/A,#N/A,FALSE,"019-97";#N/A,#N/A,FALSE,"021-97";#N/A,#N/A,FALSE,"022-97";#N/A,#N/A,FALSE,"028-97"}</definedName>
    <definedName name="Gupob01Real" hidden="1">{#N/A,#N/A,FALSE,"Suprimentos";#N/A,#N/A,FALSE,"Medicina e Segurança";#N/A,#N/A,FALSE,"Administração";#N/A,#N/A,FALSE,"Meio Ambiente";#N/A,#N/A,FALSE,"Operação (Mina)";#N/A,#N/A,FALSE,"Operação (Porto)"}</definedName>
    <definedName name="Gurjão" hidden="1">{"'gráf jan00'!$A$1:$AK$41"}</definedName>
    <definedName name="gvgg"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hbfghfgh"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HDHDGD" hidden="1">{#N/A,#N/A,FALSE,"GERAL";#N/A,#N/A,FALSE,"012-96";#N/A,#N/A,FALSE,"018-96";#N/A,#N/A,FALSE,"027-96";#N/A,#N/A,FALSE,"059-96";#N/A,#N/A,FALSE,"076-96";#N/A,#N/A,FALSE,"019-97";#N/A,#N/A,FALSE,"021-97";#N/A,#N/A,FALSE,"022-97";#N/A,#N/A,FALSE,"028-97"}</definedName>
    <definedName name="HEQ" hidden="1">{#N/A,#N/A,FALSE,"GERAL";#N/A,#N/A,FALSE,"012-96";#N/A,#N/A,FALSE,"018-96";#N/A,#N/A,FALSE,"027-96";#N/A,#N/A,FALSE,"059-96";#N/A,#N/A,FALSE,"076-96";#N/A,#N/A,FALSE,"019-97";#N/A,#N/A,FALSE,"021-97";#N/A,#N/A,FALSE,"022-97";#N/A,#N/A,FALSE,"028-97"}</definedName>
    <definedName name="hfs" hidden="1">{"'gráf jan00'!$A$1:$AK$41"}</definedName>
    <definedName name="HGH" hidden="1">{"'gráf jan00'!$A$1:$AK$41"}</definedName>
    <definedName name="HGHJ" hidden="1">{"'Quadro'!$A$4:$BG$78"}</definedName>
    <definedName name="hhgfgfg"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hhoo" hidden="1">{#N/A,#N/A,FALSE,"TEC-01";#N/A,#N/A,FALSE,"TEC - 02";#N/A,#N/A,FALSE,"TEC - 03";#N/A,#N/A,FALSE,"TEC - 04";#N/A,#N/A,FALSE,"TEC-07";#N/A,#N/A,FALSE,"TEC-08";#N/A,#N/A,FALSE,"TEC - 09A";#N/A,#N/A,FALSE,"TEC - 09B";#N/A,#N/A,FALSE,"TEC - 09C";#N/A,#N/A,FALSE,"TEC - 10";#N/A,#N/A,FALSE,"TEC-11"}</definedName>
    <definedName name="hidrosemeadura" hidden="1">{#N/A,#N/A,FALSE,"GERAL";#N/A,#N/A,FALSE,"012-96";#N/A,#N/A,FALSE,"018-96";#N/A,#N/A,FALSE,"027-96";#N/A,#N/A,FALSE,"059-96";#N/A,#N/A,FALSE,"076-96";#N/A,#N/A,FALSE,"019-97";#N/A,#N/A,FALSE,"021-97";#N/A,#N/A,FALSE,"022-97";#N/A,#N/A,FALSE,"028-97"}</definedName>
    <definedName name="HISPANOBRAS"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HISTO" hidden="1">{#N/A,#N/A,FALSE,"GERAL";#N/A,#N/A,FALSE,"012-96";#N/A,#N/A,FALSE,"018-96";#N/A,#N/A,FALSE,"027-96";#N/A,#N/A,FALSE,"059-96";#N/A,#N/A,FALSE,"076-96";#N/A,#N/A,FALSE,"019-97";#N/A,#N/A,FALSE,"021-97";#N/A,#N/A,FALSE,"022-97";#N/A,#N/A,FALSE,"028-97"}</definedName>
    <definedName name="HJF" hidden="1">{"'RR'!$A$2:$E$81"}</definedName>
    <definedName name="hlç" hidden="1">{"'Quadro'!$A$4:$BG$78"}</definedName>
    <definedName name="hrfghre"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htmal_control3" hidden="1">{"'RR'!$A$2:$E$81"}</definedName>
    <definedName name="htmal_control4" hidden="1">{"'RR'!$A$2:$E$81"}</definedName>
    <definedName name="htmal_control5" hidden="1">{"'RR'!$A$2:$E$81"}</definedName>
    <definedName name="htmal_control6" hidden="1">{"'RR'!$A$2:$E$81"}</definedName>
    <definedName name="htmal_control7" hidden="1">{"'RR'!$A$2:$E$81"}</definedName>
    <definedName name="htmal_control8" hidden="1">{"'RR'!$A$2:$E$81"}</definedName>
    <definedName name="HTML_C" hidden="1">{"'RR'!$A$2:$E$81"}</definedName>
    <definedName name="HTML_CodePage" hidden="1">1252</definedName>
    <definedName name="HTML_Control" hidden="1">{"'IndicadoresRH'!$AA$50:$AP$67"}</definedName>
    <definedName name="HTML_Control_2" hidden="1">{"'ReceitaLiquidaME'!$AA$25:$AN$32"}</definedName>
    <definedName name="html_control10" hidden="1">{"'RR'!$A$2:$E$81"}</definedName>
    <definedName name="html_control11" hidden="1">{"'RR'!$A$2:$E$81"}</definedName>
    <definedName name="html_control12" hidden="1">{"'RR'!$A$2:$E$81"}</definedName>
    <definedName name="html_control13" hidden="1">{"'RR'!$A$2:$E$81"}</definedName>
    <definedName name="html_control14" hidden="1">{"'RR'!$A$2:$E$81"}</definedName>
    <definedName name="html_control2" hidden="1">{"'RR'!$A$2:$E$81"}</definedName>
    <definedName name="HTML_CONTROL20" hidden="1">{"'RR'!$A$2:$E$81"}</definedName>
    <definedName name="HTML_CONTROL21" hidden="1">{"'RR'!$A$2:$E$81"}</definedName>
    <definedName name="HTML_Description" hidden="1">""</definedName>
    <definedName name="HTML_Email" hidden="1">""</definedName>
    <definedName name="HTML_Header" hidden="1">""</definedName>
    <definedName name="HTML_LastUpdate" hidden="1">"15/08/2000 (Atualização Mensal)"</definedName>
    <definedName name="HTML_LineAfter" hidden="1">FALSE</definedName>
    <definedName name="HTML_LineBefore" hidden="1">FALSE</definedName>
    <definedName name="HTML_Name" hidden="1">"GACON (866-4325)"</definedName>
    <definedName name="HTML_OBDlg2" hidden="1">TRUE</definedName>
    <definedName name="HTML_OBDlg4" hidden="1">TRUE</definedName>
    <definedName name="HTML_OS" hidden="1">0</definedName>
    <definedName name="HTML_PathFile" hidden="1">"C:\Performance_Intranet\outrosindicadores\indicadoresrh.htm"</definedName>
    <definedName name="HTML_Title" hidden="1">""</definedName>
    <definedName name="HU" hidden="1">{"'gráf jan00'!$A$1:$AK$41"}</definedName>
    <definedName name="IdentCausas_pareto" hidden="1">{"'RR'!$A$2:$E$81"}</definedName>
    <definedName name="immmm" hidden="1">{#N/A,#N/A,FALSE,"DEF1";#N/A,#N/A,FALSE,"DEF2";#N/A,#N/A,FALSE,"DEF3"}</definedName>
    <definedName name="in" hidden="1">{#N/A,#N/A,FALSE,"DEF1";#N/A,#N/A,FALSE,"DEF2";#N/A,#N/A,FALSE,"DEF3"}</definedName>
    <definedName name="int" hidden="1">{#N/A,#N/A,FALSE,"General";#N/A,#N/A,FALSE,"DMU";#N/A,#N/A,FALSE,"Breakdown";#N/A,#N/A,FALSE,"Traction";#N/A,#N/A,FALSE,"Bogie &amp; Carbody";#N/A,#N/A,FALSE,"Auxiliaries";#N/A,#N/A,FALSE,"Braking";#N/A,#N/A,FALSE,"Electric";#N/A,#N/A,FALSE,"Comfort";#N/A,#N/A,FALSE,"Interiors";#N/A,#N/A,FALSE,"Exterior"}</definedName>
    <definedName name="Intran" hidden="1">{"'teste'!$B$2:$R$49"}</definedName>
    <definedName name="IntroPrintArea" hidden="1">#REF!</definedName>
    <definedName name="INV_ECON_MENSAL" hidden="1">{#N/A,#N/A,FALSE,"DEF1";#N/A,#N/A,FALSE,"DEF2";#N/A,#N/A,FALSE,"DEF3"}</definedName>
    <definedName name="inv_financ_Mensal_desemb" hidden="1">{#N/A,#N/A,FALSE,"DEF1";#N/A,#N/A,FALSE,"DEF2";#N/A,#N/A,FALSE,"DEF3"}</definedName>
    <definedName name="InvJustificativas6" hidden="1">{"'REL CUSTODIF'!$B$1:$H$72"}</definedName>
    <definedName name="InvJustificativas9" hidden="1">{"'REL CUSTODIF'!$B$1:$H$72"}</definedName>
    <definedName name="IUO" hidden="1">{"'Quadro'!$A$4:$BG$78"}</definedName>
    <definedName name="j" hidden="1">{#N/A,#N/A,FALSE,"PCOL"}</definedName>
    <definedName name="jçkj" hidden="1">{"'CptDifn'!$AA$32:$AG$32"}</definedName>
    <definedName name="jjjj" hidden="1">{"'REL CUSTODIF'!$B$1:$H$72"}</definedName>
    <definedName name="jryhjtry"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jujk" hidden="1">{#N/A,#N/A,FALSE,"PCOL"}</definedName>
    <definedName name="Julio" hidden="1">{"'CptDifn'!$AA$32:$AG$32"}</definedName>
    <definedName name="jythjty"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khtykfh"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kiuy"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kjhgjk" hidden="1">{"'gráf jan00'!$A$1:$AK$41"}</definedName>
    <definedName name="kkkk" hidden="1">{#N/A,#N/A,FALSE,"PCOL"}</definedName>
    <definedName name="ko" hidden="1">{#N/A,#N/A,FALSE,"PCOL"}</definedName>
    <definedName name="lab" hidden="1">{"'gráf jan00'!$A$1:$AK$41"}</definedName>
    <definedName name="LAPEL" hidden="1">{"'RR'!$A$2:$E$81"}</definedName>
    <definedName name="LCV" hidden="1">{#N/A,#N/A,FALSE,"TEC-01";#N/A,#N/A,FALSE,"TEC - 02";#N/A,#N/A,FALSE,"TEC - 03";#N/A,#N/A,FALSE,"TEC - 04";#N/A,#N/A,FALSE,"TEC-07";#N/A,#N/A,FALSE,"TEC-08";#N/A,#N/A,FALSE,"TEC - 09A";#N/A,#N/A,FALSE,"TEC - 09B";#N/A,#N/A,FALSE,"TEC - 09C";#N/A,#N/A,FALSE,"TEC - 10";#N/A,#N/A,FALSE,"TEC-11"}</definedName>
    <definedName name="leo" hidden="1">{"'CptDifn'!$AA$32:$AG$32"}</definedName>
    <definedName name="leonardo" hidden="1">{"'gráf jan00'!$A$1:$AK$41"}</definedName>
    <definedName name="let" hidden="1">"Quadro Logistico Maio"</definedName>
    <definedName name="lixo" localSheetId="0" hidden="1">{#N/A,#N/A,FALSE,"GERAL";#N/A,#N/A,FALSE,"012-96";#N/A,#N/A,FALSE,"018-96";#N/A,#N/A,FALSE,"027-96";#N/A,#N/A,FALSE,"059-96";#N/A,#N/A,FALSE,"076-96";#N/A,#N/A,FALSE,"019-97";#N/A,#N/A,FALSE,"021-97";#N/A,#N/A,FALSE,"022-97";#N/A,#N/A,FALSE,"028-97"}</definedName>
    <definedName name="lixo" hidden="1">{#N/A,#N/A,FALSE,"GERAL";#N/A,#N/A,FALSE,"012-96";#N/A,#N/A,FALSE,"018-96";#N/A,#N/A,FALSE,"027-96";#N/A,#N/A,FALSE,"059-96";#N/A,#N/A,FALSE,"076-96";#N/A,#N/A,FALSE,"019-97";#N/A,#N/A,FALSE,"021-97";#N/A,#N/A,FALSE,"022-97";#N/A,#N/A,FALSE,"028-97"}</definedName>
    <definedName name="LKJ" hidden="1">{"'Quadro'!$A$4:$BG$78"}</definedName>
    <definedName name="lllllllllllllllllllllllllllllllllllll" hidden="1">{#N/A,#N/A,FALSE,"TEC-01";#N/A,#N/A,FALSE,"TEC - 02";#N/A,#N/A,FALSE,"TEC - 03";#N/A,#N/A,FALSE,"TEC - 04";#N/A,#N/A,FALSE,"TEC-07";#N/A,#N/A,FALSE,"TEC-08";#N/A,#N/A,FALSE,"TEC - 09A";#N/A,#N/A,FALSE,"TEC - 09B";#N/A,#N/A,FALSE,"TEC - 09C";#N/A,#N/A,FALSE,"TEC - 10";#N/A,#N/A,FALSE,"TEC-11"}</definedName>
    <definedName name="LOCAL" hidden="1">{"'gráf jan00'!$A$1:$AK$41"}</definedName>
    <definedName name="LoteBonito2" hidden="1">{"'Resumo2'!$B$2:$J$23"}</definedName>
    <definedName name="LU" hidden="1">{"'gráf jan00'!$A$1:$AK$41"}</definedName>
    <definedName name="luis" hidden="1">{"'Plan1 (2)'!$A$5:$F$63"}</definedName>
    <definedName name="LUSI" hidden="1">{#N/A,#N/A,FALSE,"ET-CAPA";#N/A,#N/A,FALSE,"ET-PAG1";#N/A,#N/A,FALSE,"ET-PAG2";#N/A,#N/A,FALSE,"ET-PAG3";#N/A,#N/A,FALSE,"ET-PAG4";#N/A,#N/A,FALSE,"ET-PAG5"}</definedName>
    <definedName name="man" hidden="1">{"'gráf jan00'!$A$1:$AK$41"}</definedName>
    <definedName name="Manoel" hidden="1">{"'Quadro'!$A$4:$BG$78"}</definedName>
    <definedName name="manut" hidden="1">{"'gráf jan00'!$A$1:$AK$41"}</definedName>
    <definedName name="marcelo" hidden="1">{"'gráf jan00'!$A$1:$AK$41"}</definedName>
    <definedName name="marcos" hidden="1">{#N/A,#N/A,FALSE,"SITUAÇÃO DIÁRIA ";#N/A,#N/A,FALSE,"7 à 7"}</definedName>
    <definedName name="MARIA" hidden="1">{"'gráf jan00'!$A$1:$AK$41"}</definedName>
    <definedName name="mattubcust" hidden="1">{#N/A,#N/A,FALSE,"GERAL";#N/A,#N/A,FALSE,"012-96";#N/A,#N/A,FALSE,"018-96";#N/A,#N/A,FALSE,"027-96";#N/A,#N/A,FALSE,"059-96";#N/A,#N/A,FALSE,"076-96";#N/A,#N/A,FALSE,"019-97";#N/A,#N/A,FALSE,"021-97";#N/A,#N/A,FALSE,"022-97";#N/A,#N/A,FALSE,"028-97"}</definedName>
    <definedName name="Memória" hidden="1">{#N/A,#N/A,FALSE,"TEC-01";#N/A,#N/A,FALSE,"TEC - 02";#N/A,#N/A,FALSE,"TEC - 03";#N/A,#N/A,FALSE,"TEC - 04";#N/A,#N/A,FALSE,"TEC-07";#N/A,#N/A,FALSE,"TEC-08";#N/A,#N/A,FALSE,"TEC - 09A";#N/A,#N/A,FALSE,"TEC - 09B";#N/A,#N/A,FALSE,"TEC - 09C";#N/A,#N/A,FALSE,"TEC - 10";#N/A,#N/A,FALSE,"TEC-11"}</definedName>
    <definedName name="mercia" hidden="1">{"'REL CUSTODIF'!$B$1:$H$72"}</definedName>
    <definedName name="metasantigas" hidden="1">{"'gráf jan00'!$A$1:$AK$41"}</definedName>
    <definedName name="miner" hidden="1">{#N/A,#N/A,FALSE,"ET-CAPA";#N/A,#N/A,FALSE,"ET-PAG1";#N/A,#N/A,FALSE,"ET-PAG2";#N/A,#N/A,FALSE,"ET-PAG3";#N/A,#N/A,FALSE,"ET-PAG4";#N/A,#N/A,FALSE,"ET-PAG5"}</definedName>
    <definedName name="MM" hidden="1">{#N/A,#N/A,FALSE,"GERAL";#N/A,#N/A,FALSE,"012-96";#N/A,#N/A,FALSE,"018-96";#N/A,#N/A,FALSE,"027-96";#N/A,#N/A,FALSE,"059-96";#N/A,#N/A,FALSE,"076-96";#N/A,#N/A,FALSE,"019-97";#N/A,#N/A,FALSE,"021-97";#N/A,#N/A,FALSE,"022-97";#N/A,#N/A,FALSE,"028-97"}</definedName>
    <definedName name="MMM" hidden="1">{"'gráf jan00'!$A$1:$AK$41"}</definedName>
    <definedName name="MOA" hidden="1">{#N/A,#N/A,FALSE,"DEF1";#N/A,#N/A,FALSE,"DEF2";#N/A,#N/A,FALSE,"DEF3"}</definedName>
    <definedName name="MODELO" hidden="1">{#N/A,#N/A,FALSE,"SITUAÇÃO DIÁRIA ";#N/A,#N/A,FALSE,"7 à 7"}</definedName>
    <definedName name="MULHRT" hidden="1">{"'gráf jan00'!$A$1:$AK$41"}</definedName>
    <definedName name="N.Ferrosos" hidden="1">{"'CptDifn'!$AA$32:$AG$32"}</definedName>
    <definedName name="nada" hidden="1">{"'Quadro'!$A$4:$BG$78"}</definedName>
    <definedName name="negócio" hidden="1">{"'gráf jan00'!$A$1:$AK$41"}</definedName>
    <definedName name="NOME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4"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VO" hidden="1">{#N/A,#N/A,FALSE,"GERAL";#N/A,#N/A,FALSE,"012-96";#N/A,#N/A,FALSE,"018-96";#N/A,#N/A,FALSE,"027-96";#N/A,#N/A,FALSE,"059-96";#N/A,#N/A,FALSE,"076-96";#N/A,#N/A,FALSE,"019-97";#N/A,#N/A,FALSE,"021-97";#N/A,#N/A,FALSE,"022-97";#N/A,#N/A,FALSE,"028-97"}</definedName>
    <definedName name="OK" hidden="1">{#N/A,#N/A,FALSE,"GERAL";#N/A,#N/A,FALSE,"012-96";#N/A,#N/A,FALSE,"018-96";#N/A,#N/A,FALSE,"027-96";#N/A,#N/A,FALSE,"059-96";#N/A,#N/A,FALSE,"076-96";#N/A,#N/A,FALSE,"019-97";#N/A,#N/A,FALSE,"021-97";#N/A,#N/A,FALSE,"022-97";#N/A,#N/A,FALSE,"028-97"}</definedName>
    <definedName name="OOOOO" hidden="1">{#N/A,#N/A,FALSE,"GERAL";#N/A,#N/A,FALSE,"012-96";#N/A,#N/A,FALSE,"018-96";#N/A,#N/A,FALSE,"027-96";#N/A,#N/A,FALSE,"059-96";#N/A,#N/A,FALSE,"076-96";#N/A,#N/A,FALSE,"019-97";#N/A,#N/A,FALSE,"021-97";#N/A,#N/A,FALSE,"022-97";#N/A,#N/A,FALSE,"028-97"}</definedName>
    <definedName name="OPIOKKL" hidden="1">{#N/A,#N/A,FALSE,"Suprimentos";#N/A,#N/A,FALSE,"Medicina e Segurança";#N/A,#N/A,FALSE,"Administração";#N/A,#N/A,FALSE,"Meio Ambiente";#N/A,#N/A,FALSE,"Operação (Mina)";#N/A,#N/A,FALSE,"Operação (Porto)"}</definedName>
    <definedName name="OUTUBRO" hidden="1">{#N/A,#N/A,FALSE,"SITUAÇÃO DIÁRIA ";#N/A,#N/A,FALSE,"7 à 7"}</definedName>
    <definedName name="p" hidden="1">{#N/A,#N/A,FALSE,"GERAL";#N/A,#N/A,FALSE,"012-96";#N/A,#N/A,FALSE,"018-96";#N/A,#N/A,FALSE,"027-96";#N/A,#N/A,FALSE,"059-96";#N/A,#N/A,FALSE,"076-96";#N/A,#N/A,FALSE,"019-97";#N/A,#N/A,FALSE,"021-97";#N/A,#N/A,FALSE,"022-97";#N/A,#N/A,FALSE,"028-97"}</definedName>
    <definedName name="padrao" localSheetId="0" hidden="1">{#N/A,#N/A,FALSE,"GERAL";#N/A,#N/A,FALSE,"012-96";#N/A,#N/A,FALSE,"018-96";#N/A,#N/A,FALSE,"027-96";#N/A,#N/A,FALSE,"059-96";#N/A,#N/A,FALSE,"076-96";#N/A,#N/A,FALSE,"019-97";#N/A,#N/A,FALSE,"021-97";#N/A,#N/A,FALSE,"022-97";#N/A,#N/A,FALSE,"028-97"}</definedName>
    <definedName name="padrao" hidden="1">{#N/A,#N/A,FALSE,"GERAL";#N/A,#N/A,FALSE,"012-96";#N/A,#N/A,FALSE,"018-96";#N/A,#N/A,FALSE,"027-96";#N/A,#N/A,FALSE,"059-96";#N/A,#N/A,FALSE,"076-96";#N/A,#N/A,FALSE,"019-97";#N/A,#N/A,FALSE,"021-97";#N/A,#N/A,FALSE,"022-97";#N/A,#N/A,FALSE,"028-97"}</definedName>
    <definedName name="PARETOATIV" hidden="1">{#N/A,#N/A,FALSE,"CPV";#N/A,#N/A,FALSE,"Pareto";#N/A,#N/A,FALSE,"Gráficos"}</definedName>
    <definedName name="pata" hidden="1">{#N/A,#N/A,FALSE,"SITUAÇÃO DIÁRIA ";#N/A,#N/A,FALSE,"7 à 7"}</definedName>
    <definedName name="PAZ.COM.N" hidden="1">{"'TelRDAV'!$A$1:$T$20"}</definedName>
    <definedName name="PDCA" hidden="1">{"'RR'!$A$2:$E$81"}</definedName>
    <definedName name="Pendências" hidden="1">{#N/A,#N/A,FALSE,"GERAL";#N/A,#N/A,FALSE,"012-96";#N/A,#N/A,FALSE,"018-96";#N/A,#N/A,FALSE,"027-96";#N/A,#N/A,FALSE,"059-96";#N/A,#N/A,FALSE,"076-96";#N/A,#N/A,FALSE,"019-97";#N/A,#N/A,FALSE,"021-97";#N/A,#N/A,FALSE,"022-97";#N/A,#N/A,FALSE,"028-97"}</definedName>
    <definedName name="Pendências2" localSheetId="0" hidden="1">{#N/A,#N/A,FALSE,"GERAL";#N/A,#N/A,FALSE,"012-96";#N/A,#N/A,FALSE,"018-96";#N/A,#N/A,FALSE,"027-96";#N/A,#N/A,FALSE,"059-96";#N/A,#N/A,FALSE,"076-96";#N/A,#N/A,FALSE,"019-97";#N/A,#N/A,FALSE,"021-97";#N/A,#N/A,FALSE,"022-97";#N/A,#N/A,FALSE,"028-97"}</definedName>
    <definedName name="Pendências2" hidden="1">{#N/A,#N/A,FALSE,"GERAL";#N/A,#N/A,FALSE,"012-96";#N/A,#N/A,FALSE,"018-96";#N/A,#N/A,FALSE,"027-96";#N/A,#N/A,FALSE,"059-96";#N/A,#N/A,FALSE,"076-96";#N/A,#N/A,FALSE,"019-97";#N/A,#N/A,FALSE,"021-97";#N/A,#N/A,FALSE,"022-97";#N/A,#N/A,FALSE,"028-97"}</definedName>
    <definedName name="Pendências3" localSheetId="0" hidden="1">{#N/A,#N/A,FALSE,"GERAL";#N/A,#N/A,FALSE,"012-96";#N/A,#N/A,FALSE,"018-96";#N/A,#N/A,FALSE,"027-96";#N/A,#N/A,FALSE,"059-96";#N/A,#N/A,FALSE,"076-96";#N/A,#N/A,FALSE,"019-97";#N/A,#N/A,FALSE,"021-97";#N/A,#N/A,FALSE,"022-97";#N/A,#N/A,FALSE,"028-97"}</definedName>
    <definedName name="Pendências3" hidden="1">{#N/A,#N/A,FALSE,"GERAL";#N/A,#N/A,FALSE,"012-96";#N/A,#N/A,FALSE,"018-96";#N/A,#N/A,FALSE,"027-96";#N/A,#N/A,FALSE,"059-96";#N/A,#N/A,FALSE,"076-96";#N/A,#N/A,FALSE,"019-97";#N/A,#N/A,FALSE,"021-97";#N/A,#N/A,FALSE,"022-97";#N/A,#N/A,FALSE,"028-97"}</definedName>
    <definedName name="PEV" hidden="1">{"'Quadro'!$A$4:$BG$78"}</definedName>
    <definedName name="Planilha_2a_Versao_Orc2008" hidden="1">{#N/A,#N/A,FALSE,"DEF1";#N/A,#N/A,FALSE,"DEF2";#N/A,#N/A,FALSE,"DEF3"}</definedName>
    <definedName name="pnow" hidden="1">{"'gráf jan00'!$A$1:$AK$41"}</definedName>
    <definedName name="POIUYT" hidden="1">{"'REL CUSTODIF'!$B$1:$H$72"}</definedName>
    <definedName name="Portos1" hidden="1">{"'RR'!$A$2:$E$81"}</definedName>
    <definedName name="PORTU" hidden="1">{"'REL CUSTODIF'!$B$1:$H$72"}</definedName>
    <definedName name="ppla" hidden="1">{#N/A,#N/A,FALSE,"GERAL";#N/A,#N/A,FALSE,"012-96";#N/A,#N/A,FALSE,"018-96";#N/A,#N/A,FALSE,"027-96";#N/A,#N/A,FALSE,"059-96";#N/A,#N/A,FALSE,"076-96";#N/A,#N/A,FALSE,"019-97";#N/A,#N/A,FALSE,"021-97";#N/A,#N/A,FALSE,"022-97";#N/A,#N/A,FALSE,"028-97"}</definedName>
    <definedName name="PPRA" hidden="1">{"'CptDifn'!$AA$32:$AG$32"}</definedName>
    <definedName name="PPSA2" hidden="1">{"'REL CUSTODIF'!$B$1:$H$72"}</definedName>
    <definedName name="PQ_Memoria" hidden="1">{#N/A,#N/A,FALSE,"GERAL";#N/A,#N/A,FALSE,"012-96";#N/A,#N/A,FALSE,"018-96";#N/A,#N/A,FALSE,"027-96";#N/A,#N/A,FALSE,"059-96";#N/A,#N/A,FALSE,"076-96";#N/A,#N/A,FALSE,"019-97";#N/A,#N/A,FALSE,"021-97";#N/A,#N/A,FALSE,"022-97";#N/A,#N/A,FALSE,"028-97"}</definedName>
    <definedName name="Produção" hidden="1">{"'REL CUSTODIF'!$B$1:$H$72"}</definedName>
    <definedName name="Prog.Excel._Set" hidden="1">{"'teste'!$B$2:$R$49"}</definedName>
    <definedName name="proposta" hidden="1">{"'Quadro'!$A$4:$BG$78"}</definedName>
    <definedName name="PRRA" hidden="1">{"'CptDifn'!$AA$32:$AG$32"}</definedName>
    <definedName name="q"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Q2teste"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QQ" hidden="1">{"'gráf jan00'!$A$1:$AK$41"}</definedName>
    <definedName name="QQP" hidden="1">{#N/A,#N/A,FALSE,"GERAL";#N/A,#N/A,FALSE,"012-96";#N/A,#N/A,FALSE,"018-96";#N/A,#N/A,FALSE,"027-96";#N/A,#N/A,FALSE,"059-96";#N/A,#N/A,FALSE,"076-96";#N/A,#N/A,FALSE,"019-97";#N/A,#N/A,FALSE,"021-97";#N/A,#N/A,FALSE,"022-97";#N/A,#N/A,FALSE,"028-97"}</definedName>
    <definedName name="qqq"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QQQQ" hidden="1">{"'gráf jan00'!$A$1:$AK$41"}</definedName>
    <definedName name="qqqqqq" hidden="1">{"'gráf jan00'!$A$1:$AK$41"}</definedName>
    <definedName name="que" hidden="1">{#N/A,#N/A,FALSE,"PCOL"}</definedName>
    <definedName name="QUQT" hidden="1">{"'gráf jan00'!$A$1:$AK$41"}</definedName>
    <definedName name="QWE" hidden="1">{"'gráf jan00'!$A$1:$AK$41"}</definedName>
    <definedName name="qweeererr" hidden="1">{"'RR'!$A$2:$E$81"}</definedName>
    <definedName name="qwqq" hidden="1">{#N/A,#N/A,FALSE,"PCOL"}</definedName>
    <definedName name="qwqw" hidden="1">{#N/A,#N/A,FALSE,"PCOL"}</definedName>
    <definedName name="qwqweq" hidden="1">{#N/A,#N/A,FALSE,"PCOL"}</definedName>
    <definedName name="qwqwq" hidden="1">{#N/A,#N/A,FALSE,"PCOL"}</definedName>
    <definedName name="qwqwsq" hidden="1">{#N/A,#N/A,FALSE,"PCOL"}</definedName>
    <definedName name="RA" hidden="1">{"'Quadro'!$A$4:$BG$78"}</definedName>
    <definedName name="rdff" hidden="1">{#N/A,#N/A,TRUE,"indice";#N/A,#N/A,TRUE,"indicadores";#N/A,#N/A,TRUE,"comentarios"}</definedName>
    <definedName name="RDTEA" hidden="1">{"'Quadro'!$A$4:$BG$78"}</definedName>
    <definedName name="relatori" hidden="1">{#N/A,#N/A,FALSE,"GERAL";#N/A,#N/A,FALSE,"012-96";#N/A,#N/A,FALSE,"018-96";#N/A,#N/A,FALSE,"027-96";#N/A,#N/A,FALSE,"059-96";#N/A,#N/A,FALSE,"076-96";#N/A,#N/A,FALSE,"019-97";#N/A,#N/A,FALSE,"021-97";#N/A,#N/A,FALSE,"022-97";#N/A,#N/A,FALSE,"028-97"}</definedName>
    <definedName name="RES" hidden="1">{"'Quadro'!$A$4:$BG$78"}</definedName>
    <definedName name="Resumo1" hidden="1">{"'teste'!$B$2:$R$49"}</definedName>
    <definedName name="RET" hidden="1">{"'Quadro'!$A$4:$BG$78"}</definedName>
    <definedName name="reuyre"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RFTY" hidden="1">{"'Quadro'!$A$4:$BG$78"}</definedName>
    <definedName name="RGDRGDS" hidden="1">{#N/A,#N/A,FALSE,"GERAL";#N/A,#N/A,FALSE,"012-96";#N/A,#N/A,FALSE,"018-96";#N/A,#N/A,FALSE,"027-96";#N/A,#N/A,FALSE,"059-96";#N/A,#N/A,FALSE,"076-96";#N/A,#N/A,FALSE,"019-97";#N/A,#N/A,FALSE,"021-97";#N/A,#N/A,FALSE,"022-97";#N/A,#N/A,FALSE,"028-97"}</definedName>
    <definedName name="RiskAfterRecalcMacro" hidden="1">""</definedName>
    <definedName name="RiskAfterSimMacro" hidden="1">""</definedName>
    <definedName name="RiskBeforeRecalcMacro" hidden="1">""</definedName>
    <definedName name="RiskBeforeSimMacro" hidden="1">""</definedName>
    <definedName name="rr" hidden="1">{"'CptDifn'!$AA$32:$AG$32"}</definedName>
    <definedName name="RRR" hidden="1">{#N/A,#N/A,TRUE,"Commercial Intro";#N/A,#N/A,TRUE,"Summary Intro";#N/A,#N/A,TRUE,"Summary";#N/A,#N/A,TRUE,"TY (formulas)";#N/A,#N/A,TRUE,"Q1 (ACT)";#N/A,#N/A,TRUE,"Q2 (Act)";#N/A,#N/A,TRUE,"Q3 (IOP)";#N/A,#N/A,TRUE,"Q4 (IOP)";#N/A,#N/A,TRUE,"P&amp;L Reports";#N/A,#N/A,TRUE,"Locomotives";#N/A,#N/A,TRUE,"Modernizations";#N/A,#N/A,TRUE,"Repair Services";#N/A,#N/A,TRUE,"Parts";#N/A,#N/A,TRUE,"Signaling Projects";#N/A,#N/A,TRUE,"Signaling Products";#N/A,#N/A,TRUE,"MSA";#N/A,#N/A,TRUE,"Gevisa";#N/A,#N/A,TRUE,"TST Reports";#N/A,#N/A,TRUE,"BNSF";#N/A,#N/A,TRUE,"NS";#N/A,#N/A,TRUE,"UP";#N/A,#N/A,TRUE,"CXS";#N/A,#N/A,TRUE,"CP";#N/A,#N/A,TRUE,"CN";#N/A,#N/A,TRUE,"Other US Shortlines";#N/A,#N/A,TRUE,"Latin America";#N/A,#N/A,TRUE,"NA Passenger";#N/A,#N/A,TRUE,"WE, Africa, ME";#N/A,#N/A,TRUE,"Eastern Europe, Russia";#N/A,#N/A,TRUE,"India &amp; W Asia";#N/A,#N/A,TRUE,"SE Asia"}</definedName>
    <definedName name="rrrrrrrrrrrr" hidden="1">{#N/A,#N/A,FALSE,"GERAL";#N/A,#N/A,FALSE,"012-96";#N/A,#N/A,FALSE,"018-96";#N/A,#N/A,FALSE,"027-96";#N/A,#N/A,FALSE,"059-96";#N/A,#N/A,FALSE,"076-96";#N/A,#N/A,FALSE,"019-97";#N/A,#N/A,FALSE,"021-97";#N/A,#N/A,FALSE,"022-97";#N/A,#N/A,FALSE,"028-97"}</definedName>
    <definedName name="SAAF" hidden="1">{"'Quadro'!$A$4:$BG$78"}</definedName>
    <definedName name="sabrina"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sac" hidden="1">{#N/A,#N/A,FALSE,"PCOL"}</definedName>
    <definedName name="SAFDASFD" hidden="1">{"'REL CUSTODIF'!$B$1:$H$72"}</definedName>
    <definedName name="SAPBEXdnldView" hidden="1">"45PQXFK1FNU8V8F6EX8BUJ292"</definedName>
    <definedName name="SAPBEXsysID" hidden="1">"BIP"</definedName>
    <definedName name="saquinho" hidden="1">{#N/A,#N/A,FALSE,"PCOL"}</definedName>
    <definedName name="SAR" hidden="1">{"'Quadro'!$A$4:$BG$78"}</definedName>
    <definedName name="sargtwregwer"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sasasa" hidden="1">{"'gráf jan00'!$A$1:$AK$41"}</definedName>
    <definedName name="sasassasa"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SCs" hidden="1">{"'REL CUSTODIF'!$B$1:$H$72"}</definedName>
    <definedName name="SDadsd" hidden="1">{"'REL CUSTODIF'!$B$1:$H$72"}</definedName>
    <definedName name="sdcsadSD" hidden="1">{"'REL CUSTODIF'!$B$1:$H$72"}</definedName>
    <definedName name="SDds" hidden="1">{"'REL CUSTODIF'!$B$1:$H$72"}</definedName>
    <definedName name="SDF" hidden="1">{"'REL CUSTODIF'!$B$1:$H$72"}</definedName>
    <definedName name="SDFFDFDF" hidden="1">{"'gráf jan00'!$A$1:$AK$41"}</definedName>
    <definedName name="sdSDsd" hidden="1">{#N/A,#N/A,FALSE,"GERAL";#N/A,#N/A,FALSE,"012-96";#N/A,#N/A,FALSE,"018-96";#N/A,#N/A,FALSE,"027-96";#N/A,#N/A,FALSE,"059-96";#N/A,#N/A,FALSE,"076-96";#N/A,#N/A,FALSE,"019-97";#N/A,#N/A,FALSE,"021-97";#N/A,#N/A,FALSE,"022-97";#N/A,#N/A,FALSE,"028-97"}</definedName>
    <definedName name="SDXsad" hidden="1">{"'REL CUSTODIF'!$B$1:$H$72"}</definedName>
    <definedName name="SE" hidden="1">{#N/A,#N/A,FALSE,"GERAL";#N/A,#N/A,FALSE,"012-96";#N/A,#N/A,FALSE,"018-96";#N/A,#N/A,FALSE,"027-96";#N/A,#N/A,FALSE,"059-96";#N/A,#N/A,FALSE,"076-96";#N/A,#N/A,FALSE,"019-97";#N/A,#N/A,FALSE,"021-97";#N/A,#N/A,FALSE,"022-97";#N/A,#N/A,FALSE,"028-97"}</definedName>
    <definedName name="SER" hidden="1">{"'Quadro'!$A$4:$BG$78"}</definedName>
    <definedName name="SF" hidden="1">{"'Quadro'!$A$4:$BG$78"}</definedName>
    <definedName name="SFD" hidden="1">{"'Quadro'!$A$4:$BG$78"}</definedName>
    <definedName name="sfderfEWR"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SFHJ" hidden="1">{"'Quadro'!$A$4:$BG$78"}</definedName>
    <definedName name="sfqefewfqeRW" hidden="1">{"'REL CUSTODIF'!$B$1:$H$72"}</definedName>
    <definedName name="SFQET" hidden="1">{"'REL CUSTODIF'!$B$1:$H$72"}</definedName>
    <definedName name="SFR" hidden="1">{"'Quadro'!$A$4:$BG$78"}</definedName>
    <definedName name="SGRGR" hidden="1">{#N/A,#N/A,FALSE,"GERAL";#N/A,#N/A,FALSE,"012-96";#N/A,#N/A,FALSE,"018-96";#N/A,#N/A,FALSE,"027-96";#N/A,#N/A,FALSE,"059-96";#N/A,#N/A,FALSE,"076-96";#N/A,#N/A,FALSE,"019-97";#N/A,#N/A,FALSE,"021-97";#N/A,#N/A,FALSE,"022-97";#N/A,#N/A,FALSE,"028-97"}</definedName>
    <definedName name="SHHHHJ" hidden="1">{"'RR'!$A$2:$E$81"}</definedName>
    <definedName name="sof" hidden="1">{#N/A,#N/A,FALSE,"PCOL"}</definedName>
    <definedName name="solver_lin" hidden="1">0</definedName>
    <definedName name="solver_num" hidden="1">0</definedName>
    <definedName name="solver_rel1" hidden="1">3</definedName>
    <definedName name="solver_rhs1" hidden="1">0</definedName>
    <definedName name="solver_tmp" hidden="1">0</definedName>
    <definedName name="solver_typ" hidden="1">1</definedName>
    <definedName name="solver_val" hidden="1">0</definedName>
    <definedName name="ss"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SSDF" hidden="1">{"'Quadro'!$A$4:$BG$78"}</definedName>
    <definedName name="SSS" hidden="1">{#N/A,#N/A,FALSE,"GERAL";#N/A,#N/A,FALSE,"012-96";#N/A,#N/A,FALSE,"018-96";#N/A,#N/A,FALSE,"027-96";#N/A,#N/A,FALSE,"059-96";#N/A,#N/A,FALSE,"076-96";#N/A,#N/A,FALSE,"019-97";#N/A,#N/A,FALSE,"021-97";#N/A,#N/A,FALSE,"022-97";#N/A,#N/A,FALSE,"028-97"}</definedName>
    <definedName name="sssss"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SWE" hidden="1">{"'Quadro'!$A$4:$BG$78"}</definedName>
    <definedName name="SWR" hidden="1">{"'Quadro'!$A$4:$BG$78"}</definedName>
    <definedName name="TEMP" hidden="1">{#N/A,#N/A,FALSE,"PCOL"}</definedName>
    <definedName name="teste3" hidden="1">{"'gráf jan00'!$A$1:$AK$41"}</definedName>
    <definedName name="TextRefCopyRangeCount" hidden="1">1</definedName>
    <definedName name="THR" hidden="1">{"'gráf jan00'!$A$1:$AK$41"}</definedName>
    <definedName name="THTRHT" hidden="1">{"'gráf jan00'!$A$1:$AK$41"}</definedName>
    <definedName name="_xlnm.Print_Titles" localSheetId="6">'MAPA DE SUPORTE'!$3:$3</definedName>
    <definedName name="_xlnm.Print_Titles" localSheetId="0">PQ!$1:$7</definedName>
    <definedName name="tjtrj"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tran" hidden="1">{"'Quadro'!$A$4:$BG$78"}</definedName>
    <definedName name="transp3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transp36a"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trem" hidden="1">{"'gráf jan00'!$A$1:$AK$41"}</definedName>
    <definedName name="TRES" hidden="1">{#N/A,#N/A,FALSE,"GERAL";#N/A,#N/A,FALSE,"012-96";#N/A,#N/A,FALSE,"018-96";#N/A,#N/A,FALSE,"027-96";#N/A,#N/A,FALSE,"059-96";#N/A,#N/A,FALSE,"076-96";#N/A,#N/A,FALSE,"019-97";#N/A,#N/A,FALSE,"021-97";#N/A,#N/A,FALSE,"022-97";#N/A,#N/A,FALSE,"028-97"}</definedName>
    <definedName name="trezeabril" hidden="1">{"'gráf jan00'!$A$1:$AK$41"}</definedName>
    <definedName name="TREZEABRILL" hidden="1">{"'gráf jan00'!$A$1:$AK$41"}</definedName>
    <definedName name="trezeagosto" hidden="1">{"'gráf jan00'!$A$1:$AK$41"}</definedName>
    <definedName name="trezeagosto2" hidden="1">{"'gráf jan00'!$A$1:$AK$41"}</definedName>
    <definedName name="trezeagosto3" hidden="1">{"'gráf jan00'!$A$1:$AK$41"}</definedName>
    <definedName name="trezeagosto4" hidden="1">{"'gráf jan00'!$A$1:$AK$41"}</definedName>
    <definedName name="trezeagosto5" hidden="1">{"'gráf jan00'!$A$1:$AK$41"}</definedName>
    <definedName name="trezeagosto6" hidden="1">{"'gráf jan00'!$A$1:$AK$41"}</definedName>
    <definedName name="trezeagosto7" hidden="1">{"'gráf jan00'!$A$1:$AK$41"}</definedName>
    <definedName name="trezeagosto8" hidden="1">{"'gráf jan00'!$A$1:$AK$41"}</definedName>
    <definedName name="trezejulho" hidden="1">{"'gráf jan00'!$A$1:$AK$41"}</definedName>
    <definedName name="trezejulho2" hidden="1">{"'gráf jan00'!$A$1:$AK$41"}</definedName>
    <definedName name="trezejulho3" hidden="1">{"'gráf jan00'!$A$1:$AK$41"}</definedName>
    <definedName name="trezejun" hidden="1">{"'gráf jan00'!$A$1:$AK$41"}</definedName>
    <definedName name="trezejunho" hidden="1">{"'gráf jan00'!$A$1:$AK$41"}</definedName>
    <definedName name="trezejunnho" hidden="1">{"'gráf jan00'!$A$1:$AK$41"}</definedName>
    <definedName name="trezemarço" hidden="1">{"'gráf jan00'!$A$1:$AK$41"}</definedName>
    <definedName name="TROCA" hidden="1">{#N/A,#N/A,FALSE,"GERAL";#N/A,#N/A,FALSE,"012-96";#N/A,#N/A,FALSE,"018-96";#N/A,#N/A,FALSE,"027-96";#N/A,#N/A,FALSE,"059-96";#N/A,#N/A,FALSE,"076-96";#N/A,#N/A,FALSE,"019-97";#N/A,#N/A,FALSE,"021-97";#N/A,#N/A,FALSE,"022-97";#N/A,#N/A,FALSE,"028-97"}</definedName>
    <definedName name="trt" hidden="1">{"'gráf jan00'!$A$1:$AK$41"}</definedName>
    <definedName name="TRYGTRHGASR" hidden="1">{#N/A,#N/A,FALSE,"Suprimentos";#N/A,#N/A,FALSE,"Medicina e Segurança";#N/A,#N/A,FALSE,"Administração";#N/A,#N/A,FALSE,"Meio Ambiente";#N/A,#N/A,FALSE,"Operação (Mina)";#N/A,#N/A,FALSE,"Operação (Porto)"}</definedName>
    <definedName name="TRYU" hidden="1">{"'Quadro'!$A$4:$BG$78"}</definedName>
    <definedName name="tste" hidden="1">{#N/A,#N/A,FALSE,"TEC-01";#N/A,#N/A,FALSE,"TEC - 02";#N/A,#N/A,FALSE,"TEC - 03";#N/A,#N/A,FALSE,"TEC - 04";#N/A,#N/A,FALSE,"TEC-07";#N/A,#N/A,FALSE,"TEC-08";#N/A,#N/A,FALSE,"TEC - 09A";#N/A,#N/A,FALSE,"TEC - 09B";#N/A,#N/A,FALSE,"TEC - 09C";#N/A,#N/A,FALSE,"TEC - 10";#N/A,#N/A,FALSE,"TEC-11"}</definedName>
    <definedName name="TTER" hidden="1">{"'Quadro'!$A$4:$BG$78"}</definedName>
    <definedName name="TTRGHTR" hidden="1">{#N/A,#N/A,FALSE,"GERAL";#N/A,#N/A,FALSE,"012-96";#N/A,#N/A,FALSE,"018-96";#N/A,#N/A,FALSE,"027-96";#N/A,#N/A,FALSE,"059-96";#N/A,#N/A,FALSE,"076-96";#N/A,#N/A,FALSE,"019-97";#N/A,#N/A,FALSE,"021-97";#N/A,#N/A,FALSE,"022-97";#N/A,#N/A,FALSE,"028-97"}</definedName>
    <definedName name="TTT" hidden="1">{"'gráf jan00'!$A$1:$AK$41"}</definedName>
    <definedName name="TTTT" hidden="1">{"'gráf jan00'!$A$1:$AK$41"}</definedName>
    <definedName name="tyjtykj"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TYU" hidden="1">{"'Quadro'!$A$4:$BG$78"}</definedName>
    <definedName name="U" hidden="1">{"'gráf jan00'!$A$1:$AK$41"}</definedName>
    <definedName name="uoluyk" hidden="1">{#N/A,#N/A,TRUE,"indice";#N/A,#N/A,TRUE,"indicadores";#N/A,#N/A,TRUE,"comentarios"}</definedName>
    <definedName name="uu" hidden="1">{"'REL CUSTODIF'!$B$1:$H$72"}</definedName>
    <definedName name="UUUUUUU" hidden="1">{#N/A,#N/A,FALSE,"GERAL";#N/A,#N/A,FALSE,"012-96";#N/A,#N/A,FALSE,"018-96";#N/A,#N/A,FALSE,"027-96";#N/A,#N/A,FALSE,"059-96";#N/A,#N/A,FALSE,"076-96";#N/A,#N/A,FALSE,"019-97";#N/A,#N/A,FALSE,"021-97";#N/A,#N/A,FALSE,"022-97";#N/A,#N/A,FALSE,"028-97"}</definedName>
    <definedName name="v" hidden="1">{#N/A,#N/A,FALSE,"PCOL"}</definedName>
    <definedName name="VADSV" hidden="1">{"'REL CUSTODIF'!$B$1:$H$72"}</definedName>
    <definedName name="Verba" hidden="1">{#N/A,#N/A,FALSE,"GERAL";#N/A,#N/A,FALSE,"012-96";#N/A,#N/A,FALSE,"018-96";#N/A,#N/A,FALSE,"027-96";#N/A,#N/A,FALSE,"059-96";#N/A,#N/A,FALSE,"076-96";#N/A,#N/A,FALSE,"019-97";#N/A,#N/A,FALSE,"021-97";#N/A,#N/A,FALSE,"022-97";#N/A,#N/A,FALSE,"028-97"}</definedName>
    <definedName name="VFGS" hidden="1">{#N/A,#N/A,FALSE,"GERAL";#N/A,#N/A,FALSE,"012-96";#N/A,#N/A,FALSE,"018-96";#N/A,#N/A,FALSE,"027-96";#N/A,#N/A,FALSE,"059-96";#N/A,#N/A,FALSE,"076-96";#N/A,#N/A,FALSE,"019-97";#N/A,#N/A,FALSE,"021-97";#N/A,#N/A,FALSE,"022-97";#N/A,#N/A,FALSE,"028-97"}</definedName>
    <definedName name="VI" localSheetId="0" hidden="1">{#N/A,#N/A,FALSE,"GERAL";#N/A,#N/A,FALSE,"012-96";#N/A,#N/A,FALSE,"018-96";#N/A,#N/A,FALSE,"027-96";#N/A,#N/A,FALSE,"059-96";#N/A,#N/A,FALSE,"076-96";#N/A,#N/A,FALSE,"019-97";#N/A,#N/A,FALSE,"021-97";#N/A,#N/A,FALSE,"022-97";#N/A,#N/A,FALSE,"028-97"}</definedName>
    <definedName name="VI" hidden="1">{#N/A,#N/A,FALSE,"GERAL";#N/A,#N/A,FALSE,"012-96";#N/A,#N/A,FALSE,"018-96";#N/A,#N/A,FALSE,"027-96";#N/A,#N/A,FALSE,"059-96";#N/A,#N/A,FALSE,"076-96";#N/A,#N/A,FALSE,"019-97";#N/A,#N/A,FALSE,"021-97";#N/A,#N/A,FALSE,"022-97";#N/A,#N/A,FALSE,"028-97"}</definedName>
    <definedName name="vp" hidden="1">{"'Quadro'!$A$4:$BG$78"}</definedName>
    <definedName name="vvvvv"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vxs" hidden="1">{"'RR'!$A$2:$E$81"}</definedName>
    <definedName name="w" localSheetId="0" hidden="1">{#N/A,#N/A,FALSE,"GERAL";#N/A,#N/A,FALSE,"012-96";#N/A,#N/A,FALSE,"018-96";#N/A,#N/A,FALSE,"027-96";#N/A,#N/A,FALSE,"059-96";#N/A,#N/A,FALSE,"076-96";#N/A,#N/A,FALSE,"019-97";#N/A,#N/A,FALSE,"021-97";#N/A,#N/A,FALSE,"022-97";#N/A,#N/A,FALSE,"028-97"}</definedName>
    <definedName name="w" hidden="1">{#N/A,#N/A,FALSE,"PCOL"}</definedName>
    <definedName name="wadfaw" hidden="1">{#N/A,#N/A,TRUE,"indice";#N/A,#N/A,TRUE,"indicadores";#N/A,#N/A,TRUE,"comentarios"}</definedName>
    <definedName name="WDASD"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wdewdwd" hidden="1">{#N/A,#N/A,FALSE,"PCOL"}</definedName>
    <definedName name="wdwd" hidden="1">{#N/A,#N/A,FALSE,"PCOL"}</definedName>
    <definedName name="wedwedw" hidden="1">{#N/A,#N/A,FALSE,"PCOL"}</definedName>
    <definedName name="wedwew" hidden="1">{#N/A,#N/A,FALSE,"PCOL"}</definedName>
    <definedName name="wewe" hidden="1">{#N/A,#N/A,FALSE,"PCOL"}</definedName>
    <definedName name="wewedwedw" hidden="1">{#N/A,#N/A,FALSE,"PCOL"}</definedName>
    <definedName name="wewew" hidden="1">{#N/A,#N/A,FALSE,"PCOL"}</definedName>
    <definedName name="WR" hidden="1">{"'Quadro'!$A$4:$BG$78"}</definedName>
    <definedName name="wrn.Aging._.and._.Trend._.Analysis." hidden="1">{#N/A,#N/A,FALSE,"Aging Summary";#N/A,#N/A,FALSE,"Ratio Analysis";#N/A,#N/A,FALSE,"Test 120 Day Accts";#N/A,#N/A,FALSE,"Tickmarks"}</definedName>
    <definedName name="wrn.All._.Tabs._.for._.Ken." hidden="1">{#N/A,#N/A,FALSE,"CW Summary";#N/A,#N/A,FALSE,"Weekly Tracking";#N/A,#N/A,FALSE,"MSA";#N/A,#N/A,FALSE,"Parts";#N/A,#N/A,FALSE,"RS";#N/A,#N/A,FALSE,"Mods";#N/A,#N/A,FALSE,"GEVISA";#N/A,#N/A,FALSE,"HQ"}</definedName>
    <definedName name="wrn.comentario." hidden="1">{#N/A,#N/A,FALSE,"PCOL"}</definedName>
    <definedName name="wrn.Comparaison._.DMU." hidden="1">{#N/A,#N/A,FALSE,"General";#N/A,#N/A,FALSE,"DMU";#N/A,#N/A,FALSE,"Breakdown";#N/A,#N/A,FALSE,"Traction";#N/A,#N/A,FALSE,"Bogie &amp; Carbody";#N/A,#N/A,FALSE,"Auxiliaries";#N/A,#N/A,FALSE,"Braking";#N/A,#N/A,FALSE,"Electric";#N/A,#N/A,FALSE,"Comfort";#N/A,#N/A,FALSE,"Interiors";#N/A,#N/A,FALSE,"Exterior"}</definedName>
    <definedName name="wrn.def9806." hidden="1">{#N/A,#N/A,FALSE,"DEF1";#N/A,#N/A,FALSE,"DEF2";#N/A,#N/A,FALSE,"DEF3"}</definedName>
    <definedName name="wrn.DESDOBRE." hidden="1">{#N/A,#N/A,FALSE,"CPV";#N/A,#N/A,FALSE,"Pareto";#N/A,#N/A,FALSE,"Gráficos"}</definedName>
    <definedName name="wrn.GERAL." hidden="1">{#N/A,#N/A,FALSE,"ET-CAPA";#N/A,#N/A,FALSE,"ET-PAG1";#N/A,#N/A,FALSE,"ET-PAG2";#N/A,#N/A,FALSE,"ET-PAG3";#N/A,#N/A,FALSE,"ET-PAG4";#N/A,#N/A,FALSE,"ET-PAG5"}</definedName>
    <definedName name="wrn.gere." hidden="1">{#N/A,#N/A,FALSE,"GQGEMPRE"}</definedName>
    <definedName name="wrn.geren." hidden="1">{#N/A,#N/A,FALSE,"EXPORTAC";#N/A,#N/A,FALSE,"SUPEL94"}</definedName>
    <definedName name="wrn.INFORMETEC." hidden="1">{#N/A,#N/A,FALSE,"TEC-01";#N/A,#N/A,FALSE,"TEC - 02";#N/A,#N/A,FALSE,"TEC - 03";#N/A,#N/A,FALSE,"TEC - 04";#N/A,#N/A,FALSE,"TEC-07";#N/A,#N/A,FALSE,"TEC-08";#N/A,#N/A,FALSE,"TEC - 09A";#N/A,#N/A,FALSE,"TEC - 09B";#N/A,#N/A,FALSE,"TEC - 09C";#N/A,#N/A,FALSE,"TEC - 10";#N/A,#N/A,FALSE,"TEC-11"}</definedName>
    <definedName name="wrn.INVESTIMENTOS._.CORRENTES." hidden="1">{#N/A,#N/A,FALSE,"Suprimentos";#N/A,#N/A,FALSE,"Medicina e Segurança";#N/A,#N/A,FALSE,"Administração";#N/A,#N/A,FALSE,"Meio Ambiente";#N/A,#N/A,FALSE,"Operação (Mina)";#N/A,#N/A,FALSE,"Operação (Porto)"}</definedName>
    <definedName name="wrn.PENDENC." hidden="1">{#N/A,#N/A,FALSE,"GERAL";#N/A,#N/A,FALSE,"012-96";#N/A,#N/A,FALSE,"018-96";#N/A,#N/A,FALSE,"027-96";#N/A,#N/A,FALSE,"059-96";#N/A,#N/A,FALSE,"076-96";#N/A,#N/A,FALSE,"019-97";#N/A,#N/A,FALSE,"021-97";#N/A,#N/A,FALSE,"022-97";#N/A,#N/A,FALSE,"028-97"}</definedName>
    <definedName name="wrn.PENDENCIAS." localSheetId="0" hidden="1">{#N/A,#N/A,FALSE,"GERAL";#N/A,#N/A,FALSE,"012-96";#N/A,#N/A,FALSE,"018-96";#N/A,#N/A,FALSE,"027-96";#N/A,#N/A,FALSE,"059-96";#N/A,#N/A,FALSE,"076-96";#N/A,#N/A,FALSE,"019-97";#N/A,#N/A,FALSE,"021-97";#N/A,#N/A,FALSE,"022-97";#N/A,#N/A,FALSE,"028-97"}</definedName>
    <definedName name="wrn.PENDENCIAS." hidden="1">{#N/A,#N/A,FALSE,"GERAL";#N/A,#N/A,FALSE,"012-96";#N/A,#N/A,FALSE,"018-96";#N/A,#N/A,FALSE,"027-96";#N/A,#N/A,FALSE,"059-96";#N/A,#N/A,FALSE,"076-96";#N/A,#N/A,FALSE,"019-97";#N/A,#N/A,FALSE,"021-97";#N/A,#N/A,FALSE,"022-97";#N/A,#N/A,FALSE,"028-97"}</definedName>
    <definedName name="wrn.PENDENCIAS1." hidden="1">{#N/A,#N/A,FALSE,"GERAL";#N/A,#N/A,FALSE,"012-96";#N/A,#N/A,FALSE,"018-96";#N/A,#N/A,FALSE,"027-96";#N/A,#N/A,FALSE,"059-96";#N/A,#N/A,FALSE,"076-96";#N/A,#N/A,FALSE,"019-97";#N/A,#N/A,FALSE,"021-97";#N/A,#N/A,FALSE,"022-97";#N/A,#N/A,FALSE,"028-97"}</definedName>
    <definedName name="wrn.PENDENCIAS2" hidden="1">{#N/A,#N/A,FALSE,"GERAL";#N/A,#N/A,FALSE,"012-96";#N/A,#N/A,FALSE,"018-96";#N/A,#N/A,FALSE,"027-96";#N/A,#N/A,FALSE,"059-96";#N/A,#N/A,FALSE,"076-96";#N/A,#N/A,FALSE,"019-97";#N/A,#N/A,FALSE,"021-97";#N/A,#N/A,FALSE,"022-97";#N/A,#N/A,FALSE,"028-97"}</definedName>
    <definedName name="wrn.Print._.All." hidden="1">{#N/A,#N/A,TRUE,"Commercial Intro";#N/A,#N/A,TRUE,"Summary Intro";#N/A,#N/A,TRUE,"Summary";#N/A,#N/A,TRUE,"TY (formulas)";#N/A,#N/A,TRUE,"Q1 (ACT)";#N/A,#N/A,TRUE,"Q2 (Act)";#N/A,#N/A,TRUE,"Q3 (IOP)";#N/A,#N/A,TRUE,"Q4 (IOP)";#N/A,#N/A,TRUE,"P&amp;L Reports";#N/A,#N/A,TRUE,"Locomotives";#N/A,#N/A,TRUE,"Modernizations";#N/A,#N/A,TRUE,"Repair Services";#N/A,#N/A,TRUE,"Parts";#N/A,#N/A,TRUE,"Signaling Projects";#N/A,#N/A,TRUE,"Signaling Products";#N/A,#N/A,TRUE,"MSA";#N/A,#N/A,TRUE,"Gevisa";#N/A,#N/A,TRUE,"TST Reports";#N/A,#N/A,TRUE,"BNSF";#N/A,#N/A,TRUE,"NS";#N/A,#N/A,TRUE,"UP";#N/A,#N/A,TRUE,"CXS";#N/A,#N/A,TRUE,"CP";#N/A,#N/A,TRUE,"CN";#N/A,#N/A,TRUE,"Other US Shortlines";#N/A,#N/A,TRUE,"Latin America";#N/A,#N/A,TRUE,"NA Passenger";#N/A,#N/A,TRUE,"WE, Africa, ME";#N/A,#N/A,TRUE,"Eastern Europe, Russia";#N/A,#N/A,TRUE,"India &amp; W Asia";#N/A,#N/A,TRUE,"SE Asia"}</definedName>
    <definedName name="wrn.Print._.PL._.Reports." hidden="1">{#N/A,#N/A,FALSE,"P&amp;L Reports";#N/A,#N/A,FALSE,"Locomotives";#N/A,#N/A,FALSE,"Modernizations";#N/A,#N/A,FALSE,"Repair Services";#N/A,#N/A,FALSE,"Parts";#N/A,#N/A,FALSE,"Signaling Projects";#N/A,#N/A,FALSE,"Signaling Products";#N/A,#N/A,FALSE,"MSA";#N/A,#N/A,FALSE,"Gevisa"}</definedName>
    <definedName name="wrn.Print._.Summary." hidden="1">{#N/A,#N/A,FALSE,"Summary Intro";#N/A,#N/A,FALSE,"Summary";#N/A,#N/A,FALSE,"TY (formulas)";#N/A,#N/A,FALSE,"Q1 (ACT)";#N/A,#N/A,FALSE,"Q2 (Act)";#N/A,#N/A,FALSE,"Q3 (IOP)";#N/A,#N/A,FALSE,"Q4 (IOP)"}</definedName>
    <definedName name="wrn.Print._.TST._.Reports." hidden="1">{#N/A,#N/A,FALSE,"TST Reports";#N/A,#N/A,FALSE,"BNSF";#N/A,#N/A,FALSE,"NS";#N/A,#N/A,FALSE,"UP";#N/A,#N/A,FALSE,"CXS";#N/A,#N/A,FALSE,"CP";#N/A,#N/A,FALSE,"CN";#N/A,#N/A,FALSE,"Latin America";#N/A,#N/A,FALSE,"Other US Shortlines";#N/A,#N/A,FALSE,"NA Passenger";#N/A,#N/A,FALSE,"WE, Africa, ME";#N/A,#N/A,FALSE,"Eastern Europe, Russia";#N/A,#N/A,FALSE,"India &amp; W Asia";#N/A,#N/A,FALSE,"SE Asia"}</definedName>
    <definedName name="wrn.Relatório._.Porto."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wrn.RELPAC."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wrn.rma." hidden="1">{#N/A,#N/A,FALSE,"Plan1";#N/A,#N/A,FALSE,"Plan1 (2)";#N/A,#N/A,FALSE,"Plan1 (4)";#N/A,#N/A,FALSE,"Plan1 (5)";#N/A,#N/A,FALSE,"Plan1 (6)";#N/A,#N/A,FALSE,"600N6201";#N/A,#N/A,FALSE,"Plan1 (18)";#N/A,#N/A,FALSE,"Plan1 (16)";#N/A,#N/A,FALSE,"Plan1 (17)";#N/A,#N/A,FALSE,"Plan1 (13)";#N/A,#N/A,FALSE,"Plan1 (10)";#N/A,#N/A,FALSE,"Plan1 (11)";#N/A,#N/A,FALSE,"Plan1 (3)";#N/A,#N/A,FALSE,"Plan1 (8)";#N/A,#N/A,FALSE,"Plan1 (9)";#N/A,#N/A,FALSE,"Plan1 (12)";#N/A,#N/A,FALSE,"Plan1 (14)";#N/A,#N/A,FALSE,"Plan1 (15)"}</definedName>
    <definedName name="wrn.SITUAÇÃO._.DIÁRIA." hidden="1">{#N/A,#N/A,FALSE,"SITUAÇÃO DIÁRIA ";#N/A,#N/A,FALSE,"7 à 7"}</definedName>
    <definedName name="wrn.Tabs._.for._.Dave." hidden="1">{#N/A,#N/A,FALSE,"CW Summary";#N/A,#N/A,FALSE,"Weekly Tracking";#N/A,#N/A,FALSE,"MSA";#N/A,#N/A,FALSE,"Parts";#N/A,#N/A,FALSE,"RS";#N/A,#N/A,FALSE,"Mods";#N/A,#N/A,FALSE,"GEVISA"}</definedName>
    <definedName name="wrn.teste." hidden="1">{#N/A,#N/A,TRUE,"indice";#N/A,#N/A,TRUE,"indicadores";#N/A,#N/A,TRUE,"comentarios"}</definedName>
    <definedName name="WSDWS" hidden="1">{#N/A,#N/A,FALSE,"GERAL";#N/A,#N/A,FALSE,"012-96";#N/A,#N/A,FALSE,"018-96";#N/A,#N/A,FALSE,"027-96";#N/A,#N/A,FALSE,"059-96";#N/A,#N/A,FALSE,"076-96";#N/A,#N/A,FALSE,"019-97";#N/A,#N/A,FALSE,"021-97";#N/A,#N/A,FALSE,"022-97";#N/A,#N/A,FALSE,"028-97"}</definedName>
    <definedName name="wsewew" hidden="1">{#N/A,#N/A,FALSE,"PCOL"}</definedName>
    <definedName name="ww" hidden="1">{#N/A,#N/A,FALSE,"GERAL";#N/A,#N/A,FALSE,"012-96";#N/A,#N/A,FALSE,"018-96";#N/A,#N/A,FALSE,"027-96";#N/A,#N/A,FALSE,"059-96";#N/A,#N/A,FALSE,"076-96";#N/A,#N/A,FALSE,"019-97";#N/A,#N/A,FALSE,"021-97";#N/A,#N/A,FALSE,"022-97";#N/A,#N/A,FALSE,"028-97"}</definedName>
    <definedName name="WWWWWWWWWW" hidden="1">{"'gráf jan00'!$A$1:$AK$41"}</definedName>
    <definedName name="x" hidden="1">{#N/A,#N/A,FALSE,"GERAL";#N/A,#N/A,FALSE,"012-96";#N/A,#N/A,FALSE,"018-96";#N/A,#N/A,FALSE,"027-96";#N/A,#N/A,FALSE,"059-96";#N/A,#N/A,FALSE,"076-96";#N/A,#N/A,FALSE,"019-97";#N/A,#N/A,FALSE,"021-97";#N/A,#N/A,FALSE,"022-97";#N/A,#N/A,FALSE,"028-97"}</definedName>
    <definedName name="xaaxx"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xcxcx" hidden="1">{"'gráf jan00'!$A$1:$AK$41"}</definedName>
    <definedName name="xd" hidden="1">{"'gráf jan00'!$A$1:$AK$41"}</definedName>
    <definedName name="xdasf" hidden="1">{#N/A,#N/A,FALSE,"GERAL";#N/A,#N/A,FALSE,"012-96";#N/A,#N/A,FALSE,"018-96";#N/A,#N/A,FALSE,"027-96";#N/A,#N/A,FALSE,"059-96";#N/A,#N/A,FALSE,"076-96";#N/A,#N/A,FALSE,"019-97";#N/A,#N/A,FALSE,"021-97";#N/A,#N/A,FALSE,"022-97";#N/A,#N/A,FALSE,"028-97"}</definedName>
    <definedName name="xdet"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XDF" hidden="1">{"'Quadro'!$A$4:$BG$78"}</definedName>
    <definedName name="XDSAD" hidden="1">{"'REL CUSTODIF'!$B$1:$H$72"}</definedName>
    <definedName name="xfc" hidden="1">{"'REL CUSTODIF'!$B$1:$H$72"}</definedName>
    <definedName name="xuxa" hidden="1">{"'REL CUSTODIF'!$B$1:$H$72"}</definedName>
    <definedName name="xuxa1" hidden="1">{"'REL CUSTODIF'!$B$1:$H$72"}</definedName>
    <definedName name="XWERF" hidden="1">{"'REL CUSTODIF'!$B$1:$H$72"}</definedName>
    <definedName name="xx" hidden="1">{#N/A,#N/A,FALSE,"GERAL";#N/A,#N/A,FALSE,"012-96";#N/A,#N/A,FALSE,"018-96";#N/A,#N/A,FALSE,"027-96";#N/A,#N/A,FALSE,"059-96";#N/A,#N/A,FALSE,"076-96";#N/A,#N/A,FALSE,"019-97";#N/A,#N/A,FALSE,"021-97";#N/A,#N/A,FALSE,"022-97";#N/A,#N/A,FALSE,"028-97"}</definedName>
    <definedName name="XXX" hidden="1">{#N/A,#N/A,FALSE,"GERAL";#N/A,#N/A,FALSE,"012-96";#N/A,#N/A,FALSE,"018-96";#N/A,#N/A,FALSE,"027-96";#N/A,#N/A,FALSE,"059-96";#N/A,#N/A,FALSE,"076-96";#N/A,#N/A,FALSE,"019-97";#N/A,#N/A,FALSE,"021-97";#N/A,#N/A,FALSE,"022-97";#N/A,#N/A,FALSE,"028-97"}</definedName>
    <definedName name="xxxx" hidden="1">{#N/A,#N/A,FALSE,"GERAL";#N/A,#N/A,FALSE,"012-96";#N/A,#N/A,FALSE,"018-96";#N/A,#N/A,FALSE,"027-96";#N/A,#N/A,FALSE,"059-96";#N/A,#N/A,FALSE,"076-96";#N/A,#N/A,FALSE,"019-97";#N/A,#N/A,FALSE,"021-97";#N/A,#N/A,FALSE,"022-97";#N/A,#N/A,FALSE,"028-97"}</definedName>
    <definedName name="xxxxx"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xxxxxx"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xxxxxxx" hidden="1">{"'Gráfico Prod Km Realizado'!$A$1"}</definedName>
    <definedName name="ygv" hidden="1">{#N/A,#N/A,FALSE,"PCOL"}</definedName>
    <definedName name="YO" hidden="1">{"'Quadro'!$A$4:$BG$78"}</definedName>
    <definedName name="Z_09F1F36E_B8A3_491C_89C9_D00232BEB8F7_.wvu.FilterData" hidden="1">#REF!</definedName>
    <definedName name="ZDA\DS" hidden="1">{"'gráf jan00'!$A$1:$AK$41"}</definedName>
    <definedName name="zgfd" hidden="1">{"'gráf jan00'!$A$1:$AK$41"}</definedName>
  </definedNames>
  <calcPr calcId="191029"/>
  <pivotCaches>
    <pivotCache cacheId="0" r:id="rId17"/>
    <pivotCache cacheId="1" r:id="rId18"/>
    <pivotCache cacheId="2" r:id="rId1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2" i="19" l="1"/>
  <c r="P2" i="19"/>
  <c r="O24" i="19"/>
  <c r="R24" i="19" s="1"/>
  <c r="W24" i="19" s="1"/>
  <c r="AT24" i="19"/>
  <c r="O23" i="19"/>
  <c r="AT23" i="19"/>
  <c r="R23" i="19"/>
  <c r="W23" i="19" s="1"/>
  <c r="O22" i="19"/>
  <c r="R22" i="19" s="1"/>
  <c r="W22" i="19" s="1"/>
  <c r="AT22" i="19"/>
  <c r="O21" i="19"/>
  <c r="R21" i="19" s="1"/>
  <c r="W21" i="19" s="1"/>
  <c r="AT21" i="19"/>
  <c r="O17" i="19"/>
  <c r="O18" i="19"/>
  <c r="O19" i="19"/>
  <c r="O20" i="19"/>
  <c r="O5" i="19"/>
  <c r="O6" i="19"/>
  <c r="O7" i="19"/>
  <c r="O8" i="19"/>
  <c r="O9" i="19"/>
  <c r="R9" i="19" s="1"/>
  <c r="W9" i="19" s="1"/>
  <c r="O10" i="19"/>
  <c r="O11" i="19"/>
  <c r="O12" i="19"/>
  <c r="O13" i="19"/>
  <c r="R13" i="19" s="1"/>
  <c r="W13" i="19" s="1"/>
  <c r="O14" i="19"/>
  <c r="R14" i="19" s="1"/>
  <c r="W14" i="19" s="1"/>
  <c r="O15" i="19"/>
  <c r="R15" i="19" s="1"/>
  <c r="W15" i="19" s="1"/>
  <c r="O4" i="19"/>
  <c r="O16" i="19"/>
  <c r="AT20" i="19"/>
  <c r="R20" i="19"/>
  <c r="W20" i="19" s="1"/>
  <c r="AT19" i="19"/>
  <c r="R19" i="19"/>
  <c r="W19" i="19" s="1"/>
  <c r="AT18" i="19"/>
  <c r="R18" i="19"/>
  <c r="W18" i="19" s="1"/>
  <c r="AT17" i="19"/>
  <c r="R17" i="19"/>
  <c r="W17" i="19" s="1"/>
  <c r="AT16" i="19"/>
  <c r="R16" i="19"/>
  <c r="W16" i="19" s="1"/>
  <c r="AT15" i="19"/>
  <c r="AT14" i="19"/>
  <c r="AT13" i="19"/>
  <c r="AT12" i="19"/>
  <c r="R12" i="19"/>
  <c r="W12" i="19" s="1"/>
  <c r="AT11" i="19"/>
  <c r="R11" i="19"/>
  <c r="W11" i="19" s="1"/>
  <c r="AT10" i="19"/>
  <c r="R10" i="19"/>
  <c r="W10" i="19" s="1"/>
  <c r="AT9" i="19"/>
  <c r="AT8" i="19"/>
  <c r="R8" i="19"/>
  <c r="W8" i="19" s="1"/>
  <c r="AT7" i="19"/>
  <c r="R7" i="19"/>
  <c r="W7" i="19" s="1"/>
  <c r="AT6" i="19"/>
  <c r="R6" i="19"/>
  <c r="W6" i="19" s="1"/>
  <c r="AT5" i="19"/>
  <c r="R5" i="19"/>
  <c r="W5" i="19" s="1"/>
  <c r="R4" i="19"/>
  <c r="R408" i="19" l="1"/>
  <c r="W408" i="19" s="1"/>
  <c r="R407" i="19"/>
  <c r="R406" i="19"/>
  <c r="R405" i="19"/>
  <c r="W405" i="19" s="1"/>
  <c r="R404" i="19"/>
  <c r="R403" i="19"/>
  <c r="R402" i="19"/>
  <c r="R401" i="19"/>
  <c r="R400" i="19"/>
  <c r="R399" i="19"/>
  <c r="W399" i="19" s="1"/>
  <c r="R398" i="19"/>
  <c r="W398" i="19" s="1"/>
  <c r="R341" i="19"/>
  <c r="W341" i="19" s="1"/>
  <c r="W407" i="19"/>
  <c r="W406" i="19"/>
  <c r="W404" i="19"/>
  <c r="W403" i="19"/>
  <c r="W402" i="19"/>
  <c r="W401" i="19"/>
  <c r="W400" i="19"/>
  <c r="R56" i="19"/>
  <c r="W56" i="19"/>
  <c r="R192" i="19"/>
  <c r="W192" i="19" s="1"/>
  <c r="R287" i="19"/>
  <c r="W287" i="19" s="1"/>
  <c r="R286" i="19"/>
  <c r="W286" i="19" s="1"/>
  <c r="R285" i="19"/>
  <c r="W285" i="19"/>
  <c r="R197" i="19"/>
  <c r="W197" i="19" s="1"/>
  <c r="R190" i="19"/>
  <c r="W190" i="19" s="1"/>
  <c r="R189" i="19"/>
  <c r="W189" i="19" s="1"/>
  <c r="R338" i="19"/>
  <c r="W338" i="19" s="1"/>
  <c r="R333" i="19"/>
  <c r="W333" i="19" s="1"/>
  <c r="R331" i="19"/>
  <c r="W331" i="19" s="1"/>
  <c r="R329" i="19"/>
  <c r="W329" i="19" s="1"/>
  <c r="R199" i="19"/>
  <c r="W199" i="19" s="1"/>
  <c r="R198" i="19"/>
  <c r="W198" i="19" s="1"/>
  <c r="R188" i="19"/>
  <c r="W188" i="19"/>
  <c r="R214" i="19"/>
  <c r="W214" i="19" s="1"/>
  <c r="R196" i="19"/>
  <c r="W196" i="19" s="1"/>
  <c r="R269" i="19"/>
  <c r="W269" i="19" s="1"/>
  <c r="R191" i="19"/>
  <c r="W191" i="19"/>
  <c r="R295" i="19"/>
  <c r="W295" i="19" s="1"/>
  <c r="R215" i="19"/>
  <c r="W215" i="19" s="1"/>
  <c r="R284" i="19"/>
  <c r="W284" i="19" s="1"/>
  <c r="R195" i="19"/>
  <c r="W195" i="19" s="1"/>
  <c r="R221" i="19"/>
  <c r="W221" i="19" s="1"/>
  <c r="R218" i="19"/>
  <c r="W218" i="19" s="1"/>
  <c r="R212" i="19"/>
  <c r="W212" i="19" s="1"/>
  <c r="R220" i="19"/>
  <c r="W220" i="19" s="1"/>
  <c r="R219" i="19"/>
  <c r="W219" i="19" s="1"/>
  <c r="R217" i="19"/>
  <c r="W217" i="19" s="1"/>
  <c r="R216" i="19"/>
  <c r="W216" i="19" s="1"/>
  <c r="R213" i="19"/>
  <c r="W213" i="19" s="1"/>
  <c r="R211" i="19"/>
  <c r="W211" i="19" s="1"/>
  <c r="R52" i="19"/>
  <c r="W52" i="19" s="1"/>
  <c r="R51" i="19"/>
  <c r="W51" i="19" s="1"/>
  <c r="R50" i="19"/>
  <c r="W50" i="19" s="1"/>
  <c r="R49" i="19"/>
  <c r="W49" i="19" s="1"/>
  <c r="R48" i="19"/>
  <c r="W48" i="19"/>
  <c r="R47" i="19"/>
  <c r="W47" i="19" s="1"/>
  <c r="R46" i="19"/>
  <c r="W46" i="19" s="1"/>
  <c r="R45" i="19"/>
  <c r="W45" i="19" s="1"/>
  <c r="R44" i="19"/>
  <c r="W44" i="19"/>
  <c r="R43" i="19"/>
  <c r="W43" i="19" s="1"/>
  <c r="R42" i="19"/>
  <c r="W42" i="19" s="1"/>
  <c r="R41" i="19"/>
  <c r="W41" i="19" s="1"/>
  <c r="R40" i="19"/>
  <c r="W40" i="19" s="1"/>
  <c r="R39" i="19"/>
  <c r="W39" i="19" s="1"/>
  <c r="R38" i="19"/>
  <c r="W38" i="19" s="1"/>
  <c r="R37" i="19"/>
  <c r="W37" i="19" s="1"/>
  <c r="R36" i="19"/>
  <c r="W36" i="19" s="1"/>
  <c r="R35" i="19"/>
  <c r="W35" i="19" s="1"/>
  <c r="R34" i="19"/>
  <c r="W34" i="19"/>
  <c r="R33" i="19"/>
  <c r="W33" i="19" s="1"/>
  <c r="R32" i="19"/>
  <c r="W32" i="19" s="1"/>
  <c r="R31" i="19"/>
  <c r="W31" i="19" s="1"/>
  <c r="R30" i="19"/>
  <c r="W30" i="19" s="1"/>
  <c r="R29" i="19"/>
  <c r="W29" i="19" s="1"/>
  <c r="R28" i="19"/>
  <c r="W28" i="19" s="1"/>
  <c r="R27" i="19"/>
  <c r="W27" i="19" s="1"/>
  <c r="R26" i="19"/>
  <c r="W26" i="19" s="1"/>
  <c r="R25" i="19"/>
  <c r="W25" i="19" s="1"/>
  <c r="W4" i="19"/>
  <c r="R291" i="19"/>
  <c r="W291" i="19" s="1"/>
  <c r="R283" i="19"/>
  <c r="W283" i="19" s="1"/>
  <c r="R288" i="19"/>
  <c r="W288" i="19" s="1"/>
  <c r="R204" i="19"/>
  <c r="W204" i="19" s="1"/>
  <c r="R322" i="19"/>
  <c r="W322" i="19" s="1"/>
  <c r="R320" i="19"/>
  <c r="W320" i="19" s="1"/>
  <c r="R319" i="19"/>
  <c r="W319" i="19" s="1"/>
  <c r="R201" i="19"/>
  <c r="W201" i="19"/>
  <c r="R194" i="19"/>
  <c r="W194" i="19" s="1"/>
  <c r="R193" i="19"/>
  <c r="W193" i="19" s="1"/>
  <c r="R200" i="19"/>
  <c r="W200" i="19" s="1"/>
  <c r="R223" i="19"/>
  <c r="W223" i="19" s="1"/>
  <c r="R228" i="19"/>
  <c r="W228" i="19" s="1"/>
  <c r="R396" i="19"/>
  <c r="W396" i="19" s="1"/>
  <c r="R395" i="19"/>
  <c r="W395" i="19" s="1"/>
  <c r="R208" i="19"/>
  <c r="W208" i="19" s="1"/>
  <c r="R207" i="19"/>
  <c r="W207" i="19"/>
  <c r="R282" i="19"/>
  <c r="W282" i="19" s="1"/>
  <c r="R281" i="19"/>
  <c r="W281" i="19" s="1"/>
  <c r="R280" i="19"/>
  <c r="W280" i="19" s="1"/>
  <c r="R233" i="19"/>
  <c r="W233" i="19" s="1"/>
  <c r="R225" i="19"/>
  <c r="W225" i="19" s="1"/>
  <c r="R312" i="19"/>
  <c r="W312" i="19"/>
  <c r="R310" i="19"/>
  <c r="W310" i="19" s="1"/>
  <c r="R308" i="19"/>
  <c r="W308" i="19" s="1"/>
  <c r="R306" i="19"/>
  <c r="W306" i="19" s="1"/>
  <c r="R304" i="19"/>
  <c r="W304" i="19"/>
  <c r="R303" i="19"/>
  <c r="W303" i="19" s="1"/>
  <c r="R301" i="19"/>
  <c r="W301" i="19" s="1"/>
  <c r="R299" i="19"/>
  <c r="W299" i="19" s="1"/>
  <c r="R298" i="19"/>
  <c r="W298" i="19" s="1"/>
  <c r="R297" i="19"/>
  <c r="W297" i="19" s="1"/>
  <c r="R383" i="19"/>
  <c r="W383" i="19" s="1"/>
  <c r="R382" i="19"/>
  <c r="W382" i="19"/>
  <c r="R381" i="19"/>
  <c r="W381" i="19" s="1"/>
  <c r="R378" i="19"/>
  <c r="W378" i="19" s="1"/>
  <c r="R296" i="19"/>
  <c r="W296" i="19" s="1"/>
  <c r="R58" i="19"/>
  <c r="W58" i="19" s="1"/>
  <c r="R239" i="19"/>
  <c r="W239" i="19" s="1"/>
  <c r="R311" i="19"/>
  <c r="W311" i="19" s="1"/>
  <c r="R309" i="19"/>
  <c r="W309" i="19" s="1"/>
  <c r="R307" i="19"/>
  <c r="W307" i="19" s="1"/>
  <c r="R305" i="19"/>
  <c r="W305" i="19" s="1"/>
  <c r="R302" i="19"/>
  <c r="W302" i="19" s="1"/>
  <c r="R300" i="19"/>
  <c r="W300" i="19" s="1"/>
  <c r="R386" i="19"/>
  <c r="W386" i="19" s="1"/>
  <c r="R385" i="19"/>
  <c r="W385" i="19"/>
  <c r="R384" i="19"/>
  <c r="W384" i="19"/>
  <c r="R240" i="19"/>
  <c r="W240" i="19" s="1"/>
  <c r="R279" i="19"/>
  <c r="W279" i="19" s="1"/>
  <c r="R238" i="19"/>
  <c r="W238" i="19" s="1"/>
  <c r="R237" i="19"/>
  <c r="W237" i="19" s="1"/>
  <c r="R380" i="19"/>
  <c r="W380" i="19" s="1"/>
  <c r="R357" i="19"/>
  <c r="W357" i="19" s="1"/>
  <c r="R356" i="19"/>
  <c r="W356" i="19" s="1"/>
  <c r="R355" i="19"/>
  <c r="W355" i="19" s="1"/>
  <c r="R354" i="19"/>
  <c r="W354" i="19" s="1"/>
  <c r="R361" i="19"/>
  <c r="W361" i="19" s="1"/>
  <c r="R360" i="19"/>
  <c r="W360" i="19" s="1"/>
  <c r="R359" i="19"/>
  <c r="W359" i="19" s="1"/>
  <c r="R358" i="19"/>
  <c r="W358" i="19" s="1"/>
  <c r="R226" i="19"/>
  <c r="W226" i="19"/>
  <c r="R268" i="19"/>
  <c r="W268" i="19" s="1"/>
  <c r="R267" i="19"/>
  <c r="W267" i="19" s="1"/>
  <c r="R316" i="19"/>
  <c r="W316" i="19" s="1"/>
  <c r="R314" i="19"/>
  <c r="W314" i="19" s="1"/>
  <c r="R366" i="19"/>
  <c r="W366" i="19" s="1"/>
  <c r="R388" i="19"/>
  <c r="W388" i="19" s="1"/>
  <c r="R387" i="19"/>
  <c r="W387" i="19" s="1"/>
  <c r="R327" i="19"/>
  <c r="W327" i="19" s="1"/>
  <c r="R292" i="19"/>
  <c r="W292" i="19" s="1"/>
  <c r="R397" i="19"/>
  <c r="W397" i="19" s="1"/>
  <c r="R346" i="19"/>
  <c r="W346" i="19" s="1"/>
  <c r="R340" i="19"/>
  <c r="W340" i="19" s="1"/>
  <c r="R332" i="19"/>
  <c r="W332" i="19"/>
  <c r="R321" i="19"/>
  <c r="W321" i="19" s="1"/>
  <c r="R389" i="19"/>
  <c r="W389" i="19" s="1"/>
  <c r="R377" i="19"/>
  <c r="W377" i="19" s="1"/>
  <c r="R353" i="19"/>
  <c r="W353" i="19" s="1"/>
  <c r="R352" i="19"/>
  <c r="W352" i="19" s="1"/>
  <c r="R318" i="19"/>
  <c r="W318" i="19" s="1"/>
  <c r="R324" i="19"/>
  <c r="W324" i="19"/>
  <c r="R339" i="19"/>
  <c r="W339" i="19" s="1"/>
  <c r="R337" i="19"/>
  <c r="W337" i="19" s="1"/>
  <c r="R336" i="19"/>
  <c r="W336" i="19" s="1"/>
  <c r="R335" i="19"/>
  <c r="W335" i="19"/>
  <c r="R334" i="19"/>
  <c r="W334" i="19" s="1"/>
  <c r="R330" i="19"/>
  <c r="W330" i="19" s="1"/>
  <c r="R323" i="19"/>
  <c r="W323" i="19" s="1"/>
  <c r="R317" i="19"/>
  <c r="W317" i="19" s="1"/>
  <c r="R379" i="19"/>
  <c r="W379" i="19" s="1"/>
  <c r="R392" i="19"/>
  <c r="W392" i="19" s="1"/>
  <c r="R391" i="19"/>
  <c r="W391" i="19"/>
  <c r="R96" i="19"/>
  <c r="W96" i="19"/>
  <c r="R95" i="19"/>
  <c r="W95" i="19" s="1"/>
  <c r="R94" i="19"/>
  <c r="W94" i="19" s="1"/>
  <c r="R85" i="19"/>
  <c r="W85" i="19" s="1"/>
  <c r="R84" i="19"/>
  <c r="W84" i="19" s="1"/>
  <c r="R83" i="19"/>
  <c r="W83" i="19"/>
  <c r="R81" i="19"/>
  <c r="W81" i="19" s="1"/>
  <c r="R80" i="19"/>
  <c r="W80" i="19"/>
  <c r="R179" i="19"/>
  <c r="W179" i="19" s="1"/>
  <c r="R178" i="19"/>
  <c r="W178" i="19" s="1"/>
  <c r="R177" i="19"/>
  <c r="W177" i="19" s="1"/>
  <c r="R172" i="19"/>
  <c r="W172" i="19" s="1"/>
  <c r="R171" i="19"/>
  <c r="W171" i="19" s="1"/>
  <c r="R164" i="19"/>
  <c r="W164" i="19"/>
  <c r="R163" i="19"/>
  <c r="W163" i="19" s="1"/>
  <c r="R162" i="19"/>
  <c r="W162" i="19" s="1"/>
  <c r="R152" i="19"/>
  <c r="W152" i="19" s="1"/>
  <c r="R151" i="19"/>
  <c r="W151" i="19"/>
  <c r="R315" i="19"/>
  <c r="W315" i="19" s="1"/>
  <c r="R313" i="19"/>
  <c r="W313" i="19" s="1"/>
  <c r="R370" i="19"/>
  <c r="W370" i="19" s="1"/>
  <c r="R369" i="19"/>
  <c r="W369" i="19" s="1"/>
  <c r="R368" i="19"/>
  <c r="W368" i="19" s="1"/>
  <c r="R367" i="19"/>
  <c r="W367" i="19" s="1"/>
  <c r="R363" i="19"/>
  <c r="W363" i="19" s="1"/>
  <c r="R362" i="19"/>
  <c r="W362" i="19" s="1"/>
  <c r="R261" i="19"/>
  <c r="W261" i="19" s="1"/>
  <c r="R98" i="19"/>
  <c r="W98" i="19" s="1"/>
  <c r="R87" i="19"/>
  <c r="W87" i="19"/>
  <c r="R161" i="19"/>
  <c r="W161" i="19" s="1"/>
  <c r="R150" i="19"/>
  <c r="W150" i="19" s="1"/>
  <c r="R232" i="19"/>
  <c r="W232" i="19"/>
  <c r="R231" i="19"/>
  <c r="W231" i="19" s="1"/>
  <c r="R230" i="19"/>
  <c r="W230" i="19" s="1"/>
  <c r="R93" i="19"/>
  <c r="W93" i="19"/>
  <c r="R92" i="19"/>
  <c r="W92" i="19" s="1"/>
  <c r="R90" i="19"/>
  <c r="W90" i="19"/>
  <c r="R88" i="19"/>
  <c r="W88" i="19" s="1"/>
  <c r="R82" i="19"/>
  <c r="W82" i="19" s="1"/>
  <c r="R78" i="19"/>
  <c r="W78" i="19" s="1"/>
  <c r="R77" i="19"/>
  <c r="W77" i="19" s="1"/>
  <c r="R76" i="19"/>
  <c r="W76" i="19" s="1"/>
  <c r="R185" i="19"/>
  <c r="W185" i="19" s="1"/>
  <c r="R184" i="19"/>
  <c r="W184" i="19" s="1"/>
  <c r="R183" i="19"/>
  <c r="W183" i="19"/>
  <c r="R182" i="19"/>
  <c r="W182" i="19" s="1"/>
  <c r="R181" i="19"/>
  <c r="W181" i="19"/>
  <c r="R176" i="19"/>
  <c r="W176" i="19" s="1"/>
  <c r="R175" i="19"/>
  <c r="W175" i="19" s="1"/>
  <c r="R174" i="19"/>
  <c r="W174" i="19" s="1"/>
  <c r="R173" i="19"/>
  <c r="W173" i="19" s="1"/>
  <c r="R170" i="19"/>
  <c r="W170" i="19" s="1"/>
  <c r="R168" i="19"/>
  <c r="W168" i="19" s="1"/>
  <c r="R167" i="19"/>
  <c r="W167" i="19" s="1"/>
  <c r="R166" i="19"/>
  <c r="W166" i="19"/>
  <c r="R165" i="19"/>
  <c r="W165" i="19" s="1"/>
  <c r="R160" i="19"/>
  <c r="W160" i="19" s="1"/>
  <c r="R159" i="19"/>
  <c r="W159" i="19" s="1"/>
  <c r="R157" i="19"/>
  <c r="W157" i="19"/>
  <c r="R155" i="19"/>
  <c r="W155" i="19" s="1"/>
  <c r="R154" i="19"/>
  <c r="W154" i="19" s="1"/>
  <c r="R153" i="19"/>
  <c r="W153" i="19" s="1"/>
  <c r="R149" i="19"/>
  <c r="W149" i="19" s="1"/>
  <c r="R147" i="19"/>
  <c r="W147" i="19" s="1"/>
  <c r="R145" i="19"/>
  <c r="W145" i="19"/>
  <c r="R143" i="19"/>
  <c r="W143" i="19" s="1"/>
  <c r="R142" i="19"/>
  <c r="W142" i="19" s="1"/>
  <c r="R141" i="19"/>
  <c r="W141" i="19" s="1"/>
  <c r="R209" i="19"/>
  <c r="W209" i="19" s="1"/>
  <c r="R227" i="19"/>
  <c r="W227" i="19" s="1"/>
  <c r="R224" i="19"/>
  <c r="W224" i="19" s="1"/>
  <c r="R222" i="19"/>
  <c r="W222" i="19" s="1"/>
  <c r="R91" i="19"/>
  <c r="W91" i="19" s="1"/>
  <c r="R79" i="19"/>
  <c r="W79" i="19"/>
  <c r="R180" i="19"/>
  <c r="W180" i="19" s="1"/>
  <c r="R169" i="19"/>
  <c r="W169" i="19" s="1"/>
  <c r="R158" i="19"/>
  <c r="W158" i="19" s="1"/>
  <c r="R156" i="19"/>
  <c r="W156" i="19" s="1"/>
  <c r="R148" i="19"/>
  <c r="W148" i="19" s="1"/>
  <c r="R146" i="19"/>
  <c r="W146" i="19" s="1"/>
  <c r="R144" i="19"/>
  <c r="W144" i="19" s="1"/>
  <c r="R140" i="19"/>
  <c r="W140" i="19" s="1"/>
  <c r="R390" i="19"/>
  <c r="W390" i="19" s="1"/>
  <c r="R328" i="19"/>
  <c r="W328" i="19" s="1"/>
  <c r="R325" i="19"/>
  <c r="W325" i="19" s="1"/>
  <c r="R350" i="19"/>
  <c r="W350" i="19" s="1"/>
  <c r="R348" i="19"/>
  <c r="W348" i="19" s="1"/>
  <c r="R347" i="19"/>
  <c r="W347" i="19" s="1"/>
  <c r="R349" i="19"/>
  <c r="W349" i="19" s="1"/>
  <c r="R344" i="19"/>
  <c r="W344" i="19" s="1"/>
  <c r="R345" i="19"/>
  <c r="W345" i="19" s="1"/>
  <c r="R343" i="19"/>
  <c r="W343" i="19" s="1"/>
  <c r="R342" i="19"/>
  <c r="W342" i="19" s="1"/>
  <c r="R245" i="19"/>
  <c r="W245" i="19" s="1"/>
  <c r="R242" i="19"/>
  <c r="W242" i="19" s="1"/>
  <c r="R235" i="19"/>
  <c r="W235" i="19"/>
  <c r="R294" i="19"/>
  <c r="W294" i="19" s="1"/>
  <c r="R293" i="19"/>
  <c r="W293" i="19" s="1"/>
  <c r="R205" i="19"/>
  <c r="W205" i="19" s="1"/>
  <c r="R202" i="19"/>
  <c r="W202" i="19" s="1"/>
  <c r="R326" i="19"/>
  <c r="W326" i="19" s="1"/>
  <c r="R229" i="19"/>
  <c r="W229" i="19" s="1"/>
  <c r="R265" i="19"/>
  <c r="W265" i="19" s="1"/>
  <c r="R263" i="19"/>
  <c r="W263" i="19" s="1"/>
  <c r="R256" i="19"/>
  <c r="W256" i="19" s="1"/>
  <c r="R252" i="19"/>
  <c r="W252" i="19" s="1"/>
  <c r="R249" i="19"/>
  <c r="W249" i="19" s="1"/>
  <c r="R266" i="19"/>
  <c r="W266" i="19" s="1"/>
  <c r="R264" i="19"/>
  <c r="W264" i="19"/>
  <c r="R258" i="19"/>
  <c r="W258" i="19" s="1"/>
  <c r="R255" i="19"/>
  <c r="W255" i="19" s="1"/>
  <c r="R251" i="19"/>
  <c r="W251" i="19" s="1"/>
  <c r="R259" i="19"/>
  <c r="W259" i="19" s="1"/>
  <c r="R257" i="19"/>
  <c r="W257" i="19" s="1"/>
  <c r="R253" i="19"/>
  <c r="W253" i="19" s="1"/>
  <c r="R61" i="19"/>
  <c r="W61" i="19" s="1"/>
  <c r="R62" i="19"/>
  <c r="W62" i="19" s="1"/>
  <c r="R278" i="19"/>
  <c r="W278" i="19" s="1"/>
  <c r="R206" i="19"/>
  <c r="W206" i="19"/>
  <c r="R248" i="19"/>
  <c r="W248" i="19" s="1"/>
  <c r="R203" i="19"/>
  <c r="W203" i="19" s="1"/>
  <c r="R275" i="19"/>
  <c r="W275" i="19" s="1"/>
  <c r="R290" i="19"/>
  <c r="W290" i="19" s="1"/>
  <c r="R289" i="19"/>
  <c r="W289" i="19" s="1"/>
  <c r="R277" i="19"/>
  <c r="W277" i="19" s="1"/>
  <c r="R272" i="19"/>
  <c r="W272" i="19" s="1"/>
  <c r="R262" i="19"/>
  <c r="W262" i="19" s="1"/>
  <c r="R260" i="19"/>
  <c r="W260" i="19" s="1"/>
  <c r="R254" i="19"/>
  <c r="W254" i="19" s="1"/>
  <c r="R250" i="19"/>
  <c r="W250" i="19" s="1"/>
  <c r="R247" i="19"/>
  <c r="W247" i="19" s="1"/>
  <c r="R246" i="19"/>
  <c r="W246" i="19" s="1"/>
  <c r="R244" i="19"/>
  <c r="W244" i="19" s="1"/>
  <c r="R243" i="19"/>
  <c r="W243" i="19" s="1"/>
  <c r="R241" i="19"/>
  <c r="W241" i="19" s="1"/>
  <c r="R236" i="19"/>
  <c r="W236" i="19" s="1"/>
  <c r="R234" i="19"/>
  <c r="W234" i="19"/>
  <c r="R274" i="19"/>
  <c r="W274" i="19" s="1"/>
  <c r="R394" i="19"/>
  <c r="W394" i="19" s="1"/>
  <c r="R100" i="19"/>
  <c r="W100" i="19"/>
  <c r="R63" i="19"/>
  <c r="W63" i="19" s="1"/>
  <c r="R375" i="19"/>
  <c r="W375" i="19" s="1"/>
  <c r="R393" i="19"/>
  <c r="W393" i="19" s="1"/>
  <c r="R99" i="19"/>
  <c r="W99" i="19" s="1"/>
  <c r="R138" i="19"/>
  <c r="W138" i="19" s="1"/>
  <c r="R133" i="19"/>
  <c r="W133" i="19"/>
  <c r="R132" i="19"/>
  <c r="W132" i="19" s="1"/>
  <c r="R59" i="19"/>
  <c r="W59" i="19" s="1"/>
  <c r="R55" i="19"/>
  <c r="W55" i="19"/>
  <c r="R54" i="19"/>
  <c r="W54" i="19" s="1"/>
  <c r="R139" i="19"/>
  <c r="W139" i="19" s="1"/>
  <c r="R137" i="19"/>
  <c r="W137" i="19" s="1"/>
  <c r="R136" i="19"/>
  <c r="W136" i="19" s="1"/>
  <c r="R135" i="19"/>
  <c r="W135" i="19" s="1"/>
  <c r="R134" i="19"/>
  <c r="W134" i="19" s="1"/>
  <c r="R130" i="19"/>
  <c r="W130" i="19" s="1"/>
  <c r="R129" i="19"/>
  <c r="W129" i="19" s="1"/>
  <c r="R128" i="19"/>
  <c r="W128" i="19" s="1"/>
  <c r="R126" i="19"/>
  <c r="W126" i="19" s="1"/>
  <c r="R125" i="19"/>
  <c r="W125" i="19" s="1"/>
  <c r="R124" i="19"/>
  <c r="W124" i="19" s="1"/>
  <c r="R123" i="19"/>
  <c r="W123" i="19" s="1"/>
  <c r="R122" i="19"/>
  <c r="W122" i="19" s="1"/>
  <c r="R120" i="19"/>
  <c r="W120" i="19" s="1"/>
  <c r="R119" i="19"/>
  <c r="W119" i="19" s="1"/>
  <c r="R118" i="19"/>
  <c r="W118" i="19" s="1"/>
  <c r="R117" i="19"/>
  <c r="W117" i="19" s="1"/>
  <c r="R115" i="19"/>
  <c r="W115" i="19" s="1"/>
  <c r="R113" i="19"/>
  <c r="W113" i="19" s="1"/>
  <c r="R112" i="19"/>
  <c r="W112" i="19" s="1"/>
  <c r="R103" i="19"/>
  <c r="W103" i="19" s="1"/>
  <c r="R131" i="19"/>
  <c r="W131" i="19" s="1"/>
  <c r="R127" i="19"/>
  <c r="W127" i="19" s="1"/>
  <c r="R121" i="19"/>
  <c r="W121" i="19" s="1"/>
  <c r="R116" i="19"/>
  <c r="W116" i="19" s="1"/>
  <c r="R114" i="19"/>
  <c r="W114" i="19" s="1"/>
  <c r="R60" i="19"/>
  <c r="W60" i="19" s="1"/>
  <c r="R57" i="19"/>
  <c r="W57" i="19" s="1"/>
  <c r="R53" i="19"/>
  <c r="W53" i="19" s="1"/>
  <c r="R276" i="19"/>
  <c r="W276" i="19" s="1"/>
  <c r="R273" i="19"/>
  <c r="W273" i="19"/>
  <c r="R65" i="19"/>
  <c r="W65" i="19" s="1"/>
  <c r="R351" i="19"/>
  <c r="W351" i="19" s="1"/>
  <c r="R210" i="19"/>
  <c r="W210" i="19" s="1"/>
  <c r="R271" i="19"/>
  <c r="W271" i="19"/>
  <c r="R69" i="19"/>
  <c r="W69" i="19" s="1"/>
  <c r="R68" i="19"/>
  <c r="W68" i="19" s="1"/>
  <c r="R110" i="19"/>
  <c r="W110" i="19" s="1"/>
  <c r="R75" i="19"/>
  <c r="W75" i="19" s="1"/>
  <c r="R74" i="19"/>
  <c r="W74" i="19" s="1"/>
  <c r="R73" i="19"/>
  <c r="W73" i="19" s="1"/>
  <c r="R72" i="19"/>
  <c r="W72" i="19"/>
  <c r="R70" i="19"/>
  <c r="W70" i="19" s="1"/>
  <c r="R67" i="19"/>
  <c r="W67" i="19" s="1"/>
  <c r="R66" i="19"/>
  <c r="W66" i="19" s="1"/>
  <c r="R64" i="19"/>
  <c r="W64" i="19" s="1"/>
  <c r="R111" i="19"/>
  <c r="W111" i="19" s="1"/>
  <c r="R71" i="19"/>
  <c r="W71" i="19" s="1"/>
  <c r="R89" i="19"/>
  <c r="W89" i="19"/>
  <c r="R187" i="19"/>
  <c r="W187" i="19" s="1"/>
  <c r="R186" i="19"/>
  <c r="W186" i="19" s="1"/>
  <c r="R374" i="19"/>
  <c r="W374" i="19" s="1"/>
  <c r="R373" i="19"/>
  <c r="W373" i="19" s="1"/>
  <c r="R372" i="19"/>
  <c r="W372" i="19" s="1"/>
  <c r="R371" i="19"/>
  <c r="W371" i="19" s="1"/>
  <c r="R365" i="19"/>
  <c r="W365" i="19" s="1"/>
  <c r="R364" i="19"/>
  <c r="W364" i="19" s="1"/>
  <c r="R86" i="19"/>
  <c r="W86" i="19" s="1"/>
  <c r="R109" i="19"/>
  <c r="W109" i="19" s="1"/>
  <c r="R102" i="19"/>
  <c r="W102" i="19"/>
  <c r="R104" i="19"/>
  <c r="W104" i="19" s="1"/>
  <c r="R97" i="19"/>
  <c r="W97" i="19" s="1"/>
  <c r="R101" i="19"/>
  <c r="W101" i="19" s="1"/>
  <c r="R108" i="19"/>
  <c r="W108" i="19" s="1"/>
  <c r="R106" i="19"/>
  <c r="W106" i="19" s="1"/>
  <c r="R107" i="19"/>
  <c r="W107" i="19" s="1"/>
  <c r="R105" i="19"/>
  <c r="W105" i="19" s="1"/>
  <c r="R270" i="19"/>
  <c r="W270" i="19" s="1"/>
  <c r="R376" i="19"/>
  <c r="W376" i="19" s="1"/>
  <c r="AT270" i="19"/>
  <c r="AT105" i="19"/>
  <c r="AT107" i="19"/>
  <c r="AT106" i="19"/>
  <c r="AT108" i="19"/>
  <c r="AT101" i="19"/>
  <c r="AT97" i="19"/>
  <c r="AT104" i="19"/>
  <c r="AT102" i="19"/>
  <c r="AT109" i="19"/>
  <c r="AT86" i="19"/>
  <c r="AT364" i="19"/>
  <c r="AT365" i="19"/>
  <c r="AT371" i="19"/>
  <c r="AT372" i="19"/>
  <c r="AT373" i="19"/>
  <c r="AT374" i="19"/>
  <c r="AT186" i="19"/>
  <c r="AT187" i="19"/>
  <c r="AT89" i="19"/>
  <c r="AT71" i="19"/>
  <c r="AT111" i="19"/>
  <c r="AT64" i="19"/>
  <c r="AT66" i="19"/>
  <c r="AT67" i="19"/>
  <c r="AT70" i="19"/>
  <c r="AT72" i="19"/>
  <c r="AT73" i="19"/>
  <c r="AT74" i="19"/>
  <c r="AT75" i="19"/>
  <c r="AT110" i="19"/>
  <c r="AT68" i="19"/>
  <c r="AT69" i="19"/>
  <c r="AT271" i="19"/>
  <c r="AT210" i="19"/>
  <c r="AT351" i="19"/>
  <c r="AT65" i="19"/>
  <c r="AT273" i="19"/>
  <c r="AT276" i="19"/>
  <c r="AT53" i="19"/>
  <c r="AT57" i="19"/>
  <c r="AT60" i="19"/>
  <c r="AT114" i="19"/>
  <c r="AT116" i="19"/>
  <c r="AT121" i="19"/>
  <c r="AT127" i="19"/>
  <c r="AT131" i="19"/>
  <c r="AT103" i="19"/>
  <c r="AT112" i="19"/>
  <c r="AT113" i="19"/>
  <c r="AT115" i="19"/>
  <c r="AT117" i="19"/>
  <c r="AT118" i="19"/>
  <c r="AT119" i="19"/>
  <c r="AT120" i="19"/>
  <c r="AT122" i="19"/>
  <c r="AT123" i="19"/>
  <c r="AT124" i="19"/>
  <c r="AT125" i="19"/>
  <c r="AT126" i="19"/>
  <c r="AT128" i="19"/>
  <c r="AT129" i="19"/>
  <c r="AT130" i="19"/>
  <c r="AT134" i="19"/>
  <c r="AT135" i="19"/>
  <c r="AT136" i="19"/>
  <c r="AT137" i="19"/>
  <c r="AT139" i="19"/>
  <c r="AT54" i="19"/>
  <c r="AT55" i="19"/>
  <c r="AT59" i="19"/>
  <c r="AT132" i="19"/>
  <c r="AT133" i="19"/>
  <c r="AT138" i="19"/>
  <c r="AT99" i="19"/>
  <c r="AT393" i="19"/>
  <c r="AT375" i="19"/>
  <c r="AT63" i="19"/>
  <c r="AT100" i="19"/>
  <c r="AT394" i="19"/>
  <c r="AT274" i="19"/>
  <c r="AT234" i="19"/>
  <c r="AT236" i="19"/>
  <c r="AT241" i="19"/>
  <c r="AT243" i="19"/>
  <c r="AT244" i="19"/>
  <c r="AT246" i="19"/>
  <c r="AT247" i="19"/>
  <c r="AT250" i="19"/>
  <c r="AT254" i="19"/>
  <c r="AT260" i="19"/>
  <c r="AT262" i="19"/>
  <c r="AT272" i="19"/>
  <c r="AT277" i="19"/>
  <c r="AT289" i="19"/>
  <c r="AT290" i="19"/>
  <c r="AT275" i="19"/>
  <c r="AT203" i="19"/>
  <c r="AT248" i="19"/>
  <c r="AT206" i="19"/>
  <c r="AT278" i="19"/>
  <c r="AT62" i="19"/>
  <c r="AT61" i="19"/>
  <c r="AT253" i="19"/>
  <c r="AT257" i="19"/>
  <c r="AT259" i="19"/>
  <c r="AT251" i="19"/>
  <c r="AT255" i="19"/>
  <c r="AT258" i="19"/>
  <c r="AT264" i="19"/>
  <c r="AT266" i="19"/>
  <c r="AT249" i="19"/>
  <c r="AT252" i="19"/>
  <c r="AT256" i="19"/>
  <c r="AT263" i="19"/>
  <c r="AT265" i="19"/>
  <c r="AT229" i="19"/>
  <c r="AT326" i="19"/>
  <c r="AT202" i="19"/>
  <c r="AT205" i="19"/>
  <c r="AT293" i="19"/>
  <c r="AT294" i="19"/>
  <c r="AT235" i="19"/>
  <c r="AT242" i="19"/>
  <c r="AT245" i="19"/>
  <c r="AT342" i="19"/>
  <c r="AT343" i="19"/>
  <c r="AT345" i="19"/>
  <c r="AT344" i="19"/>
  <c r="AT349" i="19"/>
  <c r="AT347" i="19"/>
  <c r="AT348" i="19"/>
  <c r="AT350" i="19"/>
  <c r="AT325" i="19"/>
  <c r="AT328" i="19"/>
  <c r="AT390" i="19"/>
  <c r="AT140" i="19"/>
  <c r="AT144" i="19"/>
  <c r="AT146" i="19"/>
  <c r="AT148" i="19"/>
  <c r="AT156" i="19"/>
  <c r="AT158" i="19"/>
  <c r="AT169" i="19"/>
  <c r="AT180" i="19"/>
  <c r="AT79" i="19"/>
  <c r="AT91" i="19"/>
  <c r="AT222" i="19"/>
  <c r="AT224" i="19"/>
  <c r="AT227" i="19"/>
  <c r="AT209" i="19"/>
  <c r="AT141" i="19"/>
  <c r="AT142" i="19"/>
  <c r="AT143" i="19"/>
  <c r="AT145" i="19"/>
  <c r="AT147" i="19"/>
  <c r="AT149" i="19"/>
  <c r="AT153" i="19"/>
  <c r="AT154" i="19"/>
  <c r="AT155" i="19"/>
  <c r="AT157" i="19"/>
  <c r="AT159" i="19"/>
  <c r="AT160" i="19"/>
  <c r="AT165" i="19"/>
  <c r="AT166" i="19"/>
  <c r="AT167" i="19"/>
  <c r="AT168" i="19"/>
  <c r="AT170" i="19"/>
  <c r="AT173" i="19"/>
  <c r="AT174" i="19"/>
  <c r="AT175" i="19"/>
  <c r="AT176" i="19"/>
  <c r="AT181" i="19"/>
  <c r="AT182" i="19"/>
  <c r="AT183" i="19"/>
  <c r="AT184" i="19"/>
  <c r="AT185" i="19"/>
  <c r="AT76" i="19"/>
  <c r="AT77" i="19"/>
  <c r="AT78" i="19"/>
  <c r="AT82" i="19"/>
  <c r="AT88" i="19"/>
  <c r="AT90" i="19"/>
  <c r="AT92" i="19"/>
  <c r="AT93" i="19"/>
  <c r="AT230" i="19"/>
  <c r="AT231" i="19"/>
  <c r="AT232" i="19"/>
  <c r="AT150" i="19"/>
  <c r="AT161" i="19"/>
  <c r="AT87" i="19"/>
  <c r="AT98" i="19"/>
  <c r="AT261" i="19"/>
  <c r="AT362" i="19"/>
  <c r="AT363" i="19"/>
  <c r="AT367" i="19"/>
  <c r="AT368" i="19"/>
  <c r="AT369" i="19"/>
  <c r="AT370" i="19"/>
  <c r="AT313" i="19"/>
  <c r="AT315" i="19"/>
  <c r="AT151" i="19"/>
  <c r="AT152" i="19"/>
  <c r="AT162" i="19"/>
  <c r="AT163" i="19"/>
  <c r="AT164" i="19"/>
  <c r="AT171" i="19"/>
  <c r="AT172" i="19"/>
  <c r="AT177" i="19"/>
  <c r="AT178" i="19"/>
  <c r="AT179" i="19"/>
  <c r="AT80" i="19"/>
  <c r="AT81" i="19"/>
  <c r="AT83" i="19"/>
  <c r="AT84" i="19"/>
  <c r="AT85" i="19"/>
  <c r="AT94" i="19"/>
  <c r="AT95" i="19"/>
  <c r="AT96" i="19"/>
  <c r="AT391" i="19"/>
  <c r="AT392" i="19"/>
  <c r="AT379" i="19"/>
  <c r="AT317" i="19"/>
  <c r="AT323" i="19"/>
  <c r="AT330" i="19"/>
  <c r="AT334" i="19"/>
  <c r="AT335" i="19"/>
  <c r="AT336" i="19"/>
  <c r="AT337" i="19"/>
  <c r="AT339" i="19"/>
  <c r="AT324" i="19"/>
  <c r="AT318" i="19"/>
  <c r="AT352" i="19"/>
  <c r="AT353" i="19"/>
  <c r="AT377" i="19"/>
  <c r="AT389" i="19"/>
  <c r="AT321" i="19"/>
  <c r="AT332" i="19"/>
  <c r="AT340" i="19"/>
  <c r="AT346" i="19"/>
  <c r="AT397" i="19"/>
  <c r="AT292" i="19"/>
  <c r="AT327" i="19"/>
  <c r="AT387" i="19"/>
  <c r="AT388" i="19"/>
  <c r="AT366" i="19"/>
  <c r="AT314" i="19"/>
  <c r="AT316" i="19"/>
  <c r="AT267" i="19"/>
  <c r="AT268" i="19"/>
  <c r="AT226" i="19"/>
  <c r="AT358" i="19"/>
  <c r="AT359" i="19"/>
  <c r="AT360" i="19"/>
  <c r="AT361" i="19"/>
  <c r="AT354" i="19"/>
  <c r="AT355" i="19"/>
  <c r="AT356" i="19"/>
  <c r="AT357" i="19"/>
  <c r="AT380" i="19"/>
  <c r="AT237" i="19"/>
  <c r="AT238" i="19"/>
  <c r="AT279" i="19"/>
  <c r="AT240" i="19"/>
  <c r="AT384" i="19"/>
  <c r="AT385" i="19"/>
  <c r="AT386" i="19"/>
  <c r="AT300" i="19"/>
  <c r="AT302" i="19"/>
  <c r="AT305" i="19"/>
  <c r="AT307" i="19"/>
  <c r="AT309" i="19"/>
  <c r="AT311" i="19"/>
  <c r="AT239" i="19"/>
  <c r="AT58" i="19"/>
  <c r="AT296" i="19"/>
  <c r="AT378" i="19"/>
  <c r="AT381" i="19"/>
  <c r="AT382" i="19"/>
  <c r="AT383" i="19"/>
  <c r="AT297" i="19"/>
  <c r="AT298" i="19"/>
  <c r="AT299" i="19"/>
  <c r="AT301" i="19"/>
  <c r="AT303" i="19"/>
  <c r="AT304" i="19"/>
  <c r="AT306" i="19"/>
  <c r="AT308" i="19"/>
  <c r="AT310" i="19"/>
  <c r="AT312" i="19"/>
  <c r="AT225" i="19"/>
  <c r="AT233" i="19"/>
  <c r="AT280" i="19"/>
  <c r="AT281" i="19"/>
  <c r="AT282" i="19"/>
  <c r="AT207" i="19"/>
  <c r="AT208" i="19"/>
  <c r="AT395" i="19"/>
  <c r="AT396" i="19"/>
  <c r="AT228" i="19"/>
  <c r="AT223" i="19"/>
  <c r="AT200" i="19"/>
  <c r="AT193" i="19"/>
  <c r="AT194" i="19"/>
  <c r="AT201" i="19"/>
  <c r="AT319" i="19"/>
  <c r="AT320" i="19"/>
  <c r="AT322" i="19"/>
  <c r="AT204" i="19"/>
  <c r="AT288" i="19"/>
  <c r="AT283" i="19"/>
  <c r="AT291" i="19"/>
  <c r="AT4" i="19"/>
  <c r="AT25" i="19"/>
  <c r="AT26" i="19"/>
  <c r="AT27" i="19"/>
  <c r="AT28" i="19"/>
  <c r="AT29" i="19"/>
  <c r="AT30" i="19"/>
  <c r="AT31" i="19"/>
  <c r="AT32" i="19"/>
  <c r="AT33" i="19"/>
  <c r="AT34" i="19"/>
  <c r="AT35" i="19"/>
  <c r="AT36" i="19"/>
  <c r="AT37" i="19"/>
  <c r="AT38" i="19"/>
  <c r="AT39" i="19"/>
  <c r="AT40" i="19"/>
  <c r="AT41" i="19"/>
  <c r="AT42" i="19"/>
  <c r="AT43" i="19"/>
  <c r="AT44" i="19"/>
  <c r="AT45" i="19"/>
  <c r="AT46" i="19"/>
  <c r="AT47" i="19"/>
  <c r="AT48" i="19"/>
  <c r="AT49" i="19"/>
  <c r="AT50" i="19"/>
  <c r="AT51" i="19"/>
  <c r="AT52" i="19"/>
  <c r="AT211" i="19"/>
  <c r="AT213" i="19"/>
  <c r="AT216" i="19"/>
  <c r="AT217" i="19"/>
  <c r="AT219" i="19"/>
  <c r="AT220" i="19"/>
  <c r="AT212" i="19"/>
  <c r="AT218" i="19"/>
  <c r="AT221" i="19"/>
  <c r="AT195" i="19"/>
  <c r="AT284" i="19"/>
  <c r="AT215" i="19"/>
  <c r="AT295" i="19"/>
  <c r="AT191" i="19"/>
  <c r="AT269" i="19"/>
  <c r="AT196" i="19"/>
  <c r="AT214" i="19"/>
  <c r="AT188" i="19"/>
  <c r="AT198" i="19"/>
  <c r="AT199" i="19"/>
  <c r="AT329" i="19"/>
  <c r="AT331" i="19"/>
  <c r="AT333" i="19"/>
  <c r="AT338" i="19"/>
  <c r="AT189" i="19"/>
  <c r="AT190" i="19"/>
  <c r="AT197" i="19"/>
  <c r="AT285" i="19"/>
  <c r="AT286" i="19"/>
  <c r="AT287" i="19"/>
  <c r="AT192" i="19"/>
  <c r="AT56" i="19"/>
  <c r="AT376" i="19"/>
  <c r="AB2" i="19"/>
  <c r="AR2" i="19"/>
  <c r="AQ2" i="19"/>
  <c r="AP2" i="19"/>
  <c r="AO2" i="19"/>
  <c r="T2" i="19"/>
  <c r="S2" i="19"/>
  <c r="B2" i="19"/>
  <c r="AR1" i="19"/>
  <c r="AQ1" i="19"/>
  <c r="AP1" i="19"/>
  <c r="AO1" i="19"/>
  <c r="T1" i="19"/>
  <c r="S1" i="19"/>
  <c r="N760" i="15"/>
  <c r="K760" i="15"/>
  <c r="P759" i="15"/>
  <c r="O759" i="15"/>
  <c r="Q759" i="15"/>
  <c r="N759" i="15"/>
  <c r="P758" i="15"/>
  <c r="O758" i="15"/>
  <c r="Q758" i="15"/>
  <c r="N758" i="15"/>
  <c r="P756" i="15"/>
  <c r="O756" i="15"/>
  <c r="Q756" i="15"/>
  <c r="N756" i="15"/>
  <c r="Q753" i="15"/>
  <c r="P753" i="15"/>
  <c r="O753" i="15"/>
  <c r="N753" i="15"/>
  <c r="P750" i="15"/>
  <c r="O750" i="15"/>
  <c r="Q750" i="15"/>
  <c r="N750" i="15"/>
  <c r="P746" i="15"/>
  <c r="Q746" i="15"/>
  <c r="O746" i="15"/>
  <c r="N746" i="15"/>
  <c r="P745" i="15"/>
  <c r="O745" i="15"/>
  <c r="Q745" i="15"/>
  <c r="N745" i="15"/>
  <c r="P741" i="15"/>
  <c r="O741" i="15"/>
  <c r="Q741" i="15"/>
  <c r="N741" i="15"/>
  <c r="P739" i="15"/>
  <c r="O739" i="15"/>
  <c r="Q739" i="15"/>
  <c r="N739" i="15"/>
  <c r="Q738" i="15"/>
  <c r="P738" i="15"/>
  <c r="O738" i="15"/>
  <c r="N738" i="15"/>
  <c r="P735" i="15"/>
  <c r="O735" i="15"/>
  <c r="Q735" i="15"/>
  <c r="N735" i="15"/>
  <c r="P732" i="15"/>
  <c r="Q732" i="15"/>
  <c r="O732" i="15"/>
  <c r="N732" i="15"/>
  <c r="P730" i="15"/>
  <c r="O730" i="15"/>
  <c r="Q730" i="15"/>
  <c r="N730" i="15"/>
  <c r="P727" i="15"/>
  <c r="O727" i="15"/>
  <c r="Q727" i="15"/>
  <c r="N727" i="15"/>
  <c r="P725" i="15"/>
  <c r="O725" i="15"/>
  <c r="Q725" i="15"/>
  <c r="N725" i="15"/>
  <c r="P722" i="15"/>
  <c r="O722" i="15"/>
  <c r="Q722" i="15"/>
  <c r="N722" i="15"/>
  <c r="P721" i="15"/>
  <c r="O721" i="15"/>
  <c r="Q721" i="15"/>
  <c r="N721" i="15"/>
  <c r="P719" i="15"/>
  <c r="O719" i="15"/>
  <c r="Q719" i="15"/>
  <c r="N719" i="15"/>
  <c r="P718" i="15"/>
  <c r="O718" i="15"/>
  <c r="Q718" i="15"/>
  <c r="N718" i="15"/>
  <c r="Q715" i="15"/>
  <c r="P715" i="15"/>
  <c r="O715" i="15"/>
  <c r="N715" i="15"/>
  <c r="P714" i="15"/>
  <c r="O714" i="15"/>
  <c r="Q714" i="15"/>
  <c r="N714" i="15"/>
  <c r="P713" i="15"/>
  <c r="Q713" i="15"/>
  <c r="O713" i="15"/>
  <c r="N713" i="15"/>
  <c r="P711" i="15"/>
  <c r="O711" i="15"/>
  <c r="Q711" i="15"/>
  <c r="N711" i="15"/>
  <c r="P708" i="15"/>
  <c r="O708" i="15"/>
  <c r="Q708" i="15"/>
  <c r="N708" i="15"/>
  <c r="P707" i="15"/>
  <c r="O707" i="15"/>
  <c r="Q707" i="15"/>
  <c r="N707" i="15"/>
  <c r="Q706" i="15"/>
  <c r="P706" i="15"/>
  <c r="O706" i="15"/>
  <c r="N706" i="15"/>
  <c r="P705" i="15"/>
  <c r="O705" i="15"/>
  <c r="Q705" i="15"/>
  <c r="N705" i="15"/>
  <c r="P702" i="15"/>
  <c r="Q702" i="15"/>
  <c r="O702" i="15"/>
  <c r="N702" i="15"/>
  <c r="P701" i="15"/>
  <c r="O701" i="15"/>
  <c r="Q701" i="15"/>
  <c r="N701" i="15"/>
  <c r="P699" i="15"/>
  <c r="O699" i="15"/>
  <c r="Q699" i="15"/>
  <c r="N699" i="15"/>
  <c r="P697" i="15"/>
  <c r="O697" i="15"/>
  <c r="Q697" i="15"/>
  <c r="N697" i="15"/>
  <c r="P695" i="15"/>
  <c r="O695" i="15"/>
  <c r="Q695" i="15"/>
  <c r="N695" i="15"/>
  <c r="P693" i="15"/>
  <c r="O693" i="15"/>
  <c r="Q693" i="15"/>
  <c r="N693" i="15"/>
  <c r="P692" i="15"/>
  <c r="O692" i="15"/>
  <c r="Q692" i="15"/>
  <c r="N692" i="15"/>
  <c r="P688" i="15"/>
  <c r="O688" i="15"/>
  <c r="Q688" i="15"/>
  <c r="N688" i="15"/>
  <c r="Q686" i="15"/>
  <c r="P686" i="15"/>
  <c r="O686" i="15"/>
  <c r="N686" i="15"/>
  <c r="P684" i="15"/>
  <c r="O684" i="15"/>
  <c r="Q684" i="15"/>
  <c r="N684" i="15"/>
  <c r="P682" i="15"/>
  <c r="Q682" i="15"/>
  <c r="O682" i="15"/>
  <c r="N682" i="15"/>
  <c r="P680" i="15"/>
  <c r="O680" i="15"/>
  <c r="Q680" i="15"/>
  <c r="N680" i="15"/>
  <c r="K675" i="15"/>
  <c r="P674" i="15"/>
  <c r="O674" i="15"/>
  <c r="Q674" i="15"/>
  <c r="N674" i="15"/>
  <c r="P673" i="15"/>
  <c r="O673" i="15"/>
  <c r="Q673" i="15"/>
  <c r="N673" i="15"/>
  <c r="P671" i="15"/>
  <c r="O671" i="15"/>
  <c r="Q671" i="15"/>
  <c r="N671" i="15"/>
  <c r="P670" i="15"/>
  <c r="O670" i="15"/>
  <c r="Q670" i="15"/>
  <c r="N670" i="15"/>
  <c r="P669" i="15"/>
  <c r="O669" i="15"/>
  <c r="Q669" i="15"/>
  <c r="N669" i="15"/>
  <c r="P668" i="15"/>
  <c r="O668" i="15"/>
  <c r="N668" i="15"/>
  <c r="P664" i="15"/>
  <c r="O664" i="15"/>
  <c r="Q664" i="15"/>
  <c r="N664" i="15"/>
  <c r="P663" i="15"/>
  <c r="O663" i="15"/>
  <c r="Q663" i="15"/>
  <c r="N663" i="15"/>
  <c r="N675" i="15"/>
  <c r="P661" i="15"/>
  <c r="O661" i="15"/>
  <c r="Q661" i="15"/>
  <c r="N661" i="15"/>
  <c r="P659" i="15"/>
  <c r="O659" i="15"/>
  <c r="Q659" i="15"/>
  <c r="N659" i="15"/>
  <c r="P657" i="15"/>
  <c r="O657" i="15"/>
  <c r="Q657" i="15"/>
  <c r="N657" i="15"/>
  <c r="P656" i="15"/>
  <c r="O656" i="15"/>
  <c r="Q656" i="15"/>
  <c r="N656" i="15"/>
  <c r="K652" i="15"/>
  <c r="P651" i="15"/>
  <c r="O651" i="15"/>
  <c r="Q651" i="15"/>
  <c r="N651" i="15"/>
  <c r="Q649" i="15"/>
  <c r="P649" i="15"/>
  <c r="O649" i="15"/>
  <c r="N649" i="15"/>
  <c r="P648" i="15"/>
  <c r="O648" i="15"/>
  <c r="Q648" i="15"/>
  <c r="N648" i="15"/>
  <c r="Q646" i="15"/>
  <c r="P646" i="15"/>
  <c r="O646" i="15"/>
  <c r="N646" i="15"/>
  <c r="P643" i="15"/>
  <c r="O643" i="15"/>
  <c r="Q643" i="15"/>
  <c r="N643" i="15"/>
  <c r="K638" i="15"/>
  <c r="P637" i="15"/>
  <c r="Q637" i="15"/>
  <c r="O637" i="15"/>
  <c r="N637" i="15"/>
  <c r="P634" i="15"/>
  <c r="Q634" i="15"/>
  <c r="O634" i="15"/>
  <c r="N634" i="15"/>
  <c r="P632" i="15"/>
  <c r="Q632" i="15"/>
  <c r="O632" i="15"/>
  <c r="N632" i="15"/>
  <c r="P629" i="15"/>
  <c r="Q629" i="15"/>
  <c r="O629" i="15"/>
  <c r="N629" i="15"/>
  <c r="P626" i="15"/>
  <c r="Q626" i="15"/>
  <c r="O626" i="15"/>
  <c r="N626" i="15"/>
  <c r="P624" i="15"/>
  <c r="Q624" i="15"/>
  <c r="O624" i="15"/>
  <c r="N624" i="15"/>
  <c r="P622" i="15"/>
  <c r="Q622" i="15"/>
  <c r="O622" i="15"/>
  <c r="N622" i="15"/>
  <c r="P620" i="15"/>
  <c r="Q620" i="15"/>
  <c r="O620" i="15"/>
  <c r="N620" i="15"/>
  <c r="P618" i="15"/>
  <c r="Q618" i="15"/>
  <c r="O618" i="15"/>
  <c r="N618" i="15"/>
  <c r="Q617" i="15"/>
  <c r="P617" i="15"/>
  <c r="O617" i="15"/>
  <c r="N617" i="15"/>
  <c r="P615" i="15"/>
  <c r="Q615" i="15"/>
  <c r="O615" i="15"/>
  <c r="N615" i="15"/>
  <c r="P613" i="15"/>
  <c r="Q613" i="15"/>
  <c r="O613" i="15"/>
  <c r="N613" i="15"/>
  <c r="P610" i="15"/>
  <c r="Q610" i="15"/>
  <c r="O610" i="15"/>
  <c r="N610" i="15"/>
  <c r="P608" i="15"/>
  <c r="Q608" i="15"/>
  <c r="O608" i="15"/>
  <c r="N608" i="15"/>
  <c r="P607" i="15"/>
  <c r="Q607" i="15"/>
  <c r="O607" i="15"/>
  <c r="N607" i="15"/>
  <c r="Q606" i="15"/>
  <c r="P606" i="15"/>
  <c r="O606" i="15"/>
  <c r="N606" i="15"/>
  <c r="P603" i="15"/>
  <c r="Q603" i="15"/>
  <c r="O603" i="15"/>
  <c r="N603" i="15"/>
  <c r="P602" i="15"/>
  <c r="Q602" i="15"/>
  <c r="O602" i="15"/>
  <c r="N602" i="15"/>
  <c r="P601" i="15"/>
  <c r="Q601" i="15"/>
  <c r="O601" i="15"/>
  <c r="N601" i="15"/>
  <c r="P600" i="15"/>
  <c r="Q600" i="15"/>
  <c r="O600" i="15"/>
  <c r="N600" i="15"/>
  <c r="P599" i="15"/>
  <c r="Q599" i="15"/>
  <c r="O599" i="15"/>
  <c r="N599" i="15"/>
  <c r="P598" i="15"/>
  <c r="Q598" i="15"/>
  <c r="O598" i="15"/>
  <c r="N598" i="15"/>
  <c r="P597" i="15"/>
  <c r="Q597" i="15"/>
  <c r="O597" i="15"/>
  <c r="N597" i="15"/>
  <c r="P595" i="15"/>
  <c r="Q595" i="15"/>
  <c r="O595" i="15"/>
  <c r="N595" i="15"/>
  <c r="P594" i="15"/>
  <c r="Q594" i="15"/>
  <c r="O594" i="15"/>
  <c r="N594" i="15"/>
  <c r="Q593" i="15"/>
  <c r="P593" i="15"/>
  <c r="O593" i="15"/>
  <c r="N593" i="15"/>
  <c r="P592" i="15"/>
  <c r="Q592" i="15"/>
  <c r="O592" i="15"/>
  <c r="N592" i="15"/>
  <c r="P590" i="15"/>
  <c r="Q590" i="15"/>
  <c r="O590" i="15"/>
  <c r="N590" i="15"/>
  <c r="P589" i="15"/>
  <c r="Q589" i="15"/>
  <c r="O589" i="15"/>
  <c r="N589" i="15"/>
  <c r="P586" i="15"/>
  <c r="Q586" i="15"/>
  <c r="O586" i="15"/>
  <c r="N586" i="15"/>
  <c r="P585" i="15"/>
  <c r="Q585" i="15"/>
  <c r="O585" i="15"/>
  <c r="N585" i="15"/>
  <c r="Q584" i="15"/>
  <c r="P584" i="15"/>
  <c r="O584" i="15"/>
  <c r="N584" i="15"/>
  <c r="P583" i="15"/>
  <c r="Q583" i="15"/>
  <c r="O583" i="15"/>
  <c r="N583" i="15"/>
  <c r="P579" i="15"/>
  <c r="Q579" i="15"/>
  <c r="O579" i="15"/>
  <c r="N579" i="15"/>
  <c r="P576" i="15"/>
  <c r="Q576" i="15"/>
  <c r="O576" i="15"/>
  <c r="N576" i="15"/>
  <c r="P575" i="15"/>
  <c r="Q575" i="15"/>
  <c r="O575" i="15"/>
  <c r="N575" i="15"/>
  <c r="P573" i="15"/>
  <c r="Q573" i="15"/>
  <c r="O573" i="15"/>
  <c r="N573" i="15"/>
  <c r="P572" i="15"/>
  <c r="Q572" i="15"/>
  <c r="O572" i="15"/>
  <c r="N572" i="15"/>
  <c r="P571" i="15"/>
  <c r="O571" i="15"/>
  <c r="Q571" i="15"/>
  <c r="N571" i="15"/>
  <c r="P570" i="15"/>
  <c r="Q570" i="15"/>
  <c r="O570" i="15"/>
  <c r="N570" i="15"/>
  <c r="P569" i="15"/>
  <c r="O569" i="15"/>
  <c r="Q569" i="15"/>
  <c r="N569" i="15"/>
  <c r="Q568" i="15"/>
  <c r="P568" i="15"/>
  <c r="O568" i="15"/>
  <c r="N568" i="15"/>
  <c r="P567" i="15"/>
  <c r="O567" i="15"/>
  <c r="Q567" i="15"/>
  <c r="N567" i="15"/>
  <c r="P563" i="15"/>
  <c r="Q563" i="15"/>
  <c r="O563" i="15"/>
  <c r="N563" i="15"/>
  <c r="P559" i="15"/>
  <c r="O559" i="15"/>
  <c r="Q559" i="15"/>
  <c r="N559" i="15"/>
  <c r="P557" i="15"/>
  <c r="Q557" i="15"/>
  <c r="O557" i="15"/>
  <c r="N557" i="15"/>
  <c r="P556" i="15"/>
  <c r="O556" i="15"/>
  <c r="Q556" i="15"/>
  <c r="N556" i="15"/>
  <c r="Q553" i="15"/>
  <c r="P553" i="15"/>
  <c r="O553" i="15"/>
  <c r="N553" i="15"/>
  <c r="P551" i="15"/>
  <c r="O551" i="15"/>
  <c r="Q551" i="15"/>
  <c r="N551" i="15"/>
  <c r="P549" i="15"/>
  <c r="Q549" i="15"/>
  <c r="O549" i="15"/>
  <c r="N549" i="15"/>
  <c r="P547" i="15"/>
  <c r="O547" i="15"/>
  <c r="Q547" i="15"/>
  <c r="N547" i="15"/>
  <c r="P545" i="15"/>
  <c r="Q545" i="15"/>
  <c r="O545" i="15"/>
  <c r="N545" i="15"/>
  <c r="P543" i="15"/>
  <c r="O543" i="15"/>
  <c r="Q543" i="15"/>
  <c r="N543" i="15"/>
  <c r="P539" i="15"/>
  <c r="Q539" i="15"/>
  <c r="O539" i="15"/>
  <c r="N539" i="15"/>
  <c r="P535" i="15"/>
  <c r="O535" i="15"/>
  <c r="Q535" i="15"/>
  <c r="N535" i="15"/>
  <c r="P531" i="15"/>
  <c r="Q531" i="15"/>
  <c r="O531" i="15"/>
  <c r="N531" i="15"/>
  <c r="P529" i="15"/>
  <c r="O529" i="15"/>
  <c r="Q529" i="15"/>
  <c r="N529" i="15"/>
  <c r="Q527" i="15"/>
  <c r="P527" i="15"/>
  <c r="O527" i="15"/>
  <c r="N527" i="15"/>
  <c r="P525" i="15"/>
  <c r="O525" i="15"/>
  <c r="Q525" i="15"/>
  <c r="N525" i="15"/>
  <c r="N520" i="15"/>
  <c r="K520" i="15"/>
  <c r="P519" i="15"/>
  <c r="O519" i="15"/>
  <c r="Q519" i="15"/>
  <c r="N519" i="15"/>
  <c r="P517" i="15"/>
  <c r="O517" i="15"/>
  <c r="Q517" i="15"/>
  <c r="N517" i="15"/>
  <c r="P516" i="15"/>
  <c r="O516" i="15"/>
  <c r="Q516" i="15"/>
  <c r="N516" i="15"/>
  <c r="P513" i="15"/>
  <c r="Q513" i="15"/>
  <c r="O513" i="15"/>
  <c r="N513" i="15"/>
  <c r="P512" i="15"/>
  <c r="O512" i="15"/>
  <c r="Q512" i="15"/>
  <c r="N512" i="15"/>
  <c r="P511" i="15"/>
  <c r="O511" i="15"/>
  <c r="Q511" i="15"/>
  <c r="N511" i="15"/>
  <c r="P510" i="15"/>
  <c r="O510" i="15"/>
  <c r="Q510" i="15"/>
  <c r="N510" i="15"/>
  <c r="P509" i="15"/>
  <c r="O509" i="15"/>
  <c r="Q509" i="15"/>
  <c r="N509" i="15"/>
  <c r="P508" i="15"/>
  <c r="O508" i="15"/>
  <c r="Q508" i="15"/>
  <c r="N508" i="15"/>
  <c r="P507" i="15"/>
  <c r="O507" i="15"/>
  <c r="Q507" i="15"/>
  <c r="N507" i="15"/>
  <c r="P506" i="15"/>
  <c r="O506" i="15"/>
  <c r="Q506" i="15"/>
  <c r="N506" i="15"/>
  <c r="Q504" i="15"/>
  <c r="P504" i="15"/>
  <c r="O504" i="15"/>
  <c r="N504" i="15"/>
  <c r="P502" i="15"/>
  <c r="O502" i="15"/>
  <c r="Q502" i="15"/>
  <c r="N502" i="15"/>
  <c r="P501" i="15"/>
  <c r="Q501" i="15"/>
  <c r="O501" i="15"/>
  <c r="N501" i="15"/>
  <c r="P500" i="15"/>
  <c r="O500" i="15"/>
  <c r="Q500" i="15"/>
  <c r="N500" i="15"/>
  <c r="P499" i="15"/>
  <c r="O499" i="15"/>
  <c r="Q499" i="15"/>
  <c r="N499" i="15"/>
  <c r="P498" i="15"/>
  <c r="O498" i="15"/>
  <c r="Q498" i="15"/>
  <c r="N498" i="15"/>
  <c r="P497" i="15"/>
  <c r="O497" i="15"/>
  <c r="Q497" i="15"/>
  <c r="N497" i="15"/>
  <c r="P495" i="15"/>
  <c r="O495" i="15"/>
  <c r="Q495" i="15"/>
  <c r="N495" i="15"/>
  <c r="P493" i="15"/>
  <c r="Q493" i="15"/>
  <c r="O493" i="15"/>
  <c r="N493" i="15"/>
  <c r="P491" i="15"/>
  <c r="O491" i="15"/>
  <c r="Q491" i="15"/>
  <c r="N491" i="15"/>
  <c r="P489" i="15"/>
  <c r="O489" i="15"/>
  <c r="Q489" i="15"/>
  <c r="N489" i="15"/>
  <c r="P488" i="15"/>
  <c r="O488" i="15"/>
  <c r="Q488" i="15"/>
  <c r="N488" i="15"/>
  <c r="P485" i="15"/>
  <c r="O485" i="15"/>
  <c r="Q485" i="15"/>
  <c r="N485" i="15"/>
  <c r="P483" i="15"/>
  <c r="O483" i="15"/>
  <c r="Q483" i="15"/>
  <c r="N483" i="15"/>
  <c r="P482" i="15"/>
  <c r="O482" i="15"/>
  <c r="Q482" i="15"/>
  <c r="N482" i="15"/>
  <c r="P478" i="15"/>
  <c r="O478" i="15"/>
  <c r="Q478" i="15"/>
  <c r="N478" i="15"/>
  <c r="Q476" i="15"/>
  <c r="P476" i="15"/>
  <c r="O476" i="15"/>
  <c r="N476" i="15"/>
  <c r="P473" i="15"/>
  <c r="O473" i="15"/>
  <c r="Q473" i="15"/>
  <c r="N473" i="15"/>
  <c r="P472" i="15"/>
  <c r="Q472" i="15"/>
  <c r="O472" i="15"/>
  <c r="N472" i="15"/>
  <c r="P471" i="15"/>
  <c r="O471" i="15"/>
  <c r="Q471" i="15"/>
  <c r="N471" i="15"/>
  <c r="P469" i="15"/>
  <c r="O469" i="15"/>
  <c r="Q469" i="15"/>
  <c r="N469" i="15"/>
  <c r="P468" i="15"/>
  <c r="O468" i="15"/>
  <c r="Q468" i="15"/>
  <c r="N468" i="15"/>
  <c r="P467" i="15"/>
  <c r="O467" i="15"/>
  <c r="Q467" i="15"/>
  <c r="N467" i="15"/>
  <c r="P464" i="15"/>
  <c r="O464" i="15"/>
  <c r="Q464" i="15"/>
  <c r="N464" i="15"/>
  <c r="P463" i="15"/>
  <c r="Q463" i="15"/>
  <c r="O463" i="15"/>
  <c r="N463" i="15"/>
  <c r="P462" i="15"/>
  <c r="O462" i="15"/>
  <c r="Q462" i="15"/>
  <c r="N462" i="15"/>
  <c r="N456" i="15"/>
  <c r="K456" i="15"/>
  <c r="P455" i="15"/>
  <c r="O455" i="15"/>
  <c r="Q455" i="15"/>
  <c r="Q456" i="15"/>
  <c r="K455" i="15"/>
  <c r="N451" i="15"/>
  <c r="Q450" i="15"/>
  <c r="P450" i="15"/>
  <c r="O450" i="15"/>
  <c r="K450" i="15"/>
  <c r="P449" i="15"/>
  <c r="O449" i="15"/>
  <c r="Q449" i="15"/>
  <c r="K449" i="15"/>
  <c r="Q447" i="15"/>
  <c r="P447" i="15"/>
  <c r="O447" i="15"/>
  <c r="K447" i="15"/>
  <c r="P445" i="15"/>
  <c r="O445" i="15"/>
  <c r="Q445" i="15"/>
  <c r="K445" i="15"/>
  <c r="Q443" i="15"/>
  <c r="P443" i="15"/>
  <c r="O443" i="15"/>
  <c r="K443" i="15"/>
  <c r="P441" i="15"/>
  <c r="O441" i="15"/>
  <c r="Q441" i="15"/>
  <c r="K441" i="15"/>
  <c r="Q440" i="15"/>
  <c r="P440" i="15"/>
  <c r="O440" i="15"/>
  <c r="K440" i="15"/>
  <c r="P439" i="15"/>
  <c r="O439" i="15"/>
  <c r="Q439" i="15"/>
  <c r="K439" i="15"/>
  <c r="Q438" i="15"/>
  <c r="P438" i="15"/>
  <c r="O438" i="15"/>
  <c r="K438" i="15"/>
  <c r="P437" i="15"/>
  <c r="O437" i="15"/>
  <c r="Q437" i="15"/>
  <c r="K437" i="15"/>
  <c r="Q436" i="15"/>
  <c r="P436" i="15"/>
  <c r="O436" i="15"/>
  <c r="K436" i="15"/>
  <c r="P434" i="15"/>
  <c r="O434" i="15"/>
  <c r="Q434" i="15"/>
  <c r="K434" i="15"/>
  <c r="Q432" i="15"/>
  <c r="P432" i="15"/>
  <c r="O432" i="15"/>
  <c r="K432" i="15"/>
  <c r="P431" i="15"/>
  <c r="O431" i="15"/>
  <c r="Q431" i="15"/>
  <c r="K431" i="15"/>
  <c r="Q429" i="15"/>
  <c r="P429" i="15"/>
  <c r="O429" i="15"/>
  <c r="K429" i="15"/>
  <c r="P427" i="15"/>
  <c r="O427" i="15"/>
  <c r="Q427" i="15"/>
  <c r="K427" i="15"/>
  <c r="Q424" i="15"/>
  <c r="P424" i="15"/>
  <c r="O424" i="15"/>
  <c r="K424" i="15"/>
  <c r="P422" i="15"/>
  <c r="O422" i="15"/>
  <c r="Q422" i="15"/>
  <c r="K422" i="15"/>
  <c r="Q421" i="15"/>
  <c r="P421" i="15"/>
  <c r="O421" i="15"/>
  <c r="K421" i="15"/>
  <c r="P420" i="15"/>
  <c r="O420" i="15"/>
  <c r="Q420" i="15"/>
  <c r="K420" i="15"/>
  <c r="Q417" i="15"/>
  <c r="P417" i="15"/>
  <c r="O417" i="15"/>
  <c r="K417" i="15"/>
  <c r="P415" i="15"/>
  <c r="O415" i="15"/>
  <c r="Q415" i="15"/>
  <c r="K415" i="15"/>
  <c r="Q414" i="15"/>
  <c r="P414" i="15"/>
  <c r="O414" i="15"/>
  <c r="K414" i="15"/>
  <c r="P410" i="15"/>
  <c r="O410" i="15"/>
  <c r="Q410" i="15"/>
  <c r="K410" i="15"/>
  <c r="Q409" i="15"/>
  <c r="P409" i="15"/>
  <c r="O409" i="15"/>
  <c r="K409" i="15"/>
  <c r="P408" i="15"/>
  <c r="O408" i="15"/>
  <c r="Q408" i="15"/>
  <c r="K408" i="15"/>
  <c r="Q407" i="15"/>
  <c r="P407" i="15"/>
  <c r="O407" i="15"/>
  <c r="K407" i="15"/>
  <c r="P405" i="15"/>
  <c r="O405" i="15"/>
  <c r="Q405" i="15"/>
  <c r="K405" i="15"/>
  <c r="Q403" i="15"/>
  <c r="P403" i="15"/>
  <c r="O403" i="15"/>
  <c r="K403" i="15"/>
  <c r="P402" i="15"/>
  <c r="O402" i="15"/>
  <c r="Q402" i="15"/>
  <c r="K402" i="15"/>
  <c r="Q401" i="15"/>
  <c r="P401" i="15"/>
  <c r="O401" i="15"/>
  <c r="K401" i="15"/>
  <c r="P400" i="15"/>
  <c r="O400" i="15"/>
  <c r="Q400" i="15"/>
  <c r="K400" i="15"/>
  <c r="Q397" i="15"/>
  <c r="P397" i="15"/>
  <c r="O397" i="15"/>
  <c r="K397" i="15"/>
  <c r="P396" i="15"/>
  <c r="O396" i="15"/>
  <c r="Q396" i="15"/>
  <c r="K396" i="15"/>
  <c r="Q395" i="15"/>
  <c r="P395" i="15"/>
  <c r="O395" i="15"/>
  <c r="K395" i="15"/>
  <c r="P394" i="15"/>
  <c r="O394" i="15"/>
  <c r="Q394" i="15"/>
  <c r="K394" i="15"/>
  <c r="Q393" i="15"/>
  <c r="P393" i="15"/>
  <c r="O393" i="15"/>
  <c r="K393" i="15"/>
  <c r="P392" i="15"/>
  <c r="O392" i="15"/>
  <c r="Q392" i="15"/>
  <c r="K392" i="15"/>
  <c r="Q390" i="15"/>
  <c r="P390" i="15"/>
  <c r="O390" i="15"/>
  <c r="K390" i="15"/>
  <c r="P389" i="15"/>
  <c r="O389" i="15"/>
  <c r="Q389" i="15"/>
  <c r="K389" i="15"/>
  <c r="Q388" i="15"/>
  <c r="P388" i="15"/>
  <c r="O388" i="15"/>
  <c r="K388" i="15"/>
  <c r="P387" i="15"/>
  <c r="O387" i="15"/>
  <c r="Q387" i="15"/>
  <c r="K387" i="15"/>
  <c r="Q386" i="15"/>
  <c r="P386" i="15"/>
  <c r="O386" i="15"/>
  <c r="K386" i="15"/>
  <c r="P385" i="15"/>
  <c r="O385" i="15"/>
  <c r="Q385" i="15"/>
  <c r="K385" i="15"/>
  <c r="Q384" i="15"/>
  <c r="P384" i="15"/>
  <c r="O384" i="15"/>
  <c r="K384" i="15"/>
  <c r="P383" i="15"/>
  <c r="O383" i="15"/>
  <c r="Q383" i="15"/>
  <c r="K383" i="15"/>
  <c r="Q382" i="15"/>
  <c r="P382" i="15"/>
  <c r="O382" i="15"/>
  <c r="K382" i="15"/>
  <c r="P381" i="15"/>
  <c r="O381" i="15"/>
  <c r="Q381" i="15"/>
  <c r="K381" i="15"/>
  <c r="Q380" i="15"/>
  <c r="P380" i="15"/>
  <c r="O380" i="15"/>
  <c r="K380" i="15"/>
  <c r="P379" i="15"/>
  <c r="O379" i="15"/>
  <c r="Q379" i="15"/>
  <c r="K379" i="15"/>
  <c r="Q378" i="15"/>
  <c r="P378" i="15"/>
  <c r="O378" i="15"/>
  <c r="K378" i="15"/>
  <c r="P377" i="15"/>
  <c r="O377" i="15"/>
  <c r="Q377" i="15"/>
  <c r="K377" i="15"/>
  <c r="Q376" i="15"/>
  <c r="P376" i="15"/>
  <c r="O376" i="15"/>
  <c r="K376" i="15"/>
  <c r="P374" i="15"/>
  <c r="O374" i="15"/>
  <c r="Q374" i="15"/>
  <c r="K374" i="15"/>
  <c r="Q372" i="15"/>
  <c r="P372" i="15"/>
  <c r="O372" i="15"/>
  <c r="K372" i="15"/>
  <c r="P370" i="15"/>
  <c r="O370" i="15"/>
  <c r="Q370" i="15"/>
  <c r="K370" i="15"/>
  <c r="Q368" i="15"/>
  <c r="P368" i="15"/>
  <c r="O368" i="15"/>
  <c r="K368" i="15"/>
  <c r="P367" i="15"/>
  <c r="O367" i="15"/>
  <c r="Q367" i="15"/>
  <c r="K367" i="15"/>
  <c r="Q366" i="15"/>
  <c r="P366" i="15"/>
  <c r="O366" i="15"/>
  <c r="K366" i="15"/>
  <c r="P364" i="15"/>
  <c r="O364" i="15"/>
  <c r="Q364" i="15"/>
  <c r="K364" i="15"/>
  <c r="Q363" i="15"/>
  <c r="P363" i="15"/>
  <c r="O363" i="15"/>
  <c r="K363" i="15"/>
  <c r="P362" i="15"/>
  <c r="O362" i="15"/>
  <c r="Q362" i="15"/>
  <c r="K362" i="15"/>
  <c r="Q360" i="15"/>
  <c r="P360" i="15"/>
  <c r="O360" i="15"/>
  <c r="K360" i="15"/>
  <c r="P358" i="15"/>
  <c r="O358" i="15"/>
  <c r="Q358" i="15"/>
  <c r="K358" i="15"/>
  <c r="Q356" i="15"/>
  <c r="P356" i="15"/>
  <c r="O356" i="15"/>
  <c r="K356" i="15"/>
  <c r="P354" i="15"/>
  <c r="O354" i="15"/>
  <c r="Q354" i="15"/>
  <c r="K354" i="15"/>
  <c r="Q352" i="15"/>
  <c r="P352" i="15"/>
  <c r="O352" i="15"/>
  <c r="K352" i="15"/>
  <c r="P350" i="15"/>
  <c r="O350" i="15"/>
  <c r="Q350" i="15"/>
  <c r="K350" i="15"/>
  <c r="Q349" i="15"/>
  <c r="P349" i="15"/>
  <c r="O349" i="15"/>
  <c r="K349" i="15"/>
  <c r="P347" i="15"/>
  <c r="O347" i="15"/>
  <c r="Q347" i="15"/>
  <c r="K347" i="15"/>
  <c r="Q346" i="15"/>
  <c r="P346" i="15"/>
  <c r="O346" i="15"/>
  <c r="K346" i="15"/>
  <c r="P343" i="15"/>
  <c r="O343" i="15"/>
  <c r="Q343" i="15"/>
  <c r="K343" i="15"/>
  <c r="Q342" i="15"/>
  <c r="P342" i="15"/>
  <c r="O342" i="15"/>
  <c r="K342" i="15"/>
  <c r="P341" i="15"/>
  <c r="O341" i="15"/>
  <c r="Q341" i="15"/>
  <c r="K341" i="15"/>
  <c r="Q340" i="15"/>
  <c r="P340" i="15"/>
  <c r="O340" i="15"/>
  <c r="K340" i="15"/>
  <c r="P338" i="15"/>
  <c r="O338" i="15"/>
  <c r="Q338" i="15"/>
  <c r="K338" i="15"/>
  <c r="K451" i="15"/>
  <c r="O334" i="15"/>
  <c r="M334" i="15"/>
  <c r="P334" i="15"/>
  <c r="Q334" i="15"/>
  <c r="K334" i="15"/>
  <c r="Q333" i="15"/>
  <c r="P333" i="15"/>
  <c r="O333" i="15"/>
  <c r="K333" i="15"/>
  <c r="P331" i="15"/>
  <c r="O331" i="15"/>
  <c r="Q331" i="15"/>
  <c r="K331" i="15"/>
  <c r="Q330" i="15"/>
  <c r="P330" i="15"/>
  <c r="O330" i="15"/>
  <c r="K330" i="15"/>
  <c r="P329" i="15"/>
  <c r="O329" i="15"/>
  <c r="Q329" i="15"/>
  <c r="K329" i="15"/>
  <c r="P326" i="15"/>
  <c r="Q326" i="15"/>
  <c r="O326" i="15"/>
  <c r="K326" i="15"/>
  <c r="P325" i="15"/>
  <c r="O325" i="15"/>
  <c r="Q325" i="15"/>
  <c r="K325" i="15"/>
  <c r="P324" i="15"/>
  <c r="O324" i="15"/>
  <c r="Q324" i="15"/>
  <c r="K324" i="15"/>
  <c r="P321" i="15"/>
  <c r="O321" i="15"/>
  <c r="Q321" i="15"/>
  <c r="K321" i="15"/>
  <c r="P318" i="15"/>
  <c r="O318" i="15"/>
  <c r="Q318" i="15"/>
  <c r="K318" i="15"/>
  <c r="P317" i="15"/>
  <c r="O317" i="15"/>
  <c r="Q317" i="15"/>
  <c r="K317" i="15"/>
  <c r="P313" i="15"/>
  <c r="Q313" i="15"/>
  <c r="O313" i="15"/>
  <c r="K313" i="15"/>
  <c r="P311" i="15"/>
  <c r="O311" i="15"/>
  <c r="Q311" i="15"/>
  <c r="K311" i="15"/>
  <c r="P306" i="15"/>
  <c r="O306" i="15"/>
  <c r="Q306" i="15"/>
  <c r="K306" i="15"/>
  <c r="P303" i="15"/>
  <c r="O303" i="15"/>
  <c r="Q303" i="15"/>
  <c r="K303" i="15"/>
  <c r="P301" i="15"/>
  <c r="O301" i="15"/>
  <c r="Q301" i="15"/>
  <c r="N301" i="15"/>
  <c r="M301" i="15"/>
  <c r="K301" i="15"/>
  <c r="P300" i="15"/>
  <c r="O300" i="15"/>
  <c r="Q300" i="15"/>
  <c r="K300" i="15"/>
  <c r="O298" i="15"/>
  <c r="M298" i="15"/>
  <c r="P298" i="15"/>
  <c r="Q298" i="15"/>
  <c r="K298" i="15"/>
  <c r="P294" i="15"/>
  <c r="Q294" i="15"/>
  <c r="O294" i="15"/>
  <c r="K294" i="15"/>
  <c r="P288" i="15"/>
  <c r="O288" i="15"/>
  <c r="Q288" i="15"/>
  <c r="K288" i="15"/>
  <c r="P285" i="15"/>
  <c r="O285" i="15"/>
  <c r="Q285" i="15"/>
  <c r="K285" i="15"/>
  <c r="O282" i="15"/>
  <c r="M282" i="15"/>
  <c r="K282" i="15"/>
  <c r="Q281" i="15"/>
  <c r="P281" i="15"/>
  <c r="O281" i="15"/>
  <c r="K281" i="15"/>
  <c r="P280" i="15"/>
  <c r="O280" i="15"/>
  <c r="Q280" i="15"/>
  <c r="K280" i="15"/>
  <c r="Q279" i="15"/>
  <c r="P279" i="15"/>
  <c r="O279" i="15"/>
  <c r="K279" i="15"/>
  <c r="P278" i="15"/>
  <c r="O278" i="15"/>
  <c r="Q278" i="15"/>
  <c r="K278" i="15"/>
  <c r="Q277" i="15"/>
  <c r="P277" i="15"/>
  <c r="O277" i="15"/>
  <c r="K277" i="15"/>
  <c r="P276" i="15"/>
  <c r="O276" i="15"/>
  <c r="Q276" i="15"/>
  <c r="K276" i="15"/>
  <c r="Q275" i="15"/>
  <c r="P275" i="15"/>
  <c r="O275" i="15"/>
  <c r="K275" i="15"/>
  <c r="P272" i="15"/>
  <c r="O272" i="15"/>
  <c r="Q272" i="15"/>
  <c r="K272" i="15"/>
  <c r="Q271" i="15"/>
  <c r="P271" i="15"/>
  <c r="O271" i="15"/>
  <c r="K271" i="15"/>
  <c r="P269" i="15"/>
  <c r="O269" i="15"/>
  <c r="Q269" i="15"/>
  <c r="K269" i="15"/>
  <c r="Q267" i="15"/>
  <c r="P267" i="15"/>
  <c r="O267" i="15"/>
  <c r="K267" i="15"/>
  <c r="P264" i="15"/>
  <c r="O264" i="15"/>
  <c r="Q264" i="15"/>
  <c r="K264" i="15"/>
  <c r="Q263" i="15"/>
  <c r="P263" i="15"/>
  <c r="O263" i="15"/>
  <c r="K263" i="15"/>
  <c r="P261" i="15"/>
  <c r="O261" i="15"/>
  <c r="Q261" i="15"/>
  <c r="K261" i="15"/>
  <c r="Q259" i="15"/>
  <c r="P259" i="15"/>
  <c r="O259" i="15"/>
  <c r="K259" i="15"/>
  <c r="P258" i="15"/>
  <c r="O258" i="15"/>
  <c r="Q258" i="15"/>
  <c r="K258" i="15"/>
  <c r="Q254" i="15"/>
  <c r="P254" i="15"/>
  <c r="O254" i="15"/>
  <c r="K254" i="15"/>
  <c r="P253" i="15"/>
  <c r="O253" i="15"/>
  <c r="Q253" i="15"/>
  <c r="K253" i="15"/>
  <c r="Q252" i="15"/>
  <c r="P252" i="15"/>
  <c r="O252" i="15"/>
  <c r="K252" i="15"/>
  <c r="P251" i="15"/>
  <c r="O251" i="15"/>
  <c r="Q251" i="15"/>
  <c r="K251" i="15"/>
  <c r="Q250" i="15"/>
  <c r="P250" i="15"/>
  <c r="O250" i="15"/>
  <c r="K250" i="15"/>
  <c r="P249" i="15"/>
  <c r="O249" i="15"/>
  <c r="Q249" i="15"/>
  <c r="K249" i="15"/>
  <c r="Q247" i="15"/>
  <c r="P247" i="15"/>
  <c r="O247" i="15"/>
  <c r="K247" i="15"/>
  <c r="P246" i="15"/>
  <c r="O246" i="15"/>
  <c r="Q246" i="15"/>
  <c r="K246" i="15"/>
  <c r="Q244" i="15"/>
  <c r="P244" i="15"/>
  <c r="O244" i="15"/>
  <c r="K244" i="15"/>
  <c r="P240" i="15"/>
  <c r="O240" i="15"/>
  <c r="Q240" i="15"/>
  <c r="K240" i="15"/>
  <c r="Q237" i="15"/>
  <c r="P237" i="15"/>
  <c r="O237" i="15"/>
  <c r="K237" i="15"/>
  <c r="P235" i="15"/>
  <c r="O235" i="15"/>
  <c r="Q235" i="15"/>
  <c r="K235" i="15"/>
  <c r="Q233" i="15"/>
  <c r="P233" i="15"/>
  <c r="O233" i="15"/>
  <c r="K233" i="15"/>
  <c r="P232" i="15"/>
  <c r="O232" i="15"/>
  <c r="Q232" i="15"/>
  <c r="K232" i="15"/>
  <c r="Q229" i="15"/>
  <c r="P229" i="15"/>
  <c r="O229" i="15"/>
  <c r="K229" i="15"/>
  <c r="P224" i="15"/>
  <c r="O224" i="15"/>
  <c r="Q224" i="15"/>
  <c r="K224" i="15"/>
  <c r="Q223" i="15"/>
  <c r="P223" i="15"/>
  <c r="O223" i="15"/>
  <c r="K223" i="15"/>
  <c r="P222" i="15"/>
  <c r="O222" i="15"/>
  <c r="Q222" i="15"/>
  <c r="K222" i="15"/>
  <c r="Q221" i="15"/>
  <c r="P221" i="15"/>
  <c r="O221" i="15"/>
  <c r="K221" i="15"/>
  <c r="P220" i="15"/>
  <c r="O220" i="15"/>
  <c r="Q220" i="15"/>
  <c r="K220" i="15"/>
  <c r="Q219" i="15"/>
  <c r="P219" i="15"/>
  <c r="O219" i="15"/>
  <c r="K219" i="15"/>
  <c r="P217" i="15"/>
  <c r="O217" i="15"/>
  <c r="Q217" i="15"/>
  <c r="K217" i="15"/>
  <c r="O216" i="15"/>
  <c r="M216" i="15"/>
  <c r="P216" i="15"/>
  <c r="Q216" i="15"/>
  <c r="K216" i="15"/>
  <c r="P214" i="15"/>
  <c r="O214" i="15"/>
  <c r="Q214" i="15"/>
  <c r="M214" i="15"/>
  <c r="N214" i="15"/>
  <c r="K214" i="15"/>
  <c r="P213" i="15"/>
  <c r="O213" i="15"/>
  <c r="Q213" i="15"/>
  <c r="K213" i="15"/>
  <c r="Q212" i="15"/>
  <c r="P212" i="15"/>
  <c r="O212" i="15"/>
  <c r="K212" i="15"/>
  <c r="P211" i="15"/>
  <c r="O211" i="15"/>
  <c r="Q211" i="15"/>
  <c r="K211" i="15"/>
  <c r="Q210" i="15"/>
  <c r="P210" i="15"/>
  <c r="O210" i="15"/>
  <c r="K210" i="15"/>
  <c r="P208" i="15"/>
  <c r="O208" i="15"/>
  <c r="Q208" i="15"/>
  <c r="K208" i="15"/>
  <c r="Q207" i="15"/>
  <c r="P207" i="15"/>
  <c r="O207" i="15"/>
  <c r="K207" i="15"/>
  <c r="P204" i="15"/>
  <c r="O204" i="15"/>
  <c r="Q204" i="15"/>
  <c r="K204" i="15"/>
  <c r="Q202" i="15"/>
  <c r="P202" i="15"/>
  <c r="O202" i="15"/>
  <c r="K202" i="15"/>
  <c r="P199" i="15"/>
  <c r="O199" i="15"/>
  <c r="Q199" i="15"/>
  <c r="K199" i="15"/>
  <c r="Q198" i="15"/>
  <c r="P198" i="15"/>
  <c r="O198" i="15"/>
  <c r="K198" i="15"/>
  <c r="P197" i="15"/>
  <c r="O197" i="15"/>
  <c r="Q197" i="15"/>
  <c r="K197" i="15"/>
  <c r="Q195" i="15"/>
  <c r="P195" i="15"/>
  <c r="O195" i="15"/>
  <c r="K195" i="15"/>
  <c r="P194" i="15"/>
  <c r="O194" i="15"/>
  <c r="Q194" i="15"/>
  <c r="K194" i="15"/>
  <c r="Q192" i="15"/>
  <c r="P192" i="15"/>
  <c r="O192" i="15"/>
  <c r="K192" i="15"/>
  <c r="P190" i="15"/>
  <c r="O190" i="15"/>
  <c r="Q190" i="15"/>
  <c r="K190" i="15"/>
  <c r="Q189" i="15"/>
  <c r="P189" i="15"/>
  <c r="O189" i="15"/>
  <c r="K189" i="15"/>
  <c r="P188" i="15"/>
  <c r="O188" i="15"/>
  <c r="Q188" i="15"/>
  <c r="K188" i="15"/>
  <c r="Q187" i="15"/>
  <c r="P187" i="15"/>
  <c r="O187" i="15"/>
  <c r="K187" i="15"/>
  <c r="O186" i="15"/>
  <c r="M186" i="15"/>
  <c r="P186" i="15"/>
  <c r="K186" i="15"/>
  <c r="O185" i="15"/>
  <c r="M185" i="15"/>
  <c r="K185" i="15"/>
  <c r="Q184" i="15"/>
  <c r="O184" i="15"/>
  <c r="N184" i="15"/>
  <c r="M184" i="15"/>
  <c r="P184" i="15"/>
  <c r="K184" i="15"/>
  <c r="P182" i="15"/>
  <c r="O182" i="15"/>
  <c r="Q182" i="15"/>
  <c r="M182" i="15"/>
  <c r="N182" i="15"/>
  <c r="K182" i="15"/>
  <c r="P181" i="15"/>
  <c r="O181" i="15"/>
  <c r="Q181" i="15"/>
  <c r="K181" i="15"/>
  <c r="Q179" i="15"/>
  <c r="P179" i="15"/>
  <c r="O179" i="15"/>
  <c r="K179" i="15"/>
  <c r="P177" i="15"/>
  <c r="O177" i="15"/>
  <c r="Q177" i="15"/>
  <c r="K177" i="15"/>
  <c r="Q176" i="15"/>
  <c r="P176" i="15"/>
  <c r="O176" i="15"/>
  <c r="K176" i="15"/>
  <c r="O175" i="15"/>
  <c r="Q175" i="15"/>
  <c r="M175" i="15"/>
  <c r="P175" i="15"/>
  <c r="K175" i="15"/>
  <c r="P174" i="15"/>
  <c r="O174" i="15"/>
  <c r="Q174" i="15"/>
  <c r="K174" i="15"/>
  <c r="P173" i="15"/>
  <c r="Q173" i="15"/>
  <c r="O173" i="15"/>
  <c r="M173" i="15"/>
  <c r="N173" i="15"/>
  <c r="K173" i="15"/>
  <c r="O172" i="15"/>
  <c r="M172" i="15"/>
  <c r="P172" i="15"/>
  <c r="K172" i="15"/>
  <c r="P170" i="15"/>
  <c r="O170" i="15"/>
  <c r="Q170" i="15"/>
  <c r="K170" i="15"/>
  <c r="P169" i="15"/>
  <c r="Q169" i="15"/>
  <c r="O169" i="15"/>
  <c r="K169" i="15"/>
  <c r="P166" i="15"/>
  <c r="O166" i="15"/>
  <c r="Q166" i="15"/>
  <c r="K166" i="15"/>
  <c r="P165" i="15"/>
  <c r="O165" i="15"/>
  <c r="Q165" i="15"/>
  <c r="K165" i="15"/>
  <c r="P164" i="15"/>
  <c r="O164" i="15"/>
  <c r="Q164" i="15"/>
  <c r="K164" i="15"/>
  <c r="P162" i="15"/>
  <c r="O162" i="15"/>
  <c r="Q162" i="15"/>
  <c r="K162" i="15"/>
  <c r="P161" i="15"/>
  <c r="O161" i="15"/>
  <c r="Q161" i="15"/>
  <c r="K161" i="15"/>
  <c r="Q160" i="15"/>
  <c r="P160" i="15"/>
  <c r="O160" i="15"/>
  <c r="K160" i="15"/>
  <c r="O158" i="15"/>
  <c r="M158" i="15"/>
  <c r="K158" i="15"/>
  <c r="Q157" i="15"/>
  <c r="P157" i="15"/>
  <c r="O157" i="15"/>
  <c r="K157" i="15"/>
  <c r="P156" i="15"/>
  <c r="O156" i="15"/>
  <c r="Q156" i="15"/>
  <c r="K156" i="15"/>
  <c r="Q154" i="15"/>
  <c r="P154" i="15"/>
  <c r="O154" i="15"/>
  <c r="K154" i="15"/>
  <c r="O153" i="15"/>
  <c r="M153" i="15"/>
  <c r="P153" i="15"/>
  <c r="K153" i="15"/>
  <c r="P151" i="15"/>
  <c r="O151" i="15"/>
  <c r="Q151" i="15"/>
  <c r="K151" i="15"/>
  <c r="P150" i="15"/>
  <c r="O150" i="15"/>
  <c r="Q150" i="15"/>
  <c r="K150" i="15"/>
  <c r="P148" i="15"/>
  <c r="O148" i="15"/>
  <c r="Q148" i="15"/>
  <c r="K148" i="15"/>
  <c r="Q147" i="15"/>
  <c r="P147" i="15"/>
  <c r="O147" i="15"/>
  <c r="K147" i="15"/>
  <c r="P146" i="15"/>
  <c r="O146" i="15"/>
  <c r="Q146" i="15"/>
  <c r="K146" i="15"/>
  <c r="P142" i="15"/>
  <c r="Q142" i="15"/>
  <c r="O142" i="15"/>
  <c r="K142" i="15"/>
  <c r="P141" i="15"/>
  <c r="O141" i="15"/>
  <c r="Q141" i="15"/>
  <c r="K141" i="15"/>
  <c r="P140" i="15"/>
  <c r="O140" i="15"/>
  <c r="Q140" i="15"/>
  <c r="K140" i="15"/>
  <c r="P137" i="15"/>
  <c r="O137" i="15"/>
  <c r="Q137" i="15"/>
  <c r="K137" i="15"/>
  <c r="P134" i="15"/>
  <c r="O134" i="15"/>
  <c r="Q134" i="15"/>
  <c r="K134" i="15"/>
  <c r="P132" i="15"/>
  <c r="O132" i="15"/>
  <c r="Q132" i="15"/>
  <c r="K132" i="15"/>
  <c r="P130" i="15"/>
  <c r="O130" i="15"/>
  <c r="Q130" i="15"/>
  <c r="K130" i="15"/>
  <c r="O128" i="15"/>
  <c r="M128" i="15"/>
  <c r="K128" i="15"/>
  <c r="Q124" i="15"/>
  <c r="P124" i="15"/>
  <c r="O124" i="15"/>
  <c r="K124" i="15"/>
  <c r="P123" i="15"/>
  <c r="O123" i="15"/>
  <c r="Q123" i="15"/>
  <c r="K123" i="15"/>
  <c r="Q120" i="15"/>
  <c r="P120" i="15"/>
  <c r="O120" i="15"/>
  <c r="K120" i="15"/>
  <c r="P118" i="15"/>
  <c r="O118" i="15"/>
  <c r="Q118" i="15"/>
  <c r="K118" i="15"/>
  <c r="Q116" i="15"/>
  <c r="P116" i="15"/>
  <c r="O116" i="15"/>
  <c r="K116" i="15"/>
  <c r="O113" i="15"/>
  <c r="M113" i="15"/>
  <c r="P113" i="15"/>
  <c r="K113" i="15"/>
  <c r="P111" i="15"/>
  <c r="O111" i="15"/>
  <c r="Q111" i="15"/>
  <c r="K111" i="15"/>
  <c r="P109" i="15"/>
  <c r="O109" i="15"/>
  <c r="Q109" i="15"/>
  <c r="K109" i="15"/>
  <c r="P108" i="15"/>
  <c r="O108" i="15"/>
  <c r="Q108" i="15"/>
  <c r="K108" i="15"/>
  <c r="P107" i="15"/>
  <c r="Q107" i="15"/>
  <c r="O107" i="15"/>
  <c r="K107" i="15"/>
  <c r="P106" i="15"/>
  <c r="O106" i="15"/>
  <c r="Q106" i="15"/>
  <c r="K106" i="15"/>
  <c r="P105" i="15"/>
  <c r="O105" i="15"/>
  <c r="Q105" i="15"/>
  <c r="N105" i="15"/>
  <c r="M105" i="15"/>
  <c r="K105" i="15"/>
  <c r="O104" i="15"/>
  <c r="Q104" i="15"/>
  <c r="M104" i="15"/>
  <c r="P104" i="15"/>
  <c r="K104" i="15"/>
  <c r="M103" i="15"/>
  <c r="P103" i="15"/>
  <c r="L103" i="15"/>
  <c r="K103" i="15"/>
  <c r="P102" i="15"/>
  <c r="O102" i="15"/>
  <c r="Q102" i="15"/>
  <c r="K102" i="15"/>
  <c r="P100" i="15"/>
  <c r="O100" i="15"/>
  <c r="Q100" i="15"/>
  <c r="K100" i="15"/>
  <c r="P99" i="15"/>
  <c r="O99" i="15"/>
  <c r="Q99" i="15"/>
  <c r="K99" i="15"/>
  <c r="P98" i="15"/>
  <c r="O98" i="15"/>
  <c r="K98" i="15"/>
  <c r="P97" i="15"/>
  <c r="O97" i="15"/>
  <c r="Q97" i="15"/>
  <c r="K97" i="15"/>
  <c r="P96" i="15"/>
  <c r="O96" i="15"/>
  <c r="Q96" i="15"/>
  <c r="N96" i="15"/>
  <c r="M96" i="15"/>
  <c r="K96" i="15"/>
  <c r="O95" i="15"/>
  <c r="N95" i="15"/>
  <c r="M95" i="15"/>
  <c r="P95" i="15"/>
  <c r="Q95" i="15"/>
  <c r="K95" i="15"/>
  <c r="P94" i="15"/>
  <c r="O94" i="15"/>
  <c r="Q94" i="15"/>
  <c r="K94" i="15"/>
  <c r="P92" i="15"/>
  <c r="O92" i="15"/>
  <c r="Q92" i="15"/>
  <c r="K92" i="15"/>
  <c r="P90" i="15"/>
  <c r="O90" i="15"/>
  <c r="Q90" i="15"/>
  <c r="K90" i="15"/>
  <c r="P89" i="15"/>
  <c r="O89" i="15"/>
  <c r="K89" i="15"/>
  <c r="P87" i="15"/>
  <c r="O87" i="15"/>
  <c r="Q87" i="15"/>
  <c r="K87" i="15"/>
  <c r="P83" i="15"/>
  <c r="O83" i="15"/>
  <c r="Q83" i="15"/>
  <c r="K83" i="15"/>
  <c r="P79" i="15"/>
  <c r="O79" i="15"/>
  <c r="Q79" i="15"/>
  <c r="K79" i="15"/>
  <c r="P78" i="15"/>
  <c r="O78" i="15"/>
  <c r="K78" i="15"/>
  <c r="P77" i="15"/>
  <c r="O77" i="15"/>
  <c r="Q77" i="15"/>
  <c r="K77" i="15"/>
  <c r="P76" i="15"/>
  <c r="O76" i="15"/>
  <c r="Q76" i="15"/>
  <c r="K76" i="15"/>
  <c r="P75" i="15"/>
  <c r="O75" i="15"/>
  <c r="Q75" i="15"/>
  <c r="K75" i="15"/>
  <c r="P74" i="15"/>
  <c r="O74" i="15"/>
  <c r="K74" i="15"/>
  <c r="P73" i="15"/>
  <c r="O73" i="15"/>
  <c r="Q73" i="15"/>
  <c r="K73" i="15"/>
  <c r="P71" i="15"/>
  <c r="O71" i="15"/>
  <c r="Q71" i="15"/>
  <c r="K71" i="15"/>
  <c r="P66" i="15"/>
  <c r="O66" i="15"/>
  <c r="Q66" i="15"/>
  <c r="K66" i="15"/>
  <c r="P63" i="15"/>
  <c r="O63" i="15"/>
  <c r="K63" i="15"/>
  <c r="P61" i="15"/>
  <c r="O61" i="15"/>
  <c r="Q61" i="15"/>
  <c r="K61" i="15"/>
  <c r="P60" i="15"/>
  <c r="O60" i="15"/>
  <c r="Q60" i="15"/>
  <c r="K60" i="15"/>
  <c r="P58" i="15"/>
  <c r="O58" i="15"/>
  <c r="Q58" i="15"/>
  <c r="K58" i="15"/>
  <c r="P56" i="15"/>
  <c r="O56" i="15"/>
  <c r="K56" i="15"/>
  <c r="P55" i="15"/>
  <c r="O55" i="15"/>
  <c r="Q55" i="15"/>
  <c r="K55" i="15"/>
  <c r="P52" i="15"/>
  <c r="O52" i="15"/>
  <c r="Q52" i="15"/>
  <c r="K52" i="15"/>
  <c r="P50" i="15"/>
  <c r="O50" i="15"/>
  <c r="Q50" i="15"/>
  <c r="K50" i="15"/>
  <c r="P49" i="15"/>
  <c r="O49" i="15"/>
  <c r="K49" i="15"/>
  <c r="P48" i="15"/>
  <c r="O48" i="15"/>
  <c r="Q48" i="15"/>
  <c r="K48" i="15"/>
  <c r="P45" i="15"/>
  <c r="O45" i="15"/>
  <c r="Q45" i="15"/>
  <c r="K45" i="15"/>
  <c r="P44" i="15"/>
  <c r="O44" i="15"/>
  <c r="Q44" i="15"/>
  <c r="K44" i="15"/>
  <c r="P41" i="15"/>
  <c r="O41" i="15"/>
  <c r="K41" i="15"/>
  <c r="P38" i="15"/>
  <c r="O38" i="15"/>
  <c r="Q38" i="15"/>
  <c r="K38" i="15"/>
  <c r="P34" i="15"/>
  <c r="O34" i="15"/>
  <c r="Q34" i="15"/>
  <c r="K34" i="15"/>
  <c r="P33" i="15"/>
  <c r="O33" i="15"/>
  <c r="Q33" i="15"/>
  <c r="K33" i="15"/>
  <c r="P31" i="15"/>
  <c r="O31" i="15"/>
  <c r="K31" i="15"/>
  <c r="N25" i="15"/>
  <c r="K25" i="15"/>
  <c r="P24" i="15"/>
  <c r="O24" i="15"/>
  <c r="Q24" i="15"/>
  <c r="K24" i="15"/>
  <c r="Q23" i="15"/>
  <c r="P23" i="15"/>
  <c r="O23" i="15"/>
  <c r="K23" i="15"/>
  <c r="Q21" i="15"/>
  <c r="P21" i="15"/>
  <c r="O21" i="15"/>
  <c r="K21" i="15"/>
  <c r="Q20" i="15"/>
  <c r="P20" i="15"/>
  <c r="O20" i="15"/>
  <c r="K20" i="15"/>
  <c r="Q19" i="15"/>
  <c r="P19" i="15"/>
  <c r="O19" i="15"/>
  <c r="K19" i="15"/>
  <c r="Q18" i="15"/>
  <c r="P18" i="15"/>
  <c r="O18" i="15"/>
  <c r="K18" i="15"/>
  <c r="Q16" i="15"/>
  <c r="P16" i="15"/>
  <c r="O16" i="15"/>
  <c r="K16" i="15"/>
  <c r="Q13" i="15"/>
  <c r="P13" i="15"/>
  <c r="O13" i="15"/>
  <c r="K13" i="15"/>
  <c r="Q12" i="15"/>
  <c r="P12" i="15"/>
  <c r="O12" i="15"/>
  <c r="K12" i="15"/>
  <c r="Q638" i="15"/>
  <c r="Q760" i="15"/>
  <c r="Q520" i="15"/>
  <c r="K761" i="15"/>
  <c r="K762" i="15"/>
  <c r="P185" i="15"/>
  <c r="N185" i="15"/>
  <c r="Q31" i="15"/>
  <c r="Q49" i="15"/>
  <c r="Q63" i="15"/>
  <c r="Q78" i="15"/>
  <c r="O103" i="15"/>
  <c r="Q103" i="15"/>
  <c r="N103" i="15"/>
  <c r="Q113" i="15"/>
  <c r="P158" i="15"/>
  <c r="N158" i="15"/>
  <c r="N172" i="15"/>
  <c r="Q185" i="15"/>
  <c r="N638" i="15"/>
  <c r="N652" i="15"/>
  <c r="Q128" i="15"/>
  <c r="N153" i="15"/>
  <c r="Q25" i="15"/>
  <c r="N113" i="15"/>
  <c r="Q158" i="15"/>
  <c r="Q172" i="15"/>
  <c r="Q153" i="15"/>
  <c r="N186" i="15"/>
  <c r="P282" i="15"/>
  <c r="N282" i="15"/>
  <c r="Q451" i="15"/>
  <c r="Q652" i="15"/>
  <c r="Q41" i="15"/>
  <c r="Q56" i="15"/>
  <c r="Q74" i="15"/>
  <c r="Q89" i="15"/>
  <c r="Q98" i="15"/>
  <c r="N104" i="15"/>
  <c r="P128" i="15"/>
  <c r="N128" i="15"/>
  <c r="N175" i="15"/>
  <c r="Q186" i="15"/>
  <c r="Q282" i="15"/>
  <c r="Q668" i="15"/>
  <c r="Q675" i="15"/>
  <c r="N216" i="15"/>
  <c r="N298" i="15"/>
  <c r="N334" i="15"/>
  <c r="Q761" i="15"/>
  <c r="Q762" i="15"/>
  <c r="N764" i="15"/>
  <c r="N761" i="15"/>
  <c r="N762" i="15"/>
  <c r="Q7" i="13"/>
  <c r="S7" i="13"/>
  <c r="Q8" i="13"/>
  <c r="S8" i="13"/>
  <c r="Q9" i="13"/>
  <c r="S9" i="13"/>
  <c r="Q10" i="13"/>
  <c r="Q6" i="13"/>
  <c r="S6" i="13"/>
  <c r="S10" i="13"/>
  <c r="F418" i="11"/>
  <c r="F425" i="11"/>
  <c r="F432" i="11"/>
  <c r="F439" i="11"/>
  <c r="F446" i="11"/>
  <c r="F453" i="11"/>
  <c r="F460" i="11"/>
  <c r="F467" i="11"/>
  <c r="F474" i="11"/>
  <c r="F481" i="11"/>
  <c r="F488" i="11"/>
  <c r="F495" i="11"/>
  <c r="F502" i="11"/>
  <c r="F509" i="11"/>
  <c r="F516" i="11"/>
  <c r="F523" i="11"/>
  <c r="F530" i="11"/>
  <c r="F537" i="11"/>
  <c r="F544" i="11"/>
  <c r="F551" i="11"/>
  <c r="F558" i="11"/>
  <c r="F565" i="11"/>
  <c r="F572" i="11"/>
  <c r="F579" i="11"/>
  <c r="F586" i="11"/>
  <c r="F593" i="11"/>
  <c r="F600" i="11"/>
  <c r="F607" i="11"/>
  <c r="F614" i="11"/>
  <c r="F621" i="11"/>
  <c r="F628" i="11"/>
  <c r="F635" i="11"/>
  <c r="F642" i="11"/>
  <c r="F649" i="11"/>
  <c r="F656" i="11"/>
  <c r="F663" i="11"/>
  <c r="F670" i="11"/>
  <c r="F677" i="11"/>
  <c r="F684" i="11"/>
  <c r="F691" i="11"/>
  <c r="F698" i="11"/>
  <c r="F705" i="11"/>
  <c r="F712" i="11"/>
  <c r="F719" i="11"/>
  <c r="F726" i="11"/>
  <c r="F733" i="11"/>
  <c r="F740" i="11"/>
  <c r="F747" i="11"/>
  <c r="F754" i="11"/>
  <c r="F761" i="11"/>
  <c r="F414" i="11"/>
  <c r="F421" i="11"/>
  <c r="F428" i="11"/>
  <c r="F435" i="11"/>
  <c r="F442" i="11"/>
  <c r="F449" i="11"/>
  <c r="F456" i="11"/>
  <c r="F463" i="11"/>
  <c r="F470" i="11"/>
  <c r="F477" i="11"/>
  <c r="F484" i="11"/>
  <c r="F491" i="11"/>
  <c r="F498" i="11"/>
  <c r="F505" i="11"/>
  <c r="F512" i="11"/>
  <c r="F519" i="11"/>
  <c r="F526" i="11"/>
  <c r="F533" i="11"/>
  <c r="F540" i="11"/>
  <c r="F547" i="11"/>
  <c r="F554" i="11"/>
  <c r="F561" i="11"/>
  <c r="F568" i="11"/>
  <c r="F575" i="11"/>
  <c r="F582" i="11"/>
  <c r="F589" i="11"/>
  <c r="F596" i="11"/>
  <c r="F603" i="11"/>
  <c r="F610" i="11"/>
  <c r="F617" i="11"/>
  <c r="F624" i="11"/>
  <c r="F631" i="11"/>
  <c r="F638" i="11"/>
  <c r="F645" i="11"/>
  <c r="F652" i="11"/>
  <c r="F659" i="11"/>
  <c r="F666" i="11"/>
  <c r="F673" i="11"/>
  <c r="F680" i="11"/>
  <c r="F687" i="11"/>
  <c r="F694" i="11"/>
  <c r="F701" i="11"/>
  <c r="F708" i="11"/>
  <c r="F715" i="11"/>
  <c r="F722" i="11"/>
  <c r="F729" i="11"/>
  <c r="F736" i="11"/>
  <c r="F743" i="11"/>
  <c r="F750" i="11"/>
  <c r="F757" i="11"/>
  <c r="F764" i="11"/>
  <c r="F413" i="11"/>
  <c r="F420" i="11"/>
  <c r="F427" i="11"/>
  <c r="F434" i="11"/>
  <c r="F441" i="11"/>
  <c r="F448" i="11"/>
  <c r="F455" i="11"/>
  <c r="F462" i="11"/>
  <c r="F469" i="11"/>
  <c r="F476" i="11"/>
  <c r="F483" i="11"/>
  <c r="F490" i="11"/>
  <c r="F497" i="11"/>
  <c r="F504" i="11"/>
  <c r="F511" i="11"/>
  <c r="F518" i="11"/>
  <c r="F525" i="11"/>
  <c r="F532" i="11"/>
  <c r="F539" i="11"/>
  <c r="F546" i="11"/>
  <c r="F553" i="11"/>
  <c r="F560" i="11"/>
  <c r="F567" i="11"/>
  <c r="F574" i="11"/>
  <c r="F581" i="11"/>
  <c r="F588" i="11"/>
  <c r="F595" i="11"/>
  <c r="F602" i="11"/>
  <c r="F609" i="11"/>
  <c r="F616" i="11"/>
  <c r="F623" i="11"/>
  <c r="F630" i="11"/>
  <c r="F637" i="11"/>
  <c r="F644" i="11"/>
  <c r="F651" i="11"/>
  <c r="F658" i="11"/>
  <c r="F665" i="11"/>
  <c r="F672" i="11"/>
  <c r="F679" i="11"/>
  <c r="F686" i="11"/>
  <c r="F693" i="11"/>
  <c r="F700" i="11"/>
  <c r="F707" i="11"/>
  <c r="F714" i="11"/>
  <c r="F721" i="11"/>
  <c r="F728" i="11"/>
  <c r="F735" i="11"/>
  <c r="F742" i="11"/>
  <c r="F749" i="11"/>
  <c r="F756" i="11"/>
  <c r="F763" i="11"/>
  <c r="F412" i="11"/>
  <c r="F419" i="11"/>
  <c r="F426" i="11"/>
  <c r="F433" i="11"/>
  <c r="F440" i="11"/>
  <c r="F447" i="11"/>
  <c r="F454" i="11"/>
  <c r="F461" i="11"/>
  <c r="F468" i="11"/>
  <c r="F475" i="11"/>
  <c r="F482" i="11"/>
  <c r="F489" i="11"/>
  <c r="F496" i="11"/>
  <c r="F503" i="11"/>
  <c r="F510" i="11"/>
  <c r="F517" i="11"/>
  <c r="F524" i="11"/>
  <c r="F531" i="11"/>
  <c r="F538" i="11"/>
  <c r="F545" i="11"/>
  <c r="F552" i="11"/>
  <c r="F559" i="11"/>
  <c r="F566" i="11"/>
  <c r="F573" i="11"/>
  <c r="F580" i="11"/>
  <c r="F587" i="11"/>
  <c r="F594" i="11"/>
  <c r="F601" i="11"/>
  <c r="F608" i="11"/>
  <c r="F615" i="11"/>
  <c r="F622" i="11"/>
  <c r="F629" i="11"/>
  <c r="F636" i="11"/>
  <c r="F643" i="11"/>
  <c r="F650" i="11"/>
  <c r="F657" i="11"/>
  <c r="F664" i="11"/>
  <c r="F671" i="11"/>
  <c r="F678" i="11"/>
  <c r="F685" i="11"/>
  <c r="F692" i="11"/>
  <c r="F699" i="11"/>
  <c r="F706" i="11"/>
  <c r="F713" i="11"/>
  <c r="F720" i="11"/>
  <c r="F727" i="11"/>
  <c r="F734" i="11"/>
  <c r="F741" i="11"/>
  <c r="F748" i="11"/>
  <c r="F755" i="11"/>
  <c r="F762" i="11"/>
  <c r="F411" i="11"/>
  <c r="F410" i="11"/>
  <c r="F417" i="11"/>
  <c r="F424" i="11"/>
  <c r="F431" i="11"/>
  <c r="F438" i="11"/>
  <c r="F445" i="11"/>
  <c r="F452" i="11"/>
  <c r="F459" i="11"/>
  <c r="F466" i="11"/>
  <c r="F473" i="11"/>
  <c r="F480" i="11"/>
  <c r="F487" i="11"/>
  <c r="F494" i="11"/>
  <c r="F501" i="11"/>
  <c r="F508" i="11"/>
  <c r="F515" i="11"/>
  <c r="F522" i="11"/>
  <c r="F529" i="11"/>
  <c r="F536" i="11"/>
  <c r="F543" i="11"/>
  <c r="F550" i="11"/>
  <c r="F557" i="11"/>
  <c r="F564" i="11"/>
  <c r="F571" i="11"/>
  <c r="F578" i="11"/>
  <c r="F585" i="11"/>
  <c r="F592" i="11"/>
  <c r="F599" i="11"/>
  <c r="F606" i="11"/>
  <c r="F613" i="11"/>
  <c r="F620" i="11"/>
  <c r="F627" i="11"/>
  <c r="F634" i="11"/>
  <c r="F641" i="11"/>
  <c r="F648" i="11"/>
  <c r="F655" i="11"/>
  <c r="F662" i="11"/>
  <c r="F669" i="11"/>
  <c r="F676" i="11"/>
  <c r="F683" i="11"/>
  <c r="F690" i="11"/>
  <c r="F697" i="11"/>
  <c r="F704" i="11"/>
  <c r="F711" i="11"/>
  <c r="F718" i="11"/>
  <c r="F725" i="11"/>
  <c r="F732" i="11"/>
  <c r="F739" i="11"/>
  <c r="F746" i="11"/>
  <c r="F753" i="11"/>
  <c r="F760" i="11"/>
  <c r="F409" i="11"/>
  <c r="F416" i="11"/>
  <c r="F423" i="11"/>
  <c r="F430" i="11"/>
  <c r="F437" i="11"/>
  <c r="F444" i="11"/>
  <c r="F451" i="11"/>
  <c r="F458" i="11"/>
  <c r="F465" i="11"/>
  <c r="F472" i="11"/>
  <c r="F479" i="11"/>
  <c r="F486" i="11"/>
  <c r="F493" i="11"/>
  <c r="F500" i="11"/>
  <c r="F507" i="11"/>
  <c r="F514" i="11"/>
  <c r="F521" i="11"/>
  <c r="F528" i="11"/>
  <c r="F535" i="11"/>
  <c r="F542" i="11"/>
  <c r="F549" i="11"/>
  <c r="F556" i="11"/>
  <c r="F563" i="11"/>
  <c r="F570" i="11"/>
  <c r="F577" i="11"/>
  <c r="F584" i="11"/>
  <c r="F591" i="11"/>
  <c r="F598" i="11"/>
  <c r="F605" i="11"/>
  <c r="F612" i="11"/>
  <c r="F619" i="11"/>
  <c r="F626" i="11"/>
  <c r="F633" i="11"/>
  <c r="F640" i="11"/>
  <c r="F647" i="11"/>
  <c r="F654" i="11"/>
  <c r="F661" i="11"/>
  <c r="F668" i="11"/>
  <c r="F675" i="11"/>
  <c r="F682" i="11"/>
  <c r="F689" i="11"/>
  <c r="F696" i="11"/>
  <c r="F703" i="11"/>
  <c r="F710" i="11"/>
  <c r="F717" i="11"/>
  <c r="F724" i="11"/>
  <c r="F731" i="11"/>
  <c r="F738" i="11"/>
  <c r="F745" i="11"/>
  <c r="F752" i="11"/>
  <c r="F759" i="11"/>
  <c r="F408" i="11"/>
  <c r="F415" i="11"/>
  <c r="F422" i="11"/>
  <c r="F429" i="11"/>
  <c r="F436" i="11"/>
  <c r="F443" i="11"/>
  <c r="F450" i="11"/>
  <c r="F457" i="11"/>
  <c r="F464" i="11"/>
  <c r="F471" i="11"/>
  <c r="F478" i="11"/>
  <c r="F485" i="11"/>
  <c r="F492" i="11"/>
  <c r="F499" i="11"/>
  <c r="F506" i="11"/>
  <c r="F513" i="11"/>
  <c r="F520" i="11"/>
  <c r="F527" i="11"/>
  <c r="F534" i="11"/>
  <c r="F541" i="11"/>
  <c r="F548" i="11"/>
  <c r="F555" i="11"/>
  <c r="F562" i="11"/>
  <c r="F569" i="11"/>
  <c r="F576" i="11"/>
  <c r="F583" i="11"/>
  <c r="F590" i="11"/>
  <c r="F597" i="11"/>
  <c r="F604" i="11"/>
  <c r="F611" i="11"/>
  <c r="F618" i="11"/>
  <c r="F625" i="11"/>
  <c r="F632" i="11"/>
  <c r="F639" i="11"/>
  <c r="F646" i="11"/>
  <c r="F653" i="11"/>
  <c r="F660" i="11"/>
  <c r="F667" i="11"/>
  <c r="F674" i="11"/>
  <c r="F681" i="11"/>
  <c r="F688" i="11"/>
  <c r="F695" i="11"/>
  <c r="F702" i="11"/>
  <c r="F709" i="11"/>
  <c r="F716" i="11"/>
  <c r="F723" i="11"/>
  <c r="F730" i="11"/>
  <c r="F737" i="11"/>
  <c r="F744" i="11"/>
  <c r="F751" i="11"/>
  <c r="F758" i="11"/>
  <c r="F51" i="11"/>
  <c r="F58" i="11"/>
  <c r="F65" i="11"/>
  <c r="F72" i="11"/>
  <c r="F79" i="11"/>
  <c r="F86" i="11"/>
  <c r="F93" i="11"/>
  <c r="F100" i="11"/>
  <c r="F107" i="11"/>
  <c r="F114" i="11"/>
  <c r="F121" i="11"/>
  <c r="F128" i="11"/>
  <c r="F135" i="11"/>
  <c r="F142" i="11"/>
  <c r="F149" i="11"/>
  <c r="F156" i="11"/>
  <c r="F163" i="11"/>
  <c r="F170" i="11"/>
  <c r="F177" i="11"/>
  <c r="F184" i="11"/>
  <c r="F191" i="11"/>
  <c r="F198" i="11"/>
  <c r="F205" i="11"/>
  <c r="F212" i="11"/>
  <c r="F219" i="11"/>
  <c r="F226" i="11"/>
  <c r="F233" i="11"/>
  <c r="F240" i="11"/>
  <c r="F247" i="11"/>
  <c r="F254" i="11"/>
  <c r="F261" i="11"/>
  <c r="F268" i="11"/>
  <c r="F275" i="11"/>
  <c r="F282" i="11"/>
  <c r="F289" i="11"/>
  <c r="F296" i="11"/>
  <c r="F303" i="11"/>
  <c r="F310" i="11"/>
  <c r="F317" i="11"/>
  <c r="F324" i="11"/>
  <c r="F331" i="11"/>
  <c r="F338" i="11"/>
  <c r="F345" i="11"/>
  <c r="F352" i="11"/>
  <c r="F359" i="11"/>
  <c r="F366" i="11"/>
  <c r="F373" i="11"/>
  <c r="F380" i="11"/>
  <c r="F387" i="11"/>
  <c r="F394" i="11"/>
  <c r="F50" i="11"/>
  <c r="F57" i="11"/>
  <c r="F64" i="11"/>
  <c r="F71" i="11"/>
  <c r="F78" i="11"/>
  <c r="F85" i="11"/>
  <c r="F92" i="11"/>
  <c r="F99" i="11"/>
  <c r="F106" i="11"/>
  <c r="F113" i="11"/>
  <c r="F120" i="11"/>
  <c r="F127" i="11"/>
  <c r="F134" i="11"/>
  <c r="F141" i="11"/>
  <c r="F148" i="11"/>
  <c r="F155" i="11"/>
  <c r="F162" i="11"/>
  <c r="F169" i="11"/>
  <c r="F176" i="11"/>
  <c r="F183" i="11"/>
  <c r="F190" i="11"/>
  <c r="F197" i="11"/>
  <c r="F204" i="11"/>
  <c r="F211" i="11"/>
  <c r="F218" i="11"/>
  <c r="F225" i="11"/>
  <c r="F232" i="11"/>
  <c r="F239" i="11"/>
  <c r="F246" i="11"/>
  <c r="F253" i="11"/>
  <c r="F260" i="11"/>
  <c r="F267" i="11"/>
  <c r="F274" i="11"/>
  <c r="F281" i="11"/>
  <c r="F288" i="11"/>
  <c r="F295" i="11"/>
  <c r="F302" i="11"/>
  <c r="F309" i="11"/>
  <c r="F316" i="11"/>
  <c r="F323" i="11"/>
  <c r="F330" i="11"/>
  <c r="F337" i="11"/>
  <c r="F344" i="11"/>
  <c r="F351" i="11"/>
  <c r="F358" i="11"/>
  <c r="F365" i="11"/>
  <c r="F372" i="11"/>
  <c r="F379" i="11"/>
  <c r="F386" i="11"/>
  <c r="F393" i="11"/>
  <c r="F400" i="11"/>
  <c r="F49" i="11"/>
  <c r="F56" i="11"/>
  <c r="F63" i="11"/>
  <c r="F70" i="11"/>
  <c r="F77" i="11"/>
  <c r="F84" i="11"/>
  <c r="F91" i="11"/>
  <c r="F98" i="11"/>
  <c r="F105" i="11"/>
  <c r="F112" i="11"/>
  <c r="F119" i="11"/>
  <c r="F126" i="11"/>
  <c r="F133" i="11"/>
  <c r="F140" i="11"/>
  <c r="F147" i="11"/>
  <c r="F154" i="11"/>
  <c r="F161" i="11"/>
  <c r="F168" i="11"/>
  <c r="F175" i="11"/>
  <c r="F182" i="11"/>
  <c r="F189" i="11"/>
  <c r="F196" i="11"/>
  <c r="F203" i="11"/>
  <c r="F210" i="11"/>
  <c r="F217" i="11"/>
  <c r="F224" i="11"/>
  <c r="F231" i="11"/>
  <c r="F238" i="11"/>
  <c r="F245" i="11"/>
  <c r="F252" i="11"/>
  <c r="F259" i="11"/>
  <c r="F266" i="11"/>
  <c r="F273" i="11"/>
  <c r="F280" i="11"/>
  <c r="F287" i="11"/>
  <c r="F294" i="11"/>
  <c r="F301" i="11"/>
  <c r="F308" i="11"/>
  <c r="F315" i="11"/>
  <c r="F322" i="11"/>
  <c r="F329" i="11"/>
  <c r="F336" i="11"/>
  <c r="F343" i="11"/>
  <c r="F350" i="11"/>
  <c r="F357" i="11"/>
  <c r="F364" i="11"/>
  <c r="F371" i="11"/>
  <c r="F378" i="11"/>
  <c r="F385" i="11"/>
  <c r="F392" i="11"/>
  <c r="F399" i="11"/>
  <c r="F48" i="11"/>
  <c r="F55" i="11"/>
  <c r="F62" i="11"/>
  <c r="F69" i="11"/>
  <c r="F76" i="11"/>
  <c r="F83" i="11"/>
  <c r="F90" i="11"/>
  <c r="F97" i="11"/>
  <c r="F104" i="11"/>
  <c r="F111" i="11"/>
  <c r="F118" i="11"/>
  <c r="F125" i="11"/>
  <c r="F132" i="11"/>
  <c r="F139" i="11"/>
  <c r="F146" i="11"/>
  <c r="F153" i="11"/>
  <c r="F160" i="11"/>
  <c r="F167" i="11"/>
  <c r="F174" i="11"/>
  <c r="F181" i="11"/>
  <c r="F188" i="11"/>
  <c r="F195" i="11"/>
  <c r="F202" i="11"/>
  <c r="F209" i="11"/>
  <c r="F216" i="11"/>
  <c r="F223" i="11"/>
  <c r="F230" i="11"/>
  <c r="F237" i="11"/>
  <c r="F244" i="11"/>
  <c r="F251" i="11"/>
  <c r="F258" i="11"/>
  <c r="F265" i="11"/>
  <c r="F272" i="11"/>
  <c r="F279" i="11"/>
  <c r="F286" i="11"/>
  <c r="F293" i="11"/>
  <c r="F300" i="11"/>
  <c r="F307" i="11"/>
  <c r="F314" i="11"/>
  <c r="F321" i="11"/>
  <c r="F328" i="11"/>
  <c r="F335" i="11"/>
  <c r="F342" i="11"/>
  <c r="F349" i="11"/>
  <c r="F356" i="11"/>
  <c r="F363" i="11"/>
  <c r="F370" i="11"/>
  <c r="F377" i="11"/>
  <c r="F384" i="11"/>
  <c r="F391" i="11"/>
  <c r="F398" i="11"/>
  <c r="F47" i="11"/>
  <c r="F54" i="11"/>
  <c r="F61" i="11"/>
  <c r="F68" i="11"/>
  <c r="F75" i="11"/>
  <c r="F82" i="11"/>
  <c r="F89" i="11"/>
  <c r="F96" i="11"/>
  <c r="F103" i="11"/>
  <c r="F110" i="11"/>
  <c r="F117" i="11"/>
  <c r="F124" i="11"/>
  <c r="F131" i="11"/>
  <c r="F138" i="11"/>
  <c r="F145" i="11"/>
  <c r="F152" i="11"/>
  <c r="F159" i="11"/>
  <c r="F166" i="11"/>
  <c r="F173" i="11"/>
  <c r="F180" i="11"/>
  <c r="F187" i="11"/>
  <c r="F194" i="11"/>
  <c r="F201" i="11"/>
  <c r="F208" i="11"/>
  <c r="F215" i="11"/>
  <c r="F222" i="11"/>
  <c r="F229" i="11"/>
  <c r="F236" i="11"/>
  <c r="F243" i="11"/>
  <c r="F250" i="11"/>
  <c r="F257" i="11"/>
  <c r="F264" i="11"/>
  <c r="F271" i="11"/>
  <c r="F278" i="11"/>
  <c r="F285" i="11"/>
  <c r="F292" i="11"/>
  <c r="F299" i="11"/>
  <c r="F306" i="11"/>
  <c r="F313" i="11"/>
  <c r="F320" i="11"/>
  <c r="F327" i="11"/>
  <c r="F334" i="11"/>
  <c r="F341" i="11"/>
  <c r="F348" i="11"/>
  <c r="F355" i="11"/>
  <c r="F362" i="11"/>
  <c r="F369" i="11"/>
  <c r="F376" i="11"/>
  <c r="F383" i="11"/>
  <c r="F390" i="11"/>
  <c r="F397" i="11"/>
  <c r="F46" i="11"/>
  <c r="F53" i="11"/>
  <c r="F60" i="11"/>
  <c r="F67" i="11"/>
  <c r="F74" i="11"/>
  <c r="F81" i="11"/>
  <c r="F88" i="11"/>
  <c r="F95" i="11"/>
  <c r="F102" i="11"/>
  <c r="F109" i="11"/>
  <c r="F116" i="11"/>
  <c r="F123" i="11"/>
  <c r="F130" i="11"/>
  <c r="F137" i="11"/>
  <c r="F144" i="11"/>
  <c r="F151" i="11"/>
  <c r="F158" i="11"/>
  <c r="F165" i="11"/>
  <c r="F172" i="11"/>
  <c r="F179" i="11"/>
  <c r="F186" i="11"/>
  <c r="F193" i="11"/>
  <c r="F200" i="11"/>
  <c r="F207" i="11"/>
  <c r="F214" i="11"/>
  <c r="F221" i="11"/>
  <c r="F228" i="11"/>
  <c r="F235" i="11"/>
  <c r="F242" i="11"/>
  <c r="F249" i="11"/>
  <c r="F256" i="11"/>
  <c r="F263" i="11"/>
  <c r="F270" i="11"/>
  <c r="F277" i="11"/>
  <c r="F284" i="11"/>
  <c r="F291" i="11"/>
  <c r="F298" i="11"/>
  <c r="F305" i="11"/>
  <c r="F312" i="11"/>
  <c r="F319" i="11"/>
  <c r="F326" i="11"/>
  <c r="F333" i="11"/>
  <c r="F340" i="11"/>
  <c r="F347" i="11"/>
  <c r="F354" i="11"/>
  <c r="F361" i="11"/>
  <c r="F368" i="11"/>
  <c r="F375" i="11"/>
  <c r="F382" i="11"/>
  <c r="F389" i="11"/>
  <c r="F396" i="11"/>
  <c r="F45" i="11"/>
  <c r="F52" i="11"/>
  <c r="F59" i="11"/>
  <c r="F66" i="11"/>
  <c r="F73" i="11"/>
  <c r="F80" i="11"/>
  <c r="F87" i="11"/>
  <c r="F94" i="11"/>
  <c r="F101" i="11"/>
  <c r="F108" i="11"/>
  <c r="F115" i="11"/>
  <c r="F122" i="11"/>
  <c r="F129" i="11"/>
  <c r="F136" i="11"/>
  <c r="F143" i="11"/>
  <c r="F150" i="11"/>
  <c r="F157" i="11"/>
  <c r="F164" i="11"/>
  <c r="F171" i="11"/>
  <c r="F178" i="11"/>
  <c r="F185" i="11"/>
  <c r="F192" i="11"/>
  <c r="F199" i="11"/>
  <c r="F206" i="11"/>
  <c r="F213" i="11"/>
  <c r="F220" i="11"/>
  <c r="F227" i="11"/>
  <c r="F234" i="11"/>
  <c r="F241" i="11"/>
  <c r="F248" i="11"/>
  <c r="F255" i="11"/>
  <c r="F262" i="11"/>
  <c r="F269" i="11"/>
  <c r="F276" i="11"/>
  <c r="F283" i="11"/>
  <c r="F290" i="11"/>
  <c r="F297" i="11"/>
  <c r="F304" i="11"/>
  <c r="F311" i="11"/>
  <c r="F318" i="11"/>
  <c r="F325" i="11"/>
  <c r="F332" i="11"/>
  <c r="F339" i="11"/>
  <c r="F346" i="11"/>
  <c r="F353" i="11"/>
  <c r="F360" i="11"/>
  <c r="F367" i="11"/>
  <c r="F374" i="11"/>
  <c r="F381" i="11"/>
  <c r="F388" i="11"/>
  <c r="F395" i="11"/>
  <c r="F44" i="11"/>
  <c r="F15" i="11"/>
  <c r="F22" i="11"/>
  <c r="F29" i="11"/>
  <c r="F36" i="11"/>
  <c r="E15" i="11"/>
  <c r="F14" i="11"/>
  <c r="F21" i="11"/>
  <c r="F28" i="11"/>
  <c r="F35" i="11"/>
  <c r="E14" i="11"/>
  <c r="F13" i="11"/>
  <c r="F20" i="11"/>
  <c r="F27" i="11"/>
  <c r="F34" i="11"/>
  <c r="E13" i="11"/>
  <c r="F12" i="11"/>
  <c r="F19" i="11"/>
  <c r="F26" i="11"/>
  <c r="F33" i="11"/>
  <c r="E12" i="11"/>
  <c r="E19" i="11"/>
  <c r="E26" i="11"/>
  <c r="F11" i="11"/>
  <c r="F18" i="11"/>
  <c r="F25" i="11"/>
  <c r="F32" i="11"/>
  <c r="E11" i="11"/>
  <c r="F10" i="11"/>
  <c r="F17" i="11"/>
  <c r="F24" i="11"/>
  <c r="F31" i="11"/>
  <c r="E10" i="11"/>
  <c r="E17" i="11"/>
  <c r="F9" i="11"/>
  <c r="F16" i="11"/>
  <c r="F23" i="11"/>
  <c r="F30" i="11"/>
  <c r="E9" i="11"/>
  <c r="B4" i="11"/>
  <c r="B5" i="11"/>
  <c r="B6" i="11"/>
  <c r="B7" i="11"/>
  <c r="B8" i="11"/>
  <c r="B9" i="11"/>
  <c r="B10" i="11"/>
  <c r="B11" i="11"/>
  <c r="B12" i="11"/>
  <c r="B13" i="11"/>
  <c r="B14" i="11"/>
  <c r="B15" i="11"/>
  <c r="B16" i="11"/>
  <c r="B17" i="11"/>
  <c r="B18" i="11"/>
  <c r="B19" i="11"/>
  <c r="B20" i="11"/>
  <c r="B21" i="11"/>
  <c r="B22" i="11"/>
  <c r="B23" i="11"/>
  <c r="B24" i="11"/>
  <c r="B25" i="11"/>
  <c r="B26" i="11"/>
  <c r="B27" i="11"/>
  <c r="B28" i="11"/>
  <c r="B29" i="11"/>
  <c r="B30" i="11"/>
  <c r="B31" i="11"/>
  <c r="B32" i="11"/>
  <c r="B33" i="11"/>
  <c r="B34" i="11"/>
  <c r="B35" i="11"/>
  <c r="B36" i="11"/>
  <c r="B37" i="11"/>
  <c r="B38" i="11"/>
  <c r="B39" i="11"/>
  <c r="B40" i="11"/>
  <c r="B41" i="11"/>
  <c r="B42" i="11"/>
  <c r="B43" i="11"/>
  <c r="B44" i="11"/>
  <c r="B45" i="11"/>
  <c r="B46" i="11"/>
  <c r="B47" i="11"/>
  <c r="B48" i="11"/>
  <c r="B49" i="11"/>
  <c r="B50" i="11"/>
  <c r="B51" i="11"/>
  <c r="B52" i="11"/>
  <c r="B53" i="11"/>
  <c r="B54" i="11"/>
  <c r="B55" i="11"/>
  <c r="B56" i="11"/>
  <c r="B57" i="11"/>
  <c r="B58" i="11"/>
  <c r="B59" i="11"/>
  <c r="B60" i="11"/>
  <c r="B61" i="11"/>
  <c r="B62" i="11"/>
  <c r="B63" i="11"/>
  <c r="B64" i="11"/>
  <c r="B65" i="11"/>
  <c r="B66" i="11"/>
  <c r="B67" i="11"/>
  <c r="B68" i="11"/>
  <c r="B69" i="11"/>
  <c r="B70" i="11"/>
  <c r="B71" i="11"/>
  <c r="B72" i="11"/>
  <c r="B73" i="11"/>
  <c r="B74" i="11"/>
  <c r="B75" i="11"/>
  <c r="B76" i="11"/>
  <c r="B77" i="11"/>
  <c r="B78" i="11"/>
  <c r="B79" i="11"/>
  <c r="B80" i="11"/>
  <c r="B81" i="11"/>
  <c r="B82" i="11"/>
  <c r="B83" i="11"/>
  <c r="B84" i="11"/>
  <c r="B85" i="11"/>
  <c r="B86" i="11"/>
  <c r="B87" i="11"/>
  <c r="B88" i="11"/>
  <c r="B89" i="11"/>
  <c r="B90" i="11"/>
  <c r="B91" i="11"/>
  <c r="B92" i="11"/>
  <c r="B93" i="11"/>
  <c r="B94" i="11"/>
  <c r="B95" i="11"/>
  <c r="B96" i="11"/>
  <c r="B97" i="11"/>
  <c r="B98" i="11"/>
  <c r="B99" i="11"/>
  <c r="B100" i="11"/>
  <c r="B101" i="11"/>
  <c r="B102" i="11"/>
  <c r="B103" i="11"/>
  <c r="B104" i="11"/>
  <c r="B105" i="11"/>
  <c r="B106" i="11"/>
  <c r="B107" i="11"/>
  <c r="B108" i="11"/>
  <c r="B109" i="11"/>
  <c r="B110" i="11"/>
  <c r="B111" i="11"/>
  <c r="B112" i="11"/>
  <c r="B113" i="11"/>
  <c r="B114" i="11"/>
  <c r="B115" i="11"/>
  <c r="B116" i="11"/>
  <c r="B117" i="11"/>
  <c r="B118" i="11"/>
  <c r="B119" i="11"/>
  <c r="B120" i="11"/>
  <c r="B121" i="11"/>
  <c r="B122" i="11"/>
  <c r="B123" i="11"/>
  <c r="B124" i="11"/>
  <c r="B125" i="11"/>
  <c r="B126" i="11"/>
  <c r="B127" i="11"/>
  <c r="B128" i="11"/>
  <c r="B129" i="11"/>
  <c r="B130" i="11"/>
  <c r="B131" i="11"/>
  <c r="B132" i="11"/>
  <c r="B133" i="11"/>
  <c r="B134" i="11"/>
  <c r="B135" i="11"/>
  <c r="B136" i="11"/>
  <c r="B137" i="11"/>
  <c r="B138" i="11"/>
  <c r="B139" i="11"/>
  <c r="B140" i="11"/>
  <c r="B141" i="11"/>
  <c r="B142" i="11"/>
  <c r="B143" i="11"/>
  <c r="B144" i="11"/>
  <c r="B145" i="11"/>
  <c r="B146" i="11"/>
  <c r="B147" i="11"/>
  <c r="B148" i="11"/>
  <c r="B149" i="11"/>
  <c r="B150" i="11"/>
  <c r="B151" i="11"/>
  <c r="B152" i="11"/>
  <c r="B153" i="11"/>
  <c r="B154" i="11"/>
  <c r="B155" i="11"/>
  <c r="B156" i="11"/>
  <c r="B157" i="11"/>
  <c r="B158" i="11"/>
  <c r="B159" i="11"/>
  <c r="B160" i="11"/>
  <c r="B161" i="11"/>
  <c r="B162" i="11"/>
  <c r="B163" i="11"/>
  <c r="B164" i="11"/>
  <c r="B165" i="11"/>
  <c r="B166" i="11"/>
  <c r="B167" i="11"/>
  <c r="B168" i="11"/>
  <c r="B169" i="11"/>
  <c r="B170" i="11"/>
  <c r="B171" i="11"/>
  <c r="B172" i="11"/>
  <c r="B173" i="11"/>
  <c r="B174" i="11"/>
  <c r="B175" i="11"/>
  <c r="B176" i="11"/>
  <c r="B177" i="11"/>
  <c r="B178" i="11"/>
  <c r="B179" i="11"/>
  <c r="B180" i="11"/>
  <c r="B181" i="11"/>
  <c r="B182" i="11"/>
  <c r="B183" i="11"/>
  <c r="B184" i="11"/>
  <c r="B185" i="11"/>
  <c r="B186" i="11"/>
  <c r="B187" i="11"/>
  <c r="B188" i="11"/>
  <c r="B189" i="11"/>
  <c r="B190" i="11"/>
  <c r="B191" i="11"/>
  <c r="B192" i="11"/>
  <c r="B193" i="11"/>
  <c r="B194" i="11"/>
  <c r="B195" i="11"/>
  <c r="B196" i="11"/>
  <c r="B197" i="11"/>
  <c r="B198" i="11"/>
  <c r="B199" i="11"/>
  <c r="B200" i="11"/>
  <c r="B201" i="11"/>
  <c r="B202" i="11"/>
  <c r="B203" i="11"/>
  <c r="B204" i="11"/>
  <c r="B205" i="11"/>
  <c r="B206" i="11"/>
  <c r="B207" i="11"/>
  <c r="B208" i="11"/>
  <c r="B209" i="11"/>
  <c r="B210" i="11"/>
  <c r="B211" i="11"/>
  <c r="B212" i="11"/>
  <c r="B213" i="11"/>
  <c r="B214" i="11"/>
  <c r="B215" i="11"/>
  <c r="B216" i="11"/>
  <c r="B217" i="11"/>
  <c r="B218" i="11"/>
  <c r="B219" i="11"/>
  <c r="B220" i="11"/>
  <c r="B221" i="11"/>
  <c r="B222" i="11"/>
  <c r="B223" i="11"/>
  <c r="B224" i="11"/>
  <c r="B225" i="11"/>
  <c r="B226" i="11"/>
  <c r="B227" i="11"/>
  <c r="B228" i="11"/>
  <c r="B229" i="11"/>
  <c r="B230" i="11"/>
  <c r="B231" i="11"/>
  <c r="B232" i="11"/>
  <c r="B233" i="11"/>
  <c r="B234" i="11"/>
  <c r="B235" i="11"/>
  <c r="B236" i="11"/>
  <c r="B237" i="11"/>
  <c r="B238" i="11"/>
  <c r="B239" i="11"/>
  <c r="B240" i="11"/>
  <c r="B241" i="11"/>
  <c r="B242" i="11"/>
  <c r="B243" i="11"/>
  <c r="B244" i="11"/>
  <c r="B245" i="11"/>
  <c r="B246" i="11"/>
  <c r="B247" i="11"/>
  <c r="B248" i="11"/>
  <c r="B249" i="11"/>
  <c r="B250" i="11"/>
  <c r="B251" i="11"/>
  <c r="B252" i="11"/>
  <c r="B253" i="11"/>
  <c r="B254" i="11"/>
  <c r="B255" i="11"/>
  <c r="B256" i="11"/>
  <c r="B257" i="11"/>
  <c r="B258" i="11"/>
  <c r="B259" i="11"/>
  <c r="B260" i="11"/>
  <c r="B261" i="11"/>
  <c r="B262" i="11"/>
  <c r="B263" i="11"/>
  <c r="B264" i="11"/>
  <c r="B265" i="11"/>
  <c r="B266" i="11"/>
  <c r="B267" i="11"/>
  <c r="B268" i="11"/>
  <c r="B269" i="11"/>
  <c r="B270" i="11"/>
  <c r="B271" i="11"/>
  <c r="B272" i="11"/>
  <c r="B273" i="11"/>
  <c r="B274" i="11"/>
  <c r="B275" i="11"/>
  <c r="B276" i="11"/>
  <c r="B277" i="11"/>
  <c r="B278" i="11"/>
  <c r="B279" i="11"/>
  <c r="B280" i="11"/>
  <c r="B281" i="11"/>
  <c r="B282" i="11"/>
  <c r="B283" i="11"/>
  <c r="B284" i="11"/>
  <c r="B285" i="11"/>
  <c r="B286" i="11"/>
  <c r="B287" i="11"/>
  <c r="B288" i="11"/>
  <c r="B289" i="11"/>
  <c r="B290" i="11"/>
  <c r="B291" i="11"/>
  <c r="B292" i="11"/>
  <c r="B293" i="11"/>
  <c r="B294" i="11"/>
  <c r="B295" i="11"/>
  <c r="B296" i="11"/>
  <c r="B297" i="11"/>
  <c r="B298" i="11"/>
  <c r="B299" i="11"/>
  <c r="B300" i="11"/>
  <c r="B301" i="11"/>
  <c r="B302" i="11"/>
  <c r="B303" i="11"/>
  <c r="B304" i="11"/>
  <c r="B305" i="11"/>
  <c r="B306" i="11"/>
  <c r="B307" i="11"/>
  <c r="B308" i="11"/>
  <c r="B309" i="11"/>
  <c r="B310" i="11"/>
  <c r="B311" i="11"/>
  <c r="B312" i="11"/>
  <c r="B313" i="11"/>
  <c r="B314" i="11"/>
  <c r="B315" i="11"/>
  <c r="B316" i="11"/>
  <c r="B317" i="11"/>
  <c r="B318" i="11"/>
  <c r="B319" i="11"/>
  <c r="B320" i="11"/>
  <c r="B321" i="11"/>
  <c r="B322" i="11"/>
  <c r="B323" i="11"/>
  <c r="B324" i="11"/>
  <c r="B325" i="11"/>
  <c r="B326" i="11"/>
  <c r="B327" i="11"/>
  <c r="B328" i="11"/>
  <c r="B329" i="11"/>
  <c r="B330" i="11"/>
  <c r="B331" i="11"/>
  <c r="B332" i="11"/>
  <c r="B333" i="11"/>
  <c r="B334" i="11"/>
  <c r="B335" i="11"/>
  <c r="B336" i="11"/>
  <c r="B337" i="11"/>
  <c r="B338" i="11"/>
  <c r="B339" i="11"/>
  <c r="B340" i="11"/>
  <c r="B341" i="11"/>
  <c r="B342" i="11"/>
  <c r="B343" i="11"/>
  <c r="B344" i="11"/>
  <c r="B345" i="11"/>
  <c r="B346" i="11"/>
  <c r="B347" i="11"/>
  <c r="B348" i="11"/>
  <c r="B349" i="11"/>
  <c r="B350" i="11"/>
  <c r="B351" i="11"/>
  <c r="B352" i="11"/>
  <c r="B353" i="11"/>
  <c r="B354" i="11"/>
  <c r="B355" i="11"/>
  <c r="B356" i="11"/>
  <c r="B357" i="11"/>
  <c r="B358" i="11"/>
  <c r="B359" i="11"/>
  <c r="B360" i="11"/>
  <c r="B361" i="11"/>
  <c r="B362" i="11"/>
  <c r="B363" i="11"/>
  <c r="B364" i="11"/>
  <c r="B365" i="11"/>
  <c r="B366" i="11"/>
  <c r="B367" i="11"/>
  <c r="B368" i="11"/>
  <c r="B369" i="11"/>
  <c r="B370" i="11"/>
  <c r="B371" i="11"/>
  <c r="B372" i="11"/>
  <c r="B373" i="11"/>
  <c r="B374" i="11"/>
  <c r="B375" i="11"/>
  <c r="B376" i="11"/>
  <c r="B377" i="11"/>
  <c r="B378" i="11"/>
  <c r="B379" i="11"/>
  <c r="B380" i="11"/>
  <c r="B381" i="11"/>
  <c r="B382" i="11"/>
  <c r="B383" i="11"/>
  <c r="B384" i="11"/>
  <c r="B385" i="11"/>
  <c r="B386" i="11"/>
  <c r="B387" i="11"/>
  <c r="B388" i="11"/>
  <c r="B389" i="11"/>
  <c r="B390" i="11"/>
  <c r="B391" i="11"/>
  <c r="B392" i="11"/>
  <c r="B393" i="11"/>
  <c r="B394" i="11"/>
  <c r="B395" i="11"/>
  <c r="B396" i="11"/>
  <c r="B397" i="11"/>
  <c r="B398" i="11"/>
  <c r="B399" i="11"/>
  <c r="B400" i="11"/>
  <c r="B401" i="11"/>
  <c r="B402" i="11"/>
  <c r="B403" i="11"/>
  <c r="B404" i="11"/>
  <c r="B405" i="11"/>
  <c r="B406" i="11"/>
  <c r="B407" i="11"/>
  <c r="B408" i="11"/>
  <c r="B409" i="11"/>
  <c r="B410" i="11"/>
  <c r="B411" i="11"/>
  <c r="B412" i="11"/>
  <c r="B413" i="11"/>
  <c r="B414" i="11"/>
  <c r="B415" i="11"/>
  <c r="B416" i="11"/>
  <c r="B417" i="11"/>
  <c r="B418" i="11"/>
  <c r="B419" i="11"/>
  <c r="B420" i="11"/>
  <c r="B421" i="11"/>
  <c r="B422" i="11"/>
  <c r="B423" i="11"/>
  <c r="B424" i="11"/>
  <c r="B425" i="11"/>
  <c r="B426" i="11"/>
  <c r="B427" i="11"/>
  <c r="B428" i="11"/>
  <c r="B429" i="11"/>
  <c r="B430" i="11"/>
  <c r="B431" i="11"/>
  <c r="B432" i="11"/>
  <c r="B433" i="11"/>
  <c r="B434" i="11"/>
  <c r="B435" i="11"/>
  <c r="B436" i="11"/>
  <c r="B437" i="11"/>
  <c r="B438" i="11"/>
  <c r="B439" i="11"/>
  <c r="B440" i="11"/>
  <c r="B441" i="11"/>
  <c r="B442" i="11"/>
  <c r="B443" i="11"/>
  <c r="B444" i="11"/>
  <c r="B445" i="11"/>
  <c r="B446" i="11"/>
  <c r="B447" i="11"/>
  <c r="B448" i="11"/>
  <c r="B449" i="11"/>
  <c r="B450" i="11"/>
  <c r="B451" i="11"/>
  <c r="B452" i="11"/>
  <c r="B453" i="11"/>
  <c r="B454" i="11"/>
  <c r="B455" i="11"/>
  <c r="B456" i="11"/>
  <c r="B457" i="11"/>
  <c r="B458" i="11"/>
  <c r="B459" i="11"/>
  <c r="B460" i="11"/>
  <c r="B461" i="11"/>
  <c r="B462" i="11"/>
  <c r="B463" i="11"/>
  <c r="B464" i="11"/>
  <c r="B465" i="11"/>
  <c r="B466" i="11"/>
  <c r="B467" i="11"/>
  <c r="B468" i="11"/>
  <c r="B469" i="11"/>
  <c r="B470" i="11"/>
  <c r="B471" i="11"/>
  <c r="B472" i="11"/>
  <c r="B473" i="11"/>
  <c r="B474" i="11"/>
  <c r="B475" i="11"/>
  <c r="B476" i="11"/>
  <c r="B477" i="11"/>
  <c r="B478" i="11"/>
  <c r="B479" i="11"/>
  <c r="B480" i="11"/>
  <c r="B481" i="11"/>
  <c r="B482" i="11"/>
  <c r="B483" i="11"/>
  <c r="B484" i="11"/>
  <c r="B485" i="11"/>
  <c r="B486" i="11"/>
  <c r="B487" i="11"/>
  <c r="B488" i="11"/>
  <c r="B489" i="11"/>
  <c r="B490" i="11"/>
  <c r="B491" i="11"/>
  <c r="B492" i="11"/>
  <c r="B493" i="11"/>
  <c r="B494" i="11"/>
  <c r="B495" i="11"/>
  <c r="B496" i="11"/>
  <c r="B497" i="11"/>
  <c r="B498" i="11"/>
  <c r="B499" i="11"/>
  <c r="B500" i="11"/>
  <c r="B501" i="11"/>
  <c r="B502" i="11"/>
  <c r="B503" i="11"/>
  <c r="B504" i="11"/>
  <c r="B505" i="11"/>
  <c r="B506" i="11"/>
  <c r="B507" i="11"/>
  <c r="B508" i="11"/>
  <c r="B509" i="11"/>
  <c r="B510" i="11"/>
  <c r="B511" i="11"/>
  <c r="B512" i="11"/>
  <c r="B513" i="11"/>
  <c r="B514" i="11"/>
  <c r="B515" i="11"/>
  <c r="B516" i="11"/>
  <c r="B517" i="11"/>
  <c r="B518" i="11"/>
  <c r="B519" i="11"/>
  <c r="B520" i="11"/>
  <c r="B521" i="11"/>
  <c r="B522" i="11"/>
  <c r="B523" i="11"/>
  <c r="B524" i="11"/>
  <c r="B525" i="11"/>
  <c r="B526" i="11"/>
  <c r="B527" i="11"/>
  <c r="B528" i="11"/>
  <c r="B529" i="11"/>
  <c r="B530" i="11"/>
  <c r="B531" i="11"/>
  <c r="B532" i="11"/>
  <c r="B533" i="11"/>
  <c r="B534" i="11"/>
  <c r="B535" i="11"/>
  <c r="B536" i="11"/>
  <c r="B537" i="11"/>
  <c r="B538" i="11"/>
  <c r="B539" i="11"/>
  <c r="B540" i="11"/>
  <c r="B541" i="11"/>
  <c r="B542" i="11"/>
  <c r="B543" i="11"/>
  <c r="B544" i="11"/>
  <c r="B545" i="11"/>
  <c r="B546" i="11"/>
  <c r="B547" i="11"/>
  <c r="B548" i="11"/>
  <c r="B549" i="11"/>
  <c r="B550" i="11"/>
  <c r="B551" i="11"/>
  <c r="B552" i="11"/>
  <c r="B553" i="11"/>
  <c r="B554" i="11"/>
  <c r="B555" i="11"/>
  <c r="B556" i="11"/>
  <c r="B557" i="11"/>
  <c r="B558" i="11"/>
  <c r="B559" i="11"/>
  <c r="B560" i="11"/>
  <c r="B561" i="11"/>
  <c r="B562" i="11"/>
  <c r="B563" i="11"/>
  <c r="B564" i="11"/>
  <c r="B565" i="11"/>
  <c r="B566" i="11"/>
  <c r="B567" i="11"/>
  <c r="B568" i="11"/>
  <c r="B569" i="11"/>
  <c r="B570" i="11"/>
  <c r="B571" i="11"/>
  <c r="B572" i="11"/>
  <c r="B573" i="11"/>
  <c r="B574" i="11"/>
  <c r="B575" i="11"/>
  <c r="B576" i="11"/>
  <c r="B577" i="11"/>
  <c r="B578" i="11"/>
  <c r="B579" i="11"/>
  <c r="B580" i="11"/>
  <c r="B581" i="11"/>
  <c r="B582" i="11"/>
  <c r="B583" i="11"/>
  <c r="B584" i="11"/>
  <c r="B585" i="11"/>
  <c r="B586" i="11"/>
  <c r="B587" i="11"/>
  <c r="B588" i="11"/>
  <c r="B589" i="11"/>
  <c r="B590" i="11"/>
  <c r="B591" i="11"/>
  <c r="B592" i="11"/>
  <c r="B593" i="11"/>
  <c r="B594" i="11"/>
  <c r="B595" i="11"/>
  <c r="B596" i="11"/>
  <c r="B597" i="11"/>
  <c r="B598" i="11"/>
  <c r="B599" i="11"/>
  <c r="B600" i="11"/>
  <c r="B601" i="11"/>
  <c r="B602" i="11"/>
  <c r="B603" i="11"/>
  <c r="B604" i="11"/>
  <c r="B605" i="11"/>
  <c r="B606" i="11"/>
  <c r="B607" i="11"/>
  <c r="B608" i="11"/>
  <c r="B609" i="11"/>
  <c r="B610" i="11"/>
  <c r="B611" i="11"/>
  <c r="B612" i="11"/>
  <c r="B613" i="11"/>
  <c r="B614" i="11"/>
  <c r="B615" i="11"/>
  <c r="B616" i="11"/>
  <c r="B617" i="11"/>
  <c r="B618" i="11"/>
  <c r="B619" i="11"/>
  <c r="B620" i="11"/>
  <c r="B621" i="11"/>
  <c r="B622" i="11"/>
  <c r="B623" i="11"/>
  <c r="B624" i="11"/>
  <c r="B625" i="11"/>
  <c r="B626" i="11"/>
  <c r="B627" i="11"/>
  <c r="B628" i="11"/>
  <c r="B629" i="11"/>
  <c r="B630" i="11"/>
  <c r="B631" i="11"/>
  <c r="B632" i="11"/>
  <c r="B633" i="11"/>
  <c r="B634" i="11"/>
  <c r="B635" i="11"/>
  <c r="B636" i="11"/>
  <c r="B637" i="11"/>
  <c r="B638" i="11"/>
  <c r="B639" i="11"/>
  <c r="B640" i="11"/>
  <c r="B641" i="11"/>
  <c r="B642" i="11"/>
  <c r="B643" i="11"/>
  <c r="B644" i="11"/>
  <c r="B645" i="11"/>
  <c r="B646" i="11"/>
  <c r="B647" i="11"/>
  <c r="B648" i="11"/>
  <c r="B649" i="11"/>
  <c r="B650" i="11"/>
  <c r="B651" i="11"/>
  <c r="B652" i="11"/>
  <c r="B653" i="11"/>
  <c r="B654" i="11"/>
  <c r="B655" i="11"/>
  <c r="B656" i="11"/>
  <c r="B657" i="11"/>
  <c r="B658" i="11"/>
  <c r="B659" i="11"/>
  <c r="B660" i="11"/>
  <c r="B661" i="11"/>
  <c r="B662" i="11"/>
  <c r="B663" i="11"/>
  <c r="B664" i="11"/>
  <c r="B665" i="11"/>
  <c r="B666" i="11"/>
  <c r="B667" i="11"/>
  <c r="B668" i="11"/>
  <c r="B669" i="11"/>
  <c r="B670" i="11"/>
  <c r="B671" i="11"/>
  <c r="B672" i="11"/>
  <c r="B673" i="11"/>
  <c r="B674" i="11"/>
  <c r="B675" i="11"/>
  <c r="B676" i="11"/>
  <c r="B677" i="11"/>
  <c r="B678" i="11"/>
  <c r="B679" i="11"/>
  <c r="B680" i="11"/>
  <c r="B681" i="11"/>
  <c r="B682" i="11"/>
  <c r="B683" i="11"/>
  <c r="B684" i="11"/>
  <c r="B685" i="11"/>
  <c r="B686" i="11"/>
  <c r="B687" i="11"/>
  <c r="B688" i="11"/>
  <c r="B689" i="11"/>
  <c r="B690" i="11"/>
  <c r="B691" i="11"/>
  <c r="B692" i="11"/>
  <c r="B693" i="11"/>
  <c r="B694" i="11"/>
  <c r="B695" i="11"/>
  <c r="B696" i="11"/>
  <c r="B697" i="11"/>
  <c r="B698" i="11"/>
  <c r="B699" i="11"/>
  <c r="B700" i="11"/>
  <c r="B701" i="11"/>
  <c r="B702" i="11"/>
  <c r="B703" i="11"/>
  <c r="B704" i="11"/>
  <c r="B705" i="11"/>
  <c r="B706" i="11"/>
  <c r="B707" i="11"/>
  <c r="B708" i="11"/>
  <c r="B709" i="11"/>
  <c r="B710" i="11"/>
  <c r="B711" i="11"/>
  <c r="B712" i="11"/>
  <c r="B713" i="11"/>
  <c r="B714" i="11"/>
  <c r="B715" i="11"/>
  <c r="B716" i="11"/>
  <c r="B717" i="11"/>
  <c r="B718" i="11"/>
  <c r="B719" i="11"/>
  <c r="B720" i="11"/>
  <c r="B721" i="11"/>
  <c r="B722" i="11"/>
  <c r="B723" i="11"/>
  <c r="B724" i="11"/>
  <c r="B725" i="11"/>
  <c r="B726" i="11"/>
  <c r="B727" i="11"/>
  <c r="B728" i="11"/>
  <c r="B729" i="11"/>
  <c r="B730" i="11"/>
  <c r="B731" i="11"/>
  <c r="B732" i="11"/>
  <c r="B733" i="11"/>
  <c r="B734" i="11"/>
  <c r="B735" i="11"/>
  <c r="B736" i="11"/>
  <c r="B737" i="11"/>
  <c r="B738" i="11"/>
  <c r="B739" i="11"/>
  <c r="B740" i="11"/>
  <c r="B741" i="11"/>
  <c r="B742" i="11"/>
  <c r="B743" i="11"/>
  <c r="B744" i="11"/>
  <c r="B745" i="11"/>
  <c r="B746" i="11"/>
  <c r="B747" i="11"/>
  <c r="B748" i="11"/>
  <c r="B749" i="11"/>
  <c r="B750" i="11"/>
  <c r="B751" i="11"/>
  <c r="B752" i="11"/>
  <c r="B753" i="11"/>
  <c r="B754" i="11"/>
  <c r="B755" i="11"/>
  <c r="B756" i="11"/>
  <c r="B757" i="11"/>
  <c r="B758" i="11"/>
  <c r="B759" i="11"/>
  <c r="B760" i="11"/>
  <c r="B761" i="11"/>
  <c r="B762" i="11"/>
  <c r="B763" i="11"/>
  <c r="B764" i="11"/>
  <c r="B765" i="11"/>
  <c r="B766" i="11"/>
  <c r="B767" i="11"/>
  <c r="B768" i="11"/>
  <c r="B769" i="11"/>
  <c r="B770" i="11"/>
  <c r="B771" i="11"/>
  <c r="B772" i="11"/>
  <c r="B773" i="11"/>
  <c r="B774" i="11"/>
  <c r="B775" i="11"/>
  <c r="B776" i="11"/>
  <c r="B777" i="11"/>
  <c r="B778" i="11"/>
  <c r="B779" i="11"/>
  <c r="B780" i="11"/>
  <c r="B781" i="11"/>
  <c r="B782" i="11"/>
  <c r="B783" i="11"/>
  <c r="B784" i="11"/>
  <c r="B785" i="11"/>
  <c r="B786" i="11"/>
  <c r="B787" i="11"/>
  <c r="B788" i="11"/>
  <c r="B789" i="11"/>
  <c r="B790" i="11"/>
  <c r="B791" i="11"/>
  <c r="B792" i="11"/>
  <c r="B793" i="11"/>
  <c r="B794" i="11"/>
  <c r="B795" i="11"/>
  <c r="B796" i="11"/>
  <c r="B797" i="11"/>
  <c r="B798" i="11"/>
  <c r="B799" i="11"/>
  <c r="B800" i="11"/>
  <c r="B801" i="11"/>
  <c r="B802" i="11"/>
  <c r="B803" i="11"/>
  <c r="B804" i="11"/>
  <c r="B805" i="11"/>
  <c r="B806" i="11"/>
  <c r="B807" i="11"/>
  <c r="B808" i="11"/>
  <c r="B809" i="11"/>
  <c r="B810" i="11"/>
  <c r="B811" i="11"/>
  <c r="B812" i="11"/>
  <c r="B813" i="11"/>
  <c r="B814" i="11"/>
  <c r="B815" i="11"/>
  <c r="B816" i="11"/>
  <c r="B817" i="11"/>
  <c r="B818" i="11"/>
  <c r="B819" i="11"/>
  <c r="B820" i="11"/>
  <c r="B821" i="11"/>
  <c r="B822" i="11"/>
  <c r="B823" i="11"/>
  <c r="B824" i="11"/>
  <c r="B825" i="11"/>
  <c r="B826" i="11"/>
  <c r="B827" i="11"/>
  <c r="B828" i="11"/>
  <c r="B829" i="11"/>
  <c r="B830" i="11"/>
  <c r="B831" i="11"/>
  <c r="B832" i="11"/>
  <c r="B833" i="11"/>
  <c r="B834" i="11"/>
  <c r="B835" i="11"/>
  <c r="B836" i="11"/>
  <c r="B837" i="11"/>
  <c r="B838" i="11"/>
  <c r="B839" i="11"/>
  <c r="B840" i="11"/>
  <c r="B841" i="11"/>
  <c r="B842" i="11"/>
  <c r="B843" i="11"/>
  <c r="B844" i="11"/>
  <c r="B845" i="11"/>
  <c r="B846" i="11"/>
  <c r="B847" i="11"/>
  <c r="B848" i="11"/>
  <c r="B849" i="11"/>
  <c r="B850" i="11"/>
  <c r="B851" i="11"/>
  <c r="B852" i="11"/>
  <c r="B853" i="11"/>
  <c r="B854" i="11"/>
  <c r="B855" i="11"/>
  <c r="B856" i="11"/>
  <c r="B857" i="11"/>
  <c r="B858" i="11"/>
  <c r="B859" i="11"/>
  <c r="B860" i="11"/>
  <c r="B861" i="11"/>
  <c r="B862" i="11"/>
  <c r="B863" i="11"/>
  <c r="B864" i="11"/>
  <c r="B865" i="11"/>
  <c r="B866" i="11"/>
  <c r="B867" i="11"/>
  <c r="B868" i="11"/>
  <c r="B869" i="11"/>
  <c r="B870" i="11"/>
  <c r="B871" i="11"/>
  <c r="B872" i="11"/>
  <c r="B873" i="11"/>
  <c r="B874" i="11"/>
  <c r="B875" i="11"/>
  <c r="B876" i="11"/>
  <c r="B877" i="11"/>
  <c r="B878" i="11"/>
  <c r="B879" i="11"/>
  <c r="B880" i="11"/>
  <c r="B881" i="11"/>
  <c r="B882" i="11"/>
  <c r="B883" i="11"/>
  <c r="B884" i="11"/>
  <c r="B885" i="11"/>
  <c r="B886" i="11"/>
  <c r="B887" i="11"/>
  <c r="B888" i="11"/>
  <c r="B889" i="11"/>
  <c r="B890" i="11"/>
  <c r="C3" i="11"/>
  <c r="D3" i="11"/>
  <c r="D2" i="11"/>
  <c r="C4" i="11"/>
  <c r="E24" i="11"/>
  <c r="E33" i="11"/>
  <c r="E21" i="11"/>
  <c r="E20" i="11"/>
  <c r="E22" i="11"/>
  <c r="E16" i="11"/>
  <c r="E18" i="11"/>
  <c r="D4" i="11"/>
  <c r="C5" i="11"/>
  <c r="E40" i="11"/>
  <c r="E27" i="11"/>
  <c r="E31" i="11"/>
  <c r="E25" i="11"/>
  <c r="E29" i="11"/>
  <c r="E28" i="11"/>
  <c r="E23" i="11"/>
  <c r="C6" i="11"/>
  <c r="D5" i="11"/>
  <c r="E32" i="11"/>
  <c r="E47" i="11"/>
  <c r="E30" i="11"/>
  <c r="E35" i="11"/>
  <c r="E36" i="11"/>
  <c r="E34" i="11"/>
  <c r="E38" i="11"/>
  <c r="C7" i="11"/>
  <c r="D6" i="11"/>
  <c r="E41" i="11"/>
  <c r="E45" i="11"/>
  <c r="E42" i="11"/>
  <c r="E37" i="11"/>
  <c r="E43" i="11"/>
  <c r="E54" i="11"/>
  <c r="E39" i="11"/>
  <c r="D7" i="11"/>
  <c r="C8" i="11"/>
  <c r="E50" i="11"/>
  <c r="E61" i="11"/>
  <c r="E48" i="11"/>
  <c r="E49" i="11"/>
  <c r="E44" i="11"/>
  <c r="E46" i="11"/>
  <c r="E52" i="11"/>
  <c r="D8" i="11"/>
  <c r="C9" i="11"/>
  <c r="E53" i="11"/>
  <c r="E51" i="11"/>
  <c r="E55" i="11"/>
  <c r="E68" i="11"/>
  <c r="E56" i="11"/>
  <c r="E59" i="11"/>
  <c r="E57" i="11"/>
  <c r="C10" i="11"/>
  <c r="D9" i="11"/>
  <c r="E63" i="11"/>
  <c r="E60" i="11"/>
  <c r="E75" i="11"/>
  <c r="E64" i="11"/>
  <c r="E58" i="11"/>
  <c r="E62" i="11"/>
  <c r="E66" i="11"/>
  <c r="C11" i="11"/>
  <c r="D10" i="11"/>
  <c r="E65" i="11"/>
  <c r="E71" i="11"/>
  <c r="E69" i="11"/>
  <c r="E82" i="11"/>
  <c r="E70" i="11"/>
  <c r="E67" i="11"/>
  <c r="E73" i="11"/>
  <c r="C12" i="11"/>
  <c r="D11" i="11"/>
  <c r="E76" i="11"/>
  <c r="E78" i="11"/>
  <c r="E77" i="11"/>
  <c r="E74" i="11"/>
  <c r="E80" i="11"/>
  <c r="E89" i="11"/>
  <c r="E72" i="11"/>
  <c r="D12" i="11"/>
  <c r="C13" i="11"/>
  <c r="E96" i="11"/>
  <c r="E85" i="11"/>
  <c r="E84" i="11"/>
  <c r="E79" i="11"/>
  <c r="E87" i="11"/>
  <c r="E81" i="11"/>
  <c r="E83" i="11"/>
  <c r="C14" i="11"/>
  <c r="D13" i="11"/>
  <c r="E90" i="11"/>
  <c r="E94" i="11"/>
  <c r="E91" i="11"/>
  <c r="E92" i="11"/>
  <c r="E103" i="11"/>
  <c r="E86" i="11"/>
  <c r="E88" i="11"/>
  <c r="C15" i="11"/>
  <c r="D14" i="11"/>
  <c r="E95" i="11"/>
  <c r="E110" i="11"/>
  <c r="E97" i="11"/>
  <c r="E101" i="11"/>
  <c r="E99" i="11"/>
  <c r="E98" i="11"/>
  <c r="E93" i="11"/>
  <c r="D15" i="11"/>
  <c r="C16" i="11"/>
  <c r="E102" i="11"/>
  <c r="E100" i="11"/>
  <c r="E106" i="11"/>
  <c r="E117" i="11"/>
  <c r="E104" i="11"/>
  <c r="E108" i="11"/>
  <c r="E105" i="11"/>
  <c r="D16" i="11"/>
  <c r="C17" i="11"/>
  <c r="E124" i="11"/>
  <c r="E113" i="11"/>
  <c r="E109" i="11"/>
  <c r="E115" i="11"/>
  <c r="E111" i="11"/>
  <c r="E107" i="11"/>
  <c r="E112" i="11"/>
  <c r="D17" i="11"/>
  <c r="C18" i="11"/>
  <c r="E120" i="11"/>
  <c r="E116" i="11"/>
  <c r="E119" i="11"/>
  <c r="E118" i="11"/>
  <c r="E114" i="11"/>
  <c r="E122" i="11"/>
  <c r="E131" i="11"/>
  <c r="D18" i="11"/>
  <c r="C19" i="11"/>
  <c r="E129" i="11"/>
  <c r="E127" i="11"/>
  <c r="E138" i="11"/>
  <c r="E121" i="11"/>
  <c r="E126" i="11"/>
  <c r="E125" i="11"/>
  <c r="E123" i="11"/>
  <c r="D19" i="11"/>
  <c r="C20" i="11"/>
  <c r="E128" i="11"/>
  <c r="E130" i="11"/>
  <c r="E134" i="11"/>
  <c r="E136" i="11"/>
  <c r="E132" i="11"/>
  <c r="E133" i="11"/>
  <c r="E145" i="11"/>
  <c r="D20" i="11"/>
  <c r="C21" i="11"/>
  <c r="E135" i="11"/>
  <c r="E141" i="11"/>
  <c r="E143" i="11"/>
  <c r="E152" i="11"/>
  <c r="E137" i="11"/>
  <c r="E139" i="11"/>
  <c r="E140" i="11"/>
  <c r="D21" i="11"/>
  <c r="C22" i="11"/>
  <c r="E147" i="11"/>
  <c r="E159" i="11"/>
  <c r="E142" i="11"/>
  <c r="E146" i="11"/>
  <c r="E144" i="11"/>
  <c r="E148" i="11"/>
  <c r="E150" i="11"/>
  <c r="C23" i="11"/>
  <c r="D22" i="11"/>
  <c r="E154" i="11"/>
  <c r="E155" i="11"/>
  <c r="E151" i="11"/>
  <c r="E149" i="11"/>
  <c r="E166" i="11"/>
  <c r="E157" i="11"/>
  <c r="E153" i="11"/>
  <c r="D23" i="11"/>
  <c r="C24" i="11"/>
  <c r="E158" i="11"/>
  <c r="E173" i="11"/>
  <c r="E164" i="11"/>
  <c r="E161" i="11"/>
  <c r="E156" i="11"/>
  <c r="E162" i="11"/>
  <c r="E160" i="11"/>
  <c r="D24" i="11"/>
  <c r="C25" i="11"/>
  <c r="E167" i="11"/>
  <c r="E180" i="11"/>
  <c r="E163" i="11"/>
  <c r="E169" i="11"/>
  <c r="E168" i="11"/>
  <c r="E171" i="11"/>
  <c r="E165" i="11"/>
  <c r="D25" i="11"/>
  <c r="C26" i="11"/>
  <c r="E176" i="11"/>
  <c r="E174" i="11"/>
  <c r="E187" i="11"/>
  <c r="E172" i="11"/>
  <c r="E175" i="11"/>
  <c r="E170" i="11"/>
  <c r="E178" i="11"/>
  <c r="D26" i="11"/>
  <c r="C27" i="11"/>
  <c r="E185" i="11"/>
  <c r="E183" i="11"/>
  <c r="E179" i="11"/>
  <c r="E181" i="11"/>
  <c r="E177" i="11"/>
  <c r="E182" i="11"/>
  <c r="E194" i="11"/>
  <c r="D27" i="11"/>
  <c r="C28" i="11"/>
  <c r="E186" i="11"/>
  <c r="E190" i="11"/>
  <c r="E189" i="11"/>
  <c r="E184" i="11"/>
  <c r="E188" i="11"/>
  <c r="E192" i="11"/>
  <c r="E201" i="11"/>
  <c r="D28" i="11"/>
  <c r="C29" i="11"/>
  <c r="E199" i="11"/>
  <c r="E191" i="11"/>
  <c r="E197" i="11"/>
  <c r="E195" i="11"/>
  <c r="E208" i="11"/>
  <c r="E196" i="11"/>
  <c r="E193" i="11"/>
  <c r="C30" i="11"/>
  <c r="D29" i="11"/>
  <c r="E204" i="11"/>
  <c r="E203" i="11"/>
  <c r="E198" i="11"/>
  <c r="E215" i="11"/>
  <c r="E202" i="11"/>
  <c r="E200" i="11"/>
  <c r="E206" i="11"/>
  <c r="D30" i="11"/>
  <c r="C31" i="11"/>
  <c r="E209" i="11"/>
  <c r="E213" i="11"/>
  <c r="E207" i="11"/>
  <c r="E205" i="11"/>
  <c r="E210" i="11"/>
  <c r="E222" i="11"/>
  <c r="E211" i="11"/>
  <c r="C32" i="11"/>
  <c r="D31" i="11"/>
  <c r="E218" i="11"/>
  <c r="E212" i="11"/>
  <c r="E217" i="11"/>
  <c r="E214" i="11"/>
  <c r="E229" i="11"/>
  <c r="E220" i="11"/>
  <c r="E216" i="11"/>
  <c r="C33" i="11"/>
  <c r="D32" i="11"/>
  <c r="E224" i="11"/>
  <c r="E225" i="11"/>
  <c r="E223" i="11"/>
  <c r="E236" i="11"/>
  <c r="E221" i="11"/>
  <c r="E219" i="11"/>
  <c r="E227" i="11"/>
  <c r="D33" i="11"/>
  <c r="C34" i="11"/>
  <c r="E226" i="11"/>
  <c r="E230" i="11"/>
  <c r="E232" i="11"/>
  <c r="E243" i="11"/>
  <c r="E234" i="11"/>
  <c r="E231" i="11"/>
  <c r="E228" i="11"/>
  <c r="D34" i="11"/>
  <c r="C35" i="11"/>
  <c r="E237" i="11"/>
  <c r="E233" i="11"/>
  <c r="E235" i="11"/>
  <c r="E238" i="11"/>
  <c r="E239" i="11"/>
  <c r="E241" i="11"/>
  <c r="E250" i="11"/>
  <c r="C36" i="11"/>
  <c r="D35" i="11"/>
  <c r="E245" i="11"/>
  <c r="E244" i="11"/>
  <c r="E248" i="11"/>
  <c r="E242" i="11"/>
  <c r="E246" i="11"/>
  <c r="E257" i="11"/>
  <c r="E240" i="11"/>
  <c r="C37" i="11"/>
  <c r="D36" i="11"/>
  <c r="E247" i="11"/>
  <c r="E251" i="11"/>
  <c r="E253" i="11"/>
  <c r="E264" i="11"/>
  <c r="E252" i="11"/>
  <c r="E255" i="11"/>
  <c r="E249" i="11"/>
  <c r="D37" i="11"/>
  <c r="C38" i="11"/>
  <c r="E254" i="11"/>
  <c r="E260" i="11"/>
  <c r="E258" i="11"/>
  <c r="E259" i="11"/>
  <c r="E271" i="11"/>
  <c r="E256" i="11"/>
  <c r="E262" i="11"/>
  <c r="C39" i="11"/>
  <c r="D38" i="11"/>
  <c r="E265" i="11"/>
  <c r="E267" i="11"/>
  <c r="E269" i="11"/>
  <c r="E278" i="11"/>
  <c r="E263" i="11"/>
  <c r="E266" i="11"/>
  <c r="E261" i="11"/>
  <c r="C40" i="11"/>
  <c r="D39" i="11"/>
  <c r="E273" i="11"/>
  <c r="E270" i="11"/>
  <c r="E276" i="11"/>
  <c r="E272" i="11"/>
  <c r="E268" i="11"/>
  <c r="E285" i="11"/>
  <c r="E274" i="11"/>
  <c r="C41" i="11"/>
  <c r="D40" i="11"/>
  <c r="E283" i="11"/>
  <c r="E280" i="11"/>
  <c r="E275" i="11"/>
  <c r="E292" i="11"/>
  <c r="E281" i="11"/>
  <c r="E279" i="11"/>
  <c r="E277" i="11"/>
  <c r="D41" i="11"/>
  <c r="C42" i="11"/>
  <c r="E287" i="11"/>
  <c r="E288" i="11"/>
  <c r="E282" i="11"/>
  <c r="E284" i="11"/>
  <c r="E286" i="11"/>
  <c r="E290" i="11"/>
  <c r="E299" i="11"/>
  <c r="C43" i="11"/>
  <c r="D42" i="11"/>
  <c r="E297" i="11"/>
  <c r="E289" i="11"/>
  <c r="E295" i="11"/>
  <c r="E294" i="11"/>
  <c r="E306" i="11"/>
  <c r="E291" i="11"/>
  <c r="E293" i="11"/>
  <c r="C44" i="11"/>
  <c r="D43" i="11"/>
  <c r="E298" i="11"/>
  <c r="E313" i="11"/>
  <c r="E296" i="11"/>
  <c r="E304" i="11"/>
  <c r="E300" i="11"/>
  <c r="E301" i="11"/>
  <c r="E302" i="11"/>
  <c r="C45" i="11"/>
  <c r="D44" i="11"/>
  <c r="E303" i="11"/>
  <c r="E309" i="11"/>
  <c r="E320" i="11"/>
  <c r="E308" i="11"/>
  <c r="E307" i="11"/>
  <c r="E305" i="11"/>
  <c r="E311" i="11"/>
  <c r="D45" i="11"/>
  <c r="C46" i="11"/>
  <c r="E327" i="11"/>
  <c r="E316" i="11"/>
  <c r="E318" i="11"/>
  <c r="E312" i="11"/>
  <c r="E314" i="11"/>
  <c r="E315" i="11"/>
  <c r="E310" i="11"/>
  <c r="C47" i="11"/>
  <c r="D46" i="11"/>
  <c r="E317" i="11"/>
  <c r="E322" i="11"/>
  <c r="E334" i="11"/>
  <c r="E325" i="11"/>
  <c r="E319" i="11"/>
  <c r="E323" i="11"/>
  <c r="E321" i="11"/>
  <c r="D47" i="11"/>
  <c r="C48" i="11"/>
  <c r="E332" i="11"/>
  <c r="E329" i="11"/>
  <c r="E326" i="11"/>
  <c r="E341" i="11"/>
  <c r="E330" i="11"/>
  <c r="E328" i="11"/>
  <c r="E324" i="11"/>
  <c r="C49" i="11"/>
  <c r="D48" i="11"/>
  <c r="E333" i="11"/>
  <c r="E348" i="11"/>
  <c r="E339" i="11"/>
  <c r="E337" i="11"/>
  <c r="E335" i="11"/>
  <c r="E336" i="11"/>
  <c r="E331" i="11"/>
  <c r="D49" i="11"/>
  <c r="C50" i="11"/>
  <c r="E338" i="11"/>
  <c r="E346" i="11"/>
  <c r="E355" i="11"/>
  <c r="E343" i="11"/>
  <c r="E342" i="11"/>
  <c r="E340" i="11"/>
  <c r="E344" i="11"/>
  <c r="D50" i="11"/>
  <c r="C51" i="11"/>
  <c r="E350" i="11"/>
  <c r="E345" i="11"/>
  <c r="E349" i="11"/>
  <c r="E353" i="11"/>
  <c r="E351" i="11"/>
  <c r="E347" i="11"/>
  <c r="E362" i="11"/>
  <c r="C52" i="11"/>
  <c r="D51" i="11"/>
  <c r="E354" i="11"/>
  <c r="E360" i="11"/>
  <c r="E352" i="11"/>
  <c r="E357" i="11"/>
  <c r="E358" i="11"/>
  <c r="E356" i="11"/>
  <c r="E369" i="11"/>
  <c r="C53" i="11"/>
  <c r="D52" i="11"/>
  <c r="E367" i="11"/>
  <c r="E365" i="11"/>
  <c r="E364" i="11"/>
  <c r="E376" i="11"/>
  <c r="E359" i="11"/>
  <c r="E361" i="11"/>
  <c r="E363" i="11"/>
  <c r="D53" i="11"/>
  <c r="C54" i="11"/>
  <c r="E366" i="11"/>
  <c r="E368" i="11"/>
  <c r="E371" i="11"/>
  <c r="E372" i="11"/>
  <c r="E370" i="11"/>
  <c r="E383" i="11"/>
  <c r="E374" i="11"/>
  <c r="C55" i="11"/>
  <c r="D54" i="11"/>
  <c r="E373" i="11"/>
  <c r="E390" i="11"/>
  <c r="E379" i="11"/>
  <c r="E375" i="11"/>
  <c r="E378" i="11"/>
  <c r="E381" i="11"/>
  <c r="E377" i="11"/>
  <c r="D55" i="11"/>
  <c r="C56" i="11"/>
  <c r="E382" i="11"/>
  <c r="E385" i="11"/>
  <c r="E380" i="11"/>
  <c r="E384" i="11"/>
  <c r="E386" i="11"/>
  <c r="E397" i="11"/>
  <c r="E388" i="11"/>
  <c r="D56" i="11"/>
  <c r="C57" i="11"/>
  <c r="E404" i="11"/>
  <c r="E391" i="11"/>
  <c r="E393" i="11"/>
  <c r="E395" i="11"/>
  <c r="E389" i="11"/>
  <c r="E387" i="11"/>
  <c r="E392" i="11"/>
  <c r="D57" i="11"/>
  <c r="C58" i="11"/>
  <c r="E399" i="11"/>
  <c r="E396" i="11"/>
  <c r="E402" i="11"/>
  <c r="E394" i="11"/>
  <c r="E411" i="11"/>
  <c r="E400" i="11"/>
  <c r="E398" i="11"/>
  <c r="D58" i="11"/>
  <c r="C59" i="11"/>
  <c r="E409" i="11"/>
  <c r="E406" i="11"/>
  <c r="E405" i="11"/>
  <c r="E407" i="11"/>
  <c r="E418" i="11"/>
  <c r="E401" i="11"/>
  <c r="E403" i="11"/>
  <c r="C60" i="11"/>
  <c r="D59" i="11"/>
  <c r="E412" i="11"/>
  <c r="E410" i="11"/>
  <c r="E425" i="11"/>
  <c r="E413" i="11"/>
  <c r="E414" i="11"/>
  <c r="E408" i="11"/>
  <c r="E416" i="11"/>
  <c r="D60" i="11"/>
  <c r="C61" i="11"/>
  <c r="E432" i="11"/>
  <c r="E417" i="11"/>
  <c r="E415" i="11"/>
  <c r="E421" i="11"/>
  <c r="E423" i="11"/>
  <c r="E419" i="11"/>
  <c r="E420" i="11"/>
  <c r="C62" i="11"/>
  <c r="D61" i="11"/>
  <c r="E424" i="11"/>
  <c r="E422" i="11"/>
  <c r="E428" i="11"/>
  <c r="E426" i="11"/>
  <c r="E427" i="11"/>
  <c r="E430" i="11"/>
  <c r="E439" i="11"/>
  <c r="D62" i="11"/>
  <c r="C63" i="11"/>
  <c r="E429" i="11"/>
  <c r="E446" i="11"/>
  <c r="E437" i="11"/>
  <c r="E435" i="11"/>
  <c r="E433" i="11"/>
  <c r="E434" i="11"/>
  <c r="E431" i="11"/>
  <c r="D63" i="11"/>
  <c r="C64" i="11"/>
  <c r="E442" i="11"/>
  <c r="E453" i="11"/>
  <c r="E440" i="11"/>
  <c r="E441" i="11"/>
  <c r="E444" i="11"/>
  <c r="E436" i="11"/>
  <c r="E438" i="11"/>
  <c r="D64" i="11"/>
  <c r="C65" i="11"/>
  <c r="E451" i="11"/>
  <c r="E447" i="11"/>
  <c r="E448" i="11"/>
  <c r="E443" i="11"/>
  <c r="E460" i="11"/>
  <c r="E445" i="11"/>
  <c r="E449" i="11"/>
  <c r="C66" i="11"/>
  <c r="D65" i="11"/>
  <c r="E452" i="11"/>
  <c r="E450" i="11"/>
  <c r="E456" i="11"/>
  <c r="E458" i="11"/>
  <c r="E467" i="11"/>
  <c r="E454" i="11"/>
  <c r="E455" i="11"/>
  <c r="D66" i="11"/>
  <c r="C67" i="11"/>
  <c r="E465" i="11"/>
  <c r="E474" i="11"/>
  <c r="E457" i="11"/>
  <c r="E463" i="11"/>
  <c r="E462" i="11"/>
  <c r="E459" i="11"/>
  <c r="E461" i="11"/>
  <c r="D67" i="11"/>
  <c r="C68" i="11"/>
  <c r="E472" i="11"/>
  <c r="E466" i="11"/>
  <c r="E469" i="11"/>
  <c r="E481" i="11"/>
  <c r="E468" i="11"/>
  <c r="E470" i="11"/>
  <c r="E464" i="11"/>
  <c r="D68" i="11"/>
  <c r="C69" i="11"/>
  <c r="E473" i="11"/>
  <c r="E471" i="11"/>
  <c r="E488" i="11"/>
  <c r="E476" i="11"/>
  <c r="E479" i="11"/>
  <c r="E477" i="11"/>
  <c r="E475" i="11"/>
  <c r="D69" i="11"/>
  <c r="C70" i="11"/>
  <c r="E483" i="11"/>
  <c r="E484" i="11"/>
  <c r="E495" i="11"/>
  <c r="E478" i="11"/>
  <c r="E482" i="11"/>
  <c r="E486" i="11"/>
  <c r="E480" i="11"/>
  <c r="C71" i="11"/>
  <c r="D70" i="11"/>
  <c r="E485" i="11"/>
  <c r="E487" i="11"/>
  <c r="E489" i="11"/>
  <c r="E490" i="11"/>
  <c r="E502" i="11"/>
  <c r="E491" i="11"/>
  <c r="E493" i="11"/>
  <c r="C72" i="11"/>
  <c r="D71" i="11"/>
  <c r="E500" i="11"/>
  <c r="E509" i="11"/>
  <c r="E496" i="11"/>
  <c r="E497" i="11"/>
  <c r="E498" i="11"/>
  <c r="E492" i="11"/>
  <c r="E494" i="11"/>
  <c r="D72" i="11"/>
  <c r="C73" i="11"/>
  <c r="E499" i="11"/>
  <c r="E505" i="11"/>
  <c r="E503" i="11"/>
  <c r="E516" i="11"/>
  <c r="E501" i="11"/>
  <c r="E504" i="11"/>
  <c r="E507" i="11"/>
  <c r="D73" i="11"/>
  <c r="C74" i="11"/>
  <c r="E514" i="11"/>
  <c r="E511" i="11"/>
  <c r="E510" i="11"/>
  <c r="E523" i="11"/>
  <c r="E506" i="11"/>
  <c r="E508" i="11"/>
  <c r="E512" i="11"/>
  <c r="C75" i="11"/>
  <c r="D74" i="11"/>
  <c r="E517" i="11"/>
  <c r="E518" i="11"/>
  <c r="E515" i="11"/>
  <c r="E513" i="11"/>
  <c r="E521" i="11"/>
  <c r="E530" i="11"/>
  <c r="E519" i="11"/>
  <c r="C76" i="11"/>
  <c r="D75" i="11"/>
  <c r="E520" i="11"/>
  <c r="E525" i="11"/>
  <c r="E526" i="11"/>
  <c r="E528" i="11"/>
  <c r="E522" i="11"/>
  <c r="E524" i="11"/>
  <c r="E537" i="11"/>
  <c r="C77" i="11"/>
  <c r="D76" i="11"/>
  <c r="E529" i="11"/>
  <c r="E535" i="11"/>
  <c r="E544" i="11"/>
  <c r="E533" i="11"/>
  <c r="E527" i="11"/>
  <c r="E531" i="11"/>
  <c r="E532" i="11"/>
  <c r="D77" i="11"/>
  <c r="C78" i="11"/>
  <c r="E542" i="11"/>
  <c r="E534" i="11"/>
  <c r="E540" i="11"/>
  <c r="E551" i="11"/>
  <c r="E536" i="11"/>
  <c r="E538" i="11"/>
  <c r="E539" i="11"/>
  <c r="D78" i="11"/>
  <c r="C79" i="11"/>
  <c r="E545" i="11"/>
  <c r="E558" i="11"/>
  <c r="E541" i="11"/>
  <c r="E549" i="11"/>
  <c r="E546" i="11"/>
  <c r="E543" i="11"/>
  <c r="E547" i="11"/>
  <c r="D79" i="11"/>
  <c r="C80" i="11"/>
  <c r="E565" i="11"/>
  <c r="E550" i="11"/>
  <c r="E552" i="11"/>
  <c r="E554" i="11"/>
  <c r="E553" i="11"/>
  <c r="E556" i="11"/>
  <c r="E548" i="11"/>
  <c r="D80" i="11"/>
  <c r="C81" i="11"/>
  <c r="E563" i="11"/>
  <c r="E561" i="11"/>
  <c r="E555" i="11"/>
  <c r="E572" i="11"/>
  <c r="E560" i="11"/>
  <c r="E559" i="11"/>
  <c r="E557" i="11"/>
  <c r="D81" i="11"/>
  <c r="C82" i="11"/>
  <c r="E568" i="11"/>
  <c r="E566" i="11"/>
  <c r="E579" i="11"/>
  <c r="E562" i="11"/>
  <c r="E564" i="11"/>
  <c r="E570" i="11"/>
  <c r="E567" i="11"/>
  <c r="D82" i="11"/>
  <c r="C83" i="11"/>
  <c r="E569" i="11"/>
  <c r="E575" i="11"/>
  <c r="E577" i="11"/>
  <c r="E571" i="11"/>
  <c r="E574" i="11"/>
  <c r="E586" i="11"/>
  <c r="E573" i="11"/>
  <c r="C84" i="11"/>
  <c r="D83" i="11"/>
  <c r="E582" i="11"/>
  <c r="E576" i="11"/>
  <c r="E578" i="11"/>
  <c r="E581" i="11"/>
  <c r="E584" i="11"/>
  <c r="E593" i="11"/>
  <c r="E580" i="11"/>
  <c r="D84" i="11"/>
  <c r="C85" i="11"/>
  <c r="E591" i="11"/>
  <c r="E588" i="11"/>
  <c r="E600" i="11"/>
  <c r="E583" i="11"/>
  <c r="E587" i="11"/>
  <c r="E589" i="11"/>
  <c r="E585" i="11"/>
  <c r="D85" i="11"/>
  <c r="C86" i="11"/>
  <c r="E594" i="11"/>
  <c r="E607" i="11"/>
  <c r="E595" i="11"/>
  <c r="E598" i="11"/>
  <c r="E596" i="11"/>
  <c r="E592" i="11"/>
  <c r="E590" i="11"/>
  <c r="D86" i="11"/>
  <c r="C87" i="11"/>
  <c r="E597" i="11"/>
  <c r="E603" i="11"/>
  <c r="E602" i="11"/>
  <c r="E601" i="11"/>
  <c r="E614" i="11"/>
  <c r="E599" i="11"/>
  <c r="E605" i="11"/>
  <c r="D87" i="11"/>
  <c r="C88" i="11"/>
  <c r="E606" i="11"/>
  <c r="E621" i="11"/>
  <c r="E608" i="11"/>
  <c r="E610" i="11"/>
  <c r="E604" i="11"/>
  <c r="E612" i="11"/>
  <c r="E609" i="11"/>
  <c r="C89" i="11"/>
  <c r="D88" i="11"/>
  <c r="E617" i="11"/>
  <c r="E619" i="11"/>
  <c r="E611" i="11"/>
  <c r="E616" i="11"/>
  <c r="E615" i="11"/>
  <c r="E613" i="11"/>
  <c r="E628" i="11"/>
  <c r="D89" i="11"/>
  <c r="C90" i="11"/>
  <c r="E620" i="11"/>
  <c r="E635" i="11"/>
  <c r="E618" i="11"/>
  <c r="E623" i="11"/>
  <c r="E624" i="11"/>
  <c r="E622" i="11"/>
  <c r="E626" i="11"/>
  <c r="D90" i="11"/>
  <c r="C91" i="11"/>
  <c r="E630" i="11"/>
  <c r="E633" i="11"/>
  <c r="E631" i="11"/>
  <c r="E627" i="11"/>
  <c r="E625" i="11"/>
  <c r="E629" i="11"/>
  <c r="E642" i="11"/>
  <c r="D91" i="11"/>
  <c r="C92" i="11"/>
  <c r="E634" i="11"/>
  <c r="E640" i="11"/>
  <c r="E638" i="11"/>
  <c r="E637" i="11"/>
  <c r="E649" i="11"/>
  <c r="E636" i="11"/>
  <c r="E632" i="11"/>
  <c r="C93" i="11"/>
  <c r="D92" i="11"/>
  <c r="E647" i="11"/>
  <c r="E645" i="11"/>
  <c r="E641" i="11"/>
  <c r="E656" i="11"/>
  <c r="E639" i="11"/>
  <c r="E643" i="11"/>
  <c r="E644" i="11"/>
  <c r="C94" i="11"/>
  <c r="D93" i="11"/>
  <c r="E654" i="11"/>
  <c r="E650" i="11"/>
  <c r="E648" i="11"/>
  <c r="E663" i="11"/>
  <c r="E652" i="11"/>
  <c r="E651" i="11"/>
  <c r="E646" i="11"/>
  <c r="C95" i="11"/>
  <c r="D94" i="11"/>
  <c r="E661" i="11"/>
  <c r="E658" i="11"/>
  <c r="E657" i="11"/>
  <c r="E659" i="11"/>
  <c r="E653" i="11"/>
  <c r="E670" i="11"/>
  <c r="E655" i="11"/>
  <c r="D95" i="11"/>
  <c r="C96" i="11"/>
  <c r="E664" i="11"/>
  <c r="E662" i="11"/>
  <c r="E666" i="11"/>
  <c r="E677" i="11"/>
  <c r="E665" i="11"/>
  <c r="E660" i="11"/>
  <c r="E668" i="11"/>
  <c r="C97" i="11"/>
  <c r="D96" i="11"/>
  <c r="E675" i="11"/>
  <c r="E673" i="11"/>
  <c r="E684" i="11"/>
  <c r="E667" i="11"/>
  <c r="E672" i="11"/>
  <c r="E669" i="11"/>
  <c r="E671" i="11"/>
  <c r="C98" i="11"/>
  <c r="D97" i="11"/>
  <c r="E674" i="11"/>
  <c r="E678" i="11"/>
  <c r="E676" i="11"/>
  <c r="E691" i="11"/>
  <c r="E680" i="11"/>
  <c r="E682" i="11"/>
  <c r="E679" i="11"/>
  <c r="C99" i="11"/>
  <c r="D98" i="11"/>
  <c r="E698" i="11"/>
  <c r="E681" i="11"/>
  <c r="E685" i="11"/>
  <c r="E687" i="11"/>
  <c r="E683" i="11"/>
  <c r="E689" i="11"/>
  <c r="E686" i="11"/>
  <c r="D99" i="11"/>
  <c r="C100" i="11"/>
  <c r="E692" i="11"/>
  <c r="E693" i="11"/>
  <c r="E690" i="11"/>
  <c r="E705" i="11"/>
  <c r="E696" i="11"/>
  <c r="E694" i="11"/>
  <c r="E688" i="11"/>
  <c r="D100" i="11"/>
  <c r="C101" i="11"/>
  <c r="E712" i="11"/>
  <c r="E701" i="11"/>
  <c r="E700" i="11"/>
  <c r="E699" i="11"/>
  <c r="E695" i="11"/>
  <c r="E703" i="11"/>
  <c r="E697" i="11"/>
  <c r="D101" i="11"/>
  <c r="C102" i="11"/>
  <c r="E706" i="11"/>
  <c r="E704" i="11"/>
  <c r="E710" i="11"/>
  <c r="E708" i="11"/>
  <c r="E719" i="11"/>
  <c r="E702" i="11"/>
  <c r="E707" i="11"/>
  <c r="D102" i="11"/>
  <c r="C103" i="11"/>
  <c r="E715" i="11"/>
  <c r="E714" i="11"/>
  <c r="E717" i="11"/>
  <c r="E709" i="11"/>
  <c r="E726" i="11"/>
  <c r="E713" i="11"/>
  <c r="E711" i="11"/>
  <c r="D103" i="11"/>
  <c r="C104" i="11"/>
  <c r="E721" i="11"/>
  <c r="E733" i="11"/>
  <c r="E720" i="11"/>
  <c r="E718" i="11"/>
  <c r="E724" i="11"/>
  <c r="E716" i="11"/>
  <c r="E722" i="11"/>
  <c r="D104" i="11"/>
  <c r="C105" i="11"/>
  <c r="E729" i="11"/>
  <c r="E727" i="11"/>
  <c r="E728" i="11"/>
  <c r="E723" i="11"/>
  <c r="E725" i="11"/>
  <c r="E731" i="11"/>
  <c r="E740" i="11"/>
  <c r="D105" i="11"/>
  <c r="C106" i="11"/>
  <c r="E738" i="11"/>
  <c r="E732" i="11"/>
  <c r="E736" i="11"/>
  <c r="E730" i="11"/>
  <c r="E734" i="11"/>
  <c r="E735" i="11"/>
  <c r="E747" i="11"/>
  <c r="C107" i="11"/>
  <c r="D106" i="11"/>
  <c r="E754" i="11"/>
  <c r="E742" i="11"/>
  <c r="E737" i="11"/>
  <c r="E745" i="11"/>
  <c r="E741" i="11"/>
  <c r="E743" i="11"/>
  <c r="E739" i="11"/>
  <c r="D107" i="11"/>
  <c r="C108" i="11"/>
  <c r="E752" i="11"/>
  <c r="E744" i="11"/>
  <c r="E761" i="11"/>
  <c r="E749" i="11"/>
  <c r="E748" i="11"/>
  <c r="E746" i="11"/>
  <c r="E750" i="11"/>
  <c r="C109" i="11"/>
  <c r="D108" i="11"/>
  <c r="E768" i="11"/>
  <c r="E759" i="11"/>
  <c r="E756" i="11"/>
  <c r="E753" i="11"/>
  <c r="E755" i="11"/>
  <c r="E757" i="11"/>
  <c r="E751" i="11"/>
  <c r="D109" i="11"/>
  <c r="C110" i="11"/>
  <c r="E762" i="11"/>
  <c r="E763" i="11"/>
  <c r="E766" i="11"/>
  <c r="E760" i="11"/>
  <c r="E758" i="11"/>
  <c r="E764" i="11"/>
  <c r="E775" i="11"/>
  <c r="C111" i="11"/>
  <c r="D110" i="11"/>
  <c r="E771" i="11"/>
  <c r="E773" i="11"/>
  <c r="E769" i="11"/>
  <c r="E765" i="11"/>
  <c r="E782" i="11"/>
  <c r="E767" i="11"/>
  <c r="E770" i="11"/>
  <c r="D111" i="11"/>
  <c r="C112" i="11"/>
  <c r="E777" i="11"/>
  <c r="E776" i="11"/>
  <c r="E778" i="11"/>
  <c r="E772" i="11"/>
  <c r="E780" i="11"/>
  <c r="E774" i="11"/>
  <c r="E789" i="11"/>
  <c r="C113" i="11"/>
  <c r="D112" i="11"/>
  <c r="E783" i="11"/>
  <c r="E796" i="11"/>
  <c r="E787" i="11"/>
  <c r="E781" i="11"/>
  <c r="E785" i="11"/>
  <c r="E784" i="11"/>
  <c r="E779" i="11"/>
  <c r="C114" i="11"/>
  <c r="D113" i="11"/>
  <c r="E790" i="11"/>
  <c r="E794" i="11"/>
  <c r="E786" i="11"/>
  <c r="E792" i="11"/>
  <c r="E788" i="11"/>
  <c r="E803" i="11"/>
  <c r="E791" i="11"/>
  <c r="D114" i="11"/>
  <c r="C115" i="11"/>
  <c r="E795" i="11"/>
  <c r="E801" i="11"/>
  <c r="E798" i="11"/>
  <c r="E797" i="11"/>
  <c r="E793" i="11"/>
  <c r="E810" i="11"/>
  <c r="E799" i="11"/>
  <c r="C116" i="11"/>
  <c r="D115" i="11"/>
  <c r="E817" i="11"/>
  <c r="E808" i="11"/>
  <c r="E800" i="11"/>
  <c r="E804" i="11"/>
  <c r="E805" i="11"/>
  <c r="E802" i="11"/>
  <c r="E806" i="11"/>
  <c r="D116" i="11"/>
  <c r="C117" i="11"/>
  <c r="E809" i="11"/>
  <c r="E812" i="11"/>
  <c r="E807" i="11"/>
  <c r="E824" i="11"/>
  <c r="E813" i="11"/>
  <c r="E815" i="11"/>
  <c r="E811" i="11"/>
  <c r="C118" i="11"/>
  <c r="D117" i="11"/>
  <c r="E816" i="11"/>
  <c r="E822" i="11"/>
  <c r="E831" i="11"/>
  <c r="E819" i="11"/>
  <c r="E820" i="11"/>
  <c r="E818" i="11"/>
  <c r="E814" i="11"/>
  <c r="D118" i="11"/>
  <c r="C119" i="11"/>
  <c r="E827" i="11"/>
  <c r="E823" i="11"/>
  <c r="E821" i="11"/>
  <c r="E838" i="11"/>
  <c r="E825" i="11"/>
  <c r="E826" i="11"/>
  <c r="E829" i="11"/>
  <c r="D119" i="11"/>
  <c r="C120" i="11"/>
  <c r="E830" i="11"/>
  <c r="E845" i="11"/>
  <c r="E834" i="11"/>
  <c r="E833" i="11"/>
  <c r="E832" i="11"/>
  <c r="E836" i="11"/>
  <c r="E828" i="11"/>
  <c r="C121" i="11"/>
  <c r="D120" i="11"/>
  <c r="E840" i="11"/>
  <c r="E835" i="11"/>
  <c r="E839" i="11"/>
  <c r="E837" i="11"/>
  <c r="E841" i="11"/>
  <c r="E843" i="11"/>
  <c r="E852" i="11"/>
  <c r="C122" i="11"/>
  <c r="D121" i="11"/>
  <c r="E859" i="11"/>
  <c r="E847" i="11"/>
  <c r="E846" i="11"/>
  <c r="E842" i="11"/>
  <c r="E844" i="11"/>
  <c r="E848" i="11"/>
  <c r="E850" i="11"/>
  <c r="D122" i="11"/>
  <c r="C123" i="11"/>
  <c r="E855" i="11"/>
  <c r="E857" i="11"/>
  <c r="E854" i="11"/>
  <c r="E853" i="11"/>
  <c r="E851" i="11"/>
  <c r="E849" i="11"/>
  <c r="E866" i="11"/>
  <c r="C124" i="11"/>
  <c r="D123" i="11"/>
  <c r="E858" i="11"/>
  <c r="E856" i="11"/>
  <c r="E864" i="11"/>
  <c r="E862" i="11"/>
  <c r="E873" i="11"/>
  <c r="E860" i="11"/>
  <c r="E861" i="11"/>
  <c r="C125" i="11"/>
  <c r="D124" i="11"/>
  <c r="E867" i="11"/>
  <c r="E863" i="11"/>
  <c r="E865" i="11"/>
  <c r="E868" i="11"/>
  <c r="E869" i="11"/>
  <c r="E880" i="11"/>
  <c r="E871" i="11"/>
  <c r="C126" i="11"/>
  <c r="D125" i="11"/>
  <c r="E870" i="11"/>
  <c r="E876" i="11"/>
  <c r="E878" i="11"/>
  <c r="E872" i="11"/>
  <c r="E874" i="11"/>
  <c r="E887" i="11"/>
  <c r="E875" i="11"/>
  <c r="C127" i="11"/>
  <c r="D126" i="11"/>
  <c r="E882" i="11"/>
  <c r="E885" i="11"/>
  <c r="E879" i="11"/>
  <c r="E877" i="11"/>
  <c r="E881" i="11"/>
  <c r="E883" i="11"/>
  <c r="C128" i="11"/>
  <c r="D127" i="11"/>
  <c r="E886" i="11"/>
  <c r="E884" i="11"/>
  <c r="E889" i="11"/>
  <c r="E890" i="11"/>
  <c r="E888" i="11"/>
  <c r="C129" i="11"/>
  <c r="D128" i="11"/>
  <c r="K5" i="11"/>
  <c r="K3" i="11"/>
  <c r="M3" i="11"/>
  <c r="L8" i="11"/>
  <c r="L7" i="11"/>
  <c r="L2" i="11"/>
  <c r="L5" i="11"/>
  <c r="L3" i="11"/>
  <c r="L4" i="11"/>
  <c r="K2" i="11"/>
  <c r="K6" i="11"/>
  <c r="M6" i="11"/>
  <c r="K7" i="11"/>
  <c r="M7" i="11"/>
  <c r="L6" i="11"/>
  <c r="K8" i="11"/>
  <c r="M8" i="11"/>
  <c r="K4" i="11"/>
  <c r="L9" i="11"/>
  <c r="K10" i="11"/>
  <c r="L12" i="11"/>
  <c r="K11" i="11"/>
  <c r="K15" i="11"/>
  <c r="L10" i="11"/>
  <c r="L11" i="11"/>
  <c r="K9" i="11"/>
  <c r="M9" i="11"/>
  <c r="L22" i="11"/>
  <c r="K16" i="11"/>
  <c r="L20" i="11"/>
  <c r="K18" i="11"/>
  <c r="M18" i="11"/>
  <c r="L18" i="11"/>
  <c r="K21" i="11"/>
  <c r="L21" i="11"/>
  <c r="L27" i="11"/>
  <c r="K25" i="11"/>
  <c r="L25" i="11"/>
  <c r="K23" i="11"/>
  <c r="L23" i="11"/>
  <c r="L29" i="11"/>
  <c r="L28" i="11"/>
  <c r="K28" i="11"/>
  <c r="M28" i="11"/>
  <c r="K29" i="11"/>
  <c r="L36" i="11"/>
  <c r="L30" i="11"/>
  <c r="L35" i="11"/>
  <c r="L32" i="11"/>
  <c r="K35" i="11"/>
  <c r="K32" i="11"/>
  <c r="L43" i="11"/>
  <c r="L41" i="11"/>
  <c r="L39" i="11"/>
  <c r="K41" i="11"/>
  <c r="K37" i="11"/>
  <c r="M37" i="11"/>
  <c r="K39" i="11"/>
  <c r="M39" i="11"/>
  <c r="L37" i="11"/>
  <c r="K42" i="11"/>
  <c r="L49" i="11"/>
  <c r="K46" i="11"/>
  <c r="K51" i="11"/>
  <c r="L57" i="11"/>
  <c r="L51" i="11"/>
  <c r="L53" i="11"/>
  <c r="L52" i="11"/>
  <c r="K52" i="11"/>
  <c r="K53" i="11"/>
  <c r="L55" i="11"/>
  <c r="K57" i="11"/>
  <c r="K55" i="11"/>
  <c r="K56" i="11"/>
  <c r="K58" i="11"/>
  <c r="M58" i="11"/>
  <c r="L63" i="11"/>
  <c r="K62" i="11"/>
  <c r="K60" i="11"/>
  <c r="L64" i="11"/>
  <c r="L58" i="11"/>
  <c r="K63" i="11"/>
  <c r="K70" i="11"/>
  <c r="L67" i="11"/>
  <c r="K69" i="11"/>
  <c r="M69" i="11"/>
  <c r="L69" i="11"/>
  <c r="L73" i="11"/>
  <c r="K74" i="11"/>
  <c r="M74" i="11"/>
  <c r="K77" i="11"/>
  <c r="K78" i="11"/>
  <c r="L78" i="11"/>
  <c r="L77" i="11"/>
  <c r="K76" i="11"/>
  <c r="L72" i="11"/>
  <c r="K73" i="11"/>
  <c r="M73" i="11"/>
  <c r="L76" i="11"/>
  <c r="K72" i="11"/>
  <c r="L74" i="11"/>
  <c r="K81" i="11"/>
  <c r="K85" i="11"/>
  <c r="L84" i="11"/>
  <c r="L79" i="11"/>
  <c r="K92" i="11"/>
  <c r="K88" i="11"/>
  <c r="K91" i="11"/>
  <c r="L90" i="11"/>
  <c r="L91" i="11"/>
  <c r="K90" i="11"/>
  <c r="M90" i="11"/>
  <c r="L92" i="11"/>
  <c r="L97" i="11"/>
  <c r="K99" i="11"/>
  <c r="L106" i="11"/>
  <c r="K101" i="11"/>
  <c r="L105" i="11"/>
  <c r="L101" i="11"/>
  <c r="L100" i="11"/>
  <c r="K107" i="11"/>
  <c r="M107" i="11"/>
  <c r="L108" i="11"/>
  <c r="K113" i="11"/>
  <c r="K108" i="11"/>
  <c r="M108" i="11"/>
  <c r="L107" i="11"/>
  <c r="L111" i="11"/>
  <c r="L112" i="11"/>
  <c r="L114" i="11"/>
  <c r="K120" i="11"/>
  <c r="L116" i="11"/>
  <c r="K119" i="11"/>
  <c r="L118" i="11"/>
  <c r="K126" i="11"/>
  <c r="L126" i="11"/>
  <c r="K127" i="11"/>
  <c r="L127" i="11"/>
  <c r="L121" i="11"/>
  <c r="K122" i="11"/>
  <c r="L123" i="11"/>
  <c r="K125" i="11"/>
  <c r="K123" i="11"/>
  <c r="K121" i="11"/>
  <c r="M76" i="11"/>
  <c r="M11" i="11"/>
  <c r="M23" i="11"/>
  <c r="M2" i="11"/>
  <c r="M5" i="11"/>
  <c r="D129" i="11"/>
  <c r="C130" i="11"/>
  <c r="M127" i="11"/>
  <c r="M121" i="11"/>
  <c r="M78" i="11"/>
  <c r="M63" i="11"/>
  <c r="M55" i="11"/>
  <c r="M41" i="11"/>
  <c r="M10" i="11"/>
  <c r="M123" i="11"/>
  <c r="M126" i="11"/>
  <c r="M101" i="11"/>
  <c r="M91" i="11"/>
  <c r="M72" i="11"/>
  <c r="M77" i="11"/>
  <c r="M57" i="11"/>
  <c r="M51" i="11"/>
  <c r="M25" i="11"/>
  <c r="M29" i="11"/>
  <c r="M4" i="11"/>
  <c r="M92" i="11"/>
  <c r="M53" i="11"/>
  <c r="M52" i="11"/>
  <c r="M32" i="11"/>
  <c r="M21" i="11"/>
  <c r="M35" i="11"/>
  <c r="C131" i="11"/>
  <c r="D130" i="11"/>
  <c r="C132" i="11"/>
  <c r="D131" i="11"/>
  <c r="D132" i="11"/>
  <c r="C133" i="11"/>
  <c r="C134" i="11"/>
  <c r="D133" i="11"/>
  <c r="K130" i="11"/>
  <c r="M130" i="11"/>
  <c r="L134" i="11"/>
  <c r="K129" i="11"/>
  <c r="K133" i="11"/>
  <c r="D134" i="11"/>
  <c r="L129" i="11"/>
  <c r="L130" i="11"/>
  <c r="C135" i="11"/>
  <c r="K132" i="11"/>
  <c r="L128" i="11"/>
  <c r="L132" i="11"/>
  <c r="K134" i="11"/>
  <c r="M134" i="11"/>
  <c r="K128" i="11"/>
  <c r="L133" i="11"/>
  <c r="C136" i="11"/>
  <c r="D135" i="11"/>
  <c r="M128" i="11"/>
  <c r="M133" i="11"/>
  <c r="M129" i="11"/>
  <c r="M132" i="11"/>
  <c r="D136" i="11"/>
  <c r="C137" i="11"/>
  <c r="C138" i="11"/>
  <c r="D137" i="11"/>
  <c r="D138" i="11"/>
  <c r="C139" i="11"/>
  <c r="C140" i="11"/>
  <c r="D139" i="11"/>
  <c r="D140" i="11"/>
  <c r="C141" i="11"/>
  <c r="K135" i="11"/>
  <c r="L141" i="11"/>
  <c r="L136" i="11"/>
  <c r="L139" i="11"/>
  <c r="C142" i="11"/>
  <c r="L140" i="11"/>
  <c r="K140" i="11"/>
  <c r="M140" i="11"/>
  <c r="D141" i="11"/>
  <c r="K136" i="11"/>
  <c r="M136" i="11"/>
  <c r="L137" i="11"/>
  <c r="K141" i="11"/>
  <c r="M141" i="11"/>
  <c r="L135" i="11"/>
  <c r="K139" i="11"/>
  <c r="M139" i="11"/>
  <c r="D142" i="11"/>
  <c r="C143" i="11"/>
  <c r="M135" i="11"/>
  <c r="C144" i="11"/>
  <c r="D143" i="11"/>
  <c r="D144" i="11"/>
  <c r="C145" i="11"/>
  <c r="C146" i="11"/>
  <c r="D145" i="11"/>
  <c r="D146" i="11"/>
  <c r="C147" i="11"/>
  <c r="C148" i="11"/>
  <c r="D147" i="11"/>
  <c r="K144" i="11"/>
  <c r="L142" i="11"/>
  <c r="L147" i="11"/>
  <c r="L148" i="11"/>
  <c r="D148" i="11"/>
  <c r="K147" i="11"/>
  <c r="M147" i="11"/>
  <c r="K148" i="11"/>
  <c r="M148" i="11"/>
  <c r="C149" i="11"/>
  <c r="L143" i="11"/>
  <c r="K142" i="11"/>
  <c r="M142" i="11"/>
  <c r="K146" i="11"/>
  <c r="M146" i="11"/>
  <c r="L144" i="11"/>
  <c r="L146" i="11"/>
  <c r="K143" i="11"/>
  <c r="C150" i="11"/>
  <c r="D149" i="11"/>
  <c r="M143" i="11"/>
  <c r="M144" i="11"/>
  <c r="D150" i="11"/>
  <c r="C151" i="11"/>
  <c r="C152" i="11"/>
  <c r="D151" i="11"/>
  <c r="D152" i="11"/>
  <c r="C153" i="11"/>
  <c r="C154" i="11"/>
  <c r="D153" i="11"/>
  <c r="D154" i="11"/>
  <c r="C155" i="11"/>
  <c r="K154" i="11"/>
  <c r="M154" i="11"/>
  <c r="L151" i="11"/>
  <c r="L153" i="11"/>
  <c r="L154" i="11"/>
  <c r="C156" i="11"/>
  <c r="L155" i="11"/>
  <c r="K155" i="11"/>
  <c r="M155" i="11"/>
  <c r="D155" i="11"/>
  <c r="K149" i="11"/>
  <c r="M149" i="11"/>
  <c r="K150" i="11"/>
  <c r="M150" i="11"/>
  <c r="L150" i="11"/>
  <c r="K151" i="11"/>
  <c r="M151" i="11"/>
  <c r="K153" i="11"/>
  <c r="M153" i="11"/>
  <c r="L149" i="11"/>
  <c r="C157" i="11"/>
  <c r="D156" i="11"/>
  <c r="C158" i="11"/>
  <c r="D157" i="11"/>
  <c r="C159" i="11"/>
  <c r="D158" i="11"/>
  <c r="C160" i="11"/>
  <c r="D159" i="11"/>
  <c r="D160" i="11"/>
  <c r="C161" i="11"/>
  <c r="C162" i="11"/>
  <c r="D161" i="11"/>
  <c r="L160" i="11"/>
  <c r="L156" i="11"/>
  <c r="K156" i="11"/>
  <c r="M156" i="11"/>
  <c r="D162" i="11"/>
  <c r="K162" i="11"/>
  <c r="L162" i="11"/>
  <c r="C163" i="11"/>
  <c r="L161" i="11"/>
  <c r="K161" i="11"/>
  <c r="M161" i="11"/>
  <c r="K160" i="11"/>
  <c r="M160" i="11"/>
  <c r="L158" i="11"/>
  <c r="K158" i="11"/>
  <c r="C164" i="11"/>
  <c r="D163" i="11"/>
  <c r="M162" i="11"/>
  <c r="M158" i="11"/>
  <c r="C165" i="11"/>
  <c r="D164" i="11"/>
  <c r="C166" i="11"/>
  <c r="D165" i="11"/>
  <c r="D166" i="11"/>
  <c r="C167" i="11"/>
  <c r="C168" i="11"/>
  <c r="D167" i="11"/>
  <c r="D168" i="11"/>
  <c r="C169" i="11"/>
  <c r="L165" i="11"/>
  <c r="L164" i="11"/>
  <c r="K167" i="11"/>
  <c r="M167" i="11"/>
  <c r="C170" i="11"/>
  <c r="K164" i="11"/>
  <c r="M164" i="11"/>
  <c r="L167" i="11"/>
  <c r="D169" i="11"/>
  <c r="L168" i="11"/>
  <c r="L169" i="11"/>
  <c r="K165" i="11"/>
  <c r="M165" i="11"/>
  <c r="K163" i="11"/>
  <c r="M163" i="11"/>
  <c r="K168" i="11"/>
  <c r="M168" i="11"/>
  <c r="K169" i="11"/>
  <c r="M169" i="11"/>
  <c r="L163" i="11"/>
  <c r="C171" i="11"/>
  <c r="D170" i="11"/>
  <c r="C172" i="11"/>
  <c r="D171" i="11"/>
  <c r="D172" i="11"/>
  <c r="C173" i="11"/>
  <c r="C174" i="11"/>
  <c r="D173" i="11"/>
  <c r="D174" i="11"/>
  <c r="C175" i="11"/>
  <c r="C176" i="11"/>
  <c r="D175" i="11"/>
  <c r="K175" i="11"/>
  <c r="M175" i="11"/>
  <c r="L172" i="11"/>
  <c r="L174" i="11"/>
  <c r="K172" i="11"/>
  <c r="M172" i="11"/>
  <c r="D176" i="11"/>
  <c r="K171" i="11"/>
  <c r="C177" i="11"/>
  <c r="L175" i="11"/>
  <c r="L171" i="11"/>
  <c r="K170" i="11"/>
  <c r="L176" i="11"/>
  <c r="K176" i="11"/>
  <c r="M176" i="11"/>
  <c r="K174" i="11"/>
  <c r="M174" i="11"/>
  <c r="L170" i="11"/>
  <c r="C178" i="11"/>
  <c r="D177" i="11"/>
  <c r="M171" i="11"/>
  <c r="M170" i="11"/>
  <c r="D178" i="11"/>
  <c r="C179" i="11"/>
  <c r="D179" i="11"/>
  <c r="C180" i="11"/>
  <c r="D180" i="11"/>
  <c r="C181" i="11"/>
  <c r="C182" i="11"/>
  <c r="D181" i="11"/>
  <c r="L179" i="11"/>
  <c r="D182" i="11"/>
  <c r="C183" i="11"/>
  <c r="L178" i="11"/>
  <c r="K182" i="11"/>
  <c r="L177" i="11"/>
  <c r="C184" i="11"/>
  <c r="L181" i="11"/>
  <c r="L183" i="11"/>
  <c r="D183" i="11"/>
  <c r="K181" i="11"/>
  <c r="M181" i="11"/>
  <c r="L182" i="11"/>
  <c r="K177" i="11"/>
  <c r="M177" i="11"/>
  <c r="K183" i="11"/>
  <c r="M183" i="11"/>
  <c r="K179" i="11"/>
  <c r="M179" i="11"/>
  <c r="D184" i="11"/>
  <c r="C185" i="11"/>
  <c r="M182" i="11"/>
  <c r="D185" i="11"/>
  <c r="C186" i="11"/>
  <c r="D186" i="11"/>
  <c r="C187" i="11"/>
  <c r="C188" i="11"/>
  <c r="D187" i="11"/>
  <c r="D188" i="11"/>
  <c r="C189" i="11"/>
  <c r="D189" i="11"/>
  <c r="C190" i="11"/>
  <c r="K190" i="11"/>
  <c r="M190" i="11"/>
  <c r="K188" i="11"/>
  <c r="L185" i="11"/>
  <c r="D190" i="11"/>
  <c r="L186" i="11"/>
  <c r="L184" i="11"/>
  <c r="C191" i="11"/>
  <c r="L189" i="11"/>
  <c r="K185" i="11"/>
  <c r="M185" i="11"/>
  <c r="K186" i="11"/>
  <c r="M186" i="11"/>
  <c r="L188" i="11"/>
  <c r="L190" i="11"/>
  <c r="K184" i="11"/>
  <c r="M184" i="11"/>
  <c r="K189" i="11"/>
  <c r="M189" i="11"/>
  <c r="C192" i="11"/>
  <c r="D191" i="11"/>
  <c r="M188" i="11"/>
  <c r="D192" i="11"/>
  <c r="C193" i="11"/>
  <c r="C194" i="11"/>
  <c r="D193" i="11"/>
  <c r="D194" i="11"/>
  <c r="C195" i="11"/>
  <c r="D195" i="11"/>
  <c r="C196" i="11"/>
  <c r="C197" i="11"/>
  <c r="D196" i="11"/>
  <c r="L192" i="11"/>
  <c r="K191" i="11"/>
  <c r="M191" i="11"/>
  <c r="K197" i="11"/>
  <c r="L193" i="11"/>
  <c r="C198" i="11"/>
  <c r="L191" i="11"/>
  <c r="L196" i="11"/>
  <c r="D197" i="11"/>
  <c r="K193" i="11"/>
  <c r="M193" i="11"/>
  <c r="L195" i="11"/>
  <c r="K195" i="11"/>
  <c r="M195" i="11"/>
  <c r="L197" i="11"/>
  <c r="K192" i="11"/>
  <c r="M192" i="11"/>
  <c r="K196" i="11"/>
  <c r="M196" i="11"/>
  <c r="C199" i="11"/>
  <c r="D198" i="11"/>
  <c r="M197" i="11"/>
  <c r="C200" i="11"/>
  <c r="D199" i="11"/>
  <c r="C201" i="11"/>
  <c r="D200" i="11"/>
  <c r="C202" i="11"/>
  <c r="D201" i="11"/>
  <c r="C203" i="11"/>
  <c r="D202" i="11"/>
  <c r="D203" i="11"/>
  <c r="C204" i="11"/>
  <c r="K204" i="11"/>
  <c r="M204" i="11"/>
  <c r="K200" i="11"/>
  <c r="M200" i="11"/>
  <c r="L203" i="11"/>
  <c r="L204" i="11"/>
  <c r="K202" i="11"/>
  <c r="C205" i="11"/>
  <c r="K198" i="11"/>
  <c r="L198" i="11"/>
  <c r="K199" i="11"/>
  <c r="M199" i="11"/>
  <c r="D204" i="11"/>
  <c r="K203" i="11"/>
  <c r="M203" i="11"/>
  <c r="L199" i="11"/>
  <c r="L202" i="11"/>
  <c r="L200" i="11"/>
  <c r="M198" i="11"/>
  <c r="C206" i="11"/>
  <c r="D205" i="11"/>
  <c r="M202" i="11"/>
  <c r="C207" i="11"/>
  <c r="D206" i="11"/>
  <c r="C208" i="11"/>
  <c r="D207" i="11"/>
  <c r="C209" i="11"/>
  <c r="D208" i="11"/>
  <c r="C210" i="11"/>
  <c r="D209" i="11"/>
  <c r="D210" i="11"/>
  <c r="C211" i="11"/>
  <c r="K207" i="11"/>
  <c r="L209" i="11"/>
  <c r="K211" i="11"/>
  <c r="C212" i="11"/>
  <c r="K210" i="11"/>
  <c r="K205" i="11"/>
  <c r="M205" i="11"/>
  <c r="D211" i="11"/>
  <c r="L205" i="11"/>
  <c r="L207" i="11"/>
  <c r="K209" i="11"/>
  <c r="M209" i="11"/>
  <c r="L211" i="11"/>
  <c r="L210" i="11"/>
  <c r="M210" i="11"/>
  <c r="C213" i="11"/>
  <c r="D212" i="11"/>
  <c r="M211" i="11"/>
  <c r="M207" i="11"/>
  <c r="C214" i="11"/>
  <c r="D213" i="11"/>
  <c r="C215" i="11"/>
  <c r="D214" i="11"/>
  <c r="C216" i="11"/>
  <c r="D215" i="11"/>
  <c r="C217" i="11"/>
  <c r="D216" i="11"/>
  <c r="D217" i="11"/>
  <c r="C218" i="11"/>
  <c r="L217" i="11"/>
  <c r="K212" i="11"/>
  <c r="M212" i="11"/>
  <c r="K218" i="11"/>
  <c r="K217" i="11"/>
  <c r="M217" i="11"/>
  <c r="C219" i="11"/>
  <c r="L212" i="11"/>
  <c r="L216" i="11"/>
  <c r="D218" i="11"/>
  <c r="K214" i="11"/>
  <c r="M214" i="11"/>
  <c r="L214" i="11"/>
  <c r="L213" i="11"/>
  <c r="L218" i="11"/>
  <c r="K213" i="11"/>
  <c r="K216" i="11"/>
  <c r="M216" i="11"/>
  <c r="M213" i="11"/>
  <c r="D219" i="11"/>
  <c r="C220" i="11"/>
  <c r="M218" i="11"/>
  <c r="C221" i="11"/>
  <c r="D220" i="11"/>
  <c r="C222" i="11"/>
  <c r="D221" i="11"/>
  <c r="C223" i="11"/>
  <c r="D222" i="11"/>
  <c r="C224" i="11"/>
  <c r="D223" i="11"/>
  <c r="C225" i="11"/>
  <c r="D224" i="11"/>
  <c r="L221" i="11"/>
  <c r="L223" i="11"/>
  <c r="L225" i="11"/>
  <c r="L220" i="11"/>
  <c r="C226" i="11"/>
  <c r="K219" i="11"/>
  <c r="L224" i="11"/>
  <c r="D225" i="11"/>
  <c r="L219" i="11"/>
  <c r="K220" i="11"/>
  <c r="K224" i="11"/>
  <c r="K221" i="11"/>
  <c r="M221" i="11"/>
  <c r="K223" i="11"/>
  <c r="M223" i="11"/>
  <c r="K225" i="11"/>
  <c r="M225" i="11"/>
  <c r="M219" i="11"/>
  <c r="D226" i="11"/>
  <c r="C227" i="11"/>
  <c r="M224" i="11"/>
  <c r="M220" i="11"/>
  <c r="C228" i="11"/>
  <c r="D227" i="11"/>
  <c r="C229" i="11"/>
  <c r="D228" i="11"/>
  <c r="C230" i="11"/>
  <c r="D229" i="11"/>
  <c r="D230" i="11"/>
  <c r="C231" i="11"/>
  <c r="C232" i="11"/>
  <c r="D231" i="11"/>
  <c r="L231" i="11"/>
  <c r="K231" i="11"/>
  <c r="M231" i="11"/>
  <c r="C233" i="11"/>
  <c r="L232" i="11"/>
  <c r="D232" i="11"/>
  <c r="K226" i="11"/>
  <c r="M226" i="11"/>
  <c r="K232" i="11"/>
  <c r="M232" i="11"/>
  <c r="K228" i="11"/>
  <c r="M228" i="11"/>
  <c r="L230" i="11"/>
  <c r="K230" i="11"/>
  <c r="M230" i="11"/>
  <c r="L228" i="11"/>
  <c r="K227" i="11"/>
  <c r="M227" i="11"/>
  <c r="L226" i="11"/>
  <c r="L227" i="11"/>
  <c r="C234" i="11"/>
  <c r="D233" i="11"/>
  <c r="C235" i="11"/>
  <c r="D234" i="11"/>
  <c r="C236" i="11"/>
  <c r="D235" i="11"/>
  <c r="C237" i="11"/>
  <c r="D236" i="11"/>
  <c r="C238" i="11"/>
  <c r="D237" i="11"/>
  <c r="C239" i="11"/>
  <c r="D238" i="11"/>
  <c r="K235" i="11"/>
  <c r="M235" i="11"/>
  <c r="L238" i="11"/>
  <c r="K239" i="11"/>
  <c r="M239" i="11"/>
  <c r="C240" i="11"/>
  <c r="L235" i="11"/>
  <c r="D239" i="11"/>
  <c r="L239" i="11"/>
  <c r="L234" i="11"/>
  <c r="L237" i="11"/>
  <c r="K237" i="11"/>
  <c r="M237" i="11"/>
  <c r="K234" i="11"/>
  <c r="M234" i="11"/>
  <c r="L233" i="11"/>
  <c r="K233" i="11"/>
  <c r="M233" i="11"/>
  <c r="K238" i="11"/>
  <c r="M238" i="11"/>
  <c r="C241" i="11"/>
  <c r="D240" i="11"/>
  <c r="C242" i="11"/>
  <c r="D241" i="11"/>
  <c r="C243" i="11"/>
  <c r="D242" i="11"/>
  <c r="C244" i="11"/>
  <c r="D243" i="11"/>
  <c r="C245" i="11"/>
  <c r="D244" i="11"/>
  <c r="D245" i="11"/>
  <c r="C246" i="11"/>
  <c r="L240" i="11"/>
  <c r="K242" i="11"/>
  <c r="M242" i="11"/>
  <c r="L242" i="11"/>
  <c r="K244" i="11"/>
  <c r="M244" i="11"/>
  <c r="C247" i="11"/>
  <c r="K246" i="11"/>
  <c r="D246" i="11"/>
  <c r="K245" i="11"/>
  <c r="K240" i="11"/>
  <c r="M240" i="11"/>
  <c r="L244" i="11"/>
  <c r="L245" i="11"/>
  <c r="L246" i="11"/>
  <c r="M246" i="11"/>
  <c r="M245" i="11"/>
  <c r="C248" i="11"/>
  <c r="D247" i="11"/>
  <c r="C249" i="11"/>
  <c r="D248" i="11"/>
  <c r="D249" i="11"/>
  <c r="C250" i="11"/>
  <c r="C251" i="11"/>
  <c r="D250" i="11"/>
  <c r="D251" i="11"/>
  <c r="C252" i="11"/>
  <c r="D252" i="11"/>
  <c r="C253" i="11"/>
  <c r="K248" i="11"/>
  <c r="M248" i="11"/>
  <c r="K252" i="11"/>
  <c r="M252" i="11"/>
  <c r="L248" i="11"/>
  <c r="L247" i="11"/>
  <c r="C254" i="11"/>
  <c r="K251" i="11"/>
  <c r="L252" i="11"/>
  <c r="D253" i="11"/>
  <c r="L253" i="11"/>
  <c r="K249" i="11"/>
  <c r="M249" i="11"/>
  <c r="K247" i="11"/>
  <c r="M247" i="11"/>
  <c r="L251" i="11"/>
  <c r="L249" i="11"/>
  <c r="K253" i="11"/>
  <c r="M253" i="11"/>
  <c r="M251" i="11"/>
  <c r="D254" i="11"/>
  <c r="C255" i="11"/>
  <c r="C256" i="11"/>
  <c r="D255" i="11"/>
  <c r="D256" i="11"/>
  <c r="C257" i="11"/>
  <c r="C258" i="11"/>
  <c r="D257" i="11"/>
  <c r="C259" i="11"/>
  <c r="D258" i="11"/>
  <c r="C260" i="11"/>
  <c r="D259" i="11"/>
  <c r="L259" i="11"/>
  <c r="K254" i="11"/>
  <c r="M254" i="11"/>
  <c r="K258" i="11"/>
  <c r="M258" i="11"/>
  <c r="L258" i="11"/>
  <c r="C261" i="11"/>
  <c r="L260" i="11"/>
  <c r="D260" i="11"/>
  <c r="L254" i="11"/>
  <c r="K259" i="11"/>
  <c r="M259" i="11"/>
  <c r="K255" i="11"/>
  <c r="M255" i="11"/>
  <c r="L256" i="11"/>
  <c r="K256" i="11"/>
  <c r="L255" i="11"/>
  <c r="K260" i="11"/>
  <c r="M260" i="11"/>
  <c r="D261" i="11"/>
  <c r="C262" i="11"/>
  <c r="M256" i="11"/>
  <c r="C263" i="11"/>
  <c r="D262" i="11"/>
  <c r="C264" i="11"/>
  <c r="D263" i="11"/>
  <c r="C265" i="11"/>
  <c r="D264" i="11"/>
  <c r="D265" i="11"/>
  <c r="C266" i="11"/>
  <c r="C267" i="11"/>
  <c r="D266" i="11"/>
  <c r="K263" i="11"/>
  <c r="M263" i="11"/>
  <c r="K266" i="11"/>
  <c r="L261" i="11"/>
  <c r="C268" i="11"/>
  <c r="L265" i="11"/>
  <c r="D267" i="11"/>
  <c r="K267" i="11"/>
  <c r="M267" i="11"/>
  <c r="L267" i="11"/>
  <c r="L263" i="11"/>
  <c r="L266" i="11"/>
  <c r="K265" i="11"/>
  <c r="M265" i="11"/>
  <c r="K261" i="11"/>
  <c r="M261" i="11"/>
  <c r="C269" i="11"/>
  <c r="D268" i="11"/>
  <c r="M266" i="11"/>
  <c r="C270" i="11"/>
  <c r="D269" i="11"/>
  <c r="C271" i="11"/>
  <c r="D270" i="11"/>
  <c r="D271" i="11"/>
  <c r="C272" i="11"/>
  <c r="C273" i="11"/>
  <c r="D272" i="11"/>
  <c r="C274" i="11"/>
  <c r="D273" i="11"/>
  <c r="K270" i="11"/>
  <c r="M270" i="11"/>
  <c r="L268" i="11"/>
  <c r="L272" i="11"/>
  <c r="C275" i="11"/>
  <c r="K268" i="11"/>
  <c r="M268" i="11"/>
  <c r="D274" i="11"/>
  <c r="L270" i="11"/>
  <c r="K272" i="11"/>
  <c r="M272" i="11"/>
  <c r="K274" i="11"/>
  <c r="M274" i="11"/>
  <c r="L273" i="11"/>
  <c r="K273" i="11"/>
  <c r="M273" i="11"/>
  <c r="L274" i="11"/>
  <c r="C276" i="11"/>
  <c r="D275" i="11"/>
  <c r="C277" i="11"/>
  <c r="D276" i="11"/>
  <c r="C278" i="11"/>
  <c r="D277" i="11"/>
  <c r="C279" i="11"/>
  <c r="D278" i="11"/>
  <c r="C280" i="11"/>
  <c r="D279" i="11"/>
  <c r="C281" i="11"/>
  <c r="D280" i="11"/>
  <c r="K275" i="11"/>
  <c r="M275" i="11"/>
  <c r="K279" i="11"/>
  <c r="M279" i="11"/>
  <c r="L281" i="11"/>
  <c r="C282" i="11"/>
  <c r="L279" i="11"/>
  <c r="D281" i="11"/>
  <c r="K280" i="11"/>
  <c r="M280" i="11"/>
  <c r="L275" i="11"/>
  <c r="K277" i="11"/>
  <c r="K281" i="11"/>
  <c r="M281" i="11"/>
  <c r="L277" i="11"/>
  <c r="L280" i="11"/>
  <c r="M277" i="11"/>
  <c r="C283" i="11"/>
  <c r="D282" i="11"/>
  <c r="C284" i="11"/>
  <c r="D283" i="11"/>
  <c r="C285" i="11"/>
  <c r="D284" i="11"/>
  <c r="C286" i="11"/>
  <c r="D285" i="11"/>
  <c r="C287" i="11"/>
  <c r="D286" i="11"/>
  <c r="D287" i="11"/>
  <c r="C288" i="11"/>
  <c r="K284" i="11"/>
  <c r="L288" i="11"/>
  <c r="K288" i="11"/>
  <c r="M288" i="11"/>
  <c r="L286" i="11"/>
  <c r="D288" i="11"/>
  <c r="L282" i="11"/>
  <c r="C289" i="11"/>
  <c r="K287" i="11"/>
  <c r="M287" i="11"/>
  <c r="K282" i="11"/>
  <c r="M282" i="11"/>
  <c r="L283" i="11"/>
  <c r="L284" i="11"/>
  <c r="K286" i="11"/>
  <c r="M286" i="11"/>
  <c r="L287" i="11"/>
  <c r="D289" i="11"/>
  <c r="C290" i="11"/>
  <c r="M284" i="11"/>
  <c r="D290" i="11"/>
  <c r="C291" i="11"/>
  <c r="D291" i="11"/>
  <c r="C292" i="11"/>
  <c r="D292" i="11"/>
  <c r="C293" i="11"/>
  <c r="D293" i="11"/>
  <c r="C294" i="11"/>
  <c r="C295" i="11"/>
  <c r="D294" i="11"/>
  <c r="K294" i="11"/>
  <c r="M294" i="11"/>
  <c r="K289" i="11"/>
  <c r="L291" i="11"/>
  <c r="L293" i="11"/>
  <c r="C296" i="11"/>
  <c r="L294" i="11"/>
  <c r="D295" i="11"/>
  <c r="K290" i="11"/>
  <c r="K295" i="11"/>
  <c r="M295" i="11"/>
  <c r="K291" i="11"/>
  <c r="M291" i="11"/>
  <c r="L289" i="11"/>
  <c r="K293" i="11"/>
  <c r="M293" i="11"/>
  <c r="L295" i="11"/>
  <c r="L290" i="11"/>
  <c r="M290" i="11"/>
  <c r="C297" i="11"/>
  <c r="D296" i="11"/>
  <c r="M289" i="11"/>
  <c r="D297" i="11"/>
  <c r="C298" i="11"/>
  <c r="D298" i="11"/>
  <c r="C299" i="11"/>
  <c r="D299" i="11"/>
  <c r="C300" i="11"/>
  <c r="C301" i="11"/>
  <c r="D300" i="11"/>
  <c r="D301" i="11"/>
  <c r="C302" i="11"/>
  <c r="L301" i="11"/>
  <c r="K298" i="11"/>
  <c r="K302" i="11"/>
  <c r="M302" i="11"/>
  <c r="D302" i="11"/>
  <c r="K296" i="11"/>
  <c r="M296" i="11"/>
  <c r="C303" i="11"/>
  <c r="L302" i="11"/>
  <c r="L300" i="11"/>
  <c r="L296" i="11"/>
  <c r="K301" i="11"/>
  <c r="M301" i="11"/>
  <c r="L298" i="11"/>
  <c r="K300" i="11"/>
  <c r="M300" i="11"/>
  <c r="C304" i="11"/>
  <c r="D303" i="11"/>
  <c r="M298" i="11"/>
  <c r="C305" i="11"/>
  <c r="D304" i="11"/>
  <c r="C306" i="11"/>
  <c r="D305" i="11"/>
  <c r="D306" i="11"/>
  <c r="C307" i="11"/>
  <c r="C308" i="11"/>
  <c r="D307" i="11"/>
  <c r="D308" i="11"/>
  <c r="C309" i="11"/>
  <c r="L304" i="11"/>
  <c r="L309" i="11"/>
  <c r="K305" i="11"/>
  <c r="M305" i="11"/>
  <c r="L305" i="11"/>
  <c r="C310" i="11"/>
  <c r="K304" i="11"/>
  <c r="M304" i="11"/>
  <c r="D309" i="11"/>
  <c r="L303" i="11"/>
  <c r="L307" i="11"/>
  <c r="K307" i="11"/>
  <c r="M307" i="11"/>
  <c r="K308" i="11"/>
  <c r="M308" i="11"/>
  <c r="K303" i="11"/>
  <c r="M303" i="11"/>
  <c r="L308" i="11"/>
  <c r="K309" i="11"/>
  <c r="M309" i="11"/>
  <c r="D310" i="11"/>
  <c r="C311" i="11"/>
  <c r="C312" i="11"/>
  <c r="D311" i="11"/>
  <c r="D312" i="11"/>
  <c r="C313" i="11"/>
  <c r="C314" i="11"/>
  <c r="D313" i="11"/>
  <c r="D314" i="11"/>
  <c r="C315" i="11"/>
  <c r="C316" i="11"/>
  <c r="D315" i="11"/>
  <c r="K316" i="11"/>
  <c r="M316" i="11"/>
  <c r="K312" i="11"/>
  <c r="M312" i="11"/>
  <c r="K314" i="11"/>
  <c r="D316" i="11"/>
  <c r="L315" i="11"/>
  <c r="C317" i="11"/>
  <c r="L316" i="11"/>
  <c r="K310" i="11"/>
  <c r="M310" i="11"/>
  <c r="L310" i="11"/>
  <c r="L314" i="11"/>
  <c r="K315" i="11"/>
  <c r="M315" i="11"/>
  <c r="L312" i="11"/>
  <c r="C318" i="11"/>
  <c r="D317" i="11"/>
  <c r="M314" i="11"/>
  <c r="D318" i="11"/>
  <c r="C319" i="11"/>
  <c r="C320" i="11"/>
  <c r="D319" i="11"/>
  <c r="D320" i="11"/>
  <c r="C321" i="11"/>
  <c r="C322" i="11"/>
  <c r="D321" i="11"/>
  <c r="D322" i="11"/>
  <c r="C323" i="11"/>
  <c r="K319" i="11"/>
  <c r="K321" i="11"/>
  <c r="L318" i="11"/>
  <c r="K323" i="11"/>
  <c r="M323" i="11"/>
  <c r="C324" i="11"/>
  <c r="K318" i="11"/>
  <c r="M318" i="11"/>
  <c r="D323" i="11"/>
  <c r="L323" i="11"/>
  <c r="K322" i="11"/>
  <c r="L319" i="11"/>
  <c r="L322" i="11"/>
  <c r="K317" i="11"/>
  <c r="M317" i="11"/>
  <c r="L317" i="11"/>
  <c r="L321" i="11"/>
  <c r="M322" i="11"/>
  <c r="D324" i="11"/>
  <c r="C325" i="11"/>
  <c r="M321" i="11"/>
  <c r="M319" i="11"/>
  <c r="C326" i="11"/>
  <c r="D325" i="11"/>
  <c r="D326" i="11"/>
  <c r="C327" i="11"/>
  <c r="C328" i="11"/>
  <c r="D327" i="11"/>
  <c r="D328" i="11"/>
  <c r="C329" i="11"/>
  <c r="D329" i="11"/>
  <c r="C330" i="11"/>
  <c r="K328" i="11"/>
  <c r="M328" i="11"/>
  <c r="K325" i="11"/>
  <c r="L324" i="11"/>
  <c r="K326" i="11"/>
  <c r="D330" i="11"/>
  <c r="K330" i="11"/>
  <c r="C331" i="11"/>
  <c r="K329" i="11"/>
  <c r="M329" i="11"/>
  <c r="L329" i="11"/>
  <c r="K324" i="11"/>
  <c r="M324" i="11"/>
  <c r="L330" i="11"/>
  <c r="L326" i="11"/>
  <c r="L328" i="11"/>
  <c r="C332" i="11"/>
  <c r="D331" i="11"/>
  <c r="M330" i="11"/>
  <c r="M326" i="11"/>
  <c r="D332" i="11"/>
  <c r="C333" i="11"/>
  <c r="C334" i="11"/>
  <c r="D333" i="11"/>
  <c r="D334" i="11"/>
  <c r="C335" i="11"/>
  <c r="C336" i="11"/>
  <c r="D335" i="11"/>
  <c r="D336" i="11"/>
  <c r="C337" i="11"/>
  <c r="L331" i="11"/>
  <c r="K331" i="11"/>
  <c r="M331" i="11"/>
  <c r="K332" i="11"/>
  <c r="K336" i="11"/>
  <c r="M336" i="11"/>
  <c r="C338" i="11"/>
  <c r="K335" i="11"/>
  <c r="L333" i="11"/>
  <c r="D337" i="11"/>
  <c r="L336" i="11"/>
  <c r="K337" i="11"/>
  <c r="L335" i="11"/>
  <c r="L337" i="11"/>
  <c r="K333" i="11"/>
  <c r="M337" i="11"/>
  <c r="M335" i="11"/>
  <c r="M333" i="11"/>
  <c r="D338" i="11"/>
  <c r="C339" i="11"/>
  <c r="C340" i="11"/>
  <c r="D339" i="11"/>
  <c r="C341" i="11"/>
  <c r="D340" i="11"/>
  <c r="C342" i="11"/>
  <c r="D341" i="11"/>
  <c r="D342" i="11"/>
  <c r="C343" i="11"/>
  <c r="C344" i="11"/>
  <c r="D343" i="11"/>
  <c r="L344" i="11"/>
  <c r="L343" i="11"/>
  <c r="K340" i="11"/>
  <c r="M340" i="11"/>
  <c r="D344" i="11"/>
  <c r="L342" i="11"/>
  <c r="C345" i="11"/>
  <c r="K343" i="11"/>
  <c r="M343" i="11"/>
  <c r="L338" i="11"/>
  <c r="L340" i="11"/>
  <c r="K344" i="11"/>
  <c r="M344" i="11"/>
  <c r="K342" i="11"/>
  <c r="M342" i="11"/>
  <c r="K338" i="11"/>
  <c r="M338" i="11"/>
  <c r="C346" i="11"/>
  <c r="D345" i="11"/>
  <c r="D346" i="11"/>
  <c r="C347" i="11"/>
  <c r="C348" i="11"/>
  <c r="D347" i="11"/>
  <c r="D348" i="11"/>
  <c r="C349" i="11"/>
  <c r="C350" i="11"/>
  <c r="D349" i="11"/>
  <c r="D350" i="11"/>
  <c r="C351" i="11"/>
  <c r="K351" i="11"/>
  <c r="M351" i="11"/>
  <c r="L351" i="11"/>
  <c r="L345" i="11"/>
  <c r="K346" i="11"/>
  <c r="C352" i="11"/>
  <c r="L347" i="11"/>
  <c r="K350" i="11"/>
  <c r="D351" i="11"/>
  <c r="L350" i="11"/>
  <c r="L349" i="11"/>
  <c r="L346" i="11"/>
  <c r="K349" i="11"/>
  <c r="M349" i="11"/>
  <c r="K347" i="11"/>
  <c r="M347" i="11"/>
  <c r="K345" i="11"/>
  <c r="M345" i="11"/>
  <c r="M350" i="11"/>
  <c r="D352" i="11"/>
  <c r="C353" i="11"/>
  <c r="M346" i="11"/>
  <c r="C354" i="11"/>
  <c r="D353" i="11"/>
  <c r="D354" i="11"/>
  <c r="C355" i="11"/>
  <c r="C356" i="11"/>
  <c r="D355" i="11"/>
  <c r="D356" i="11"/>
  <c r="C357" i="11"/>
  <c r="C358" i="11"/>
  <c r="D357" i="11"/>
  <c r="K357" i="11"/>
  <c r="M357" i="11"/>
  <c r="L357" i="11"/>
  <c r="K358" i="11"/>
  <c r="M358" i="11"/>
  <c r="L352" i="11"/>
  <c r="D358" i="11"/>
  <c r="L353" i="11"/>
  <c r="K352" i="11"/>
  <c r="M352" i="11"/>
  <c r="C359" i="11"/>
  <c r="L358" i="11"/>
  <c r="L354" i="11"/>
  <c r="K353" i="11"/>
  <c r="M353" i="11"/>
  <c r="K356" i="11"/>
  <c r="M356" i="11"/>
  <c r="L356" i="11"/>
  <c r="K354" i="11"/>
  <c r="D359" i="11"/>
  <c r="C360" i="11"/>
  <c r="M354" i="11"/>
  <c r="D360" i="11"/>
  <c r="C361" i="11"/>
  <c r="C362" i="11"/>
  <c r="D361" i="11"/>
  <c r="D362" i="11"/>
  <c r="C363" i="11"/>
  <c r="D363" i="11"/>
  <c r="C364" i="11"/>
  <c r="C365" i="11"/>
  <c r="D364" i="11"/>
  <c r="L364" i="11"/>
  <c r="K365" i="11"/>
  <c r="M365" i="11"/>
  <c r="K361" i="11"/>
  <c r="C366" i="11"/>
  <c r="K359" i="11"/>
  <c r="M359" i="11"/>
  <c r="D365" i="11"/>
  <c r="L359" i="11"/>
  <c r="L363" i="11"/>
  <c r="L365" i="11"/>
  <c r="K363" i="11"/>
  <c r="M363" i="11"/>
  <c r="L361" i="11"/>
  <c r="K364" i="11"/>
  <c r="M364" i="11"/>
  <c r="D366" i="11"/>
  <c r="C367" i="11"/>
  <c r="M361" i="11"/>
  <c r="D367" i="11"/>
  <c r="C368" i="11"/>
  <c r="D368" i="11"/>
  <c r="C369" i="11"/>
  <c r="C370" i="11"/>
  <c r="D369" i="11"/>
  <c r="D370" i="11"/>
  <c r="C371" i="11"/>
  <c r="C372" i="11"/>
  <c r="D371" i="11"/>
  <c r="L370" i="11"/>
  <c r="L366" i="11"/>
  <c r="K367" i="11"/>
  <c r="K372" i="11"/>
  <c r="M372" i="11"/>
  <c r="D372" i="11"/>
  <c r="L368" i="11"/>
  <c r="C373" i="11"/>
  <c r="K368" i="11"/>
  <c r="M368" i="11"/>
  <c r="L372" i="11"/>
  <c r="L367" i="11"/>
  <c r="K366" i="11"/>
  <c r="M366" i="11"/>
  <c r="K370" i="11"/>
  <c r="M370" i="11"/>
  <c r="K371" i="11"/>
  <c r="L371" i="11"/>
  <c r="C374" i="11"/>
  <c r="D373" i="11"/>
  <c r="M371" i="11"/>
  <c r="M367" i="11"/>
  <c r="D374" i="11"/>
  <c r="C375" i="11"/>
  <c r="C376" i="11"/>
  <c r="D375" i="11"/>
  <c r="D376" i="11"/>
  <c r="C377" i="11"/>
  <c r="D377" i="11"/>
  <c r="C378" i="11"/>
  <c r="D378" i="11"/>
  <c r="C379" i="11"/>
  <c r="K378" i="11"/>
  <c r="M378" i="11"/>
  <c r="L374" i="11"/>
  <c r="L379" i="11"/>
  <c r="L378" i="11"/>
  <c r="D379" i="11"/>
  <c r="L377" i="11"/>
  <c r="C380" i="11"/>
  <c r="K375" i="11"/>
  <c r="L373" i="11"/>
  <c r="K379" i="11"/>
  <c r="M379" i="11"/>
  <c r="L375" i="11"/>
  <c r="K374" i="11"/>
  <c r="M374" i="11"/>
  <c r="K373" i="11"/>
  <c r="M373" i="11"/>
  <c r="K377" i="11"/>
  <c r="M377" i="11"/>
  <c r="M375" i="11"/>
  <c r="D380" i="11"/>
  <c r="C381" i="11"/>
  <c r="D381" i="11"/>
  <c r="C382" i="11"/>
  <c r="D382" i="11"/>
  <c r="C383" i="11"/>
  <c r="D383" i="11"/>
  <c r="C384" i="11"/>
  <c r="D384" i="11"/>
  <c r="C385" i="11"/>
  <c r="D385" i="11"/>
  <c r="C386" i="11"/>
  <c r="L380" i="11"/>
  <c r="L386" i="11"/>
  <c r="L384" i="11"/>
  <c r="L385" i="11"/>
  <c r="D386" i="11"/>
  <c r="K384" i="11"/>
  <c r="M384" i="11"/>
  <c r="K381" i="11"/>
  <c r="M381" i="11"/>
  <c r="C387" i="11"/>
  <c r="L381" i="11"/>
  <c r="K385" i="11"/>
  <c r="M385" i="11"/>
  <c r="K382" i="11"/>
  <c r="M382" i="11"/>
  <c r="K380" i="11"/>
  <c r="M380" i="11"/>
  <c r="K386" i="11"/>
  <c r="M386" i="11"/>
  <c r="L382" i="11"/>
  <c r="D387" i="11"/>
  <c r="C388" i="11"/>
  <c r="C389" i="11"/>
  <c r="D388" i="11"/>
  <c r="D389" i="11"/>
  <c r="C390" i="11"/>
  <c r="D390" i="11"/>
  <c r="C391" i="11"/>
  <c r="D391" i="11"/>
  <c r="C392" i="11"/>
  <c r="D392" i="11"/>
  <c r="C393" i="11"/>
  <c r="L389" i="11"/>
  <c r="L387" i="11"/>
  <c r="L393" i="11"/>
  <c r="D393" i="11"/>
  <c r="K391" i="11"/>
  <c r="M391" i="11"/>
  <c r="C394" i="11"/>
  <c r="L391" i="11"/>
  <c r="L392" i="11"/>
  <c r="K393" i="11"/>
  <c r="M393" i="11"/>
  <c r="K389" i="11"/>
  <c r="M389" i="11"/>
  <c r="K387" i="11"/>
  <c r="M387" i="11"/>
  <c r="K392" i="11"/>
  <c r="M392" i="11"/>
  <c r="L388" i="11"/>
  <c r="C395" i="11"/>
  <c r="D394" i="11"/>
  <c r="D395" i="11"/>
  <c r="C396" i="11"/>
  <c r="D396" i="11"/>
  <c r="C397" i="11"/>
  <c r="D397" i="11"/>
  <c r="C398" i="11"/>
  <c r="D398" i="11"/>
  <c r="C399" i="11"/>
  <c r="D399" i="11"/>
  <c r="C400" i="11"/>
  <c r="K400" i="11"/>
  <c r="M400" i="11"/>
  <c r="L396" i="11"/>
  <c r="L398" i="11"/>
  <c r="K398" i="11"/>
  <c r="M398" i="11"/>
  <c r="D400" i="11"/>
  <c r="K394" i="11"/>
  <c r="C401" i="11"/>
  <c r="K396" i="11"/>
  <c r="M396" i="11"/>
  <c r="K399" i="11"/>
  <c r="L394" i="11"/>
  <c r="L399" i="11"/>
  <c r="K395" i="11"/>
  <c r="M395" i="11"/>
  <c r="L400" i="11"/>
  <c r="L395" i="11"/>
  <c r="M399" i="11"/>
  <c r="C402" i="11"/>
  <c r="D401" i="11"/>
  <c r="M394" i="11"/>
  <c r="C403" i="11"/>
  <c r="D402" i="11"/>
  <c r="D403" i="11"/>
  <c r="C404" i="11"/>
  <c r="D404" i="11"/>
  <c r="C405" i="11"/>
  <c r="C406" i="11"/>
  <c r="D405" i="11"/>
  <c r="D406" i="11"/>
  <c r="C407" i="11"/>
  <c r="K401" i="11"/>
  <c r="L407" i="11"/>
  <c r="K407" i="11"/>
  <c r="M407" i="11"/>
  <c r="C408" i="11"/>
  <c r="K403" i="11"/>
  <c r="D407" i="11"/>
  <c r="L405" i="11"/>
  <c r="K406" i="11"/>
  <c r="M406" i="11"/>
  <c r="L406" i="11"/>
  <c r="L403" i="11"/>
  <c r="L401" i="11"/>
  <c r="K405" i="11"/>
  <c r="M405" i="11"/>
  <c r="M403" i="11"/>
  <c r="C409" i="11"/>
  <c r="D408" i="11"/>
  <c r="M401" i="11"/>
  <c r="D409" i="11"/>
  <c r="C410" i="11"/>
  <c r="D410" i="11"/>
  <c r="C411" i="11"/>
  <c r="C412" i="11"/>
  <c r="D411" i="11"/>
  <c r="C413" i="11"/>
  <c r="D412" i="11"/>
  <c r="C414" i="11"/>
  <c r="D413" i="11"/>
  <c r="K414" i="11"/>
  <c r="M414" i="11"/>
  <c r="L413" i="11"/>
  <c r="L414" i="11"/>
  <c r="K413" i="11"/>
  <c r="M413" i="11"/>
  <c r="D414" i="11"/>
  <c r="K409" i="11"/>
  <c r="M409" i="11"/>
  <c r="L410" i="11"/>
  <c r="C415" i="11"/>
  <c r="L409" i="11"/>
  <c r="K408" i="11"/>
  <c r="M408" i="11"/>
  <c r="K412" i="11"/>
  <c r="M412" i="11"/>
  <c r="L408" i="11"/>
  <c r="L412" i="11"/>
  <c r="K410" i="11"/>
  <c r="M410" i="11"/>
  <c r="C416" i="11"/>
  <c r="D415" i="11"/>
  <c r="D416" i="11"/>
  <c r="C417" i="11"/>
  <c r="C418" i="11"/>
  <c r="D417" i="11"/>
  <c r="C419" i="11"/>
  <c r="D418" i="11"/>
  <c r="C420" i="11"/>
  <c r="D419" i="11"/>
  <c r="D420" i="11"/>
  <c r="C421" i="11"/>
  <c r="K417" i="11"/>
  <c r="M417" i="11"/>
  <c r="K420" i="11"/>
  <c r="L416" i="11"/>
  <c r="K421" i="11"/>
  <c r="M421" i="11"/>
  <c r="C422" i="11"/>
  <c r="L421" i="11"/>
  <c r="D421" i="11"/>
  <c r="L417" i="11"/>
  <c r="K415" i="11"/>
  <c r="L415" i="11"/>
  <c r="K419" i="11"/>
  <c r="L419" i="11"/>
  <c r="K416" i="11"/>
  <c r="M416" i="11"/>
  <c r="L420" i="11"/>
  <c r="M415" i="11"/>
  <c r="D422" i="11"/>
  <c r="C423" i="11"/>
  <c r="M419" i="11"/>
  <c r="M420" i="11"/>
  <c r="C424" i="11"/>
  <c r="D423" i="11"/>
  <c r="D424" i="11"/>
  <c r="C425" i="11"/>
  <c r="C426" i="11"/>
  <c r="D425" i="11"/>
  <c r="D426" i="11"/>
  <c r="C427" i="11"/>
  <c r="C428" i="11"/>
  <c r="D427" i="11"/>
  <c r="K428" i="11"/>
  <c r="M428" i="11"/>
  <c r="L428" i="11"/>
  <c r="L424" i="11"/>
  <c r="K424" i="11"/>
  <c r="M424" i="11"/>
  <c r="D428" i="11"/>
  <c r="L426" i="11"/>
  <c r="C429" i="11"/>
  <c r="K423" i="11"/>
  <c r="K426" i="11"/>
  <c r="M426" i="11"/>
  <c r="K427" i="11"/>
  <c r="M427" i="11"/>
  <c r="L422" i="11"/>
  <c r="L423" i="11"/>
  <c r="K422" i="11"/>
  <c r="L427" i="11"/>
  <c r="M423" i="11"/>
  <c r="C430" i="11"/>
  <c r="D429" i="11"/>
  <c r="M422" i="11"/>
  <c r="D430" i="11"/>
  <c r="C431" i="11"/>
  <c r="C432" i="11"/>
  <c r="D431" i="11"/>
  <c r="D432" i="11"/>
  <c r="C433" i="11"/>
  <c r="C434" i="11"/>
  <c r="D433" i="11"/>
  <c r="D434" i="11"/>
  <c r="C435" i="11"/>
  <c r="L433" i="11"/>
  <c r="K430" i="11"/>
  <c r="M430" i="11"/>
  <c r="K435" i="11"/>
  <c r="K431" i="11"/>
  <c r="M431" i="11"/>
  <c r="C436" i="11"/>
  <c r="L430" i="11"/>
  <c r="D435" i="11"/>
  <c r="K429" i="11"/>
  <c r="L431" i="11"/>
  <c r="L434" i="11"/>
  <c r="L429" i="11"/>
  <c r="L435" i="11"/>
  <c r="K434" i="11"/>
  <c r="K433" i="11"/>
  <c r="M433" i="11"/>
  <c r="M429" i="11"/>
  <c r="M434" i="11"/>
  <c r="D436" i="11"/>
  <c r="C437" i="11"/>
  <c r="M435" i="11"/>
  <c r="C438" i="11"/>
  <c r="D437" i="11"/>
  <c r="D438" i="11"/>
  <c r="C439" i="11"/>
  <c r="C440" i="11"/>
  <c r="D439" i="11"/>
  <c r="D440" i="11"/>
  <c r="C441" i="11"/>
  <c r="C442" i="11"/>
  <c r="D441" i="11"/>
  <c r="L436" i="11"/>
  <c r="K438" i="11"/>
  <c r="M438" i="11"/>
  <c r="K437" i="11"/>
  <c r="M437" i="11"/>
  <c r="K436" i="11"/>
  <c r="M436" i="11"/>
  <c r="D442" i="11"/>
  <c r="K441" i="11"/>
  <c r="M441" i="11"/>
  <c r="C443" i="11"/>
  <c r="L438" i="11"/>
  <c r="L437" i="11"/>
  <c r="K442" i="11"/>
  <c r="M442" i="11"/>
  <c r="L440" i="11"/>
  <c r="K440" i="11"/>
  <c r="M440" i="11"/>
  <c r="L441" i="11"/>
  <c r="L442" i="11"/>
  <c r="C444" i="11"/>
  <c r="D443" i="11"/>
  <c r="D444" i="11"/>
  <c r="C445" i="11"/>
  <c r="C446" i="11"/>
  <c r="D445" i="11"/>
  <c r="D446" i="11"/>
  <c r="C447" i="11"/>
  <c r="C448" i="11"/>
  <c r="D447" i="11"/>
  <c r="D448" i="11"/>
  <c r="C449" i="11"/>
  <c r="K448" i="11"/>
  <c r="K445" i="11"/>
  <c r="M445" i="11"/>
  <c r="L447" i="11"/>
  <c r="C450" i="11"/>
  <c r="L443" i="11"/>
  <c r="D449" i="11"/>
  <c r="K447" i="11"/>
  <c r="M447" i="11"/>
  <c r="K443" i="11"/>
  <c r="M443" i="11"/>
  <c r="L445" i="11"/>
  <c r="L448" i="11"/>
  <c r="L449" i="11"/>
  <c r="K449" i="11"/>
  <c r="M449" i="11"/>
  <c r="C451" i="11"/>
  <c r="D450" i="11"/>
  <c r="M448" i="11"/>
  <c r="C452" i="11"/>
  <c r="D451" i="11"/>
  <c r="D452" i="11"/>
  <c r="C453" i="11"/>
  <c r="D453" i="11"/>
  <c r="C454" i="11"/>
  <c r="D454" i="11"/>
  <c r="C455" i="11"/>
  <c r="C456" i="11"/>
  <c r="D455" i="11"/>
  <c r="L450" i="11"/>
  <c r="K452" i="11"/>
  <c r="M452" i="11"/>
  <c r="L452" i="11"/>
  <c r="L455" i="11"/>
  <c r="D456" i="11"/>
  <c r="L456" i="11"/>
  <c r="C457" i="11"/>
  <c r="K450" i="11"/>
  <c r="M450" i="11"/>
  <c r="L454" i="11"/>
  <c r="K456" i="11"/>
  <c r="M456" i="11"/>
  <c r="K451" i="11"/>
  <c r="M451" i="11"/>
  <c r="L451" i="11"/>
  <c r="K454" i="11"/>
  <c r="M454" i="11"/>
  <c r="K455" i="11"/>
  <c r="M455" i="11"/>
  <c r="C458" i="11"/>
  <c r="D457" i="11"/>
  <c r="D458" i="11"/>
  <c r="C459" i="11"/>
  <c r="C460" i="11"/>
  <c r="D459" i="11"/>
  <c r="D460" i="11"/>
  <c r="C461" i="11"/>
  <c r="C462" i="11"/>
  <c r="D461" i="11"/>
  <c r="D462" i="11"/>
  <c r="C463" i="11"/>
  <c r="L457" i="11"/>
  <c r="K457" i="11"/>
  <c r="M457" i="11"/>
  <c r="K458" i="11"/>
  <c r="C464" i="11"/>
  <c r="K459" i="11"/>
  <c r="M459" i="11"/>
  <c r="D463" i="11"/>
  <c r="L459" i="11"/>
  <c r="L462" i="11"/>
  <c r="K462" i="11"/>
  <c r="M462" i="11"/>
  <c r="L463" i="11"/>
  <c r="L461" i="11"/>
  <c r="K463" i="11"/>
  <c r="K461" i="11"/>
  <c r="M461" i="11"/>
  <c r="M463" i="11"/>
  <c r="D464" i="11"/>
  <c r="C465" i="11"/>
  <c r="C466" i="11"/>
  <c r="D465" i="11"/>
  <c r="C467" i="11"/>
  <c r="D466" i="11"/>
  <c r="D467" i="11"/>
  <c r="C468" i="11"/>
  <c r="C469" i="11"/>
  <c r="D468" i="11"/>
  <c r="D469" i="11"/>
  <c r="C470" i="11"/>
  <c r="L464" i="11"/>
  <c r="K464" i="11"/>
  <c r="M464" i="11"/>
  <c r="K469" i="11"/>
  <c r="L468" i="11"/>
  <c r="C471" i="11"/>
  <c r="L470" i="11"/>
  <c r="D470" i="11"/>
  <c r="L466" i="11"/>
  <c r="K468" i="11"/>
  <c r="M468" i="11"/>
  <c r="K470" i="11"/>
  <c r="M470" i="11"/>
  <c r="K466" i="11"/>
  <c r="M466" i="11"/>
  <c r="L469" i="11"/>
  <c r="D471" i="11"/>
  <c r="C472" i="11"/>
  <c r="M469" i="11"/>
  <c r="D472" i="11"/>
  <c r="C473" i="11"/>
  <c r="D473" i="11"/>
  <c r="C474" i="11"/>
  <c r="C475" i="11"/>
  <c r="D474" i="11"/>
  <c r="D475" i="11"/>
  <c r="C476" i="11"/>
  <c r="D476" i="11"/>
  <c r="C477" i="11"/>
  <c r="K477" i="11"/>
  <c r="L471" i="11"/>
  <c r="K471" i="11"/>
  <c r="M471" i="11"/>
  <c r="K473" i="11"/>
  <c r="M473" i="11"/>
  <c r="D477" i="11"/>
  <c r="K475" i="11"/>
  <c r="L473" i="11"/>
  <c r="C478" i="11"/>
  <c r="L475" i="11"/>
  <c r="K476" i="11"/>
  <c r="M476" i="11"/>
  <c r="L477" i="11"/>
  <c r="L476" i="11"/>
  <c r="K472" i="11"/>
  <c r="L472" i="11"/>
  <c r="D478" i="11"/>
  <c r="C479" i="11"/>
  <c r="M475" i="11"/>
  <c r="M472" i="11"/>
  <c r="M477" i="11"/>
  <c r="D479" i="11"/>
  <c r="C480" i="11"/>
  <c r="D480" i="11"/>
  <c r="C481" i="11"/>
  <c r="D481" i="11"/>
  <c r="C482" i="11"/>
  <c r="D482" i="11"/>
  <c r="C483" i="11"/>
  <c r="D483" i="11"/>
  <c r="C484" i="11"/>
  <c r="L482" i="11"/>
  <c r="K478" i="11"/>
  <c r="M478" i="11"/>
  <c r="K480" i="11"/>
  <c r="M480" i="11"/>
  <c r="K479" i="11"/>
  <c r="D484" i="11"/>
  <c r="L478" i="11"/>
  <c r="L480" i="11"/>
  <c r="C485" i="11"/>
  <c r="L479" i="11"/>
  <c r="K483" i="11"/>
  <c r="M483" i="11"/>
  <c r="K482" i="11"/>
  <c r="M482" i="11"/>
  <c r="K484" i="11"/>
  <c r="M484" i="11"/>
  <c r="L483" i="11"/>
  <c r="L484" i="11"/>
  <c r="D485" i="11"/>
  <c r="C486" i="11"/>
  <c r="M479" i="11"/>
  <c r="C487" i="11"/>
  <c r="D486" i="11"/>
  <c r="D487" i="11"/>
  <c r="C488" i="11"/>
  <c r="D488" i="11"/>
  <c r="C489" i="11"/>
  <c r="D489" i="11"/>
  <c r="C490" i="11"/>
  <c r="D490" i="11"/>
  <c r="C491" i="11"/>
  <c r="K490" i="11"/>
  <c r="M490" i="11"/>
  <c r="L486" i="11"/>
  <c r="L489" i="11"/>
  <c r="K491" i="11"/>
  <c r="C492" i="11"/>
  <c r="L487" i="11"/>
  <c r="D491" i="11"/>
  <c r="L485" i="11"/>
  <c r="K487" i="11"/>
  <c r="M487" i="11"/>
  <c r="K485" i="11"/>
  <c r="M485" i="11"/>
  <c r="K489" i="11"/>
  <c r="M489" i="11"/>
  <c r="L491" i="11"/>
  <c r="L490" i="11"/>
  <c r="K486" i="11"/>
  <c r="M486" i="11"/>
  <c r="D492" i="11"/>
  <c r="C493" i="11"/>
  <c r="M491" i="11"/>
  <c r="C494" i="11"/>
  <c r="D493" i="11"/>
  <c r="D494" i="11"/>
  <c r="C495" i="11"/>
  <c r="C496" i="11"/>
  <c r="D495" i="11"/>
  <c r="C497" i="11"/>
  <c r="D496" i="11"/>
  <c r="C498" i="11"/>
  <c r="D497" i="11"/>
  <c r="L496" i="11"/>
  <c r="K498" i="11"/>
  <c r="K496" i="11"/>
  <c r="M496" i="11"/>
  <c r="D498" i="11"/>
  <c r="K497" i="11"/>
  <c r="M497" i="11"/>
  <c r="C499" i="11"/>
  <c r="K492" i="11"/>
  <c r="M492" i="11"/>
  <c r="K494" i="11"/>
  <c r="L497" i="11"/>
  <c r="L498" i="11"/>
  <c r="L494" i="11"/>
  <c r="L492" i="11"/>
  <c r="M494" i="11"/>
  <c r="D499" i="11"/>
  <c r="C500" i="11"/>
  <c r="M498" i="11"/>
  <c r="D500" i="11"/>
  <c r="C501" i="11"/>
  <c r="C502" i="11"/>
  <c r="D501" i="11"/>
  <c r="D502" i="11"/>
  <c r="C503" i="11"/>
  <c r="D503" i="11"/>
  <c r="C504" i="11"/>
  <c r="D504" i="11"/>
  <c r="C505" i="11"/>
  <c r="K499" i="11"/>
  <c r="M499" i="11"/>
  <c r="L499" i="11"/>
  <c r="K500" i="11"/>
  <c r="L503" i="11"/>
  <c r="C506" i="11"/>
  <c r="L505" i="11"/>
  <c r="D505" i="11"/>
  <c r="K504" i="11"/>
  <c r="K505" i="11"/>
  <c r="M505" i="11"/>
  <c r="K503" i="11"/>
  <c r="M503" i="11"/>
  <c r="L504" i="11"/>
  <c r="K501" i="11"/>
  <c r="M501" i="11"/>
  <c r="L501" i="11"/>
  <c r="L500" i="11"/>
  <c r="M504" i="11"/>
  <c r="C507" i="11"/>
  <c r="D506" i="11"/>
  <c r="M500" i="11"/>
  <c r="C508" i="11"/>
  <c r="D507" i="11"/>
  <c r="D508" i="11"/>
  <c r="C509" i="11"/>
  <c r="C510" i="11"/>
  <c r="D509" i="11"/>
  <c r="D510" i="11"/>
  <c r="C511" i="11"/>
  <c r="C512" i="11"/>
  <c r="D511" i="11"/>
  <c r="K511" i="11"/>
  <c r="M511" i="11"/>
  <c r="L511" i="11"/>
  <c r="K508" i="11"/>
  <c r="M508" i="11"/>
  <c r="D512" i="11"/>
  <c r="K512" i="11"/>
  <c r="M512" i="11"/>
  <c r="C513" i="11"/>
  <c r="L512" i="11"/>
  <c r="K510" i="11"/>
  <c r="L508" i="11"/>
  <c r="L510" i="11"/>
  <c r="K506" i="11"/>
  <c r="M506" i="11"/>
  <c r="L507" i="11"/>
  <c r="L506" i="11"/>
  <c r="M510" i="11"/>
  <c r="D513" i="11"/>
  <c r="C514" i="11"/>
  <c r="D514" i="11"/>
  <c r="C515" i="11"/>
  <c r="C516" i="11"/>
  <c r="D515" i="11"/>
  <c r="D516" i="11"/>
  <c r="C517" i="11"/>
  <c r="C518" i="11"/>
  <c r="D517" i="11"/>
  <c r="D518" i="11"/>
  <c r="C519" i="11"/>
  <c r="L517" i="11"/>
  <c r="K517" i="11"/>
  <c r="M517" i="11"/>
  <c r="K518" i="11"/>
  <c r="L514" i="11"/>
  <c r="C520" i="11"/>
  <c r="L513" i="11"/>
  <c r="L519" i="11"/>
  <c r="D519" i="11"/>
  <c r="K519" i="11"/>
  <c r="M519" i="11"/>
  <c r="K513" i="11"/>
  <c r="M513" i="11"/>
  <c r="L518" i="11"/>
  <c r="K514" i="11"/>
  <c r="M514" i="11"/>
  <c r="L515" i="11"/>
  <c r="K515" i="11"/>
  <c r="M515" i="11"/>
  <c r="D520" i="11"/>
  <c r="C521" i="11"/>
  <c r="M518" i="11"/>
  <c r="C522" i="11"/>
  <c r="D521" i="11"/>
  <c r="D522" i="11"/>
  <c r="C523" i="11"/>
  <c r="C524" i="11"/>
  <c r="D523" i="11"/>
  <c r="D524" i="11"/>
  <c r="C525" i="11"/>
  <c r="C526" i="11"/>
  <c r="D525" i="11"/>
  <c r="L520" i="11"/>
  <c r="L521" i="11"/>
  <c r="K525" i="11"/>
  <c r="M525" i="11"/>
  <c r="L525" i="11"/>
  <c r="D526" i="11"/>
  <c r="L524" i="11"/>
  <c r="K526" i="11"/>
  <c r="C527" i="11"/>
  <c r="K521" i="11"/>
  <c r="M521" i="11"/>
  <c r="K520" i="11"/>
  <c r="M520" i="11"/>
  <c r="K522" i="11"/>
  <c r="M522" i="11"/>
  <c r="L522" i="11"/>
  <c r="K524" i="11"/>
  <c r="L526" i="11"/>
  <c r="C528" i="11"/>
  <c r="D527" i="11"/>
  <c r="M526" i="11"/>
  <c r="M524" i="11"/>
  <c r="D528" i="11"/>
  <c r="C529" i="11"/>
  <c r="C530" i="11"/>
  <c r="D529" i="11"/>
  <c r="D530" i="11"/>
  <c r="C531" i="11"/>
  <c r="C532" i="11"/>
  <c r="D531" i="11"/>
  <c r="D532" i="11"/>
  <c r="C533" i="11"/>
  <c r="K529" i="11"/>
  <c r="K532" i="11"/>
  <c r="M532" i="11"/>
  <c r="L528" i="11"/>
  <c r="L531" i="11"/>
  <c r="C534" i="11"/>
  <c r="L532" i="11"/>
  <c r="D533" i="11"/>
  <c r="K527" i="11"/>
  <c r="M527" i="11"/>
  <c r="K533" i="11"/>
  <c r="M533" i="11"/>
  <c r="K531" i="11"/>
  <c r="M531" i="11"/>
  <c r="L533" i="11"/>
  <c r="K528" i="11"/>
  <c r="M528" i="11"/>
  <c r="L527" i="11"/>
  <c r="L529" i="11"/>
  <c r="D534" i="11"/>
  <c r="C535" i="11"/>
  <c r="M529" i="11"/>
  <c r="D535" i="11"/>
  <c r="C536" i="11"/>
  <c r="D536" i="11"/>
  <c r="C537" i="11"/>
  <c r="D537" i="11"/>
  <c r="C538" i="11"/>
  <c r="C539" i="11"/>
  <c r="D538" i="11"/>
  <c r="C540" i="11"/>
  <c r="D539" i="11"/>
  <c r="K536" i="11"/>
  <c r="M536" i="11"/>
  <c r="L534" i="11"/>
  <c r="K539" i="11"/>
  <c r="M539" i="11"/>
  <c r="L536" i="11"/>
  <c r="D540" i="11"/>
  <c r="L540" i="11"/>
  <c r="C541" i="11"/>
  <c r="L539" i="11"/>
  <c r="K538" i="11"/>
  <c r="K534" i="11"/>
  <c r="M534" i="11"/>
  <c r="K540" i="11"/>
  <c r="M540" i="11"/>
  <c r="L538" i="11"/>
  <c r="C542" i="11"/>
  <c r="D541" i="11"/>
  <c r="M538" i="11"/>
  <c r="D542" i="11"/>
  <c r="C543" i="11"/>
  <c r="C544" i="11"/>
  <c r="D543" i="11"/>
  <c r="D544" i="11"/>
  <c r="C545" i="11"/>
  <c r="C546" i="11"/>
  <c r="D545" i="11"/>
  <c r="D546" i="11"/>
  <c r="C547" i="11"/>
  <c r="K541" i="11"/>
  <c r="K542" i="11"/>
  <c r="K546" i="11"/>
  <c r="L547" i="11"/>
  <c r="C548" i="11"/>
  <c r="K543" i="11"/>
  <c r="M543" i="11"/>
  <c r="K545" i="11"/>
  <c r="D547" i="11"/>
  <c r="L542" i="11"/>
  <c r="L546" i="11"/>
  <c r="L541" i="11"/>
  <c r="L545" i="11"/>
  <c r="L543" i="11"/>
  <c r="K547" i="11"/>
  <c r="M547" i="11"/>
  <c r="M545" i="11"/>
  <c r="D548" i="11"/>
  <c r="C549" i="11"/>
  <c r="M546" i="11"/>
  <c r="M542" i="11"/>
  <c r="M541" i="11"/>
  <c r="C550" i="11"/>
  <c r="D549" i="11"/>
  <c r="D550" i="11"/>
  <c r="C551" i="11"/>
  <c r="C552" i="11"/>
  <c r="D551" i="11"/>
  <c r="D552" i="11"/>
  <c r="C553" i="11"/>
  <c r="C554" i="11"/>
  <c r="D553" i="11"/>
  <c r="K550" i="11"/>
  <c r="M550" i="11"/>
  <c r="L552" i="11"/>
  <c r="L550" i="11"/>
  <c r="K548" i="11"/>
  <c r="D554" i="11"/>
  <c r="L553" i="11"/>
  <c r="C555" i="11"/>
  <c r="K549" i="11"/>
  <c r="K554" i="11"/>
  <c r="M554" i="11"/>
  <c r="L549" i="11"/>
  <c r="L554" i="11"/>
  <c r="L548" i="11"/>
  <c r="K553" i="11"/>
  <c r="M553" i="11"/>
  <c r="K552" i="11"/>
  <c r="M552" i="11"/>
  <c r="M549" i="11"/>
  <c r="C556" i="11"/>
  <c r="D555" i="11"/>
  <c r="M548" i="11"/>
  <c r="D556" i="11"/>
  <c r="C557" i="11"/>
  <c r="C558" i="11"/>
  <c r="D557" i="11"/>
  <c r="D558" i="11"/>
  <c r="C559" i="11"/>
  <c r="C560" i="11"/>
  <c r="D559" i="11"/>
  <c r="D560" i="11"/>
  <c r="C561" i="11"/>
  <c r="L555" i="11"/>
  <c r="L557" i="11"/>
  <c r="L556" i="11"/>
  <c r="L560" i="11"/>
  <c r="C562" i="11"/>
  <c r="K555" i="11"/>
  <c r="M555" i="11"/>
  <c r="D561" i="11"/>
  <c r="K560" i="11"/>
  <c r="M560" i="11"/>
  <c r="L559" i="11"/>
  <c r="K557" i="11"/>
  <c r="M557" i="11"/>
  <c r="K561" i="11"/>
  <c r="L561" i="11"/>
  <c r="K559" i="11"/>
  <c r="M559" i="11"/>
  <c r="D562" i="11"/>
  <c r="C563" i="11"/>
  <c r="M561" i="11"/>
  <c r="C564" i="11"/>
  <c r="D563" i="11"/>
  <c r="D564" i="11"/>
  <c r="C565" i="11"/>
  <c r="C566" i="11"/>
  <c r="D565" i="11"/>
  <c r="C567" i="11"/>
  <c r="D566" i="11"/>
  <c r="C568" i="11"/>
  <c r="D567" i="11"/>
  <c r="L567" i="11"/>
  <c r="K566" i="11"/>
  <c r="M566" i="11"/>
  <c r="L566" i="11"/>
  <c r="K568" i="11"/>
  <c r="C569" i="11"/>
  <c r="K564" i="11"/>
  <c r="K567" i="11"/>
  <c r="M567" i="11"/>
  <c r="D568" i="11"/>
  <c r="K562" i="11"/>
  <c r="L568" i="11"/>
  <c r="L563" i="11"/>
  <c r="L562" i="11"/>
  <c r="L564" i="11"/>
  <c r="K563" i="11"/>
  <c r="M563" i="11"/>
  <c r="M564" i="11"/>
  <c r="C570" i="11"/>
  <c r="D569" i="11"/>
  <c r="M568" i="11"/>
  <c r="M562" i="11"/>
  <c r="C571" i="11"/>
  <c r="D570" i="11"/>
  <c r="C572" i="11"/>
  <c r="D571" i="11"/>
  <c r="D572" i="11"/>
  <c r="C573" i="11"/>
  <c r="C574" i="11"/>
  <c r="D573" i="11"/>
  <c r="D574" i="11"/>
  <c r="C575" i="11"/>
  <c r="K570" i="11"/>
  <c r="L573" i="11"/>
  <c r="L575" i="11"/>
  <c r="K571" i="11"/>
  <c r="C576" i="11"/>
  <c r="K574" i="11"/>
  <c r="M574" i="11"/>
  <c r="D575" i="11"/>
  <c r="K569" i="11"/>
  <c r="L570" i="11"/>
  <c r="L571" i="11"/>
  <c r="K573" i="11"/>
  <c r="M573" i="11"/>
  <c r="K575" i="11"/>
  <c r="M575" i="11"/>
  <c r="L574" i="11"/>
  <c r="L569" i="11"/>
  <c r="M569" i="11"/>
  <c r="D576" i="11"/>
  <c r="C577" i="11"/>
  <c r="M571" i="11"/>
  <c r="M570" i="11"/>
  <c r="C578" i="11"/>
  <c r="D577" i="11"/>
  <c r="D578" i="11"/>
  <c r="C579" i="11"/>
  <c r="C580" i="11"/>
  <c r="D579" i="11"/>
  <c r="D580" i="11"/>
  <c r="C581" i="11"/>
  <c r="C582" i="11"/>
  <c r="D581" i="11"/>
  <c r="L581" i="11"/>
  <c r="K580" i="11"/>
  <c r="L577" i="11"/>
  <c r="L578" i="11"/>
  <c r="D582" i="11"/>
  <c r="K576" i="11"/>
  <c r="L580" i="11"/>
  <c r="C583" i="11"/>
  <c r="K582" i="11"/>
  <c r="M582" i="11"/>
  <c r="K581" i="11"/>
  <c r="M581" i="11"/>
  <c r="L576" i="11"/>
  <c r="K577" i="11"/>
  <c r="M577" i="11"/>
  <c r="L582" i="11"/>
  <c r="K578" i="11"/>
  <c r="M578" i="11"/>
  <c r="C584" i="11"/>
  <c r="D583" i="11"/>
  <c r="M576" i="11"/>
  <c r="M580" i="11"/>
  <c r="D584" i="11"/>
  <c r="C585" i="11"/>
  <c r="C586" i="11"/>
  <c r="D585" i="11"/>
  <c r="C587" i="11"/>
  <c r="D586" i="11"/>
  <c r="C588" i="11"/>
  <c r="D587" i="11"/>
  <c r="D588" i="11"/>
  <c r="C589" i="11"/>
  <c r="K583" i="11"/>
  <c r="M583" i="11"/>
  <c r="L589" i="11"/>
  <c r="L584" i="11"/>
  <c r="K585" i="11"/>
  <c r="C590" i="11"/>
  <c r="L587" i="11"/>
  <c r="D589" i="11"/>
  <c r="L583" i="11"/>
  <c r="K588" i="11"/>
  <c r="M588" i="11"/>
  <c r="K589" i="11"/>
  <c r="M589" i="11"/>
  <c r="K587" i="11"/>
  <c r="M587" i="11"/>
  <c r="L585" i="11"/>
  <c r="L588" i="11"/>
  <c r="K584" i="11"/>
  <c r="M584" i="11"/>
  <c r="D590" i="11"/>
  <c r="C591" i="11"/>
  <c r="M585" i="11"/>
  <c r="C592" i="11"/>
  <c r="D591" i="11"/>
  <c r="D592" i="11"/>
  <c r="C593" i="11"/>
  <c r="C594" i="11"/>
  <c r="D593" i="11"/>
  <c r="D594" i="11"/>
  <c r="C595" i="11"/>
  <c r="C596" i="11"/>
  <c r="D595" i="11"/>
  <c r="L594" i="11"/>
  <c r="K594" i="11"/>
  <c r="M594" i="11"/>
  <c r="K592" i="11"/>
  <c r="D596" i="11"/>
  <c r="K596" i="11"/>
  <c r="M596" i="11"/>
  <c r="L595" i="11"/>
  <c r="C597" i="11"/>
  <c r="K595" i="11"/>
  <c r="M595" i="11"/>
  <c r="L591" i="11"/>
  <c r="L590" i="11"/>
  <c r="L592" i="11"/>
  <c r="L596" i="11"/>
  <c r="K590" i="11"/>
  <c r="M590" i="11"/>
  <c r="C598" i="11"/>
  <c r="D597" i="11"/>
  <c r="M592" i="11"/>
  <c r="D598" i="11"/>
  <c r="C599" i="11"/>
  <c r="D599" i="11"/>
  <c r="C600" i="11"/>
  <c r="D600" i="11"/>
  <c r="C601" i="11"/>
  <c r="C602" i="11"/>
  <c r="D601" i="11"/>
  <c r="D602" i="11"/>
  <c r="C603" i="11"/>
  <c r="K601" i="11"/>
  <c r="M601" i="11"/>
  <c r="K602" i="11"/>
  <c r="K599" i="11"/>
  <c r="M599" i="11"/>
  <c r="C604" i="11"/>
  <c r="K597" i="11"/>
  <c r="L603" i="11"/>
  <c r="D603" i="11"/>
  <c r="L599" i="11"/>
  <c r="L598" i="11"/>
  <c r="K603" i="11"/>
  <c r="M603" i="11"/>
  <c r="L597" i="11"/>
  <c r="L601" i="11"/>
  <c r="K598" i="11"/>
  <c r="M598" i="11"/>
  <c r="L602" i="11"/>
  <c r="M597" i="11"/>
  <c r="D604" i="11"/>
  <c r="C605" i="11"/>
  <c r="M602" i="11"/>
  <c r="C606" i="11"/>
  <c r="D605" i="11"/>
  <c r="D606" i="11"/>
  <c r="C607" i="11"/>
  <c r="C608" i="11"/>
  <c r="D607" i="11"/>
  <c r="D608" i="11"/>
  <c r="C609" i="11"/>
  <c r="C610" i="11"/>
  <c r="D609" i="11"/>
  <c r="L606" i="11"/>
  <c r="L604" i="11"/>
  <c r="K604" i="11"/>
  <c r="M604" i="11"/>
  <c r="C611" i="11"/>
  <c r="K609" i="11"/>
  <c r="M609" i="11"/>
  <c r="D610" i="11"/>
  <c r="K606" i="11"/>
  <c r="M606" i="11"/>
  <c r="L610" i="11"/>
  <c r="L609" i="11"/>
  <c r="L608" i="11"/>
  <c r="K610" i="11"/>
  <c r="M610" i="11"/>
  <c r="K608" i="11"/>
  <c r="M608" i="11"/>
  <c r="D611" i="11"/>
  <c r="C612" i="11"/>
  <c r="D612" i="11"/>
  <c r="C613" i="11"/>
  <c r="D613" i="11"/>
  <c r="C614" i="11"/>
  <c r="C615" i="11"/>
  <c r="D614" i="11"/>
  <c r="C616" i="11"/>
  <c r="D615" i="11"/>
  <c r="D616" i="11"/>
  <c r="C617" i="11"/>
  <c r="K611" i="11"/>
  <c r="L617" i="11"/>
  <c r="L616" i="11"/>
  <c r="D617" i="11"/>
  <c r="L613" i="11"/>
  <c r="K616" i="11"/>
  <c r="M616" i="11"/>
  <c r="C618" i="11"/>
  <c r="K615" i="11"/>
  <c r="M615" i="11"/>
  <c r="L612" i="11"/>
  <c r="K612" i="11"/>
  <c r="M612" i="11"/>
  <c r="K617" i="11"/>
  <c r="M617" i="11"/>
  <c r="L615" i="11"/>
  <c r="K613" i="11"/>
  <c r="M613" i="11"/>
  <c r="L611" i="11"/>
  <c r="C619" i="11"/>
  <c r="D618" i="11"/>
  <c r="M611" i="11"/>
  <c r="D619" i="11"/>
  <c r="C620" i="11"/>
  <c r="C621" i="11"/>
  <c r="D620" i="11"/>
  <c r="D621" i="11"/>
  <c r="C622" i="11"/>
  <c r="C623" i="11"/>
  <c r="D622" i="11"/>
  <c r="C624" i="11"/>
  <c r="D623" i="11"/>
  <c r="L620" i="11"/>
  <c r="L619" i="11"/>
  <c r="K624" i="11"/>
  <c r="K623" i="11"/>
  <c r="M623" i="11"/>
  <c r="C625" i="11"/>
  <c r="K622" i="11"/>
  <c r="D624" i="11"/>
  <c r="L618" i="11"/>
  <c r="L623" i="11"/>
  <c r="L622" i="11"/>
  <c r="K620" i="11"/>
  <c r="M620" i="11"/>
  <c r="K618" i="11"/>
  <c r="M618" i="11"/>
  <c r="K619" i="11"/>
  <c r="M619" i="11"/>
  <c r="L624" i="11"/>
  <c r="M622" i="11"/>
  <c r="D625" i="11"/>
  <c r="C626" i="11"/>
  <c r="M624" i="11"/>
  <c r="C627" i="11"/>
  <c r="D626" i="11"/>
  <c r="D627" i="11"/>
  <c r="C628" i="11"/>
  <c r="C629" i="11"/>
  <c r="D628" i="11"/>
  <c r="D629" i="11"/>
  <c r="C630" i="11"/>
  <c r="C631" i="11"/>
  <c r="D630" i="11"/>
  <c r="L631" i="11"/>
  <c r="K626" i="11"/>
  <c r="K627" i="11"/>
  <c r="M627" i="11"/>
  <c r="D631" i="11"/>
  <c r="K630" i="11"/>
  <c r="M630" i="11"/>
  <c r="L630" i="11"/>
  <c r="C632" i="11"/>
  <c r="L627" i="11"/>
  <c r="L629" i="11"/>
  <c r="K631" i="11"/>
  <c r="M631" i="11"/>
  <c r="L625" i="11"/>
  <c r="K625" i="11"/>
  <c r="K629" i="11"/>
  <c r="M629" i="11"/>
  <c r="D632" i="11"/>
  <c r="C633" i="11"/>
  <c r="M625" i="11"/>
  <c r="D633" i="11"/>
  <c r="C634" i="11"/>
  <c r="C635" i="11"/>
  <c r="D634" i="11"/>
  <c r="D635" i="11"/>
  <c r="C636" i="11"/>
  <c r="C637" i="11"/>
  <c r="D636" i="11"/>
  <c r="C638" i="11"/>
  <c r="D637" i="11"/>
  <c r="L634" i="11"/>
  <c r="L636" i="11"/>
  <c r="K637" i="11"/>
  <c r="M637" i="11"/>
  <c r="C639" i="11"/>
  <c r="L637" i="11"/>
  <c r="D638" i="11"/>
  <c r="K638" i="11"/>
  <c r="M638" i="11"/>
  <c r="L638" i="11"/>
  <c r="K632" i="11"/>
  <c r="L632" i="11"/>
  <c r="K634" i="11"/>
  <c r="M634" i="11"/>
  <c r="K636" i="11"/>
  <c r="M636" i="11"/>
  <c r="M632" i="11"/>
  <c r="D639" i="11"/>
  <c r="C640" i="11"/>
  <c r="C641" i="11"/>
  <c r="D640" i="11"/>
  <c r="D641" i="11"/>
  <c r="C642" i="11"/>
  <c r="C643" i="11"/>
  <c r="D642" i="11"/>
  <c r="D643" i="11"/>
  <c r="C644" i="11"/>
  <c r="C645" i="11"/>
  <c r="D644" i="11"/>
  <c r="K639" i="11"/>
  <c r="M639" i="11"/>
  <c r="L645" i="11"/>
  <c r="K644" i="11"/>
  <c r="M644" i="11"/>
  <c r="D645" i="11"/>
  <c r="L644" i="11"/>
  <c r="C646" i="11"/>
  <c r="K641" i="11"/>
  <c r="M641" i="11"/>
  <c r="K643" i="11"/>
  <c r="L639" i="11"/>
  <c r="L643" i="11"/>
  <c r="K645" i="11"/>
  <c r="M645" i="11"/>
  <c r="L641" i="11"/>
  <c r="M643" i="11"/>
  <c r="C647" i="11"/>
  <c r="D646" i="11"/>
  <c r="D647" i="11"/>
  <c r="C648" i="11"/>
  <c r="C649" i="11"/>
  <c r="D648" i="11"/>
  <c r="D649" i="11"/>
  <c r="C650" i="11"/>
  <c r="C651" i="11"/>
  <c r="D650" i="11"/>
  <c r="D651" i="11"/>
  <c r="C652" i="11"/>
  <c r="L652" i="11"/>
  <c r="L646" i="11"/>
  <c r="K651" i="11"/>
  <c r="C653" i="11"/>
  <c r="K650" i="11"/>
  <c r="D652" i="11"/>
  <c r="L648" i="11"/>
  <c r="K646" i="11"/>
  <c r="M646" i="11"/>
  <c r="K648" i="11"/>
  <c r="M648" i="11"/>
  <c r="L651" i="11"/>
  <c r="L650" i="11"/>
  <c r="K652" i="11"/>
  <c r="M652" i="11"/>
  <c r="M650" i="11"/>
  <c r="C654" i="11"/>
  <c r="D653" i="11"/>
  <c r="M651" i="11"/>
  <c r="D654" i="11"/>
  <c r="C655" i="11"/>
  <c r="D655" i="11"/>
  <c r="C656" i="11"/>
  <c r="D656" i="11"/>
  <c r="C657" i="11"/>
  <c r="D657" i="11"/>
  <c r="C658" i="11"/>
  <c r="D658" i="11"/>
  <c r="C659" i="11"/>
  <c r="K657" i="11"/>
  <c r="L658" i="11"/>
  <c r="K659" i="11"/>
  <c r="M659" i="11"/>
  <c r="D659" i="11"/>
  <c r="L655" i="11"/>
  <c r="C660" i="11"/>
  <c r="L659" i="11"/>
  <c r="L653" i="11"/>
  <c r="K653" i="11"/>
  <c r="M653" i="11"/>
  <c r="L657" i="11"/>
  <c r="K658" i="11"/>
  <c r="M658" i="11"/>
  <c r="K655" i="11"/>
  <c r="C661" i="11"/>
  <c r="D660" i="11"/>
  <c r="M655" i="11"/>
  <c r="M657" i="11"/>
  <c r="C662" i="11"/>
  <c r="D661" i="11"/>
  <c r="C663" i="11"/>
  <c r="D662" i="11"/>
  <c r="C664" i="11"/>
  <c r="D663" i="11"/>
  <c r="D664" i="11"/>
  <c r="C665" i="11"/>
  <c r="C666" i="11"/>
  <c r="D665" i="11"/>
  <c r="L661" i="11"/>
  <c r="K665" i="11"/>
  <c r="M665" i="11"/>
  <c r="K660" i="11"/>
  <c r="M660" i="11"/>
  <c r="L665" i="11"/>
  <c r="C667" i="11"/>
  <c r="L660" i="11"/>
  <c r="K666" i="11"/>
  <c r="M666" i="11"/>
  <c r="D666" i="11"/>
  <c r="L666" i="11"/>
  <c r="K664" i="11"/>
  <c r="M664" i="11"/>
  <c r="K662" i="11"/>
  <c r="M662" i="11"/>
  <c r="L662" i="11"/>
  <c r="L664" i="11"/>
  <c r="K661" i="11"/>
  <c r="M661" i="11"/>
  <c r="D667" i="11"/>
  <c r="C668" i="11"/>
  <c r="C669" i="11"/>
  <c r="D668" i="11"/>
  <c r="C670" i="11"/>
  <c r="D669" i="11"/>
  <c r="C671" i="11"/>
  <c r="D670" i="11"/>
  <c r="C672" i="11"/>
  <c r="D671" i="11"/>
  <c r="D672" i="11"/>
  <c r="C673" i="11"/>
  <c r="K669" i="11"/>
  <c r="M669" i="11"/>
  <c r="K671" i="11"/>
  <c r="K673" i="11"/>
  <c r="C674" i="11"/>
  <c r="L669" i="11"/>
  <c r="K667" i="11"/>
  <c r="M667" i="11"/>
  <c r="D673" i="11"/>
  <c r="L667" i="11"/>
  <c r="K672" i="11"/>
  <c r="M672" i="11"/>
  <c r="L672" i="11"/>
  <c r="K668" i="11"/>
  <c r="M668" i="11"/>
  <c r="L668" i="11"/>
  <c r="L671" i="11"/>
  <c r="L673" i="11"/>
  <c r="C675" i="11"/>
  <c r="D674" i="11"/>
  <c r="M673" i="11"/>
  <c r="M671" i="11"/>
  <c r="C676" i="11"/>
  <c r="D675" i="11"/>
  <c r="D676" i="11"/>
  <c r="C677" i="11"/>
  <c r="C678" i="11"/>
  <c r="D677" i="11"/>
  <c r="C679" i="11"/>
  <c r="D678" i="11"/>
  <c r="C680" i="11"/>
  <c r="D679" i="11"/>
  <c r="L678" i="11"/>
  <c r="L679" i="11"/>
  <c r="K674" i="11"/>
  <c r="K680" i="11"/>
  <c r="M680" i="11"/>
  <c r="C681" i="11"/>
  <c r="L680" i="11"/>
  <c r="D680" i="11"/>
  <c r="K679" i="11"/>
  <c r="M679" i="11"/>
  <c r="K676" i="11"/>
  <c r="L676" i="11"/>
  <c r="K675" i="11"/>
  <c r="M675" i="11"/>
  <c r="K678" i="11"/>
  <c r="M678" i="11"/>
  <c r="L675" i="11"/>
  <c r="L674" i="11"/>
  <c r="M676" i="11"/>
  <c r="C682" i="11"/>
  <c r="D681" i="11"/>
  <c r="M674" i="11"/>
  <c r="C683" i="11"/>
  <c r="D682" i="11"/>
  <c r="C684" i="11"/>
  <c r="D683" i="11"/>
  <c r="C685" i="11"/>
  <c r="D684" i="11"/>
  <c r="C686" i="11"/>
  <c r="D685" i="11"/>
  <c r="C687" i="11"/>
  <c r="D686" i="11"/>
  <c r="L681" i="11"/>
  <c r="L686" i="11"/>
  <c r="K687" i="11"/>
  <c r="K685" i="11"/>
  <c r="M685" i="11"/>
  <c r="C688" i="11"/>
  <c r="L685" i="11"/>
  <c r="D687" i="11"/>
  <c r="L683" i="11"/>
  <c r="K686" i="11"/>
  <c r="M686" i="11"/>
  <c r="K681" i="11"/>
  <c r="M681" i="11"/>
  <c r="K683" i="11"/>
  <c r="M683" i="11"/>
  <c r="L687" i="11"/>
  <c r="L682" i="11"/>
  <c r="K682" i="11"/>
  <c r="M682" i="11"/>
  <c r="C689" i="11"/>
  <c r="D688" i="11"/>
  <c r="M687" i="11"/>
  <c r="C690" i="11"/>
  <c r="D689" i="11"/>
  <c r="C691" i="11"/>
  <c r="D690" i="11"/>
  <c r="C692" i="11"/>
  <c r="D691" i="11"/>
  <c r="C693" i="11"/>
  <c r="D692" i="11"/>
  <c r="C694" i="11"/>
  <c r="D693" i="11"/>
  <c r="K689" i="11"/>
  <c r="M689" i="11"/>
  <c r="K692" i="11"/>
  <c r="K690" i="11"/>
  <c r="M690" i="11"/>
  <c r="L690" i="11"/>
  <c r="C695" i="11"/>
  <c r="K693" i="11"/>
  <c r="L688" i="11"/>
  <c r="D694" i="11"/>
  <c r="L689" i="11"/>
  <c r="L693" i="11"/>
  <c r="L694" i="11"/>
  <c r="K688" i="11"/>
  <c r="M688" i="11"/>
  <c r="K694" i="11"/>
  <c r="L692" i="11"/>
  <c r="M693" i="11"/>
  <c r="M694" i="11"/>
  <c r="C696" i="11"/>
  <c r="D695" i="11"/>
  <c r="M692" i="11"/>
  <c r="C697" i="11"/>
  <c r="D696" i="11"/>
  <c r="C698" i="11"/>
  <c r="D697" i="11"/>
  <c r="C699" i="11"/>
  <c r="D698" i="11"/>
  <c r="C700" i="11"/>
  <c r="D699" i="11"/>
  <c r="D700" i="11"/>
  <c r="C701" i="11"/>
  <c r="L697" i="11"/>
  <c r="L695" i="11"/>
  <c r="K696" i="11"/>
  <c r="L700" i="11"/>
  <c r="C702" i="11"/>
  <c r="L701" i="11"/>
  <c r="D701" i="11"/>
  <c r="L699" i="11"/>
  <c r="K699" i="11"/>
  <c r="M699" i="11"/>
  <c r="L696" i="11"/>
  <c r="K697" i="11"/>
  <c r="M697" i="11"/>
  <c r="K701" i="11"/>
  <c r="M701" i="11"/>
  <c r="K695" i="11"/>
  <c r="M695" i="11"/>
  <c r="K700" i="11"/>
  <c r="M700" i="11"/>
  <c r="C703" i="11"/>
  <c r="D702" i="11"/>
  <c r="M696" i="11"/>
  <c r="D703" i="11"/>
  <c r="C704" i="11"/>
  <c r="C705" i="11"/>
  <c r="D704" i="11"/>
  <c r="C706" i="11"/>
  <c r="D705" i="11"/>
  <c r="C707" i="11"/>
  <c r="D706" i="11"/>
  <c r="C708" i="11"/>
  <c r="D707" i="11"/>
  <c r="K707" i="11"/>
  <c r="M707" i="11"/>
  <c r="L707" i="11"/>
  <c r="K704" i="11"/>
  <c r="M704" i="11"/>
  <c r="C709" i="11"/>
  <c r="L704" i="11"/>
  <c r="D708" i="11"/>
  <c r="L706" i="11"/>
  <c r="K706" i="11"/>
  <c r="M706" i="11"/>
  <c r="K708" i="11"/>
  <c r="M708" i="11"/>
  <c r="K703" i="11"/>
  <c r="L702" i="11"/>
  <c r="L708" i="11"/>
  <c r="K702" i="11"/>
  <c r="M702" i="11"/>
  <c r="D709" i="11"/>
  <c r="C710" i="11"/>
  <c r="C711" i="11"/>
  <c r="D710" i="11"/>
  <c r="C712" i="11"/>
  <c r="D711" i="11"/>
  <c r="C713" i="11"/>
  <c r="D712" i="11"/>
  <c r="C714" i="11"/>
  <c r="D713" i="11"/>
  <c r="C715" i="11"/>
  <c r="D714" i="11"/>
  <c r="K713" i="11"/>
  <c r="M713" i="11"/>
  <c r="L709" i="11"/>
  <c r="L713" i="11"/>
  <c r="L714" i="11"/>
  <c r="C716" i="11"/>
  <c r="K710" i="11"/>
  <c r="M710" i="11"/>
  <c r="D715" i="11"/>
  <c r="L711" i="11"/>
  <c r="K709" i="11"/>
  <c r="M709" i="11"/>
  <c r="K711" i="11"/>
  <c r="M711" i="11"/>
  <c r="K715" i="11"/>
  <c r="M715" i="11"/>
  <c r="K714" i="11"/>
  <c r="M714" i="11"/>
  <c r="L710" i="11"/>
  <c r="L715" i="11"/>
  <c r="C717" i="11"/>
  <c r="D716" i="11"/>
  <c r="C718" i="11"/>
  <c r="D717" i="11"/>
  <c r="C719" i="11"/>
  <c r="D718" i="11"/>
  <c r="C720" i="11"/>
  <c r="D719" i="11"/>
  <c r="C721" i="11"/>
  <c r="D720" i="11"/>
  <c r="C722" i="11"/>
  <c r="D721" i="11"/>
  <c r="L722" i="11"/>
  <c r="K717" i="11"/>
  <c r="K721" i="11"/>
  <c r="K718" i="11"/>
  <c r="M718" i="11"/>
  <c r="C723" i="11"/>
  <c r="K720" i="11"/>
  <c r="M720" i="11"/>
  <c r="D722" i="11"/>
  <c r="L720" i="11"/>
  <c r="L718" i="11"/>
  <c r="K716" i="11"/>
  <c r="M716" i="11"/>
  <c r="L721" i="11"/>
  <c r="K722" i="11"/>
  <c r="M722" i="11"/>
  <c r="L716" i="11"/>
  <c r="C724" i="11"/>
  <c r="D723" i="11"/>
  <c r="M721" i="11"/>
  <c r="C725" i="11"/>
  <c r="D724" i="11"/>
  <c r="C726" i="11"/>
  <c r="D725" i="11"/>
  <c r="C727" i="11"/>
  <c r="D726" i="11"/>
  <c r="C728" i="11"/>
  <c r="D727" i="11"/>
  <c r="C729" i="11"/>
  <c r="D728" i="11"/>
  <c r="K728" i="11"/>
  <c r="K725" i="11"/>
  <c r="M725" i="11"/>
  <c r="K727" i="11"/>
  <c r="M727" i="11"/>
  <c r="K724" i="11"/>
  <c r="C730" i="11"/>
  <c r="L727" i="11"/>
  <c r="D729" i="11"/>
  <c r="L725" i="11"/>
  <c r="L729" i="11"/>
  <c r="K723" i="11"/>
  <c r="M723" i="11"/>
  <c r="L723" i="11"/>
  <c r="L724" i="11"/>
  <c r="K729" i="11"/>
  <c r="L728" i="11"/>
  <c r="M729" i="11"/>
  <c r="C731" i="11"/>
  <c r="D730" i="11"/>
  <c r="M724" i="11"/>
  <c r="M728" i="11"/>
  <c r="C732" i="11"/>
  <c r="D731" i="11"/>
  <c r="C733" i="11"/>
  <c r="D732" i="11"/>
  <c r="C734" i="11"/>
  <c r="D733" i="11"/>
  <c r="C735" i="11"/>
  <c r="D734" i="11"/>
  <c r="C736" i="11"/>
  <c r="D735" i="11"/>
  <c r="K735" i="11"/>
  <c r="M735" i="11"/>
  <c r="K732" i="11"/>
  <c r="M732" i="11"/>
  <c r="K730" i="11"/>
  <c r="M730" i="11"/>
  <c r="C737" i="11"/>
  <c r="K736" i="11"/>
  <c r="D736" i="11"/>
  <c r="L732" i="11"/>
  <c r="L735" i="11"/>
  <c r="L730" i="11"/>
  <c r="K734" i="11"/>
  <c r="M734" i="11"/>
  <c r="L736" i="11"/>
  <c r="L734" i="11"/>
  <c r="M736" i="11"/>
  <c r="D737" i="11"/>
  <c r="C738" i="11"/>
  <c r="D738" i="11"/>
  <c r="C739" i="11"/>
  <c r="C740" i="11"/>
  <c r="D739" i="11"/>
  <c r="C741" i="11"/>
  <c r="D740" i="11"/>
  <c r="D741" i="11"/>
  <c r="C742" i="11"/>
  <c r="C743" i="11"/>
  <c r="D742" i="11"/>
  <c r="K742" i="11"/>
  <c r="M742" i="11"/>
  <c r="L742" i="11"/>
  <c r="L738" i="11"/>
  <c r="L737" i="11"/>
  <c r="C744" i="11"/>
  <c r="K737" i="11"/>
  <c r="M737" i="11"/>
  <c r="D743" i="11"/>
  <c r="L741" i="11"/>
  <c r="K741" i="11"/>
  <c r="M741" i="11"/>
  <c r="L743" i="11"/>
  <c r="L739" i="11"/>
  <c r="K739" i="11"/>
  <c r="M739" i="11"/>
  <c r="K743" i="11"/>
  <c r="K738" i="11"/>
  <c r="M738" i="11"/>
  <c r="M743" i="11"/>
  <c r="C745" i="11"/>
  <c r="D744" i="11"/>
  <c r="D745" i="11"/>
  <c r="C746" i="11"/>
  <c r="C747" i="11"/>
  <c r="D746" i="11"/>
  <c r="C748" i="11"/>
  <c r="D747" i="11"/>
  <c r="C749" i="11"/>
  <c r="D748" i="11"/>
  <c r="D749" i="11"/>
  <c r="C750" i="11"/>
  <c r="K748" i="11"/>
  <c r="M748" i="11"/>
  <c r="L748" i="11"/>
  <c r="L749" i="11"/>
  <c r="C751" i="11"/>
  <c r="K744" i="11"/>
  <c r="L745" i="11"/>
  <c r="D750" i="11"/>
  <c r="K750" i="11"/>
  <c r="M750" i="11"/>
  <c r="K746" i="11"/>
  <c r="M746" i="11"/>
  <c r="L744" i="11"/>
  <c r="K749" i="11"/>
  <c r="M749" i="11"/>
  <c r="L750" i="11"/>
  <c r="L746" i="11"/>
  <c r="K745" i="11"/>
  <c r="M745" i="11"/>
  <c r="M744" i="11"/>
  <c r="D751" i="11"/>
  <c r="C752" i="11"/>
  <c r="D752" i="11"/>
  <c r="C753" i="11"/>
  <c r="D753" i="11"/>
  <c r="C754" i="11"/>
  <c r="C755" i="11"/>
  <c r="D754" i="11"/>
  <c r="D755" i="11"/>
  <c r="C756" i="11"/>
  <c r="C757" i="11"/>
  <c r="D756" i="11"/>
  <c r="L755" i="11"/>
  <c r="L753" i="11"/>
  <c r="K755" i="11"/>
  <c r="M755" i="11"/>
  <c r="C758" i="11"/>
  <c r="K753" i="11"/>
  <c r="M753" i="11"/>
  <c r="D757" i="11"/>
  <c r="L751" i="11"/>
  <c r="K751" i="11"/>
  <c r="M751" i="11"/>
  <c r="K757" i="11"/>
  <c r="M757" i="11"/>
  <c r="K756" i="11"/>
  <c r="M756" i="11"/>
  <c r="L757" i="11"/>
  <c r="L756" i="11"/>
  <c r="D758" i="11"/>
  <c r="C759" i="11"/>
  <c r="D759" i="11"/>
  <c r="C760" i="11"/>
  <c r="C761" i="11"/>
  <c r="D760" i="11"/>
  <c r="D761" i="11"/>
  <c r="C762" i="11"/>
  <c r="C763" i="11"/>
  <c r="D762" i="11"/>
  <c r="D763" i="11"/>
  <c r="C764" i="11"/>
  <c r="K760" i="11"/>
  <c r="M760" i="11"/>
  <c r="K758" i="11"/>
  <c r="L762" i="11"/>
  <c r="C765" i="11"/>
  <c r="K763" i="11"/>
  <c r="D764" i="11"/>
  <c r="L760" i="11"/>
  <c r="K764" i="11"/>
  <c r="M764" i="11"/>
  <c r="L763" i="11"/>
  <c r="L758" i="11"/>
  <c r="K762" i="11"/>
  <c r="M762" i="11"/>
  <c r="L764" i="11"/>
  <c r="M763" i="11"/>
  <c r="C766" i="11"/>
  <c r="D765" i="11"/>
  <c r="M758" i="11"/>
  <c r="C767" i="11"/>
  <c r="D766" i="11"/>
  <c r="C768" i="11"/>
  <c r="D767" i="11"/>
  <c r="D768" i="11"/>
  <c r="C769" i="11"/>
  <c r="C770" i="11"/>
  <c r="D769" i="11"/>
  <c r="C771" i="11"/>
  <c r="D770" i="11"/>
  <c r="L765" i="11"/>
  <c r="L770" i="11"/>
  <c r="K771" i="11"/>
  <c r="K765" i="11"/>
  <c r="M765" i="11"/>
  <c r="D771" i="11"/>
  <c r="K767" i="11"/>
  <c r="M767" i="11"/>
  <c r="C772" i="11"/>
  <c r="K769" i="11"/>
  <c r="L766" i="11"/>
  <c r="L769" i="11"/>
  <c r="K766" i="11"/>
  <c r="M766" i="11"/>
  <c r="K770" i="11"/>
  <c r="M770" i="11"/>
  <c r="L767" i="11"/>
  <c r="L771" i="11"/>
  <c r="M769" i="11"/>
  <c r="D772" i="11"/>
  <c r="C773" i="11"/>
  <c r="M771" i="11"/>
  <c r="C774" i="11"/>
  <c r="D773" i="11"/>
  <c r="C775" i="11"/>
  <c r="D774" i="11"/>
  <c r="C776" i="11"/>
  <c r="D775" i="11"/>
  <c r="D776" i="11"/>
  <c r="C777" i="11"/>
  <c r="C778" i="11"/>
  <c r="D777" i="11"/>
  <c r="L776" i="11"/>
  <c r="K772" i="11"/>
  <c r="M772" i="11"/>
  <c r="L772" i="11"/>
  <c r="L774" i="11"/>
  <c r="C779" i="11"/>
  <c r="K773" i="11"/>
  <c r="D778" i="11"/>
  <c r="K776" i="11"/>
  <c r="M776" i="11"/>
  <c r="K777" i="11"/>
  <c r="K774" i="11"/>
  <c r="M774" i="11"/>
  <c r="L778" i="11"/>
  <c r="L773" i="11"/>
  <c r="K778" i="11"/>
  <c r="L777" i="11"/>
  <c r="M773" i="11"/>
  <c r="M778" i="11"/>
  <c r="C780" i="11"/>
  <c r="D779" i="11"/>
  <c r="M777" i="11"/>
  <c r="D780" i="11"/>
  <c r="C781" i="11"/>
  <c r="D781" i="11"/>
  <c r="C782" i="11"/>
  <c r="C783" i="11"/>
  <c r="D782" i="11"/>
  <c r="C784" i="11"/>
  <c r="D783" i="11"/>
  <c r="C785" i="11"/>
  <c r="D784" i="11"/>
  <c r="K779" i="11"/>
  <c r="M779" i="11"/>
  <c r="L779" i="11"/>
  <c r="K781" i="11"/>
  <c r="C786" i="11"/>
  <c r="K783" i="11"/>
  <c r="D785" i="11"/>
  <c r="K785" i="11"/>
  <c r="M785" i="11"/>
  <c r="L785" i="11"/>
  <c r="L781" i="11"/>
  <c r="K784" i="11"/>
  <c r="M784" i="11"/>
  <c r="L783" i="11"/>
  <c r="L784" i="11"/>
  <c r="M783" i="11"/>
  <c r="C787" i="11"/>
  <c r="D786" i="11"/>
  <c r="M781" i="11"/>
  <c r="C788" i="11"/>
  <c r="D787" i="11"/>
  <c r="C789" i="11"/>
  <c r="D788" i="11"/>
  <c r="D789" i="11"/>
  <c r="C790" i="11"/>
  <c r="D790" i="11"/>
  <c r="C791" i="11"/>
  <c r="C792" i="11"/>
  <c r="D791" i="11"/>
  <c r="K792" i="11"/>
  <c r="M792" i="11"/>
  <c r="L791" i="11"/>
  <c r="K791" i="11"/>
  <c r="M791" i="11"/>
  <c r="K788" i="11"/>
  <c r="C793" i="11"/>
  <c r="L792" i="11"/>
  <c r="D792" i="11"/>
  <c r="L790" i="11"/>
  <c r="K786" i="11"/>
  <c r="M786" i="11"/>
  <c r="L786" i="11"/>
  <c r="L788" i="11"/>
  <c r="K790" i="11"/>
  <c r="M790" i="11"/>
  <c r="L787" i="11"/>
  <c r="K787" i="11"/>
  <c r="M787" i="11"/>
  <c r="C794" i="11"/>
  <c r="D793" i="11"/>
  <c r="M788" i="11"/>
  <c r="D794" i="11"/>
  <c r="C795" i="11"/>
  <c r="C796" i="11"/>
  <c r="D795" i="11"/>
  <c r="D796" i="11"/>
  <c r="C797" i="11"/>
  <c r="D797" i="11"/>
  <c r="C798" i="11"/>
  <c r="C799" i="11"/>
  <c r="D798" i="11"/>
  <c r="K798" i="11"/>
  <c r="M798" i="11"/>
  <c r="L798" i="11"/>
  <c r="L794" i="11"/>
  <c r="K797" i="11"/>
  <c r="M797" i="11"/>
  <c r="C800" i="11"/>
  <c r="L797" i="11"/>
  <c r="L793" i="11"/>
  <c r="D799" i="11"/>
  <c r="L795" i="11"/>
  <c r="L799" i="11"/>
  <c r="K795" i="11"/>
  <c r="M795" i="11"/>
  <c r="K799" i="11"/>
  <c r="M799" i="11"/>
  <c r="K793" i="11"/>
  <c r="M793" i="11"/>
  <c r="K794" i="11"/>
  <c r="M794" i="11"/>
  <c r="D800" i="11"/>
  <c r="C801" i="11"/>
  <c r="C802" i="11"/>
  <c r="D801" i="11"/>
  <c r="D802" i="11"/>
  <c r="C803" i="11"/>
  <c r="C804" i="11"/>
  <c r="D803" i="11"/>
  <c r="C805" i="11"/>
  <c r="D804" i="11"/>
  <c r="D805" i="11"/>
  <c r="C806" i="11"/>
  <c r="L805" i="11"/>
  <c r="L801" i="11"/>
  <c r="K802" i="11"/>
  <c r="K800" i="11"/>
  <c r="C807" i="11"/>
  <c r="K806" i="11"/>
  <c r="M806" i="11"/>
  <c r="D806" i="11"/>
  <c r="L806" i="11"/>
  <c r="L804" i="11"/>
  <c r="L802" i="11"/>
  <c r="K805" i="11"/>
  <c r="M805" i="11"/>
  <c r="L800" i="11"/>
  <c r="K804" i="11"/>
  <c r="M804" i="11"/>
  <c r="C808" i="11"/>
  <c r="D807" i="11"/>
  <c r="M800" i="11"/>
  <c r="M802" i="11"/>
  <c r="C809" i="11"/>
  <c r="D808" i="11"/>
  <c r="C810" i="11"/>
  <c r="D809" i="11"/>
  <c r="D810" i="11"/>
  <c r="C811" i="11"/>
  <c r="C812" i="11"/>
  <c r="D811" i="11"/>
  <c r="C813" i="11"/>
  <c r="D812" i="11"/>
  <c r="K811" i="11"/>
  <c r="M811" i="11"/>
  <c r="K807" i="11"/>
  <c r="L812" i="11"/>
  <c r="K812" i="11"/>
  <c r="M812" i="11"/>
  <c r="D813" i="11"/>
  <c r="K809" i="11"/>
  <c r="C814" i="11"/>
  <c r="L811" i="11"/>
  <c r="L813" i="11"/>
  <c r="L809" i="11"/>
  <c r="K808" i="11"/>
  <c r="M808" i="11"/>
  <c r="L807" i="11"/>
  <c r="L808" i="11"/>
  <c r="K813" i="11"/>
  <c r="C815" i="11"/>
  <c r="D814" i="11"/>
  <c r="M809" i="11"/>
  <c r="M813" i="11"/>
  <c r="M807" i="11"/>
  <c r="C816" i="11"/>
  <c r="D815" i="11"/>
  <c r="C817" i="11"/>
  <c r="D816" i="11"/>
  <c r="C818" i="11"/>
  <c r="D817" i="11"/>
  <c r="D818" i="11"/>
  <c r="C819" i="11"/>
  <c r="C820" i="11"/>
  <c r="D819" i="11"/>
  <c r="L816" i="11"/>
  <c r="K820" i="11"/>
  <c r="M820" i="11"/>
  <c r="K819" i="11"/>
  <c r="M819" i="11"/>
  <c r="C821" i="11"/>
  <c r="L819" i="11"/>
  <c r="D820" i="11"/>
  <c r="K818" i="11"/>
  <c r="L820" i="11"/>
  <c r="L814" i="11"/>
  <c r="L818" i="11"/>
  <c r="K816" i="11"/>
  <c r="M816" i="11"/>
  <c r="K814" i="11"/>
  <c r="M814" i="11"/>
  <c r="M818" i="11"/>
  <c r="C822" i="11"/>
  <c r="D821" i="11"/>
  <c r="C823" i="11"/>
  <c r="D822" i="11"/>
  <c r="C824" i="11"/>
  <c r="D823" i="11"/>
  <c r="C825" i="11"/>
  <c r="D824" i="11"/>
  <c r="C826" i="11"/>
  <c r="D825" i="11"/>
  <c r="D826" i="11"/>
  <c r="C827" i="11"/>
  <c r="L822" i="11"/>
  <c r="L826" i="11"/>
  <c r="L827" i="11"/>
  <c r="L825" i="11"/>
  <c r="C828" i="11"/>
  <c r="K826" i="11"/>
  <c r="M826" i="11"/>
  <c r="D827" i="11"/>
  <c r="L823" i="11"/>
  <c r="K823" i="11"/>
  <c r="M823" i="11"/>
  <c r="K825" i="11"/>
  <c r="M825" i="11"/>
  <c r="K822" i="11"/>
  <c r="M822" i="11"/>
  <c r="L821" i="11"/>
  <c r="K821" i="11"/>
  <c r="K827" i="11"/>
  <c r="M827" i="11"/>
  <c r="M821" i="11"/>
  <c r="D828" i="11"/>
  <c r="C829" i="11"/>
  <c r="D829" i="11"/>
  <c r="C830" i="11"/>
  <c r="D830" i="11"/>
  <c r="C831" i="11"/>
  <c r="C832" i="11"/>
  <c r="D831" i="11"/>
  <c r="D832" i="11"/>
  <c r="C833" i="11"/>
  <c r="C834" i="11"/>
  <c r="D833" i="11"/>
  <c r="K834" i="11"/>
  <c r="M834" i="11"/>
  <c r="L828" i="11"/>
  <c r="L833" i="11"/>
  <c r="K833" i="11"/>
  <c r="M833" i="11"/>
  <c r="D834" i="11"/>
  <c r="L834" i="11"/>
  <c r="C835" i="11"/>
  <c r="L830" i="11"/>
  <c r="K829" i="11"/>
  <c r="L832" i="11"/>
  <c r="K832" i="11"/>
  <c r="M832" i="11"/>
  <c r="K828" i="11"/>
  <c r="M828" i="11"/>
  <c r="K830" i="11"/>
  <c r="M830" i="11"/>
  <c r="L829" i="11"/>
  <c r="M829" i="11"/>
  <c r="C836" i="11"/>
  <c r="D835" i="11"/>
  <c r="C837" i="11"/>
  <c r="D836" i="11"/>
  <c r="C838" i="11"/>
  <c r="D837" i="11"/>
  <c r="C839" i="11"/>
  <c r="D838" i="11"/>
  <c r="D839" i="11"/>
  <c r="C840" i="11"/>
  <c r="D840" i="11"/>
  <c r="C841" i="11"/>
  <c r="K835" i="11"/>
  <c r="M835" i="11"/>
  <c r="K836" i="11"/>
  <c r="M836" i="11"/>
  <c r="L840" i="11"/>
  <c r="L836" i="11"/>
  <c r="C842" i="11"/>
  <c r="L837" i="11"/>
  <c r="D841" i="11"/>
  <c r="L835" i="11"/>
  <c r="K840" i="11"/>
  <c r="M840" i="11"/>
  <c r="K839" i="11"/>
  <c r="M839" i="11"/>
  <c r="L839" i="11"/>
  <c r="K837" i="11"/>
  <c r="M837" i="11"/>
  <c r="L841" i="11"/>
  <c r="K841" i="11"/>
  <c r="M841" i="11"/>
  <c r="D842" i="11"/>
  <c r="C843" i="11"/>
  <c r="D843" i="11"/>
  <c r="C844" i="11"/>
  <c r="D844" i="11"/>
  <c r="C845" i="11"/>
  <c r="C846" i="11"/>
  <c r="D845" i="11"/>
  <c r="D846" i="11"/>
  <c r="C847" i="11"/>
  <c r="D847" i="11"/>
  <c r="C848" i="11"/>
  <c r="K848" i="11"/>
  <c r="M848" i="11"/>
  <c r="K844" i="11"/>
  <c r="M844" i="11"/>
  <c r="L842" i="11"/>
  <c r="K846" i="11"/>
  <c r="C849" i="11"/>
  <c r="K842" i="11"/>
  <c r="M842" i="11"/>
  <c r="D848" i="11"/>
  <c r="L844" i="11"/>
  <c r="L848" i="11"/>
  <c r="L847" i="11"/>
  <c r="L846" i="11"/>
  <c r="L843" i="11"/>
  <c r="K843" i="11"/>
  <c r="K847" i="11"/>
  <c r="M847" i="11"/>
  <c r="M843" i="11"/>
  <c r="D849" i="11"/>
  <c r="C850" i="11"/>
  <c r="M846" i="11"/>
  <c r="D850" i="11"/>
  <c r="C851" i="11"/>
  <c r="C852" i="11"/>
  <c r="D851" i="11"/>
  <c r="C853" i="11"/>
  <c r="D852" i="11"/>
  <c r="C854" i="11"/>
  <c r="D853" i="11"/>
  <c r="C855" i="11"/>
  <c r="D854" i="11"/>
  <c r="K849" i="11"/>
  <c r="K855" i="11"/>
  <c r="L853" i="11"/>
  <c r="D855" i="11"/>
  <c r="K854" i="11"/>
  <c r="M854" i="11"/>
  <c r="C856" i="11"/>
  <c r="K853" i="11"/>
  <c r="M853" i="11"/>
  <c r="L854" i="11"/>
  <c r="L855" i="11"/>
  <c r="L851" i="11"/>
  <c r="L849" i="11"/>
  <c r="K851" i="11"/>
  <c r="C857" i="11"/>
  <c r="D856" i="11"/>
  <c r="M851" i="11"/>
  <c r="M855" i="11"/>
  <c r="M849" i="11"/>
  <c r="C858" i="11"/>
  <c r="D857" i="11"/>
  <c r="D858" i="11"/>
  <c r="C859" i="11"/>
  <c r="C860" i="11"/>
  <c r="D859" i="11"/>
  <c r="C861" i="11"/>
  <c r="D860" i="11"/>
  <c r="C862" i="11"/>
  <c r="D861" i="11"/>
  <c r="K857" i="11"/>
  <c r="L856" i="11"/>
  <c r="L862" i="11"/>
  <c r="L858" i="11"/>
  <c r="C863" i="11"/>
  <c r="K862" i="11"/>
  <c r="M862" i="11"/>
  <c r="K861" i="11"/>
  <c r="D862" i="11"/>
  <c r="L861" i="11"/>
  <c r="L857" i="11"/>
  <c r="K856" i="11"/>
  <c r="M856" i="11"/>
  <c r="K860" i="11"/>
  <c r="K858" i="11"/>
  <c r="M858" i="11"/>
  <c r="L860" i="11"/>
  <c r="M861" i="11"/>
  <c r="C864" i="11"/>
  <c r="D863" i="11"/>
  <c r="M860" i="11"/>
  <c r="M857" i="11"/>
  <c r="C865" i="11"/>
  <c r="D864" i="11"/>
  <c r="C866" i="11"/>
  <c r="D865" i="11"/>
  <c r="D866" i="11"/>
  <c r="C867" i="11"/>
  <c r="C868" i="11"/>
  <c r="D867" i="11"/>
  <c r="C869" i="11"/>
  <c r="D868" i="11"/>
  <c r="K863" i="11"/>
  <c r="L868" i="11"/>
  <c r="L867" i="11"/>
  <c r="K868" i="11"/>
  <c r="M868" i="11"/>
  <c r="C870" i="11"/>
  <c r="L865" i="11"/>
  <c r="D869" i="11"/>
  <c r="K869" i="11"/>
  <c r="K865" i="11"/>
  <c r="M865" i="11"/>
  <c r="L863" i="11"/>
  <c r="K867" i="11"/>
  <c r="M867" i="11"/>
  <c r="L869" i="11"/>
  <c r="L864" i="11"/>
  <c r="K864" i="11"/>
  <c r="M864" i="11"/>
  <c r="M869" i="11"/>
  <c r="C871" i="11"/>
  <c r="D870" i="11"/>
  <c r="M863" i="11"/>
  <c r="D871" i="11"/>
  <c r="C872" i="11"/>
  <c r="C873" i="11"/>
  <c r="D872" i="11"/>
  <c r="C874" i="11"/>
  <c r="D873" i="11"/>
  <c r="D874" i="11"/>
  <c r="C875" i="11"/>
  <c r="C876" i="11"/>
  <c r="D875" i="11"/>
  <c r="L874" i="11"/>
  <c r="L872" i="11"/>
  <c r="K876" i="11"/>
  <c r="K874" i="11"/>
  <c r="M874" i="11"/>
  <c r="C877" i="11"/>
  <c r="L870" i="11"/>
  <c r="D876" i="11"/>
  <c r="L871" i="11"/>
  <c r="K870" i="11"/>
  <c r="M870" i="11"/>
  <c r="L876" i="11"/>
  <c r="K872" i="11"/>
  <c r="M872" i="11"/>
  <c r="K871" i="11"/>
  <c r="M871" i="11"/>
  <c r="K875" i="11"/>
  <c r="L875" i="11"/>
  <c r="M875" i="11"/>
  <c r="C878" i="11"/>
  <c r="D877" i="11"/>
  <c r="M876" i="11"/>
  <c r="C879" i="11"/>
  <c r="D878" i="11"/>
  <c r="D879" i="11"/>
  <c r="C880" i="11"/>
  <c r="C881" i="11"/>
  <c r="D880" i="11"/>
  <c r="C882" i="11"/>
  <c r="D881" i="11"/>
  <c r="D882" i="11"/>
  <c r="C883" i="11"/>
  <c r="K877" i="11"/>
  <c r="M877" i="11"/>
  <c r="K881" i="11"/>
  <c r="K882" i="11"/>
  <c r="L879" i="11"/>
  <c r="C884" i="11"/>
  <c r="K879" i="11"/>
  <c r="M879" i="11"/>
  <c r="D883" i="11"/>
  <c r="L877" i="11"/>
  <c r="L881" i="11"/>
  <c r="L882" i="11"/>
  <c r="K883" i="11"/>
  <c r="M883" i="11"/>
  <c r="L883" i="11"/>
  <c r="K878" i="11"/>
  <c r="L878" i="11"/>
  <c r="M878" i="11"/>
  <c r="C885" i="11"/>
  <c r="D884" i="11"/>
  <c r="M882" i="11"/>
  <c r="M881" i="11"/>
  <c r="C886" i="11"/>
  <c r="D885" i="11"/>
  <c r="C887" i="11"/>
  <c r="D886" i="11"/>
  <c r="D887" i="11"/>
  <c r="C888" i="11"/>
  <c r="C889" i="11"/>
  <c r="D888" i="11"/>
  <c r="K13" i="11"/>
  <c r="K12" i="11"/>
  <c r="M12" i="11"/>
  <c r="L14" i="11"/>
  <c r="L13" i="11"/>
  <c r="L15" i="11"/>
  <c r="M15" i="11"/>
  <c r="L75" i="11"/>
  <c r="K14" i="11"/>
  <c r="M14" i="11"/>
  <c r="L19" i="11"/>
  <c r="K17" i="11"/>
  <c r="K20" i="11"/>
  <c r="M20" i="11"/>
  <c r="L17" i="11"/>
  <c r="L16" i="11"/>
  <c r="M16" i="11"/>
  <c r="K19" i="11"/>
  <c r="K22" i="11"/>
  <c r="M22" i="11"/>
  <c r="K24" i="11"/>
  <c r="L26" i="11"/>
  <c r="K27" i="11"/>
  <c r="M27" i="11"/>
  <c r="L24" i="11"/>
  <c r="K26" i="11"/>
  <c r="M26" i="11"/>
  <c r="L33" i="11"/>
  <c r="L34" i="11"/>
  <c r="K33" i="11"/>
  <c r="M33" i="11"/>
  <c r="K36" i="11"/>
  <c r="M36" i="11"/>
  <c r="L31" i="11"/>
  <c r="K30" i="11"/>
  <c r="M30" i="11"/>
  <c r="K34" i="11"/>
  <c r="K31" i="11"/>
  <c r="K40" i="11"/>
  <c r="K38" i="11"/>
  <c r="L40" i="11"/>
  <c r="L38" i="11"/>
  <c r="K43" i="11"/>
  <c r="M43" i="11"/>
  <c r="L42" i="11"/>
  <c r="M42" i="11"/>
  <c r="K49" i="11"/>
  <c r="M49" i="11"/>
  <c r="K47" i="11"/>
  <c r="L47" i="11"/>
  <c r="L44" i="11"/>
  <c r="K44" i="11"/>
  <c r="L50" i="11"/>
  <c r="L48" i="11"/>
  <c r="K48" i="11"/>
  <c r="M48" i="11"/>
  <c r="K50" i="11"/>
  <c r="M50" i="11"/>
  <c r="L45" i="11"/>
  <c r="L46" i="11"/>
  <c r="M46" i="11"/>
  <c r="K45" i="11"/>
  <c r="M45" i="11"/>
  <c r="L327" i="11"/>
  <c r="K54" i="11"/>
  <c r="M54" i="11"/>
  <c r="L54" i="11"/>
  <c r="L56" i="11"/>
  <c r="M56" i="11"/>
  <c r="K61" i="11"/>
  <c r="L61" i="11"/>
  <c r="K59" i="11"/>
  <c r="L62" i="11"/>
  <c r="M62" i="11"/>
  <c r="K64" i="11"/>
  <c r="M64" i="11"/>
  <c r="L59" i="11"/>
  <c r="L60" i="11"/>
  <c r="M60" i="11"/>
  <c r="K68" i="11"/>
  <c r="K67" i="11"/>
  <c r="M67" i="11"/>
  <c r="L70" i="11"/>
  <c r="M70" i="11"/>
  <c r="L66" i="11"/>
  <c r="K65" i="11"/>
  <c r="L68" i="11"/>
  <c r="L65" i="11"/>
  <c r="K66" i="11"/>
  <c r="K71" i="11"/>
  <c r="L71" i="11"/>
  <c r="K75" i="11"/>
  <c r="M75" i="11"/>
  <c r="K80" i="11"/>
  <c r="K83" i="11"/>
  <c r="L80" i="11"/>
  <c r="L83" i="11"/>
  <c r="L85" i="11"/>
  <c r="M85" i="11"/>
  <c r="K79" i="11"/>
  <c r="M79" i="11"/>
  <c r="K84" i="11"/>
  <c r="M84" i="11"/>
  <c r="L82" i="11"/>
  <c r="K82" i="11"/>
  <c r="L81" i="11"/>
  <c r="M81" i="11"/>
  <c r="L89" i="11"/>
  <c r="K89" i="11"/>
  <c r="L87" i="11"/>
  <c r="K87" i="11"/>
  <c r="M87" i="11"/>
  <c r="L88" i="11"/>
  <c r="M88" i="11"/>
  <c r="K86" i="11"/>
  <c r="L86" i="11"/>
  <c r="K96" i="11"/>
  <c r="M96" i="11"/>
  <c r="L628" i="11"/>
  <c r="L96" i="11"/>
  <c r="K94" i="11"/>
  <c r="L95" i="11"/>
  <c r="L93" i="11"/>
  <c r="K98" i="11"/>
  <c r="M98" i="11"/>
  <c r="L98" i="11"/>
  <c r="L94" i="11"/>
  <c r="K93" i="11"/>
  <c r="L99" i="11"/>
  <c r="M99" i="11"/>
  <c r="K95" i="11"/>
  <c r="K97" i="11"/>
  <c r="M97" i="11"/>
  <c r="K103" i="11"/>
  <c r="M103" i="11"/>
  <c r="K100" i="11"/>
  <c r="M100" i="11"/>
  <c r="L103" i="11"/>
  <c r="K102" i="11"/>
  <c r="K106" i="11"/>
  <c r="M106" i="11"/>
  <c r="L102" i="11"/>
  <c r="L104" i="11"/>
  <c r="K104" i="11"/>
  <c r="K105" i="11"/>
  <c r="M105" i="11"/>
  <c r="K712" i="11"/>
  <c r="K110" i="11"/>
  <c r="L113" i="11"/>
  <c r="M113" i="11"/>
  <c r="L110" i="11"/>
  <c r="L109" i="11"/>
  <c r="K111" i="11"/>
  <c r="M111" i="11"/>
  <c r="K109" i="11"/>
  <c r="K112" i="11"/>
  <c r="M112" i="11"/>
  <c r="K117" i="11"/>
  <c r="L115" i="11"/>
  <c r="K118" i="11"/>
  <c r="M118" i="11"/>
  <c r="L120" i="11"/>
  <c r="M120" i="11"/>
  <c r="L117" i="11"/>
  <c r="L119" i="11"/>
  <c r="M119" i="11"/>
  <c r="K116" i="11"/>
  <c r="M116" i="11"/>
  <c r="K114" i="11"/>
  <c r="M114" i="11"/>
  <c r="K115" i="11"/>
  <c r="M115" i="11"/>
  <c r="L124" i="11"/>
  <c r="L125" i="11"/>
  <c r="M125" i="11"/>
  <c r="K124" i="11"/>
  <c r="M124" i="11"/>
  <c r="L122" i="11"/>
  <c r="M122" i="11"/>
  <c r="K131" i="11"/>
  <c r="L131" i="11"/>
  <c r="L138" i="11"/>
  <c r="K137" i="11"/>
  <c r="M137" i="11"/>
  <c r="K138" i="11"/>
  <c r="L145" i="11"/>
  <c r="K145" i="11"/>
  <c r="K152" i="11"/>
  <c r="L152" i="11"/>
  <c r="K159" i="11"/>
  <c r="M159" i="11"/>
  <c r="K157" i="11"/>
  <c r="M157" i="11"/>
  <c r="L157" i="11"/>
  <c r="L159" i="11"/>
  <c r="L166" i="11"/>
  <c r="K166" i="11"/>
  <c r="K173" i="11"/>
  <c r="M173" i="11"/>
  <c r="L173" i="11"/>
  <c r="K178" i="11"/>
  <c r="M178" i="11"/>
  <c r="K180" i="11"/>
  <c r="L180" i="11"/>
  <c r="L187" i="11"/>
  <c r="K187" i="11"/>
  <c r="L194" i="11"/>
  <c r="K194" i="11"/>
  <c r="L201" i="11"/>
  <c r="K201" i="11"/>
  <c r="M201" i="11"/>
  <c r="K206" i="11"/>
  <c r="L206" i="11"/>
  <c r="K208" i="11"/>
  <c r="L208" i="11"/>
  <c r="K215" i="11"/>
  <c r="L215" i="11"/>
  <c r="L222" i="11"/>
  <c r="K222" i="11"/>
  <c r="M222" i="11"/>
  <c r="K229" i="11"/>
  <c r="L229" i="11"/>
  <c r="K236" i="11"/>
  <c r="L236" i="11"/>
  <c r="L241" i="11"/>
  <c r="K241" i="11"/>
  <c r="K243" i="11"/>
  <c r="L243" i="11"/>
  <c r="K250" i="11"/>
  <c r="L250" i="11"/>
  <c r="L257" i="11"/>
  <c r="K257" i="11"/>
  <c r="L264" i="11"/>
  <c r="K262" i="11"/>
  <c r="L262" i="11"/>
  <c r="K264" i="11"/>
  <c r="L269" i="11"/>
  <c r="L271" i="11"/>
  <c r="K271" i="11"/>
  <c r="K269" i="11"/>
  <c r="M269" i="11"/>
  <c r="K276" i="11"/>
  <c r="K278" i="11"/>
  <c r="M278" i="11"/>
  <c r="L278" i="11"/>
  <c r="L276" i="11"/>
  <c r="L285" i="11"/>
  <c r="K285" i="11"/>
  <c r="K283" i="11"/>
  <c r="M283" i="11"/>
  <c r="K292" i="11"/>
  <c r="M292" i="11"/>
  <c r="L292" i="11"/>
  <c r="L299" i="11"/>
  <c r="K297" i="11"/>
  <c r="L297" i="11"/>
  <c r="K299" i="11"/>
  <c r="K306" i="11"/>
  <c r="L306" i="11"/>
  <c r="L313" i="11"/>
  <c r="L311" i="11"/>
  <c r="K313" i="11"/>
  <c r="K311" i="11"/>
  <c r="K320" i="11"/>
  <c r="L320" i="11"/>
  <c r="K327" i="11"/>
  <c r="M327" i="11"/>
  <c r="L325" i="11"/>
  <c r="M325" i="11"/>
  <c r="L334" i="11"/>
  <c r="L332" i="11"/>
  <c r="M332" i="11"/>
  <c r="K334" i="11"/>
  <c r="K339" i="11"/>
  <c r="L339" i="11"/>
  <c r="L341" i="11"/>
  <c r="K341" i="11"/>
  <c r="L348" i="11"/>
  <c r="K348" i="11"/>
  <c r="M348" i="11"/>
  <c r="L355" i="11"/>
  <c r="K355" i="11"/>
  <c r="K360" i="11"/>
  <c r="K362" i="11"/>
  <c r="M362" i="11"/>
  <c r="L362" i="11"/>
  <c r="L360" i="11"/>
  <c r="L369" i="11"/>
  <c r="K369" i="11"/>
  <c r="M369" i="11"/>
  <c r="L376" i="11"/>
  <c r="K376" i="11"/>
  <c r="K383" i="11"/>
  <c r="L383" i="11"/>
  <c r="K390" i="11"/>
  <c r="L390" i="11"/>
  <c r="K388" i="11"/>
  <c r="M388" i="11"/>
  <c r="K397" i="11"/>
  <c r="L397" i="11"/>
  <c r="L402" i="11"/>
  <c r="L404" i="11"/>
  <c r="K402" i="11"/>
  <c r="K404" i="11"/>
  <c r="M404" i="11"/>
  <c r="L411" i="11"/>
  <c r="K411" i="11"/>
  <c r="K418" i="11"/>
  <c r="L418" i="11"/>
  <c r="K425" i="11"/>
  <c r="L425" i="11"/>
  <c r="L432" i="11"/>
  <c r="K432" i="11"/>
  <c r="L439" i="11"/>
  <c r="K439" i="11"/>
  <c r="K446" i="11"/>
  <c r="L446" i="11"/>
  <c r="K444" i="11"/>
  <c r="M444" i="11"/>
  <c r="L444" i="11"/>
  <c r="K453" i="11"/>
  <c r="M453" i="11"/>
  <c r="L453" i="11"/>
  <c r="K460" i="11"/>
  <c r="L458" i="11"/>
  <c r="M458" i="11"/>
  <c r="L460" i="11"/>
  <c r="K467" i="11"/>
  <c r="L467" i="11"/>
  <c r="K465" i="11"/>
  <c r="L465" i="11"/>
  <c r="L474" i="11"/>
  <c r="K474" i="11"/>
  <c r="K481" i="11"/>
  <c r="L481" i="11"/>
  <c r="L488" i="11"/>
  <c r="K488" i="11"/>
  <c r="L493" i="11"/>
  <c r="K493" i="11"/>
  <c r="M493" i="11"/>
  <c r="L495" i="11"/>
  <c r="K495" i="11"/>
  <c r="K502" i="11"/>
  <c r="L502" i="11"/>
  <c r="L509" i="11"/>
  <c r="K509" i="11"/>
  <c r="K507" i="11"/>
  <c r="M507" i="11"/>
  <c r="L516" i="11"/>
  <c r="K516" i="11"/>
  <c r="K523" i="11"/>
  <c r="M523" i="11"/>
  <c r="L523" i="11"/>
  <c r="L530" i="11"/>
  <c r="K530" i="11"/>
  <c r="L537" i="11"/>
  <c r="K535" i="11"/>
  <c r="K537" i="11"/>
  <c r="L535" i="11"/>
  <c r="L544" i="11"/>
  <c r="K544" i="11"/>
  <c r="L551" i="11"/>
  <c r="K551" i="11"/>
  <c r="L558" i="11"/>
  <c r="K558" i="11"/>
  <c r="K556" i="11"/>
  <c r="M556" i="11"/>
  <c r="L565" i="11"/>
  <c r="K565" i="11"/>
  <c r="M565" i="11"/>
  <c r="L572" i="11"/>
  <c r="K572" i="11"/>
  <c r="M572" i="11"/>
  <c r="K579" i="11"/>
  <c r="L579" i="11"/>
  <c r="K586" i="11"/>
  <c r="L586" i="11"/>
  <c r="L593" i="11"/>
  <c r="K593" i="11"/>
  <c r="M593" i="11"/>
  <c r="K591" i="11"/>
  <c r="M591" i="11"/>
  <c r="K600" i="11"/>
  <c r="M600" i="11"/>
  <c r="L600" i="11"/>
  <c r="K605" i="11"/>
  <c r="L605" i="11"/>
  <c r="L607" i="11"/>
  <c r="K607" i="11"/>
  <c r="L614" i="11"/>
  <c r="K614" i="11"/>
  <c r="L621" i="11"/>
  <c r="K621" i="11"/>
  <c r="K628" i="11"/>
  <c r="M628" i="11"/>
  <c r="L626" i="11"/>
  <c r="M626" i="11"/>
  <c r="L635" i="11"/>
  <c r="K635" i="11"/>
  <c r="K633" i="11"/>
  <c r="L633" i="11"/>
  <c r="L640" i="11"/>
  <c r="L642" i="11"/>
  <c r="K640" i="11"/>
  <c r="K642" i="11"/>
  <c r="K647" i="11"/>
  <c r="M647" i="11"/>
  <c r="L647" i="11"/>
  <c r="L649" i="11"/>
  <c r="K649" i="11"/>
  <c r="K656" i="11"/>
  <c r="M656" i="11"/>
  <c r="K654" i="11"/>
  <c r="L654" i="11"/>
  <c r="L656" i="11"/>
  <c r="L663" i="11"/>
  <c r="K663" i="11"/>
  <c r="L670" i="11"/>
  <c r="K670" i="11"/>
  <c r="L677" i="11"/>
  <c r="K677" i="11"/>
  <c r="L684" i="11"/>
  <c r="K684" i="11"/>
  <c r="K691" i="11"/>
  <c r="L691" i="11"/>
  <c r="K698" i="11"/>
  <c r="L698" i="11"/>
  <c r="L705" i="11"/>
  <c r="K705" i="11"/>
  <c r="L703" i="11"/>
  <c r="M703" i="11"/>
  <c r="L712" i="11"/>
  <c r="K719" i="11"/>
  <c r="L717" i="11"/>
  <c r="M717" i="11"/>
  <c r="L719" i="11"/>
  <c r="L726" i="11"/>
  <c r="K726" i="11"/>
  <c r="L731" i="11"/>
  <c r="L733" i="11"/>
  <c r="K731" i="11"/>
  <c r="K733" i="11"/>
  <c r="M733" i="11"/>
  <c r="K740" i="11"/>
  <c r="L740" i="11"/>
  <c r="L747" i="11"/>
  <c r="K747" i="11"/>
  <c r="M747" i="11"/>
  <c r="K752" i="11"/>
  <c r="M752" i="11"/>
  <c r="K754" i="11"/>
  <c r="L752" i="11"/>
  <c r="L754" i="11"/>
  <c r="L761" i="11"/>
  <c r="L759" i="11"/>
  <c r="K761" i="11"/>
  <c r="K759" i="11"/>
  <c r="L768" i="11"/>
  <c r="K768" i="11"/>
  <c r="K775" i="11"/>
  <c r="L775" i="11"/>
  <c r="K780" i="11"/>
  <c r="L780" i="11"/>
  <c r="L782" i="11"/>
  <c r="K782" i="11"/>
  <c r="L789" i="11"/>
  <c r="K789" i="11"/>
  <c r="L796" i="11"/>
  <c r="K796" i="11"/>
  <c r="L803" i="11"/>
  <c r="K801" i="11"/>
  <c r="M801" i="11"/>
  <c r="K803" i="11"/>
  <c r="K810" i="11"/>
  <c r="L810" i="11"/>
  <c r="K817" i="11"/>
  <c r="M817" i="11"/>
  <c r="L817" i="11"/>
  <c r="K815" i="11"/>
  <c r="M815" i="11"/>
  <c r="L815" i="11"/>
  <c r="L824" i="11"/>
  <c r="K824" i="11"/>
  <c r="L831" i="11"/>
  <c r="K831" i="11"/>
  <c r="L838" i="11"/>
  <c r="K838" i="11"/>
  <c r="K845" i="11"/>
  <c r="L845" i="11"/>
  <c r="L852" i="11"/>
  <c r="K852" i="11"/>
  <c r="K850" i="11"/>
  <c r="M850" i="11"/>
  <c r="L850" i="11"/>
  <c r="K859" i="11"/>
  <c r="M859" i="11"/>
  <c r="L859" i="11"/>
  <c r="K866" i="11"/>
  <c r="M866" i="11"/>
  <c r="L866" i="11"/>
  <c r="L873" i="11"/>
  <c r="K873" i="11"/>
  <c r="K880" i="11"/>
  <c r="M880" i="11"/>
  <c r="L880" i="11"/>
  <c r="M873" i="11"/>
  <c r="M761" i="11"/>
  <c r="M670" i="11"/>
  <c r="M614" i="11"/>
  <c r="M502" i="11"/>
  <c r="M481" i="11"/>
  <c r="M138" i="11"/>
  <c r="M82" i="11"/>
  <c r="M59" i="11"/>
  <c r="M40" i="11"/>
  <c r="M495" i="11"/>
  <c r="M474" i="11"/>
  <c r="M460" i="11"/>
  <c r="M285" i="11"/>
  <c r="M663" i="11"/>
  <c r="M607" i="11"/>
  <c r="M516" i="11"/>
  <c r="M432" i="11"/>
  <c r="M775" i="11"/>
  <c r="M731" i="11"/>
  <c r="M684" i="11"/>
  <c r="M535" i="11"/>
  <c r="M339" i="11"/>
  <c r="M131" i="11"/>
  <c r="M95" i="11"/>
  <c r="M66" i="11"/>
  <c r="M768" i="11"/>
  <c r="M754" i="11"/>
  <c r="M640" i="11"/>
  <c r="M488" i="11"/>
  <c r="M376" i="11"/>
  <c r="M355" i="11"/>
  <c r="M334" i="11"/>
  <c r="M313" i="11"/>
  <c r="M241" i="11"/>
  <c r="M194" i="11"/>
  <c r="M24" i="11"/>
  <c r="M705" i="11"/>
  <c r="M551" i="11"/>
  <c r="M530" i="11"/>
  <c r="M276" i="11"/>
  <c r="M166" i="11"/>
  <c r="M145" i="11"/>
  <c r="M44" i="11"/>
  <c r="C890" i="11"/>
  <c r="D889" i="11"/>
  <c r="M712" i="11"/>
  <c r="M19" i="11"/>
  <c r="M13" i="11"/>
  <c r="M740" i="11"/>
  <c r="M243" i="11"/>
  <c r="M206" i="11"/>
  <c r="M180" i="11"/>
  <c r="M810" i="11"/>
  <c r="M796" i="11"/>
  <c r="M782" i="11"/>
  <c r="M726" i="11"/>
  <c r="M719" i="11"/>
  <c r="M691" i="11"/>
  <c r="M579" i="11"/>
  <c r="M446" i="11"/>
  <c r="M418" i="11"/>
  <c r="M402" i="11"/>
  <c r="M397" i="11"/>
  <c r="M383" i="11"/>
  <c r="M341" i="11"/>
  <c r="M320" i="11"/>
  <c r="M297" i="11"/>
  <c r="M264" i="11"/>
  <c r="M215" i="11"/>
  <c r="M83" i="11"/>
  <c r="M71" i="11"/>
  <c r="M68" i="11"/>
  <c r="M34" i="11"/>
  <c r="M17" i="11"/>
  <c r="M845" i="11"/>
  <c r="M537" i="11"/>
  <c r="M465" i="11"/>
  <c r="M110" i="11"/>
  <c r="M94" i="11"/>
  <c r="M80" i="11"/>
  <c r="M803" i="11"/>
  <c r="M698" i="11"/>
  <c r="M633" i="11"/>
  <c r="M605" i="11"/>
  <c r="M306" i="11"/>
  <c r="M262" i="11"/>
  <c r="M187" i="11"/>
  <c r="M152" i="11"/>
  <c r="M117" i="11"/>
  <c r="M831" i="11"/>
  <c r="M780" i="11"/>
  <c r="M677" i="11"/>
  <c r="M654" i="11"/>
  <c r="M621" i="11"/>
  <c r="M467" i="11"/>
  <c r="M411" i="11"/>
  <c r="M390" i="11"/>
  <c r="M271" i="11"/>
  <c r="M257" i="11"/>
  <c r="M250" i="11"/>
  <c r="M229" i="11"/>
  <c r="M104" i="11"/>
  <c r="M93" i="11"/>
  <c r="M86" i="11"/>
  <c r="M61" i="11"/>
  <c r="M47" i="11"/>
  <c r="M789" i="11"/>
  <c r="M439" i="11"/>
  <c r="M109" i="11"/>
  <c r="M102" i="11"/>
  <c r="M65" i="11"/>
  <c r="M38" i="11"/>
  <c r="M852" i="11"/>
  <c r="M838" i="11"/>
  <c r="M824" i="11"/>
  <c r="M759" i="11"/>
  <c r="M649" i="11"/>
  <c r="M642" i="11"/>
  <c r="M635" i="11"/>
  <c r="M586" i="11"/>
  <c r="M558" i="11"/>
  <c r="M544" i="11"/>
  <c r="M509" i="11"/>
  <c r="M425" i="11"/>
  <c r="M360" i="11"/>
  <c r="M311" i="11"/>
  <c r="M299" i="11"/>
  <c r="M236" i="11"/>
  <c r="M208" i="11"/>
  <c r="M89" i="11"/>
  <c r="M31" i="11"/>
  <c r="K888" i="11"/>
  <c r="K887" i="11"/>
  <c r="M887" i="11"/>
  <c r="L885" i="11"/>
  <c r="D890" i="11"/>
  <c r="L887" i="11"/>
  <c r="K886" i="11"/>
  <c r="L890" i="11"/>
  <c r="K890" i="11"/>
  <c r="M890" i="11"/>
  <c r="L886" i="11"/>
  <c r="L888" i="11"/>
  <c r="L884" i="11"/>
  <c r="L889" i="11"/>
  <c r="K884" i="11"/>
  <c r="M884" i="11"/>
  <c r="K885" i="11"/>
  <c r="M885" i="11"/>
  <c r="K889" i="11"/>
  <c r="M889" i="11"/>
  <c r="M886" i="11"/>
  <c r="M888" i="11"/>
  <c r="V6" i="6"/>
  <c r="U6" i="6"/>
  <c r="U10" i="6"/>
  <c r="T5" i="6"/>
  <c r="T6" i="6"/>
  <c r="T7" i="6"/>
  <c r="U7" i="6"/>
  <c r="T8" i="6"/>
  <c r="U8" i="6"/>
  <c r="T9" i="6"/>
  <c r="T10" i="6"/>
  <c r="T4" i="6"/>
  <c r="U4" i="6"/>
  <c r="U9" i="6"/>
  <c r="U5" i="6"/>
  <c r="I1945" i="6"/>
  <c r="I1944" i="6"/>
  <c r="I1943" i="6"/>
  <c r="I1942" i="6"/>
  <c r="I1941" i="6"/>
  <c r="I1940" i="6"/>
  <c r="I1939" i="6"/>
  <c r="I1938" i="6"/>
  <c r="I1937" i="6"/>
  <c r="I1936" i="6"/>
  <c r="I1935" i="6"/>
  <c r="I1934" i="6"/>
  <c r="I1933" i="6"/>
  <c r="I1932" i="6"/>
  <c r="I1931" i="6"/>
  <c r="I1930" i="6"/>
  <c r="I1929" i="6"/>
  <c r="I1928" i="6"/>
  <c r="I1927" i="6"/>
  <c r="I1926" i="6"/>
  <c r="I1925" i="6"/>
  <c r="I1924" i="6"/>
  <c r="I1923" i="6"/>
  <c r="I1922" i="6"/>
  <c r="I1921" i="6"/>
  <c r="I1920" i="6"/>
  <c r="I1919" i="6"/>
  <c r="I1918" i="6"/>
  <c r="I1917" i="6"/>
  <c r="I1916" i="6"/>
  <c r="I1915" i="6"/>
  <c r="I1914" i="6"/>
  <c r="I1913" i="6"/>
  <c r="I1912" i="6"/>
  <c r="I1911" i="6"/>
  <c r="I1910" i="6"/>
  <c r="I1909" i="6"/>
  <c r="I1908" i="6"/>
  <c r="I1907" i="6"/>
  <c r="I1906" i="6"/>
  <c r="I1905" i="6"/>
  <c r="I1904" i="6"/>
  <c r="I1903" i="6"/>
  <c r="I1902" i="6"/>
  <c r="I1901" i="6"/>
  <c r="I1900" i="6"/>
  <c r="I1899" i="6"/>
  <c r="I1898" i="6"/>
  <c r="I1897" i="6"/>
  <c r="I1896" i="6"/>
  <c r="I1895" i="6"/>
  <c r="I1894" i="6"/>
  <c r="I1893" i="6"/>
  <c r="I1892" i="6"/>
  <c r="I1891" i="6"/>
  <c r="I1890" i="6"/>
  <c r="I1889" i="6"/>
  <c r="I1888" i="6"/>
  <c r="I1887" i="6"/>
  <c r="I1886" i="6"/>
  <c r="I1885" i="6"/>
  <c r="I1884" i="6"/>
  <c r="I1883" i="6"/>
  <c r="I1882" i="6"/>
  <c r="I1881" i="6"/>
  <c r="I1880" i="6"/>
  <c r="I1879" i="6"/>
  <c r="I1878" i="6"/>
  <c r="I1877" i="6"/>
  <c r="I1876" i="6"/>
  <c r="I1875" i="6"/>
  <c r="I1874" i="6"/>
  <c r="I1873" i="6"/>
  <c r="I1872" i="6"/>
  <c r="I1871" i="6"/>
  <c r="I1870" i="6"/>
  <c r="I1869" i="6"/>
  <c r="I1868" i="6"/>
  <c r="I1867" i="6"/>
  <c r="I1866" i="6"/>
  <c r="I1865" i="6"/>
  <c r="I1864" i="6"/>
  <c r="I1863" i="6"/>
  <c r="I1862" i="6"/>
  <c r="I1861" i="6"/>
  <c r="I1860" i="6"/>
  <c r="I1859" i="6"/>
  <c r="I1858" i="6"/>
  <c r="I1857" i="6"/>
  <c r="I1856" i="6"/>
  <c r="I1855" i="6"/>
  <c r="I1854" i="6"/>
  <c r="I1853" i="6"/>
  <c r="I1852" i="6"/>
  <c r="I1851" i="6"/>
  <c r="I1850" i="6"/>
  <c r="I1849" i="6"/>
  <c r="I1848" i="6"/>
  <c r="I1847" i="6"/>
  <c r="I1846" i="6"/>
  <c r="I1845" i="6"/>
  <c r="I1844" i="6"/>
  <c r="I1843" i="6"/>
  <c r="I1842" i="6"/>
  <c r="I1841" i="6"/>
  <c r="I1840" i="6"/>
  <c r="I1839" i="6"/>
  <c r="I1838" i="6"/>
  <c r="I1837" i="6"/>
  <c r="I1836" i="6"/>
  <c r="I1835" i="6"/>
  <c r="I1834" i="6"/>
  <c r="I1833" i="6"/>
  <c r="I1832" i="6"/>
  <c r="I1831" i="6"/>
  <c r="I1830" i="6"/>
  <c r="I1829" i="6"/>
  <c r="I1828" i="6"/>
  <c r="I1827" i="6"/>
  <c r="I1826" i="6"/>
  <c r="I1825" i="6"/>
  <c r="I1824" i="6"/>
  <c r="I1823" i="6"/>
  <c r="I1822" i="6"/>
  <c r="I1821" i="6"/>
  <c r="I1820" i="6"/>
  <c r="I1819" i="6"/>
  <c r="I1818" i="6"/>
  <c r="I1817" i="6"/>
  <c r="I1816" i="6"/>
  <c r="I1815" i="6"/>
  <c r="I1814" i="6"/>
  <c r="I1813" i="6"/>
  <c r="I1812" i="6"/>
  <c r="I1811" i="6"/>
  <c r="I1810" i="6"/>
  <c r="I1809" i="6"/>
  <c r="I1808" i="6"/>
  <c r="I1807" i="6"/>
  <c r="I1806" i="6"/>
  <c r="I1805" i="6"/>
  <c r="I1804" i="6"/>
  <c r="I1803" i="6"/>
  <c r="I1802" i="6"/>
  <c r="I1801" i="6"/>
  <c r="I1800" i="6"/>
  <c r="I1799" i="6"/>
  <c r="I1798" i="6"/>
  <c r="I1797" i="6"/>
  <c r="I1796" i="6"/>
  <c r="I1795" i="6"/>
  <c r="I1794" i="6"/>
  <c r="I1793" i="6"/>
  <c r="I1792" i="6"/>
  <c r="I1791" i="6"/>
  <c r="I1790" i="6"/>
  <c r="I1789" i="6"/>
  <c r="I1788" i="6"/>
  <c r="I1777" i="6"/>
  <c r="I1776" i="6"/>
  <c r="I1775" i="6"/>
  <c r="I1774" i="6"/>
  <c r="I1773" i="6"/>
  <c r="I1772" i="6"/>
  <c r="I1771" i="6"/>
  <c r="I1770" i="6"/>
  <c r="I1769" i="6"/>
  <c r="I1768" i="6"/>
  <c r="I1767" i="6"/>
  <c r="I1766" i="6"/>
  <c r="I1765" i="6"/>
  <c r="I1764" i="6"/>
  <c r="I1763" i="6"/>
  <c r="I1762" i="6"/>
  <c r="I1761" i="6"/>
  <c r="I1760" i="6"/>
  <c r="I1759" i="6"/>
  <c r="I1745" i="6"/>
  <c r="I1744" i="6"/>
  <c r="I1743" i="6"/>
  <c r="I1742" i="6"/>
  <c r="I1741" i="6"/>
  <c r="I1740" i="6"/>
  <c r="I1739" i="6"/>
  <c r="I1738" i="6"/>
  <c r="I1737" i="6"/>
  <c r="I1736" i="6"/>
  <c r="I1735" i="6"/>
  <c r="I1734" i="6"/>
  <c r="I1733" i="6"/>
  <c r="I1732" i="6"/>
  <c r="I1731" i="6"/>
  <c r="I1730" i="6"/>
  <c r="I1729" i="6"/>
  <c r="I1728" i="6"/>
  <c r="I1727" i="6"/>
  <c r="I1726" i="6"/>
  <c r="I1725" i="6"/>
  <c r="I1724" i="6"/>
  <c r="I1723" i="6"/>
  <c r="I1722" i="6"/>
  <c r="I1721" i="6"/>
  <c r="I1720" i="6"/>
  <c r="I1719" i="6"/>
  <c r="I1718" i="6"/>
  <c r="I1717" i="6"/>
  <c r="I1716" i="6"/>
  <c r="I1715" i="6"/>
  <c r="I1714" i="6"/>
  <c r="I1713" i="6"/>
  <c r="I1712" i="6"/>
  <c r="I1711" i="6"/>
  <c r="I1710" i="6"/>
  <c r="I1709" i="6"/>
  <c r="I1708" i="6"/>
  <c r="I1707" i="6"/>
  <c r="I1706" i="6"/>
  <c r="I1705" i="6"/>
  <c r="I1704" i="6"/>
  <c r="I1703" i="6"/>
  <c r="I1702" i="6"/>
  <c r="I1701" i="6"/>
  <c r="I1700" i="6"/>
  <c r="I1699" i="6"/>
  <c r="I1698" i="6"/>
  <c r="I1697" i="6"/>
  <c r="I1696" i="6"/>
  <c r="I1695" i="6"/>
  <c r="I1694" i="6"/>
  <c r="I1693" i="6"/>
  <c r="I1692" i="6"/>
  <c r="I1691" i="6"/>
  <c r="I1690" i="6"/>
  <c r="I1689" i="6"/>
  <c r="I1688" i="6"/>
  <c r="I1687" i="6"/>
  <c r="I1686" i="6"/>
  <c r="I1685" i="6"/>
  <c r="I1684" i="6"/>
  <c r="I1683" i="6"/>
  <c r="I1682" i="6"/>
  <c r="I1681" i="6"/>
  <c r="I1680" i="6"/>
  <c r="I1679" i="6"/>
  <c r="I1678" i="6"/>
  <c r="I1677" i="6"/>
  <c r="I1676" i="6"/>
  <c r="I1675" i="6"/>
  <c r="I1674" i="6"/>
  <c r="I1673" i="6"/>
  <c r="I1672" i="6"/>
  <c r="I1671" i="6"/>
  <c r="I1670" i="6"/>
  <c r="I1669" i="6"/>
  <c r="I1668" i="6"/>
  <c r="I1667" i="6"/>
  <c r="I1666" i="6"/>
  <c r="I1665" i="6"/>
  <c r="I1664" i="6"/>
  <c r="I1663" i="6"/>
  <c r="I1662" i="6"/>
  <c r="I1661" i="6"/>
  <c r="I1660" i="6"/>
  <c r="I1659" i="6"/>
  <c r="I1658" i="6"/>
  <c r="I1657" i="6"/>
  <c r="I1656" i="6"/>
  <c r="I1655" i="6"/>
  <c r="I1654" i="6"/>
  <c r="I1653" i="6"/>
  <c r="I1652" i="6"/>
  <c r="I1651" i="6"/>
  <c r="I1650" i="6"/>
  <c r="I1649" i="6"/>
  <c r="I1648" i="6"/>
  <c r="I1647" i="6"/>
  <c r="I1646" i="6"/>
  <c r="I1645" i="6"/>
  <c r="I1644" i="6"/>
  <c r="I1643" i="6"/>
  <c r="I1642" i="6"/>
  <c r="I1641" i="6"/>
  <c r="I1640" i="6"/>
  <c r="I1639" i="6"/>
  <c r="I1638" i="6"/>
  <c r="I1637" i="6"/>
  <c r="I1636" i="6"/>
  <c r="I1635" i="6"/>
  <c r="I1634" i="6"/>
  <c r="I1633" i="6"/>
  <c r="I1632" i="6"/>
  <c r="I1631" i="6"/>
  <c r="I1630" i="6"/>
  <c r="I1629" i="6"/>
  <c r="I1628" i="6"/>
  <c r="I1627" i="6"/>
  <c r="I1626" i="6"/>
  <c r="I1625" i="6"/>
  <c r="I1624" i="6"/>
  <c r="I1623" i="6"/>
  <c r="I1622" i="6"/>
  <c r="I1621" i="6"/>
  <c r="I1620" i="6"/>
  <c r="I1619" i="6"/>
  <c r="I1618" i="6"/>
  <c r="I1617" i="6"/>
  <c r="I1616" i="6"/>
  <c r="I1615" i="6"/>
  <c r="I1614" i="6"/>
  <c r="I1613" i="6"/>
  <c r="I1612" i="6"/>
  <c r="I1611" i="6"/>
  <c r="I1610" i="6"/>
  <c r="I1609" i="6"/>
  <c r="I1608" i="6"/>
  <c r="I1607" i="6"/>
  <c r="I1606" i="6"/>
  <c r="I1605" i="6"/>
  <c r="I1604" i="6"/>
  <c r="I1603" i="6"/>
  <c r="I1602" i="6"/>
  <c r="I1601" i="6"/>
  <c r="I1600" i="6"/>
  <c r="I1599" i="6"/>
  <c r="I1598" i="6"/>
  <c r="I1597" i="6"/>
  <c r="I1596" i="6"/>
  <c r="I1595" i="6"/>
  <c r="I1594" i="6"/>
  <c r="I1593" i="6"/>
  <c r="I1592" i="6"/>
  <c r="I1591" i="6"/>
  <c r="I1590" i="6"/>
  <c r="I1589" i="6"/>
  <c r="I1588" i="6"/>
  <c r="I1587" i="6"/>
  <c r="I1586" i="6"/>
  <c r="I1585" i="6"/>
  <c r="I1584" i="6"/>
  <c r="I1583" i="6"/>
  <c r="I1582" i="6"/>
  <c r="I1581" i="6"/>
  <c r="I1580" i="6"/>
  <c r="I1579" i="6"/>
  <c r="I1578" i="6"/>
  <c r="I1577" i="6"/>
  <c r="I1576" i="6"/>
  <c r="I1575" i="6"/>
  <c r="I1574" i="6"/>
  <c r="I1573" i="6"/>
  <c r="I1572" i="6"/>
  <c r="I1571" i="6"/>
  <c r="I1570" i="6"/>
  <c r="I1569" i="6"/>
  <c r="I1568" i="6"/>
  <c r="I1567" i="6"/>
  <c r="I1566" i="6"/>
  <c r="I1565" i="6"/>
  <c r="I1564" i="6"/>
  <c r="I1563" i="6"/>
  <c r="I1562" i="6"/>
  <c r="I1561" i="6"/>
  <c r="I1560" i="6"/>
  <c r="I1559" i="6"/>
  <c r="I1558" i="6"/>
  <c r="I1557" i="6"/>
  <c r="I1556" i="6"/>
  <c r="I1555" i="6"/>
  <c r="I1554" i="6"/>
  <c r="I1553" i="6"/>
  <c r="I1552" i="6"/>
  <c r="I1551" i="6"/>
  <c r="I1550" i="6"/>
  <c r="I1549" i="6"/>
  <c r="I1548" i="6"/>
  <c r="I1547" i="6"/>
  <c r="I1546" i="6"/>
  <c r="I1545" i="6"/>
  <c r="I1544" i="6"/>
  <c r="I1543" i="6"/>
  <c r="I1542" i="6"/>
  <c r="I1541" i="6"/>
  <c r="I1540" i="6"/>
  <c r="I1539" i="6"/>
  <c r="I1538" i="6"/>
  <c r="I1537" i="6"/>
  <c r="I1536" i="6"/>
  <c r="I1535" i="6"/>
  <c r="I1534" i="6"/>
  <c r="I1533" i="6"/>
  <c r="I1532" i="6"/>
  <c r="I1531" i="6"/>
  <c r="I1530" i="6"/>
  <c r="I1529" i="6"/>
  <c r="I1528" i="6"/>
  <c r="I1527" i="6"/>
  <c r="I1526" i="6"/>
  <c r="I1525" i="6"/>
  <c r="I1524" i="6"/>
  <c r="I1523" i="6"/>
  <c r="I1522" i="6"/>
  <c r="I1521" i="6"/>
  <c r="I1520" i="6"/>
  <c r="I1519" i="6"/>
  <c r="I1518" i="6"/>
  <c r="I1517" i="6"/>
  <c r="I1516" i="6"/>
  <c r="I1515" i="6"/>
  <c r="I1514" i="6"/>
  <c r="I1513" i="6"/>
  <c r="I1512" i="6"/>
  <c r="I1511" i="6"/>
  <c r="I1510" i="6"/>
  <c r="I1509" i="6"/>
  <c r="I1508" i="6"/>
  <c r="I1507" i="6"/>
  <c r="I1506" i="6"/>
  <c r="I1505" i="6"/>
  <c r="I1504" i="6"/>
  <c r="I1503" i="6"/>
  <c r="I1502" i="6"/>
  <c r="I1501" i="6"/>
  <c r="I1500" i="6"/>
  <c r="I1499" i="6"/>
  <c r="I1498" i="6"/>
  <c r="I1497" i="6"/>
  <c r="I1496" i="6"/>
  <c r="I1495" i="6"/>
  <c r="I1494" i="6"/>
  <c r="I1493" i="6"/>
  <c r="I1492" i="6"/>
  <c r="I1491" i="6"/>
  <c r="I1490" i="6"/>
  <c r="I1489" i="6"/>
  <c r="I1488" i="6"/>
  <c r="I1487" i="6"/>
  <c r="I1486" i="6"/>
  <c r="I1485" i="6"/>
  <c r="I1484" i="6"/>
  <c r="I1483" i="6"/>
  <c r="I1482" i="6"/>
  <c r="I1481" i="6"/>
  <c r="I1480" i="6"/>
  <c r="I1479" i="6"/>
  <c r="I1478" i="6"/>
  <c r="I1472" i="6"/>
  <c r="I1471" i="6"/>
  <c r="I1470" i="6"/>
  <c r="I1469" i="6"/>
  <c r="I1468" i="6"/>
  <c r="I1467" i="6"/>
  <c r="I1466" i="6"/>
  <c r="I1465" i="6"/>
  <c r="I1464" i="6"/>
  <c r="I1463" i="6"/>
  <c r="I1462" i="6"/>
  <c r="I1461" i="6"/>
  <c r="I1460" i="6"/>
  <c r="I1459" i="6"/>
  <c r="I1458" i="6"/>
  <c r="I1457" i="6"/>
  <c r="I1456" i="6"/>
  <c r="I1455" i="6"/>
  <c r="I1454" i="6"/>
  <c r="I1453" i="6"/>
  <c r="I1452" i="6"/>
  <c r="I1451" i="6"/>
  <c r="I1450" i="6"/>
  <c r="I1449" i="6"/>
  <c r="I1448" i="6"/>
  <c r="I1447" i="6"/>
  <c r="I1444" i="6"/>
  <c r="I1443" i="6"/>
  <c r="I1442" i="6"/>
  <c r="I1441" i="6"/>
  <c r="I1418" i="6"/>
  <c r="I1417" i="6"/>
  <c r="I1416" i="6"/>
  <c r="I1415" i="6"/>
  <c r="I1414" i="6"/>
  <c r="I1413" i="6"/>
  <c r="I1412" i="6"/>
  <c r="I1411" i="6"/>
  <c r="I1410" i="6"/>
  <c r="I1409" i="6"/>
  <c r="I1408" i="6"/>
  <c r="I1407" i="6"/>
  <c r="I1406" i="6"/>
  <c r="I1405" i="6"/>
  <c r="I1404" i="6"/>
  <c r="I1403" i="6"/>
  <c r="I1402" i="6"/>
  <c r="I1401" i="6"/>
  <c r="I1400" i="6"/>
  <c r="I1399" i="6"/>
  <c r="I1398" i="6"/>
  <c r="I1397" i="6"/>
  <c r="I1396" i="6"/>
  <c r="I1395" i="6"/>
  <c r="I1394" i="6"/>
  <c r="I1393" i="6"/>
  <c r="I1392" i="6"/>
  <c r="I1391" i="6"/>
  <c r="I1390" i="6"/>
  <c r="I1389" i="6"/>
  <c r="I1388" i="6"/>
  <c r="I1387" i="6"/>
  <c r="I1386" i="6"/>
  <c r="I1385" i="6"/>
  <c r="I1384" i="6"/>
  <c r="I1383" i="6"/>
  <c r="I1382" i="6"/>
  <c r="I1381" i="6"/>
  <c r="I1380" i="6"/>
  <c r="I1379" i="6"/>
  <c r="I1378" i="6"/>
  <c r="I1377" i="6"/>
  <c r="I1376" i="6"/>
  <c r="I1375" i="6"/>
  <c r="I1374" i="6"/>
  <c r="I1373" i="6"/>
  <c r="I1372" i="6"/>
  <c r="I1371" i="6"/>
  <c r="I1370" i="6"/>
  <c r="I1369" i="6"/>
  <c r="I1368" i="6"/>
  <c r="I1367" i="6"/>
  <c r="I1366" i="6"/>
  <c r="I1365" i="6"/>
  <c r="I1364" i="6"/>
  <c r="I1363" i="6"/>
  <c r="I1362" i="6"/>
  <c r="I1361" i="6"/>
  <c r="I1360" i="6"/>
  <c r="I1359" i="6"/>
  <c r="I1358" i="6"/>
  <c r="I1357" i="6"/>
  <c r="I1356" i="6"/>
  <c r="I1355" i="6"/>
  <c r="I1354" i="6"/>
  <c r="I1353" i="6"/>
  <c r="I1352" i="6"/>
  <c r="I1351" i="6"/>
  <c r="I1350" i="6"/>
  <c r="I1349" i="6"/>
  <c r="I1348" i="6"/>
  <c r="I1347" i="6"/>
  <c r="I1346" i="6"/>
  <c r="I1345" i="6"/>
  <c r="I1344" i="6"/>
  <c r="I1343" i="6"/>
  <c r="I1342" i="6"/>
  <c r="I1341" i="6"/>
  <c r="I1340" i="6"/>
  <c r="I1339" i="6"/>
  <c r="I1338" i="6"/>
  <c r="I1337" i="6"/>
  <c r="I1336" i="6"/>
  <c r="I1335" i="6"/>
  <c r="I1334" i="6"/>
  <c r="I1333" i="6"/>
  <c r="I1332" i="6"/>
  <c r="I1331" i="6"/>
  <c r="I1330" i="6"/>
  <c r="I1329" i="6"/>
  <c r="I1328" i="6"/>
  <c r="I1327" i="6"/>
  <c r="I1326" i="6"/>
  <c r="I1325" i="6"/>
  <c r="I1324" i="6"/>
  <c r="I1323" i="6"/>
  <c r="I1322" i="6"/>
  <c r="I1321" i="6"/>
  <c r="I1320" i="6"/>
  <c r="I1319" i="6"/>
  <c r="I1318" i="6"/>
  <c r="I1317" i="6"/>
  <c r="I1316" i="6"/>
  <c r="I1315" i="6"/>
  <c r="I1314" i="6"/>
  <c r="I1313" i="6"/>
  <c r="I1312" i="6"/>
  <c r="I1311" i="6"/>
  <c r="I1310" i="6"/>
  <c r="I1309" i="6"/>
  <c r="I1308" i="6"/>
  <c r="I1307" i="6"/>
  <c r="I1306" i="6"/>
  <c r="I1305" i="6"/>
  <c r="I1304" i="6"/>
  <c r="I1303" i="6"/>
  <c r="I1302" i="6"/>
  <c r="I1301" i="6"/>
  <c r="I1300" i="6"/>
  <c r="I1299" i="6"/>
  <c r="I1298" i="6"/>
  <c r="I1297" i="6"/>
  <c r="I1296" i="6"/>
  <c r="I1295" i="6"/>
  <c r="I1294" i="6"/>
  <c r="I1293" i="6"/>
  <c r="I1292" i="6"/>
  <c r="I1291" i="6"/>
  <c r="I1290" i="6"/>
  <c r="I1289" i="6"/>
  <c r="I1288" i="6"/>
  <c r="I1287" i="6"/>
  <c r="I1286" i="6"/>
  <c r="I1285" i="6"/>
  <c r="I1225" i="6"/>
  <c r="I1224" i="6"/>
  <c r="I1223" i="6"/>
  <c r="I1222" i="6"/>
  <c r="I1221" i="6"/>
  <c r="I1220" i="6"/>
  <c r="I1219" i="6"/>
  <c r="I1218" i="6"/>
  <c r="I1217" i="6"/>
  <c r="I1216" i="6"/>
  <c r="I1215" i="6"/>
  <c r="I1214" i="6"/>
  <c r="I1213" i="6"/>
  <c r="I1212" i="6"/>
  <c r="I1211" i="6"/>
  <c r="I1210" i="6"/>
  <c r="I1209" i="6"/>
  <c r="I1208" i="6"/>
  <c r="I1207" i="6"/>
  <c r="I1206" i="6"/>
  <c r="I1205" i="6"/>
  <c r="I1204" i="6"/>
  <c r="I1203" i="6"/>
  <c r="I1202" i="6"/>
  <c r="I1201" i="6"/>
  <c r="I1200" i="6"/>
  <c r="I1199" i="6"/>
  <c r="I1198" i="6"/>
  <c r="I1197" i="6"/>
  <c r="I1196" i="6"/>
  <c r="I1195" i="6"/>
  <c r="I1194" i="6"/>
  <c r="I1193" i="6"/>
  <c r="I1192" i="6"/>
  <c r="I1191" i="6"/>
  <c r="I1190" i="6"/>
  <c r="I1189" i="6"/>
  <c r="I1188" i="6"/>
  <c r="I1187" i="6"/>
  <c r="I1186" i="6"/>
  <c r="I1185" i="6"/>
  <c r="I1184" i="6"/>
  <c r="I1183" i="6"/>
  <c r="I1182" i="6"/>
  <c r="I1181" i="6"/>
  <c r="I1180" i="6"/>
  <c r="I1179" i="6"/>
  <c r="I1178" i="6"/>
  <c r="I1177" i="6"/>
  <c r="I1176" i="6"/>
  <c r="I1175" i="6"/>
  <c r="I1174" i="6"/>
  <c r="I1173" i="6"/>
  <c r="I1172" i="6"/>
  <c r="I1171" i="6"/>
  <c r="I1170" i="6"/>
  <c r="I1169" i="6"/>
  <c r="I1168" i="6"/>
  <c r="I1167" i="6"/>
  <c r="I1166" i="6"/>
  <c r="I1165" i="6"/>
  <c r="I1164" i="6"/>
  <c r="I1163" i="6"/>
  <c r="I1162" i="6"/>
  <c r="I1161" i="6"/>
  <c r="I1160" i="6"/>
  <c r="I1159" i="6"/>
  <c r="I1158" i="6"/>
  <c r="I1157" i="6"/>
  <c r="I1156" i="6"/>
  <c r="I1155" i="6"/>
  <c r="I1154" i="6"/>
  <c r="I1153" i="6"/>
  <c r="I1152" i="6"/>
  <c r="I1151" i="6"/>
  <c r="I1150" i="6"/>
  <c r="I1149" i="6"/>
  <c r="I1148" i="6"/>
  <c r="I1147" i="6"/>
  <c r="I1146" i="6"/>
  <c r="I1145" i="6"/>
  <c r="I1144" i="6"/>
  <c r="I1143" i="6"/>
  <c r="I1142" i="6"/>
  <c r="I1141" i="6"/>
  <c r="I1140" i="6"/>
  <c r="I1139" i="6"/>
  <c r="I1138" i="6"/>
  <c r="I1137" i="6"/>
  <c r="I1136" i="6"/>
  <c r="I1135" i="6"/>
  <c r="I1134" i="6"/>
  <c r="I1133" i="6"/>
  <c r="I1132" i="6"/>
  <c r="I1131" i="6"/>
  <c r="I1130" i="6"/>
  <c r="I1129" i="6"/>
  <c r="I1128" i="6"/>
  <c r="I1127" i="6"/>
  <c r="I1126" i="6"/>
  <c r="I1125" i="6"/>
  <c r="I1124" i="6"/>
  <c r="I1123" i="6"/>
  <c r="I1122" i="6"/>
  <c r="I1121" i="6"/>
  <c r="I1120" i="6"/>
  <c r="I1119" i="6"/>
  <c r="I1118" i="6"/>
  <c r="I1117" i="6"/>
  <c r="I1116" i="6"/>
  <c r="I1115" i="6"/>
  <c r="I1114" i="6"/>
  <c r="I1113" i="6"/>
  <c r="I1112" i="6"/>
  <c r="I1111" i="6"/>
  <c r="I1110" i="6"/>
  <c r="I1109" i="6"/>
  <c r="I1108" i="6"/>
  <c r="I1107" i="6"/>
  <c r="I1106" i="6"/>
  <c r="I1105" i="6"/>
  <c r="I1104" i="6"/>
  <c r="I1103" i="6"/>
  <c r="I1102" i="6"/>
  <c r="I1101" i="6"/>
  <c r="I1100" i="6"/>
  <c r="I1099" i="6"/>
  <c r="I1098" i="6"/>
  <c r="I1097" i="6"/>
  <c r="I1096" i="6"/>
  <c r="I1095" i="6"/>
  <c r="I1094" i="6"/>
  <c r="I1093" i="6"/>
  <c r="I1092" i="6"/>
  <c r="I1091" i="6"/>
  <c r="I1090" i="6"/>
  <c r="I1089" i="6"/>
  <c r="I1088" i="6"/>
  <c r="I1087" i="6"/>
  <c r="I1086" i="6"/>
  <c r="I1085" i="6"/>
  <c r="I1084" i="6"/>
  <c r="I1083" i="6"/>
  <c r="I1082" i="6"/>
  <c r="I1081" i="6"/>
  <c r="I1080" i="6"/>
  <c r="I1079" i="6"/>
  <c r="I1078" i="6"/>
  <c r="I1077" i="6"/>
  <c r="I1076" i="6"/>
  <c r="I1075" i="6"/>
  <c r="I1074" i="6"/>
  <c r="I1073" i="6"/>
  <c r="I1072" i="6"/>
  <c r="I1071" i="6"/>
  <c r="I1070" i="6"/>
  <c r="I1069" i="6"/>
  <c r="I1068" i="6"/>
  <c r="I1067" i="6"/>
  <c r="I1066" i="6"/>
  <c r="I1065" i="6"/>
  <c r="I1064" i="6"/>
  <c r="I1063" i="6"/>
  <c r="I1062" i="6"/>
  <c r="I1061" i="6"/>
  <c r="I1060" i="6"/>
  <c r="I1059" i="6"/>
  <c r="I1058" i="6"/>
  <c r="I1057" i="6"/>
  <c r="I1056" i="6"/>
  <c r="I1055" i="6"/>
  <c r="I1054" i="6"/>
  <c r="I1053" i="6"/>
  <c r="I1052" i="6"/>
  <c r="I1051" i="6"/>
  <c r="I1050" i="6"/>
  <c r="I1049" i="6"/>
  <c r="I1048" i="6"/>
  <c r="I1047" i="6"/>
  <c r="I1046" i="6"/>
  <c r="I1045" i="6"/>
  <c r="I1044" i="6"/>
  <c r="I1043" i="6"/>
  <c r="I1042" i="6"/>
  <c r="I1041" i="6"/>
  <c r="I1040" i="6"/>
  <c r="I1039" i="6"/>
  <c r="I1038" i="6"/>
  <c r="I1037" i="6"/>
  <c r="I1036" i="6"/>
  <c r="I1035" i="6"/>
  <c r="I1034" i="6"/>
  <c r="I1033" i="6"/>
  <c r="I1032" i="6"/>
  <c r="I1031" i="6"/>
  <c r="I1030" i="6"/>
  <c r="I1029" i="6"/>
  <c r="I1028" i="6"/>
  <c r="I1027" i="6"/>
  <c r="I1026" i="6"/>
  <c r="I1025" i="6"/>
  <c r="I1024" i="6"/>
  <c r="I1023" i="6"/>
  <c r="I1022" i="6"/>
  <c r="I1021" i="6"/>
  <c r="I1020" i="6"/>
  <c r="I1019" i="6"/>
  <c r="I1018" i="6"/>
  <c r="I1017" i="6"/>
  <c r="I1016" i="6"/>
  <c r="I1015" i="6"/>
  <c r="I1014" i="6"/>
  <c r="I1013" i="6"/>
  <c r="I1012" i="6"/>
  <c r="I1011" i="6"/>
  <c r="I1010" i="6"/>
  <c r="I1009" i="6"/>
  <c r="I1008" i="6"/>
  <c r="I1007" i="6"/>
  <c r="I1006" i="6"/>
  <c r="I1005" i="6"/>
  <c r="I1004" i="6"/>
  <c r="I1003" i="6"/>
  <c r="I1002" i="6"/>
  <c r="I1001" i="6"/>
  <c r="I1000" i="6"/>
  <c r="I999" i="6"/>
  <c r="I998" i="6"/>
  <c r="I997" i="6"/>
  <c r="I996" i="6"/>
  <c r="I995" i="6"/>
  <c r="I994" i="6"/>
  <c r="I993" i="6"/>
  <c r="I992" i="6"/>
  <c r="I991" i="6"/>
  <c r="I990" i="6"/>
  <c r="I989" i="6"/>
  <c r="I988" i="6"/>
  <c r="I987" i="6"/>
  <c r="I986" i="6"/>
  <c r="I985" i="6"/>
  <c r="I984" i="6"/>
  <c r="I983" i="6"/>
  <c r="I982" i="6"/>
  <c r="I981" i="6"/>
  <c r="I980" i="6"/>
  <c r="I979" i="6"/>
  <c r="I978" i="6"/>
  <c r="I977" i="6"/>
  <c r="I976" i="6"/>
  <c r="I975" i="6"/>
  <c r="I974" i="6"/>
  <c r="I973" i="6"/>
  <c r="I972" i="6"/>
  <c r="I971" i="6"/>
  <c r="I970" i="6"/>
  <c r="I969" i="6"/>
  <c r="I968" i="6"/>
  <c r="I967" i="6"/>
  <c r="I966" i="6"/>
  <c r="I965" i="6"/>
  <c r="I964" i="6"/>
  <c r="I963" i="6"/>
  <c r="I962" i="6"/>
  <c r="I961" i="6"/>
  <c r="I960" i="6"/>
  <c r="I959" i="6"/>
  <c r="I958" i="6"/>
  <c r="I957" i="6"/>
  <c r="I956" i="6"/>
  <c r="I955" i="6"/>
  <c r="I954" i="6"/>
  <c r="I953" i="6"/>
  <c r="I952" i="6"/>
  <c r="I939" i="6"/>
  <c r="I938" i="6"/>
  <c r="I937" i="6"/>
  <c r="I936" i="6"/>
  <c r="I935" i="6"/>
  <c r="I934" i="6"/>
  <c r="I933" i="6"/>
  <c r="I932" i="6"/>
  <c r="I931" i="6"/>
  <c r="I930" i="6"/>
  <c r="I929" i="6"/>
  <c r="I928" i="6"/>
  <c r="I927" i="6"/>
  <c r="I926" i="6"/>
  <c r="I925" i="6"/>
  <c r="I924" i="6"/>
  <c r="I923" i="6"/>
  <c r="I922" i="6"/>
  <c r="I921" i="6"/>
  <c r="I920" i="6"/>
  <c r="I919" i="6"/>
  <c r="I918" i="6"/>
  <c r="I917" i="6"/>
  <c r="I916" i="6"/>
  <c r="I915" i="6"/>
  <c r="I914" i="6"/>
  <c r="I913" i="6"/>
  <c r="I912" i="6"/>
  <c r="I911" i="6"/>
  <c r="I910" i="6"/>
  <c r="I909" i="6"/>
  <c r="I908" i="6"/>
  <c r="I907" i="6"/>
  <c r="I906" i="6"/>
  <c r="I905" i="6"/>
  <c r="I904" i="6"/>
  <c r="I903" i="6"/>
  <c r="I902" i="6"/>
  <c r="I901" i="6"/>
  <c r="I900" i="6"/>
  <c r="I899" i="6"/>
  <c r="I898" i="6"/>
  <c r="I897" i="6"/>
  <c r="I896" i="6"/>
  <c r="I895" i="6"/>
  <c r="I894" i="6"/>
  <c r="I893" i="6"/>
  <c r="I892" i="6"/>
  <c r="I891" i="6"/>
  <c r="I890" i="6"/>
  <c r="I889" i="6"/>
  <c r="I888" i="6"/>
  <c r="I887" i="6"/>
  <c r="I886" i="6"/>
  <c r="I885" i="6"/>
  <c r="I884" i="6"/>
  <c r="I883" i="6"/>
  <c r="I882" i="6"/>
  <c r="I881" i="6"/>
  <c r="I880" i="6"/>
  <c r="I879" i="6"/>
  <c r="I878" i="6"/>
  <c r="I877" i="6"/>
  <c r="I876" i="6"/>
  <c r="I875" i="6"/>
  <c r="I874" i="6"/>
  <c r="I873" i="6"/>
  <c r="I872" i="6"/>
  <c r="I871" i="6"/>
  <c r="I870" i="6"/>
  <c r="I869" i="6"/>
  <c r="I868" i="6"/>
  <c r="I867" i="6"/>
  <c r="I866" i="6"/>
  <c r="I865" i="6"/>
  <c r="I864" i="6"/>
  <c r="I863" i="6"/>
  <c r="I862" i="6"/>
  <c r="I861" i="6"/>
  <c r="I860" i="6"/>
  <c r="I859" i="6"/>
  <c r="I858" i="6"/>
  <c r="I857" i="6"/>
  <c r="I856" i="6"/>
  <c r="I855" i="6"/>
  <c r="I854" i="6"/>
  <c r="I853" i="6"/>
  <c r="I852" i="6"/>
  <c r="I851" i="6"/>
  <c r="I850" i="6"/>
  <c r="I849" i="6"/>
  <c r="I848" i="6"/>
  <c r="I847" i="6"/>
  <c r="I846" i="6"/>
  <c r="I845" i="6"/>
  <c r="I844" i="6"/>
  <c r="I843" i="6"/>
  <c r="I842" i="6"/>
  <c r="I841" i="6"/>
  <c r="I840" i="6"/>
  <c r="I839" i="6"/>
  <c r="I838" i="6"/>
  <c r="I837" i="6"/>
  <c r="I836" i="6"/>
  <c r="I792" i="6"/>
  <c r="I791" i="6"/>
  <c r="I790" i="6"/>
  <c r="I789" i="6"/>
  <c r="I788" i="6"/>
  <c r="I787" i="6"/>
  <c r="I786" i="6"/>
  <c r="I785" i="6"/>
  <c r="I784" i="6"/>
  <c r="I783" i="6"/>
  <c r="I782" i="6"/>
  <c r="I781" i="6"/>
  <c r="I780" i="6"/>
  <c r="I779" i="6"/>
  <c r="I778" i="6"/>
  <c r="I777" i="6"/>
  <c r="I776" i="6"/>
  <c r="I775" i="6"/>
  <c r="I774" i="6"/>
  <c r="I773" i="6"/>
  <c r="I772" i="6"/>
  <c r="I771" i="6"/>
  <c r="I770" i="6"/>
  <c r="I769" i="6"/>
  <c r="I768" i="6"/>
  <c r="I767" i="6"/>
  <c r="I766" i="6"/>
  <c r="I765" i="6"/>
  <c r="I764" i="6"/>
  <c r="I763" i="6"/>
  <c r="I762" i="6"/>
  <c r="I761" i="6"/>
  <c r="I760" i="6"/>
  <c r="I759" i="6"/>
  <c r="I758" i="6"/>
  <c r="I757" i="6"/>
  <c r="I756" i="6"/>
  <c r="I755" i="6"/>
  <c r="I754" i="6"/>
  <c r="I753" i="6"/>
  <c r="I752" i="6"/>
  <c r="I751" i="6"/>
  <c r="I750" i="6"/>
  <c r="I749" i="6"/>
  <c r="I748" i="6"/>
  <c r="I747" i="6"/>
  <c r="I746" i="6"/>
  <c r="I745" i="6"/>
  <c r="I744" i="6"/>
  <c r="I743" i="6"/>
  <c r="I742" i="6"/>
  <c r="I741" i="6"/>
  <c r="I740" i="6"/>
  <c r="I739" i="6"/>
  <c r="I738" i="6"/>
  <c r="I737" i="6"/>
  <c r="I736" i="6"/>
  <c r="I735" i="6"/>
  <c r="I734" i="6"/>
  <c r="I733" i="6"/>
  <c r="I732" i="6"/>
  <c r="I731" i="6"/>
  <c r="I730" i="6"/>
  <c r="I729" i="6"/>
  <c r="I728" i="6"/>
  <c r="I727" i="6"/>
  <c r="I726" i="6"/>
  <c r="I725" i="6"/>
  <c r="I724" i="6"/>
  <c r="I723" i="6"/>
  <c r="I722" i="6"/>
  <c r="I721" i="6"/>
  <c r="I720" i="6"/>
  <c r="I719" i="6"/>
  <c r="I718" i="6"/>
  <c r="I717" i="6"/>
  <c r="I716" i="6"/>
  <c r="I715" i="6"/>
  <c r="I714" i="6"/>
  <c r="I713" i="6"/>
  <c r="I712" i="6"/>
  <c r="I711" i="6"/>
  <c r="I710" i="6"/>
  <c r="I709" i="6"/>
  <c r="I708" i="6"/>
  <c r="I707" i="6"/>
  <c r="I706" i="6"/>
  <c r="I705" i="6"/>
  <c r="I704" i="6"/>
  <c r="I703" i="6"/>
  <c r="I702" i="6"/>
  <c r="I701" i="6"/>
  <c r="I700" i="6"/>
  <c r="I699" i="6"/>
  <c r="I698" i="6"/>
  <c r="I697" i="6"/>
  <c r="I696" i="6"/>
  <c r="I695" i="6"/>
  <c r="I694" i="6"/>
  <c r="I693" i="6"/>
  <c r="I692" i="6"/>
  <c r="I691" i="6"/>
  <c r="I690" i="6"/>
  <c r="I689" i="6"/>
  <c r="I688" i="6"/>
  <c r="I687" i="6"/>
  <c r="I686" i="6"/>
  <c r="I685" i="6"/>
  <c r="I684" i="6"/>
  <c r="I683" i="6"/>
  <c r="I682" i="6"/>
  <c r="I681" i="6"/>
  <c r="I680" i="6"/>
  <c r="I679" i="6"/>
  <c r="I678" i="6"/>
  <c r="I677" i="6"/>
  <c r="I676" i="6"/>
  <c r="I675" i="6"/>
  <c r="I674" i="6"/>
  <c r="I673" i="6"/>
  <c r="I672" i="6"/>
  <c r="I671" i="6"/>
  <c r="I670" i="6"/>
  <c r="I669" i="6"/>
  <c r="I668" i="6"/>
  <c r="I667" i="6"/>
  <c r="I666" i="6"/>
  <c r="I665" i="6"/>
  <c r="I664" i="6"/>
  <c r="I663" i="6"/>
  <c r="I662" i="6"/>
  <c r="I661" i="6"/>
  <c r="I660" i="6"/>
  <c r="I659" i="6"/>
  <c r="I658" i="6"/>
  <c r="I657" i="6"/>
  <c r="I656" i="6"/>
  <c r="I655" i="6"/>
  <c r="I654" i="6"/>
  <c r="I653" i="6"/>
  <c r="I652" i="6"/>
  <c r="I651" i="6"/>
  <c r="I650" i="6"/>
  <c r="I649" i="6"/>
  <c r="I648" i="6"/>
  <c r="I647" i="6"/>
  <c r="I646" i="6"/>
  <c r="I645" i="6"/>
  <c r="I644" i="6"/>
  <c r="I643" i="6"/>
  <c r="I642" i="6"/>
  <c r="I641" i="6"/>
  <c r="I640" i="6"/>
  <c r="I639" i="6"/>
  <c r="I638" i="6"/>
  <c r="I637" i="6"/>
  <c r="I636" i="6"/>
  <c r="I635" i="6"/>
  <c r="I634" i="6"/>
  <c r="I633" i="6"/>
  <c r="I632" i="6"/>
  <c r="I631" i="6"/>
  <c r="I630" i="6"/>
  <c r="I629" i="6"/>
  <c r="I628" i="6"/>
  <c r="I627" i="6"/>
  <c r="I626" i="6"/>
  <c r="I625" i="6"/>
  <c r="I624" i="6"/>
  <c r="I623" i="6"/>
  <c r="I622" i="6"/>
  <c r="I621" i="6"/>
  <c r="I620" i="6"/>
  <c r="I619" i="6"/>
  <c r="I618" i="6"/>
  <c r="I617" i="6"/>
  <c r="I616" i="6"/>
  <c r="I615" i="6"/>
  <c r="I614" i="6"/>
  <c r="I613" i="6"/>
  <c r="I612" i="6"/>
  <c r="I611" i="6"/>
  <c r="I610" i="6"/>
  <c r="I609" i="6"/>
  <c r="I608" i="6"/>
  <c r="I607" i="6"/>
  <c r="I606" i="6"/>
  <c r="I605" i="6"/>
  <c r="I604" i="6"/>
  <c r="I603" i="6"/>
  <c r="I602" i="6"/>
  <c r="I601" i="6"/>
  <c r="I600" i="6"/>
  <c r="I599" i="6"/>
  <c r="I598" i="6"/>
  <c r="I597" i="6"/>
  <c r="I596" i="6"/>
  <c r="I595" i="6"/>
  <c r="I594" i="6"/>
  <c r="I593" i="6"/>
  <c r="I592" i="6"/>
  <c r="I591" i="6"/>
  <c r="I590" i="6"/>
  <c r="I589" i="6"/>
  <c r="I588" i="6"/>
  <c r="I587" i="6"/>
  <c r="I586" i="6"/>
  <c r="I585" i="6"/>
  <c r="I584" i="6"/>
  <c r="I583" i="6"/>
  <c r="I582" i="6"/>
  <c r="I581" i="6"/>
  <c r="I580" i="6"/>
  <c r="I579" i="6"/>
  <c r="I578" i="6"/>
  <c r="I577" i="6"/>
  <c r="I576" i="6"/>
  <c r="I575" i="6"/>
  <c r="I574" i="6"/>
  <c r="I573" i="6"/>
  <c r="I572" i="6"/>
  <c r="I571" i="6"/>
  <c r="I570" i="6"/>
  <c r="I569" i="6"/>
  <c r="I568" i="6"/>
  <c r="I567" i="6"/>
  <c r="I566" i="6"/>
  <c r="I565" i="6"/>
  <c r="I564" i="6"/>
  <c r="I563" i="6"/>
  <c r="I562" i="6"/>
  <c r="I561" i="6"/>
  <c r="I560" i="6"/>
  <c r="I559" i="6"/>
  <c r="I558" i="6"/>
  <c r="I557" i="6"/>
  <c r="I556" i="6"/>
  <c r="I555" i="6"/>
  <c r="I554" i="6"/>
  <c r="I553" i="6"/>
  <c r="I552" i="6"/>
  <c r="I551" i="6"/>
  <c r="I550" i="6"/>
  <c r="I549" i="6"/>
  <c r="I548" i="6"/>
  <c r="I547" i="6"/>
  <c r="I546" i="6"/>
  <c r="I545" i="6"/>
  <c r="I544" i="6"/>
  <c r="I543" i="6"/>
  <c r="I542" i="6"/>
  <c r="I541" i="6"/>
  <c r="I540" i="6"/>
  <c r="I539" i="6"/>
  <c r="I538" i="6"/>
  <c r="I537" i="6"/>
  <c r="I536" i="6"/>
  <c r="I535" i="6"/>
  <c r="I534" i="6"/>
  <c r="I533" i="6"/>
  <c r="I532" i="6"/>
  <c r="I531" i="6"/>
  <c r="I530" i="6"/>
  <c r="I529" i="6"/>
  <c r="I528" i="6"/>
  <c r="I527" i="6"/>
  <c r="I526" i="6"/>
  <c r="I525" i="6"/>
  <c r="I524" i="6"/>
  <c r="I523" i="6"/>
  <c r="I522" i="6"/>
  <c r="I521" i="6"/>
  <c r="I520" i="6"/>
  <c r="I519" i="6"/>
  <c r="I518" i="6"/>
  <c r="I517" i="6"/>
  <c r="I516" i="6"/>
  <c r="I515" i="6"/>
  <c r="I514" i="6"/>
  <c r="I513" i="6"/>
  <c r="I512" i="6"/>
  <c r="I511" i="6"/>
  <c r="I510" i="6"/>
  <c r="I509" i="6"/>
  <c r="I508" i="6"/>
  <c r="I507" i="6"/>
  <c r="I506" i="6"/>
  <c r="I505" i="6"/>
  <c r="I504" i="6"/>
  <c r="I503" i="6"/>
  <c r="I502" i="6"/>
  <c r="I501" i="6"/>
  <c r="I500" i="6"/>
  <c r="I499" i="6"/>
  <c r="I498" i="6"/>
  <c r="I497" i="6"/>
  <c r="I496" i="6"/>
  <c r="I495" i="6"/>
  <c r="I494" i="6"/>
  <c r="I493" i="6"/>
  <c r="I492" i="6"/>
  <c r="I491" i="6"/>
  <c r="I490" i="6"/>
  <c r="I489" i="6"/>
  <c r="I488" i="6"/>
  <c r="I487" i="6"/>
  <c r="I486" i="6"/>
  <c r="I485" i="6"/>
  <c r="I484" i="6"/>
  <c r="I483" i="6"/>
  <c r="I482" i="6"/>
  <c r="I481" i="6"/>
  <c r="I480" i="6"/>
  <c r="I479" i="6"/>
  <c r="I478" i="6"/>
  <c r="I477" i="6"/>
  <c r="I476" i="6"/>
  <c r="I475" i="6"/>
  <c r="I474" i="6"/>
  <c r="I473" i="6"/>
  <c r="I472" i="6"/>
  <c r="I471" i="6"/>
  <c r="I470" i="6"/>
  <c r="I469" i="6"/>
  <c r="I468" i="6"/>
  <c r="I467" i="6"/>
  <c r="I466" i="6"/>
  <c r="I465" i="6"/>
  <c r="I464" i="6"/>
  <c r="I463" i="6"/>
  <c r="I462" i="6"/>
  <c r="I461" i="6"/>
  <c r="I460" i="6"/>
  <c r="I459" i="6"/>
  <c r="I458" i="6"/>
  <c r="I457" i="6"/>
  <c r="I456" i="6"/>
  <c r="I455" i="6"/>
  <c r="I454" i="6"/>
  <c r="I453" i="6"/>
  <c r="I452" i="6"/>
  <c r="I451" i="6"/>
  <c r="I450" i="6"/>
  <c r="I449" i="6"/>
  <c r="I448" i="6"/>
  <c r="I447" i="6"/>
  <c r="I446" i="6"/>
  <c r="I445" i="6"/>
  <c r="I444" i="6"/>
  <c r="I443" i="6"/>
  <c r="I442" i="6"/>
  <c r="I441" i="6"/>
  <c r="I440" i="6"/>
  <c r="I439" i="6"/>
  <c r="I438" i="6"/>
  <c r="I437" i="6"/>
  <c r="I436" i="6"/>
  <c r="I435" i="6"/>
  <c r="I434" i="6"/>
  <c r="I433" i="6"/>
  <c r="I432" i="6"/>
  <c r="I431" i="6"/>
  <c r="I430" i="6"/>
  <c r="I429" i="6"/>
  <c r="I428" i="6"/>
  <c r="I427" i="6"/>
  <c r="I426" i="6"/>
  <c r="I425" i="6"/>
  <c r="I424" i="6"/>
  <c r="I423" i="6"/>
  <c r="I422" i="6"/>
  <c r="I421" i="6"/>
  <c r="I420" i="6"/>
  <c r="I419" i="6"/>
  <c r="I418" i="6"/>
  <c r="I417" i="6"/>
  <c r="I416" i="6"/>
  <c r="I415" i="6"/>
  <c r="I414" i="6"/>
  <c r="I413" i="6"/>
  <c r="I412" i="6"/>
  <c r="I411" i="6"/>
  <c r="I410" i="6"/>
  <c r="I409" i="6"/>
  <c r="I408" i="6"/>
  <c r="I407" i="6"/>
  <c r="I406" i="6"/>
  <c r="I405" i="6"/>
  <c r="I404" i="6"/>
  <c r="I403" i="6"/>
  <c r="I402" i="6"/>
  <c r="I401" i="6"/>
  <c r="I400" i="6"/>
  <c r="I399" i="6"/>
  <c r="I398" i="6"/>
  <c r="I397" i="6"/>
  <c r="I396" i="6"/>
  <c r="I395" i="6"/>
  <c r="I394" i="6"/>
  <c r="I393" i="6"/>
  <c r="I392" i="6"/>
  <c r="I391" i="6"/>
  <c r="I390" i="6"/>
  <c r="I389" i="6"/>
  <c r="I388" i="6"/>
  <c r="I387" i="6"/>
  <c r="I386" i="6"/>
  <c r="I385" i="6"/>
  <c r="I384" i="6"/>
  <c r="I383" i="6"/>
  <c r="I382" i="6"/>
  <c r="I381" i="6"/>
  <c r="I380" i="6"/>
  <c r="I379" i="6"/>
  <c r="I378" i="6"/>
  <c r="I377" i="6"/>
  <c r="I376" i="6"/>
  <c r="I375" i="6"/>
  <c r="I374" i="6"/>
  <c r="I373" i="6"/>
  <c r="I372" i="6"/>
  <c r="I371" i="6"/>
  <c r="I370" i="6"/>
  <c r="I369" i="6"/>
  <c r="I368" i="6"/>
  <c r="I367" i="6"/>
  <c r="I366" i="6"/>
  <c r="I365" i="6"/>
  <c r="I364" i="6"/>
  <c r="I363" i="6"/>
  <c r="I362" i="6"/>
  <c r="I361" i="6"/>
  <c r="I360" i="6"/>
  <c r="I359" i="6"/>
  <c r="I358" i="6"/>
  <c r="I357" i="6"/>
  <c r="I356" i="6"/>
  <c r="I355" i="6"/>
  <c r="I354" i="6"/>
  <c r="I353" i="6"/>
  <c r="I352" i="6"/>
  <c r="I351" i="6"/>
  <c r="I350" i="6"/>
  <c r="I349" i="6"/>
  <c r="I348" i="6"/>
  <c r="I347" i="6"/>
  <c r="I346" i="6"/>
  <c r="I345" i="6"/>
  <c r="I344" i="6"/>
  <c r="I343" i="6"/>
  <c r="I342" i="6"/>
  <c r="I341" i="6"/>
  <c r="I340" i="6"/>
  <c r="I339" i="6"/>
  <c r="I338" i="6"/>
  <c r="I337" i="6"/>
  <c r="I336" i="6"/>
  <c r="I335" i="6"/>
  <c r="I334" i="6"/>
  <c r="I333" i="6"/>
  <c r="I332" i="6"/>
  <c r="I331" i="6"/>
  <c r="I330" i="6"/>
  <c r="I329" i="6"/>
  <c r="I328" i="6"/>
  <c r="I327" i="6"/>
  <c r="I297" i="6"/>
  <c r="I296" i="6"/>
  <c r="I295" i="6"/>
  <c r="I294" i="6"/>
  <c r="I293" i="6"/>
  <c r="I292" i="6"/>
  <c r="I291" i="6"/>
  <c r="I290" i="6"/>
  <c r="I289" i="6"/>
  <c r="I288" i="6"/>
  <c r="I287" i="6"/>
  <c r="I286" i="6"/>
  <c r="I285" i="6"/>
  <c r="I284" i="6"/>
  <c r="I283" i="6"/>
  <c r="I282" i="6"/>
  <c r="I281" i="6"/>
  <c r="I280" i="6"/>
  <c r="I279" i="6"/>
  <c r="I278" i="6"/>
  <c r="I277" i="6"/>
  <c r="I276" i="6"/>
  <c r="I275" i="6"/>
  <c r="I274" i="6"/>
  <c r="I273" i="6"/>
  <c r="I272" i="6"/>
  <c r="I271" i="6"/>
  <c r="I270" i="6"/>
  <c r="I269" i="6"/>
  <c r="I268" i="6"/>
  <c r="I267" i="6"/>
  <c r="I266" i="6"/>
  <c r="I265" i="6"/>
  <c r="I264" i="6"/>
  <c r="I263" i="6"/>
  <c r="I262" i="6"/>
  <c r="I261" i="6"/>
  <c r="I260" i="6"/>
  <c r="I259" i="6"/>
  <c r="I258" i="6"/>
  <c r="I257" i="6"/>
  <c r="I256" i="6"/>
  <c r="I255" i="6"/>
  <c r="I254" i="6"/>
  <c r="I253" i="6"/>
  <c r="I252" i="6"/>
  <c r="I251" i="6"/>
  <c r="I250" i="6"/>
  <c r="I249" i="6"/>
  <c r="I248" i="6"/>
  <c r="I247" i="6"/>
  <c r="I246" i="6"/>
  <c r="I245" i="6"/>
  <c r="I244" i="6"/>
  <c r="I243" i="6"/>
  <c r="I242" i="6"/>
  <c r="I241" i="6"/>
  <c r="I240" i="6"/>
  <c r="I239" i="6"/>
  <c r="I238" i="6"/>
  <c r="I237" i="6"/>
  <c r="I236" i="6"/>
  <c r="I235" i="6"/>
  <c r="I234" i="6"/>
  <c r="I233" i="6"/>
  <c r="I232" i="6"/>
  <c r="I231" i="6"/>
  <c r="I230" i="6"/>
  <c r="I229" i="6"/>
  <c r="I228" i="6"/>
  <c r="I227" i="6"/>
  <c r="I226" i="6"/>
  <c r="I225" i="6"/>
  <c r="I224" i="6"/>
  <c r="I223" i="6"/>
  <c r="I222" i="6"/>
  <c r="I221" i="6"/>
  <c r="I220" i="6"/>
  <c r="I219" i="6"/>
  <c r="I218" i="6"/>
  <c r="I217" i="6"/>
  <c r="I216" i="6"/>
  <c r="I215" i="6"/>
  <c r="I214" i="6"/>
  <c r="I213" i="6"/>
  <c r="I212" i="6"/>
  <c r="I211" i="6"/>
  <c r="I210" i="6"/>
  <c r="I209" i="6"/>
  <c r="I208" i="6"/>
  <c r="I207" i="6"/>
  <c r="I206" i="6"/>
  <c r="I205" i="6"/>
  <c r="I204" i="6"/>
  <c r="I203" i="6"/>
  <c r="I202" i="6"/>
  <c r="I201" i="6"/>
  <c r="I200" i="6"/>
  <c r="I199" i="6"/>
  <c r="I198" i="6"/>
  <c r="I197" i="6"/>
  <c r="I196" i="6"/>
  <c r="I195" i="6"/>
  <c r="I194" i="6"/>
  <c r="I193" i="6"/>
  <c r="I192" i="6"/>
  <c r="I191" i="6"/>
  <c r="I190" i="6"/>
  <c r="I189" i="6"/>
  <c r="I188" i="6"/>
  <c r="I187" i="6"/>
  <c r="I186" i="6"/>
  <c r="I185" i="6"/>
  <c r="I184" i="6"/>
  <c r="I183" i="6"/>
  <c r="I182" i="6"/>
  <c r="I181" i="6"/>
  <c r="I180" i="6"/>
  <c r="I179" i="6"/>
  <c r="I178" i="6"/>
  <c r="I177" i="6"/>
  <c r="I176" i="6"/>
  <c r="I175" i="6"/>
  <c r="I174" i="6"/>
  <c r="I173" i="6"/>
  <c r="I172" i="6"/>
  <c r="I171" i="6"/>
  <c r="I170" i="6"/>
  <c r="I169" i="6"/>
  <c r="I168" i="6"/>
  <c r="I167" i="6"/>
  <c r="I166" i="6"/>
  <c r="I165" i="6"/>
  <c r="I164" i="6"/>
  <c r="I163" i="6"/>
  <c r="I162" i="6"/>
  <c r="I161" i="6"/>
  <c r="I160" i="6"/>
  <c r="I159" i="6"/>
  <c r="I158" i="6"/>
  <c r="I157" i="6"/>
  <c r="I156" i="6"/>
  <c r="I155" i="6"/>
  <c r="I154" i="6"/>
  <c r="I153" i="6"/>
  <c r="I152" i="6"/>
  <c r="I151" i="6"/>
  <c r="I150" i="6"/>
  <c r="I149" i="6"/>
  <c r="I148" i="6"/>
  <c r="I147" i="6"/>
  <c r="I146" i="6"/>
  <c r="I145" i="6"/>
  <c r="I144" i="6"/>
  <c r="I143" i="6"/>
  <c r="I142" i="6"/>
  <c r="I141" i="6"/>
  <c r="I140" i="6"/>
  <c r="I139" i="6"/>
  <c r="I138" i="6"/>
  <c r="I137" i="6"/>
  <c r="I136" i="6"/>
  <c r="I135" i="6"/>
  <c r="I134" i="6"/>
  <c r="I133" i="6"/>
  <c r="I132" i="6"/>
  <c r="I131" i="6"/>
  <c r="I130" i="6"/>
  <c r="I129" i="6"/>
  <c r="I128" i="6"/>
  <c r="I127" i="6"/>
  <c r="I126" i="6"/>
  <c r="I125" i="6"/>
  <c r="I124" i="6"/>
  <c r="I123" i="6"/>
  <c r="I122" i="6"/>
  <c r="I121" i="6"/>
  <c r="I120" i="6"/>
  <c r="I119" i="6"/>
  <c r="I118" i="6"/>
  <c r="I117" i="6"/>
  <c r="I116" i="6"/>
  <c r="I115" i="6"/>
  <c r="I114" i="6"/>
  <c r="I113" i="6"/>
  <c r="I112" i="6"/>
  <c r="I111" i="6"/>
  <c r="I110" i="6"/>
  <c r="I109" i="6"/>
  <c r="I108" i="6"/>
  <c r="I107" i="6"/>
  <c r="I106" i="6"/>
  <c r="I105" i="6"/>
  <c r="I104" i="6"/>
  <c r="I103" i="6"/>
  <c r="I102" i="6"/>
  <c r="I101" i="6"/>
  <c r="I100" i="6"/>
  <c r="I99" i="6"/>
  <c r="I98" i="6"/>
  <c r="I97" i="6"/>
  <c r="I96" i="6"/>
  <c r="I95" i="6"/>
  <c r="I94" i="6"/>
  <c r="I93" i="6"/>
  <c r="I92" i="6"/>
  <c r="I91" i="6"/>
  <c r="I90" i="6"/>
  <c r="I89" i="6"/>
  <c r="I88" i="6"/>
  <c r="I87" i="6"/>
  <c r="I86" i="6"/>
  <c r="I85" i="6"/>
  <c r="I84" i="6"/>
  <c r="I83" i="6"/>
  <c r="I82" i="6"/>
  <c r="I81" i="6"/>
  <c r="I80" i="6"/>
  <c r="I79" i="6"/>
  <c r="I78" i="6"/>
  <c r="I77" i="6"/>
  <c r="I76" i="6"/>
  <c r="I75" i="6"/>
  <c r="I74" i="6"/>
  <c r="I73" i="6"/>
  <c r="I72" i="6"/>
  <c r="I71" i="6"/>
  <c r="I70" i="6"/>
  <c r="I69" i="6"/>
  <c r="I68" i="6"/>
  <c r="I67" i="6"/>
  <c r="I66" i="6"/>
  <c r="I65" i="6"/>
  <c r="I64" i="6"/>
  <c r="I63" i="6"/>
  <c r="I62" i="6"/>
  <c r="I61" i="6"/>
  <c r="I60" i="6"/>
  <c r="I59" i="6"/>
  <c r="I58" i="6"/>
  <c r="I57" i="6"/>
  <c r="I56" i="6"/>
  <c r="I55" i="6"/>
  <c r="I54" i="6"/>
  <c r="I53" i="6"/>
  <c r="I52" i="6"/>
  <c r="I51" i="6"/>
  <c r="I50" i="6"/>
  <c r="I49" i="6"/>
  <c r="I48" i="6"/>
  <c r="I47" i="6"/>
  <c r="I46" i="6"/>
  <c r="I45" i="6"/>
  <c r="I44" i="6"/>
  <c r="I43" i="6"/>
  <c r="I42" i="6"/>
  <c r="I41" i="6"/>
  <c r="I40" i="6"/>
  <c r="I39" i="6"/>
  <c r="I38" i="6"/>
  <c r="I37" i="6"/>
  <c r="I36" i="6"/>
  <c r="I35" i="6"/>
  <c r="I34" i="6"/>
  <c r="I33" i="6"/>
  <c r="I32" i="6"/>
  <c r="I31" i="6"/>
  <c r="I30" i="6"/>
  <c r="I29" i="6"/>
  <c r="I28" i="6"/>
  <c r="I27" i="6"/>
  <c r="I26" i="6"/>
  <c r="I25" i="6"/>
  <c r="I24" i="6"/>
  <c r="I23" i="6"/>
  <c r="I22" i="6"/>
  <c r="I21" i="6"/>
  <c r="I20" i="6"/>
  <c r="I19" i="6"/>
  <c r="I18" i="6"/>
  <c r="I17" i="6"/>
  <c r="I16" i="6"/>
  <c r="I15" i="6"/>
  <c r="I14" i="6"/>
  <c r="I13" i="6"/>
  <c r="I12" i="6"/>
  <c r="I11" i="6"/>
  <c r="I10" i="6"/>
  <c r="I9" i="6"/>
  <c r="I8" i="6"/>
  <c r="I7" i="6"/>
  <c r="I6" i="6"/>
  <c r="I5" i="6"/>
  <c r="I4" i="6"/>
  <c r="J19" i="5"/>
  <c r="J20" i="5"/>
  <c r="J21" i="5"/>
  <c r="J18" i="5"/>
  <c r="J12" i="5"/>
  <c r="J13" i="5"/>
  <c r="J14" i="5"/>
  <c r="J15" i="5"/>
  <c r="J16" i="5"/>
  <c r="J11" i="5"/>
  <c r="I1" i="6"/>
  <c r="I2" i="6"/>
  <c r="R2" i="19" l="1"/>
  <c r="W2" i="19"/>
</calcChain>
</file>

<file path=xl/sharedStrings.xml><?xml version="1.0" encoding="utf-8"?>
<sst xmlns="http://schemas.openxmlformats.org/spreadsheetml/2006/main" count="38395" uniqueCount="8567">
  <si>
    <t>Item PQ</t>
  </si>
  <si>
    <t>CMS</t>
  </si>
  <si>
    <t>CWP</t>
  </si>
  <si>
    <t>Qtd Total</t>
  </si>
  <si>
    <t>Peso Unit 
(kg)</t>
  </si>
  <si>
    <t>Peso Total 
(kg)</t>
  </si>
  <si>
    <t>Qtd 
Físico Acum.</t>
  </si>
  <si>
    <t>Qtd 
Físico Acum. Anterior</t>
  </si>
  <si>
    <t>Qtd 
Físico Periodo</t>
  </si>
  <si>
    <t>Qtd 
Saldo</t>
  </si>
  <si>
    <t>Qtd 
Financeiro Acum.</t>
  </si>
  <si>
    <t>Qtd 
Financeiro Acum. Anterior</t>
  </si>
  <si>
    <t>Qtd 
Financeiro Periodo</t>
  </si>
  <si>
    <t>Relatório CQ</t>
  </si>
  <si>
    <t>CWP-321A</t>
  </si>
  <si>
    <t>715B</t>
  </si>
  <si>
    <t>VIGA</t>
  </si>
  <si>
    <t>W610X101.0-ASTM-A572 GR.50</t>
  </si>
  <si>
    <t>715F</t>
  </si>
  <si>
    <t>W530X72.0-ASTM-A572 GR.50</t>
  </si>
  <si>
    <t>715G</t>
  </si>
  <si>
    <t>718A</t>
  </si>
  <si>
    <t>TALA</t>
  </si>
  <si>
    <t>CH.8-ASTM-A572 GR.50</t>
  </si>
  <si>
    <t>718F</t>
  </si>
  <si>
    <t>CH.9,5-ASTM-A572 GR.50</t>
  </si>
  <si>
    <t>716A</t>
  </si>
  <si>
    <t>716B</t>
  </si>
  <si>
    <t>715C</t>
  </si>
  <si>
    <t>716C</t>
  </si>
  <si>
    <t>716D</t>
  </si>
  <si>
    <t>715D</t>
  </si>
  <si>
    <t>-</t>
  </si>
  <si>
    <t>SIM</t>
  </si>
  <si>
    <t>ITEM</t>
  </si>
  <si>
    <t>ÁREA</t>
  </si>
  <si>
    <t>COD. MC</t>
  </si>
  <si>
    <t>QTD DE 
EVENTOS</t>
  </si>
  <si>
    <t>DESCRIÇÃO DAS ATIVIDADES</t>
  </si>
  <si>
    <t>UND</t>
  </si>
  <si>
    <t>QTD PREV</t>
  </si>
  <si>
    <t>QTD TAKE-OFF</t>
  </si>
  <si>
    <t>QTD CONSOLIDADA</t>
  </si>
  <si>
    <t>PREÇO 
UNIT (R$)</t>
  </si>
  <si>
    <t>1.1.1.1.1</t>
  </si>
  <si>
    <t>0000</t>
  </si>
  <si>
    <t>MC.001B</t>
  </si>
  <si>
    <t>Mobilização de pessoal e equipamentos</t>
  </si>
  <si>
    <t>vb</t>
  </si>
  <si>
    <t>CMS C.05.05.000</t>
  </si>
  <si>
    <t>1.1.1.1.2</t>
  </si>
  <si>
    <t>MC.004B</t>
  </si>
  <si>
    <t>Desmobilização de pessoal e equipamentos</t>
  </si>
  <si>
    <t>CMS C.05.20.000</t>
  </si>
  <si>
    <t>1.2.1.1.1</t>
  </si>
  <si>
    <t>0202</t>
  </si>
  <si>
    <t>MC.002B</t>
  </si>
  <si>
    <t>Construção completa de alojamento</t>
  </si>
  <si>
    <t>CMS C.05.10.005</t>
  </si>
  <si>
    <t>1.2.1.2.1</t>
  </si>
  <si>
    <t>MC.003B</t>
  </si>
  <si>
    <t>Manutenção e operação de alojamento</t>
  </si>
  <si>
    <t>vb x mês</t>
  </si>
  <si>
    <t>CMS C.05.10.010</t>
  </si>
  <si>
    <t>1.2.2.1.1</t>
  </si>
  <si>
    <t>0201</t>
  </si>
  <si>
    <t>Construção completa de canteiro de obras</t>
  </si>
  <si>
    <t>CMS C.05.15.008</t>
  </si>
  <si>
    <t>1.2.2.2.1</t>
  </si>
  <si>
    <t>Manutenção e operação de canteiro de obras</t>
  </si>
  <si>
    <t>CMS C.05.15.010</t>
  </si>
  <si>
    <t>1.3.1.1.1</t>
  </si>
  <si>
    <t>2300</t>
  </si>
  <si>
    <t>MC.005C</t>
  </si>
  <si>
    <t>Escavação manual de cavas ou valas, material de 1ª categoria - profundidade até 1,5m</t>
  </si>
  <si>
    <t>m³</t>
  </si>
  <si>
    <t>CMS C.25.05.005</t>
  </si>
  <si>
    <t>1.3.1.1.2</t>
  </si>
  <si>
    <t>2308</t>
  </si>
  <si>
    <t>1.3.1.1.3</t>
  </si>
  <si>
    <t>5101</t>
  </si>
  <si>
    <t>1.3.1.1.4</t>
  </si>
  <si>
    <t>Escavação mecanizada de cavas ou valas em material de 1ª categoria - profundidade até 1,5m</t>
  </si>
  <si>
    <t>1.3.1.1.5</t>
  </si>
  <si>
    <t>1.3.1.1.6</t>
  </si>
  <si>
    <t>1.3.2.1.1</t>
  </si>
  <si>
    <t>MC.006C</t>
  </si>
  <si>
    <t>Regularização e compactação de fundo de cavas ou valas</t>
  </si>
  <si>
    <t>m²</t>
  </si>
  <si>
    <t>CMS C.25.10.000</t>
  </si>
  <si>
    <t>1.3.2.1.2</t>
  </si>
  <si>
    <t>1.3.2.1.3</t>
  </si>
  <si>
    <t>1.3.3.1.1</t>
  </si>
  <si>
    <t>Reaterro compactado de cavas ou valas, a 95% do Proctor Normal</t>
  </si>
  <si>
    <t>CMS C.25.15.000</t>
  </si>
  <si>
    <t>1.3.3.1.2</t>
  </si>
  <si>
    <t>1.3.3.1.3</t>
  </si>
  <si>
    <t>Reaterro compactado de cavas ou valas, a 100% do Proctor Normal</t>
  </si>
  <si>
    <t>1.3.3.1.4</t>
  </si>
  <si>
    <t>1.3.3.1.5</t>
  </si>
  <si>
    <t>1.3.4.1.1</t>
  </si>
  <si>
    <t>Carga, transporte, descarga e espalhamento de material de 1ª categoria em ADME - DMT até 1000m</t>
  </si>
  <si>
    <t>CMS C.25.20.000</t>
  </si>
  <si>
    <t>1.3.4.1.2</t>
  </si>
  <si>
    <t>1.3.4.1.3</t>
  </si>
  <si>
    <t>1.3.5.1.1</t>
  </si>
  <si>
    <t>MC.007C</t>
  </si>
  <si>
    <t>Momento extraordinário de transporte de material de 1ª categoria - uso geral</t>
  </si>
  <si>
    <t>m³ x km</t>
  </si>
  <si>
    <t>CMS C.25.30.000</t>
  </si>
  <si>
    <t>1.3.5.1.2</t>
  </si>
  <si>
    <t>1.3.5.1.3</t>
  </si>
  <si>
    <t>1.4.1.1.1</t>
  </si>
  <si>
    <t>Forma plana com compensado resinado para estrutura de fundação, inclusive escoramento de estruturas verticais</t>
  </si>
  <si>
    <t>CMS C.65.05.000</t>
  </si>
  <si>
    <t>1.4.1.1.2</t>
  </si>
  <si>
    <t>2301</t>
  </si>
  <si>
    <t>1.4.1.1.3</t>
  </si>
  <si>
    <t>2303</t>
  </si>
  <si>
    <t>1.4.1.1.4</t>
  </si>
  <si>
    <t>2305</t>
  </si>
  <si>
    <t>1.4.1.1.5</t>
  </si>
  <si>
    <t>2306</t>
  </si>
  <si>
    <t>1.4.1.1.6</t>
  </si>
  <si>
    <t>2307</t>
  </si>
  <si>
    <t>1.4.1.1.7</t>
  </si>
  <si>
    <t>1.4.1.1.8</t>
  </si>
  <si>
    <t>1.4.1.1.9</t>
  </si>
  <si>
    <t>2310</t>
  </si>
  <si>
    <t>1.4.1.1.10</t>
  </si>
  <si>
    <t>2313</t>
  </si>
  <si>
    <t>1.4.1.1.11</t>
  </si>
  <si>
    <t>2314</t>
  </si>
  <si>
    <t>1.4.1.1.12</t>
  </si>
  <si>
    <t>2315</t>
  </si>
  <si>
    <t>1.4.1.1.13</t>
  </si>
  <si>
    <t>2316</t>
  </si>
  <si>
    <t>1.4.1.1.14</t>
  </si>
  <si>
    <t>2325</t>
  </si>
  <si>
    <t>1.4.1.1.15</t>
  </si>
  <si>
    <t>1.4.1.1.16</t>
  </si>
  <si>
    <t>1.4.1.1.17</t>
  </si>
  <si>
    <t>5103</t>
  </si>
  <si>
    <t>1.4.1.2.1</t>
  </si>
  <si>
    <t>Fornecimento e montagem de forma composta tipo Steel Deck MF75, inclusive acessórios e acabamentos, espessura 0,80mm</t>
  </si>
  <si>
    <t>CMS C.65.05.025</t>
  </si>
  <si>
    <t>1.4.2.1.1</t>
  </si>
  <si>
    <t>MC.008C</t>
  </si>
  <si>
    <t>Armadura em aço CA-50, fornecimento, corte, dobra e aplicação - qualquer diâmetro</t>
  </si>
  <si>
    <t>kg</t>
  </si>
  <si>
    <t>CMS C.65.10.000</t>
  </si>
  <si>
    <t>1.4.2.1.2</t>
  </si>
  <si>
    <t>1.4.2.1.3</t>
  </si>
  <si>
    <t>1.4.2.1.4</t>
  </si>
  <si>
    <t>1.4.2.1.5</t>
  </si>
  <si>
    <t>1.4.2.1.6</t>
  </si>
  <si>
    <t>1.4.2.1.7</t>
  </si>
  <si>
    <t>1.4.2.1.8</t>
  </si>
  <si>
    <t>1.4.2.1.9</t>
  </si>
  <si>
    <t>1.4.2.1.10</t>
  </si>
  <si>
    <t>1.4.2.1.11</t>
  </si>
  <si>
    <t>1.4.2.1.12</t>
  </si>
  <si>
    <t>1.4.2.1.13</t>
  </si>
  <si>
    <t>1.4.2.1.14</t>
  </si>
  <si>
    <t>1.4.2.1.15</t>
  </si>
  <si>
    <t>1.4.2.1.16</t>
  </si>
  <si>
    <t>1.4.2.1.17</t>
  </si>
  <si>
    <t>1.4.2.1.18</t>
  </si>
  <si>
    <t>1.4.2.1.19</t>
  </si>
  <si>
    <t>1.4.2.1.20</t>
  </si>
  <si>
    <t>1.4.2.1.21</t>
  </si>
  <si>
    <t>1.4.2.1.22</t>
  </si>
  <si>
    <t>1.4.2.1.23</t>
  </si>
  <si>
    <t>1.4.3.1.1</t>
  </si>
  <si>
    <t xml:space="preserve">Concreto Não-Bombeado em estrutura de fundação fck = 10,0 MPa. </t>
  </si>
  <si>
    <t>CMS C.65.15.000</t>
  </si>
  <si>
    <t>1.4.3.1.2</t>
  </si>
  <si>
    <t>1.4.3.1.3</t>
  </si>
  <si>
    <t>1.4.3.1.4</t>
  </si>
  <si>
    <t xml:space="preserve">Concreto Não-Bombeado em estrutura de fundação fck = 30,0 MPa. </t>
  </si>
  <si>
    <t>1.4.3.1.5</t>
  </si>
  <si>
    <t>1.4.3.1.6</t>
  </si>
  <si>
    <t>1.4.3.1.7</t>
  </si>
  <si>
    <t>1.4.3.1.8</t>
  </si>
  <si>
    <t>1.4.3.1.9</t>
  </si>
  <si>
    <t>1.4.3.1.10</t>
  </si>
  <si>
    <t>1.4.3.1.11</t>
  </si>
  <si>
    <t>1.4.3.1.12</t>
  </si>
  <si>
    <t>1.4.3.1.13</t>
  </si>
  <si>
    <t>1.4.3.1.14</t>
  </si>
  <si>
    <t>1.4.3.1.15</t>
  </si>
  <si>
    <t>1.4.3.1.16</t>
  </si>
  <si>
    <t>1.4.3.1.17</t>
  </si>
  <si>
    <t>1.4.3.1.18</t>
  </si>
  <si>
    <t>1.4.3.1.19</t>
  </si>
  <si>
    <t>1.4.3.1.20</t>
  </si>
  <si>
    <t>1.4.3.1.21</t>
  </si>
  <si>
    <t>1.4.3.1.22</t>
  </si>
  <si>
    <t>1.4.3.1.23</t>
  </si>
  <si>
    <t>1.4.3.1.24</t>
  </si>
  <si>
    <t>1.4.3.1.25</t>
  </si>
  <si>
    <t>1.4.3.1.26</t>
  </si>
  <si>
    <t xml:space="preserve">Concreto Bombeado em estrutura de fundação fck = 30,0 MPa. </t>
  </si>
  <si>
    <t>1.4.3.1.27</t>
  </si>
  <si>
    <t>1.4.3.1.28</t>
  </si>
  <si>
    <t xml:space="preserve">Concreto Bombeado em estrutura elevada fck = 30,0 MPa. </t>
  </si>
  <si>
    <t>1.4.4.1.1</t>
  </si>
  <si>
    <t>MC.009C</t>
  </si>
  <si>
    <t xml:space="preserve">Inserto metálico em aço ASTM-A36, fornecimento e instalação  </t>
  </si>
  <si>
    <t>CMS C.65.25.010</t>
  </si>
  <si>
    <t>1.4.4.1.2</t>
  </si>
  <si>
    <t>1.4.4.1.3</t>
  </si>
  <si>
    <t>1.4.5.1.1</t>
  </si>
  <si>
    <t>MC.010C</t>
  </si>
  <si>
    <t>Furo em concreto com broca, profundidade máxima de 20cm, Ø 1/2"</t>
  </si>
  <si>
    <t>un</t>
  </si>
  <si>
    <t>CMS C.65.40.000</t>
  </si>
  <si>
    <t>1.4.5.1.2</t>
  </si>
  <si>
    <t>1.4.5.1.3</t>
  </si>
  <si>
    <t>1.4.5.1.4</t>
  </si>
  <si>
    <t>1.4.5.1.5</t>
  </si>
  <si>
    <t>1.4.5.1.6</t>
  </si>
  <si>
    <t>1.4.5.1.7</t>
  </si>
  <si>
    <t>1.4.5.1.8</t>
  </si>
  <si>
    <t>1.4.5.1.9</t>
  </si>
  <si>
    <t>1.4.5.1.10</t>
  </si>
  <si>
    <t>1.4.5.1.11</t>
  </si>
  <si>
    <t>1.4.5.1.12</t>
  </si>
  <si>
    <t>1.4.5.1.13</t>
  </si>
  <si>
    <t>1.4.5.1.14</t>
  </si>
  <si>
    <t>1.4.5.2.1</t>
  </si>
  <si>
    <t>Escarificação manual de concreto, corte com profundidade até 3cm</t>
  </si>
  <si>
    <t>1.4.5.2.2</t>
  </si>
  <si>
    <t>1.4.5.2.3</t>
  </si>
  <si>
    <t>1.4.5.2.4</t>
  </si>
  <si>
    <t>1.4.5.2.5</t>
  </si>
  <si>
    <t>1.4.5.2.6</t>
  </si>
  <si>
    <t>1.4.5.2.7</t>
  </si>
  <si>
    <t>1.4.5.2.8</t>
  </si>
  <si>
    <t>1.4.5.2.9</t>
  </si>
  <si>
    <t>1.4.5.2.10</t>
  </si>
  <si>
    <t>1.4.5.2.11</t>
  </si>
  <si>
    <t>1.4.5.2.12</t>
  </si>
  <si>
    <t>1.4.5.2.13</t>
  </si>
  <si>
    <t>1.4.6.1.1</t>
  </si>
  <si>
    <t>MC.011C</t>
  </si>
  <si>
    <t>Resina estrutural base epóxi injetável em furos, Ø=&lt; 32mm (inclusive colagem da armadura), fornecimento e aplicação</t>
  </si>
  <si>
    <t>dm³</t>
  </si>
  <si>
    <t>CMS C.65.45.000</t>
  </si>
  <si>
    <t>1.4.6.1.2</t>
  </si>
  <si>
    <t>1.4.6.1.3</t>
  </si>
  <si>
    <t>1.4.6.1.4</t>
  </si>
  <si>
    <t>1.4.6.1.5</t>
  </si>
  <si>
    <t>1.4.6.1.6</t>
  </si>
  <si>
    <t>1.4.6.1.7</t>
  </si>
  <si>
    <t>1.4.6.1.8</t>
  </si>
  <si>
    <t>1.4.6.1.9</t>
  </si>
  <si>
    <t>1.4.6.1.10</t>
  </si>
  <si>
    <t>1.4.6.1.11</t>
  </si>
  <si>
    <t>1.4.6.1.12</t>
  </si>
  <si>
    <t>1.4.6.1.13</t>
  </si>
  <si>
    <t>1.4.6.1.14</t>
  </si>
  <si>
    <t>2.1.1.1.1</t>
  </si>
  <si>
    <t>2017</t>
  </si>
  <si>
    <t>MC.046D</t>
  </si>
  <si>
    <t>Moinho com peso acima de 80t - Moinho vertical para remoagem. Diâmetro (mm) = 4.242_x000D_
Altura (mm) = 14.655. Peso: 148.1 t - MO-2017-04</t>
  </si>
  <si>
    <t>t</t>
  </si>
  <si>
    <t>CMS D.10.20.000</t>
  </si>
  <si>
    <t>2.1.1.1.2</t>
  </si>
  <si>
    <t>2057</t>
  </si>
  <si>
    <t>Moinho com peso acima de 80t - Moinho vertical para remoagem. Diâmetro (mm) = 4.242_x000D_
Altura (mm) = 14.655. Peso: 148.1 t - MO-2057-04</t>
  </si>
  <si>
    <t>2.2.1.1.1</t>
  </si>
  <si>
    <t>MC.048D</t>
  </si>
  <si>
    <t>Manômetro - TAG: PI-2017-303A/B/C/D/E/F</t>
  </si>
  <si>
    <t xml:space="preserve">un </t>
  </si>
  <si>
    <t>CMS D.30.60.000</t>
  </si>
  <si>
    <t>2.2.1.1.2</t>
  </si>
  <si>
    <t>Manômetro - TAG: PI-2057-803A/B/C/D/E/F</t>
  </si>
  <si>
    <t>2.2.1.2.1</t>
  </si>
  <si>
    <t>Transmissor de temperatura - TAG: TIT-2017-303I</t>
  </si>
  <si>
    <t>2.2.1.2.2</t>
  </si>
  <si>
    <t>Transmissor de temperatura - TAG: TIT-2057-803I</t>
  </si>
  <si>
    <t>2.2.1.2.3</t>
  </si>
  <si>
    <t>Conversor de sinal 4-20mA/FF - TAG: XT-2017-803A/B</t>
  </si>
  <si>
    <t>2.2.1.2.4</t>
  </si>
  <si>
    <t>Conversor de sinal 4-20mA/FF - TAG: XT-2057-803A/B</t>
  </si>
  <si>
    <t>2.2.1.3.1</t>
  </si>
  <si>
    <t>Chave de vazão - R 1-1/2" - TAG: FSL-2017-303A/B / FSLL-2017-303A/B</t>
  </si>
  <si>
    <t>2.2.1.3.2</t>
  </si>
  <si>
    <t>Chave de vazão - R 1-1/2" - TAG: FSL-2057-803A/B / FSLL-2057-803A/B</t>
  </si>
  <si>
    <t>2.2.1.4.1</t>
  </si>
  <si>
    <t>Caixa de ligação de motor - TAG: NA</t>
  </si>
  <si>
    <t>2.2.1.4.2</t>
  </si>
  <si>
    <t>2.2.1.4.3</t>
  </si>
  <si>
    <t>Caixa de ligação/junção de equipamentos - TAG: CJ-MO201704-01@05</t>
  </si>
  <si>
    <t>2.2.1.4.4</t>
  </si>
  <si>
    <t>Caixa de ligação/junção de equipamentos - TAG: CJ-MO205704-01@05</t>
  </si>
  <si>
    <t>2.2.1.4.5</t>
  </si>
  <si>
    <t>Miscêlaneas de instrumentação - TAG: NA</t>
  </si>
  <si>
    <t>2.2.1.4.6</t>
  </si>
  <si>
    <t>2.2.1.4.7</t>
  </si>
  <si>
    <t>Acessórios de instrumentação - TAG: NA</t>
  </si>
  <si>
    <t>2.2.1.4.8</t>
  </si>
  <si>
    <t>2.2.2.1.1</t>
  </si>
  <si>
    <t>Válvula auto operada -  Ø 1/4" - TAG: PCV-2017-303A/D/E/F</t>
  </si>
  <si>
    <t>2.2.2.1.2</t>
  </si>
  <si>
    <t>Válvula auto operada -  Ø 1/4" - TAG: PCV-2057-803A/D/E/F</t>
  </si>
  <si>
    <t>2.2.2.2.1</t>
  </si>
  <si>
    <t>Válvula de controle modulado tipo dardo com transmissor de posição e posicionador - TAG: FV-2017-231A/B / FV-2017-233A/B</t>
  </si>
  <si>
    <t>2.2.2.2.2</t>
  </si>
  <si>
    <t>Válvula de controle modulado tipo dardo com transmissor de posição e posicionador - TAG: FV-2057-731A/B / FV-2057-733A/B</t>
  </si>
  <si>
    <t>2.2.2.3.1</t>
  </si>
  <si>
    <t>Válvula solenóide - TAG: SV-2017-303A</t>
  </si>
  <si>
    <t>2.2.2.3.2</t>
  </si>
  <si>
    <t>Válvula solenóide - TAG: SV-2057-803A</t>
  </si>
  <si>
    <t>2.2.2.4.1</t>
  </si>
  <si>
    <t>Sensor de temperatura - TAG: TE-2017-303A@I</t>
  </si>
  <si>
    <t>2.2.2.4.2</t>
  </si>
  <si>
    <t>Sensor de temperatura - TAG: TE-2057-803A@I</t>
  </si>
  <si>
    <t>2.2.2.4.3</t>
  </si>
  <si>
    <t>Sensor de vibração - TAG: VT-2017-303A/B</t>
  </si>
  <si>
    <t>2.2.2.4.4</t>
  </si>
  <si>
    <t>Sensor de vibração - TAG: VT-2057-803A/B</t>
  </si>
  <si>
    <t>2.2.2.4.5</t>
  </si>
  <si>
    <t>Sensor indutivo - Fim de curso - TAG: ZS-2017-303A</t>
  </si>
  <si>
    <t>2.2.2.4.6</t>
  </si>
  <si>
    <t>Sensor indutivo - Fim de curso - TAG: ZS-2057-803A</t>
  </si>
  <si>
    <t>2.2.2.4.7</t>
  </si>
  <si>
    <t>Pressostato diferencial - TAG: PDSH-2017-303A/B</t>
  </si>
  <si>
    <t>2.2.2.4.8</t>
  </si>
  <si>
    <t>Pressostato diferencial - TAG: PDSH-2057-803A/B</t>
  </si>
  <si>
    <t>2.2.2.4.9</t>
  </si>
  <si>
    <t>Pressostato - TAG: PSL-2017-303A</t>
  </si>
  <si>
    <t>2.2.2.4.10</t>
  </si>
  <si>
    <t>Pressostato - TAG: PSL-2057-803A</t>
  </si>
  <si>
    <t>2.2.2.4.11</t>
  </si>
  <si>
    <t>Termostato - TAG: TSH-2017-303A</t>
  </si>
  <si>
    <t>2.2.2.4.12</t>
  </si>
  <si>
    <t>Termostato - TAG: TSH/2057-803A</t>
  </si>
  <si>
    <t>2.2.2.5.1</t>
  </si>
  <si>
    <t>Indicador de temperatura - TAG: TI-2017-303A</t>
  </si>
  <si>
    <t>2.2.2.5.2</t>
  </si>
  <si>
    <t>Indicador de temperatura - TAG: TI-2029-803A</t>
  </si>
  <si>
    <t>2.3.1.1.1</t>
  </si>
  <si>
    <t>MC.047D</t>
  </si>
  <si>
    <t>Chute - TAG: CH-2017-04</t>
  </si>
  <si>
    <t>CMS D.50.10.000</t>
  </si>
  <si>
    <t>2.3.1.1.2</t>
  </si>
  <si>
    <t>Chute - TAG: CH-2057-04</t>
  </si>
  <si>
    <t>2.3.1.2.1</t>
  </si>
  <si>
    <t>Distribuidores de Fluxo - TAG: DI-2017-07</t>
  </si>
  <si>
    <t>2.3.1.2.2</t>
  </si>
  <si>
    <t>Distribuidores de Fluxo - TAG: DI-2017-08</t>
  </si>
  <si>
    <t>2.3.1.2.3</t>
  </si>
  <si>
    <t>Distribuidores de Fluxo - TAG: DI-2057-07</t>
  </si>
  <si>
    <t>2.3.1.2.4</t>
  </si>
  <si>
    <t>Distribuidores de Fluxo - TAG: DI-2057-08</t>
  </si>
  <si>
    <t>2.3.1.3.1</t>
  </si>
  <si>
    <t>Miscelâneas Metálicas</t>
  </si>
  <si>
    <t>2.3.1.3.2</t>
  </si>
  <si>
    <t>2.4.1.1.1</t>
  </si>
  <si>
    <t>Mangote de borracha, fabricado em borracha natural, para uso com polpa de minério de cobre, classe de pressão 150 libras, reforçado com alma de aço, extremidades flangeadas conforme ASME B 16.5, classe 150 #, face plana., inclusive conexôes, Ø8".</t>
  </si>
  <si>
    <t>2.4.1.1.2</t>
  </si>
  <si>
    <t>2.4.1.2.1</t>
  </si>
  <si>
    <t>Tubulação de Aço Carbono ASTM A 53 Gr B-S, SCH.STD. WT, C /Extr. para Solda de Topo, inclusive Conexões 14”</t>
  </si>
  <si>
    <t>2.4.1.2.2</t>
  </si>
  <si>
    <t>2.4.1.3.1</t>
  </si>
  <si>
    <t>Tubo de aço carbono, sem pintura, EFW helicoidal, ASTM A 139 Gr. B / ASME B 36.10, espessura do tubo 4,75 mm, revestimento interno (RI) em poliuretano com espessura de 8,0 mm, extremidade preparada para Flange, inclusive conexões, Ø10".</t>
  </si>
  <si>
    <t>2.4.1.3.2</t>
  </si>
  <si>
    <t>2.4.1.4.1</t>
  </si>
  <si>
    <t>Tubo de aço carbono, sem pintura, EFW helicoidal, ASTM A 139 Gr. B / ASME B 36.10, espessura do tubo 6,35 mm, revestimento interno (RI) em poliuretano com espessura de 12,0 mm, extremidade preparada para para Flange, inclusive conexões, Ø18".</t>
  </si>
  <si>
    <t>2.4.1.4.2</t>
  </si>
  <si>
    <t>2.4.1.5.1</t>
  </si>
  <si>
    <t>Tubo em Polietileno de Alta Densidade (PEAD), classe PN 10, extremidades planas, dimensões conforme ISO 4427 PE 100, com inibidor de raios ultra violeta., inclusive Conexões e Válvulas  75mm</t>
  </si>
  <si>
    <t>2.4.1.5.2</t>
  </si>
  <si>
    <t>2.5.1.1.1</t>
  </si>
  <si>
    <t>MC.049D</t>
  </si>
  <si>
    <t>Cabo com isolação em EPR e cobertura em PVC - Bipolar - Classe de Tensão 0,6/1kV - Seção 2 x 4 mm2</t>
  </si>
  <si>
    <t>m</t>
  </si>
  <si>
    <t>CMS D.70.10.000</t>
  </si>
  <si>
    <t>2.5.1.1.2</t>
  </si>
  <si>
    <t>2.5.1.1.3</t>
  </si>
  <si>
    <t>Cabo com isolação em EPR e cobertura em PVC - Tetrapolar - Classe de Tensão 0,6/1kV - Seção 4 x 4 mm2</t>
  </si>
  <si>
    <t>2.5.1.1.4</t>
  </si>
  <si>
    <t>2.5.1.1.5</t>
  </si>
  <si>
    <t>Cabo com isolação em EPR e cobertura em PVC - Tetrapolar - Classe de Tensão 0,6/1kV - Seção 4 x 6 mm2</t>
  </si>
  <si>
    <t>2.5.1.1.6</t>
  </si>
  <si>
    <t>2.5.1.2.1</t>
  </si>
  <si>
    <t>Cabo tripolar com condutor concêntrico e blindagem, encordoamento classe 5, com isolação sólida extrudada de EPR e cobertura flexível de PVC- Seção 3x120mm2+1x70mm2 - Classe de Tensão 0,6/1kV.</t>
  </si>
  <si>
    <t>2.5.1.2.2</t>
  </si>
  <si>
    <t>2.5.1.3.1</t>
  </si>
  <si>
    <t>Cabo com isolação em EPR - Singelo - Classe de Tensão 3,6/6kV - Seção 70 mm2</t>
  </si>
  <si>
    <t>2.5.1.3.2</t>
  </si>
  <si>
    <t>2.5.1.4.1</t>
  </si>
  <si>
    <t>Cabo de cobre unipolar classe 5, com isolação em PVC - 750V - seção 2,5mm²</t>
  </si>
  <si>
    <t>2.5.1.4.2</t>
  </si>
  <si>
    <t>2.5.2.1.1</t>
  </si>
  <si>
    <t>Cabo de instrumentação, condutores de cobre nu, blindagem total, encordoamento classe 2, isolação em PVC antichama, temperatura de serviço 70ºC, 300/600V, condutores numerados - Seção 2 x 0,75mm2</t>
  </si>
  <si>
    <t>2.5.2.1.2</t>
  </si>
  <si>
    <t>2.5.2.1.3</t>
  </si>
  <si>
    <t>Cabo de instrumentação, condutores de cobre nu, blindagem total, encordoamento classe 2, isolação em PVC antichama, temperatura de serviço 70ºC, 300/600V, condutores numerados - Seção 2 x 1,00mm2</t>
  </si>
  <si>
    <t>2.5.2.1.4</t>
  </si>
  <si>
    <t>2.5.2.1.5</t>
  </si>
  <si>
    <t>Cabo de instrumentação flexível, condutores de cobre estanhado, blindagem individual (por trio) e total, classe 2, isolação em PVC anti-chama, 70ºC, 300/600V, condutores nas cores BRANCO, PRETO e VERMELHO - 8T x 0,50mm2</t>
  </si>
  <si>
    <t>2.5.2.1.6</t>
  </si>
  <si>
    <t>2.5.2.2.1</t>
  </si>
  <si>
    <t>Cabo de controle, condutores de cobre nu, sem blindagem, encordoamento classe 5, isolação em PVC antichama, temperatura de serviço 70ºC, 0,6/1kV, condutores numerados - Seção 3 x 1,5mm2</t>
  </si>
  <si>
    <t>2.5.2.2.2</t>
  </si>
  <si>
    <t>2.5.2.2.3</t>
  </si>
  <si>
    <t>Cabo de controle, condutores de cobre nu, sem blindagem, encordoamento classe 5, isolação em PVC antichama, temperatura de serviço 70ºC, 0,6/1kV, condutores numerados - Seção 5 x 1,5mm2</t>
  </si>
  <si>
    <t>2.5.2.2.4</t>
  </si>
  <si>
    <t>2.5.2.2.5</t>
  </si>
  <si>
    <t>Cabo de controle, condutores de cobre nu, sem blindagem, encordoamento classe 5, isolação em PVC antichama, temperatura de serviço 70ºC, 0,6/1kV, condutores numerados - Seção 7 x 1,5mm2</t>
  </si>
  <si>
    <t>2.5.2.2.6</t>
  </si>
  <si>
    <t>2.5.2.2.7</t>
  </si>
  <si>
    <t>Cabo de controle, condutores de cobre nu, sem blindagem, encordoamento classe 5, isolação em PVC antichama, temperatura de serviço 70ºC, 0,6/1kV, condutores numerados - Seção 16 x 1,5mm2</t>
  </si>
  <si>
    <t>2.5.2.2.8</t>
  </si>
  <si>
    <t>2.5.3.1.1</t>
  </si>
  <si>
    <t>Eletrodutos rígidos ,em aço galv.,c/acessórios, ø 3/4", peça de 3m</t>
  </si>
  <si>
    <t>CMS D.70.30.000</t>
  </si>
  <si>
    <t>2.5.3.1.2</t>
  </si>
  <si>
    <t>2.5.3.1.3</t>
  </si>
  <si>
    <t>Eletrodutos rígidos ,em aço galv.,c/acessórios, ø 1", peça de 3m</t>
  </si>
  <si>
    <t>2.5.3.1.4</t>
  </si>
  <si>
    <t>2.5.3.1.5</t>
  </si>
  <si>
    <t>Eletrodutos rígidos ,em aço galv.,c/acessórios, ø 1 1/2", peça de 3m</t>
  </si>
  <si>
    <t>2.5.3.1.6</t>
  </si>
  <si>
    <t>2.5.3.1.7</t>
  </si>
  <si>
    <t>Eletrodutos rígidos ,em aço galv.,c/acessórios, ø 2", peça de 3m</t>
  </si>
  <si>
    <t>2.5.3.1.8</t>
  </si>
  <si>
    <t>2.5.3.1.9</t>
  </si>
  <si>
    <t>Eletrodutos rígidos ,em aço galv.,c/acessórios, ø 3", peça de 3m</t>
  </si>
  <si>
    <t>2.5.3.1.10</t>
  </si>
  <si>
    <t>2.5.3.1.11</t>
  </si>
  <si>
    <t>Eletrodutos rígidos ,em aço galv.,c/acessórios, ø 4", peça de 3m</t>
  </si>
  <si>
    <t>2.5.3.1.12</t>
  </si>
  <si>
    <t>2.5.3.2.1</t>
  </si>
  <si>
    <t>Eletrodutos flexíveis,em aço galv., tipo seal tubo, c/acessórios, ø 3/4"</t>
  </si>
  <si>
    <t>2.5.3.2.2</t>
  </si>
  <si>
    <t>2.5.3.2.3</t>
  </si>
  <si>
    <t>Eletrodutos flexíveis,em aço galv., tipo seal tubo, c/acessórios, ø 1"</t>
  </si>
  <si>
    <t>2.5.3.2.4</t>
  </si>
  <si>
    <t>2.5.3.2.5</t>
  </si>
  <si>
    <t>Eletrodutos flexíveis,em aço galv., tipo seal tubo, c/acessórios, ø 1 1/2"</t>
  </si>
  <si>
    <t>2.5.3.2.6</t>
  </si>
  <si>
    <t>2.5.3.2.7</t>
  </si>
  <si>
    <t>Eletrodutos flexíveis,em aço galv., tipo seal tubo, c/acessórios, ø 2"</t>
  </si>
  <si>
    <t>2.5.3.2.8</t>
  </si>
  <si>
    <t>2.5.3.2.9</t>
  </si>
  <si>
    <t>Eletrodutos flexíveis,em aço galv., tipo seal tubo, c/acessórios, ø 3"</t>
  </si>
  <si>
    <t>2.5.3.2.10</t>
  </si>
  <si>
    <t>2.5.3.2.11</t>
  </si>
  <si>
    <t>Eletrodutos flexíveis,em aço galv., tipo seal tubo, c/acessórios, ø 4"</t>
  </si>
  <si>
    <t>2.5.3.2.12</t>
  </si>
  <si>
    <t>2.5.4.1.1</t>
  </si>
  <si>
    <t>Leito para cabos,  tipo médio, em chapa de aço galvanizada a fogo , c/ acessórios, altura de 100 mm, largura de 200 mm</t>
  </si>
  <si>
    <t>2.5.4.1.2</t>
  </si>
  <si>
    <t>2.5.5.1.1</t>
  </si>
  <si>
    <t>MC.050D</t>
  </si>
  <si>
    <t>Projetor, lampada vapor de sódio, 150 W, com reator</t>
  </si>
  <si>
    <t>pç</t>
  </si>
  <si>
    <t>CMS D.70.60.000</t>
  </si>
  <si>
    <t>2.5.5.1.2</t>
  </si>
  <si>
    <t>2.5.6.1.1</t>
  </si>
  <si>
    <t>Botoeira de comando local</t>
  </si>
  <si>
    <t>2.5.6.1.2</t>
  </si>
  <si>
    <t>2.5.6.2.1</t>
  </si>
  <si>
    <t>Caixa de passagem, metálica, dimensões 445x350x205mm</t>
  </si>
  <si>
    <t>2.5.6.2.2</t>
  </si>
  <si>
    <t>2.5.7.1.1</t>
  </si>
  <si>
    <t>Cabo de cobre nu, Seção 25mm2</t>
  </si>
  <si>
    <t>CMS D.70.70.000</t>
  </si>
  <si>
    <t>2.5.7.1.2</t>
  </si>
  <si>
    <t>2.5.7.1.3</t>
  </si>
  <si>
    <t>Cabo de cobre nu, Seção 35mm2</t>
  </si>
  <si>
    <t>2.5.7.1.4</t>
  </si>
  <si>
    <t>2.6.1.1.1</t>
  </si>
  <si>
    <t>Estrutura metálica leve ou perfilados (até 25kg/m) ASTM A36</t>
  </si>
  <si>
    <t>2.6.1.1.2</t>
  </si>
  <si>
    <t>2.6.1.2.1</t>
  </si>
  <si>
    <t>Estrutura metálica leve ou perfilados (até 25kg/m) ASTM A572 Gr50</t>
  </si>
  <si>
    <t>2.6.1.2.2</t>
  </si>
  <si>
    <t>2.6.1.2.3</t>
  </si>
  <si>
    <t>Estrutura metálica média ou perfilados (25@80kg/m) ASTM A572 Gr50</t>
  </si>
  <si>
    <t>2.6.1.2.4</t>
  </si>
  <si>
    <t>2.6.1.3.1</t>
  </si>
  <si>
    <t>Grade de piso altura 30 mm ASTM A36</t>
  </si>
  <si>
    <t>2.6.1.3.2</t>
  </si>
  <si>
    <t>2.6.1.4.1</t>
  </si>
  <si>
    <t>2.6.1.4.2</t>
  </si>
  <si>
    <t>3.1.1.1.1</t>
  </si>
  <si>
    <t>MC.051L</t>
  </si>
  <si>
    <t>Aluguel de Guindaste 70 ton - _regime de 24hs/dia - Suporte Técnico para Pré-Comissionamento, Comissionamento e Testes de Performance</t>
  </si>
  <si>
    <t>CMS L.05.05.000</t>
  </si>
  <si>
    <t>3.1.1.1.2</t>
  </si>
  <si>
    <t>Aluguel de Guindaste 70 ton - _regime de 24hs/dia - Por Demanda</t>
  </si>
  <si>
    <t>serv/dia</t>
  </si>
  <si>
    <t>3.1.1.2.1</t>
  </si>
  <si>
    <t>Aluguel de plataforma elevatória - 16 metros_regime de 24hs/dia - Suporte Técnico para Pré-Comissionamento, Comissionamento</t>
  </si>
  <si>
    <t>CMS L.05.10.000</t>
  </si>
  <si>
    <t>3.1.1.2.2</t>
  </si>
  <si>
    <t>Aluguel de plataforma elevatória - 42 metros_regime de 24hs/dia - Por Demanda</t>
  </si>
  <si>
    <t>3.1.2.1.1</t>
  </si>
  <si>
    <t>Aluguel de Caminhão tipo Munck 27 ton - _regime de 24hs/dia - Suporte Técnico para Pré-Comissionamento, Comissionamento</t>
  </si>
  <si>
    <t>CMS L.05.20.000</t>
  </si>
  <si>
    <t>3.1.2.1.2</t>
  </si>
  <si>
    <t>Aluguel de Caminhão tipo Munck 27 ton - _regime de 24hs/dia - Por Demanda</t>
  </si>
  <si>
    <t>3.1.2.2.1</t>
  </si>
  <si>
    <t>Aluguel de Veículos de apoio leve - _regime de 24hs/dia - Suporte Técnico para Pré-Comissionamento, Comissionamento</t>
  </si>
  <si>
    <t>3.1.2.2.2</t>
  </si>
  <si>
    <t>Aluguel de Veículos de apoio médio - _regime de 24hs/dia - Suporte Técnico para Pré-Comissionamento, Comissionamento</t>
  </si>
  <si>
    <t>3.1.2.2.3</t>
  </si>
  <si>
    <t>Aluguel de ônibus - _regime de 24hs/dia - Suporte Técnico para Pré-Comissionamento, Comissionamento e Testes de Performance</t>
  </si>
  <si>
    <t>3.1.3.1.1</t>
  </si>
  <si>
    <t>MC.052L</t>
  </si>
  <si>
    <t>Andaime Tubular como todos os acessórios (inclusive sapatas, escadas, guarda-corpo, rodapé) - Por Demanda</t>
  </si>
  <si>
    <t>m/dia</t>
  </si>
  <si>
    <t>CMS L.05.30.000</t>
  </si>
  <si>
    <t>3.1.3.1.2</t>
  </si>
  <si>
    <t>Andaime Tubular como todos os acessórios (inclusive sapatas, escadas, guarda-corpo, rodapé) - Suporte Técnico para Pré-Comissionamento, Comissionamento</t>
  </si>
  <si>
    <t>m x mês</t>
  </si>
  <si>
    <t>3.2.1.1.1</t>
  </si>
  <si>
    <t>MC.053L</t>
  </si>
  <si>
    <t>Carpinteiro - Suporte Técnico para Pré-Comissionamento, Comissionamento e Testes de Performance - Hora Normal</t>
  </si>
  <si>
    <t>h</t>
  </si>
  <si>
    <t>CMS L.10.05.000</t>
  </si>
  <si>
    <t>3.2.1.1.2</t>
  </si>
  <si>
    <t>Carpinteiro - Suporte Técnico para Pré-Comissionamento, Comissionamento e Testes de Performance - Hora Extra 50%</t>
  </si>
  <si>
    <t>3.2.1.1.3</t>
  </si>
  <si>
    <t>Carpinteiro - Suporte Técnico para Pré-Comissionamento, Comissionamento e Testes de Performance - Hora Extra 100%</t>
  </si>
  <si>
    <t>3.2.1.1.4</t>
  </si>
  <si>
    <t>Carpinteiro - Suporte Técnico para Pré-Comissionamento, Comissionamento e Testes de Performance - Hora Normal - Com adicional noturno</t>
  </si>
  <si>
    <t>3.2.1.1.5</t>
  </si>
  <si>
    <t>Carpinteiro - Suporte Técnico para Pré-Comissionamento, Comissionamento e Testes de Performance - Hora Extra 50% -  Com adicional noturno</t>
  </si>
  <si>
    <t>3.2.1.1.6</t>
  </si>
  <si>
    <t>Carpinteiro - Suporte Técnico para Pré-Comissionamento, Comissionamento e Testes de Performance - Hora Extra 100%  - Com adicional noturno</t>
  </si>
  <si>
    <t>3.2.2.1.1</t>
  </si>
  <si>
    <t>Inspetor de Ultrassom - Mão-de-Obra de Montagem por Demanda - Hora Normal</t>
  </si>
  <si>
    <t>3.2.2.1.2</t>
  </si>
  <si>
    <t>Inspetor de Ultrassom - Mão-de-Obra de Montagem por Demanda - Hora Extra 50%</t>
  </si>
  <si>
    <t>3.2.2.1.3</t>
  </si>
  <si>
    <t>Inspetor de Ultrassom - Mão-de-Obra de Montagem por Demanda - Hora Extra 100%</t>
  </si>
  <si>
    <t>3.2.2.1.4</t>
  </si>
  <si>
    <t>Inspetor de Ultrassom - Mão-de-Obra de Montagem por Demanda - Hora Normal - Com adicional noturno</t>
  </si>
  <si>
    <t>3.2.2.1.5</t>
  </si>
  <si>
    <t>Inspetor de Ultrassom - Mão-de-Obra de Montagem por Demanda - Hora Extra 50% -  Com adicional noturno</t>
  </si>
  <si>
    <t>3.2.2.1.6</t>
  </si>
  <si>
    <t>Inspetor de Ultrassom - Mão-de-Obra de Montagem por Demanda - Hora Extra 100%  - Com adicional noturno</t>
  </si>
  <si>
    <t>3.2.2.1.7</t>
  </si>
  <si>
    <t>Montador de Andaime - Mão-de-Obra de Montagem por Demanda - Hora Normal</t>
  </si>
  <si>
    <t>3.2.2.1.8</t>
  </si>
  <si>
    <t>Montador de Andaime - Mão-de-Obra de Montagem por Demanda - Hora Extra 50%</t>
  </si>
  <si>
    <t>3.2.2.1.9</t>
  </si>
  <si>
    <t>Montador de Andaime - Mão-de-Obra de Montagem por Demanda - Hora Extra 100%</t>
  </si>
  <si>
    <t>3.2.2.1.10</t>
  </si>
  <si>
    <t>Montador de Andaime - Mão-de-Obra de Montagem por Demanda - Hora Normal - Com adicional noturno</t>
  </si>
  <si>
    <t>3.2.2.1.11</t>
  </si>
  <si>
    <t>Montador de Andaime - Mão-de-Obra de Montagem por Demanda - Hora Extra 50% -  Com adicional noturno</t>
  </si>
  <si>
    <t>3.2.2.1.12</t>
  </si>
  <si>
    <t>Montador de Andaime - Mão-de-Obra de Montagem por Demanda - Hora Extra 100%  - Com adicional noturno</t>
  </si>
  <si>
    <t>3.2.2.1.13</t>
  </si>
  <si>
    <t>Montador de Andaime - Suporte Técnico para Pré-Comissionamento, Comissionamento e Testes de Performance - Hora Normal</t>
  </si>
  <si>
    <t>3.2.2.1.14</t>
  </si>
  <si>
    <t>Montador de Andaime - Suporte Técnico para Pré-Comissionamento, Comissionamento e Testes de Performance - Hora Extra 50%</t>
  </si>
  <si>
    <t>3.2.2.1.15</t>
  </si>
  <si>
    <t>Montador de Andaime - Suporte Técnico para Pré-Comissionamento, Comissionamento e Testes de Performance - Hora Extra 100%</t>
  </si>
  <si>
    <t>3.2.2.1.16</t>
  </si>
  <si>
    <t>Montador de Andaime - Suporte Técnico para Pré-Comissionamento, Comissionamento e Testes de Performance - Hora Normal - Com adicional noturno</t>
  </si>
  <si>
    <t>3.2.2.1.17</t>
  </si>
  <si>
    <t>Montador de Andaime - Suporte Técnico para Pré-Comissionamento, Comissionamento e Testes de Performance - Hora Extra 50% -  Com adicional noturno</t>
  </si>
  <si>
    <t>3.2.2.1.18</t>
  </si>
  <si>
    <t>Montador de Andaime - Suporte Técnico para Pré-Comissionamento, Comissionamento e Testes de Performance - Hora Extra 100%  - Com adicional noturno</t>
  </si>
  <si>
    <t>3.2.2.1.19</t>
  </si>
  <si>
    <t>Instrumentista - Suporte Técnico para Pré-Comissionamento, Comissionamento e Testes de Performance - Hora Normal</t>
  </si>
  <si>
    <t>3.2.2.1.20</t>
  </si>
  <si>
    <t>Instrumentista - Suporte Técnico para Pré-Comissionamento, Comissionamento e Testes de Performance - Hora Extra 50%</t>
  </si>
  <si>
    <t>3.2.2.1.21</t>
  </si>
  <si>
    <t>Instrumentista - Suporte Técnico para Pré-Comissionamento, Comissionamento e Testes de Performance - Hora Extra 100%</t>
  </si>
  <si>
    <t>3.2.2.1.22</t>
  </si>
  <si>
    <t>Instrumentista - Suporte Técnico para Pré-Comissionamento, Comissionamento e Testes de Performance - Hora Normal - Com adicional noturno</t>
  </si>
  <si>
    <t>3.2.2.1.23</t>
  </si>
  <si>
    <t>Instrumentista - Suporte Técnico para Pré-Comissionamento, Comissionamento e Testes de Performance - Hora Extra 50% -  Com adicional noturno</t>
  </si>
  <si>
    <t>3.2.2.1.24</t>
  </si>
  <si>
    <t>Instrumentista - Suporte Técnico para Pré-Comissionamento, Comissionamento e Testes de Performance - Hora Extra 100%  - Com adicional noturno</t>
  </si>
  <si>
    <t>3.2.2.1.25</t>
  </si>
  <si>
    <t>Maçariqueiro - Mão-de-Obra de Montagem por Demanda - Hora Normal</t>
  </si>
  <si>
    <t>3.2.2.1.26</t>
  </si>
  <si>
    <t>Maçariqueiro - Mão-de-Obra de Montagem por Demanda - Hora Extra 50%</t>
  </si>
  <si>
    <t>3.2.2.1.27</t>
  </si>
  <si>
    <t>Maçariqueiro - Mão-de-Obra de Montagem por Demanda - Hora Extra 100%</t>
  </si>
  <si>
    <t>3.2.2.1.28</t>
  </si>
  <si>
    <t>Maçariqueiro - Mão-de-Obra de Montagem por Demanda - Hora Normal - Com adicional noturno</t>
  </si>
  <si>
    <t>3.2.2.1.29</t>
  </si>
  <si>
    <t>Maçariqueiro - Mão-de-Obra de Montagem por Demanda - Hora Extra 50% -  Com adicional noturno</t>
  </si>
  <si>
    <t>3.2.2.1.30</t>
  </si>
  <si>
    <t>Maçariqueiro - Mão-de-Obra de Montagem por Demanda - Hora Extra 100%  - Com adicional noturno</t>
  </si>
  <si>
    <t>3.2.2.1.31</t>
  </si>
  <si>
    <t>Maçariqueiro - Suporte Técnico para Pré-Comissionamento, Comissionamento e Testes de Performance - Hora Normal</t>
  </si>
  <si>
    <t>3.2.2.1.32</t>
  </si>
  <si>
    <t>Maçariqueiro - Suporte Técnico para Pré-Comissionamento, Comissionamento e Testes de Performance - Hora Extra 50%</t>
  </si>
  <si>
    <t>3.2.2.1.33</t>
  </si>
  <si>
    <t>Maçariqueiro - Suporte Técnico para Pré-Comissionamento, Comissionamento e Testes de Performance - Hora Extra 100%</t>
  </si>
  <si>
    <t>3.2.2.1.34</t>
  </si>
  <si>
    <t>Maçariqueiro - Suporte Técnico para Pré-Comissionamento, Comissionamento e Testes de Performance - Hora Normal - Com adicional noturno</t>
  </si>
  <si>
    <t>3.2.2.1.35</t>
  </si>
  <si>
    <t>Maçariqueiro - Suporte Técnico para Pré-Comissionamento, Comissionamento e Testes de Performance - Hora Extra 50% -  Com adicional noturno</t>
  </si>
  <si>
    <t>3.2.2.1.36</t>
  </si>
  <si>
    <t>Maçariqueiro - Suporte Técnico para Pré-Comissionamento, Comissionamento e Testes de Performance - Hora Extra 100%  - Com adicional noturno</t>
  </si>
  <si>
    <t>3.2.2.1.37</t>
  </si>
  <si>
    <t>Mecânico Ajustador - Suporte Técnico para Pré-Comissionamento, Comissionamento e Testes de Performance - Hora Normal</t>
  </si>
  <si>
    <t>3.2.2.1.38</t>
  </si>
  <si>
    <t>Mecânico Ajustador - Suporte Técnico para Pré-Comissionamento, Comissionamento e Testes de Performance - Hora Extra 50%</t>
  </si>
  <si>
    <t>3.2.2.1.39</t>
  </si>
  <si>
    <t>Mecânico Ajustador - Suporte Técnico para Pré-Comissionamento, Comissionamento e Testes de Performance - Hora Extra 100%</t>
  </si>
  <si>
    <t>3.2.2.1.40</t>
  </si>
  <si>
    <t>Mecânico Ajustador - Suporte Técnico para Pré-Comissionamento, Comissionamento e Testes de Performance - Hora Normal - Com adicional noturno</t>
  </si>
  <si>
    <t>3.2.2.1.41</t>
  </si>
  <si>
    <t>Mecânico Ajustador - Suporte Técnico para Pré-Comissionamento, Comissionamento e Testes de Performance - Hora Extra 50% -  Com adicional noturno</t>
  </si>
  <si>
    <t>3.2.2.1.42</t>
  </si>
  <si>
    <t>Mecânico Ajustador - Suporte Técnico para Pré-Comissionamento, Comissionamento e Testes de Performance - Hora Extra 100%  - Com adicional noturno</t>
  </si>
  <si>
    <t>3.2.2.1.43</t>
  </si>
  <si>
    <t>Mecânico Montador - Mão-de-Obra de Montagem por Demanda - Hora Normal</t>
  </si>
  <si>
    <t>3.2.2.1.44</t>
  </si>
  <si>
    <t>Mecânico Montador - Mão-de-Obra de Montagem por Demanda - Hora Extra 50%</t>
  </si>
  <si>
    <t>3.2.2.1.45</t>
  </si>
  <si>
    <t>Mecânico Montador - Mão-de-Obra de Montagem por Demanda - Hora Extra 100%</t>
  </si>
  <si>
    <t>3.2.2.1.46</t>
  </si>
  <si>
    <t>Mecânico Montador - Mão-de-Obra de Montagem por Demanda - Hora Normal - Com adicional noturno</t>
  </si>
  <si>
    <t>3.2.2.1.47</t>
  </si>
  <si>
    <t>Mecânico Montador - Mão-de-Obra de Montagem por Demanda - Hora Extra 50% -  Com adicional noturno</t>
  </si>
  <si>
    <t>3.2.2.1.48</t>
  </si>
  <si>
    <t>Mecânico Montador - Mão-de-Obra de Montagem por Demanda - Hora Extra 100%  - Com adicional noturno</t>
  </si>
  <si>
    <t>3.2.2.1.49</t>
  </si>
  <si>
    <t>Mecânico Montador - Suporte Técnico para Pré-Comissionamento, Comissionamento e Testes de Performance - Hora Normal</t>
  </si>
  <si>
    <t>3.2.2.1.50</t>
  </si>
  <si>
    <t>Mecânico Montador - Suporte Técnico para Pré-Comissionamento, Comissionamento e Testes de Performance - Hora Extra 50%</t>
  </si>
  <si>
    <t>3.2.2.1.51</t>
  </si>
  <si>
    <t>Mecânico Montador - Suporte Técnico para Pré-Comissionamento, Comissionamento e Testes de Performance - Hora Extra 100%</t>
  </si>
  <si>
    <t>3.2.2.1.52</t>
  </si>
  <si>
    <t>Mecânico Montador - Suporte Técnico para Pré-Comissionamento, Comissionamento e Testes de Performance - Hora Normal - Com adicional noturno</t>
  </si>
  <si>
    <t>3.2.2.1.53</t>
  </si>
  <si>
    <t>Mecânico Montador - Suporte Técnico para Pré-Comissionamento, Comissionamento e Testes de Performance - Hora Extra 50% -  Com adicional noturno</t>
  </si>
  <si>
    <t>3.2.2.1.54</t>
  </si>
  <si>
    <t>Mecânico Montador - Suporte Técnico para Pré-Comissionamento, Comissionamento e Testes de Performance - Hora Extra 100%  - Com adicional noturno</t>
  </si>
  <si>
    <t>3.2.2.1.55</t>
  </si>
  <si>
    <t>Montador de tubulações de aço - Suporte Técnico para Pré-Comissionamento, Comissionamento e Testes de Performance - Hora Normal</t>
  </si>
  <si>
    <t>3.2.2.1.56</t>
  </si>
  <si>
    <t>Montador de tubulações de aço - Suporte Técnico para Pré-Comissionamento, Comissionamento e Testes de Performance - Hora Extra 50%</t>
  </si>
  <si>
    <t>3.2.2.1.57</t>
  </si>
  <si>
    <t>Montador de tubulações de aço - Suporte Técnico para Pré-Comissionamento, Comissionamento e Testes de Performance - Hora Extra 100%</t>
  </si>
  <si>
    <t>3.2.2.1.58</t>
  </si>
  <si>
    <t>Montador de tubulações de aço - Suporte Técnico para Pré-Comissionamento, Comissionamento e Testes de Performance - Hora Normal - Com adicional noturno</t>
  </si>
  <si>
    <t>3.2.2.1.59</t>
  </si>
  <si>
    <t>Montador de tubulações de aço - Suporte Técnico para Pré-Comissionamento, Comissionamento e Testes de Performance - Hora Extra 50% -  Com adicional noturno</t>
  </si>
  <si>
    <t>3.2.2.1.60</t>
  </si>
  <si>
    <t>Montador de tubulações de aço - Suporte Técnico para Pré-Comissionamento, Comissionamento e Testes de Performance - Hora Extra 100%  - Com adicional noturno</t>
  </si>
  <si>
    <t>3.2.2.1.61</t>
  </si>
  <si>
    <t>Montador de tubulações de aço - Mão-de-Obra de Montagem por Demanda - Hora Normal</t>
  </si>
  <si>
    <t>3.2.2.1.62</t>
  </si>
  <si>
    <t>Montador de tubulações de aço - Mão-de-Obra de Montagem por Demanda - Hora Extra 50%</t>
  </si>
  <si>
    <t>3.2.2.1.63</t>
  </si>
  <si>
    <t>Montador de tubulações de aço - Mão-de-Obra de Montagem por Demanda - Hora Extra 100%</t>
  </si>
  <si>
    <t>3.2.2.1.64</t>
  </si>
  <si>
    <t>Montador de tubulações de aço - Mão-de-Obra de Montagem por Demanda - Hora Normal - Com adicional noturno</t>
  </si>
  <si>
    <t>3.2.2.1.65</t>
  </si>
  <si>
    <t>Montador de tubulações de aço - Mão-de-Obra de Montagem por Demanda - Hora Extra 50% -  Com adicional noturno</t>
  </si>
  <si>
    <t>3.2.2.1.66</t>
  </si>
  <si>
    <t>Montador de tubulações de aço - Mão-de-Obra de Montagem por Demanda - Hora Extra 100%  - Com adicional noturno</t>
  </si>
  <si>
    <t>3.2.2.1.67</t>
  </si>
  <si>
    <t>Pintor Industrial - Suporte Técnico para Pré-Comissionamento, Comissionamento e Testes de Performance - Hora Normal</t>
  </si>
  <si>
    <t>3.2.2.1.68</t>
  </si>
  <si>
    <t>Pintor Industrial - Suporte Técnico para Pré-Comissionamento, Comissionamento e Testes de Performance - Hora Extra 50%</t>
  </si>
  <si>
    <t>3.2.2.1.69</t>
  </si>
  <si>
    <t>Pintor Industrial - Suporte Técnico para Pré-Comissionamento, Comissionamento e Testes de Performance - Hora Extra 100%</t>
  </si>
  <si>
    <t>3.2.2.1.70</t>
  </si>
  <si>
    <t>Pintor Industrial - Suporte Técnico para Pré-Comissionamento, Comissionamento e Testes de Performance - Hora Normal - Com adicional noturno</t>
  </si>
  <si>
    <t>3.2.2.1.71</t>
  </si>
  <si>
    <t>Pintor Industrial - Suporte Técnico para Pré-Comissionamento, Comissionamento e Testes de Performance - Hora Extra 50% -  Com adicional noturno</t>
  </si>
  <si>
    <t>3.2.2.1.72</t>
  </si>
  <si>
    <t>Pintor Industrial - Suporte Técnico para Pré-Comissionamento, Comissionamento e Testes de Performance - Hora Extra 100%  - Com adicional noturno</t>
  </si>
  <si>
    <t>3.2.2.1.73</t>
  </si>
  <si>
    <t>Pintor Industrial - Mão-de-Obra de Montagem por Demanda - Hora Normal</t>
  </si>
  <si>
    <t>3.2.2.1.74</t>
  </si>
  <si>
    <t>Pintor Industrial - Mão-de-Obra de Montagem por Demanda - Hora Extra 50%</t>
  </si>
  <si>
    <t>3.2.2.1.75</t>
  </si>
  <si>
    <t>Pintor Industrial - Mão-de-Obra de Montagem por Demanda - Hora Extra 100%</t>
  </si>
  <si>
    <t>3.2.2.1.76</t>
  </si>
  <si>
    <t>Pintor Industrial - Mão-de-Obra de Montagem por Demanda - Hora Normal - Com adicional noturno</t>
  </si>
  <si>
    <t>3.2.2.1.77</t>
  </si>
  <si>
    <t>Pintor Industrial - Mão-de-Obra de Montagem por Demanda - Hora Extra 50% -  Com adicional noturno</t>
  </si>
  <si>
    <t>3.2.2.1.78</t>
  </si>
  <si>
    <t>Pintor Industrial - Mão-de-Obra de Montagem por Demanda - Hora Extra 100%  - Com adicional noturno</t>
  </si>
  <si>
    <t>3.2.2.1.79</t>
  </si>
  <si>
    <t>Soldador - Mão-de-Obra de Montagem por Demanda - Hora Normal</t>
  </si>
  <si>
    <t>3.2.2.1.80</t>
  </si>
  <si>
    <t>Soldador - Mão-de-Obra de Montagem por Demanda - Hora Extra 50%</t>
  </si>
  <si>
    <t>3.2.2.1.81</t>
  </si>
  <si>
    <t>Soldador - Mão-de-Obra de Montagem por Demanda - Hora Extra 100%</t>
  </si>
  <si>
    <t>3.2.2.1.82</t>
  </si>
  <si>
    <t>Soldador - Mão-de-Obra de Montagem por Demanda - Hora Normal - Com adicional noturno</t>
  </si>
  <si>
    <t>3.2.2.1.83</t>
  </si>
  <si>
    <t>Soldador - Mão-de-Obra de Montagem por Demanda - Hora Extra 50% -  Com adicional noturno</t>
  </si>
  <si>
    <t>3.2.2.1.84</t>
  </si>
  <si>
    <t>Soldador - Mão-de-Obra de Montagem por Demanda - Hora Extra 100%  - Com adicional noturno</t>
  </si>
  <si>
    <t>3.2.2.1.85</t>
  </si>
  <si>
    <t>Soldador - Suporte Técnico para Pré-Comissionamento, Comissionamento e Testes de Performance - Hora Normal</t>
  </si>
  <si>
    <t>3.2.2.1.86</t>
  </si>
  <si>
    <t>Soldador - Suporte Técnico para Pré-Comissionamento, Comissionamento e Testes de Performance - Hora Extra 50%</t>
  </si>
  <si>
    <t>3.2.2.1.87</t>
  </si>
  <si>
    <t>Soldador - Suporte Técnico para Pré-Comissionamento, Comissionamento e Testes de Performance - Hora Extra 100%</t>
  </si>
  <si>
    <t>3.2.2.1.88</t>
  </si>
  <si>
    <t>Soldador - Suporte Técnico para Pré-Comissionamento, Comissionamento e Testes de Performance - Hora Normal - Com adicional noturno</t>
  </si>
  <si>
    <t>3.2.2.1.89</t>
  </si>
  <si>
    <t>Soldador - Suporte Técnico para Pré-Comissionamento, Comissionamento e Testes de Performance - Hora Extra 50% -  Com adicional noturno</t>
  </si>
  <si>
    <t>3.2.2.1.90</t>
  </si>
  <si>
    <t>Soldador - Suporte Técnico para Pré-Comissionamento, Comissionamento e Testes de Performance - Hora Extra 100%  - Com adicional noturno</t>
  </si>
  <si>
    <t>3.2.2.2.1</t>
  </si>
  <si>
    <t>Eletricista Força e Controle - Mão-de-Obra de Montagem por Demanda - Hora Normal</t>
  </si>
  <si>
    <t>3.2.2.2.2</t>
  </si>
  <si>
    <t>Eletricista Força e Controle - Mão-de-Obra de Montagem por Demanda - Hora Extra 50%</t>
  </si>
  <si>
    <t>3.2.2.2.3</t>
  </si>
  <si>
    <t>Eletricista Força e Controle - Mão-de-Obra de Montagem por Demanda - Hora Extra 100%</t>
  </si>
  <si>
    <t>3.2.2.2.4</t>
  </si>
  <si>
    <t>Eletricista Força e Controle - Mão-de-Obra de Montagem por Demanda - Hora Normal - Com adicional noturno</t>
  </si>
  <si>
    <t>3.2.2.2.5</t>
  </si>
  <si>
    <t>Eletricista Força e Controle - Mão-de-Obra de Montagem por Demanda - Hora Extra 50% -  Com adicional noturno</t>
  </si>
  <si>
    <t>3.2.2.2.6</t>
  </si>
  <si>
    <t>Eletricista Força e Controle - Mão-de-Obra de Montagem por Demanda - Hora Extra 100%  - Com adicional noturno</t>
  </si>
  <si>
    <t>3.2.2.2.7</t>
  </si>
  <si>
    <t>Eletricista Força e Controle - Suporte Técnico para Pré-Comissionamento, Comissionamento - Hora Normal</t>
  </si>
  <si>
    <t>3.2.2.2.8</t>
  </si>
  <si>
    <t>Eletricista Força e Controle - Suporte Técnico para Pré-Comissionamento, Comissionamento - Hora Extra 50%</t>
  </si>
  <si>
    <t>3.2.2.2.9</t>
  </si>
  <si>
    <t>Eletricista Força e Controle - Suporte Técnico para Pré-Comissionamento, Comissionamento - Hora Extra 100%</t>
  </si>
  <si>
    <t>3.2.2.2.10</t>
  </si>
  <si>
    <t>Eletricista Força e Controle - Suporte Técnico para Pré-Comissionamento, Comissionamento - Hora Normal - Com adicional noturno</t>
  </si>
  <si>
    <t>3.2.2.2.11</t>
  </si>
  <si>
    <t>Eletricista Força e Controle - Suporte Técnico para Pré-Comissionamento, Comissionamento - Hora Extra 50% -  Com adicional noturno</t>
  </si>
  <si>
    <t>3.2.2.2.12</t>
  </si>
  <si>
    <t>Eletricista Força e Controle - Suporte Técnico para Pré-Comissionamento, Comissionamento - Hora Extra 100%  - Com adicional noturno</t>
  </si>
  <si>
    <t>3.2.2.2.13</t>
  </si>
  <si>
    <t>Eletricista Montador - Mão-de-Obra de Montagem por Demanda - Hora Normal</t>
  </si>
  <si>
    <t>3.2.2.2.14</t>
  </si>
  <si>
    <t>Eletricista Montador - Mão-de-Obra de Montagem por Demanda - Hora Extra 50%</t>
  </si>
  <si>
    <t>3.2.2.2.15</t>
  </si>
  <si>
    <t>Eletricista Montador - Mão-de-Obra de Montagem por Demanda - Hora Extra 100%</t>
  </si>
  <si>
    <t>3.2.2.2.16</t>
  </si>
  <si>
    <t>Eletricista Montador - Mão-de-Obra de Montagem por Demanda - Hora Normal - Com adicional noturno</t>
  </si>
  <si>
    <t>3.2.2.2.17</t>
  </si>
  <si>
    <t>Eletricista Montador - Mão-de-Obra de Montagem por Demanda - Hora Extra 50% -  Com adicional noturno</t>
  </si>
  <si>
    <t>3.2.2.2.18</t>
  </si>
  <si>
    <t>Eletricista Montador - Mão-de-Obra de Montagem por Demanda - Hora Extra 100%  - Com adicional noturno</t>
  </si>
  <si>
    <t>3.2.2.2.19</t>
  </si>
  <si>
    <t>Eletricista Montador - Suporte Técnico para Pré-Comissionamento, Comissionamento - Hora Normal</t>
  </si>
  <si>
    <t>3.2.2.2.20</t>
  </si>
  <si>
    <t>Eletricista Montador - Suporte Técnico para Pré-Comissionamento, Comissionamento - Hora Extra 50%</t>
  </si>
  <si>
    <t>3.2.2.2.21</t>
  </si>
  <si>
    <t>Eletricista Montador - Suporte Técnico para Pré-Comissionamento, Comissionamento - Hora Extra 100%</t>
  </si>
  <si>
    <t>3.2.2.2.22</t>
  </si>
  <si>
    <t>Eletricista Montador - Suporte Técnico para Pré-Comissionamento, Comissionamento - Hora Normal - Com adicional noturno</t>
  </si>
  <si>
    <t>3.2.2.2.23</t>
  </si>
  <si>
    <t>Eletricista Montador - Suporte Técnico para Pré-Comissionamento, Comissionamento - Hora Extra 50% -  Com adicional noturno</t>
  </si>
  <si>
    <t>3.2.2.2.24</t>
  </si>
  <si>
    <t>Eletricista Montador - Suporte Técnico para Pré-Comissionamento, Comissionamento - Hora Extra 100%  - Com adicional noturno</t>
  </si>
  <si>
    <t>3.2.2.3.1</t>
  </si>
  <si>
    <t>Ajudante de serviços gerais - Mão-de-Obra de Montagem por Demanda - Hora Normal</t>
  </si>
  <si>
    <t>3.2.2.3.2</t>
  </si>
  <si>
    <t>Ajudante de serviços gerais - Mão-de-Obra de Montagem por Demanda - Hora Extra 50%</t>
  </si>
  <si>
    <t>3.2.2.3.3</t>
  </si>
  <si>
    <t>Ajudante de serviços gerais - Mão-de-Obra de Montagem por Demanda - Hora Extra 100%</t>
  </si>
  <si>
    <t>3.2.2.3.4</t>
  </si>
  <si>
    <t>Ajudante de serviços gerais - Mão-de-Obra de Montagem por Demanda - Hora Normal - Com adicional noturno</t>
  </si>
  <si>
    <t>3.2.2.3.5</t>
  </si>
  <si>
    <t>Ajudante de serviços gerais - Mão-de-Obra de Montagem por Demanda - Hora Extra 50% -  Com adicional noturno</t>
  </si>
  <si>
    <t>3.2.2.3.6</t>
  </si>
  <si>
    <t>Ajudante de serviços gerais - Mão-de-Obra de Montagem por Demanda - Hora Extra 100%  - Com adicional noturno</t>
  </si>
  <si>
    <t>3.2.2.3.7</t>
  </si>
  <si>
    <t>Ajudante de serviços gerais - Suporte Técnico para Pré-Comissionamento, Comissionamento e Testes de Performance - Hora Normal</t>
  </si>
  <si>
    <t>3.2.2.3.8</t>
  </si>
  <si>
    <t>Ajudante de serviços gerais - Suporte Técnico para Pré-Comissionamento, Comissionamento e Testes de Performance - Hora Extra 50%</t>
  </si>
  <si>
    <t>3.2.2.3.9</t>
  </si>
  <si>
    <t>Ajudante de serviços gerais - Suporte Técnico para Pré-Comissionamento, Comissionamento e Testes de Performance - Hora Extra 100%</t>
  </si>
  <si>
    <t>3.2.2.3.10</t>
  </si>
  <si>
    <t>Ajudante de serviços gerais - Suporte Técnico para Pré-Comissionamento, Comissionamento e Testes de Performance - Hora Normal - Com adicional noturno</t>
  </si>
  <si>
    <t>3.2.2.3.11</t>
  </si>
  <si>
    <t>Ajudante de serviços gerais - Suporte Técnico para Pré-Comissionamento, Comissionamento e Testes de Performance - Hora Extra 50% -  Com adicional noturno</t>
  </si>
  <si>
    <t>3.2.2.3.12</t>
  </si>
  <si>
    <t>Ajudante de serviços gerais - Suporte Técnico para Pré-Comissionamento, Comissionamento e Testes de Performance - Hora Extra 100%  - Com adicional noturno</t>
  </si>
  <si>
    <t>3.2.3.1.1</t>
  </si>
  <si>
    <t>Supervisor de elétrica / instrumentação - Suporte Técnico para Pré-Comissionamento, Comissionamento e Testes de Performance - Hora Normal</t>
  </si>
  <si>
    <t>3.2.3.1.2</t>
  </si>
  <si>
    <t>Supervisor de elétrica / instrumentação - Suporte Técnico para Pré-Comissionamento, Comissionamento e Testes de Performance - Hora Extra 50%</t>
  </si>
  <si>
    <t>3.2.3.1.3</t>
  </si>
  <si>
    <t>Supervisor de elétrica / instrumentação - Suporte Técnico para Pré-Comissionamento, Comissionamento e Testes de Performance - Hora Extra 100%</t>
  </si>
  <si>
    <t>3.2.3.1.4</t>
  </si>
  <si>
    <t>Supervisor de elétrica / instrumentação - Suporte Técnico para Pré-Comissionamento, Comissionamento e Testes de Performance - Hora Normal - Com adicional noturno</t>
  </si>
  <si>
    <t>3.2.3.1.5</t>
  </si>
  <si>
    <t>Supervisor de elétrica / instrumentação - Suporte Técnico para Pré-Comissionamento, Comissionamento e Testes de Performance - Hora Extra 50% -  Com adicional noturno</t>
  </si>
  <si>
    <t>3.2.3.1.6</t>
  </si>
  <si>
    <t>Supervisor de elétrica / instrumentação - Suporte Técnico para Pré-Comissionamento, Comissionamento e Testes de Performance - Hora Extra 100%  - Com adicional noturno</t>
  </si>
  <si>
    <t>3.2.3.1.7</t>
  </si>
  <si>
    <t>Encarregado de elétrica / Instrumentação - Suporte Técnico para Pré-Comissionamento, Comissionamento - Hora Normal</t>
  </si>
  <si>
    <t>3.2.3.1.8</t>
  </si>
  <si>
    <t>Encarregado de elétrica / Instrumentação - Suporte Técnico para Pré-Comissionamento, Comissionamento - Hora Extra 50%</t>
  </si>
  <si>
    <t>3.2.3.1.9</t>
  </si>
  <si>
    <t>Encarregado de elétrica / Instrumentação - Suporte Técnico para Pré-Comissionamento, Comissionamento - Hora Extra 100%</t>
  </si>
  <si>
    <t>3.2.3.1.10</t>
  </si>
  <si>
    <t>Encarregado de elétrica / Instrumentação - Suporte Técnico para Pré-Comissionamento, Comissionamento - Hora Normal - Com adicional noturno</t>
  </si>
  <si>
    <t>3.2.3.1.11</t>
  </si>
  <si>
    <t>Encarregado de elétrica / Instrumentação - Suporte Técnico para Pré-Comissionamento, Comissionamento - Hora Extra 50% -  Com adicional noturno</t>
  </si>
  <si>
    <t>3.2.3.1.12</t>
  </si>
  <si>
    <t>Encarregado de elétrica / Instrumentação - Suporte Técnico para Pré-Comissionamento, Comissionamento - Hora Extra 100%  - Com adicional noturno</t>
  </si>
  <si>
    <t>3.2.3.1.13</t>
  </si>
  <si>
    <t>Supervisor de Montagem - Mão-de-Obra de Montagem por Demanda - Hora Normal</t>
  </si>
  <si>
    <t>3.2.3.1.14</t>
  </si>
  <si>
    <t>Supervisor de Montagem - Mão-de-Obra de Montagem por Demanda - Hora Extra 50%</t>
  </si>
  <si>
    <t>3.2.3.1.15</t>
  </si>
  <si>
    <t>Supervisor de Montagem - Mão-de-Obra de Montagem por Demanda - Hora Extra 100%</t>
  </si>
  <si>
    <t>3.2.3.1.16</t>
  </si>
  <si>
    <t>Supervisor de Montagem - Mão-de-Obra de Montagem por Demanda - Hora Normal - Com adicional noturno</t>
  </si>
  <si>
    <t>3.2.3.1.17</t>
  </si>
  <si>
    <t>Supervisor de Montagem - Mão-de-Obra de Montagem por Demanda - Hora Extra 50% -  Com adicional noturno</t>
  </si>
  <si>
    <t>3.2.3.1.18</t>
  </si>
  <si>
    <t>Supervisor de Montagem - Mão-de-Obra de Montagem por Demanda - Hora Extra 100%  - Com adicional noturno</t>
  </si>
  <si>
    <t>3.2.3.1.19</t>
  </si>
  <si>
    <t>Encarregados montagem mecânica - Suporte Técnico para Pré-Comissionamento, Comissionamento e Testes de Performance - Hora Normal</t>
  </si>
  <si>
    <t>3.2.3.1.20</t>
  </si>
  <si>
    <t>Encarregados montagem mecânica - Suporte Técnico para Pré-Comissionamento, Comissionamento e Testes de Performance - Hora Extra 50%</t>
  </si>
  <si>
    <t>3.2.3.1.21</t>
  </si>
  <si>
    <t>Encarregados montagem mecânica - Suporte Técnico para Pré-Comissionamento, Comissionamento e Testes de Performance - Hora Extra 100%</t>
  </si>
  <si>
    <t>3.2.3.1.22</t>
  </si>
  <si>
    <t>Encarregados montagem mecânica - Suporte Técnico para Pré-Comissionamento, Comissionamento e Testes de Performance - Hora Normal - Com adicional noturno</t>
  </si>
  <si>
    <t>3.2.3.1.23</t>
  </si>
  <si>
    <t>Encarregados montagem mecânica - Suporte Técnico para Pré-Comissionamento, Comissionamento e Testes de Performance - Hora Extra 50% -  Com adicional noturno</t>
  </si>
  <si>
    <t>3.2.3.1.24</t>
  </si>
  <si>
    <t>Encarregados montagem mecânica - Suporte Técnico para Pré-Comissionamento, Comissionamento e Testes de Performance - Hora Extra 100%  - Com adicional noturno</t>
  </si>
  <si>
    <t>3.2.3.1.25</t>
  </si>
  <si>
    <t>Encarregados montagem mecânica - Mão-de-Obra de Montagem por Demanda - Hora Normal</t>
  </si>
  <si>
    <t>3.2.3.1.26</t>
  </si>
  <si>
    <t>Encarregados montagem mecânica - Mão-de-Obra de Montagem por Demanda - Hora Extra 50%</t>
  </si>
  <si>
    <t>3.2.3.1.27</t>
  </si>
  <si>
    <t>Encarregados montagem mecânica - Mão-de-Obra de Montagem por Demanda - Hora Extra 100%</t>
  </si>
  <si>
    <t>3.2.3.1.28</t>
  </si>
  <si>
    <t>Encarregados montagem mecânica - Mão-de-Obra de Montagem por Demanda - Hora Normal - Com adicional noturno</t>
  </si>
  <si>
    <t>3.2.3.1.29</t>
  </si>
  <si>
    <t>Encarregados montagem mecânica - Mão-de-Obra de Montagem por Demanda - Hora Extra 50% -  Com adicional noturno</t>
  </si>
  <si>
    <t>3.2.3.1.30</t>
  </si>
  <si>
    <t>Encarregados montagem mecânica - Mão-de-Obra de Montagem por Demanda - Hora Extra 100%  - Com adicional noturno</t>
  </si>
  <si>
    <t>3.2.3.1.31</t>
  </si>
  <si>
    <t>Supervisor de Elétrica - Mão-de-Obra de Montagem por Demanda - Hora Normal</t>
  </si>
  <si>
    <t>3.2.3.1.32</t>
  </si>
  <si>
    <t>Supervisor de Elétrica - Mão-de-Obra de Montagem por Demanda - Hora Extra 50%</t>
  </si>
  <si>
    <t>3.2.3.1.33</t>
  </si>
  <si>
    <t>Supervisor de Elétrica - Mão-de-Obra de Montagem por Demanda - Hora Extra 100%</t>
  </si>
  <si>
    <t>3.2.3.1.34</t>
  </si>
  <si>
    <t>Supervisor de Elétrica - Mão-de-Obra de Montagem por Demanda - Hora Normal - Com adicional noturno</t>
  </si>
  <si>
    <t>3.2.3.1.35</t>
  </si>
  <si>
    <t>Supervisor de Elétrica - Mão-de-Obra de Montagem por Demanda - Hora Extra 50% -  Com adicional noturno</t>
  </si>
  <si>
    <t>3.2.3.1.36</t>
  </si>
  <si>
    <t>Supervisor de Elétrica - Mão-de-Obra de Montagem por Demanda - Hora Extra 100%  - Com adicional noturno</t>
  </si>
  <si>
    <t>3.2.3.1.37</t>
  </si>
  <si>
    <t>Supervisor de mecânica - Suporte Técnico para Pré-Comissionamento, Comissionamento e Testes de Performance - Hora Normal</t>
  </si>
  <si>
    <t>3.2.3.1.38</t>
  </si>
  <si>
    <t>Supervisor de mecânica - Suporte Técnico para Pré-Comissionamento, Comissionamento e Testes de Performance - Hora Extra 50%</t>
  </si>
  <si>
    <t>3.2.3.1.39</t>
  </si>
  <si>
    <t>Supervisor de mecânica - Suporte Técnico para Pré-Comissionamento, Comissionamento e Testes de Performance - Hora Extra 100%</t>
  </si>
  <si>
    <t>3.2.3.1.40</t>
  </si>
  <si>
    <t>Supervisor de mecânica - Suporte Técnico para Pré-Comissionamento, Comissionamento e Testes de Performance - Hora Normal - Com adicional noturno</t>
  </si>
  <si>
    <t>3.2.3.1.41</t>
  </si>
  <si>
    <t>Supervisor de mecânica - Suporte Técnico para Pré-Comissionamento, Comissionamento e Testes de Performance - Hora Extra 50% -  Com adicional noturno</t>
  </si>
  <si>
    <t>3.2.3.1.42</t>
  </si>
  <si>
    <t>Supervisor de mecânica - Suporte Técnico para Pré-Comissionamento, Comissionamento e Testes de Performance - Hora Extra 100%  - Com adicional noturno</t>
  </si>
  <si>
    <t>3.2.3.2.1</t>
  </si>
  <si>
    <t>Técnico Segurança - Suporte Técnico para Pré-Comissionamento, Comissionamento e Testes de Performance - Hora Normal</t>
  </si>
  <si>
    <t>3.2.3.2.2</t>
  </si>
  <si>
    <t>Técnico Segurança - Suporte Técnico para Pré-Comissionamento, Comissionamento e Testes de Performance - Hora Extra 50%</t>
  </si>
  <si>
    <t>3.2.3.2.3</t>
  </si>
  <si>
    <t>Técnico Segurança - Suporte Técnico para Pré-Comissionamento, Comissionamento e Testes de Performance - Hora Extra 100%</t>
  </si>
  <si>
    <t>3.2.3.2.4</t>
  </si>
  <si>
    <t>Técnico Segurança - Suporte Técnico para Pré-Comissionamento, Comissionamento e Testes de Performance - Hora Normal - Com adicional noturno</t>
  </si>
  <si>
    <t>3.2.3.2.5</t>
  </si>
  <si>
    <t>Técnico Segurança - Suporte Técnico para Pré-Comissionamento, Comissionamento e Testes de Performance - Hora Extra 50% -  Com adicional noturno</t>
  </si>
  <si>
    <t>3.2.3.2.6</t>
  </si>
  <si>
    <t>Técnico Segurança - Suporte Técnico para Pré-Comissionamento, Comissionamento e Testes de Performance - Hora Extra 100%  - Com adicional noturno</t>
  </si>
  <si>
    <t>3.2.3.3.1</t>
  </si>
  <si>
    <t>Engenheiro de Campo - Suporte Técnico para Pré-Comissionamento, Comissionamento e Testes de Performance - Hora Normal</t>
  </si>
  <si>
    <t>3.2.3.3.2</t>
  </si>
  <si>
    <t>Engenheiro de Campo - Suporte Técnico para Pré-Comissionamento, Comissionamento e Testes de Performance - Hora Extra 50%</t>
  </si>
  <si>
    <t>3.2.3.3.3</t>
  </si>
  <si>
    <t>Engenheiro de Campo - Suporte Técnico para Pré-Comissionamento, Comissionamento e Testes de Performance - Hora Extra 100%</t>
  </si>
  <si>
    <t>3.2.3.3.4</t>
  </si>
  <si>
    <t>Engenheiro de Campo - Suporte Técnico para Pré-Comissionamento, Comissionamento e Testes de Performance - Hora Normal - Com adicional noturno</t>
  </si>
  <si>
    <t>3.2.3.3.5</t>
  </si>
  <si>
    <t>Engenheiro de Campo - Suporte Técnico para Pré-Comissionamento, Comissionamento e Testes de Performance - Hora Extra 50% -  Com adicional noturno</t>
  </si>
  <si>
    <t>3.2.3.3.6</t>
  </si>
  <si>
    <t>Engenheiro de Campo - Suporte Técnico para Pré-Comissionamento, Comissionamento e Testes de Performance - Hora Extra 100%  - Com adicional noturno</t>
  </si>
  <si>
    <t>3.2.3.4.1</t>
  </si>
  <si>
    <t>Lubrificador - Suporte Técnico para Pré-Comissionamento, Comissionamento e Testes de Performance - Hora Normal</t>
  </si>
  <si>
    <t>3.2.3.4.2</t>
  </si>
  <si>
    <t>Lubrificador - Suporte Técnico para Pré-Comissionamento, Comissionamento e Testes de Performance - Hora Extra 50%</t>
  </si>
  <si>
    <t>3.2.3.4.3</t>
  </si>
  <si>
    <t>Lubrificador - Suporte Técnico para Pré-Comissionamento, Comissionamento e Testes de Performance - Hora Extra 100%</t>
  </si>
  <si>
    <t>3.2.3.4.4</t>
  </si>
  <si>
    <t>Lubrificador - Suporte Técnico para Pré-Comissionamento, Comissionamento e Testes de Performance - Hora Normal - Com adicional noturno</t>
  </si>
  <si>
    <t>3.2.3.4.5</t>
  </si>
  <si>
    <t>Lubrificador - Suporte Técnico para Pré-Comissionamento, Comissionamento e Testes de Performance - Hora Extra 50% -  Com adicional noturno</t>
  </si>
  <si>
    <t>3.2.3.4.6</t>
  </si>
  <si>
    <t>Lubrificador - Suporte Técnico para Pré-Comissionamento, Comissionamento e Testes de Performance - Hora Extra 100%  - Com adicional noturno</t>
  </si>
  <si>
    <t>4.1.1.1.1</t>
  </si>
  <si>
    <t>MC.019M</t>
  </si>
  <si>
    <t>Agitadores de 5 CV - Agitador do tanque de preparação de leite de cal. Agitador de alta eficiência. Nº de impelidor: Potência 3 CV. Peso: 0.236 t - AG-2314SA-05</t>
  </si>
  <si>
    <t>cj</t>
  </si>
  <si>
    <t>CMS M.10.10.000</t>
  </si>
  <si>
    <t>4.1.1.1.2</t>
  </si>
  <si>
    <t>Agitadores de 12,5 CV - Agitador do tanque de distribuição de leite de cal. Agitador de alta eficiência. Nº de impelidor: 1. Peso: 0.93 t_x000D_
Potência 7.5 CV - AG-2314SA-06</t>
  </si>
  <si>
    <t>4.1.1.1.3</t>
  </si>
  <si>
    <t>Agitadores de 15 CV - Agitador para o tanque de preparação do Coletor 1. Agitador de alta eficiência. Nº de impelidor: 1 Potência 7.5 CV. Peso: 0.8 t - AG-2315SA-01</t>
  </si>
  <si>
    <t>4.1.1.1.4</t>
  </si>
  <si>
    <t>MC.020M</t>
  </si>
  <si>
    <t>Agitadores de 150 CV - Agitador de polpa do tanque de alimentação do mineroduto. Agitador de alta eficiência. Nº de impelidor: 2. Peso: 4.1 t_x000D_
Potência 50 CV - AG-2310SA-31</t>
  </si>
  <si>
    <t>CMS M.10.20.000</t>
  </si>
  <si>
    <t>4.1.2.1.1</t>
  </si>
  <si>
    <t>Hidrociclones de até 15" - Hidrociclone para classificação da remoagem                                
Diâmetro (") = 15
1 bateria de 14 hidrociclones 
(12 operando e 2 reservas). Peso: 12 t - CI-2308SA-01</t>
  </si>
  <si>
    <t>4.1.2.1.2</t>
  </si>
  <si>
    <t>Hidrociclones de até 15" - Hidrociclone para classificação da remoagem                                
Diâmetro (") = 15
1 bateria de 14 hidrociclones 
(12 operando e 2 reservas). Peso: 12 t - CI-2308SA-02</t>
  </si>
  <si>
    <t>4.1.2.1.3</t>
  </si>
  <si>
    <t>Hidrociclones acima 15" - Hidrociclone para classificação da moagem. 
Diâmetro (") = 26
1 bateria de 10 hidrociclones 
(7 operando e 3 reservas). Peso: 24.78 t - CI-2305SA-01</t>
  </si>
  <si>
    <t>4.1.2.1.4</t>
  </si>
  <si>
    <t>Hidrociclones acima 15" - Hidrociclone para classificação da moagem.                                     
Diâmetro (") = 26
1 bateria de 10 hidrociclones 
(7 operando e 3 reservas). Peso: 24.78 t - CI-2305SA-02</t>
  </si>
  <si>
    <t>4.1.3.1.1</t>
  </si>
  <si>
    <t>Moinho com peso acima de 80t - Compr.(ft) = 44, Diâm.(ft) = 26. Peso: moinho com revest. incluso sist. de lubrificação dos mancais e freios (968 t), estator gearless (290 t), polos gearless (147,4 t) e unid. de resfr. (12,8 t). Peso total: 1.505 t - MO-2305SA-01</t>
  </si>
  <si>
    <t>4.1.3.1.2</t>
  </si>
  <si>
    <t>Moinho com peso acima de 80t - Compr.(ft) = 44, Diâm.(ft) = 26. Peso: moinho com revest. incluso sist. de lubrificação dos mancais e freios (968 t), estator gearless (290 t), polos gearless (147,4 t) e unid. de resfr. (12,8 t). Peso total: 1.505 t - MO-2305SA-02</t>
  </si>
  <si>
    <t>4.1.3.2.1</t>
  </si>
  <si>
    <t>Moinho com peso acima de 80t - Moinho vertical para remoagem. Diâmetro (mm) = 4.242_x000D_
Altura (mm) = 14.655. Peso: 148.1 t - MO-2308SA-01</t>
  </si>
  <si>
    <t>4.1.3.2.2</t>
  </si>
  <si>
    <t>Moinho com peso acima de 80t - Moinho vertical para remoagem. Diâmetro (mm) = 4.242_x000D_
Altura (mm) = 14.655. Peso: 148.1 t - MO-2308SA-02</t>
  </si>
  <si>
    <t>4.1.3.2.3</t>
  </si>
  <si>
    <t>Moinho com peso acima de 80t - Moinho vertical para remoagem. Diâmetro (mm) = 4.242_x000D_
Altura (mm) = 14.655. Peso: 148.1 t - MO-2308SA-03</t>
  </si>
  <si>
    <t>4.1.3.3.1</t>
  </si>
  <si>
    <t>Prensa de Rolos  - Prensa de rolos                 Comprimento (m) = 1,5_x000D_
Diâmetro (m) = 2. Peso: 275 t. Peso inclui: prensa de rolos, silo, sist. de lubrificação a graxa, sist. hidráulico, unidade hidráulica, 02 sist. lubrificação dos redutores - HP-2303SA-01</t>
  </si>
  <si>
    <t>4.1.3.3.2</t>
  </si>
  <si>
    <t>Prensa de Rolos  - Prensa de rolos                 Comprimento (m) = 1,5_x000D_
Diâmetro (m) = 2. Peso: 275 t. Peso inclui: prensa de rolos, silo, sist. de lubrificação a graxa, sist. hidráulico, unidade hidráulica, 02 sist. lubrificação dos redutores - HP-2303SA-02</t>
  </si>
  <si>
    <t>4.1.3.3.3</t>
  </si>
  <si>
    <t>Prensa de Rolos  - Prensa de rolos                 Comprimento (m) = 1,5_x000D_
Diâmetro (m) = 2. Peso: 275 t. Peso inclui: prensa de rolos, silo, sist. de lubrificação a graxa, sist. hidráulico, unidade hidráulica, 02 sist. lubrificação dos redutores - HP-2303SA-03</t>
  </si>
  <si>
    <t>4.1.4.1.1</t>
  </si>
  <si>
    <t>Guindastes Fixos - Guindaste giratório elétrico capacidade 0,5 t - Peso ref.: 3,95 t</t>
  </si>
  <si>
    <t>CMS M.10.40.000</t>
  </si>
  <si>
    <t>4.1.4.1.2</t>
  </si>
  <si>
    <t>2312</t>
  </si>
  <si>
    <t>Guindastes Fixos - Guindaste giratório elétrico capacidade 3,0 t - Peso ref.: 3,65 t</t>
  </si>
  <si>
    <t>4.1.4.2.1</t>
  </si>
  <si>
    <t>Pontes Rolantes peso até 5t - Capacidade 1,0 t - PR-2305SA-05  - Peso ref.: 1,7 t</t>
  </si>
  <si>
    <t>4.1.4.2.2</t>
  </si>
  <si>
    <t>Pontes Rolantes peso até 10t - Capacidade 7,5 t - PR-2303SA-02 - Peso ref.: 6,45 t</t>
  </si>
  <si>
    <t>4.1.4.2.3</t>
  </si>
  <si>
    <t>Pontes Rolantes peso até 10t - Capacidade 10 t - PR-2305SA-01 - Peso ref.: 6,7 t</t>
  </si>
  <si>
    <t>4.1.4.2.4</t>
  </si>
  <si>
    <t>Pontes Rolantes peso até 10t - Capacidade 7,5 t - PR-2305SA-04 - Peso ref.: 6,4 t</t>
  </si>
  <si>
    <t>4.1.4.2.5</t>
  </si>
  <si>
    <t>Pontes Rolantes peso até 10t - Capacidade 10 t - PR-2308SA-01 - Peso ref.: 5,35 t</t>
  </si>
  <si>
    <t>4.1.4.2.6</t>
  </si>
  <si>
    <t>Pontes Rolantes peso até 10t - Capacidade 2,5 t  - PR-2314SA-01 - Peso ref.: 2,6 t</t>
  </si>
  <si>
    <t>4.1.4.2.7</t>
  </si>
  <si>
    <t>Pontes Rolantes peso até 10t - Capacidade 2,5 t - PR-2314SA-02 - Peso ref.: 2,65 t</t>
  </si>
  <si>
    <t>4.1.4.2.8</t>
  </si>
  <si>
    <t>Pontes Rolantes peso até 10t - Capacidade 2,5 t - PR-2315SA-01 - Peso ref.: 2,3 t</t>
  </si>
  <si>
    <t>4.1.4.2.9</t>
  </si>
  <si>
    <t>Pontes Rolantes peso até 100t - Capacidade 85/10 t - PR-2303SA-01 - Peso ref.: 28,75 t</t>
  </si>
  <si>
    <t>4.1.4.2.10</t>
  </si>
  <si>
    <t>Pontes Rolantes peso até 100t - Capacidade 60/10 t - PR-2305SA-02 - Peso ref.: 22,8 t</t>
  </si>
  <si>
    <t>4.1.4.2.11</t>
  </si>
  <si>
    <t>Pontes rolantes até 120t - Capacidade 45/10 t - PR-2305SA-03 - Peso ref.: 31,15 t</t>
  </si>
  <si>
    <t>4.1.4.3.1</t>
  </si>
  <si>
    <t>MC.013S</t>
  </si>
  <si>
    <t>Trilho TR-37 - Novo</t>
  </si>
  <si>
    <t>CMS M.75.10.000</t>
  </si>
  <si>
    <t>4.1.4.3.2</t>
  </si>
  <si>
    <t>4.1.4.3.3</t>
  </si>
  <si>
    <t>4.1.4.3.4</t>
  </si>
  <si>
    <t>4.1.4.3.5</t>
  </si>
  <si>
    <t>4.1.4.3.6</t>
  </si>
  <si>
    <t>Trilho A100</t>
  </si>
  <si>
    <t>4.1.4.3.7</t>
  </si>
  <si>
    <t>4.1.4.3.8</t>
  </si>
  <si>
    <t>Presilhas tipo Gantrex Stelcam para Trilhos Metálicos tipo TR-37/ A100</t>
  </si>
  <si>
    <t>4.1.4.3.9</t>
  </si>
  <si>
    <t>4.1.4.3.10</t>
  </si>
  <si>
    <t>4.1.4.3.11</t>
  </si>
  <si>
    <t>4.1.4.3.12</t>
  </si>
  <si>
    <t>4.1.4.4.1</t>
  </si>
  <si>
    <t>Talha Capacidade até 2t - Talha elétrica capacidade 2,0 t - TE-2301SA-01 - Manutenção dos tambores e acionamentos dos alimentadores de correia AL-2301SA-01@04 - Peso ref.: 0,26 t</t>
  </si>
  <si>
    <t>4.1.4.4.2</t>
  </si>
  <si>
    <t>Talha Capacidade até 2t - Talha elétrica capacidade 2,0 t - TE-2301SA-02 - Retirada de equipamentos do foço do túnel da pilha da usina de concentração - Peso ref.: 0,43 t</t>
  </si>
  <si>
    <t>4.1.4.4.3</t>
  </si>
  <si>
    <t>Talha Capacidade até 2t - Talha manual capacidade 2,0 t - TE-2301SA-03 - Manutenção do tambor de retorno do alimentador de correia AL-2301SA-01 - Peso ref.: 0,05 t</t>
  </si>
  <si>
    <t>4.1.4.4.4</t>
  </si>
  <si>
    <t>Talha Capacidade até 2t - Talha manual capacidade 2,0 t - TE-2301SA-04 - Manutenção do tambor de acionamento do alimentador de correia AL-2301SA-01 e  tambor de retorno do AL-2301SA-02 - Peso ref.: 0,05 t</t>
  </si>
  <si>
    <t>4.1.4.4.5</t>
  </si>
  <si>
    <t>Talha Capacidade até 2t - Talha manual capacidade 2,0 t - TE-2301SA-05 - Manutenção do tambor de acionamento do alimentador de correia AL-2301SA-02 e  tambor de retorno do AL-2301SA-03 - Peso ref.: 0,05 t</t>
  </si>
  <si>
    <t>4.1.4.4.6</t>
  </si>
  <si>
    <t>Talha Capacidade até 2t - Talha manual capacidade 2,0 t - TE-2301SA-06 - Manutenção do tambor de acionamento do alimentador de correia AL-2301SA-03 e  tambor de retorno do AL-2301SA-04 - Peso ref.: 0,05 t</t>
  </si>
  <si>
    <t>4.1.4.4.7</t>
  </si>
  <si>
    <t>Talha Capacidade até 2t - Talha manual capacidade 2,0 t - TE-2301SA-07 - Manutenção do tambor de acionamento do alimentador de correia AL-2301SA-04 - Peso ref.: 0,05 t</t>
  </si>
  <si>
    <t>4.1.4.4.8</t>
  </si>
  <si>
    <t>Talha Capacidade até 2t - Talha manual capacidade 1,5 t - TE-2305SA-04 - Manutenção do trecho da tubulação de recalque das bombas de polpa BP-2305SA-02/04 - Peso ref.: 0,06 t</t>
  </si>
  <si>
    <t>4.1.4.4.9</t>
  </si>
  <si>
    <t>Talha Capacidade até 2t - Talha manual capacidade 1,5 t - TE-2305SA-05 - Manutenção de válvulas - Peso ref.: 0,06 t</t>
  </si>
  <si>
    <t>4.1.4.4.10</t>
  </si>
  <si>
    <t>Talha Capacidade até 2t - Talha manual capacidade 1,5 t - TE-2305SA-06 - Manutenção de válvulas - Peso ref.: 0,06 t</t>
  </si>
  <si>
    <t>4.1.4.4.11</t>
  </si>
  <si>
    <t>Talha Capacidade até 2t - Talha manual capacidade 1,5 t - TE-2305SA-07 - Manutenção de válvulas - Peso ref.: 0,05 t</t>
  </si>
  <si>
    <t>4.1.4.4.12</t>
  </si>
  <si>
    <t>Talha Capacidade até 2t - Talha manual capacidade 1,5 t - TE-2305SA-20 - Manutenção da tubulação de alimentação das baterias de hidrociclones - Peso ref.: 0,05 t</t>
  </si>
  <si>
    <t>4.1.4.4.13</t>
  </si>
  <si>
    <t>Talha Capacidade até 2t - Talha manual capacidade 1,5 t - TE-2305SA-21 - Manutenção da tubulação de alimentação das baterias de hidrociclones - Peso ref.: 0,05 t</t>
  </si>
  <si>
    <t>4.1.4.4.14</t>
  </si>
  <si>
    <t>Talha Capacidade até 2t - Talha manual capacidade 1,5 t - TE-2305SA-22 - Manutenção da tubulação de recalque da bomba de polpa BP-2305SA-01 - Peso ref.: 0,06 t</t>
  </si>
  <si>
    <t>4.1.4.4.15</t>
  </si>
  <si>
    <t>Talha Capacidade até 2t - Talha manual capacidade 1,5 t - TE-2305SA-23 - Manutenção da tubulação de recalque da bomba de polpa BP-2305SA-03 - Peso ref.: 0,06 t</t>
  </si>
  <si>
    <t>4.1.4.4.16</t>
  </si>
  <si>
    <t>Talha Capacidade até 2t - Talha manual capacidade 1,5 t - TE-2305SA-24 - Manutenção da tubulação de recalque das bombas de polpa BP-2305SA-02/04 - Peso ref.: 0,05 t</t>
  </si>
  <si>
    <t>4.1.4.4.17</t>
  </si>
  <si>
    <t>Talha Capacidade até 2t - Talha manual capacidade 1,5 t - TE-2305SA-25 - Manutenção da tubulação de sucção da bomba BP-2305SA-01 - Peso ref.: 0,06 t</t>
  </si>
  <si>
    <t>4.1.4.4.18</t>
  </si>
  <si>
    <t>Talha Capacidade até 2t - Talha manual capacidade 1,5 t - TE-2305SA-26 - Manutenção da tubulação de sucção da bomba BP-2305SA-03 - Peso ref.: 0,06 t</t>
  </si>
  <si>
    <t>4.1.4.4.19</t>
  </si>
  <si>
    <t>Talha Capacidade até 2t - Talha manual capacidade 1,0 t - TE-2310SA-01 - Manutenção das bombas de polpa BP-2310SA-37/38 - Peso ref.: 0,03 t</t>
  </si>
  <si>
    <t>4.1.4.4.20</t>
  </si>
  <si>
    <t>5102</t>
  </si>
  <si>
    <t>Talha Capacidade até 2t - Talha manual capacidade 1,0 t - TE-5102SA-01 - Manutenção das bombas do sistema de combate à incêndio - Peso ref.: 0,04 t</t>
  </si>
  <si>
    <t>4.1.4.4.21</t>
  </si>
  <si>
    <t>Talha Capacidade até 2t - Talha manual capacidade 1,0 t - TE-2303SA-16 - Remoção do Ceck Plate da Prensa de Rolos HP-2305SA-01 - Peso ref.: 0,04 t</t>
  </si>
  <si>
    <t>4.1.4.4.22</t>
  </si>
  <si>
    <t>Talha Capacidade até 2t - Talha manual capacidade 1,0 t - TE-2303SA-18 - Remoção do Ceck Plate da Prensa de Rolos HP-2305SA-01 - Peso ref.: 0,04 t</t>
  </si>
  <si>
    <t>4.1.4.4.23</t>
  </si>
  <si>
    <t>Talha Capacidade até 2t - Talha manual capacidade 1,0 t - TE-2303SA-20 - Remoção do Ceck Plate da Prensa de Rolos HP-2305SA-02 - Peso ref.: 0,04 t</t>
  </si>
  <si>
    <t>4.1.4.4.24</t>
  </si>
  <si>
    <t>Talha Capacidade até 2t - Talha manual capacidade 1,0 t - TE-2303SA-22 - Remoção do Ceck Plate da Prensa de Rolos HP-2305SA-02 - Peso ref.: 0,04 t</t>
  </si>
  <si>
    <t>4.1.4.4.25</t>
  </si>
  <si>
    <t>Talha Capacidade até 2t - Talha manual capacidade 1,0 t - TE-2303SA-24 - Remoção do Ceck Plate da Prensa de Rolos HP-2305SA-03 - Peso ref.: 0,04 t</t>
  </si>
  <si>
    <t>4.1.4.4.26</t>
  </si>
  <si>
    <t>Talha Capacidade até 2t - Talha manual capacidade 1,0 t - TE-2303SA-26 - Remoção do Ceck Plate da Prensa de Rolos HP-2305SA-03 - Peso ref.: 0,04 t</t>
  </si>
  <si>
    <t>4.1.4.4.27</t>
  </si>
  <si>
    <t>Talha Capacidade até 2t - Talha manual capacidade 1,0 t - TE-2305SA-38 - Remoção o Refil da caixa de alimentação do Spout Feeder do Moinho (talha manual baixa altura) - Peso ref.: 0,1 t</t>
  </si>
  <si>
    <t>4.1.4.4.28</t>
  </si>
  <si>
    <t>Talha Capacidade até 2t - Talha manual capacidade 1,0 t - TE-2305SA-39 - Remoção do refil da caixa de alimentação do Spout Feeder do Moinho (talha manual baixa altura) - Peso ref.: 0,1 t</t>
  </si>
  <si>
    <t>4.1.4.4.29</t>
  </si>
  <si>
    <t>Talha Capacidade até 2t - Talha manual capacidade 2,0 t - TE-2305SA-40 - Manutenção da tubulação de recalque da bomba s BP-2305SA-02/04, cujo trecho se localiza por baixo da base do moinho MO-2305SA-02 (talha manual baixa altura) - Peso ref.: 0,1 t</t>
  </si>
  <si>
    <t>4.1.4.4.30</t>
  </si>
  <si>
    <t>Talha Capacidade até 2t - Talha manual capacidade 2,0 t - TE-2305SA-41 - Manutenção da tubulação de recalque da bomba s BP-2305SA-02/04, cujo trecho se localiza por baixo da base do moinho MO-2305SA-02 (talha manual baixa altura) - Peso ref.: 0,1 t</t>
  </si>
  <si>
    <t>4.1.4.4.31</t>
  </si>
  <si>
    <t>Talha Capacidade até 5t - Talha manual capacidade 5,0 t - TE-2301SA-17 - Talha manual capacidade 5,0 t. Manutenção do tambor de retorno do transportador de correia TR-2301SA-02 - Peso ref.: 0,18 t</t>
  </si>
  <si>
    <t>4.1.4.4.32</t>
  </si>
  <si>
    <t>Talha Capacidade até 5t - Talha manual capacidade 5,0 t - TE-2303SA-01 - Manutenção do tambor de retorno dos alimentadores de correia AL-2303SA-01/02/03 (talha manual baixa altura) - Peso ref.: 0,28 t</t>
  </si>
  <si>
    <t>4.1.4.4.33</t>
  </si>
  <si>
    <t>Talha Capacidade até 5t - Talha manual capacidade 5,0 t - TE-2303SA-07 - Manutenção do tambor de desvio do transportador de correia TR-2301SA-02 (talha manual baixa altura) - Peso ref.: 0,25 t</t>
  </si>
  <si>
    <t>4.1.4.4.34</t>
  </si>
  <si>
    <t>Talha Capacidade até 5t - Talha manual capacidade 5,0 t - TE-2303SA-08 - Manutenção do tambor de desvio do transportador de correia TR-2301SA-02 (talha manual baixa altura) - Peso ref.: 0,25 t</t>
  </si>
  <si>
    <t>4.1.4.4.35</t>
  </si>
  <si>
    <t>Talha Capacidade até 5t - Talha elétrica capacidade 5,0 t - TE-2305SA-01 - Manutenção da bomba BP-2305SA-05 - Peso ref.: 0,45 t</t>
  </si>
  <si>
    <t>4.1.4.4.36</t>
  </si>
  <si>
    <t>Talha Capacidade até 5t - Talha elétrica capacidade 5,0 t - TE-2305SA-02 - Manutenção da bomba BP-2305SA-06 - Peso ref.: 0,45 t</t>
  </si>
  <si>
    <t>4.1.4.4.37</t>
  </si>
  <si>
    <t>Talha Capacidade até 5t - Talha manual capacidade 5,0 t - TE-2305SA-16 - Manutenção do tambor de retorno do alimentador de correia AL-2305SA-01 (talha manual baixa altura) - Peso ref.: 0,26 t</t>
  </si>
  <si>
    <t>4.1.4.4.38</t>
  </si>
  <si>
    <t>Talha Capacidade até 5t - Talha manual capacidade 5,0 t - TE-2305SA-17 - Manutenção do tambor de retorno do alimentador de correia AL-2305SA-02 (talha manual baixa altura) - Peso ref.: 0,26 t</t>
  </si>
  <si>
    <t>4.1.4.4.39</t>
  </si>
  <si>
    <t>Talha Capacidade até 5t - Talha manual capacidade 5,0 t - TE-2305SA-18 - Manutenção do tambor de retorno do alimentador de correia AL-2305SA-03 (talha manual baixa altura) - Peso ref.: 0,26 t</t>
  </si>
  <si>
    <t>4.1.4.4.40</t>
  </si>
  <si>
    <t>Talha Capacidade até 5t - Talha manual capacidade 5,0 t - TE-2305SA-19 - Manutenção do tambor de retorno do alimentador de correia AL-2305SA-04 (talha manual baixa altura) - Peso ref.: 0,26 t</t>
  </si>
  <si>
    <t>4.1.4.4.41</t>
  </si>
  <si>
    <t>Talha Capacidade até 5t - Talha manual capacidade 3,0 t - TE-2316SA-01 - Manutenção dos compressores CB-2316SA-01/02/06/07 - Peso ref.: 0,08 t</t>
  </si>
  <si>
    <t>4.1.4.4.42</t>
  </si>
  <si>
    <t>Talha Capacidade até 5t - Talha manual capacidade 3,0 t - TE-2316SA-02 - Manutenção dos compressores CB-2316SA-03/04/08/09 - Peso ref.: 0,08 t</t>
  </si>
  <si>
    <t>4.1.4.4.43</t>
  </si>
  <si>
    <t>Talha Capacidade até 5t - Talha manual capacidade 3,0 t - TE-2316SA-03 - Manutenção do compressor CB-2316SA-05 e secadores - Peso ref.: 0,08 t</t>
  </si>
  <si>
    <t>4.1.4.4.44</t>
  </si>
  <si>
    <t>Talha Capacidade até 5t - Talha manual capacidade 5,0 t - TE-2303SA-14 - Manutenção do cilindro hidraulico  das prensas de rolos - Peso ref.: 0,15 t</t>
  </si>
  <si>
    <t>4.1.4.4.45</t>
  </si>
  <si>
    <t>Talha Capacidade até 5t - Talha manual capacidade 5,0 t - TE-2303SA-15 - Manutenção do cilindro hidraulico  das prensas de rolos - Peso ref.: 0,15 t</t>
  </si>
  <si>
    <t>4.1.4.4.46</t>
  </si>
  <si>
    <t>Talha Capacidade até 5t - Talha manual capacidade 5,0 t - TE-2303SA-17 - Içamento da Plataforma da Prensa de Rolos HP-2305SA-01 - Peso ref.: 0,15 t</t>
  </si>
  <si>
    <t>4.1.4.4.47</t>
  </si>
  <si>
    <t>Talha Capacidade até 5t - Talha manual capacidade 5,0 t - TE-2303SA-19 - Içamento da Plataforma da Prensa de Rolos HP-2305SA-01 - Peso ref.: 0,15 t</t>
  </si>
  <si>
    <t>4.1.4.4.48</t>
  </si>
  <si>
    <t>Talha Capacidade até 5t - Talha manual capacidade 5,0 t - TE-2303SA-21 - Içamento da Plataforma da Prensa de Rolos HP-2305SA-02 - Peso ref.: 0,15 t</t>
  </si>
  <si>
    <t>4.1.4.4.49</t>
  </si>
  <si>
    <t>Talha Capacidade até 5t - Talha manual capacidade 5,0 t - TE-2303SA-23 - Içamento da Plataforma da Prensa de Rolos HP-2305SA-02 - Peso ref.: 0,15 t</t>
  </si>
  <si>
    <t>4.1.4.4.50</t>
  </si>
  <si>
    <t>Talha Capacidade até 5t - Talha manual capacidade 5,0 t - TE-2303SA-25 - Içamento da Plataforma da Prensa de Rolos HP-2305SA-03 - Peso ref.: 0,15 t</t>
  </si>
  <si>
    <t>4.1.4.4.51</t>
  </si>
  <si>
    <t>Talha Capacidade até 5t - Talha manual capacidade 5,0 t - TE-2303SA-27 - Içamento da Plataforma da Prensa de Rolos HP-2305SA-03 - Peso ref.: 0,15 t</t>
  </si>
  <si>
    <t>4.1.4.4.52</t>
  </si>
  <si>
    <t>Talha Capacidade acima de 5t - Talha elétrica capacidade 10,0 t - TE-2301SA-16 - Manutenção do acionamento e tambores dos transportadores de correia TR-2301SA-01 / TR-2305SA-02 / TR-2305SA-04 - Peso ref.: 1,6 t</t>
  </si>
  <si>
    <t>4.1.4.4.53</t>
  </si>
  <si>
    <t>Talha Capacidade acima de 5t - Talha elétrica capacidade 10,0 t - TE-2303SA-02 - Manutenção dos tambores e acionamentos do transportador de correia TR-2303SA-01 - Peso ref.: 1,5 t</t>
  </si>
  <si>
    <t>4.1.4.4.54</t>
  </si>
  <si>
    <t>Talha Capacidade acima de 5t - Talha elétrica capacidade 15,0 t - TE-2305SA-03 - Manutenção da bomba BP-2305SA-03 - Peso ref.: 1,5 t</t>
  </si>
  <si>
    <t>4.1.4.4.55</t>
  </si>
  <si>
    <t>Talha Capacidade acima de 5t - Talha elétrica capacidade 7,5 t - TE-2308SA-01 - Manutenção das bombas BP-2308SA-32 / 33 - Peso ref.: 0,58 t</t>
  </si>
  <si>
    <t>4.1.4.4.56</t>
  </si>
  <si>
    <t>Talha Capacidade acima de 5t - Talha manual capacidade 10,0 t - TE-2308SA-02 - Manutenção da bomba de polpa BP-2308SA-37 - Peso ref.: 0,32 t</t>
  </si>
  <si>
    <t>4.1.4.4.57</t>
  </si>
  <si>
    <t>Talha Capacidade acima de 5t - Talha manual capacidade 10,0 t - TE-2308SA-03 - Manutenção da bomba de polpa BP-2308SA-38 - Peso ref.: 0,32 t</t>
  </si>
  <si>
    <t>4.1.4.4.58</t>
  </si>
  <si>
    <t>Talha Capacidade acima de 5t - Talha manual capacidade 7,5 t - TE-2308SA-04 - Manutenção da bomba de polpa BP-2308SA-31 - Peso ref.: 0,25 t</t>
  </si>
  <si>
    <t>4.1.4.4.59</t>
  </si>
  <si>
    <t>Talha Capacidade acima de 5t - Talha manual capacidade 7,5 t - TE-2308SA-05 - Manutenção da bomba de polpa BP-2308SA-34 - Peso ref.: 0,25 t</t>
  </si>
  <si>
    <t>4.1.4.4.60</t>
  </si>
  <si>
    <t>Talha Capacidade acima de 5t - Talha manual capacidade 10,0 t - TE-2308SA-06 - Manutenção da bomba de polpa BP-2308SA-39 - Peso ref.: 0,32 t</t>
  </si>
  <si>
    <t>4.1.4.4.61</t>
  </si>
  <si>
    <t>Talha Capacidade acima de 5t - Talha manual capacidade 10,0 t - TE-2308SA-07 - Manutenção da bomba de polpa BP-2308SA-40 - Peso ref.: 0,32 t</t>
  </si>
  <si>
    <t>4.1.4.4.62</t>
  </si>
  <si>
    <t>Talha Capacidade acima de 5t - Talha manual capacidade 7,5 t - TE-2325SA-01 - Manutenção do soprador BO-2325SA-01 - Peso ref.: 0,26 t</t>
  </si>
  <si>
    <t>4.1.4.4.63</t>
  </si>
  <si>
    <t>Talha Capacidade acima de 5t - Talha manual capacidade 7,5 t - TE-2325SA-02 - Manutenção do soprador BO-2325SA-02 - Peso ref.: 0,26 t</t>
  </si>
  <si>
    <t>4.1.4.4.64</t>
  </si>
  <si>
    <t>Talha Capacidade acima de 5t - Talha manual capacidade 7,5 t - TE-2325SA-03 - Manutenção do soprador BO-2325SA-03 - Peso ref.: 0,26 t</t>
  </si>
  <si>
    <t>4.1.4.4.65</t>
  </si>
  <si>
    <t>Talha Capacidade até 5t - Talha manual capacidade 1,0 t - TE-2303SA-11 - Manutenção das unidades hidráulicas das prensas de rolos - Peso ref.: 0,04 t</t>
  </si>
  <si>
    <t>4.1.4.4.66</t>
  </si>
  <si>
    <t>Talha Capacidade até 5t - Talha manual capacidade 5,0 t - TE-2303SA-12 - Manutenção do tambor de retorno dos alimentadores AL-2303SA-01/02/03 (talha manual baixa altura) - Peso ref.: 0,28 t</t>
  </si>
  <si>
    <t>4.1.4.4.67</t>
  </si>
  <si>
    <t>Talha Capacidade até 5t - Talha manual capacidade 5,0 t - TE-2303SA-13 - Manutenção do tambor de retorno do TR-2303SA-01 - Peso ref.: 0,15 t</t>
  </si>
  <si>
    <t>4.1.4.4.68</t>
  </si>
  <si>
    <t>Talha Capacidade acima de 5t - Talha manual capacidade 7,5 t - TE-2305SA-36 - Manutenção da caixa de alimentação do "Spout Feeder" do moinho - Peso ref.: 0,27 t</t>
  </si>
  <si>
    <t>4.1.4.4.69</t>
  </si>
  <si>
    <t>Talha Capacidade acima de 5t - Talha manual capacidade 7,5 t - TE-2305SA-37 - Manutenção da caixa de alimentação do "Spout Feeder" do moinho - Peso ref.: 0,27 t</t>
  </si>
  <si>
    <t>4.1.4.4.70</t>
  </si>
  <si>
    <t>Talha Capacidade até 2t - Talha manual capacidade 0,5 t - TE-2301SA-08 - Sistema de agulhamento hidráulico AL-2301SA-01 (talha manual baixa altura) - Peso ref.: 0,09 t</t>
  </si>
  <si>
    <t>4.1.4.4.71</t>
  </si>
  <si>
    <t>Talha Capacidade até 2t - Talha manual capacidade 0,5 t - TE-2301SA-09 - Sistema de agulhamento hidráulico AL-2301SA-01 (talha manual baixa altura) - Peso ref.: 0,09 t</t>
  </si>
  <si>
    <t>4.1.4.4.72</t>
  </si>
  <si>
    <t>Talha Capacidade até 2t - Talha manual capacidade 0,5 t - TE-2301SA-10 - Sistema de agulhamento hidráulico AL-2301SA-02 (talha manual baixa altura) - Peso ref.: 0,09 t</t>
  </si>
  <si>
    <t>4.1.4.4.73</t>
  </si>
  <si>
    <t>Talha Capacidade até 2t - Talha manual capacidade 0,5 t - TE-2301SA-11 - Sistema de agulhamento hidráulico AL-2301SA-02 (talha manual baixa altura) - Peso ref.: 0,09 t</t>
  </si>
  <si>
    <t>4.1.4.4.74</t>
  </si>
  <si>
    <t>Talha Capacidade até 2t - Talha manual capacidade 0,5 t - TE-2301SA-12 - Sistema de agulhamento hidráulico AL-2301SA-03 (talha manual baixa altura) - Peso ref.: 0,09 t</t>
  </si>
  <si>
    <t>4.1.4.4.75</t>
  </si>
  <si>
    <t>Talha Capacidade até 2t - Talha manual capacidade 0,5 t - TE-2301SA-13 - Sistema de agulhamento hidráulico AL-2301SA-03 (talha manual baixa altura) - Peso ref.: 0,09 t</t>
  </si>
  <si>
    <t>4.1.4.4.76</t>
  </si>
  <si>
    <t>Talha Capacidade até 2t - Talha manual capacidade 0,5 t - TE-2301SA-14 - Sistema de agulhamento hidráulico AL-2301SA-04 (talha manual baixa altura) - Peso ref.: 0,09 t</t>
  </si>
  <si>
    <t>4.1.4.4.77</t>
  </si>
  <si>
    <t>Talha Capacidade até 2t - Talha manual capacidade 0,5 t - TE-2301SA-15 - Sistema de agulhamento hidráulico AL-2301SA-04 (talha manual baixa altura) - Peso ref.: 0,09 t</t>
  </si>
  <si>
    <t>4.1.4.4.78</t>
  </si>
  <si>
    <t>Talha Capacidade até 2t - Talha manual capacidade 0,5 t - TE-2303SA-03 - Sistema de agulhamento hidráulico AL-2303SA-01 (talha manual de baixa altura) - Peso ref.: 0,09 t</t>
  </si>
  <si>
    <t>4.1.4.4.79</t>
  </si>
  <si>
    <t>Talha Capacidade até 2t - Talha manual capacidade 0,5 t - TE-2303SA-04 - Sistema de agulhamento hidráulico AL-2303SA-01 (talha manual de baixa altura) - Peso ref.: 0,09 t</t>
  </si>
  <si>
    <t>4.1.4.4.80</t>
  </si>
  <si>
    <t>Talha Capacidade até 2t - Talha manual capacidade 0,5 t - TE-2303SA-05 - Sistema de agulhamento hidráulico AL-2303SA-02 (talha manual de baixa altura) - Peso ref.: 0,09 t</t>
  </si>
  <si>
    <t>4.1.4.4.81</t>
  </si>
  <si>
    <t>Talha Capacidade até 2t - Talha manual capacidade 0,5 t - TE-2303SA-06 - Sistema de agulhamento hidráulico AL-2303SA-02 (talha manual de baixa altura) - Peso ref.: 0,09 t</t>
  </si>
  <si>
    <t>4.1.4.4.82</t>
  </si>
  <si>
    <t>Talha Capacidade até 2t - Talha manual capacidade 0,5 t - TE-2303SA-09 - Sistema de agulhamento hidráulico AL-2303SA-03 (talha manual de baixa altura) - Peso ref.: 0,09 t</t>
  </si>
  <si>
    <t>4.1.4.4.83</t>
  </si>
  <si>
    <t>Talha Capacidade até 2t - Talha manual capacidade 0,5 t - TE-2303SA-10 - Sistema de agulhamento hidráulico AL-2303SA-03 (talha manual de baixa altura) - Peso ref.: 0,09 t</t>
  </si>
  <si>
    <t>4.1.4.4.84</t>
  </si>
  <si>
    <t>Talha Capacidade até 2t - Talha manual capacidade 0,5 t - TE-2305SA-08 - Sistema de agulhamento hidráulico  AL-2305SA-01 (talha manual de baixa altura) - Peso ref.: 0,09 t</t>
  </si>
  <si>
    <t>4.1.4.4.85</t>
  </si>
  <si>
    <t>Talha Capacidade até 2t - Talha manual capacidade 0,5 t - TE-2305SA-09 - Sistema de agulhamento hidráulico  AL-2305SA-01 (talha manual de baixa altura) - Peso ref.: 0,09 t</t>
  </si>
  <si>
    <t>4.1.4.4.86</t>
  </si>
  <si>
    <t>Talha Capacidade até 2t - Talha manual capacidade 0,5 t - TE-2305SA-10 - Sistema de agulhamento hidráulico  AL-2305SA-02 (talha manual de baixa altura) - Peso ref.: 0,09 t</t>
  </si>
  <si>
    <t>4.1.4.4.87</t>
  </si>
  <si>
    <t>Talha Capacidade até 2t - Talha manual capacidade 0,5 t - TE-2305SA-11 - Sistema de agulhamento hidráulico  AL-2305SA-02 (talha manual de baixa altura) - Peso ref.: 0,09 t</t>
  </si>
  <si>
    <t>4.1.4.4.88</t>
  </si>
  <si>
    <t>Talha Capacidade até 2t - Talha manual capacidade 0,5 t - TE-2305SA-12 - Sistema de agulhamento hidráulico  AL-2305SA-03 (talha manual de baixa altura) - Peso ref.: 0,09 t</t>
  </si>
  <si>
    <t>4.1.4.4.89</t>
  </si>
  <si>
    <t>Talha Capacidade até 2t - Talha manual capacidade 0,5 t - TE-2305SA-13 - Sistema de agulhamento hidráulico  AL-2305SA-03 (talha manual de baixa altura) - Peso ref.: 0,09 t</t>
  </si>
  <si>
    <t>4.1.4.4.90</t>
  </si>
  <si>
    <t>Talha Capacidade até 2t - Talha manual capacidade 0,5 t - TE-2305SA-14 - Sistema de agulhamento hidráulico  AL-2305SA-04 (talha manual de baixa altura) - Peso ref.: 0,09 t</t>
  </si>
  <si>
    <t>4.1.4.4.91</t>
  </si>
  <si>
    <t>Talha Capacidade até 2t - Talha manual capacidade 0,5 t - TE-2305SA-15 - Sistema de agulhamento hidráulico  AL-2305SA-04 (talha manual de baixa altura) - Peso ref.: 0,09 t</t>
  </si>
  <si>
    <t>4.1.4.4.92</t>
  </si>
  <si>
    <t>Talha Capacidade até 2t - Talha manual capacidade 2,0 t - TE-2305SA-42 - Manutenção da tubulação de recalque da bomba s BP-2305SA-02/04, cujo trecho se localiza por baixo da base do moinho MO-2305SA-02 (talha manual baixa altura) - Peso ref.: 0,1 t</t>
  </si>
  <si>
    <t>4.1.4.4.93</t>
  </si>
  <si>
    <t>Talha Capacidade até 2t - Talha manual capacidade 2,0 t - TE-2305SA-43 - Manutenção da tubulação de recalque da bomba s BP-2305SA-02/04, cujo trecho se localiza por baixo da base do moinho MO-2305SA-02 (talha manual baixa altura) - Peso ref.: 0,1 t</t>
  </si>
  <si>
    <t>4.1.4.4.94</t>
  </si>
  <si>
    <t>Talha Capacidade até 2t - Talha manual capacidade 2,0 t - TE-2305SA-44 - Manutenção da tubulação de recalque da bomba s BP-2305SA-02/04, cujo trecho se localiza por baixo da base do moinho MO-2305SA-02 (talha manual baixa altura) - Peso ref.: 0,1 t</t>
  </si>
  <si>
    <t>4.1.4.4.95</t>
  </si>
  <si>
    <t>Talha Capacidade até 2t - Talha manual capacidade 2,0 t - TE-2305SA-45 - Manutenção da tubulação de recalque da bomba s BP-2305SA-02/04, cujo trecho se localiza por baixo da base do moinho MO-2305SA-02 (talha manual baixa altura) - Peso ref.: 0,1 t</t>
  </si>
  <si>
    <t>4.1.5.1.1</t>
  </si>
  <si>
    <t>Espessadores com diâmetro de até 15m Tanque em Aço - Espessador tipo ponte, de alta capacidade. Peso: 37 t_x000D_
Diâmetro (m) = 15 - ES-2310SA-31</t>
  </si>
  <si>
    <t>4.1.6.1.1</t>
  </si>
  <si>
    <t>Células de Flotação - Célula de flotação da Rougher 1. Volume: 200 m³. Peso: 31 t - CF-2306SA-01</t>
  </si>
  <si>
    <t>4.1.6.1.2</t>
  </si>
  <si>
    <t>Células de Flotação - Célula de flotação da Rougher 1. Volume: 200 m³. Peso: 31 t - CF-2306SA-02</t>
  </si>
  <si>
    <t>4.1.6.1.3</t>
  </si>
  <si>
    <t>Células de Flotação - Célula de flotação da Rougher 2. Volume: 200 m³. Peso: 31 t - CF-2306SA-03</t>
  </si>
  <si>
    <t>4.1.6.1.4</t>
  </si>
  <si>
    <t>Células de Flotação - Célula de flotação da Rougher 2. Volume: 200 m³. Peso: 31 t - CF-2306SA-04</t>
  </si>
  <si>
    <t>4.1.6.1.5</t>
  </si>
  <si>
    <t>Células de Flotação - Célula de flotação da Rougher 2. Volume: 200 m³. Peso: 31 t - CF-2306SA-05</t>
  </si>
  <si>
    <t>4.1.6.1.6</t>
  </si>
  <si>
    <t>Células de Flotação - Célula de flotação da Rougher 2. Volume: 200 m³. Peso: 31 t - CF-2305SA-06</t>
  </si>
  <si>
    <t>4.1.6.1.7</t>
  </si>
  <si>
    <t>Células de Flotação - Célula de flotação da Rougher 2. Volume: 200 m³. Peso: 31 t - CF-2305SA-07</t>
  </si>
  <si>
    <t>4.1.6.1.8</t>
  </si>
  <si>
    <t>Células de Flotação - Célula de flotação da Rougher 2. Volume: 200 m³. Peso: 31 t - CF-2305SA-08</t>
  </si>
  <si>
    <t>4.1.6.1.9</t>
  </si>
  <si>
    <t>Células de Flotação - Célula de flotação da Rougher 2. Volume: 200 m³. Peso: 31 t - CF-2305SA-09</t>
  </si>
  <si>
    <t>4.1.6.1.10</t>
  </si>
  <si>
    <t>Células de Flotação - Célula de flotação da Rougher 2. Volume: 200 m³. Peso: 31 t - CF-2305SA-10</t>
  </si>
  <si>
    <t>4.1.6.1.11</t>
  </si>
  <si>
    <t>Células de Flotação - Célula de flotação da Rougher 2. Volume: 200 m³. Peso: 31 t - CF-2305SA-11</t>
  </si>
  <si>
    <t>4.1.6.1.12</t>
  </si>
  <si>
    <t>Células de Flotação - Célula de flotação da Rougher 2. Volume: 200 m³. Peso: 31 t - CF-2305SA-12</t>
  </si>
  <si>
    <t>4.1.6.1.13</t>
  </si>
  <si>
    <t>Células de Flotação - Célula de flotação da Rougher 2. Volume: 200 m³. Peso: 31 t - CF-2305SA-13</t>
  </si>
  <si>
    <t>4.1.6.1.14</t>
  </si>
  <si>
    <t>Células de Flotação - Célula de flotação da Rougher 2. Volume: 200 m³. Peso: 31 t - CF-2305SA-14</t>
  </si>
  <si>
    <t>4.1.6.1.15</t>
  </si>
  <si>
    <t>Células de Flotação - Célula de flotação da Scavenger do Cleaner. Volume: 200 m³. Peso: 31 t - CF-2306SA-23</t>
  </si>
  <si>
    <t>4.1.6.1.16</t>
  </si>
  <si>
    <t>Células de Flotação - Célula de flotação da Scavenger do Cleaner. Volume: 200 m³. Peso: 31 t - CF-2306SA-24</t>
  </si>
  <si>
    <t>4.1.6.1.17</t>
  </si>
  <si>
    <t>Células de Flotação - Célula de flotação da Scavenger do Cleaner. Volume: 200 m³. Peso: 31 t - CF-2306SA-25</t>
  </si>
  <si>
    <t>4.1.6.1.18</t>
  </si>
  <si>
    <t>Células de Flotação - Célula de flotação da Scavenger do Cleaner. Volume: 200 m³. Peso: 31 t - CF-2306SA-26</t>
  </si>
  <si>
    <t>4.1.6.1.19</t>
  </si>
  <si>
    <t>Células de Flotação - Célula de flotação da Scavenger do Cleaner. Volume: 200 m³. Peso: 31 t - CF-2306SA-27</t>
  </si>
  <si>
    <t>4.1.6.1.20</t>
  </si>
  <si>
    <t>Células de Flotação - Célula de flotação da Scavenger do Cleaner. Volume: 200 m³. Peso: 31 t - CF-2306SA-28</t>
  </si>
  <si>
    <t>4.1.6.1.21</t>
  </si>
  <si>
    <t>Células de Flotação - Célula de flotação da Scavenger do Cleaner. Volume: 200 m³. Peso: 31 t - CF-2306SA-29</t>
  </si>
  <si>
    <t>4.1.6.1.22</t>
  </si>
  <si>
    <t>Células de Flotação - Célula de flotação da Scavenger do Cleaner. Volume: 200 m³. Peso: 31 t - CF-2306SA-30</t>
  </si>
  <si>
    <t>4.1.6.1.23</t>
  </si>
  <si>
    <t>Células de Flotação - Célula de flotação da Scavenger do Cleaner. Volume: 200 m³. Peso: 31 t - CF-2306SA-31</t>
  </si>
  <si>
    <t>4.1.6.1.24</t>
  </si>
  <si>
    <t>Células de Flotação - Célula de flotação da Scavenger do Cleaner. Volume: 200 m³. Peso: 31 t - CF-2306SA-32</t>
  </si>
  <si>
    <t>4.1.6.1.25</t>
  </si>
  <si>
    <t>Células de Flotaçao tipo Staged Flotation Reactor (SFR) - 6,3 m³ PCU. 17,2 m³ BDU/FRU. Peso: 18.0 t - CF-2306SA-39</t>
  </si>
  <si>
    <t>4.1.6.1.26</t>
  </si>
  <si>
    <t>Células de Flotaçao tipo Staged Flotation Reactor (SFR) - 6,3 m³ PCU. 17,2 m³ BDU/FRU. Peso: 18.0 t - CF-2306SA-40</t>
  </si>
  <si>
    <t>4.1.6.2.1</t>
  </si>
  <si>
    <t>Coluna de Flotação diâmetro acima de 4m - Coluna de flotação para etapa Cleaner 3. Altura (m) = 14. Diâmetro (m) = 6. Peso: 34 t - CF-2307SA-15</t>
  </si>
  <si>
    <t>4.1.6.2.2</t>
  </si>
  <si>
    <t>Coluna de Flotação diâmetro acima de 4m - Coluna de flotação para etapa Cleaner 1. Altura (m) = 14. Diâmetro (m) = 6. Peso: 34 t - CF-2307SA-16</t>
  </si>
  <si>
    <t>4.1.6.2.3</t>
  </si>
  <si>
    <t>Coluna de Flotação diâmetro acima de 4m - Coluna de flotação para etapa Cleaner 1. Altura (m) = 14. Diâmetro (m) = 6. Peso: 34 t - CF-2307SA-17</t>
  </si>
  <si>
    <t>4.1.6.2.4</t>
  </si>
  <si>
    <t>Coluna de Flotação diâmetro acima de 4m - Coluna de flotação para etapa Cleaner 1. Altura (m) = 14. Diâmetro (m) = 6. Peso: 34 t - CF-2307SA-18</t>
  </si>
  <si>
    <t>4.1.6.2.5</t>
  </si>
  <si>
    <t>Coluna de Flotação diâmetro acima de 4m - Coluna de flotação para etapa Cleaner 1. Altura (m) = 14. Diâmetro (m) = 6. Peso: 34 t - CF-2307SA-19</t>
  </si>
  <si>
    <t>4.1.6.2.6</t>
  </si>
  <si>
    <t>Coluna de Flotação diâmetro acima de 4m - Coluna de flotação para etapa Cleaner 1. Altura (m) = 14. Diâmetro (m) = 6. Peso: 34 t - CF-2307SA-20</t>
  </si>
  <si>
    <t>4.1.6.2.7</t>
  </si>
  <si>
    <t>Coluna de Flotação diâmetro acima de 4m - Coluna de flotação para etapa Cleaner 1. Altura (m) = 14. Diâmetro (m) = 6. Peso: 34 t - CF-2307SA-21</t>
  </si>
  <si>
    <t>4.1.6.2.8</t>
  </si>
  <si>
    <t>Coluna de Flotação diâmetro acima de 4m - Coluna de flotação para etapa Cleaner 1. Altura (m) = 14. Diâmetro (m) = 6. Peso: 34 t - CF-2307SA-22</t>
  </si>
  <si>
    <t>4.1.6.2.9</t>
  </si>
  <si>
    <t>Coluna de Flotação diâmetro acima de 4m - Coluna de flotação para etapa Cleaner 1. Altura (m) = 14. Diâmetro (m) = 4,3. Peso: 21 t - CF-2307SA-33</t>
  </si>
  <si>
    <t>4.1.6.2.10</t>
  </si>
  <si>
    <t>Coluna de Flotação diâmetro acima de 4m - Coluna de flotação para etapa Cleaner 1. Altura (m) = 14. Diâmetro (m) = 4,3. Peso: 21 t - CF-2307SA-34</t>
  </si>
  <si>
    <t>4.1.6.2.11</t>
  </si>
  <si>
    <t>Coluna de Flotação diâmetro acima de 4m - Coluna de flotação para etapa Cleaner 1. Altura (m) = 14. Diâmetro (m) = 4,3. Peso: 21 t - CF-2307SA-35</t>
  </si>
  <si>
    <t>4.1.6.2.12</t>
  </si>
  <si>
    <t>Coluna de Flotação diâmetro acima de 4m - Coluna de flotação para etapa Cleaner 1. Altura (m) = 14. Diâmetro (m) = 4,3. Peso: 21 t - CF-2307SA-36</t>
  </si>
  <si>
    <t>4.1.6.2.13</t>
  </si>
  <si>
    <t>Coluna de Flotação diâmetro acima de 4m - Coluna de flotação para etapa Cleaner 1. Altura (m) = 14. Diâmetro (m) = 4,3. Peso: 21 t - CF-2307SA-37</t>
  </si>
  <si>
    <t>4.1.6.2.14</t>
  </si>
  <si>
    <t>Coluna de Flotação diâmetro acima de 4m - Coluna de flotação para etapa Cleaner 1. Altura (m) = 14. Diâmetro (m) = 4,3. Peso: 21 t - CF-2307SA-38</t>
  </si>
  <si>
    <t>4.1.7.1.1</t>
  </si>
  <si>
    <t>Peneiras tipo Banana 2 decks. Comprimento (ft) = 24
Largura (ft) = 12 
Tela 1º Deck (mm) = 12
Tela 2º Deck (mm) = 8 - Peneira vibratória inclinada para peneiramento secundário. Peso: 43 t - PN-2305SA-01</t>
  </si>
  <si>
    <t>4.1.7.1.2</t>
  </si>
  <si>
    <t>Peneiras tipo Banana 2 decks. Comprimento (ft) = 24
Largura (ft) = 12 
Tela 1º Deck (mm) = 12
Tela 2º Deck (mm) = 8 - Peneira vibratória inclinada para peneiramento secundário. Peso: 43 t - PN-2305SA-02</t>
  </si>
  <si>
    <t>4.1.7.1.3</t>
  </si>
  <si>
    <t>Peneiras tipo Banana 2 decks. Comprimento (ft) = 24
Largura (ft) = 12 
Tela 1º Deck (mm) = 12
Tela 2º Deck (mm) = 8 - Peneira vibratória inclinada para peneiramento secundário. Peso: 43 t - PN-2305SA-03</t>
  </si>
  <si>
    <t>4.1.7.1.4</t>
  </si>
  <si>
    <t>Peneiras tipo Banana 2 decks. Comprimento (ft) = 24
Largura (ft) = 12 
Tela 1º Deck (mm) = 12
Tela 2º Deck (mm) = 8 - Peneira vibratória inclinada para peneiramento secundário. Peso: 43 t - PN-2305SA-04</t>
  </si>
  <si>
    <t>4.1.7.1.5</t>
  </si>
  <si>
    <t>Peneiras tipo Banana 2 decks. Comprimento (ft) = 24
Largura (ft) = 12 
Tela 1º Deck (mm) = 12
Tela 2º Deck (mm) = 8 - Peneira vibratória reserva não instalada, apenas apoiada na estrutura do prédio. Peso: 43 t - PN-2305SA-R1</t>
  </si>
  <si>
    <t>4.1.8.1.1</t>
  </si>
  <si>
    <t>Bomba de parafuso - Bomba para transferência de floculante para o tanque de distribuição. Peso: 0.01 t - BQ-2315SA-27</t>
  </si>
  <si>
    <t>4.1.8.1.2</t>
  </si>
  <si>
    <t>Bomba de parafuso - Bomba para transferência de floculante para o tanque de distribuição. Peso: 0.01 t - BQ-2315SA-28</t>
  </si>
  <si>
    <t>4.1.8.2.1</t>
  </si>
  <si>
    <t>Bomba Peristáltica de 0,33 CV - Bomba para dosagem de Espumante 2. Modelo: BREDEL 15 ou similar. Peso: 0.02 t - BQ-2315SA-100</t>
  </si>
  <si>
    <t>4.1.8.2.2</t>
  </si>
  <si>
    <t>Bomba Peristáltica de 0,33 CV - Bomba para dosagem de Espumante 2. Modelo: BREDEL 15 ou similar. Peso: 0.02 t - BQ-2315SA-103</t>
  </si>
  <si>
    <t>4.1.8.2.3</t>
  </si>
  <si>
    <t>Bomba Peristáltica de 0,33 CV - Bomba para dosagem de Espumante 1. Modelo: BREDEL 15 ou similar. Peso: 0.02 t - BQ-2315SA-106</t>
  </si>
  <si>
    <t>4.1.8.2.4</t>
  </si>
  <si>
    <t>Bomba Peristáltica de 0,33 CV - Bomba para dosagem de Espumante 1. Modelo: BREDEL 15 ou similar. Peso: 0.02 t - BQ-2315SA-107</t>
  </si>
  <si>
    <t>4.1.8.2.5</t>
  </si>
  <si>
    <t>Bomba Peristáltica de 0,33 CV - Bomba para dosagem de Espumante 1. Modelo: BREDEL 15 ou similar. Peso: 0.02 t - BQ-2315SA-109</t>
  </si>
  <si>
    <t>4.1.8.2.6</t>
  </si>
  <si>
    <t>Bomba Peristáltica de 0,33 CV - Bomba para dosagem de Coletor 3. Modelo: BREDEL 15 ou similar. Peso: 0.02 t - BQ-2315SA-117</t>
  </si>
  <si>
    <t>4.1.8.2.7</t>
  </si>
  <si>
    <t>Bomba Peristáltica de 0,33 CV - Bomba para dosagem de Espumante 2. Modelo: BREDEL 15 ou similar. Peso: 0.02 t - BQ-2315SA-120</t>
  </si>
  <si>
    <t>4.1.8.2.8</t>
  </si>
  <si>
    <t>Bomba Peristáltica de 0,33 CV - Bomba para dosagem de Coletor 1. Modelo: BREDEL 15 ou similar. Peso: 0.03 t - BQ-2315SA-77</t>
  </si>
  <si>
    <t>4.1.8.2.9</t>
  </si>
  <si>
    <t>Bomba Peristáltica de 0,33 CV - Bomba para dosagem de Coletor 1. Modelo: BREDEL 15 ou similar. Peso: 0.03 t - BQ-2315SA-78</t>
  </si>
  <si>
    <t>4.1.8.2.10</t>
  </si>
  <si>
    <t>Bomba Peristáltica de 0,25 CV - Bomba para dosagem de Espumante 2. Modelo: BREDEL 10 ou similar. Peso: 0.02 t - BQ-2315SA-101</t>
  </si>
  <si>
    <t>4.1.8.2.11</t>
  </si>
  <si>
    <t>Bomba Peristáltica de 0,25 CV - Bomba para dosagem de Espumante 2. Modelo: BREDEL 10 ou similar. Peso: 0.02 t - BQ-2315SA-102</t>
  </si>
  <si>
    <t>4.1.8.2.12</t>
  </si>
  <si>
    <t>Bomba Peristáltica de 0,25 CV - Bomba para dosagem de Espumante 2. Modelo: BREDEL 10 ou similar. Peso: 0.02 t - BQ-2315SA-104</t>
  </si>
  <si>
    <t>4.1.8.2.13</t>
  </si>
  <si>
    <t>Bomba Peristáltica de 0,25 CV - Bomba para dosagem de Espumante 2. Modelo: BREDEL 10 ou similar. Peso: 0.02 t - BQ-2315SA-105</t>
  </si>
  <si>
    <t>4.1.8.2.14</t>
  </si>
  <si>
    <t>Bomba Peristáltica de 0,25 CV - Bomba para dosagem de Espumante 1. Modelo: BREDEL 10 ou similar. Peso: 0.02 t - BQ-2315SA-108</t>
  </si>
  <si>
    <t>4.1.8.2.15</t>
  </si>
  <si>
    <t>Bomba Peristáltica de 0,25 CV - Bomba para dosagem de Espumante 1. Modelo: BREDEL 10 ou similar. Peso: 0.02 t - BQ-2315SA-110</t>
  </si>
  <si>
    <t>4.1.8.2.16</t>
  </si>
  <si>
    <t>Bomba Peristáltica de 0,25 CV - Bomba para dosagem de Espumante 1. Modelo: BREDEL 10 ou similar. Peso: 0.02 t - BQ-2315SA-111</t>
  </si>
  <si>
    <t>4.1.8.2.17</t>
  </si>
  <si>
    <t>Bomba Peristáltica de 0,25 CV - Bomba para dosagem de Espumante 1. Modelo: BREDEL 10 ou similar. Peso: 0.02 t - BQ-2315SA-112</t>
  </si>
  <si>
    <t>4.1.8.2.18</t>
  </si>
  <si>
    <t>Bomba Peristáltica de 0,25 CV - Bomba para dosagem de Coletor 3. Modelo: BREDEL 10 ou similar. Peso: 0.02 t - BQ-2315SA-113</t>
  </si>
  <si>
    <t>4.1.8.2.19</t>
  </si>
  <si>
    <t>Bomba Peristáltica de 0,25 CV - Bomba para dosagem de Coletor 3. Modelo: BREDEL 10 ou similar. Peso: 0.02 t - BQ-2315SA-114</t>
  </si>
  <si>
    <t>4.1.8.2.20</t>
  </si>
  <si>
    <t>Bomba Peristáltica de 0,25 CV - Bomba para dosagem de Coletor 3. Modelo: BREDEL 10 ou similar. Peso: 0.02 t - BQ-2315SA-115</t>
  </si>
  <si>
    <t>4.1.8.2.21</t>
  </si>
  <si>
    <t>Bomba Peristáltica de 0,25 CV - Bomba para dosagem de Coletor 3. Modelo: BREDEL 10 ou similar. Peso: 0.02 t - BQ-2315SA-116</t>
  </si>
  <si>
    <t>4.1.8.2.22</t>
  </si>
  <si>
    <t>Bomba Peristáltica de 0,25 CV - Bomba para dosagem de Espumante 1. Modelo: BREDEL 10 ou similar. Peso: 0.02 t - BQ-2315SA-118</t>
  </si>
  <si>
    <t>4.1.8.2.23</t>
  </si>
  <si>
    <t>Bomba Peristáltica de 0,25 CV - Bomba para dosagem de Espumante 1. Modelo: BREDEL 10 ou similar. Peso: 0.02 t - BQ-2315SA-119</t>
  </si>
  <si>
    <t>4.1.8.2.24</t>
  </si>
  <si>
    <t>Bomba Peristáltica de 0,25 CV - Bomba para dosagem de Espumante 2. Modelo: BREDEL 10 ou similar. Peso: 0.02 t - BQ-2315SA-121</t>
  </si>
  <si>
    <t>4.1.8.2.25</t>
  </si>
  <si>
    <t>Bomba Peristáltica de 0,25 CV - Bomba para dosagem de Espumante 2. Modelo: BREDEL 10 ou similar. Peso: 0.02 t - BQ-2315SA-122</t>
  </si>
  <si>
    <t>4.1.8.2.26</t>
  </si>
  <si>
    <t>Bomba Peristáltica de 0,25 CV - Bomba para dosagem de Coletor 3. Modelo: BREDEL 10 ou similar. Peso: 0.02 t - BQ-2315SA-70</t>
  </si>
  <si>
    <t>4.1.8.2.27</t>
  </si>
  <si>
    <t>Bomba Peristáltica de 0,25 CV - Bomba para dosagem de Coletor 3. Modelo: BREDEL 10 ou similar. Peso: 0.02 t - BQ-2315SA-71</t>
  </si>
  <si>
    <t>4.1.8.2.28</t>
  </si>
  <si>
    <t>Bomba Peristáltica de 0,25 CV - Bomba para dosagem de Coletor 3. Modelo: BREDEL 10 ou similar. Peso: 0.02 t - BQ-2315SA-72</t>
  </si>
  <si>
    <t>4.1.8.2.29</t>
  </si>
  <si>
    <t>Bomba Peristáltica de 0,25 CV - Bomba para dosagem de Coletor 3. Modelo: BREDEL 10 ou similar. Peso: 0.02 t - BQ-2315SA-73</t>
  </si>
  <si>
    <t>4.1.8.2.30</t>
  </si>
  <si>
    <t>Bomba Peristáltica de 0,25 CV - Bomba para dosagem de Coletor 3. Modelo: BREDEL 10 ou similar. Peso: 0.02 t - BQ-2315SA-74</t>
  </si>
  <si>
    <t>4.1.8.2.31</t>
  </si>
  <si>
    <t>Bomba Peristáltica de 0,25 CV - Bomba para dosagem de Coletor 3. Modelo: BREDEL 10 ou similar. Peso: 0.02 t - BQ-2315SA-75</t>
  </si>
  <si>
    <t>4.1.8.2.32</t>
  </si>
  <si>
    <t>Bomba Peristáltica de 0,25 CV - Bomba para dosagem de Coletor 3. Modelo: BREDEL 10 ou similar. Peso: 0.02 t - BQ-2315SA-76</t>
  </si>
  <si>
    <t>4.1.8.2.33</t>
  </si>
  <si>
    <t>Bomba Peristáltica de 0,25 CV - Bomba para dosagem de Coletor 2. Modelo: BREDEL 10 ou similar. Peso: 0.02 t - BQ-2315SA-88</t>
  </si>
  <si>
    <t>4.1.8.2.34</t>
  </si>
  <si>
    <t>Bomba Peristáltica de 0,25 CV - Bomba para dosagem de Coletor 2. Modelo: BREDEL 10 ou similar. Peso: 0.02 t - BQ-2315SA-89</t>
  </si>
  <si>
    <t>4.1.8.2.35</t>
  </si>
  <si>
    <t>Bomba Peristáltica de 0,25 CV - Bomba para dosagem de Coletor 2. Modelo: BREDEL 10 ou similar. Peso: 0.02 t - BQ-2315SA-90</t>
  </si>
  <si>
    <t>4.1.8.2.36</t>
  </si>
  <si>
    <t>Bomba Peristáltica de 0,25 CV - Bomba para dosagem de Coletor 2.Modelo: BREDEL 10 ou similar. Peso: 0.02 t - BQ-2315SA-91</t>
  </si>
  <si>
    <t>4.1.8.2.37</t>
  </si>
  <si>
    <t>Bomba Peristáltica de 0,25 CV - Bomba para dosagem de Coletor 2. Modelo: BREDEL 10 ou similar. Peso: 0.02 t - BQ-2315SA-92</t>
  </si>
  <si>
    <t>4.1.8.2.38</t>
  </si>
  <si>
    <t>Bomba Peristáltica de 0,25 CV - Bomba para dosagem de Coletor 2. Modelo: BREDEL 10 ou similar. Peso: 0.02 t - BQ-2315SA-93</t>
  </si>
  <si>
    <t>4.1.8.2.39</t>
  </si>
  <si>
    <t>Bomba Peristáltica de 0,25 CV - Bomba para dosagem de Coletor 2. Modelo: BREDEL 10 ou similar. Peso: 0.02 t - BQ-2315SA-94</t>
  </si>
  <si>
    <t>4.1.8.2.40</t>
  </si>
  <si>
    <t>Bomba Peristáltica de 0,25 CV - Bomba para dosagem de Coletor 2. Modelo: BREDEL 10 ou similar. Peso: 0.02 t - BQ-2315SA-95</t>
  </si>
  <si>
    <t>4.1.8.2.41</t>
  </si>
  <si>
    <t>Bomba Peristáltica de 0,25 CV - Bomba para dosagem de Coletor 2. Modelo: BREDEL 10 ou similar. Peso: 0.02 t - BQ-2315SA-96</t>
  </si>
  <si>
    <t>4.1.8.2.42</t>
  </si>
  <si>
    <t>Bomba Peristáltica de 0,25 CV - Bomba para dosagem de Coletor 2. Modelo: BREDEL 10 ou similar. Peso: 0.02 t - BQ-2315SA-97</t>
  </si>
  <si>
    <t>4.1.8.2.43</t>
  </si>
  <si>
    <t>Bomba Peristáltica de 1 CV - Bomba para dosagem de Coletor 1. Modelo: BREDEL 25 ou similar. Peso: 0.07 t - BQ-2315SA-79</t>
  </si>
  <si>
    <t>4.1.8.2.44</t>
  </si>
  <si>
    <t>Bomba Peristáltica de 1 CV - Bomba para dosagem de Coletor 1. Modelo: BREDEL 25 ou similar. Peso: 0.07 t - BQ-2315SA-80</t>
  </si>
  <si>
    <t>4.1.8.2.45</t>
  </si>
  <si>
    <t>Bomba Peristáltica de 1 CV - Bomba para dosagem de Coletor 1. Modelo: BREDEL 25 ou similar. Peso: 0.03 t - BQ-2315SA-86</t>
  </si>
  <si>
    <t>4.1.8.2.46</t>
  </si>
  <si>
    <t>Bomba Peristáltica de 1 CV - Bomba para dosagem de Coletor 1. Modelo: BREDEL 25 ou similar. Peso: 0.03 t - BQ-2315SA-87</t>
  </si>
  <si>
    <t>4.1.8.2.47</t>
  </si>
  <si>
    <t>Bomba Peristáltica de 0,5 CV - Bomba para dosagem de Coletor 1. Modelo: BREDEL 20 ou similar. Peso: 0.03 t - BQ-2315SA-81</t>
  </si>
  <si>
    <t>4.1.8.2.48</t>
  </si>
  <si>
    <t>Bomba Peristáltica de 0,5 CV - Bomba para dosagem de Coletor 1. Modelo: BREDEL 20 ou similar. Peso: 0.03 t - BQ-2315SA-83</t>
  </si>
  <si>
    <t>4.1.8.2.49</t>
  </si>
  <si>
    <t>Bomba Peristáltica de 0,5 CV - Bomba para dosagem de Coletor 1. Modelo: BREDEL 20 ou similar. Peso: 0.03 t - BQ-2315SA-84</t>
  </si>
  <si>
    <t>4.1.8.2.50</t>
  </si>
  <si>
    <t>Bomba Peristáltica de 0,5 CV - Bomba para dosagem de Coletor 1. Modelo: BREDEL 20 ou similar. Peso: 0.03 t - BQ-2315SA-85</t>
  </si>
  <si>
    <t>4.1.8.2.51</t>
  </si>
  <si>
    <t>Bomba Peristáltica de 1,5 CV - Bomba para dosagem de Coletor 1. Modelo: BREDEL 32 ou similar. Peso: 0.07 t - BQ-2315SA-82</t>
  </si>
  <si>
    <t>4.1.8.2.52</t>
  </si>
  <si>
    <t>Bomba Peristáltica de 0,75 CV - Bomba de reagente para dosagem de floculante no espessador de concentrado. Modelo: BREDEL 25 ou similar. Peso: 0.06 t - BQ-23150SA-29</t>
  </si>
  <si>
    <t>4.1.8.2.53</t>
  </si>
  <si>
    <t>Bomba Peristáltica de 0,75 CV - Bomba de reagente para dosagem de floculante no espessador de concentrado. Modelo: BREDEL 25 ou similar. Peso: 0.06 t - BQ-2310SA-30</t>
  </si>
  <si>
    <t>4.1.8.3.1</t>
  </si>
  <si>
    <t>Bombas Centrífugas Horizontais de 1 CV - Bomba para transferência do Coletor 2 para o tanque de distribuição. Peso: 0.03 t - BQ-2315SA-09</t>
  </si>
  <si>
    <t>4.1.8.3.2</t>
  </si>
  <si>
    <t>Bombas Centrífugas Horizontais de 1 CV - Bomba para transferência do Coletor 2 para o tanque de distribuição. Peso: 0.30 t - BQ-2315SA-10</t>
  </si>
  <si>
    <t>4.1.8.3.3</t>
  </si>
  <si>
    <t>Bombas Centrífugas Horizontais de 1 CV - Bomba para transferência do Espumante 1 para o tanque de distribuição. Peso: 0.03 t - BQ-2315SA-15</t>
  </si>
  <si>
    <t>4.1.8.3.4</t>
  </si>
  <si>
    <t>Bombas Centrífugas Horizontais de 1 CV - Bomba para transferência do Espumante 1 para o tanque de distribuição. Peso: 0.03 t - BQ-2315SA-16</t>
  </si>
  <si>
    <t>4.1.8.3.5</t>
  </si>
  <si>
    <t>Bombas Centrífugas Horizontais de 1 CV - Bomba para transferência do Coletor 3 para o tanque de distribuição. Peso: 0.03 t - BQ-2315SA-23</t>
  </si>
  <si>
    <t>4.1.8.3.6</t>
  </si>
  <si>
    <t>Bombas Centrífugas Horizontais de 1 CV - Bomba para transferência do Coletor 3 para o tanque de distribuição. Peso: 0.03 t - BQ-2315SA-24</t>
  </si>
  <si>
    <t>4.1.8.3.7</t>
  </si>
  <si>
    <t>Bombas Centrífugas Horizontais de 1 CV - Bomba para transferência do Espumante 2 para o tanque de distribuição. Peso: 0.06 t - BQ-2315SA-39</t>
  </si>
  <si>
    <t>4.1.8.3.8</t>
  </si>
  <si>
    <t>Bombas Centrífugas Horizontais de 1 CV - Bomba para transferência do Espumante 2 para o tanque de distribuição. Peso: 0.06 t - BQ-2315SA-40</t>
  </si>
  <si>
    <t>4.1.8.3.9</t>
  </si>
  <si>
    <t>Bombas Centrífugas Horizontais de 2 CV - Bomba para transferência do Coletor 1 para o tanque de distribuição. Peso: 0.10 t - BQ-2315SA-01</t>
  </si>
  <si>
    <t>4.1.8.3.10</t>
  </si>
  <si>
    <t>Bombas Centrífugas Horizontais de 2 CV - Bomba para transferência do Coletor 1 para o tanque de distribuição. Peso: 0.10 t - BQ-2315SA-02</t>
  </si>
  <si>
    <t>4.1.8.3.11</t>
  </si>
  <si>
    <t>Bombas Centrífugas Horizontais de 5 CV - Bomba de polpa do sistema de coleta de pó das prensas de rolos. Modelo: millMAX-e 2 x 1,5 MMAA. Peso: 0.19 t - BP-2303SA-01</t>
  </si>
  <si>
    <t>4.1.8.3.12</t>
  </si>
  <si>
    <t>Bombas Centrífugas Horizontais de 5 CV - Bomba de polpa do sistema de coleta de pó das prensas de rolos. Modelo: millMAX-e 2 x 1,5 MMAA. Peso: 0.19 t - BP-2303SA-02</t>
  </si>
  <si>
    <t>4.1.8.3.13</t>
  </si>
  <si>
    <t>Bombas Centrífugas Horizontais de 5 CV - Bomba jokey do sistema de combate a incêndio - Fornecido em conjunto com as BA-5102SA-01/03 - - Peso ref.: 0,12 t. - BA-5102SA-02</t>
  </si>
  <si>
    <t>4.1.8.3.14</t>
  </si>
  <si>
    <t>Bombas Centrífugas Horizontais de 7,5 CV - Para água - - Peso ref.: 0,08 t - BA-5101SA-15</t>
  </si>
  <si>
    <t>4.1.8.3.15</t>
  </si>
  <si>
    <t>Bombas Centrífugas Horizontais de 7,5 CV - Para água - - Peso ref.: 0,08 t - BA-5101SA-16</t>
  </si>
  <si>
    <t>4.1.8.3.16</t>
  </si>
  <si>
    <t>Bombas Centrífugas Horizontais de 7,5 CV - Para água - Peso ref.: 0,07 t - BA-5103SA-01</t>
  </si>
  <si>
    <t>4.1.8.3.17</t>
  </si>
  <si>
    <t>Bombas Centrífugas Horizontais de 7,5 CV - Para água - Peso ref.: 0,07 t - BA-5103SA-02</t>
  </si>
  <si>
    <t>4.1.8.3.18</t>
  </si>
  <si>
    <t>Bombas Centrífugas Horizontais de 10 CV - Bomba de polpa do underflow do espessador de concentrado. Modelo: millMAX-e 3 x 2-8 MMAA. Peso 0.23 t - BP-2310SA-37</t>
  </si>
  <si>
    <t>4.1.8.3.19</t>
  </si>
  <si>
    <t>Bombas Centrífugas Horizontais de 10 CV - Bomba de polpa do underflow do espessador de concentrado. Modelo: millMAX-e 3 x 2-8 MMAA. Peso 0.23 t - BP-2310SA-38</t>
  </si>
  <si>
    <t>4.1.8.3.20</t>
  </si>
  <si>
    <t>Bombas Centrífugas Horizontais de 12,5 CV - Para água - Peso ref.: 0,12 t - BA-5102SA-04</t>
  </si>
  <si>
    <t>4.1.8.3.21</t>
  </si>
  <si>
    <t>Bombas Centrífugas Horizontais de 12,5 CV - Para água Peso ref.: 0,12 t - BA-5102SA-05</t>
  </si>
  <si>
    <t>4.1.8.3.22</t>
  </si>
  <si>
    <t>Bombas Centrífugas Horizontais de 15 CV - Bomba para transferência do leite de cal do tanque de preparação para o tanque de distribuição. Modelo: 3/2 AH ou similar. Peso: 0.20 t - BQ-2314SA-67</t>
  </si>
  <si>
    <t>4.1.8.3.23</t>
  </si>
  <si>
    <t>Bombas Centrífugas Horizontais de 15 CV - Bomba para transferência do leite de cal do tanque de preparação para o tanque de distribuição. Modelo: 3/2 AH ou similar. Peso: 0.20 t - BQ-2314SA-68</t>
  </si>
  <si>
    <t>4.1.8.3.24</t>
  </si>
  <si>
    <t>Bombas Centrífugas Horizontais de 75 CV - Para água - Peso ref.: 0,48 t - BA-5101SA-07</t>
  </si>
  <si>
    <t>4.1.8.3.25</t>
  </si>
  <si>
    <t>Bombas Centrífugas Horizontais de 75 CV - Para água - Peso ref.: 0,48 t - BA-5101SA-08</t>
  </si>
  <si>
    <t>4.1.8.3.26</t>
  </si>
  <si>
    <t>Bombas Centrífugas Horizontais para água de 75 CV - Peso ref.: 0,50 t. - BA-2303SA-01</t>
  </si>
  <si>
    <t>4.1.8.3.27</t>
  </si>
  <si>
    <t>Bombas Centrífugas Horizontais para água de 75 CV - Peso ref.: 0,50 t. - BA-2303SA-02</t>
  </si>
  <si>
    <t>4.1.8.3.28</t>
  </si>
  <si>
    <t>Bombas Centrífugas Horizontais de 3 CV - Bomba para transferência do caminhão tanque para o tanque de estocagem do Coletor 2. Peso: 0.60 t - BQ-2315SA-05</t>
  </si>
  <si>
    <t>4.1.8.3.29</t>
  </si>
  <si>
    <t>Bombas Centrífugas Horizontais de 3 CV - Bomba para transferência do caminhão tanque para o tanque de estocagem do Coletor 2. Peso: 0.60 t - BQ-2315SA-06</t>
  </si>
  <si>
    <t>4.1.8.3.30</t>
  </si>
  <si>
    <t>Bombas Centrífugas Horizontais de 20 CV - Para água - Peso ref.: 0,26 t - BA-5101SA-05</t>
  </si>
  <si>
    <t>4.1.8.3.31</t>
  </si>
  <si>
    <t>Bombas Centrífugas Horizontais de 25 CV - Bomba de distribuição de leite de cal. Modelo: 2/1.5 AH ou similar. Peso: 0.58 t - BQ-2314SA-31</t>
  </si>
  <si>
    <t>4.1.8.3.32</t>
  </si>
  <si>
    <t>Bombas Centrífugas Horizontais de 25 CV - Bomba de distribuição de leite de cal. Modelo: 2/1.5 AH ou similar. Peso: 0.58 t - BQ-2314SA-32</t>
  </si>
  <si>
    <t>4.1.8.3.33</t>
  </si>
  <si>
    <t>Bombas Centrífugas Horizontais de 25 CV - Para água - Peso ref.: 0,26 t - BA-5101SA-06</t>
  </si>
  <si>
    <t>4.1.8.3.34</t>
  </si>
  <si>
    <t>Bombas Centrífugas Horizontais de 30 CV - Bomba de polpa do overflow do espessador de concentrado. Modelo: millMAX-e 4 x 3-9,5 MMAA. Peso: 0.515 t - BP-2310SA-35</t>
  </si>
  <si>
    <t>4.1.8.3.35</t>
  </si>
  <si>
    <t>Bombas Centrífugas Horizontais de 30 CV - Bomba de polpa do overflow do espessador de concentrado. Modelo: millMAX-e 4 x 3-9,5 MMAA. Peso: 0.515 t - BP-2310SA-36</t>
  </si>
  <si>
    <t>4.1.8.3.36</t>
  </si>
  <si>
    <t>Bombas Centrífugas Horizontais de 40 CV - Bomba de polpa do mineroduto. Modelo: millMAX 3 x 2-9 MMAA. Peso: 0.57 t - BP-2310SA-31</t>
  </si>
  <si>
    <t>4.1.8.3.37</t>
  </si>
  <si>
    <t>Bombas Centrífugas Horizontais de 40 CV - Bomba de polpa do mineroduto. Modelo: millMAX 3 x 2-9 MMAA. Peso: 0.57 t - BP-2310SA-33</t>
  </si>
  <si>
    <t>4.1.8.3.38</t>
  </si>
  <si>
    <t>Bombas Centrífugas Horizontais de 40 CV - Bomba principal do sistema de combate a incêndio - Acionamento a motor elétrico - Fornecido em conjunto com as BA-5102SA-02/03 - Peso ref.: 0,45 t - Peso total de todo conjunto (Skid) estimado 4,245 t. - BA-5102SA-01</t>
  </si>
  <si>
    <t>4.1.8.3.39</t>
  </si>
  <si>
    <t>Bombas Centrífugas Horizontais de 40 CV - Bomba a diesel do sistema de combate a incêndio - Fornecido em conjunto com as BA-5102SA-01/02 ,  inclusive o motor de acionamento a diesel - Peso ref total.: 3,358 t - BA-5102SA-03</t>
  </si>
  <si>
    <t>4.1.8.3.40</t>
  </si>
  <si>
    <t>Bombas Centrífugas Horizontais de 50 CV - Bomba de polpa para transferência do concentrado da Rougher 1 para a Cleaner 1. Modelo: millMAX-e 6 x 4-13,4 MMA. Peso: 1.32 t - BP-2306SA-01</t>
  </si>
  <si>
    <t>4.1.8.3.41</t>
  </si>
  <si>
    <t>Bombas Centrífugas Horizontais de 50 CV - Bomba de polpa para transferência do concentrado da Rougher 1 para a Cleaner 1. Modelo: millMAX-e 6 x 4-13,4 MMA. Peso: 1.32 t - BP-2306SA-02</t>
  </si>
  <si>
    <t>4.1.8.3.42</t>
  </si>
  <si>
    <t>Bombas Centrífugas Horizontais de 50 CV - Bomba de polpa para transferência do concentrado da Rougher 1 para a Cleaner 1. Modelo: millMAX-e 6 x 4-13,4 MMA. Peso: 1.32 t - BP-2306SA-03</t>
  </si>
  <si>
    <t>4.1.8.3.43</t>
  </si>
  <si>
    <t>Bombas Centrífugas Horizontais de 50 CV - Bomba de polpa para transferência do concentrado da Rougher 1 para a Cleaner 1. Modelo: millMAX-e 6 x 4-13,4 MMA. Peso: 1.32 t - BP-2306SA-04</t>
  </si>
  <si>
    <t>4.1.8.3.44</t>
  </si>
  <si>
    <t>Bombas Centrífugas Horizontais de 60 CV - Bomba de polpa para transferência do concentrado da Cleaner 2 para a Cleaner 3. Modelo: millMAX-e 8 x 6-17 MMA. Peso: 1.17 t - BP-2307SA-24</t>
  </si>
  <si>
    <t>4.1.8.3.45</t>
  </si>
  <si>
    <t>Bombas Centrífugas Horizontais de 60 CV - Bomba de polpa para transferência do concentrado da Cleaner 2 para a Cleaner 3. Modelo: millMAX-e 8 x 6-17 MMA. Peso: 1.17 t - BP-2307SA-25</t>
  </si>
  <si>
    <t>4.1.8.3.46</t>
  </si>
  <si>
    <t>Bombas Centrífugas Horizontais de 60 CV - Bomba de polpa para transferência do concentrado da Cleaner 2 para a Cleaner 3. Modelo: millMAX-e 8 x 6-17 MMA. Peso: 1.17 t - BP-2307SA-26</t>
  </si>
  <si>
    <t>4.1.8.3.47</t>
  </si>
  <si>
    <t>Bombas Centrífugas Horizontais de 60 CV - Bomba de polpa para transferência do concentrado da Cleaner 2 para a Cleaner 3. Modelo: millMAX-e 8 x 6-17 MMA. Peso: 1.17 t - BP-2307SA-27</t>
  </si>
  <si>
    <t>4.1.8.3.48</t>
  </si>
  <si>
    <t>Bombas Centrífugas Horizontais de 60 CV - Bomba de polpa para transferência do rejeito da Cleaner 3 para a Cleaner 2. Modelo: millMAX-e 6 x 4-13 MMA. Peso: 1.04 t - BP-2307SA-28</t>
  </si>
  <si>
    <t>4.1.8.3.49</t>
  </si>
  <si>
    <t>Bombas Centrífugas Horizontais de 60 CV - Bomba de polpa para transferência do rejeito da Cleaner 3 para a Cleaner 2. Modelo: millMAX-e 6 x 4-13 MMA. Peso: 1.04 t - BP-2307SA-29</t>
  </si>
  <si>
    <t>4.1.8.3.50</t>
  </si>
  <si>
    <t>Bombas Centrífugas Horizontais de 60 CV - Bomba de polpa para transferência do rejeito da Cleaner 3 para a Cleaner 2. Modelo: millMAX-e 6 x 4-13 MMA. Peso: 1.04 t - BP-2307SA-30</t>
  </si>
  <si>
    <t>4.1.8.3.51</t>
  </si>
  <si>
    <t>Bombas Centrífugas Horizontais de 60 CV - Para água - Peso ref.: 0,59 t - BA-5101SA-03</t>
  </si>
  <si>
    <t>4.1.8.3.52</t>
  </si>
  <si>
    <t>Bombas Centrífugas Horizontais de 60 CV - Para água - Peso ref.: 0,59t - BA-5101SA-04</t>
  </si>
  <si>
    <t>4.1.8.3.53</t>
  </si>
  <si>
    <t>Bombas Centrífugas Horizontais de 125 CV - Para água - Peso ref.: 0,88 t. - BA-2305SA-01</t>
  </si>
  <si>
    <t>4.1.8.3.54</t>
  </si>
  <si>
    <t>Bombas Centrífugas Horizontais de 125 CV - Para água - Peso ref.: 0,88 t. - BA-2305SA-02</t>
  </si>
  <si>
    <t>4.1.8.3.55</t>
  </si>
  <si>
    <t>Bombas Centrífugas Horizontais de 100 CV - Para água - Para água - Peso ref.: 0,93 t - BA-5101SA-11</t>
  </si>
  <si>
    <t>4.1.8.3.56</t>
  </si>
  <si>
    <t>Bombas Centrífugas Horizontais de 175 CV - Bomba de polpa para transferência do concentrado da Cleaner 1 para a Cleaner 2. Modelo: millMAX-e 12 x 10-23,6 MMC. Peso: 3.44 t - BP-2307SA-17</t>
  </si>
  <si>
    <t>4.1.8.3.57</t>
  </si>
  <si>
    <t>Bombas Centrífugas Horizontais de 175 CV - Bomba de polpa para transferência do concentrado da Cleaner 1 para a Cleaner 2. Modelo: millMAX-e 12 x 10-23,6 MMC. Peso: 3.44 t - BP-2307SA-18</t>
  </si>
  <si>
    <t>4.1.8.3.58</t>
  </si>
  <si>
    <t>Bombas Centrífugas Horizontais de 175 CV - Bomba de polpa para transferência do concentrado da Cleaner 1 para a Cleaner 2. Modelo: millMAX-e 12 x 10-23,6 MMC. Peso: 3.44 t - BP-2307SA-19</t>
  </si>
  <si>
    <t>4.1.8.3.59</t>
  </si>
  <si>
    <t>Bombas Centrífugas Horizontais de 175 CV - Bomba de polpa para transferência do concentrado da Cleaner 1 para a Cleaner 2. Modelo: millMAX-e 12 x 10-23,6 MMC. Peso: 3.44 t - BP-2307SA-20</t>
  </si>
  <si>
    <t>4.1.8.3.60</t>
  </si>
  <si>
    <t>Bombas Centrífugas Horizontais de 250 CV - Bomba de polpa para transferência do rejeito da Cleaner 1 para a Scavenger do Cleaner. Modelo: millMAX-e 14 x 12-26 MMC. Peso: 4.15 t - BP-2307SA-05</t>
  </si>
  <si>
    <t>4.1.8.3.61</t>
  </si>
  <si>
    <t>Bombas Centrífugas Horizontais de 250 CV - Bomba de polpa para transferência do rejeito da Cleaner 1 para a Scavenger do Cleaner. Modelo: millMAX-e 14 x 12-26 MMC. Peso: 4.15 t - BP-2307SA-06</t>
  </si>
  <si>
    <t>4.1.8.3.62</t>
  </si>
  <si>
    <t>Bombas Centrífugas Horizontais de 250 CV - Bomba de polpa para transferência do rejeito da Cleaner 1 para a Scavenger do Cleaner. Modelo: millMAX-e 14 x 12-26 MMC. Peso: 4.15 t - BP-2307SA-07</t>
  </si>
  <si>
    <t>4.1.8.3.63</t>
  </si>
  <si>
    <t>Bombas Centrífugas Horizontais de 250 CV - Bomba de polpa para transferência do rejeito da Cleaner 1 para a Scavenger do Cleaner. Modelo: millMAX-e 14 x 12-26 MMC. Peso: 4.15 t - BP-2307SA-08</t>
  </si>
  <si>
    <t>4.1.8.3.64</t>
  </si>
  <si>
    <t>Bombas Centrífugas Horizontais de 250 CV - Bomba de polpa para transferência do rejeito da Cleaner 1 para a Scavenger do Cleaner. Modelo: millMAX-e 14 x 12-26 MMC. Peso: 4.15 t - BP-2307SA-09</t>
  </si>
  <si>
    <t>4.1.8.3.65</t>
  </si>
  <si>
    <t>Bombas Centrífugas Horizontais de 250 CV - Bomba de polpa para transferência do rejeito da Cleaner 1 para a Scavenger do Cleaner. Modelo: millMAX-e 14 x 12-26 MMC. Peso: 4.15 t - BP-2307SA-10</t>
  </si>
  <si>
    <t>4.1.8.3.66</t>
  </si>
  <si>
    <t>Bombas Centrífugas Horizontais de 250 CV - Bomba de polpa para transferência do rejeito da Cleaner 2 para a Cleaner 1. Modelo: millMAX-e 10 x 8-21,3 MMB. Peso: 2.55 t - BP-2307SA-21</t>
  </si>
  <si>
    <t>4.1.8.3.67</t>
  </si>
  <si>
    <t>Bombas Centrífugas Horizontais de 250 CV - Bomba de polpa para transferência do rejeito da Cleaner 2 para a Cleaner 1. Modelo: millMAX-e 10 x 8-21,3 MMB. Peso: 2.55 t - BP-2307SA-22</t>
  </si>
  <si>
    <t>4.1.8.3.68</t>
  </si>
  <si>
    <t>Bombas Centrífugas Horizontais de 250 CV - Bomba de polpa para transferência do rejeito da Cleaner 2 para a Cleaner 1. Modelo: millMAX-e 10 x 8-21,3 MMB. Peso: 2.55 t - BP-2307SA-23</t>
  </si>
  <si>
    <t>4.1.8.3.69</t>
  </si>
  <si>
    <t>Bombas Centrífugas Horizontais de 400 CV - Para água - Acionada por inversor de frequência - Peso ref.: 2,51 t - BA-5101SA-09</t>
  </si>
  <si>
    <t>4.1.8.3.70</t>
  </si>
  <si>
    <t>Bombas Centrífugas Horizontais de 400 CV - Para água - Acionada por inversor de frequência - Peso ref.: 2,51 t - BA-5101SA-10</t>
  </si>
  <si>
    <t>4.1.8.3.71</t>
  </si>
  <si>
    <t>Bombas Centrífugas Horizontais de 350 CV - Para água - Acionada por inversor de frequência - Peso ref.: 2,62 t - BA-5101SA-12</t>
  </si>
  <si>
    <t>4.1.8.3.72</t>
  </si>
  <si>
    <t>Bombas Centrífugas Horizontais de 350 CV - Para água - Acionada por inversor de frequência - Peso ref.: 2,62 t - BA-5101SA-13</t>
  </si>
  <si>
    <t>4.1.8.3.73</t>
  </si>
  <si>
    <t>Bombas Centrífugas Horizontais de 350 CV - Para água - Acionada por inversor de frequência - Peso ref.: 2,62 t - BA-5101SA-14</t>
  </si>
  <si>
    <t>4.1.8.3.74</t>
  </si>
  <si>
    <t>Bombas Centrífugas Horizontais de 1900 CV - Bomba de polpa bombeamento da caixa CX-2305SA-01 para a classificação da moagem. Modelo: millMAX 20 x 18-46 MME. Peso: 22.74 t - BP-2305SA-01</t>
  </si>
  <si>
    <t>4.1.8.3.75</t>
  </si>
  <si>
    <t>Bombas Centrífugas Horizontais de 1900 CV - Bomba de polpa bombeamento da caixa CX-2305SA-02 para a classificação da moagem. Modelo: millMAX 20 x 18-46 MME. Peso: 22.74 t - BP-2305SA-02</t>
  </si>
  <si>
    <t>4.1.8.3.76</t>
  </si>
  <si>
    <t>Bombas Centrífugas Horizontais de 1900 CV - Bomba de polpa bombeamento da caixa CX-2305SA-01 para a classificação da moagem. Modelo: millMAX 20 x 18-46 MME. Peso: 22.74 t - BP-2305SA-03</t>
  </si>
  <si>
    <t>4.1.8.3.77</t>
  </si>
  <si>
    <t>Bombas Centrífugas Horizontais de 1900 CV - Bomba de polpa bombeamento da caixa CX-2305SA-02 para a classificação da moagem. Modelo: millMAX 20 x 18-46 MME. Peso: 22.74 t - BP-2305SA-04</t>
  </si>
  <si>
    <t>4.1.8.3.78</t>
  </si>
  <si>
    <t>Bombas Centrífugas Horizontais de 650 CV - Bomba de polpa para transferência dos concentrados da Rougher 2, SFR e do Scavenger do Cleaner para a Remoagem. Modelo: millMAX 18 x 16-43 MMD. Peso: 17.1 t - BP-2308SA-31</t>
  </si>
  <si>
    <t>4.1.8.3.79</t>
  </si>
  <si>
    <t>Bombas Centrífugas Horizontais de 650 CV - Bomba de polpa para transferência dos concentrados da Rougher 2, SFR e do Scavenger do Cleaner para a Remoagem. Modelo: millMAX 18 x 16-43 MMD. Peso: 17.1 t - BP-2308SA-32</t>
  </si>
  <si>
    <t>4.1.8.3.80</t>
  </si>
  <si>
    <t>Bombas Centrífugas Horizontais de 650 CV - Bomba de polpa para transferência dos concentrados da Rougher 2, SFR e do Scavenger do Cleaner para a Remoagem. Modelo: millMAX 18 x 16-43 MMD. Peso: 17.1 t - BP-2308SA-33</t>
  </si>
  <si>
    <t>4.1.8.3.81</t>
  </si>
  <si>
    <t>Bombas Centrífugas Horizontais de 650 CV - Bomba de polpa para transferência dos concentrados da Rougher 2, SFR e do Scavenger do Cleaner para a Remoagem. Modelo: millMAX 18 x 16-43 MMD. Peso: 17.1 t - BP-2308SA-34</t>
  </si>
  <si>
    <t>4.1.8.3.82</t>
  </si>
  <si>
    <t>Bombas Centrífugas Horizontais de 550 CV - Bomba de polpa para transferência do overflow dos hidrociclones da remoagem para a Cleaner 1. Modelo: millMAX 16 x 14-29,5 MMC. Peso: 7 t - BP-2308SA-37</t>
  </si>
  <si>
    <t>4.1.8.3.83</t>
  </si>
  <si>
    <t>Bombas Centrífugas Horizontais de 550 CV - Bomba de polpa para transferência do overflow dos hidrociclones da remoagem para a Cleaner 1. Modelo: millMAX 16 x 14-29,5 MMC. Peso: 7 t - BP-2308SA-38</t>
  </si>
  <si>
    <t>4.1.8.3.84</t>
  </si>
  <si>
    <t>Bombas Centrífugas Horizontais de 550 CV - Bomba de polpa para transferência do overflow dos hidrociclones da remoagem para a Cleaner 1. Modelo: millMAX 16 x 14-29,5 MMC. Peso: 7 t - BP-2308SA-39</t>
  </si>
  <si>
    <t>4.1.8.3.85</t>
  </si>
  <si>
    <t>Bombas Centrífugas Horizontais de 550 CV - Bomba de polpa para transferência do overflow dos hidrociclones da remoagem para a Cleaner 1. Modelo: millMAX 16 x 14-29,5 MMC. Peso: 7 t - BP-2308SA-40</t>
  </si>
  <si>
    <t>4.1.8.4.1</t>
  </si>
  <si>
    <t>Bombas Centrífugas Verticais de 50CV - Bomba de drenagem do piso da flotação em colunas. Modelo: vMAX 3X3-13. Peso: 1.34 t - BP-2306SA-31</t>
  </si>
  <si>
    <t>4.1.8.4.2</t>
  </si>
  <si>
    <t>Bombas Centrífugas Verticais de 50CV - Bomba para drenagem do piso da remoagem. Modelo: xMAX 3X3-13. Peso: 1.34 t - BP-2308SA-41</t>
  </si>
  <si>
    <t>4.1.8.4.3</t>
  </si>
  <si>
    <t>Bombas Centrífugas Verticais de 100 CV - Bomba de drenagem da área da moagem. Modelo: xMAX 6X6-19. Peso: 2.3 t - BP-2305SA-05</t>
  </si>
  <si>
    <t>4.1.8.4.4</t>
  </si>
  <si>
    <t>Bombas Centrífugas Verticais de 100 CV - Bomba de drenagem da área da moagem. Modelo: xMAX 6X6-19. Peso: 2.3 t - BP-2305SA-06</t>
  </si>
  <si>
    <t>4.1.8.4.5</t>
  </si>
  <si>
    <t>Bombas Centrífugas Verticais de 100 CV - Bomba de drenagem do sump de emergência. Modelo: vMAX 6X6-19. Peso: 1.08 t - BP-2312SA-01</t>
  </si>
  <si>
    <t>4.1.8.4.6</t>
  </si>
  <si>
    <t>Bombas Centrífugas Verticais de 100 CV - Modelo: vMAX 2x2-10. Peso: 1.93 t</t>
  </si>
  <si>
    <t>4.1.8.4.7</t>
  </si>
  <si>
    <t>Bombas Centrífugas Verticais de 20 CV - Bomba para retorno do descarte de amostra do analisador para o processo. Modelo: vMAX 2X2-10. Peso: 1.29 t - BP-2306SA-05</t>
  </si>
  <si>
    <t>4.1.8.4.8</t>
  </si>
  <si>
    <t>Bombas Centrífugas Verticais de 60 CV - Bomba para drenagem do piso da flotação em células. Modelo: vMAX 3X3-13. Peso: 2.08 t - BP-2306SA-06</t>
  </si>
  <si>
    <t>4.1.8.4.9</t>
  </si>
  <si>
    <t>Bombas Centrífugas Verticais de 60 CV - Bomba para drenagem do piso da flotação em células. Modelo: vMAX 3X3-13. Peso: 2.08 t - BP-2306SA-07</t>
  </si>
  <si>
    <t>4.1.8.4.10</t>
  </si>
  <si>
    <t>Bombas Centrífugas Verticais de 60 CV - Bomba de drenagem do piso do espessamento de concentrado. Modelo: vMAX 3X3-13. Peso: 1.43 t - BP-2310SA-39</t>
  </si>
  <si>
    <t>4.1.9.1.1</t>
  </si>
  <si>
    <t>MC.021M</t>
  </si>
  <si>
    <t>Correias largura de 600mm - TR-2305SA-03 - Peso do transportador de correia, com desviador de fluxo e guincho 72.100 kg</t>
  </si>
  <si>
    <t>CMS M.10.35.000</t>
  </si>
  <si>
    <t>4.1.9.1.2</t>
  </si>
  <si>
    <t>Correias largura de 600mm - TR-2305SA-04 - Peso do transportador de correia, com extrator de sucatas e guincho 103.650 kg</t>
  </si>
  <si>
    <t>4.1.9.1.3</t>
  </si>
  <si>
    <t>Correias largura de 1200mm - TR-2301SA-01 - Peso do transportador de correia, com extrator de sucatas e guincho 215.820 kg. Casa de transferência 128.300 kg</t>
  </si>
  <si>
    <t>4.1.9.1.4</t>
  </si>
  <si>
    <t>Correias largura de 1400 mm - TR-2305SA-02 - Peso do transportador de correia, com extrator de sucatas e guincho 254.900 kg</t>
  </si>
  <si>
    <t>4.1.9.1.5</t>
  </si>
  <si>
    <t>Correias largura de 1600mm - TR-2301SA-02 - Peso do transportador de correia, com extrator de sucatas e guincho 417.990 kg</t>
  </si>
  <si>
    <t>4.1.9.1.6</t>
  </si>
  <si>
    <t>Correias largura de 1600mm - TR-2303SA-01 - Peso do transportador de correia, com extrator de sucatas e guincho 236.490 kg. Casa de transferência 51.500 kg</t>
  </si>
  <si>
    <t>4.1.9.1.7</t>
  </si>
  <si>
    <t>Correias largura de 1600mm - TR-2303SA-02 - Peso do transportador de correia com guincho 369.100  kg</t>
  </si>
  <si>
    <t>4.1.9.2.1</t>
  </si>
  <si>
    <t>Transportador de correia tipo sidewall - TR-2313SA-01 - Peso do transportador de correia 54.000 kg (peso inclui casa de transferência)</t>
  </si>
  <si>
    <t>4.1.9.3.1</t>
  </si>
  <si>
    <t>Transportadores Helicoidais - Capacidade nominal 4 t/h de projeto 4,8 t/h. Potência 2,2 kW - TAG: TR-2303SA-03 - Peso ref.: 0.85 t - TR-2303SA-03</t>
  </si>
  <si>
    <t>4.1.9.4.1</t>
  </si>
  <si>
    <t>Correias largura de 1200mm - AL-2301SA-01@04 - Peso do alimentador de correia 34.200 kg</t>
  </si>
  <si>
    <t>4.1.9.4.2</t>
  </si>
  <si>
    <t>4.1.9.4.3</t>
  </si>
  <si>
    <t>4.1.9.4.4</t>
  </si>
  <si>
    <t>4.1.9.4.5</t>
  </si>
  <si>
    <t>Correias largura de 2200mm - A:-2305SA-01@04 - Peso do alimentador de correia 39.400 kg</t>
  </si>
  <si>
    <t>4.1.9.4.6</t>
  </si>
  <si>
    <t>4.1.9.4.7</t>
  </si>
  <si>
    <t>4.1.9.4.8</t>
  </si>
  <si>
    <t>4.1.9.4.9</t>
  </si>
  <si>
    <t>Correias largura de 2600mm - AL-2303SA-01@03 - Peso do alimentador de correia, incluindo desviador de fluxo (flap) e unidade hidráulica 69.400 kg</t>
  </si>
  <si>
    <t>4.1.9.4.10</t>
  </si>
  <si>
    <t>4.1.9.4.11</t>
  </si>
  <si>
    <t>4.1.9.5.1</t>
  </si>
  <si>
    <t>Alimentador rotativo - Peso ref.: 9,0 t</t>
  </si>
  <si>
    <t>4.1.9.6.1</t>
  </si>
  <si>
    <t>Trocador de correia larguras até 2.600 mm - 01 bobinadeira motorizada com inversor de frequência - Peso ref.: 2,8 t</t>
  </si>
  <si>
    <t>4.1.10.1.1</t>
  </si>
  <si>
    <t>Amostrador Linear - Amostrador primário automático tipo linear para alimentação da flotação Rougher 1. Peso: 1.4 t - AM-2306SA-01</t>
  </si>
  <si>
    <t>4.1.10.1.2</t>
  </si>
  <si>
    <t>Amostrador Linear - Amostrador primário automático tipo linear para rejeito final. Peso: 1.4 t - AM-2306SA-15</t>
  </si>
  <si>
    <t>4.1.10.1.3</t>
  </si>
  <si>
    <t>Amostrador primário automático tipo linear para amostragem de concentrado final - Peso: 0.32 t - AM-2310SA-31</t>
  </si>
  <si>
    <t>4.1.10.2.1</t>
  </si>
  <si>
    <t>Amostrador Vezin - Amostrador secundário automático tipo "vezin" para alimentação da flotação Rougher 1. Peso: 0.10 t - AM-2306SA-02</t>
  </si>
  <si>
    <t>4.1.10.2.2</t>
  </si>
  <si>
    <t>Amostrador Vezin - Amostrador terciário automático tipo "vezin" para alimentação da flotação Rougher 1. Peso: 0.10 t - AM-2306SA-03</t>
  </si>
  <si>
    <t>4.1.10.2.3</t>
  </si>
  <si>
    <t>Amostrador Vezin - Amostrador secundário automático tipo "vezin" para rejeito final. Peso: 0.10 t - AM-2306SA-16</t>
  </si>
  <si>
    <t>4.1.10.2.4</t>
  </si>
  <si>
    <t>Amostrador Vezin - Amostrador terciário automático tipo "vezin" para rejeito final. Peso: 0.10 t - AM-2306SA-17</t>
  </si>
  <si>
    <t>4.1.10.2.5</t>
  </si>
  <si>
    <t>Amostrador secundário automático tipo "vezin" para amostragem de concentrado final - Peso: 0.09 t - AM-2310SA-32</t>
  </si>
  <si>
    <t>4.1.10.3.1</t>
  </si>
  <si>
    <t>Compressores tipo parafuso de 150 cv - Ar comprimido - Com inversor de frequência embarcado - - Peso ref.: 3,0 t. - CB-2316SA-01</t>
  </si>
  <si>
    <t>4.1.10.3.2</t>
  </si>
  <si>
    <t>Compressores tipo parafuso de 150 cv - Ar comprimido - Com inversor de frequência embarcado - - Peso ref.: 3,0 t. - CB-2316SA-02</t>
  </si>
  <si>
    <t>4.1.10.3.3</t>
  </si>
  <si>
    <t>Compressores tipo parafuso de 150 cv - Ar comprimido - Com inversor de frequência embarcado - - Peso ref.: 3,0 t. - CB-2316SA-03</t>
  </si>
  <si>
    <t>4.1.10.3.4</t>
  </si>
  <si>
    <t>Compressores tipo parafuso 500 cv - Ar comprimido - Com inversor de frequência embarcado - 1 (um) filtro de linha coalescente com capacidade de 278 Nm³/min incluso no fornecimento dos compressores CB-2316SA-04 @ 09. - Peso ref.: 5,26 t. - CB-2316SA-04</t>
  </si>
  <si>
    <t>4.1.10.3.5</t>
  </si>
  <si>
    <t>Compressores tipo parafuso 500 cv - Ar comprimido - Com inversor de frequência embarcado - Peso ref.: 5,26 t. - CB-2316SA-05</t>
  </si>
  <si>
    <t>4.1.10.3.6</t>
  </si>
  <si>
    <t>Compressores tipo parafuso 500 cv - Ar comprimido - Com inversor de frequência embarcado - Peso ref.: 5,26 t. - CB-2316SA-06</t>
  </si>
  <si>
    <t>4.1.10.3.7</t>
  </si>
  <si>
    <t>Compressores tipo parafuso 500 cv - Ar comprimido - Com inversor de frequência embarcado - Peso ref.: 5,26 t - CB-2316SA-07</t>
  </si>
  <si>
    <t>4.1.10.3.8</t>
  </si>
  <si>
    <t>Compressores tipo parafuso 500 cv - Ar comprimido - Com inversor de frequência embarcado - Peso ref.: 5,26 t - CB-2316SA-08</t>
  </si>
  <si>
    <t>4.1.10.3.9</t>
  </si>
  <si>
    <t>Compressores tipo parafuso 500 cv - Ar comprimido - Com inversor de frequência embarcado - Peso ref.: 5,26 t - CB-2316SA-09</t>
  </si>
  <si>
    <t>4.1.10.4.1</t>
  </si>
  <si>
    <t>Secador de ar tipo refrigeração de 10 cv - - Peso ref.: 0,33 t - SC-2316SA-01</t>
  </si>
  <si>
    <t>4.1.10.4.2</t>
  </si>
  <si>
    <t>Secador de ar tipo refrigeração de 10 cv - - Peso ref.: 0,33 t - SC-2316SA-02</t>
  </si>
  <si>
    <t>4.1.10.5.1</t>
  </si>
  <si>
    <t>2304</t>
  </si>
  <si>
    <t>Exaustores - Para sala de baterias, capacidade 460,8 m³/h - - Peso ref.: 0,05 t. - BO-2304SA-01</t>
  </si>
  <si>
    <t>4.1.10.5.2</t>
  </si>
  <si>
    <t>Exaustores - Para sala de baterias, capacidade 579,6 m3/h - - Peso ref.: 0,06 t. - BO-2305SA-01</t>
  </si>
  <si>
    <t>4.1.10.5.3</t>
  </si>
  <si>
    <t>2309</t>
  </si>
  <si>
    <t>Exaustores - Para sala de baterias, capacidade 504 m3/h - - Peso ref.: 0,06 t. - BO-2309SA-01</t>
  </si>
  <si>
    <t>4.1.10.6.1</t>
  </si>
  <si>
    <t>Ventilador - centrifugo para insuflamento do túnel da pilha de concentração - Peso ref.: 1,2 t. - BO-2301SA-01</t>
  </si>
  <si>
    <t>4.1.10.6.2</t>
  </si>
  <si>
    <t>Ventilador axial - para exaustão das baias de trafos - Peso ref.: 0,12 t. - BO-2305SA-02</t>
  </si>
  <si>
    <t>4.1.10.6.3</t>
  </si>
  <si>
    <t>Ventilador axial - para exaustão das baias de trafos - Peso ref.: 0,12 t. - BO-2305SA-03</t>
  </si>
  <si>
    <t>4.1.10.6.4</t>
  </si>
  <si>
    <t>Ventilador axial - para exaustão das baias de trafos - Peso ref.: 0,12 t. - BO-2305SA-04</t>
  </si>
  <si>
    <t>4.1.10.6.5</t>
  </si>
  <si>
    <t>Ventilador axial - para exaustão das baias de trafos - Peso ref.: 0,12 t. - BO-2305SA-05</t>
  </si>
  <si>
    <t>4.1.10.7.1</t>
  </si>
  <si>
    <t>Soprador Centrífugo para Célula de Flotação - Soprador tipo centrífugo, com tubulações de ar de sopro até o limite da casa de sopradores. Peso: 11.7 t - BO-2325SA-01</t>
  </si>
  <si>
    <t>4.1.10.7.2</t>
  </si>
  <si>
    <t>Soprador Centrífugo para Célula de Flotação - Soprador tipo centrífugo, com tubulações de ar de sopro até o limite da casa de sopradores. Peso: 11.7 t - BO-2325SA-02</t>
  </si>
  <si>
    <t>4.1.10.7.3</t>
  </si>
  <si>
    <t>Soprador Centrífugo para Célula de Flotação - Soprador tipo centrífugo, com tubulações de ar de sopro até o limite da casa de sopradores. Soprador reaproveitado das plantas existentes (Salobo I e II) - Peso: 11.7 t - BO-2325SA-03</t>
  </si>
  <si>
    <t>4.1.10.8.1</t>
  </si>
  <si>
    <t>Torres de Resfriamento com corpo em Fibra de Vidro - da HPGR, Multicelular, composta de 3 células, potência 5.5 + 5.5 + 5.5 kW. Peso de ref.: 4 t - TO-2303SA-01</t>
  </si>
  <si>
    <t>4.1.10.8.2</t>
  </si>
  <si>
    <t>Torres de Resfriamento com corpo em Fibra de Vidro - Da moagem - Multicelular, composta de 2 células. Peso de ref.: 2 t - TO-2305SA-01</t>
  </si>
  <si>
    <t>4.1.10.9.1</t>
  </si>
  <si>
    <t>Unidade Hidráulica - Unidade hidráulica para acionamento das válvulas do bombeamento da classificação da moagem. Peso: 0.3 t</t>
  </si>
  <si>
    <t>4.1.10.9.2</t>
  </si>
  <si>
    <t>4.1.10.9.3</t>
  </si>
  <si>
    <t>4.1.10.9.4</t>
  </si>
  <si>
    <t>4.1.10.9.5</t>
  </si>
  <si>
    <t>4.1.10.9.6</t>
  </si>
  <si>
    <t>4.1.10.9.7</t>
  </si>
  <si>
    <t>Unidade hidráulica para acionamento das válvulas do distribuidor de polpa DI-2306SA-01 - Peso: 0.3 t - UH-2306SA-01</t>
  </si>
  <si>
    <t>4.1.10.9.8</t>
  </si>
  <si>
    <t>Unidade hidráulica para acionamento das válvulas do distribuidor de polpa DI-2306SA-04 - Peso: 0.3 t - UH-2306SA-02</t>
  </si>
  <si>
    <t>4.1.10.10.1</t>
  </si>
  <si>
    <t>2321</t>
  </si>
  <si>
    <t>MC.022M</t>
  </si>
  <si>
    <t>Estaçao de tratamento de esgoto - Pertence à usina de beneficiamento - - Peso ref.: 3,620 t - ST-2321SA-01</t>
  </si>
  <si>
    <t>CMS M.10.70.000</t>
  </si>
  <si>
    <t>4.1.11.1.1</t>
  </si>
  <si>
    <t>MC.033E</t>
  </si>
  <si>
    <t>Ar Condicionado tipo Split - "Splitao" - Composto de unidade condensadora e evaporadora, gabinete,dutos, grades, filtros - Capacidade 20 TR - AC-2309SA-01</t>
  </si>
  <si>
    <t>CMS M.10.60.000</t>
  </si>
  <si>
    <t>4.1.11.1.2</t>
  </si>
  <si>
    <t>Ar Condicionado tipo Split - "Splitao" - Composto de unidade condensadora e evaporadora, gabinete,dutos, grades, filtros - Capacidade 20 TR - AC-2309SA-02</t>
  </si>
  <si>
    <t>4.1.11.1.3</t>
  </si>
  <si>
    <t>Ar Condicionado tipo Split - "Splitao" - Composto de unidade condensadora e evaporadora, gabinete,dutos, grades, filtros - Capacidade 20 TR - AC-2309SA-03</t>
  </si>
  <si>
    <t>4.1.11.1.4</t>
  </si>
  <si>
    <t>Ar Condicionado tipo Split - "Splitao" - Composto de unidade condensadora e evaporadora, gabinete,dutos, grades, filtros - Capacidade 20 TR - AC-2309SA-04</t>
  </si>
  <si>
    <t>4.1.11.1.5</t>
  </si>
  <si>
    <t>Ar Condicionado tipo Split - "Splitao" - Composto de unidade condensadora e evaporadora, gabinete,dutos, grades, filtros - Capacidade 60 TR - Capacidade 60 TR - AC-2304SA-01</t>
  </si>
  <si>
    <t>4.1.11.1.6</t>
  </si>
  <si>
    <t>Ar Condicionado tipo Split - "Splitao" - Composto de unidade condensadora e evaporadora, gabinete,dutos, grades, filtros - Capacidade 60 TR - Capacidade 60 TR - AC-2304SA-02</t>
  </si>
  <si>
    <t>4.1.11.1.7</t>
  </si>
  <si>
    <t>Ar Condicionado tipo Split - "Splitao" - Composto de unidade condensadora e evaporadora, gabinete,dutos, grades, filtros - Capacidade 60 TR - Capacidade 60 TR - AC-2304SA-03</t>
  </si>
  <si>
    <t>4.1.11.1.8</t>
  </si>
  <si>
    <t>Ar Condicionado tipo Split - "Splitao" - Composto de unidade condensadora e evaporadora, gabinete,dutos, grades, filtros - Capacidade 60 TR - Reserva - Capacidade 60 TR - AC-2304SA-04</t>
  </si>
  <si>
    <t>4.1.11.1.9</t>
  </si>
  <si>
    <t>Ar Condicionado tipo Split - "Splitao" - Composto de unidade condensadora e evaporadora, gabinete,dutos, grades, filtros - Capacidade 60 TR - AC-2305SA-01</t>
  </si>
  <si>
    <t>4.1.11.1.10</t>
  </si>
  <si>
    <t>Ar Condicionado tipo Split - "Splitao" - Composto de unidade condensadora e evaporadora, gabinete,dutos, grades, filtros - Capacidade 60 TR - AC-2305SA-02</t>
  </si>
  <si>
    <t>4.1.11.1.11</t>
  </si>
  <si>
    <t>Ar Condicionado tipo Split - "Splitao" - Composto de unidade condensadora e evaporadora, gabinete,dutos, grades, filtros - Capacidade 60 TR - AC-2305SA-03</t>
  </si>
  <si>
    <t>4.1.11.1.12</t>
  </si>
  <si>
    <t>Ar Condicionado tipo Split - "Splitao" - Composto de unidade condensadora e evaporadora, gabinete,dutos, grades, filtros - Capacidade 60 TR - AC-2305SA-04</t>
  </si>
  <si>
    <t>4.1.11.2.1</t>
  </si>
  <si>
    <t>Sistema de despoeiramento - Composto pelos FI-2303SA-01 - peso 11500 kg, BO-2303SA-01 peso 5000 kg e CW-2303SA-01 peso 500 kg e dutos peso 1163 kg, peso total 18,163 t + ou - 10%. - ST-2303SA-01</t>
  </si>
  <si>
    <t>CMS M.10.80.000</t>
  </si>
  <si>
    <t>4.1.11.3.1</t>
  </si>
  <si>
    <t>Sistema de Nebulizaçao - Skid composto por bomba, tanque, paineis de controle e força e bicos aspersores - ST-2301SA-01</t>
  </si>
  <si>
    <t>4.1.11.3.2</t>
  </si>
  <si>
    <t>Sistema de Nebulizaçao - Skid composto por bomba, tanque, paineis de controle e força e bicos aspersores - ST-2303SA-02</t>
  </si>
  <si>
    <t>4.1.11.4.1</t>
  </si>
  <si>
    <t>Sistema de Floculante - O sistema inclui silo SI-2315SA-01, uma rosca helicoidal dosadora DO-2315SA-01, um ejetor EJ-2315SA-01, um misturador MI-2310SA-01, um tanque TQ-2315SA-13 e um agitador AG-2315SA-04. Peso: 0.65 t - ST-2315SA-01</t>
  </si>
  <si>
    <t>4.1.11.5.1</t>
  </si>
  <si>
    <t>Sistema de Cal - Inclui 1 filtro de mangas FI-2314SA-01, 1 ventilador BO-2314SA-02, 1 válvula para bloqueio de saída do silo, 1 válvula rotativa DO-2314SA-02, 1 balança dosadora BL-2314SA-01 e 1 motovibrador EE-2314SA-01. Peso: 4.1t - ST-2314SA-01</t>
  </si>
  <si>
    <t>4.1.12.1.1</t>
  </si>
  <si>
    <t>Máquina para Troca de Revestimento de Moinho - Peso ref.: 34,0 t</t>
  </si>
  <si>
    <t>4.2.1.1.1</t>
  </si>
  <si>
    <t>Retificador Carregador de Baterias 125Vcc - 25A - BC-2304SA-01</t>
  </si>
  <si>
    <t>CMS M.20.16.000</t>
  </si>
  <si>
    <t>4.2.1.1.2</t>
  </si>
  <si>
    <t>Retificador Carregador de Baterias 125Vcc - 35A - BC-2305SA-01</t>
  </si>
  <si>
    <t>4.2.1.1.3</t>
  </si>
  <si>
    <t>Retificador Carregador de Baterias 125Vcc - 35A - BC-2309SA-01</t>
  </si>
  <si>
    <t>4.2.1.2.1</t>
  </si>
  <si>
    <t>Banco de Baterias 48Ah - BT-2304SA-02</t>
  </si>
  <si>
    <t>4.2.1.2.2</t>
  </si>
  <si>
    <t>Banco de Baterias 65Ah - BT-2309SA-02</t>
  </si>
  <si>
    <t>4.2.1.2.3</t>
  </si>
  <si>
    <t>Banco de Baterias 95Ah - BT-2305SA-03</t>
  </si>
  <si>
    <t>4.2.2.1.1</t>
  </si>
  <si>
    <t>MC.034E</t>
  </si>
  <si>
    <t>Centro de Controle de Motores, Classe de Tensao 0,6/1kV - 400A - MC-2309SA-06 - 3 colunas</t>
  </si>
  <si>
    <t>CMS M.20.20.000</t>
  </si>
  <si>
    <t>4.2.2.1.2</t>
  </si>
  <si>
    <t>Centro de Controle de Motores, Classe de Tensão 0,6/1kV - 630A - 7 colunas - MC-2309SA-04</t>
  </si>
  <si>
    <t>4.2.2.1.3</t>
  </si>
  <si>
    <t>Centro de Controle de Motores, Classe de Tensao 0,6/1kV - 1.000A - MC-2304SA-04 - 4 colunas</t>
  </si>
  <si>
    <t>4.2.2.1.4</t>
  </si>
  <si>
    <t>Centro de Controle de Motores, Classe de Tensao 0,6/1kV - 1.000A - MC-2309SA-05 - 4 colunas</t>
  </si>
  <si>
    <t>4.2.2.1.5</t>
  </si>
  <si>
    <t>Centro de Controle de Motores, Classe de Tensão 0,6/1kV - 1250A - 3 colunas - MC-2305SA-08</t>
  </si>
  <si>
    <t>4.2.2.1.6</t>
  </si>
  <si>
    <t>Centro de Controle de Motores, Classe de Tensao 0,6/1kV - 2000A - MC-2304SA-03 - 13 colunas</t>
  </si>
  <si>
    <t>4.2.2.1.7</t>
  </si>
  <si>
    <t>Centro de Controle de Motores, Classe de Tensao 0,6/1kV - 2000A - MC-2305SA-09 - 7 colunas</t>
  </si>
  <si>
    <t>4.2.2.1.8</t>
  </si>
  <si>
    <t>Centro de Controle de Motores, Classe de Tensao 0,6/1kV - 2000A - MC-2309SA-03 - 4 colunas</t>
  </si>
  <si>
    <t>4.2.2.1.9</t>
  </si>
  <si>
    <t>Centro de Controle de Motores, Classe de Tensao 0,6/1kV - 2500A - MC-2309SA-02 - 5 colunas</t>
  </si>
  <si>
    <t>4.2.2.1.10</t>
  </si>
  <si>
    <t>Centro de Controle de Motores, Classe de Tensão 0,6/1kV - 3200A - 4 colunas - MC-2305SA-04</t>
  </si>
  <si>
    <t>4.2.2.1.11</t>
  </si>
  <si>
    <t>Centro de Controle de Motores, Classe de Tensao 0,6/1kV - 3200A - MC-2305SA-06 - 8 colunas</t>
  </si>
  <si>
    <t>4.2.2.1.12</t>
  </si>
  <si>
    <t>Centro de Controle de Motores, Classe de Tensao 0,6/1kV - 3200A - MC-2305SA-07 - 7 colunas</t>
  </si>
  <si>
    <t>4.2.2.1.13</t>
  </si>
  <si>
    <t>Centro de Controle de Motores, Classe de Tensao 0,6/1kV - 4000A - MC-2305SA-03 - 16 colunas</t>
  </si>
  <si>
    <t>4.2.2.1.14</t>
  </si>
  <si>
    <t>Centro de Controle de Motores, Classe de Tensao 0,6/1kV - 4000A - MC-2305SA-05 - 14 colunas</t>
  </si>
  <si>
    <t>4.2.2.2.1</t>
  </si>
  <si>
    <t>Centro de Controle de Motores, Classe de Tensao 3,6/6kV - 1250A - MC-2305SA-01 - 18 colunas</t>
  </si>
  <si>
    <t>4.2.2.2.2</t>
  </si>
  <si>
    <t>Centro de Controle de Motores, Classe de Tensao 3,6/6kV - 1250A - MC-2305SA-02 - 18 colunas</t>
  </si>
  <si>
    <t>4.2.2.2.3</t>
  </si>
  <si>
    <t>Centro de Controle de Motores, Classe de Tensao 3,6/6kV - 1250A - MC-2309SA-01 - 5 colunas</t>
  </si>
  <si>
    <t>4.2.2.2.4</t>
  </si>
  <si>
    <t>Centro de Controle de Motores, Classe de Tensão 3,6/6kV - 1250A - MC-2304SA-02 - 7 colunas</t>
  </si>
  <si>
    <t>4.2.2.2.5</t>
  </si>
  <si>
    <t>Centro de Controle de Motores, Classe de Tensão 3,6/6kV - 2000A - MC-2304SA-01 - 9 colunas</t>
  </si>
  <si>
    <t>4.2.3.1.1</t>
  </si>
  <si>
    <t>Subestação Tipo Eletrocentro, Composta De 1 Módulo De Container - subestação com cicloconversor - MO-2305SA-01</t>
  </si>
  <si>
    <t>CMS M.20.44.000</t>
  </si>
  <si>
    <t>4.2.3.1.2</t>
  </si>
  <si>
    <t>Subestação Tipo Eletrocentro, Composta De 1 Módulo De Container - subestação com cicloconversor - MO-2305SA-02</t>
  </si>
  <si>
    <t>4.2.4.1.1</t>
  </si>
  <si>
    <t>Grupo Gerador de emergência, classe de tensão 0,6/1kV, 260kVA - GE-2309SA-01</t>
  </si>
  <si>
    <t>4.2.4.1.2</t>
  </si>
  <si>
    <t>Grupo Gerador de emergência, classe de tensão 0,6/1kV, 600kVA - GE-2305SA-01</t>
  </si>
  <si>
    <t>4.2.4.1.3</t>
  </si>
  <si>
    <t>Grupo Gerador de emergência, classe de tensão 0,6/1kV, 600kVA - GE-2305SA-02</t>
  </si>
  <si>
    <t>4.2.5.1.1</t>
  </si>
  <si>
    <t>Painel de Múltiplos Inversores de Frequência, Classe de Tensão 0,6/1kV - 2 x 7,5 KW - FC-2309SA-06</t>
  </si>
  <si>
    <t>4.2.5.1.2</t>
  </si>
  <si>
    <t>Painel de Múltiplos Inversores de Frequência, Classe de Tensão 0,6/1kV - 2 x 11 KW - FC-2304SA-12</t>
  </si>
  <si>
    <t>4.2.5.1.3</t>
  </si>
  <si>
    <t>Painel de Múltiplos Inversores de Frequência, Classe de Tensão 0,6/1kV - 2 x 22 KW + 1 x 3,7 KW - FC-2309SA-05</t>
  </si>
  <si>
    <t>4.2.5.1.4</t>
  </si>
  <si>
    <t>Painel de Múltiplos Inversores de Frequência, Classe de Tensão 0,6/1kV - 2 x 30 KW - FC-2309SA-11</t>
  </si>
  <si>
    <t>4.2.5.1.5</t>
  </si>
  <si>
    <t>Painel de Múltiplos Inversores de Frequência, Classe de Tensão 0,6/1kV - 2 x 37 KW - FC-2304SA-01</t>
  </si>
  <si>
    <t>4.2.5.1.6</t>
  </si>
  <si>
    <t>Painel de Múltiplos Inversores de Frequência, Classe de Tensão 0,6/1kV - 2 x 37 KW - FC-2304SA-02</t>
  </si>
  <si>
    <t>4.2.5.1.7</t>
  </si>
  <si>
    <t>Painel de Múltiplos Inversores de Frequência, Classe de Tensão 0,6/1kV - 4 x 0,18KW - FC-2309SA-13</t>
  </si>
  <si>
    <t>4.2.5.1.8</t>
  </si>
  <si>
    <t>Painel de Múltiplos Inversores de Frequência, Classe de Tensão 0,6/1kV - 4 x 0,18KW - FC-2309SA-14</t>
  </si>
  <si>
    <t>4.2.5.1.9</t>
  </si>
  <si>
    <t>Painel de Múltiplos Inversores de Frequência, Classe de Tensão 0,6/1kV - 4 x 0,18KW - FC-2309SA-16</t>
  </si>
  <si>
    <t>4.2.5.1.10</t>
  </si>
  <si>
    <t>Painel de Múltiplos Inversores de Frequência, Classe de Tensão 0,6/1kV - 4 x 0,18KW - FC-2309SA-21</t>
  </si>
  <si>
    <t>4.2.5.1.11</t>
  </si>
  <si>
    <t>Painel de Múltiplos Inversores de Frequência, Classe de Tensão 0,6/1kV - 4 x 0,18KW - FC-2309SA-22</t>
  </si>
  <si>
    <t>4.2.5.1.12</t>
  </si>
  <si>
    <t>Painel de Múltiplos Inversores de Frequência, Classe de Tensão 0,6/1kV - 4 x 0,18KW - FC-2309SA-24</t>
  </si>
  <si>
    <t>4.2.5.1.13</t>
  </si>
  <si>
    <t>Painel de Múltiplos Inversores de Frequência, Classe de Tensão 0,6/1kV - 3 x 0,18 KW + 1 x 0,25KW - FC-2309SA-17</t>
  </si>
  <si>
    <t>4.2.5.1.14</t>
  </si>
  <si>
    <t>Painel de Múltiplos Inversores de Frequência, Classe de Tensão 0,6/1kV - 3 x 0,37 KW + 1 x 0,25KW - FC-2309SA-18</t>
  </si>
  <si>
    <t>4.2.5.1.15</t>
  </si>
  <si>
    <t>Painel de Múltiplos Inversores de Frequência, Classe de Tensão 0,6/1kV - 2 x 0,37 KW + 2 x 0,18KW - FC-2309SA-20</t>
  </si>
  <si>
    <t>4.2.5.1.16</t>
  </si>
  <si>
    <t>Painel de Múltiplos Inversores de Frequência, Classe de Tensão 0,6/1kV - 2 x 18,5 KW + 1 x 0,25 KW + 2 x 0,55 Kw - FC-2309SA-12</t>
  </si>
  <si>
    <t>4.2.5.1.17</t>
  </si>
  <si>
    <t>Painel de Múltiplos Inversores de Frequência, Classe de Tensão 0,6/1kV - 4 x 0,37 KW - FC-2309SA-19</t>
  </si>
  <si>
    <t>4.2.5.1.18</t>
  </si>
  <si>
    <t>Painel de Múltiplos Inversores de Frequência, Classe de Tensão 0,6/1kV - 5 x 0,18KW - FC-2309SA-15</t>
  </si>
  <si>
    <t>4.2.5.1.19</t>
  </si>
  <si>
    <t>Painel de Múltiplos Inversores de Frequência, Classe de Tensão 0,6/1kV - 6 x 0,18KW - FC-2309SA-25</t>
  </si>
  <si>
    <t>4.2.5.2.1</t>
  </si>
  <si>
    <t>Painel Individual de Inversor de Frequência, Classe de Tensão 0,6/1kV - 55KW - FC-2305SA-04</t>
  </si>
  <si>
    <t>4.2.5.2.2</t>
  </si>
  <si>
    <t>Painel Individual de Inversor de Frequência, Classe de Tensão 0,6/1kV - 55KW - FC-2305SA-05</t>
  </si>
  <si>
    <t>4.2.5.2.3</t>
  </si>
  <si>
    <t>Painel Individual de Inversor de Frequência, Classe de Tensão 0,6/1kV - 55KW - FC-2305SA-21</t>
  </si>
  <si>
    <t>4.2.5.2.4</t>
  </si>
  <si>
    <t>Painel Individual de Inversor de Frequência, Classe de Tensão 0,6/1kV - 55KW - FC-2305SA-22</t>
  </si>
  <si>
    <t>4.2.5.2.5</t>
  </si>
  <si>
    <t>Painel Individual de Inversor de Frequência, Classe de Tensão 0,6/1kV - 90KW - FC-2305SA-44</t>
  </si>
  <si>
    <t>4.2.5.2.6</t>
  </si>
  <si>
    <t>Painel Individual de Inversor de Frequência, Classe de Tensão 0,6/1kV - 90KW - FC-2305SA-45</t>
  </si>
  <si>
    <t>4.2.5.2.7</t>
  </si>
  <si>
    <t>Painel Individual de Inversor de Frequência, Classe de Tensão 0,6/1kV - 90KW - FC-2305SA-46</t>
  </si>
  <si>
    <t>4.2.5.2.8</t>
  </si>
  <si>
    <t>Painel Individual de Inversor de Frequência, Classe de Tensão 0,6/1kV - 90KW - FC-2305SA-47</t>
  </si>
  <si>
    <t>4.2.5.2.9</t>
  </si>
  <si>
    <t>Painel Individual de Inversor de Frequência, Classe de Tensão 0,6/1kV - 37KW - FC-2309SA-23</t>
  </si>
  <si>
    <t>4.2.5.2.10</t>
  </si>
  <si>
    <t>Painel Individual de Inversor de Frequência, Classe de Tensão 0,6/1kV - 45KW - FC-2305SA-11</t>
  </si>
  <si>
    <t>4.2.5.2.11</t>
  </si>
  <si>
    <t>Painel Individual de Inversor de Frequência, Classe de Tensão 0,6/1kV - 45KW - FC-2305SA-28</t>
  </si>
  <si>
    <t>4.2.5.2.12</t>
  </si>
  <si>
    <t>Painel Individual de Inversor de Frequência, Classe de Tensão 0,6/1kV - 45KW - FC-2305SA-29</t>
  </si>
  <si>
    <t>4.2.5.2.13</t>
  </si>
  <si>
    <t>Painel Individual de Inversor de Frequência, Classe de Tensão 0,6/1kV - 45KW - FC-2305SA-30</t>
  </si>
  <si>
    <t>4.2.5.2.14</t>
  </si>
  <si>
    <t>Painel Individual de Inversor de Frequência, Classe de Tensão 0,6/1kV - 75KW - FC-2305SA-12</t>
  </si>
  <si>
    <t>4.2.5.2.15</t>
  </si>
  <si>
    <t>Painel Individual de Inversor de Frequência, Classe de Tensão 0,6/1kV - 75KW - FC-2305SA-13</t>
  </si>
  <si>
    <t>4.2.5.2.16</t>
  </si>
  <si>
    <t>Painel Individual de Inversor de Frequência, Classe de Tensão 0,6/1kV - 75KW - FC-2305SA-14</t>
  </si>
  <si>
    <t>4.2.5.2.17</t>
  </si>
  <si>
    <t>Painel Individual de Inversor de Frequência, Classe de Tensão 0,6/1kV - 110KW - FC-2304SA-03</t>
  </si>
  <si>
    <t>4.2.5.2.18</t>
  </si>
  <si>
    <t>Painel Individual de Inversor de Frequência, Classe de Tensão 0,6/1kV - 110KW - FC-2304SA-04</t>
  </si>
  <si>
    <t>4.2.5.2.19</t>
  </si>
  <si>
    <t>Painel Individual de Inversor de Frequência, Classe de Tensão 0,6/1kV - 110KW - FC-2304SA-05</t>
  </si>
  <si>
    <t>4.2.5.2.20</t>
  </si>
  <si>
    <t>Painel Individual de Inversor de Frequência, Classe de Tensão 0,6/1kV - 132KW - FC-2305SA-06</t>
  </si>
  <si>
    <t>4.2.5.2.21</t>
  </si>
  <si>
    <t>Painel Individual de Inversor de Frequência, Classe de Tensão 0,6/1kV - 132KW - FC-2305SA-07</t>
  </si>
  <si>
    <t>4.2.5.2.22</t>
  </si>
  <si>
    <t>Painel Individual de Inversor de Frequência, Classe de Tensão 0,6/1kV - 132KW - FC-2305SA-26</t>
  </si>
  <si>
    <t>4.2.5.2.23</t>
  </si>
  <si>
    <t>Painel Individual de Inversor de Frequência, Classe de Tensão 0,6/1kV - 132KW - FC-2305SA-27</t>
  </si>
  <si>
    <t>4.2.5.2.24</t>
  </si>
  <si>
    <t>Painel Individual de Inversor de Frequência, Classe de Tensão 0,6/1kV - 185KW - FC-2305SA-08</t>
  </si>
  <si>
    <t>4.2.5.2.25</t>
  </si>
  <si>
    <t>Painel Individual de Inversor de Frequência, Classe de Tensão 0,6/1kV - 185KW - FC-2305SA-09</t>
  </si>
  <si>
    <t>4.2.5.2.26</t>
  </si>
  <si>
    <t>Painel Individual de Inversor de Frequência, Classe de Tensão 0,6/1kV - 185KW - FC-2305SA-10</t>
  </si>
  <si>
    <t>4.2.5.2.27</t>
  </si>
  <si>
    <t>Painel Individual de Inversor de Frequência, Classe de Tensão 0,6/1kV - 220KW - FC-2305SA-01</t>
  </si>
  <si>
    <t>4.2.5.2.28</t>
  </si>
  <si>
    <t>Painel Individual de Inversor de Frequência, Classe de Tensão 0,6/1kV - 220KW - FC-2305SA-02</t>
  </si>
  <si>
    <t>4.2.5.2.29</t>
  </si>
  <si>
    <t>Painel Individual de Inversor de Frequência, Classe de Tensão 0,6/1kV - 220KW - FC-2305SA-19</t>
  </si>
  <si>
    <t>4.2.5.2.30</t>
  </si>
  <si>
    <t>Painel Individual de Inversor de Frequência, Classe de Tensão 0,6/1kV - 220KW - FC-2305SA-23</t>
  </si>
  <si>
    <t>4.2.5.2.31</t>
  </si>
  <si>
    <t>Painel Individual de Inversor de Frequência, Classe de Tensão 0,6/1kV - 220KW - FC-2305SA-24</t>
  </si>
  <si>
    <t>4.2.5.2.32</t>
  </si>
  <si>
    <t>Painel Individual de Inversor de Frequência, Classe de Tensão 0,6/1kV - 220KW - FC-2305SA-25</t>
  </si>
  <si>
    <t>4.2.5.2.33</t>
  </si>
  <si>
    <t>Painel Individual de Inversor de Frequência, Classe de Tensão 0,6/1kV - 300KW - FC-2305SA-39</t>
  </si>
  <si>
    <t>4.2.5.2.34</t>
  </si>
  <si>
    <t>Painel Individual de Inversor de Frequência, Classe de Tensão 0,6/1kV - 300KW - FC-2305SA-40</t>
  </si>
  <si>
    <t>4.2.5.2.35</t>
  </si>
  <si>
    <t>Painel Individual de Inversor de Frequência, Classe de Tensão 0,6/1kV - 300KW - FC-2305SA-41</t>
  </si>
  <si>
    <t>4.2.5.2.36</t>
  </si>
  <si>
    <t>Painel Individual de Inversor de Frequência, Classe de Tensão 0,6/1kV - 300KW - FC-2305SA-42</t>
  </si>
  <si>
    <t>4.2.5.2.37</t>
  </si>
  <si>
    <t>Painel Individual de Inversor de Frequência, Classe de Tensão 0,6/1kV - 300KW - FC-2305SA-43</t>
  </si>
  <si>
    <t>4.2.5.2.38</t>
  </si>
  <si>
    <t>Painel Individual de Inversor de Frequência, Classe de Tensão 0,6/1kV - 440KW - FC-2309SA-03</t>
  </si>
  <si>
    <t>4.2.5.2.39</t>
  </si>
  <si>
    <t>Painel Individual de Inversor de Frequência, Classe de Tensão 0,6/1kV - 440KW - FC-2309SA-04</t>
  </si>
  <si>
    <t>4.2.5.2.40</t>
  </si>
  <si>
    <t>Painel Individual de Inversor de Frequência, Classe de Tensão 0,6/1kV - 440KW - FC-2309SA-09</t>
  </si>
  <si>
    <t>4.2.5.2.41</t>
  </si>
  <si>
    <t>Painel Individual de Inversor de Frequência, Classe de Tensão 0,6/1kV - 440KW - FC-2309SA-10</t>
  </si>
  <si>
    <t>4.2.5.2.42</t>
  </si>
  <si>
    <t>Painel Individual de Inversor de Frequência, Classe de Tensão 0,6/1kV - 515KW - FC-2309SA-01</t>
  </si>
  <si>
    <t>4.2.5.2.43</t>
  </si>
  <si>
    <t>Painel Individual de Inversor de Frequência, Classe de Tensão 0,6/1kV - 515KW - FC-2309SA-02</t>
  </si>
  <si>
    <t>4.2.5.2.44</t>
  </si>
  <si>
    <t>Painel Individual de Inversor de Frequência, Classe de Tensão 0,6/1kV - 515KW - FC-2309SA-07</t>
  </si>
  <si>
    <t>4.2.5.2.45</t>
  </si>
  <si>
    <t>Painel Individual de Inversor de Frequência, Classe de Tensão 0,6/1kV - 515KW - FC-2309SA-08</t>
  </si>
  <si>
    <t>4.2.5.3.1</t>
  </si>
  <si>
    <t>Inversor de frequência - 4 Quadrantes e regenerativo, Classe de Tensão 3,6/6kV - 1400 kW - FC-2305SA-35</t>
  </si>
  <si>
    <t>4.2.5.3.2</t>
  </si>
  <si>
    <t>Inversor de frequência - 4 Quadrantes e regenerativo, Classe de Tensão 3,6/6kV - 1400 kW - FC-2305SA-36</t>
  </si>
  <si>
    <t>4.2.5.3.3</t>
  </si>
  <si>
    <t>Inversor de frequência - 4 Quadrantes e regenerativo, Classe de Tensão 3,6/6kV - 1400 kW - FC-2305SA-37</t>
  </si>
  <si>
    <t>4.2.5.3.4</t>
  </si>
  <si>
    <t>Inversor de frequência - 4 Quadrantes e regenerativo, Classe de Tensão 3,6/6kV - 1400 kW - FC-2305SA-38</t>
  </si>
  <si>
    <t>4.2.5.3.5</t>
  </si>
  <si>
    <t>Inversor de frequência - 4 Quadrantes e regenerativo, Classe de Tensão 3,6/6kV - 1800 kW - FC-2304SA-06</t>
  </si>
  <si>
    <t>4.2.5.3.6</t>
  </si>
  <si>
    <t>Inversor de frequência - 4 Quadrantes e regenerativo, Classe de Tensão 3,6/6kV - 1800 kW - FC-2304SA-07</t>
  </si>
  <si>
    <t>4.2.5.3.7</t>
  </si>
  <si>
    <t>Inversor de frequência - 4 Quadrantes e regenerativo, Classe de Tensão 3,6/6kV - 1800 kW - FC-2304SA-08</t>
  </si>
  <si>
    <t>4.2.5.3.8</t>
  </si>
  <si>
    <t>Inversor de frequência - 4 Quadrantes e regenerativo, Classe de Tensão 3,6/6kV - 1800 kW - FC-2304SA-09</t>
  </si>
  <si>
    <t>4.2.5.3.9</t>
  </si>
  <si>
    <t>Inversor de frequência - 4 Quadrantes e regenerativo, Classe de Tensão 3,6/6kV - 1800 kW - FC-2304SA-10</t>
  </si>
  <si>
    <t>4.2.5.3.10</t>
  </si>
  <si>
    <t>Inversor de frequência - 4 Quadrantes e regenerativo, Classe de Tensão 3,6/6kV - 1800 kW - FC-2304SA-11</t>
  </si>
  <si>
    <t>4.2.6.1.1</t>
  </si>
  <si>
    <t>Painel de iluminaçao, 380/220V, 3o, 60Hz, In 100A, Icc 10kA sim., IP-42 - PL-2304SA-01</t>
  </si>
  <si>
    <t>4.2.6.1.2</t>
  </si>
  <si>
    <t>Painel de iluminaçao, 380/220V, 3o, 60Hz, In 100A, Icc 10kA sim., IP-42 - PL-2305SA-01</t>
  </si>
  <si>
    <t>4.2.6.1.3</t>
  </si>
  <si>
    <t>Painel de iluminaçao, 380/220V, 3o, 60Hz, In 100A, Icc 10kA sim., IP-42 - PL-2309SA-01</t>
  </si>
  <si>
    <t>4.2.7.1.1</t>
  </si>
  <si>
    <t>Quadro de Distribuiçao de 125Vcc - QD-2304SA-03</t>
  </si>
  <si>
    <t>4.2.7.1.2</t>
  </si>
  <si>
    <t>Quadro de Distribuiçao de 125Vcc - QD-2305SA-03</t>
  </si>
  <si>
    <t>4.2.7.1.3</t>
  </si>
  <si>
    <t>Quadro de Distribuiçao de 125Vcc - QD-2309SA-05</t>
  </si>
  <si>
    <t>4.2.7.2.1</t>
  </si>
  <si>
    <t>Quadro de Distribuição, Classe de Tensão 0,6/1kV, 3200A - 2 colunas - QD-2305SA-02 - (quadro de transferência automática GE-2305SA-01/02)</t>
  </si>
  <si>
    <t>4.2.7.2.2</t>
  </si>
  <si>
    <t>Quadro de Distribuiçao, Classe de Tensao 0,6/1kV, 3200A - QD-2304SA-02 - 2 colunas</t>
  </si>
  <si>
    <t>4.2.7.2.3</t>
  </si>
  <si>
    <t>Quadro de Distribuiçao, Classe de Tensao 0,6/1kV, 3200A - QD-2309SA-02 - 3 colunas</t>
  </si>
  <si>
    <t>4.2.7.2.4</t>
  </si>
  <si>
    <t>Quadro de Distribuiçao, Classe de Tensao 0,6/1kV, 3200A - QD-2309SA-03 - 2 colunas</t>
  </si>
  <si>
    <t>4.2.7.2.5</t>
  </si>
  <si>
    <t>Quadro de distribuiçao, 380/220V, 3o, 60Hz, Icc 15kA sim., IP-42 - QL-2304SA-01 - In 250A</t>
  </si>
  <si>
    <t>4.2.7.2.6</t>
  </si>
  <si>
    <t>Quadro de distribuiçao, 380/220V, 3o, 60Hz, Icc 15kA sim., IP-42 - QL-2305SA-01</t>
  </si>
  <si>
    <t>4.2.7.2.7</t>
  </si>
  <si>
    <t>Quadro de distribuiçao, 380/220V, 3o, 60Hz, Icc 15kA sim., IP-42 - QL-2309SA-01 - 250A</t>
  </si>
  <si>
    <t>4.2.7.3.1</t>
  </si>
  <si>
    <t>Quadro de Distribuiçao, Classe de Tensao 8,7/15kV, 630A - QD-2309SA-01 - 5 colunas</t>
  </si>
  <si>
    <t>4.2.7.3.2</t>
  </si>
  <si>
    <t>Quadro de Distribuição, Classe de Tensão 8,7/15kV, 2000A - 4 colunas - QD-2304SA-01</t>
  </si>
  <si>
    <t>4.2.7.3.3</t>
  </si>
  <si>
    <t>Quadro de Distribuição, Classe de Tensão 8,7/15kV, 2000A - 16 colunas - QD-2305SA-01</t>
  </si>
  <si>
    <t>4.2.8.1.1</t>
  </si>
  <si>
    <t>Resistor de Aterramento de baixa tensão, Classe de Tensão 0,6/1kV - Limitação de Corrente 3A - RS-2304SA-03</t>
  </si>
  <si>
    <t>CMS M.20.72.000</t>
  </si>
  <si>
    <t>4.2.8.1.2</t>
  </si>
  <si>
    <t>Resistor de Aterramento de baixa tensão, Classe de Tensão 0,6/1kV - Limitação de Corrente 3A - RS-2305SA-03</t>
  </si>
  <si>
    <t>4.2.8.1.3</t>
  </si>
  <si>
    <t>Resistor de Aterramento de baixa tensão, Classe de Tensão 0,6/1kV - Limitação de Corrente 3A - RS-2305SA-04</t>
  </si>
  <si>
    <t>4.2.8.1.4</t>
  </si>
  <si>
    <t>Resistor de Aterramento de baixa tensão, Classe de Tensão 0,6/1kV - Limitação de Corrente 3A - RS-2305SA-05</t>
  </si>
  <si>
    <t>4.2.8.1.5</t>
  </si>
  <si>
    <t>Resistor de Aterramento de baixa tensão, Classe de Tensão 0,6/1kV - Limitação de Corrente 3A - RS-2305SA-06</t>
  </si>
  <si>
    <t>4.2.8.1.6</t>
  </si>
  <si>
    <t>Resistor de Aterramento de baixa tensão, Classe de Tensão 0,6/1kV - Limitação de Corrente 3A - RS-2305SA-07</t>
  </si>
  <si>
    <t>4.2.8.1.7</t>
  </si>
  <si>
    <t>Resistor de Aterramento de baixa tensão, Classe de Tensão 0,6/1kV - Limitação de Corrente 3A - RS-2305SA-08</t>
  </si>
  <si>
    <t>4.2.8.1.8</t>
  </si>
  <si>
    <t>Resistor de Aterramento de baixa tensão, Classe de Tensão 0,6/1kV - Limitação de Corrente 3A - RS-2309SA-02</t>
  </si>
  <si>
    <t>4.2.8.1.9</t>
  </si>
  <si>
    <t>Resistor de Aterramento de baixa tensão, Classe de Tensão 0,6/1kV - Limitação de Corrente 3A - RS-2309SA-03</t>
  </si>
  <si>
    <t>4.2.8.2.1</t>
  </si>
  <si>
    <t>Resistor de Aterramento de média tensão, Classe de Tensão 3,6/6kV - Limitação de Corrente 50A - RS-2304SA-01</t>
  </si>
  <si>
    <t>4.2.8.2.2</t>
  </si>
  <si>
    <t>Resistor de Aterramento de média tensão, Classe de Tensão 3,6/6kV - Limitação de Corrente 50A - RS-2304SA-02</t>
  </si>
  <si>
    <t>4.2.8.2.3</t>
  </si>
  <si>
    <t>Resistor de Aterramento de média tensão, Classe de Tensão 3,6/6kV - Limitação de Corrente 50A - RS-2305SA-01</t>
  </si>
  <si>
    <t>4.2.8.2.4</t>
  </si>
  <si>
    <t>Resistor de Aterramento de média tensão, Classe de Tensão 3,6/6kV - Limitação de Corrente 50A - RS-2305SA-02</t>
  </si>
  <si>
    <t>4.2.8.2.5</t>
  </si>
  <si>
    <t>Resistor de Aterramento de média tensão, Classe de Tensão 3,6/6kV - Limitação de Corrente 50A - RS-2309SA-01</t>
  </si>
  <si>
    <t>4.2.9.1.1</t>
  </si>
  <si>
    <t>MC.036E</t>
  </si>
  <si>
    <t>Transformador de Força - Isolado a óleo - 500kVA - 413800V - 480/277V - TF-MO2305SA01-04</t>
  </si>
  <si>
    <t>CMS M.20.84.000</t>
  </si>
  <si>
    <t>4.2.9.1.2</t>
  </si>
  <si>
    <t>Transformador de Força - Isolado a óleo - 500kVA - 413800V - 480/277V - TF-MO2305SA02-04</t>
  </si>
  <si>
    <t>4.2.9.1.3</t>
  </si>
  <si>
    <t>Transformador de Força - Isolado a óleo - 2000kVA - 13800V - 480/277V - TF-2304SA-03</t>
  </si>
  <si>
    <t>4.2.9.1.4</t>
  </si>
  <si>
    <t>Transformador de Força - Isolado a óleo - 2000kVA - 13800V - 480/277V - TF-2305SA-03</t>
  </si>
  <si>
    <t>4.2.9.1.5</t>
  </si>
  <si>
    <t>Transformador de Força - Isolado a óleo - 2000kVA - 13800V - 480/277V - TF-2305SA-05</t>
  </si>
  <si>
    <t>4.2.9.1.6</t>
  </si>
  <si>
    <t>Transformador de Força - Isolado a óleo - 2000kVA - 13800V - 480/277V - TF-2305SA-07</t>
  </si>
  <si>
    <t>4.2.9.1.7</t>
  </si>
  <si>
    <t>Transformador de Força - Isolado a óleo - 2000kVA - 13800V - 480/277V - TF-2309SA-02</t>
  </si>
  <si>
    <t>4.2.9.1.8</t>
  </si>
  <si>
    <t>Transformador de Força - Isolado a óleo - 2000kVA - 13800V - 480/277V - TF-2309SA-03</t>
  </si>
  <si>
    <t>4.2.9.1.9</t>
  </si>
  <si>
    <t>Transformador de Força - Isolado a óleo - 2500kVA - 13800V - 480/277V - TF-2305SA-04</t>
  </si>
  <si>
    <t>4.2.9.1.10</t>
  </si>
  <si>
    <t>Transformador de Força - Isolado a óleo - 2500kVA - 13800V - 480/277V - TF-2305SA-06</t>
  </si>
  <si>
    <t>4.2.9.1.11</t>
  </si>
  <si>
    <t>Transformador de Força - Isolado a óleo - 2500kVA - 13800V - 480/277V - TF-2305SA-08</t>
  </si>
  <si>
    <t>4.2.9.1.12</t>
  </si>
  <si>
    <t>Transformador de Força - Isolado a óleo - 5000kVA - 13800V - 4160V - TF-2304SA-02</t>
  </si>
  <si>
    <t>4.2.9.1.13</t>
  </si>
  <si>
    <t>Transformador de Força - Isolado a óleo - 5000kVA - 13800V - 4160V - TF-2309SA-01</t>
  </si>
  <si>
    <t>4.2.9.1.14</t>
  </si>
  <si>
    <t>Transformador de Força - Isolado a óleo - 7500kVA - 13800V - 4160V - TF-2305SA-01</t>
  </si>
  <si>
    <t>4.2.9.1.15</t>
  </si>
  <si>
    <t>Transformador de Força - Isolado a óleo - 7500kVA - 13800V - 4160V - TF-2305SA-02</t>
  </si>
  <si>
    <t>4.2.9.1.16</t>
  </si>
  <si>
    <t>Transformador de Força - Isolado a óleo - 10000kVA - 13800V - 4160V - TF-2304SA-01</t>
  </si>
  <si>
    <t>4.2.9.1.17</t>
  </si>
  <si>
    <t>Transformador de Força - Isolado a óleo - 10000kVA - 13800V - 4160V - TF-MO2305SA01-01</t>
  </si>
  <si>
    <t>4.2.9.1.18</t>
  </si>
  <si>
    <t>Transformador de Força - Isolado a óleo - 10000kVA - 13800V - 4160V - TF-MO2305SA01-02</t>
  </si>
  <si>
    <t>4.2.9.1.19</t>
  </si>
  <si>
    <t>Transformador de Força - Isolado a óleo - 10000kVA - 13800V - 4160V - TF-MO2305SA01-03</t>
  </si>
  <si>
    <t>4.2.9.1.20</t>
  </si>
  <si>
    <t>Transformador de Força - Isolado a óleo - 10000kVA - 13800V - 4160V - TF-MO2305SA02-01</t>
  </si>
  <si>
    <t>4.2.9.1.21</t>
  </si>
  <si>
    <t>Transformador de Força - Isolado a óleo - 10000kVA - 13800V - 4160V - TF-MO2305SA02-02</t>
  </si>
  <si>
    <t>4.2.9.1.22</t>
  </si>
  <si>
    <t>Transformador de Força - Isolado a óleo - 10000kVA - 13800V - 4160V - TF-MO2305SA02-03</t>
  </si>
  <si>
    <t>4.2.10.1.1</t>
  </si>
  <si>
    <t>Transformador de Iluminação Isolado a Óleo, classe de tensão 0,6/1kV, 225kVA - TL-2309SA-01</t>
  </si>
  <si>
    <t>CMS M.20.90.000</t>
  </si>
  <si>
    <t>4.2.10.1.2</t>
  </si>
  <si>
    <t>Transformador de Iluminação Isolado a Óleo, classe de tensão 0,6/1kV, 500kVA - TL-2305SA-01</t>
  </si>
  <si>
    <t>4.3.1.1.1</t>
  </si>
  <si>
    <t>Controlador Lógico Programável, sistema híbrido, constituído de rack, fonte, CPU, cartão de comunicaçao, conversor eletro-óptico, conversor de protocolo HSE/H1, cartoes de I/O, Painel IP54, auto sustentado com entrada inferior de cabos. - UC-2309SA-03</t>
  </si>
  <si>
    <t>CMS M.30.70.000</t>
  </si>
  <si>
    <t>4.3.1.1.2</t>
  </si>
  <si>
    <t>Controlador Lógico Programável, sistema híbrido, constituído de rack, fonte, CPU, cartão de comunicaçao, conversor eletro-óptico, conversor de protocolo HSE/H1, cartoes de I/O, Painel IP54, auto sustentado com entrada inferior de cabos. - UC-2309SA-01</t>
  </si>
  <si>
    <t>4.3.1.1.3</t>
  </si>
  <si>
    <t>Controlador Lógico Programável, sistema híbrido, constituído de rack, fonte, CPU, cartão de comunicaçao, conversor eletro-óptico, conversor de protocolo HSE/H1, cartoes de I/O, Painel IP54, auto sustentado com entrada inferior de cabos. - UC-2309SA-02</t>
  </si>
  <si>
    <t>4.3.1.1.4</t>
  </si>
  <si>
    <t>Controlador Lógico Programável, sistema híbrido, constituído de rack, fonte, CPU, cartão de comunicaçao, conversor eletro-óptico, conversor de protocolo HSE/H1, cartoes de I/O, Painel IP54, auto sustentado com entrada inferior de cabos. - UC-2309SA-04</t>
  </si>
  <si>
    <t>4.3.1.1.5</t>
  </si>
  <si>
    <t>Controlador Lógico Programável, sistema híbrido, constituído de rack, fonte, CPU, cartão de comunicaçao, conversor eletro-óptico, conversor de protocolo HSE/H1, cartoes de I/O, Painel IP54, auto sustentado com entrada inferior de cabos. - UC-2305SA-04</t>
  </si>
  <si>
    <t>4.3.1.1.6</t>
  </si>
  <si>
    <t>Controlador Lógico Programável, sistema híbrido, constituído de rack, fonte, CPU, cartão de comunicaçao, conversor eletro-óptico, conversor de protocolo HSE/H1, cartoes de I/O, Painel IP54, auto sustentado com entrada inferior de cabos. - UC-2305SA-03</t>
  </si>
  <si>
    <t>4.3.1.1.7</t>
  </si>
  <si>
    <t>Controlador Lógico Programável, sistema híbrido, constituído de rack, fonte, CPU, cartão de comunicaçao, conversor eletro-óptico, conversor de protocolo HSE/H1, cartoes de I/O, Painel IP54, auto sustentado com entrada inferior de cabos. - UC-2305SA-02</t>
  </si>
  <si>
    <t>4.3.1.1.8</t>
  </si>
  <si>
    <t>Controlador Lógico Programável, sistema híbrido, constituído de rack, fonte, CPU, cartão de comunicaçao, conversor eletro-óptico, conversor de protocolo HSE/H1, cartoes de I/O, Painel IP54, auto sustentado com entrada inferior de cabos. - UC-2305SA-01</t>
  </si>
  <si>
    <t>4.3.1.1.9</t>
  </si>
  <si>
    <t>2326</t>
  </si>
  <si>
    <t>Controlador Lógico Programável, constituído de rack, fonte, CPU, cartao de comunicaçao, cartoes de I/O, Painel IP54, IEC61850 - Dedicado ao sistema SAS/ SGE, TAG:UC-2326SA-01</t>
  </si>
  <si>
    <t>4.3.1.1.10</t>
  </si>
  <si>
    <t>Controlador Lógico Programável, constituído de rack, fonte, CPU, cartao de comunicaçao, cartoes de I/O, Painel IP54, IEC61850 - Dedicado ao sistema SAS/ SGE, TAG:UC-2326SA-02</t>
  </si>
  <si>
    <t>4.3.1.1.11</t>
  </si>
  <si>
    <t>Controlador Lógico Programável, sistema híbrido, constituído de rack, fonte, CPU, cartão de comunicaçao, conversor eletro-óptico, conversor de protocolo HSE/H1, cartoes de I/O, Painel IP54, auto sustentado com entrada inferior de cabos. - UC-2304SA-01</t>
  </si>
  <si>
    <t>4.3.1.1.12</t>
  </si>
  <si>
    <t>Controlador Lógico Programável, sistema híbrido, constituído de rack, fonte, CPU, cartão de comunicaçao, conversor eletro-óptico, conversor de protocolo HSE/H1, cartoes de I/O, Painel IP54, auto sustentado com entrada inferior de cabos. - UC-2304SA-02</t>
  </si>
  <si>
    <t>4.3.1.1.13</t>
  </si>
  <si>
    <t>Controlador Lógico Programável, sistema híbrido, constituído de rack, fonte, CPU, cartão de comunicaçao, conversor eletro-óptico, conversor de protocolo HSE/H1, cartoes de I/O, Painel IP54, auto sustentado com entrada inferior de cabos. - UC-2304SA-11</t>
  </si>
  <si>
    <t>4.3.1.1.14</t>
  </si>
  <si>
    <t>Controlador Lógico Programável, sistema híbrido, constituído de rack, fonte, CPU, cartão de comunicaçao, conversor eletro-óptico, conversor de protocolo HSE/H1, cartoes de I/O, Painel IP54, auto sustentado com entrada inferior de cabos. - UC-2304SA-12</t>
  </si>
  <si>
    <t>4.3.1.1.15</t>
  </si>
  <si>
    <t>Controlador Lógico Programável, sistema híbrido, constituído de rack, fonte, CPU, cartão de comunicaçao, conversor eletro-óptico, conversor de protocolo HSE/H1, cartoes de I/O, Painel IP54, auto sustentado com entrada inferior de cabos. - UC-2304SA-13</t>
  </si>
  <si>
    <t>4.3.1.2.1</t>
  </si>
  <si>
    <t>Caixa de derivaçao para rede fieldbus foundation,  IP65 contendo módulo de derivaçao FF-H1 com 8 saídas (spurs)</t>
  </si>
  <si>
    <t>CMS M.30.10.000</t>
  </si>
  <si>
    <t>4.3.1.2.2</t>
  </si>
  <si>
    <t>4.3.1.2.3</t>
  </si>
  <si>
    <t>4.3.1.2.4</t>
  </si>
  <si>
    <t>4.3.1.2.5</t>
  </si>
  <si>
    <t>Coletores online para Sistema de Vibraçao com 12 Canais. Caixa auto sustentável com bornes, contendo o coletor, comunicaçao em Ethernet, alimentaçao em 120 Vca,  DIO, com sistema operacional específico - TAG:GA-2305SA-05/06/07/08</t>
  </si>
  <si>
    <t>4.3.1.2.6</t>
  </si>
  <si>
    <t>Coletores on-line para Sistema de Vibraçao com 12 Canais e Switch compacta Caixa auto sustentável com bornes, contendo o coletor, comunicaçao em Ethernet, alimentaçao em 120 Vca,  DIO, com sistema operacional específico - TAG:GA-2303SA-01</t>
  </si>
  <si>
    <t>4.3.1.2.7</t>
  </si>
  <si>
    <t>Coletores on-line para Sistema de Vibraçao com 12 Canais e Switch compacta Caixa auto sustentável com bornes, contendo o coletor, comunicaçao em Ethernet, alimentaçao em 120 Vca,  DIO, com sistema operacional específico - TAG:GA-2305SA-09</t>
  </si>
  <si>
    <t>4.3.1.2.8</t>
  </si>
  <si>
    <t>Coletores on-line para Sistema de Vibraçao com 24 Canais. Caixa auto sustentável com bornes, contendo o coletor, comunicaçao em Ethernet, alimentaçao em 120 Vca, DIO, com sistema operacional específico - TAG:GA-2303SA-05</t>
  </si>
  <si>
    <t>4.3.1.2.9</t>
  </si>
  <si>
    <t>Coletores on-line para Sistema de Vibraçao com 24 Canais. Caixa auto sustentável com bornes, contendo o coletor, comunicaçao em Ethernet, alimentaçao em 120 Vca, DIO, com sistema operacional específico - TAG:GA-2303SA-06</t>
  </si>
  <si>
    <t>4.3.1.2.10</t>
  </si>
  <si>
    <t>Coletores on-line para Sistema de Vibraçao com 24 Canais e Switch compacta. Caixa auto sustentável com bornes, contendo o coletor, comunicaçao em Ethernet, alimentaçao em 120 Vca,  DIO, com sistema operacional específico - TAG:GA-2301SA-01</t>
  </si>
  <si>
    <t>4.3.1.2.11</t>
  </si>
  <si>
    <t>Coletores on-line para Sistema de Vibraçao com 24 Canais e Switch compacta. Caixa auto sustentável com bornes, contendo o coletor, comunicaçao em Ethernet, alimentaçao em 120 Vca,  DIO, com sistema operacional específico - TAG:GA-2303SA-04</t>
  </si>
  <si>
    <t>4.3.1.2.12</t>
  </si>
  <si>
    <t>Coletores on-line para Sistema de Vibraçao com 36 Canais Caixa auto sustentável com bornes, contendo o coletor, comunicaçao em Ethernet, alimentaçao em 120 Vca,  DIO, com sistema operacional específico - TAG:GA-2301SA-04</t>
  </si>
  <si>
    <t>4.3.1.2.13</t>
  </si>
  <si>
    <t>Coletores on-line para Sistema de Vibraçao com 36 Canais e Switch compacta. Caixa auto sustentável com bornes, contendo o coletor, comunicaçao em Ethernet, alimentaçao em 120 Vca,  DIO, com sistema operacional específico - TAG:GA-2303SA-03</t>
  </si>
  <si>
    <t>4.3.1.2.14</t>
  </si>
  <si>
    <t>Coletores on-line para Sistema de Vibraçao com 36 Canais e Switch compacta. Caixa auto sustentável com bornes, contendo o coletor, comunicaçao em Ethernet, alimentaçao em 120 Vca,  DIO, com sistema operacional específico - TAG:GA-2305SA-01/02/03</t>
  </si>
  <si>
    <t>4.3.1.2.15</t>
  </si>
  <si>
    <t>Coletores on-line para Sistema de Vibraçao com 48 Canais. Caixa auto sustentável com bornes, contendo o coletor, comunicaçao em Ethernet, alimentaçao em 120 Vca,  DIO, com sistema operacional específico - TAG:GA-2303SA-02</t>
  </si>
  <si>
    <t>4.3.1.2.16</t>
  </si>
  <si>
    <t>Coletores on-line para Sistema de Vibraçao com 48 Canais e Switch compacta. Caixa auto sustentável com bornes, contendo o coletor, comunicaçao em Ethernet, alimentaçao em 120 Vca,  DIO, com sistema operacional específico - TAG:GA-2301SA-03</t>
  </si>
  <si>
    <t>4.3.1.2.17</t>
  </si>
  <si>
    <t>Coletores on-line para Sistema de Vibraçao com 48 Canais e Switch compacta. Caixa auto sustentável com bornes, contendo o coletor, comunicaçao em Ethernet, alimentaçao em 120 Vca,  DIO, com sistema operacional específico - TAG:GA-2301SA-02</t>
  </si>
  <si>
    <t>4.3.1.2.18</t>
  </si>
  <si>
    <t>Coletores on-line para Sistema de Vibraçao com 48 Canais e Switch compacta. Caixa auto sustentável com bornes, contendo o coletor, comunicaçao em Ethernet, alimentaçao em 120 Vca,  DIO, com sistema operacional específico - TAG:GA-2305SA-04</t>
  </si>
  <si>
    <t>4.3.1.2.19</t>
  </si>
  <si>
    <t>Conversor Eletro-óptico RS485/Fibra óptica para Rede Profibus DP em campo -  Montado em painel IP67</t>
  </si>
  <si>
    <t>4.3.1.2.20</t>
  </si>
  <si>
    <t>4.3.1.2.21</t>
  </si>
  <si>
    <t>4.3.1.2.22</t>
  </si>
  <si>
    <t>4.3.1.3.1</t>
  </si>
  <si>
    <t>Switch Ethernet de rede de controle, modular, gerenciável, arquitetura anel, 1GBit, 16 portas elétricas, 8 portas ópticas - TAG:SW-2326SA-11</t>
  </si>
  <si>
    <t>4.3.1.3.2</t>
  </si>
  <si>
    <t>Switch Ethernet de rede de controle, modular, gerenciável, arquitetura anel, 1GBit, 16 portas elétricas, 8 portas ópticas - TAG:SW-2326SA-12</t>
  </si>
  <si>
    <t>4.3.1.3.3</t>
  </si>
  <si>
    <t>Switch Ethernet  do Sistema de Análise de granulometria por imagem, modular, gerenciável, arquitetura anel, 1GBit, 8 portas ópticas - TAG:SW-2304SA-17</t>
  </si>
  <si>
    <t>4.3.1.3.4</t>
  </si>
  <si>
    <t>Switch Ethernet  do Sistema de Análise de granulometria por imagem, modular, gerenciável, arquitetura anel, 1GBit, 8 portas ópticas - TAG:SW-2305SA-17</t>
  </si>
  <si>
    <t>4.3.1.3.5</t>
  </si>
  <si>
    <t>Switch Ethernet  do Sistema de Análise de granulometria por imagem, modular, gerenciável, arquitetura anel, 1GBit, 4 portas elétricas, 4 portas ópticas - TAG:SW-2326SA-17</t>
  </si>
  <si>
    <t>4.3.1.3.6</t>
  </si>
  <si>
    <t>Switch Ethernet  do SGE rede MODBUS TCP/IP, modular, gerenciável, arquitetura anel, 1GBit, 8 portas elétricas, 4 portas ópticas - TAG:SW-2326SA-14</t>
  </si>
  <si>
    <t>4.3.1.3.7</t>
  </si>
  <si>
    <t>8011</t>
  </si>
  <si>
    <t>Switch Ethernet  do SGE rede MODBUS TCP/IP, modular, gerenciável, arquitetura anel, 1GBit, 32 portas elétricas, 4portas ópticas - TAG:SW-8011SA-14</t>
  </si>
  <si>
    <t>4.3.1.3.8</t>
  </si>
  <si>
    <t>Switch Ethernet  do SGE rede MODBUS TCP/IP, modular, gerenciável, arquitetura anel, 1GBit, 16 portas elétricas, 4 portas ópticas - TAG:SW-2305SA-14</t>
  </si>
  <si>
    <t>4.3.1.3.9</t>
  </si>
  <si>
    <t>Switch Ethernet  do SGE rede MODBUS TCP/IP, modular, gerenciável, arquitetura anel, 1GBit, 16 portas elétricas, 4 portas ópticas - TAG:SW-2309SA-14</t>
  </si>
  <si>
    <t>4.3.1.3.10</t>
  </si>
  <si>
    <t>Switch Ethernet  do SGE rede MODBUS TCP/IP, modular, gerenciável, arquitetura anel, 1GBit, 12 portas elétricas, 4 portas ópticas - TAG:SW-2304SA-14</t>
  </si>
  <si>
    <t>4.3.1.3.11</t>
  </si>
  <si>
    <t>Switch Ethernet  do SAS rede IEC61850, modular, gerenciável, arquitetura anel, 1GBit, 4 portas elétricas, 8 portas ópticas - TAG:SW-8011SA-13</t>
  </si>
  <si>
    <t>4.3.1.3.12</t>
  </si>
  <si>
    <t>Switch Ethernet  do SAS rede IEC61850, modular, gerenciável, arquitetura anel, 1GBit, 4 portas elétricas, 32 portas ópticas - TAG:SW-2305SA-13</t>
  </si>
  <si>
    <t>4.3.1.3.13</t>
  </si>
  <si>
    <t>Switch Ethernet  do SAS rede IEC61850, modular, gerenciável, arquitetura anel, 1GBit, 4 portas elétricas, 12 portas ópticas - TAG:SW-2304SA-13</t>
  </si>
  <si>
    <t>4.3.1.3.14</t>
  </si>
  <si>
    <t>Switch Ethernet  do SAS rede IEC61850, modular, gerenciável, arquitetura anel, 1GBit, 4 portas elétricas, 12 portas ópticas - TAG:SW-2309SA-13</t>
  </si>
  <si>
    <t>4.3.1.3.15</t>
  </si>
  <si>
    <t>Switch Ethernet  do SAS rede IEC61850, modular, gerenciável, arquitetura anel, 1GBit, 16 portas elétricas - TAG: SW-2326SA-13</t>
  </si>
  <si>
    <t>4.3.1.3.16</t>
  </si>
  <si>
    <t>Switch Ethernet  da rede do SGV, modular, gerenciável, arquitetura anel, 1GBit, 8 portas ópticas 100Base-LX - TAG:SW-2304SA-20</t>
  </si>
  <si>
    <t>4.3.1.3.17</t>
  </si>
  <si>
    <t>Switch Ethernet  da rede do SGV, modular, gerenciável, arquitetura anel, 1GBit, 8 portas ópticas 100Base-LX - TAG:SW-2305SA-20</t>
  </si>
  <si>
    <t>4.3.1.3.18</t>
  </si>
  <si>
    <t>Switch Ethernet  da rede do SGV, modular, gerenciável, arquitetura anel, 1GBit, 4 portas elétricas, 4 portas ópticas 100Base-LX - TAG:SW-2326SA-20</t>
  </si>
  <si>
    <t>4.3.1.3.19</t>
  </si>
  <si>
    <t>Switch Ethernet  da rede de HSE, modular, gerenciável, arquitetura anel, 1GBit, 8 portas elétricas, 4 portas ópticas - TAG: SW-2326SA-15</t>
  </si>
  <si>
    <t>4.3.1.3.20</t>
  </si>
  <si>
    <t>Switch Ethernet  da rede cliente / servidor, modular, gerenciável, arquitetura anel, 1GBit, 36 portas elétricas, 8 portas ópticas - TAG:SW-2326SA-18</t>
  </si>
  <si>
    <t>4.3.1.3.21</t>
  </si>
  <si>
    <t>Switch Ethernet  da rede cliente / servidor, modular, gerenciável, arquitetura anel, 1GBit, 36 portas elétricas, 8 portas ópticas - TAG:SW-2326SA-19</t>
  </si>
  <si>
    <t>4.3.1.3.22</t>
  </si>
  <si>
    <t>Switch Ethernet  da rede cliente / servidor, modular, gerenciável, arquitetura anel, 1GBit, 0 portas elétricas, 8 portas ópticas - TAG:SW-2305SA-18</t>
  </si>
  <si>
    <t>4.3.1.3.23</t>
  </si>
  <si>
    <t>Switch Ethernet  da rede cliente / servidor, modular, gerenciável, arquitetura anel, 1GBit, 0 portas elétricas, 8 portas ópticas - TAG:SW-2305SA-19</t>
  </si>
  <si>
    <t>4.3.1.3.24</t>
  </si>
  <si>
    <t>Rack padrao 19", 44U, com régua de tomadas e demais acessórios. - Rack de Estações de Trabalho SCS, TAG:RK-2326SA-13</t>
  </si>
  <si>
    <t>CMS M.30.10.010</t>
  </si>
  <si>
    <t>4.3.1.3.25</t>
  </si>
  <si>
    <t>Rack padrao 19", 44U, com régua de tomadas e demais acessórios. - Rack de servidores, TAG:RK-2326SA-11</t>
  </si>
  <si>
    <t>4.3.1.3.26</t>
  </si>
  <si>
    <t>Rack padrao 19", 44U, com régua de tomadas e demais acessórios. - Rack de servidores, TAG:RK-2326SA-12</t>
  </si>
  <si>
    <t>4.3.1.3.27</t>
  </si>
  <si>
    <t>Rack padrao 19", 44U, com régua de tomadas e demais acessórios. - Rack do SAS/SGE, TAG:RK-2326SA-31</t>
  </si>
  <si>
    <t>4.3.1.4.1</t>
  </si>
  <si>
    <t>Estaçao de operaçao, 19" core 2 quad 2,66Ghz, 16GB RAM; HD 1TB, 4 monitores 21, teclado, mouse (KVM) - Moinho I, TAG:IT-2305SA-21</t>
  </si>
  <si>
    <t>4.3.1.4.2</t>
  </si>
  <si>
    <t>Estaçao de operaçao, 19" core 2 quad 2,66Ghz, 16GB RAM; HD 1TB, 4 monitores 21, teclado, mouse (KVM) - Moinho II, TAG:IT-2305SA-22</t>
  </si>
  <si>
    <t>4.3.1.4.3</t>
  </si>
  <si>
    <t>Estaçao de operaçao, 19" core 2 quad 2,66Ghz, 16GB RAM; HD 1TB, 4 monitores 21, teclado, mouse (KVM) - TAG:IT-2326SA-11</t>
  </si>
  <si>
    <t>4.3.1.4.4</t>
  </si>
  <si>
    <t>Estaçao de operaçao, 19" core 2 quad 2,66Ghz, 16GB RAM; HD 1TB, 4 monitores 21, teclado, mouse (KVM) - TAG:IT-2326SA-12</t>
  </si>
  <si>
    <t>4.3.1.4.5</t>
  </si>
  <si>
    <t>Estaçao de operaçao, 19" core 2 quad 2,66Ghz, 16GB RAM; HD 1TB, 4 monitores 21, teclado, mouse (KVM) - TAG:IT-2326SA-13</t>
  </si>
  <si>
    <t>4.3.1.4.6</t>
  </si>
  <si>
    <t>Estaçao de operaçao, 19" core 2 quad 2,66Ghz, 16GB RAM; HD 1TB, 4 monitores 21, teclado, mouse (KVM) - TAG:IT-2326SA-14</t>
  </si>
  <si>
    <t>4.3.1.4.7</t>
  </si>
  <si>
    <t>Estaçao de operaçao, 19" core 2 quad 2,66Ghz, 16GB RAM; HD 1TB, 4 monitores 21, teclado, mouse (KVM) - Sistema de Análise de Granulometria por Imagem, TAG:IT-2326SA-17</t>
  </si>
  <si>
    <t>4.3.1.4.8</t>
  </si>
  <si>
    <t>Estaçao de operaçao, 19" core 2 quad 2,66Ghz, 16GB RAM; HD 1TB, 4 monitores 21, teclado, mouse (KVM) - SAS/SGE, TAG:IT-2326SA-16</t>
  </si>
  <si>
    <t>4.3.1.4.9</t>
  </si>
  <si>
    <t>Estaçao de operaçao, 19" core 2 quad 2,66Ghz, 16GB RAM; HD 1TB, 4 monitores 21, teclado, mouse (KVM) - Auxiliar SAS/ SGE, TAG:IT-8011SA-01</t>
  </si>
  <si>
    <t>4.3.1.4.10</t>
  </si>
  <si>
    <t>Comutador KVM para acesso multiplos dos servidores com 1 monitor, 1 teclado e 1 mouse</t>
  </si>
  <si>
    <t>4.3.1.4.11</t>
  </si>
  <si>
    <t>Estaçao de operaçao, 19" core 2 quad 2,66Ghz, 8GB RAM; HD 1TB, 2 monitores 21, teclado, mouse (KVM) - Sistema de Gerenciamento de Vibração, TAG:IT-2326SA-80</t>
  </si>
  <si>
    <t>4.3.1.4.12</t>
  </si>
  <si>
    <t>Monitor de 52 - " para o Analisador de granulometria por imagem.</t>
  </si>
  <si>
    <t>4.3.1.5.1</t>
  </si>
  <si>
    <t>Servidor principal para o Sistema de Controle e Proteçao, 19"quad core Xeon 3.0Ghz, 16GB RAM; HD 1TB - Servidor SGA, TAG:IT-2326SA-32</t>
  </si>
  <si>
    <t>4.3.1.5.2</t>
  </si>
  <si>
    <t>Servidor principal para o Sistema de Controle e Proteçao, 19"quad core Xeon 3.0Ghz, 16GB RAM; HD 1TB - Servidor SCS,TAG:IT-2326SA-25</t>
  </si>
  <si>
    <t>4.3.1.5.3</t>
  </si>
  <si>
    <t>Servidor principal para o Sistema de Controle e Proteçao, 19"quad core Xeon 3.0Ghz, 16GB RAM; HD 1TB - Servidor SGE, TAG:IT-2326SA-54</t>
  </si>
  <si>
    <t>4.3.1.5.4</t>
  </si>
  <si>
    <t>Servidor principal para o Sistema de Controle e Proteçao, 19"quad core Xeon 3.0Ghz, 16GB RAM; HD 1TB - Sistema de Gerenciamento de Vibração, TAG:IT-2326SA-81/82/83</t>
  </si>
  <si>
    <t>4.3.1.5.5</t>
  </si>
  <si>
    <t>Servidor principal para o Sistema de Controle e Proteçao, 19"quad core Xeon 3.0Ghz, 16GB RAM; HD 1TB - Servidor SCS, TAG:IT-2326SA-22</t>
  </si>
  <si>
    <t>4.3.1.5.6</t>
  </si>
  <si>
    <t>Servidor principal para o Sistema de Controle e Proteçao, 19"quad core Xeon 3.0Ghz, 16GB RAM; HD 1TB - Servidor SCS, TAG:IT-2326SA-24</t>
  </si>
  <si>
    <t>4.3.1.5.7</t>
  </si>
  <si>
    <t>Servidor principal para o Sistema de Controle e Proteçao, 19"quad core Xeon 3.0Ghz, 16GB RAM; HD 1TB - Servidor SAS, TAG:IT-2326SA-56</t>
  </si>
  <si>
    <t>4.3.1.5.8</t>
  </si>
  <si>
    <t>Servidor principal para o Sistema de Controle e Proteçao, 19"quad core Xeon 3.0Ghz, 16GB RAM; HD 1TB - Servidor SCS, TAG:IT-2326SA-23</t>
  </si>
  <si>
    <t>4.3.1.5.9</t>
  </si>
  <si>
    <t>Servidor principal para o Sistema de Controle e Proteçao, 19"quad core Xeon 3.0Ghz, 16GB RAM; HD 1TB - Servidor domínio, TAG:IT-2326SA-31</t>
  </si>
  <si>
    <t>4.3.1.5.10</t>
  </si>
  <si>
    <t>Servidor principal para o Sistema de Controle e Proteçao, 19"quad core Xeon 3.0Ghz, 16GB RAM; HD 1TB - Servidor SCS, TAG:IT-2326SA-21</t>
  </si>
  <si>
    <t>4.3.1.5.11</t>
  </si>
  <si>
    <t>Servidor principal para o Sistema de Controle e Proteçao, 19"quad core Xeon 3.0Ghz, 16GB RAM; HD 1TB - Servidor Backup, TAG:IT-2326SA-34</t>
  </si>
  <si>
    <t>4.3.1.5.12</t>
  </si>
  <si>
    <t>Servidor principal para o Sistema de Controle e Proteçao, 19"quad core Xeon 3.0Ghz, 16GB RAM; HD 1TB - Servidor SCS, TAG:IT-2326SA-26</t>
  </si>
  <si>
    <t>4.3.1.5.13</t>
  </si>
  <si>
    <t>Servidor principal para o Sistema de Controle e Proteçao, 19"quad core Xeon 3.0Ghz, 16GB RAM; HD 1TB - Servidor SCS, TAG:IT-2326SA-27</t>
  </si>
  <si>
    <t>4.3.1.5.14</t>
  </si>
  <si>
    <t>Servidor principal para o Sistema de Controle e Proteçao, 19"quad core Xeon 3.0Ghz, 16GB RAM; HD 1TB - Servidor SGA, TAG:IT-2326SA-33</t>
  </si>
  <si>
    <t>4.3.1.5.15</t>
  </si>
  <si>
    <t>Servidor principal para o Sistema de Controle e Proteçao, 19"quad core Xeon 3.0Ghz, 16GB RAM; HD 1TB - Servidor SAS, TAG:IT-2326SA-51</t>
  </si>
  <si>
    <t>4.3.1.5.16</t>
  </si>
  <si>
    <t>Servidor principal para o Sistema de Controle e Proteçao, 19"quad core Xeon 3.0Ghz, 16GB RAM; HD 1TB - Servidor SGE, TAG:IT-2326SA-53</t>
  </si>
  <si>
    <t>4.3.1.5.17</t>
  </si>
  <si>
    <t>Servidor principal para o Sistema de Controle e Proteçao, 19"quad core Xeon 3.0Ghz, 16GB RAM; HD 1TB - Servidor SAS, TAG:IT-2326SA-52</t>
  </si>
  <si>
    <t>4.3.1.5.18</t>
  </si>
  <si>
    <t>Servidor principal para o Sistema de Controle e Proteçao, 19"quad core Xeon 3.0Ghz, 16GB RAM; HD 1TB - Servidor SAS, TAG:IT-2326SA-55</t>
  </si>
  <si>
    <t>4.3.1.5.19</t>
  </si>
  <si>
    <t>Servidor principal para o Sistema de Controle e Proteçao, 19"quad core Xeon 3.0Ghz, 16GB RAM; HD 1TB - Servidor domínio, TAG:IT-2326SA-30</t>
  </si>
  <si>
    <t>4.3.1.6.1</t>
  </si>
  <si>
    <t>Estação de engenharia , 19" core 2 quad 2,66Ghz, 8GB RAM; HD 1TB, 4 monitores 21, teclado, mouse  (KVM) - SAS/SGE, TAG:IT-2326SA-15</t>
  </si>
  <si>
    <t>4.3.1.6.2</t>
  </si>
  <si>
    <t>Estação de engenharia , 19" core 2 quad 2,66Ghz, 8GB RAM; HD 1TB, 4 monitores 21, teclado, mouse  (KVM) - TAG:IT-2326SA-01</t>
  </si>
  <si>
    <t>4.3.1.6.3</t>
  </si>
  <si>
    <t>Estação de engenharia , 19" core 2 quad 2,66Ghz, 8GB RAM; HD 1TB, 4 monitores 21, teclado, mouse  (KVM) - TAG:IT-2326SA-02</t>
  </si>
  <si>
    <t>4.3.1.6.4</t>
  </si>
  <si>
    <t>Estação de engenharia , 19" core 2 quad 2,66Ghz, 8GB RAM; HD 1TB, 4 monitores 21, teclado, mouse  (KVM) - TAG:IT-2326SA-04</t>
  </si>
  <si>
    <t>4.3.1.6.5</t>
  </si>
  <si>
    <t>Estação de engenharia , 19" core 2 quad 2,66Ghz, 8GB RAM; HD 1TB, 4 monitores 21, teclado, mouse  (KVM) - TAG:IT-2326SA-03</t>
  </si>
  <si>
    <t>4.3.1.6.6</t>
  </si>
  <si>
    <t>Painel com IHM Touch Screen 15”, IP-54. Resolução: 1024 x 768 pixels, fontes de alimentação simples (sem redundância) com entrada em 115/230 Vca e saída em 24Vcc e 5 A. Porta frontal com rasgo, com suporte para fixação em parede. - PO-2304SA-11</t>
  </si>
  <si>
    <t>4.3.1.6.7</t>
  </si>
  <si>
    <t>Painel com IHM Touch Screen 15”, IP-54. Resolução: 1024 x 768 pixels, fontes de alimentação simples (sem redundância) com entrada em 115/230 Vca e saída em 24Vcc e 5 A. Porta frontal com rasgo, com suporte para fixação em parede. - PO-2304SA-12</t>
  </si>
  <si>
    <t>4.3.1.6.8</t>
  </si>
  <si>
    <t>Painel com IHM Touch Screen 15”, IP-54. Resolução: 1024 x 768 pixels, fontes de alimentação simples (sem redundância) com entrada em 115/230 Vca e saída em 24Vcc e 5 A. Porta frontal com rasgo, com suporte para fixação em parede. - PO-2304SA-13</t>
  </si>
  <si>
    <t>4.3.1.6.9</t>
  </si>
  <si>
    <t>Painel com IHM Touch Screen 15”, IP-54. Resolução: 1024 x 768 pixels, fontes de alimentação simples (sem redundância) com entrada em 115/230 Vca e saída em 24Vcc e 5 A. Porta frontal com rasgo, com suporte para fixação em parede. - PO-2304SA-14</t>
  </si>
  <si>
    <t>4.3.1.6.10</t>
  </si>
  <si>
    <t>Painel com IHM Touch Screen 15”, IP-54. Resolução: 1024 x 768 pixels, fontes de alimentação simples (sem redundância) com entrada em 115/230 Vca e saída em 24Vcc e 5 A. Porta frontal com rasgo, com suporte para fixação em parede.</t>
  </si>
  <si>
    <t>4.3.1.6.11</t>
  </si>
  <si>
    <t>Painel com IHM Touch Screen 15”, IP-54. Resolução: 1024 x 768 pixels, fontes de alimentação simples (sem redundância) com entrada em 115/230 Vca e saída em 24Vcc e 5 A. Porta frontal com rasgo, com suporte para fixação em parede. - PO-2309SA-14</t>
  </si>
  <si>
    <t>4.3.1.7.1</t>
  </si>
  <si>
    <t>Painel de parede para relés de segurança Categoria 3, relés com mínimo 4 entradas NF e 4 saídas NF, 2 fontes de alimentaçao 120Vca/24Vcc, quantidade 30 relé - TAG:QR-2309SA-02</t>
  </si>
  <si>
    <t>CMS M.30.40.010</t>
  </si>
  <si>
    <t>4.3.1.7.2</t>
  </si>
  <si>
    <t>Painel autosustentável para relés de segurança Categoria 3, relés com mínimo 4 entradas NF e 4 saídas NF, 2 fontes de alimentaçao 120Vca/24Vcc, quantidade 96 relés - TAG:QR-2304SA-01</t>
  </si>
  <si>
    <t>4.3.1.7.3</t>
  </si>
  <si>
    <t>Painel autosustentável para relés de segurança Categoria 3, relés com mínimo 4 entradas NF e 4 saídas NF, 2 fontes de alimentaçao 120Vca/24Vcc, quantidade 100 relés - TAG:QR-2305SA-01</t>
  </si>
  <si>
    <t>4.3.1.7.4</t>
  </si>
  <si>
    <t>Painel autosustentável para relés de segurança Categoria 3, relés com mínimo 4 entradas NF e 4 saídas NF, 2 fontes de alimentaçao 120Vca/24Vcc, quantidade 100 relés - TAG:QR-2305SA-02</t>
  </si>
  <si>
    <t>4.3.1.7.5</t>
  </si>
  <si>
    <t>Painel autosustentável para relés de segurança Categoria 3, relés com mínimo 4 entradas NF e 4 saídas NF, 2 fontes de alimentaçao 120Vca/24Vcc, quantidade 100 relés - TAG:QR-2309SA-01</t>
  </si>
  <si>
    <t>4.3.1.7.6</t>
  </si>
  <si>
    <t>Painel de parede para relés de segurança Categoria 3, relés com mínimo 4 entradas NF e 4 saídas NF, 2 fontes de alimentaçao 120Vca/24Vcc, quantidade 10 relés - TAG:QR-2305SA-03</t>
  </si>
  <si>
    <t>4.3.2.1.1</t>
  </si>
  <si>
    <t>Câmera móvel IP tipo PTZ com fonte e suporte - MEM 01</t>
  </si>
  <si>
    <t>CMS M.30.25.000</t>
  </si>
  <si>
    <t>4.3.2.1.2</t>
  </si>
  <si>
    <t>4.3.2.1.3</t>
  </si>
  <si>
    <t>4.3.2.1.4</t>
  </si>
  <si>
    <t>Câmera Fixa PoE - MEM 01</t>
  </si>
  <si>
    <t>4.3.2.1.5</t>
  </si>
  <si>
    <t>4.3.2.1.6</t>
  </si>
  <si>
    <t>4.3.2.1.7</t>
  </si>
  <si>
    <t>4.3.2.1.8</t>
  </si>
  <si>
    <t>4.3.2.1.9</t>
  </si>
  <si>
    <t>4.3.2.1.10</t>
  </si>
  <si>
    <t>Caixa de proteção para câmera fixa com suporte de fixação - MEM 01</t>
  </si>
  <si>
    <t>4.3.2.1.11</t>
  </si>
  <si>
    <t>4.3.2.1.12</t>
  </si>
  <si>
    <t>4.3.2.1.13</t>
  </si>
  <si>
    <t>4.3.2.1.14</t>
  </si>
  <si>
    <t>4.3.2.1.15</t>
  </si>
  <si>
    <t>4.3.2.2.1</t>
  </si>
  <si>
    <t>Teclado de Comando - MEM 01</t>
  </si>
  <si>
    <t>4.3.2.2.2</t>
  </si>
  <si>
    <t>Estação de operação - MEM 01</t>
  </si>
  <si>
    <t>4.3.2.2.3</t>
  </si>
  <si>
    <t>Painel de CFTV - MEM 01</t>
  </si>
  <si>
    <t>4.3.2.2.4</t>
  </si>
  <si>
    <t>4.3.2.2.5</t>
  </si>
  <si>
    <t>4.3.2.2.6</t>
  </si>
  <si>
    <t>4.3.2.2.7</t>
  </si>
  <si>
    <t>4.3.2.2.8</t>
  </si>
  <si>
    <t>4.3.2.2.9</t>
  </si>
  <si>
    <t>4.3.2.2.10</t>
  </si>
  <si>
    <t>4.3.2.2.11</t>
  </si>
  <si>
    <t>Pórtico articulado - MEM 01</t>
  </si>
  <si>
    <t>4.3.2.2.12</t>
  </si>
  <si>
    <t>4.3.2.2.13</t>
  </si>
  <si>
    <t>4.3.2.2.14</t>
  </si>
  <si>
    <t>4.3.2.2.15</t>
  </si>
  <si>
    <t>4.3.2.2.16</t>
  </si>
  <si>
    <t>4.3.2.2.17</t>
  </si>
  <si>
    <t>4.3.2.2.18</t>
  </si>
  <si>
    <t>4.3.2.2.19</t>
  </si>
  <si>
    <t>Extensor KVM - MEM 01</t>
  </si>
  <si>
    <t>4.3.3.1.1</t>
  </si>
  <si>
    <t>Sistema de No-break - Autonomia 30 min - 5 kVA Tensao de entrada 220 Vca/60Hz (trifásico) e tensao de saída 120 Vca/60Hz (±0,01%) e baterias alcalinas reguladas por válvula, instaladas separadamente ao no-break, em sala de baterias ou sala de equip. - NB-2305SA-21</t>
  </si>
  <si>
    <t>CMS M.30.40.000</t>
  </si>
  <si>
    <t>4.3.3.1.2</t>
  </si>
  <si>
    <t>Sistema de No-break - Autonomia 30 min - 15 KVA Tensao de entrada 220 Vca/60Hz (trifásico) e tensao de saída 120 Vca/60Hz (±0,01%) e baterias alcalinas reguladas por válvula, instaladas separadamente ao no-break, em sala de baterias ou sala de equip. - NB-2309SA-01</t>
  </si>
  <si>
    <t>4.3.3.1.3</t>
  </si>
  <si>
    <t>Sistema de No-break - Autonomia 30 min - 15 KVA Tensao de entrada 220 Vca/60Hz (trifásico) e tensao de saída 120 Vca/60Hz (±0,01%) e baterias alcalinas reguladas por válvula, instaladas separadamente ao no-break, em sala de baterias ou sala de equip. - NB-2309SA-02</t>
  </si>
  <si>
    <t>4.3.3.1.4</t>
  </si>
  <si>
    <t>Sistema de No-break - Autonomia 30 min - 25 KVA Tensao de entrada 220 Vca/60Hz (trifásico) e tensao de saída 120 Vca/60Hz (±0,01%) e baterias alcalinas reguladas por válvula, instaladas separadamente ao no-break, em sala de baterias ou sala de equip</t>
  </si>
  <si>
    <t>4.3.3.1.5</t>
  </si>
  <si>
    <t>Sistema de No-break - Autonomia 30 min - 25 KVA Tensao de entrada 220 Vca/60Hz (trifásico) e tensao de saída 120 Vca/60Hz (±0,01%) e baterias alcalinas reguladas por válvula, instaladas separadamente ao no-break, em sala de baterias ou sala de equip - NB-2305SA-01</t>
  </si>
  <si>
    <t>4.3.3.1.6</t>
  </si>
  <si>
    <t>Sistema de No-break - Autonomia 30 min - 25 KVA Tensao de entrada 220 Vca/60Hz (trifásico) e tensao de saída 120 Vca/60Hz (±0,01%) e baterias alcalinas reguladas por válvula, instaladas separadamente ao no-break, em sala de baterias ou sala de equip - NB-2305SA-02</t>
  </si>
  <si>
    <t>4.3.3.1.7</t>
  </si>
  <si>
    <t>Sistema de No-break - Autonomia 3 hs - 15 KVA Tensao de entrada 220 Vca/60Hz (trifásico) e tensao de saída 120 Vca/60Hz (±0,01%) e baterias alcalinas reguladas por válvula, instaladas separadamente ao no-break, em sala de baterias ou sala de equip. - NB-2326SA-03</t>
  </si>
  <si>
    <t>4.3.3.1.8</t>
  </si>
  <si>
    <t>Sistema de No-break - Autonomia 3 hs - 25 KVA Tensao de entrada 220 Vca/60Hz (trifásico) e tensao de saída 120 Vca/60Hz (±0,01%) e baterias alcalinas reguladas por válvula, instaladas separadamente ao no-break, em sala de baterias ou sala de equip - NB-2326SA-01</t>
  </si>
  <si>
    <t>4.3.3.1.9</t>
  </si>
  <si>
    <t>Sistema de No-break - Autonomia 3 hs - 25 KVA Tensao de entrada 220 Vca/60Hz (trifásico) e tensao de saída 120 Vca/60Hz (±0,01%) e baterias alcalinas reguladas por válvula, instaladas separadamente ao no-break, em sala de baterias ou sala de equip - NB-2326SA-02</t>
  </si>
  <si>
    <t>4.3.3.2.1</t>
  </si>
  <si>
    <t>Quadro de distribuição de tensão, 220/127 Vca, montado em painel IP 54 auto sustentado, composto por um disj. de entrada e disj. monopolares de saída, barramentos, bornes , cabos e acessórios - TAG:PA-2304SA-01</t>
  </si>
  <si>
    <t>4.3.3.2.2</t>
  </si>
  <si>
    <t>Quadro de distribuição de tensão, 220/127 Vca, montado em painel IP 54 auto sustentado, composto por um disj. de entrada e disj. monopolares de saída, barramentos, bornes , cabos e acessórios - TAG:PA-2305SA-01</t>
  </si>
  <si>
    <t>4.3.3.2.3</t>
  </si>
  <si>
    <t>Quadro de distribuição de tensão, 220/127 Vca, montado em painel IP 54 auto sustentado, composto por um disj. de entrada e disj. monopolares de saída, barramentos, bornes , cabos e acessórios - TAG:PA-2305SA-02</t>
  </si>
  <si>
    <t>4.3.3.2.4</t>
  </si>
  <si>
    <t>Quadro de distribuição de tensão, 220/127 Vca, montado em painel IP 54 auto sustentado, composto por um disj. de entrada e disj. monopolares de saída, barramentos, bornes , cabos e acessórios - TAG:PA-2309SA-01</t>
  </si>
  <si>
    <t>4.3.3.2.5</t>
  </si>
  <si>
    <t>Quadro de distribuição de tensão, 220/127 Vca, montado em painel IP 54 auto sustentado, composto por um disj. de entrada e disj. monopolares de saída, barramentos, bornes , cabos e acessórios - TAG:PA-2309SA-02</t>
  </si>
  <si>
    <t>4.3.3.2.6</t>
  </si>
  <si>
    <t>Quadro de distribuição de tensão, 220/127 Vca, montado em painel IP 54 de parede, composto por um disj. de entrada e disj. monopolares de saída, barramentos, bornes , cabos e acessórios - TAG:PA-2304SA-11</t>
  </si>
  <si>
    <t>4.3.3.2.7</t>
  </si>
  <si>
    <t>Quadro de distribuição de tensão, 220/127 Vca, montado em painel IP 54 de parede, composto por um disj. de entrada e disj. monopolares de saída, barramentos, bornes , cabos e acessórios - TAG:PA-2305SA-11</t>
  </si>
  <si>
    <t>4.3.3.2.8</t>
  </si>
  <si>
    <t>Quadro de distribuição de tensão, 220/127 Vca, montado em painel IP 54 de parede, composto por um disj. de entrada e disj. monopolares de saída, barramentos, bornes , cabos e acessórios - TAG:PA-2305SA-12</t>
  </si>
  <si>
    <t>4.3.3.2.9</t>
  </si>
  <si>
    <t>Quadro de distribuição de tensão, 220/127 Vca, montado em painel IP 54 de parede, composto por um disj. de entrada e disj. monopolares de saída, barramentos, bornes , cabos e acessórios - TAG:PA-2309SA-11</t>
  </si>
  <si>
    <t>4.3.3.2.10</t>
  </si>
  <si>
    <t>Quadro de distribuição de tensão, 220/127 Vca, montado em painel IP 54 de parede, composto por um disj. de entrada e disj. monopolares de saída, barramentos, bornes , cabos e acessórios - TAG:PA-2309SA-12</t>
  </si>
  <si>
    <t>4.3.3.2.11</t>
  </si>
  <si>
    <t>Quadro de distribuição de tensão, 220/127 Vca, montado em painel IP 54 de parede, composto por um disj. de entrada e disj. monopolares de saída, barramentos, bornes , cabos e acessórios - TAG:PA-2326SA-01</t>
  </si>
  <si>
    <t>4.3.3.2.12</t>
  </si>
  <si>
    <t>Quadro de distribuição de tensão, 220/127 Vca, montado em painel IP 54 de parede, composto por um disj. de entrada e disj. monopolares de saída, barramentos, bornes , cabos e acessórios - TAG:PA-2326SA-11</t>
  </si>
  <si>
    <t>4.3.3.2.13</t>
  </si>
  <si>
    <t>Quadro de distribuição de tensão, 220/127 Vca, montado em painel IP 54 de parede, composto por um disj. de entrada e disj. monopolares de saída, barramentos, bornes , cabos e acessórios - TAG:PA-2326SA-12</t>
  </si>
  <si>
    <t>4.3.3.2.14</t>
  </si>
  <si>
    <t>Quadro de distribuição de tensão, 220/127 Vca, montado em painel IP 54 de parede, composto por um disj. de entrada e disj. monopolares de saída, barramentos, bornes , cabos e acessórios - TAG:PA-2326SA-13</t>
  </si>
  <si>
    <t>4.3.3.3.1</t>
  </si>
  <si>
    <t>Transformador de controle IP 54, potência de 50kVA,  tensao primária 480Vca trifásico, tensao secundária 220Vca trifásico - TAG:TI-2305SA-01</t>
  </si>
  <si>
    <t>4.3.3.3.2</t>
  </si>
  <si>
    <t>Transformador de controle IP 54, potência de 50kVA,  tensao primária 480Vca trifásico, tensao secundária 220Vca trifásico - TAG:TI-2305SA-02</t>
  </si>
  <si>
    <t>4.3.3.3.3</t>
  </si>
  <si>
    <t>Transformador de controle IP 54, potência de 50kVA,  tensao primária 480Vca trifásico, tensao secundária 220Vca trifásico - TAG:TI-2309SA-01</t>
  </si>
  <si>
    <t>4.3.3.3.4</t>
  </si>
  <si>
    <t>Transformador de controle IP 54, potência de 75kVA,  tensao primária 480Vca trifásico, tensao secundária 220Vca trifásico - TAG:TI-2326SA-01</t>
  </si>
  <si>
    <t>4.3.3.3.5</t>
  </si>
  <si>
    <t>Transformador de controle IP 54, potência de 45kVA,  tensao primária 480Vca trifásico, tensao secundária 220Vca trifásico - TAG:TI-2304SA-01</t>
  </si>
  <si>
    <t>4.3.4.1.1</t>
  </si>
  <si>
    <t>MC.037E</t>
  </si>
  <si>
    <t>Detectores de metais IP-66, campo magnético pulsante, 120 Vca, marcador pó corante, bobinas emissora e receptora separadas - TAG: DM-2303SA-01</t>
  </si>
  <si>
    <t>CMS M.30.60.000</t>
  </si>
  <si>
    <t>4.3.4.1.2</t>
  </si>
  <si>
    <t>Detectores de metais IP-66, campo magnético pulsante, 120 Vca, marcador pó corante, bobinas emissora e receptora separadas - TAG: DM-2303SA-02</t>
  </si>
  <si>
    <t>4.3.4.1.3</t>
  </si>
  <si>
    <t>Detectores de metais IP-66, campo magnético pulsante, 120 Vca, marcador pó corante, bobinas emissora e receptora separadas - TAG: DM-2303SA-03</t>
  </si>
  <si>
    <t>4.3.4.2.1</t>
  </si>
  <si>
    <t>Analisador de Elementos Químicos para Polpa de Minério Raio X, 20 pontos de amostragem com 13 por gravidade e 7 pressurizados, fonte radioativa, painel de comando em sala climatizada, sinal de saída Ethernet, IP-66, 120 Vca, amostradores incluídos</t>
  </si>
  <si>
    <t>4.3.4.2.2</t>
  </si>
  <si>
    <t>Analisador de Granulometria de Polpa de Minério (Psm) Tamanho de partículas, 2 pontos de amostragem p/ gravidade, válv. VSA, solenoides robustas, painel de comando, sinal de saída Modbus TCP/IP, IP-66, 120Vca, IHM Ethernet, amostradores incluídos</t>
  </si>
  <si>
    <t>4.3.4.2.3</t>
  </si>
  <si>
    <t>Medidor Analítico por Análise de Imagem (Granulometria, Velocidade Flotado, Outros)</t>
  </si>
  <si>
    <t>4.3.4.2.4</t>
  </si>
  <si>
    <t>4.3.4.2.5</t>
  </si>
  <si>
    <t>4.3.4.2.6</t>
  </si>
  <si>
    <t>Analisador de Ph IP-66, sensor retrátil, compensaçao de temperatura automática, eletrólito KCl  Gel, transmissor remoto, montagem sobrepor parede, Fieldbus Foundation, 4 fios, 120Vca, Flange 2" FP 150#</t>
  </si>
  <si>
    <t>4.3.4.3.1</t>
  </si>
  <si>
    <t>Medidores de Densidade Radioativa 3" IP-66, fonte Césio 137, duplo em chumbo e com dispositivo móvel de bloqueio, detector tipo câmara de cintilaçao com abraçadeira, transmissor remoto, Fieldbus Foundation, 4 fios, 120Vca</t>
  </si>
  <si>
    <t>4.3.4.3.2</t>
  </si>
  <si>
    <t>Medidores de Densidade Radioativa 4" IP-66, fonte Césio 137, duplo em chumbo e com dispositivo móvel de bloqueio, detector tipo câmara de cintilaçao com abraçadeira, transmissor remoto, Fieldbus Foundation, 4 fios, 120Vca</t>
  </si>
  <si>
    <t>4.3.4.3.3</t>
  </si>
  <si>
    <t>Medidores de Densidade Radioativa 6" IP-66, fonte Césio 137, duplo em chumbo e com dispositivo móvel de bloqueio, detector tipo câmara de cintilaçao com abraçadeira, transmissor remoto, Fieldbus Foundation, 4 fios, 120Vca</t>
  </si>
  <si>
    <t>4.3.4.3.4</t>
  </si>
  <si>
    <t>Medidores de Densidade Radioativa 16" IP-66, fonte Césio 137, duplo em chumbo e com dispositivo móvel de bloqueio, detector tipo câmara de cintilaçao com abraçadeira, transmissor remoto, Fieldbus Foundation, 4 fios, 120Vca</t>
  </si>
  <si>
    <t>4.3.4.3.5</t>
  </si>
  <si>
    <t>Medidores de Densidade Radioativa 20" IP-66, fonte Césio 137, duplo em chumbo e com dispositivo móvel de bloqueio, detector tipo câmara de cintilaçao com abraçadeira, transmissor remoto, Fieldbus Foundation, 4 fios, 120Vca</t>
  </si>
  <si>
    <t>4.3.4.3.6</t>
  </si>
  <si>
    <t>Medidores de Densidade Radioativa 22" IP-66, fonte Césio 137, duplo em chumbo e com dispositivo móvel de bloqueio, detector tipo câmara de cintilaçao com abraçadeira, transmissor remoto, Fieldbus Foundation, 4 fios, 120Vca</t>
  </si>
  <si>
    <t>4.3.4.3.7</t>
  </si>
  <si>
    <t>Medidores de Densidade Radioativa 24" IP-66, fonte Césio 137, duplo em chumbo e com dispositivo móvel de bloqueio, detector tipo câmara de cintilaçao com abraçadeira, transmissor remoto, Fieldbus Foundation, 4 fios, 120Vca</t>
  </si>
  <si>
    <t>4.3.4.4.1</t>
  </si>
  <si>
    <t>Medidor de nível - tipo radar IP-66, Conexao Flange 4" ASME B-16.5 150#, Alcance Máximo 5 Metros, Indicador Remoto, Fieldbus Foundation, 24Vcc</t>
  </si>
  <si>
    <t>4.3.4.4.2</t>
  </si>
  <si>
    <t>4.3.4.4.3</t>
  </si>
  <si>
    <t>4.3.4.4.4</t>
  </si>
  <si>
    <t>4.3.4.4.5</t>
  </si>
  <si>
    <t>4.3.4.4.6</t>
  </si>
  <si>
    <t>4.3.4.4.7</t>
  </si>
  <si>
    <t>Medidor de nível - tipo radar IP-66, Conexao Flange 4" ASME B-16.5 150#, Alcance Máximo 10 Metros, Indicador Remoto, Fieldbus Foundation, 24Vcc</t>
  </si>
  <si>
    <t>4.3.4.4.8</t>
  </si>
  <si>
    <t>4.3.4.4.9</t>
  </si>
  <si>
    <t>4.3.4.4.10</t>
  </si>
  <si>
    <t>4.3.4.4.11</t>
  </si>
  <si>
    <t>4.3.4.4.12</t>
  </si>
  <si>
    <t>4.3.4.4.13</t>
  </si>
  <si>
    <t>Medidor de nível - tipo radar IP-66, Conexao Flange 4" ASME B-16.5 150#, Alcance Máximo 20 Metros, Indicador Remoto, Fieldbus Foundation, 24Vcc</t>
  </si>
  <si>
    <t>4.3.4.4.14</t>
  </si>
  <si>
    <t>4.3.4.4.15</t>
  </si>
  <si>
    <t>4.3.4.4.16</t>
  </si>
  <si>
    <t>4.3.4.4.17</t>
  </si>
  <si>
    <t>4.3.4.5.1</t>
  </si>
  <si>
    <t>Transmissor de temperatura Conversor de rede Fieldbus Foundation com 8 entradas PT-100</t>
  </si>
  <si>
    <t>4.3.4.5.2</t>
  </si>
  <si>
    <t>4.3.4.5.3</t>
  </si>
  <si>
    <t>4.3.4.5.4</t>
  </si>
  <si>
    <t>4.3.4.5.5</t>
  </si>
  <si>
    <t>4.3.4.5.6</t>
  </si>
  <si>
    <t>Transmissor de temperatura IP-66, PT-100, conexao do sensor O 1/2" NPT (F) para montagem em poço, conexao do poço 2" FR ASME B-16.5 150#, Fieldbus Foundation, 24Vcc</t>
  </si>
  <si>
    <t>4.3.4.5.7</t>
  </si>
  <si>
    <t>4.3.4.5.8</t>
  </si>
  <si>
    <t>Transmissor de pressao Manométrico, tipo Capacitivo - IP-66, Conexao 1/2" NPT (M), Montagem em Pedestal, Sem Selo Diafragma, Fieldbus Foundation, 24Vcc</t>
  </si>
  <si>
    <t>4.3.4.5.9</t>
  </si>
  <si>
    <t>4.3.4.5.10</t>
  </si>
  <si>
    <t>4.3.4.5.11</t>
  </si>
  <si>
    <t>4.3.4.5.12</t>
  </si>
  <si>
    <t>4.3.4.5.13</t>
  </si>
  <si>
    <t>Transmissor de pressao Manométrico, tipo Capacitivo - IP-66, Conexao 2" NPT (M), Montagem em Pedestal, Com Selo Diafragma, Fieldbus Foundation, 24Vcc</t>
  </si>
  <si>
    <t>4.3.4.5.14</t>
  </si>
  <si>
    <t>4.3.4.5.15</t>
  </si>
  <si>
    <t>4.3.4.6.1</t>
  </si>
  <si>
    <t>Analisador de Umidade Tipo Microondas, IP-66, Transmissor Remoto, Fieldbus Foundation, 4 fios, 120Vca, montagem paralela ao transportador</t>
  </si>
  <si>
    <t>4.3.4.7.1</t>
  </si>
  <si>
    <t>Medidores tipo magnético - Vazao 1" IP-66, Flange FR ASME B-16.5 150#, Transmissor Remoto, Fieldbus Foundation, 4 fios, 120Vca, revestimento em teflon</t>
  </si>
  <si>
    <t>4.3.4.7.2</t>
  </si>
  <si>
    <t>Medidores tipo magnético - Vazao 2" IP-66, Flange FR ASME B-16.5 150#, Transmissor Remoto, Fieldbus Foundation, 4 fios, 120Vca, revestimento em buna N</t>
  </si>
  <si>
    <t>4.3.4.7.3</t>
  </si>
  <si>
    <t>4.3.4.7.4</t>
  </si>
  <si>
    <t>4.3.4.7.5</t>
  </si>
  <si>
    <t>Medidores tipo magnético - Vazao 2" IP-66, Flange FR ASME B-16.5 150#, Transmissor Remoto, Fieldbus Foundation, 4 fios, 120Vca, revestimento em teflon</t>
  </si>
  <si>
    <t>4.3.4.7.6</t>
  </si>
  <si>
    <t>4.3.4.7.7</t>
  </si>
  <si>
    <t>Medidores tipo magnético - Vazao 2 1/2" IP-66, Flange FR ASME B-16.5 150#, Transmissor Remoto, Fieldbus Foundation, 4 fios, 120Vca, revestimento em buna N</t>
  </si>
  <si>
    <t>4.3.4.7.8</t>
  </si>
  <si>
    <t>4.3.4.7.9</t>
  </si>
  <si>
    <t>4.3.4.7.10</t>
  </si>
  <si>
    <t>Medidores tipo magnético - Vazao 4" IP-66, Flange FP ASME B-16.5 150#, Transmissor Remoto, Fieldbus Foundation, 4 fios, 120Vca, revestimento em poliuretano</t>
  </si>
  <si>
    <t>4.3.4.7.11</t>
  </si>
  <si>
    <t>Medidores tipo magnético - Vazao 4" IP-66, Flange FR ASME B-16.5 150#, Transmissor Remoto, Fieldbus Foundation, 4 fios, 120Vca, revestimento em buna N</t>
  </si>
  <si>
    <t>4.3.4.7.12</t>
  </si>
  <si>
    <t>4.3.4.7.13</t>
  </si>
  <si>
    <t>4.3.4.7.14</t>
  </si>
  <si>
    <t>Medidores tipo magnético - Vazao 6" IP-66, Flange FR ASME B-16.5 150#, Transmissor Remoto, Fieldbus Foundation, 4 fios, 120Vca, revestimento em buna N</t>
  </si>
  <si>
    <t>4.3.4.7.15</t>
  </si>
  <si>
    <t>4.3.4.7.16</t>
  </si>
  <si>
    <t>Medidores tipo magnético - Vazao 8" IP-66, Flange FP ASME B-16.5 150#, Transmissor Remoto, Fieldbus Foundation, 4 fios, 120Vca, revestimento em poliuretano</t>
  </si>
  <si>
    <t>4.3.4.7.17</t>
  </si>
  <si>
    <t>Medidores tipo magnético - Vazao 8" IP-66, Flange FR ASME B-16.5 150#, Transmissor Remoto, Fieldbus Foundation, 4 fios, 120Vca, revestimento em buna N</t>
  </si>
  <si>
    <t>4.3.4.7.18</t>
  </si>
  <si>
    <t>4.3.4.7.19</t>
  </si>
  <si>
    <t>4.3.4.7.20</t>
  </si>
  <si>
    <t>Medidores tipo magnético - Vazao 10" IP-66, Flange FR ASME B-16.5 150#, Transmissor Remoto, Fieldbus Foundation, 4 fios, 120Vca, revestimento em buna N</t>
  </si>
  <si>
    <t>4.3.4.7.21</t>
  </si>
  <si>
    <t>Medidores tipo magnético - Vazao 12" IP-66, Flange FP ASME B-16.5 150#, Transmissor Remoto, Fieldbus Foundation, 4 fios, 120Vca, revestimento em poliuretano</t>
  </si>
  <si>
    <t>4.3.4.7.22</t>
  </si>
  <si>
    <t>Medidores tipo magnético - Vazao 12" IP-66, Flange FR ASME B-16.5 150#, Transmissor Remoto, Fieldbus Foundation, 4 fios, 120Vca, revestimento em buna N</t>
  </si>
  <si>
    <t>4.3.4.7.23</t>
  </si>
  <si>
    <t>Medidores tipo magnético - Vazao 14" IP-66, Flange FP ASME B-16.5 150#, Transmissor Remoto, Fieldbus Foundation, 4 fios, 120Vca, revestimento em poliuretano</t>
  </si>
  <si>
    <t>4.3.4.7.24</t>
  </si>
  <si>
    <t>Medidores tipo magnético - Vazao 14" IP-66, Flange FR ASME B-16.5 150#, Transmissor Remoto, Fieldbus Foundation, 4 fios, 120Vca, revestimento em buna N</t>
  </si>
  <si>
    <t>4.3.4.7.25</t>
  </si>
  <si>
    <t>Medidores tipo magnético - Vazao 16" IP-66, Flange FP ASME B-16.5 150#, Transmissor Remoto, Fieldbus Foundation, 4 fios, 120Vca, revestimento em poliuretano</t>
  </si>
  <si>
    <t>4.3.4.7.26</t>
  </si>
  <si>
    <t>Medidores tipo magnético - Vazao 18" IP-66, Flange FR ASME B-16.5 150#, Transmissor Remoto, Fieldbus Foundation, 4 fios, 120Vca, revestimento em buna N</t>
  </si>
  <si>
    <t>4.3.4.7.27</t>
  </si>
  <si>
    <t>Medidores tipo magnético - Vazao 20" IP-66, Flange FP ASME B-16.5 150#, Transmissor Remoto, Fieldbus Foundation, 4 fios, 120Vca, revestimento em poliuretano</t>
  </si>
  <si>
    <t>4.3.4.7.28</t>
  </si>
  <si>
    <t>Medidores tipo magnético - Vazao 22" IP-66, Flange FP ASME B-16.5 150#, Transmissor Remoto, Fieldbus Foundation, 4 fios, 120Vca, revestimento em poliuretano</t>
  </si>
  <si>
    <t>4.3.4.7.29</t>
  </si>
  <si>
    <t>Medidores tipo magnético - Vazao 30" IP-66, Flange FR AWWA C207, tabela 2, classe D 150#, Transmissor Remoto, Fieldbus Foundation, 4 fios, 120Vca, revestimento em buna N p/ água, poliuretano p/ polpa, e  teflon p/ reagentes e fluidos corrosivos.</t>
  </si>
  <si>
    <t>4.3.4.7.30</t>
  </si>
  <si>
    <t>Medidores tipo magnético - Vazao 40" IP-66, Flange FR AWWA C207, tabela 2, classe D 150#, Transmissor Remoto, Fieldbus Foundation, 4 fios, 120Vca, revestimento em buna N p/ água, poliuretano p/ polpa, e  teflon p/ reagentes e fluidos corrosivos.</t>
  </si>
  <si>
    <t>4.3.4.7.31</t>
  </si>
  <si>
    <t>Medidores tipo magnético - Vazao 1 1/2" IP-66, Flange FR ASME B-16.5 150#, Transmissor Remoto, Fieldbus Foundation, 4 fios, 120Vca, revestimento em buna N</t>
  </si>
  <si>
    <t>4.3.4.7.32</t>
  </si>
  <si>
    <t>Medidores tipo magnético - Vazao 50mm IP-66, Flange FP ASME B-16.5 PN10, Transmissor Remoto, Fieldbus Foundation, 4 fios, 120Vca, revestimento em teflon</t>
  </si>
  <si>
    <t>4.3.4.7.33</t>
  </si>
  <si>
    <t>Medidores tipo magnético - Vazao 63mm IP-66, Flange FP ASME B-16.5 PN10, Transmissor Remoto, Fieldbus Foundation, 4 fios, 120Vca, revestimento em teflon</t>
  </si>
  <si>
    <t>4.3.4.8.1</t>
  </si>
  <si>
    <t>Medidores tipo coriólis - Vazao 63mm IP-66, Flange FP ASME B-16.5 150#, transmissor local, Fieldbus Foundation, 4 fios, 120Vca, para reagentes e fluidos corrosivos</t>
  </si>
  <si>
    <t>4.3.4.9.1</t>
  </si>
  <si>
    <t>Medidores tipo vórtice - Vazao 3" IP-66, Conexao Flange ASME B-16.5 150#, Transmissor Remoto, Fieldbus Foundation , 24Vcc</t>
  </si>
  <si>
    <t>4.3.4.10.1</t>
  </si>
  <si>
    <t>Medidores tipo placa de orifício - Vazao 1" Orifício de restriçao tipo concêntrico, aço inox, entre flanges FR ASME B-16.5, tipo sobreposto</t>
  </si>
  <si>
    <t>4.3.4.10.2</t>
  </si>
  <si>
    <t>4.3.4.10.3</t>
  </si>
  <si>
    <t>Medidores tipo placa de orifício - Vazao 1 1/2" Orifício de restriçao tipo concêntrico, aço inox, entre flanges FR ASME B-16.5, tipo sobreposto</t>
  </si>
  <si>
    <t>4.3.4.10.4</t>
  </si>
  <si>
    <t>Medidores tipo placa de orifício - Vazao 2" Orifício de restriçao tipo concêntrico, aço inox, entre flanges FR ASME B-16.5, tipo sobreposto</t>
  </si>
  <si>
    <t>4.3.4.10.5</t>
  </si>
  <si>
    <t>4.3.4.10.6</t>
  </si>
  <si>
    <t>Medidores tipo placa de orifício - Vazao 3" Orifício de restriçao tipo concêntrico, aço inox, entre flanges FR ASME B-16.5, tipo sobreposto</t>
  </si>
  <si>
    <t>4.3.4.11.1</t>
  </si>
  <si>
    <t>Medidores tipo sonar - Vazao 24" IP-66, Nao intrusivo, com abraçadeira, Transmissor Remoto, Fieldbus Foundation , 120 Vca</t>
  </si>
  <si>
    <t>4.3.4.12.1</t>
  </si>
  <si>
    <t>Acelerômetro para vibraçao axial em aço inox 304, IP67, mediçao apenas radial, montagem tipo prisioneiro, conector militar, com cabo de ligaçao par trançado blindado, máximo de 150m e armadura de prot.p/ cabos, máx. 3m.</t>
  </si>
  <si>
    <t>4.3.4.12.2</t>
  </si>
  <si>
    <t>4.3.4.12.3</t>
  </si>
  <si>
    <t>4.3.4.12.4</t>
  </si>
  <si>
    <t>Acelerômetro para vibraçao triaxial em aço inox 304, IP67, mediçao em três eixos, montagem tipo prisioneiro, com cabo de ligaçao par trançado blindado, máximo de 150m. armadura de prot.p/ cabos, máx. 3m.</t>
  </si>
  <si>
    <t>4.3.4.12.5</t>
  </si>
  <si>
    <t>4.3.4.12.6</t>
  </si>
  <si>
    <t>4.3.4.12.7</t>
  </si>
  <si>
    <t>Acelerômetro para vibraçao axial e temperatura em aço inox 304, IP67, mediçao apenas axial, com mediçao de temperatura incluida, montagem tipo prisioneiro, conector militar, com cabo de ligaçao par trançado blindado, máximo de 150m e armadura de prot.p/ c</t>
  </si>
  <si>
    <t>4.3.4.12.8</t>
  </si>
  <si>
    <t>4.3.4.12.9</t>
  </si>
  <si>
    <t>4.3.4.13.1</t>
  </si>
  <si>
    <t>Caixa de ligação para  interligação dos sensores do SGV, IP65 contendo bornes.</t>
  </si>
  <si>
    <t>4.3.4.13.2</t>
  </si>
  <si>
    <t>4.3.4.13.3</t>
  </si>
  <si>
    <t>4.3.4.14.1</t>
  </si>
  <si>
    <t>Detector de rasgo para correia transportadora.</t>
  </si>
  <si>
    <t>4.3.4.14.2</t>
  </si>
  <si>
    <t>4.3.4.14.3</t>
  </si>
  <si>
    <t>4.3.4.14.4</t>
  </si>
  <si>
    <t>4.3.5.1.1</t>
  </si>
  <si>
    <t>Válvulas de Controle (On-Off) - Ø 2" Guilhotina pneumática, corpo ferro fundido nodular, 150#, conexao flangeada, at. Diafragma mola, Flange FP ASME B-16.5 125#, chaves limites indutivo IP-66, solenoides nao incluídas, leite de cal</t>
  </si>
  <si>
    <t>CMS M.30.80.000</t>
  </si>
  <si>
    <t>4.3.5.1.2</t>
  </si>
  <si>
    <t>4.3.5.1.3</t>
  </si>
  <si>
    <t>Válvulas de Controle (On-Off) - Ø 3" Esfera e sede AISI, corpo ASTM A 216 Gr WCB, 150#, gaxetas em teflon, at. Diafragma mola, Acion. Pneumático, Flange FS ASME B-16.5 150#, chaves limites indutivo IP-66, solenoides nao incluídas</t>
  </si>
  <si>
    <t>4.3.5.1.4</t>
  </si>
  <si>
    <t>Válvulas de Controle (On-Off) - Ø 3" Guilhotina pneumática, corpo ASTM A  216 Gr. WCB, 300#, conexao wafer, at. Diafragma mola, Flange FR ASME B-16.5 300#, chaves limites indutivo IP-66, solenoides nao incluídas</t>
  </si>
  <si>
    <t>4.3.5.1.5</t>
  </si>
  <si>
    <t>Válvulas de Controle (On-Off) - Ø 3" Guilhotina pneumática, corpo ferro fundido nodular, 150#, conexao flangeada, at. Diafragma mola, Flange FP ASME B-16.5 125#, chaves limites indutivo IP-66, solenoides nao incluídas, leite de cal</t>
  </si>
  <si>
    <t>4.3.5.1.6</t>
  </si>
  <si>
    <t>Válvulas de Controle (On-Off) - Ø 3" Guilhotina pneumática, corpo ferro fundido nodular, 150#, conexao wafer, at. Diafragma mola, Flange FP ASME B-16.5 150#, chaves limites indutivo IP-66, solenoides nao incluídas, polpa de cobre</t>
  </si>
  <si>
    <t>4.3.5.1.7</t>
  </si>
  <si>
    <t>Válvulas de Controle (On-Off) - Ø 4" Guilhotina hidráulica, corpo ASTM A 536 Gr. 65T, 150#, conexao wafer, at. Diafragma mola, Flange FR ASME B-16.5 150#, chaves limites indutivo IP-66, solenoides nao incluídas</t>
  </si>
  <si>
    <t>4.3.5.1.8</t>
  </si>
  <si>
    <t>Válvulas de Controle (On-Off) - Ø 4" Guilhotina pneumática, corpo ASTM A  216 Gr. WCB, 300#, conexao wafer, at. Diafragma mola, Flange FR ASME B-16.5 300#, chaves limites indutivo IP-66, solenoides nao incluídas</t>
  </si>
  <si>
    <t>4.3.5.1.9</t>
  </si>
  <si>
    <t>4.3.5.1.10</t>
  </si>
  <si>
    <t>Válvulas de Controle (On-Off) - Ø 4" Guilhotina pneumática, corpo ferro fundido nodular, 150#, conexao flangeada, at. Diafragma mola, Flange FP ASME B-16.5 125#, chaves limites indutivo IP-66, solenoides nao incluídas, leite de cal</t>
  </si>
  <si>
    <t>4.3.5.1.11</t>
  </si>
  <si>
    <t>Válvulas de Controle (On-Off) - Ø 4" Guilhotina pneumática, corpo ferro fundido nodular, 150#, conexao wafer, at. Diafragma mola, Flange FP ASME B-16.5 150#, chaves limites indutivo IP-66, solenoides nao incluídas, polpa de cobre</t>
  </si>
  <si>
    <t>4.3.5.1.12</t>
  </si>
  <si>
    <t>4.3.5.1.13</t>
  </si>
  <si>
    <t>4.3.5.1.14</t>
  </si>
  <si>
    <t>Válvulas de Controle (On-Off) - Ø 6" Guilhotina hidráulica, corpo ferro fundido nodular, 150#, conexao wafer, at. Diafragma mola, Flange FP ASME B-16.5 150#, chaves limites indutivo IP-66, solenoides nao incluídas</t>
  </si>
  <si>
    <t>4.3.5.1.15</t>
  </si>
  <si>
    <t>Válvulas de Controle (On-Off) - Ø 6" Guilhotina pneumática, corpo ASTM A  216 Gr. WCB, 300#, conexao wafer, at. Cilindro dupla açao, Flange FR ASME B-16.5 300#, chaves limites indutivo IP-66, solenoides nao incluídas</t>
  </si>
  <si>
    <t>4.3.5.1.16</t>
  </si>
  <si>
    <t>Válvulas de Controle (On-Off) - Ø 6" Guilhotina pneumática, corpo ASTM A  216 Gr. WCB, 300#, conexao wafer, at. Diafragma mola, Flange FR ASME B-16.5 300#, chaves limites indutivo IP-66, solenoides nao incluídas</t>
  </si>
  <si>
    <t>4.3.5.1.17</t>
  </si>
  <si>
    <t>Válvulas de Controle (On-Off) - Ø 6" Guilhotina pneumática, corpo ferro fundido nodular, 150#, conexao wafer, at. Diafragma mola, Flange FP ASME B-16.5 150#, chaves limites indutivo IP-66, solenoides nao incluídas, polpa de cobre</t>
  </si>
  <si>
    <t>4.3.5.1.18</t>
  </si>
  <si>
    <t>4.3.5.1.19</t>
  </si>
  <si>
    <t>Válvulas de Controle (On-Off) - Ø 8" Guilhotina pneumática, corpo ASTM A  216 Gr. WCB, 300#, conexao wafer, at. Cilindro dupla açao, Flange FR ASME B-16.5 300#, chaves limites indutivo IP-66, solenoides nao incluídas</t>
  </si>
  <si>
    <t>4.3.5.1.20</t>
  </si>
  <si>
    <t>Válvulas de Controle (On-Off) - Ø 8" Guilhotina pneumática, corpo ferro fundido nodular, 150#, conexao wafer, at. Cilindro dupla açao, Flange FP ASME B-16.5 150#, chaves limites indutivo IP-66, solenoides nao incluídas, polpa de cobre</t>
  </si>
  <si>
    <t>4.3.5.1.21</t>
  </si>
  <si>
    <t>Válvulas de Controle (On-Off) - Ø 8" Guilhotina pneumática, corpo ferro fundido nodular, 150#, conexao wafer, at. Diafragma mola, Flange FP ASME B-16.5 150#, chaves limites indutivo IP-66, solenoides nao incluídas, polpa de cobre</t>
  </si>
  <si>
    <t>4.3.5.1.22</t>
  </si>
  <si>
    <t>Válvulas de Controle (On-Off) - Ø 10" Borboleta, ASTM A 216 Gr, 150#, gaxetas em teflon, conexao wafer, sede Buna N,  at. Diafragma mola, Acion. Pneumático, Flange sobreposto ASME B-16.5 150#, chaves limites indutivo IP-66, solenoides nao incluídas</t>
  </si>
  <si>
    <t>4.3.5.1.23</t>
  </si>
  <si>
    <t>Válvulas de Controle (On-Off) - Ø 10" Guilhotina pneumática, corpo ASTM A 536 Gr. 65T, 150#, conexao wafer, at. Cilindro dupla açao, Flange FR ASME B-16.5 150#, chaves limites indutivo IP-66, solenoides nao incluídas, polpa de cobre</t>
  </si>
  <si>
    <t>4.3.5.1.24</t>
  </si>
  <si>
    <t>4.3.5.1.25</t>
  </si>
  <si>
    <t>Válvulas de Controle (On-Off) - Ø 12" Guilhotina pneumática, corpo ASTM A 536 Gr. 65T, 150#, conexao wafer, at. Cilindro dupla açao, Flange FR ASME B-16.5 150#, chaves limites indutivo IP-66, solenoides nao incluídas, polpa de cobre</t>
  </si>
  <si>
    <t>4.3.5.1.26</t>
  </si>
  <si>
    <t>Válvulas de Controle (On-Off) - Ø 14" Guilhotina pneumática, corpo ASTM A 536 Gr. 65T, 150#, conexao wafer, at. Cilindro dupla açao, Flange FR ASME B-16.5 150#, chaves limites indutivo IP-66, solenoides nao incluídas, polpa de cobre</t>
  </si>
  <si>
    <t>4.3.5.1.27</t>
  </si>
  <si>
    <t>Válvulas de Controle (On-Off) - Ø 16" Guilhotina pneumática, corpo ASTM A 536 Gr. 65T, 150#, conexao wafer, at. Cilindro dupla açao, Flange FR ASME B-16.5 150#, chaves limites indutivo IP-66, solenoides nao incluídas, polpa de cobre</t>
  </si>
  <si>
    <t>4.3.5.1.28</t>
  </si>
  <si>
    <t>Válvulas de Controle (On-Off) - Ø 18" Borboleta, ASTM A 216 Gr, 150#, gaxetas em teflon, conexao wafer, sede Buna N,  at. Diafragma mola, acion. Pneumático, Flange sobreposto ASME B-16.5 150#, chaves limites indutivo IP-66, solenoides nao incluídas</t>
  </si>
  <si>
    <t>4.3.5.1.29</t>
  </si>
  <si>
    <t>Válvulas de Controle (On-Off) - Ø 18" Guilhotina pneumática, corpo ASTM A 536 Gr. 65T, 150#, conexao wafer, at. Cilindro dupla açao, Flange FR ASME B-16.5 150#, chaves limites indutivo IP-66, solenoides nao incluídas, polpa de cobre</t>
  </si>
  <si>
    <t>4.3.5.1.30</t>
  </si>
  <si>
    <t>4.3.5.1.31</t>
  </si>
  <si>
    <t>Válvulas de Controle (On-Off) - Ø 20" Guilhotina pneumática, corpo ASTM A 536 Gr. 65T, 150#, conexao wafer, at. Cilindro dupla açao, Flange FR ASME B-16.5 150#, chaves limites indutivo IP-66, solenoides nao incluídas, polpa de cobre</t>
  </si>
  <si>
    <t>4.3.5.1.32</t>
  </si>
  <si>
    <t>Válvulas de Controle (On-Off) - Ø 24" Borboleta, ASTM A 216 Gr, 150#, gaxetas em teflon, conexao wafer, sede Buna N,  at. Diafragma mola, acion. Pneumático, Flange sobreposto ASME B-16.5 150#, chaves limites indutivo IP-66, solenoides nao incluídas</t>
  </si>
  <si>
    <t>4.3.5.1.33</t>
  </si>
  <si>
    <t>Válvulas de Controle (On-Off) - Ø 24" Guilhotina hidráulica, corpo ASTM A 536 Gr. 65T, 150#, conexao wafer, at. Cilindro dupla açao, Flange FR ASME B-16.5 150#, chaves limites indutivo IP-66, solenoides nao incluídas</t>
  </si>
  <si>
    <t>4.3.5.1.34</t>
  </si>
  <si>
    <t>Válvulas de Controle (On-Off) - Ø 24" Guilhotina pneumática, corpo ASTM A 536 Gr. 65T, 150#, conexao wafer, at. Cilindro dupla açao, Flange FR ASME B-16.5 150#, chaves limites indutivo IP-66, solenoides nao incluídas, polpa de cobre</t>
  </si>
  <si>
    <t>4.3.5.1.35</t>
  </si>
  <si>
    <t>Válvulas de Controle (On-Off) - Ø 28" Guilhotina pneumática, corpo ASTM A 536 Gr. 65T, 150#, conexao wafer, at. Cilindro dupla açao, Flange FR ASME B-16.5 150#, chaves limites indutivo IP-66, solenoides nao incluídas, polpa de cobre</t>
  </si>
  <si>
    <t>4.3.5.1.36</t>
  </si>
  <si>
    <t>Válvulas de Controle (On-Off) - Ø 30" Guilhotina hidráulica, corpo ASTM A 536 Gr. 65T, 150#, conexao wafer, at. Cilindro dupla açao, Flange FR ASME B-16.5 150#, chaves limites indutivo IP-66, solenoides nao incluídas</t>
  </si>
  <si>
    <t>4.3.5.1.37</t>
  </si>
  <si>
    <t>4.3.5.1.38</t>
  </si>
  <si>
    <t>Válvulas de Controle (On-Off) - Ø 4" Borboleta, ASTM A 216 Gr, 150#, gaxetas em teflon, conexao wafer, sede Buna N,  at. Diafragma mola, acion. Pneumático, Flange sobreposto ASME B-16.5 150#, chaves limites indutivo IP-66, solenoides nao incluídas</t>
  </si>
  <si>
    <t>4.3.5.1.39</t>
  </si>
  <si>
    <t>Válvulas de Controle (On-Off) - 50mm Esfera e sede AISI, corpo PP, 150#, gaxetas em teflon, at. diafragma mola, anéis de vedaçao em Viton ASME B-16.5 150#, chaves limites indutivo IP-66, solenoides nao incluídas</t>
  </si>
  <si>
    <t>4.3.5.1.40</t>
  </si>
  <si>
    <t>Válvulas de Controle (On-Off) - 90mm Esfera e sede AISI, corpo PP, 150#, gaxetas em teflon, at. diafragma mola, anéis de vedaçao em Viton ASME B-16.5 150#, chaves limites indutivo IP-66, solenoides nao incluídas</t>
  </si>
  <si>
    <t>4.3.5.2.1</t>
  </si>
  <si>
    <t>Válvulas de Controle modulado tipo mangote - O 2" Passagem reta, 150#, diafragma borracha natural, gaxetas em teflon, at. diafragma mola, posic. Eletrop. IP-66 unid. Trat. ar comp., Fieldbus Foundation, 24Vcc, Flange FP ASME B-16.5 150#, leite de cal</t>
  </si>
  <si>
    <t>4.3.5.2.2</t>
  </si>
  <si>
    <t>4.3.5.2.3</t>
  </si>
  <si>
    <t>Válvulas de Controle modulado tipo mangote - O 2-1/2" Corpo fechado ASTM A 216 Gr, 150#, atuador diafragma mola, posic. Eletrop., IP-66, Fieldbus Foundation, 24Vcc, Flange Sobreposto ASME B-16.5 150#, polpa de minério de cobre</t>
  </si>
  <si>
    <t>4.3.5.2.4</t>
  </si>
  <si>
    <t>Válvulas de Controle modulado tipo mangote - O 4" Corpo fechado A536-65-45-12, 150#, atuador diafragma mola, posic. Eletrop., IP-66, Fieldbus Foundation, 24Vcc, Flange FP ASME B-16.5 150#, polpa de minério de cobre</t>
  </si>
  <si>
    <t>4.3.5.2.5</t>
  </si>
  <si>
    <t>2320</t>
  </si>
  <si>
    <t>4.3.5.2.6</t>
  </si>
  <si>
    <t>Válvulas de Controle modulado tipo mangote - O 10" Corpo fechado ASTM A 216 Gr, 150#, atuador diafragma mola, posic. Eletrop., IP-66, Fieldbus Foundation, 24Vcc, Flange Sobreposto ASME B-16.5 150#, polpa de minério de cobre</t>
  </si>
  <si>
    <t>4.3.5.3.1</t>
  </si>
  <si>
    <t>Válvulas de Controle modulado tipo esfera - O 1 1/2" Sede e vedaçao teflon,300#,corpo ASTM A 216Gr. WCB, esfera AISI, at. diafragma mola, posic. Eletrop. IP-66 com unid. trat. ar comp, Fieldbus Foundation, 24Vcc, rosca NPT ASME B-1.20.1 300#, água recup</t>
  </si>
  <si>
    <t>4.3.5.3.2</t>
  </si>
  <si>
    <t>Válvulas de Controle modulado tipo esfera - O 2 1/2" Sede teflon reforçado, 150#, corpo ASTM A 216 Gr. WCB, esfera AISI, at. diafragma mola, posic. Eletrop. IP-66 unid. trat. ar comp., Fieldbus Foundation, 24Vcc, Flange FR ASME B-16.5 150#, água recup.</t>
  </si>
  <si>
    <t>4.3.5.3.3</t>
  </si>
  <si>
    <t>Válvulas de Controle modulado tipo esfera - O 3" Sede teflon reforçado, 150#, corpo ASTM A 216 Gr. WCB, esfera AISI, at. diafragma mola, posic. Eletrop. IP-66 unid. trat. ar comp., Fieldbus Foundation, 24Vcc, Flange FR ASME B-16.5 150#, água recup.</t>
  </si>
  <si>
    <t>4.3.5.3.4</t>
  </si>
  <si>
    <t>Válvulas de Controle modulado tipo esfera - O 4" Sede teflon reforçado, 150#, corpo ASTM A 216 Gr. WCB, esfera AISI, at. diafragma mola, posic. Eletrop. IP-66 unid. trat. ar comp., Fieldbus Foundation, 24Vcc, Flange FR ASME B-16.5 150#, água recup.</t>
  </si>
  <si>
    <t>4.3.5.3.5</t>
  </si>
  <si>
    <t>4.3.5.3.6</t>
  </si>
  <si>
    <t>Válvulas de Controle modulado tipo esfera - O 6" Sede teflon reforçado, 150#, corpo ASTM A 216 Gr. WCB, esfera AISI, at. diafragma mola, posic. Eletrop. IP-66 unid. trat. ar comp., Fieldbus Foundation, 24Vcc, Flange FR ASME B-16.5 150#, água recup.</t>
  </si>
  <si>
    <t>4.3.5.3.7</t>
  </si>
  <si>
    <t>Válvulas de Controle modulado tipo esfera - O 8" Sede teflon reforçado, 150#, corpo ASTM A 216 Gr. WCB, esfera AISI, at. diafragma mola, posic. Eletrop. IP-66 unid. trat. ar comp., Fieldbus Foundation, 24Vcc, Flange FR ASME B-16.5 150#, água recup.</t>
  </si>
  <si>
    <t>4.3.5.3.8</t>
  </si>
  <si>
    <t>4.3.5.3.9</t>
  </si>
  <si>
    <t>4.3.5.3.10</t>
  </si>
  <si>
    <t>Válvulas de Controle modulado tipo esfera - O 10" Sede teflon reforçado, 150#, corpo ASTM A 216 Gr. WCB, esfera AISI, at. diafragma mola, posic. Eletrop. IP-66 unid. trat. ar comp., Fieldbus Foundation, 24Vcc, Flange FR ASME B-16.5 150#, água recup.</t>
  </si>
  <si>
    <t>4.3.5.3.11</t>
  </si>
  <si>
    <t>4.3.5.4.1</t>
  </si>
  <si>
    <t>Válvula auto-operada - O 1 1/2" Tipo Globo, Sede AISI 316, Atuador Tipo Diafragma/Mola, Conexao Flange ASME B-16.5 150#</t>
  </si>
  <si>
    <t>4.3.5.4.2</t>
  </si>
  <si>
    <t>4.3.5.4.3</t>
  </si>
  <si>
    <t>Válvula auto-operada - O 2 1/2" Tipo Globo, Sede AISI 316, Atuador Tipo Diafragma/Mola, Conexao Flange ASME B-16.5 150#</t>
  </si>
  <si>
    <t>4.3.5.4.4</t>
  </si>
  <si>
    <t>4.3.5.4.5</t>
  </si>
  <si>
    <t>4.3.5.4.6</t>
  </si>
  <si>
    <t>4.3.5.4.7</t>
  </si>
  <si>
    <t>4.3.5.4.8</t>
  </si>
  <si>
    <t>Válvula auto-operada - O 3" Tipo Globo, Sede AISI 316, Atuador Tipo Diafragma/Mola, Conexao Flange ASME B-16.5 150#</t>
  </si>
  <si>
    <t>4.3.5.4.9</t>
  </si>
  <si>
    <t>4.3.5.4.10</t>
  </si>
  <si>
    <t>4.3.5.4.11</t>
  </si>
  <si>
    <t>4.3.5.4.12</t>
  </si>
  <si>
    <t>4.3.5.4.13</t>
  </si>
  <si>
    <t>Válvula auto-operada - O 4" Tipo Globo, Sede AISI 316, Atuador Tipo Diafragma/Mola, Conexao Flange ASME B-16.5 150#</t>
  </si>
  <si>
    <t>4.3.5.4.14</t>
  </si>
  <si>
    <t>4.3.5.4.15</t>
  </si>
  <si>
    <t>4.3.5.5.1</t>
  </si>
  <si>
    <t>Válvulas tipo solenoide - O 1" IP-66, 120Vca</t>
  </si>
  <si>
    <t>4.3.5.5.2</t>
  </si>
  <si>
    <t>4.3.5.5.3</t>
  </si>
  <si>
    <t>4.3.5.5.4</t>
  </si>
  <si>
    <t>Válvulas tipo solenoide - O 1 1/2" IP-66, 120Vca</t>
  </si>
  <si>
    <t>4.3.5.5.5</t>
  </si>
  <si>
    <t>4.3.5.5.6</t>
  </si>
  <si>
    <t>4.3.5.5.7</t>
  </si>
  <si>
    <t>4.3.5.5.8</t>
  </si>
  <si>
    <t>Válvulas tipo solenoide - O 2" IP-66, 120Vca</t>
  </si>
  <si>
    <t>4.3.5.5.9</t>
  </si>
  <si>
    <t>4.3.5.5.10</t>
  </si>
  <si>
    <t>4.3.5.5.11</t>
  </si>
  <si>
    <t>4.3.5.5.12</t>
  </si>
  <si>
    <t>4.3.5.5.13</t>
  </si>
  <si>
    <t>4.3.5.5.14</t>
  </si>
  <si>
    <t>4.3.5.6.1</t>
  </si>
  <si>
    <t>Chave de nível Tipo ultrassônico, IP-66, 2 SPDT, 120Vca, conexao ao processo 2" NPT, alcance máximo 2m</t>
  </si>
  <si>
    <t>4.3.5.6.2</t>
  </si>
  <si>
    <t>4.3.5.6.3</t>
  </si>
  <si>
    <t>4.3.5.6.4</t>
  </si>
  <si>
    <t>4.3.5.6.5</t>
  </si>
  <si>
    <t>4.3.5.6.6</t>
  </si>
  <si>
    <t>4.3.5.6.7</t>
  </si>
  <si>
    <t>Chave de vazao tipo Termal - O 1" IP-66, 120Vca</t>
  </si>
  <si>
    <t>4.3.5.6.8</t>
  </si>
  <si>
    <t>4.3.5.6.9</t>
  </si>
  <si>
    <t>4.3.5.6.10</t>
  </si>
  <si>
    <t>Chave de vazao tipo Termal - O 1 1/2" IP-66, 120Vca</t>
  </si>
  <si>
    <t>4.3.5.6.11</t>
  </si>
  <si>
    <t>4.3.5.6.12</t>
  </si>
  <si>
    <t>4.3.5.6.13</t>
  </si>
  <si>
    <t>4.3.5.6.14</t>
  </si>
  <si>
    <t>Chave de vazao tipo Termal - O 2" IP-66, 120Vca</t>
  </si>
  <si>
    <t>4.3.5.6.15</t>
  </si>
  <si>
    <t>4.3.5.6.16</t>
  </si>
  <si>
    <t>4.3.5.7.1</t>
  </si>
  <si>
    <t>Caixa de comando eletropneumático (quantidade de válvulas: até 2 unid. 5/2) IP-66, Profibus DP, entrada de cabos inferior, filtro c/ regul. pressao e manôm. internos painel, 120Vca, fonte 24Vcc, solen. alumínio, plug-in, módulo E/D</t>
  </si>
  <si>
    <t>4.3.5.7.2</t>
  </si>
  <si>
    <t>4.3.5.7.3</t>
  </si>
  <si>
    <t>4.3.5.7.4</t>
  </si>
  <si>
    <t>Caixa de comando eletropneumático (quantidade de válvulas: até 4 unid. 5/2) IP-66, Profibus DP, entrada de cabos inferior, filtro c/ regul. pressao e manôm. internos painel, 120Vca, fonte 24Vcc, solen. alumínio, plug-in, módulo E/D</t>
  </si>
  <si>
    <t>4.3.5.7.5</t>
  </si>
  <si>
    <t>Caixa de comando eletropneumático (quantidade de válvulas: até 6 unid. 5/2) IP-66, Profibus DP, entrada de cabos inferior, filtro c/ regul. pressao e manôm. internos painel, 120Vca, fonte 24Vcc, solen. alumínio, plug-in, módulo E/D</t>
  </si>
  <si>
    <t>4.3.5.7.6</t>
  </si>
  <si>
    <t>4.3.5.7.7</t>
  </si>
  <si>
    <t>4.3.5.7.8</t>
  </si>
  <si>
    <t>4.3.5.7.9</t>
  </si>
  <si>
    <t>4.3.5.7.10</t>
  </si>
  <si>
    <t>4.3.5.7.11</t>
  </si>
  <si>
    <t>Caixa de comando eletropneumático (quantidade de válvulas: até 8 unid. 5/2) IP-66, Profibus DP, entrada de cabos inferior, filtro c/ regul. pressao e manôm. internos painel, 120Vca, fonte 24Vcc, solen. alumínio, plug-in, módulo E/D</t>
  </si>
  <si>
    <t>4.3.5.7.12</t>
  </si>
  <si>
    <t>4.3.5.7.13</t>
  </si>
  <si>
    <t>Caixa de comando eletropneumático (quantidade de válvulas: até 10 unid. 5/2) IP-66, Profibus DP, entrada de cabos inferior, filtro c/ regul. pressao e manôm. internos painel, 120Vca, fonte 24Vcc, solen. alumínio, plug-in, módulo E/D</t>
  </si>
  <si>
    <t>4.3.5.7.14</t>
  </si>
  <si>
    <t>4.3.5.7.15</t>
  </si>
  <si>
    <t>4.3.5.7.16</t>
  </si>
  <si>
    <t>4.3.5.7.17</t>
  </si>
  <si>
    <t>4.3.5.7.18</t>
  </si>
  <si>
    <t>4.4.1.1.1</t>
  </si>
  <si>
    <t>Switch Industrial 4 portas Ethernet, 2 Portas uplink SFP, instalaçao em Rack - MEM 01</t>
  </si>
  <si>
    <t>4.4.1.1.2</t>
  </si>
  <si>
    <t>4.4.1.1.3</t>
  </si>
  <si>
    <t>4.4.1.1.4</t>
  </si>
  <si>
    <t>2322</t>
  </si>
  <si>
    <t>4.4.1.1.5</t>
  </si>
  <si>
    <t>Switch Industrial, 08 Portas PoE, 2 Portas uplink SFP, trilho DIN - MEM 01</t>
  </si>
  <si>
    <t>4.4.1.1.6</t>
  </si>
  <si>
    <t>4.4.1.1.7</t>
  </si>
  <si>
    <t>4.4.1.1.8</t>
  </si>
  <si>
    <t>4.4.1.1.9</t>
  </si>
  <si>
    <t>4.4.1.1.10</t>
  </si>
  <si>
    <t>4.4.1.1.11</t>
  </si>
  <si>
    <t>4.4.1.1.12</t>
  </si>
  <si>
    <t>4.4.1.1.13</t>
  </si>
  <si>
    <t>Módulo de expansão de fibra monomodo para Switch Industrial - MEM 01</t>
  </si>
  <si>
    <t>4.4.1.1.14</t>
  </si>
  <si>
    <t>4.4.1.1.15</t>
  </si>
  <si>
    <t>4.4.2.1.1</t>
  </si>
  <si>
    <t>DIO, 12 fibras, monomodo 9/125 µm, instalação trilho DIN, kit bandeja de emenda - MEM 01</t>
  </si>
  <si>
    <t>CMS M.32.42.000</t>
  </si>
  <si>
    <t>4.4.2.1.2</t>
  </si>
  <si>
    <t>4.4.2.1.3</t>
  </si>
  <si>
    <t>4.4.2.1.4</t>
  </si>
  <si>
    <t>4.4.2.1.5</t>
  </si>
  <si>
    <t>4.4.2.1.6</t>
  </si>
  <si>
    <t>4.4.2.1.7</t>
  </si>
  <si>
    <t>4.4.2.1.8</t>
  </si>
  <si>
    <t>4.4.2.1.9</t>
  </si>
  <si>
    <t>DIO, 12 fibras, monomodo 9/125 µm, altura 1 UA, kit bandeja de emenda - MEM 01</t>
  </si>
  <si>
    <t>4.4.2.1.10</t>
  </si>
  <si>
    <t>4.4.2.1.11</t>
  </si>
  <si>
    <t>4.4.2.1.12</t>
  </si>
  <si>
    <t>4.4.2.1.13</t>
  </si>
  <si>
    <t>4.4.2.1.14</t>
  </si>
  <si>
    <t>4.4.2.1.15</t>
  </si>
  <si>
    <t>2013</t>
  </si>
  <si>
    <t>DIO, 24 fibras, monomodo 9/125 µm, altura 1 UA, kit bandeja de emenda - MEM 01</t>
  </si>
  <si>
    <t>4.4.2.1.16</t>
  </si>
  <si>
    <t>4.4.2.1.17</t>
  </si>
  <si>
    <t>4.4.2.1.18</t>
  </si>
  <si>
    <t>4.4.2.1.19</t>
  </si>
  <si>
    <t>DIO, 48 fibras, monomodo 9/125 µm, altura 2 UA, kit bandeja de emenda - MEM 01</t>
  </si>
  <si>
    <t>4.4.2.1.20</t>
  </si>
  <si>
    <t>4.4.2.1.21</t>
  </si>
  <si>
    <t>4.4.2.1.22</t>
  </si>
  <si>
    <t>4.5.1.1.1</t>
  </si>
  <si>
    <t>MC.023M</t>
  </si>
  <si>
    <t>Caixa Fornecida em partes, inclusive Pintura de Acabamento</t>
  </si>
  <si>
    <t>CMS M.55.10.000</t>
  </si>
  <si>
    <t>4.5.1.1.2</t>
  </si>
  <si>
    <t>4.5.1.1.3</t>
  </si>
  <si>
    <t>Caixa Fornecida em partes, inclusive Pintura de Acabamento - Com vulcanização a frio do revestimento de borracha na região das juntas soldadas pela montadora</t>
  </si>
  <si>
    <t>4.5.1.1.4</t>
  </si>
  <si>
    <t>4.5.1.1.5</t>
  </si>
  <si>
    <t>4.5.1.1.6</t>
  </si>
  <si>
    <t>4.5.1.1.7</t>
  </si>
  <si>
    <t>4.5.1.1.8</t>
  </si>
  <si>
    <t>4.5.1.1.9</t>
  </si>
  <si>
    <t>4.5.1.1.10</t>
  </si>
  <si>
    <t>4.5.1.1.11</t>
  </si>
  <si>
    <t>4.5.1.1.12</t>
  </si>
  <si>
    <t>4.5.1.1.13</t>
  </si>
  <si>
    <t>4.5.1.1.14</t>
  </si>
  <si>
    <t>4.5.1.1.15</t>
  </si>
  <si>
    <t>Caixa Fornecida Montada, inclusive Pintura de Acabamento - Caixa de finos do sistema de despoeiramento</t>
  </si>
  <si>
    <t>4.5.1.1.16</t>
  </si>
  <si>
    <t>Caixa Fornecida Montada, inclusive Pintura de Acabamento</t>
  </si>
  <si>
    <t>4.5.1.1.17</t>
  </si>
  <si>
    <t>4.5.1.1.18</t>
  </si>
  <si>
    <t>4.5.1.1.19</t>
  </si>
  <si>
    <t>4.5.1.1.20</t>
  </si>
  <si>
    <t>4.5.1.1.21</t>
  </si>
  <si>
    <t>4.5.1.1.22</t>
  </si>
  <si>
    <t>4.5.1.1.23</t>
  </si>
  <si>
    <t>4.5.1.1.24</t>
  </si>
  <si>
    <t>4.5.1.2.1</t>
  </si>
  <si>
    <t>Calha Fornecida em partes, inclusive Pintura de Acabamento - Calha de rejeito scavanger e cleanner - Com vulcanização a frio do revestimento de borracha na região das juntas soldadas pela montadora</t>
  </si>
  <si>
    <t>4.5.1.2.2</t>
  </si>
  <si>
    <t>Calha Fornecida em partes, inclusive Pintura de Acabamento - Calha de limpeza de piso</t>
  </si>
  <si>
    <t>4.5.1.2.3</t>
  </si>
  <si>
    <t>Calha Fornecida em partes, inclusive Pintura de Acabamento - Calhas de concentrado - Com vulcanização a frio do revestimento de borracha na região das juntas soldadas pela montadora</t>
  </si>
  <si>
    <t>4.5.1.2.4</t>
  </si>
  <si>
    <t>Calha Fornecida Montada, inclusive Pintura de Acabamento - Calha de descarga do analisador químico online</t>
  </si>
  <si>
    <t>4.5.1.2.5</t>
  </si>
  <si>
    <t>Calha Fornecida Montada, inclusive Pintura de Acabamento - Calha de rejeito rougher - dois conjuntos revestidos</t>
  </si>
  <si>
    <t>4.5.1.2.6</t>
  </si>
  <si>
    <t>Calha Fornecida Montada, inclusive Pintura de Acabamento - Calha de alimentação da caçamba de bolas e rasgador de bolas</t>
  </si>
  <si>
    <t>4.5.1.3.1</t>
  </si>
  <si>
    <t>Chute Fornecido em partes, inclusive Pintura de Acabamento - Com soldagem das juntas verticais no campo pela Montadora</t>
  </si>
  <si>
    <t>4.5.1.3.2</t>
  </si>
  <si>
    <t>4.5.1.3.3</t>
  </si>
  <si>
    <t>4.5.1.3.4</t>
  </si>
  <si>
    <t>4.5.1.3.5</t>
  </si>
  <si>
    <t>Chute Fornecido em partes, inclusive Pintura de Acabamento</t>
  </si>
  <si>
    <t>4.5.1.3.6</t>
  </si>
  <si>
    <t>4.5.1.3.7</t>
  </si>
  <si>
    <t>4.5.1.3.8</t>
  </si>
  <si>
    <t>4.5.1.3.9</t>
  </si>
  <si>
    <t>4.5.1.3.10</t>
  </si>
  <si>
    <t>4.5.1.3.11</t>
  </si>
  <si>
    <t>4.5.1.3.12</t>
  </si>
  <si>
    <t>4.5.1.3.13</t>
  </si>
  <si>
    <t>4.5.1.3.14</t>
  </si>
  <si>
    <t>4.5.1.3.15</t>
  </si>
  <si>
    <t>4.5.1.3.16</t>
  </si>
  <si>
    <t>4.5.1.3.17</t>
  </si>
  <si>
    <t>4.5.1.3.18</t>
  </si>
  <si>
    <t>4.5.1.3.19</t>
  </si>
  <si>
    <t>4.5.1.3.20</t>
  </si>
  <si>
    <t>4.5.1.3.21</t>
  </si>
  <si>
    <t>4.5.1.3.22</t>
  </si>
  <si>
    <t>4.5.1.3.23</t>
  </si>
  <si>
    <t>4.5.1.3.24</t>
  </si>
  <si>
    <t>4.5.1.3.25</t>
  </si>
  <si>
    <t>Chute Fornecido Montado, inclusive Pintura de Acabamento</t>
  </si>
  <si>
    <t>4.5.1.3.26</t>
  </si>
  <si>
    <t>4.5.1.3.27</t>
  </si>
  <si>
    <t>4.5.1.3.28</t>
  </si>
  <si>
    <t>4.5.1.3.29</t>
  </si>
  <si>
    <t>4.5.1.3.30</t>
  </si>
  <si>
    <t>4.5.1.3.31</t>
  </si>
  <si>
    <t>4.5.1.3.32</t>
  </si>
  <si>
    <t>4.5.1.4.1</t>
  </si>
  <si>
    <t>Distribuidores de Fluxo Fornecido em partes, inclusive Pintura de Acabamento - .</t>
  </si>
  <si>
    <t>4.5.1.4.2</t>
  </si>
  <si>
    <t>Distribuidores de Fluxo Fornecido em partes, inclusive Pintura de Acabamento - Com vulcanização a frio do revestimento de borracha na região das juntas soldadas pela montadora</t>
  </si>
  <si>
    <t>4.5.1.4.3</t>
  </si>
  <si>
    <t>4.5.1.4.4</t>
  </si>
  <si>
    <t>4.5.1.4.5</t>
  </si>
  <si>
    <t>Distribuidores de Fluxo Fornecido em partes, inclusive Pintura de Acabamento - Com válvulas dardo - .</t>
  </si>
  <si>
    <t>4.5.1.4.6</t>
  </si>
  <si>
    <t>Distribuidores de Fluxo Fornecido Montado, inclusive Pintura de Acabamento - Com válvulas dardo - Incluindo válvulas dardo, com cilíndros hidráulicos e unidade hidráulica de acionamento completa</t>
  </si>
  <si>
    <t>4.5.1.4.7</t>
  </si>
  <si>
    <t>MC.024M</t>
  </si>
  <si>
    <t>Distribuidor de fluxo fornecido montado, com revestimento em borracha natural 12mm, pintura de acabamento, cilindro pneumático, tampão, painel de solenóides, e instrumentação completa - TAG: DI-2017-07</t>
  </si>
  <si>
    <t>CMS M.55.10.010</t>
  </si>
  <si>
    <t>4.5.1.4.8</t>
  </si>
  <si>
    <t>Distribuidor de fluxo fornecido montado, com revestimento em borracha natural 12mm, pintura de acabamento, cilindro pneumático, tampão, painel de solenóides, e instrumentação completa - TAG: DI-2017-08</t>
  </si>
  <si>
    <t>4.5.1.4.9</t>
  </si>
  <si>
    <t>Distribuidor de fluxo fornecido montado, com revestimento em borracha natural 12mm, pintura de acabamento, cilindro pneumático, tampão, painel de solenóides, e instrumentação completa - TAG: DI-2057-07</t>
  </si>
  <si>
    <t>4.5.1.4.10</t>
  </si>
  <si>
    <t>Distribuidor de fluxo fornecido montado, com revestimento em borracha natural 12mm, pintura de acabamento, cilindro pneumático, tampão, painel de solenóides, e instrumentação completa - TAG: DI-2057-08</t>
  </si>
  <si>
    <t>4.5.1.5.1</t>
  </si>
  <si>
    <t>Silo fornecido em partes, inclusive pintura de acabamento</t>
  </si>
  <si>
    <t>4.5.1.5.2</t>
  </si>
  <si>
    <t>Silo fornecido montado, inclusive pintura de acabamento</t>
  </si>
  <si>
    <t>4.5.1.6.1</t>
  </si>
  <si>
    <t>Tanque Fornecido em partes, inclusive Pintura de Acabamento - Com vulcanização a frio do revestimento de borracha na região das juntas soldadas pela montadora</t>
  </si>
  <si>
    <t>4.5.1.6.2</t>
  </si>
  <si>
    <t>Tanque Fornecido em partes, inclusive Pintura de Acabamento</t>
  </si>
  <si>
    <t>4.5.1.6.3</t>
  </si>
  <si>
    <t>4.5.1.6.4</t>
  </si>
  <si>
    <t>Tanque Fornecido em partes, inclusive Pintura de Acabamento - Com aplicação de revestimento em BELZONA 1812 na região das juntas soldadas pela montadora</t>
  </si>
  <si>
    <t>4.5.1.6.5</t>
  </si>
  <si>
    <t>4.5.1.6.6</t>
  </si>
  <si>
    <t>4.5.1.6.7</t>
  </si>
  <si>
    <t>4.5.1.6.8</t>
  </si>
  <si>
    <t>Tanque Fornecido Montado, inclusive Pintura de Acabamento</t>
  </si>
  <si>
    <t>4.5.1.6.9</t>
  </si>
  <si>
    <t>4.5.1.6.10</t>
  </si>
  <si>
    <t>4.5.1.6.11</t>
  </si>
  <si>
    <t>4.5.1.6.12</t>
  </si>
  <si>
    <t>4.5.1.6.13</t>
  </si>
  <si>
    <t>4.5.1.6.14</t>
  </si>
  <si>
    <t>4.5.1.7.1</t>
  </si>
  <si>
    <t>Vaso Fornecido Montado, inclusive Pintura de Acabamento - - Capacidade 2m³ - Para ar comprimido - VA-2303SA-01</t>
  </si>
  <si>
    <t>4.5.1.7.2</t>
  </si>
  <si>
    <t>Vaso de 1 m³ fornecido Montado, inclusive Pintura de Acabamento - Ar comprimido - VA-2301SA-01</t>
  </si>
  <si>
    <t>4.5.1.7.3</t>
  </si>
  <si>
    <t>Vaso de 5 m³ fornecido Montado, inclusive Pintura de Acabamento - Para ar comprimido - VA-2316SA-01</t>
  </si>
  <si>
    <t>4.5.1.7.4</t>
  </si>
  <si>
    <t>Vaso de 5 m³ fornecido Montado, inclusive Pintura de Acabamento - Para ar comprimido - VA-2316SA-02</t>
  </si>
  <si>
    <t>4.5.1.7.5</t>
  </si>
  <si>
    <t>Vaso de 20 m³ fornecido Montado, inclusive Pintura de Acabamento - Para ar comprimido - VA-2316SA-03</t>
  </si>
  <si>
    <t>4.5.1.8.1</t>
  </si>
  <si>
    <t>Trilho TR-68</t>
  </si>
  <si>
    <t>4.5.1.8.2</t>
  </si>
  <si>
    <t>4.5.1.8.3</t>
  </si>
  <si>
    <t>4.5.1.8.4</t>
  </si>
  <si>
    <t>4.5.1.8.5</t>
  </si>
  <si>
    <t>4.5.1.8.6</t>
  </si>
  <si>
    <t>4.5.1.8.7</t>
  </si>
  <si>
    <t>4.5.1.9.1</t>
  </si>
  <si>
    <t>MC.012S</t>
  </si>
  <si>
    <t>Miscelâneas Metálicas, inclusive Pintura de Acabamento - Guarda-corpos diversas elevaçoes</t>
  </si>
  <si>
    <t>CMS M.55.20.000</t>
  </si>
  <si>
    <t>4.5.1.9.2</t>
  </si>
  <si>
    <t>4.5.1.9.3</t>
  </si>
  <si>
    <t>4.5.1.9.4</t>
  </si>
  <si>
    <t>4.5.1.9.5</t>
  </si>
  <si>
    <t>4.5.1.9.6</t>
  </si>
  <si>
    <t>4.5.1.9.7</t>
  </si>
  <si>
    <t>4.5.1.9.8</t>
  </si>
  <si>
    <t>4.5.1.9.9</t>
  </si>
  <si>
    <t>4.5.1.9.10</t>
  </si>
  <si>
    <t>Miscelâneas Metálicas, inclusive Pintura de Acabamento - Miscelâneas metálicas</t>
  </si>
  <si>
    <t>CMS M.55.20.010</t>
  </si>
  <si>
    <t>4.5.1.9.11</t>
  </si>
  <si>
    <t>4.5.1.9.12</t>
  </si>
  <si>
    <t>Miscelâneas Metálicas, inclusive Pintura de Acabamento - Miscelâneas metálicas - Miscelâneas metálicas</t>
  </si>
  <si>
    <t>4.5.1.9.13</t>
  </si>
  <si>
    <t>4.5.1.9.14</t>
  </si>
  <si>
    <t>4.5.1.9.15</t>
  </si>
  <si>
    <t>4.5.1.9.16</t>
  </si>
  <si>
    <t>4.5.1.9.17</t>
  </si>
  <si>
    <t>4.5.1.9.18</t>
  </si>
  <si>
    <t>4.5.1.9.19</t>
  </si>
  <si>
    <t>4.5.1.9.20</t>
  </si>
  <si>
    <t>4.5.1.9.21</t>
  </si>
  <si>
    <t>4.5.1.9.22</t>
  </si>
  <si>
    <t>4.5.1.9.23</t>
  </si>
  <si>
    <t xml:space="preserve">Miscelâneas Metálicas, inclusive Pintura de Acabamento - Tubulaçao de drenagem </t>
  </si>
  <si>
    <t>4.5.1.9.24</t>
  </si>
  <si>
    <t>4.5.1.9.25</t>
  </si>
  <si>
    <t>Miscelâneas Metálicas, inclusive Pintura de Acabamento - Tampa metálica - Tampa metálica da caixa de acesso aos drenos das tubulações do TQ-5101SA-01</t>
  </si>
  <si>
    <t>4.5.1.9.26</t>
  </si>
  <si>
    <t>Miscelâneas Metálicas, inclusive Pintura de Acabamento - Proteçao das vigas de concreto dos silos SI-2303SA-01@03</t>
  </si>
  <si>
    <t>4.5.1.9.27</t>
  </si>
  <si>
    <t>Miscelâneas Metálicas, inclusive Pintura de Acabamento - Proteçao das vigas de concreto dos silos SI-2305SA-01@04</t>
  </si>
  <si>
    <t>4.5.1.9.28</t>
  </si>
  <si>
    <t>Miscelâneas Metálicas, inclusive Pintura de Acabamento - Proteçao e dispositivo rasga bags</t>
  </si>
  <si>
    <t>4.5.1.9.29</t>
  </si>
  <si>
    <t>Miscelâneas Metálicas, inclusive Pintura de Acabamento - Conjunto de agulhas - Dois conjunto de agulhas da válvula do chute CH-2301SA-01@04</t>
  </si>
  <si>
    <t>4.5.1.9.30</t>
  </si>
  <si>
    <t>Miscelâneas Metálicas, inclusive Pintura de Acabamento - Conjunto de agulhas - 02 conjuntos de agulhas da válvula do chute CH-2303SA-05, 06 &amp; 12</t>
  </si>
  <si>
    <t>4.5.1.9.31</t>
  </si>
  <si>
    <t>Miscelâneas Metálicas, inclusive Pintura de Acabamento - Conjunto de agulhas - Dois conjuntos de agulhas da válvula do chute CH-2305SA-05@08</t>
  </si>
  <si>
    <t>4.5.1.9.32</t>
  </si>
  <si>
    <t>Miscelâneas Metálicas, inclusive Pintura de Acabamento - Suporte para agulhas - Dois suportes para agulhas das válvulas dos chutes CH-2301SA-01@04</t>
  </si>
  <si>
    <t>4.5.1.9.33</t>
  </si>
  <si>
    <t>Miscelâneas Metálicas, inclusive Pintura de Acabamento - Suporte para agulhas - 02 suporte para agulhas da válvula do chute CH-2303SA-05, 06 &amp; 12</t>
  </si>
  <si>
    <t>4.5.1.9.34</t>
  </si>
  <si>
    <t>Miscelâneas Metálicas, inclusive Pintura de Acabamento - Suporte para agulhas - Dois suportes para agulhas da válvula do chute CH-2305SA-05@08</t>
  </si>
  <si>
    <t>4.5.1.9.35</t>
  </si>
  <si>
    <t>Miscelâneas Metálicas, inclusive Pintura de Acabamento - Dutos de limpeza do piso</t>
  </si>
  <si>
    <t>4.5.1.9.36</t>
  </si>
  <si>
    <t>Miscelâneas Metálicas, inclusive Pintura de Acabamento - Olhais de arraste</t>
  </si>
  <si>
    <t>4.5.1.9.37</t>
  </si>
  <si>
    <t>Miscelâneas Metálicas, inclusive Pintura de Acabamento - Mesas giratórias do spout feeder</t>
  </si>
  <si>
    <t>4.5.1.9.38</t>
  </si>
  <si>
    <t>Miscelâneas Metálicas, inclusive Pintura de Acabamento - Calhas sob as mesas giratórias do spout feeder</t>
  </si>
  <si>
    <t>4.5.1.9.39</t>
  </si>
  <si>
    <t>Miscelâneas Metálicas, inclusive Pintura de Acabamento - Duto de limpeza</t>
  </si>
  <si>
    <t>4.5.1.9.40</t>
  </si>
  <si>
    <t>Miscelâneas Metálicas, inclusive Pintura de Acabamento - Caçamba - Caçamba para alimentação do moinho de bolas</t>
  </si>
  <si>
    <t>4.5.1.9.41</t>
  </si>
  <si>
    <t>4.5.1.9.42</t>
  </si>
  <si>
    <t>4.5.1.9.43</t>
  </si>
  <si>
    <t>4.5.1.9.44</t>
  </si>
  <si>
    <t>Miscelâneas Metálicas, inclusive Pintura de Acabamento - Sarrilho para manuseio de amostras</t>
  </si>
  <si>
    <t>4.5.1.9.45</t>
  </si>
  <si>
    <t>Miscelâneas Metálicas, inclusive Pintura de Acabamento - Plataforma de operaçao - Plataforma de operação de válvulas</t>
  </si>
  <si>
    <t>4.5.1.9.46</t>
  </si>
  <si>
    <t>Miscelâneas Metálicas, inclusive Pintura de Acabamento - Plataforma de acesso - Plataforma de acesso aos sensores de nível do tanque TQ-5101SA-01</t>
  </si>
  <si>
    <t>4.5.1.9.47</t>
  </si>
  <si>
    <t>Miscelâneas Metálicas, inclusive Pintura de Acabamento - Telas de proteção do moinho MO-2305SA-01</t>
  </si>
  <si>
    <t>4.5.1.9.48</t>
  </si>
  <si>
    <t>Miscelâneas Metálicas, inclusive Pintura de Acabamento - Telas de proteção do moinho MO-2305SA-02</t>
  </si>
  <si>
    <t>4.5.1.9.49</t>
  </si>
  <si>
    <t>Miscelâneas Metálicas, inclusive Pintura de Acabamento – Bocal de Sucção da Caixa de Concreto - Interligação CX-2305SA-02 com BP-2305SA-02 - Tubulação revestida em CDP 4666 0805 e flanges revestidos em CDP 4666 0503</t>
  </si>
  <si>
    <t>4.5.1.9.50</t>
  </si>
  <si>
    <t>Miscelâneas Metálicas, inclusive Pintura de Acabamento – Bocal de Sucção da Caixa de Concreto - Interligação CX-2305SA-02 com BP-2305SA-04 - Tubulação revestida em CDP 4666 0805 e flanges revestidos em CDP 4666 0503</t>
  </si>
  <si>
    <t>4.5.1.9.51</t>
  </si>
  <si>
    <t>Miscelâneas Metálicas, inclusive Pintura de Acabamento – Bocal de Sucção da Caixa de Concreto - Interligação CX-2305SA-01 com BP-2305SA-03 - Tubulação revestida em CDP 4666 0805 e flanges revestidos em CDP 4666 0503</t>
  </si>
  <si>
    <t>4.5.1.9.52</t>
  </si>
  <si>
    <t>Miscelâneas Metálicas, inclusive Pintura de Acabamento – Bocal de Sucção da Caixa de Concreto - Interligação CX-2305SA-01 com BP-2305SA-01 - Tubulação revestida em CDP 4666 0805 e flanges revestidos em CDP 4666 0503</t>
  </si>
  <si>
    <t>4.5.2.1.1</t>
  </si>
  <si>
    <t>MC.025M</t>
  </si>
  <si>
    <t>Revestimento placas de borracha de pneus radiais fora de estrada #60mm - Revestimento do silo SI-2313SA-01</t>
  </si>
  <si>
    <t>m2</t>
  </si>
  <si>
    <t>CMS M.55.30.000</t>
  </si>
  <si>
    <t>4.5.2.2.1</t>
  </si>
  <si>
    <t>Tubo Ø 36” revestido em CDP 466 0812 # 20mm (placa base # 8mm + revestimento # 12mm)</t>
  </si>
  <si>
    <t>4.5.2.2.2</t>
  </si>
  <si>
    <t>4.6.1.1.1</t>
  </si>
  <si>
    <t>MC.027T</t>
  </si>
  <si>
    <t>Tubulação de Aço Carbono ASTM A 53 Gr B-S, SCH. 80, C /Rosca NPT, inclusive Conexões e válvulas ½”</t>
  </si>
  <si>
    <t>CMS M.60.10.010</t>
  </si>
  <si>
    <t>4.6.1.1.2</t>
  </si>
  <si>
    <t>4.6.1.1.3</t>
  </si>
  <si>
    <t>4.6.1.1.4</t>
  </si>
  <si>
    <t>4.6.1.1.5</t>
  </si>
  <si>
    <t>Tubulação de Aço Carbono ASTM A 53 Gr B-S, SCH. 80, C /Rosca NPT, inclusive Conexões e válvulas ¾”</t>
  </si>
  <si>
    <t>4.6.1.1.6</t>
  </si>
  <si>
    <t>4.6.1.1.7</t>
  </si>
  <si>
    <t>4.6.1.1.8</t>
  </si>
  <si>
    <t>4.6.1.1.9</t>
  </si>
  <si>
    <t>4.6.1.1.10</t>
  </si>
  <si>
    <t>Tubulação de Aço Carbono ASTM A 53 Gr B-S, SCH. 80, C /Rosca NPT, inclusive Conexões e válvulas 1”</t>
  </si>
  <si>
    <t>4.6.1.1.11</t>
  </si>
  <si>
    <t>4.6.1.1.12</t>
  </si>
  <si>
    <t>4.6.1.1.13</t>
  </si>
  <si>
    <t>4.6.1.1.14</t>
  </si>
  <si>
    <t>4.6.1.1.15</t>
  </si>
  <si>
    <t>Tubulação de Aço Carbono ASTM A 53 Gr B-S, SCH. 80, C /Rosca NPT, inclusive Conexões e válvulas 1 ½”</t>
  </si>
  <si>
    <t>4.6.1.1.16</t>
  </si>
  <si>
    <t>4.6.1.1.17</t>
  </si>
  <si>
    <t>4.6.1.1.18</t>
  </si>
  <si>
    <t>4.6.1.1.19</t>
  </si>
  <si>
    <t>4.6.1.1.20</t>
  </si>
  <si>
    <t>Tubulação de Aço Carbono ASTM A 53 Gr B-S, SCH. 80, C /Rosca NPT, inclusive Conexões e válvulas 2”</t>
  </si>
  <si>
    <t>4.6.1.1.21</t>
  </si>
  <si>
    <t>4.6.1.1.22</t>
  </si>
  <si>
    <t>4.6.1.1.23</t>
  </si>
  <si>
    <t>4.6.1.1.24</t>
  </si>
  <si>
    <t>4.6.1.1.25</t>
  </si>
  <si>
    <t xml:space="preserve">Tubo ASTM A53-B, tipo S, SCH 80, NPT, ASME B36.10, inclusive válvulas e conexões, menores ou iguais a ø 2" </t>
  </si>
  <si>
    <t>4.6.1.2.1</t>
  </si>
  <si>
    <t>Tubulação de Aço Carbono ASTM A 53 Gr B-S, SCH.STD. WT, C /Extr. para Solda de Topo, inclusive Conexões e válvulas 2 ½”</t>
  </si>
  <si>
    <t>4.6.1.2.2</t>
  </si>
  <si>
    <t>4.6.1.2.3</t>
  </si>
  <si>
    <t>4.6.1.2.4</t>
  </si>
  <si>
    <t>4.6.1.2.5</t>
  </si>
  <si>
    <t>Tubulação de Aço Carbono ASTM A 53 Gr B-S, SCH.STD. WT, C /Extr. para Solda de Topo, inclusive Conexões e válvulas 3”</t>
  </si>
  <si>
    <t>4.6.1.2.6</t>
  </si>
  <si>
    <t>4.6.1.2.7</t>
  </si>
  <si>
    <t>4.6.1.2.8</t>
  </si>
  <si>
    <t>4.6.1.2.9</t>
  </si>
  <si>
    <t>4.6.1.2.10</t>
  </si>
  <si>
    <t>Tubulação de Aço Carbono ASTM A 53 Gr B-S, SCH.STD. WT, C /Extr. para Solda de Topo, inclusive Conexões e válvulas 4”</t>
  </si>
  <si>
    <t>4.6.1.2.11</t>
  </si>
  <si>
    <t>4.6.1.2.12</t>
  </si>
  <si>
    <t>4.6.1.2.13</t>
  </si>
  <si>
    <t>4.6.1.2.14</t>
  </si>
  <si>
    <t>4.6.1.2.15</t>
  </si>
  <si>
    <t>4.6.1.2.16</t>
  </si>
  <si>
    <t>4.6.1.2.17</t>
  </si>
  <si>
    <t>4.6.1.2.18</t>
  </si>
  <si>
    <t>4.6.1.2.19</t>
  </si>
  <si>
    <t>4.6.1.2.20</t>
  </si>
  <si>
    <t>MC.026T</t>
  </si>
  <si>
    <t>Tubulação de Aço Carbono ASTM A 53 Gr B-S, SCH.STD. WT, C /Extr. para Solda de Topo, inclusive Conexões e válvulas 6”</t>
  </si>
  <si>
    <t>CMS M.60.10.000</t>
  </si>
  <si>
    <t>4.6.1.2.21</t>
  </si>
  <si>
    <t>4.6.1.2.22</t>
  </si>
  <si>
    <t>4.6.1.2.23</t>
  </si>
  <si>
    <t>4.6.1.2.24</t>
  </si>
  <si>
    <t>4.6.1.2.25</t>
  </si>
  <si>
    <t>Tubulação de Aço Carbono ASTM A 53 Gr B-S, SCH.STD. WT, C /Extr. para Solda de Topo, inclusive Conexões e válvulas 8”</t>
  </si>
  <si>
    <t>4.6.1.2.26</t>
  </si>
  <si>
    <t>4.6.1.2.27</t>
  </si>
  <si>
    <t>4.6.1.2.28</t>
  </si>
  <si>
    <t>4.6.1.2.29</t>
  </si>
  <si>
    <t>4.6.1.2.30</t>
  </si>
  <si>
    <t>4.6.1.2.31</t>
  </si>
  <si>
    <t>Tubulação de Aço Carbono ASTM A 53 Gr B-S, SCH.STD. WT, C /Extr. para Solda de Topo, inclusive Conexões 10”</t>
  </si>
  <si>
    <t>4.6.1.2.32</t>
  </si>
  <si>
    <t>4.6.1.2.33</t>
  </si>
  <si>
    <t>Tubulação de Aço Carbono ASTM A 53 Gr B-S, SCH.STD. WT, C /Extr. para Solda de Topo, inclusive Conexões 12”</t>
  </si>
  <si>
    <t>4.6.1.2.34</t>
  </si>
  <si>
    <t>4.6.1.2.35</t>
  </si>
  <si>
    <t>4.6.1.2.36</t>
  </si>
  <si>
    <t>4.6.1.2.37</t>
  </si>
  <si>
    <t>Tubulação de Aço Carbono ASTM A 53 Gr B-S, SCH.STD. WT, C /Extr. para Solda de Topo, inclusive Conexões 16”</t>
  </si>
  <si>
    <t>4.6.1.2.38</t>
  </si>
  <si>
    <t>4.6.1.2.39</t>
  </si>
  <si>
    <t>Tubulação de Aço Carbono ASTM A 53 Gr B-S, SCH.STD. WT, C /Extr. para Solda de Topo, inclusive Conexões 18”</t>
  </si>
  <si>
    <t>4.6.1.2.40</t>
  </si>
  <si>
    <t>4.6.1.2.41</t>
  </si>
  <si>
    <t>Tubulação de Aço Carbono ASTM A 53 Gr B-S, SCH.STD. WT, C /Extr. para Solda de Topo, inclusive Conexões 24”</t>
  </si>
  <si>
    <t>4.6.1.2.42</t>
  </si>
  <si>
    <t>4.6.1.3.1</t>
  </si>
  <si>
    <t>Tubulação de Aço Carbono ASTM A 53 Gr B-S, SCH. 80, Galvanizado C /Rosca NPT, inclusive Conexões e válvulas ½”</t>
  </si>
  <si>
    <t>4.6.1.3.2</t>
  </si>
  <si>
    <t>4.6.1.3.3</t>
  </si>
  <si>
    <t>4.6.1.3.4</t>
  </si>
  <si>
    <t>Tubulação de Aço Carbono ASTM A 53 Gr B-S, SCH. 80, Galvanizado C /Rosca NPT, inclusive Conexões e válvulas ¾”</t>
  </si>
  <si>
    <t>4.6.1.3.5</t>
  </si>
  <si>
    <t>4.6.1.3.6</t>
  </si>
  <si>
    <t>4.6.1.3.7</t>
  </si>
  <si>
    <t>Tubulação de Aço Carbono ASTM A 53 Gr B-S, SCH. 80, Galvanizado C /Rosca NPT, inclusive Conexões e válvulas 1”</t>
  </si>
  <si>
    <t>4.6.1.3.8</t>
  </si>
  <si>
    <t>4.6.1.3.9</t>
  </si>
  <si>
    <t>4.6.1.3.10</t>
  </si>
  <si>
    <t>Tubulação de Aço Carbono ASTM A 53 Gr B-S, SCH. 80, Galvanizado C /Rosca NPT, inclusive Conexões e válvulas 1 ½”</t>
  </si>
  <si>
    <t>4.6.1.3.11</t>
  </si>
  <si>
    <t>Tubulação de Aço Carbono ASTM A 53 Gr B-S, SCH. 80, Galvanizado C /Rosca NPT, inclusive Conexões e válvulas 2”</t>
  </si>
  <si>
    <t>4.6.1.3.12</t>
  </si>
  <si>
    <t>4.6.1.3.13</t>
  </si>
  <si>
    <t>Tubo de Aço Carbono ASTM A 53 Gr B-S, SCH. 80, Galvanizado C /Rosca NPT, inclusive conexões e válvulas, menores ou iguais a ø 2"</t>
  </si>
  <si>
    <t>4.6.1.4.1</t>
  </si>
  <si>
    <t xml:space="preserve">Tubo ASTM A53-B, Tipo E, SCH 10, PC, ASME B36.10, Inclusive Válvulas e Conexões, Ø 3" </t>
  </si>
  <si>
    <t>4.6.1.4.2</t>
  </si>
  <si>
    <t xml:space="preserve">TUBO ASTM A53-B, Tipo E, SCH 10, PC, ASME B36.10,  Inclusive Válvulas e Conexões, Ø4" </t>
  </si>
  <si>
    <t>4.6.1.4.3</t>
  </si>
  <si>
    <t>4.6.1.4.4</t>
  </si>
  <si>
    <t>4.6.1.4.5</t>
  </si>
  <si>
    <t>4.6.1.4.6</t>
  </si>
  <si>
    <t>4.6.1.4.7</t>
  </si>
  <si>
    <t>4.6.1.4.8</t>
  </si>
  <si>
    <t xml:space="preserve">Tubo ASTM A53-B, Tipo E, SCH 10, PC, ASME B36.10,  Inclusive Válvulas e Conexões, Ø6" </t>
  </si>
  <si>
    <t>4.6.1.4.9</t>
  </si>
  <si>
    <t>4.6.1.4.10</t>
  </si>
  <si>
    <t>4.6.1.4.11</t>
  </si>
  <si>
    <t>4.6.1.4.12</t>
  </si>
  <si>
    <t>4.6.1.4.13</t>
  </si>
  <si>
    <t>4.6.1.4.14</t>
  </si>
  <si>
    <t>4.6.1.4.15</t>
  </si>
  <si>
    <t>4.6.1.4.16</t>
  </si>
  <si>
    <t xml:space="preserve">Tubo ASTM A53-B, Tipo E, SCH 10, PC, ASME B36.10, Inclusive Válvulas e Conexões, Ø 8" </t>
  </si>
  <si>
    <t>4.6.1.4.17</t>
  </si>
  <si>
    <t>4.6.1.4.18</t>
  </si>
  <si>
    <t>4.6.1.4.19</t>
  </si>
  <si>
    <t>4.6.1.4.20</t>
  </si>
  <si>
    <t>4.6.1.4.21</t>
  </si>
  <si>
    <t xml:space="preserve">Tubo ASTM A53-B, Tipo E, SCH 10, PC, ASME B36.10,  Inclusive Conexões, Ø10" </t>
  </si>
  <si>
    <t>4.6.1.4.22</t>
  </si>
  <si>
    <t>4.6.1.4.23</t>
  </si>
  <si>
    <t>4.6.1.4.24</t>
  </si>
  <si>
    <t>4.6.1.4.25</t>
  </si>
  <si>
    <t>Tubo ASTM A53-B, Tipo E, SCH 10, PC, ASME B36.10,  Inclusive Conexões, Ø12"</t>
  </si>
  <si>
    <t>4.6.1.4.26</t>
  </si>
  <si>
    <t>4.6.1.4.27</t>
  </si>
  <si>
    <t>4.6.1.4.28</t>
  </si>
  <si>
    <t>Tubo ASTM A53-B, Tipo E, SCH 10, PC, ASME B36.10,  Inclusive Conexões, Ø14"</t>
  </si>
  <si>
    <t>4.6.1.4.29</t>
  </si>
  <si>
    <t>4.6.1.4.30</t>
  </si>
  <si>
    <t>4.6.1.4.31</t>
  </si>
  <si>
    <t>4.6.1.4.32</t>
  </si>
  <si>
    <t>Tubo ASTM A53-B, Tipo E, SCH 10, PC, ASME B36.10,  Inclusive Conexões, Ø16"</t>
  </si>
  <si>
    <t>4.6.1.4.33</t>
  </si>
  <si>
    <t>4.6.1.4.34</t>
  </si>
  <si>
    <t xml:space="preserve">Tubo ASTM A53-B, Tipo E, SCH 10, PC, ASME B36.10,  Inclusive Conexões, Ø18" </t>
  </si>
  <si>
    <t>4.6.1.4.35</t>
  </si>
  <si>
    <t>4.6.1.4.36</t>
  </si>
  <si>
    <t>4.6.1.4.37</t>
  </si>
  <si>
    <t>4.6.1.4.38</t>
  </si>
  <si>
    <t xml:space="preserve">Tubo ASTM A53-B, Tipo E, SCH 10, PC, ASME B36.10,  Inclusive Conexões, Ø20" </t>
  </si>
  <si>
    <t>4.6.1.4.39</t>
  </si>
  <si>
    <t>4.6.1.4.40</t>
  </si>
  <si>
    <t xml:space="preserve">Tubo ASTM A53-B, Tipo E, SCH 10, PC, ASME B36.10, Inclusive Conexões, Ø24" </t>
  </si>
  <si>
    <t>4.6.1.4.41</t>
  </si>
  <si>
    <t>4.6.1.4.42</t>
  </si>
  <si>
    <t>4.6.1.5.1</t>
  </si>
  <si>
    <t>Tubulação de Aço Carbono ASTM A 53 Gr B-S, STD. WT, Galv. C /Rosca NPT, inclusive Conexões e válvulas 2½”</t>
  </si>
  <si>
    <t>4.6.1.6.1</t>
  </si>
  <si>
    <t>Tubo de aço carbono, sem pintura, EFW helicoidal, ASTM A 139 Gr. B / ASME B 36.10, espessura do tubo 4,75 mm, revestimento interno (RI) em poliuretano com espessura de 8,0 mm, extremidade preparada para para Flange, inclusive conexões, Ø10".</t>
  </si>
  <si>
    <t>4.6.1.6.2</t>
  </si>
  <si>
    <t>4.6.1.7.1</t>
  </si>
  <si>
    <t>4.6.1.7.2</t>
  </si>
  <si>
    <t>4.6.1.8.1</t>
  </si>
  <si>
    <t>4.6.1.8.2</t>
  </si>
  <si>
    <t>4.6.1.9.1</t>
  </si>
  <si>
    <t>Tubo de aço carbono, sem pintura, EFW helicoidal, ASTM A 139 Gr. B / ASME B 36.10, espessura do tubo 6,35 mm, revestimento interno (RI) em poliuretano com espessura de 12,0 mm, extremidade preparada para para Flange, INCLUSIVE CONEXÕES, Ø10".</t>
  </si>
  <si>
    <t>CMS M.60.10.020</t>
  </si>
  <si>
    <t>4.6.1.9.2</t>
  </si>
  <si>
    <t>4.6.1.10.1</t>
  </si>
  <si>
    <t>Tubo de aço carbono, sem pintura, ERW longitudinal, ASTM A 135 Gr. B / ASME B 36.10, espessura 3,0 mm, revestimento interno (RI) em poliuretano com espessura de 5,0 mm, extremidade preparada para flange, inclusive conexões e válvulas 3"</t>
  </si>
  <si>
    <t>4.6.1.10.2</t>
  </si>
  <si>
    <t>4.6.1.10.3</t>
  </si>
  <si>
    <t>Tubo de aço carbono, sem pintura, ERW longitudinal, ASTM A 135 Gr. B / ASME B 36.10, espessura 3,0 mm, revestimento interno (RI) em poliuretano com espessura de 5,0 mm, extremidade preparada para flange, inclusive conexões e válvulas 4"</t>
  </si>
  <si>
    <t>4.6.1.10.4</t>
  </si>
  <si>
    <t>4.6.1.10.5</t>
  </si>
  <si>
    <t>4.6.1.10.6</t>
  </si>
  <si>
    <t>4.6.1.10.7</t>
  </si>
  <si>
    <t>4.6.1.10.8</t>
  </si>
  <si>
    <t>4.6.1.10.9</t>
  </si>
  <si>
    <t>4.6.1.10.10</t>
  </si>
  <si>
    <t>4.6.1.11.1</t>
  </si>
  <si>
    <t>Tubo de aço carbono, sem pintura, EFW helicoidal, ASTM A 139 Gr. B / ASME B 36.10, espessura do tubo 4,75 mm, revestimento interno (RI) em poliuretano com espessura de 8,0 mm, extremidade preparada para flange, inclusive conexões e válvulas 6"</t>
  </si>
  <si>
    <t>4.6.1.11.2</t>
  </si>
  <si>
    <t>4.6.1.11.3</t>
  </si>
  <si>
    <t>4.6.1.11.4</t>
  </si>
  <si>
    <t>4.6.1.11.5</t>
  </si>
  <si>
    <t>4.6.1.11.6</t>
  </si>
  <si>
    <t>Tubo de aço carbono, sem pintura, EFW helicoidal, ASTM A 139 Gr. B / ASME B 36.10, espessura do tubo 4,75 mm, revestimento interno (RI) em poliuretano com espessura de 8,0 mm, extremidade preparada para flange, inclusive conexões e válvulas 8"</t>
  </si>
  <si>
    <t>4.6.1.11.7</t>
  </si>
  <si>
    <t>4.6.1.11.8</t>
  </si>
  <si>
    <t>4.6.1.11.9</t>
  </si>
  <si>
    <t>4.6.1.11.10</t>
  </si>
  <si>
    <t>4.6.1.11.11</t>
  </si>
  <si>
    <t>4.6.1.11.12</t>
  </si>
  <si>
    <t>4.6.1.11.13</t>
  </si>
  <si>
    <t>Tubo de aço carbono, sem pintura, EFW helicoidal, ASTM A 139 Gr. B / ASME B 36.10, espessura do tubo 4,75 mm, revestimento interno (RI) em poliuretano com espessura de 8,0 mm, extremidade preparada para flange, inclusive conexões 10"</t>
  </si>
  <si>
    <t>4.6.1.11.14</t>
  </si>
  <si>
    <t>4.6.1.11.15</t>
  </si>
  <si>
    <t>4.6.1.11.16</t>
  </si>
  <si>
    <t>4.6.1.11.17</t>
  </si>
  <si>
    <t>Tubo de aço carbono, sem pintura, EFW helicoidal, ASTM A 139 Gr. B / ASME B 36.10, espessura do tubo 4,75 mm, revestimento interno (RI) em poliuretano com espessura de 8,0 mm, extremidade preparada para flange, inclusive conexões 12"</t>
  </si>
  <si>
    <t>4.6.1.11.18</t>
  </si>
  <si>
    <t>4.6.1.12.1</t>
  </si>
  <si>
    <t>Tubo de aço carbono, sem pintura, EFW helicoidal, ASTM A 139 Gr. B / ASME B 36.10, espessura do tubo 6,35 mm, revestimento interno (RI) em poliuretano com espessura de 12,0 mm, extremidade preparada para flange, inclusive conexões 14”</t>
  </si>
  <si>
    <t>4.6.1.12.2</t>
  </si>
  <si>
    <t>4.6.1.12.3</t>
  </si>
  <si>
    <t>Tubo de aço carbono, sem pintura, EFW helicoidal, ASTM A 139 Gr. B / ASME B 36.10, espessura do tubo 6,35 mm, revestimento interno (RI) em poliuretano com espessura de 12,0 mm, extremidade preparada para flange, inclusive conexões 16”</t>
  </si>
  <si>
    <t>4.6.1.12.4</t>
  </si>
  <si>
    <t>4.6.1.12.5</t>
  </si>
  <si>
    <t>4.6.1.12.6</t>
  </si>
  <si>
    <t>Tubo de aço carbono, sem pintura, EFW helicoidal, ASTM A 139 Gr. B / ASME B 36.10, espessura do tubo 6,35 mm, revestimento interno (RI) em poliuretano com espessura de 12,0 mm, extremidade preparada para flange, inclusive conexões 18”</t>
  </si>
  <si>
    <t>4.6.1.12.7</t>
  </si>
  <si>
    <t>4.6.1.12.8</t>
  </si>
  <si>
    <t>4.6.1.12.9</t>
  </si>
  <si>
    <t>Tubo de aço carbono, sem pintura, EFW helicoidal, ASTM A 139 Gr. B / ASME B 36.10, espessura do tubo 6,35 mm, revestimento interno (RI) em poliuretano com espessura de 12,0 mm, extremidade preparada para flange, inclusive conexões 20”</t>
  </si>
  <si>
    <t>4.6.1.12.10</t>
  </si>
  <si>
    <t>4.6.1.12.11</t>
  </si>
  <si>
    <t>4.6.1.12.12</t>
  </si>
  <si>
    <t>Tubo de aço carbono, sem pintura, EFW helicoidal, ASTM A 139 Gr. B / ASME B 36.10, espessura do tubo 6,35 mm, revestimento interno (RI) em poliuretano com espessura de 12,0 mm, extremidade preparada para flange, inclusive conexões 22”</t>
  </si>
  <si>
    <t>4.6.1.12.13</t>
  </si>
  <si>
    <t>Tubo de aço carbono, sem pintura, EFW helicoidal, ASTM A 139 Gr. B / ASME B 36.10, espessura do tubo 6,35 mm, revestimento interno (RI) em poliuretano com espessura de 12,0 mm, extremidade preparada para flange, inclusive conexões 24”</t>
  </si>
  <si>
    <t>4.6.1.12.14</t>
  </si>
  <si>
    <t>4.6.1.12.15</t>
  </si>
  <si>
    <t>4.6.1.12.16</t>
  </si>
  <si>
    <t>Tubo de aço carbono, sem pintura, EFW helicoidal, ASTM A 139 Gr. B / ASME B 36.10, espessura do tubo 6,35 mm, revestimento interno (RI) em poliuretano com espessura de 12,0 mm, extremidade preparada para flange, inclusive conexões 26”</t>
  </si>
  <si>
    <t>4.6.1.12.17</t>
  </si>
  <si>
    <t>Tubo de aço carbono, sem pintura, EFW helicoidal, ASTM A 139 Gr. B / ASME B 36.10, espessura do tubo 6,35 mm, revestimento interno (RI) em poliuretano com espessura de 12,0 mm, extremidade preparada para flange, inclusive conexões 28”</t>
  </si>
  <si>
    <t>4.6.1.12.18</t>
  </si>
  <si>
    <t>Tubo de aço carbono, sem pintura, EFW helicoidal, ASTM A 139 Gr. B / ASME B 36.10, espessura do tubo 6,35 mm, revestimento interno (RI) em poliuretano com espessura de 12,0 mm, extremidade preparada para flange, inclusive conexões 30”</t>
  </si>
  <si>
    <t>4.6.1.12.19</t>
  </si>
  <si>
    <t>4.6.1.12.20</t>
  </si>
  <si>
    <t>Tubo de aço carbono, sem pintura, EFW helicoidal, ASTM A 139 Gr. B / ASME B 36.10, espessura do tubo 6,35 mm, revestimento interno (RI) em poliuretano com espessura de 12,0 mm, extremidade preparada para flange, inclusive conexões 32”.</t>
  </si>
  <si>
    <t>4.6.1.13.1</t>
  </si>
  <si>
    <t>Tubo de aço carbono, sem pintura, EFW helicoidal, ASTM A 139 Gr. B / ASME B 36.10, espessura do tubo 8,0 mm, revestimento interno (RI) em poliuretano com espessura de 16,0 mm, extremidade preparada para flange, inclusive conexões 40”.</t>
  </si>
  <si>
    <t>4.6.1.13.2</t>
  </si>
  <si>
    <t>4.6.1.13.3</t>
  </si>
  <si>
    <t>4.6.1.13.4</t>
  </si>
  <si>
    <t>Tubo de aço carbono, sem pintura, EFW helicoidal, ASTM A 139 Gr. B / ASME B 36.10, espessura do tubo 8,0 mm, revestimento interno (RI) em poliuretano com espessura de 16,0 mm, extremidade preparada para flange, inclusive conexões 42”.</t>
  </si>
  <si>
    <t>4.6.1.14.1</t>
  </si>
  <si>
    <t>MC.029T</t>
  </si>
  <si>
    <t>Tubulação PEAD, Conforme ISO 4427, PE 100, Pressão Nominal PN 10, inclusive Conexões e Válvulas  110mm</t>
  </si>
  <si>
    <t>CMS M.60.40.020</t>
  </si>
  <si>
    <t>4.6.1.14.2</t>
  </si>
  <si>
    <t>4.6.1.15.1</t>
  </si>
  <si>
    <t>MC.028T</t>
  </si>
  <si>
    <t>CMS M.60.40.000</t>
  </si>
  <si>
    <t>4.6.1.15.2</t>
  </si>
  <si>
    <t>4.6.1.16.1</t>
  </si>
  <si>
    <t>Tubulação PEAD, Conforme ISO 4427, PE 100, Pressão Nominal PN 20, inclusive Conexões e Válvulas  32mm</t>
  </si>
  <si>
    <t>4.6.1.16.2</t>
  </si>
  <si>
    <t>4.6.1.16.3</t>
  </si>
  <si>
    <t>4.6.1.16.4</t>
  </si>
  <si>
    <t>4.6.1.16.5</t>
  </si>
  <si>
    <t>Tubulação PEAD, Conforme ISO 4427, PE 100, Pressão Nominal PN 20, inclusive Conexões e Válvulas  50mm</t>
  </si>
  <si>
    <t>4.6.1.16.6</t>
  </si>
  <si>
    <t>4.6.1.16.7</t>
  </si>
  <si>
    <t>4.6.1.17.1</t>
  </si>
  <si>
    <t>Tubo de aço carbono  ASTM A 139 Gr. C, acabamento sem pintura, com costura longitudinal, espessura do tubo 9,5 mm, extremidades chanfrada conforme ASME B 16.25, dimensões conforme ASME B 36.10, inclusive conexões, 26”.</t>
  </si>
  <si>
    <t>4.6.1.17.2</t>
  </si>
  <si>
    <t>Tubo de aço carbono  ASTM A 139 Gr. C, acabamento sem pintura, com costura longitudinal, espessura do tubo 9,5 mm, extremidades chanfrada conforme ASME B 16.25, dimensões conforme ASME B 36.10, inclusive conexões, 28”.</t>
  </si>
  <si>
    <t>4.6.1.17.3</t>
  </si>
  <si>
    <t>4.6.1.17.4</t>
  </si>
  <si>
    <t>Tubo de aço carbono  ASTM A 139 Gr. C, acabamento sem pintura, com costura longitudinal, espessura do tubo 9,5 mm, extremidades chanfrada conforme ASME B 16.25, dimensões conforme ASME B 36.10, inclusive conexões, 30”.</t>
  </si>
  <si>
    <t>4.6.1.17.5</t>
  </si>
  <si>
    <t>4.6.1.17.6</t>
  </si>
  <si>
    <t>4.6.1.17.7</t>
  </si>
  <si>
    <t>4.6.1.17.8</t>
  </si>
  <si>
    <t>4.6.1.17.9</t>
  </si>
  <si>
    <t>Tubo de aço carbono  ASTM A 139 Gr. C, acabamento sem pintura, com costura longitudinal, espessura do tubo 9,5 mm, extremidades chanfrada conforme ASME B 16.25, dimensões conforme ASME B 36.10, inclusive conexões, 36”.</t>
  </si>
  <si>
    <t>4.6.1.17.10</t>
  </si>
  <si>
    <t>Tubo de aço carbono  ASTM A 139 Gr. C, acabamento sem pintura, com costura longitudinal, espessura do tubo 9,5 mm, extremidades chanfrada conforme ASME B 16.25, dimensões conforme ASME B 36.10, inclusive conexões, 40”.</t>
  </si>
  <si>
    <t>4.6.1.17.11</t>
  </si>
  <si>
    <t>4.6.1.17.12</t>
  </si>
  <si>
    <t>4.6.1.17.13</t>
  </si>
  <si>
    <t>4.6.1.18.1</t>
  </si>
  <si>
    <t>Tubo de Aço Carbono, sem pintura, EFW helicoidal, astm a 139 Gr. B / ASME B 36.10, espessura do tubo 6,35 mm, revestimento interno (RI) em Borracha Linatex, espessura 19mm, extremidade preparada para flange, inclusive conexões, 24”.</t>
  </si>
  <si>
    <t>4.6.1.18.2</t>
  </si>
  <si>
    <t>Tubo de Aço Carbono, sem pintura, EFW helicoidal, astm a 139 Gr. B / ASME B 36.10, espessura do tubo 6,35 mm, revestimento interno (RI) em Borracha Linatex, espessura 19mm, extremidade preparada para flange, inclusive conexões, 28”.</t>
  </si>
  <si>
    <t>4.6.1.18.3</t>
  </si>
  <si>
    <t>Tubo de Aço Carbono, sem pintura, EFW helicoidal, astm a 139 Gr. B / ASME B 36.10, espessura do tubo 6,35 mm, revestimento interno (RI) em Borracha Linatex, espessura 19mm, extremidade preparada para flange, inclusive conexões, 30”.</t>
  </si>
  <si>
    <t>4.6.1.19.1</t>
  </si>
  <si>
    <t>Tubo de aço carbono ASTM A 53 Gr. B, Galvanizado, s/ cost., SCH 40, extremidades com rosca NPT conforme ASME B 1.20.1, dimensões conforme ASME B 36.10, inclusive conexões e válvulas, 3”.</t>
  </si>
  <si>
    <t>4.6.1.20.1</t>
  </si>
  <si>
    <t>Tubo de Aço Carbono, inclusive conexões e válvulas, menores ou iguais a ø 3".</t>
  </si>
  <si>
    <t>4.6.1.20.2</t>
  </si>
  <si>
    <t>4.6.1.20.3</t>
  </si>
  <si>
    <t>4.6.1.20.4</t>
  </si>
  <si>
    <t>4.6.1.20.5</t>
  </si>
  <si>
    <t>4.6.1.20.6</t>
  </si>
  <si>
    <t>4.6.1.20.7</t>
  </si>
  <si>
    <t>4.6.1.21.1</t>
  </si>
  <si>
    <t>Tubulação de PVC rígido série R, ponta e bolsa com virola, inclusive conexões DN 100mm</t>
  </si>
  <si>
    <t>CMS M.60.40.010</t>
  </si>
  <si>
    <t>4.6.1.21.2</t>
  </si>
  <si>
    <t>4.6.1.21.3</t>
  </si>
  <si>
    <t>4.6.1.21.4</t>
  </si>
  <si>
    <t>4.6.1.21.5</t>
  </si>
  <si>
    <t>4.6.1.21.6</t>
  </si>
  <si>
    <t>Tubulação de PVC rígido série R, ponta lisa, inclusive conexões DN 150mm</t>
  </si>
  <si>
    <t>4.6.1.21.7</t>
  </si>
  <si>
    <t>4.6.1.21.8</t>
  </si>
  <si>
    <t>4.6.1.21.9</t>
  </si>
  <si>
    <t>Tubulação de PVC rígido vinilfer DEFoFo junta elástica, inclusive conexões DN 200mm</t>
  </si>
  <si>
    <t>4.6.2.1.1</t>
  </si>
  <si>
    <t>MC.030T</t>
  </si>
  <si>
    <t>Válvula Borboleta, WAFER, corpo A.C.F. ASTM A 216 Gr. WCB, disco FoFo nodular ASTM A 536 Gr. 65T, sede em BUNA-N, haste em aço inox AISI410, dimensões conforme API 609, ASME B 16.5, 150 #, acionamento M.R.V., 10”</t>
  </si>
  <si>
    <t>CMS M.60.15.000</t>
  </si>
  <si>
    <t>4.6.2.1.2</t>
  </si>
  <si>
    <t>4.6.2.1.3</t>
  </si>
  <si>
    <t>4.6.2.1.4</t>
  </si>
  <si>
    <t>4.6.2.1.5</t>
  </si>
  <si>
    <t>4.6.2.1.6</t>
  </si>
  <si>
    <t>Válvula Borboleta, WAFER, corpo A.C.F. ASTM A 216 Gr. WCB, disco FoFo nodular ASTM A 536 Gr. 65T, sede em BUNA-N, haste em aço inox AISI410, dimensões conforme API 609, ASME B 16.5, 150 #, acionamento M.R.V., 12”</t>
  </si>
  <si>
    <t>4.6.2.1.7</t>
  </si>
  <si>
    <t>Válvula Borboleta, WAFER, corpo A.C.F. ASTM A 216 Gr. WCB, disco FoFo nodular ASTM A 536 Gr. 65T, sede em BUNA-N, haste em aço inox AISI410, dimensões conforme API 609, ASME B 16.5, 150 #, acionamento M.R.V., 14”</t>
  </si>
  <si>
    <t>4.6.2.1.8</t>
  </si>
  <si>
    <t>4.6.2.1.9</t>
  </si>
  <si>
    <t>Válvula Borboleta, WAFER, corpo A.C.F. ASTM A 216 Gr. WCB, disco FoFo nodular ASTM A 536 Gr. 65T, sede em BUNA-N, haste em aço inox AISI410, dimensões conforme API 609, ASME B 16.5, 150 #, acionamento M.R.V., 16”</t>
  </si>
  <si>
    <t>4.6.2.1.10</t>
  </si>
  <si>
    <t>Válvula Borboleta, WAFER, corpo A.C.F. ASTM A 216 Gr. WCB, disco FoFo nodular ASTM A 536 Gr. 65T, sede em BUNA-N, haste em aço inox AISI410, dimensões conforme API 609, ASME B 16.5, 150 #, acionamento M.R.V., 24”</t>
  </si>
  <si>
    <t>4.6.2.1.11</t>
  </si>
  <si>
    <t>Válvula Borboleta, WAFER, corpo A.C.F. ASTM A 216 Gr. WCB, disco FoFo nodular ASTM A 536 Gr. 65T, sede em BUNA-N, haste em aço inox AISI410, dimensões conforme API 609, ASME B 16.5, 150 #, acionamento M.R.V., 28”</t>
  </si>
  <si>
    <t>4.6.2.1.12</t>
  </si>
  <si>
    <t>Válvula Borboleta, WAFER, corpo A.C.F. ASTM A 216 Gr. WCB, disco FoFo nodular ASTM A 536 Gr. 65T, sede em BUNA-N, haste em aço inox AISI410, dimensões conforme API 609, ASME B 16.5, 150 #, acionamento M.R.V., 36”</t>
  </si>
  <si>
    <t>4.6.2.2.1</t>
  </si>
  <si>
    <t>MC.031T</t>
  </si>
  <si>
    <t>VÁLVULA MANGOTE, CORPO FFU ASTM A126 CL. B, 125#, FLG FP ASME B16.1, DIMENSÕES CONF. FABRICANTE, MANGOTE PU, CORPO ABERTO, AMRV, Ø10".</t>
  </si>
  <si>
    <t>CMS M.60.15.010</t>
  </si>
  <si>
    <t>4.6.2.2.2</t>
  </si>
  <si>
    <t>4.6.2.3.1</t>
  </si>
  <si>
    <t>Válvula de Retenção Wafer,  dupla portinhola, corpo e portinholas  A.C.F.  ASTM A 216 Gr. WCB, eixo em AISI 304, mola em AISI 302, sede e  vedação em BUNA-N, 150 #,  dim. Conf.  API-594, montagem entre flanges ASME B 16.5 -150 # - RF, 10”.</t>
  </si>
  <si>
    <t>4.6.2.3.2</t>
  </si>
  <si>
    <t>Válvula de Retenção Wafer,  dupla portinhola, corpo e portinholas  A.C.F.  ASTM A 216 Gr. WCB, eixo em AISI 304, mola em AISI 302, sede e  vedação em BUNA-N, 150 #,  dim. Conf.  API-594, montagem entre flanges ASME B 16.5 -150 # - RF, 18”.</t>
  </si>
  <si>
    <t>4.6.2.3.3</t>
  </si>
  <si>
    <t>Válvula de Retenção Wafer,  dupla portinhola, corpo e portinholas  A.C.F.  ASTM A 216 Gr. WCB, eixo em AISI 304, mola em AISI 302, sede e  vedação em BUNA-N, 150 #,  dim. Conf.  API-594, montagem entre flanges ASME B 16.5 -150 # - RF, 24”.</t>
  </si>
  <si>
    <t>4.6.2.4.1</t>
  </si>
  <si>
    <t>Válvula Guilhotina, FoFo ASTM A 536 Gr. 65T, faca passante longa, em aço inox. AISI 304, WAFER, MSS-SP81, Classe 150 #, sede em borracha  natural, acionamento  por redutor e volante, com coleta de vazamento, 10”.</t>
  </si>
  <si>
    <t>4.6.2.4.2</t>
  </si>
  <si>
    <t>4.6.2.4.3</t>
  </si>
  <si>
    <t>Válvula Guilhotina, FoFo ASTM A 536 Gr. 65T, faca passante longa, em aço inox. AISI 304, WAFER, MSS-SP81, Classe 150 #, sede em borracha  natural, acionamento  por redutor e volante, com coleta de vazamento, 12”.</t>
  </si>
  <si>
    <t>4.6.2.4.4</t>
  </si>
  <si>
    <t>4.6.2.4.5</t>
  </si>
  <si>
    <t>Válvula Guilhotina, FoFo ASTM A 536 Gr. 65T, faca passante longa, em aço inox. AISI 304, WAFER, MSS-SP81, Classe 150 #, sede em borracha  natural, acionamento  por redutor e volante, com coleta de vazamento, 14”.</t>
  </si>
  <si>
    <t>4.6.2.5.1</t>
  </si>
  <si>
    <t>Válvula Reversível, carcaça em chapa soldada, três vias, sendo duas entradas e uma saída em "Y", revestimento interno e esfera em borracha, extremidades flangeadas conforme ASME B 16.5, classe 150 lbs/pol², face plana, 12”.</t>
  </si>
  <si>
    <t>4.6.2.5.2</t>
  </si>
  <si>
    <t>Válvula Reversível, carcaça em chapa soldada, três vias, sendo duas entradas e uma saída em "Y", revestimento interno e esfera em borracha, extremidades flangeadas conforme ASME B 16.5, classe 150 lbs/pol², face plana, 14”.</t>
  </si>
  <si>
    <t>4.6.2.5.3</t>
  </si>
  <si>
    <t>Válvula Reversível, carcaça em chapa soldada, três vias, sendo duas entradas e uma saída em "Y", revestimento interno e esfera em borracha, extremidades flangeadas conforme ASME B 16.5, classe 150 lbs/pol², face plana, 16”.</t>
  </si>
  <si>
    <t>4.6.2.5.4</t>
  </si>
  <si>
    <t>Válvula Reversível, carcaça em chapa soldada, três vias, sendo duas entradas e uma saída em "Y", revestimento interno e esfera em borracha, extremidades flangeadas conforme ASME B 16.5, classe 150 lbs/pol², face plana, 20”.</t>
  </si>
  <si>
    <t>4.6.2.5.5</t>
  </si>
  <si>
    <t>Válvula Reversível, carcaça em chapa soldada, três vias, sendo duas entradas e uma saída em "Y", revestimento interno e esfera em borracha, extremidades flangeadas conforme ASME B 16.5, classe 150 lbs/pol², face plana, 22”.</t>
  </si>
  <si>
    <t>4.7.1.1.1</t>
  </si>
  <si>
    <t>MC.039E</t>
  </si>
  <si>
    <t>Cabo com isolação em EPR e cobertura em PVC - Singelo - Classe de Tensão 0,6/1kV - Seção 25 mm2</t>
  </si>
  <si>
    <t>CMS M.70.10.000</t>
  </si>
  <si>
    <t>4.7.1.1.2</t>
  </si>
  <si>
    <t>4.7.1.1.3</t>
  </si>
  <si>
    <t>4.7.1.1.4</t>
  </si>
  <si>
    <t>Cabo com isolação em EPR e cobertura em PVC - Singelo - Classe de Tensão 0,6/1kV - Seção 95 mm2</t>
  </si>
  <si>
    <t>4.7.1.1.5</t>
  </si>
  <si>
    <t>4.7.1.1.6</t>
  </si>
  <si>
    <t>Cabo com isolação em EPR e cobertura em PVC - Singelo - Classe de Tensão 0,6/1kV - Seção 120 mm2</t>
  </si>
  <si>
    <t>4.7.1.1.7</t>
  </si>
  <si>
    <t>4.7.1.1.8</t>
  </si>
  <si>
    <t>Cabo com isolação em EPR e cobertura em PVC - Singelo - Classe de Tensão 0,6/1kV- Seção 150 mm2</t>
  </si>
  <si>
    <t>4.7.1.1.9</t>
  </si>
  <si>
    <t>4.7.1.1.10</t>
  </si>
  <si>
    <t>2317</t>
  </si>
  <si>
    <t>4.7.1.1.11</t>
  </si>
  <si>
    <t>2318</t>
  </si>
  <si>
    <t>4.7.1.1.12</t>
  </si>
  <si>
    <t>4.7.1.1.13</t>
  </si>
  <si>
    <t>Cabo com isolação em EPR e cobertura em PVC - Singelo - Classe de Tensão 0,6/1kV - Seção 185 mm2</t>
  </si>
  <si>
    <t>4.7.1.1.14</t>
  </si>
  <si>
    <t>4.7.1.1.15</t>
  </si>
  <si>
    <t>4.7.1.1.16</t>
  </si>
  <si>
    <t>Cabo com isolação em EPR e cobertura em PVC - Singelo - Classe de Tensão 0,6/1kV - Seção 240 mm2</t>
  </si>
  <si>
    <t>4.7.1.1.17</t>
  </si>
  <si>
    <t>4.7.1.1.18</t>
  </si>
  <si>
    <t>4.7.1.1.19</t>
  </si>
  <si>
    <t>Cabo com isolação em EPR e cobertura em PVC - Bipolar - Classe de Tensão 0,6/1kV - Seção 2 x 25 mm2</t>
  </si>
  <si>
    <t>4.7.1.1.20</t>
  </si>
  <si>
    <t>MC.040E</t>
  </si>
  <si>
    <t>Cabo com isolação em EPR e cobertura em PVC - Tripolar - Classe de Tensão 0,6/1kV - Seção 3 x 4 mm2</t>
  </si>
  <si>
    <t>CMS M.70.10.010</t>
  </si>
  <si>
    <t>4.7.1.1.21</t>
  </si>
  <si>
    <t>4.7.1.1.22</t>
  </si>
  <si>
    <t>4.7.1.1.23</t>
  </si>
  <si>
    <t>4.7.1.1.24</t>
  </si>
  <si>
    <t>Cabo com isolação em EPR e cobertura em PVC - Tripolar - Classe de Tensão 0,6/1kV - Seção 3 x 6 mm2</t>
  </si>
  <si>
    <t>4.7.1.1.25</t>
  </si>
  <si>
    <t>4.7.1.1.26</t>
  </si>
  <si>
    <t>4.7.1.1.27</t>
  </si>
  <si>
    <t>4.7.1.1.28</t>
  </si>
  <si>
    <t>Cabo com isolação em EPR e cobertura em PVC - Tripolar - Classe de Tensão 0,6/1kV - Seção 3 x 10 mm2</t>
  </si>
  <si>
    <t>4.7.1.1.29</t>
  </si>
  <si>
    <t>4.7.1.1.30</t>
  </si>
  <si>
    <t>4.7.1.1.31</t>
  </si>
  <si>
    <t>4.7.1.1.32</t>
  </si>
  <si>
    <t>Cabo com isolação em EPR e cobertura em PVC - Tripolar - Classe de Tensão 0,6/1kV - Seção 3 x 16 mm2</t>
  </si>
  <si>
    <t>4.7.1.1.33</t>
  </si>
  <si>
    <t>4.7.1.1.34</t>
  </si>
  <si>
    <t>4.7.1.1.35</t>
  </si>
  <si>
    <t>Cabo com isolação em EPR e cobertura em PVC - Tripolar - Classe de Tensão 0,6/1kV - Seção 3 x 25 mm2</t>
  </si>
  <si>
    <t>4.7.1.1.36</t>
  </si>
  <si>
    <t>4.7.1.1.37</t>
  </si>
  <si>
    <t>4.7.1.1.38</t>
  </si>
  <si>
    <t>Cabo com isolação em EPR e cobertura em PVC - Tripolar - Classe de Tensão 0,6/1kV - Seção 3 x 35 mm2</t>
  </si>
  <si>
    <t>4.7.1.1.39</t>
  </si>
  <si>
    <t>4.7.1.1.40</t>
  </si>
  <si>
    <t>4.7.1.1.41</t>
  </si>
  <si>
    <t>Cabo com isolação em EPR e cobertura em PVC - Tripolar - Classe de Tensão 0,6/1kV - Seção 3 x 50 mm2</t>
  </si>
  <si>
    <t>4.7.1.1.42</t>
  </si>
  <si>
    <t>4.7.1.1.43</t>
  </si>
  <si>
    <t>4.7.1.1.44</t>
  </si>
  <si>
    <t>Cabo com isolação em EPR e cobertura em PVC - Tripolar - Classe de Tensão 0,6/1kV - Seção 3 x 70 mm2</t>
  </si>
  <si>
    <t>4.7.1.1.45</t>
  </si>
  <si>
    <t>4.7.1.1.46</t>
  </si>
  <si>
    <t>4.7.1.1.47</t>
  </si>
  <si>
    <t>4.7.1.1.48</t>
  </si>
  <si>
    <t>4.7.1.1.49</t>
  </si>
  <si>
    <t>Cabo com isolação em EPR e cobertura em PVC - Tetrapolar - Classe de Tensão 0,6/1kV - Seção 4 x 10 mm2</t>
  </si>
  <si>
    <t>4.7.1.1.50</t>
  </si>
  <si>
    <t>4.7.1.1.51</t>
  </si>
  <si>
    <t>4.7.1.1.52</t>
  </si>
  <si>
    <t>Cabo com isolação em EPR e cobertura em PVC - Tetrapolar - Classe de Tensão 0,6/1kV - Seção 4 x 16 mm2</t>
  </si>
  <si>
    <t>4.7.1.1.53</t>
  </si>
  <si>
    <t>4.7.1.1.54</t>
  </si>
  <si>
    <t>Cabo com isolação em EPR e cobertura em PVC - Tetrapolar - Classe de Tensão 0,6/1kV - Seção 4 x 25 mm2</t>
  </si>
  <si>
    <t>4.7.1.1.55</t>
  </si>
  <si>
    <t>4.7.1.1.56</t>
  </si>
  <si>
    <t>4.7.1.1.57</t>
  </si>
  <si>
    <t>Cabo com isolação em EPR e cobertura em PVC - Tetrapolar - Classe de Tensão 0,6/1kV - Seção 4 x 35 mm2</t>
  </si>
  <si>
    <t>4.7.1.1.58</t>
  </si>
  <si>
    <t>4.7.1.1.59</t>
  </si>
  <si>
    <t>Cabo com isolação em EPR e cobertura em PVC - Tetrapolar - Classe de Tensão 0,6/1kV - Seção 4 x 70 mm2</t>
  </si>
  <si>
    <t>4.7.1.2.1</t>
  </si>
  <si>
    <t>Cabo tripolar com condutor concêntrico e blindagem, encordoamento classe 5, com isolação sólida extrudada de EPR e cobertura flexível de PVC- Seção 3x4 mm2+1x4mm2 - Classe de Tensão 0,6/1kV.</t>
  </si>
  <si>
    <t>4.7.1.2.2</t>
  </si>
  <si>
    <t>Cabo tripolar com condutor concêntrico e blindagem, encordoamento classe 5, com isolação sólida extrudada de EPR e cobertura flexível de PVC- Seção 3x6mm2+1x6mm2 - Classe de Tensão 0,6/1kV.</t>
  </si>
  <si>
    <t>4.7.1.2.3</t>
  </si>
  <si>
    <t>4.7.1.2.4</t>
  </si>
  <si>
    <t>Cabo tripolar com condutor concêntrico e blindagem, encordoamento classe 5, com isolação sólida extrudada de EPR e cobertura flexível de PVC- Seção 3x16mm2+1x16mm2 - Classe de Tensão 0,6/1kV.</t>
  </si>
  <si>
    <t>4.7.1.2.5</t>
  </si>
  <si>
    <t>Cabo tripolar com condutor concêntrico e blindagem, encordoamento classe 5, com isolação sólida extrudada de EPR e cobertura flexível de PVC- Seção 3x25mm2+1x16mm2 - Classe de Tensão 0,6/1kV.</t>
  </si>
  <si>
    <t>4.7.1.2.6</t>
  </si>
  <si>
    <t>4.7.1.2.7</t>
  </si>
  <si>
    <t>Cabo tripolar com condutor concêntrico e blindagem, encordoamento classe 5, com isolação sólida extrudada de EPR e cobertura flexível de PVC- Seção 3x35mm2+1x16mm2 - Classe de Tensão 0,6/1kV.</t>
  </si>
  <si>
    <t>4.7.1.2.8</t>
  </si>
  <si>
    <t>Cabo tripolar com condutor concêntrico e blindagem, encordoamento classe 5, com isolação sólida extrudada de EPR e cobertura flexível de PVC- Seção 3x50mm2+1x25mm2 - Classe de Tensão 0,6/1kV.</t>
  </si>
  <si>
    <t>4.7.1.2.9</t>
  </si>
  <si>
    <t>4.7.1.2.10</t>
  </si>
  <si>
    <t>Cabo tripolar com condutor concêntrico e blindagem, encordoamento classe 5, com isolação sólida extrudada de EPR e cobertura flexível de PVC- Seção 3x70mm2+1x35mm2 - Classe de Tensão 0,6/1kV.</t>
  </si>
  <si>
    <t>4.7.1.2.11</t>
  </si>
  <si>
    <t>4.7.1.2.12</t>
  </si>
  <si>
    <t>Cabo tripolar com condutor concêntrico e blindagem, encordoamento classe 5, com isolação sólida extrudada de EPR e cobertura flexível de PVC- Seção 3x95mm2+1x50mm2 - Classe de Tensão 0,6/1kV.</t>
  </si>
  <si>
    <t>4.7.1.2.13</t>
  </si>
  <si>
    <t>4.7.1.2.14</t>
  </si>
  <si>
    <t>4.7.1.3.1</t>
  </si>
  <si>
    <t>4.7.1.3.2</t>
  </si>
  <si>
    <t>4.7.1.3.3</t>
  </si>
  <si>
    <t>Cabo com isolação em EPR - Singelo - Classe de Tensão 3,6/6kV - Seção 95 mm2</t>
  </si>
  <si>
    <t>4.7.1.3.4</t>
  </si>
  <si>
    <t>Cabo com isolação em EPR - Singelo - Classe de Tensão 3,6/6kV - Seção 120 mm2</t>
  </si>
  <si>
    <t>4.7.1.3.5</t>
  </si>
  <si>
    <t>4.7.1.3.6</t>
  </si>
  <si>
    <t>4.7.1.3.7</t>
  </si>
  <si>
    <t>Cabo com isolação em EPR - Singelo - Classe de Tensão 3,6/6kV - Seção 185 mm2</t>
  </si>
  <si>
    <t>4.7.1.3.8</t>
  </si>
  <si>
    <t>Cabo com isolação em EPR - Singelo - Classe de Tensão 3,6/6kV - Seção 240 mm2</t>
  </si>
  <si>
    <t>4.7.1.3.9</t>
  </si>
  <si>
    <t>Cabo com isolação em EPR - tripolar - Classe de Tensão 3,6/6kV - Seção 3 x 35 mm2</t>
  </si>
  <si>
    <t>4.7.1.3.10</t>
  </si>
  <si>
    <t>Cabo com isolação em EPR - tripolar - Classe de Tensão 3,6/6kV - Seção 3 x 50 mm2</t>
  </si>
  <si>
    <t>4.7.1.3.11</t>
  </si>
  <si>
    <t>4.7.1.4.1</t>
  </si>
  <si>
    <t>Cabo com isolação em EPR - Singelo- Classe de Tensão6/10 kV - Seção 150 mm2</t>
  </si>
  <si>
    <t>4.7.1.5.1</t>
  </si>
  <si>
    <t>Cabo com isolação em EPR - Singelo- Classe de Tensão 12/20 kV - Seção 70 mm2</t>
  </si>
  <si>
    <t>4.7.1.5.2</t>
  </si>
  <si>
    <t>4.7.1.5.3</t>
  </si>
  <si>
    <t>4.7.1.5.4</t>
  </si>
  <si>
    <t>Cabo com isolação em EPR - Singelo- Classe de Tensão 12/20 kV - Seção 95 mm2</t>
  </si>
  <si>
    <t>4.7.1.5.5</t>
  </si>
  <si>
    <t>Cabo com isolação em EPR - Singelo- Classe de Tensão 12/20 kV - Seção 120 mm2</t>
  </si>
  <si>
    <t>4.7.1.5.6</t>
  </si>
  <si>
    <t>Cabo com isolação em EPR - Singelo- Classe de Tensão 12/20 kV - Seção 150 mm2</t>
  </si>
  <si>
    <t>4.7.1.5.7</t>
  </si>
  <si>
    <t>Cabo com isolação em EPR - Singelo- Classe de Tensão 12/20 kV - Seção 185 mm2</t>
  </si>
  <si>
    <t>4.7.1.5.8</t>
  </si>
  <si>
    <t>4.7.1.5.9</t>
  </si>
  <si>
    <t>Cabo com isolação em EPR - Singelo- Classe de Tensão 12/20 kV - Seção 240 mm2</t>
  </si>
  <si>
    <t>4.7.1.6.1</t>
  </si>
  <si>
    <t>4.7.1.6.2</t>
  </si>
  <si>
    <t>4.7.1.6.3</t>
  </si>
  <si>
    <t>4.7.1.6.4</t>
  </si>
  <si>
    <t>4.7.1.6.5</t>
  </si>
  <si>
    <t>4.7.1.6.6</t>
  </si>
  <si>
    <t>4.7.1.6.7</t>
  </si>
  <si>
    <t>4.7.1.6.8</t>
  </si>
  <si>
    <t>4.7.1.6.9</t>
  </si>
  <si>
    <t>4.7.1.6.10</t>
  </si>
  <si>
    <t>4.7.1.6.11</t>
  </si>
  <si>
    <t>4.7.1.6.12</t>
  </si>
  <si>
    <t>4.7.1.6.13</t>
  </si>
  <si>
    <t>4.7.1.6.14</t>
  </si>
  <si>
    <t>4.7.1.6.15</t>
  </si>
  <si>
    <t>4.7.1.6.16</t>
  </si>
  <si>
    <t>4.7.1.6.17</t>
  </si>
  <si>
    <t>2323</t>
  </si>
  <si>
    <t>4.7.1.6.18</t>
  </si>
  <si>
    <t>4.7.1.6.19</t>
  </si>
  <si>
    <t>2327</t>
  </si>
  <si>
    <t>4.7.1.6.20</t>
  </si>
  <si>
    <t>4.7.1.6.21</t>
  </si>
  <si>
    <t>Cabo de cobre unipolar classe 5, com isolação em PVC - 750V - seção 4mm²</t>
  </si>
  <si>
    <t>4.7.1.6.22</t>
  </si>
  <si>
    <t>4.7.1.6.23</t>
  </si>
  <si>
    <t>4.7.1.6.24</t>
  </si>
  <si>
    <t>4.7.1.6.25</t>
  </si>
  <si>
    <t>4.7.1.6.26</t>
  </si>
  <si>
    <t>4.7.1.6.27</t>
  </si>
  <si>
    <t>4.7.1.6.28</t>
  </si>
  <si>
    <t>4.7.1.6.29</t>
  </si>
  <si>
    <t>4.7.1.6.30</t>
  </si>
  <si>
    <t>4.7.1.6.31</t>
  </si>
  <si>
    <t>4.7.1.6.32</t>
  </si>
  <si>
    <t>4.7.1.6.33</t>
  </si>
  <si>
    <t>4.7.1.6.34</t>
  </si>
  <si>
    <t>4.7.1.6.35</t>
  </si>
  <si>
    <t>4.7.1.6.36</t>
  </si>
  <si>
    <t>4.7.1.6.37</t>
  </si>
  <si>
    <t>4.7.1.6.38</t>
  </si>
  <si>
    <t>4.7.1.6.39</t>
  </si>
  <si>
    <t>4.7.1.6.40</t>
  </si>
  <si>
    <t>Cabo de cobre unipolar classe 5, com isolação em PVC - 750V - seção 6mm²</t>
  </si>
  <si>
    <t>4.7.1.6.41</t>
  </si>
  <si>
    <t>4.7.1.6.42</t>
  </si>
  <si>
    <t>4.7.1.6.43</t>
  </si>
  <si>
    <t>4.7.1.6.44</t>
  </si>
  <si>
    <t>4.7.1.6.45</t>
  </si>
  <si>
    <t>4.7.1.6.46</t>
  </si>
  <si>
    <t>4.7.1.6.47</t>
  </si>
  <si>
    <t>4.7.1.6.48</t>
  </si>
  <si>
    <t>4.7.1.6.49</t>
  </si>
  <si>
    <t>4.7.1.6.50</t>
  </si>
  <si>
    <t>4.7.1.6.51</t>
  </si>
  <si>
    <t>4.7.1.6.52</t>
  </si>
  <si>
    <t>4.7.1.6.53</t>
  </si>
  <si>
    <t>4.7.1.6.54</t>
  </si>
  <si>
    <t>Cabo de cobre unipolar classe 5, com isolação em PVC - 750V - seção 10mm²</t>
  </si>
  <si>
    <t>4.7.1.6.55</t>
  </si>
  <si>
    <t>4.7.1.6.56</t>
  </si>
  <si>
    <t>4.7.1.6.57</t>
  </si>
  <si>
    <t>4.7.1.6.58</t>
  </si>
  <si>
    <t>4.7.1.6.59</t>
  </si>
  <si>
    <t>4.7.1.6.60</t>
  </si>
  <si>
    <t>4.7.1.6.61</t>
  </si>
  <si>
    <t>4.7.1.6.62</t>
  </si>
  <si>
    <t>Cabo de cobre unipolar classe 5, com isolação em PVC - 750V - seção 16mm²</t>
  </si>
  <si>
    <t>4.7.1.6.63</t>
  </si>
  <si>
    <t>4.7.1.6.64</t>
  </si>
  <si>
    <t>4.7.1.6.65</t>
  </si>
  <si>
    <t>4.7.1.6.66</t>
  </si>
  <si>
    <t>4.7.1.6.67</t>
  </si>
  <si>
    <t>4.7.1.6.68</t>
  </si>
  <si>
    <t>4.7.1.6.69</t>
  </si>
  <si>
    <t>CMS M.70.10.510</t>
  </si>
  <si>
    <t>4.7.1.6.70</t>
  </si>
  <si>
    <t>4.7.2.1.1</t>
  </si>
  <si>
    <t>4.7.2.1.2</t>
  </si>
  <si>
    <t>4.7.2.1.3</t>
  </si>
  <si>
    <t>4.7.2.1.4</t>
  </si>
  <si>
    <t>Cabo de instrumentação flexível, 2 condutores de cobre estanhado, blindagem individual (por par), encordoamento classe 2, isolação em PVC anti-chama, temperatura de serviço 70ºC, 300/600V, condutores nas cores BRANCO e PRETO - 1P x 1,00mm2</t>
  </si>
  <si>
    <t>4.7.2.1.5</t>
  </si>
  <si>
    <t>4.7.2.1.6</t>
  </si>
  <si>
    <t>4.7.2.1.7</t>
  </si>
  <si>
    <t>Cabo de instrumentação, condutores de cobre nu, blindagem total, encordoamento classe 2, isolação em PVC antichama, temperatura de serviço 70ºC, 300/600V, condutores numerados - Seção 3 x 1,00mm2</t>
  </si>
  <si>
    <t>4.7.2.1.8</t>
  </si>
  <si>
    <t>4.7.2.1.9</t>
  </si>
  <si>
    <t>4.7.2.1.10</t>
  </si>
  <si>
    <t>Cabo de instrumentação, condutores de cobre nu, blindagem total, encordoamento classe 2, isolação em PVC antichama, temperatura de serviço 70ºC, 300/600V, condutores numerados - Seção 4 x 1,00mm2</t>
  </si>
  <si>
    <t>4.7.2.1.11</t>
  </si>
  <si>
    <t>4.7.2.1.12</t>
  </si>
  <si>
    <t>4.7.2.1.13</t>
  </si>
  <si>
    <t>4.7.2.1.14</t>
  </si>
  <si>
    <t>4.7.2.1.15</t>
  </si>
  <si>
    <t>Cabo de instrumentação flexível, condutores de cobre estanhado, blindagem individual (por trio) e total, classe 2, isolação em PVC anti-chama, 70ºC, 300/600V, condutores nas cores BRANCO, PRETO e VERMELHO - 4T x 1,00mm2</t>
  </si>
  <si>
    <t>4.7.2.1.16</t>
  </si>
  <si>
    <t>4.7.2.1.17</t>
  </si>
  <si>
    <t>4.7.2.1.18</t>
  </si>
  <si>
    <t>Cabo de instrumentação flexível, condutores de cobre estanhado, blindagem individual (por trio) e total, classe 2, isolação em PVC anti-chama, 70ºC, 300/600V, condutores nas cores BRANCO, PRETO e VERMELHO - 8T x 1,00mm2</t>
  </si>
  <si>
    <t>4.7.2.1.19</t>
  </si>
  <si>
    <t>4.7.2.1.20</t>
  </si>
  <si>
    <t>4.7.2.1.21</t>
  </si>
  <si>
    <t>Cabo de instrumentação flexível, condutores de cobre estanhado, blindagem individual (por par) e total, classe 2, isolação em PVC anti-chama, 70ºC, 300/600V, condutores nas cores BRANCO e PRETO - 4P x 1,00mm2</t>
  </si>
  <si>
    <t>4.7.2.1.22</t>
  </si>
  <si>
    <t>4.7.2.1.23</t>
  </si>
  <si>
    <t>4.7.2.1.24</t>
  </si>
  <si>
    <t>Cabo de instrumentação flexível, condutores de cobre estanhado, blindagem individual (por par) e total, classe 2, isolação em PVC anti-chama, 70ºC, 300/600V, condutores nas cores BRANCO e PRETO - 8P x 1,00mm2</t>
  </si>
  <si>
    <t>4.7.2.1.25</t>
  </si>
  <si>
    <t>4.7.2.1.26</t>
  </si>
  <si>
    <t>4.7.2.1.27</t>
  </si>
  <si>
    <t>Cabo de instrumentação flexível, condutores de cobre estanhado, blindagem individual (por par) e total, classe 2, isolação em PVC anti-chama, 70ºC, 300/600V, condutores nas cores BRANCO e PRETO - 12P x 1,00mm2</t>
  </si>
  <si>
    <t>4.7.2.1.28</t>
  </si>
  <si>
    <t>4.7.2.1.29</t>
  </si>
  <si>
    <t>4.7.2.1.30</t>
  </si>
  <si>
    <t>Cabo de instrumentação flexível, condutores de cobre estanhado, blindagem individual (por par) e total, classe 2, isolação em PVC anti-chama, 70ºC, 300/600V, condutores nas cores BRANCO e PRETO - 16P x 1,00mm2</t>
  </si>
  <si>
    <t>4.7.2.1.31</t>
  </si>
  <si>
    <t>4.7.2.1.32</t>
  </si>
  <si>
    <t>4.7.2.2.1</t>
  </si>
  <si>
    <t>4.7.2.2.2</t>
  </si>
  <si>
    <t>4.7.2.2.3</t>
  </si>
  <si>
    <t>4.7.2.2.4</t>
  </si>
  <si>
    <t>4.7.2.2.5</t>
  </si>
  <si>
    <t>4.7.2.2.6</t>
  </si>
  <si>
    <t>4.7.2.2.7</t>
  </si>
  <si>
    <t>4.7.2.2.8</t>
  </si>
  <si>
    <t>4.7.2.2.9</t>
  </si>
  <si>
    <t>Cabo de controle, condutores de cobre nu, sem blindagem, encordoamento classe 5, isolação em PVC antichama, temperatura de serviço 70ºC, 0,6/1kV, condutores numerados - Seção 9 x 1,5mm2</t>
  </si>
  <si>
    <t>4.7.2.2.10</t>
  </si>
  <si>
    <t>4.7.2.2.11</t>
  </si>
  <si>
    <t>4.7.2.2.12</t>
  </si>
  <si>
    <t>4.7.2.2.13</t>
  </si>
  <si>
    <t>Cabo de controle, condutores de cobre nú, sem blindagem, encordoamento classe 5, isolação em PVC antichama, temperatura de serviço 70ºC, 0,6/1kV, condutores numerados - Seção 15 x 1,5mm2</t>
  </si>
  <si>
    <t>4.7.2.2.14</t>
  </si>
  <si>
    <t>4.7.2.2.15</t>
  </si>
  <si>
    <t>4.7.2.2.16</t>
  </si>
  <si>
    <t>Cabo de controle, condutores de cobre nú, sem blindagem, encordoamento classe 5, isolação em PVC antichama, temperatura de serviço 70ºC, 0,6/1kV, condutores numerados - Seção 20 x 1,5mm2</t>
  </si>
  <si>
    <t>4.7.2.2.17</t>
  </si>
  <si>
    <t>4.7.2.2.18</t>
  </si>
  <si>
    <t>4.7.2.2.19</t>
  </si>
  <si>
    <t>Cabo de controle, condutores de cobre nú, sem blindagem, encordoamento classe 5, isolação em PVC antichama, temperatura de serviço 70ºC, 0,6/1kV, condutores numerados - Seção 3 x 2,5mm2</t>
  </si>
  <si>
    <t>4.7.2.2.20</t>
  </si>
  <si>
    <t>4.7.2.2.21</t>
  </si>
  <si>
    <t>4.7.2.2.22</t>
  </si>
  <si>
    <t>4.7.2.2.23</t>
  </si>
  <si>
    <t>4.7.2.2.24</t>
  </si>
  <si>
    <t>4.7.2.2.25</t>
  </si>
  <si>
    <t>4.7.2.2.26</t>
  </si>
  <si>
    <t>4.7.2.2.27</t>
  </si>
  <si>
    <t>4.7.2.3.1</t>
  </si>
  <si>
    <t>0104</t>
  </si>
  <si>
    <t>Conector Fêmea RJ-45 Cat.6 - MEM 01</t>
  </si>
  <si>
    <t>4.7.2.3.2</t>
  </si>
  <si>
    <t>Conector macho RJ-45 Cat.6 - MEM 01</t>
  </si>
  <si>
    <t>4.7.2.3.3</t>
  </si>
  <si>
    <t>Cabo F/UTP ou S/UTP. Lançamento externo, Cat.6 - MEM 01</t>
  </si>
  <si>
    <t>4.7.2.4.1</t>
  </si>
  <si>
    <t>Cabo ótico para instalação externa em dutos, núcleo seco, 6 veias, monomodo - MEM 01</t>
  </si>
  <si>
    <t>CMS M.70.15.120</t>
  </si>
  <si>
    <t>4.7.2.4.2</t>
  </si>
  <si>
    <t>Cabo ótico para instalação externa em dutos, núcleo seco, 6 veias, monomodo</t>
  </si>
  <si>
    <t>4.7.2.4.3</t>
  </si>
  <si>
    <t>4.7.2.4.4</t>
  </si>
  <si>
    <t>4.7.2.4.5</t>
  </si>
  <si>
    <t>Cabo ótico para instalação externa em dutos, núcleo seco, 12 veias, monomodo - MEM 01</t>
  </si>
  <si>
    <t>4.7.2.5.1</t>
  </si>
  <si>
    <t>Cabo para rede de comunicação industrial, fieldbus, Profibus DP - tipo A, Cabo par trançado blindado, impedância 135 a 165 Ohms, capacitância &lt; 30 pf/m, resistência 110 Ohms/km, área do condutor &gt; 0.34mm2</t>
  </si>
  <si>
    <t>4.7.2.5.2</t>
  </si>
  <si>
    <t>4.7.2.5.3</t>
  </si>
  <si>
    <t>4.7.2.5.4</t>
  </si>
  <si>
    <t>Cabo para rede fieldbus, Profibus PA - Cabo par trançado blindado, área do condutor 0.8 mm2 (AWG 18), resistência de loop 44 ohms/Km, impedância à 31.25 KHz 100 ohms +/-20%, atenuação à 39 KHz 3 dB/Km, capacitância assimétrica 2 nF/Km</t>
  </si>
  <si>
    <t>4.7.2.5.5</t>
  </si>
  <si>
    <t>4.7.2.5.6</t>
  </si>
  <si>
    <t>4.7.2.6.1</t>
  </si>
  <si>
    <t>Cordão óptico duplex, fibra multimodo, comprimento 50 metros</t>
  </si>
  <si>
    <t>4.7.2.6.2</t>
  </si>
  <si>
    <t>4.7.2.6.3</t>
  </si>
  <si>
    <t>4.7.2.6.4</t>
  </si>
  <si>
    <t>Cordão óptico duplex, fibra monomodo, comprimento 50 metros</t>
  </si>
  <si>
    <t>4.7.2.6.5</t>
  </si>
  <si>
    <t>4.7.2.6.6</t>
  </si>
  <si>
    <t>4.7.2.7.1</t>
  </si>
  <si>
    <t>Caixa de emenda óptica para 24 veias, compatível com cabo monomodo - MEM 01</t>
  </si>
  <si>
    <t>4.7.2.7.2</t>
  </si>
  <si>
    <t>Caixa de emenda óptica para 48 veias, compatível com cabo monomodo - MEM 01</t>
  </si>
  <si>
    <t>4.7.3.1.1</t>
  </si>
  <si>
    <t>MC.041E</t>
  </si>
  <si>
    <t>CMS M.70.30.000</t>
  </si>
  <si>
    <t>4.7.3.1.2</t>
  </si>
  <si>
    <t>4.7.3.1.3</t>
  </si>
  <si>
    <t>4.7.3.1.4</t>
  </si>
  <si>
    <t>4.7.3.1.5</t>
  </si>
  <si>
    <t>4.7.3.1.6</t>
  </si>
  <si>
    <t>4.7.3.1.7</t>
  </si>
  <si>
    <t>4.7.3.1.8</t>
  </si>
  <si>
    <t>4.7.3.1.9</t>
  </si>
  <si>
    <t>4.7.3.1.10</t>
  </si>
  <si>
    <t>4.7.3.1.11</t>
  </si>
  <si>
    <t>4.7.3.1.12</t>
  </si>
  <si>
    <t>4.7.3.1.13</t>
  </si>
  <si>
    <t>4.7.3.1.14</t>
  </si>
  <si>
    <t>4.7.3.1.15</t>
  </si>
  <si>
    <t>4.7.3.1.16</t>
  </si>
  <si>
    <t>4.7.3.1.17</t>
  </si>
  <si>
    <t>4.7.3.1.18</t>
  </si>
  <si>
    <t>4.7.3.1.19</t>
  </si>
  <si>
    <t>4.7.3.1.20</t>
  </si>
  <si>
    <t>4.7.3.1.21</t>
  </si>
  <si>
    <t>4.7.3.1.22</t>
  </si>
  <si>
    <t>4.7.3.1.23</t>
  </si>
  <si>
    <t>4.7.3.1.24</t>
  </si>
  <si>
    <t>4.7.3.1.25</t>
  </si>
  <si>
    <t>4.7.3.1.26</t>
  </si>
  <si>
    <t>4.7.3.1.27</t>
  </si>
  <si>
    <t>4.7.3.1.28</t>
  </si>
  <si>
    <t>4.7.3.1.29</t>
  </si>
  <si>
    <t>4.7.3.1.30</t>
  </si>
  <si>
    <t>4.7.3.1.31</t>
  </si>
  <si>
    <t>4.7.3.1.32</t>
  </si>
  <si>
    <t>4.7.3.1.33</t>
  </si>
  <si>
    <t>4.7.3.1.34</t>
  </si>
  <si>
    <t>4.7.3.1.35</t>
  </si>
  <si>
    <t>4.7.3.1.36</t>
  </si>
  <si>
    <t>4.7.3.1.37</t>
  </si>
  <si>
    <t>4.7.3.1.38</t>
  </si>
  <si>
    <t>4.7.3.1.39</t>
  </si>
  <si>
    <t>4.7.3.1.40</t>
  </si>
  <si>
    <t>4.7.3.1.41</t>
  </si>
  <si>
    <t>4.7.3.1.42</t>
  </si>
  <si>
    <t>4.7.3.1.43</t>
  </si>
  <si>
    <t>4.7.3.1.44</t>
  </si>
  <si>
    <t>4.7.3.1.45</t>
  </si>
  <si>
    <t>4.7.3.1.46</t>
  </si>
  <si>
    <t>4.7.3.1.47</t>
  </si>
  <si>
    <t>4.7.3.1.48</t>
  </si>
  <si>
    <t>4.7.3.1.49</t>
  </si>
  <si>
    <t>4.7.3.1.50</t>
  </si>
  <si>
    <t>4.7.3.1.51</t>
  </si>
  <si>
    <t>4.7.3.1.52</t>
  </si>
  <si>
    <t>4.7.3.1.53</t>
  </si>
  <si>
    <t>4.7.3.1.54</t>
  </si>
  <si>
    <t>4.7.3.1.55</t>
  </si>
  <si>
    <t>4.7.3.1.56</t>
  </si>
  <si>
    <t>4.7.3.1.57</t>
  </si>
  <si>
    <t>4.7.3.1.58</t>
  </si>
  <si>
    <t>4.7.3.1.59</t>
  </si>
  <si>
    <t>4.7.3.1.60</t>
  </si>
  <si>
    <t>4.7.3.1.61</t>
  </si>
  <si>
    <t>4.7.3.1.62</t>
  </si>
  <si>
    <t>4.7.3.1.63</t>
  </si>
  <si>
    <t>4.7.3.1.64</t>
  </si>
  <si>
    <t>4.7.3.1.65</t>
  </si>
  <si>
    <t>4.7.3.1.66</t>
  </si>
  <si>
    <t>4.7.3.1.67</t>
  </si>
  <si>
    <t>4.7.3.1.68</t>
  </si>
  <si>
    <t>4.7.3.1.69</t>
  </si>
  <si>
    <t>4.7.3.1.70</t>
  </si>
  <si>
    <t>4.7.3.1.71</t>
  </si>
  <si>
    <t>4.7.3.1.72</t>
  </si>
  <si>
    <t>4.7.3.1.73</t>
  </si>
  <si>
    <t>4.7.3.1.74</t>
  </si>
  <si>
    <t>4.7.3.1.75</t>
  </si>
  <si>
    <t>4.7.3.1.76</t>
  </si>
  <si>
    <t>4.7.3.1.77</t>
  </si>
  <si>
    <t>4.7.3.1.78</t>
  </si>
  <si>
    <t>4.7.3.1.79</t>
  </si>
  <si>
    <t>4.7.3.1.80</t>
  </si>
  <si>
    <t>4.7.3.1.81</t>
  </si>
  <si>
    <t>4.7.3.1.82</t>
  </si>
  <si>
    <t>4.7.3.1.83</t>
  </si>
  <si>
    <t>4.7.3.1.84</t>
  </si>
  <si>
    <t>4.7.3.1.85</t>
  </si>
  <si>
    <t>4.7.3.1.86</t>
  </si>
  <si>
    <t>4.7.3.1.87</t>
  </si>
  <si>
    <t>4.7.3.1.88</t>
  </si>
  <si>
    <t>4.7.3.1.89</t>
  </si>
  <si>
    <t>4.7.3.1.90</t>
  </si>
  <si>
    <t>4.7.3.1.91</t>
  </si>
  <si>
    <t>4.7.3.1.92</t>
  </si>
  <si>
    <t>4.7.3.1.93</t>
  </si>
  <si>
    <t>4.7.3.1.94</t>
  </si>
  <si>
    <t>4.7.3.1.95</t>
  </si>
  <si>
    <t>4.7.3.1.96</t>
  </si>
  <si>
    <t>4.7.3.1.97</t>
  </si>
  <si>
    <t>4.7.3.1.98</t>
  </si>
  <si>
    <t>4.7.3.1.99</t>
  </si>
  <si>
    <t>4.7.3.1.100</t>
  </si>
  <si>
    <t>4.7.3.1.101</t>
  </si>
  <si>
    <t>4.7.3.1.102</t>
  </si>
  <si>
    <t>4.7.3.1.103</t>
  </si>
  <si>
    <t>4.7.3.1.104</t>
  </si>
  <si>
    <t>4.7.3.1.105</t>
  </si>
  <si>
    <t>4.7.3.1.106</t>
  </si>
  <si>
    <t>4.7.3.1.107</t>
  </si>
  <si>
    <t>4.7.3.1.108</t>
  </si>
  <si>
    <t>4.7.3.1.109</t>
  </si>
  <si>
    <t>4.7.3.1.110</t>
  </si>
  <si>
    <t>4.7.3.1.111</t>
  </si>
  <si>
    <t>4.7.3.1.112</t>
  </si>
  <si>
    <t>CMS M.70.30.500</t>
  </si>
  <si>
    <t>4.7.3.1.113</t>
  </si>
  <si>
    <t>4.7.3.1.114</t>
  </si>
  <si>
    <t>4.7.3.1.115</t>
  </si>
  <si>
    <t>4.7.3.2.1</t>
  </si>
  <si>
    <t>4.7.3.2.2</t>
  </si>
  <si>
    <t>4.7.3.2.3</t>
  </si>
  <si>
    <t>4.7.3.2.4</t>
  </si>
  <si>
    <t>4.7.3.2.5</t>
  </si>
  <si>
    <t>4.7.3.2.6</t>
  </si>
  <si>
    <t>4.7.3.2.7</t>
  </si>
  <si>
    <t>4.7.3.2.8</t>
  </si>
  <si>
    <t>4.7.3.2.9</t>
  </si>
  <si>
    <t>4.7.3.2.10</t>
  </si>
  <si>
    <t>4.7.3.2.11</t>
  </si>
  <si>
    <t>4.7.3.2.12</t>
  </si>
  <si>
    <t>4.7.3.2.13</t>
  </si>
  <si>
    <t>4.7.3.2.14</t>
  </si>
  <si>
    <t>4.7.3.2.15</t>
  </si>
  <si>
    <t>4.7.3.2.16</t>
  </si>
  <si>
    <t>4.7.3.2.17</t>
  </si>
  <si>
    <t>4.7.3.2.18</t>
  </si>
  <si>
    <t>4.7.3.2.19</t>
  </si>
  <si>
    <t>4.7.3.2.20</t>
  </si>
  <si>
    <t>4.7.3.2.21</t>
  </si>
  <si>
    <t>4.7.3.2.22</t>
  </si>
  <si>
    <t>4.7.3.2.23</t>
  </si>
  <si>
    <t>4.7.3.2.24</t>
  </si>
  <si>
    <t>4.7.3.2.25</t>
  </si>
  <si>
    <t>4.7.3.2.26</t>
  </si>
  <si>
    <t>4.7.3.2.27</t>
  </si>
  <si>
    <t>4.7.3.2.28</t>
  </si>
  <si>
    <t>4.7.3.2.29</t>
  </si>
  <si>
    <t>4.7.3.2.30</t>
  </si>
  <si>
    <t>4.7.3.2.31</t>
  </si>
  <si>
    <t>4.7.3.2.32</t>
  </si>
  <si>
    <t>4.7.3.2.33</t>
  </si>
  <si>
    <t>4.7.3.2.34</t>
  </si>
  <si>
    <t>4.7.3.2.35</t>
  </si>
  <si>
    <t>4.7.3.2.36</t>
  </si>
  <si>
    <t>4.7.3.2.37</t>
  </si>
  <si>
    <t>4.7.3.2.38</t>
  </si>
  <si>
    <t>4.7.3.2.39</t>
  </si>
  <si>
    <t>4.7.3.2.40</t>
  </si>
  <si>
    <t>4.7.3.2.41</t>
  </si>
  <si>
    <t>4.7.3.2.42</t>
  </si>
  <si>
    <t>4.7.3.2.43</t>
  </si>
  <si>
    <t>4.7.3.2.44</t>
  </si>
  <si>
    <t>4.7.3.2.45</t>
  </si>
  <si>
    <t>4.7.3.2.46</t>
  </si>
  <si>
    <t>4.7.3.2.47</t>
  </si>
  <si>
    <t>4.7.3.2.48</t>
  </si>
  <si>
    <t>4.7.3.2.49</t>
  </si>
  <si>
    <t>4.7.3.2.50</t>
  </si>
  <si>
    <t>4.7.3.2.51</t>
  </si>
  <si>
    <t>4.7.3.2.52</t>
  </si>
  <si>
    <t>4.7.3.2.53</t>
  </si>
  <si>
    <t>4.7.3.2.54</t>
  </si>
  <si>
    <t>4.7.3.2.55</t>
  </si>
  <si>
    <t>4.7.3.2.56</t>
  </si>
  <si>
    <t>4.7.3.2.57</t>
  </si>
  <si>
    <t>4.7.3.2.58</t>
  </si>
  <si>
    <t>4.7.3.2.59</t>
  </si>
  <si>
    <t>4.7.3.2.60</t>
  </si>
  <si>
    <t>4.7.3.2.61</t>
  </si>
  <si>
    <t>4.7.3.2.62</t>
  </si>
  <si>
    <t>4.7.3.2.63</t>
  </si>
  <si>
    <t>4.7.3.2.64</t>
  </si>
  <si>
    <t>4.7.3.2.65</t>
  </si>
  <si>
    <t>4.7.3.2.66</t>
  </si>
  <si>
    <t>4.7.3.2.67</t>
  </si>
  <si>
    <t>4.7.3.2.68</t>
  </si>
  <si>
    <t>4.7.3.2.69</t>
  </si>
  <si>
    <t>4.7.3.2.70</t>
  </si>
  <si>
    <t>4.7.3.2.71</t>
  </si>
  <si>
    <t>4.7.3.2.72</t>
  </si>
  <si>
    <t>4.7.3.2.73</t>
  </si>
  <si>
    <t>4.7.3.2.74</t>
  </si>
  <si>
    <t>4.7.3.2.75</t>
  </si>
  <si>
    <t>4.7.3.2.76</t>
  </si>
  <si>
    <t>4.7.3.2.77</t>
  </si>
  <si>
    <t>4.7.3.2.78</t>
  </si>
  <si>
    <t>4.7.3.2.79</t>
  </si>
  <si>
    <t>4.7.3.2.80</t>
  </si>
  <si>
    <t>4.7.3.2.81</t>
  </si>
  <si>
    <t>4.7.3.2.82</t>
  </si>
  <si>
    <t>4.7.3.2.83</t>
  </si>
  <si>
    <t>4.7.3.2.84</t>
  </si>
  <si>
    <t>4.7.3.2.85</t>
  </si>
  <si>
    <t>4.7.3.2.86</t>
  </si>
  <si>
    <t>4.7.3.2.87</t>
  </si>
  <si>
    <t>4.7.3.2.88</t>
  </si>
  <si>
    <t>4.7.3.2.89</t>
  </si>
  <si>
    <t>4.7.3.2.90</t>
  </si>
  <si>
    <t>4.7.3.2.91</t>
  </si>
  <si>
    <t>4.7.3.2.92</t>
  </si>
  <si>
    <t>4.7.3.2.93</t>
  </si>
  <si>
    <t>4.7.3.2.94</t>
  </si>
  <si>
    <t>4.7.3.2.95</t>
  </si>
  <si>
    <t>4.7.3.2.96</t>
  </si>
  <si>
    <t>4.7.3.2.97</t>
  </si>
  <si>
    <t>4.7.3.2.98</t>
  </si>
  <si>
    <t>4.7.3.2.99</t>
  </si>
  <si>
    <t>4.7.3.2.100</t>
  </si>
  <si>
    <t>4.7.3.2.101</t>
  </si>
  <si>
    <t>4.7.3.2.102</t>
  </si>
  <si>
    <t>4.7.3.2.103</t>
  </si>
  <si>
    <t>4.7.3.2.104</t>
  </si>
  <si>
    <t>4.7.3.2.105</t>
  </si>
  <si>
    <t>4.7.3.2.106</t>
  </si>
  <si>
    <t>4.7.3.2.107</t>
  </si>
  <si>
    <t>4.7.3.2.108</t>
  </si>
  <si>
    <t>4.7.3.2.109</t>
  </si>
  <si>
    <t>4.7.3.2.110</t>
  </si>
  <si>
    <t>4.7.4.1.1</t>
  </si>
  <si>
    <t>Perfilados em chapa de aço galvanizada a fogo c/ acessórios, (38x38) mm</t>
  </si>
  <si>
    <t>CMS M.70.46.000</t>
  </si>
  <si>
    <t>4.7.4.1.2</t>
  </si>
  <si>
    <t>4.7.4.1.3</t>
  </si>
  <si>
    <t>4.7.4.1.4</t>
  </si>
  <si>
    <t>4.7.4.1.5</t>
  </si>
  <si>
    <t>Perfilados em chapa de aço galvanizada a fogo c/ acessórios, (76x38) mm</t>
  </si>
  <si>
    <t>4.7.4.1.6</t>
  </si>
  <si>
    <t>4.7.4.1.7</t>
  </si>
  <si>
    <t>4.7.4.1.8</t>
  </si>
  <si>
    <t>4.7.5.1.1</t>
  </si>
  <si>
    <t>Eletrocalha em chapa de aço, galvanizada a fogo, c/ acessórios, altura de 100 mm, largura de 100 mm, peça de 3m, com tampa</t>
  </si>
  <si>
    <t>4.7.5.1.2</t>
  </si>
  <si>
    <t>4.7.5.1.3</t>
  </si>
  <si>
    <t>4.7.5.1.4</t>
  </si>
  <si>
    <t>4.7.5.1.5</t>
  </si>
  <si>
    <t>4.7.5.1.6</t>
  </si>
  <si>
    <t>4.7.5.1.7</t>
  </si>
  <si>
    <t>4.7.5.1.8</t>
  </si>
  <si>
    <t>4.7.5.1.9</t>
  </si>
  <si>
    <t>4.7.5.1.10</t>
  </si>
  <si>
    <t>4.7.5.1.11</t>
  </si>
  <si>
    <t>Eletrocalha em chapa de aço, galvanizada a fogo, c/ acessórios, altura de 100 mm, largura de 200 mm, peça de 3m, com tampa</t>
  </si>
  <si>
    <t>4.7.5.1.12</t>
  </si>
  <si>
    <t>4.7.5.1.13</t>
  </si>
  <si>
    <t>4.7.5.1.14</t>
  </si>
  <si>
    <t>4.7.5.1.15</t>
  </si>
  <si>
    <t>4.7.5.1.16</t>
  </si>
  <si>
    <t>4.7.5.1.17</t>
  </si>
  <si>
    <t>4.7.5.1.18</t>
  </si>
  <si>
    <t>4.7.5.1.19</t>
  </si>
  <si>
    <t>4.7.5.1.20</t>
  </si>
  <si>
    <t>4.7.5.1.21</t>
  </si>
  <si>
    <t>Eletrocalha em chapa de aço, galvanizada a fogo, c/ acessórios, altura de 100 mm, largura de 300 mm, peça de 3m, com tampa</t>
  </si>
  <si>
    <t>4.7.5.1.22</t>
  </si>
  <si>
    <t>4.7.5.1.23</t>
  </si>
  <si>
    <t>4.7.5.1.24</t>
  </si>
  <si>
    <t>4.7.5.1.25</t>
  </si>
  <si>
    <t>4.7.5.1.26</t>
  </si>
  <si>
    <t>4.7.5.1.27</t>
  </si>
  <si>
    <t>4.7.5.1.28</t>
  </si>
  <si>
    <t>4.7.5.1.29</t>
  </si>
  <si>
    <t>Eletrocalha em chapa de aço, galvanizada a fogo, c/ acessórios, altura de 100 mm, largura de 400 mm, peça de 3m, com tampa</t>
  </si>
  <si>
    <t>4.7.5.1.30</t>
  </si>
  <si>
    <t>4.7.5.1.31</t>
  </si>
  <si>
    <t>4.7.5.1.32</t>
  </si>
  <si>
    <t>4.7.5.1.33</t>
  </si>
  <si>
    <t>4.7.5.1.34</t>
  </si>
  <si>
    <t>4.7.6.1.1</t>
  </si>
  <si>
    <t>Leito para cabos,  tipo médio, em chapa de aço galvanizada a fogo , c/ acessórios, altura de 100 mm, largura de 200 mm, peça de 3m - com tampa</t>
  </si>
  <si>
    <t>4.7.6.1.2</t>
  </si>
  <si>
    <t>4.7.6.1.3</t>
  </si>
  <si>
    <t>4.7.6.1.4</t>
  </si>
  <si>
    <t>4.7.6.1.5</t>
  </si>
  <si>
    <t>4.7.6.1.6</t>
  </si>
  <si>
    <t>4.7.6.1.7</t>
  </si>
  <si>
    <t>4.7.6.1.8</t>
  </si>
  <si>
    <t>4.7.6.1.9</t>
  </si>
  <si>
    <t>4.7.6.1.10</t>
  </si>
  <si>
    <t>4.7.6.1.11</t>
  </si>
  <si>
    <t>4.7.6.1.12</t>
  </si>
  <si>
    <t>4.7.6.1.13</t>
  </si>
  <si>
    <t>Leito para cabos,  tipo médio, em chapa de aço galvanizada a fogo , c/ acessórios, altura de 100 mm, largura de 400 mm, peça de 3m - com tampa</t>
  </si>
  <si>
    <t>4.7.6.1.14</t>
  </si>
  <si>
    <t>4.7.6.1.15</t>
  </si>
  <si>
    <t>4.7.6.1.16</t>
  </si>
  <si>
    <t>4.7.6.1.17</t>
  </si>
  <si>
    <t>4.7.6.1.18</t>
  </si>
  <si>
    <t>4.7.6.1.19</t>
  </si>
  <si>
    <t>4.7.6.1.20</t>
  </si>
  <si>
    <t>Leito para cabos,  tipo médio, em chapa de aço galvanizada a fogo , c/ acessórios, altura de 100 mm, largura de 600 mm, peça de 3m - com tampa</t>
  </si>
  <si>
    <t>4.7.6.1.21</t>
  </si>
  <si>
    <t>4.7.6.1.22</t>
  </si>
  <si>
    <t>4.7.6.1.23</t>
  </si>
  <si>
    <t>4.7.6.1.24</t>
  </si>
  <si>
    <t>4.7.6.1.25</t>
  </si>
  <si>
    <t>4.7.6.1.26</t>
  </si>
  <si>
    <t>4.7.6.1.27</t>
  </si>
  <si>
    <t>4.7.6.1.28</t>
  </si>
  <si>
    <t>Leito para cabos,  tipo médio, em chapa de aço galvanizada a fogo , c/ acessórios, altura de 100 mm, largura de 800 mm, peça de 3m - com tampa</t>
  </si>
  <si>
    <t>4.7.6.1.29</t>
  </si>
  <si>
    <t>4.7.6.1.30</t>
  </si>
  <si>
    <t>4.7.7.1.1</t>
  </si>
  <si>
    <t>Leito para cabos,  tipo leve, em fibra de vidro , c/ acessórios, altura de 100 mm, largura de 200 mm, peça de 3m</t>
  </si>
  <si>
    <t>4.7.7.1.2</t>
  </si>
  <si>
    <t>4.7.7.1.3</t>
  </si>
  <si>
    <t>4.7.7.1.4</t>
  </si>
  <si>
    <t>Leito para cabos,  tipo leve, em fibra de vidro , c/ acessórios, altura de 100 mm, largura de 400 mm, peça de 3m</t>
  </si>
  <si>
    <t>4.7.7.1.5</t>
  </si>
  <si>
    <t>4.7.7.1.6</t>
  </si>
  <si>
    <t>4.7.7.1.7</t>
  </si>
  <si>
    <t>Leito para cabos,  tipo leve, em fibra de vidro , c/ acessórios, altura de 100 mm, largura de 600 mm, peça de 3m</t>
  </si>
  <si>
    <t>4.7.7.1.8</t>
  </si>
  <si>
    <t>4.7.7.1.9</t>
  </si>
  <si>
    <t>4.7.7.1.10</t>
  </si>
  <si>
    <t>Leito para cabos,  tipo leve, em fibra de vidro , c/ acessórios, altura de 100 mm, largura de 800 mm, peça de 3m</t>
  </si>
  <si>
    <t>4.7.7.1.11</t>
  </si>
  <si>
    <t>4.7.8.1.1</t>
  </si>
  <si>
    <t>MC.043E</t>
  </si>
  <si>
    <t>Luminária tipo pendente para lâmpadas tubulares de LED, 2x10 W</t>
  </si>
  <si>
    <t>CMS M.70.60.010</t>
  </si>
  <si>
    <t>4.7.8.1.2</t>
  </si>
  <si>
    <t>4.7.8.1.3</t>
  </si>
  <si>
    <t>4.7.8.1.4</t>
  </si>
  <si>
    <t>4.7.8.1.5</t>
  </si>
  <si>
    <t>Luminária tipo pendente para lâmpadas tubulares de LED, 2x18 W</t>
  </si>
  <si>
    <t>4.7.8.1.6</t>
  </si>
  <si>
    <t>4.7.8.1.7</t>
  </si>
  <si>
    <t>4.7.8.1.8</t>
  </si>
  <si>
    <t>4.7.8.1.9</t>
  </si>
  <si>
    <t>4.7.8.2.1</t>
  </si>
  <si>
    <t>Luminária tipo industrial, LED, 54 W</t>
  </si>
  <si>
    <t>4.7.8.2.2</t>
  </si>
  <si>
    <t>4.7.8.2.3</t>
  </si>
  <si>
    <t>4.7.8.2.4</t>
  </si>
  <si>
    <t>4.7.8.2.5</t>
  </si>
  <si>
    <t>4.7.8.2.6</t>
  </si>
  <si>
    <t>4.7.8.2.7</t>
  </si>
  <si>
    <t>4.7.8.2.8</t>
  </si>
  <si>
    <t>4.7.8.2.9</t>
  </si>
  <si>
    <t>4.7.8.2.10</t>
  </si>
  <si>
    <t>4.7.8.2.11</t>
  </si>
  <si>
    <t>4.7.8.2.12</t>
  </si>
  <si>
    <t>4.7.8.2.13</t>
  </si>
  <si>
    <t>4.7.8.2.14</t>
  </si>
  <si>
    <t>4.7.8.2.15</t>
  </si>
  <si>
    <t>4.7.8.2.16</t>
  </si>
  <si>
    <t>4.7.8.2.17</t>
  </si>
  <si>
    <t>Luminária tipo industrial, LED, 75 W</t>
  </si>
  <si>
    <t>4.7.8.2.18</t>
  </si>
  <si>
    <t>4.7.8.2.19</t>
  </si>
  <si>
    <t>4.7.8.2.20</t>
  </si>
  <si>
    <t>4.7.8.2.21</t>
  </si>
  <si>
    <t>4.7.8.2.22</t>
  </si>
  <si>
    <t>4.7.8.2.23</t>
  </si>
  <si>
    <t>4.7.8.2.24</t>
  </si>
  <si>
    <t>4.7.8.2.25</t>
  </si>
  <si>
    <t>4.7.8.2.26</t>
  </si>
  <si>
    <t>4.7.8.2.27</t>
  </si>
  <si>
    <t>4.7.8.2.28</t>
  </si>
  <si>
    <t>4.7.8.2.29</t>
  </si>
  <si>
    <t>Luminária tipo industrial, LED, 108 W</t>
  </si>
  <si>
    <t>4.7.8.2.30</t>
  </si>
  <si>
    <t>4.7.8.2.31</t>
  </si>
  <si>
    <t>4.7.8.2.32</t>
  </si>
  <si>
    <t>4.7.8.2.33</t>
  </si>
  <si>
    <t>4.7.8.2.34</t>
  </si>
  <si>
    <t>4.7.8.2.35</t>
  </si>
  <si>
    <t>4.7.8.2.36</t>
  </si>
  <si>
    <t>4.7.8.2.37</t>
  </si>
  <si>
    <t>4.7.8.2.38</t>
  </si>
  <si>
    <t>4.7.8.2.39</t>
  </si>
  <si>
    <t>4.7.8.3.1</t>
  </si>
  <si>
    <t>MC.044E</t>
  </si>
  <si>
    <t>CMS M.70.60.510</t>
  </si>
  <si>
    <t>4.7.8.3.2</t>
  </si>
  <si>
    <t>4.7.8.4.1</t>
  </si>
  <si>
    <t>Projetor, led, 27 W, completo</t>
  </si>
  <si>
    <t>4.7.8.4.2</t>
  </si>
  <si>
    <t>4.7.8.4.3</t>
  </si>
  <si>
    <t>4.7.8.4.4</t>
  </si>
  <si>
    <t>4.7.8.4.5</t>
  </si>
  <si>
    <t>4.7.8.4.6</t>
  </si>
  <si>
    <t>4.7.8.4.7</t>
  </si>
  <si>
    <t>4.7.8.4.8</t>
  </si>
  <si>
    <t>4.7.8.4.9</t>
  </si>
  <si>
    <t>4.7.8.4.10</t>
  </si>
  <si>
    <t>4.7.8.4.11</t>
  </si>
  <si>
    <t>4.7.8.4.12</t>
  </si>
  <si>
    <t>4.7.8.4.13</t>
  </si>
  <si>
    <t>4.7.8.4.14</t>
  </si>
  <si>
    <t>4.7.8.4.15</t>
  </si>
  <si>
    <t>4.7.8.4.16</t>
  </si>
  <si>
    <t>Projetor, led, 56 W, completo</t>
  </si>
  <si>
    <t>4.7.8.4.17</t>
  </si>
  <si>
    <t>4.7.8.4.18</t>
  </si>
  <si>
    <t>4.7.8.4.19</t>
  </si>
  <si>
    <t>4.7.8.4.20</t>
  </si>
  <si>
    <t>4.7.8.4.21</t>
  </si>
  <si>
    <t>4.7.8.4.22</t>
  </si>
  <si>
    <t>4.7.8.4.23</t>
  </si>
  <si>
    <t>4.7.8.4.24</t>
  </si>
  <si>
    <t>4.7.8.4.25</t>
  </si>
  <si>
    <t>4.7.8.4.26</t>
  </si>
  <si>
    <t>4.7.8.4.27</t>
  </si>
  <si>
    <t>4.7.8.4.28</t>
  </si>
  <si>
    <t>4.7.8.4.29</t>
  </si>
  <si>
    <t>4.7.8.4.30</t>
  </si>
  <si>
    <t>4.7.8.4.31</t>
  </si>
  <si>
    <t>4.7.8.4.32</t>
  </si>
  <si>
    <t>4.7.8.4.33</t>
  </si>
  <si>
    <t>Projetor, led, 102 W, completo</t>
  </si>
  <si>
    <t>4.7.8.4.34</t>
  </si>
  <si>
    <t>4.7.8.4.35</t>
  </si>
  <si>
    <t>4.7.8.4.36</t>
  </si>
  <si>
    <t>4.7.8.4.37</t>
  </si>
  <si>
    <t>4.7.8.4.38</t>
  </si>
  <si>
    <t>4.7.8.4.39</t>
  </si>
  <si>
    <t>4.7.8.4.40</t>
  </si>
  <si>
    <t>4.7.8.4.41</t>
  </si>
  <si>
    <t>4.7.8.4.42</t>
  </si>
  <si>
    <t>4.7.8.4.43</t>
  </si>
  <si>
    <t>4.7.8.4.44</t>
  </si>
  <si>
    <t>4.7.8.4.45</t>
  </si>
  <si>
    <t>4.7.8.4.46</t>
  </si>
  <si>
    <t>4.7.8.4.47</t>
  </si>
  <si>
    <t>4.7.8.4.48</t>
  </si>
  <si>
    <t>4.7.8.4.49</t>
  </si>
  <si>
    <t>4.7.8.4.50</t>
  </si>
  <si>
    <t>Projetor, led, 108 W, completo</t>
  </si>
  <si>
    <t>4.7.8.4.51</t>
  </si>
  <si>
    <t>4.7.8.4.52</t>
  </si>
  <si>
    <t>4.7.8.4.53</t>
  </si>
  <si>
    <t>4.7.8.4.54</t>
  </si>
  <si>
    <t>4.7.8.4.55</t>
  </si>
  <si>
    <t>4.7.8.4.56</t>
  </si>
  <si>
    <t>4.7.8.4.57</t>
  </si>
  <si>
    <t>4.7.8.4.58</t>
  </si>
  <si>
    <t>Projetor, led, 144 W, completo</t>
  </si>
  <si>
    <t>4.7.8.4.59</t>
  </si>
  <si>
    <t>4.7.8.4.60</t>
  </si>
  <si>
    <t>4.7.8.4.61</t>
  </si>
  <si>
    <t>4.7.8.4.62</t>
  </si>
  <si>
    <t>4.7.8.4.63</t>
  </si>
  <si>
    <t>4.7.8.4.64</t>
  </si>
  <si>
    <t>4.7.8.4.65</t>
  </si>
  <si>
    <t>4.7.8.4.66</t>
  </si>
  <si>
    <t>4.7.8.4.67</t>
  </si>
  <si>
    <t>Projetor, led, 161 W, completo</t>
  </si>
  <si>
    <t>4.7.8.4.68</t>
  </si>
  <si>
    <t>4.7.8.4.69</t>
  </si>
  <si>
    <t>4.7.8.4.70</t>
  </si>
  <si>
    <t>4.7.8.4.71</t>
  </si>
  <si>
    <t>4.7.8.4.72</t>
  </si>
  <si>
    <t>4.7.8.4.73</t>
  </si>
  <si>
    <t>4.7.8.4.74</t>
  </si>
  <si>
    <t>Projetor, led, 216 W, completo</t>
  </si>
  <si>
    <t>4.7.8.4.75</t>
  </si>
  <si>
    <t>4.7.8.4.76</t>
  </si>
  <si>
    <t>4.7.8.4.77</t>
  </si>
  <si>
    <t>4.7.8.4.78</t>
  </si>
  <si>
    <t>4.7.8.4.79</t>
  </si>
  <si>
    <t>4.7.8.4.80</t>
  </si>
  <si>
    <t>4.7.8.5.1</t>
  </si>
  <si>
    <t>MC.038E</t>
  </si>
  <si>
    <t>Poste de concreto circular ou duplo T 12 m - 150 daN</t>
  </si>
  <si>
    <t>CMS M.70.65.050</t>
  </si>
  <si>
    <t>4.7.9.1.1</t>
  </si>
  <si>
    <t>Tomada de força, 2P+T, 15A - 220V, sobrepor, tipo industrial, para uso ao tempo</t>
  </si>
  <si>
    <t>CMS M.70.65.010</t>
  </si>
  <si>
    <t>4.7.9.1.2</t>
  </si>
  <si>
    <t>4.7.9.1.3</t>
  </si>
  <si>
    <t>4.7.9.1.4</t>
  </si>
  <si>
    <t>4.7.9.1.5</t>
  </si>
  <si>
    <t>4.7.9.1.6</t>
  </si>
  <si>
    <t>4.7.9.1.7</t>
  </si>
  <si>
    <t>4.7.9.1.8</t>
  </si>
  <si>
    <t>4.7.9.1.9</t>
  </si>
  <si>
    <t>4.7.9.1.10</t>
  </si>
  <si>
    <t>4.7.9.1.11</t>
  </si>
  <si>
    <t>4.7.9.1.12</t>
  </si>
  <si>
    <t>4.7.9.1.13</t>
  </si>
  <si>
    <t>4.7.9.1.14</t>
  </si>
  <si>
    <t>4.7.9.1.15</t>
  </si>
  <si>
    <t>4.7.9.1.16</t>
  </si>
  <si>
    <t>4.7.9.1.17</t>
  </si>
  <si>
    <t>4.7.9.1.18</t>
  </si>
  <si>
    <t>4.7.9.1.19</t>
  </si>
  <si>
    <t>Tomada de força, para máquina de solda, 3P+T, 63A, 440V, com disjuntor trifásico e bloqueio mecânico</t>
  </si>
  <si>
    <t>4.7.9.1.20</t>
  </si>
  <si>
    <t>4.7.9.1.21</t>
  </si>
  <si>
    <t>4.7.9.1.22</t>
  </si>
  <si>
    <t>4.7.9.1.23</t>
  </si>
  <si>
    <t>4.7.9.1.24</t>
  </si>
  <si>
    <t>4.7.9.1.25</t>
  </si>
  <si>
    <t>4.7.9.1.26</t>
  </si>
  <si>
    <t>4.7.9.1.27</t>
  </si>
  <si>
    <t>4.7.9.1.28</t>
  </si>
  <si>
    <t>4.7.9.1.29</t>
  </si>
  <si>
    <t>4.7.9.1.30</t>
  </si>
  <si>
    <t>4.7.9.1.31</t>
  </si>
  <si>
    <t>4.7.9.1.32</t>
  </si>
  <si>
    <t>4.7.9.1.33</t>
  </si>
  <si>
    <t>4.7.9.1.34</t>
  </si>
  <si>
    <t>4.7.9.1.35</t>
  </si>
  <si>
    <t>Tomada de força, 2P+T de 10A - 250V, montada em condulete de alumínio fundido, com rosca Ø3/4"</t>
  </si>
  <si>
    <t>CMS M.70.65.020</t>
  </si>
  <si>
    <t>4.7.9.1.36</t>
  </si>
  <si>
    <t>4.7.9.1.37</t>
  </si>
  <si>
    <t>4.7.9.1.38</t>
  </si>
  <si>
    <t>4.7.9.1.39</t>
  </si>
  <si>
    <t>4.7.9.1.40</t>
  </si>
  <si>
    <t>4.7.9.1.41</t>
  </si>
  <si>
    <t>4.7.9.1.42</t>
  </si>
  <si>
    <t>4.7.9.1.43</t>
  </si>
  <si>
    <t>4.7.9.1.44</t>
  </si>
  <si>
    <t>4.7.9.1.45</t>
  </si>
  <si>
    <t>4.7.9.1.46</t>
  </si>
  <si>
    <t>4.7.9.1.47</t>
  </si>
  <si>
    <t>4.7.9.1.48</t>
  </si>
  <si>
    <t>4.7.9.1.49</t>
  </si>
  <si>
    <t>4.7.9.2.1</t>
  </si>
  <si>
    <t>Interruptor para iluminação -1 tecla, 10A - 250V</t>
  </si>
  <si>
    <t>4.7.9.2.2</t>
  </si>
  <si>
    <t>4.7.9.2.3</t>
  </si>
  <si>
    <t>4.7.9.2.4</t>
  </si>
  <si>
    <t>4.7.9.2.5</t>
  </si>
  <si>
    <t>Botoeira de comando local  em caixa de alumínio fundido com 1 botão liga e 1 botão desliga</t>
  </si>
  <si>
    <t>4.7.9.2.6</t>
  </si>
  <si>
    <t>4.7.9.2.7</t>
  </si>
  <si>
    <t>4.7.9.2.8</t>
  </si>
  <si>
    <t>4.7.9.2.9</t>
  </si>
  <si>
    <t>4.7.9.2.10</t>
  </si>
  <si>
    <t>4.7.9.2.11</t>
  </si>
  <si>
    <t>4.7.9.2.12</t>
  </si>
  <si>
    <t>4.7.9.2.13</t>
  </si>
  <si>
    <t>4.7.9.2.14</t>
  </si>
  <si>
    <t>4.7.9.2.15</t>
  </si>
  <si>
    <t>4.7.9.2.16</t>
  </si>
  <si>
    <t>4.7.9.2.17</t>
  </si>
  <si>
    <t>4.7.9.2.18</t>
  </si>
  <si>
    <t>Botoeira de comando local  em caixa de alumínio fundido com botão de emergência tipo soco</t>
  </si>
  <si>
    <t>4.7.9.2.19</t>
  </si>
  <si>
    <t>4.7.9.2.20</t>
  </si>
  <si>
    <t>4.7.9.2.21</t>
  </si>
  <si>
    <t>4.7.9.2.22</t>
  </si>
  <si>
    <t>4.7.9.2.23</t>
  </si>
  <si>
    <t>4.7.9.2.24</t>
  </si>
  <si>
    <t>4.7.9.2.25</t>
  </si>
  <si>
    <t>4.7.9.2.26</t>
  </si>
  <si>
    <t>4.7.9.2.27</t>
  </si>
  <si>
    <t>4.7.9.2.28</t>
  </si>
  <si>
    <t>4.7.9.2.29</t>
  </si>
  <si>
    <t>4.7.9.2.30</t>
  </si>
  <si>
    <t>Relé foto-elétrico 220V - 60Hz monofásico, com base de fixação, para uso ao tempo</t>
  </si>
  <si>
    <t>1</t>
  </si>
  <si>
    <t>4.7.9.2.31</t>
  </si>
  <si>
    <t>4.7.9.2.32</t>
  </si>
  <si>
    <t>4.7.9.2.33</t>
  </si>
  <si>
    <t>4.7.9.2.34</t>
  </si>
  <si>
    <t>4.7.9.2.35</t>
  </si>
  <si>
    <t>4.7.9.2.36</t>
  </si>
  <si>
    <t>4.7.9.2.37</t>
  </si>
  <si>
    <t>4.7.9.2.38</t>
  </si>
  <si>
    <t>4.7.9.2.39</t>
  </si>
  <si>
    <t>4.7.9.2.40</t>
  </si>
  <si>
    <t>4.7.9.2.41</t>
  </si>
  <si>
    <t>4.7.9.2.42</t>
  </si>
  <si>
    <t>4.7.9.2.43</t>
  </si>
  <si>
    <t>4.7.9.2.44</t>
  </si>
  <si>
    <t>4.7.9.2.45</t>
  </si>
  <si>
    <t>4.7.9.3.1</t>
  </si>
  <si>
    <t>MC.035E</t>
  </si>
  <si>
    <t>Caixa metálica 405x275x150mm com 30 bornes</t>
  </si>
  <si>
    <t>CMS M.70.65.040</t>
  </si>
  <si>
    <t>4.7.9.3.2</t>
  </si>
  <si>
    <t>4.7.9.3.3</t>
  </si>
  <si>
    <t>4.7.9.3.4</t>
  </si>
  <si>
    <t>4.7.9.3.5</t>
  </si>
  <si>
    <t>4.7.9.3.6</t>
  </si>
  <si>
    <t>4.7.9.3.7</t>
  </si>
  <si>
    <t>4.7.9.3.8</t>
  </si>
  <si>
    <t>4.7.9.3.9</t>
  </si>
  <si>
    <t>4.7.9.3.10</t>
  </si>
  <si>
    <t>4.7.9.3.11</t>
  </si>
  <si>
    <t>4.7.9.3.12</t>
  </si>
  <si>
    <t>4.7.9.3.13</t>
  </si>
  <si>
    <t>4.7.9.3.14</t>
  </si>
  <si>
    <t>4.7.9.3.15</t>
  </si>
  <si>
    <t>4.7.9.3.16</t>
  </si>
  <si>
    <t>Caixa metálica 445x350x205mm com 50 bornes</t>
  </si>
  <si>
    <t>4.7.9.3.17</t>
  </si>
  <si>
    <t>4.7.9.3.18</t>
  </si>
  <si>
    <t>4.7.9.3.19</t>
  </si>
  <si>
    <t>4.7.9.3.20</t>
  </si>
  <si>
    <t>4.7.9.3.21</t>
  </si>
  <si>
    <t>4.7.9.3.22</t>
  </si>
  <si>
    <t>4.7.9.3.23</t>
  </si>
  <si>
    <t>4.7.9.3.24</t>
  </si>
  <si>
    <t>4.7.9.3.25</t>
  </si>
  <si>
    <t>4.7.9.3.26</t>
  </si>
  <si>
    <t>Caixas de passagem, metálica, dimensão 445x350x205mm</t>
  </si>
  <si>
    <t>4.7.9.3.27</t>
  </si>
  <si>
    <t>4.7.9.3.28</t>
  </si>
  <si>
    <t>4.7.9.3.29</t>
  </si>
  <si>
    <t>4.7.9.3.30</t>
  </si>
  <si>
    <t>4.7.9.3.31</t>
  </si>
  <si>
    <t>4.7.9.3.32</t>
  </si>
  <si>
    <t>4.7.9.3.33</t>
  </si>
  <si>
    <t>4.7.9.3.34</t>
  </si>
  <si>
    <t>4.7.9.3.35</t>
  </si>
  <si>
    <t>4.7.9.3.36</t>
  </si>
  <si>
    <t>4.7.9.3.37</t>
  </si>
  <si>
    <t>4.7.9.3.38</t>
  </si>
  <si>
    <t>Caixas de passagem, metálica, dimensão 275x275x150mm</t>
  </si>
  <si>
    <t>4.7.9.3.39</t>
  </si>
  <si>
    <t>4.7.9.3.40</t>
  </si>
  <si>
    <t>4.7.9.3.41</t>
  </si>
  <si>
    <t>4.7.9.3.42</t>
  </si>
  <si>
    <t>4.7.9.3.43</t>
  </si>
  <si>
    <t>4.7.9.3.44</t>
  </si>
  <si>
    <t>4.7.9.3.45</t>
  </si>
  <si>
    <t>4.7.9.3.46</t>
  </si>
  <si>
    <t>4.7.9.3.47</t>
  </si>
  <si>
    <t>4.7.9.3.48</t>
  </si>
  <si>
    <t>4.7.9.3.49</t>
  </si>
  <si>
    <t>4.7.9.3.50</t>
  </si>
  <si>
    <t>4.7.9.3.51</t>
  </si>
  <si>
    <t>Caixas de passagem, metálica, dimensão 395x350x205mm</t>
  </si>
  <si>
    <t>4.7.9.3.52</t>
  </si>
  <si>
    <t>4.7.9.3.53</t>
  </si>
  <si>
    <t>4.7.9.3.54</t>
  </si>
  <si>
    <t>4.7.9.3.55</t>
  </si>
  <si>
    <t>4.7.9.3.56</t>
  </si>
  <si>
    <t>4.7.9.3.57</t>
  </si>
  <si>
    <t>4.7.9.3.58</t>
  </si>
  <si>
    <t>4.7.9.3.59</t>
  </si>
  <si>
    <t>4.7.9.3.60</t>
  </si>
  <si>
    <t>4.7.9.3.61</t>
  </si>
  <si>
    <t>4.7.9.3.62</t>
  </si>
  <si>
    <t>4.7.9.3.63</t>
  </si>
  <si>
    <t>4.7.10.1.1</t>
  </si>
  <si>
    <t>MC.042E</t>
  </si>
  <si>
    <t>Terminação contratil a frio de média tensão - 4,16kV - 35mm²</t>
  </si>
  <si>
    <t>CMS M.70.10.020</t>
  </si>
  <si>
    <t>4.7.10.1.2</t>
  </si>
  <si>
    <t>4.7.10.1.3</t>
  </si>
  <si>
    <t>Terminação contratil a frio de média tensão - 4,16kV - 50mm²</t>
  </si>
  <si>
    <t>4.7.10.1.4</t>
  </si>
  <si>
    <t>Terminação contratil a frio de média tensão - 4,16kV - 95mm²</t>
  </si>
  <si>
    <t>4.7.10.1.5</t>
  </si>
  <si>
    <t>4.7.10.1.6</t>
  </si>
  <si>
    <t>Terminação contratil a frio de média tensão - 4,16kV - 120mm²</t>
  </si>
  <si>
    <t>4.7.10.1.7</t>
  </si>
  <si>
    <t>4.7.10.1.8</t>
  </si>
  <si>
    <t>Terminação contratil a frio de média tensão - 4,16kV - 185mm²</t>
  </si>
  <si>
    <t>4.7.10.1.9</t>
  </si>
  <si>
    <t>Terminação contratil a frio de média tensão - 4,16kV - 240mm²</t>
  </si>
  <si>
    <t>4.7.10.1.10</t>
  </si>
  <si>
    <t>Terminação contratil a frio de média tensão - 13,8kV - 35mm²</t>
  </si>
  <si>
    <t>4.7.10.1.11</t>
  </si>
  <si>
    <t>4.7.10.1.12</t>
  </si>
  <si>
    <t>Terminação contratil a frio de média tensão - 13,8kV - 70mm²</t>
  </si>
  <si>
    <t>4.7.10.1.13</t>
  </si>
  <si>
    <t>4.7.10.1.14</t>
  </si>
  <si>
    <t>Terminação contratil a frio de média tensão - 13,8kV - 95mm²</t>
  </si>
  <si>
    <t>4.7.10.1.15</t>
  </si>
  <si>
    <t>Terminação contratil a frio de média tensão - 13,8kV - 120mm²</t>
  </si>
  <si>
    <t>4.7.10.1.16</t>
  </si>
  <si>
    <t>Terminação contratil a frio de média tensão - 13,8kV - 150mm²</t>
  </si>
  <si>
    <t>4.7.10.1.17</t>
  </si>
  <si>
    <t>Terminação contratil a frio de média tensão - 13,8kV - 185mm²</t>
  </si>
  <si>
    <t>4.7.10.1.18</t>
  </si>
  <si>
    <t>4.7.10.1.19</t>
  </si>
  <si>
    <t>Terminação contratil a frio de média tensão - 13,8kV - 240mm²</t>
  </si>
  <si>
    <t>4.7.11.1.1</t>
  </si>
  <si>
    <t>CMS M.70.70.020</t>
  </si>
  <si>
    <t>4.7.11.1.2</t>
  </si>
  <si>
    <t>4.7.11.1.3</t>
  </si>
  <si>
    <t>4.7.11.1.4</t>
  </si>
  <si>
    <t>4.7.11.1.5</t>
  </si>
  <si>
    <t>4.7.11.1.6</t>
  </si>
  <si>
    <t>4.7.11.1.7</t>
  </si>
  <si>
    <t>4.7.11.1.8</t>
  </si>
  <si>
    <t>4.7.11.1.9</t>
  </si>
  <si>
    <t>4.7.11.1.10</t>
  </si>
  <si>
    <t>4.7.11.1.11</t>
  </si>
  <si>
    <t>4.7.11.1.12</t>
  </si>
  <si>
    <t>4.7.11.1.13</t>
  </si>
  <si>
    <t>4.7.11.1.14</t>
  </si>
  <si>
    <t>4.7.11.1.15</t>
  </si>
  <si>
    <t>4.7.11.1.16</t>
  </si>
  <si>
    <t>4.7.11.1.17</t>
  </si>
  <si>
    <t>4.7.11.1.18</t>
  </si>
  <si>
    <t>4.7.11.1.19</t>
  </si>
  <si>
    <t>4.7.11.1.20</t>
  </si>
  <si>
    <t>4.7.11.1.21</t>
  </si>
  <si>
    <t>4.7.11.1.22</t>
  </si>
  <si>
    <t>4.7.11.1.23</t>
  </si>
  <si>
    <t>4.7.11.1.24</t>
  </si>
  <si>
    <t>4.7.11.1.25</t>
  </si>
  <si>
    <t>4.7.11.1.26</t>
  </si>
  <si>
    <t>4.7.11.1.27</t>
  </si>
  <si>
    <t>4.7.11.1.28</t>
  </si>
  <si>
    <t>4.7.11.1.29</t>
  </si>
  <si>
    <t>4.7.11.1.30</t>
  </si>
  <si>
    <t>4.7.11.1.31</t>
  </si>
  <si>
    <t>4.7.11.1.32</t>
  </si>
  <si>
    <t>4.7.11.1.33</t>
  </si>
  <si>
    <t>4.7.11.1.34</t>
  </si>
  <si>
    <t>4.7.11.1.35</t>
  </si>
  <si>
    <t>4.7.11.1.36</t>
  </si>
  <si>
    <t>4.7.11.1.37</t>
  </si>
  <si>
    <t>4.7.11.1.38</t>
  </si>
  <si>
    <t>Cabo de cobre nu, Seção 50mm2</t>
  </si>
  <si>
    <t>4.7.11.1.39</t>
  </si>
  <si>
    <t>4.7.11.1.40</t>
  </si>
  <si>
    <t>4.7.11.1.41</t>
  </si>
  <si>
    <t>4.7.11.1.42</t>
  </si>
  <si>
    <t>4.7.11.1.43</t>
  </si>
  <si>
    <t>4.7.11.1.44</t>
  </si>
  <si>
    <t>4.7.11.1.45</t>
  </si>
  <si>
    <t>4.7.11.1.46</t>
  </si>
  <si>
    <t>4.7.11.1.47</t>
  </si>
  <si>
    <t>4.7.11.1.48</t>
  </si>
  <si>
    <t>4.7.11.1.49</t>
  </si>
  <si>
    <t>4.7.11.1.50</t>
  </si>
  <si>
    <t>4.7.11.1.51</t>
  </si>
  <si>
    <t>4.7.11.1.52</t>
  </si>
  <si>
    <t>4.7.11.1.53</t>
  </si>
  <si>
    <t>4.7.11.1.54</t>
  </si>
  <si>
    <t>4.7.11.1.55</t>
  </si>
  <si>
    <t>4.7.11.1.56</t>
  </si>
  <si>
    <t>4.7.11.1.57</t>
  </si>
  <si>
    <t>Cabo de cobre nu, Seção 70mm2</t>
  </si>
  <si>
    <t>4.7.11.1.58</t>
  </si>
  <si>
    <t>4.7.11.1.59</t>
  </si>
  <si>
    <t>4.7.11.1.60</t>
  </si>
  <si>
    <t>4.7.11.1.61</t>
  </si>
  <si>
    <t>4.7.11.1.62</t>
  </si>
  <si>
    <t>4.7.11.1.63</t>
  </si>
  <si>
    <t>4.7.11.1.64</t>
  </si>
  <si>
    <t>4.7.11.1.65</t>
  </si>
  <si>
    <t>4.7.11.1.66</t>
  </si>
  <si>
    <t>4.7.11.1.67</t>
  </si>
  <si>
    <t>4.7.11.1.68</t>
  </si>
  <si>
    <t>4.7.11.1.69</t>
  </si>
  <si>
    <t>4.7.11.1.70</t>
  </si>
  <si>
    <t>4.7.11.1.71</t>
  </si>
  <si>
    <t>4.7.11.1.72</t>
  </si>
  <si>
    <t>4.7.11.1.73</t>
  </si>
  <si>
    <t>4.7.11.1.74</t>
  </si>
  <si>
    <t>4.7.11.1.75</t>
  </si>
  <si>
    <t>4.7.11.1.76</t>
  </si>
  <si>
    <t>4.7.11.1.77</t>
  </si>
  <si>
    <t>4.7.11.1.78</t>
  </si>
  <si>
    <t>Eletroduto rígido em PVC, Ø2", peça de 3m, com caixa de medição com tampa aparafusada, suportes para fixação e conector tipo parafuso fendido, para instalação em descidas de Sistema de Proteção contra Descargas Atmosféricas (SPDA).</t>
  </si>
  <si>
    <t>4.7.11.1.79</t>
  </si>
  <si>
    <t>4.7.11.1.80</t>
  </si>
  <si>
    <t>4.7.11.1.81</t>
  </si>
  <si>
    <t>4.7.11.1.82</t>
  </si>
  <si>
    <t>4.7.11.1.83</t>
  </si>
  <si>
    <t>CMS M.70.70.520</t>
  </si>
  <si>
    <t>4.7.11.1.84</t>
  </si>
  <si>
    <t>4.7.12.1.1</t>
  </si>
  <si>
    <t>MC.045E</t>
  </si>
  <si>
    <t>Sistema de proteção com placas de lã de rocha e pintura ablativa</t>
  </si>
  <si>
    <t>CMS M.70.80.000</t>
  </si>
  <si>
    <t>4.7.12.1.2</t>
  </si>
  <si>
    <t>4.7.12.1.3</t>
  </si>
  <si>
    <t>4.8.1.1.1</t>
  </si>
  <si>
    <t>4.8.1.1.2</t>
  </si>
  <si>
    <t>4.8.1.1.3</t>
  </si>
  <si>
    <t>4.8.1.1.4</t>
  </si>
  <si>
    <t>4.8.1.1.5</t>
  </si>
  <si>
    <t>4.8.1.1.6</t>
  </si>
  <si>
    <t>4.8.1.1.7</t>
  </si>
  <si>
    <t>4.8.1.1.8</t>
  </si>
  <si>
    <t>4.8.1.1.9</t>
  </si>
  <si>
    <t>4.8.1.1.10</t>
  </si>
  <si>
    <t>4.8.1.1.11</t>
  </si>
  <si>
    <t>4.8.1.1.12</t>
  </si>
  <si>
    <t>4.8.1.1.13</t>
  </si>
  <si>
    <t>4.8.1.1.14</t>
  </si>
  <si>
    <t>4.8.1.1.15</t>
  </si>
  <si>
    <t>4.8.1.1.16</t>
  </si>
  <si>
    <t>4.8.1.1.17</t>
  </si>
  <si>
    <t>4.8.1.1.18</t>
  </si>
  <si>
    <t>4.8.1.1.19</t>
  </si>
  <si>
    <t>4.8.1.1.20</t>
  </si>
  <si>
    <t>4.8.1.1.21</t>
  </si>
  <si>
    <t>4.8.1.1.22</t>
  </si>
  <si>
    <t>4.8.1.1.23</t>
  </si>
  <si>
    <t>4.8.1.1.24</t>
  </si>
  <si>
    <t>4.8.1.1.25</t>
  </si>
  <si>
    <t>4.8.1.1.26</t>
  </si>
  <si>
    <t>2324</t>
  </si>
  <si>
    <t>4.8.1.1.27</t>
  </si>
  <si>
    <t>4.8.1.1.28</t>
  </si>
  <si>
    <t>4.8.1.1.29</t>
  </si>
  <si>
    <t>8000</t>
  </si>
  <si>
    <t>4.8.1.1.30</t>
  </si>
  <si>
    <t>Estrutura metálica média ou perfilados (25@80kg/m) ASTM A36</t>
  </si>
  <si>
    <t>4.8.1.1.31</t>
  </si>
  <si>
    <t>4.8.1.1.32</t>
  </si>
  <si>
    <t>4.8.1.1.33</t>
  </si>
  <si>
    <t>4.8.1.1.34</t>
  </si>
  <si>
    <t>4.8.1.1.35</t>
  </si>
  <si>
    <t>4.8.1.1.36</t>
  </si>
  <si>
    <t>4.8.1.1.37</t>
  </si>
  <si>
    <t>Estrutura metálica pesada ou perfilados (&gt; 80kg/m) ASTM A572 Gr50</t>
  </si>
  <si>
    <t>4.8.1.1.38</t>
  </si>
  <si>
    <t>4.8.1.1.39</t>
  </si>
  <si>
    <t>4.8.1.1.40</t>
  </si>
  <si>
    <t>4.8.1.1.41</t>
  </si>
  <si>
    <t>4.8.1.1.42</t>
  </si>
  <si>
    <t>4.8.1.1.43</t>
  </si>
  <si>
    <t>4.8.1.1.44</t>
  </si>
  <si>
    <t>MC.014S</t>
  </si>
  <si>
    <t>CMS M.75.10.010</t>
  </si>
  <si>
    <t>4.8.1.1.45</t>
  </si>
  <si>
    <t>4.8.1.2.1</t>
  </si>
  <si>
    <t>4.8.1.2.2</t>
  </si>
  <si>
    <t>4.8.1.2.3</t>
  </si>
  <si>
    <t>4.8.1.2.4</t>
  </si>
  <si>
    <t>4.8.1.2.5</t>
  </si>
  <si>
    <t>4.8.1.2.6</t>
  </si>
  <si>
    <t>4.8.1.2.7</t>
  </si>
  <si>
    <t>4.8.1.2.8</t>
  </si>
  <si>
    <t>4.8.1.2.9</t>
  </si>
  <si>
    <t>4.8.1.2.10</t>
  </si>
  <si>
    <t>4.8.1.2.11</t>
  </si>
  <si>
    <t>4.8.1.2.12</t>
  </si>
  <si>
    <t>4.8.1.2.13</t>
  </si>
  <si>
    <t>4.8.1.2.14</t>
  </si>
  <si>
    <t>4.8.1.2.15</t>
  </si>
  <si>
    <t>4.8.1.2.16</t>
  </si>
  <si>
    <t>4.8.1.2.17</t>
  </si>
  <si>
    <t>4.8.1.2.18</t>
  </si>
  <si>
    <t>4.8.1.2.19</t>
  </si>
  <si>
    <t>4.8.1.2.20</t>
  </si>
  <si>
    <t>4.8.1.2.21</t>
  </si>
  <si>
    <t>4.8.1.2.22</t>
  </si>
  <si>
    <t>4.8.1.2.23</t>
  </si>
  <si>
    <t>4.8.1.2.24</t>
  </si>
  <si>
    <t>4.8.1.2.25</t>
  </si>
  <si>
    <t>4.8.1.2.26</t>
  </si>
  <si>
    <t>4.8.1.2.27</t>
  </si>
  <si>
    <t>4.8.1.2.28</t>
  </si>
  <si>
    <t>4.8.1.2.29</t>
  </si>
  <si>
    <t>4.8.1.2.30</t>
  </si>
  <si>
    <t>4.8.1.2.31</t>
  </si>
  <si>
    <t>4.8.1.2.32</t>
  </si>
  <si>
    <t>4.8.1.2.33</t>
  </si>
  <si>
    <t>4.8.1.2.34</t>
  </si>
  <si>
    <t>4.8.1.2.35</t>
  </si>
  <si>
    <t>4.8.1.2.36</t>
  </si>
  <si>
    <t>4.8.1.2.37</t>
  </si>
  <si>
    <t>4.8.1.2.38</t>
  </si>
  <si>
    <t>4.8.1.2.39</t>
  </si>
  <si>
    <t>4.8.1.2.40</t>
  </si>
  <si>
    <t>4.8.1.2.41</t>
  </si>
  <si>
    <t>4.8.1.2.42</t>
  </si>
  <si>
    <t>4.8.1.2.43</t>
  </si>
  <si>
    <t>4.8.1.2.44</t>
  </si>
  <si>
    <t>4.8.1.2.45</t>
  </si>
  <si>
    <t>4.8.1.2.46</t>
  </si>
  <si>
    <t>4.8.1.2.47</t>
  </si>
  <si>
    <t>4.8.1.2.48</t>
  </si>
  <si>
    <t>4.8.1.2.49</t>
  </si>
  <si>
    <t>4.8.1.2.50</t>
  </si>
  <si>
    <t>4.8.1.2.51</t>
  </si>
  <si>
    <t>4.8.1.2.52</t>
  </si>
  <si>
    <t>4.8.1.2.53</t>
  </si>
  <si>
    <t>4.8.1.2.54</t>
  </si>
  <si>
    <t>4.8.1.2.55</t>
  </si>
  <si>
    <t>4.8.1.2.56</t>
  </si>
  <si>
    <t>4.8.1.2.57</t>
  </si>
  <si>
    <t>4.8.1.2.58</t>
  </si>
  <si>
    <t>4.8.1.2.59</t>
  </si>
  <si>
    <t>4.8.1.2.60</t>
  </si>
  <si>
    <t>4.8.1.2.61</t>
  </si>
  <si>
    <t>4.8.1.2.62</t>
  </si>
  <si>
    <t>4.8.1.2.63</t>
  </si>
  <si>
    <t>4.8.1.2.64</t>
  </si>
  <si>
    <t>4.8.1.2.65</t>
  </si>
  <si>
    <t>4.8.1.2.66</t>
  </si>
  <si>
    <t>4.8.1.2.67</t>
  </si>
  <si>
    <t>4.8.1.2.68</t>
  </si>
  <si>
    <t>4.8.1.2.69</t>
  </si>
  <si>
    <t>Estrutura metálica média ou perfilados (25@80kg/m) ASTM A572 Gr50 - Fornecimento, fabricação e montagem do chassi metálico para montagem do MO-2305SA-02</t>
  </si>
  <si>
    <t>4.8.1.2.70</t>
  </si>
  <si>
    <t>Estrutura metálica média ou perfilados (25@80kg/m) ASTM A572 Gr50 - Fornecimento, fabricação e montagem do chassi metálico para montagem do MO-2305SA-01</t>
  </si>
  <si>
    <t>4.8.1.2.71</t>
  </si>
  <si>
    <t>4.8.1.2.72</t>
  </si>
  <si>
    <t>4.8.1.2.73</t>
  </si>
  <si>
    <t>4.8.1.2.74</t>
  </si>
  <si>
    <t>4.8.1.3.1</t>
  </si>
  <si>
    <t>4.8.1.3.2</t>
  </si>
  <si>
    <t>4.8.1.3.3</t>
  </si>
  <si>
    <t>4.8.1.3.4</t>
  </si>
  <si>
    <t>4.8.1.3.5</t>
  </si>
  <si>
    <t>4.8.1.3.6</t>
  </si>
  <si>
    <t>4.8.1.3.7</t>
  </si>
  <si>
    <t>4.8.1.3.8</t>
  </si>
  <si>
    <t>4.8.1.3.9</t>
  </si>
  <si>
    <t>4.8.1.3.10</t>
  </si>
  <si>
    <t>4.8.1.3.11</t>
  </si>
  <si>
    <t>4.8.1.3.12</t>
  </si>
  <si>
    <t>4.8.1.3.13</t>
  </si>
  <si>
    <t>4.8.1.3.14</t>
  </si>
  <si>
    <t>4.8.1.3.15</t>
  </si>
  <si>
    <t>4.8.1.3.16</t>
  </si>
  <si>
    <t>4.8.1.3.17</t>
  </si>
  <si>
    <t>4.8.1.3.18</t>
  </si>
  <si>
    <t>4.8.1.3.19</t>
  </si>
  <si>
    <t>4.8.1.3.20</t>
  </si>
  <si>
    <t>4.8.1.3.21</t>
  </si>
  <si>
    <t>4.8.1.3.22</t>
  </si>
  <si>
    <t>4.8.1.3.23</t>
  </si>
  <si>
    <t>4.8.1.3.24</t>
  </si>
  <si>
    <t>4.8.1.3.25</t>
  </si>
  <si>
    <t>4.8.1.3.26</t>
  </si>
  <si>
    <t>4.8.1.3.27</t>
  </si>
  <si>
    <t>4.8.1.4.1</t>
  </si>
  <si>
    <t>Estrutura metálica leve ou perfilados (até 25kg/m) ASTM A570 Gr33 (ou Gr50)</t>
  </si>
  <si>
    <t>4.8.1.4.2</t>
  </si>
  <si>
    <t>4.8.1.4.3</t>
  </si>
  <si>
    <t>4.8.1.4.4</t>
  </si>
  <si>
    <t>4.8.1.4.5</t>
  </si>
  <si>
    <t>4.8.1.4.6</t>
  </si>
  <si>
    <t>4.8.1.4.7</t>
  </si>
  <si>
    <t>4.8.1.4.8</t>
  </si>
  <si>
    <t>4.8.1.4.9</t>
  </si>
  <si>
    <t>4.8.1.4.10</t>
  </si>
  <si>
    <t>4.8.1.4.11</t>
  </si>
  <si>
    <t>4.8.1.4.12</t>
  </si>
  <si>
    <t>4.8.1.4.13</t>
  </si>
  <si>
    <t>4.8.1.4.14</t>
  </si>
  <si>
    <t>4.8.1.4.15</t>
  </si>
  <si>
    <t>4.8.1.4.16</t>
  </si>
  <si>
    <t>4.8.1.4.17</t>
  </si>
  <si>
    <t>4.8.1.4.18</t>
  </si>
  <si>
    <t>4.8.1.5.1</t>
  </si>
  <si>
    <t>MC.015S</t>
  </si>
  <si>
    <t>Grade de piso altura 25 mm ASTM A36</t>
  </si>
  <si>
    <t>CMS M.75.20.000</t>
  </si>
  <si>
    <t>4.8.1.5.2</t>
  </si>
  <si>
    <t>4.8.1.5.3</t>
  </si>
  <si>
    <t>4.8.1.5.4</t>
  </si>
  <si>
    <t>4.8.1.5.5</t>
  </si>
  <si>
    <t>4.8.1.5.6</t>
  </si>
  <si>
    <t>4.8.1.5.7</t>
  </si>
  <si>
    <t>4.8.1.5.8</t>
  </si>
  <si>
    <t>4.8.1.5.9</t>
  </si>
  <si>
    <t>4.8.1.5.10</t>
  </si>
  <si>
    <t>4.8.1.5.11</t>
  </si>
  <si>
    <t>4.8.1.5.12</t>
  </si>
  <si>
    <t>4.8.1.5.13</t>
  </si>
  <si>
    <t>4.8.1.5.14</t>
  </si>
  <si>
    <t>4.8.1.5.15</t>
  </si>
  <si>
    <t>4.8.1.5.16</t>
  </si>
  <si>
    <t>4.8.1.5.17</t>
  </si>
  <si>
    <t>4.8.1.5.18</t>
  </si>
  <si>
    <t>MC.016S</t>
  </si>
  <si>
    <t>CMS M.75.20.010</t>
  </si>
  <si>
    <t>4.8.1.5.19</t>
  </si>
  <si>
    <t>4.8.1.6.1</t>
  </si>
  <si>
    <t>Chapa xadrez espessura 6,3 mm ASTM A36</t>
  </si>
  <si>
    <t>4.8.1.6.2</t>
  </si>
  <si>
    <t>4.8.1.6.3</t>
  </si>
  <si>
    <t>4.8.1.6.4</t>
  </si>
  <si>
    <t>4.8.1.7.1</t>
  </si>
  <si>
    <t>Miscelâneas Metálicas, inclusive Pintura de Fundo</t>
  </si>
  <si>
    <t>CMS M.75.30.000</t>
  </si>
  <si>
    <t>4.8.1.7.2</t>
  </si>
  <si>
    <t>4.8.1.7.3</t>
  </si>
  <si>
    <t>Miscelâneas Metálicas, inclusive Pintura de Acabamento</t>
  </si>
  <si>
    <t>4.8.1.7.4</t>
  </si>
  <si>
    <t>4.8.1.7.5</t>
  </si>
  <si>
    <t>4.8.1.7.6</t>
  </si>
  <si>
    <t>4.8.1.7.7</t>
  </si>
  <si>
    <t>4.8.1.7.8</t>
  </si>
  <si>
    <t>4.8.1.7.9</t>
  </si>
  <si>
    <t>4.8.1.7.10</t>
  </si>
  <si>
    <t>4.8.1.7.11</t>
  </si>
  <si>
    <t>4.8.1.7.12</t>
  </si>
  <si>
    <t>4.8.1.7.13</t>
  </si>
  <si>
    <t>4.8.1.7.14</t>
  </si>
  <si>
    <t>4.8.1.7.15</t>
  </si>
  <si>
    <t>4.8.1.7.16</t>
  </si>
  <si>
    <t>4.8.1.7.17</t>
  </si>
  <si>
    <t>4.8.1.7.18</t>
  </si>
  <si>
    <t>4.8.1.7.19</t>
  </si>
  <si>
    <t>4.8.1.7.20</t>
  </si>
  <si>
    <t>4.8.1.7.21</t>
  </si>
  <si>
    <t>4.8.1.7.22</t>
  </si>
  <si>
    <t>4.8.1.7.23</t>
  </si>
  <si>
    <t>4.8.1.7.24</t>
  </si>
  <si>
    <t>4.8.1.7.25</t>
  </si>
  <si>
    <t>4.8.1.7.26</t>
  </si>
  <si>
    <t>4.8.1.7.27</t>
  </si>
  <si>
    <t>4.8.1.7.28</t>
  </si>
  <si>
    <t>4.8.1.7.29</t>
  </si>
  <si>
    <t>4.8.1.7.30</t>
  </si>
  <si>
    <t>4.8.1.7.31</t>
  </si>
  <si>
    <t>4.8.1.7.32</t>
  </si>
  <si>
    <t>MC.032T</t>
  </si>
  <si>
    <t>Miscelâneas Metálicas – Suporte para Tubulações</t>
  </si>
  <si>
    <t>CMS M.75.40.000</t>
  </si>
  <si>
    <t>4.8.1.7.33</t>
  </si>
  <si>
    <t>4.8.1.7.34</t>
  </si>
  <si>
    <t>4.8.1.7.35</t>
  </si>
  <si>
    <t>4.8.1.7.36</t>
  </si>
  <si>
    <t>4.8.1.7.37</t>
  </si>
  <si>
    <t>4.8.1.7.38</t>
  </si>
  <si>
    <t>4.8.1.7.39</t>
  </si>
  <si>
    <t>4.8.1.7.40</t>
  </si>
  <si>
    <t>4.8.1.7.41</t>
  </si>
  <si>
    <t>4.8.1.7.42</t>
  </si>
  <si>
    <t>4.8.1.7.43</t>
  </si>
  <si>
    <t>4.8.1.7.44</t>
  </si>
  <si>
    <t>4.8.1.7.45</t>
  </si>
  <si>
    <t>4.8.1.7.46</t>
  </si>
  <si>
    <t>4.8.1.7.47</t>
  </si>
  <si>
    <t>4.8.1.7.48</t>
  </si>
  <si>
    <t>4.8.1.7.49</t>
  </si>
  <si>
    <t>MC.017S</t>
  </si>
  <si>
    <t>CMS M.75.30.010</t>
  </si>
  <si>
    <t>4.8.1.7.50</t>
  </si>
  <si>
    <t>4.8.2.1.1</t>
  </si>
  <si>
    <t>MC.018S</t>
  </si>
  <si>
    <t>Cobertura completa incluindo rufos, contra rufos, acessórios de vedação e fechamento em telhas de chapa de aço galvanizada espessura de 0,65 mm, inclusive pintura.</t>
  </si>
  <si>
    <t>CMS M.75.15.000</t>
  </si>
  <si>
    <t>4.8.2.1.2</t>
  </si>
  <si>
    <t>4.8.2.1.3</t>
  </si>
  <si>
    <t>4.8.2.1.4</t>
  </si>
  <si>
    <t>4.8.2.1.5</t>
  </si>
  <si>
    <t>4.8.2.1.6</t>
  </si>
  <si>
    <t>4.8.2.1.7</t>
  </si>
  <si>
    <t>4.8.2.1.8</t>
  </si>
  <si>
    <t>4.8.2.1.9</t>
  </si>
  <si>
    <t>4.8.2.1.10</t>
  </si>
  <si>
    <t>4.8.2.1.11</t>
  </si>
  <si>
    <t>4.8.2.1.12</t>
  </si>
  <si>
    <t>4.8.2.1.13</t>
  </si>
  <si>
    <t>4.8.2.1.14</t>
  </si>
  <si>
    <t>4.8.2.1.15</t>
  </si>
  <si>
    <t>4.8.2.1.16</t>
  </si>
  <si>
    <t>4.8.2.1.17</t>
  </si>
  <si>
    <t>Tapamento lateral incluindo rufos, contra rufos, acessórios de vedação e fechamento em telhas de chapa de aço galvanizada espessura de 0,65 mm, inclusive pintura.</t>
  </si>
  <si>
    <t>4.8.2.1.18</t>
  </si>
  <si>
    <t>4.8.2.1.19</t>
  </si>
  <si>
    <t>4.8.2.1.20</t>
  </si>
  <si>
    <t>4.8.2.1.21</t>
  </si>
  <si>
    <t>4.8.2.1.22</t>
  </si>
  <si>
    <t>4.8.2.1.23</t>
  </si>
  <si>
    <t>4.8.2.1.24</t>
  </si>
  <si>
    <t>4.8.2.1.25</t>
  </si>
  <si>
    <t>Cobertura completa incluindo rufos, contra rufos, acessórios de vedação e fechamento em telhas translúcidas</t>
  </si>
  <si>
    <t>4.8.2.1.26</t>
  </si>
  <si>
    <t>4.8.2.1.27</t>
  </si>
  <si>
    <t>Tapamento completo incluindo rufos, contra rufos, acessórios de vedação e fechamento em telhas translúcidas</t>
  </si>
  <si>
    <t>4.8.2.1.28</t>
  </si>
  <si>
    <t>4.8.2.1.29</t>
  </si>
  <si>
    <t>4.9.1.1.1</t>
  </si>
  <si>
    <t>Certificação de Redes de Comunicação em fibra óptica - MEM 01</t>
  </si>
  <si>
    <t>4.9.1.1.2</t>
  </si>
  <si>
    <t>Fusão em cabo de fibra óptica - MEM 01</t>
  </si>
  <si>
    <t>4.9.1.2.1</t>
  </si>
  <si>
    <t>Certificação de Redes de Comunicação em cabeamento metálico UTP - MEM 01</t>
  </si>
  <si>
    <t>Suspensão parcial do contrato, COVID-19 - Abril 2020</t>
  </si>
  <si>
    <t>Descritivo</t>
  </si>
  <si>
    <t>Geral</t>
  </si>
  <si>
    <t>Evento 01</t>
  </si>
  <si>
    <t>Evento 02</t>
  </si>
  <si>
    <t>Evento 03</t>
  </si>
  <si>
    <t>Evento 04</t>
  </si>
  <si>
    <t>Evento 05</t>
  </si>
  <si>
    <t>Evento 06</t>
  </si>
  <si>
    <t>Evento 07</t>
  </si>
  <si>
    <t>Percentual Financeiro</t>
  </si>
  <si>
    <t>Percentual Fisico</t>
  </si>
  <si>
    <t>.</t>
  </si>
  <si>
    <t>CWP-321B</t>
  </si>
  <si>
    <t>739D</t>
  </si>
  <si>
    <t>W310X38.7-ASTM-A572 GR.50</t>
  </si>
  <si>
    <t>739F</t>
  </si>
  <si>
    <t>741E</t>
  </si>
  <si>
    <t>PS700X168-ASTM-A572 GR.50</t>
  </si>
  <si>
    <t>742A</t>
  </si>
  <si>
    <t>742E</t>
  </si>
  <si>
    <t>742F</t>
  </si>
  <si>
    <t>742G</t>
  </si>
  <si>
    <t>742H</t>
  </si>
  <si>
    <t>PS700X129-ASTM-A572 GR.50</t>
  </si>
  <si>
    <t>743A</t>
  </si>
  <si>
    <t>PS900X238-ASTM-A572 GR.50</t>
  </si>
  <si>
    <t>745B</t>
  </si>
  <si>
    <t>745D</t>
  </si>
  <si>
    <t>CH.12,5-ASTM-A572 GR.50</t>
  </si>
  <si>
    <t>745P</t>
  </si>
  <si>
    <t>745R</t>
  </si>
  <si>
    <t>CH.6,3-ASTM-A572 GR.50</t>
  </si>
  <si>
    <t>739A</t>
  </si>
  <si>
    <t>W460X60.0-ASTM-A572 GR.50</t>
  </si>
  <si>
    <t>739G</t>
  </si>
  <si>
    <t>742B</t>
  </si>
  <si>
    <t>742C</t>
  </si>
  <si>
    <t>745A</t>
  </si>
  <si>
    <t>745S</t>
  </si>
  <si>
    <t>739B</t>
  </si>
  <si>
    <t>741B</t>
  </si>
  <si>
    <t>741C</t>
  </si>
  <si>
    <t>745E</t>
  </si>
  <si>
    <t>745K</t>
  </si>
  <si>
    <t>745L</t>
  </si>
  <si>
    <t>740A</t>
  </si>
  <si>
    <t>740E</t>
  </si>
  <si>
    <t>740G</t>
  </si>
  <si>
    <t>740D</t>
  </si>
  <si>
    <t>741A</t>
  </si>
  <si>
    <t>741D</t>
  </si>
  <si>
    <t>739C</t>
  </si>
  <si>
    <t>CWP-321C</t>
  </si>
  <si>
    <t>763A</t>
  </si>
  <si>
    <t>763D</t>
  </si>
  <si>
    <t>767F</t>
  </si>
  <si>
    <t>768F</t>
  </si>
  <si>
    <t>768H</t>
  </si>
  <si>
    <t>768P</t>
  </si>
  <si>
    <t>763F</t>
  </si>
  <si>
    <t>764D</t>
  </si>
  <si>
    <t>765A</t>
  </si>
  <si>
    <t>765C</t>
  </si>
  <si>
    <t>767B</t>
  </si>
  <si>
    <t>768C</t>
  </si>
  <si>
    <t>768K</t>
  </si>
  <si>
    <t>768M</t>
  </si>
  <si>
    <t>768T</t>
  </si>
  <si>
    <t>763B</t>
  </si>
  <si>
    <t>763C</t>
  </si>
  <si>
    <t>767D</t>
  </si>
  <si>
    <t>764E</t>
  </si>
  <si>
    <t>764F</t>
  </si>
  <si>
    <t>767E</t>
  </si>
  <si>
    <t>767H</t>
  </si>
  <si>
    <t>767C</t>
  </si>
  <si>
    <t>767G</t>
  </si>
  <si>
    <t>765B</t>
  </si>
  <si>
    <t>765D</t>
  </si>
  <si>
    <t>768D</t>
  </si>
  <si>
    <t>CWP-321D</t>
  </si>
  <si>
    <t>881D</t>
  </si>
  <si>
    <t>882C</t>
  </si>
  <si>
    <t>W610X113.0-ASTM-A572 GR.50</t>
  </si>
  <si>
    <t>883B</t>
  </si>
  <si>
    <t>W460X52.0-ASTM-A572 GR.50</t>
  </si>
  <si>
    <t>884C</t>
  </si>
  <si>
    <t>886B</t>
  </si>
  <si>
    <t>W310X44.5-ASTM-A572 GR.50</t>
  </si>
  <si>
    <t>886L</t>
  </si>
  <si>
    <t>W360X39.0-ASTM-A572 GR.50</t>
  </si>
  <si>
    <t>897AP</t>
  </si>
  <si>
    <t>897U</t>
  </si>
  <si>
    <t>897V</t>
  </si>
  <si>
    <t>897W</t>
  </si>
  <si>
    <t>897Z</t>
  </si>
  <si>
    <t>880E</t>
  </si>
  <si>
    <t>881C</t>
  </si>
  <si>
    <t>PS900X205-ASTM-A572 GR.50</t>
  </si>
  <si>
    <t>882E</t>
  </si>
  <si>
    <t>883H</t>
  </si>
  <si>
    <t>886K</t>
  </si>
  <si>
    <t>CWP-320A</t>
  </si>
  <si>
    <t>728D</t>
  </si>
  <si>
    <t>PS900X177-ASTM-A572 GR.50</t>
  </si>
  <si>
    <t>728F</t>
  </si>
  <si>
    <t>728L</t>
  </si>
  <si>
    <t>730C</t>
  </si>
  <si>
    <t>PS900X348-ASTM-A572 GR.50</t>
  </si>
  <si>
    <t>731C</t>
  </si>
  <si>
    <t>731D</t>
  </si>
  <si>
    <t>733C</t>
  </si>
  <si>
    <t>733D</t>
  </si>
  <si>
    <t>734A</t>
  </si>
  <si>
    <t>734E</t>
  </si>
  <si>
    <t>736B</t>
  </si>
  <si>
    <t>736C</t>
  </si>
  <si>
    <t>736H</t>
  </si>
  <si>
    <t>784G</t>
  </si>
  <si>
    <t>728B</t>
  </si>
  <si>
    <t>W530X82.0-ASTM-A572 GR.50</t>
  </si>
  <si>
    <t>728E</t>
  </si>
  <si>
    <t>728G</t>
  </si>
  <si>
    <t>730D</t>
  </si>
  <si>
    <t>730E</t>
  </si>
  <si>
    <t>731A</t>
  </si>
  <si>
    <t>731B</t>
  </si>
  <si>
    <t>734D</t>
  </si>
  <si>
    <t>734F</t>
  </si>
  <si>
    <t>734L</t>
  </si>
  <si>
    <t>735E</t>
  </si>
  <si>
    <t>WT125X36,5-ASTM-A572 GR.50</t>
  </si>
  <si>
    <t>736A</t>
  </si>
  <si>
    <t>771A</t>
  </si>
  <si>
    <t>TRILHO</t>
  </si>
  <si>
    <t>785Z</t>
  </si>
  <si>
    <t>CONTRAVEN</t>
  </si>
  <si>
    <t>L102X8,0-ASTM-A36</t>
  </si>
  <si>
    <t>728A</t>
  </si>
  <si>
    <t>730B</t>
  </si>
  <si>
    <t>730F</t>
  </si>
  <si>
    <t>729E</t>
  </si>
  <si>
    <t>730A</t>
  </si>
  <si>
    <t>732A</t>
  </si>
  <si>
    <t>734C</t>
  </si>
  <si>
    <t>734H</t>
  </si>
  <si>
    <t>734K</t>
  </si>
  <si>
    <t>732B</t>
  </si>
  <si>
    <t>728C</t>
  </si>
  <si>
    <t>731E</t>
  </si>
  <si>
    <t>731F</t>
  </si>
  <si>
    <t>732C</t>
  </si>
  <si>
    <t>734B</t>
  </si>
  <si>
    <t>W530X66.0-ASTM-A572 GR.50</t>
  </si>
  <si>
    <t>734G</t>
  </si>
  <si>
    <t>734M</t>
  </si>
  <si>
    <t>728K</t>
  </si>
  <si>
    <t>732D</t>
  </si>
  <si>
    <t>PS900X255-ASTM-A572 GR.50</t>
  </si>
  <si>
    <t>735C</t>
  </si>
  <si>
    <t>736K</t>
  </si>
  <si>
    <t>736L</t>
  </si>
  <si>
    <t>COD</t>
  </si>
  <si>
    <t>Marca</t>
  </si>
  <si>
    <t>TAG REVISADO</t>
  </si>
  <si>
    <t>3.2</t>
  </si>
  <si>
    <t>702A</t>
  </si>
  <si>
    <t>COLUNA</t>
  </si>
  <si>
    <t>CVS700x232-ASTM-A572 GR.50</t>
  </si>
  <si>
    <t>704A</t>
  </si>
  <si>
    <t>705A</t>
  </si>
  <si>
    <t>706A</t>
  </si>
  <si>
    <t>707A</t>
  </si>
  <si>
    <t>708A</t>
  </si>
  <si>
    <t>709A</t>
  </si>
  <si>
    <t>710A</t>
  </si>
  <si>
    <t>711A</t>
  </si>
  <si>
    <t>712A</t>
  </si>
  <si>
    <t>713A</t>
  </si>
  <si>
    <t>714A-REV.1</t>
  </si>
  <si>
    <t>714A</t>
  </si>
  <si>
    <t>717A</t>
  </si>
  <si>
    <t>W200X46.1-ASTM-A572 GR.50</t>
  </si>
  <si>
    <t>717B</t>
  </si>
  <si>
    <t>717C</t>
  </si>
  <si>
    <t>717D</t>
  </si>
  <si>
    <t>717E</t>
  </si>
  <si>
    <t>717F</t>
  </si>
  <si>
    <t>717G</t>
  </si>
  <si>
    <t>W200X35.9-ASTM-A572 GR.50</t>
  </si>
  <si>
    <t>718B</t>
  </si>
  <si>
    <t>718C</t>
  </si>
  <si>
    <t>718D</t>
  </si>
  <si>
    <t>718E</t>
  </si>
  <si>
    <t>715A</t>
  </si>
  <si>
    <t>715E</t>
  </si>
  <si>
    <t>3.1</t>
  </si>
  <si>
    <t>719A</t>
  </si>
  <si>
    <t>CVS700x278-ASTM-A572 GR.50</t>
  </si>
  <si>
    <t>720A</t>
  </si>
  <si>
    <t>721A</t>
  </si>
  <si>
    <t>722A</t>
  </si>
  <si>
    <t>723A</t>
  </si>
  <si>
    <t>724A</t>
  </si>
  <si>
    <t>725A</t>
  </si>
  <si>
    <t>726A</t>
  </si>
  <si>
    <t>727A</t>
  </si>
  <si>
    <t>CVS800x310-ASTM-A572 GR.50</t>
  </si>
  <si>
    <t>729A</t>
  </si>
  <si>
    <t>PS900X226-ASTM-A572 GR.50</t>
  </si>
  <si>
    <t>729B</t>
  </si>
  <si>
    <t>729C</t>
  </si>
  <si>
    <t>729D</t>
  </si>
  <si>
    <t>733A</t>
  </si>
  <si>
    <t>733B</t>
  </si>
  <si>
    <t>735A</t>
  </si>
  <si>
    <t>HP250X62.0-ASTM-A572 GR.50</t>
  </si>
  <si>
    <t>735B</t>
  </si>
  <si>
    <t>735D</t>
  </si>
  <si>
    <t>W610X174.0-ASTM-A572 GR.50</t>
  </si>
  <si>
    <t>736D</t>
  </si>
  <si>
    <t>736E</t>
  </si>
  <si>
    <t>736F</t>
  </si>
  <si>
    <t>736G</t>
  </si>
  <si>
    <t>737A</t>
  </si>
  <si>
    <t>737B</t>
  </si>
  <si>
    <t>737C</t>
  </si>
  <si>
    <t>737D</t>
  </si>
  <si>
    <t>738A</t>
  </si>
  <si>
    <t>738B</t>
  </si>
  <si>
    <t>738C</t>
  </si>
  <si>
    <t>3.3</t>
  </si>
  <si>
    <t>739E</t>
  </si>
  <si>
    <t>740B</t>
  </si>
  <si>
    <t>740C</t>
  </si>
  <si>
    <t>740F</t>
  </si>
  <si>
    <t>742D</t>
  </si>
  <si>
    <t>743B</t>
  </si>
  <si>
    <t>743C</t>
  </si>
  <si>
    <t>743D</t>
  </si>
  <si>
    <t>743E</t>
  </si>
  <si>
    <t>744A</t>
  </si>
  <si>
    <t>744B</t>
  </si>
  <si>
    <t>745C</t>
  </si>
  <si>
    <t>745F</t>
  </si>
  <si>
    <t>745G</t>
  </si>
  <si>
    <t>CH.19-ASTM-A572 GR.50</t>
  </si>
  <si>
    <t>745H</t>
  </si>
  <si>
    <t>745M</t>
  </si>
  <si>
    <t>745N</t>
  </si>
  <si>
    <t>746A</t>
  </si>
  <si>
    <t>3.6</t>
  </si>
  <si>
    <t>747A</t>
  </si>
  <si>
    <t>748A</t>
  </si>
  <si>
    <t>749A</t>
  </si>
  <si>
    <t>750A</t>
  </si>
  <si>
    <t>751A</t>
  </si>
  <si>
    <t>752A</t>
  </si>
  <si>
    <t>753A</t>
  </si>
  <si>
    <t>754A</t>
  </si>
  <si>
    <t>755A</t>
  </si>
  <si>
    <t>756A</t>
  </si>
  <si>
    <t>757A</t>
  </si>
  <si>
    <t>758A</t>
  </si>
  <si>
    <t>759A</t>
  </si>
  <si>
    <t>760A</t>
  </si>
  <si>
    <t>761A</t>
  </si>
  <si>
    <t>762A</t>
  </si>
  <si>
    <t>763E</t>
  </si>
  <si>
    <t>766A</t>
  </si>
  <si>
    <t>766B</t>
  </si>
  <si>
    <t>W360X44.0-ASTM-A572 GR.50</t>
  </si>
  <si>
    <t>766C</t>
  </si>
  <si>
    <t>W200X26.6-ASTM-A572 GR.50</t>
  </si>
  <si>
    <t>766D</t>
  </si>
  <si>
    <t>766E</t>
  </si>
  <si>
    <t>766F</t>
  </si>
  <si>
    <t>766G</t>
  </si>
  <si>
    <t>766H</t>
  </si>
  <si>
    <t>766K</t>
  </si>
  <si>
    <t>767K</t>
  </si>
  <si>
    <t>767L</t>
  </si>
  <si>
    <t>W150X22.5-ASTM-A572 GR.50</t>
  </si>
  <si>
    <t>767M</t>
  </si>
  <si>
    <t>L76X6,3-ASTM-A36</t>
  </si>
  <si>
    <t>767N</t>
  </si>
  <si>
    <t>767P</t>
  </si>
  <si>
    <t>767R</t>
  </si>
  <si>
    <t>768A</t>
  </si>
  <si>
    <t>FC76X8-ASTM-A36</t>
  </si>
  <si>
    <t>768B</t>
  </si>
  <si>
    <t>768E</t>
  </si>
  <si>
    <t>768G</t>
  </si>
  <si>
    <t>768L</t>
  </si>
  <si>
    <t>768N</t>
  </si>
  <si>
    <t>768R</t>
  </si>
  <si>
    <t>768S</t>
  </si>
  <si>
    <t>764A</t>
  </si>
  <si>
    <t>764B</t>
  </si>
  <si>
    <t>764C</t>
  </si>
  <si>
    <t>766L</t>
  </si>
  <si>
    <t>767S</t>
  </si>
  <si>
    <t>3.4</t>
  </si>
  <si>
    <t>CWP-320B</t>
  </si>
  <si>
    <t>804A</t>
  </si>
  <si>
    <t>805A</t>
  </si>
  <si>
    <t>3.5</t>
  </si>
  <si>
    <t>807A</t>
  </si>
  <si>
    <t>808A</t>
  </si>
  <si>
    <t>794A</t>
  </si>
  <si>
    <t>795A</t>
  </si>
  <si>
    <t>796A</t>
  </si>
  <si>
    <t>797A</t>
  </si>
  <si>
    <t>798A</t>
  </si>
  <si>
    <t>799A</t>
  </si>
  <si>
    <t>800A</t>
  </si>
  <si>
    <t>801A</t>
  </si>
  <si>
    <t>802A</t>
  </si>
  <si>
    <t>787A</t>
  </si>
  <si>
    <t>GRADE DE</t>
  </si>
  <si>
    <t>GRADE GS-A4-254-SAE1006/1020</t>
  </si>
  <si>
    <t>787B</t>
  </si>
  <si>
    <t>787C</t>
  </si>
  <si>
    <t>787D</t>
  </si>
  <si>
    <t>769A</t>
  </si>
  <si>
    <t>SUPORTE</t>
  </si>
  <si>
    <t>770A</t>
  </si>
  <si>
    <t>772A</t>
  </si>
  <si>
    <t>ESCADA</t>
  </si>
  <si>
    <t>U10X22.77-1ª alma-ASTM-A36</t>
  </si>
  <si>
    <t>772B</t>
  </si>
  <si>
    <t>773A</t>
  </si>
  <si>
    <t>774A</t>
  </si>
  <si>
    <t>775A</t>
  </si>
  <si>
    <t>GUARDA-CO</t>
  </si>
  <si>
    <t>TB.1.1/2" -SCH40 (48,26X3,68)-ASTM-A53</t>
  </si>
  <si>
    <t>776A</t>
  </si>
  <si>
    <t>777A</t>
  </si>
  <si>
    <t>778A</t>
  </si>
  <si>
    <t>779A</t>
  </si>
  <si>
    <t>780A</t>
  </si>
  <si>
    <t>781A</t>
  </si>
  <si>
    <t>781B</t>
  </si>
  <si>
    <t>781C</t>
  </si>
  <si>
    <t>781D</t>
  </si>
  <si>
    <t>781E</t>
  </si>
  <si>
    <t>782A</t>
  </si>
  <si>
    <t>783A</t>
  </si>
  <si>
    <t>784A</t>
  </si>
  <si>
    <t>W250X32.7-ASTM-A572 GR.50</t>
  </si>
  <si>
    <t>784B</t>
  </si>
  <si>
    <t>784C</t>
  </si>
  <si>
    <t>784D</t>
  </si>
  <si>
    <t>W250X17.9-ASTM-A572 GR.50</t>
  </si>
  <si>
    <t>784E</t>
  </si>
  <si>
    <t>784F</t>
  </si>
  <si>
    <t>W200X15.0-ASTM-A572 GR.50</t>
  </si>
  <si>
    <t>784H</t>
  </si>
  <si>
    <t>784K</t>
  </si>
  <si>
    <t>784L</t>
  </si>
  <si>
    <t>789A</t>
  </si>
  <si>
    <t>CH.4,75-ASTM-A36</t>
  </si>
  <si>
    <t>789B</t>
  </si>
  <si>
    <t>CH.4,75-ASTM-A572 GR.50</t>
  </si>
  <si>
    <t>789C</t>
  </si>
  <si>
    <t>789D</t>
  </si>
  <si>
    <t>790A</t>
  </si>
  <si>
    <t>790B</t>
  </si>
  <si>
    <t>790C</t>
  </si>
  <si>
    <t>791A</t>
  </si>
  <si>
    <t>791B</t>
  </si>
  <si>
    <t>791C</t>
  </si>
  <si>
    <t>GUARDA CO</t>
  </si>
  <si>
    <t>792A</t>
  </si>
  <si>
    <t>793A</t>
  </si>
  <si>
    <t>793B</t>
  </si>
  <si>
    <t>701A</t>
  </si>
  <si>
    <t>703A</t>
  </si>
  <si>
    <t>M-2305-553-1</t>
  </si>
  <si>
    <t>ELEMENTO DE FIXAÇÃO</t>
  </si>
  <si>
    <t>PARA. 5/8" X 1.3/4" - A307</t>
  </si>
  <si>
    <t>M-2305-553-2</t>
  </si>
  <si>
    <t xml:space="preserve">PORCA. 5/8" - A563 A </t>
  </si>
  <si>
    <t>M-2305-553-3</t>
  </si>
  <si>
    <t>ARR. 5/8' - COMUM</t>
  </si>
  <si>
    <t>M-2305-553-4</t>
  </si>
  <si>
    <t>PARAF. 3/4" X 1.3/4" - A325</t>
  </si>
  <si>
    <t>M-2305-553-5</t>
  </si>
  <si>
    <t>PARAF. 3/4" X 2" - A325</t>
  </si>
  <si>
    <t>M-2305-553-6</t>
  </si>
  <si>
    <t>PARAF. 3/4" X 2.1/4" - A325</t>
  </si>
  <si>
    <t>M-2305-553-7</t>
  </si>
  <si>
    <t>PARAF. 3/4" X 2.1/2" - A325</t>
  </si>
  <si>
    <t>M-2305-553-8</t>
  </si>
  <si>
    <t>PARAF. 3/4" X 2.3/4" - A325</t>
  </si>
  <si>
    <t>M-2305-553-9</t>
  </si>
  <si>
    <t>PARAF. 3/4" X 3" - A325</t>
  </si>
  <si>
    <t>M-2305-553-10</t>
  </si>
  <si>
    <t>PORCA 3/4" - A563 DH</t>
  </si>
  <si>
    <t>M-2305-553-11</t>
  </si>
  <si>
    <t>ARR. 3/4" - F436</t>
  </si>
  <si>
    <t>M-2305-566-1</t>
  </si>
  <si>
    <t>M-2305-566-2</t>
  </si>
  <si>
    <t>M-2305-566-3</t>
  </si>
  <si>
    <t>M-2305-566-4</t>
  </si>
  <si>
    <t>M-2305-566-5</t>
  </si>
  <si>
    <t>M-2305-566-6</t>
  </si>
  <si>
    <t>M-2305-568-1</t>
  </si>
  <si>
    <t>PARAF. 5/8" X 1.3/4" - A307</t>
  </si>
  <si>
    <t>M-2305-568-2</t>
  </si>
  <si>
    <t>PORCA 5/8" - A563 DH</t>
  </si>
  <si>
    <t>M-2305-568-3</t>
  </si>
  <si>
    <t>ARR. 5/8" F436</t>
  </si>
  <si>
    <t>M-2305-568-4</t>
  </si>
  <si>
    <t>M-2305-568-5</t>
  </si>
  <si>
    <t>M-2305-568-6</t>
  </si>
  <si>
    <t>M-2305-568-7</t>
  </si>
  <si>
    <t>M-2305-568-8</t>
  </si>
  <si>
    <t>PARAF. 3/4" X 3.1/4" - A325</t>
  </si>
  <si>
    <t>M-2305-568-9</t>
  </si>
  <si>
    <t>PARAF. 3/4" X 3.1/2" - A325</t>
  </si>
  <si>
    <t>M-2305-568-10</t>
  </si>
  <si>
    <t>PARAF. 3/4" X 3.3/4" - A325</t>
  </si>
  <si>
    <t>M-2305-568-11</t>
  </si>
  <si>
    <t>M-2305-568-12</t>
  </si>
  <si>
    <t>809A</t>
  </si>
  <si>
    <t>809B</t>
  </si>
  <si>
    <t>809C</t>
  </si>
  <si>
    <t>809D</t>
  </si>
  <si>
    <t>810A</t>
  </si>
  <si>
    <t>810B</t>
  </si>
  <si>
    <t>810C</t>
  </si>
  <si>
    <t>PS900X287-ASTM-A572 GR.50</t>
  </si>
  <si>
    <t>810D</t>
  </si>
  <si>
    <t>810E</t>
  </si>
  <si>
    <t>811A</t>
  </si>
  <si>
    <t>PS900X231-ASTM-A572 GR.50</t>
  </si>
  <si>
    <t>811B</t>
  </si>
  <si>
    <t>811C</t>
  </si>
  <si>
    <t>W360X91.0-ASTM-A572 GR.50</t>
  </si>
  <si>
    <t>812A</t>
  </si>
  <si>
    <t>812B</t>
  </si>
  <si>
    <t>W410X53.0-ASTM-A572 GR.50</t>
  </si>
  <si>
    <t>812C</t>
  </si>
  <si>
    <t>812D</t>
  </si>
  <si>
    <t>812E</t>
  </si>
  <si>
    <t>812F</t>
  </si>
  <si>
    <t>812G</t>
  </si>
  <si>
    <t>812H</t>
  </si>
  <si>
    <t>812K</t>
  </si>
  <si>
    <t>812L</t>
  </si>
  <si>
    <t>812M</t>
  </si>
  <si>
    <t>812N</t>
  </si>
  <si>
    <t>812P</t>
  </si>
  <si>
    <t>812R</t>
  </si>
  <si>
    <t>812S</t>
  </si>
  <si>
    <t>812T</t>
  </si>
  <si>
    <t>812U</t>
  </si>
  <si>
    <t>813A</t>
  </si>
  <si>
    <t>813B</t>
  </si>
  <si>
    <t>813C</t>
  </si>
  <si>
    <t>813D</t>
  </si>
  <si>
    <t>813E</t>
  </si>
  <si>
    <t>814A</t>
  </si>
  <si>
    <t>814B</t>
  </si>
  <si>
    <t>814C</t>
  </si>
  <si>
    <t>814E</t>
  </si>
  <si>
    <t>814F</t>
  </si>
  <si>
    <t>814G</t>
  </si>
  <si>
    <t>814H</t>
  </si>
  <si>
    <t>771B</t>
  </si>
  <si>
    <t>MONOVIA</t>
  </si>
  <si>
    <t>W360X51.0-ASTM-A572 GR.50</t>
  </si>
  <si>
    <t>771C</t>
  </si>
  <si>
    <t>771D</t>
  </si>
  <si>
    <t>771E</t>
  </si>
  <si>
    <t>771F</t>
  </si>
  <si>
    <t>785A</t>
  </si>
  <si>
    <t>L64X4,7-ASTM-A36</t>
  </si>
  <si>
    <t>785B</t>
  </si>
  <si>
    <t>785C</t>
  </si>
  <si>
    <t>L51X4,7-ASTM-A36</t>
  </si>
  <si>
    <t>785D</t>
  </si>
  <si>
    <t>785E</t>
  </si>
  <si>
    <t>785F</t>
  </si>
  <si>
    <t>785G</t>
  </si>
  <si>
    <t>785H</t>
  </si>
  <si>
    <t>785M</t>
  </si>
  <si>
    <t>L76X4,7-ASTM-A36</t>
  </si>
  <si>
    <t>785N</t>
  </si>
  <si>
    <t>785R</t>
  </si>
  <si>
    <t>785S</t>
  </si>
  <si>
    <t>785U</t>
  </si>
  <si>
    <t>785V</t>
  </si>
  <si>
    <t>785W</t>
  </si>
  <si>
    <t>785X</t>
  </si>
  <si>
    <t>785Y</t>
  </si>
  <si>
    <t>786A</t>
  </si>
  <si>
    <t>786B</t>
  </si>
  <si>
    <t>786C</t>
  </si>
  <si>
    <t>786D</t>
  </si>
  <si>
    <t>CH.6,3-ASTM-A36</t>
  </si>
  <si>
    <t>786E</t>
  </si>
  <si>
    <t>786F</t>
  </si>
  <si>
    <t>786G</t>
  </si>
  <si>
    <t>786H</t>
  </si>
  <si>
    <t>786L</t>
  </si>
  <si>
    <t>786M</t>
  </si>
  <si>
    <t>816A</t>
  </si>
  <si>
    <t>816B</t>
  </si>
  <si>
    <t>816C</t>
  </si>
  <si>
    <t>816D</t>
  </si>
  <si>
    <t>816E</t>
  </si>
  <si>
    <t>816F</t>
  </si>
  <si>
    <t>816G</t>
  </si>
  <si>
    <t>816H</t>
  </si>
  <si>
    <t>816K</t>
  </si>
  <si>
    <t>816L</t>
  </si>
  <si>
    <t>816M</t>
  </si>
  <si>
    <t>816N</t>
  </si>
  <si>
    <t>816P</t>
  </si>
  <si>
    <t>816R</t>
  </si>
  <si>
    <t>816S</t>
  </si>
  <si>
    <t>816T</t>
  </si>
  <si>
    <t>816U</t>
  </si>
  <si>
    <t>817A</t>
  </si>
  <si>
    <t>817B</t>
  </si>
  <si>
    <t>817C</t>
  </si>
  <si>
    <t>817D</t>
  </si>
  <si>
    <t>817E</t>
  </si>
  <si>
    <t>817F</t>
  </si>
  <si>
    <t>817G</t>
  </si>
  <si>
    <t>817H</t>
  </si>
  <si>
    <t>817K</t>
  </si>
  <si>
    <t>817L</t>
  </si>
  <si>
    <t>817M</t>
  </si>
  <si>
    <t>817N</t>
  </si>
  <si>
    <t>817P</t>
  </si>
  <si>
    <t>817R</t>
  </si>
  <si>
    <t>817S</t>
  </si>
  <si>
    <t>817T</t>
  </si>
  <si>
    <t>817U</t>
  </si>
  <si>
    <t>817V</t>
  </si>
  <si>
    <t>817W</t>
  </si>
  <si>
    <t>W200X19.3-ASTM-A572 GR.50</t>
  </si>
  <si>
    <t>817X</t>
  </si>
  <si>
    <t>817Y</t>
  </si>
  <si>
    <t>823A</t>
  </si>
  <si>
    <t>823B</t>
  </si>
  <si>
    <t>823C</t>
  </si>
  <si>
    <t>823D</t>
  </si>
  <si>
    <t>824A</t>
  </si>
  <si>
    <t>824B</t>
  </si>
  <si>
    <t>824C</t>
  </si>
  <si>
    <t>825A</t>
  </si>
  <si>
    <t>827A</t>
  </si>
  <si>
    <t>827B</t>
  </si>
  <si>
    <t>W460X74.0-ASTM-A572 GR.50</t>
  </si>
  <si>
    <t>827C</t>
  </si>
  <si>
    <t>827D</t>
  </si>
  <si>
    <t>828A</t>
  </si>
  <si>
    <t>828B</t>
  </si>
  <si>
    <t>828C</t>
  </si>
  <si>
    <t>828D</t>
  </si>
  <si>
    <t>830A</t>
  </si>
  <si>
    <t>830B</t>
  </si>
  <si>
    <t>830C</t>
  </si>
  <si>
    <t>830D</t>
  </si>
  <si>
    <t>L64X6,3-ASTM-A36</t>
  </si>
  <si>
    <t>830F</t>
  </si>
  <si>
    <t>830G</t>
  </si>
  <si>
    <t>830H</t>
  </si>
  <si>
    <t>830K</t>
  </si>
  <si>
    <t>830L</t>
  </si>
  <si>
    <t>830M</t>
  </si>
  <si>
    <t>830N</t>
  </si>
  <si>
    <t>830P</t>
  </si>
  <si>
    <t>830R</t>
  </si>
  <si>
    <t>830S</t>
  </si>
  <si>
    <t>818A</t>
  </si>
  <si>
    <t>818B</t>
  </si>
  <si>
    <t>818C</t>
  </si>
  <si>
    <t>818D</t>
  </si>
  <si>
    <t>818E</t>
  </si>
  <si>
    <t>818F</t>
  </si>
  <si>
    <t>818G</t>
  </si>
  <si>
    <t>818H</t>
  </si>
  <si>
    <t>818K</t>
  </si>
  <si>
    <t>820A</t>
  </si>
  <si>
    <t>820B</t>
  </si>
  <si>
    <t>820C</t>
  </si>
  <si>
    <t>820D</t>
  </si>
  <si>
    <t>820E</t>
  </si>
  <si>
    <t>820F</t>
  </si>
  <si>
    <t>821A</t>
  </si>
  <si>
    <t>821B</t>
  </si>
  <si>
    <t>821C</t>
  </si>
  <si>
    <t>821D</t>
  </si>
  <si>
    <t>815A</t>
  </si>
  <si>
    <t>815B</t>
  </si>
  <si>
    <t>815C</t>
  </si>
  <si>
    <t>815D</t>
  </si>
  <si>
    <t>819A</t>
  </si>
  <si>
    <t>819B</t>
  </si>
  <si>
    <t>819C</t>
  </si>
  <si>
    <t>819D</t>
  </si>
  <si>
    <t>819E</t>
  </si>
  <si>
    <t>819F</t>
  </si>
  <si>
    <t>819G</t>
  </si>
  <si>
    <t>819H</t>
  </si>
  <si>
    <t>826A</t>
  </si>
  <si>
    <t>826B</t>
  </si>
  <si>
    <t>826C</t>
  </si>
  <si>
    <t>829A</t>
  </si>
  <si>
    <t>829B</t>
  </si>
  <si>
    <t>829C</t>
  </si>
  <si>
    <t>CVS600x190-ASTM-A572 GR.50</t>
  </si>
  <si>
    <t>822-A</t>
  </si>
  <si>
    <t>822A</t>
  </si>
  <si>
    <t>822-B</t>
  </si>
  <si>
    <t>822B</t>
  </si>
  <si>
    <t>822-C</t>
  </si>
  <si>
    <t>822C</t>
  </si>
  <si>
    <t>822-D</t>
  </si>
  <si>
    <t>822D</t>
  </si>
  <si>
    <t>851-A</t>
  </si>
  <si>
    <t>851A</t>
  </si>
  <si>
    <t>851-B</t>
  </si>
  <si>
    <t>851B</t>
  </si>
  <si>
    <t>851-C</t>
  </si>
  <si>
    <t>851C</t>
  </si>
  <si>
    <t>851-D</t>
  </si>
  <si>
    <t>851D</t>
  </si>
  <si>
    <t>853-A</t>
  </si>
  <si>
    <t>853A</t>
  </si>
  <si>
    <t>853-B</t>
  </si>
  <si>
    <t>853B</t>
  </si>
  <si>
    <t>853-C</t>
  </si>
  <si>
    <t>853C</t>
  </si>
  <si>
    <t>853-D</t>
  </si>
  <si>
    <t>853D</t>
  </si>
  <si>
    <t>854-A</t>
  </si>
  <si>
    <t>854A</t>
  </si>
  <si>
    <t>854-B</t>
  </si>
  <si>
    <t>854B</t>
  </si>
  <si>
    <t>855-A</t>
  </si>
  <si>
    <t>855A</t>
  </si>
  <si>
    <t>855-B</t>
  </si>
  <si>
    <t>855B</t>
  </si>
  <si>
    <t>855-C</t>
  </si>
  <si>
    <t>855C</t>
  </si>
  <si>
    <t>856-A</t>
  </si>
  <si>
    <t>856A</t>
  </si>
  <si>
    <t>856-B</t>
  </si>
  <si>
    <t>856B</t>
  </si>
  <si>
    <t>856-C</t>
  </si>
  <si>
    <t>856C</t>
  </si>
  <si>
    <t>857-A</t>
  </si>
  <si>
    <t>857A</t>
  </si>
  <si>
    <t>857-B</t>
  </si>
  <si>
    <t>857B</t>
  </si>
  <si>
    <t>857-C</t>
  </si>
  <si>
    <t>857C</t>
  </si>
  <si>
    <t>857-D</t>
  </si>
  <si>
    <t>857D</t>
  </si>
  <si>
    <t>857-E</t>
  </si>
  <si>
    <t>857E</t>
  </si>
  <si>
    <t>857-F</t>
  </si>
  <si>
    <t>857F</t>
  </si>
  <si>
    <t>858-A</t>
  </si>
  <si>
    <t>858A</t>
  </si>
  <si>
    <t>858-B</t>
  </si>
  <si>
    <t>858B</t>
  </si>
  <si>
    <t>858-C</t>
  </si>
  <si>
    <t>858C</t>
  </si>
  <si>
    <t>858-D</t>
  </si>
  <si>
    <t>858D</t>
  </si>
  <si>
    <t>858-E</t>
  </si>
  <si>
    <t>858E</t>
  </si>
  <si>
    <t>859-A</t>
  </si>
  <si>
    <t>859A</t>
  </si>
  <si>
    <t>859-B</t>
  </si>
  <si>
    <t>859B</t>
  </si>
  <si>
    <t>859-C</t>
  </si>
  <si>
    <t>859C</t>
  </si>
  <si>
    <t>859-D</t>
  </si>
  <si>
    <t>859D</t>
  </si>
  <si>
    <t>859-E</t>
  </si>
  <si>
    <t>859E</t>
  </si>
  <si>
    <t>859-F</t>
  </si>
  <si>
    <t>859F</t>
  </si>
  <si>
    <t>859-G</t>
  </si>
  <si>
    <t>859G</t>
  </si>
  <si>
    <t>859-H</t>
  </si>
  <si>
    <t>859H</t>
  </si>
  <si>
    <t>859-K</t>
  </si>
  <si>
    <t>859K</t>
  </si>
  <si>
    <t>859-L</t>
  </si>
  <si>
    <t>859L</t>
  </si>
  <si>
    <t>859-M</t>
  </si>
  <si>
    <t>859M</t>
  </si>
  <si>
    <t>859-N</t>
  </si>
  <si>
    <t>859N</t>
  </si>
  <si>
    <t>860-A</t>
  </si>
  <si>
    <t>860A</t>
  </si>
  <si>
    <t>860-B</t>
  </si>
  <si>
    <t>860B</t>
  </si>
  <si>
    <t>860-C</t>
  </si>
  <si>
    <t>860C</t>
  </si>
  <si>
    <t>860-D</t>
  </si>
  <si>
    <t>860D</t>
  </si>
  <si>
    <t>861-A</t>
  </si>
  <si>
    <t>861A</t>
  </si>
  <si>
    <t>861-B</t>
  </si>
  <si>
    <t>861B</t>
  </si>
  <si>
    <t>861-C</t>
  </si>
  <si>
    <t>861C</t>
  </si>
  <si>
    <t>864-A</t>
  </si>
  <si>
    <t>864A</t>
  </si>
  <si>
    <t>864-B</t>
  </si>
  <si>
    <t>864B</t>
  </si>
  <si>
    <t>CH.16-ASTM-A572 GR.50</t>
  </si>
  <si>
    <t>864-C</t>
  </si>
  <si>
    <t>864C</t>
  </si>
  <si>
    <t>864-D</t>
  </si>
  <si>
    <t>864D</t>
  </si>
  <si>
    <t>864-E</t>
  </si>
  <si>
    <t>864E</t>
  </si>
  <si>
    <t>864-F</t>
  </si>
  <si>
    <t>864F</t>
  </si>
  <si>
    <t>864-G</t>
  </si>
  <si>
    <t>864G</t>
  </si>
  <si>
    <t>864-H</t>
  </si>
  <si>
    <t>864H</t>
  </si>
  <si>
    <t>864-K</t>
  </si>
  <si>
    <t>864K</t>
  </si>
  <si>
    <t>864-L</t>
  </si>
  <si>
    <t>864L</t>
  </si>
  <si>
    <t>864-M</t>
  </si>
  <si>
    <t>864M</t>
  </si>
  <si>
    <t>864-N</t>
  </si>
  <si>
    <t>864N</t>
  </si>
  <si>
    <t>864-P</t>
  </si>
  <si>
    <t>864P</t>
  </si>
  <si>
    <t>864-R</t>
  </si>
  <si>
    <t>864R</t>
  </si>
  <si>
    <t>FC76X8-ASTM-A572 GR.50</t>
  </si>
  <si>
    <t>832B</t>
  </si>
  <si>
    <t>832C</t>
  </si>
  <si>
    <t>835A</t>
  </si>
  <si>
    <t>836A</t>
  </si>
  <si>
    <t>836D</t>
  </si>
  <si>
    <t>838D</t>
  </si>
  <si>
    <t>838E</t>
  </si>
  <si>
    <t>840A</t>
  </si>
  <si>
    <t>840B</t>
  </si>
  <si>
    <t>840C</t>
  </si>
  <si>
    <t>840D</t>
  </si>
  <si>
    <t>841A</t>
  </si>
  <si>
    <t>841B</t>
  </si>
  <si>
    <t>842C</t>
  </si>
  <si>
    <t>842D</t>
  </si>
  <si>
    <t>843A</t>
  </si>
  <si>
    <t>843B</t>
  </si>
  <si>
    <t>843C</t>
  </si>
  <si>
    <t>843D</t>
  </si>
  <si>
    <t>844A</t>
  </si>
  <si>
    <t>844B</t>
  </si>
  <si>
    <t>849A</t>
  </si>
  <si>
    <t>U254X70X9.5-ASTM-A36</t>
  </si>
  <si>
    <t>849B</t>
  </si>
  <si>
    <t>831A</t>
  </si>
  <si>
    <t>831C</t>
  </si>
  <si>
    <t>832A</t>
  </si>
  <si>
    <t>833A</t>
  </si>
  <si>
    <t>833B</t>
  </si>
  <si>
    <t>833C</t>
  </si>
  <si>
    <t>834A</t>
  </si>
  <si>
    <t>834B</t>
  </si>
  <si>
    <t>834C</t>
  </si>
  <si>
    <t>834D</t>
  </si>
  <si>
    <t>835B</t>
  </si>
  <si>
    <t>835C</t>
  </si>
  <si>
    <t>835D</t>
  </si>
  <si>
    <t>836B</t>
  </si>
  <si>
    <t>836C</t>
  </si>
  <si>
    <t>837A</t>
  </si>
  <si>
    <t>837B</t>
  </si>
  <si>
    <t>837C</t>
  </si>
  <si>
    <t>838A</t>
  </si>
  <si>
    <t>838B</t>
  </si>
  <si>
    <t>838C</t>
  </si>
  <si>
    <t>TELA GALVANIZADA MALHA 1" ARAME BWG 12-COMERCIAL</t>
  </si>
  <si>
    <t>838F</t>
  </si>
  <si>
    <t>839A</t>
  </si>
  <si>
    <t>839B</t>
  </si>
  <si>
    <t>839C</t>
  </si>
  <si>
    <t>839D</t>
  </si>
  <si>
    <t>842A</t>
  </si>
  <si>
    <t>842B</t>
  </si>
  <si>
    <t>852B</t>
  </si>
  <si>
    <t>788A</t>
  </si>
  <si>
    <t>DEGRAU</t>
  </si>
  <si>
    <t>DEGRAU DS-25/3 (30X100)-(275X850)-SAE1006/1020</t>
  </si>
  <si>
    <t>862A</t>
  </si>
  <si>
    <t>862B</t>
  </si>
  <si>
    <t>862C</t>
  </si>
  <si>
    <t>862D</t>
  </si>
  <si>
    <t>862E</t>
  </si>
  <si>
    <t>862F</t>
  </si>
  <si>
    <t>862G</t>
  </si>
  <si>
    <t>862H</t>
  </si>
  <si>
    <t>862K</t>
  </si>
  <si>
    <t>862L</t>
  </si>
  <si>
    <t>862M</t>
  </si>
  <si>
    <t>862N</t>
  </si>
  <si>
    <t>862P</t>
  </si>
  <si>
    <t>862R</t>
  </si>
  <si>
    <t>862S</t>
  </si>
  <si>
    <t>862T</t>
  </si>
  <si>
    <t>862U</t>
  </si>
  <si>
    <t>862V</t>
  </si>
  <si>
    <t>862W</t>
  </si>
  <si>
    <t>862X</t>
  </si>
  <si>
    <t>862Y</t>
  </si>
  <si>
    <t>862Z</t>
  </si>
  <si>
    <t>865A</t>
  </si>
  <si>
    <t>865B</t>
  </si>
  <si>
    <t>865C</t>
  </si>
  <si>
    <t>865D</t>
  </si>
  <si>
    <t>865E</t>
  </si>
  <si>
    <t>865F</t>
  </si>
  <si>
    <t>865G</t>
  </si>
  <si>
    <t>865H</t>
  </si>
  <si>
    <t>865K</t>
  </si>
  <si>
    <t>865L</t>
  </si>
  <si>
    <t>865M</t>
  </si>
  <si>
    <t>865N</t>
  </si>
  <si>
    <t>865P</t>
  </si>
  <si>
    <t>865R</t>
  </si>
  <si>
    <t>865S</t>
  </si>
  <si>
    <t>865T</t>
  </si>
  <si>
    <t>865U</t>
  </si>
  <si>
    <t>865V</t>
  </si>
  <si>
    <t>865W</t>
  </si>
  <si>
    <t>865X</t>
  </si>
  <si>
    <t>865Y</t>
  </si>
  <si>
    <t>865Z</t>
  </si>
  <si>
    <t>866A</t>
  </si>
  <si>
    <t>862AA</t>
  </si>
  <si>
    <t>865AA</t>
  </si>
  <si>
    <t>847A</t>
  </si>
  <si>
    <t>ESCADA MA</t>
  </si>
  <si>
    <t>CH.9,5-ASTM-A36</t>
  </si>
  <si>
    <t>848A</t>
  </si>
  <si>
    <t>3.8</t>
  </si>
  <si>
    <t>875A</t>
  </si>
  <si>
    <t>TESOURA</t>
  </si>
  <si>
    <t>875B</t>
  </si>
  <si>
    <t>875C</t>
  </si>
  <si>
    <t>875D</t>
  </si>
  <si>
    <t>875E</t>
  </si>
  <si>
    <t>876A</t>
  </si>
  <si>
    <t>876B</t>
  </si>
  <si>
    <t>876C</t>
  </si>
  <si>
    <t>876D</t>
  </si>
  <si>
    <t>877A</t>
  </si>
  <si>
    <t>877B</t>
  </si>
  <si>
    <t>877C</t>
  </si>
  <si>
    <t>877D</t>
  </si>
  <si>
    <t>878A</t>
  </si>
  <si>
    <t>878B</t>
  </si>
  <si>
    <t>878C</t>
  </si>
  <si>
    <t>878D</t>
  </si>
  <si>
    <t>879A</t>
  </si>
  <si>
    <t>DIAGONAL</t>
  </si>
  <si>
    <t>WT155X19,4-ASTM-A572 GR.50</t>
  </si>
  <si>
    <t>879B</t>
  </si>
  <si>
    <t>879C</t>
  </si>
  <si>
    <t>879D</t>
  </si>
  <si>
    <t>879E</t>
  </si>
  <si>
    <t>879F</t>
  </si>
  <si>
    <t>879G</t>
  </si>
  <si>
    <t>879H</t>
  </si>
  <si>
    <t>879K</t>
  </si>
  <si>
    <t>879L</t>
  </si>
  <si>
    <t>879M</t>
  </si>
  <si>
    <t>879N</t>
  </si>
  <si>
    <t>879P</t>
  </si>
  <si>
    <t>879R</t>
  </si>
  <si>
    <t>879S</t>
  </si>
  <si>
    <t>879T</t>
  </si>
  <si>
    <t>879U</t>
  </si>
  <si>
    <t>879V</t>
  </si>
  <si>
    <t>879W</t>
  </si>
  <si>
    <t>880A</t>
  </si>
  <si>
    <t>880B</t>
  </si>
  <si>
    <t>880C</t>
  </si>
  <si>
    <t>880D</t>
  </si>
  <si>
    <t>880F</t>
  </si>
  <si>
    <t>880G</t>
  </si>
  <si>
    <t>881A</t>
  </si>
  <si>
    <t>881B</t>
  </si>
  <si>
    <t>W610X125.0-ASTM-A572 GR.50</t>
  </si>
  <si>
    <t>881E</t>
  </si>
  <si>
    <t>882A</t>
  </si>
  <si>
    <t>882B</t>
  </si>
  <si>
    <t>882D</t>
  </si>
  <si>
    <t>883A</t>
  </si>
  <si>
    <t>883C</t>
  </si>
  <si>
    <t>883D</t>
  </si>
  <si>
    <t>883E</t>
  </si>
  <si>
    <t>883F</t>
  </si>
  <si>
    <t>883G</t>
  </si>
  <si>
    <t>884A</t>
  </si>
  <si>
    <t>884B</t>
  </si>
  <si>
    <t>884D</t>
  </si>
  <si>
    <t>885A</t>
  </si>
  <si>
    <t>W200X22.5-ASTM-A572 GR.50</t>
  </si>
  <si>
    <t>885B</t>
  </si>
  <si>
    <t>885C</t>
  </si>
  <si>
    <t>885D</t>
  </si>
  <si>
    <t>885E</t>
  </si>
  <si>
    <t>885F</t>
  </si>
  <si>
    <t>886A</t>
  </si>
  <si>
    <t>886C</t>
  </si>
  <si>
    <t>886D</t>
  </si>
  <si>
    <t>886E</t>
  </si>
  <si>
    <t>886F</t>
  </si>
  <si>
    <t>886G</t>
  </si>
  <si>
    <t>886H</t>
  </si>
  <si>
    <t>887A</t>
  </si>
  <si>
    <t>887B</t>
  </si>
  <si>
    <t>889A</t>
  </si>
  <si>
    <t>889B</t>
  </si>
  <si>
    <t>889C</t>
  </si>
  <si>
    <t>889D</t>
  </si>
  <si>
    <t>889E</t>
  </si>
  <si>
    <t>889F</t>
  </si>
  <si>
    <t>889G</t>
  </si>
  <si>
    <t>889H</t>
  </si>
  <si>
    <t>889K</t>
  </si>
  <si>
    <t>889L</t>
  </si>
  <si>
    <t>889M</t>
  </si>
  <si>
    <t>L102X6,3-ASTM-A36</t>
  </si>
  <si>
    <t>889N</t>
  </si>
  <si>
    <t>897AA</t>
  </si>
  <si>
    <t>897AB</t>
  </si>
  <si>
    <t>897AC</t>
  </si>
  <si>
    <t>897AD</t>
  </si>
  <si>
    <t>897AE</t>
  </si>
  <si>
    <t>897AF</t>
  </si>
  <si>
    <t>897AG</t>
  </si>
  <si>
    <t>897AH</t>
  </si>
  <si>
    <t>897AK</t>
  </si>
  <si>
    <t>897AL</t>
  </si>
  <si>
    <t>897AM</t>
  </si>
  <si>
    <t>897AN</t>
  </si>
  <si>
    <t>897AR</t>
  </si>
  <si>
    <t>897AS</t>
  </si>
  <si>
    <t>897R</t>
  </si>
  <si>
    <t>FC102X12,5-ASTM-A36</t>
  </si>
  <si>
    <t>897S</t>
  </si>
  <si>
    <t>897T</t>
  </si>
  <si>
    <t>CH.8-ASTM-A36</t>
  </si>
  <si>
    <t>897X</t>
  </si>
  <si>
    <t>897Y</t>
  </si>
  <si>
    <t>852A</t>
  </si>
  <si>
    <t>M-2305-553-12</t>
  </si>
  <si>
    <t>PARAF. 1/2" X 1.1/4" - A307</t>
  </si>
  <si>
    <t>M-2305-553-13</t>
  </si>
  <si>
    <t>PORCA 1/2" - A563 A</t>
  </si>
  <si>
    <t>M-2305-553-14</t>
  </si>
  <si>
    <t>ARR. 1/2" - COMUM</t>
  </si>
  <si>
    <t>M-2305-553-15</t>
  </si>
  <si>
    <t>M-2305-553-16</t>
  </si>
  <si>
    <t>PORCA 5/8" - A563 A</t>
  </si>
  <si>
    <t>M-2305-553-17</t>
  </si>
  <si>
    <t>ARR. 5/8" - COMUM</t>
  </si>
  <si>
    <t>M-2305-553-18</t>
  </si>
  <si>
    <t>PARAF. 5/8" X 1.3/4" - A325</t>
  </si>
  <si>
    <t>M-2305-553-19</t>
  </si>
  <si>
    <t>M-2305-553-20</t>
  </si>
  <si>
    <t>ARR. 5/8" - F436</t>
  </si>
  <si>
    <t>M-2305-553-21</t>
  </si>
  <si>
    <t>M-2305-553-22</t>
  </si>
  <si>
    <t>M-2305-553-23</t>
  </si>
  <si>
    <t>M-2305-553-24</t>
  </si>
  <si>
    <t>M-2305-553-25</t>
  </si>
  <si>
    <t>M-2305-566-7</t>
  </si>
  <si>
    <t>M-2305-566-8</t>
  </si>
  <si>
    <t>M-2305-566-9</t>
  </si>
  <si>
    <t>M-2305-566-10</t>
  </si>
  <si>
    <t>M-2305-566-11</t>
  </si>
  <si>
    <t>M-2305-566-12</t>
  </si>
  <si>
    <t>M-2305-566-13</t>
  </si>
  <si>
    <t>M-2305-566-14</t>
  </si>
  <si>
    <t>M-2305-566-15</t>
  </si>
  <si>
    <t>M-2305-566-16</t>
  </si>
  <si>
    <t>M-2305-566-17</t>
  </si>
  <si>
    <t>M-2305-566-18</t>
  </si>
  <si>
    <t>M-2305-566-19</t>
  </si>
  <si>
    <t>M-2305-566-20</t>
  </si>
  <si>
    <t>M-2305-566-21</t>
  </si>
  <si>
    <t>M-2305-566-22</t>
  </si>
  <si>
    <t>M-2305-568-13</t>
  </si>
  <si>
    <t>M-2305-568-14</t>
  </si>
  <si>
    <t>PARAF. 1/2" X 1.1/2" - A307</t>
  </si>
  <si>
    <t>M-2305-568-15</t>
  </si>
  <si>
    <t>M-2305-568-16</t>
  </si>
  <si>
    <t>M-2305-568-17</t>
  </si>
  <si>
    <t>M-2305-568-18</t>
  </si>
  <si>
    <t>M-2305-568-19</t>
  </si>
  <si>
    <t>M-2305-568-20</t>
  </si>
  <si>
    <t>M-2305-568-21</t>
  </si>
  <si>
    <t xml:space="preserve"> PORCA 5/8" - A563 DH</t>
  </si>
  <si>
    <t>M-2305-568-22</t>
  </si>
  <si>
    <t>M-2305-568-23</t>
  </si>
  <si>
    <t>M-2305-568-24</t>
  </si>
  <si>
    <t>M-2305-568-25</t>
  </si>
  <si>
    <t>908A</t>
  </si>
  <si>
    <t>909A</t>
  </si>
  <si>
    <t>910A</t>
  </si>
  <si>
    <t>911A</t>
  </si>
  <si>
    <t>912A</t>
  </si>
  <si>
    <t>913A</t>
  </si>
  <si>
    <t>914A</t>
  </si>
  <si>
    <t>914B</t>
  </si>
  <si>
    <t>914C</t>
  </si>
  <si>
    <t>914D</t>
  </si>
  <si>
    <t>914E</t>
  </si>
  <si>
    <t>896A</t>
  </si>
  <si>
    <t>896B</t>
  </si>
  <si>
    <t>896C</t>
  </si>
  <si>
    <t>896D</t>
  </si>
  <si>
    <t>898A</t>
  </si>
  <si>
    <t>898B</t>
  </si>
  <si>
    <t>898C</t>
  </si>
  <si>
    <t>900A</t>
  </si>
  <si>
    <t>900B</t>
  </si>
  <si>
    <t>900C</t>
  </si>
  <si>
    <t>901A</t>
  </si>
  <si>
    <t>902A</t>
  </si>
  <si>
    <t>902B</t>
  </si>
  <si>
    <t>902C</t>
  </si>
  <si>
    <t>903A</t>
  </si>
  <si>
    <t>903B</t>
  </si>
  <si>
    <t>903C</t>
  </si>
  <si>
    <t>903D</t>
  </si>
  <si>
    <t>903E</t>
  </si>
  <si>
    <t>904A</t>
  </si>
  <si>
    <t>904B</t>
  </si>
  <si>
    <t>904C</t>
  </si>
  <si>
    <t>905A</t>
  </si>
  <si>
    <t>905B</t>
  </si>
  <si>
    <t>915A</t>
  </si>
  <si>
    <t>915B</t>
  </si>
  <si>
    <t>W410X38.8-ASTM-A572 GR.50</t>
  </si>
  <si>
    <t>915C</t>
  </si>
  <si>
    <t>915D</t>
  </si>
  <si>
    <t>915E</t>
  </si>
  <si>
    <t>915F</t>
  </si>
  <si>
    <t>915G</t>
  </si>
  <si>
    <t>915H</t>
  </si>
  <si>
    <t>893A</t>
  </si>
  <si>
    <t>TIRANTE</t>
  </si>
  <si>
    <t>FE.RED.ROSCADO.Ø16,0MM-ASTM-A36</t>
  </si>
  <si>
    <t>893B</t>
  </si>
  <si>
    <t>893D</t>
  </si>
  <si>
    <t>893E</t>
  </si>
  <si>
    <t>893F</t>
  </si>
  <si>
    <t>893G</t>
  </si>
  <si>
    <t>893H</t>
  </si>
  <si>
    <t>893K</t>
  </si>
  <si>
    <t>893L</t>
  </si>
  <si>
    <t>893M</t>
  </si>
  <si>
    <t>893N</t>
  </si>
  <si>
    <t>893P</t>
  </si>
  <si>
    <t>894A</t>
  </si>
  <si>
    <t>894B</t>
  </si>
  <si>
    <t>894C</t>
  </si>
  <si>
    <t>894D</t>
  </si>
  <si>
    <t>894E</t>
  </si>
  <si>
    <t>894F</t>
  </si>
  <si>
    <t>894G</t>
  </si>
  <si>
    <t>894H</t>
  </si>
  <si>
    <t>894K</t>
  </si>
  <si>
    <t>894L</t>
  </si>
  <si>
    <t>894M</t>
  </si>
  <si>
    <t>894N</t>
  </si>
  <si>
    <t>895A</t>
  </si>
  <si>
    <t>895B</t>
  </si>
  <si>
    <t>895C</t>
  </si>
  <si>
    <t>895D</t>
  </si>
  <si>
    <t>895E</t>
  </si>
  <si>
    <t>895F</t>
  </si>
  <si>
    <t>895G</t>
  </si>
  <si>
    <t>895H</t>
  </si>
  <si>
    <t>899A</t>
  </si>
  <si>
    <t>899B</t>
  </si>
  <si>
    <t>899C</t>
  </si>
  <si>
    <t>899E</t>
  </si>
  <si>
    <t>899F</t>
  </si>
  <si>
    <t>899G</t>
  </si>
  <si>
    <t>899H</t>
  </si>
  <si>
    <t>899K</t>
  </si>
  <si>
    <t>899L</t>
  </si>
  <si>
    <t>899M</t>
  </si>
  <si>
    <t>899N</t>
  </si>
  <si>
    <t>899P</t>
  </si>
  <si>
    <t>899R</t>
  </si>
  <si>
    <t>899S</t>
  </si>
  <si>
    <t>899T</t>
  </si>
  <si>
    <t>899U</t>
  </si>
  <si>
    <t>899V</t>
  </si>
  <si>
    <t>899W</t>
  </si>
  <si>
    <t>899X</t>
  </si>
  <si>
    <t>899Y</t>
  </si>
  <si>
    <t>899Z</t>
  </si>
  <si>
    <t>907A</t>
  </si>
  <si>
    <t>916A</t>
  </si>
  <si>
    <t>916B</t>
  </si>
  <si>
    <t>916C</t>
  </si>
  <si>
    <t>916D</t>
  </si>
  <si>
    <t>916E</t>
  </si>
  <si>
    <t>916F</t>
  </si>
  <si>
    <t>919A</t>
  </si>
  <si>
    <t>847-20</t>
  </si>
  <si>
    <t>ACESSORIO</t>
  </si>
  <si>
    <t>ESTICADOR MANILHA / OLHAL ROSCA 3/4" caixa 9"</t>
  </si>
  <si>
    <t>847-21</t>
  </si>
  <si>
    <t>CABO DE AÇO Ø5/16" 6X41 +AF-WS-Aço - 4,8 m</t>
  </si>
  <si>
    <t>847-22</t>
  </si>
  <si>
    <t>GRAMPO GALV. PARA CABO Ø5/16"</t>
  </si>
  <si>
    <t>847-23</t>
  </si>
  <si>
    <t>SAPATILHA PARA CABO DE AÇO Ø5/16"</t>
  </si>
  <si>
    <t>847-24</t>
  </si>
  <si>
    <t>MANILHA RETA CORPO Ø1/2" PARAF. Ø5/8" C/  PORCA E CONTRA PINO</t>
  </si>
  <si>
    <t>847-25</t>
  </si>
  <si>
    <t>PARAF.Ø5/8" C/ PORCA E CONTRA PINO</t>
  </si>
  <si>
    <t>848-20</t>
  </si>
  <si>
    <t>848-21</t>
  </si>
  <si>
    <t>848-22</t>
  </si>
  <si>
    <t>848-23</t>
  </si>
  <si>
    <t>848-24</t>
  </si>
  <si>
    <t>848-25</t>
  </si>
  <si>
    <t>803A</t>
  </si>
  <si>
    <t>806A</t>
  </si>
  <si>
    <t>845A</t>
  </si>
  <si>
    <t>845B</t>
  </si>
  <si>
    <t>845C</t>
  </si>
  <si>
    <t>845D</t>
  </si>
  <si>
    <t>846A</t>
  </si>
  <si>
    <t>846B</t>
  </si>
  <si>
    <t>846C</t>
  </si>
  <si>
    <t>846D</t>
  </si>
  <si>
    <t>850A</t>
  </si>
  <si>
    <t>850B</t>
  </si>
  <si>
    <t>850C</t>
  </si>
  <si>
    <t>850D</t>
  </si>
  <si>
    <t>850E</t>
  </si>
  <si>
    <t>850F</t>
  </si>
  <si>
    <t>850G</t>
  </si>
  <si>
    <t>850H</t>
  </si>
  <si>
    <t>850K</t>
  </si>
  <si>
    <t>863AA</t>
  </si>
  <si>
    <t>863AB</t>
  </si>
  <si>
    <t>863AC</t>
  </si>
  <si>
    <t>863AD</t>
  </si>
  <si>
    <t>863AE</t>
  </si>
  <si>
    <t>863AF</t>
  </si>
  <si>
    <t>863AG</t>
  </si>
  <si>
    <t>863A</t>
  </si>
  <si>
    <t>863B</t>
  </si>
  <si>
    <t>863C</t>
  </si>
  <si>
    <t>863D</t>
  </si>
  <si>
    <t>863E</t>
  </si>
  <si>
    <t>863F</t>
  </si>
  <si>
    <t>863G</t>
  </si>
  <si>
    <t>863H</t>
  </si>
  <si>
    <t>863K</t>
  </si>
  <si>
    <t>863L</t>
  </si>
  <si>
    <t>863M</t>
  </si>
  <si>
    <t>863N</t>
  </si>
  <si>
    <t>863P</t>
  </si>
  <si>
    <t>863R</t>
  </si>
  <si>
    <t>863S</t>
  </si>
  <si>
    <t>863T</t>
  </si>
  <si>
    <t>863U</t>
  </si>
  <si>
    <t>863V</t>
  </si>
  <si>
    <t>863W</t>
  </si>
  <si>
    <t>863X</t>
  </si>
  <si>
    <t>863Y</t>
  </si>
  <si>
    <t>863Z</t>
  </si>
  <si>
    <t>867A</t>
  </si>
  <si>
    <t>TERÇA</t>
  </si>
  <si>
    <t>UE300x85X25X3,04-ASTM-A570 GR.33</t>
  </si>
  <si>
    <t>867B</t>
  </si>
  <si>
    <t>867C</t>
  </si>
  <si>
    <t>UE300x85X25X3,35-ASTM-A570 GR.33</t>
  </si>
  <si>
    <t>867D</t>
  </si>
  <si>
    <t>867E</t>
  </si>
  <si>
    <t>867F</t>
  </si>
  <si>
    <t>867G</t>
  </si>
  <si>
    <t>868A</t>
  </si>
  <si>
    <t>868B</t>
  </si>
  <si>
    <t>TER�A</t>
  </si>
  <si>
    <t>L76X8,0-ASTM-A36</t>
  </si>
  <si>
    <t>868C</t>
  </si>
  <si>
    <t>868D</t>
  </si>
  <si>
    <t>868E</t>
  </si>
  <si>
    <t>868F</t>
  </si>
  <si>
    <t>868G</t>
  </si>
  <si>
    <t>868H</t>
  </si>
  <si>
    <t>869A</t>
  </si>
  <si>
    <t>869B</t>
  </si>
  <si>
    <t>869C</t>
  </si>
  <si>
    <t>869D</t>
  </si>
  <si>
    <t>869E</t>
  </si>
  <si>
    <t>869F</t>
  </si>
  <si>
    <t>869G</t>
  </si>
  <si>
    <t>870A</t>
  </si>
  <si>
    <t>870B</t>
  </si>
  <si>
    <t>870C</t>
  </si>
  <si>
    <t>870D</t>
  </si>
  <si>
    <t>870E</t>
  </si>
  <si>
    <t>870F</t>
  </si>
  <si>
    <t>870G</t>
  </si>
  <si>
    <t>870H</t>
  </si>
  <si>
    <t>870K</t>
  </si>
  <si>
    <t>871A</t>
  </si>
  <si>
    <t>871B</t>
  </si>
  <si>
    <t>871C</t>
  </si>
  <si>
    <t>871D</t>
  </si>
  <si>
    <t>871E</t>
  </si>
  <si>
    <t>871F</t>
  </si>
  <si>
    <t>871G</t>
  </si>
  <si>
    <t>872A</t>
  </si>
  <si>
    <t>872B</t>
  </si>
  <si>
    <t>872C</t>
  </si>
  <si>
    <t>872D</t>
  </si>
  <si>
    <t>872E</t>
  </si>
  <si>
    <t>872F</t>
  </si>
  <si>
    <t>872G</t>
  </si>
  <si>
    <t>872H</t>
  </si>
  <si>
    <t>873A</t>
  </si>
  <si>
    <t>873B</t>
  </si>
  <si>
    <t>873C</t>
  </si>
  <si>
    <t>873D</t>
  </si>
  <si>
    <t>873E</t>
  </si>
  <si>
    <t>873F</t>
  </si>
  <si>
    <t>874A</t>
  </si>
  <si>
    <t>874B</t>
  </si>
  <si>
    <t>874C</t>
  </si>
  <si>
    <t>874D</t>
  </si>
  <si>
    <t>874E</t>
  </si>
  <si>
    <t>874F</t>
  </si>
  <si>
    <t>874G</t>
  </si>
  <si>
    <t>874H</t>
  </si>
  <si>
    <t>888A</t>
  </si>
  <si>
    <t>888B</t>
  </si>
  <si>
    <t>888C</t>
  </si>
  <si>
    <t>888D</t>
  </si>
  <si>
    <t>890A</t>
  </si>
  <si>
    <t>890B</t>
  </si>
  <si>
    <t>890C</t>
  </si>
  <si>
    <t>890D</t>
  </si>
  <si>
    <t>890E</t>
  </si>
  <si>
    <t>891A</t>
  </si>
  <si>
    <t>891B</t>
  </si>
  <si>
    <t>891C</t>
  </si>
  <si>
    <t>891D</t>
  </si>
  <si>
    <t>891E</t>
  </si>
  <si>
    <t>892B</t>
  </si>
  <si>
    <t>892C</t>
  </si>
  <si>
    <t>892D</t>
  </si>
  <si>
    <t>892E</t>
  </si>
  <si>
    <t>892F</t>
  </si>
  <si>
    <t>892G</t>
  </si>
  <si>
    <t>892H</t>
  </si>
  <si>
    <t>917A</t>
  </si>
  <si>
    <t>917B</t>
  </si>
  <si>
    <t>917C</t>
  </si>
  <si>
    <t>917D</t>
  </si>
  <si>
    <t>917E</t>
  </si>
  <si>
    <t>917F</t>
  </si>
  <si>
    <t>917G</t>
  </si>
  <si>
    <t>917H</t>
  </si>
  <si>
    <t>917K</t>
  </si>
  <si>
    <t>918A</t>
  </si>
  <si>
    <t>918B</t>
  </si>
  <si>
    <t>918C</t>
  </si>
  <si>
    <t>918D</t>
  </si>
  <si>
    <t>CH.25-ASTM-A36</t>
  </si>
  <si>
    <t>918F</t>
  </si>
  <si>
    <t>918G</t>
  </si>
  <si>
    <t>CH.25-ASTM-A572 GR.50</t>
  </si>
  <si>
    <t>906A</t>
  </si>
  <si>
    <t>906B</t>
  </si>
  <si>
    <t>906C</t>
  </si>
  <si>
    <t>906D</t>
  </si>
  <si>
    <t>3.7</t>
  </si>
  <si>
    <t>CWP-320C</t>
  </si>
  <si>
    <t>945A</t>
  </si>
  <si>
    <t>3.9</t>
  </si>
  <si>
    <t>945B</t>
  </si>
  <si>
    <t>945C</t>
  </si>
  <si>
    <t>945D</t>
  </si>
  <si>
    <t>946A</t>
  </si>
  <si>
    <t>946B</t>
  </si>
  <si>
    <t>946C</t>
  </si>
  <si>
    <t>946D</t>
  </si>
  <si>
    <t>949A</t>
  </si>
  <si>
    <t>949B</t>
  </si>
  <si>
    <t>949C</t>
  </si>
  <si>
    <t>952A</t>
  </si>
  <si>
    <t>952B</t>
  </si>
  <si>
    <t>952C</t>
  </si>
  <si>
    <t>952D</t>
  </si>
  <si>
    <t>952E</t>
  </si>
  <si>
    <t>959A</t>
  </si>
  <si>
    <t>959B</t>
  </si>
  <si>
    <t>959C</t>
  </si>
  <si>
    <t>959D</t>
  </si>
  <si>
    <t>959E</t>
  </si>
  <si>
    <t>959F</t>
  </si>
  <si>
    <t>959G</t>
  </si>
  <si>
    <t>959H</t>
  </si>
  <si>
    <t>959K</t>
  </si>
  <si>
    <t>959M</t>
  </si>
  <si>
    <t>959N</t>
  </si>
  <si>
    <t>959P</t>
  </si>
  <si>
    <t>959R</t>
  </si>
  <si>
    <t>959S</t>
  </si>
  <si>
    <t>959T</t>
  </si>
  <si>
    <t>959U</t>
  </si>
  <si>
    <t>966A</t>
  </si>
  <si>
    <t>966B</t>
  </si>
  <si>
    <t>966C</t>
  </si>
  <si>
    <t>966D</t>
  </si>
  <si>
    <t>966E</t>
  </si>
  <si>
    <t>966F</t>
  </si>
  <si>
    <t>966G</t>
  </si>
  <si>
    <t>966H</t>
  </si>
  <si>
    <t>966K</t>
  </si>
  <si>
    <t>966L</t>
  </si>
  <si>
    <t>966M</t>
  </si>
  <si>
    <t>944A</t>
  </si>
  <si>
    <t>944B</t>
  </si>
  <si>
    <t>944C</t>
  </si>
  <si>
    <t>944D</t>
  </si>
  <si>
    <t>947A</t>
  </si>
  <si>
    <t>947B</t>
  </si>
  <si>
    <t>947C</t>
  </si>
  <si>
    <t>947D</t>
  </si>
  <si>
    <t>948A</t>
  </si>
  <si>
    <t>948B</t>
  </si>
  <si>
    <t>950A</t>
  </si>
  <si>
    <t>950B</t>
  </si>
  <si>
    <t>950C</t>
  </si>
  <si>
    <t>950D</t>
  </si>
  <si>
    <t>951A</t>
  </si>
  <si>
    <t>951B</t>
  </si>
  <si>
    <t>951C</t>
  </si>
  <si>
    <t>953A</t>
  </si>
  <si>
    <t>953B</t>
  </si>
  <si>
    <t>954A</t>
  </si>
  <si>
    <t>954B</t>
  </si>
  <si>
    <t>955A</t>
  </si>
  <si>
    <t>955B</t>
  </si>
  <si>
    <t>955C</t>
  </si>
  <si>
    <t>956A</t>
  </si>
  <si>
    <t>956B</t>
  </si>
  <si>
    <t>956C</t>
  </si>
  <si>
    <t>956D</t>
  </si>
  <si>
    <t>956E</t>
  </si>
  <si>
    <t>957A</t>
  </si>
  <si>
    <t>957B</t>
  </si>
  <si>
    <t>958A</t>
  </si>
  <si>
    <t>958B</t>
  </si>
  <si>
    <t>958C</t>
  </si>
  <si>
    <t>958D</t>
  </si>
  <si>
    <t>958E</t>
  </si>
  <si>
    <t>958F</t>
  </si>
  <si>
    <t>958G</t>
  </si>
  <si>
    <t>958H</t>
  </si>
  <si>
    <t>958K</t>
  </si>
  <si>
    <t>958L</t>
  </si>
  <si>
    <t>958M</t>
  </si>
  <si>
    <t>958N</t>
  </si>
  <si>
    <t>960A</t>
  </si>
  <si>
    <t>960B</t>
  </si>
  <si>
    <t>960C</t>
  </si>
  <si>
    <t>961A</t>
  </si>
  <si>
    <t>961B</t>
  </si>
  <si>
    <t>962A</t>
  </si>
  <si>
    <t>962B</t>
  </si>
  <si>
    <t>963A</t>
  </si>
  <si>
    <t>963B</t>
  </si>
  <si>
    <t>963C</t>
  </si>
  <si>
    <t>963D</t>
  </si>
  <si>
    <t>963E</t>
  </si>
  <si>
    <t>963F</t>
  </si>
  <si>
    <t>963G</t>
  </si>
  <si>
    <t>963H</t>
  </si>
  <si>
    <t>963K</t>
  </si>
  <si>
    <t>963L</t>
  </si>
  <si>
    <t>963M</t>
  </si>
  <si>
    <t>963N</t>
  </si>
  <si>
    <t>963P</t>
  </si>
  <si>
    <t>963R</t>
  </si>
  <si>
    <t>963S</t>
  </si>
  <si>
    <t>963T</t>
  </si>
  <si>
    <t>963U</t>
  </si>
  <si>
    <t>963V</t>
  </si>
  <si>
    <t>964A</t>
  </si>
  <si>
    <t>964B</t>
  </si>
  <si>
    <t>964C</t>
  </si>
  <si>
    <t>964D</t>
  </si>
  <si>
    <t>965A</t>
  </si>
  <si>
    <t>965B</t>
  </si>
  <si>
    <t>965C</t>
  </si>
  <si>
    <t>965D</t>
  </si>
  <si>
    <t>920A</t>
  </si>
  <si>
    <t>CVS700x214-ASTM-A572 GR.50</t>
  </si>
  <si>
    <t>921A</t>
  </si>
  <si>
    <t>922A</t>
  </si>
  <si>
    <t>923A</t>
  </si>
  <si>
    <t>926A</t>
  </si>
  <si>
    <t>928A</t>
  </si>
  <si>
    <t>929A</t>
  </si>
  <si>
    <t>M-2305-552-1</t>
  </si>
  <si>
    <t>PARAFUSOS</t>
  </si>
  <si>
    <t>M-2305-552-2</t>
  </si>
  <si>
    <t>PORCA 1/2" - A563A</t>
  </si>
  <si>
    <t>M-2305-552-3</t>
  </si>
  <si>
    <t>M-2305-552-4</t>
  </si>
  <si>
    <t>M-2305-552-5</t>
  </si>
  <si>
    <t>PORCA 5/8" - A563A</t>
  </si>
  <si>
    <t>M-2305-552-6</t>
  </si>
  <si>
    <t>M-2305-552-7</t>
  </si>
  <si>
    <t>M-2305-552-8</t>
  </si>
  <si>
    <t>PARAF. 5/8" X 2" - A325</t>
  </si>
  <si>
    <t>M-2305-552-9</t>
  </si>
  <si>
    <t>M-2305-552-10</t>
  </si>
  <si>
    <t>M-2305-552-11</t>
  </si>
  <si>
    <t>M-2305-552-12</t>
  </si>
  <si>
    <t>M-2305-552-13</t>
  </si>
  <si>
    <t>PARAF. 3/4" X 4" - A325</t>
  </si>
  <si>
    <t>M-2305-552-14</t>
  </si>
  <si>
    <t>M-2305-552-15</t>
  </si>
  <si>
    <t>M-2305-552-16</t>
  </si>
  <si>
    <t>M-2305-552-17</t>
  </si>
  <si>
    <t>M-2305-552-18</t>
  </si>
  <si>
    <t>M-2305-552-19</t>
  </si>
  <si>
    <t>M-2305-552-20</t>
  </si>
  <si>
    <t>M-2305-552-21</t>
  </si>
  <si>
    <t>M-2305-552-22</t>
  </si>
  <si>
    <t>PORCA SEGURANÇA (PAAL NUT) 3/4" - DIN7967</t>
  </si>
  <si>
    <t>M-2305-552-23</t>
  </si>
  <si>
    <t>M-2305-554-1</t>
  </si>
  <si>
    <t>M-2305-554-2</t>
  </si>
  <si>
    <t>M-2305-554-3</t>
  </si>
  <si>
    <t>M-2305-554-4</t>
  </si>
  <si>
    <t>M-2305-554-5</t>
  </si>
  <si>
    <t>M-2305-554-6</t>
  </si>
  <si>
    <t>M-2305-554-7</t>
  </si>
  <si>
    <t>M-2305-554-8</t>
  </si>
  <si>
    <t>M-2305-554-9</t>
  </si>
  <si>
    <t>M-2305-554-10</t>
  </si>
  <si>
    <t>M-2305-554-11</t>
  </si>
  <si>
    <t>M-2305-554-12</t>
  </si>
  <si>
    <t>M-2305-554-13</t>
  </si>
  <si>
    <t>M-2305-554-14</t>
  </si>
  <si>
    <t>M-2305-554-15</t>
  </si>
  <si>
    <t>M-2305-554-16</t>
  </si>
  <si>
    <t>M-2305-554-17</t>
  </si>
  <si>
    <t>M-2305-562-1</t>
  </si>
  <si>
    <t>M-2305-562-2</t>
  </si>
  <si>
    <t>M-2305-562-3</t>
  </si>
  <si>
    <t>M-2305-562-4</t>
  </si>
  <si>
    <t>PARAF. 5/8" X 1.1/2" - A307</t>
  </si>
  <si>
    <t>M-2305-562-5</t>
  </si>
  <si>
    <t>M-2305-562-6</t>
  </si>
  <si>
    <t>M-2305-562-7</t>
  </si>
  <si>
    <t>M-2305-562-8</t>
  </si>
  <si>
    <t>PARAF. 5/8" X 1.1/2" - A325</t>
  </si>
  <si>
    <t>M-2305-562-9</t>
  </si>
  <si>
    <t>M-2305-562-10</t>
  </si>
  <si>
    <t>M-2305-562-11</t>
  </si>
  <si>
    <t>M-2305-562-12</t>
  </si>
  <si>
    <t>M-2305-562-13</t>
  </si>
  <si>
    <t>M-2305-562-14</t>
  </si>
  <si>
    <t>M-2305-562-15</t>
  </si>
  <si>
    <t>M-2305-562-16</t>
  </si>
  <si>
    <t>M-2305-562-17</t>
  </si>
  <si>
    <t>M-2305-562-18</t>
  </si>
  <si>
    <t>M-2305-562-19</t>
  </si>
  <si>
    <t>967A</t>
  </si>
  <si>
    <t>GRADE-PIS</t>
  </si>
  <si>
    <t>967AA</t>
  </si>
  <si>
    <t>967B</t>
  </si>
  <si>
    <t>967C</t>
  </si>
  <si>
    <t>967D</t>
  </si>
  <si>
    <t>967E</t>
  </si>
  <si>
    <t>967F</t>
  </si>
  <si>
    <t>967G</t>
  </si>
  <si>
    <t>967H</t>
  </si>
  <si>
    <t>967K</t>
  </si>
  <si>
    <t>967L</t>
  </si>
  <si>
    <t>967M</t>
  </si>
  <si>
    <t>967N</t>
  </si>
  <si>
    <t>967P</t>
  </si>
  <si>
    <t>967R</t>
  </si>
  <si>
    <t>967S</t>
  </si>
  <si>
    <t>967T</t>
  </si>
  <si>
    <t>967U</t>
  </si>
  <si>
    <t>967V</t>
  </si>
  <si>
    <t>967W</t>
  </si>
  <si>
    <t>967X</t>
  </si>
  <si>
    <t>967Y</t>
  </si>
  <si>
    <t>967Z</t>
  </si>
  <si>
    <t>968A</t>
  </si>
  <si>
    <t>968AA</t>
  </si>
  <si>
    <t>968AB</t>
  </si>
  <si>
    <t>968B</t>
  </si>
  <si>
    <t>968C</t>
  </si>
  <si>
    <t>968D</t>
  </si>
  <si>
    <t>968E</t>
  </si>
  <si>
    <t>968F</t>
  </si>
  <si>
    <t>968G</t>
  </si>
  <si>
    <t>968H</t>
  </si>
  <si>
    <t>968K</t>
  </si>
  <si>
    <t>968L</t>
  </si>
  <si>
    <t>968M</t>
  </si>
  <si>
    <t>968N</t>
  </si>
  <si>
    <t>968P</t>
  </si>
  <si>
    <t>968R</t>
  </si>
  <si>
    <t>968S</t>
  </si>
  <si>
    <t>968T</t>
  </si>
  <si>
    <t>968U</t>
  </si>
  <si>
    <t>968V</t>
  </si>
  <si>
    <t>968W</t>
  </si>
  <si>
    <t>968X</t>
  </si>
  <si>
    <t>968Y</t>
  </si>
  <si>
    <t>968Z</t>
  </si>
  <si>
    <t>969A</t>
  </si>
  <si>
    <t>969B</t>
  </si>
  <si>
    <t>969C</t>
  </si>
  <si>
    <t>969D</t>
  </si>
  <si>
    <t>969E</t>
  </si>
  <si>
    <t>969F</t>
  </si>
  <si>
    <t>969G</t>
  </si>
  <si>
    <t>969H</t>
  </si>
  <si>
    <t>969K</t>
  </si>
  <si>
    <t>969L</t>
  </si>
  <si>
    <t>969M</t>
  </si>
  <si>
    <t>969N</t>
  </si>
  <si>
    <t>969P</t>
  </si>
  <si>
    <t>969R</t>
  </si>
  <si>
    <t>969S</t>
  </si>
  <si>
    <t>969T</t>
  </si>
  <si>
    <t>969U</t>
  </si>
  <si>
    <t>969V</t>
  </si>
  <si>
    <t>969W</t>
  </si>
  <si>
    <t>969X</t>
  </si>
  <si>
    <t>969Y</t>
  </si>
  <si>
    <t>969Z</t>
  </si>
  <si>
    <t>971A</t>
  </si>
  <si>
    <t>971AA</t>
  </si>
  <si>
    <t>971B</t>
  </si>
  <si>
    <t>971C</t>
  </si>
  <si>
    <t>971D</t>
  </si>
  <si>
    <t>971E</t>
  </si>
  <si>
    <t>971F</t>
  </si>
  <si>
    <t>971G</t>
  </si>
  <si>
    <t>971H</t>
  </si>
  <si>
    <t>971K</t>
  </si>
  <si>
    <t>971L</t>
  </si>
  <si>
    <t>971M</t>
  </si>
  <si>
    <t>971N</t>
  </si>
  <si>
    <t>971P</t>
  </si>
  <si>
    <t>971R</t>
  </si>
  <si>
    <t>971S</t>
  </si>
  <si>
    <t>971T</t>
  </si>
  <si>
    <t>971U</t>
  </si>
  <si>
    <t>971V</t>
  </si>
  <si>
    <t>971W</t>
  </si>
  <si>
    <t>971X</t>
  </si>
  <si>
    <t>971Y</t>
  </si>
  <si>
    <t>971Z</t>
  </si>
  <si>
    <t>924A</t>
  </si>
  <si>
    <t>CVS500x180-ASTM-A572 GR.50</t>
  </si>
  <si>
    <t>925A</t>
  </si>
  <si>
    <t>927A</t>
  </si>
  <si>
    <t>930A</t>
  </si>
  <si>
    <t>931A</t>
  </si>
  <si>
    <t>932A</t>
  </si>
  <si>
    <t>933A</t>
  </si>
  <si>
    <t>934A</t>
  </si>
  <si>
    <t>935A</t>
  </si>
  <si>
    <t>936A</t>
  </si>
  <si>
    <t>937A</t>
  </si>
  <si>
    <t>938A</t>
  </si>
  <si>
    <t>939A</t>
  </si>
  <si>
    <t>940A</t>
  </si>
  <si>
    <t>941A</t>
  </si>
  <si>
    <t>942A</t>
  </si>
  <si>
    <t>943A</t>
  </si>
  <si>
    <t>TRET300X150X9,5-ASTM-A36</t>
  </si>
  <si>
    <t>943B</t>
  </si>
  <si>
    <t>943C</t>
  </si>
  <si>
    <t>943D</t>
  </si>
  <si>
    <t>970A</t>
  </si>
  <si>
    <t>970B</t>
  </si>
  <si>
    <t>970C</t>
  </si>
  <si>
    <t>970D</t>
  </si>
  <si>
    <t>970E</t>
  </si>
  <si>
    <t>970F</t>
  </si>
  <si>
    <t>970G</t>
  </si>
  <si>
    <t>970H</t>
  </si>
  <si>
    <t>970K</t>
  </si>
  <si>
    <t>970L</t>
  </si>
  <si>
    <t>970M</t>
  </si>
  <si>
    <t>970N</t>
  </si>
  <si>
    <t>970P</t>
  </si>
  <si>
    <t>970R</t>
  </si>
  <si>
    <t>970S</t>
  </si>
  <si>
    <t>970T</t>
  </si>
  <si>
    <t>970U</t>
  </si>
  <si>
    <t>970V</t>
  </si>
  <si>
    <t>970W</t>
  </si>
  <si>
    <t>970X</t>
  </si>
  <si>
    <t>970Y</t>
  </si>
  <si>
    <t>BARRA QUADRADA 38X38-ASTM-A36</t>
  </si>
  <si>
    <t>M-2305-622-1</t>
  </si>
  <si>
    <t>PARAF. 5/8" X 1.1/2"  - A307</t>
  </si>
  <si>
    <t>M-2305-622-2</t>
  </si>
  <si>
    <t>PARAF. 5/8" X 1.3/4"  - A307</t>
  </si>
  <si>
    <t>M-2305-622-3</t>
  </si>
  <si>
    <t>PARAF. 5/8" X 1.1/2"  - A325</t>
  </si>
  <si>
    <t>M-2305-622-4</t>
  </si>
  <si>
    <t>PARAF. 5/8" X 1.3/4"  - A325</t>
  </si>
  <si>
    <t>M-2305-622-5</t>
  </si>
  <si>
    <t>PARAF. 3/4" X 1.3/4"  - A325</t>
  </si>
  <si>
    <t>M-2305-622-6</t>
  </si>
  <si>
    <t>PARAF. 3/4" X 2"  - A325</t>
  </si>
  <si>
    <t>M-2305-622-7</t>
  </si>
  <si>
    <t>PARAF. 3/4" X 2.1/4"  - A325</t>
  </si>
  <si>
    <t>M-2305-622-8</t>
  </si>
  <si>
    <t>PARAF. 3/4" X 2.1/2"  - A325</t>
  </si>
  <si>
    <t>M-2305-622-9</t>
  </si>
  <si>
    <t>PARAF. 3/4" X 2.3/4"  - A325</t>
  </si>
  <si>
    <t>M-2305-622-10</t>
  </si>
  <si>
    <t>PARAF. 3/4" X 3"  - A325</t>
  </si>
  <si>
    <t>M-2305-622-11</t>
  </si>
  <si>
    <t>PARAF. 3/4" X 3.1/4"  - A325</t>
  </si>
  <si>
    <t>M-2305-622-12</t>
  </si>
  <si>
    <t>PARAF. 3/4" X 3.1/2"  - A325</t>
  </si>
  <si>
    <t>M-2305-622-13</t>
  </si>
  <si>
    <t>PARAF. 3/4" X 3.3/4"  - A325</t>
  </si>
  <si>
    <t>M-2305-622-14</t>
  </si>
  <si>
    <t>PARAF. 7/8" X 3.1/2"  - A325</t>
  </si>
  <si>
    <t>M-2305-622-15</t>
  </si>
  <si>
    <t>PORCA 5/8"  - A563 A</t>
  </si>
  <si>
    <t>M-2305-622-16</t>
  </si>
  <si>
    <t>PORCA 5/8"  - A563 DH</t>
  </si>
  <si>
    <t>M-2305-622-17</t>
  </si>
  <si>
    <t>PORCA 3/4"  - A563 DH</t>
  </si>
  <si>
    <t>M-2305-622-18</t>
  </si>
  <si>
    <t>PORCA 7/8" - A563 DH</t>
  </si>
  <si>
    <t>M-2305-622-19</t>
  </si>
  <si>
    <t>ARR. 5/8"  - COMUM</t>
  </si>
  <si>
    <t>M-2305-622-20</t>
  </si>
  <si>
    <t>ARR. 5/8"  - F436</t>
  </si>
  <si>
    <t>M-2305-622-21</t>
  </si>
  <si>
    <t>ARR. 3/4"  - F436</t>
  </si>
  <si>
    <t>M-2305-622-22</t>
  </si>
  <si>
    <t>ARR. 7/8"  - F436</t>
  </si>
  <si>
    <t>983A</t>
  </si>
  <si>
    <t>GRADE DE PISO</t>
  </si>
  <si>
    <t>983B</t>
  </si>
  <si>
    <t>984A</t>
  </si>
  <si>
    <t>DEGRAU DS-30/5 (30X100)-(275X800)-ASTM-A36</t>
  </si>
  <si>
    <t>984B</t>
  </si>
  <si>
    <t>DEGRAU DS-30/5 (30X100)-(275X850)-ASTM-A36</t>
  </si>
  <si>
    <t>983-1</t>
  </si>
  <si>
    <t>GRAMPO DE FIXAÇÃO TIPO 1</t>
  </si>
  <si>
    <t>983-2</t>
  </si>
  <si>
    <t>GRAMPO DE FIXAÇÃO TIPO 2</t>
  </si>
  <si>
    <t>972A</t>
  </si>
  <si>
    <t>973A</t>
  </si>
  <si>
    <t>974A</t>
  </si>
  <si>
    <t>974B</t>
  </si>
  <si>
    <t>974C</t>
  </si>
  <si>
    <t>974D</t>
  </si>
  <si>
    <t>975A</t>
  </si>
  <si>
    <t>975B</t>
  </si>
  <si>
    <t>GUARDA CORPO</t>
  </si>
  <si>
    <t>975C</t>
  </si>
  <si>
    <t>975D</t>
  </si>
  <si>
    <t>975E</t>
  </si>
  <si>
    <t>976A</t>
  </si>
  <si>
    <t>976B</t>
  </si>
  <si>
    <t>976C</t>
  </si>
  <si>
    <t>976D</t>
  </si>
  <si>
    <t>977A</t>
  </si>
  <si>
    <t>978A</t>
  </si>
  <si>
    <t>979A</t>
  </si>
  <si>
    <t>979B</t>
  </si>
  <si>
    <t>980A</t>
  </si>
  <si>
    <t>981A</t>
  </si>
  <si>
    <t>981B</t>
  </si>
  <si>
    <t>982A</t>
  </si>
  <si>
    <t>982B</t>
  </si>
  <si>
    <t>982C</t>
  </si>
  <si>
    <t>982D</t>
  </si>
  <si>
    <t>787-1</t>
  </si>
  <si>
    <t>916-1</t>
  </si>
  <si>
    <t>862-1</t>
  </si>
  <si>
    <t>865-1</t>
  </si>
  <si>
    <t>899-1</t>
  </si>
  <si>
    <t>1030A</t>
  </si>
  <si>
    <t>1030B</t>
  </si>
  <si>
    <t>1030C</t>
  </si>
  <si>
    <t>1030D</t>
  </si>
  <si>
    <t>1030E</t>
  </si>
  <si>
    <t>1030F</t>
  </si>
  <si>
    <t>1030G</t>
  </si>
  <si>
    <t>1030H</t>
  </si>
  <si>
    <t>1030K</t>
  </si>
  <si>
    <t>1030L</t>
  </si>
  <si>
    <t>1031A</t>
  </si>
  <si>
    <t>1039A</t>
  </si>
  <si>
    <t>1040A</t>
  </si>
  <si>
    <t>1040B</t>
  </si>
  <si>
    <t>1034A</t>
  </si>
  <si>
    <t>1035A</t>
  </si>
  <si>
    <t>1036A</t>
  </si>
  <si>
    <t>1036B</t>
  </si>
  <si>
    <t>1036C</t>
  </si>
  <si>
    <t>1036D</t>
  </si>
  <si>
    <t>1036E</t>
  </si>
  <si>
    <t>1037A</t>
  </si>
  <si>
    <t>1038A</t>
  </si>
  <si>
    <t>1038B</t>
  </si>
  <si>
    <t>1038C</t>
  </si>
  <si>
    <t>1021A</t>
  </si>
  <si>
    <t>1021B</t>
  </si>
  <si>
    <t>1021C</t>
  </si>
  <si>
    <t>1021D</t>
  </si>
  <si>
    <t>1021E</t>
  </si>
  <si>
    <t>1021F</t>
  </si>
  <si>
    <t>1021G</t>
  </si>
  <si>
    <t>1017A</t>
  </si>
  <si>
    <t>1017B</t>
  </si>
  <si>
    <t>1018A</t>
  </si>
  <si>
    <t>1018B</t>
  </si>
  <si>
    <t>1019A</t>
  </si>
  <si>
    <t>1019B</t>
  </si>
  <si>
    <t>1020A</t>
  </si>
  <si>
    <t>1020B</t>
  </si>
  <si>
    <t>1022A</t>
  </si>
  <si>
    <t>1023A</t>
  </si>
  <si>
    <t>1024A</t>
  </si>
  <si>
    <t>1025A</t>
  </si>
  <si>
    <t>1026A</t>
  </si>
  <si>
    <t>1027A</t>
  </si>
  <si>
    <t>1028A</t>
  </si>
  <si>
    <t>1028B</t>
  </si>
  <si>
    <t>1028C</t>
  </si>
  <si>
    <t>1028D</t>
  </si>
  <si>
    <t>1028E</t>
  </si>
  <si>
    <t>1028F</t>
  </si>
  <si>
    <t>1029A</t>
  </si>
  <si>
    <t>1029B</t>
  </si>
  <si>
    <t>1029C</t>
  </si>
  <si>
    <t>1029D</t>
  </si>
  <si>
    <t>1029E</t>
  </si>
  <si>
    <t>1029F</t>
  </si>
  <si>
    <t>1032A</t>
  </si>
  <si>
    <t>1032B</t>
  </si>
  <si>
    <t>1032C</t>
  </si>
  <si>
    <t>1032D</t>
  </si>
  <si>
    <t>1032E</t>
  </si>
  <si>
    <t>1032F</t>
  </si>
  <si>
    <t>1033A</t>
  </si>
  <si>
    <t>1033B</t>
  </si>
  <si>
    <t>1088A</t>
  </si>
  <si>
    <t>1088B</t>
  </si>
  <si>
    <t>1088C</t>
  </si>
  <si>
    <t>1088D</t>
  </si>
  <si>
    <t>1088E</t>
  </si>
  <si>
    <t>1089A</t>
  </si>
  <si>
    <t>1089B</t>
  </si>
  <si>
    <t>1089C</t>
  </si>
  <si>
    <t>1089D</t>
  </si>
  <si>
    <t>1089E</t>
  </si>
  <si>
    <t>1089F</t>
  </si>
  <si>
    <t>1090A</t>
  </si>
  <si>
    <t>1090B</t>
  </si>
  <si>
    <t>1090C</t>
  </si>
  <si>
    <t>1090D</t>
  </si>
  <si>
    <t>1090E</t>
  </si>
  <si>
    <t>1091A</t>
  </si>
  <si>
    <t>1091B</t>
  </si>
  <si>
    <t>1091C</t>
  </si>
  <si>
    <t>1091D</t>
  </si>
  <si>
    <t>1091E</t>
  </si>
  <si>
    <t>1092A</t>
  </si>
  <si>
    <t>1092B</t>
  </si>
  <si>
    <t>1092C</t>
  </si>
  <si>
    <t>1092D</t>
  </si>
  <si>
    <t>1093A</t>
  </si>
  <si>
    <t>1093B</t>
  </si>
  <si>
    <t>1093C</t>
  </si>
  <si>
    <t>1093D</t>
  </si>
  <si>
    <t>1094A</t>
  </si>
  <si>
    <t>1094B</t>
  </si>
  <si>
    <t>1094C</t>
  </si>
  <si>
    <t>1094D</t>
  </si>
  <si>
    <t>1094E</t>
  </si>
  <si>
    <t>1095A</t>
  </si>
  <si>
    <t>1095B</t>
  </si>
  <si>
    <t>1095C</t>
  </si>
  <si>
    <t>1096A</t>
  </si>
  <si>
    <t>1096B</t>
  </si>
  <si>
    <t>1096C</t>
  </si>
  <si>
    <t>1096D</t>
  </si>
  <si>
    <t>1097A</t>
  </si>
  <si>
    <t>1097B</t>
  </si>
  <si>
    <t>1097C</t>
  </si>
  <si>
    <t>1097D</t>
  </si>
  <si>
    <t>1098A</t>
  </si>
  <si>
    <t>1098B</t>
  </si>
  <si>
    <t>1098C</t>
  </si>
  <si>
    <t>1098D</t>
  </si>
  <si>
    <t>1099A</t>
  </si>
  <si>
    <t>1099B</t>
  </si>
  <si>
    <t>1099C</t>
  </si>
  <si>
    <t>1099D</t>
  </si>
  <si>
    <t>1100A</t>
  </si>
  <si>
    <t>1100B</t>
  </si>
  <si>
    <t>1100C</t>
  </si>
  <si>
    <t>1100D</t>
  </si>
  <si>
    <t>1101A</t>
  </si>
  <si>
    <t>1101B</t>
  </si>
  <si>
    <t>1101C</t>
  </si>
  <si>
    <t>1101D</t>
  </si>
  <si>
    <t>1102A</t>
  </si>
  <si>
    <t>1102B</t>
  </si>
  <si>
    <t>1102C</t>
  </si>
  <si>
    <t>1102D</t>
  </si>
  <si>
    <t>1102E</t>
  </si>
  <si>
    <t>1102F</t>
  </si>
  <si>
    <t>1103A</t>
  </si>
  <si>
    <t>1103B</t>
  </si>
  <si>
    <t>1103C</t>
  </si>
  <si>
    <t>1103D</t>
  </si>
  <si>
    <t>1103E</t>
  </si>
  <si>
    <t>1104A</t>
  </si>
  <si>
    <t>1104B</t>
  </si>
  <si>
    <t>1104C</t>
  </si>
  <si>
    <t>1105A</t>
  </si>
  <si>
    <t>1105B</t>
  </si>
  <si>
    <t>1105C</t>
  </si>
  <si>
    <t>1105D</t>
  </si>
  <si>
    <t>1111D</t>
  </si>
  <si>
    <t>1111E</t>
  </si>
  <si>
    <t>1073A</t>
  </si>
  <si>
    <t>TRILHO-TR37 (ASCE75)-SAE1010/1020</t>
  </si>
  <si>
    <t>1073B</t>
  </si>
  <si>
    <t>1073C</t>
  </si>
  <si>
    <t>1073D</t>
  </si>
  <si>
    <t>TRILHO-A100-SAE1010/1020</t>
  </si>
  <si>
    <t>1073E</t>
  </si>
  <si>
    <t>1073F</t>
  </si>
  <si>
    <t>1106A</t>
  </si>
  <si>
    <t>1106B</t>
  </si>
  <si>
    <t>1106C</t>
  </si>
  <si>
    <t>1106D</t>
  </si>
  <si>
    <t>1106E</t>
  </si>
  <si>
    <t>1106F</t>
  </si>
  <si>
    <t>1106G</t>
  </si>
  <si>
    <t>1106H</t>
  </si>
  <si>
    <t>1106K</t>
  </si>
  <si>
    <t>1106L</t>
  </si>
  <si>
    <t>1106M</t>
  </si>
  <si>
    <t>1106N</t>
  </si>
  <si>
    <t>1106P</t>
  </si>
  <si>
    <t>1106R</t>
  </si>
  <si>
    <t>1106S</t>
  </si>
  <si>
    <t>1106T</t>
  </si>
  <si>
    <t>1106U</t>
  </si>
  <si>
    <t>1106V</t>
  </si>
  <si>
    <t>1106W</t>
  </si>
  <si>
    <t>1106X</t>
  </si>
  <si>
    <t>1106Y</t>
  </si>
  <si>
    <t>1106Z</t>
  </si>
  <si>
    <t>1107A</t>
  </si>
  <si>
    <t>1107B</t>
  </si>
  <si>
    <t>1107C</t>
  </si>
  <si>
    <t>1107D</t>
  </si>
  <si>
    <t>1107E</t>
  </si>
  <si>
    <t>1107F</t>
  </si>
  <si>
    <t>1107G</t>
  </si>
  <si>
    <t>1107H</t>
  </si>
  <si>
    <t>1107K</t>
  </si>
  <si>
    <t>1107L</t>
  </si>
  <si>
    <t>1107M</t>
  </si>
  <si>
    <t>1107N</t>
  </si>
  <si>
    <t>1107P</t>
  </si>
  <si>
    <t>1107R</t>
  </si>
  <si>
    <t>1107S</t>
  </si>
  <si>
    <t>1107T</t>
  </si>
  <si>
    <t>1107U</t>
  </si>
  <si>
    <t>1107V</t>
  </si>
  <si>
    <t>1107W</t>
  </si>
  <si>
    <t>1107X</t>
  </si>
  <si>
    <t>1107Y</t>
  </si>
  <si>
    <t>1107Z</t>
  </si>
  <si>
    <t>1108A</t>
  </si>
  <si>
    <t>1108B</t>
  </si>
  <si>
    <t>1108C</t>
  </si>
  <si>
    <t>1108D</t>
  </si>
  <si>
    <t>1108E</t>
  </si>
  <si>
    <t>1108F</t>
  </si>
  <si>
    <t>1108G</t>
  </si>
  <si>
    <t>1108H</t>
  </si>
  <si>
    <t>1108K</t>
  </si>
  <si>
    <t>1108L</t>
  </si>
  <si>
    <t>1108M</t>
  </si>
  <si>
    <t>1108N</t>
  </si>
  <si>
    <t>1108P</t>
  </si>
  <si>
    <t>1108R</t>
  </si>
  <si>
    <t>1108S</t>
  </si>
  <si>
    <t>1108T</t>
  </si>
  <si>
    <t>1108U</t>
  </si>
  <si>
    <t>1108V</t>
  </si>
  <si>
    <t>1108W</t>
  </si>
  <si>
    <t>1108X</t>
  </si>
  <si>
    <t>1108Y</t>
  </si>
  <si>
    <t>1108Z</t>
  </si>
  <si>
    <t>1109A</t>
  </si>
  <si>
    <t>1109B</t>
  </si>
  <si>
    <t>1109C</t>
  </si>
  <si>
    <t>1109D</t>
  </si>
  <si>
    <t>1109E</t>
  </si>
  <si>
    <t>1109F</t>
  </si>
  <si>
    <t>1109G</t>
  </si>
  <si>
    <t>1109H</t>
  </si>
  <si>
    <t>1109K</t>
  </si>
  <si>
    <t>1109L</t>
  </si>
  <si>
    <t>1109M</t>
  </si>
  <si>
    <t>1109N</t>
  </si>
  <si>
    <t>1109P</t>
  </si>
  <si>
    <t>1109R</t>
  </si>
  <si>
    <t>1109S</t>
  </si>
  <si>
    <t>1109T</t>
  </si>
  <si>
    <t>1109U</t>
  </si>
  <si>
    <t>1109V</t>
  </si>
  <si>
    <t>1109W</t>
  </si>
  <si>
    <t>1109X</t>
  </si>
  <si>
    <t>1109Y</t>
  </si>
  <si>
    <t>1109Z</t>
  </si>
  <si>
    <t>1106AA</t>
  </si>
  <si>
    <t>1106AB</t>
  </si>
  <si>
    <t>1106AC</t>
  </si>
  <si>
    <t>1107AA</t>
  </si>
  <si>
    <t>1107AB</t>
  </si>
  <si>
    <t>1107AC</t>
  </si>
  <si>
    <t>1107AD</t>
  </si>
  <si>
    <t>1107AE</t>
  </si>
  <si>
    <t>1108AA</t>
  </si>
  <si>
    <t>1108AB</t>
  </si>
  <si>
    <t>1108AC</t>
  </si>
  <si>
    <t>1108AD</t>
  </si>
  <si>
    <t>1108AE</t>
  </si>
  <si>
    <t>1109AA</t>
  </si>
  <si>
    <t>1110A</t>
  </si>
  <si>
    <t>1110B</t>
  </si>
  <si>
    <t>1110C</t>
  </si>
  <si>
    <t>1110D</t>
  </si>
  <si>
    <t>1110E</t>
  </si>
  <si>
    <t>1110F</t>
  </si>
  <si>
    <t>1110G</t>
  </si>
  <si>
    <t>1110H</t>
  </si>
  <si>
    <t>1110K</t>
  </si>
  <si>
    <t>1110L</t>
  </si>
  <si>
    <t>1111A</t>
  </si>
  <si>
    <t>1111B</t>
  </si>
  <si>
    <t>1111C</t>
  </si>
  <si>
    <t>1073-1</t>
  </si>
  <si>
    <t>PARAFUSO Ø3/4" X 3.1/2" - ASTM-A325</t>
  </si>
  <si>
    <t>1073-2</t>
  </si>
  <si>
    <t>PORCA Ø3/4" - ASTM-A325</t>
  </si>
  <si>
    <t>PORCA Ø 3/4" - ASTM-A325</t>
  </si>
  <si>
    <t>1073-3</t>
  </si>
  <si>
    <t>ARRUELA LISA Ø3/4" - ASTM-A325</t>
  </si>
  <si>
    <t>1073-4</t>
  </si>
  <si>
    <t>ARRUELA DE PRESSÃO Ø3/4" - ASTM-A325</t>
  </si>
  <si>
    <t>1073-5</t>
  </si>
  <si>
    <t>PRESILHA COM CALÇO - AÇO</t>
  </si>
  <si>
    <t>1106-1</t>
  </si>
  <si>
    <t>GRAMPO TIPO 2</t>
  </si>
  <si>
    <t>1107-1</t>
  </si>
  <si>
    <t>1108-1</t>
  </si>
  <si>
    <t>1109-1</t>
  </si>
  <si>
    <t>1110-1</t>
  </si>
  <si>
    <t>PORCA Ø5/8" - ASTM-A307</t>
  </si>
  <si>
    <t>1110-2</t>
  </si>
  <si>
    <t>ARRUELA LISA Ø5/8" - ASTM-A307</t>
  </si>
  <si>
    <t>1111-1</t>
  </si>
  <si>
    <t>1111-2</t>
  </si>
  <si>
    <t>1117A</t>
  </si>
  <si>
    <t>VIGA-ROLA</t>
  </si>
  <si>
    <t>PS600X95-ASTM-A572 GR.50</t>
  </si>
  <si>
    <t>1118A</t>
  </si>
  <si>
    <t>1119A</t>
  </si>
  <si>
    <t>1120A</t>
  </si>
  <si>
    <t>1121A</t>
  </si>
  <si>
    <t>W310X23.8-ASTM-A572 GR.50</t>
  </si>
  <si>
    <t>1121B</t>
  </si>
  <si>
    <t>1122A</t>
  </si>
  <si>
    <t>1082A</t>
  </si>
  <si>
    <t>VIGA-TRAV</t>
  </si>
  <si>
    <t>1082B</t>
  </si>
  <si>
    <t>1083A</t>
  </si>
  <si>
    <t>1083B</t>
  </si>
  <si>
    <t>1084A</t>
  </si>
  <si>
    <t>1084B</t>
  </si>
  <si>
    <t>1085A</t>
  </si>
  <si>
    <t>1085B</t>
  </si>
  <si>
    <t>1086B</t>
  </si>
  <si>
    <t>1086C</t>
  </si>
  <si>
    <t>1087A</t>
  </si>
  <si>
    <t>1087B</t>
  </si>
  <si>
    <t>893-1</t>
  </si>
  <si>
    <t>893-2</t>
  </si>
  <si>
    <t>894-1</t>
  </si>
  <si>
    <t>894-2</t>
  </si>
  <si>
    <t>895-1</t>
  </si>
  <si>
    <t>895-2</t>
  </si>
  <si>
    <t>967-1</t>
  </si>
  <si>
    <t>968-1</t>
  </si>
  <si>
    <t>969-1</t>
  </si>
  <si>
    <t>971-1</t>
  </si>
  <si>
    <t>1112B</t>
  </si>
  <si>
    <t>1112D</t>
  </si>
  <si>
    <t>1112E</t>
  </si>
  <si>
    <t>1112G</t>
  </si>
  <si>
    <t>1112H</t>
  </si>
  <si>
    <t>1112L</t>
  </si>
  <si>
    <t>1112M</t>
  </si>
  <si>
    <t>1112N</t>
  </si>
  <si>
    <t>1112P</t>
  </si>
  <si>
    <t>1113C</t>
  </si>
  <si>
    <t>1114G</t>
  </si>
  <si>
    <t>1112S</t>
  </si>
  <si>
    <t>1113B</t>
  </si>
  <si>
    <t>1113D</t>
  </si>
  <si>
    <t>1113E</t>
  </si>
  <si>
    <t>1113F</t>
  </si>
  <si>
    <t>1113K</t>
  </si>
  <si>
    <t>1113M</t>
  </si>
  <si>
    <t>1113P</t>
  </si>
  <si>
    <t>1113R</t>
  </si>
  <si>
    <t>1114A</t>
  </si>
  <si>
    <t>1114B</t>
  </si>
  <si>
    <t>1114E</t>
  </si>
  <si>
    <t>1114F</t>
  </si>
  <si>
    <t>1115E</t>
  </si>
  <si>
    <t>1116A</t>
  </si>
  <si>
    <t>1074A</t>
  </si>
  <si>
    <t>TALAS</t>
  </si>
  <si>
    <t>1074B</t>
  </si>
  <si>
    <t>1074C</t>
  </si>
  <si>
    <t>1074D</t>
  </si>
  <si>
    <t>1074E</t>
  </si>
  <si>
    <t>1074F</t>
  </si>
  <si>
    <t>1074G</t>
  </si>
  <si>
    <t>1074H</t>
  </si>
  <si>
    <t>1074K</t>
  </si>
  <si>
    <t>1074L</t>
  </si>
  <si>
    <t>1074M</t>
  </si>
  <si>
    <t>1074N</t>
  </si>
  <si>
    <t>1074P</t>
  </si>
  <si>
    <t>1074R</t>
  </si>
  <si>
    <t>1074S</t>
  </si>
  <si>
    <t>1074T</t>
  </si>
  <si>
    <t>1074U</t>
  </si>
  <si>
    <t>1074V</t>
  </si>
  <si>
    <t>1074W</t>
  </si>
  <si>
    <t>1074X</t>
  </si>
  <si>
    <t>1074Y</t>
  </si>
  <si>
    <t>1074Z</t>
  </si>
  <si>
    <t>1219A</t>
  </si>
  <si>
    <t>1219B</t>
  </si>
  <si>
    <t>1219C</t>
  </si>
  <si>
    <t>1219D</t>
  </si>
  <si>
    <t>1219E</t>
  </si>
  <si>
    <t>1219F</t>
  </si>
  <si>
    <t>1219G</t>
  </si>
  <si>
    <t>1219H</t>
  </si>
  <si>
    <t>1219K</t>
  </si>
  <si>
    <t>1219L</t>
  </si>
  <si>
    <t>1219M</t>
  </si>
  <si>
    <t>1219N</t>
  </si>
  <si>
    <t>1219P</t>
  </si>
  <si>
    <t>1219R</t>
  </si>
  <si>
    <t>1219S</t>
  </si>
  <si>
    <t>1219T</t>
  </si>
  <si>
    <t>1219U</t>
  </si>
  <si>
    <t>1219V</t>
  </si>
  <si>
    <t>1219W</t>
  </si>
  <si>
    <t>1219X</t>
  </si>
  <si>
    <t>1219Y</t>
  </si>
  <si>
    <t>1220A</t>
  </si>
  <si>
    <t>1220B</t>
  </si>
  <si>
    <t>1220C</t>
  </si>
  <si>
    <t>1220D</t>
  </si>
  <si>
    <t>1220E</t>
  </si>
  <si>
    <t>1220F</t>
  </si>
  <si>
    <t>1220G</t>
  </si>
  <si>
    <t>1220H</t>
  </si>
  <si>
    <t>1220K</t>
  </si>
  <si>
    <t>1220L</t>
  </si>
  <si>
    <t>1220M</t>
  </si>
  <si>
    <t>1220N</t>
  </si>
  <si>
    <t>1220P</t>
  </si>
  <si>
    <t>1220R</t>
  </si>
  <si>
    <t>1220S</t>
  </si>
  <si>
    <t>1220T</t>
  </si>
  <si>
    <t>1220U</t>
  </si>
  <si>
    <t>1220V</t>
  </si>
  <si>
    <t>1220W</t>
  </si>
  <si>
    <t>1220X</t>
  </si>
  <si>
    <t>1220Y</t>
  </si>
  <si>
    <t>1220Z</t>
  </si>
  <si>
    <t>1221A</t>
  </si>
  <si>
    <t>1221B</t>
  </si>
  <si>
    <t>1221C</t>
  </si>
  <si>
    <t>1221D</t>
  </si>
  <si>
    <t>1221E</t>
  </si>
  <si>
    <t>1221F</t>
  </si>
  <si>
    <t>1221G</t>
  </si>
  <si>
    <t>1221H</t>
  </si>
  <si>
    <t>1221K</t>
  </si>
  <si>
    <t>1221L</t>
  </si>
  <si>
    <t>FC152X6,3-ASTM-A572 GR.50</t>
  </si>
  <si>
    <t>1221M</t>
  </si>
  <si>
    <t>1221N</t>
  </si>
  <si>
    <t>1221P</t>
  </si>
  <si>
    <t>1221R</t>
  </si>
  <si>
    <t>1221S</t>
  </si>
  <si>
    <t>1221T</t>
  </si>
  <si>
    <t>1221U</t>
  </si>
  <si>
    <t>1221V</t>
  </si>
  <si>
    <t>1221W</t>
  </si>
  <si>
    <t>1221X</t>
  </si>
  <si>
    <t>1221Y</t>
  </si>
  <si>
    <t>1221Z</t>
  </si>
  <si>
    <t>1234A</t>
  </si>
  <si>
    <t>1234B</t>
  </si>
  <si>
    <t>1234C</t>
  </si>
  <si>
    <t>1234D</t>
  </si>
  <si>
    <t>1234E</t>
  </si>
  <si>
    <t>1234F</t>
  </si>
  <si>
    <t>1234G</t>
  </si>
  <si>
    <t>1234H</t>
  </si>
  <si>
    <t>1234K</t>
  </si>
  <si>
    <t>1234L</t>
  </si>
  <si>
    <t>1234M</t>
  </si>
  <si>
    <t>1234N</t>
  </si>
  <si>
    <t>1234P</t>
  </si>
  <si>
    <t>1234R</t>
  </si>
  <si>
    <t>1234S</t>
  </si>
  <si>
    <t>1234T</t>
  </si>
  <si>
    <t>1220AA</t>
  </si>
  <si>
    <t>1220AB</t>
  </si>
  <si>
    <t>1220AC</t>
  </si>
  <si>
    <t>1220AD</t>
  </si>
  <si>
    <t>1220AE</t>
  </si>
  <si>
    <t>1220AF</t>
  </si>
  <si>
    <t>1220AG</t>
  </si>
  <si>
    <t>1220AH</t>
  </si>
  <si>
    <t>1220AK</t>
  </si>
  <si>
    <t>1221AA</t>
  </si>
  <si>
    <t>FC152X8-ASTM-A572 GR.50</t>
  </si>
  <si>
    <t>1221AB</t>
  </si>
  <si>
    <t>1221AC</t>
  </si>
  <si>
    <t>1221AD</t>
  </si>
  <si>
    <t>FC152X8-ASTM-A36</t>
  </si>
  <si>
    <t>1221AE</t>
  </si>
  <si>
    <t>771AA</t>
  </si>
  <si>
    <t>1233A</t>
  </si>
  <si>
    <t>1192A</t>
  </si>
  <si>
    <t>1193A</t>
  </si>
  <si>
    <t>1194A</t>
  </si>
  <si>
    <t>1195A</t>
  </si>
  <si>
    <t>1196A</t>
  </si>
  <si>
    <t>1197A</t>
  </si>
  <si>
    <t>1198A</t>
  </si>
  <si>
    <t>1222A</t>
  </si>
  <si>
    <t>1222B</t>
  </si>
  <si>
    <t>1232A</t>
  </si>
  <si>
    <t>1232B</t>
  </si>
  <si>
    <t>1232C</t>
  </si>
  <si>
    <t>BATENTE</t>
  </si>
  <si>
    <t>1222C</t>
  </si>
  <si>
    <t>ITEM PQ</t>
  </si>
  <si>
    <t>P. UNIT</t>
  </si>
  <si>
    <t>P. TOTAL</t>
  </si>
  <si>
    <t>CLASSIFICAÇÃO</t>
  </si>
  <si>
    <t>PEÇA / 
ELEMENTO DE 
FIXAÇÃO</t>
  </si>
  <si>
    <t>QTD</t>
  </si>
  <si>
    <t>TIPO DE PEÇA</t>
  </si>
  <si>
    <t>PEÇA</t>
  </si>
  <si>
    <t>Resumo</t>
  </si>
  <si>
    <t>Total</t>
  </si>
  <si>
    <t>EST</t>
  </si>
  <si>
    <t>COB</t>
  </si>
  <si>
    <t>SEQ</t>
  </si>
  <si>
    <t>DATA</t>
  </si>
  <si>
    <t>DATA_DIA</t>
  </si>
  <si>
    <t>SEM_CMM_NUM</t>
  </si>
  <si>
    <t>SEM_VALE_NUM</t>
  </si>
  <si>
    <t>MÊS_FISICO</t>
  </si>
  <si>
    <t>MÊS_FISICO_NOME</t>
  </si>
  <si>
    <t>MÊS_FINANCEIRO</t>
  </si>
  <si>
    <t>MÊS_FINANCEIRO_NOME</t>
  </si>
  <si>
    <t>SEM_MIN</t>
  </si>
  <si>
    <t>SEM_MAX</t>
  </si>
  <si>
    <t>SEM_CONCAT</t>
  </si>
  <si>
    <t>2019.12 DEZ</t>
  </si>
  <si>
    <t>2020.01 JAN</t>
  </si>
  <si>
    <t>2020.02 FEV</t>
  </si>
  <si>
    <t>2020.03 MAR</t>
  </si>
  <si>
    <t>2020.04 ABR</t>
  </si>
  <si>
    <t>2020.05 MAI</t>
  </si>
  <si>
    <t>2020.06 JUN</t>
  </si>
  <si>
    <t>2020.07 JUL</t>
  </si>
  <si>
    <t>2020.08 AGO</t>
  </si>
  <si>
    <t>2020.09 SET</t>
  </si>
  <si>
    <t>2020.10 OUT</t>
  </si>
  <si>
    <t>2020.11 NOV</t>
  </si>
  <si>
    <t>2020.12 DEZ</t>
  </si>
  <si>
    <t>2021.01 JAN</t>
  </si>
  <si>
    <t>2021.02 FEV</t>
  </si>
  <si>
    <t>2021.03 MAR</t>
  </si>
  <si>
    <t>2021.04 ABR</t>
  </si>
  <si>
    <t>2021.05 MAI</t>
  </si>
  <si>
    <t>2021.06 JUN</t>
  </si>
  <si>
    <t>2021.07 JUL</t>
  </si>
  <si>
    <t>2021.08 AGO</t>
  </si>
  <si>
    <t>2021.09 SET</t>
  </si>
  <si>
    <t>2021.10 OUT</t>
  </si>
  <si>
    <t>2021.11 NOV</t>
  </si>
  <si>
    <t>2021.12 DEZ</t>
  </si>
  <si>
    <t>COMMODITIE</t>
  </si>
  <si>
    <t>PEAD</t>
  </si>
  <si>
    <t>TRANSPORTADO</t>
  </si>
  <si>
    <t>COMPRIMENTO</t>
  </si>
  <si>
    <t>TRECHO 05</t>
  </si>
  <si>
    <t>SOLDA</t>
  </si>
  <si>
    <t>NÃO</t>
  </si>
  <si>
    <t>SUB-ÁREA</t>
  </si>
  <si>
    <t>ATERRADO</t>
  </si>
  <si>
    <t>DIA DA SOLDA</t>
  </si>
  <si>
    <t>DIA DO ATERRO</t>
  </si>
  <si>
    <t>PROJETO</t>
  </si>
  <si>
    <t>POSIÇÃO DO TUBO</t>
  </si>
  <si>
    <t>DIÂMETRO DO TUBO</t>
  </si>
  <si>
    <t>PN TUBO</t>
  </si>
  <si>
    <t>PN 10</t>
  </si>
  <si>
    <t xml:space="preserve">LANÇADO </t>
  </si>
  <si>
    <t>DATA DE LANÇAMENTO</t>
  </si>
  <si>
    <t>Rótulos de Linha</t>
  </si>
  <si>
    <t>(vazio)</t>
  </si>
  <si>
    <t>Total Geral</t>
  </si>
  <si>
    <t>Soma de COMPRIMENTO</t>
  </si>
  <si>
    <t>LOCALIZAÇÃO</t>
  </si>
  <si>
    <t>PÁTIO 01</t>
  </si>
  <si>
    <t>2.2.4.1.1.1</t>
  </si>
  <si>
    <t>2.2.4.1.2.1</t>
  </si>
  <si>
    <t>2.2.4.1.4.1</t>
  </si>
  <si>
    <t>R$ Unit.</t>
  </si>
  <si>
    <t>R$ Total</t>
  </si>
  <si>
    <t>PLANILHA DE QUANTIDADES E PREÇOS</t>
  </si>
  <si>
    <t>GERENCIA DE IMPLANTAÇÃO PROJETOS CORRENTES CORREDOR SUDESTE</t>
  </si>
  <si>
    <t>EMPREENDIMENTO:</t>
  </si>
  <si>
    <t>N°. VALE: PQ-000G-00-2182</t>
  </si>
  <si>
    <t>OBRA CIVIL E ELETROMECÂNICA PARA DESAGUAMENTO DE REJEITO (Fase 2) NA MINA BRUCUTU</t>
  </si>
  <si>
    <t>REVISÃO / DATA: 2º TAC - 18/11/2020</t>
  </si>
  <si>
    <t>Nº TAP:  S-5809</t>
  </si>
  <si>
    <t xml:space="preserve">FOLHA:  </t>
  </si>
  <si>
    <t>UNID.</t>
  </si>
  <si>
    <t>CRITÉRIO DE MEDIÇÃO</t>
  </si>
  <si>
    <t>CONTRATO</t>
  </si>
  <si>
    <t>ADITIVO</t>
  </si>
  <si>
    <t>CONTRATO + ADITIVO</t>
  </si>
  <si>
    <t>Quantidade</t>
  </si>
  <si>
    <t>Preço Unitário</t>
  </si>
  <si>
    <t>TOTAL</t>
  </si>
  <si>
    <t>CANTEIRO E GERENCIAMENTO DE OBRA</t>
  </si>
  <si>
    <t>1.1</t>
  </si>
  <si>
    <t>INSTALAÇÕES PROVISÓRIAS DE OBRAS</t>
  </si>
  <si>
    <t>1.1.1</t>
  </si>
  <si>
    <t>CANTEIRO DE OBRAS</t>
  </si>
  <si>
    <t>1.1.1.1</t>
  </si>
  <si>
    <t>CONSTRUÇÃO DE CANTEIRO DE OBRAS</t>
  </si>
  <si>
    <t>Construção do Canteiro de Obras</t>
  </si>
  <si>
    <t>C</t>
  </si>
  <si>
    <t>Desmobilização do Canteiro de Obras</t>
  </si>
  <si>
    <t>1.1.2</t>
  </si>
  <si>
    <t>GERENCIAMENTO DE OBRA, MOBILIZAÇÃO E DESMOBILIZAÇÃO DE PESSOAL E EQUIPAMENTOS</t>
  </si>
  <si>
    <t/>
  </si>
  <si>
    <t>1.1.2.1</t>
  </si>
  <si>
    <t>ADMINSTRAÇÃO, GERENCIAMENTO DA OBRA E TOPOGRAFIA</t>
  </si>
  <si>
    <t>1.1.2.1.1</t>
  </si>
  <si>
    <t>Administração Local</t>
  </si>
  <si>
    <t>1.1.2.2</t>
  </si>
  <si>
    <t>MOBILIZAÇÃO / DESMOBILIZAÇÃO DE PESSOAL</t>
  </si>
  <si>
    <t>1.1.2.2.1</t>
  </si>
  <si>
    <t>Mobilização de Pessoal - MOD</t>
  </si>
  <si>
    <t>1.1.2.2.2</t>
  </si>
  <si>
    <t>Mobilização de Pessoal - MOI</t>
  </si>
  <si>
    <t>1.1.2.2.3</t>
  </si>
  <si>
    <t>Desmobilização de pessoal - MOD</t>
  </si>
  <si>
    <t>1.1.2.2.4</t>
  </si>
  <si>
    <t>Desmobilização de pessoal - MOI</t>
  </si>
  <si>
    <t>1.1.2.3</t>
  </si>
  <si>
    <t>MOBILIZAÇÃO / DESMOBILIZAÇÃO DE EQUIPAMENTOS</t>
  </si>
  <si>
    <t>1.1.2.3.1</t>
  </si>
  <si>
    <t>Mobilização de equipamentos pesados</t>
  </si>
  <si>
    <t>1.1.2.3.2</t>
  </si>
  <si>
    <t>Desmobilização de equipamentos pesados</t>
  </si>
  <si>
    <t>SUBTOTAL CANTEIRO E GERENCIAMENTO</t>
  </si>
  <si>
    <t>2</t>
  </si>
  <si>
    <t>S-5809 - DESAGUAMENTO REJEITO (FASE 02)</t>
  </si>
  <si>
    <t>2.1</t>
  </si>
  <si>
    <t>OBRAS CIVIS, TERRAPLENAGEM, DRENAGEM E PAVIMENTAÇÃO</t>
  </si>
  <si>
    <t>2.1.1</t>
  </si>
  <si>
    <t>SERVIÇOS PRELIMINARES</t>
  </si>
  <si>
    <t>2.1.1.1</t>
  </si>
  <si>
    <t>DESMONTES, DEMOLIÇÕES E REMOÇÕES</t>
  </si>
  <si>
    <t>DEMOLIÇÕES E DESMONTAGENS</t>
  </si>
  <si>
    <t>2.1.1.1.1.1</t>
  </si>
  <si>
    <t>Demolição de concreto simples ou armado</t>
  </si>
  <si>
    <t>REMOÇÃO DE MATERIAIS PROVENIENTES DE DESMONTES, DEMOLIÇÕES E DESMONTAGENS</t>
  </si>
  <si>
    <t>2.1.1.1.2.1</t>
  </si>
  <si>
    <t>Carga e transporte de material proveniente de demolições ou desmontes para a área de bota-fora - DMT 1.000 m</t>
  </si>
  <si>
    <t>2.1.1.1.2.2</t>
  </si>
  <si>
    <t>Momento extraordinário de transporte de material proveniente de demolições ou desmontes</t>
  </si>
  <si>
    <t>2.1.2</t>
  </si>
  <si>
    <t>ESTRUTURAS DE CONCRETO</t>
  </si>
  <si>
    <t>2.1.2.1</t>
  </si>
  <si>
    <t>FORMAS E CIMBRAMENTOS</t>
  </si>
  <si>
    <t>2.1.2.1.1</t>
  </si>
  <si>
    <t>FORMA - FORNECIMENTO E APLICAÇÃO</t>
  </si>
  <si>
    <t>2.1.2.1.1.1</t>
  </si>
  <si>
    <t>Forma plana para estrutura de concreto, inclusive escoramento de estruturas verticais</t>
  </si>
  <si>
    <t>2.1.2.2</t>
  </si>
  <si>
    <t>ARMADURA PARA CONCRETO</t>
  </si>
  <si>
    <t>2.1.2.2.1</t>
  </si>
  <si>
    <t>ARMADURA PARA CONCRETO EM VERGALHÕES - FORNECIMENTO, CORTE, DOBRA E APLICAÇÃO</t>
  </si>
  <si>
    <t>2.1.2.2.1.1</t>
  </si>
  <si>
    <t>2.1.2.3</t>
  </si>
  <si>
    <t>CONCRETOS</t>
  </si>
  <si>
    <t>2.1.2.3.1</t>
  </si>
  <si>
    <t>CONCRETO - PREPARO, TRANSPORTE, LANÇAMENTO, ADENSAMENTO E CURA (COM FORNECIMENTO DE TODOS OS MATERIAIS)</t>
  </si>
  <si>
    <t>2.1.2.3.1.1</t>
  </si>
  <si>
    <t xml:space="preserve">Concreto Convencional fck =&gt; 10,0 MPa. </t>
  </si>
  <si>
    <t>2.1.2.3.1.2</t>
  </si>
  <si>
    <t xml:space="preserve">Concreto Convencional fck =&gt; 30,0 MPa. </t>
  </si>
  <si>
    <t>2.1.2.4</t>
  </si>
  <si>
    <t>CHUMBADORES, INSERTOS E GRADES METÁLICAS</t>
  </si>
  <si>
    <t>2.1.2.4.1</t>
  </si>
  <si>
    <t>CHUMBADORES</t>
  </si>
  <si>
    <t>2.1.2.4.1.1</t>
  </si>
  <si>
    <t>Chumbador fixação química, inclusive materiais de fixação (Hilti ou similar) - até 2"</t>
  </si>
  <si>
    <t>2.1.2.4.1.2</t>
  </si>
  <si>
    <t>Chumbador de aço SAE 1020, inclusive materiais de fixação</t>
  </si>
  <si>
    <t>2.1.2.4.1.3</t>
  </si>
  <si>
    <t>Chumbador de expansão, diâmetro até 3/4" (alteração)</t>
  </si>
  <si>
    <t>2.1.2.4.2</t>
  </si>
  <si>
    <t xml:space="preserve">INSERTOS </t>
  </si>
  <si>
    <t>2.1.2.4.2.1</t>
  </si>
  <si>
    <t>Inserto metálico em aço ASTM-A36, fornecimento e instalação</t>
  </si>
  <si>
    <t>2.1.2.5</t>
  </si>
  <si>
    <t>CORTE, FURO E PREPARO DE SUPERFÍCIE DE CONCRETO</t>
  </si>
  <si>
    <t>2.1.2.5.1</t>
  </si>
  <si>
    <t>CORTE EM ESTRUTURA DE CONCRETO</t>
  </si>
  <si>
    <t>2.1.2.5.1.1</t>
  </si>
  <si>
    <t>Corte em piso ou laje de concreto/steel deck profundidade até 40 cm</t>
  </si>
  <si>
    <t>2.1.2.5.1.2</t>
  </si>
  <si>
    <t>Mobilização / Desmobilização e Montagem de equipamento para corte com fio diamantado</t>
  </si>
  <si>
    <t>2.1.2.5.2</t>
  </si>
  <si>
    <t>FURO EM ESTRUTURA DE CONCRETO</t>
  </si>
  <si>
    <t>2.1.2.5.2.1</t>
  </si>
  <si>
    <t>Furo em concreto com coroa diamantada, profundidade até 40cm - até Ø 22"</t>
  </si>
  <si>
    <t>2.1.2.5.3</t>
  </si>
  <si>
    <t>PREPARO DE SUPERFÍCIE DE CONCRETO</t>
  </si>
  <si>
    <t>2.1.2.5.3.1</t>
  </si>
  <si>
    <t>Escarificação mecânica de concreto, corte com profundidade até 3cm</t>
  </si>
  <si>
    <t>2.1.2.5.3.2</t>
  </si>
  <si>
    <t>Limpeza de superfície de concreto com jato de água</t>
  </si>
  <si>
    <t>2.1.2.6</t>
  </si>
  <si>
    <t>GRAUTEAMENTO E ADESIVO PARA ESTRUTURAS DE CONCRETO - Fornecimento e Aplicação</t>
  </si>
  <si>
    <t>2.1.2.6.1</t>
  </si>
  <si>
    <t>Aplicação de Sikadur 32 ou similar em furos, Ø=&lt; 32mm (inclusive colagem da armadura)</t>
  </si>
  <si>
    <t>2.1.3</t>
  </si>
  <si>
    <t>ACABAMENTOS PREDIAIS E INDUSTRIAIS</t>
  </si>
  <si>
    <t>2.1.3.1</t>
  </si>
  <si>
    <t>ESQUADRIAS E VIDROS - Fornecimento e Instalação</t>
  </si>
  <si>
    <t>2.1.3.1.1</t>
  </si>
  <si>
    <t>Porta tipo corta-fogo completa, inclusive batentes e ferragens, período de isolamento de 90'</t>
  </si>
  <si>
    <t>2.2</t>
  </si>
  <si>
    <t>FORNECIMENTO E MONTAGEM DE DE EQUIPAMENTOS E COMPONENTES ELETROMECÂNICOS</t>
  </si>
  <si>
    <t>2.2.1</t>
  </si>
  <si>
    <t>FORNECIMENTO E MONTAGEM DE EQUIPAMENTOS MECÂNICOS DE PROCESSO</t>
  </si>
  <si>
    <t>2.2.1.1</t>
  </si>
  <si>
    <t>FORNECIMENTO E MONTAGEM DE SISTEMAS</t>
  </si>
  <si>
    <t>SISTEMA DE AR CONDICIONADO - FORNECIMENTO COMPLETO ( EQUIPAMENTO E INSTALAÇÃO)</t>
  </si>
  <si>
    <t>2.2.1.1.1.1</t>
  </si>
  <si>
    <t>Fornecimento e montagem de sistema de ar condicionado tipo janela para abrigo de remota, 220 V. Inclusive tubulação, cabos, suportes e acessórios</t>
  </si>
  <si>
    <t>F</t>
  </si>
  <si>
    <t>SISTEMAS DE COMBATE A INCENDIO - FORNECIMENTO COMPLETO</t>
  </si>
  <si>
    <t>2.2.1.1.2.1</t>
  </si>
  <si>
    <t>Fornecimento e montagem de sinalização, com pigmentação gráfica fotoluminescente tipo de orientação e salvamento de acordo com it do cbmmg (inclusive fornecimento de suportes de fixação).</t>
  </si>
  <si>
    <t>2.2.1.1.2.2</t>
  </si>
  <si>
    <t>Fornecimento e montagem de sinalização, com pigmentação gráfica fotoluminescente tipo proibição de acordo com it do cbmmg (inclusive fornecimento de suportes de fixação).</t>
  </si>
  <si>
    <t>2.2.1.1.2.3</t>
  </si>
  <si>
    <t>Fornecimento e montagem de sinalização, com pigmentação gráfica fotoluminescente tipo alerta de acordo com it do cbmmg (inclusive fornecimento de suportes de fixação).</t>
  </si>
  <si>
    <t>2.2.1.1.2.4</t>
  </si>
  <si>
    <t>Fornecimento e montagem de sinalização, com pigmentação gráfica fotoluminescente tipo equipamentos de proteção e combate a incêndio e alarme de acordo com it do cbmmg (inclusive fornecimento de suportes de fixação).</t>
  </si>
  <si>
    <t>2.2.1.1.2.5</t>
  </si>
  <si>
    <t>Fornecimento de extintor sobre rodas inclusive fornecimento de suportes fixação. classe: b/c (pó químico) carga: 80b:c</t>
  </si>
  <si>
    <t>900</t>
  </si>
  <si>
    <t>2.2.1.1.2.6</t>
  </si>
  <si>
    <t>Fornecimento e montagem de abrigo para extintor sobre rodas, instalação externa, fabricado em prfv (inclusive fornecimento e montagem de suportes de fixação).</t>
  </si>
  <si>
    <t>2.2.1.1.2.7</t>
  </si>
  <si>
    <t>Fornecimento e instalação de extintor portátil co2, 6kg, com capacidade extintora de 5-b:c.</t>
  </si>
  <si>
    <t>2.2.2</t>
  </si>
  <si>
    <t>FORNECIMENTO E MONTAGEM DE CALDEIRARIA, PROTEÇÕES E REVESTIMENTOS</t>
  </si>
  <si>
    <t>2.2.2.1</t>
  </si>
  <si>
    <t>FORNECIMENTO E MONTAGEM DE PROTEÇÕES E REVESTIMENTOS</t>
  </si>
  <si>
    <t>FORNECIMENTO E MONTAGEM DE REVESTIMENTOS A BASE DE BORRACHA NATURAL</t>
  </si>
  <si>
    <t>2.2.2.1.1.1</t>
  </si>
  <si>
    <t>Fornecimento e montagem de cortina de borracha natural, espessura até 25 mm</t>
  </si>
  <si>
    <t>2.2.3</t>
  </si>
  <si>
    <t>FORNECIMENTO E MONTAGEM DE TUBULAÇÕES, CONEXÕES E ACESSÓRIOS</t>
  </si>
  <si>
    <t>2.2.3.1</t>
  </si>
  <si>
    <t>FORNECIMENTO E MONTAGEM DE TUBULAÇÕES</t>
  </si>
  <si>
    <t>2.2.3.1.1</t>
  </si>
  <si>
    <t>FORNECIMENTO E MONTAGEM DE TUBO DE AÇO CARBONO ASTM A53 Gr. B, SCHEDULE STD</t>
  </si>
  <si>
    <t>2.2.3.1.1.1</t>
  </si>
  <si>
    <t>Fornecimento e montagem de tubulação de aço carbono ASTM A53 Gr B-S, schedule std, WT, com extremidade para solda de topo. Inclusive acessórios - Ø até 6"</t>
  </si>
  <si>
    <t>2.2.3.1.2</t>
  </si>
  <si>
    <t>FORNECIMENTO E MONTAGEM  DE TUBO DE AÇO CARBONO ASTM A53 Gr. B, SCHEDULE STD</t>
  </si>
  <si>
    <t>2.2.3.1.2.1</t>
  </si>
  <si>
    <t>Fornecimento e montagem de tubo, cc long, ac, astm a-283 gr. c, sch 10, pl, ri pu 10 mm, flangeado, 8", inclusive curvas, conexões, reduções e tês. (furação do flange conforme norma awwa-c 207 - material astm a36, #150)</t>
  </si>
  <si>
    <t>2.2.3.1.2.2</t>
  </si>
  <si>
    <t>Fornecimento e montagem de tubo, cc long, ac, astm a-283 gr. c, sch 10, pl, ri pu 10 mm, flangeado, 10", inclusive curvas, conexões, reduções e tês. (furação do flange conforme norma awwa-c 207 - material astm a36, #150)</t>
  </si>
  <si>
    <t>2.2.3.1.3</t>
  </si>
  <si>
    <t>FORNECIMENTO E MONTAGEM  DE TUBO DE AÇO CARBONO ASTM A53 Gr. B, SCHEDULE 40</t>
  </si>
  <si>
    <t>2.2.3.1.3.1</t>
  </si>
  <si>
    <t>Fornecimento e montagem de tubulação de aço carbono ASTM A53 Gr B-S, schedule 40. Inclusive acessórios e válvulas - Ø até 2”</t>
  </si>
  <si>
    <t>2.2.3.1.4</t>
  </si>
  <si>
    <t>FORNECIMENTO E MONTAGEM  DE TUBO DE AÇO CARBONO ASTM A53 Gr. B, SCHEDULE 80</t>
  </si>
  <si>
    <t>2.2.3.1.4.1</t>
  </si>
  <si>
    <t>Fornecimento e montagem de tubulação de aço carbono ASTM A53 Gr. B-S, schedule 80. Inclusive acessórios e válvulas - Ø 2"</t>
  </si>
  <si>
    <t>2.2.3.1.4.2</t>
  </si>
  <si>
    <t>Fornecimento e montagem de tubulação de aço carbono ASTM A53 Gr. B-S, schedule 80, WT, com extremidade para solda de topo. Inclusive acessórios - Ø até 6”</t>
  </si>
  <si>
    <t>2.2.3.1.4.3</t>
  </si>
  <si>
    <t>Fornecimento e montagem de tubulação de aço carbono ASTM A53 Gr. B-S, schedule 80, WT, com extremidade para solda de topo. Inclusive acessórios - Ø 8”</t>
  </si>
  <si>
    <t>2.2.3.1.4.4</t>
  </si>
  <si>
    <t>Fornecimento e montagem de tubulação de aço carbono ASTM A53 Gr. B-S, schedule 80, WT, com extremidade para solda de topo. Inclusive acessórios - Ø 10”</t>
  </si>
  <si>
    <t>2.2.3.1.4.5</t>
  </si>
  <si>
    <t>Fornecimento e montagem de tubulação de aço carbono ASTM A53 Gr. B-S, schedule 80, WT, com extremidade para solda de topo. Inclusive acessórios - Ø 12"</t>
  </si>
  <si>
    <t>2.2.3.1.4.6</t>
  </si>
  <si>
    <t>Fornecimento e montagem de tubulação de aço carbono ASTM A53 Gr. B-S, schedule 80, WT, com extremidade para solda de topo. Inclusive acessórios - Ø 14"</t>
  </si>
  <si>
    <t>2.2.3.1.4.7</t>
  </si>
  <si>
    <t>Fornecimento e montagem de tubulação de aço carbono ASTM A53 Gr. B-S, schedule 80, WT, com extremidade para solda de topo. Inclusive acessórios - Ø 22"</t>
  </si>
  <si>
    <t>2.2.3.1.5</t>
  </si>
  <si>
    <t>FORNECIMENTO E MONTAGEM DE TUBO EM AÇO CARBONO, COM COSTURA, REVESTIDO INTERNAMENTE EM POLIURETANO</t>
  </si>
  <si>
    <t>2.2.3.1.5.1</t>
  </si>
  <si>
    <t>Fornecimento e montagem de tubo dn-6", com cost. ac, astm a-283 gr. c - sch 10, revestimento int. em  pu 8mm, flangeado, extremidades  um lado fixo e outro lado solto inclusive curvas, conexões, reduções e tês. (flanges conf. awwa-c 207 - material do flange astm a36, cl 150 lbs)</t>
  </si>
  <si>
    <t>2.2.3.1.5.2</t>
  </si>
  <si>
    <t>Fornecimento e montagem de tubo dn-8", com cost. ac, astm a-283 gr. c - sch 10, revestimento int. em  pu 12mm, flangeado, extremidades  um lado fixo e outro lado solto inclusive curvas, conexões, reduções e tês. (flanges conf. awwa-c 207 - material do flange astm a36, cl 150 lbs)</t>
  </si>
  <si>
    <t>2.2.3.1.5.3</t>
  </si>
  <si>
    <t>Fornecimento e montagem de tubo dn-10", com cost. ac, astm a-283 gr. c - sch 10, revestimento int. em  pu 12mm, flangeado, extremidades  um lado fixo e outro lado solto inclusive curvas, conexões, reduções e tês. (flanges conf. awwa-c 207 - material do flange astm a36, cl 150 lbs)</t>
  </si>
  <si>
    <t>2.2.3.1.5.4</t>
  </si>
  <si>
    <t>Fornecimento e montagem de tubo dn-12", com cost. ac, astm a-283 gr. c - sch 10, revestimento int. em  pu 12mm, flangeado, extremidades  um lado fixo e outro lado solto inclusive curvas, conexões, reduções e tês. (flanges conf. awwa-c 207 - material do flange astm a36, cl 150 lbs)</t>
  </si>
  <si>
    <t>2.2.3.1.5.5</t>
  </si>
  <si>
    <t>Fornecimento e montagem de tubo dn-14", com cost. ac, astm a-283 gr. c - sch 10, revestimento int. em  pu 12mm, flangeado, extremidades  um lado fixo e outro lado solto inclusive curvas, conexões, reduções e tês. (flanges conf. awwa-c 207 - material do flange astm a36, cl 150 lbs)</t>
  </si>
  <si>
    <t>2.2.3.1.5.6</t>
  </si>
  <si>
    <t>Fornecimento e montagem de tubo dn-16", com cost. ac, astm a-283 gr. c - sch 10, revestimento int. em  pu 12mm, flangeado, extremidades  um lado fixo e outro lado solto inclusive curvas, conexões, reduções e tês. (flanges conf. awwa-c 207 - material do flange astm a36, cl 150 lbs)</t>
  </si>
  <si>
    <t>2.2.3.1.5.7</t>
  </si>
  <si>
    <t>Fornecimento e montagem de tubo dn-20", com cost. ac, astm a-283 gr. c - sch 10, revestimento int. em  pu 12mm, flangeado, extremidades  um lado fixo e outro lado solto inclusive curvas, conexões, reduções e tês. (flanges conf. awwa-c 207 - material do flange astm a36, cl 150 lbs)</t>
  </si>
  <si>
    <t>2.2.3.1.5.8</t>
  </si>
  <si>
    <t>Fornecimento e montagem de tubo dn-22", com cost. ac, astm a-283 gr. c - sch 10, revestimento int. em  pu 12mm, flangeado, extremidades  um lado fixo e outro lado solto inclusive curvas, conexões, reduções e tês. (flanges conf. awwa-c 207 - material do flange astm a36, cl 150 lbs)</t>
  </si>
  <si>
    <t>2.2.3.1.6</t>
  </si>
  <si>
    <t>FORNECIMENTO E MONTAGEM DE CARRETEL DE BORRACHA</t>
  </si>
  <si>
    <t>2.2.3.1.6.1</t>
  </si>
  <si>
    <t>Fornecimento e montagem de carretel de borracha natural de alta resiliência e resistência à abrasão e ao rasgamento, reforço em tecido de poliamida e arame de aço mola, cobertura borracha sintética resistente à abrasão ozônio e rasgamento, flange ANSI B.16.5 150 lbs, Ø 8" até Ø 12",  comprimento até 1.000,00 mm, conforme padrão Vale</t>
  </si>
  <si>
    <t>2.2.3.1.7</t>
  </si>
  <si>
    <t>FORNECIMENTO E MONTAGEM DE CURVA DE BORRACHA</t>
  </si>
  <si>
    <t>2.2.3.1.7.1</t>
  </si>
  <si>
    <t>Curvas de borracha com ângulos de (90º, 60°, 45° e 30°),  3 x d, 8"</t>
  </si>
  <si>
    <t>2.2.3.2</t>
  </si>
  <si>
    <t>FORNECIMENTO E MONTAGEM DE VÁLVULAS PARA TUBULAÇÕES</t>
  </si>
  <si>
    <t>2.2.3.2.1</t>
  </si>
  <si>
    <t>FORNECIMENTO E MONTAGEM DE VÁLVULA BORBOLETA</t>
  </si>
  <si>
    <t>2.2.3.2.1.1</t>
  </si>
  <si>
    <t>Fornecimento e montagem de válvula borboleta - Ø até 4 "</t>
  </si>
  <si>
    <t>2.2.3.2.2</t>
  </si>
  <si>
    <t>FORNECIMENTO E MONTAGEM DE VÁLVULA ESFERA</t>
  </si>
  <si>
    <t>2.2.3.2.2.1</t>
  </si>
  <si>
    <t>Fornecimento e montagem de válvula esfera,  classe 150#, rosca NPT - até DN 2"</t>
  </si>
  <si>
    <t>2.2.3.2.3</t>
  </si>
  <si>
    <t>FORNECIMENTO E MONTAGEM DE VÁLVULA DE RETENÇÃO DE PORTINHOLA</t>
  </si>
  <si>
    <t>2.2.3.2.3.1</t>
  </si>
  <si>
    <t>Fornecimento e montagem de válvula de retenção de portinhola  de aço carbono - Ø 2" até Ø 6"</t>
  </si>
  <si>
    <t>2.2.3.3</t>
  </si>
  <si>
    <t>FORNECIMENTO E MONTAGEM DE MANGUEIRAS E ACESSÓRIOS PARA TUBULAÇÃO</t>
  </si>
  <si>
    <t>2.2.3.3.1</t>
  </si>
  <si>
    <t>FORNECIMENTO E MONTAGEM DE MANGUEIRA PNEUMÁTICA</t>
  </si>
  <si>
    <t>2.2.3.3.1.1</t>
  </si>
  <si>
    <t>Fornecimento e montagem de mangueira pneumática, adequada a aplicação industrial, com tubo interno de borracha sintética, diâmetro interno de 19 mm, diametro externo 30 mm, pressão máxima 10 bar, raio mínimo de curvatura 200 mm, incluindo todos os acessórios necessários.</t>
  </si>
  <si>
    <t>2.2.3.3.1.2</t>
  </si>
  <si>
    <t>Fornecimento e montagem de mangueira de poliuretano flexível, adequado a aplicação industrial, resistentes a dobras, pressão máxima 10 bar, temperatura máxima 65 graus, compatíveis com conexão QS-F, cor azul, 12 mm de diâmetro, 2 mm de espessura de parede, incluindo todos os acessórios necessários.</t>
  </si>
  <si>
    <t>2.2.4</t>
  </si>
  <si>
    <t>FORNECIMENTO E MONTAGEM DE ESTRUTURAS METÁLICAS</t>
  </si>
  <si>
    <t>2.2.4.1</t>
  </si>
  <si>
    <t>FORNECIMENTO, FABRICAÇÃO E MONTAGEM DE ESTRUTURAS METÁLICAS</t>
  </si>
  <si>
    <t>2.2.4.1.1</t>
  </si>
  <si>
    <t>FORNECIMENTO E MONTAGEM DE CHAPAS E PERFIS SOLDADOS</t>
  </si>
  <si>
    <t>Fornecimento, fabricação e montagem de estrutura metálica</t>
  </si>
  <si>
    <t>2.2.4.1.2</t>
  </si>
  <si>
    <t>FORNECIMENTO E MONTAGEM DE GRADE DE PISO</t>
  </si>
  <si>
    <t>Fornecimento e montagem de grade galvanizada - Referência Selmec ou similar</t>
  </si>
  <si>
    <t>2.2.4.1.3</t>
  </si>
  <si>
    <t>FORNECIMENTO E MONTAGEM DE CHAPA DE PISO</t>
  </si>
  <si>
    <t>2.2.4.1.3.1</t>
  </si>
  <si>
    <t>Fornecimento e montagem de chapa de piso (Chapa Expandida)</t>
  </si>
  <si>
    <t>2.2.4.1.4</t>
  </si>
  <si>
    <t>FORNECIMENTO E MONTAGEM DE MISCÊLÂNEAS METÁLICAS</t>
  </si>
  <si>
    <t>Fornecimento, fabricação e montagem de miscelâneas metálicas (insclusive escadas, corrimãos, guarda-corpos, etc.)</t>
  </si>
  <si>
    <t>2.2.4.2</t>
  </si>
  <si>
    <t>2.2.4.2.1</t>
  </si>
  <si>
    <t>FORNECIMENTO E MONTAGEM DE TELHAS PARA COBERTURA E FECHAMENTO</t>
  </si>
  <si>
    <t>2.2.4.2.1.1</t>
  </si>
  <si>
    <t>Fornecimento e montagem de telha trapezoidal termoacústica, em aço galvanizado, espessura de 0,80 mm, acabamento natural</t>
  </si>
  <si>
    <t>2.2.5</t>
  </si>
  <si>
    <t>FORNECIMENTO E MONTAGEM DE EQUIPAMENTOS AUTOMAÇÃO E CONTROLE</t>
  </si>
  <si>
    <t>2.2.5.1</t>
  </si>
  <si>
    <t>FORNECIMENTO E MONTAGEM DE SISTEMA DE CONTROLE E SUPERVISÃO (CLP/SCADA, SDCD)</t>
  </si>
  <si>
    <t>2.2.5.1.1</t>
  </si>
  <si>
    <t>Fornecimento e montagem de caixa de junção para rede Profibus PA, IP-65, montada em painel de campo, com 8 saídas (spurs) e demais acessórios montados e interligados, conforme FD-1450AA-J-54858</t>
  </si>
  <si>
    <t>2.2.5.1.2</t>
  </si>
  <si>
    <t>Fornecimento e montagem de distribuidor interno óptico, a ser montado em painél existente, para instalação interna, bandeja de emenda para acomodação de 12 fusões, 12 portas ópticas monomodo com conectores, kit de adaptadores e pigtails, conforme FD-1450AA-J-54859</t>
  </si>
  <si>
    <t>2.2.5.1.3</t>
  </si>
  <si>
    <t>Fornecimento e montagem de cordão óptico duplex (a ser montado em painél existente), fibra óptica do tipo monomodo conforme FD-1450AA-J-54859</t>
  </si>
  <si>
    <t>2.2.6</t>
  </si>
  <si>
    <t>FORNECIMENTO E MONTAGEM DE MATERIAIS ELÉTRICOS</t>
  </si>
  <si>
    <t>2.2.6.1</t>
  </si>
  <si>
    <t>FORNECIMENTO E MONTAGEM DE CONDUTORES ELÉTRICOS ( FIOS E CABOS ) - FORÇA</t>
  </si>
  <si>
    <t>2.2.6.1.1</t>
  </si>
  <si>
    <t>FORNECIMENTO E MONTAGEM DE CABO FLEXÍVEL, SINGELO, COM ISOLAÇÃO EPR E COBERTURA DE PVC - 1KV</t>
  </si>
  <si>
    <t>2.2.6.1.1.1</t>
  </si>
  <si>
    <t>Fornecimento e montagem de cabo singelo, flexível, encordoamento classe 5, com isolação sólida extrudada de EPR e cobertura flexível de PVC- 90ºC, classe de tensão 0,6/1kV - Seção 1 x 50 mm²</t>
  </si>
  <si>
    <t>2.2.6.1.1.2</t>
  </si>
  <si>
    <t>Fornecimento e montagem de cabo singelo, flexível, encordoamento classe 5, com isolação sólida extrudada de EPR e cobertura flexível de PVC- 90ºC, classe de tensão 0,6/1kV - Seção 1 x 95 mm²</t>
  </si>
  <si>
    <t>2.2.6.1.1.3</t>
  </si>
  <si>
    <t xml:space="preserve">Fornecimento e montagem de cabo singelo, flexível, encordoamento classe 5, com isolação sólida extrudada de EPR e cobertura flexível de PVC- 90ºC, classe de tensão 0,6/1kV - Seção 1 x 150 mm² </t>
  </si>
  <si>
    <t>2.2.6.1.2</t>
  </si>
  <si>
    <t>FORNECIMENTO E MONTAGEM DE CABO FLEXÍVEL, BIPOLAR, COM ISOLAÇÃO EPR E COBERTURA DE PVC - 1KV</t>
  </si>
  <si>
    <t>2.2.6.1.2.1</t>
  </si>
  <si>
    <t>Fornecimento e montagem de cabo bipolar flexível, encordoamento classe 5, com isolação sólida extrudada de EPR e cobertura flexível de PVC- 90ºC, classe de tensão 0,6/1kV - Seção 2 x 1,5 mm²</t>
  </si>
  <si>
    <t>2.2.6.1.2.2</t>
  </si>
  <si>
    <t xml:space="preserve">Fornecimento e montagem de cabo bipolar flexível, encordoamento classe 5, com isolação sólida extrudada de EPR e cobertura flexível de PVC- 90ºC, classe de tensão 0,6/1kV - Seção 2 x 2,5 mm² </t>
  </si>
  <si>
    <t>2.2.6.1.3</t>
  </si>
  <si>
    <t>FORNECIMENTO E MONTAGEM DE CABO FLEXÍVEL, TRIPOLAR, COM ISOLAÇÃO EPR E COBERTURA DE PVC - 1KV</t>
  </si>
  <si>
    <t>2.2.6.1.3.1</t>
  </si>
  <si>
    <t>Fornecimento e montagem de cabo tripolar, flexível, encordoamento classe 5, com isolação sólida extrudada de EPR e cobertura flexível de PVC- 90ºC, classe de tensão 0,6/1kV - Seção 3 x 2,5 mm²</t>
  </si>
  <si>
    <t>2.2.6.1.3.2</t>
  </si>
  <si>
    <t>Fornecimento e montagem de cabo tripolar, flexível, encordoamento classe 5, com isolação sólida extrudada de EPR e cobertura flexível de PVC- 90ºC, classe de tensão 0,6/1kV - Seção 3 x 4 mm²</t>
  </si>
  <si>
    <t>2.2.6.1.4</t>
  </si>
  <si>
    <t>FORNECIMENTO E MONTAGEM DE CABO FLEXÍVEL, TETRAPOLAR, COM ISOLAÇÃO EPR E COBERTURA DE PVC - 1KV</t>
  </si>
  <si>
    <t>2.2.6.1.4.1</t>
  </si>
  <si>
    <t>Fornecimento e montagem de cabo tetrapolar, flexível, encordoamento classe 5, com isolação sólida extrudada de EPR e cobertura flexível de PVC- 90ºC, classe de tensão 0,6/1kV - Seção 4 x 4 mm²</t>
  </si>
  <si>
    <t>2.2.6.1.4.2</t>
  </si>
  <si>
    <t>Fornecimento e montagem de cabo tetrapolar, flexível, encordoamento classe 5, com isolação sólida extrudada de EPR e cobertura flexível de PVC- 90ºC, classe de tensão 0,6/1kV - Seção 4 x 10 mm²</t>
  </si>
  <si>
    <t>2.2.6.1.4.3</t>
  </si>
  <si>
    <t>Fornecimento e montagem de cabo tetrapolar, flexível, encordoamento classe 5, com isolação sólida extrudada de EPR e cobertura flexível de PVC- 90ºC, classe de tensão 0,6/1kV - Seção 4 x 25 mm²</t>
  </si>
  <si>
    <t>2.2.6.1.5</t>
  </si>
  <si>
    <t>FORNECIMENTO E MONTAGEM DE CABO DE POTÊNCIA - 1KV</t>
  </si>
  <si>
    <t>2.2.6.1.5.1</t>
  </si>
  <si>
    <t>Fornecimento e montagem de cabo de potência, não halogenado 0,6/1KV, temperatura de serviço 90ºC, 1 condutor, classe 5 - Seção 25 mm²</t>
  </si>
  <si>
    <t>2.2.6.1.5.2</t>
  </si>
  <si>
    <t>Fornecimento e montagem de cabo de potência, não halogenado 0,6/1KV, temperatura de serviço 90ºC, 1 condutor, classe 5 - Seção 50 mm²</t>
  </si>
  <si>
    <t>2.2.6.1.5.3</t>
  </si>
  <si>
    <t>Fornecimento e montagem de cabo de potência, não halogenado 0,6/1KV, temperatura de serviço 90ºC, 1 condutor, classe 5 - Seção 70 mm²</t>
  </si>
  <si>
    <t>2.2.6.1.6</t>
  </si>
  <si>
    <t>FORNECIMENTO E MONTAGEM DE CABO EXTRAFLEXÍVEL PARA ILUMINAÇÃO COM ISOLAÇÃO SÓLIDA EXTRUDADA DE PVC - 1,0 KV</t>
  </si>
  <si>
    <t>2.2.6.1.6.1</t>
  </si>
  <si>
    <t>Fornecimento e montagem de cabo extraflexível unipolar, com isolação sólida extrudada de PVC - Seção 2,5 mm²</t>
  </si>
  <si>
    <t>2.2.6.1.6.2</t>
  </si>
  <si>
    <t>Fornecimento e montagem de cabo extraflexível unipolar, com isolação sólida extrudada de PVC - Seção 4 mm²</t>
  </si>
  <si>
    <t>2.2.6.1.6.3</t>
  </si>
  <si>
    <t>Fornecimento e montagem de cabo extraflexível unipolar, com isolação sólida extrudada de PVC - Seção 6 mm²</t>
  </si>
  <si>
    <t>2.2.6.2</t>
  </si>
  <si>
    <t>FORNECIMENTO E MONTAGEM DE CONDUTORES ELÉTRICOS E ÓTICOS - INSTRUMENTAÇÃO, CONTROLE E COMUNICAÇÃO</t>
  </si>
  <si>
    <t>2.2.6.2.1</t>
  </si>
  <si>
    <t>FORNECIMENTO E MONTAGEM DE CABOS ELÉTRICOS PARA INSTRUMENTAÇÃO</t>
  </si>
  <si>
    <t>2.2.6.2.1.1</t>
  </si>
  <si>
    <t>Fornecimento e montagem de cabo de instrumentação, para interligação com encoders, com conector DB-9 montado, condutores de cobre nú, blindagem total, encordoamento classe 2, isolação em PVC antichama, temperatura de serviço 70ºC, 300/600V, condutores numerados, 2P x 1,00 mm²</t>
  </si>
  <si>
    <t>2.2.6.2.1.2</t>
  </si>
  <si>
    <t>Fornecimento e montagem de cabo de instrumentação, para interligação com encoders, com conector DB-9 montado, condutores de cobre nú, blindagem total, encordoamento classe 2, isolação em PVC antichama, temperatura de serviço 70ºC, 300/600V, condutores numerados, 4P x 1,00 mm²</t>
  </si>
  <si>
    <t>2.2.6.2.2</t>
  </si>
  <si>
    <t>FORNECIMENTO E MONTAGEM DE CABO DE CONTROLE, COM CONDUTORES DE COBRE, SEM BLINDAGEM</t>
  </si>
  <si>
    <t>2.2.6.2.2.1</t>
  </si>
  <si>
    <t>Fornecimento e montagem de cabo de controle, condutores de cobre nú, sem blindagem, encordoamento classe 5, isolação em PVC antichama, temperatura de serviço 70ºC, 0,6/1kV, condutores numerados - Seção 3 x 1,5 mm²</t>
  </si>
  <si>
    <t>2.2.6.2.2.2</t>
  </si>
  <si>
    <t>Fornecimento e montagem de cabo de controle, condutores de cobre nú, sem blindagem, encordoamento classe 5, isolação em PVC antichama, temperatura de serviço 70ºC, 0,6/1kV, condutores numerados - Seção 5 x 1,5 mm²</t>
  </si>
  <si>
    <t>2.2.6.2.2.3</t>
  </si>
  <si>
    <t>Fornecimento e montagem de cabo de controle, condutores de cobre nú, sem blindagem, encordoamento classe 5, isolação em PVC antichama, temperatura de serviço 70ºC, 0,6/1kV, condutores numerados - Seção 7 x 1,5mm²</t>
  </si>
  <si>
    <t>2.2.6.2.2.4</t>
  </si>
  <si>
    <t>Fornecimento e montagem de cabo de controle, condutores de cobre nú, sem blindagem, encordoamento classe 5, isolação em PVC antichama, temperatura de serviço 70ºC, 0,6/1kV, condutores numerados - Seção 12 x 1,5mm²</t>
  </si>
  <si>
    <t>2.2.6.2.2.5</t>
  </si>
  <si>
    <t>Fornecimento e montagem de cabo de controle, condutores de cobre nú, sem blindagem, encordoamento classe 5, isolação em PVC antichama, temperatura de serviço 70ºC, 0,6/1kV, condutores numerados - Seção 15 x 1,5mm²</t>
  </si>
  <si>
    <t>2.2.6.2.2.6</t>
  </si>
  <si>
    <t>Fornecimento e montagem de cabo de controle, condutores de cobre nú, sem blindagem, encordoamento classe 5, isolação em PVC antichama, temperatura de serviço 70ºC, 0,6/1kV, condutores numerados - Seção 25 x 1,5mm²</t>
  </si>
  <si>
    <t>2.2.6.2.3</t>
  </si>
  <si>
    <t>FORNECIMENTO E MONTAGEM DE CABO ÓPTICO PARA INSTALAÇÃO AÉREA - AUTO-SUSTENTADO - MONOMODO</t>
  </si>
  <si>
    <t>2.2.6.2.3.1</t>
  </si>
  <si>
    <t>Fornecimento, montagem e fusão de cabo ótico para instalação interna ou externa, elementos de tração dielétricos, lançamento em dutos, revestimento primário em acrilato e revestimento secundário emmaterial termoplástico não propagante a chamas, núcleo seco do tipo tight buffer, 12 veias, monomodo.</t>
  </si>
  <si>
    <t>2.2.6.2.4</t>
  </si>
  <si>
    <t>FORNECIMENTO E MONTAGEM DE CABO PARA REDE DE COMUNICAÇÃO INDUSTRIAL</t>
  </si>
  <si>
    <t>2.2.6.2.4.1</t>
  </si>
  <si>
    <t>Fornecimento e montagem de cabo para rede de comunicação industrial, Profibus DP normatizado.</t>
  </si>
  <si>
    <t>2.2.6.2.4.2</t>
  </si>
  <si>
    <t>Fornecimento e montagem de cabo para rede de comunicação industrial, Profibus PA normatizado.</t>
  </si>
  <si>
    <t>2.2.6.3</t>
  </si>
  <si>
    <t>FORNECIMENTO E MONTAGEM DE ELETRODUTOS RÍGIDOS E FLEXÍVEIS,EM AÇO GALV.,C/ACESSORIOS</t>
  </si>
  <si>
    <t>2.2.6.3.1</t>
  </si>
  <si>
    <t>Fornecimento e montagem de eletroduto rígido em aço galvanizado a fogo, sem rebarba,  tipo pesado, com acessórios - Ø 3/4"</t>
  </si>
  <si>
    <t>2.2.6.3.2</t>
  </si>
  <si>
    <t>Fornecimento e montagem de eletroduto rígido em aço galvanizado a fogo, sem rebarba,  tipo pesado, com acessórios - Ø 1"</t>
  </si>
  <si>
    <t>2.2.6.3.3</t>
  </si>
  <si>
    <t>Fornecimento e montagem de eletroduto rígido em aço galvanizado a fogo, sem rebarba,  tipo pesado, com acessórios - Ø 1.1/2"</t>
  </si>
  <si>
    <t>2.2.6.3.4</t>
  </si>
  <si>
    <t>Fornecimento e montagem de eletroduto rígido em aço galvanizado a fogo, sem rebarba,  tipo pesado, com acessórios - Ø 2"</t>
  </si>
  <si>
    <t>2.2.6.3.5</t>
  </si>
  <si>
    <t>Fornecimento e montagem de eletroduto rígido em aço galvanizado a fogo, sem rebarba,  tipo pesado, com acessórios - Ø 2.1/2"</t>
  </si>
  <si>
    <t>2.2.6.3.6</t>
  </si>
  <si>
    <t>Fornecimento e montagem de eletroduto rígido em aço galvanizado a fogo, sem rebarba,  tipo pesado, com acessórios - Ø 3"</t>
  </si>
  <si>
    <t>2.2.6.3.7</t>
  </si>
  <si>
    <t>Fornecimento e montagem de eletroduto rígido em aço galvanizado a fogo, sem rebarba,  tipo pesado, com acessórios - Ø 4"</t>
  </si>
  <si>
    <t>2.2.6.4</t>
  </si>
  <si>
    <t>FORNECIMENTO E MONTAGEM DE ELETRODUTOS RÍGIDOS E FLEXÍVEIS, EM PVC SCH.70, C/ ACESSORIOS</t>
  </si>
  <si>
    <t>2.2.6.4.1</t>
  </si>
  <si>
    <t xml:space="preserve">Fornecimento e montagem de eletroduto rígidos e flexíveis em PVC, com acessórios - Ø 3/4"  </t>
  </si>
  <si>
    <t>2.2.6.5</t>
  </si>
  <si>
    <t>FORNECIMENTO E MONTAGEM DE ELETROCALHA C/ ACESSÓRIOS</t>
  </si>
  <si>
    <t>2.2.6.5.1</t>
  </si>
  <si>
    <t>Fornecimento e montagem de eletrocalha, com acessórios, altura de 100 mm, largura de 200 mm</t>
  </si>
  <si>
    <t>2.2.6.5.2</t>
  </si>
  <si>
    <t>Fornecimento e montagem de eletrocalha, com acessórios, altura de 150 mm, largura de 100 mm</t>
  </si>
  <si>
    <t>2.2.6.6</t>
  </si>
  <si>
    <t>FORNECIMENTO E MONTAGEM  DE LEITO PARA CABOS, TIPO PESADO C/ ACESSÓRIOS</t>
  </si>
  <si>
    <t>2.2.6.6.1</t>
  </si>
  <si>
    <t>Fornecimento e montagem de leito para cabos, tipo semi-pesado, em chapa de aço galvanizada a fogo , com acessórios, altura de até 150 mm, largura de 200 mm</t>
  </si>
  <si>
    <t>2.2.6.6.2</t>
  </si>
  <si>
    <t>Fornecimento e montagem de leito para cabos, tipo semi-pesado, em chapa de aço galvanizada a fogo , com acessórios, altura de até 150 mm, largura de 400 mm</t>
  </si>
  <si>
    <t>2.2.6.6.3</t>
  </si>
  <si>
    <t>Fornecimento e montagem de leito para cabos, tipo semi-pesado, em chapa de aço galvanizada a fogo , com acessórios, altura de até 150 mm, largura de 600 mm</t>
  </si>
  <si>
    <t>2.2.6.7</t>
  </si>
  <si>
    <t>FORNECIMENTO E MONTAGEM DE APARELHOS DE ILUMINAÇÃO</t>
  </si>
  <si>
    <t>2.2.6.7.1</t>
  </si>
  <si>
    <t>FORNECIMENTO E MONTAGEM DE LUMINÁRIAS TIPO PENDENTE PARA LÂMPADAS FLUORESCENTE, LUZ DO DIA, COM REATOR</t>
  </si>
  <si>
    <t>2.2.6.7.1.1</t>
  </si>
  <si>
    <t>Fornecimento e montagem de luminárias tipo pendente para lâmpadas fluorescente, luz do dia, com reator, 2 x 32 W (para iluminação do abrigo de remotas)</t>
  </si>
  <si>
    <t>2.2.6.7.2</t>
  </si>
  <si>
    <t>FORNECIMENTO E MONTAGEM DE LUMINÁRIAS DE EMERGÊNCIA</t>
  </si>
  <si>
    <t>2.2.6.7.2.1</t>
  </si>
  <si>
    <t>Fornecimento e montagem de sistemas para iluminação de emergência (para iluminação do abrigo de remotas)</t>
  </si>
  <si>
    <t>2.2.6.8</t>
  </si>
  <si>
    <t>FORNECIMENTO E MONTAGEM DE INTERRUPTORES, TOMADAS E BOTOEIRAS</t>
  </si>
  <si>
    <t>2.2.6.8.1</t>
  </si>
  <si>
    <t>FORNECIMENTO E MONTAGEM DE TOMADAS</t>
  </si>
  <si>
    <t>2.2.6.8.1.1</t>
  </si>
  <si>
    <t>Fornecimento e montagem de tomada para iluminação, 220V 2P+N+T, montada em condulete tipo E (para iluminação do abrigo de remotas)</t>
  </si>
  <si>
    <t>2.2.6.8.1.2</t>
  </si>
  <si>
    <t>Fornecimento e montagem de tomada para ar condicionado, 220V 2P+N+T, 20A montada em condulete tipo E (para iluminação do abrigo de remotas)</t>
  </si>
  <si>
    <t>2.2.6.8.2</t>
  </si>
  <si>
    <t>FORNECIMENTO E MONTAGEM DE INTERRUPTORES E BOTOEIRAS</t>
  </si>
  <si>
    <t>2.2.6.8.2.1</t>
  </si>
  <si>
    <t>Fornecimento e montagem de interruptores para iluminação</t>
  </si>
  <si>
    <t>2.2.6.8.2.2</t>
  </si>
  <si>
    <t>Fornecimento e montagem de botoeira de comando local</t>
  </si>
  <si>
    <t>2.2.6.8.2.3</t>
  </si>
  <si>
    <t>Fornecimento e montagem de botoeira de emergência</t>
  </si>
  <si>
    <t>2.2.6.8.2.4</t>
  </si>
  <si>
    <t>Fornecimento e montagem de mini disjuntor termomagnético monopolar, curva C, 16A Icu 10kA</t>
  </si>
  <si>
    <t>2.2.6.8.2.5</t>
  </si>
  <si>
    <t>Fornecimento e montagem de mini disjuntor termomagnético tripolar, curva C, 32A Icu 10kA</t>
  </si>
  <si>
    <t>2.2.6.8.3</t>
  </si>
  <si>
    <t>FORNECIMENTO E MONTAGEM DE CAIXAS DE PASSAGEM</t>
  </si>
  <si>
    <t>2.2.6.8.3.1</t>
  </si>
  <si>
    <t>Fornecimento e montagem de caixa de bornes</t>
  </si>
  <si>
    <t>2.2.6.8.3.2</t>
  </si>
  <si>
    <t>Fornecimento e montagem de caixa de passagem metálica</t>
  </si>
  <si>
    <t>2.2.6.9</t>
  </si>
  <si>
    <t>FORNECIMENTO E MONTAGEM DE SISTEMA DE PROTEÇÃO CONTRA DESCARGAS ATMOSFÉRICAS (SPCDA)</t>
  </si>
  <si>
    <t>2.2.6.9.1</t>
  </si>
  <si>
    <t>Fornecimento e montagem de cabos de cobre nu, até Seção de 35 mm²</t>
  </si>
  <si>
    <t>2.2.6.9.2</t>
  </si>
  <si>
    <t>Fornecimento e montagem de cabos de cobre nu, até Seção de 50 mm²</t>
  </si>
  <si>
    <t>2.2.6.9.3</t>
  </si>
  <si>
    <t>Fornecimento e montagem de cabos de cobre nu, até Seção de 70 mm²</t>
  </si>
  <si>
    <t>2.2.6.9.4</t>
  </si>
  <si>
    <t>Fornecimento e montagem de haste de aterramento - 3/4" x 3 m</t>
  </si>
  <si>
    <t>2.2.6.9.5</t>
  </si>
  <si>
    <t>Fornecimento e montagem de caixa de inspeção de aterramento</t>
  </si>
  <si>
    <t>2.2.6.9.6</t>
  </si>
  <si>
    <t>Fornecimento e montagem de conexão por solda exotérmica ou conectores de bronze e bimetálicos</t>
  </si>
  <si>
    <t>2.3</t>
  </si>
  <si>
    <t>MONTAGEM DE EQUIPAMENTOS E COMPONENTES ELETROMECÂNICOS</t>
  </si>
  <si>
    <t>2.3.1</t>
  </si>
  <si>
    <t>MONTAGEM DE EQUIPAMENTOS MECÂNICOS</t>
  </si>
  <si>
    <t>2.3.1.1</t>
  </si>
  <si>
    <t>MONTAGEM DE EQUIPAMENTOS MECÂNICOS DE PROCESSO</t>
  </si>
  <si>
    <t>MONTAGEM DE CARRO DE DESVIO</t>
  </si>
  <si>
    <t>2.3.1.1.1.1</t>
  </si>
  <si>
    <t>Montagem de carro de desvio com acionamento elétrico até 3 kw, fornecido em partes, com revestimento interno em cerâmica</t>
  </si>
  <si>
    <t>M</t>
  </si>
  <si>
    <t>2.3.1.2</t>
  </si>
  <si>
    <t>MONTAGEM DE EQUIPAMENTOS DE TRANSBORDO E DE TRANSPORTE DE PRODUTOS</t>
  </si>
  <si>
    <t>MONTAGEM DE TRANSPORTADOR DE CORREIA</t>
  </si>
  <si>
    <t>2.3.1.2.1.1</t>
  </si>
  <si>
    <t>Montagem de Transportador de Correias Largura 1000mm, completo, incluindo chutes e guincho, conforme projeto detalhado- TAG. TC-143A-9703, inclusive lançamento e emenda de correia com fornecimento de materias</t>
  </si>
  <si>
    <t>2.3.1.2.1.2</t>
  </si>
  <si>
    <t>Montagem Transportador de Correias Largura 1200mm, completo, incluindo chutes, conforme Arranjo- TAG-TC-143A-9706, inclusive lançamento e emenda de correia com fornecimento de materias</t>
  </si>
  <si>
    <t>MONTAGEM DE ACIONAMENTO PARA TRANSPORTADOR DE CORREIA</t>
  </si>
  <si>
    <t>2.3.1.2.2.1</t>
  </si>
  <si>
    <t>Montagem de conjunto de acionamento para transportador de correia TC-143A-9709, completo (inclusive = tambor, mancal, eixo, motor 200 Kw, redutor referência SEW X2FS160 ou Similar, acoplamentos, proteções, etc - conforme  FD-1450AA-M-69953)</t>
  </si>
  <si>
    <t>MONTAGEM DE ALIMENTADORES DE CORREIAS</t>
  </si>
  <si>
    <t>2.3.1.2.3.1</t>
  </si>
  <si>
    <t>Montagem  de Alimentadores De Correias Largura 1000mm, completo, incluindo chutes, conforme arranjo- TAG. TC-143A-9705, inclusive lançamento e emenda de correia com fornecimento de materias</t>
  </si>
  <si>
    <t>2.3.1.3</t>
  </si>
  <si>
    <t>MONTAGEM / INSTALAÇÃO DE EQUIPAMENTOS E MÁQUINAS DIVERSAS</t>
  </si>
  <si>
    <t>MONTAGEM DE TALHAS</t>
  </si>
  <si>
    <t>2.3.1.3.1.1</t>
  </si>
  <si>
    <t>Montagem de talha elétrica fixa, capacidade 5,0 t, altura de elevação 10 m</t>
  </si>
  <si>
    <t>2.3.2</t>
  </si>
  <si>
    <t>MONTAGEM DE CALDEIRARIA, PROTEÇÕES E REVESTIMENTOS</t>
  </si>
  <si>
    <t>2.3.2.1</t>
  </si>
  <si>
    <t>MONTAGEM DE CALDEIRARIA</t>
  </si>
  <si>
    <t>2.3.2.1.1</t>
  </si>
  <si>
    <t>MONTAGEM DE CAIXA</t>
  </si>
  <si>
    <t>2.3.2.1.1.1</t>
  </si>
  <si>
    <t>Montagem de caixas de alimentação, fornecida montada, com revestimento interno de cerâmica</t>
  </si>
  <si>
    <t>2.3.2.1.2</t>
  </si>
  <si>
    <t>MONTAGEM DE CHUTE</t>
  </si>
  <si>
    <t>2.3.2.1.2.1</t>
  </si>
  <si>
    <t>Montagem de chute de desvio, com flap pneumático, forncido em partes, com revestimento interno de cerâmica</t>
  </si>
  <si>
    <t>2.3.2.1.2.2</t>
  </si>
  <si>
    <t>Montagem de chute vibratório, fornecido em parte, com revestimento interno de cerâmica</t>
  </si>
  <si>
    <t>2.3.2.1.3</t>
  </si>
  <si>
    <t>MONTAGEM DE DESVIADOR DE FLUXO</t>
  </si>
  <si>
    <t>2.3.2.1.3.1</t>
  </si>
  <si>
    <t>Montagem de um distribuidor de fluxo com sete saídas fornecido montado, completo, incluindo válvulas de bloqueio do tipo dardo, com revest. Int cerâmico, inclusive pintura de acabamento (Linha do Circuito Arenoso)</t>
  </si>
  <si>
    <t>2.3.2.1.3.2</t>
  </si>
  <si>
    <t>Montagem de um distribuidor de fluxo com seis saídas fornecido montado, completo, incluindo válvulas de bloqueio do tipo dardo, com revest. Int cerâmico, inclusive pintura de acabamento (Linha do Circúito Ultra Fino/Lama)</t>
  </si>
  <si>
    <t>2.3.2.1.3.3</t>
  </si>
  <si>
    <t>Montagem de um distribuidor de fluxo com duas saídas fornecido montado, completo, incluindo válvulas de bloqueio do tipo dardo, com revest. int cerâmico, inclusive pintura de acabamento (Linha do Circuito Ultra fino/Lama)</t>
  </si>
  <si>
    <t>2.3.2.1.3.4</t>
  </si>
  <si>
    <t xml:space="preserve">Montagem de um distribuidor de fluxo com duas saídas fornecido montado, completo, incluindo válvulas de bloqueio do tipo dardo, com revest. Int cerâmico, inclusive pintura de acabamento  (Linha do Circuito Arenoso) </t>
  </si>
  <si>
    <t>2.3.2.1.3.5</t>
  </si>
  <si>
    <t>Montagem de quatro distribuidores de fluxo com seis saídas fornecido montado, completo, incluindo válvulas de bloqueio do tipo dardo, com revest. Int cerâmico, inclusive pintura de acabamento  (Linha do Circuito Arenoso)</t>
  </si>
  <si>
    <t>2.3.2.1.3.6</t>
  </si>
  <si>
    <t>Montagem de quatro distribuidores de fluxo com seis saídas fornecido montado, completo, incluindo válvulas de bloqueio do tipo dardo, com revest. Int cerâmico, inclusive pintura de acabamento  (Linha do Circuito Ultra fino/Lama)</t>
  </si>
  <si>
    <t>2.4</t>
  </si>
  <si>
    <t>MONTAGEM DE EQUIPAMENTOS E COMPONENTES ELÉTRICOS</t>
  </si>
  <si>
    <t>2.4.1</t>
  </si>
  <si>
    <t>MONTAGEM DE EQUIPAMENTOS ELÉTRICOS</t>
  </si>
  <si>
    <t>2.4.1.1</t>
  </si>
  <si>
    <t>MONTAGEM DE CENTROS DE CONTROLE DE MOTORES</t>
  </si>
  <si>
    <t>Montagem de gaveta extraível, partida direta, inteligente, rede de comunicação Profibus DP,  Centro de controle de motores existente, 480V, 3Ø, 60Hz, 2200A, Icc: 55kA  conforme FD-1450AA-E-54831</t>
  </si>
  <si>
    <t>Montagem de gaveta alimentadora extraível, centro de controle de motores existente, 480V, 3Ø, 60Hz, 2000A, Icc: 55kA conforme FD-1450AA-E-54831</t>
  </si>
  <si>
    <t>2.4.1.2</t>
  </si>
  <si>
    <t>ADEQUAÇÃO / RETROFIT E MONTAGEM DE GAVETAS PARA CENTROS DE CONTROLE DE MOTORES</t>
  </si>
  <si>
    <t>Adequação / retrofit de gaveta extraível, partida direta reversível de 5CV, inteligente, rede de comunicação Profibus DP, gaveta 9.5 de Centro de controle de motores existente, MC-140A-03 480V, 3Ø, 60Hz, 2200A, Icc: 55kA</t>
  </si>
  <si>
    <t>2.4.1.3</t>
  </si>
  <si>
    <t>MONTAGEM DE QUADROS DE DISTRIBUIÇÃO DE CIRCUITOS</t>
  </si>
  <si>
    <t>Montagem de quadro de distribuição de iluminação e tomadas, 380V/220V 3F+N+T, para abrigo de remotas, montagem na parede, IP-42 conforme FD-1450AA-E-54832</t>
  </si>
  <si>
    <t>Montagem de quadro de distribuição de tensão ininterrupta QDTC 120Vca para abrigo de remotas, montagem na parede, IP-42 conforme FD-1450AA-E-54833</t>
  </si>
  <si>
    <t>2.4.2</t>
  </si>
  <si>
    <t>MONTAGEM DE EQUIPAMENTOS AUTOMAÇÃO E CONTROLE</t>
  </si>
  <si>
    <t>2.4.2.1</t>
  </si>
  <si>
    <t>MONTAGEM DE SISTEMA DE CONTROLE E SUPERVISÃO (CLP/SCADA, SDCD)</t>
  </si>
  <si>
    <t>2.4.2.1.1</t>
  </si>
  <si>
    <t>Montagem de painel de remota do sistema de controle, auto-sustentato, fornecido completo conforme FD-1450AA-J-54857</t>
  </si>
  <si>
    <t>2.4.2.2</t>
  </si>
  <si>
    <t>MONTAGEM DE INSTRUMENTOS DE MEDIÇÃO E CONTROLE</t>
  </si>
  <si>
    <t>2.4.2.2.1</t>
  </si>
  <si>
    <t>Montagem de painel para válvula solenóide</t>
  </si>
  <si>
    <t>2.4.2.3</t>
  </si>
  <si>
    <t>MONTAGEM DE VÁLVULAS PARA AUTOMAÇÃO E  CONTROLE</t>
  </si>
  <si>
    <t>2.4.2.3.1</t>
  </si>
  <si>
    <t>Montagem de válvula de bloqueio (on-off) tipo guilhotina, conexão ANSI em 4" a  8", classe de pressão 150#, com sianlização de posição ZSL e ZSH e atuador pneumático, material: corpo/plug/sede/haste em: FoFo dúctil/ inox/ epdm/ inox, com: Plaq. Identificação, IP65. Conforme FD-1450AA-J-54861</t>
  </si>
  <si>
    <t>2.4.2.3.2</t>
  </si>
  <si>
    <t>Montagem de válvula de bloqueio (on-off) tipo guilhotina, conexão ANSI em 10" a 16", classe de pressão 150#, com sianlização de posição ZSL e ZSH e atuador pneumático, material: corpo/plug/sede/haste em: FoFo dúctil/ inox/ epdm/ inox, com: Plaq. Identificação, IP65. Conforme FD-1450AA-J-54861</t>
  </si>
  <si>
    <t>2.4.3</t>
  </si>
  <si>
    <t>MONTAGEM DE TUBULAÇÃO, VÁLVULAS E ACESSÓRIOS</t>
  </si>
  <si>
    <t>2.4.3.1</t>
  </si>
  <si>
    <t>2.4.3.1.1</t>
  </si>
  <si>
    <t>Montagem de tubo dn-6", com cost. ac, astm a-283 gr. c - sch 10, revestimento int. em  pu 8mm, flangeado, extremidades  um lado fixo e outro lado solto inclusive curvas, conexões, reduções e tês. (flanges conf. awwa-c 207 - material do flange astm a36, cl 150 lbs)</t>
  </si>
  <si>
    <t>2.4.3.1.2</t>
  </si>
  <si>
    <t>Montagem de tubo dn-8", com cost. ac, astm a-283 gr. c - sch 10, revestimento int. em  pu 12mm, flangeado, extremidades  um lado fixo e outro lado solto inclusive curvas, conexões, reduções e tês. (flanges conf. awwa-c 207 - material do flange astm a36, cl 150 lbs)</t>
  </si>
  <si>
    <t>2.4.3.1.3</t>
  </si>
  <si>
    <t>Montagem de tubo dn-10", com cost. ac, astm a-283 gr. c - sch 10, revestimento int. em  pu 12mm, flangeado, extremidades  um lado fixo e outro lado solto inclusive curvas, conexões, reduções e tês. (flanges conf. awwa-c 207 - material do flange astm a36, cl 150 lbs)</t>
  </si>
  <si>
    <t>2.4.3.1.4</t>
  </si>
  <si>
    <t>Montagem de tubo dn-12", com cost. ac, astm a-283 gr. c - sch 10, revestimento int. em  pu 12mm, flangeado, extremidades  um lado fixo e outro lado solto inclusive curvas, conexões, reduções e tês. (flanges conf. awwa-c 207 - material do flange astm a36, cl 150 lbs)</t>
  </si>
  <si>
    <t>2.4.3.1.5</t>
  </si>
  <si>
    <t>Montagem de tubo dn-14", com cost. ac, astm a-283 gr. c - sch 10, revestimento int. em  pu 12mm, flangeado, extremidades  um lado fixo e outro lado solto inclusive curvas, conexões, reduções e tês. (flanges conf. awwa-c 207 - material do flange astm a36, cl 150 lbs)</t>
  </si>
  <si>
    <t>2.4.3.1.6</t>
  </si>
  <si>
    <t>Montagem de tubo dn-16", com cost. ac, astm a-283 gr. c - sch 10, revestimento int. em  pu 12mm, flangeado, extremidades  um lado fixo e outro lado solto inclusive curvas, conexões, reduções e tês. (flanges conf. awwa-c 207 - material do flange astm a36, cl 150 lbs)</t>
  </si>
  <si>
    <t>2.4.3.1.7</t>
  </si>
  <si>
    <t>Montagem de tubo dn-20", com cost. ac, astm a-283 gr. c - sch 10, revestimento int. em  pu 12mm, flangeado, extremidades  um lado fixo e outro lado solto inclusive curvas, conexões, reduções e tês. (flanges conf. awwa-c 207 - material do flange astm a36, cl 150 lbs)</t>
  </si>
  <si>
    <t>2.4.3.1.8</t>
  </si>
  <si>
    <t>Montagem de tubo dn-22", com cost. ac, astm a-283 gr. c - sch 10, revestimento int. em  pu 12mm, flangeado, extremidades  um lado fixo e outro lado solto inclusive curvas, conexões, reduções e tês. (flanges conf. awwa-c 207 - material do flange astm a36, cl 150 lbs)</t>
  </si>
  <si>
    <t>2.5</t>
  </si>
  <si>
    <t>DESMONTAGEM ELETROMECÃNICA</t>
  </si>
  <si>
    <t>2.5.1</t>
  </si>
  <si>
    <t>DESMONTAGEM DE ESTRUTURAS DIVERSAS</t>
  </si>
  <si>
    <t>2.5.1.1</t>
  </si>
  <si>
    <t>Desmontagem de estruturas metálicas diversas (incluindo telhados, eletrodutos, bandejas, corrimãos, escadas, tubulações, caldeirarias, transportadores, distribuidores, etc.)</t>
  </si>
  <si>
    <t>D</t>
  </si>
  <si>
    <t>2.5.2</t>
  </si>
  <si>
    <t>DESMONTAGEM DE MATERIAIS ELÉTRICOS</t>
  </si>
  <si>
    <t>2.5.2.1</t>
  </si>
  <si>
    <t>DESMONTAGEM DE CONDUTORES ELÉTRICOS ( FIOS E CABOS ) - FORÇA</t>
  </si>
  <si>
    <t>Desmontagem de cabos elétricos diversos</t>
  </si>
  <si>
    <t>3</t>
  </si>
  <si>
    <t>SISTEMA DE DRENAGEM USINA DE CONCENTRAÇÃO EL.858100</t>
  </si>
  <si>
    <t>3.1.1</t>
  </si>
  <si>
    <t>3.1.1.1</t>
  </si>
  <si>
    <t>FORNECIMENTO E MONTAGEM DE CALDEIRARIA</t>
  </si>
  <si>
    <t>FORNECIMENTO E MONTAGEM DE CALHAS</t>
  </si>
  <si>
    <t>3.1.1.1.1.1</t>
  </si>
  <si>
    <t>Fornecimento e montagem de calhas metálicas, inclusive revestimento</t>
  </si>
  <si>
    <t>3.1.2</t>
  </si>
  <si>
    <t>3.1.2.1</t>
  </si>
  <si>
    <t>FORNECIMENTO E MONTAGEM DE ESTRUTURA METÁLICA</t>
  </si>
  <si>
    <t>3.1.2.1.1.1</t>
  </si>
  <si>
    <t>3.1.2.1.2.1</t>
  </si>
  <si>
    <t>3.1.2.1.2.2</t>
  </si>
  <si>
    <t>Fornecimento e montagem de chapa de piso</t>
  </si>
  <si>
    <t>3.1.2.1.3</t>
  </si>
  <si>
    <t>FORNECIMENTO E MONTAGEM DE MISCELÂNEA METÁLICA (ESCADAS, CORRIMÃOS, GUARDA-CORPOS, ETC.)</t>
  </si>
  <si>
    <t>3.1.2.1.3.1</t>
  </si>
  <si>
    <t>3.2.1</t>
  </si>
  <si>
    <t>3.2.1.1</t>
  </si>
  <si>
    <t>4</t>
  </si>
  <si>
    <t>SUBSTITUIÇÃO DAS BOMBAS DE UNDER DO ESPESSADOR DE LAMAS 9901</t>
  </si>
  <si>
    <t>4.1</t>
  </si>
  <si>
    <t>4.1.1</t>
  </si>
  <si>
    <t>4.1.1.1</t>
  </si>
  <si>
    <t>FORNECIMENTO E MONTAGEM DE CABO FLEXÍVEL COM ISOLAÇÃO EPR E COBERTURA DE PVC - 1KV</t>
  </si>
  <si>
    <t>Fornecimento e montagem de cabo tetrapolar com condutor concêntrico e blindagem, encordoamento classe 5, com isolação sólida extrudada de epr e cobertura flexível de pvc- seção 3x120mm2+1x70mm2 - classe de tensão 0,6/1kv</t>
  </si>
  <si>
    <t>4.1.1.2</t>
  </si>
  <si>
    <t>FORNECIMENTO E APLICAÇÃO DE PROTEÇÃO PASSIVA</t>
  </si>
  <si>
    <t>4.1.1.2.1</t>
  </si>
  <si>
    <t>Fornecimento e aplicação de proteção passiva em sala elétrica</t>
  </si>
  <si>
    <t>4.2</t>
  </si>
  <si>
    <t>4.2.1</t>
  </si>
  <si>
    <t xml:space="preserve">MONTAGEM DE EQUIPAMENTOS MECÂNICOS </t>
  </si>
  <si>
    <t>4.2.1.1</t>
  </si>
  <si>
    <t>MONTAGEM DE MOTOBOMBA</t>
  </si>
  <si>
    <t>Montagem de conjunto moto-bomba até 500CV</t>
  </si>
  <si>
    <t>Montagem de motores elétricos até 500 CV.</t>
  </si>
  <si>
    <t>4.2.2</t>
  </si>
  <si>
    <t>4.2.2.1</t>
  </si>
  <si>
    <t>MONTAGEM DE INVERSORES DE FREQÜÊNCIA BAIXA TENSÃO</t>
  </si>
  <si>
    <t>Montagem de painel de inversor de baixa tensão, 480V até 500CV</t>
  </si>
  <si>
    <t>4.3</t>
  </si>
  <si>
    <t>4.3.1</t>
  </si>
  <si>
    <t>DESMONTAGEM DE CONJUNTOS MOTO-BOMBA</t>
  </si>
  <si>
    <t>4.3.1.1</t>
  </si>
  <si>
    <t>Desmontagem de Moto Bomba até 500CV.</t>
  </si>
  <si>
    <t>4.3.1.2</t>
  </si>
  <si>
    <t>Desmontagem de painéis inversores de frequencia até 500 CV.</t>
  </si>
  <si>
    <t>4.3.1.3</t>
  </si>
  <si>
    <t>Desmontagem de motores elétricos até 500 CV.</t>
  </si>
  <si>
    <t>5</t>
  </si>
  <si>
    <t>SERVIÇOS COMPLEMENTARES DIVERSOS COM A UTILIZAÇÃO DE MÃO DE OBRA E EQUIPAMENTOS</t>
  </si>
  <si>
    <t>5.1</t>
  </si>
  <si>
    <t>SERVIÇOS COMPLEMENTARES DIVERSOS COM A UTILIZAÇÃO DE MÃO DE OBRA</t>
  </si>
  <si>
    <t>5.1.1</t>
  </si>
  <si>
    <t>Serviços complementares diversos com utilização de oficial</t>
  </si>
  <si>
    <t>H</t>
  </si>
  <si>
    <t>5.1.2</t>
  </si>
  <si>
    <t>Serviços complementares diversos com utilização de ajudante</t>
  </si>
  <si>
    <t>5.1.3</t>
  </si>
  <si>
    <t>Serviços complementares diversos com utilização de caminhão guindauto</t>
  </si>
  <si>
    <t>L</t>
  </si>
  <si>
    <t>5.2</t>
  </si>
  <si>
    <t>SERVIÇOS DE OPERAÇÃO ASSISTIDA</t>
  </si>
  <si>
    <t>5.2.1</t>
  </si>
  <si>
    <t>Serviços de operação assistida com utilização de oficial</t>
  </si>
  <si>
    <t>5.2.2</t>
  </si>
  <si>
    <t>Serviços de operação assistida com utilização de ajudante</t>
  </si>
  <si>
    <t>1º TAC - ITENS NOVOS - S-00167- BYPASS VERTEDOURO BARRAGEM SUL</t>
  </si>
  <si>
    <t>6.1</t>
  </si>
  <si>
    <t>6.1.1</t>
  </si>
  <si>
    <t>6.1.1.1</t>
  </si>
  <si>
    <t>ADMINISTRAÇÃO LOCAL (1º TAC)</t>
  </si>
  <si>
    <t>6.1.2</t>
  </si>
  <si>
    <t>6.1.2.1</t>
  </si>
  <si>
    <t>MOBILIZAÇÃO DE PESSOAL - MOD (1º TAC)</t>
  </si>
  <si>
    <t>6.1.2.2</t>
  </si>
  <si>
    <t>MOBILIZAÇÃO DE PESSOAL - MOI (1º TAC)</t>
  </si>
  <si>
    <t>6.1.2.3</t>
  </si>
  <si>
    <t>DESMOBILIZAÇÃO DE PESSOAL - MOD (1º TAC)</t>
  </si>
  <si>
    <t>6.1.2.4</t>
  </si>
  <si>
    <t>DESMOBILIZAÇÃO DE PESSOAL - MOI (1º TAC)</t>
  </si>
  <si>
    <t>6.2</t>
  </si>
  <si>
    <t>6.2.1</t>
  </si>
  <si>
    <t>ESCAVAÇÃO DE CAVAS E VALAS</t>
  </si>
  <si>
    <t>6.2.1.1</t>
  </si>
  <si>
    <t xml:space="preserve">Escavação manual de cavas ou valas, material de 1ª categoria </t>
  </si>
  <si>
    <t>6.2.1.2</t>
  </si>
  <si>
    <t xml:space="preserve">Escavação mecanizada de cavas ou valas em material de 1ª categoria </t>
  </si>
  <si>
    <t>6.2.2</t>
  </si>
  <si>
    <t>REGULARIZAÇÃO DE CAVAS OU VALAS</t>
  </si>
  <si>
    <t>6.2.2.1</t>
  </si>
  <si>
    <t>10</t>
  </si>
  <si>
    <t>6.2.2.2</t>
  </si>
  <si>
    <t>Regularização da superfície escavada com argamassa de cimento e areia, traço 1:3</t>
  </si>
  <si>
    <t>000</t>
  </si>
  <si>
    <t>6.2.3</t>
  </si>
  <si>
    <t>REATERRO DE CAVAS E VALAS</t>
  </si>
  <si>
    <t>6.2.3.1</t>
  </si>
  <si>
    <t>15</t>
  </si>
  <si>
    <t>6.2.4</t>
  </si>
  <si>
    <t>BOTA-FORA DE MATERIAL EXCEDENTE - USO GERAL</t>
  </si>
  <si>
    <t>6.2.4.1</t>
  </si>
  <si>
    <t>Carga, transporte, descarga e espalhamento de material de 1ª categoria em bota-fora - DMT até 1000m - uso geral</t>
  </si>
  <si>
    <t>6.2.5</t>
  </si>
  <si>
    <t>MOMENTO EXTRAORDINÁRIO DE TRANSPORTE - USO GERAL</t>
  </si>
  <si>
    <t>6.2.5.1</t>
  </si>
  <si>
    <t>Momento extraordinário de transporte de material de 1ª categoria</t>
  </si>
  <si>
    <t>6.2.6</t>
  </si>
  <si>
    <t>FORMA COM ESTRUTURA EM MADEIRA - FORNECIMENTO E APLICAÇÃO</t>
  </si>
  <si>
    <t>6.2.6.1</t>
  </si>
  <si>
    <t>6.2.7</t>
  </si>
  <si>
    <t>6.2.7.1</t>
  </si>
  <si>
    <t>6.2.8</t>
  </si>
  <si>
    <t>6.2.8.1</t>
  </si>
  <si>
    <t>6.2.8.2</t>
  </si>
  <si>
    <t>6.2.8.3</t>
  </si>
  <si>
    <t>Fabricação, transporte e montagem de elementos pré-moldados de concreto, inclusive inserts e fornecimento de materiais.</t>
  </si>
  <si>
    <t>6.2.9</t>
  </si>
  <si>
    <t>INSERTOS</t>
  </si>
  <si>
    <t>6.2.9.1</t>
  </si>
  <si>
    <t>25</t>
  </si>
  <si>
    <t>6.2.9.2</t>
  </si>
  <si>
    <t>005</t>
  </si>
  <si>
    <t>6.2.9.3</t>
  </si>
  <si>
    <t>6.2.10</t>
  </si>
  <si>
    <t>LIMPEZA DE TERRENO</t>
  </si>
  <si>
    <t>6.2.10.1</t>
  </si>
  <si>
    <t>Escavação, carga e transporte, descarga e espalhamento de camada de solo superficial para a área de depósito - DMT até 1000m</t>
  </si>
  <si>
    <t>030</t>
  </si>
  <si>
    <t>6.2.11</t>
  </si>
  <si>
    <t>ESCAVAÇÃO, CARGA, TRANSPORTE, DESCARGA E ESPALHAMENTO DE MATERIAL DE 1ª CATEGORIA</t>
  </si>
  <si>
    <t xml:space="preserve"> </t>
  </si>
  <si>
    <t>6.2.11.1</t>
  </si>
  <si>
    <t>Escavação, carga, transporte, descarga e espalhamento de material de 1ª categoria - DMT até 1000m</t>
  </si>
  <si>
    <t>6.2.12</t>
  </si>
  <si>
    <t>MOMENTO EXTRAORDINÁRIO DE TRANSPORTE - TERRAPLENAGEM</t>
  </si>
  <si>
    <t>6.2.12.1</t>
  </si>
  <si>
    <t>Momento extraordinário de transporte de material de 1ª categoria - Terraplenagem - DMT = 5km</t>
  </si>
  <si>
    <t>6.3</t>
  </si>
  <si>
    <t>MONTAGEM DE EQUIPAMENTOS MECÂNICOS, TUBULAÇÃO, VÁLVULAS E ACESSÓRIOS</t>
  </si>
  <si>
    <t>6.3.1</t>
  </si>
  <si>
    <t>Montagem de conjunto de bomba elétrica 65 kW, incluindo flutuadores e cabos elétricos</t>
  </si>
  <si>
    <t>6.3.2</t>
  </si>
  <si>
    <t xml:space="preserve">Montagem de mangote de borracha 10", incluindo flutuadores (fornecer elementos de fixação) </t>
  </si>
  <si>
    <t>6.3.3</t>
  </si>
  <si>
    <t>Montagem sensor de nível</t>
  </si>
  <si>
    <t>6.3.4</t>
  </si>
  <si>
    <t>Montagem Tubo de Aço Carbono ASTM A 139, Flangeado, inclusive Conexões 16”</t>
  </si>
  <si>
    <t>6.3.5</t>
  </si>
  <si>
    <t>Montagem Tubo de Aço Carbono ASTM A 139, Flangeado, inclusive Conexões 30”</t>
  </si>
  <si>
    <t>6.3.6</t>
  </si>
  <si>
    <t>Montagem válvulas borboleta 8"</t>
  </si>
  <si>
    <t>6.3.7</t>
  </si>
  <si>
    <t>Montagem válvulas borboleta 10"</t>
  </si>
  <si>
    <t>6.3.8</t>
  </si>
  <si>
    <t>Montagem válvulas borboleta 14"</t>
  </si>
  <si>
    <t>6.3.9</t>
  </si>
  <si>
    <t>Montagem válvulas borboleta 24"</t>
  </si>
  <si>
    <t>6.3.10</t>
  </si>
  <si>
    <t>Montagem válvulas retenção 10"</t>
  </si>
  <si>
    <t>6.3.11</t>
  </si>
  <si>
    <t>Montagem válvulas retenção 14"</t>
  </si>
  <si>
    <t>6.3.12</t>
  </si>
  <si>
    <t>Montagem de flange de A.C. 24"</t>
  </si>
  <si>
    <t>6.3.13</t>
  </si>
  <si>
    <t>Montagem tubulação PEAD DN 630 mm, PN 10,  INCLUSIVE CURVAS, CONEXÕES, JUNTAS, REDUÇÕES E TÊS, ACESSÓRIOS</t>
  </si>
  <si>
    <t>6.3.14</t>
  </si>
  <si>
    <t>Montagem tubulação PEAD DN 560 mm, PN 10,  INCLUSIVE CURVAS, CONEXÕES, JUNTAS, REDUÇÕES E TÊS, ACESSÓRIOS</t>
  </si>
  <si>
    <t>6.3.15</t>
  </si>
  <si>
    <t xml:space="preserve">Montagem válvula ventosa 8" </t>
  </si>
  <si>
    <t>6.4</t>
  </si>
  <si>
    <t>DESMONTAGEM DE EQUIPAMENTOS MECÂNICOS, TUBULAÇÃO, VÁLVULAS E ACESSÓRIOS</t>
  </si>
  <si>
    <t>6.4.1</t>
  </si>
  <si>
    <t>Desmontagem Tubo de Aço Carbono ASTM A 139, Flangeado, inclusive Conexões 16”</t>
  </si>
  <si>
    <t>6.4.2</t>
  </si>
  <si>
    <t>Desmontagem válvulas borboleta 10"</t>
  </si>
  <si>
    <t>6.4.3</t>
  </si>
  <si>
    <t>Desmontagem válvulas retenção 10"</t>
  </si>
  <si>
    <t>6.4.4</t>
  </si>
  <si>
    <t>Desmontagem de conjunto de bomba elétrica 65 kW, incluindo flutuadores</t>
  </si>
  <si>
    <t>6.4.5</t>
  </si>
  <si>
    <t>Desmontagem de estruturas metálicas diversas (tubulação, caldeiraria, suportes)</t>
  </si>
  <si>
    <t>00</t>
  </si>
  <si>
    <t>6.4.6</t>
  </si>
  <si>
    <t xml:space="preserve">Desmontagem de mangote de borracha 10", incluindo flutuadores </t>
  </si>
  <si>
    <t>6.5</t>
  </si>
  <si>
    <t>FORNECIMENTOE  MONTAGEM DE EQUIPAMENTOS MECÂNICOS, TUBULAÇÃO, VÁLVULAS E ACESSÓRIOS</t>
  </si>
  <si>
    <t>6.5.1</t>
  </si>
  <si>
    <t>FORNECIMENTO E MONTAGEM DE EQUIPAMENTOS MECÂNICOS, TUBULAÇÃO, VÁLVULAS E ACESSÓRIOS</t>
  </si>
  <si>
    <t>6.5.1.1</t>
  </si>
  <si>
    <t>Fornecimento e montagem Tubo de Aço Carbono ASTM A 53 Gr B-S, SCH.STD. WT, C /Extr. para Solda de Topo, inclusive conexões e válvulas 8"</t>
  </si>
  <si>
    <t>6.5.1.2</t>
  </si>
  <si>
    <t>Fornecimento e montagem Tubo de Aço Carbono ASTM A 53 Gr B-S, SCH.STD. WT, C /Extr. para Solda de Topo, inclusive conexões e válvulas 10"</t>
  </si>
  <si>
    <t>6.5.1.3</t>
  </si>
  <si>
    <t>Fornecimento e montagem Tubo de Aço Carbono ASTM A 53 Gr B-S, SCH.STD. WT, C /Extr. para Solda de Topo, inclusive Conexões 14"</t>
  </si>
  <si>
    <t>6.5.1.4</t>
  </si>
  <si>
    <t>Fornecimento e montagem Tubo de Aço Carbono ASTM A 53 Gr B-S, SCH.STD. WT, C /Extr. para Solda de Topo, inclusive Conexões 24"</t>
  </si>
  <si>
    <t>6.5.2</t>
  </si>
  <si>
    <t>FORNECIMENTO DE MISCELÂNEAS METÁLICAS DE CALDEIRARIA</t>
  </si>
  <si>
    <t>6.5.2.1</t>
  </si>
  <si>
    <t>Fornecimento e motnagem de miscelâneas Metálicas, inclusive Pintura de Acabamento</t>
  </si>
  <si>
    <t>6.6</t>
  </si>
  <si>
    <t>6.6.1</t>
  </si>
  <si>
    <t>Montagem painéis elétricos completos para alimentação bomba 65 kW</t>
  </si>
  <si>
    <t>und</t>
  </si>
  <si>
    <t>6.6.2</t>
  </si>
  <si>
    <t>Montagem e interligação de geradores elétricos</t>
  </si>
  <si>
    <t>6.6.3</t>
  </si>
  <si>
    <t>Montagem de Painel de transferência automático para seleção de alimentação da rede ou de gerador, IP-66, 440V, fase-fase, 60Hz, 15kA</t>
  </si>
  <si>
    <t>6.6.4</t>
  </si>
  <si>
    <t xml:space="preserve">Montagem de QGBT, grau de proteção IP-66, incluso dispositivos de proteção e acionamento, classe de tensão 0,6/1kV, 440V, 3Ø-60Hz. </t>
  </si>
  <si>
    <t>6.7</t>
  </si>
  <si>
    <t>6.7.1</t>
  </si>
  <si>
    <t>6.7.1.1</t>
  </si>
  <si>
    <t>6.7.1.1.1</t>
  </si>
  <si>
    <t>Fornecimento e montagem de cabo tetrapolar flexível, encordoamento classe 5, com isolação sólida extrudada de EPR e cobertura flexível de PVC- 90ºC, seção 4x50mm² - classe de tensão 0,6/1kV</t>
  </si>
  <si>
    <t>6.7.1.1.2</t>
  </si>
  <si>
    <t>Fornecimento e montagem de cabo de potência constituído de 3 (três) condutores de fios de cobre nu, têmpera mole, encordoamento classe 5, tensão de isolamento 0,6/1kV, isolação de borracha EPR e cobertura em composto termoplástico de PVC flexível, sem chumbo, temperatura máxima em serviço contínuo, 90ºC, norma NBR-7286, veia com isolação na cor preto, tipo Cabo Eprotenax 0,6/1kV, unipolar. Seção #3x50mm²</t>
  </si>
  <si>
    <t>6.7.1.2</t>
  </si>
  <si>
    <t>FORNECIMENTO E MONTAGEM DE CABO - 750V</t>
  </si>
  <si>
    <t>6.7.1.2.1</t>
  </si>
  <si>
    <t>Fornecimento e montagem de cabo de potência constituído de 1 (um) condutor de fio de cobre nu, têmpera mole, encordoamento classe 5, tensão de isolamento 750V, isolação de composto termoplástico de PVC flexível, sem chumbo, temperatura máxima em serviço contínuo, 70ºC, norma NBR-6148, veia com isolação na cor verde, tipo Cabo Pirastic Flex 750V, unipolar. Seção #25mm²</t>
  </si>
  <si>
    <t>6.7.2</t>
  </si>
  <si>
    <t>MONTAGEM DE CONDUTORES ELÉTRICOS ( FIOS E CABOS ) - FORÇA</t>
  </si>
  <si>
    <t>6.7.2.1</t>
  </si>
  <si>
    <t>MONTAGEM DE CABO FLEXÍVEL COM ISOLAÇÃO EPR E COBERTURA DE PVC - 1KV</t>
  </si>
  <si>
    <t>6.7.2.1.1</t>
  </si>
  <si>
    <t>Montagem de cabo tetrapolar flexível, encordoamento classe 5, com isolação sólida extrudada de EPR e cobertura flexível de PVC- 90ºC, seção 4x50mm² - classe de tensão 0,6/1kV</t>
  </si>
  <si>
    <t>6.7.2.1.2</t>
  </si>
  <si>
    <t>Montagem de cabo de potência constituído de 3 (três) condutores de fios de cobre nu, têmpera mole, encordoamento classe 5, tensão de isolamento 0,6/1kV, isolação de borracha EPR e cobertura em composto termoplástico de PVC flexível, sem chumbo, temperatura máxima em serviço contínuo, 90ºC, norma NBR-7286, veia com isolação na cor preto, tipo Cabo Eprotenax 0,6/1kV, unipolar. Seção #3x50mm²</t>
  </si>
  <si>
    <t>6.7.2.1.3</t>
  </si>
  <si>
    <t>Montagem de cabo de potência, não halogenado 0,6/1KV, temperatura de serviço 90ºC, 1 condutor, classe 5 - Seção 25 mm²</t>
  </si>
  <si>
    <t>6.7.2.2</t>
  </si>
  <si>
    <t>MONTAGEM DE CABO - 750V</t>
  </si>
  <si>
    <t>6.7.2.2.1</t>
  </si>
  <si>
    <t>Montagem de cabo de potência constituído de 1 (um) condutor de fio de cobre nu, têmpera mole, encordoamento classe 5, tensão de isolamento 750V, isolação de composto termoplástico de PVC flexível, sem chumbo, temperatura máxima em serviço contínuo, 70ºC, norma NBR-6148, veia com isolação na cor verde, tipo Cabo Pirastic Flex 750V, unipolar. Seção #25mm²</t>
  </si>
  <si>
    <t>6.7.3</t>
  </si>
  <si>
    <t>6.7.3.1</t>
  </si>
  <si>
    <t>6.7.3.1.1</t>
  </si>
  <si>
    <t>Fornecimento e montagem de Cabo de controle, condutores de cobre nú, sem blindagem, encordoamento classe 5, isolação em PVC antichama, temperatura de serviço 70ºC, 0,6/1kV, condutores numerados - Seção 3 x 1,5mm2</t>
  </si>
  <si>
    <t>6.7.3.1.1.1</t>
  </si>
  <si>
    <t>6.7.3.2</t>
  </si>
  <si>
    <t>6.7.3.2.1</t>
  </si>
  <si>
    <t>6.7.3.2.2</t>
  </si>
  <si>
    <t>6.7.3.3</t>
  </si>
  <si>
    <t>FORNECIMENTO E MONTAGEM  DE DUTO CORRUGADO DE ALTA RESISTÊNCIA</t>
  </si>
  <si>
    <t>6.7.3.3.1</t>
  </si>
  <si>
    <t>Fornecimento e montagem de duto corrugado de alta resistência 4"</t>
  </si>
  <si>
    <t>6.7.3.4</t>
  </si>
  <si>
    <t>6.7.3.4.1</t>
  </si>
  <si>
    <t>FORNECIMENTO E MONTAGEM DE ELETRODUTOS RÍGIDOS, EM AÇO GALV. A FOGO CLASSE PESADA, C/ACESSORIOS, Ø 3/4"</t>
  </si>
  <si>
    <t>6.7.3.4.2</t>
  </si>
  <si>
    <t>FORNECIMENTO E MONTAGEM DE ELETRODUTOS RÍGIDOS, EM AÇO GALV. A FOGO CLASSE PESADA, C/ACESSORIOS, Ø 1"</t>
  </si>
  <si>
    <t>6.7.3.4.3</t>
  </si>
  <si>
    <t>FORNECIMENTO E MONTAGEM DE ELETRODUTOS RÍGIDOS, EM AÇO GALV. A FOGO CLASSE PESADA, C/ACESSORIOS, Ø 1.1/2"</t>
  </si>
  <si>
    <t>6.7.3.4.4</t>
  </si>
  <si>
    <t>Fornecimento e montagem de eletrodutos rígidos,em aço galv.,c/acessorios, ø 4"</t>
  </si>
  <si>
    <t>6.7.3.4.5</t>
  </si>
  <si>
    <t>Fornecimento e Montagem de Eletroduto Flexível fabricado em aço zincado com terminais macho giratório + macho giratório de Ø1", rosca BSP.</t>
  </si>
  <si>
    <t>6.7.3.4.6</t>
  </si>
  <si>
    <t>Fornecimento e Montagem de Eletroduto Flexível fabricado em aço zincado com terminais macho giratório + macho giratório de Ø1.1/2" , rosca BSP.</t>
  </si>
  <si>
    <t>6.7.3.5</t>
  </si>
  <si>
    <t>6.7.3.5.1</t>
  </si>
  <si>
    <t>Fornecimento e montagem de eletrocalha, com acessórios, altura de 100 mm, largura de 400 mm</t>
  </si>
  <si>
    <t>6.7.3.6</t>
  </si>
  <si>
    <t>6.7.3.6.1</t>
  </si>
  <si>
    <t>Fornecimento e montagem de caixa de passagem pré moldada nas dimensões 1000x1000x800mm (CxLxP). Com Tampa.</t>
  </si>
  <si>
    <t>6.8</t>
  </si>
  <si>
    <t>ALUGUEL DE EQUIPAMENTOS DE TRANSPORTE</t>
  </si>
  <si>
    <t>6.8.1</t>
  </si>
  <si>
    <t xml:space="preserve">Aluguel de Caminhão tipo Munck </t>
  </si>
  <si>
    <t>6.9</t>
  </si>
  <si>
    <t>SERVIÇOS COMPLEMENTARES</t>
  </si>
  <si>
    <t>6.9.1</t>
  </si>
  <si>
    <t>SERVIÇOS COMPLEMENTARES DIVERSOS COM A UTILIZAÇÃO DE OFICIAL</t>
  </si>
  <si>
    <t>6.9.2</t>
  </si>
  <si>
    <t>SERVIÇOS COMPLEMENTARES DIVERSOS COM A UTILIZAÇÃO DE AJUDANTE</t>
  </si>
  <si>
    <t>SUB TOTAL - S-00167- BYPASS VERTEDOURO BARRAGEM SUL</t>
  </si>
  <si>
    <t>7</t>
  </si>
  <si>
    <t>1º TAC - ITEM NOVO - DESAGUAMENTO DE REJEITO / SUBSTITUIÇÃO DAS BOMBAS DE UNDER DO ESPESSADOR DE LAMAS</t>
  </si>
  <si>
    <t>7.1</t>
  </si>
  <si>
    <t>MONTAGEM DE MATERIAIS ELÉTRICOS</t>
  </si>
  <si>
    <t>7.1.1</t>
  </si>
  <si>
    <t>7.1.1.1</t>
  </si>
  <si>
    <t>Montagem de cabo tetrapolar com condutor concêntrico e blindagem, encordoamento classe 5, com isolação sólida extrudada de epr e cobertura flexível de pvc- seção 3x120mm2+1x70mm2 - classe de tensão 0,6/1kv</t>
  </si>
  <si>
    <t>SUB TOTAL -  ITEM NOVO - DESAGUAMENTO DE REJEITO</t>
  </si>
  <si>
    <t>2º TAC - ITENS NOVOS</t>
  </si>
  <si>
    <t>S-00167- BYPASS VERTEDOURO BARRAGEM SUL (Continuidade)</t>
  </si>
  <si>
    <t>MONTAGEM DE DE EQUIPAMENTOS E COMPONENTES ELETROMECÂNICOS</t>
  </si>
  <si>
    <t>7.1.1.1.1</t>
  </si>
  <si>
    <t>7.1.1.1.1.1</t>
  </si>
  <si>
    <t>Montagem de QDI, grau de proteção IP-66, incluso dispositivos de proteção e acionamento, classe de tensão 0,6/1kV, 220/127V, 3Ø-60Hz.</t>
  </si>
  <si>
    <t>7.1.1.1.1.2</t>
  </si>
  <si>
    <t>Montagem de QDTC , grau de proteção IP-66, incluso dispositivos de proteção e acionamento, classe de tensão 0,6/1kV, 220/127V, 3Ø-60Hz.</t>
  </si>
  <si>
    <t>7.1.1.1.1.3</t>
  </si>
  <si>
    <t>Montagem de Transformador a 45kVA, instalação em poste, tensão no primário de 13,8kV / secundário 220/127V, 3Ø-60Hz</t>
  </si>
  <si>
    <t>7.1.1.2</t>
  </si>
  <si>
    <t>7.1.1.2.1</t>
  </si>
  <si>
    <t>7.1.1.2.1.1</t>
  </si>
  <si>
    <t>Montagem de caixa de junção para rede Profibus PA, IP-65, montada em painel de campo, com 8 saídas (spurs) e demais acessórios montados e interligados</t>
  </si>
  <si>
    <t>7.1.1.2.1.2</t>
  </si>
  <si>
    <t>Montagem de Painel de campo com Remota, contemplando protocolo de comunicação rede Profibus PA, Cartões de entradas e saidas digitais.</t>
  </si>
  <si>
    <t>7.1.1.2.1.3</t>
  </si>
  <si>
    <t>Montagem de conversor eletro óptico</t>
  </si>
  <si>
    <t>7.1.1.2.2</t>
  </si>
  <si>
    <t>MONTAGEM DE INSTRUMENTOS</t>
  </si>
  <si>
    <t>7.1.1.2.2.1</t>
  </si>
  <si>
    <t>Montagem de Transmissor de vazão Eletromagnético diâmetro 24"</t>
  </si>
  <si>
    <t>7.1.1.2.2.2</t>
  </si>
  <si>
    <t>Montagem de Transmissor de pressão</t>
  </si>
  <si>
    <t>7.1.1.2.2.3</t>
  </si>
  <si>
    <t>Montagem de manômetro</t>
  </si>
  <si>
    <t>7.1.1.3</t>
  </si>
  <si>
    <t>MONTAGEM DE CONDUTORES ELÉTRICOS E ÓTICOS - INSTRUMENTAÇÃO, CONTROLE E COMUNICAÇÃO</t>
  </si>
  <si>
    <t>7.1.1.3.1</t>
  </si>
  <si>
    <t>MONTAGEM DE CABO ÓPTICO PARA INSTALAÇÃO AÉREA - AUTO-SUSTENTADO - MONOMODO</t>
  </si>
  <si>
    <t>7.1.1.3.1.1</t>
  </si>
  <si>
    <t>Montagem e fusão de cabo ótico até 24 veias (com fornecimento de extensões ópticas, terminadores , elementos de fixação em poste e acessórios) para instalação interna ou externa, elementos de tração dielétricos, autosustentado, revestimento primário em acrilato e revestimento secundário em material termoplástico não propagante a chamas, núcleo seco do tipo tight buffer, monomodo.</t>
  </si>
  <si>
    <t>7.1.1.3.2</t>
  </si>
  <si>
    <t>MONTAGEM DE CABOS ELÉTRICOS PARA INSTRUMENTAÇÃO</t>
  </si>
  <si>
    <t>7.1.1.3.2.1</t>
  </si>
  <si>
    <t>Montagem de cabo de instrumentação, condutores de cobre nú, blindagem total, encordoamento classe 2, isolação em PVC antichama, temperatura de serviço 70ºC, 300/600V, condutores numerados até 2P x 1,00 mm²</t>
  </si>
  <si>
    <t>7.1.2</t>
  </si>
  <si>
    <t>7.1.2.1</t>
  </si>
  <si>
    <t>7.1.2.1.1</t>
  </si>
  <si>
    <t>7.1.2.1.1.1</t>
  </si>
  <si>
    <t>Fornecimento e montagem de cabo flexível de potência, UNIPOLAR, com ISOLAÇÃO HEPR 90°C CAPA PVC CLASSE DE TENSÃO 0,6/1KV. COR VERMELHO/VERDE/PRETO) - Seção 2,5 mm²</t>
  </si>
  <si>
    <t>7.1.2.1.1.2</t>
  </si>
  <si>
    <t>Fornecimento e montagem de cabo flexível de potência, TRIPOLAR, com ISOLAÇÃO HEPR 90°C CAPA PVC CLASSE DE TENSÃO 0,6/1KV COR DA CAPA PRETA - Seção 1x3#6mm2</t>
  </si>
  <si>
    <t>7.1.2.1.2</t>
  </si>
  <si>
    <t>FORNECIMENTO E MONTAGEM CABO DE MÉDIA TENSÃO (8,7 / 15kV) CONDUTOR DE COBRE UNIPOLAR / TRIPOLAR FLEXIVEL ISOLAÇÃO XLPE 90°C. COBERTURA EM COMPOSTO DE CLORETO DE POLIVINILA PVC.</t>
  </si>
  <si>
    <t>7.1.2.1.2.1</t>
  </si>
  <si>
    <t>FORNECIMENTO E MONTAGEM CABO DE MÉDIA TENSÃO (8,7 / 15kV) CONDUTOR DE COBRE UNIPOLAR FLEXIVEL ISOLAÇÃO XLPE 90°C. COBERTURA EM COMPOSTO DE CLORETO DE POLIVINILA PVC. Seção 1x35mm2</t>
  </si>
  <si>
    <t>7.1.2.2</t>
  </si>
  <si>
    <t>7.1.2.2.1</t>
  </si>
  <si>
    <t>7.1.2.2.1.1</t>
  </si>
  <si>
    <t>Fornecimento e montagem de Cabo de controle, condutores de cobre nú, sem blindagem, encordoamento classe 5, isolação em PVC antichama, temperatura de serviço 70ºC, 0,6/1kV, condutores numerados - Seção 5 x 1,5 mm²</t>
  </si>
  <si>
    <t>7.1.2.2.1.2</t>
  </si>
  <si>
    <t>Fornecimento e montagem de Cabo de controle, condutores de cobre nú, sem blindagem, encordoamento classe 5, isolação em PVC antichama, temperatura de serviço 70ºC, 0,6/1kV, condutores numerados. Seção 3 x 2,5 mm²</t>
  </si>
  <si>
    <t>7.1.2.2.2</t>
  </si>
  <si>
    <t>7.1.2.2.2.1</t>
  </si>
  <si>
    <t>Fornecimento, montagem e fusão de cabo ótico para instalação interna ou externa, elementos de tração dielétricos, autosustentando, revestimento primário em acrilato e revestimento secundário emmaterial termoplástico não propagante a chamas, núcleo seco do tipo tight buffer, 12 veias, monomodo.</t>
  </si>
  <si>
    <t>7.1.2.2.3</t>
  </si>
  <si>
    <t>7.1.2.2.3.1</t>
  </si>
  <si>
    <t>7.1.2.2.4</t>
  </si>
  <si>
    <t>FORNECIMENTO E MONTAGEM DE TERMINAÇÕES ELÉTRICAS (EMENDAS E TERMINAIS)</t>
  </si>
  <si>
    <t>7.1.2.2.4.1</t>
  </si>
  <si>
    <t>FORNECIMENTO E MONTAGEM DE TERMINAÇÃO TERMOCONTRÁTIL 15KV, 35mm²</t>
  </si>
  <si>
    <t>7.1.2.3</t>
  </si>
  <si>
    <t>7.1.2.3.1</t>
  </si>
  <si>
    <t>Fornecimento e Montagem de projetor,led 100W, uso externo.</t>
  </si>
  <si>
    <t>7.1.2.3.2</t>
  </si>
  <si>
    <t>Fornecimento e Montagem de Luminária LED Arandela 90°, 42W, uso externo.</t>
  </si>
  <si>
    <t>7.1.2.3.3</t>
  </si>
  <si>
    <t>FORNECIMENTO E MONTAGEM de RELE FOTOELÉTRICO, entrada rosqueada Ø3/4" Rosca BSP. Capacidade de corrente de 10A, tensão de funcionamento 105-305 VAC, frequência 50-60Hz.</t>
  </si>
  <si>
    <t>7.1.2.3.4</t>
  </si>
  <si>
    <t>FORNECIMENTO E MONTAGEM DE SISTEMAS PARA ILUMINAÇÃO DE EMERGÊNCIA COM FARÓIS DE LED</t>
  </si>
  <si>
    <t>7.1.2.3.5</t>
  </si>
  <si>
    <t>FORNECIMENTO E MONTAGEM de Poste de Concreto Duplo T, equipado com cruzetas, chaves com eles fusíveis, para-raios, protetor de bucha, isoladores, conectores e demais acessórios. Comprimento 11m</t>
  </si>
  <si>
    <t>7.1.2.3.6</t>
  </si>
  <si>
    <t>FORNECIMENTO E MONTAGEM de Poste de Concreto Duplo T. Comprimento 8m</t>
  </si>
  <si>
    <t>7.1.2.4</t>
  </si>
  <si>
    <t>7.1.2.4.1</t>
  </si>
  <si>
    <t>Fornecimento e montagem de tomada para iluminação, 220V 2P+N+T</t>
  </si>
  <si>
    <t>7.1.2.5</t>
  </si>
  <si>
    <t>7.1.2.5.1</t>
  </si>
  <si>
    <t>7.1.2.5.2</t>
  </si>
  <si>
    <t>7.1.2.5.3</t>
  </si>
  <si>
    <t>7.1.2.5.4</t>
  </si>
  <si>
    <t>7.1.2.5.5</t>
  </si>
  <si>
    <t>7.1.2.5.6</t>
  </si>
  <si>
    <t>FORNECIMENTO E MONTAGEM de Mastro Telescópico em aço Galvanizado a Fogo com redução para Ø3/4". Comprimento 6m.</t>
  </si>
  <si>
    <t>7.1.2.5.7</t>
  </si>
  <si>
    <t>FORNECIMENTO E MONTAGEM DE PARA-RAIOS TIPO FRANKLIN.</t>
  </si>
  <si>
    <t>7.1.2.5.8</t>
  </si>
  <si>
    <t>Fornecimento e montagem de Caixa de equipotencialização (BEP/BEL), para uso interno ou externo.</t>
  </si>
  <si>
    <t>7.1.3</t>
  </si>
  <si>
    <t>7.1.3.1</t>
  </si>
  <si>
    <t>7.1.3.1.1</t>
  </si>
  <si>
    <t>Fornecimento e montagem de distribuidor interno óptico, incluindo acomodação e fusão de 12 portas ópticas extensão SM SC – APC; monomodo com conectores, kit de adaptadores, pigtails e terminais ópticos</t>
  </si>
  <si>
    <t>7.1.3.1.2</t>
  </si>
  <si>
    <t>Fornecimento e montagem de cordão óptico duplex (SM SC/ST – APC), fibra óptica do tipo monomodo</t>
  </si>
  <si>
    <t>7.1.3.2</t>
  </si>
  <si>
    <t>FORNECIMENTO E MONTAGEM DE INSTRUMENTOS</t>
  </si>
  <si>
    <t>7.1.3.2.1</t>
  </si>
  <si>
    <t>Fornecimento e Montagem de Manômetro</t>
  </si>
  <si>
    <t>SUB TOTAL - S-00167- BYPASS VERTEDOURO BARRAGEM SUL (Continuidade)</t>
  </si>
  <si>
    <t>7.2</t>
  </si>
  <si>
    <t>S-5809 - DESAGUAMENTO REJEITO (FASE 02) / SUBSTITUIÇÃO DAS BOMBAS DE UNDER DO ESPESSADOR DE LAMAS 9901</t>
  </si>
  <si>
    <t>7.2.1</t>
  </si>
  <si>
    <t>MONTAGEM DE ESTRUTURAS METÁLICAS</t>
  </si>
  <si>
    <t>7.2.1.1</t>
  </si>
  <si>
    <t>7.2.1.1.1</t>
  </si>
  <si>
    <t>MONTAGEM DE CHAPAS E PERFIS SOLDADOS</t>
  </si>
  <si>
    <t>7.2.1.1.1.1</t>
  </si>
  <si>
    <t>Montagem de estrutura metálica</t>
  </si>
  <si>
    <t>7.2.1.1.2</t>
  </si>
  <si>
    <t>MONTAGEM DE GRADE DE PISO</t>
  </si>
  <si>
    <t>7.2.1.1.2.1</t>
  </si>
  <si>
    <t>Montagem de grade galvanizada - Referência Selmec ou similar</t>
  </si>
  <si>
    <t>7.2.1.1.3</t>
  </si>
  <si>
    <t>MONTAGEM DE CHAPA DE PISO</t>
  </si>
  <si>
    <t>7.2.1.1.3.1</t>
  </si>
  <si>
    <t>Montagem de chapa de piso (Chapa Expandida)</t>
  </si>
  <si>
    <t>7.2.1.1.4</t>
  </si>
  <si>
    <t>MONTAGEM DE MISCÊLÂNEAS METÁLICAS</t>
  </si>
  <si>
    <t>7.2.1.1.4.1</t>
  </si>
  <si>
    <t>Montagem de miscelâneas metálicas (insclusive escadas, corrimãos, guarda-corpos, etc.)</t>
  </si>
  <si>
    <t>7.2.2</t>
  </si>
  <si>
    <t>7.2.2.1</t>
  </si>
  <si>
    <t>7.2.2.1.1</t>
  </si>
  <si>
    <t>7.2.2.1.1.1</t>
  </si>
  <si>
    <t>Montagem de chute de desvio, com flap motorizado, fornecido em partes, com revestimento interno de cerâmica</t>
  </si>
  <si>
    <t>7.2.3</t>
  </si>
  <si>
    <t>7.2.3.1</t>
  </si>
  <si>
    <t>7.2.3.1.1</t>
  </si>
  <si>
    <t>FORNECIMENTO E MONTAGEM DE DESVIADOR DE FLUXO</t>
  </si>
  <si>
    <t>7.2.3.1.1.1</t>
  </si>
  <si>
    <t>Fornecimento, fabricação e montagem de um distribuidor de fluxo com três saídas fornecido montado, completo, incluindo válvulas de bloqueio do tipo dardo, com revest. Int cerâmico, inclusive pintura de acabamento</t>
  </si>
  <si>
    <t>7.2.4</t>
  </si>
  <si>
    <t>7.2.4.1</t>
  </si>
  <si>
    <t>7.2.4.1.1</t>
  </si>
  <si>
    <t>7.2.4.1.1.1</t>
  </si>
  <si>
    <t>7.2.4.1.2</t>
  </si>
  <si>
    <t>FORNECIMENTO E MONTAGEM DE TUBO DE AÇO CARBONO ASTM A53 Gr. B, SCHEDULE 40</t>
  </si>
  <si>
    <t>7.2.4.1.2.1</t>
  </si>
  <si>
    <t>7.2.4.1.3</t>
  </si>
  <si>
    <t>7.2.4.1.3.1</t>
  </si>
  <si>
    <t>Fornecimento e montagem de carretel de borracha natural de alta resiliência e resistência à abrasão e ao rasgamento, reforço em tecido de poliamida e arame de aço mola, cobertura borracha sintética resistente à abrasão ozônio e rasgamento, flange ANSI B.16.5 150 lbs, Ø 8" à 12", comprimento até 2.500,00 mm, conforme padrão Vale</t>
  </si>
  <si>
    <t>7.2.4.1.4</t>
  </si>
  <si>
    <t>FORNECIMENTO E MONTAGEM DE TUBO DE AÇO CARBONO ASTM A53 Gr. B, SCHEDULE 80</t>
  </si>
  <si>
    <t>7.2.4.1.4.1</t>
  </si>
  <si>
    <t>Fornecimento e montagem de tubulação de aço carbono ASTM A53 Gr. B-S, schedule 80. Inclusive acessórios e válvulas - Ø 18"</t>
  </si>
  <si>
    <t>7.2.4.1.5</t>
  </si>
  <si>
    <t>7.2.4.1.5.1</t>
  </si>
  <si>
    <t>Fornecimento e montagem de tubo dn-18", com cost. ac, astm a-283 gr. c - sch 10, revestimento int. em pu 12mm, flangeado, extremidades um lado fixo e outro lado solto inclusive curvas, conexões, reduções e tês. (flanges conf. awwa-c 207 - material do flange astm a36, cl 150 lbs)</t>
  </si>
  <si>
    <t>7.2.4.1.6</t>
  </si>
  <si>
    <t>7.2.4.1.6.1</t>
  </si>
  <si>
    <t>Curvas de borracha com ângulos de (90º, 60°, 45° e 30°), 1.5 x d, 8"</t>
  </si>
  <si>
    <t>7.2.4.2</t>
  </si>
  <si>
    <t>7.2.4.2.1</t>
  </si>
  <si>
    <t>7.2.4.2.1.1</t>
  </si>
  <si>
    <t>Fornecimento e montagem de válvula esfera, classe 150#, rosca NPT - até DN 2"</t>
  </si>
  <si>
    <t>7.2.4.2.1.2</t>
  </si>
  <si>
    <t>Fornecimento e montagem de válvula esfera, classe 150#, rosca NPT - até DN 4"</t>
  </si>
  <si>
    <t>7.2.4.2.2</t>
  </si>
  <si>
    <t>FORNECIMENTO E MONTAGEM DE FILTRO TIPO DUPLEX ( DUPLO CESTO) DN 6 POLEGADAS</t>
  </si>
  <si>
    <t>7.2.4.2.2.1</t>
  </si>
  <si>
    <t>7.2.5</t>
  </si>
  <si>
    <t>7.2.5.1</t>
  </si>
  <si>
    <t>7.2.5.1.1</t>
  </si>
  <si>
    <t>7.2.5.1.1.1</t>
  </si>
  <si>
    <t>Fornecimento e montagem de mangueira pneumática, adequada a aplicação industrial, com tubo interno de borracha sintética, diâmetro interno de 1/2", 250PSI, raio de curvatura 130mm, inclusive espigão, reduções, conexões e acessórios</t>
  </si>
  <si>
    <t>7.2.6</t>
  </si>
  <si>
    <t>7.2.6.1</t>
  </si>
  <si>
    <t>7.2.6.1.1</t>
  </si>
  <si>
    <t>MONTAGEM DE TUBO DE AÇO CARBONO ASTM A 53 Gr B ou NBR 5590 Gr B, norma ASTM A134, schedule 80</t>
  </si>
  <si>
    <t>7.2.6.1.1.1</t>
  </si>
  <si>
    <t>Montagem de tubulação de aço carbono ASTM A 53 Gr B ou NBR 5590 Gr B, norma ASTM A134, schedule 80. Inclusive acessórios, flanges, válvulas, curvas, conexões, reduções e tês - Ø 8". Tubulação de ajuste, deverão ser soldados os flanges em campo.</t>
  </si>
  <si>
    <t>7.2.6.1.1.2</t>
  </si>
  <si>
    <t>Montagem de tubulação de aço carbono ASTM A 53 Gr B ou NBR 5590 Gr B, norma ASTM A134, schedule 80. Inclusive acessórios, flanges, válvulas, curvas, conexões, reduções e tês - Ø 10". Tubulação de ajuste, deverão ser soldados os flanges em campo.</t>
  </si>
  <si>
    <t>7.2.6.1.1.3</t>
  </si>
  <si>
    <t>Montagem de tubulação de aço carbono ASTM A 53 Gr B ou NBR 5590 Gr B, norma ASTM A134, schedule 80. Inclusive acessórios, flanges, válvulas, curvas, conexões, reduções e tês - Ø 12". Tubulação de ajuste, deverão ser soldados os flanges em campo.</t>
  </si>
  <si>
    <t>7.2.6.1.1.4</t>
  </si>
  <si>
    <t>Montagem de tubulação de aço carbono ASTM A 53 Gr B ou NBR 5590 Gr B, norma ASTM A134, schedule 80. Inclusive acessórios, flanges, válvulas, curvas, conexões, reduções e tês - Ø 14". Tubulação de ajuste, deverão ser soldados os flanges em campo.</t>
  </si>
  <si>
    <t>7.2.6.1.1.5</t>
  </si>
  <si>
    <t>Montagem de tubulação de aço carbono ASTM A 53 Gr B ou NBR 5590 Gr B, norma ASTM A134, schedule 80. Inclusive acessórios, flanges, válvulas, curvas, conexões, reduções e tês - Ø 16". Tubulação de ajuste, deverão ser soldados os flanges em campo.</t>
  </si>
  <si>
    <t>7.2.6.1.1.6</t>
  </si>
  <si>
    <t>Montagem de tubulação de aço carbono ASTM A 53 Gr B ou NBR 5590 Gr B, norma ASTM A134, schedule 80. Inclusive acessórios, flanges, válvulas, curvas, conexões, reduções e tês - Ø 20". Tubulação de ajuste, deverão ser soldados os flanges em campo.</t>
  </si>
  <si>
    <t>7.2.6.1.1.7</t>
  </si>
  <si>
    <t>Montagem de tubulação de aço carbono ASTM A 53 Gr B ou NBR 5590 Gr B, norma ASTM A134, schedule 80. Inclusive acessórios, flanges, válvulas, curvas, conexões, reduções e tês - Ø 22". Tubulação de ajuste, deverão ser soldados os flanges em campo.</t>
  </si>
  <si>
    <t>7.2.6.1.2</t>
  </si>
  <si>
    <t>MONTAGEM DE TUBO DE AÇO CARBONO, schedule 10</t>
  </si>
  <si>
    <t>7.2.6.1.2.1</t>
  </si>
  <si>
    <t>Montagem de tubo dn-4", com cost. ac, astm a-283 gr. c - sch 10, revestimento int. em pu 8mm, flangeado, extremidades um lado fixo e outro lado solto inclusive curvas, conexões, reduções e tês. (flanges conf. awwa-c 207 - material do flange astm a36, cl 150 lbs)</t>
  </si>
  <si>
    <t>7.2.6.1.2.2</t>
  </si>
  <si>
    <t>Montagem de tubo dn-18", com cost. ac, astm a-283 gr. c - sch 10, revestimento int. em pu 8mm, flangeado, extremidades um lado fixo e outro lado solto inclusive curvas, conexões, reduções e tês. (flanges conf. awwa-c 207 - material do flange astm a36, cl 150 lbs)</t>
  </si>
  <si>
    <t>7.2.7</t>
  </si>
  <si>
    <t>7.2.7.1</t>
  </si>
  <si>
    <t>7.2.7.1.1</t>
  </si>
  <si>
    <t>Montagem de caixa de junção para rede Profibus PA, IP-65, montada em painel de campo, com 8 saídas (spurs) e demais acessórios montados e interligados, conforme FD -1450AA-J-54858</t>
  </si>
  <si>
    <t>7.2.8</t>
  </si>
  <si>
    <t>7.2.8.1</t>
  </si>
  <si>
    <t>7.2.8.1.1</t>
  </si>
  <si>
    <t>7.2.8.1.1.1</t>
  </si>
  <si>
    <t>Fornecimento e montagem de cabo tetrapolar, flexível, encordoamento classe 5, com isolação sólida extrudada de EPR e cobertura flexível de PVC- 90ºC, classe de tensão 0,6/1kV - Seção 4 x 2,5 mm²</t>
  </si>
  <si>
    <t>7.2.8.1.1.2</t>
  </si>
  <si>
    <t>7.2.8.1.1.3</t>
  </si>
  <si>
    <t>Fornecimento e montagem de cabo tetrapolar, flexível, encordoamento classe 5, com isolação sólida extrudada de EPR e cobertura flexível de PVC- 90ºC, classe de tensão 0,6/1kV - Seção 4 x 6 mm²</t>
  </si>
  <si>
    <t>7.2.8.1.1.4</t>
  </si>
  <si>
    <t>Fornecimento e montagem de cabo tetrapolar, flexível, encordoamento classe 5, com isolação sólida extrudada de EPR e cobertura flexível de PVC- 90ºC, classe de tensão 0,6/1kV - Seção 4 x 16 mm²</t>
  </si>
  <si>
    <t>7.2.8.2</t>
  </si>
  <si>
    <t>7.2.8.2.1</t>
  </si>
  <si>
    <t>7.2.8.2.1.1</t>
  </si>
  <si>
    <t>7.2.8.2.1.2</t>
  </si>
  <si>
    <t>7.2.8.3</t>
  </si>
  <si>
    <t>7.2.8.3.1</t>
  </si>
  <si>
    <t>Fornecimento e montagem de eletroduto rígido em aço galvanizado a fogo, sem rebarba, tipo pesado, com acessórios - Ø 3/4"</t>
  </si>
  <si>
    <t>7.2.8.3.2</t>
  </si>
  <si>
    <t>Fornecimento e montagem de eletroduto rígido em aço galvanizado a fogo, sem rebarba, tipo pesado, com acessórios - Ø 1"</t>
  </si>
  <si>
    <t>7.2.8.3.3</t>
  </si>
  <si>
    <t>Fornecimento e montagem de eletroduto rígido em aço galvanizado a fogo, sem rebarba, tipo pesado, com acessórios - Ø 2"</t>
  </si>
  <si>
    <t>7.2.8.3.4</t>
  </si>
  <si>
    <t>Fornecimento e montagem de eletroduto rígido em aço galvanizado a fogo, sem rebarba, tipo pesado, com acessórios - Ø 4"</t>
  </si>
  <si>
    <t>7.2.8.4</t>
  </si>
  <si>
    <t>FORNECIMENTO E MONTAGEM DE ELETRODUTOS RÍGIDOS E FLEXÍVEIS, EM PVC, C/ ACESSORIOS</t>
  </si>
  <si>
    <t>7.2.8.4.1</t>
  </si>
  <si>
    <t>Fornecimento e montagem de eletroduto metálico flexível, fabricado em fita contínua de aço zincado em espiral, revestido externamente com PVC extrudado, tipo "SEAL TUBE" - Ø 3/4"</t>
  </si>
  <si>
    <t>7.2.8.4.2</t>
  </si>
  <si>
    <t>Fornecimento e montagem de eletroduto metálico flexível, fabricado em fita contínua de aço zincado em espiral, revestido externamente com PVC extrudado, tipo "SEAL TUBE" - Ø 1"</t>
  </si>
  <si>
    <t>7.2.8.4.3</t>
  </si>
  <si>
    <t>Fornecimento e montagem de eletroduto metálico flexível, fabricado em fita contínua de aço zincado em espiral, revestido externamente com PVC extrudado, tipo "SEAL TUBE" - Ø 1 1/2"</t>
  </si>
  <si>
    <t>7.2.8.4.4</t>
  </si>
  <si>
    <t>Fornecimento e montagem de eletroduto metálico flexível, fabricado em fita contínua de aço zincado em espiral, revestido externamente com PVC extrudado, tipo "SEAL TUBE" - Ø 2"</t>
  </si>
  <si>
    <t>7.2.8.4.5</t>
  </si>
  <si>
    <t>Fornecimento e montagem de eletroduto metálico flexível, fabricado em fita contínua de aço zincado em espiral, revestido externamente com PVC extrudado, tipo "SEAL TUBE" - Ø 2 1/2"</t>
  </si>
  <si>
    <t>7.2.8.4.6</t>
  </si>
  <si>
    <t>Fornecimento e montagem de eletroduto metálico flexível, fabricado em fita contínua de aço zincado em espiral, revestido externamente com PVC extrudado, tipo "SEAL TUBE" - Ø 3"</t>
  </si>
  <si>
    <t>7.2.8.4.7</t>
  </si>
  <si>
    <t>Fornecimento e montagem de eletroduto metálico flexível, fabricado em fita contínua de aço zincado em espiral, revestido externamente com PVC extrudado, tipo "SEAL TUBE" - Ø 4"</t>
  </si>
  <si>
    <t>7.2.8.5</t>
  </si>
  <si>
    <t>7.2.8.5.1</t>
  </si>
  <si>
    <t>7.2.8.5.1.1</t>
  </si>
  <si>
    <t>7.2.8.5.1.2</t>
  </si>
  <si>
    <t>7.2.8.5.1.3</t>
  </si>
  <si>
    <t>Fornecimento e montagem de mini disjuntor termomagnético monopolar, curva C, 50A Icu 10kA</t>
  </si>
  <si>
    <t>7.2.8.6</t>
  </si>
  <si>
    <t>7.2.8.6.1</t>
  </si>
  <si>
    <t>7.2.9</t>
  </si>
  <si>
    <t>7.2.9.1</t>
  </si>
  <si>
    <t>7.2.9.1.1</t>
  </si>
  <si>
    <t>Montagem de quadro de distribuição de tensão ininterrupta QDTC</t>
  </si>
  <si>
    <t>7.2.9.2</t>
  </si>
  <si>
    <t>MONTAGEM DE CAIXA DE JUNÇÃO PARA REDE PROFIBUS PA</t>
  </si>
  <si>
    <t>7.2.9.2.1</t>
  </si>
  <si>
    <t>Montagem de caixa de junção para rede profibus-PA, IP-67, montada em painel de campo, e demais acessórios montados e interligados.</t>
  </si>
  <si>
    <t>7.2.9.3</t>
  </si>
  <si>
    <t>MONTAGEM DE MEDIDORES DE INSTRUMENTAÇÃO</t>
  </si>
  <si>
    <t>7.2.9.3.1</t>
  </si>
  <si>
    <t>Montagem de medidores de vazão ø &lt; 2"</t>
  </si>
  <si>
    <t>7.2.9.3.2</t>
  </si>
  <si>
    <t>Montagem de medidores de pressão</t>
  </si>
  <si>
    <t>7.2.9.4</t>
  </si>
  <si>
    <t>MONTAGEM DE VÁLVULAS PARA AUTOMAÇÃO E CONTROLE</t>
  </si>
  <si>
    <t>7.2.9.4.1</t>
  </si>
  <si>
    <t>Montagem de válvulas esfera On/Off, - ø = 1. 1/2" ; acionamento pneumático; (FV-145A-99403 / FV-145A-99413 / FV-145A-99423)</t>
  </si>
  <si>
    <t>7.2.9.5</t>
  </si>
  <si>
    <t>7.2.9.5.1</t>
  </si>
  <si>
    <t>Montagem de Centro de Controle de Motores 480v, 3Ø, 60Hz</t>
  </si>
  <si>
    <t>7.2.9.6</t>
  </si>
  <si>
    <t>MONTAGEM DE CUBÍCULOS</t>
  </si>
  <si>
    <t>7.2.9.6.1</t>
  </si>
  <si>
    <t>Montagem de coluna adicional no Quadro de Distribuição BT 480v, 3Ø, 60Hz</t>
  </si>
  <si>
    <t>7.2.9.7</t>
  </si>
  <si>
    <t>7.2.9.7.1</t>
  </si>
  <si>
    <t>Montagem de componentes em inversores de baixa tensão existentes para acionamentos de bombas</t>
  </si>
  <si>
    <t>Vb</t>
  </si>
  <si>
    <t>7.2.10</t>
  </si>
  <si>
    <t>7.2.10.1</t>
  </si>
  <si>
    <t>DESMONTAGEM DE EQUIPAMENTO</t>
  </si>
  <si>
    <t>7.2.10.1.1</t>
  </si>
  <si>
    <t>Desmontagem de coluna de CCM BT 480v, 3Ø, 60Hz</t>
  </si>
  <si>
    <t>7.2.11</t>
  </si>
  <si>
    <t>REALOCAÇÃO ELÉTRICA</t>
  </si>
  <si>
    <t>7.2.11.1</t>
  </si>
  <si>
    <t>MIGRAÇÃO DE CABOS DE ALIMENTAÇÃO</t>
  </si>
  <si>
    <t>7.2.11.1.1</t>
  </si>
  <si>
    <t>Migração (desligar e ligar) de carga em BT entre CCMs na SE 140A-01</t>
  </si>
  <si>
    <t>7.2.12</t>
  </si>
  <si>
    <t>MIGRAÇÃO DE INFRA E CABOS ELÉTRICOS</t>
  </si>
  <si>
    <t>7.2.12.1</t>
  </si>
  <si>
    <t>Realocação de leito de 400mm e cabos de diversas seções para retirada de interferência</t>
  </si>
  <si>
    <t>7.2.13</t>
  </si>
  <si>
    <t>7.2.13.1</t>
  </si>
  <si>
    <t>ALUGUEL DE CAMINHÕES DIESEL</t>
  </si>
  <si>
    <t>7.2.13.1.1</t>
  </si>
  <si>
    <t>Aluguel de Caminhão tipo Munck</t>
  </si>
  <si>
    <t>SUB TOTAL - S-5809 - DESAGUAMENTO REJEITO (FASE 02) / SUBSTITUIÇÃO DAS BOMBAS DE UNDER DO ESPESSADOR DE LAMAS 9901</t>
  </si>
  <si>
    <t>7.3</t>
  </si>
  <si>
    <t>SISTEMA DE DRENAGEM USINA DE CONCENTRAÇÃO</t>
  </si>
  <si>
    <t>7.3.1</t>
  </si>
  <si>
    <t>7.3.1.1</t>
  </si>
  <si>
    <t>7.3.1.1.1</t>
  </si>
  <si>
    <t>MONTAGEM DE CALHAS</t>
  </si>
  <si>
    <t>7.3.1.1.1.1</t>
  </si>
  <si>
    <t>Montagem de calhas metálicas, inclusive revestimento</t>
  </si>
  <si>
    <t>7.3.1.2</t>
  </si>
  <si>
    <t>7.3.1.2.1</t>
  </si>
  <si>
    <t>MONTAGEM DE ESTRUTURA METÁLICA</t>
  </si>
  <si>
    <t>7.3.1.2.1.1</t>
  </si>
  <si>
    <t>7.3.1.2.2</t>
  </si>
  <si>
    <t>7.3.1.2.2.1</t>
  </si>
  <si>
    <t>7.3.1.2.2.2</t>
  </si>
  <si>
    <t>Montagem de chapa de piso</t>
  </si>
  <si>
    <t>7.3.1.2.3</t>
  </si>
  <si>
    <t>MONTAGEM DE MISCELÂNEA METÁLICA (ESCADAS, CORRIMÃOS, GUARDA-CORPOS, ETC.)</t>
  </si>
  <si>
    <t>7.3.1.2.3.1</t>
  </si>
  <si>
    <t>SUB TOTAL - SISTEMA DE DRENAGEM USINA DE CONCENTRAÇÃO</t>
  </si>
  <si>
    <t>7.4</t>
  </si>
  <si>
    <t>MPI 410 - MELHORIA ADUTORA NORTE BRUCUTU (AMOSTRADORES)</t>
  </si>
  <si>
    <t>7.4.1</t>
  </si>
  <si>
    <t>MECÂNICA</t>
  </si>
  <si>
    <t>7.4.1.1</t>
  </si>
  <si>
    <t>7.4.1.1.1</t>
  </si>
  <si>
    <t>Montagem das sondas dos Amostradores primários</t>
  </si>
  <si>
    <t>7.4.1.1.2</t>
  </si>
  <si>
    <t>Montagem de amostradores primários</t>
  </si>
  <si>
    <t>7.4.1.2</t>
  </si>
  <si>
    <t>FORNECIMENTO E MONTAGEM DE PERFIS LAMINADOS DE ABAS PARALELAS</t>
  </si>
  <si>
    <t>7.4.1.2.1</t>
  </si>
  <si>
    <t>FORNECIMENTO E MONTAGEM DE ESTRUTURA METÁLICA ASTM A36, INCLUSIVE PINTURA DE FUNDO E ACABAMENTO.</t>
  </si>
  <si>
    <t>7.4.1.3</t>
  </si>
  <si>
    <t>7.4.1.3.1</t>
  </si>
  <si>
    <t>DESMONTAGEM DE ESTRUTURAS DIVERSAS, INCLUINDO TELHADO, ELETRODUTO, BANDEJA, CORRIMÕES, ESCADA, TUBULAÇÃO, CALDEIRARIA, SONDAS DE AMOSTRADOR E ETC.</t>
  </si>
  <si>
    <t>7.4.1.4</t>
  </si>
  <si>
    <t>DESMONTAGEM DE EQUIPAMENTOS E COMPONENTES ELETROMECÂNICOS</t>
  </si>
  <si>
    <t>7.4.1.4.1</t>
  </si>
  <si>
    <t>Desmontagem das sondas dos Amostradores primários</t>
  </si>
  <si>
    <t>7.4.1.4.2</t>
  </si>
  <si>
    <t>Desmontagem de amostradores primários</t>
  </si>
  <si>
    <t>7.4.2</t>
  </si>
  <si>
    <t>TUBULAÇÃO</t>
  </si>
  <si>
    <t>7.4.2.1</t>
  </si>
  <si>
    <t>MONTAGEM DE TUBULAÇÕES, CONEXÕES E ACESSÓRIOS</t>
  </si>
  <si>
    <t>7.4.2.1.1</t>
  </si>
  <si>
    <t>MONTAGEM DE TUBULAÇÕES</t>
  </si>
  <si>
    <t>7.4.2.1.1.1</t>
  </si>
  <si>
    <t>MONTAGEM DE TUBULAÇÃO, COM COSTURA HELICOIDAL DE AÇO CARBONO, DIMENSÕES CONFORME ANSI B36.19,REVESTIMENTO INTERNO EM POLIURETANO, FLANGEADO, INCLUSIVE CURVAS, CONEXÕES, JUNTAS, REDUÇÕES E TÊS, ACESSÓRIOS (FLANGE #150) ATÉ 2.1/2" à 3".</t>
  </si>
  <si>
    <t>7.4.2.1.1.2</t>
  </si>
  <si>
    <t>MONTAGEM DE TUBULAÇÃO, COM COSTURA HELICOIDAL DE AÇO CARBONO, DIMENSÕES CONFORME ANSI B36.19,REVESTIMENTO INTERNO EM POLIURETANO, FLANGEADO, INCLUSIVE CURVAS, CONEXÕES, JUNTAS, REDUÇÕES E TÊS, ACESSÓRIOS (FLANGE #150) ATÉ 10".</t>
  </si>
  <si>
    <t>7.4.2.1.1.3</t>
  </si>
  <si>
    <t>MONTAGEM DE TUBULAÇÃO, COM COSTURA HELICOIDAL DE AÇO CARBONO, DIMENSÕES CONFORME ANSI B36.19,REVESTIMENTO INTERNO EM POLIURETANO, FLANGEADO, INCLUSIVE CURVAS, CONEXÕES, JUNTAS, REDUÇÕES E TÊS, ACESSÓRIOS (FLANGE #150) ATÉ 12" à 18".</t>
  </si>
  <si>
    <t>7.4.2.1.1.4</t>
  </si>
  <si>
    <t>MONTAGEM DE TUBULAÇÃO, COM COSTURA HELICOIDAL DE AÇO CARBONO, DIMENSÕES CONFORME ANSI B36.19,REVESTIMENTO INTERNO EM POLIURETANO, FLANGEADO, INCLUSIVE CURVAS, CONEXÕES, JUNTAS, REDUÇÕES E TÊS, ACESSÓRIOS (FLANGE #150) ATÉ 20" à 36".</t>
  </si>
  <si>
    <t>7.4.3</t>
  </si>
  <si>
    <t>SERVIÇOS EVENTUAIS</t>
  </si>
  <si>
    <t>7.4.3.1</t>
  </si>
  <si>
    <t>7.4.3.2</t>
  </si>
  <si>
    <t>SUB TOTAL - MPI 410 - MELHORIA ADUTORA NORTE BRUCUTU (AMOSTRADORES)</t>
  </si>
  <si>
    <t>7.5</t>
  </si>
  <si>
    <t>S1780 - SEGREGAÇÃO DE REJEITOS</t>
  </si>
  <si>
    <t>7.5.1</t>
  </si>
  <si>
    <t>ESTRUTURAS METÁLICAS</t>
  </si>
  <si>
    <t>7.5.1.1</t>
  </si>
  <si>
    <t>FABRICAÇÃO E FORNECIMENTO E MONTAGEM DE ESTRUTURAS METÁLICAS</t>
  </si>
  <si>
    <t>7.5.1.1.1</t>
  </si>
  <si>
    <t>7.5.1.1.1.1</t>
  </si>
  <si>
    <t>7.5.1.1.2</t>
  </si>
  <si>
    <t>FORNECIMENTO E MONTAGEM DE PORTICOS</t>
  </si>
  <si>
    <t>7.5.1.1.2.1</t>
  </si>
  <si>
    <t>FORNECIMENTO E MONTAGEM DE PORTICOS DE MANUTENÇÃO DOS HIDROCICLONES</t>
  </si>
  <si>
    <t>CJ</t>
  </si>
  <si>
    <t>7.5.1.1.3</t>
  </si>
  <si>
    <t>FORNECIMENTO E MONTAGEM DE PROTEÇÃO DOS BARRAMENTOS</t>
  </si>
  <si>
    <t>7.5.1.1.3.1</t>
  </si>
  <si>
    <t>FORNECIMENTO E MONTAGEM DE PROTEÇAO DOS BARRAMENTOS DAS PONTES ROLANTES</t>
  </si>
  <si>
    <t>7.5.1.1.4</t>
  </si>
  <si>
    <t>FORNECIMENTO E MONTAGEM DE CHAPA XADREZ DE PISO</t>
  </si>
  <si>
    <t>7.5.1.1.4.1</t>
  </si>
  <si>
    <t>FORNECIMENTO E MONTAGEM DE CHAPA XADREZ ASTM A36, ESPESSURA 6,3 mm INCLUINDO PINTURA DE FUNDO E ACABAMENTO</t>
  </si>
  <si>
    <t>7.5.1.1.5</t>
  </si>
  <si>
    <t>7.5.1.1.5.1</t>
  </si>
  <si>
    <t>FORNECIMENTO E MONTAGEM DE MISCELÂNEAS METÁLICAS, INCLUINDO PINTURA DE FUNDO E ACABAMENTO</t>
  </si>
  <si>
    <t>7.5.2</t>
  </si>
  <si>
    <t>7.5.2.1</t>
  </si>
  <si>
    <t>7.5.2.1.1</t>
  </si>
  <si>
    <t>7.5.2.1.1.1</t>
  </si>
  <si>
    <t>MONTAGEM DE CARRETEIS REVESTIDOS EM SUBSTITUIÇÃO AOS CARRETEIS DE AJUSTES de 8" à 18"</t>
  </si>
  <si>
    <t>7.5.2.1.1.2</t>
  </si>
  <si>
    <t>MONTAGEM DE CARRETEIS REVESTIDOS EM SUBSTITUIÇÃO AOS CARRETEIS DE AJUSTES de 20" à 28"</t>
  </si>
  <si>
    <t>7.5.2.1.2</t>
  </si>
  <si>
    <t>MONTAGEM DE VÁLVULA ESFERA</t>
  </si>
  <si>
    <t>7.5.2.1.2.1</t>
  </si>
  <si>
    <t>MONTAGEM DE VÁLVULA ESFERA 3''</t>
  </si>
  <si>
    <t>7.5.2.1.3</t>
  </si>
  <si>
    <t>VÁLVULA RETENÇÃO DUPLA PORTINHOLA</t>
  </si>
  <si>
    <t>7.5.2.1.3.1</t>
  </si>
  <si>
    <t>MONTAGEM DE VÁLVULA RETENÇÃO DUPLA PORTINHOLA 2"</t>
  </si>
  <si>
    <t>7.5.2.1.4</t>
  </si>
  <si>
    <t>VÁLVULA VENTOSA</t>
  </si>
  <si>
    <t>7.5.2.1.4.1</t>
  </si>
  <si>
    <t>MONTAGEM DE VÁLVULA VENTOSA 2"</t>
  </si>
  <si>
    <t>7.5.2.2</t>
  </si>
  <si>
    <t>MONTAGEM DE MANGOTE DE BORRACHA</t>
  </si>
  <si>
    <t>7.5.2.2.1</t>
  </si>
  <si>
    <t>MONTAGEM DE MANGOTE DE BORRACHA NATURAL DE ALTA RESILIÊNCIA E RESISTÊNCIA À ABRASÃO E AO RASGAMENTO, 12" à 18</t>
  </si>
  <si>
    <t>7.5.2.2.2</t>
  </si>
  <si>
    <t>MONTAGEM DE MANGOTE DE BORRACHA NATURAL DE ALTA RESILIÊNCIA E RESISTÊNCIA À ABRASÃO E AO RASGAMENTO, 20" à 26</t>
  </si>
  <si>
    <t>7.5.2.3</t>
  </si>
  <si>
    <t>DESMONTAGEM / MONTAGEM DE TUBULAÇÕES, CONEXÕES E ACESSÓRIOS PARA REAPROVEITAMENTO</t>
  </si>
  <si>
    <t>7.5.2.3.1</t>
  </si>
  <si>
    <t>DESMONTAGEM/ MONTAGEM DE TUBULAÇÕES PARA REAPROVEITAMENTO</t>
  </si>
  <si>
    <t>7.5.2.3.1.1</t>
  </si>
  <si>
    <t>DESMONTAGEM DE TUBULAÇÃO REVESTIDA DE 16", INCLUSIVE CURVAS, CONEXÕES, JUNTAS, REDUÇÕES E TÊS e ACESSÓRIOS - COM REAPROVEITAMENTO</t>
  </si>
  <si>
    <t>7.5.2.3.1.2</t>
  </si>
  <si>
    <t>MONTAGEM DE TUBULAÇÃO REVESTIDA DE 16", INCLUSIVE CURVAS, CONEXÕES, JUNTAS, REDUÇÕES E TÊS e ACESSÓRIOS - REAPROVEITADA</t>
  </si>
  <si>
    <t>7.5.2.3.1.3</t>
  </si>
  <si>
    <t>DESMONTAGEM DE TUBULAÇÃO REVESTIDA DE 20", INCLUSIVE CURVAS, CONEXÕES, JUNTAS, REDUÇÕES E TÊS e ACESSÓRIOS - COM REAPROVEITAMENTO</t>
  </si>
  <si>
    <t>7.5.2.3.1.4</t>
  </si>
  <si>
    <t>MONTAGEM DE TUBULAÇÃO REVESTIDA DE 20", INCLUSIVE CURVAS, CONEXÕES, JUNTAS, REDUÇÕES E TÊS e ACESSÓRIOS - REAPROVEITADA</t>
  </si>
  <si>
    <t>7.5.2.4</t>
  </si>
  <si>
    <t>DESMONTAGEM DE TUBULAÇÕES, CONEXÕES E ACESSÓRIOS</t>
  </si>
  <si>
    <t>7.5.2.4.1</t>
  </si>
  <si>
    <t>DESMONTAGEM DE TUBULAÇÕES</t>
  </si>
  <si>
    <t>7.5.2.4.1.1</t>
  </si>
  <si>
    <t>DESMONTAGEM DE TUBULAÇÃO REVESTIDA DE 12" DO REJEITODUTO NA BARRAGEM SUL, INCLUSIVE SUPORTAÇÃO.</t>
  </si>
  <si>
    <t>7.5.2.5</t>
  </si>
  <si>
    <t>7.5.2.5.1</t>
  </si>
  <si>
    <t>FORNECIMENTO E MONTAGEM DE TUBO, AC, ASTM A53-B, SC, SCH 80, DIMENSÕES CONF. ASME B36.10, INCLUSIVE CURVAS, CONEXÕES, REDUÇÕES E TÊS, até 4"</t>
  </si>
  <si>
    <t>7.5.2.5.2</t>
  </si>
  <si>
    <t>FORNECIMENTO E MONTAGEM DE TUBO, AC, ASTM A53-B, SC, SCH 80, DIMENSÕES CONF. ASME B36.10, INCLUSIVE CURVAS, CONEXÕES, REDUÇÕES E TÊS, 16"</t>
  </si>
  <si>
    <t>7.5.2.5.3</t>
  </si>
  <si>
    <t>FORNECIMENTO E MONTAGEM DE TUBO, AC, ASTM A53-B, SC, SCH 80, DIMENSÕES CONF. ASME B36.10, INCLUSIVE CURVAS, CONEXÕES, REDUÇÕES E TÊS, 20"</t>
  </si>
  <si>
    <t>7.5.3</t>
  </si>
  <si>
    <t>ELÉTRICA</t>
  </si>
  <si>
    <t>7.5.3.1</t>
  </si>
  <si>
    <t>FORNECIMENTO E MONTAGEM DE LEITO PARA CABOS, TIPO PESADO C/ ACESSÓRIOS</t>
  </si>
  <si>
    <t>7.5.3.1.1</t>
  </si>
  <si>
    <t>FORNECIMENTO E MONTAGEM DE LEITO PARA CABOS, TIPO PESADO C/ ACESSÓRIOS, ALTURA DE 100 MM, LARGURA DE 200 MM</t>
  </si>
  <si>
    <t>7.5.3.1.2</t>
  </si>
  <si>
    <t>FORNECIMENTO E MONTAGEM DE LEITO PARA CABOS, TIPO PESADO C/ ACESSÓRIOS, ALTURA DE 100 MM, LARGURA DE 400 MM</t>
  </si>
  <si>
    <t>7.5.3.2</t>
  </si>
  <si>
    <t>FORNECIMENTO E MONTAGEM DE ELETRODUTOS RÍGIDOS EM AÇO GALV.,C/ACESSORIOS</t>
  </si>
  <si>
    <t>7.5.3.2.1</t>
  </si>
  <si>
    <t>FORNECIMENTO E MONTAGEM DE ELETRODUTOS RÍGIDOS EM AÇO GALV.,C/ACESSORIOS, CLASSE PESADO, Ø 1"</t>
  </si>
  <si>
    <t>7.5.3.2.2</t>
  </si>
  <si>
    <t>FORNECIMENTO E MONTAGEM DE ELETRODUTOS RÍGIDOS EM AÇO GALV.,C/ACESSORIOS, CLASSE PESADO, Ø 3/4"</t>
  </si>
  <si>
    <t>7.5.3.3</t>
  </si>
  <si>
    <t>7.5.3.3.1</t>
  </si>
  <si>
    <t>FORNECIMENTO E MONTAGEM DE CABO FLEXÍVEL PARA ILUMINAÇÃO COM ISOLAÇÃO SÓLIDA EXTRUDADA DE PVC - 0,75KV</t>
  </si>
  <si>
    <t>7.5.3.3.1.1</t>
  </si>
  <si>
    <t>FORNECIMENTO E MONTAGEM DE CABO FLEXÍVEL UNIPOLAR, COM ISOLAÇÃO SÓLIDA EXTRUDADA DE PVC - SEÇÃO 2,5MM². CORES DIVERSAS (AZUL, VERDE, PRETO, BRANCO, VERMELHO)</t>
  </si>
  <si>
    <t>7.5.3.3.2</t>
  </si>
  <si>
    <t>7.5.3.3.2.1</t>
  </si>
  <si>
    <t>FORNECIMENTO E MONTAGEM DE TERMINAIS DE COMPRESSÃO DE BAIXA TENSÃO DE 70 A 120mm²</t>
  </si>
  <si>
    <t>7.5.3.4</t>
  </si>
  <si>
    <t>7.5.3.4.1</t>
  </si>
  <si>
    <t>FORNECIMENTO E MONTAGEM DE PROJETORES, LAMPADA LED</t>
  </si>
  <si>
    <t>7.5.3.4.1.1</t>
  </si>
  <si>
    <t>FORNECIMENTO E MONTAGEM DE PROJETORES, COM LAMPADA LED 50 W, ref Philips, GE ou equivalente técnico</t>
  </si>
  <si>
    <t>7.5.3.4.2</t>
  </si>
  <si>
    <t>7.5.3.4.2.1</t>
  </si>
  <si>
    <t>7.5.3.5</t>
  </si>
  <si>
    <t>7.5.3.5.1</t>
  </si>
  <si>
    <t>7.5.3.5.1.1</t>
  </si>
  <si>
    <t>FORNECIMENTO E MONTAGEM DE TOMADA PARA ILUMINAÇÃO</t>
  </si>
  <si>
    <t>7.5.3.6</t>
  </si>
  <si>
    <t>FORNECIMENTO E MONTAGEM DE CABO DE CONTROLE</t>
  </si>
  <si>
    <t>7.5.3.6.1</t>
  </si>
  <si>
    <t>7.5.3.6.1.1</t>
  </si>
  <si>
    <t>FORNECIMENTO E LANÇAMENTO DE CABO DE CONTROLE, CONDUTORES DE COBRE NÚ, SEM BLINDAGEM, ENCORDOAMENTO CLASSE 5, ISOLAÇÃO EM PVC ANTI-CHAMA, TEMPERATURA DE SERVIÇO 70ºC, 0,6/1KV, CONDUTORES NUMERADOS - SEÇÃO 3 X 1,5MM² + PE</t>
  </si>
  <si>
    <t>7.5.3.6.1.2</t>
  </si>
  <si>
    <t>FORNECIMENTO E LANÇAMENTO DE CABO DE CONTROLE, CONDUTORES DE COBRE NÚ, SEM BLINDAGEM, ENCORDOAMENTO CLASSE 5, ISOLAÇÃO EM PVC ANTI-CHAMA, TEMPERATURA DE SERVIÇO 70ºC, 0,6/1KV, CONDUTORES NUMERADOS - SEÇÃO 5 X 1,5MM² + PE</t>
  </si>
  <si>
    <t>7.5.3.7</t>
  </si>
  <si>
    <t>7.5.3.7.1</t>
  </si>
  <si>
    <t>Montagem de válvula de bloqueio (on-off) tipo guilhotina, conexão ANSI em 3", classe de pressão 300#, com sinalização de posição ZSL e ZSH e atuador pneumático, material: corpo/plug/sede/haste em: FoFo dúctil/ inox/ epdm/ inox, com: Plaq. Identificação, IP65.</t>
  </si>
  <si>
    <t>7.5.4</t>
  </si>
  <si>
    <t>CIVIL</t>
  </si>
  <si>
    <t>7.5.4.1</t>
  </si>
  <si>
    <t>7.5.4.1.1</t>
  </si>
  <si>
    <t>INTERLIGAÇÃO PLUVIAL</t>
  </si>
  <si>
    <t>7.5.4.1.1.1</t>
  </si>
  <si>
    <t>TUBO PVC RÍGIDO DN 12 MM, "TIGRE" OU SIMILAR INCLUSIVE CURVAS, CONEXÕES, LUVAS, REDUÇÕES E TÊS, ACESSÓRIOS</t>
  </si>
  <si>
    <t>7.5.4.1.1.2</t>
  </si>
  <si>
    <t>TUBO PVC RÍGIDO ESGOTO DN 75 MM, "TIGRE" OU SIMILAR INCLUSIVE CURVAS, CONEXÕES, LUVAS, REDUÇÕES E TÊS, ACESSÓRIOS</t>
  </si>
  <si>
    <t>7.5.5</t>
  </si>
  <si>
    <t>INSTRUMENTAÇÃO</t>
  </si>
  <si>
    <t>7.5.5.1</t>
  </si>
  <si>
    <t>FORNECIMENTO E MONTAGEM DE PROTEÇÃO DAS VÁLVULAS</t>
  </si>
  <si>
    <t>7.5.5.1.1</t>
  </si>
  <si>
    <t>FORNECIMENTO E MONTAGEM DE PROTEÇÃO DE POLICARBONATO NO CORPO DAS VÁLVULAS</t>
  </si>
  <si>
    <t>7.5.5.1.1.1</t>
  </si>
  <si>
    <t>7.5.5.2</t>
  </si>
  <si>
    <t>MONTAGEM DE COMPONENTES</t>
  </si>
  <si>
    <t>7.5.5.2.1</t>
  </si>
  <si>
    <t>MONTAGEM DE COMPONENTES EM INVERSORES DE BAIXA TENSÃO</t>
  </si>
  <si>
    <t>7.5.5.2.1.1</t>
  </si>
  <si>
    <t>Montagem de componente para comunicação em rede (gateway) nos compressores -CB-192A-9807/9808</t>
  </si>
  <si>
    <t>7.5.6</t>
  </si>
  <si>
    <t>7.5.6.1</t>
  </si>
  <si>
    <t>7.5.6.1.1</t>
  </si>
  <si>
    <t>7.5.7</t>
  </si>
  <si>
    <t>7.5.7.1</t>
  </si>
  <si>
    <t>7.5.7.2</t>
  </si>
  <si>
    <t xml:space="preserve">SUB TOTAL - S1780 - SEGREGAÇÃO DE REJEITOS </t>
  </si>
  <si>
    <t>SUBTOTAL DA OBRA</t>
  </si>
  <si>
    <t>TOTAL GERAL</t>
  </si>
  <si>
    <t>Qtd. Fev.</t>
  </si>
  <si>
    <t>Soma de Qtd 
Físico Acum. Anterior</t>
  </si>
  <si>
    <t>Unid.</t>
  </si>
  <si>
    <t>Pré-montagem</t>
  </si>
  <si>
    <t>Montagem e Alinhamento</t>
  </si>
  <si>
    <t>Teste hidrostático</t>
  </si>
  <si>
    <t>CMS S.60.10.000</t>
  </si>
  <si>
    <t>Retoque de pintura</t>
  </si>
  <si>
    <t>Peso Unit / Comprimento</t>
  </si>
  <si>
    <t>Peso Total 
(kg / m)</t>
  </si>
  <si>
    <t>Peso Total (m)</t>
  </si>
  <si>
    <t>Qtd. Fisico (m)</t>
  </si>
  <si>
    <t>CMS SUP.60.10.000</t>
  </si>
  <si>
    <t xml:space="preserve">Teste hidrostático </t>
  </si>
  <si>
    <t>REV</t>
  </si>
  <si>
    <t>ST-1880BB-70290-001</t>
  </si>
  <si>
    <t>ST-1880BB-70290-005</t>
  </si>
  <si>
    <t>ST-1880BB-70290-002</t>
  </si>
  <si>
    <t>ST-1880BB-70290-006</t>
  </si>
  <si>
    <t>ST-1880BB-70290-010</t>
  </si>
  <si>
    <t>ST-1880BB-70290-024</t>
  </si>
  <si>
    <t>ST-1880BB-70290-026</t>
  </si>
  <si>
    <t>ST-1880BB-70290-029</t>
  </si>
  <si>
    <t>ST-1880BB-70290-023</t>
  </si>
  <si>
    <t>ST-1880BB-70290-025</t>
  </si>
  <si>
    <t>ST-1880BB-70290-028</t>
  </si>
  <si>
    <t>ST-1880BB-70291-001</t>
  </si>
  <si>
    <t>ST-1880BB-70291-003</t>
  </si>
  <si>
    <t>ST-1880BB-70291-008</t>
  </si>
  <si>
    <t>ST-1880BB-70291-010</t>
  </si>
  <si>
    <t>ST-1880BB-70291-011</t>
  </si>
  <si>
    <t>ST-1880BB-70291-013</t>
  </si>
  <si>
    <t>ST-1880BB-70291-002</t>
  </si>
  <si>
    <t>ST-1880BB-70291-009</t>
  </si>
  <si>
    <t>ST-1880BB-70291-012</t>
  </si>
  <si>
    <t>ST-1880BB-70291-014</t>
  </si>
  <si>
    <t>ST-1880BB-70291-017</t>
  </si>
  <si>
    <t>ST-1880BB-70291-021</t>
  </si>
  <si>
    <t>ST-1880BB-70291-015</t>
  </si>
  <si>
    <t>ST-1880BB-70291-016</t>
  </si>
  <si>
    <t>ST-1880BB-70291-019</t>
  </si>
  <si>
    <t>ST-1880BB-70291-023</t>
  </si>
  <si>
    <t>ST-1880BB-70291-030</t>
  </si>
  <si>
    <t>ST-1880BB-70291-032</t>
  </si>
  <si>
    <t>ST-1880BB-70291-018</t>
  </si>
  <si>
    <t>ST-1880BB-70291-022</t>
  </si>
  <si>
    <t>ST-1880BB-70291-025</t>
  </si>
  <si>
    <t>ST-1880BB-70291-031</t>
  </si>
  <si>
    <t>ST-1880BB-70291-033</t>
  </si>
  <si>
    <t>ST-1880BB-70291-020</t>
  </si>
  <si>
    <t>ST-1880BB-70291-024</t>
  </si>
  <si>
    <t>ST-1880BB-70291-026</t>
  </si>
  <si>
    <t>ST-1880BB-70291-027</t>
  </si>
  <si>
    <t>ST-1880BB-70291-029</t>
  </si>
  <si>
    <t>ST-1880BB-70291-028</t>
  </si>
  <si>
    <t>ST-1880BB-70291-034</t>
  </si>
  <si>
    <t>ST-1880BB-70291-035</t>
  </si>
  <si>
    <t>ST-1880BB-70292-001</t>
  </si>
  <si>
    <t>ST-1880BB-70292-002</t>
  </si>
  <si>
    <t>ST-1880BB-70292-003</t>
  </si>
  <si>
    <t>ST-1880BB-70292-005</t>
  </si>
  <si>
    <t>ST-1880BB-70292-006</t>
  </si>
  <si>
    <t>ST-1880BB-70292-008</t>
  </si>
  <si>
    <t>ST-1880BB-70292-009</t>
  </si>
  <si>
    <t>SRTBO-01</t>
  </si>
  <si>
    <t>SRTBO-50</t>
  </si>
  <si>
    <t>SRTBO-51</t>
  </si>
  <si>
    <t>ST-1880BB-70292-004</t>
  </si>
  <si>
    <t>ST-1880BB-70292-007</t>
  </si>
  <si>
    <t>SR70323-1</t>
  </si>
  <si>
    <t>SR70323-1-2</t>
  </si>
  <si>
    <t>SR70323-2</t>
  </si>
  <si>
    <t>1880BB-T-70287</t>
  </si>
  <si>
    <t>ST-1880BB-70289-002</t>
  </si>
  <si>
    <t>ST-1880BB-70289-010</t>
  </si>
  <si>
    <t>ST-1880BB-70289-003</t>
  </si>
  <si>
    <t>ST-1880BB-70289-004</t>
  </si>
  <si>
    <t>ST-1880BB-70289-005</t>
  </si>
  <si>
    <t>ST-1880BB-70289-006</t>
  </si>
  <si>
    <t>ST-1880BB-70289-007</t>
  </si>
  <si>
    <t>ST-1880BB-70289-008</t>
  </si>
  <si>
    <t>ST-1880BB-70289-009</t>
  </si>
  <si>
    <t>ST-1880BB-70290-004</t>
  </si>
  <si>
    <t>ST-1880BB-70290-007</t>
  </si>
  <si>
    <t>ST-1880BB-70290-008</t>
  </si>
  <si>
    <t>ST-1880BB-70290-009</t>
  </si>
  <si>
    <t>ST-1880BB-70290-012</t>
  </si>
  <si>
    <t>ST-1880BB-70290-014</t>
  </si>
  <si>
    <t>ST-1880BB-70290-017</t>
  </si>
  <si>
    <t>ST-1880BB-70290-018</t>
  </si>
  <si>
    <t>ST-1880BB-70290-020</t>
  </si>
  <si>
    <t>ST-1880BB-70290-021</t>
  </si>
  <si>
    <t>ST-1880BB-70290-013</t>
  </si>
  <si>
    <t>ST-1880BB-70290-019</t>
  </si>
  <si>
    <t>ST-1880BB-70290-022</t>
  </si>
  <si>
    <t>ST-1880BB-70290-015</t>
  </si>
  <si>
    <t>ST-1880BB-70290-016</t>
  </si>
  <si>
    <t>ST-1880BB-70290-027</t>
  </si>
  <si>
    <t>ST-1880BB-70290-030</t>
  </si>
  <si>
    <t>ST-1880BB-70290-031</t>
  </si>
  <si>
    <t>ST-1880BB-70290-032</t>
  </si>
  <si>
    <t>ST-1880BB-70290-033</t>
  </si>
  <si>
    <t>ST-1880BB-70290-034</t>
  </si>
  <si>
    <t>ST-1880BB-70291-004</t>
  </si>
  <si>
    <t>ST-1880BB-70291-005</t>
  </si>
  <si>
    <t>ST-1880BB-70291-006</t>
  </si>
  <si>
    <t>ST-1880BB-70291-007</t>
  </si>
  <si>
    <t>ST-1880BB-70292-010</t>
  </si>
  <si>
    <t>ST-1880BB-70292-011</t>
  </si>
  <si>
    <t>ST-1880BB-70292-012</t>
  </si>
  <si>
    <t>ST-1880BB-70292-013</t>
  </si>
  <si>
    <t>ST-1880BB-70289-001</t>
  </si>
  <si>
    <t>ST-1880BB-70289-011</t>
  </si>
  <si>
    <t>ST-1880BB-70289-012</t>
  </si>
  <si>
    <t>ST-1880BB-70289-013</t>
  </si>
  <si>
    <t>ST-1880BB-70289-014</t>
  </si>
  <si>
    <t>1880BB-T-70302</t>
  </si>
  <si>
    <t>ST-1880BB-70306-008</t>
  </si>
  <si>
    <t>ST-1880BB-70306-011</t>
  </si>
  <si>
    <t>ST-1880BB-70306-013</t>
  </si>
  <si>
    <t>ST-1880BB-70306-029</t>
  </si>
  <si>
    <t>ST-1880BB-70306-034</t>
  </si>
  <si>
    <t>1880BB-T-70309</t>
  </si>
  <si>
    <t>SUPORTE ( TUBULAÇÃO )</t>
  </si>
  <si>
    <t>ENTREGUE ( PLATÔ ) Anderson</t>
  </si>
  <si>
    <t>LOCALIZADO STWART</t>
  </si>
  <si>
    <t>TAG</t>
  </si>
  <si>
    <t>CADERNO DE SUPORTE</t>
  </si>
  <si>
    <t xml:space="preserve">STATUS </t>
  </si>
  <si>
    <t>Pç</t>
  </si>
  <si>
    <t>Em Compra</t>
  </si>
  <si>
    <t>SISTEMA</t>
  </si>
  <si>
    <t>ENTREGUE ( PLATÔ )</t>
  </si>
  <si>
    <t>Medido fornecimento</t>
  </si>
  <si>
    <t xml:space="preserve">Medido Montagem </t>
  </si>
  <si>
    <t xml:space="preserve">Avanço de medição </t>
  </si>
  <si>
    <t>SUPORTE (ELÉTRICA )</t>
  </si>
  <si>
    <t>PROJETO DE MONTAGEM</t>
  </si>
  <si>
    <t>1310KN-E-5000065</t>
  </si>
  <si>
    <t>DT-1000KN-E-500002</t>
  </si>
  <si>
    <t>FL</t>
  </si>
  <si>
    <t>PENEIRAMENTO SECUNDÁRIO</t>
  </si>
  <si>
    <t>EIXO</t>
  </si>
  <si>
    <t>24@23</t>
  </si>
  <si>
    <t>EDIFICAÇÃO</t>
  </si>
  <si>
    <t>ED-131K-01</t>
  </si>
  <si>
    <t>Metragem</t>
  </si>
  <si>
    <t>DT-FC-05A</t>
  </si>
  <si>
    <t>23@22</t>
  </si>
  <si>
    <t>22@21</t>
  </si>
  <si>
    <t>21@20</t>
  </si>
  <si>
    <t>20@19</t>
  </si>
  <si>
    <t>19@18</t>
  </si>
  <si>
    <t>18@17</t>
  </si>
  <si>
    <t>17@16</t>
  </si>
  <si>
    <t>16@15</t>
  </si>
  <si>
    <t>15@14</t>
  </si>
  <si>
    <t>14@13</t>
  </si>
  <si>
    <t>13@12</t>
  </si>
  <si>
    <t>12@11</t>
  </si>
  <si>
    <t>11@10</t>
  </si>
  <si>
    <t>10@09</t>
  </si>
  <si>
    <t>09@08</t>
  </si>
  <si>
    <t>08@07</t>
  </si>
  <si>
    <t>DT-FC-06B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</si>
</sst>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 #,##0.00_-;_-* &quot;-&quot;??_-;_-@_-"/>
    <numFmt numFmtId="164" formatCode="_-* #,##0.00000000_-;\-* #,##0.00000000_-;_-* &quot;-&quot;????????_-;_-@_-"/>
    <numFmt numFmtId="165" formatCode="_-* #,##0.000000000_-;\-* #,##0.000000000_-;_-* &quot;-&quot;????????_-;_-@_-"/>
    <numFmt numFmtId="166" formatCode="_-* #,##0.000000_-;\-* #,##0.000000_-;_-* &quot;-&quot;??_-;_-@_-"/>
    <numFmt numFmtId="167" formatCode="0000"/>
    <numFmt numFmtId="168" formatCode="dd/mm/yy"/>
    <numFmt numFmtId="169" formatCode="dd/mm"/>
    <numFmt numFmtId="170" formatCode="&quot;S-&quot;000"/>
    <numFmt numFmtId="171" formatCode="ddd"/>
    <numFmt numFmtId="172" formatCode="[$-416]mmm\-yy;@"/>
    <numFmt numFmtId="173" formatCode="00"/>
    <numFmt numFmtId="174" formatCode="000"/>
    <numFmt numFmtId="175" formatCode="#,##0.0"/>
    <numFmt numFmtId="176" formatCode="_(* #,##0.00_);_(* \(#,##0.00\);_(* &quot;-&quot;??_);_(@_)"/>
    <numFmt numFmtId="177" formatCode="_-* #,##0.00_-;\-* #,##0.00_-;_-* &quot;-&quot;????????_-;_-@_-"/>
  </numFmts>
  <fonts count="22" x14ac:knownFonts="1">
    <font>
      <sz val="11"/>
      <color theme="1"/>
      <name val="Calibri"/>
      <family val="2"/>
      <scheme val="minor"/>
    </font>
    <font>
      <sz val="11"/>
      <color theme="1"/>
      <name val="Calibri"/>
      <family val="2"/>
      <scheme val="minor"/>
    </font>
    <font>
      <b/>
      <sz val="9"/>
      <color theme="0"/>
      <name val="Calibri"/>
      <family val="2"/>
      <scheme val="minor"/>
    </font>
    <font>
      <b/>
      <sz val="9"/>
      <color theme="1"/>
      <name val="Calibri"/>
      <family val="2"/>
      <scheme val="minor"/>
    </font>
    <font>
      <b/>
      <i/>
      <sz val="9"/>
      <name val="Calibri"/>
      <family val="2"/>
      <scheme val="minor"/>
    </font>
    <font>
      <b/>
      <sz val="9"/>
      <name val="Calibri"/>
      <family val="2"/>
      <scheme val="minor"/>
    </font>
    <font>
      <sz val="9"/>
      <color theme="1"/>
      <name val="Calibri"/>
      <family val="2"/>
      <scheme val="minor"/>
    </font>
    <font>
      <b/>
      <sz val="11"/>
      <color theme="1"/>
      <name val="Calibri"/>
      <family val="2"/>
      <scheme val="minor"/>
    </font>
    <font>
      <sz val="8"/>
      <name val="Calibri"/>
      <family val="2"/>
      <scheme val="minor"/>
    </font>
    <font>
      <b/>
      <i/>
      <sz val="9"/>
      <color rgb="FFFF0000"/>
      <name val="Calibri"/>
      <family val="2"/>
      <scheme val="minor"/>
    </font>
    <font>
      <i/>
      <sz val="9"/>
      <color rgb="FFFF0000"/>
      <name val="Calibri"/>
      <family val="2"/>
      <scheme val="minor"/>
    </font>
    <font>
      <i/>
      <sz val="9"/>
      <color theme="1"/>
      <name val="Calibri"/>
      <family val="2"/>
      <scheme val="minor"/>
    </font>
    <font>
      <b/>
      <sz val="12"/>
      <name val="Calibri"/>
      <family val="2"/>
      <scheme val="minor"/>
    </font>
    <font>
      <b/>
      <sz val="8"/>
      <name val="Calibri"/>
      <family val="2"/>
      <scheme val="minor"/>
    </font>
    <font>
      <sz val="10"/>
      <name val="Times New Roman"/>
      <family val="1"/>
    </font>
    <font>
      <sz val="10"/>
      <name val="Arial"/>
      <family val="2"/>
    </font>
    <font>
      <b/>
      <i/>
      <sz val="8"/>
      <name val="Calibri"/>
      <family val="2"/>
      <scheme val="minor"/>
    </font>
    <font>
      <b/>
      <sz val="8"/>
      <color theme="1"/>
      <name val="Calibri"/>
      <family val="2"/>
      <scheme val="minor"/>
    </font>
    <font>
      <i/>
      <sz val="8"/>
      <name val="Calibri"/>
      <family val="2"/>
      <scheme val="minor"/>
    </font>
    <font>
      <sz val="9"/>
      <color rgb="FFFF0000"/>
      <name val="Calibri"/>
      <family val="2"/>
      <scheme val="minor"/>
    </font>
    <font>
      <sz val="9"/>
      <name val="Calibri"/>
      <family val="2"/>
      <scheme val="minor"/>
    </font>
    <font>
      <u/>
      <sz val="11"/>
      <color theme="10"/>
      <name val="Calibri"/>
      <family val="2"/>
      <scheme val="minor"/>
    </font>
  </fonts>
  <fills count="28">
    <fill>
      <patternFill patternType="none"/>
    </fill>
    <fill>
      <patternFill patternType="gray125"/>
    </fill>
    <fill>
      <patternFill patternType="solid">
        <fgColor theme="1" tint="0.249977111117893"/>
        <bgColor indexed="64"/>
      </patternFill>
    </fill>
    <fill>
      <patternFill patternType="solid">
        <fgColor rgb="FF023A2F"/>
        <bgColor indexed="64"/>
      </patternFill>
    </fill>
    <fill>
      <patternFill patternType="solid">
        <fgColor rgb="FF04745F"/>
        <bgColor indexed="64"/>
      </patternFill>
    </fill>
    <fill>
      <patternFill patternType="solid">
        <fgColor rgb="FF06C29E"/>
        <bgColor indexed="64"/>
      </patternFill>
    </fill>
    <fill>
      <patternFill patternType="solid">
        <fgColor theme="1" tint="4.9989318521683403E-2"/>
        <bgColor indexed="64"/>
      </patternFill>
    </fill>
    <fill>
      <patternFill patternType="solid">
        <fgColor rgb="FFDB9E15"/>
        <bgColor indexed="64"/>
      </patternFill>
    </fill>
    <fill>
      <patternFill patternType="solid">
        <fgColor rgb="FFF2CC76"/>
        <bgColor indexed="64"/>
      </patternFill>
    </fill>
    <fill>
      <patternFill patternType="solid">
        <fgColor rgb="FFE84B1A"/>
        <bgColor indexed="64"/>
      </patternFill>
    </fill>
    <fill>
      <patternFill patternType="solid">
        <fgColor theme="6" tint="0.59999389629810485"/>
        <bgColor indexed="64"/>
      </patternFill>
    </fill>
    <fill>
      <patternFill patternType="solid">
        <fgColor theme="1" tint="0.499984740745262"/>
        <bgColor indexed="64"/>
      </patternFill>
    </fill>
    <fill>
      <patternFill patternType="solid">
        <fgColor theme="1"/>
        <bgColor indexed="64"/>
      </patternFill>
    </fill>
    <fill>
      <patternFill patternType="solid">
        <fgColor theme="6" tint="0.79998168889431442"/>
        <bgColor indexed="64"/>
      </patternFill>
    </fill>
    <fill>
      <patternFill patternType="solid">
        <fgColor rgb="FFFF0000"/>
        <bgColor indexed="64"/>
      </patternFill>
    </fill>
    <fill>
      <patternFill patternType="solid">
        <fgColor theme="9" tint="-0.249977111117893"/>
        <bgColor indexed="64"/>
      </patternFill>
    </fill>
    <fill>
      <patternFill patternType="solid">
        <fgColor theme="4" tint="-0.249977111117893"/>
        <bgColor indexed="64"/>
      </patternFill>
    </fill>
    <fill>
      <patternFill patternType="solid">
        <fgColor theme="8" tint="0.59999389629810485"/>
        <bgColor indexed="64"/>
      </patternFill>
    </fill>
    <fill>
      <patternFill patternType="solid">
        <fgColor indexed="53"/>
        <bgColor indexed="64"/>
      </patternFill>
    </fill>
    <fill>
      <patternFill patternType="solid">
        <fgColor indexed="52"/>
        <bgColor indexed="64"/>
      </patternFill>
    </fill>
    <fill>
      <patternFill patternType="solid">
        <fgColor indexed="51"/>
        <bgColor indexed="64"/>
      </patternFill>
    </fill>
    <fill>
      <patternFill patternType="solid">
        <fgColor indexed="43"/>
        <bgColor indexed="64"/>
      </patternFill>
    </fill>
    <fill>
      <patternFill patternType="solid">
        <fgColor theme="9" tint="0.39997558519241921"/>
        <bgColor indexed="64"/>
      </patternFill>
    </fill>
    <fill>
      <patternFill patternType="solid">
        <fgColor rgb="FFFF9900"/>
        <bgColor indexed="64"/>
      </patternFill>
    </fill>
    <fill>
      <patternFill patternType="solid">
        <fgColor rgb="FFFFCC00"/>
        <bgColor indexed="64"/>
      </patternFill>
    </fill>
    <fill>
      <patternFill patternType="solid">
        <fgColor rgb="FFFFFF99"/>
        <bgColor indexed="64"/>
      </patternFill>
    </fill>
    <fill>
      <patternFill patternType="solid">
        <fgColor rgb="FFFCD5B4"/>
        <bgColor indexed="64"/>
      </patternFill>
    </fill>
    <fill>
      <patternFill patternType="solid">
        <fgColor rgb="FFFFC000"/>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style="thin">
        <color indexed="64"/>
      </right>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s>
  <cellStyleXfs count="12">
    <xf numFmtId="0" fontId="0" fillId="0" borderId="0"/>
    <xf numFmtId="43" fontId="1" fillId="0" borderId="0" applyFont="0" applyFill="0" applyBorder="0" applyAlignment="0" applyProtection="0"/>
    <xf numFmtId="9" fontId="1" fillId="0" borderId="0" applyFont="0" applyFill="0" applyBorder="0" applyAlignment="0" applyProtection="0"/>
    <xf numFmtId="172" fontId="1" fillId="0" borderId="0"/>
    <xf numFmtId="0" fontId="14" fillId="0" borderId="0"/>
    <xf numFmtId="0" fontId="15" fillId="0" borderId="0"/>
    <xf numFmtId="0" fontId="14" fillId="0" borderId="0"/>
    <xf numFmtId="0" fontId="14" fillId="0" borderId="0"/>
    <xf numFmtId="0" fontId="15" fillId="0" borderId="0"/>
    <xf numFmtId="176" fontId="15" fillId="0" borderId="0" applyFont="0" applyFill="0" applyBorder="0" applyAlignment="0" applyProtection="0"/>
    <xf numFmtId="43" fontId="15" fillId="0" borderId="0" applyFont="0" applyFill="0" applyBorder="0" applyAlignment="0" applyProtection="0"/>
    <xf numFmtId="0" fontId="21" fillId="0" borderId="0" applyNumberFormat="0" applyFill="0" applyBorder="0" applyAlignment="0" applyProtection="0"/>
  </cellStyleXfs>
  <cellXfs count="448">
    <xf numFmtId="0" fontId="0" fillId="0" borderId="0" xfId="0"/>
    <xf numFmtId="0" fontId="6" fillId="0" borderId="1" xfId="0" applyFont="1" applyBorder="1" applyAlignment="1">
      <alignment horizontal="center" vertical="center"/>
    </xf>
    <xf numFmtId="0" fontId="6" fillId="0" borderId="0" xfId="0" applyFont="1" applyAlignment="1">
      <alignment horizontal="center" vertical="top"/>
    </xf>
    <xf numFmtId="43" fontId="6" fillId="0" borderId="1" xfId="1" applyFont="1" applyBorder="1" applyAlignment="1">
      <alignment horizontal="center" vertical="center"/>
    </xf>
    <xf numFmtId="0" fontId="2" fillId="3" borderId="1" xfId="0" applyFont="1" applyFill="1" applyBorder="1" applyAlignment="1">
      <alignment horizontal="center" vertical="top"/>
    </xf>
    <xf numFmtId="164" fontId="2" fillId="2" borderId="1" xfId="1" applyNumberFormat="1" applyFont="1" applyFill="1" applyBorder="1" applyAlignment="1">
      <alignment horizontal="center" vertical="top" wrapText="1"/>
    </xf>
    <xf numFmtId="9" fontId="4" fillId="7" borderId="1" xfId="2" applyFont="1" applyFill="1" applyBorder="1" applyAlignment="1">
      <alignment horizontal="center" vertical="top" wrapText="1"/>
    </xf>
    <xf numFmtId="9" fontId="4" fillId="9" borderId="1" xfId="2" applyFont="1" applyFill="1" applyBorder="1" applyAlignment="1">
      <alignment horizontal="center" vertical="top" wrapText="1"/>
    </xf>
    <xf numFmtId="0" fontId="6" fillId="0" borderId="0" xfId="0" applyFont="1" applyAlignment="1">
      <alignment horizontal="center" vertical="center"/>
    </xf>
    <xf numFmtId="0" fontId="3" fillId="0" borderId="0" xfId="0" applyFont="1" applyAlignment="1">
      <alignment horizontal="center" vertical="center"/>
    </xf>
    <xf numFmtId="43" fontId="6" fillId="0" borderId="0" xfId="1" applyFont="1" applyAlignment="1">
      <alignment horizontal="center" vertical="center"/>
    </xf>
    <xf numFmtId="43" fontId="0" fillId="0" borderId="0" xfId="1" applyFont="1"/>
    <xf numFmtId="43" fontId="3" fillId="0" borderId="0" xfId="1" applyFont="1" applyAlignment="1">
      <alignment horizontal="center" vertical="center"/>
    </xf>
    <xf numFmtId="0" fontId="3" fillId="0" borderId="0" xfId="0" applyFont="1" applyAlignment="1">
      <alignment horizontal="center" vertical="top" wrapText="1"/>
    </xf>
    <xf numFmtId="43" fontId="3" fillId="0" borderId="0" xfId="1" applyFont="1" applyAlignment="1">
      <alignment horizontal="center" vertical="top" wrapText="1"/>
    </xf>
    <xf numFmtId="0" fontId="7" fillId="0" borderId="0" xfId="0" applyFont="1" applyAlignment="1">
      <alignment vertical="top" wrapText="1"/>
    </xf>
    <xf numFmtId="0" fontId="6" fillId="0" borderId="0" xfId="0" applyFont="1" applyAlignment="1">
      <alignment horizontal="left" vertical="center"/>
    </xf>
    <xf numFmtId="0" fontId="2" fillId="11" borderId="0" xfId="0" applyFont="1" applyFill="1" applyAlignment="1">
      <alignment horizontal="left" vertical="center"/>
    </xf>
    <xf numFmtId="0" fontId="2" fillId="11" borderId="0" xfId="0" applyFont="1" applyFill="1" applyAlignment="1">
      <alignment horizontal="center" vertical="center"/>
    </xf>
    <xf numFmtId="9" fontId="6" fillId="0" borderId="0" xfId="2" applyFont="1" applyAlignment="1">
      <alignment horizontal="center" vertical="center"/>
    </xf>
    <xf numFmtId="9" fontId="6" fillId="0" borderId="1" xfId="2" applyFont="1" applyBorder="1" applyAlignment="1">
      <alignment horizontal="center" vertical="center"/>
    </xf>
    <xf numFmtId="9" fontId="6" fillId="0" borderId="1" xfId="0" applyNumberFormat="1" applyFont="1" applyBorder="1" applyAlignment="1">
      <alignment horizontal="center" vertical="center"/>
    </xf>
    <xf numFmtId="0" fontId="6" fillId="10" borderId="1" xfId="0" applyFont="1" applyFill="1" applyBorder="1" applyAlignment="1">
      <alignment horizontal="center" vertical="center"/>
    </xf>
    <xf numFmtId="43" fontId="6" fillId="10" borderId="1" xfId="1" applyFont="1" applyFill="1" applyBorder="1" applyAlignment="1">
      <alignment horizontal="center" vertical="center"/>
    </xf>
    <xf numFmtId="164" fontId="5" fillId="8" borderId="1" xfId="1" applyNumberFormat="1" applyFont="1" applyFill="1" applyBorder="1" applyAlignment="1">
      <alignment horizontal="center" vertical="top" wrapText="1"/>
    </xf>
    <xf numFmtId="164" fontId="5" fillId="7" borderId="1" xfId="1" applyNumberFormat="1" applyFont="1" applyFill="1" applyBorder="1" applyAlignment="1">
      <alignment horizontal="center" vertical="top" wrapText="1"/>
    </xf>
    <xf numFmtId="164" fontId="5" fillId="9" borderId="1" xfId="1" applyNumberFormat="1" applyFont="1" applyFill="1" applyBorder="1" applyAlignment="1">
      <alignment horizontal="center" vertical="top" wrapText="1"/>
    </xf>
    <xf numFmtId="49" fontId="6" fillId="10" borderId="1" xfId="0" applyNumberFormat="1" applyFont="1" applyFill="1" applyBorder="1" applyAlignment="1">
      <alignment horizontal="center" vertical="center"/>
    </xf>
    <xf numFmtId="49" fontId="6" fillId="0" borderId="1" xfId="0" applyNumberFormat="1" applyFont="1" applyBorder="1" applyAlignment="1">
      <alignment horizontal="center" vertical="center"/>
    </xf>
    <xf numFmtId="49" fontId="6" fillId="0" borderId="0" xfId="0" applyNumberFormat="1" applyFont="1" applyAlignment="1">
      <alignment horizontal="center" vertical="center"/>
    </xf>
    <xf numFmtId="164" fontId="6" fillId="0" borderId="0" xfId="1" applyNumberFormat="1" applyFont="1" applyAlignment="1">
      <alignment horizontal="center" vertical="center"/>
    </xf>
    <xf numFmtId="0" fontId="9" fillId="0" borderId="0" xfId="0" applyFont="1" applyAlignment="1">
      <alignment horizontal="center" vertical="center"/>
    </xf>
    <xf numFmtId="0" fontId="10" fillId="0" borderId="0" xfId="0" applyFont="1" applyAlignment="1">
      <alignment horizontal="center" vertical="center"/>
    </xf>
    <xf numFmtId="0" fontId="9" fillId="0" borderId="0" xfId="0" applyFont="1" applyAlignment="1">
      <alignment horizontal="center" vertical="center" wrapText="1"/>
    </xf>
    <xf numFmtId="0" fontId="6" fillId="12" borderId="0" xfId="0" applyFont="1" applyFill="1" applyAlignment="1">
      <alignment horizontal="center" vertical="center"/>
    </xf>
    <xf numFmtId="49" fontId="6" fillId="12" borderId="0" xfId="0" applyNumberFormat="1" applyFont="1" applyFill="1" applyAlignment="1">
      <alignment horizontal="center" vertical="center"/>
    </xf>
    <xf numFmtId="43" fontId="6" fillId="12" borderId="0" xfId="1" applyFont="1" applyFill="1" applyAlignment="1">
      <alignment horizontal="center" vertical="center"/>
    </xf>
    <xf numFmtId="9" fontId="11" fillId="0" borderId="0" xfId="2" applyFont="1" applyAlignment="1">
      <alignment horizontal="center" vertical="center"/>
    </xf>
    <xf numFmtId="9" fontId="11" fillId="0" borderId="1" xfId="2" applyFont="1" applyBorder="1" applyAlignment="1">
      <alignment horizontal="center" vertical="center"/>
    </xf>
    <xf numFmtId="165" fontId="6" fillId="0" borderId="0" xfId="1" applyNumberFormat="1" applyFont="1" applyAlignment="1">
      <alignment horizontal="center" vertical="center"/>
    </xf>
    <xf numFmtId="165" fontId="5" fillId="9" borderId="1" xfId="1" applyNumberFormat="1" applyFont="1" applyFill="1" applyBorder="1" applyAlignment="1">
      <alignment horizontal="center" vertical="top" wrapText="1"/>
    </xf>
    <xf numFmtId="166" fontId="6" fillId="0" borderId="0" xfId="1" applyNumberFormat="1" applyFont="1" applyAlignment="1">
      <alignment horizontal="center" vertical="center"/>
    </xf>
    <xf numFmtId="166" fontId="6" fillId="10" borderId="1" xfId="1" applyNumberFormat="1" applyFont="1" applyFill="1" applyBorder="1" applyAlignment="1">
      <alignment horizontal="center" vertical="center"/>
    </xf>
    <xf numFmtId="166" fontId="6" fillId="0" borderId="1" xfId="1" applyNumberFormat="1" applyFont="1" applyBorder="1" applyAlignment="1">
      <alignment horizontal="center" vertical="center"/>
    </xf>
    <xf numFmtId="166" fontId="6" fillId="12" borderId="0" xfId="1" applyNumberFormat="1" applyFont="1" applyFill="1" applyAlignment="1">
      <alignment horizontal="center" vertical="center"/>
    </xf>
    <xf numFmtId="0" fontId="6" fillId="13" borderId="0" xfId="0" applyFont="1" applyFill="1" applyAlignment="1">
      <alignment horizontal="center" vertical="center"/>
    </xf>
    <xf numFmtId="167" fontId="3" fillId="0" borderId="0" xfId="0" applyNumberFormat="1" applyFont="1" applyAlignment="1">
      <alignment horizontal="center" vertical="center"/>
    </xf>
    <xf numFmtId="168" fontId="3" fillId="0" borderId="0" xfId="0" applyNumberFormat="1" applyFont="1" applyAlignment="1">
      <alignment horizontal="center" vertical="center"/>
    </xf>
    <xf numFmtId="169" fontId="3" fillId="0" borderId="0" xfId="0" applyNumberFormat="1" applyFont="1" applyAlignment="1">
      <alignment horizontal="center" vertical="center"/>
    </xf>
    <xf numFmtId="170" fontId="3" fillId="0" borderId="0" xfId="0" applyNumberFormat="1" applyFont="1" applyAlignment="1">
      <alignment horizontal="center" vertical="center"/>
    </xf>
    <xf numFmtId="168" fontId="3" fillId="0" borderId="0" xfId="0" applyNumberFormat="1" applyFont="1" applyAlignment="1">
      <alignment horizontal="center" vertical="center" wrapText="1"/>
    </xf>
    <xf numFmtId="167" fontId="6" fillId="0" borderId="0" xfId="0" applyNumberFormat="1" applyFont="1" applyAlignment="1">
      <alignment horizontal="center" vertical="center"/>
    </xf>
    <xf numFmtId="168" fontId="6" fillId="0" borderId="0" xfId="0" applyNumberFormat="1" applyFont="1" applyAlignment="1">
      <alignment horizontal="center" vertical="center"/>
    </xf>
    <xf numFmtId="171" fontId="6" fillId="0" borderId="0" xfId="0" applyNumberFormat="1" applyFont="1" applyAlignment="1">
      <alignment horizontal="center" vertical="center"/>
    </xf>
    <xf numFmtId="170" fontId="6" fillId="0" borderId="0" xfId="0" applyNumberFormat="1" applyFont="1" applyAlignment="1">
      <alignment horizontal="center" vertical="center"/>
    </xf>
    <xf numFmtId="168" fontId="6" fillId="0" borderId="0" xfId="0" applyNumberFormat="1" applyFont="1" applyAlignment="1">
      <alignment horizontal="center" vertical="center" wrapText="1"/>
    </xf>
    <xf numFmtId="9" fontId="6" fillId="0" borderId="0" xfId="0" applyNumberFormat="1" applyFont="1" applyAlignment="1">
      <alignment horizontal="center" vertical="center"/>
    </xf>
    <xf numFmtId="14" fontId="6" fillId="0" borderId="0" xfId="0" applyNumberFormat="1" applyFont="1" applyAlignment="1">
      <alignment horizontal="center" vertical="center"/>
    </xf>
    <xf numFmtId="169" fontId="6" fillId="0" borderId="0" xfId="0" applyNumberFormat="1" applyFont="1" applyAlignment="1">
      <alignment horizontal="center" vertical="center"/>
    </xf>
    <xf numFmtId="0" fontId="11" fillId="10" borderId="1" xfId="0" applyFont="1" applyFill="1" applyBorder="1" applyAlignment="1">
      <alignment horizontal="center" vertical="center"/>
    </xf>
    <xf numFmtId="49" fontId="11" fillId="10" borderId="1" xfId="0" applyNumberFormat="1" applyFont="1" applyFill="1" applyBorder="1" applyAlignment="1">
      <alignment horizontal="center" vertical="center"/>
    </xf>
    <xf numFmtId="43" fontId="11" fillId="10" borderId="1" xfId="1" applyFont="1" applyFill="1" applyBorder="1" applyAlignment="1">
      <alignment horizontal="center" vertical="center"/>
    </xf>
    <xf numFmtId="166" fontId="11" fillId="10" borderId="1" xfId="1" applyNumberFormat="1" applyFont="1" applyFill="1" applyBorder="1" applyAlignment="1">
      <alignment horizontal="center" vertical="center"/>
    </xf>
    <xf numFmtId="0" fontId="11" fillId="0" borderId="0" xfId="0" applyFont="1" applyAlignment="1">
      <alignment horizontal="center" vertical="center"/>
    </xf>
    <xf numFmtId="0" fontId="11" fillId="0" borderId="1" xfId="0" applyFont="1" applyBorder="1" applyAlignment="1">
      <alignment horizontal="center" vertical="center"/>
    </xf>
    <xf numFmtId="49" fontId="11" fillId="0" borderId="1" xfId="0" applyNumberFormat="1" applyFont="1" applyBorder="1" applyAlignment="1">
      <alignment horizontal="center" vertical="center"/>
    </xf>
    <xf numFmtId="43" fontId="11" fillId="0" borderId="1" xfId="1" applyFont="1" applyBorder="1" applyAlignment="1">
      <alignment horizontal="center" vertical="center"/>
    </xf>
    <xf numFmtId="166" fontId="11" fillId="0" borderId="1" xfId="1" applyNumberFormat="1" applyFont="1" applyBorder="1" applyAlignment="1">
      <alignment horizontal="center" vertical="center"/>
    </xf>
    <xf numFmtId="164" fontId="11" fillId="0" borderId="1" xfId="1" applyNumberFormat="1" applyFont="1" applyBorder="1" applyAlignment="1">
      <alignment horizontal="center" vertical="center"/>
    </xf>
    <xf numFmtId="165" fontId="11" fillId="0" borderId="1" xfId="1" applyNumberFormat="1" applyFont="1" applyBorder="1" applyAlignment="1">
      <alignment horizontal="center" vertical="center"/>
    </xf>
    <xf numFmtId="9" fontId="6" fillId="0" borderId="1" xfId="2" applyFont="1" applyFill="1" applyBorder="1" applyAlignment="1">
      <alignment horizontal="center" vertical="center"/>
    </xf>
    <xf numFmtId="0" fontId="2" fillId="3" borderId="2" xfId="0" applyFont="1" applyFill="1" applyBorder="1" applyAlignment="1">
      <alignment horizontal="center" vertical="top" wrapText="1"/>
    </xf>
    <xf numFmtId="0" fontId="2" fillId="6" borderId="2" xfId="0" applyFont="1" applyFill="1" applyBorder="1" applyAlignment="1">
      <alignment horizontal="center" vertical="top" wrapText="1"/>
    </xf>
    <xf numFmtId="0" fontId="2" fillId="4" borderId="2" xfId="0" applyFont="1" applyFill="1" applyBorder="1" applyAlignment="1">
      <alignment horizontal="center" vertical="top"/>
    </xf>
    <xf numFmtId="49" fontId="5" fillId="5" borderId="2" xfId="0" applyNumberFormat="1" applyFont="1" applyFill="1" applyBorder="1" applyAlignment="1">
      <alignment horizontal="center" vertical="top" wrapText="1"/>
    </xf>
    <xf numFmtId="0" fontId="5" fillId="5" borderId="2" xfId="0" applyFont="1" applyFill="1" applyBorder="1" applyAlignment="1">
      <alignment horizontal="center" vertical="top" wrapText="1"/>
    </xf>
    <xf numFmtId="43" fontId="2" fillId="2" borderId="2" xfId="1" applyFont="1" applyFill="1" applyBorder="1" applyAlignment="1">
      <alignment horizontal="center" vertical="top"/>
    </xf>
    <xf numFmtId="166" fontId="2" fillId="2" borderId="2" xfId="1" applyNumberFormat="1" applyFont="1" applyFill="1" applyBorder="1" applyAlignment="1">
      <alignment horizontal="center" vertical="top" wrapText="1"/>
    </xf>
    <xf numFmtId="43" fontId="2" fillId="2" borderId="2" xfId="1" applyFont="1" applyFill="1" applyBorder="1" applyAlignment="1">
      <alignment horizontal="center" vertical="top" wrapText="1"/>
    </xf>
    <xf numFmtId="0" fontId="6" fillId="0" borderId="0" xfId="1" applyNumberFormat="1" applyFont="1" applyBorder="1" applyAlignment="1">
      <alignment horizontal="center" vertical="center"/>
    </xf>
    <xf numFmtId="166" fontId="6" fillId="0" borderId="0" xfId="1" applyNumberFormat="1" applyFont="1" applyBorder="1" applyAlignment="1">
      <alignment horizontal="center" vertical="center"/>
    </xf>
    <xf numFmtId="43" fontId="6" fillId="0" borderId="0" xfId="1" applyFont="1" applyBorder="1" applyAlignment="1">
      <alignment horizontal="center" vertical="center"/>
    </xf>
    <xf numFmtId="0" fontId="10" fillId="0" borderId="1" xfId="0" applyFont="1" applyBorder="1" applyAlignment="1">
      <alignment horizontal="center" vertical="center"/>
    </xf>
    <xf numFmtId="0" fontId="2" fillId="4" borderId="2" xfId="0" applyFont="1" applyFill="1" applyBorder="1" applyAlignment="1">
      <alignment horizontal="center" vertical="top" wrapText="1"/>
    </xf>
    <xf numFmtId="16" fontId="11" fillId="0" borderId="1" xfId="0" applyNumberFormat="1" applyFont="1" applyBorder="1" applyAlignment="1">
      <alignment horizontal="center" vertical="center"/>
    </xf>
    <xf numFmtId="0" fontId="0" fillId="0" borderId="0" xfId="0" pivotButton="1"/>
    <xf numFmtId="0" fontId="0" fillId="0" borderId="0" xfId="0" applyAlignment="1">
      <alignment horizontal="left"/>
    </xf>
    <xf numFmtId="0" fontId="2" fillId="14" borderId="2" xfId="0" applyFont="1" applyFill="1" applyBorder="1" applyAlignment="1">
      <alignment horizontal="center" vertical="top" wrapText="1"/>
    </xf>
    <xf numFmtId="9" fontId="4" fillId="15" borderId="1" xfId="2" applyFont="1" applyFill="1" applyBorder="1" applyAlignment="1">
      <alignment horizontal="center" vertical="top" wrapText="1"/>
    </xf>
    <xf numFmtId="9" fontId="4" fillId="16" borderId="1" xfId="2" applyFont="1" applyFill="1" applyBorder="1" applyAlignment="1">
      <alignment horizontal="center" vertical="top" wrapText="1"/>
    </xf>
    <xf numFmtId="0" fontId="8" fillId="0" borderId="0" xfId="4" applyFont="1" applyAlignment="1">
      <alignment vertical="center"/>
    </xf>
    <xf numFmtId="40" fontId="13" fillId="17" borderId="1" xfId="5" applyNumberFormat="1" applyFont="1" applyFill="1" applyBorder="1" applyAlignment="1">
      <alignment horizontal="center" vertical="center"/>
    </xf>
    <xf numFmtId="40" fontId="13" fillId="17" borderId="1" xfId="5" applyNumberFormat="1" applyFont="1" applyFill="1" applyBorder="1" applyAlignment="1">
      <alignment horizontal="center" vertical="center" wrapText="1"/>
    </xf>
    <xf numFmtId="0" fontId="13" fillId="18" borderId="14" xfId="5" applyFont="1" applyFill="1" applyBorder="1" applyAlignment="1">
      <alignment horizontal="left" vertical="center"/>
    </xf>
    <xf numFmtId="0" fontId="13" fillId="18" borderId="15" xfId="5" applyFont="1" applyFill="1" applyBorder="1" applyAlignment="1">
      <alignment horizontal="center" vertical="center"/>
    </xf>
    <xf numFmtId="0" fontId="13" fillId="18" borderId="16" xfId="5" applyFont="1" applyFill="1" applyBorder="1" applyAlignment="1">
      <alignment horizontal="center" vertical="center"/>
    </xf>
    <xf numFmtId="0" fontId="13" fillId="18" borderId="17" xfId="5" applyFont="1" applyFill="1" applyBorder="1" applyAlignment="1">
      <alignment horizontal="center" vertical="center"/>
    </xf>
    <xf numFmtId="173" fontId="13" fillId="18" borderId="17" xfId="5" applyNumberFormat="1" applyFont="1" applyFill="1" applyBorder="1" applyAlignment="1">
      <alignment horizontal="center" vertical="center"/>
    </xf>
    <xf numFmtId="174" fontId="13" fillId="18" borderId="18" xfId="5" applyNumberFormat="1" applyFont="1" applyFill="1" applyBorder="1" applyAlignment="1">
      <alignment horizontal="center" vertical="center"/>
    </xf>
    <xf numFmtId="0" fontId="13" fillId="18" borderId="19" xfId="5" applyFont="1" applyFill="1" applyBorder="1" applyAlignment="1">
      <alignment horizontal="left" vertical="center"/>
    </xf>
    <xf numFmtId="4" fontId="13" fillId="18" borderId="14" xfId="5" applyNumberFormat="1" applyFont="1" applyFill="1" applyBorder="1" applyAlignment="1">
      <alignment horizontal="center" vertical="center"/>
    </xf>
    <xf numFmtId="4" fontId="13" fillId="18" borderId="14" xfId="5" applyNumberFormat="1" applyFont="1" applyFill="1" applyBorder="1" applyAlignment="1">
      <alignment horizontal="right" vertical="center"/>
    </xf>
    <xf numFmtId="0" fontId="13" fillId="19" borderId="20" xfId="5" applyFont="1" applyFill="1" applyBorder="1" applyAlignment="1">
      <alignment horizontal="left" vertical="center"/>
    </xf>
    <xf numFmtId="0" fontId="13" fillId="19" borderId="16" xfId="5" applyFont="1" applyFill="1" applyBorder="1" applyAlignment="1">
      <alignment horizontal="center" vertical="center"/>
    </xf>
    <xf numFmtId="0" fontId="13" fillId="19" borderId="17" xfId="5" applyFont="1" applyFill="1" applyBorder="1" applyAlignment="1">
      <alignment horizontal="center" vertical="center"/>
    </xf>
    <xf numFmtId="173" fontId="13" fillId="19" borderId="17" xfId="5" applyNumberFormat="1" applyFont="1" applyFill="1" applyBorder="1" applyAlignment="1">
      <alignment horizontal="center" vertical="center"/>
    </xf>
    <xf numFmtId="174" fontId="13" fillId="19" borderId="18" xfId="5" applyNumberFormat="1" applyFont="1" applyFill="1" applyBorder="1" applyAlignment="1">
      <alignment horizontal="center" vertical="center"/>
    </xf>
    <xf numFmtId="0" fontId="13" fillId="19" borderId="18" xfId="5" applyFont="1" applyFill="1" applyBorder="1" applyAlignment="1">
      <alignment horizontal="left" vertical="center"/>
    </xf>
    <xf numFmtId="4" fontId="13" fillId="19" borderId="20" xfId="5" applyNumberFormat="1" applyFont="1" applyFill="1" applyBorder="1" applyAlignment="1">
      <alignment horizontal="center" vertical="center"/>
    </xf>
    <xf numFmtId="4" fontId="13" fillId="19" borderId="20" xfId="5" applyNumberFormat="1" applyFont="1" applyFill="1" applyBorder="1" applyAlignment="1">
      <alignment horizontal="right" vertical="center"/>
    </xf>
    <xf numFmtId="0" fontId="13" fillId="20" borderId="20" xfId="5" applyFont="1" applyFill="1" applyBorder="1" applyAlignment="1">
      <alignment horizontal="left" vertical="center"/>
    </xf>
    <xf numFmtId="0" fontId="13" fillId="20" borderId="16" xfId="5" applyFont="1" applyFill="1" applyBorder="1" applyAlignment="1">
      <alignment horizontal="center" vertical="center"/>
    </xf>
    <xf numFmtId="0" fontId="13" fillId="20" borderId="17" xfId="5" applyFont="1" applyFill="1" applyBorder="1" applyAlignment="1">
      <alignment horizontal="center" vertical="center"/>
    </xf>
    <xf numFmtId="173" fontId="13" fillId="20" borderId="17" xfId="5" applyNumberFormat="1" applyFont="1" applyFill="1" applyBorder="1" applyAlignment="1">
      <alignment horizontal="center" vertical="center"/>
    </xf>
    <xf numFmtId="174" fontId="13" fillId="20" borderId="18" xfId="5" applyNumberFormat="1" applyFont="1" applyFill="1" applyBorder="1" applyAlignment="1">
      <alignment horizontal="center" vertical="center"/>
    </xf>
    <xf numFmtId="0" fontId="13" fillId="20" borderId="18" xfId="5" applyFont="1" applyFill="1" applyBorder="1" applyAlignment="1">
      <alignment horizontal="left" vertical="center"/>
    </xf>
    <xf numFmtId="4" fontId="13" fillId="20" borderId="20" xfId="5" applyNumberFormat="1" applyFont="1" applyFill="1" applyBorder="1" applyAlignment="1">
      <alignment horizontal="center" vertical="center"/>
    </xf>
    <xf numFmtId="4" fontId="13" fillId="20" borderId="20" xfId="5" applyNumberFormat="1" applyFont="1" applyFill="1" applyBorder="1" applyAlignment="1">
      <alignment horizontal="right" vertical="center"/>
    </xf>
    <xf numFmtId="0" fontId="13" fillId="21" borderId="20" xfId="5" applyFont="1" applyFill="1" applyBorder="1" applyAlignment="1">
      <alignment horizontal="left" vertical="center"/>
    </xf>
    <xf numFmtId="0" fontId="13" fillId="21" borderId="16" xfId="5" applyFont="1" applyFill="1" applyBorder="1" applyAlignment="1">
      <alignment horizontal="center" vertical="center"/>
    </xf>
    <xf numFmtId="0" fontId="13" fillId="21" borderId="17" xfId="5" applyFont="1" applyFill="1" applyBorder="1" applyAlignment="1">
      <alignment horizontal="center" vertical="center"/>
    </xf>
    <xf numFmtId="173" fontId="13" fillId="21" borderId="17" xfId="5" applyNumberFormat="1" applyFont="1" applyFill="1" applyBorder="1" applyAlignment="1">
      <alignment horizontal="center" vertical="center"/>
    </xf>
    <xf numFmtId="174" fontId="13" fillId="21" borderId="18" xfId="5" applyNumberFormat="1" applyFont="1" applyFill="1" applyBorder="1" applyAlignment="1">
      <alignment horizontal="center" vertical="center"/>
    </xf>
    <xf numFmtId="0" fontId="13" fillId="21" borderId="18" xfId="5" applyFont="1" applyFill="1" applyBorder="1" applyAlignment="1">
      <alignment horizontal="left" vertical="center"/>
    </xf>
    <xf numFmtId="4" fontId="13" fillId="21" borderId="20" xfId="5" applyNumberFormat="1" applyFont="1" applyFill="1" applyBorder="1" applyAlignment="1">
      <alignment horizontal="center" vertical="center"/>
    </xf>
    <xf numFmtId="4" fontId="13" fillId="21" borderId="20" xfId="5" applyNumberFormat="1" applyFont="1" applyFill="1" applyBorder="1" applyAlignment="1">
      <alignment horizontal="right" vertical="center"/>
    </xf>
    <xf numFmtId="173" fontId="8" fillId="0" borderId="20" xfId="4" applyNumberFormat="1" applyFont="1" applyBorder="1" applyAlignment="1">
      <alignment horizontal="justify" vertical="center" wrapText="1"/>
    </xf>
    <xf numFmtId="173" fontId="8" fillId="0" borderId="16" xfId="4" applyNumberFormat="1" applyFont="1" applyBorder="1" applyAlignment="1">
      <alignment horizontal="center" vertical="center" wrapText="1"/>
    </xf>
    <xf numFmtId="173" fontId="8" fillId="0" borderId="17" xfId="4" applyNumberFormat="1" applyFont="1" applyBorder="1" applyAlignment="1">
      <alignment horizontal="center" vertical="center" wrapText="1"/>
    </xf>
    <xf numFmtId="174" fontId="8" fillId="0" borderId="18" xfId="4" applyNumberFormat="1" applyFont="1" applyBorder="1" applyAlignment="1">
      <alignment horizontal="center" vertical="center" wrapText="1"/>
    </xf>
    <xf numFmtId="175" fontId="8" fillId="0" borderId="18" xfId="4" applyNumberFormat="1" applyFont="1" applyBorder="1" applyAlignment="1">
      <alignment horizontal="center" vertical="center" wrapText="1"/>
    </xf>
    <xf numFmtId="4" fontId="8" fillId="0" borderId="20" xfId="4" applyNumberFormat="1" applyFont="1" applyBorder="1" applyAlignment="1">
      <alignment horizontal="center" vertical="center" wrapText="1"/>
    </xf>
    <xf numFmtId="4" fontId="8" fillId="0" borderId="20" xfId="4" applyNumberFormat="1" applyFont="1" applyBorder="1" applyAlignment="1">
      <alignment horizontal="right" vertical="center" wrapText="1"/>
    </xf>
    <xf numFmtId="0" fontId="13" fillId="20" borderId="20" xfId="5" applyFont="1" applyFill="1" applyBorder="1" applyAlignment="1">
      <alignment horizontal="left" vertical="center" wrapText="1"/>
    </xf>
    <xf numFmtId="0" fontId="13" fillId="20" borderId="16" xfId="5" applyFont="1" applyFill="1" applyBorder="1" applyAlignment="1">
      <alignment horizontal="center" vertical="center" wrapText="1"/>
    </xf>
    <xf numFmtId="0" fontId="13" fillId="20" borderId="17" xfId="5" applyFont="1" applyFill="1" applyBorder="1" applyAlignment="1">
      <alignment horizontal="center" vertical="center" wrapText="1"/>
    </xf>
    <xf numFmtId="173" fontId="13" fillId="20" borderId="17" xfId="5" applyNumberFormat="1" applyFont="1" applyFill="1" applyBorder="1" applyAlignment="1">
      <alignment horizontal="center" vertical="center" wrapText="1"/>
    </xf>
    <xf numFmtId="174" fontId="13" fillId="20" borderId="18" xfId="5" applyNumberFormat="1" applyFont="1" applyFill="1" applyBorder="1" applyAlignment="1">
      <alignment horizontal="center" vertical="center" wrapText="1"/>
    </xf>
    <xf numFmtId="175" fontId="13" fillId="20" borderId="18" xfId="5" applyNumberFormat="1" applyFont="1" applyFill="1" applyBorder="1" applyAlignment="1">
      <alignment horizontal="center" vertical="center" wrapText="1"/>
    </xf>
    <xf numFmtId="4" fontId="13" fillId="20" borderId="20" xfId="5" applyNumberFormat="1" applyFont="1" applyFill="1" applyBorder="1" applyAlignment="1">
      <alignment horizontal="center" vertical="center" wrapText="1"/>
    </xf>
    <xf numFmtId="4" fontId="13" fillId="20" borderId="20" xfId="5" applyNumberFormat="1" applyFont="1" applyFill="1" applyBorder="1" applyAlignment="1">
      <alignment horizontal="right" vertical="center" wrapText="1"/>
    </xf>
    <xf numFmtId="173" fontId="13" fillId="21" borderId="20" xfId="4" applyNumberFormat="1" applyFont="1" applyFill="1" applyBorder="1" applyAlignment="1">
      <alignment horizontal="justify" vertical="center" wrapText="1"/>
    </xf>
    <xf numFmtId="173" fontId="13" fillId="21" borderId="16" xfId="4" applyNumberFormat="1" applyFont="1" applyFill="1" applyBorder="1" applyAlignment="1">
      <alignment horizontal="center" vertical="center" wrapText="1"/>
    </xf>
    <xf numFmtId="173" fontId="13" fillId="21" borderId="17" xfId="4" applyNumberFormat="1" applyFont="1" applyFill="1" applyBorder="1" applyAlignment="1">
      <alignment horizontal="center" vertical="center" wrapText="1"/>
    </xf>
    <xf numFmtId="174" fontId="13" fillId="21" borderId="18" xfId="4" applyNumberFormat="1" applyFont="1" applyFill="1" applyBorder="1" applyAlignment="1">
      <alignment horizontal="center" vertical="center" wrapText="1"/>
    </xf>
    <xf numFmtId="175" fontId="13" fillId="21" borderId="18" xfId="4" applyNumberFormat="1" applyFont="1" applyFill="1" applyBorder="1" applyAlignment="1">
      <alignment horizontal="center" vertical="center" wrapText="1"/>
    </xf>
    <xf numFmtId="4" fontId="13" fillId="21" borderId="20" xfId="4" applyNumberFormat="1" applyFont="1" applyFill="1" applyBorder="1" applyAlignment="1">
      <alignment horizontal="center" vertical="center" wrapText="1"/>
    </xf>
    <xf numFmtId="4" fontId="13" fillId="21" borderId="20" xfId="4" applyNumberFormat="1" applyFont="1" applyFill="1" applyBorder="1" applyAlignment="1">
      <alignment horizontal="right" vertical="center" wrapText="1"/>
    </xf>
    <xf numFmtId="173" fontId="13" fillId="22" borderId="20" xfId="4" applyNumberFormat="1" applyFont="1" applyFill="1" applyBorder="1" applyAlignment="1">
      <alignment horizontal="justify" vertical="center" wrapText="1"/>
    </xf>
    <xf numFmtId="173" fontId="13" fillId="22" borderId="16" xfId="4" applyNumberFormat="1" applyFont="1" applyFill="1" applyBorder="1" applyAlignment="1">
      <alignment horizontal="center" vertical="center" wrapText="1"/>
    </xf>
    <xf numFmtId="173" fontId="13" fillId="22" borderId="17" xfId="4" applyNumberFormat="1" applyFont="1" applyFill="1" applyBorder="1" applyAlignment="1">
      <alignment horizontal="center" vertical="center" wrapText="1"/>
    </xf>
    <xf numFmtId="174" fontId="13" fillId="22" borderId="18" xfId="4" applyNumberFormat="1" applyFont="1" applyFill="1" applyBorder="1" applyAlignment="1">
      <alignment horizontal="center" vertical="center" wrapText="1"/>
    </xf>
    <xf numFmtId="175" fontId="13" fillId="22" borderId="18" xfId="4" applyNumberFormat="1" applyFont="1" applyFill="1" applyBorder="1" applyAlignment="1">
      <alignment horizontal="center" vertical="center" wrapText="1"/>
    </xf>
    <xf numFmtId="4" fontId="13" fillId="22" borderId="20" xfId="4" applyNumberFormat="1" applyFont="1" applyFill="1" applyBorder="1" applyAlignment="1">
      <alignment horizontal="center" vertical="center" wrapText="1"/>
    </xf>
    <xf numFmtId="4" fontId="13" fillId="22" borderId="20" xfId="4" applyNumberFormat="1" applyFont="1" applyFill="1" applyBorder="1" applyAlignment="1">
      <alignment horizontal="right" vertical="center" wrapText="1"/>
    </xf>
    <xf numFmtId="0" fontId="13" fillId="18" borderId="20" xfId="5" applyFont="1" applyFill="1" applyBorder="1" applyAlignment="1">
      <alignment horizontal="left" vertical="center"/>
    </xf>
    <xf numFmtId="175" fontId="13" fillId="18" borderId="18" xfId="5" applyNumberFormat="1" applyFont="1" applyFill="1" applyBorder="1" applyAlignment="1">
      <alignment horizontal="center" vertical="center"/>
    </xf>
    <xf numFmtId="4" fontId="13" fillId="18" borderId="20" xfId="5" applyNumberFormat="1" applyFont="1" applyFill="1" applyBorder="1" applyAlignment="1">
      <alignment horizontal="center" vertical="center"/>
    </xf>
    <xf numFmtId="4" fontId="13" fillId="18" borderId="20" xfId="5" applyNumberFormat="1" applyFont="1" applyFill="1" applyBorder="1" applyAlignment="1">
      <alignment horizontal="right" vertical="center"/>
    </xf>
    <xf numFmtId="174" fontId="13" fillId="19" borderId="20" xfId="5" applyNumberFormat="1" applyFont="1" applyFill="1" applyBorder="1" applyAlignment="1">
      <alignment horizontal="left" vertical="center"/>
    </xf>
    <xf numFmtId="174" fontId="13" fillId="19" borderId="16" xfId="5" applyNumberFormat="1" applyFont="1" applyFill="1" applyBorder="1" applyAlignment="1">
      <alignment horizontal="center" vertical="center"/>
    </xf>
    <xf numFmtId="174" fontId="13" fillId="19" borderId="17" xfId="5" applyNumberFormat="1" applyFont="1" applyFill="1" applyBorder="1" applyAlignment="1">
      <alignment horizontal="center" vertical="center"/>
    </xf>
    <xf numFmtId="175" fontId="13" fillId="19" borderId="18" xfId="5" applyNumberFormat="1" applyFont="1" applyFill="1" applyBorder="1" applyAlignment="1">
      <alignment horizontal="center" vertical="center"/>
    </xf>
    <xf numFmtId="173" fontId="13" fillId="21" borderId="20" xfId="5" applyNumberFormat="1" applyFont="1" applyFill="1" applyBorder="1" applyAlignment="1">
      <alignment horizontal="left" vertical="center" wrapText="1"/>
    </xf>
    <xf numFmtId="173" fontId="13" fillId="21" borderId="16" xfId="5" applyNumberFormat="1" applyFont="1" applyFill="1" applyBorder="1" applyAlignment="1">
      <alignment horizontal="center" vertical="center" wrapText="1"/>
    </xf>
    <xf numFmtId="173" fontId="13" fillId="21" borderId="17" xfId="5" applyNumberFormat="1" applyFont="1" applyFill="1" applyBorder="1" applyAlignment="1">
      <alignment horizontal="center" vertical="center" wrapText="1"/>
    </xf>
    <xf numFmtId="174" fontId="13" fillId="21" borderId="18" xfId="5" applyNumberFormat="1" applyFont="1" applyFill="1" applyBorder="1" applyAlignment="1">
      <alignment horizontal="center" vertical="center" wrapText="1"/>
    </xf>
    <xf numFmtId="175" fontId="13" fillId="21" borderId="18" xfId="5" applyNumberFormat="1" applyFont="1" applyFill="1" applyBorder="1" applyAlignment="1">
      <alignment horizontal="center" vertical="center" wrapText="1"/>
    </xf>
    <xf numFmtId="4" fontId="13" fillId="21" borderId="20" xfId="5" applyNumberFormat="1" applyFont="1" applyFill="1" applyBorder="1" applyAlignment="1">
      <alignment horizontal="center" vertical="center" wrapText="1"/>
    </xf>
    <xf numFmtId="4" fontId="13" fillId="21" borderId="20" xfId="5" applyNumberFormat="1" applyFont="1" applyFill="1" applyBorder="1" applyAlignment="1">
      <alignment horizontal="right" vertical="center" wrapText="1"/>
    </xf>
    <xf numFmtId="173" fontId="8" fillId="21" borderId="20" xfId="5" applyNumberFormat="1" applyFont="1" applyFill="1" applyBorder="1" applyAlignment="1">
      <alignment horizontal="left" vertical="center" wrapText="1"/>
    </xf>
    <xf numFmtId="173" fontId="8" fillId="21" borderId="16" xfId="5" applyNumberFormat="1" applyFont="1" applyFill="1" applyBorder="1" applyAlignment="1">
      <alignment horizontal="center" vertical="center" wrapText="1"/>
    </xf>
    <xf numFmtId="173" fontId="8" fillId="21" borderId="17" xfId="5" applyNumberFormat="1" applyFont="1" applyFill="1" applyBorder="1" applyAlignment="1">
      <alignment horizontal="center" vertical="center" wrapText="1"/>
    </xf>
    <xf numFmtId="174" fontId="8" fillId="21" borderId="18" xfId="5" applyNumberFormat="1" applyFont="1" applyFill="1" applyBorder="1" applyAlignment="1">
      <alignment horizontal="center" vertical="center" wrapText="1"/>
    </xf>
    <xf numFmtId="175" fontId="8" fillId="21" borderId="18" xfId="5" applyNumberFormat="1" applyFont="1" applyFill="1" applyBorder="1" applyAlignment="1">
      <alignment horizontal="center" vertical="center" wrapText="1"/>
    </xf>
    <xf numFmtId="4" fontId="8" fillId="21" borderId="20" xfId="5" applyNumberFormat="1" applyFont="1" applyFill="1" applyBorder="1" applyAlignment="1">
      <alignment horizontal="center" vertical="center" wrapText="1"/>
    </xf>
    <xf numFmtId="4" fontId="8" fillId="21" borderId="20" xfId="5" applyNumberFormat="1" applyFont="1" applyFill="1" applyBorder="1" applyAlignment="1">
      <alignment horizontal="right" vertical="center" wrapText="1"/>
    </xf>
    <xf numFmtId="173" fontId="8" fillId="0" borderId="20" xfId="5" applyNumberFormat="1" applyFont="1" applyBorder="1" applyAlignment="1">
      <alignment horizontal="left" vertical="center" wrapText="1"/>
    </xf>
    <xf numFmtId="173" fontId="8" fillId="0" borderId="16" xfId="5" applyNumberFormat="1" applyFont="1" applyBorder="1" applyAlignment="1">
      <alignment horizontal="center" vertical="center" wrapText="1"/>
    </xf>
    <xf numFmtId="173" fontId="8" fillId="0" borderId="17" xfId="5" applyNumberFormat="1" applyFont="1" applyBorder="1" applyAlignment="1">
      <alignment horizontal="center" vertical="center" wrapText="1"/>
    </xf>
    <xf numFmtId="174" fontId="8" fillId="0" borderId="18" xfId="5" applyNumberFormat="1" applyFont="1" applyBorder="1" applyAlignment="1">
      <alignment horizontal="center" vertical="center" wrapText="1"/>
    </xf>
    <xf numFmtId="175" fontId="8" fillId="0" borderId="18" xfId="5" applyNumberFormat="1" applyFont="1" applyBorder="1" applyAlignment="1">
      <alignment horizontal="center" vertical="center" wrapText="1"/>
    </xf>
    <xf numFmtId="4" fontId="8" fillId="0" borderId="20" xfId="5" applyNumberFormat="1" applyFont="1" applyBorder="1" applyAlignment="1">
      <alignment horizontal="center" vertical="center" wrapText="1"/>
    </xf>
    <xf numFmtId="4" fontId="8" fillId="0" borderId="20" xfId="5" applyNumberFormat="1" applyFont="1" applyBorder="1" applyAlignment="1">
      <alignment horizontal="right" vertical="center" wrapText="1"/>
    </xf>
    <xf numFmtId="0" fontId="13" fillId="20" borderId="21" xfId="5" applyFont="1" applyFill="1" applyBorder="1" applyAlignment="1">
      <alignment horizontal="left" vertical="center" wrapText="1"/>
    </xf>
    <xf numFmtId="0" fontId="13" fillId="20" borderId="22" xfId="5" applyFont="1" applyFill="1" applyBorder="1" applyAlignment="1">
      <alignment horizontal="left" vertical="center" wrapText="1"/>
    </xf>
    <xf numFmtId="175" fontId="13" fillId="20" borderId="22" xfId="5" applyNumberFormat="1" applyFont="1" applyFill="1" applyBorder="1" applyAlignment="1">
      <alignment horizontal="center" vertical="center" wrapText="1"/>
    </xf>
    <xf numFmtId="4" fontId="13" fillId="20" borderId="22" xfId="5" applyNumberFormat="1" applyFont="1" applyFill="1" applyBorder="1" applyAlignment="1">
      <alignment horizontal="center" vertical="center" wrapText="1"/>
    </xf>
    <xf numFmtId="4" fontId="13" fillId="20" borderId="18" xfId="5" applyNumberFormat="1" applyFont="1" applyFill="1" applyBorder="1" applyAlignment="1">
      <alignment horizontal="right" vertical="center" wrapText="1"/>
    </xf>
    <xf numFmtId="173" fontId="13" fillId="21" borderId="21" xfId="5" applyNumberFormat="1" applyFont="1" applyFill="1" applyBorder="1" applyAlignment="1">
      <alignment horizontal="left" vertical="center" wrapText="1"/>
    </xf>
    <xf numFmtId="173" fontId="13" fillId="21" borderId="22" xfId="5" applyNumberFormat="1" applyFont="1" applyFill="1" applyBorder="1" applyAlignment="1">
      <alignment horizontal="left" vertical="center" wrapText="1"/>
    </xf>
    <xf numFmtId="175" fontId="13" fillId="21" borderId="22" xfId="5" applyNumberFormat="1" applyFont="1" applyFill="1" applyBorder="1" applyAlignment="1">
      <alignment horizontal="center" vertical="center" wrapText="1"/>
    </xf>
    <xf numFmtId="4" fontId="13" fillId="21" borderId="22" xfId="5" applyNumberFormat="1" applyFont="1" applyFill="1" applyBorder="1" applyAlignment="1">
      <alignment horizontal="center" vertical="center" wrapText="1"/>
    </xf>
    <xf numFmtId="4" fontId="13" fillId="21" borderId="18" xfId="5" applyNumberFormat="1" applyFont="1" applyFill="1" applyBorder="1" applyAlignment="1">
      <alignment horizontal="right" vertical="center" wrapText="1"/>
    </xf>
    <xf numFmtId="173" fontId="8" fillId="0" borderId="21" xfId="5" applyNumberFormat="1" applyFont="1" applyBorder="1" applyAlignment="1">
      <alignment horizontal="left" vertical="center" wrapText="1"/>
    </xf>
    <xf numFmtId="173" fontId="8" fillId="0" borderId="22" xfId="5" applyNumberFormat="1" applyFont="1" applyBorder="1" applyAlignment="1">
      <alignment horizontal="left" vertical="center" wrapText="1"/>
    </xf>
    <xf numFmtId="175" fontId="8" fillId="0" borderId="22" xfId="5" applyNumberFormat="1" applyFont="1" applyBorder="1" applyAlignment="1">
      <alignment horizontal="center" vertical="center" wrapText="1"/>
    </xf>
    <xf numFmtId="4" fontId="8" fillId="0" borderId="22" xfId="5" applyNumberFormat="1" applyFont="1" applyBorder="1" applyAlignment="1">
      <alignment horizontal="center" vertical="center" wrapText="1"/>
    </xf>
    <xf numFmtId="4" fontId="8" fillId="0" borderId="18" xfId="5" applyNumberFormat="1" applyFont="1" applyBorder="1" applyAlignment="1">
      <alignment horizontal="right" vertical="center" wrapText="1"/>
    </xf>
    <xf numFmtId="173" fontId="8" fillId="21" borderId="21" xfId="5" applyNumberFormat="1" applyFont="1" applyFill="1" applyBorder="1" applyAlignment="1">
      <alignment horizontal="left" vertical="center" wrapText="1"/>
    </xf>
    <xf numFmtId="173" fontId="8" fillId="21" borderId="22" xfId="5" applyNumberFormat="1" applyFont="1" applyFill="1" applyBorder="1" applyAlignment="1">
      <alignment horizontal="left" vertical="center" wrapText="1"/>
    </xf>
    <xf numFmtId="175" fontId="8" fillId="21" borderId="22" xfId="5" applyNumberFormat="1" applyFont="1" applyFill="1" applyBorder="1" applyAlignment="1">
      <alignment horizontal="center" vertical="center" wrapText="1"/>
    </xf>
    <xf numFmtId="4" fontId="8" fillId="21" borderId="22" xfId="5" applyNumberFormat="1" applyFont="1" applyFill="1" applyBorder="1" applyAlignment="1">
      <alignment horizontal="center" vertical="center" wrapText="1"/>
    </xf>
    <xf numFmtId="4" fontId="8" fillId="21" borderId="18" xfId="5" applyNumberFormat="1" applyFont="1" applyFill="1" applyBorder="1" applyAlignment="1">
      <alignment horizontal="right" vertical="center" wrapText="1"/>
    </xf>
    <xf numFmtId="173" fontId="8" fillId="21" borderId="16" xfId="5" applyNumberFormat="1" applyFont="1" applyFill="1" applyBorder="1" applyAlignment="1">
      <alignment vertical="center" wrapText="1"/>
    </xf>
    <xf numFmtId="175" fontId="8" fillId="21" borderId="17" xfId="5" applyNumberFormat="1" applyFont="1" applyFill="1" applyBorder="1" applyAlignment="1">
      <alignment horizontal="center" vertical="center" wrapText="1"/>
    </xf>
    <xf numFmtId="4" fontId="8" fillId="21" borderId="16" xfId="5" applyNumberFormat="1" applyFont="1" applyFill="1" applyBorder="1" applyAlignment="1">
      <alignment horizontal="center" vertical="center" wrapText="1"/>
    </xf>
    <xf numFmtId="173" fontId="8" fillId="0" borderId="20" xfId="6" applyNumberFormat="1" applyFont="1" applyBorder="1" applyAlignment="1">
      <alignment vertical="center" wrapText="1"/>
    </xf>
    <xf numFmtId="173" fontId="8" fillId="0" borderId="16" xfId="6" applyNumberFormat="1" applyFont="1" applyBorder="1" applyAlignment="1">
      <alignment horizontal="center" vertical="center" wrapText="1"/>
    </xf>
    <xf numFmtId="173" fontId="8" fillId="0" borderId="17" xfId="6" applyNumberFormat="1" applyFont="1" applyBorder="1" applyAlignment="1">
      <alignment horizontal="center" vertical="center" wrapText="1"/>
    </xf>
    <xf numFmtId="175" fontId="8" fillId="0" borderId="18" xfId="6" applyNumberFormat="1" applyFont="1" applyBorder="1" applyAlignment="1">
      <alignment horizontal="center" vertical="center" wrapText="1"/>
    </xf>
    <xf numFmtId="4" fontId="8" fillId="0" borderId="20" xfId="6" applyNumberFormat="1" applyFont="1" applyBorder="1" applyAlignment="1">
      <alignment horizontal="center" vertical="center" wrapText="1"/>
    </xf>
    <xf numFmtId="4" fontId="8" fillId="0" borderId="20" xfId="6" applyNumberFormat="1" applyFont="1" applyBorder="1" applyAlignment="1">
      <alignment horizontal="right" vertical="center" wrapText="1"/>
    </xf>
    <xf numFmtId="49" fontId="8" fillId="0" borderId="20" xfId="5" applyNumberFormat="1" applyFont="1" applyBorder="1" applyAlignment="1">
      <alignment vertical="center" wrapText="1"/>
    </xf>
    <xf numFmtId="49" fontId="8" fillId="0" borderId="16" xfId="5" applyNumberFormat="1" applyFont="1" applyBorder="1" applyAlignment="1">
      <alignment horizontal="center" vertical="center" wrapText="1"/>
    </xf>
    <xf numFmtId="49" fontId="8" fillId="0" borderId="17" xfId="5" applyNumberFormat="1" applyFont="1" applyBorder="1" applyAlignment="1">
      <alignment horizontal="center" vertical="center" wrapText="1"/>
    </xf>
    <xf numFmtId="0" fontId="13" fillId="20" borderId="20" xfId="5" applyFont="1" applyFill="1" applyBorder="1" applyAlignment="1">
      <alignment vertical="center" wrapText="1"/>
    </xf>
    <xf numFmtId="173" fontId="8" fillId="21" borderId="20" xfId="5" applyNumberFormat="1" applyFont="1" applyFill="1" applyBorder="1" applyAlignment="1">
      <alignment vertical="center" wrapText="1"/>
    </xf>
    <xf numFmtId="0" fontId="13" fillId="20" borderId="16" xfId="5" applyFont="1" applyFill="1" applyBorder="1" applyAlignment="1">
      <alignment vertical="center" wrapText="1"/>
    </xf>
    <xf numFmtId="175" fontId="13" fillId="20" borderId="17" xfId="5" applyNumberFormat="1" applyFont="1" applyFill="1" applyBorder="1" applyAlignment="1">
      <alignment horizontal="center" vertical="center" wrapText="1"/>
    </xf>
    <xf numFmtId="4" fontId="13" fillId="20" borderId="16" xfId="5" applyNumberFormat="1" applyFont="1" applyFill="1" applyBorder="1" applyAlignment="1">
      <alignment horizontal="center" vertical="center" wrapText="1"/>
    </xf>
    <xf numFmtId="173" fontId="13" fillId="21" borderId="16" xfId="5" applyNumberFormat="1" applyFont="1" applyFill="1" applyBorder="1" applyAlignment="1">
      <alignment vertical="center" wrapText="1"/>
    </xf>
    <xf numFmtId="175" fontId="13" fillId="21" borderId="17" xfId="5" applyNumberFormat="1" applyFont="1" applyFill="1" applyBorder="1" applyAlignment="1">
      <alignment horizontal="center" vertical="center" wrapText="1"/>
    </xf>
    <xf numFmtId="4" fontId="13" fillId="21" borderId="16" xfId="5" applyNumberFormat="1" applyFont="1" applyFill="1" applyBorder="1" applyAlignment="1">
      <alignment horizontal="center" vertical="center" wrapText="1"/>
    </xf>
    <xf numFmtId="173" fontId="8" fillId="0" borderId="23" xfId="5" applyNumberFormat="1" applyFont="1" applyBorder="1" applyAlignment="1">
      <alignment horizontal="left" vertical="center" wrapText="1"/>
    </xf>
    <xf numFmtId="173" fontId="8" fillId="0" borderId="24" xfId="5" applyNumberFormat="1" applyFont="1" applyBorder="1" applyAlignment="1">
      <alignment horizontal="center" vertical="center" wrapText="1"/>
    </xf>
    <xf numFmtId="173" fontId="8" fillId="0" borderId="25" xfId="5" applyNumberFormat="1" applyFont="1" applyBorder="1" applyAlignment="1">
      <alignment horizontal="center" vertical="center" wrapText="1"/>
    </xf>
    <xf numFmtId="4" fontId="8" fillId="0" borderId="23" xfId="5" applyNumberFormat="1" applyFont="1" applyBorder="1" applyAlignment="1">
      <alignment horizontal="center" vertical="center" wrapText="1"/>
    </xf>
    <xf numFmtId="4" fontId="8" fillId="0" borderId="23" xfId="5" applyNumberFormat="1" applyFont="1" applyBorder="1" applyAlignment="1">
      <alignment horizontal="right" vertical="center" wrapText="1"/>
    </xf>
    <xf numFmtId="175" fontId="8" fillId="0" borderId="26" xfId="5" applyNumberFormat="1" applyFont="1" applyBorder="1" applyAlignment="1">
      <alignment horizontal="center" vertical="center" wrapText="1"/>
    </xf>
    <xf numFmtId="0" fontId="13" fillId="23" borderId="20" xfId="7" applyFont="1" applyFill="1" applyBorder="1" applyAlignment="1">
      <alignment horizontal="left" vertical="center"/>
    </xf>
    <xf numFmtId="0" fontId="13" fillId="23" borderId="20" xfId="8" applyFont="1" applyFill="1" applyBorder="1" applyAlignment="1">
      <alignment vertical="center"/>
    </xf>
    <xf numFmtId="0" fontId="13" fillId="23" borderId="20" xfId="8" applyFont="1" applyFill="1" applyBorder="1" applyAlignment="1">
      <alignment horizontal="center" vertical="center"/>
    </xf>
    <xf numFmtId="0" fontId="13" fillId="23" borderId="16" xfId="8" applyFont="1" applyFill="1" applyBorder="1" applyAlignment="1">
      <alignment horizontal="right" vertical="center"/>
    </xf>
    <xf numFmtId="0" fontId="13" fillId="23" borderId="17" xfId="8" applyFont="1" applyFill="1" applyBorder="1" applyAlignment="1">
      <alignment horizontal="right" vertical="center"/>
    </xf>
    <xf numFmtId="173" fontId="13" fillId="23" borderId="17" xfId="8" applyNumberFormat="1" applyFont="1" applyFill="1" applyBorder="1" applyAlignment="1">
      <alignment horizontal="right" vertical="center"/>
    </xf>
    <xf numFmtId="174" fontId="13" fillId="23" borderId="18" xfId="8" applyNumberFormat="1" applyFont="1" applyFill="1" applyBorder="1" applyAlignment="1">
      <alignment horizontal="right" vertical="center"/>
    </xf>
    <xf numFmtId="176" fontId="13" fillId="23" borderId="18" xfId="9" applyFont="1" applyFill="1" applyBorder="1" applyAlignment="1" applyProtection="1">
      <alignment horizontal="right" vertical="center"/>
      <protection locked="0"/>
    </xf>
    <xf numFmtId="0" fontId="13" fillId="24" borderId="20" xfId="7" applyFont="1" applyFill="1" applyBorder="1" applyAlignment="1">
      <alignment horizontal="left" vertical="center" wrapText="1"/>
    </xf>
    <xf numFmtId="0" fontId="13" fillId="24" borderId="20" xfId="7" applyFont="1" applyFill="1" applyBorder="1" applyAlignment="1">
      <alignment horizontal="justify" vertical="center" wrapText="1"/>
    </xf>
    <xf numFmtId="174" fontId="13" fillId="24" borderId="20" xfId="7" applyNumberFormat="1" applyFont="1" applyFill="1" applyBorder="1" applyAlignment="1">
      <alignment horizontal="center" vertical="center" wrapText="1"/>
    </xf>
    <xf numFmtId="174" fontId="13" fillId="24" borderId="16" xfId="7" applyNumberFormat="1" applyFont="1" applyFill="1" applyBorder="1" applyAlignment="1">
      <alignment horizontal="right" vertical="center" wrapText="1"/>
    </xf>
    <xf numFmtId="174" fontId="13" fillId="24" borderId="17" xfId="7" applyNumberFormat="1" applyFont="1" applyFill="1" applyBorder="1" applyAlignment="1">
      <alignment horizontal="right" vertical="center" wrapText="1"/>
    </xf>
    <xf numFmtId="173" fontId="13" fillId="24" borderId="17" xfId="7" applyNumberFormat="1" applyFont="1" applyFill="1" applyBorder="1" applyAlignment="1">
      <alignment horizontal="right" vertical="center" wrapText="1"/>
    </xf>
    <xf numFmtId="174" fontId="13" fillId="24" borderId="18" xfId="7" applyNumberFormat="1" applyFont="1" applyFill="1" applyBorder="1" applyAlignment="1">
      <alignment horizontal="right" vertical="center" wrapText="1"/>
    </xf>
    <xf numFmtId="176" fontId="13" fillId="24" borderId="18" xfId="9" applyFont="1" applyFill="1" applyBorder="1" applyAlignment="1" applyProtection="1">
      <alignment horizontal="right" vertical="center" wrapText="1"/>
      <protection locked="0"/>
    </xf>
    <xf numFmtId="173" fontId="8" fillId="0" borderId="20" xfId="7" applyNumberFormat="1" applyFont="1" applyBorder="1" applyAlignment="1">
      <alignment horizontal="left" vertical="center" wrapText="1"/>
    </xf>
    <xf numFmtId="173" fontId="8" fillId="0" borderId="20" xfId="7" applyNumberFormat="1" applyFont="1" applyBorder="1" applyAlignment="1">
      <alignment horizontal="justify" vertical="center" wrapText="1"/>
    </xf>
    <xf numFmtId="0" fontId="8" fillId="0" borderId="20" xfId="7" applyFont="1" applyBorder="1" applyAlignment="1" applyProtection="1">
      <alignment horizontal="center" vertical="center" wrapText="1"/>
      <protection locked="0"/>
    </xf>
    <xf numFmtId="0" fontId="8" fillId="0" borderId="16" xfId="7" applyFont="1" applyBorder="1" applyAlignment="1">
      <alignment horizontal="right" vertical="center"/>
    </xf>
    <xf numFmtId="173" fontId="8" fillId="0" borderId="17" xfId="7" applyNumberFormat="1" applyFont="1" applyBorder="1" applyAlignment="1">
      <alignment horizontal="right" vertical="center"/>
    </xf>
    <xf numFmtId="174" fontId="8" fillId="0" borderId="18" xfId="5" applyNumberFormat="1" applyFont="1" applyBorder="1" applyAlignment="1">
      <alignment horizontal="right" vertical="center"/>
    </xf>
    <xf numFmtId="176" fontId="8" fillId="0" borderId="18" xfId="9" applyFont="1" applyFill="1" applyBorder="1" applyAlignment="1">
      <alignment horizontal="right" vertical="center"/>
    </xf>
    <xf numFmtId="4" fontId="13" fillId="23" borderId="18" xfId="9" applyNumberFormat="1" applyFont="1" applyFill="1" applyBorder="1" applyAlignment="1" applyProtection="1">
      <alignment horizontal="right" vertical="center"/>
      <protection locked="0"/>
    </xf>
    <xf numFmtId="0" fontId="13" fillId="25" borderId="20" xfId="7" applyFont="1" applyFill="1" applyBorder="1" applyAlignment="1">
      <alignment horizontal="left" vertical="center"/>
    </xf>
    <xf numFmtId="173" fontId="13" fillId="25" borderId="20" xfId="7" applyNumberFormat="1" applyFont="1" applyFill="1" applyBorder="1" applyAlignment="1">
      <alignment horizontal="justify" vertical="center" wrapText="1"/>
    </xf>
    <xf numFmtId="0" fontId="16" fillId="25" borderId="20" xfId="7" applyFont="1" applyFill="1" applyBorder="1" applyAlignment="1" applyProtection="1">
      <alignment horizontal="center" vertical="center" wrapText="1"/>
      <protection locked="0"/>
    </xf>
    <xf numFmtId="0" fontId="16" fillId="25" borderId="16" xfId="7" applyFont="1" applyFill="1" applyBorder="1" applyAlignment="1">
      <alignment horizontal="right" vertical="center"/>
    </xf>
    <xf numFmtId="173" fontId="16" fillId="25" borderId="17" xfId="7" applyNumberFormat="1" applyFont="1" applyFill="1" applyBorder="1" applyAlignment="1">
      <alignment horizontal="right" vertical="center"/>
    </xf>
    <xf numFmtId="174" fontId="16" fillId="25" borderId="18" xfId="7" applyNumberFormat="1" applyFont="1" applyFill="1" applyBorder="1" applyAlignment="1">
      <alignment horizontal="right" vertical="center"/>
    </xf>
    <xf numFmtId="4" fontId="8" fillId="25" borderId="18" xfId="9" applyNumberFormat="1" applyFont="1" applyFill="1" applyBorder="1" applyAlignment="1" applyProtection="1">
      <alignment horizontal="right" vertical="center" wrapText="1"/>
      <protection locked="0"/>
    </xf>
    <xf numFmtId="176" fontId="8" fillId="25" borderId="18" xfId="9" applyFont="1" applyFill="1" applyBorder="1" applyAlignment="1" applyProtection="1">
      <alignment horizontal="right" vertical="center" wrapText="1"/>
      <protection locked="0"/>
    </xf>
    <xf numFmtId="4" fontId="8" fillId="0" borderId="18" xfId="9" applyNumberFormat="1" applyFont="1" applyFill="1" applyBorder="1" applyAlignment="1">
      <alignment horizontal="right" vertical="center"/>
    </xf>
    <xf numFmtId="4" fontId="8" fillId="0" borderId="18" xfId="5" applyNumberFormat="1" applyFont="1" applyBorder="1" applyAlignment="1">
      <alignment horizontal="center" vertical="center" wrapText="1"/>
    </xf>
    <xf numFmtId="4" fontId="13" fillId="23" borderId="18" xfId="9" applyNumberFormat="1" applyFont="1" applyFill="1" applyBorder="1" applyAlignment="1">
      <alignment horizontal="right" vertical="center"/>
    </xf>
    <xf numFmtId="176" fontId="13" fillId="23" borderId="18" xfId="9" applyFont="1" applyFill="1" applyBorder="1" applyAlignment="1">
      <alignment horizontal="right" vertical="center"/>
    </xf>
    <xf numFmtId="4" fontId="8" fillId="0" borderId="18" xfId="9" applyNumberFormat="1" applyFont="1" applyFill="1" applyBorder="1" applyAlignment="1">
      <alignment horizontal="right" vertical="center" wrapText="1"/>
    </xf>
    <xf numFmtId="4" fontId="13" fillId="25" borderId="18" xfId="9" applyNumberFormat="1" applyFont="1" applyFill="1" applyBorder="1" applyAlignment="1" applyProtection="1">
      <alignment horizontal="right" vertical="center" wrapText="1"/>
      <protection locked="0"/>
    </xf>
    <xf numFmtId="176" fontId="13" fillId="25" borderId="18" xfId="9" applyFont="1" applyFill="1" applyBorder="1" applyAlignment="1" applyProtection="1">
      <alignment horizontal="right" vertical="center" wrapText="1"/>
      <protection locked="0"/>
    </xf>
    <xf numFmtId="4" fontId="13" fillId="24" borderId="18" xfId="9" applyNumberFormat="1" applyFont="1" applyFill="1" applyBorder="1" applyAlignment="1">
      <alignment horizontal="right" vertical="center" wrapText="1"/>
    </xf>
    <xf numFmtId="176" fontId="13" fillId="24" borderId="18" xfId="9" applyFont="1" applyFill="1" applyBorder="1" applyAlignment="1">
      <alignment horizontal="right" vertical="center" wrapText="1"/>
    </xf>
    <xf numFmtId="4" fontId="8" fillId="21" borderId="18" xfId="5" applyNumberFormat="1" applyFont="1" applyFill="1" applyBorder="1" applyAlignment="1">
      <alignment horizontal="center" vertical="center" wrapText="1"/>
    </xf>
    <xf numFmtId="4" fontId="13" fillId="21" borderId="18" xfId="5" applyNumberFormat="1" applyFont="1" applyFill="1" applyBorder="1" applyAlignment="1">
      <alignment horizontal="center" vertical="center" wrapText="1"/>
    </xf>
    <xf numFmtId="174" fontId="13" fillId="19" borderId="20" xfId="5" applyNumberFormat="1" applyFont="1" applyFill="1" applyBorder="1" applyAlignment="1">
      <alignment horizontal="center" vertical="center"/>
    </xf>
    <xf numFmtId="174" fontId="13" fillId="19" borderId="16" xfId="5" applyNumberFormat="1" applyFont="1" applyFill="1" applyBorder="1" applyAlignment="1">
      <alignment horizontal="right" vertical="center"/>
    </xf>
    <xf numFmtId="173" fontId="13" fillId="19" borderId="17" xfId="5" applyNumberFormat="1" applyFont="1" applyFill="1" applyBorder="1" applyAlignment="1">
      <alignment horizontal="right" vertical="center"/>
    </xf>
    <xf numFmtId="174" fontId="13" fillId="19" borderId="18" xfId="5" applyNumberFormat="1" applyFont="1" applyFill="1" applyBorder="1" applyAlignment="1">
      <alignment horizontal="right" vertical="center"/>
    </xf>
    <xf numFmtId="4" fontId="13" fillId="19" borderId="18" xfId="9" applyNumberFormat="1" applyFont="1" applyFill="1" applyBorder="1" applyAlignment="1">
      <alignment horizontal="right" vertical="center"/>
    </xf>
    <xf numFmtId="176" fontId="13" fillId="19" borderId="18" xfId="9" applyFont="1" applyFill="1" applyBorder="1" applyAlignment="1">
      <alignment horizontal="right" vertical="center"/>
    </xf>
    <xf numFmtId="0" fontId="8" fillId="0" borderId="16" xfId="7" applyFont="1" applyBorder="1" applyAlignment="1">
      <alignment horizontal="right" vertical="center" wrapText="1"/>
    </xf>
    <xf numFmtId="173" fontId="8" fillId="0" borderId="17" xfId="7" applyNumberFormat="1" applyFont="1" applyBorder="1" applyAlignment="1">
      <alignment horizontal="right" vertical="center" wrapText="1"/>
    </xf>
    <xf numFmtId="174" fontId="13" fillId="26" borderId="23" xfId="7" applyNumberFormat="1" applyFont="1" applyFill="1" applyBorder="1" applyAlignment="1">
      <alignment horizontal="center" vertical="center" wrapText="1"/>
    </xf>
    <xf numFmtId="173" fontId="13" fillId="26" borderId="23" xfId="7" applyNumberFormat="1" applyFont="1" applyFill="1" applyBorder="1" applyAlignment="1">
      <alignment horizontal="justify" vertical="center" wrapText="1"/>
    </xf>
    <xf numFmtId="174" fontId="13" fillId="26" borderId="24" xfId="7" applyNumberFormat="1" applyFont="1" applyFill="1" applyBorder="1" applyAlignment="1">
      <alignment horizontal="center" vertical="center" wrapText="1"/>
    </xf>
    <xf numFmtId="174" fontId="13" fillId="26" borderId="25" xfId="7" applyNumberFormat="1" applyFont="1" applyFill="1" applyBorder="1" applyAlignment="1">
      <alignment horizontal="center" vertical="center" wrapText="1"/>
    </xf>
    <xf numFmtId="173" fontId="13" fillId="26" borderId="25" xfId="7" applyNumberFormat="1" applyFont="1" applyFill="1" applyBorder="1" applyAlignment="1">
      <alignment horizontal="center" vertical="center" wrapText="1"/>
    </xf>
    <xf numFmtId="174" fontId="13" fillId="26" borderId="26" xfId="7" applyNumberFormat="1" applyFont="1" applyFill="1" applyBorder="1" applyAlignment="1">
      <alignment horizontal="center" vertical="center" wrapText="1"/>
    </xf>
    <xf numFmtId="4" fontId="13" fillId="26" borderId="23" xfId="9" applyNumberFormat="1" applyFont="1" applyFill="1" applyBorder="1" applyAlignment="1">
      <alignment horizontal="right" vertical="center" wrapText="1"/>
    </xf>
    <xf numFmtId="176" fontId="13" fillId="26" borderId="23" xfId="9" applyFont="1" applyFill="1" applyBorder="1" applyAlignment="1">
      <alignment horizontal="right" vertical="center" wrapText="1"/>
    </xf>
    <xf numFmtId="4" fontId="13" fillId="18" borderId="18" xfId="5" applyNumberFormat="1" applyFont="1" applyFill="1" applyBorder="1" applyAlignment="1">
      <alignment horizontal="center" vertical="center"/>
    </xf>
    <xf numFmtId="0" fontId="17" fillId="23" borderId="20" xfId="7" applyFont="1" applyFill="1" applyBorder="1" applyAlignment="1">
      <alignment horizontal="left" vertical="center"/>
    </xf>
    <xf numFmtId="0" fontId="17" fillId="23" borderId="20" xfId="8" applyFont="1" applyFill="1" applyBorder="1" applyAlignment="1">
      <alignment vertical="center"/>
    </xf>
    <xf numFmtId="0" fontId="17" fillId="23" borderId="16" xfId="8" applyFont="1" applyFill="1" applyBorder="1" applyAlignment="1">
      <alignment horizontal="right" vertical="center"/>
    </xf>
    <xf numFmtId="0" fontId="17" fillId="23" borderId="17" xfId="8" applyFont="1" applyFill="1" applyBorder="1" applyAlignment="1">
      <alignment horizontal="right" vertical="center"/>
    </xf>
    <xf numFmtId="173" fontId="17" fillId="23" borderId="17" xfId="8" applyNumberFormat="1" applyFont="1" applyFill="1" applyBorder="1" applyAlignment="1">
      <alignment horizontal="right" vertical="center"/>
    </xf>
    <xf numFmtId="174" fontId="17" fillId="23" borderId="18" xfId="8" applyNumberFormat="1" applyFont="1" applyFill="1" applyBorder="1" applyAlignment="1">
      <alignment horizontal="right" vertical="center"/>
    </xf>
    <xf numFmtId="4" fontId="17" fillId="23" borderId="18" xfId="9" applyNumberFormat="1" applyFont="1" applyFill="1" applyBorder="1" applyAlignment="1">
      <alignment horizontal="right" vertical="center"/>
    </xf>
    <xf numFmtId="176" fontId="17" fillId="23" borderId="18" xfId="9" applyFont="1" applyFill="1" applyBorder="1" applyAlignment="1">
      <alignment horizontal="right" vertical="center"/>
    </xf>
    <xf numFmtId="4" fontId="13" fillId="21" borderId="17" xfId="5" applyNumberFormat="1" applyFont="1" applyFill="1" applyBorder="1" applyAlignment="1">
      <alignment horizontal="center" vertical="center" wrapText="1"/>
    </xf>
    <xf numFmtId="174" fontId="17" fillId="26" borderId="24" xfId="7" applyNumberFormat="1" applyFont="1" applyFill="1" applyBorder="1" applyAlignment="1">
      <alignment horizontal="center" vertical="center" wrapText="1"/>
    </xf>
    <xf numFmtId="174" fontId="17" fillId="26" borderId="25" xfId="7" applyNumberFormat="1" applyFont="1" applyFill="1" applyBorder="1" applyAlignment="1">
      <alignment horizontal="center" vertical="center" wrapText="1"/>
    </xf>
    <xf numFmtId="173" fontId="17" fillId="26" borderId="25" xfId="7" applyNumberFormat="1" applyFont="1" applyFill="1" applyBorder="1" applyAlignment="1">
      <alignment horizontal="center" vertical="center" wrapText="1"/>
    </xf>
    <xf numFmtId="174" fontId="17" fillId="26" borderId="26" xfId="7" applyNumberFormat="1" applyFont="1" applyFill="1" applyBorder="1" applyAlignment="1">
      <alignment horizontal="center" vertical="center" wrapText="1"/>
    </xf>
    <xf numFmtId="176" fontId="13" fillId="23" borderId="18" xfId="9" applyFont="1" applyFill="1" applyBorder="1" applyAlignment="1">
      <alignment horizontal="center" vertical="center"/>
    </xf>
    <xf numFmtId="176" fontId="13" fillId="24" borderId="18" xfId="9" applyFont="1" applyFill="1" applyBorder="1" applyAlignment="1">
      <alignment horizontal="center" vertical="center" wrapText="1"/>
    </xf>
    <xf numFmtId="176" fontId="13" fillId="25" borderId="18" xfId="9" applyFont="1" applyFill="1" applyBorder="1" applyAlignment="1" applyProtection="1">
      <alignment horizontal="center" vertical="center" wrapText="1"/>
      <protection locked="0"/>
    </xf>
    <xf numFmtId="0" fontId="8" fillId="25" borderId="20" xfId="7" applyFont="1" applyFill="1" applyBorder="1" applyAlignment="1">
      <alignment horizontal="left" vertical="center"/>
    </xf>
    <xf numFmtId="173" fontId="8" fillId="25" borderId="20" xfId="7" applyNumberFormat="1" applyFont="1" applyFill="1" applyBorder="1" applyAlignment="1">
      <alignment horizontal="justify" vertical="center" wrapText="1"/>
    </xf>
    <xf numFmtId="0" fontId="18" fillId="25" borderId="20" xfId="7" applyFont="1" applyFill="1" applyBorder="1" applyAlignment="1" applyProtection="1">
      <alignment horizontal="center" vertical="center" wrapText="1"/>
      <protection locked="0"/>
    </xf>
    <xf numFmtId="0" fontId="18" fillId="25" borderId="16" xfId="7" applyFont="1" applyFill="1" applyBorder="1" applyAlignment="1">
      <alignment horizontal="right" vertical="center"/>
    </xf>
    <xf numFmtId="173" fontId="18" fillId="25" borderId="17" xfId="7" applyNumberFormat="1" applyFont="1" applyFill="1" applyBorder="1" applyAlignment="1">
      <alignment horizontal="right" vertical="center"/>
    </xf>
    <xf numFmtId="174" fontId="18" fillId="25" borderId="18" xfId="7" applyNumberFormat="1" applyFont="1" applyFill="1" applyBorder="1" applyAlignment="1">
      <alignment horizontal="right" vertical="center"/>
    </xf>
    <xf numFmtId="176" fontId="8" fillId="25" borderId="18" xfId="9" applyFont="1" applyFill="1" applyBorder="1" applyAlignment="1" applyProtection="1">
      <alignment horizontal="center" vertical="center" wrapText="1"/>
      <protection locked="0"/>
    </xf>
    <xf numFmtId="173" fontId="8" fillId="17" borderId="20" xfId="7" applyNumberFormat="1" applyFont="1" applyFill="1" applyBorder="1" applyAlignment="1">
      <alignment horizontal="left" vertical="center" wrapText="1"/>
    </xf>
    <xf numFmtId="173" fontId="8" fillId="17" borderId="20" xfId="7" applyNumberFormat="1" applyFont="1" applyFill="1" applyBorder="1" applyAlignment="1">
      <alignment horizontal="justify" vertical="center" wrapText="1"/>
    </xf>
    <xf numFmtId="0" fontId="8" fillId="17" borderId="20" xfId="7" applyFont="1" applyFill="1" applyBorder="1" applyAlignment="1" applyProtection="1">
      <alignment horizontal="center" vertical="center" wrapText="1"/>
      <protection locked="0"/>
    </xf>
    <xf numFmtId="0" fontId="8" fillId="17" borderId="16" xfId="7" applyFont="1" applyFill="1" applyBorder="1" applyAlignment="1">
      <alignment horizontal="right" vertical="center"/>
    </xf>
    <xf numFmtId="173" fontId="8" fillId="17" borderId="17" xfId="7" applyNumberFormat="1" applyFont="1" applyFill="1" applyBorder="1" applyAlignment="1">
      <alignment horizontal="right" vertical="center"/>
    </xf>
    <xf numFmtId="174" fontId="8" fillId="17" borderId="18" xfId="5" applyNumberFormat="1" applyFont="1" applyFill="1" applyBorder="1" applyAlignment="1">
      <alignment horizontal="center" vertical="center" wrapText="1"/>
    </xf>
    <xf numFmtId="176" fontId="8" fillId="17" borderId="18" xfId="9" applyFont="1" applyFill="1" applyBorder="1" applyAlignment="1">
      <alignment horizontal="right" vertical="center"/>
    </xf>
    <xf numFmtId="4" fontId="8" fillId="17" borderId="18" xfId="5" applyNumberFormat="1" applyFont="1" applyFill="1" applyBorder="1" applyAlignment="1">
      <alignment horizontal="center" vertical="center" wrapText="1"/>
    </xf>
    <xf numFmtId="4" fontId="8" fillId="17" borderId="18" xfId="5" applyNumberFormat="1" applyFont="1" applyFill="1" applyBorder="1" applyAlignment="1">
      <alignment horizontal="right" vertical="center" wrapText="1"/>
    </xf>
    <xf numFmtId="175" fontId="8" fillId="17" borderId="18" xfId="5" applyNumberFormat="1" applyFont="1" applyFill="1" applyBorder="1" applyAlignment="1">
      <alignment horizontal="center" vertical="center" wrapText="1"/>
    </xf>
    <xf numFmtId="4" fontId="8" fillId="17" borderId="20" xfId="4" applyNumberFormat="1" applyFont="1" applyFill="1" applyBorder="1" applyAlignment="1">
      <alignment horizontal="center" vertical="center" wrapText="1"/>
    </xf>
    <xf numFmtId="4" fontId="8" fillId="17" borderId="20" xfId="5" applyNumberFormat="1" applyFont="1" applyFill="1" applyBorder="1" applyAlignment="1">
      <alignment horizontal="right" vertical="center" wrapText="1"/>
    </xf>
    <xf numFmtId="175" fontId="8" fillId="17" borderId="18" xfId="4" applyNumberFormat="1" applyFont="1" applyFill="1" applyBorder="1" applyAlignment="1">
      <alignment horizontal="center" vertical="center" wrapText="1"/>
    </xf>
    <xf numFmtId="4" fontId="8" fillId="17" borderId="20" xfId="4" applyNumberFormat="1" applyFont="1" applyFill="1" applyBorder="1" applyAlignment="1">
      <alignment horizontal="right" vertical="center" wrapText="1"/>
    </xf>
    <xf numFmtId="174" fontId="8" fillId="17" borderId="18" xfId="5" applyNumberFormat="1" applyFont="1" applyFill="1" applyBorder="1" applyAlignment="1">
      <alignment horizontal="right" vertical="center"/>
    </xf>
    <xf numFmtId="176" fontId="8" fillId="17" borderId="18" xfId="9" applyFont="1" applyFill="1" applyBorder="1" applyAlignment="1">
      <alignment horizontal="right" vertical="center" wrapText="1"/>
    </xf>
    <xf numFmtId="4" fontId="8" fillId="17" borderId="20" xfId="5" applyNumberFormat="1" applyFont="1" applyFill="1" applyBorder="1" applyAlignment="1">
      <alignment horizontal="center" vertical="center" wrapText="1"/>
    </xf>
    <xf numFmtId="4" fontId="8" fillId="17" borderId="18" xfId="4" applyNumberFormat="1" applyFont="1" applyFill="1" applyBorder="1" applyAlignment="1">
      <alignment horizontal="center" vertical="center" wrapText="1"/>
    </xf>
    <xf numFmtId="173" fontId="8" fillId="25" borderId="20" xfId="5" applyNumberFormat="1" applyFont="1" applyFill="1" applyBorder="1" applyAlignment="1">
      <alignment vertical="center" wrapText="1"/>
    </xf>
    <xf numFmtId="173" fontId="8" fillId="25" borderId="20" xfId="5" applyNumberFormat="1" applyFont="1" applyFill="1" applyBorder="1" applyAlignment="1">
      <alignment horizontal="center" vertical="center" wrapText="1"/>
    </xf>
    <xf numFmtId="173" fontId="8" fillId="25" borderId="16" xfId="5" applyNumberFormat="1" applyFont="1" applyFill="1" applyBorder="1" applyAlignment="1">
      <alignment horizontal="right" vertical="center" wrapText="1"/>
    </xf>
    <xf numFmtId="174" fontId="8" fillId="25" borderId="17" xfId="5" applyNumberFormat="1" applyFont="1" applyFill="1" applyBorder="1" applyAlignment="1">
      <alignment horizontal="right" vertical="center" wrapText="1"/>
    </xf>
    <xf numFmtId="173" fontId="8" fillId="25" borderId="17" xfId="5" applyNumberFormat="1" applyFont="1" applyFill="1" applyBorder="1" applyAlignment="1">
      <alignment horizontal="right" vertical="center" wrapText="1"/>
    </xf>
    <xf numFmtId="174" fontId="16" fillId="25" borderId="18" xfId="5" applyNumberFormat="1" applyFont="1" applyFill="1" applyBorder="1" applyAlignment="1" applyProtection="1">
      <alignment horizontal="right" vertical="center" wrapText="1"/>
      <protection locked="0"/>
    </xf>
    <xf numFmtId="4" fontId="13" fillId="26" borderId="23" xfId="9" applyNumberFormat="1" applyFont="1" applyFill="1" applyBorder="1" applyAlignment="1">
      <alignment horizontal="center" vertical="center" wrapText="1"/>
    </xf>
    <xf numFmtId="0" fontId="13" fillId="21" borderId="20" xfId="5" applyFont="1" applyFill="1" applyBorder="1" applyAlignment="1">
      <alignment horizontal="left" vertical="center" wrapText="1"/>
    </xf>
    <xf numFmtId="0" fontId="8" fillId="21" borderId="20" xfId="5" applyFont="1" applyFill="1" applyBorder="1" applyAlignment="1">
      <alignment horizontal="left" vertical="center" wrapText="1"/>
    </xf>
    <xf numFmtId="0" fontId="8" fillId="17" borderId="20" xfId="5" applyFont="1" applyFill="1" applyBorder="1" applyAlignment="1">
      <alignment horizontal="left" vertical="center" wrapText="1"/>
    </xf>
    <xf numFmtId="173" fontId="8" fillId="17" borderId="20" xfId="5" applyNumberFormat="1" applyFont="1" applyFill="1" applyBorder="1" applyAlignment="1">
      <alignment horizontal="left" vertical="center" wrapText="1"/>
    </xf>
    <xf numFmtId="173" fontId="8" fillId="17" borderId="16" xfId="5" applyNumberFormat="1" applyFont="1" applyFill="1" applyBorder="1" applyAlignment="1">
      <alignment horizontal="center" vertical="center" wrapText="1"/>
    </xf>
    <xf numFmtId="173" fontId="8" fillId="17" borderId="17" xfId="5" applyNumberFormat="1" applyFont="1" applyFill="1" applyBorder="1" applyAlignment="1">
      <alignment horizontal="center" vertical="center" wrapText="1"/>
    </xf>
    <xf numFmtId="0" fontId="8" fillId="17" borderId="20" xfId="5" applyFont="1" applyFill="1" applyBorder="1" applyAlignment="1">
      <alignment vertical="center" wrapText="1"/>
    </xf>
    <xf numFmtId="49" fontId="8" fillId="17" borderId="20" xfId="5" applyNumberFormat="1" applyFont="1" applyFill="1" applyBorder="1" applyAlignment="1">
      <alignment vertical="center" wrapText="1"/>
    </xf>
    <xf numFmtId="49" fontId="8" fillId="17" borderId="16" xfId="5" applyNumberFormat="1" applyFont="1" applyFill="1" applyBorder="1" applyAlignment="1">
      <alignment horizontal="center" vertical="center" wrapText="1"/>
    </xf>
    <xf numFmtId="49" fontId="8" fillId="17" borderId="17" xfId="5" applyNumberFormat="1" applyFont="1" applyFill="1" applyBorder="1" applyAlignment="1">
      <alignment horizontal="center" vertical="center" wrapText="1"/>
    </xf>
    <xf numFmtId="0" fontId="8" fillId="21" borderId="16" xfId="5" applyFont="1" applyFill="1" applyBorder="1" applyAlignment="1">
      <alignment vertical="center" wrapText="1"/>
    </xf>
    <xf numFmtId="0" fontId="8" fillId="17" borderId="20" xfId="7" applyFont="1" applyFill="1" applyBorder="1" applyAlignment="1">
      <alignment horizontal="left" vertical="center" wrapText="1"/>
    </xf>
    <xf numFmtId="0" fontId="8" fillId="17" borderId="27" xfId="4" applyFont="1" applyFill="1" applyBorder="1" applyAlignment="1">
      <alignment horizontal="center" vertical="center"/>
    </xf>
    <xf numFmtId="174" fontId="8" fillId="17" borderId="17" xfId="5" applyNumberFormat="1" applyFont="1" applyFill="1" applyBorder="1" applyAlignment="1">
      <alignment horizontal="center" vertical="center" wrapText="1"/>
    </xf>
    <xf numFmtId="0" fontId="8" fillId="17" borderId="28" xfId="4" applyFont="1" applyFill="1" applyBorder="1" applyAlignment="1">
      <alignment horizontal="center" vertical="center"/>
    </xf>
    <xf numFmtId="49" fontId="8" fillId="17" borderId="16" xfId="5" applyNumberFormat="1" applyFont="1" applyFill="1" applyBorder="1" applyAlignment="1">
      <alignment vertical="center" wrapText="1"/>
    </xf>
    <xf numFmtId="175" fontId="8" fillId="17" borderId="17" xfId="5" applyNumberFormat="1" applyFont="1" applyFill="1" applyBorder="1" applyAlignment="1">
      <alignment horizontal="center" vertical="center" wrapText="1"/>
    </xf>
    <xf numFmtId="4" fontId="8" fillId="17" borderId="16" xfId="5" applyNumberFormat="1" applyFont="1" applyFill="1" applyBorder="1" applyAlignment="1">
      <alignment horizontal="center" vertical="center" wrapText="1"/>
    </xf>
    <xf numFmtId="173" fontId="8" fillId="17" borderId="24" xfId="5" applyNumberFormat="1" applyFont="1" applyFill="1" applyBorder="1" applyAlignment="1">
      <alignment horizontal="center" vertical="center" wrapText="1"/>
    </xf>
    <xf numFmtId="173" fontId="8" fillId="17" borderId="25" xfId="5" applyNumberFormat="1" applyFont="1" applyFill="1" applyBorder="1" applyAlignment="1">
      <alignment horizontal="center" vertical="center" wrapText="1"/>
    </xf>
    <xf numFmtId="2" fontId="8" fillId="17" borderId="18" xfId="9" applyNumberFormat="1" applyFont="1" applyFill="1" applyBorder="1" applyAlignment="1">
      <alignment horizontal="center" vertical="center"/>
    </xf>
    <xf numFmtId="173" fontId="8" fillId="17" borderId="17" xfId="5" applyNumberFormat="1" applyFont="1" applyFill="1" applyBorder="1" applyAlignment="1">
      <alignment horizontal="right" vertical="center"/>
    </xf>
    <xf numFmtId="2" fontId="8" fillId="17" borderId="18" xfId="9" applyNumberFormat="1" applyFont="1" applyFill="1" applyBorder="1" applyAlignment="1">
      <alignment horizontal="center" vertical="center" wrapText="1"/>
    </xf>
    <xf numFmtId="0" fontId="8" fillId="17" borderId="16" xfId="7" applyFont="1" applyFill="1" applyBorder="1" applyAlignment="1">
      <alignment horizontal="right" vertical="center" wrapText="1"/>
    </xf>
    <xf numFmtId="173" fontId="8" fillId="17" borderId="17" xfId="7" applyNumberFormat="1" applyFont="1" applyFill="1" applyBorder="1" applyAlignment="1">
      <alignment horizontal="right" vertical="center" wrapText="1"/>
    </xf>
    <xf numFmtId="0" fontId="8" fillId="25" borderId="20" xfId="5" applyFont="1" applyFill="1" applyBorder="1" applyAlignment="1">
      <alignment vertical="center"/>
    </xf>
    <xf numFmtId="174" fontId="8" fillId="17" borderId="18" xfId="7" applyNumberFormat="1" applyFont="1" applyFill="1" applyBorder="1" applyAlignment="1">
      <alignment horizontal="right" vertical="center"/>
    </xf>
    <xf numFmtId="174" fontId="18" fillId="25" borderId="18" xfId="5" applyNumberFormat="1" applyFont="1" applyFill="1" applyBorder="1" applyAlignment="1" applyProtection="1">
      <alignment horizontal="right" vertical="center" wrapText="1"/>
      <protection locked="0"/>
    </xf>
    <xf numFmtId="0" fontId="13" fillId="25" borderId="20" xfId="5" applyFont="1" applyFill="1" applyBorder="1" applyAlignment="1">
      <alignment vertical="center"/>
    </xf>
    <xf numFmtId="173" fontId="13" fillId="25" borderId="20" xfId="5" applyNumberFormat="1" applyFont="1" applyFill="1" applyBorder="1" applyAlignment="1">
      <alignment horizontal="center" vertical="center" wrapText="1"/>
    </xf>
    <xf numFmtId="173" fontId="13" fillId="25" borderId="16" xfId="5" applyNumberFormat="1" applyFont="1" applyFill="1" applyBorder="1" applyAlignment="1">
      <alignment horizontal="right" vertical="center" wrapText="1"/>
    </xf>
    <xf numFmtId="174" fontId="13" fillId="25" borderId="17" xfId="5" applyNumberFormat="1" applyFont="1" applyFill="1" applyBorder="1" applyAlignment="1">
      <alignment horizontal="right" vertical="center" wrapText="1"/>
    </xf>
    <xf numFmtId="173" fontId="13" fillId="25" borderId="17" xfId="5" applyNumberFormat="1" applyFont="1" applyFill="1" applyBorder="1" applyAlignment="1">
      <alignment horizontal="right" vertical="center" wrapText="1"/>
    </xf>
    <xf numFmtId="0" fontId="13" fillId="0" borderId="0" xfId="4" applyFont="1" applyAlignment="1">
      <alignment vertical="center"/>
    </xf>
    <xf numFmtId="2" fontId="8" fillId="17" borderId="18" xfId="5" applyNumberFormat="1" applyFont="1" applyFill="1" applyBorder="1" applyAlignment="1">
      <alignment horizontal="center" vertical="center" wrapText="1"/>
    </xf>
    <xf numFmtId="173" fontId="8" fillId="17" borderId="23" xfId="7" applyNumberFormat="1" applyFont="1" applyFill="1" applyBorder="1" applyAlignment="1">
      <alignment horizontal="justify" vertical="center" wrapText="1"/>
    </xf>
    <xf numFmtId="0" fontId="8" fillId="17" borderId="23" xfId="7" applyFont="1" applyFill="1" applyBorder="1" applyAlignment="1" applyProtection="1">
      <alignment horizontal="center" vertical="center" wrapText="1"/>
      <protection locked="0"/>
    </xf>
    <xf numFmtId="176" fontId="18" fillId="25" borderId="18" xfId="9" applyFont="1" applyFill="1" applyBorder="1" applyAlignment="1" applyProtection="1">
      <alignment horizontal="right" vertical="center" wrapText="1"/>
      <protection locked="0"/>
    </xf>
    <xf numFmtId="43" fontId="8" fillId="27" borderId="18" xfId="10" applyFont="1" applyFill="1" applyBorder="1" applyAlignment="1" applyProtection="1">
      <alignment horizontal="right" vertical="center" wrapText="1"/>
      <protection locked="0"/>
    </xf>
    <xf numFmtId="43" fontId="16" fillId="25" borderId="18" xfId="10" applyFont="1" applyFill="1" applyBorder="1" applyAlignment="1">
      <alignment horizontal="right" vertical="center"/>
    </xf>
    <xf numFmtId="43" fontId="8" fillId="25" borderId="18" xfId="10" applyFont="1" applyFill="1" applyBorder="1" applyAlignment="1" applyProtection="1">
      <alignment horizontal="right" vertical="center" wrapText="1"/>
      <protection locked="0"/>
    </xf>
    <xf numFmtId="43" fontId="8" fillId="17" borderId="18" xfId="10" applyFont="1" applyFill="1" applyBorder="1" applyAlignment="1">
      <alignment horizontal="right" vertical="center"/>
    </xf>
    <xf numFmtId="2" fontId="8" fillId="17" borderId="18" xfId="10" applyNumberFormat="1" applyFont="1" applyFill="1" applyBorder="1" applyAlignment="1">
      <alignment horizontal="center" vertical="center"/>
    </xf>
    <xf numFmtId="176" fontId="8" fillId="20" borderId="18" xfId="9" applyFont="1" applyFill="1" applyBorder="1" applyAlignment="1" applyProtection="1">
      <alignment horizontal="right" vertical="center" wrapText="1"/>
      <protection locked="0"/>
    </xf>
    <xf numFmtId="173" fontId="13" fillId="22" borderId="18" xfId="4" applyNumberFormat="1" applyFont="1" applyFill="1" applyBorder="1" applyAlignment="1">
      <alignment horizontal="center" vertical="center" wrapText="1"/>
    </xf>
    <xf numFmtId="173" fontId="13" fillId="22" borderId="29" xfId="4" applyNumberFormat="1" applyFont="1" applyFill="1" applyBorder="1" applyAlignment="1">
      <alignment horizontal="justify" vertical="center" wrapText="1"/>
    </xf>
    <xf numFmtId="173" fontId="13" fillId="22" borderId="30" xfId="4" applyNumberFormat="1" applyFont="1" applyFill="1" applyBorder="1" applyAlignment="1">
      <alignment horizontal="center" vertical="center" wrapText="1"/>
    </xf>
    <xf numFmtId="173" fontId="13" fillId="22" borderId="31" xfId="4" applyNumberFormat="1" applyFont="1" applyFill="1" applyBorder="1" applyAlignment="1">
      <alignment horizontal="center" vertical="center" wrapText="1"/>
    </xf>
    <xf numFmtId="173" fontId="13" fillId="22" borderId="32" xfId="4" applyNumberFormat="1" applyFont="1" applyFill="1" applyBorder="1" applyAlignment="1">
      <alignment horizontal="center" vertical="center" wrapText="1"/>
    </xf>
    <xf numFmtId="175" fontId="13" fillId="22" borderId="32" xfId="4" applyNumberFormat="1" applyFont="1" applyFill="1" applyBorder="1" applyAlignment="1">
      <alignment horizontal="center" vertical="center" wrapText="1"/>
    </xf>
    <xf numFmtId="4" fontId="13" fillId="22" borderId="29" xfId="4" applyNumberFormat="1" applyFont="1" applyFill="1" applyBorder="1" applyAlignment="1">
      <alignment horizontal="center" vertical="center" wrapText="1"/>
    </xf>
    <xf numFmtId="4" fontId="13" fillId="22" borderId="29" xfId="4" applyNumberFormat="1" applyFont="1" applyFill="1" applyBorder="1" applyAlignment="1">
      <alignment horizontal="right" vertical="center" wrapText="1"/>
    </xf>
    <xf numFmtId="0" fontId="8" fillId="0" borderId="0" xfId="4" applyFont="1" applyAlignment="1">
      <alignment horizontal="center" vertical="center"/>
    </xf>
    <xf numFmtId="173" fontId="8" fillId="0" borderId="0" xfId="4" applyNumberFormat="1" applyFont="1" applyAlignment="1">
      <alignment vertical="center"/>
    </xf>
    <xf numFmtId="0" fontId="8" fillId="0" borderId="0" xfId="4" applyFont="1" applyAlignment="1">
      <alignment horizontal="right" vertical="center"/>
    </xf>
    <xf numFmtId="4" fontId="8" fillId="0" borderId="0" xfId="4" applyNumberFormat="1" applyFont="1" applyAlignment="1">
      <alignment horizontal="right" vertical="center"/>
    </xf>
    <xf numFmtId="43" fontId="8" fillId="0" borderId="0" xfId="1" applyFont="1" applyAlignment="1">
      <alignment vertical="center"/>
    </xf>
    <xf numFmtId="4" fontId="8" fillId="0" borderId="0" xfId="4" applyNumberFormat="1" applyFont="1" applyAlignment="1">
      <alignment vertical="center"/>
    </xf>
    <xf numFmtId="43" fontId="0" fillId="0" borderId="0" xfId="0" applyNumberFormat="1"/>
    <xf numFmtId="0" fontId="19" fillId="0" borderId="1" xfId="0" applyFont="1" applyBorder="1" applyAlignment="1">
      <alignment horizontal="center" vertical="center"/>
    </xf>
    <xf numFmtId="9" fontId="19" fillId="0" borderId="1" xfId="2" applyFont="1" applyBorder="1" applyAlignment="1">
      <alignment horizontal="center" vertical="center"/>
    </xf>
    <xf numFmtId="0" fontId="20" fillId="0" borderId="1" xfId="0" applyFont="1" applyBorder="1" applyAlignment="1">
      <alignment horizontal="center" vertical="center"/>
    </xf>
    <xf numFmtId="9" fontId="20" fillId="0" borderId="1" xfId="2" applyFont="1" applyBorder="1" applyAlignment="1">
      <alignment horizontal="center" vertical="center"/>
    </xf>
    <xf numFmtId="43" fontId="11" fillId="0" borderId="1" xfId="1" applyFont="1" applyFill="1" applyBorder="1" applyAlignment="1">
      <alignment horizontal="center" vertical="center"/>
    </xf>
    <xf numFmtId="164" fontId="11" fillId="0" borderId="1" xfId="1" applyNumberFormat="1" applyFont="1" applyFill="1" applyBorder="1" applyAlignment="1">
      <alignment horizontal="center" vertical="center"/>
    </xf>
    <xf numFmtId="9" fontId="11" fillId="0" borderId="1" xfId="2" applyFont="1" applyFill="1" applyBorder="1" applyAlignment="1">
      <alignment horizontal="center" vertical="center"/>
    </xf>
    <xf numFmtId="165" fontId="11" fillId="0" borderId="1" xfId="1" applyNumberFormat="1" applyFont="1" applyFill="1" applyBorder="1" applyAlignment="1">
      <alignment horizontal="center" vertical="center"/>
    </xf>
    <xf numFmtId="177" fontId="6" fillId="0" borderId="0" xfId="1" applyNumberFormat="1" applyFont="1" applyAlignment="1">
      <alignment horizontal="center" vertical="center"/>
    </xf>
    <xf numFmtId="0" fontId="11" fillId="0" borderId="1" xfId="1" applyNumberFormat="1" applyFont="1" applyFill="1" applyBorder="1" applyAlignment="1">
      <alignment horizontal="center" vertical="center"/>
    </xf>
    <xf numFmtId="0" fontId="2" fillId="4" borderId="2" xfId="0" applyFont="1" applyFill="1" applyBorder="1" applyAlignment="1">
      <alignment horizontal="center" vertical="center"/>
    </xf>
    <xf numFmtId="0" fontId="2" fillId="3" borderId="2" xfId="0" applyFont="1" applyFill="1" applyBorder="1" applyAlignment="1">
      <alignment horizontal="center" vertical="center" wrapText="1"/>
    </xf>
    <xf numFmtId="2" fontId="11" fillId="0" borderId="1" xfId="2" applyNumberFormat="1" applyFont="1" applyBorder="1" applyAlignment="1">
      <alignment horizontal="center" vertical="center"/>
    </xf>
    <xf numFmtId="2" fontId="11" fillId="0" borderId="1" xfId="1" applyNumberFormat="1" applyFont="1" applyFill="1" applyBorder="1" applyAlignment="1">
      <alignment horizontal="center" vertical="center"/>
    </xf>
    <xf numFmtId="0" fontId="11" fillId="14" borderId="1" xfId="0" applyFont="1" applyFill="1" applyBorder="1" applyAlignment="1">
      <alignment horizontal="center" vertical="center"/>
    </xf>
    <xf numFmtId="9" fontId="11" fillId="0" borderId="1" xfId="0" applyNumberFormat="1" applyFont="1" applyBorder="1" applyAlignment="1">
      <alignment horizontal="center" vertical="center"/>
    </xf>
    <xf numFmtId="2" fontId="11" fillId="0" borderId="1" xfId="0" applyNumberFormat="1" applyFont="1" applyBorder="1" applyAlignment="1">
      <alignment horizontal="center" vertical="center"/>
    </xf>
    <xf numFmtId="0" fontId="10" fillId="0" borderId="3" xfId="0" applyFont="1" applyBorder="1" applyAlignment="1">
      <alignment horizontal="center" vertical="center"/>
    </xf>
    <xf numFmtId="164" fontId="6" fillId="0" borderId="1" xfId="1" applyNumberFormat="1" applyFont="1" applyBorder="1" applyAlignment="1">
      <alignment horizontal="center" vertical="center"/>
    </xf>
    <xf numFmtId="0" fontId="6" fillId="0" borderId="1" xfId="1" applyNumberFormat="1" applyFont="1" applyBorder="1" applyAlignment="1">
      <alignment horizontal="center" vertical="center"/>
    </xf>
    <xf numFmtId="0" fontId="21" fillId="0" borderId="1" xfId="11" applyBorder="1" applyAlignment="1">
      <alignment horizontal="center" vertical="center"/>
    </xf>
    <xf numFmtId="0" fontId="12" fillId="0" borderId="3" xfId="3" applyNumberFormat="1" applyFont="1" applyBorder="1" applyAlignment="1" applyProtection="1">
      <alignment horizontal="center" vertical="center" wrapText="1"/>
      <protection locked="0"/>
    </xf>
    <xf numFmtId="0" fontId="12" fillId="0" borderId="4" xfId="3" applyNumberFormat="1" applyFont="1" applyBorder="1" applyAlignment="1" applyProtection="1">
      <alignment horizontal="center" vertical="center" wrapText="1"/>
      <protection locked="0"/>
    </xf>
    <xf numFmtId="0" fontId="12" fillId="0" borderId="5" xfId="3" applyNumberFormat="1" applyFont="1" applyBorder="1" applyAlignment="1" applyProtection="1">
      <alignment horizontal="center" vertical="center" wrapText="1"/>
      <protection locked="0"/>
    </xf>
    <xf numFmtId="172" fontId="13" fillId="0" borderId="3" xfId="3" applyFont="1" applyBorder="1" applyAlignment="1">
      <alignment horizontal="center" vertical="center" wrapText="1"/>
    </xf>
    <xf numFmtId="172" fontId="13" fillId="0" borderId="4" xfId="3" applyFont="1" applyBorder="1" applyAlignment="1">
      <alignment horizontal="center" vertical="center" wrapText="1"/>
    </xf>
    <xf numFmtId="172" fontId="13" fillId="0" borderId="5" xfId="3" applyFont="1" applyBorder="1" applyAlignment="1">
      <alignment horizontal="center" vertical="center" wrapText="1"/>
    </xf>
    <xf numFmtId="172" fontId="13" fillId="0" borderId="6" xfId="3" applyFont="1" applyBorder="1" applyAlignment="1" applyProtection="1">
      <alignment horizontal="left" vertical="center"/>
      <protection locked="0"/>
    </xf>
    <xf numFmtId="172" fontId="13" fillId="0" borderId="7" xfId="3" applyFont="1" applyBorder="1" applyAlignment="1" applyProtection="1">
      <alignment horizontal="left" vertical="center"/>
      <protection locked="0"/>
    </xf>
    <xf numFmtId="172" fontId="13" fillId="0" borderId="8" xfId="3" applyFont="1" applyBorder="1" applyAlignment="1" applyProtection="1">
      <alignment horizontal="left" vertical="center"/>
      <protection locked="0"/>
    </xf>
    <xf numFmtId="172" fontId="13" fillId="0" borderId="3" xfId="3" applyFont="1" applyBorder="1" applyAlignment="1">
      <alignment horizontal="left" vertical="center"/>
    </xf>
    <xf numFmtId="172" fontId="13" fillId="0" borderId="4" xfId="3" applyFont="1" applyBorder="1" applyAlignment="1">
      <alignment horizontal="left" vertical="center"/>
    </xf>
    <xf numFmtId="172" fontId="13" fillId="0" borderId="5" xfId="3" applyFont="1" applyBorder="1" applyAlignment="1">
      <alignment horizontal="left" vertical="center"/>
    </xf>
    <xf numFmtId="172" fontId="5" fillId="0" borderId="9" xfId="3" applyFont="1" applyBorder="1" applyAlignment="1" applyProtection="1">
      <alignment horizontal="center" vertical="center" wrapText="1"/>
      <protection locked="0"/>
    </xf>
    <xf numFmtId="172" fontId="5" fillId="0" borderId="0" xfId="3" applyFont="1" applyAlignment="1" applyProtection="1">
      <alignment horizontal="center" vertical="center" wrapText="1"/>
      <protection locked="0"/>
    </xf>
    <xf numFmtId="172" fontId="5" fillId="0" borderId="10" xfId="3" applyFont="1" applyBorder="1" applyAlignment="1" applyProtection="1">
      <alignment horizontal="center" vertical="center" wrapText="1"/>
      <protection locked="0"/>
    </xf>
    <xf numFmtId="172" fontId="5" fillId="0" borderId="11" xfId="3" applyFont="1" applyBorder="1" applyAlignment="1" applyProtection="1">
      <alignment horizontal="center" vertical="center" wrapText="1"/>
      <protection locked="0"/>
    </xf>
    <xf numFmtId="172" fontId="5" fillId="0" borderId="12" xfId="3" applyFont="1" applyBorder="1" applyAlignment="1" applyProtection="1">
      <alignment horizontal="center" vertical="center" wrapText="1"/>
      <protection locked="0"/>
    </xf>
    <xf numFmtId="172" fontId="5" fillId="0" borderId="13" xfId="3" applyFont="1" applyBorder="1" applyAlignment="1" applyProtection="1">
      <alignment horizontal="center" vertical="center" wrapText="1"/>
      <protection locked="0"/>
    </xf>
    <xf numFmtId="172" fontId="13" fillId="17" borderId="3" xfId="3" applyFont="1" applyFill="1" applyBorder="1" applyAlignment="1">
      <alignment horizontal="left" vertical="center"/>
    </xf>
    <xf numFmtId="172" fontId="13" fillId="17" borderId="4" xfId="3" applyFont="1" applyFill="1" applyBorder="1" applyAlignment="1">
      <alignment horizontal="left" vertical="center"/>
    </xf>
    <xf numFmtId="172" fontId="13" fillId="17" borderId="5" xfId="3" applyFont="1" applyFill="1" applyBorder="1" applyAlignment="1">
      <alignment horizontal="left" vertical="center"/>
    </xf>
    <xf numFmtId="40" fontId="13" fillId="17" borderId="1" xfId="5" applyNumberFormat="1" applyFont="1" applyFill="1" applyBorder="1" applyAlignment="1">
      <alignment horizontal="center" vertical="center"/>
    </xf>
    <xf numFmtId="49" fontId="13" fillId="0" borderId="1" xfId="4" applyNumberFormat="1" applyFont="1" applyBorder="1" applyAlignment="1">
      <alignment horizontal="center" vertical="center"/>
    </xf>
    <xf numFmtId="0" fontId="13" fillId="0" borderId="1" xfId="4" applyFont="1" applyBorder="1" applyAlignment="1">
      <alignment horizontal="center" vertical="center"/>
    </xf>
    <xf numFmtId="0" fontId="13" fillId="0" borderId="6" xfId="4" applyFont="1" applyBorder="1" applyAlignment="1">
      <alignment horizontal="center" vertical="center"/>
    </xf>
    <xf numFmtId="0" fontId="13" fillId="0" borderId="7" xfId="4" applyFont="1" applyBorder="1" applyAlignment="1">
      <alignment horizontal="center" vertical="center"/>
    </xf>
    <xf numFmtId="0" fontId="13" fillId="0" borderId="8" xfId="4" applyFont="1" applyBorder="1" applyAlignment="1">
      <alignment horizontal="center" vertical="center"/>
    </xf>
    <xf numFmtId="0" fontId="13" fillId="0" borderId="11" xfId="4" applyFont="1" applyBorder="1" applyAlignment="1">
      <alignment horizontal="center" vertical="center"/>
    </xf>
    <xf numFmtId="0" fontId="13" fillId="0" borderId="12" xfId="4" applyFont="1" applyBorder="1" applyAlignment="1">
      <alignment horizontal="center" vertical="center"/>
    </xf>
    <xf numFmtId="0" fontId="13" fillId="0" borderId="13" xfId="4" applyFont="1" applyBorder="1" applyAlignment="1">
      <alignment horizontal="center" vertical="center"/>
    </xf>
  </cellXfs>
  <cellStyles count="12">
    <cellStyle name="Hiperlink" xfId="11" builtinId="8"/>
    <cellStyle name="Normal" xfId="0" builtinId="0"/>
    <cellStyle name="Normal 13 4" xfId="8" xr:uid="{485A8E34-496B-4045-B278-6DB1166EA0E7}"/>
    <cellStyle name="Normal 15" xfId="4" xr:uid="{5653F0B5-C56A-49DC-8F09-312AF35E5B30}"/>
    <cellStyle name="Normal 15 24" xfId="7" xr:uid="{51979DB5-AFE7-4AC2-9C7D-35B53021E0AC}"/>
    <cellStyle name="Normal 2" xfId="5" xr:uid="{80BD3767-8C11-473E-911A-78E3BD3A491B}"/>
    <cellStyle name="Normal 6 2 3 3" xfId="3" xr:uid="{9F70D271-ED02-4D6E-9D44-B4B53C333F44}"/>
    <cellStyle name="Normal_GU-E-445_PQs_Fornecimento_Equipamentos_Mecanicos_Rev_4 2 2" xfId="6" xr:uid="{32B72B98-186E-4E4E-991D-AB554281D920}"/>
    <cellStyle name="Porcentagem" xfId="2" builtinId="5"/>
    <cellStyle name="Vírgula" xfId="1" builtinId="3"/>
    <cellStyle name="Vírgula 3 2 2" xfId="10" xr:uid="{96FEE1FD-62A7-4B44-AA55-FFA98CDB6937}"/>
    <cellStyle name="Vírgula 4" xfId="9" xr:uid="{8D93E3A7-4693-4A78-B539-45D4CE04F9C7}"/>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4745F"/>
      <color rgb="FFDB9E15"/>
      <color rgb="FFE84B1A"/>
      <color rgb="FFF2CC76"/>
      <color rgb="FF06C29E"/>
      <color rgb="FF023A2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pivotCacheDefinition" Target="pivotCache/pivotCacheDefinition2.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sharedStrings" Target="sharedStrings.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12</xdr:col>
      <xdr:colOff>419100</xdr:colOff>
      <xdr:row>0</xdr:row>
      <xdr:rowOff>57151</xdr:rowOff>
    </xdr:from>
    <xdr:to>
      <xdr:col>13</xdr:col>
      <xdr:colOff>619125</xdr:colOff>
      <xdr:row>0</xdr:row>
      <xdr:rowOff>374637</xdr:rowOff>
    </xdr:to>
    <xdr:pic>
      <xdr:nvPicPr>
        <xdr:cNvPr id="2" name="Picture 2104">
          <a:extLst>
            <a:ext uri="{FF2B5EF4-FFF2-40B4-BE49-F238E27FC236}">
              <a16:creationId xmlns:a16="http://schemas.microsoft.com/office/drawing/2014/main" id="{CDB167A1-EB27-4FC6-8D4D-54B08606C94C}"/>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9486900" y="57151"/>
          <a:ext cx="914400" cy="317486"/>
        </a:xfrm>
        <a:prstGeom prst="rect">
          <a:avLst/>
        </a:prstGeom>
        <a:noFill/>
        <a:ln w="9525">
          <a:noFill/>
          <a:miter lim="800000"/>
          <a:headEnd/>
          <a:tailEnd/>
        </a:ln>
      </xdr:spPr>
    </xdr:pic>
    <xdr:clientData/>
  </xdr:twoCellAnchor>
  <xdr:twoCellAnchor editAs="oneCell">
    <xdr:from>
      <xdr:col>0</xdr:col>
      <xdr:colOff>37376</xdr:colOff>
      <xdr:row>0</xdr:row>
      <xdr:rowOff>36774</xdr:rowOff>
    </xdr:from>
    <xdr:to>
      <xdr:col>1</xdr:col>
      <xdr:colOff>419100</xdr:colOff>
      <xdr:row>0</xdr:row>
      <xdr:rowOff>389171</xdr:rowOff>
    </xdr:to>
    <xdr:pic>
      <xdr:nvPicPr>
        <xdr:cNvPr id="3" name="Imagem 2" descr="LogoReal1.gif">
          <a:extLst>
            <a:ext uri="{FF2B5EF4-FFF2-40B4-BE49-F238E27FC236}">
              <a16:creationId xmlns:a16="http://schemas.microsoft.com/office/drawing/2014/main" id="{AB4E58B7-F289-48FC-ABE8-1037CC03709B}"/>
            </a:ext>
          </a:extLst>
        </xdr:cNvPr>
        <xdr:cNvPicPr>
          <a:picLocks noChangeAspect="1"/>
        </xdr:cNvPicPr>
      </xdr:nvPicPr>
      <xdr:blipFill>
        <a:blip xmlns:r="http://schemas.openxmlformats.org/officeDocument/2006/relationships" r:embed="rId2"/>
        <a:stretch>
          <a:fillRect/>
        </a:stretch>
      </xdr:blipFill>
      <xdr:spPr>
        <a:xfrm>
          <a:off x="37376" y="36774"/>
          <a:ext cx="962749" cy="35239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CUSTOS\Gest&#227;oPortoCompPE\GESEN\PdcGesen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vrdslssa01\dados\CUSTOS\Gest&#227;oPortoCompPE\GESEN\PdcGesen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vrdslssa01\dados\WINNT\Temporary%20Internet%20Files\OLK3\WINDOWS\Temporary%20Internet%20Files\OLK8304\DEZ.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User\AppData\Local\Microsoft\Windows\INetCache\Content.Outlook\R5138HR4\Suportes%20montado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A"/>
      <sheetName val="INDICE"/>
      <sheetName val="Comentários"/>
      <sheetName val="GESEN MINA -CR"/>
      <sheetName val="GESEN FERROVIA CR"/>
      <sheetName val="GESEN PORTO CR"/>
      <sheetName val="N22"/>
      <sheetName val="ParticNat"/>
      <sheetName val="CusteioTotal(manual)"/>
      <sheetName val="H EXTRAS"/>
      <sheetName val="Princ.Materiais"/>
      <sheetName val="Viagens"/>
      <sheetName val="Efetivo"/>
      <sheetName val="ParticPessoal"/>
      <sheetName val="ParticPessoal CT"/>
      <sheetName val="GESENAcid "/>
      <sheetName val="EAIGESEN"/>
      <sheetName val="GESENAcidCont"/>
      <sheetName val="Inv99 GESEN"/>
      <sheetName val="7N2311"/>
      <sheetName val="7N2313"/>
      <sheetName val="7N2641"/>
      <sheetName val="7N2642"/>
      <sheetName val="7N2643"/>
      <sheetName val="7N2644"/>
      <sheetName val="Bdados"/>
      <sheetName val="Materiais"/>
      <sheetName val="CusteioTotal"/>
      <sheetName val="GESEN MINA-CC"/>
      <sheetName val="GESEN FERROVIA-CC"/>
      <sheetName val="GESEN PORTO-CC"/>
      <sheetName val="AMV a Favor SUP"/>
      <sheetName val="CPT"/>
      <sheetName val="estgg"/>
      <sheetName val="Tabela1"/>
      <sheetName val="Principal"/>
      <sheetName val="TSP Est. El Hatillo"/>
      <sheetName val="KPI"/>
      <sheetName val="#REF"/>
      <sheetName val="PdcGesen9"/>
      <sheetName val="Manutenção Uberaba - FCA"/>
      <sheetName val="GESEN_MINA_-CR2"/>
      <sheetName val="GESEN_FERROVIA_CR2"/>
      <sheetName val="GESEN_PORTO_CR2"/>
      <sheetName val="H_EXTRAS2"/>
      <sheetName val="Princ_Materiais2"/>
      <sheetName val="ParticPessoal_CT2"/>
      <sheetName val="GESENAcid_2"/>
      <sheetName val="Inv99_GESEN2"/>
      <sheetName val="GESEN_MINA-CC2"/>
      <sheetName val="GESEN_FERROVIA-CC2"/>
      <sheetName val="GESEN_PORTO-CC2"/>
      <sheetName val="AMV_a_Favor_SUP2"/>
      <sheetName val="TSP_Est__El_Hatillo2"/>
      <sheetName val="GESEN_MINA_-CR"/>
      <sheetName val="GESEN_FERROVIA_CR"/>
      <sheetName val="GESEN_PORTO_CR"/>
      <sheetName val="H_EXTRAS"/>
      <sheetName val="Princ_Materiais"/>
      <sheetName val="ParticPessoal_CT"/>
      <sheetName val="GESENAcid_"/>
      <sheetName val="Inv99_GESEN"/>
      <sheetName val="GESEN_MINA-CC"/>
      <sheetName val="GESEN_FERROVIA-CC"/>
      <sheetName val="GESEN_PORTO-CC"/>
      <sheetName val="AMV_a_Favor_SUP"/>
      <sheetName val="TSP_Est__El_Hatillo"/>
      <sheetName val="GESEN_MINA_-CR1"/>
      <sheetName val="GESEN_FERROVIA_CR1"/>
      <sheetName val="GESEN_PORTO_CR1"/>
      <sheetName val="H_EXTRAS1"/>
      <sheetName val="Princ_Materiais1"/>
      <sheetName val="ParticPessoal_CT1"/>
      <sheetName val="GESENAcid_1"/>
      <sheetName val="Inv99_GESEN1"/>
      <sheetName val="GESEN_MINA-CC1"/>
      <sheetName val="GESEN_FERROVIA-CC1"/>
      <sheetName val="GESEN_PORTO-CC1"/>
      <sheetName val="AMV_a_Favor_SUP1"/>
      <sheetName val="TSP_Est__El_Hatillo1"/>
      <sheetName val="Sispec"/>
      <sheetName val="Premissas"/>
      <sheetName val="Decretos_PIS-COFINS"/>
      <sheetName val="pitch"/>
      <sheetName val="invest."/>
      <sheetName val="Previsão de Vagões"/>
      <sheetName val="Espera"/>
      <sheetName val="Saldos"/>
      <sheetName val="Gráficos"/>
      <sheetName val="Armazéns"/>
      <sheetName val="Resumo"/>
      <sheetName val="2007"/>
      <sheetName val="Solicitação Gestão"/>
      <sheetName val="Inputs_Unidades_Geradoras"/>
      <sheetName val="GDP"/>
      <sheetName val="Dados"/>
      <sheetName val="PLANO DE AÇÃO"/>
      <sheetName val="ORTONA - PORTO VASTO"/>
      <sheetName val="Farol de Metas"/>
      <sheetName val="Plan1"/>
      <sheetName val="Validacao"/>
      <sheetName val="Comparativo - Acumulado"/>
      <sheetName val="TE Negativo Setembro"/>
      <sheetName val="GESEN FERROVIA CR_x0000__x0000__x0000_"/>
      <sheetName val="Acionamento"/>
      <sheetName val="bdados 2005"/>
      <sheetName val="Sheet2"/>
      <sheetName val="Ref Numbers"/>
      <sheetName val="Summary"/>
      <sheetName val="inspect"/>
      <sheetName val="Inputs"/>
      <sheetName val="Debt"/>
      <sheetName val="Control"/>
      <sheetName val="Aderência D707"/>
      <sheetName val="Estatística"/>
      <sheetName val="Conhecendo a composição M1"/>
      <sheetName val="Cronograma"/>
      <sheetName val="Aux"/>
      <sheetName val="Validação"/>
      <sheetName val="PERF"/>
      <sheetName val="ResMina"/>
      <sheetName val="Cod_perdas"/>
      <sheetName val="Assum"/>
      <sheetName val="Plan2"/>
      <sheetName val="COMPPROD"/>
      <sheetName val="Resumo do Efetivo (2)"/>
      <sheetName val="Lista"/>
      <sheetName val="Consolidada"/>
      <sheetName val="Defense Comps"/>
      <sheetName val="p"/>
      <sheetName val="p (2)"/>
      <sheetName val="BD"/>
      <sheetName val="BASE DE DADOS"/>
      <sheetName val="B. Dados"/>
      <sheetName val="Caract. Contratos - Dez-00"/>
      <sheetName val="GESEN_MINA_-CR3"/>
      <sheetName val="GESEN_FERROVIA_CR3"/>
      <sheetName val="GESEN_PORTO_CR3"/>
      <sheetName val="H_EXTRAS3"/>
      <sheetName val="Princ_Materiais3"/>
      <sheetName val="ParticPessoal_CT3"/>
      <sheetName val="GESENAcid_3"/>
      <sheetName val="Inv99_GESEN3"/>
      <sheetName val="GESEN_MINA-CC3"/>
      <sheetName val="GESEN_FERROVIA-CC3"/>
      <sheetName val="GESEN_PORTO-CC3"/>
      <sheetName val="AMV_a_Favor_SUP3"/>
      <sheetName val="TSP_Est__El_Hatillo3"/>
      <sheetName val="Manutenção_Uberaba_-_FCA"/>
      <sheetName val="invest_"/>
      <sheetName val="Comparativo_-_Acumulado"/>
      <sheetName val="TE_Negativo_Setembro"/>
      <sheetName val="bdados_2005"/>
      <sheetName val="Solicitação_Gestão"/>
      <sheetName val="Previsão_de_Vagões"/>
      <sheetName val="Aderência_D707"/>
      <sheetName val="PLANO_DE_AÇÃO"/>
      <sheetName val="ORTONA_-_PORTO_VASTO"/>
      <sheetName val="Conhecendo_a_composição_M1"/>
      <sheetName val="Farol_de_Metas"/>
      <sheetName val="B__Dados"/>
      <sheetName val="Caract__Contratos_-_Dez-00"/>
      <sheetName val="GESEN_MINA_-CR4"/>
      <sheetName val="GESEN_FERROVIA_CR4"/>
      <sheetName val="GESEN_PORTO_CR4"/>
      <sheetName val="H_EXTRAS4"/>
      <sheetName val="Princ_Materiais4"/>
      <sheetName val="ParticPessoal_CT4"/>
      <sheetName val="GESENAcid_4"/>
      <sheetName val="Inv99_GESEN4"/>
      <sheetName val="GESEN_MINA-CC4"/>
      <sheetName val="GESEN_FERROVIA-CC4"/>
      <sheetName val="GESEN_PORTO-CC4"/>
      <sheetName val="AMV_a_Favor_SUP4"/>
      <sheetName val="TSP_Est__El_Hatillo4"/>
      <sheetName val="Manutenção_Uberaba_-_FCA1"/>
      <sheetName val="invest_1"/>
      <sheetName val="Comparativo_-_Acumulado1"/>
      <sheetName val="TE_Negativo_Setembro1"/>
      <sheetName val="bdados_20051"/>
      <sheetName val="Solicitação_Gestão1"/>
      <sheetName val="Previsão_de_Vagões1"/>
      <sheetName val="Aderência_D7071"/>
      <sheetName val="PLANO_DE_AÇÃO1"/>
      <sheetName val="ORTONA_-_PORTO_VASTO1"/>
      <sheetName val="Conhecendo_a_composição_M11"/>
      <sheetName val="Farol_de_Metas1"/>
      <sheetName val="B__Dados1"/>
      <sheetName val="Caract__Contratos_-_Dez-001"/>
      <sheetName val="Mês"/>
      <sheetName val="GESEN_MINA_-CR5"/>
      <sheetName val="GESEN_FERROVIA_CR5"/>
      <sheetName val="GESEN_PORTO_CR5"/>
      <sheetName val="H_EXTRAS5"/>
      <sheetName val="Princ_Materiais5"/>
      <sheetName val="ParticPessoal_CT5"/>
      <sheetName val="GESENAcid_5"/>
      <sheetName val="Inv99_GESEN5"/>
      <sheetName val="GESEN_MINA-CC5"/>
      <sheetName val="GESEN_FERROVIA-CC5"/>
      <sheetName val="GESEN_PORTO-CC5"/>
      <sheetName val="AMV_a_Favor_SUP5"/>
      <sheetName val="TSP_Est__El_Hatillo5"/>
      <sheetName val="Manutenção_Uberaba_-_FCA2"/>
      <sheetName val="Solicitação_Gestão2"/>
      <sheetName val="invest_2"/>
      <sheetName val="Previsão_de_Vagões2"/>
      <sheetName val="Comparativo_-_Acumulado2"/>
      <sheetName val="bdados_20052"/>
      <sheetName val="TE_Negativo_Setembro2"/>
      <sheetName val="Aderência_D7072"/>
      <sheetName val="PLANO_DE_AÇÃO2"/>
      <sheetName val="ORTONA_-_PORTO_VASTO2"/>
      <sheetName val="Conhecendo_a_composição_M12"/>
      <sheetName val="Farol_de_Metas2"/>
      <sheetName val="B__Dados2"/>
      <sheetName val="Caract__Contratos_-_Dez-002"/>
    </sheetNames>
    <sheetDataSet>
      <sheetData sheetId="0">
        <row r="8">
          <cell r="O8">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row r="8">
          <cell r="O8">
            <v>0</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A"/>
      <sheetName val="INDICE"/>
      <sheetName val="Comentários"/>
      <sheetName val="GESEN MINA -CR"/>
      <sheetName val="GESEN FERROVIA CR"/>
      <sheetName val="GESEN PORTO CR"/>
      <sheetName val="N22"/>
      <sheetName val="ParticNat"/>
      <sheetName val="CusteioTotal(manual)"/>
      <sheetName val="H EXTRAS"/>
      <sheetName val="Princ.Materiais"/>
      <sheetName val="Viagens"/>
      <sheetName val="Efetivo"/>
      <sheetName val="ParticPessoal"/>
      <sheetName val="ParticPessoal CT"/>
      <sheetName val="GESENAcid "/>
      <sheetName val="EAIGESEN"/>
      <sheetName val="GESENAcidCont"/>
      <sheetName val="Inv99 GESEN"/>
      <sheetName val="7N2311"/>
      <sheetName val="7N2313"/>
      <sheetName val="7N2641"/>
      <sheetName val="7N2642"/>
      <sheetName val="7N2643"/>
      <sheetName val="7N2644"/>
      <sheetName val="Bdados"/>
      <sheetName val="Materiais"/>
      <sheetName val="CusteioTotal"/>
      <sheetName val="GESEN MINA-CC"/>
      <sheetName val="GESEN FERROVIA-CC"/>
      <sheetName val="GESEN PORTO-CC"/>
      <sheetName val="Valores Medição"/>
      <sheetName val="Controle Horas"/>
      <sheetName val="Listas"/>
      <sheetName val="AMV a Favor SUP"/>
      <sheetName val="Dados"/>
      <sheetName val="CPT"/>
      <sheetName val="PLANO DE AÇÃO"/>
      <sheetName val="#REF"/>
      <sheetName val="Principal"/>
      <sheetName val="ORTONA - PORTO VASTO"/>
      <sheetName val="Farol de Metas"/>
      <sheetName val="estgg"/>
      <sheetName val="Tabela1"/>
      <sheetName val="TSP Est. El Hatillo"/>
      <sheetName val="KPI"/>
      <sheetName val="PdcGesen9"/>
      <sheetName val="Manutenção Uberaba - FCA"/>
      <sheetName val="GESEN_MINA_-CR2"/>
      <sheetName val="GESEN_FERROVIA_CR2"/>
      <sheetName val="GESEN_PORTO_CR2"/>
      <sheetName val="H_EXTRAS2"/>
      <sheetName val="Princ_Materiais2"/>
      <sheetName val="ParticPessoal_CT2"/>
      <sheetName val="GESENAcid_2"/>
      <sheetName val="Inv99_GESEN2"/>
      <sheetName val="GESEN_MINA-CC2"/>
      <sheetName val="GESEN_FERROVIA-CC2"/>
      <sheetName val="GESEN_PORTO-CC2"/>
      <sheetName val="AMV_a_Favor_SUP2"/>
      <sheetName val="TSP_Est__El_Hatillo2"/>
      <sheetName val="GESEN_MINA_-CR"/>
      <sheetName val="GESEN_FERROVIA_CR"/>
      <sheetName val="GESEN_PORTO_CR"/>
      <sheetName val="H_EXTRAS"/>
      <sheetName val="Princ_Materiais"/>
      <sheetName val="ParticPessoal_CT"/>
      <sheetName val="GESENAcid_"/>
      <sheetName val="Inv99_GESEN"/>
      <sheetName val="GESEN_MINA-CC"/>
      <sheetName val="GESEN_FERROVIA-CC"/>
      <sheetName val="GESEN_PORTO-CC"/>
      <sheetName val="AMV_a_Favor_SUP"/>
      <sheetName val="TSP_Est__El_Hatillo"/>
      <sheetName val="GESEN_MINA_-CR1"/>
      <sheetName val="GESEN_FERROVIA_CR1"/>
      <sheetName val="GESEN_PORTO_CR1"/>
      <sheetName val="H_EXTRAS1"/>
      <sheetName val="Princ_Materiais1"/>
      <sheetName val="ParticPessoal_CT1"/>
      <sheetName val="GESENAcid_1"/>
      <sheetName val="Inv99_GESEN1"/>
      <sheetName val="GESEN_MINA-CC1"/>
      <sheetName val="GESEN_FERROVIA-CC1"/>
      <sheetName val="GESEN_PORTO-CC1"/>
      <sheetName val="AMV_a_Favor_SUP1"/>
      <sheetName val="TSP_Est__El_Hatillo1"/>
      <sheetName val="Sispec"/>
      <sheetName val="Decretos_PIS-COFINS"/>
      <sheetName val="Premissas"/>
      <sheetName val="pitch"/>
      <sheetName val="invest."/>
      <sheetName val="Previsão de Vagões"/>
      <sheetName val="Espera"/>
      <sheetName val="Saldos"/>
      <sheetName val="Gráficos"/>
      <sheetName val="Armazéns"/>
      <sheetName val="Resumo"/>
      <sheetName val="2007"/>
      <sheetName val="GDP"/>
      <sheetName val="Solicitação Gestão"/>
      <sheetName val="Inputs_Unidades_Geradoras"/>
      <sheetName val="PERF"/>
      <sheetName val="ResMina"/>
      <sheetName val="Resumo do Efetivo (2)"/>
      <sheetName val="COMPPROD"/>
      <sheetName val="Validacao"/>
      <sheetName val="Comparativo - Acumulado"/>
      <sheetName val="TE Negativo Setembro"/>
      <sheetName val="Plan1"/>
      <sheetName val="GESEN FERROVIA CR_x0000__x0000__x0000_"/>
      <sheetName val="Acionamento"/>
      <sheetName val="bdados 2005"/>
      <sheetName val="Cronograma"/>
      <sheetName val="Aderência D707"/>
      <sheetName val="Sheet2"/>
      <sheetName val="Lista suspensa"/>
      <sheetName val="BASE DE DADOS"/>
      <sheetName val="Inputs"/>
      <sheetName val="Debt"/>
      <sheetName val="Control"/>
      <sheetName val="Circuit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8">
          <cell r="O8">
            <v>0</v>
          </cell>
        </row>
        <row r="11">
          <cell r="O11">
            <v>0</v>
          </cell>
        </row>
        <row r="12">
          <cell r="O12">
            <v>18</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ncial Ovw"/>
      <sheetName val="Stock Chart"/>
      <sheetName val="DATA"/>
      <sheetName val="Instructions"/>
      <sheetName val="LTM"/>
      <sheetName val="0000000"/>
      <sheetName val="Base Case CM Version"/>
      <sheetName val="IDR Output"/>
      <sheetName val="IDR Scenarios"/>
      <sheetName val="IDR Synergies"/>
      <sheetName val="BS"/>
      <sheetName val="IS"/>
      <sheetName val="CF"/>
      <sheetName val="Misc Info"/>
      <sheetName val="Blank"/>
      <sheetName val="10Yr IS"/>
      <sheetName val="10Yr BS"/>
      <sheetName val="10Yr CF"/>
      <sheetName val="Addl Info"/>
      <sheetName val="FX"/>
      <sheetName val="Base_Case"/>
      <sheetName val="VPL-FCA"/>
      <sheetName val="estgg"/>
      <sheetName val="qtr point compare"/>
      <sheetName val="AR Signature Page"/>
    </sheetNames>
    <sheetDataSet>
      <sheetData sheetId="0" refreshError="1"/>
      <sheetData sheetId="1" refreshError="1">
        <row r="5">
          <cell r="B5">
            <v>35993</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ilha1"/>
    </sheetNames>
    <sheetDataSet>
      <sheetData sheetId="0" refreshError="1">
        <row r="13">
          <cell r="A13" t="str">
            <v>ST-1880BB-70289-002</v>
          </cell>
          <cell r="B13" t="str">
            <v>1880-T-70289</v>
          </cell>
          <cell r="D13" t="str">
            <v>1880BB-T-70302_FL_08_REV02</v>
          </cell>
          <cell r="F13">
            <v>1</v>
          </cell>
          <cell r="G13">
            <v>51.4</v>
          </cell>
          <cell r="H13">
            <v>5.1400000000000001E-2</v>
          </cell>
          <cell r="I13" t="str">
            <v/>
          </cell>
          <cell r="J13">
            <v>5.1400000000000001E-2</v>
          </cell>
          <cell r="N13" t="str">
            <v/>
          </cell>
          <cell r="O13" t="str">
            <v/>
          </cell>
          <cell r="P13">
            <v>0</v>
          </cell>
        </row>
        <row r="14">
          <cell r="A14" t="str">
            <v>ST-1880BB-70289-003</v>
          </cell>
          <cell r="B14" t="str">
            <v>1880-T-70289</v>
          </cell>
          <cell r="D14" t="str">
            <v>1880BB-T-70302_FL_08_REV02</v>
          </cell>
          <cell r="F14">
            <v>1</v>
          </cell>
          <cell r="G14">
            <v>51.4</v>
          </cell>
          <cell r="H14">
            <v>5.1400000000000001E-2</v>
          </cell>
          <cell r="I14" t="str">
            <v/>
          </cell>
          <cell r="J14">
            <v>5.1400000000000001E-2</v>
          </cell>
          <cell r="N14" t="str">
            <v/>
          </cell>
          <cell r="O14" t="str">
            <v/>
          </cell>
          <cell r="P14">
            <v>0</v>
          </cell>
        </row>
        <row r="15">
          <cell r="A15" t="str">
            <v>ST-1880BB-70289-010</v>
          </cell>
          <cell r="B15" t="str">
            <v>1880-T-70289</v>
          </cell>
          <cell r="D15" t="str">
            <v>1880BB-T-70302_FL_08_REV02</v>
          </cell>
          <cell r="F15">
            <v>1</v>
          </cell>
          <cell r="G15">
            <v>51.4</v>
          </cell>
          <cell r="H15">
            <v>5.1400000000000001E-2</v>
          </cell>
          <cell r="I15" t="str">
            <v/>
          </cell>
          <cell r="J15">
            <v>5.1400000000000001E-2</v>
          </cell>
          <cell r="N15" t="str">
            <v/>
          </cell>
          <cell r="O15" t="str">
            <v/>
          </cell>
          <cell r="P15">
            <v>0</v>
          </cell>
        </row>
        <row r="16">
          <cell r="A16" t="str">
            <v>ST-1880BB-70289-004</v>
          </cell>
          <cell r="B16" t="str">
            <v>1880-T-70289</v>
          </cell>
          <cell r="D16" t="str">
            <v>1880BB-T-70302_FL_09_REV02</v>
          </cell>
          <cell r="F16">
            <v>1</v>
          </cell>
          <cell r="G16">
            <v>4.2</v>
          </cell>
          <cell r="H16">
            <v>4.2000000000000006E-3</v>
          </cell>
          <cell r="I16" t="str">
            <v/>
          </cell>
          <cell r="J16">
            <v>4.2000000000000006E-3</v>
          </cell>
          <cell r="N16" t="str">
            <v/>
          </cell>
          <cell r="O16" t="str">
            <v/>
          </cell>
          <cell r="P16">
            <v>0</v>
          </cell>
        </row>
        <row r="17">
          <cell r="A17" t="str">
            <v>ST-1880BB-70291-036</v>
          </cell>
          <cell r="B17" t="str">
            <v>1880-T-70291</v>
          </cell>
          <cell r="D17" t="str">
            <v>1880BB-T-70302_FL_09_REV02</v>
          </cell>
          <cell r="F17">
            <v>1</v>
          </cell>
          <cell r="G17">
            <v>4.2</v>
          </cell>
          <cell r="H17">
            <v>4.2000000000000006E-3</v>
          </cell>
          <cell r="I17" t="str">
            <v/>
          </cell>
          <cell r="J17">
            <v>4.2000000000000006E-3</v>
          </cell>
          <cell r="N17" t="str">
            <v/>
          </cell>
          <cell r="O17" t="str">
            <v/>
          </cell>
          <cell r="P17">
            <v>0</v>
          </cell>
        </row>
        <row r="18">
          <cell r="A18" t="str">
            <v>ST-1880BB-70289-005</v>
          </cell>
          <cell r="B18" t="str">
            <v>1880-T-70289</v>
          </cell>
          <cell r="D18" t="str">
            <v>1880BB-T-70302_FL_10_REV02</v>
          </cell>
          <cell r="F18">
            <v>1</v>
          </cell>
          <cell r="G18">
            <v>2.2000000000000002</v>
          </cell>
          <cell r="H18">
            <v>2.2000000000000001E-3</v>
          </cell>
          <cell r="I18" t="str">
            <v/>
          </cell>
          <cell r="J18">
            <v>2.2000000000000001E-3</v>
          </cell>
          <cell r="N18" t="str">
            <v/>
          </cell>
          <cell r="O18" t="str">
            <v/>
          </cell>
          <cell r="P18">
            <v>0</v>
          </cell>
        </row>
        <row r="19">
          <cell r="A19" t="str">
            <v>ST-1880BB-70289-006</v>
          </cell>
          <cell r="B19" t="str">
            <v>1880-T-70289</v>
          </cell>
          <cell r="D19" t="str">
            <v>1880BB-T-70302_FL_11_REV02</v>
          </cell>
          <cell r="F19">
            <v>1</v>
          </cell>
          <cell r="G19">
            <v>10.5</v>
          </cell>
          <cell r="H19">
            <v>1.0500000000000001E-2</v>
          </cell>
          <cell r="I19" t="str">
            <v/>
          </cell>
          <cell r="J19">
            <v>1.0500000000000001E-2</v>
          </cell>
          <cell r="N19" t="str">
            <v/>
          </cell>
          <cell r="O19" t="str">
            <v/>
          </cell>
          <cell r="P19">
            <v>0</v>
          </cell>
        </row>
        <row r="20">
          <cell r="A20" t="str">
            <v>ST-1880BB-70289-007</v>
          </cell>
          <cell r="B20" t="str">
            <v>1880-T-70289</v>
          </cell>
          <cell r="D20" t="str">
            <v>1880BB-T-70302_FL_11_REV02</v>
          </cell>
          <cell r="F20">
            <v>1</v>
          </cell>
          <cell r="G20">
            <v>10.5</v>
          </cell>
          <cell r="H20">
            <v>1.0500000000000001E-2</v>
          </cell>
          <cell r="I20" t="str">
            <v/>
          </cell>
          <cell r="J20">
            <v>1.0500000000000001E-2</v>
          </cell>
          <cell r="N20" t="str">
            <v/>
          </cell>
          <cell r="O20" t="str">
            <v/>
          </cell>
          <cell r="P20">
            <v>0</v>
          </cell>
        </row>
        <row r="21">
          <cell r="A21" t="str">
            <v>ST-1880BB-70289-008</v>
          </cell>
          <cell r="B21" t="str">
            <v>1880-T-70289</v>
          </cell>
          <cell r="D21" t="str">
            <v>1880BB-T-70302_FL_12_REV02</v>
          </cell>
          <cell r="F21">
            <v>1</v>
          </cell>
          <cell r="G21">
            <v>5</v>
          </cell>
          <cell r="H21">
            <v>5.0000000000000001E-3</v>
          </cell>
          <cell r="I21" t="str">
            <v/>
          </cell>
          <cell r="J21">
            <v>5.0000000000000001E-3</v>
          </cell>
          <cell r="N21" t="str">
            <v/>
          </cell>
          <cell r="O21" t="str">
            <v/>
          </cell>
          <cell r="P21">
            <v>0</v>
          </cell>
        </row>
        <row r="22">
          <cell r="A22" t="str">
            <v>ST-1880BB-70289-009</v>
          </cell>
          <cell r="B22" t="str">
            <v>1880-T-70289</v>
          </cell>
          <cell r="D22" t="str">
            <v>1880BB-T-70302_FL_13_REV02</v>
          </cell>
          <cell r="F22">
            <v>1</v>
          </cell>
          <cell r="G22">
            <v>4.2</v>
          </cell>
          <cell r="H22">
            <v>4.2000000000000006E-3</v>
          </cell>
          <cell r="I22" t="str">
            <v/>
          </cell>
          <cell r="J22">
            <v>4.2000000000000006E-3</v>
          </cell>
          <cell r="N22" t="str">
            <v/>
          </cell>
          <cell r="O22" t="str">
            <v/>
          </cell>
          <cell r="P22">
            <v>0</v>
          </cell>
        </row>
        <row r="23">
          <cell r="A23" t="str">
            <v>ST-1880BB-70290-004</v>
          </cell>
          <cell r="B23" t="str">
            <v>1880-T-70290</v>
          </cell>
          <cell r="D23" t="str">
            <v>1880BB-T-70302_FL_14_REV02</v>
          </cell>
          <cell r="F23">
            <v>1</v>
          </cell>
          <cell r="G23">
            <v>8.5</v>
          </cell>
          <cell r="H23">
            <v>8.5000000000000006E-3</v>
          </cell>
          <cell r="I23" t="str">
            <v/>
          </cell>
          <cell r="J23">
            <v>8.5000000000000006E-3</v>
          </cell>
          <cell r="N23" t="str">
            <v/>
          </cell>
          <cell r="O23" t="str">
            <v/>
          </cell>
          <cell r="P23">
            <v>0</v>
          </cell>
        </row>
        <row r="24">
          <cell r="A24" t="str">
            <v>ST-1880BB-70290-007</v>
          </cell>
          <cell r="B24" t="str">
            <v>1880-T-70290</v>
          </cell>
          <cell r="D24" t="str">
            <v>1880BB-T-70302_FL_15_REV02</v>
          </cell>
          <cell r="F24">
            <v>1</v>
          </cell>
          <cell r="G24">
            <v>14.9</v>
          </cell>
          <cell r="H24">
            <v>1.49E-2</v>
          </cell>
          <cell r="I24" t="str">
            <v/>
          </cell>
          <cell r="J24">
            <v>1.49E-2</v>
          </cell>
          <cell r="N24" t="str">
            <v/>
          </cell>
          <cell r="O24" t="str">
            <v/>
          </cell>
          <cell r="P24">
            <v>0</v>
          </cell>
        </row>
        <row r="25">
          <cell r="A25" t="str">
            <v>ST-1880BB-70290-008</v>
          </cell>
          <cell r="B25" t="str">
            <v>1880-T-70290</v>
          </cell>
          <cell r="D25" t="str">
            <v>1880BB-T-70302_FL_15_REV02</v>
          </cell>
          <cell r="F25">
            <v>1</v>
          </cell>
          <cell r="G25">
            <v>14.9</v>
          </cell>
          <cell r="H25">
            <v>1.49E-2</v>
          </cell>
          <cell r="I25" t="str">
            <v/>
          </cell>
          <cell r="J25">
            <v>1.49E-2</v>
          </cell>
          <cell r="N25" t="str">
            <v/>
          </cell>
          <cell r="O25" t="str">
            <v/>
          </cell>
          <cell r="P25">
            <v>0</v>
          </cell>
        </row>
        <row r="26">
          <cell r="A26" t="str">
            <v>ST-1880BB-70290-009</v>
          </cell>
          <cell r="B26" t="str">
            <v>1880-T-70290</v>
          </cell>
          <cell r="D26" t="str">
            <v>1880BB-T-70302_FL_16_REV02</v>
          </cell>
          <cell r="F26">
            <v>1</v>
          </cell>
          <cell r="G26">
            <v>61.7</v>
          </cell>
          <cell r="H26">
            <v>6.1700000000000005E-2</v>
          </cell>
          <cell r="I26" t="str">
            <v/>
          </cell>
          <cell r="J26">
            <v>6.1700000000000005E-2</v>
          </cell>
          <cell r="N26" t="str">
            <v/>
          </cell>
          <cell r="O26" t="str">
            <v/>
          </cell>
          <cell r="P26">
            <v>0</v>
          </cell>
        </row>
        <row r="27">
          <cell r="A27" t="str">
            <v>ST-1880BB-70290-012</v>
          </cell>
          <cell r="B27" t="str">
            <v>1880-T-70290</v>
          </cell>
          <cell r="D27" t="str">
            <v>1880BB-T-70302_FL_17_REV02</v>
          </cell>
          <cell r="F27">
            <v>1</v>
          </cell>
          <cell r="G27">
            <v>6.3</v>
          </cell>
          <cell r="H27">
            <v>6.3E-3</v>
          </cell>
          <cell r="I27" t="str">
            <v/>
          </cell>
          <cell r="J27">
            <v>6.3E-3</v>
          </cell>
          <cell r="N27" t="str">
            <v/>
          </cell>
          <cell r="O27" t="str">
            <v/>
          </cell>
          <cell r="P27">
            <v>0</v>
          </cell>
        </row>
        <row r="28">
          <cell r="A28" t="str">
            <v>ST-1880BB-70290-014</v>
          </cell>
          <cell r="B28" t="str">
            <v>1880-T-70290</v>
          </cell>
          <cell r="D28" t="str">
            <v>1880BB-T-70302_FL_17_REV02</v>
          </cell>
          <cell r="F28">
            <v>1</v>
          </cell>
          <cell r="G28">
            <v>6.3</v>
          </cell>
          <cell r="H28">
            <v>6.3E-3</v>
          </cell>
          <cell r="I28" t="str">
            <v/>
          </cell>
          <cell r="J28">
            <v>6.3E-3</v>
          </cell>
          <cell r="N28" t="str">
            <v/>
          </cell>
          <cell r="O28" t="str">
            <v/>
          </cell>
          <cell r="P28">
            <v>0</v>
          </cell>
        </row>
        <row r="29">
          <cell r="A29" t="str">
            <v>ST-1880BB-70290-017</v>
          </cell>
          <cell r="B29" t="str">
            <v>1880-T-70290</v>
          </cell>
          <cell r="D29" t="str">
            <v>1880BB-T-70302_FL_17_REV02</v>
          </cell>
          <cell r="F29">
            <v>1</v>
          </cell>
          <cell r="G29">
            <v>6.3</v>
          </cell>
          <cell r="H29">
            <v>6.3E-3</v>
          </cell>
          <cell r="I29" t="str">
            <v/>
          </cell>
          <cell r="J29">
            <v>6.3E-3</v>
          </cell>
          <cell r="N29" t="str">
            <v/>
          </cell>
          <cell r="O29" t="str">
            <v/>
          </cell>
          <cell r="P29">
            <v>0</v>
          </cell>
        </row>
        <row r="30">
          <cell r="A30" t="str">
            <v>ST-1880BB-70290-018</v>
          </cell>
          <cell r="B30" t="str">
            <v>1880-T-70290</v>
          </cell>
          <cell r="D30" t="str">
            <v>1880BB-T-70302_FL_17_REV02</v>
          </cell>
          <cell r="F30">
            <v>1</v>
          </cell>
          <cell r="G30">
            <v>6.3</v>
          </cell>
          <cell r="H30">
            <v>6.3E-3</v>
          </cell>
          <cell r="I30" t="str">
            <v/>
          </cell>
          <cell r="J30">
            <v>6.3E-3</v>
          </cell>
          <cell r="N30" t="str">
            <v/>
          </cell>
          <cell r="O30" t="str">
            <v/>
          </cell>
          <cell r="P30">
            <v>0</v>
          </cell>
        </row>
        <row r="31">
          <cell r="A31" t="str">
            <v>ST-1880BB-70290-020</v>
          </cell>
          <cell r="B31" t="str">
            <v>1880-T-70290</v>
          </cell>
          <cell r="D31" t="str">
            <v>1880BB-T-70302_FL_17_REV02</v>
          </cell>
          <cell r="F31">
            <v>1</v>
          </cell>
          <cell r="G31">
            <v>6.3</v>
          </cell>
          <cell r="H31">
            <v>6.3E-3</v>
          </cell>
          <cell r="I31" t="str">
            <v/>
          </cell>
          <cell r="J31">
            <v>6.3E-3</v>
          </cell>
          <cell r="N31" t="str">
            <v/>
          </cell>
          <cell r="O31" t="str">
            <v/>
          </cell>
          <cell r="P31">
            <v>0</v>
          </cell>
        </row>
        <row r="32">
          <cell r="A32" t="str">
            <v>ST-1880BB-70290-021</v>
          </cell>
          <cell r="B32" t="str">
            <v>1880-T-70290</v>
          </cell>
          <cell r="D32" t="str">
            <v>1880BB-T-70302_FL_17_REV02</v>
          </cell>
          <cell r="F32">
            <v>1</v>
          </cell>
          <cell r="G32">
            <v>6.3</v>
          </cell>
          <cell r="H32">
            <v>6.3E-3</v>
          </cell>
          <cell r="I32" t="str">
            <v/>
          </cell>
          <cell r="J32">
            <v>6.3E-3</v>
          </cell>
          <cell r="N32" t="str">
            <v/>
          </cell>
          <cell r="O32" t="str">
            <v/>
          </cell>
          <cell r="P32">
            <v>0</v>
          </cell>
        </row>
        <row r="33">
          <cell r="A33" t="str">
            <v>ST-1880BB-70290-013</v>
          </cell>
          <cell r="B33" t="str">
            <v>1880-T-70290</v>
          </cell>
          <cell r="D33" t="str">
            <v>1880BB-T-70302_FL_18_REV02</v>
          </cell>
          <cell r="F33">
            <v>1</v>
          </cell>
          <cell r="G33">
            <v>6.3</v>
          </cell>
          <cell r="H33">
            <v>6.3E-3</v>
          </cell>
          <cell r="I33" t="str">
            <v/>
          </cell>
          <cell r="J33">
            <v>6.3E-3</v>
          </cell>
          <cell r="N33" t="str">
            <v/>
          </cell>
          <cell r="O33" t="str">
            <v/>
          </cell>
          <cell r="P33">
            <v>0</v>
          </cell>
        </row>
        <row r="34">
          <cell r="A34" t="str">
            <v>ST-1880BB-70290-019</v>
          </cell>
          <cell r="B34" t="str">
            <v>1880-T-70290</v>
          </cell>
          <cell r="D34" t="str">
            <v>1880BB-T-70302_FL_18_REV02</v>
          </cell>
          <cell r="F34">
            <v>1</v>
          </cell>
          <cell r="G34">
            <v>6.3</v>
          </cell>
          <cell r="H34">
            <v>6.3E-3</v>
          </cell>
          <cell r="I34" t="str">
            <v/>
          </cell>
          <cell r="J34">
            <v>6.3E-3</v>
          </cell>
          <cell r="N34" t="str">
            <v/>
          </cell>
          <cell r="O34" t="str">
            <v/>
          </cell>
          <cell r="P34">
            <v>0</v>
          </cell>
        </row>
        <row r="35">
          <cell r="A35" t="str">
            <v>ST-1880BB-70290-022</v>
          </cell>
          <cell r="B35" t="str">
            <v>1880-T-70290</v>
          </cell>
          <cell r="D35" t="str">
            <v>1880BB-T-70302_FL_18_REV02</v>
          </cell>
          <cell r="F35">
            <v>1</v>
          </cell>
          <cell r="G35">
            <v>6.3</v>
          </cell>
          <cell r="H35">
            <v>6.3E-3</v>
          </cell>
          <cell r="I35" t="str">
            <v/>
          </cell>
          <cell r="J35">
            <v>6.3E-3</v>
          </cell>
          <cell r="N35" t="str">
            <v/>
          </cell>
          <cell r="O35" t="str">
            <v/>
          </cell>
          <cell r="P35">
            <v>0</v>
          </cell>
        </row>
        <row r="36">
          <cell r="A36" t="str">
            <v>ST-1880BB-70290-015</v>
          </cell>
          <cell r="B36" t="str">
            <v>1880-T-70290</v>
          </cell>
          <cell r="D36" t="str">
            <v>1880BB-T-70302_FL_19_REV02</v>
          </cell>
          <cell r="F36">
            <v>1</v>
          </cell>
          <cell r="G36">
            <v>3.9</v>
          </cell>
          <cell r="H36">
            <v>3.8999999999999998E-3</v>
          </cell>
          <cell r="I36" t="str">
            <v/>
          </cell>
          <cell r="J36">
            <v>3.8999999999999998E-3</v>
          </cell>
          <cell r="N36" t="str">
            <v/>
          </cell>
          <cell r="O36" t="str">
            <v/>
          </cell>
          <cell r="P36">
            <v>0</v>
          </cell>
        </row>
        <row r="37">
          <cell r="A37" t="str">
            <v>ST-1880BB-70290-016</v>
          </cell>
          <cell r="B37" t="str">
            <v>1880-T-70290</v>
          </cell>
          <cell r="D37" t="str">
            <v>1880BB-T-70302_FL_20_REV02</v>
          </cell>
          <cell r="F37">
            <v>1</v>
          </cell>
          <cell r="G37">
            <v>4.5999999999999996</v>
          </cell>
          <cell r="H37">
            <v>4.5999999999999999E-3</v>
          </cell>
          <cell r="I37" t="str">
            <v/>
          </cell>
          <cell r="J37">
            <v>4.5999999999999999E-3</v>
          </cell>
          <cell r="N37" t="str">
            <v/>
          </cell>
          <cell r="O37" t="str">
            <v/>
          </cell>
          <cell r="P37">
            <v>0</v>
          </cell>
        </row>
        <row r="38">
          <cell r="A38" t="str">
            <v>ST-1880BB-70290-027</v>
          </cell>
          <cell r="B38" t="str">
            <v>1880-T-70290</v>
          </cell>
          <cell r="D38" t="str">
            <v>1880BB-T-70302_FL_21_REV02</v>
          </cell>
          <cell r="F38">
            <v>1</v>
          </cell>
          <cell r="G38">
            <v>31.5</v>
          </cell>
          <cell r="H38">
            <v>3.15E-2</v>
          </cell>
          <cell r="I38" t="str">
            <v/>
          </cell>
          <cell r="J38">
            <v>3.15E-2</v>
          </cell>
          <cell r="N38" t="str">
            <v/>
          </cell>
          <cell r="O38" t="str">
            <v/>
          </cell>
          <cell r="P38">
            <v>0</v>
          </cell>
        </row>
        <row r="39">
          <cell r="A39" t="str">
            <v>ST-1880BB-70290-030</v>
          </cell>
          <cell r="B39" t="str">
            <v>1880-T-70290</v>
          </cell>
          <cell r="D39" t="str">
            <v>1880BB-T-70302_FL_22_REV02</v>
          </cell>
          <cell r="F39">
            <v>1</v>
          </cell>
          <cell r="G39">
            <v>83</v>
          </cell>
          <cell r="H39">
            <v>8.3000000000000004E-2</v>
          </cell>
          <cell r="I39" t="str">
            <v/>
          </cell>
          <cell r="J39">
            <v>8.3000000000000004E-2</v>
          </cell>
          <cell r="N39" t="str">
            <v/>
          </cell>
          <cell r="O39" t="str">
            <v/>
          </cell>
          <cell r="P39">
            <v>0</v>
          </cell>
        </row>
        <row r="40">
          <cell r="A40" t="str">
            <v>ST-1880BB-70290-031</v>
          </cell>
          <cell r="B40" t="str">
            <v>1880-T-70290</v>
          </cell>
          <cell r="D40" t="str">
            <v>1880BB-T-70302_FL_23_REV02</v>
          </cell>
          <cell r="F40">
            <v>1</v>
          </cell>
          <cell r="G40">
            <v>56.7</v>
          </cell>
          <cell r="H40">
            <v>5.67E-2</v>
          </cell>
          <cell r="I40" t="str">
            <v/>
          </cell>
          <cell r="J40">
            <v>5.67E-2</v>
          </cell>
          <cell r="N40" t="str">
            <v/>
          </cell>
          <cell r="O40" t="str">
            <v/>
          </cell>
          <cell r="P40">
            <v>0</v>
          </cell>
        </row>
        <row r="41">
          <cell r="A41" t="str">
            <v>ST-1880BB-70290-032</v>
          </cell>
          <cell r="B41" t="str">
            <v>1880-T-70290</v>
          </cell>
          <cell r="D41" t="str">
            <v>1880BB-T-70302_FL_23_REV02</v>
          </cell>
          <cell r="F41">
            <v>1</v>
          </cell>
          <cell r="G41">
            <v>56.7</v>
          </cell>
          <cell r="H41">
            <v>5.67E-2</v>
          </cell>
          <cell r="I41" t="str">
            <v/>
          </cell>
          <cell r="J41">
            <v>5.67E-2</v>
          </cell>
          <cell r="N41" t="str">
            <v/>
          </cell>
          <cell r="O41" t="str">
            <v/>
          </cell>
          <cell r="P41">
            <v>0</v>
          </cell>
        </row>
        <row r="42">
          <cell r="A42" t="str">
            <v>ST-1880BB-70290-033</v>
          </cell>
          <cell r="B42" t="str">
            <v>1880-T-70290</v>
          </cell>
          <cell r="D42" t="str">
            <v>1880BB-T-70302_FL_23_REV02</v>
          </cell>
          <cell r="F42">
            <v>1</v>
          </cell>
          <cell r="G42">
            <v>56.7</v>
          </cell>
          <cell r="H42">
            <v>5.67E-2</v>
          </cell>
          <cell r="I42" t="str">
            <v/>
          </cell>
          <cell r="J42">
            <v>5.67E-2</v>
          </cell>
          <cell r="N42" t="str">
            <v/>
          </cell>
          <cell r="O42" t="str">
            <v/>
          </cell>
          <cell r="P42">
            <v>0</v>
          </cell>
        </row>
        <row r="43">
          <cell r="A43" t="str">
            <v>ST-1880BB-70290-034</v>
          </cell>
          <cell r="B43" t="str">
            <v>1880-T-70290</v>
          </cell>
          <cell r="D43" t="str">
            <v>1880BB-T-70302_FL_24_REV02</v>
          </cell>
          <cell r="F43">
            <v>1</v>
          </cell>
          <cell r="G43">
            <v>15.7</v>
          </cell>
          <cell r="H43">
            <v>1.5699999999999999E-2</v>
          </cell>
          <cell r="I43" t="str">
            <v/>
          </cell>
          <cell r="J43">
            <v>1.5699999999999999E-2</v>
          </cell>
          <cell r="N43" t="str">
            <v/>
          </cell>
          <cell r="O43" t="str">
            <v/>
          </cell>
          <cell r="P43">
            <v>0</v>
          </cell>
        </row>
        <row r="44">
          <cell r="A44" t="str">
            <v>ST-1880BB-70291-004</v>
          </cell>
          <cell r="B44" t="str">
            <v>1880-T-70291</v>
          </cell>
          <cell r="D44" t="str">
            <v>1880BB-T-70302_FL_25_REV02</v>
          </cell>
          <cell r="F44">
            <v>1</v>
          </cell>
          <cell r="G44">
            <v>27.6</v>
          </cell>
          <cell r="H44">
            <v>2.7600000000000003E-2</v>
          </cell>
          <cell r="I44" t="str">
            <v/>
          </cell>
          <cell r="J44">
            <v>2.7600000000000003E-2</v>
          </cell>
          <cell r="N44" t="str">
            <v/>
          </cell>
          <cell r="O44" t="str">
            <v/>
          </cell>
          <cell r="P44">
            <v>0</v>
          </cell>
        </row>
        <row r="45">
          <cell r="A45" t="str">
            <v>ST-1880BB-70291-005</v>
          </cell>
          <cell r="B45" t="str">
            <v>1880-T-70291</v>
          </cell>
          <cell r="D45" t="str">
            <v>1880BB-T-70302_FL_26_REV02</v>
          </cell>
          <cell r="F45">
            <v>1</v>
          </cell>
          <cell r="G45">
            <v>30.9</v>
          </cell>
          <cell r="H45">
            <v>3.0899999999999997E-2</v>
          </cell>
          <cell r="I45" t="str">
            <v/>
          </cell>
          <cell r="J45">
            <v>3.0899999999999997E-2</v>
          </cell>
          <cell r="N45" t="str">
            <v/>
          </cell>
          <cell r="O45" t="str">
            <v/>
          </cell>
          <cell r="P45">
            <v>0</v>
          </cell>
        </row>
        <row r="46">
          <cell r="A46" t="str">
            <v>ST-1880BB-70291-006</v>
          </cell>
          <cell r="B46" t="str">
            <v>1880-T-70291</v>
          </cell>
          <cell r="D46" t="str">
            <v>1880BB-T-70302_FL_27_REV02</v>
          </cell>
          <cell r="F46">
            <v>1</v>
          </cell>
          <cell r="G46">
            <v>25.6</v>
          </cell>
          <cell r="H46">
            <v>2.5600000000000001E-2</v>
          </cell>
          <cell r="I46" t="str">
            <v/>
          </cell>
          <cell r="J46">
            <v>2.5600000000000001E-2</v>
          </cell>
          <cell r="N46" t="str">
            <v/>
          </cell>
          <cell r="O46" t="str">
            <v/>
          </cell>
          <cell r="P46">
            <v>0</v>
          </cell>
        </row>
        <row r="47">
          <cell r="A47" t="str">
            <v>ST-1880BB-70291-007</v>
          </cell>
          <cell r="B47" t="str">
            <v>1880-T-70291</v>
          </cell>
          <cell r="D47" t="str">
            <v>1880BB-T-70302_FL_28_REV02</v>
          </cell>
          <cell r="F47">
            <v>1</v>
          </cell>
          <cell r="G47">
            <v>28.9</v>
          </cell>
          <cell r="H47">
            <v>2.8899999999999999E-2</v>
          </cell>
          <cell r="I47" t="str">
            <v/>
          </cell>
          <cell r="J47">
            <v>2.8899999999999999E-2</v>
          </cell>
          <cell r="N47" t="str">
            <v/>
          </cell>
          <cell r="O47" t="str">
            <v/>
          </cell>
          <cell r="P47">
            <v>0</v>
          </cell>
        </row>
        <row r="48">
          <cell r="A48" t="str">
            <v>ST-1880BB-70292-010</v>
          </cell>
          <cell r="B48" t="str">
            <v>1880-T-70292</v>
          </cell>
          <cell r="D48" t="str">
            <v>1880BB-T-70302_FL_29_REV02</v>
          </cell>
          <cell r="F48">
            <v>1</v>
          </cell>
          <cell r="G48">
            <v>29</v>
          </cell>
          <cell r="H48">
            <v>2.9000000000000001E-2</v>
          </cell>
          <cell r="I48" t="str">
            <v/>
          </cell>
          <cell r="J48">
            <v>2.9000000000000001E-2</v>
          </cell>
          <cell r="N48" t="str">
            <v/>
          </cell>
          <cell r="O48" t="str">
            <v/>
          </cell>
          <cell r="P48">
            <v>0</v>
          </cell>
        </row>
        <row r="49">
          <cell r="A49" t="str">
            <v>ST-1880BB-70292-011</v>
          </cell>
          <cell r="B49" t="str">
            <v>1880-T-70292</v>
          </cell>
          <cell r="D49" t="str">
            <v>1880BB-T-70302_FL_30_REV02</v>
          </cell>
          <cell r="F49">
            <v>1</v>
          </cell>
          <cell r="G49">
            <v>15.7</v>
          </cell>
          <cell r="H49">
            <v>1.5699999999999999E-2</v>
          </cell>
          <cell r="I49" t="str">
            <v/>
          </cell>
          <cell r="J49">
            <v>1.5699999999999999E-2</v>
          </cell>
          <cell r="N49" t="str">
            <v/>
          </cell>
          <cell r="O49" t="str">
            <v/>
          </cell>
          <cell r="P49">
            <v>0</v>
          </cell>
        </row>
        <row r="50">
          <cell r="A50" t="str">
            <v>ST-1880BB-70292-012</v>
          </cell>
          <cell r="B50" t="str">
            <v>1880-T-70292</v>
          </cell>
          <cell r="D50" t="str">
            <v>1880BB-T-70302_FL_30_REV02</v>
          </cell>
          <cell r="F50">
            <v>1</v>
          </cell>
          <cell r="G50">
            <v>15.7</v>
          </cell>
          <cell r="H50">
            <v>1.5699999999999999E-2</v>
          </cell>
          <cell r="I50" t="str">
            <v/>
          </cell>
          <cell r="J50">
            <v>1.5699999999999999E-2</v>
          </cell>
          <cell r="N50" t="str">
            <v/>
          </cell>
          <cell r="O50" t="str">
            <v/>
          </cell>
          <cell r="P50">
            <v>0</v>
          </cell>
        </row>
        <row r="51">
          <cell r="A51" t="str">
            <v>ST-1880BB-70292-013</v>
          </cell>
          <cell r="B51" t="str">
            <v>1880-T-70292</v>
          </cell>
          <cell r="D51" t="str">
            <v>1880BB-T-70302_FL_30_REV02</v>
          </cell>
          <cell r="F51">
            <v>1</v>
          </cell>
          <cell r="G51">
            <v>15.7</v>
          </cell>
          <cell r="H51">
            <v>1.5699999999999999E-2</v>
          </cell>
          <cell r="I51" t="str">
            <v/>
          </cell>
          <cell r="J51">
            <v>1.5699999999999999E-2</v>
          </cell>
          <cell r="N51" t="str">
            <v/>
          </cell>
          <cell r="O51" t="str">
            <v/>
          </cell>
          <cell r="P51">
            <v>0</v>
          </cell>
        </row>
        <row r="52">
          <cell r="A52" t="str">
            <v>ST-1880BB-70296-001</v>
          </cell>
          <cell r="B52" t="str">
            <v>1880-T-70296</v>
          </cell>
          <cell r="D52" t="str">
            <v>1880BB-T-70302_FL_31_REV02</v>
          </cell>
          <cell r="F52">
            <v>1</v>
          </cell>
          <cell r="G52">
            <v>7.8</v>
          </cell>
          <cell r="H52">
            <v>7.7999999999999996E-3</v>
          </cell>
          <cell r="I52" t="str">
            <v/>
          </cell>
          <cell r="J52">
            <v>7.7999999999999996E-3</v>
          </cell>
          <cell r="N52" t="str">
            <v/>
          </cell>
          <cell r="O52" t="str">
            <v/>
          </cell>
          <cell r="P52">
            <v>0</v>
          </cell>
        </row>
        <row r="53">
          <cell r="A53" t="str">
            <v>ST-1880BB-70296-002</v>
          </cell>
          <cell r="B53" t="str">
            <v>1880-T-70296</v>
          </cell>
          <cell r="D53" t="str">
            <v>1880BB-T-70302_FL_32_REV02</v>
          </cell>
          <cell r="F53">
            <v>1</v>
          </cell>
          <cell r="G53">
            <v>4.7</v>
          </cell>
          <cell r="H53">
            <v>4.7000000000000002E-3</v>
          </cell>
          <cell r="I53" t="str">
            <v/>
          </cell>
          <cell r="J53">
            <v>4.7000000000000002E-3</v>
          </cell>
          <cell r="N53" t="str">
            <v/>
          </cell>
          <cell r="O53" t="str">
            <v/>
          </cell>
          <cell r="P53">
            <v>0</v>
          </cell>
        </row>
        <row r="54">
          <cell r="A54" t="str">
            <v>ST-1880BB-70296-003</v>
          </cell>
          <cell r="B54" t="str">
            <v>1880-T-70296</v>
          </cell>
          <cell r="D54" t="str">
            <v>1880BB-T-70302_FL_33_REV02</v>
          </cell>
          <cell r="F54">
            <v>1</v>
          </cell>
          <cell r="G54">
            <v>3.2</v>
          </cell>
          <cell r="H54">
            <v>3.2000000000000002E-3</v>
          </cell>
          <cell r="I54" t="str">
            <v/>
          </cell>
          <cell r="J54">
            <v>3.2000000000000002E-3</v>
          </cell>
          <cell r="N54" t="str">
            <v/>
          </cell>
          <cell r="O54" t="str">
            <v/>
          </cell>
          <cell r="P54">
            <v>0</v>
          </cell>
        </row>
        <row r="55">
          <cell r="A55" t="str">
            <v>ST-1880BB-70296-004</v>
          </cell>
          <cell r="B55" t="str">
            <v>1880-T-70296</v>
          </cell>
          <cell r="D55" t="str">
            <v>1880BB-T-70302_FL_33_REV02</v>
          </cell>
          <cell r="F55">
            <v>1</v>
          </cell>
          <cell r="G55">
            <v>3.2</v>
          </cell>
          <cell r="H55">
            <v>3.2000000000000002E-3</v>
          </cell>
          <cell r="I55" t="str">
            <v/>
          </cell>
          <cell r="J55">
            <v>3.2000000000000002E-3</v>
          </cell>
          <cell r="N55" t="str">
            <v/>
          </cell>
          <cell r="O55" t="str">
            <v/>
          </cell>
          <cell r="P55">
            <v>0</v>
          </cell>
        </row>
        <row r="56">
          <cell r="A56" t="str">
            <v>ST-1880BB-70296-005</v>
          </cell>
          <cell r="B56" t="str">
            <v>1880-T-70296</v>
          </cell>
          <cell r="D56" t="str">
            <v>1880BB-T-70302_FL_33_REV02</v>
          </cell>
          <cell r="F56">
            <v>1</v>
          </cell>
          <cell r="G56">
            <v>3.2</v>
          </cell>
          <cell r="H56">
            <v>3.2000000000000002E-3</v>
          </cell>
          <cell r="I56" t="str">
            <v/>
          </cell>
          <cell r="J56">
            <v>3.2000000000000002E-3</v>
          </cell>
          <cell r="N56" t="str">
            <v/>
          </cell>
          <cell r="O56" t="str">
            <v/>
          </cell>
          <cell r="P56">
            <v>0</v>
          </cell>
        </row>
        <row r="57">
          <cell r="A57" t="str">
            <v>ST-1880BB-70289-001</v>
          </cell>
          <cell r="B57" t="str">
            <v>1880-T-70289</v>
          </cell>
          <cell r="D57" t="str">
            <v>1880BB-T-70302_FL_34_REV02</v>
          </cell>
          <cell r="F57">
            <v>1</v>
          </cell>
          <cell r="G57">
            <v>3.9</v>
          </cell>
          <cell r="H57">
            <v>3.8999999999999998E-3</v>
          </cell>
          <cell r="I57" t="str">
            <v/>
          </cell>
          <cell r="J57">
            <v>3.8999999999999998E-3</v>
          </cell>
          <cell r="N57" t="str">
            <v/>
          </cell>
          <cell r="O57" t="str">
            <v/>
          </cell>
          <cell r="P57">
            <v>0</v>
          </cell>
        </row>
        <row r="58">
          <cell r="A58" t="str">
            <v>ST-1880BB-70289-011</v>
          </cell>
          <cell r="B58" t="str">
            <v>1880-T-70289</v>
          </cell>
          <cell r="D58" t="str">
            <v>1880BB-T-70302_FL_34_REV02</v>
          </cell>
          <cell r="F58">
            <v>1</v>
          </cell>
          <cell r="G58">
            <v>3.9</v>
          </cell>
          <cell r="H58">
            <v>3.8999999999999998E-3</v>
          </cell>
          <cell r="I58" t="str">
            <v/>
          </cell>
          <cell r="J58">
            <v>3.8999999999999998E-3</v>
          </cell>
          <cell r="N58" t="str">
            <v/>
          </cell>
          <cell r="O58" t="str">
            <v/>
          </cell>
          <cell r="P58">
            <v>0</v>
          </cell>
        </row>
        <row r="59">
          <cell r="A59" t="str">
            <v>ST-1880BB-70289-012</v>
          </cell>
          <cell r="B59" t="str">
            <v>1880-T-70289</v>
          </cell>
          <cell r="D59" t="str">
            <v>1880BB-T-70302_FL_34_REV02</v>
          </cell>
          <cell r="F59">
            <v>1</v>
          </cell>
          <cell r="G59">
            <v>3.9</v>
          </cell>
          <cell r="H59">
            <v>3.8999999999999998E-3</v>
          </cell>
          <cell r="I59" t="str">
            <v/>
          </cell>
          <cell r="J59">
            <v>3.8999999999999998E-3</v>
          </cell>
          <cell r="N59" t="str">
            <v/>
          </cell>
          <cell r="O59" t="str">
            <v/>
          </cell>
          <cell r="P59">
            <v>0</v>
          </cell>
        </row>
        <row r="60">
          <cell r="A60" t="str">
            <v>ST-1880BB-70296-051</v>
          </cell>
          <cell r="B60" t="str">
            <v>1880-T-70296</v>
          </cell>
          <cell r="D60" t="str">
            <v>1880BB-T-70302_FL_35_REV02</v>
          </cell>
          <cell r="F60">
            <v>1</v>
          </cell>
          <cell r="G60">
            <v>8.3000000000000007</v>
          </cell>
          <cell r="H60">
            <v>8.3000000000000001E-3</v>
          </cell>
          <cell r="I60" t="str">
            <v/>
          </cell>
          <cell r="J60">
            <v>8.3000000000000001E-3</v>
          </cell>
          <cell r="N60" t="str">
            <v/>
          </cell>
          <cell r="O60" t="str">
            <v/>
          </cell>
          <cell r="P60">
            <v>0</v>
          </cell>
        </row>
        <row r="61">
          <cell r="A61" t="str">
            <v>ST-1880BB-70297-006</v>
          </cell>
          <cell r="B61" t="str">
            <v>1880-T-70297</v>
          </cell>
          <cell r="D61" t="str">
            <v>1880BB-T-70302_FL_36_REV02</v>
          </cell>
          <cell r="F61">
            <v>1</v>
          </cell>
          <cell r="G61">
            <v>115.1</v>
          </cell>
          <cell r="H61">
            <v>0.11509999999999999</v>
          </cell>
          <cell r="I61" t="str">
            <v/>
          </cell>
          <cell r="J61">
            <v>0.11509999999999999</v>
          </cell>
          <cell r="N61" t="str">
            <v/>
          </cell>
          <cell r="O61" t="str">
            <v/>
          </cell>
          <cell r="P61">
            <v>0</v>
          </cell>
        </row>
        <row r="62">
          <cell r="A62" t="str">
            <v>ST-1880BB-70297-007</v>
          </cell>
          <cell r="B62" t="str">
            <v>1880-T-70297</v>
          </cell>
          <cell r="D62" t="str">
            <v>1880BB-T-70302_FL_36_REV02</v>
          </cell>
          <cell r="F62">
            <v>1</v>
          </cell>
          <cell r="G62">
            <v>115.1</v>
          </cell>
          <cell r="H62">
            <v>0.11509999999999999</v>
          </cell>
          <cell r="I62" t="str">
            <v/>
          </cell>
          <cell r="J62">
            <v>0.11509999999999999</v>
          </cell>
          <cell r="N62" t="str">
            <v/>
          </cell>
          <cell r="O62" t="str">
            <v/>
          </cell>
          <cell r="P62">
            <v>0</v>
          </cell>
        </row>
        <row r="63">
          <cell r="A63" t="str">
            <v>ST-1880BB-70297-008</v>
          </cell>
          <cell r="B63" t="str">
            <v>1880-T-70297</v>
          </cell>
          <cell r="D63" t="str">
            <v>1880BB-T-70302_FL_37_REV02</v>
          </cell>
          <cell r="F63">
            <v>1</v>
          </cell>
          <cell r="G63">
            <v>7.1</v>
          </cell>
          <cell r="H63">
            <v>7.0999999999999995E-3</v>
          </cell>
          <cell r="I63" t="str">
            <v/>
          </cell>
          <cell r="J63">
            <v>7.0999999999999995E-3</v>
          </cell>
          <cell r="N63" t="str">
            <v/>
          </cell>
          <cell r="O63" t="str">
            <v/>
          </cell>
          <cell r="P63">
            <v>0</v>
          </cell>
        </row>
        <row r="64">
          <cell r="A64" t="str">
            <v>ST-1880BB-70297-009</v>
          </cell>
          <cell r="B64" t="str">
            <v>1880-T-70297</v>
          </cell>
          <cell r="D64" t="str">
            <v>1880BB-T-70302_FL_38_REV02</v>
          </cell>
          <cell r="F64">
            <v>1</v>
          </cell>
          <cell r="G64">
            <v>39</v>
          </cell>
          <cell r="H64">
            <v>3.9E-2</v>
          </cell>
          <cell r="I64" t="str">
            <v/>
          </cell>
          <cell r="J64">
            <v>3.9E-2</v>
          </cell>
          <cell r="N64" t="str">
            <v/>
          </cell>
          <cell r="O64" t="str">
            <v/>
          </cell>
          <cell r="P64">
            <v>0</v>
          </cell>
        </row>
        <row r="65">
          <cell r="A65" t="str">
            <v>ST-1880BB-70297-010</v>
          </cell>
          <cell r="B65" t="str">
            <v>1880-T-70297</v>
          </cell>
          <cell r="D65" t="str">
            <v>1880BB-T-70302_FL_39_REV02</v>
          </cell>
          <cell r="F65">
            <v>1</v>
          </cell>
          <cell r="G65">
            <v>70.599999999999994</v>
          </cell>
          <cell r="H65">
            <v>7.0599999999999996E-2</v>
          </cell>
          <cell r="I65" t="str">
            <v/>
          </cell>
          <cell r="J65">
            <v>7.0599999999999996E-2</v>
          </cell>
          <cell r="N65" t="str">
            <v/>
          </cell>
          <cell r="O65" t="str">
            <v/>
          </cell>
          <cell r="P65">
            <v>0</v>
          </cell>
        </row>
        <row r="66">
          <cell r="A66" t="str">
            <v>ST-1880BB-70298-011</v>
          </cell>
          <cell r="B66" t="str">
            <v>1880-T-70298</v>
          </cell>
          <cell r="D66" t="str">
            <v>1880BB-T-70302_FL_39_REV02</v>
          </cell>
          <cell r="F66">
            <v>1</v>
          </cell>
          <cell r="G66">
            <v>70.599999999999994</v>
          </cell>
          <cell r="H66">
            <v>7.0599999999999996E-2</v>
          </cell>
          <cell r="I66" t="str">
            <v/>
          </cell>
          <cell r="J66">
            <v>7.0599999999999996E-2</v>
          </cell>
          <cell r="N66" t="str">
            <v/>
          </cell>
          <cell r="O66" t="str">
            <v/>
          </cell>
          <cell r="P66">
            <v>0</v>
          </cell>
        </row>
        <row r="67">
          <cell r="A67" t="str">
            <v>ST-1880BB-70298-012</v>
          </cell>
          <cell r="B67" t="str">
            <v>1880-T-70298</v>
          </cell>
          <cell r="D67" t="str">
            <v>1880BB-T-70302_FL_40_REV02</v>
          </cell>
          <cell r="F67">
            <v>1</v>
          </cell>
          <cell r="G67">
            <v>4.5</v>
          </cell>
          <cell r="H67">
            <v>4.4999999999999997E-3</v>
          </cell>
          <cell r="I67" t="str">
            <v/>
          </cell>
          <cell r="J67">
            <v>4.4999999999999997E-3</v>
          </cell>
          <cell r="N67" t="str">
            <v/>
          </cell>
          <cell r="O67" t="str">
            <v/>
          </cell>
          <cell r="P67">
            <v>0</v>
          </cell>
        </row>
        <row r="68">
          <cell r="A68" t="str">
            <v>ST-1880BB-70298-013</v>
          </cell>
          <cell r="B68" t="str">
            <v>1880-T-70298</v>
          </cell>
          <cell r="D68" t="str">
            <v>1880BB-T-70302_FL_41_REV02</v>
          </cell>
          <cell r="F68">
            <v>1</v>
          </cell>
          <cell r="G68">
            <v>22.5</v>
          </cell>
          <cell r="H68">
            <v>2.2499999999999999E-2</v>
          </cell>
          <cell r="I68" t="str">
            <v/>
          </cell>
          <cell r="J68">
            <v>2.2499999999999999E-2</v>
          </cell>
          <cell r="N68" t="str">
            <v/>
          </cell>
          <cell r="O68" t="str">
            <v/>
          </cell>
          <cell r="P68">
            <v>0</v>
          </cell>
        </row>
        <row r="69">
          <cell r="A69" t="str">
            <v>ST-1880BB-70298-014</v>
          </cell>
          <cell r="B69" t="str">
            <v>1880-T-70298</v>
          </cell>
          <cell r="D69" t="str">
            <v>1880BB-T-70302_FL_42_REV02</v>
          </cell>
          <cell r="F69">
            <v>1</v>
          </cell>
          <cell r="G69">
            <v>18.8</v>
          </cell>
          <cell r="H69">
            <v>1.8800000000000001E-2</v>
          </cell>
          <cell r="I69" t="str">
            <v/>
          </cell>
          <cell r="J69">
            <v>1.8800000000000001E-2</v>
          </cell>
          <cell r="N69" t="str">
            <v/>
          </cell>
          <cell r="O69" t="str">
            <v/>
          </cell>
          <cell r="P69">
            <v>0</v>
          </cell>
        </row>
        <row r="70">
          <cell r="A70" t="str">
            <v>ST-1880BB-70298-015</v>
          </cell>
          <cell r="B70" t="str">
            <v>1880-T-70298</v>
          </cell>
          <cell r="D70" t="str">
            <v>1880BB-T-70302_FL_42_REV02</v>
          </cell>
          <cell r="F70">
            <v>1</v>
          </cell>
          <cell r="G70">
            <v>18.8</v>
          </cell>
          <cell r="H70">
            <v>1.8800000000000001E-2</v>
          </cell>
          <cell r="I70" t="str">
            <v/>
          </cell>
          <cell r="J70">
            <v>1.8800000000000001E-2</v>
          </cell>
          <cell r="N70" t="str">
            <v/>
          </cell>
          <cell r="O70" t="str">
            <v/>
          </cell>
          <cell r="P70">
            <v>0</v>
          </cell>
        </row>
        <row r="71">
          <cell r="A71" t="str">
            <v>ST-1880BB-70299-016</v>
          </cell>
          <cell r="B71" t="str">
            <v>1880-T-70299</v>
          </cell>
          <cell r="D71" t="str">
            <v>1880BB-T-70302_FL_43_REV02</v>
          </cell>
          <cell r="F71">
            <v>1</v>
          </cell>
          <cell r="G71">
            <v>17.8</v>
          </cell>
          <cell r="H71">
            <v>1.78E-2</v>
          </cell>
          <cell r="I71" t="str">
            <v/>
          </cell>
          <cell r="J71">
            <v>1.78E-2</v>
          </cell>
          <cell r="N71">
            <v>1.6376000000000002E-2</v>
          </cell>
          <cell r="O71" t="str">
            <v/>
          </cell>
          <cell r="P71">
            <v>1.6376000000000002E-2</v>
          </cell>
        </row>
        <row r="72">
          <cell r="A72" t="str">
            <v>ST-1880BB-70299-018</v>
          </cell>
          <cell r="B72" t="str">
            <v>1880-T-70299</v>
          </cell>
          <cell r="D72" t="str">
            <v>1880BB-T-70302_FL_43_REV02</v>
          </cell>
          <cell r="F72">
            <v>1</v>
          </cell>
          <cell r="G72">
            <v>17.8</v>
          </cell>
          <cell r="H72">
            <v>1.78E-2</v>
          </cell>
          <cell r="I72" t="str">
            <v/>
          </cell>
          <cell r="J72">
            <v>1.78E-2</v>
          </cell>
          <cell r="N72">
            <v>1.6376000000000002E-2</v>
          </cell>
          <cell r="O72" t="str">
            <v/>
          </cell>
          <cell r="P72">
            <v>1.6376000000000002E-2</v>
          </cell>
        </row>
        <row r="73">
          <cell r="A73" t="str">
            <v>ST-1880BB-70299-020</v>
          </cell>
          <cell r="B73" t="str">
            <v>1880-T-70299</v>
          </cell>
          <cell r="D73" t="str">
            <v>1880BB-T-70302_FL_43_REV02</v>
          </cell>
          <cell r="F73">
            <v>1</v>
          </cell>
          <cell r="G73">
            <v>17.8</v>
          </cell>
          <cell r="H73">
            <v>1.78E-2</v>
          </cell>
          <cell r="I73" t="str">
            <v/>
          </cell>
          <cell r="J73">
            <v>1.78E-2</v>
          </cell>
          <cell r="N73">
            <v>1.6376000000000002E-2</v>
          </cell>
          <cell r="O73" t="str">
            <v/>
          </cell>
          <cell r="P73">
            <v>1.6376000000000002E-2</v>
          </cell>
        </row>
        <row r="74">
          <cell r="A74" t="str">
            <v>ST-1880BB-70299-021</v>
          </cell>
          <cell r="B74" t="str">
            <v>1880-T-70299</v>
          </cell>
          <cell r="D74" t="str">
            <v>1880BB-T-70302_FL_43_REV02</v>
          </cell>
          <cell r="F74">
            <v>1</v>
          </cell>
          <cell r="G74">
            <v>17.8</v>
          </cell>
          <cell r="H74">
            <v>1.78E-2</v>
          </cell>
          <cell r="I74" t="str">
            <v/>
          </cell>
          <cell r="J74">
            <v>1.78E-2</v>
          </cell>
          <cell r="N74">
            <v>1.6376000000000002E-2</v>
          </cell>
          <cell r="O74" t="str">
            <v/>
          </cell>
          <cell r="P74">
            <v>1.6376000000000002E-2</v>
          </cell>
        </row>
        <row r="75">
          <cell r="A75" t="str">
            <v>ST-1880BB-70299-023</v>
          </cell>
          <cell r="B75" t="str">
            <v>1880-T-70299</v>
          </cell>
          <cell r="D75" t="str">
            <v>1880BB-T-70302_FL_43_REV02</v>
          </cell>
          <cell r="F75">
            <v>1</v>
          </cell>
          <cell r="G75">
            <v>17.8</v>
          </cell>
          <cell r="H75">
            <v>1.78E-2</v>
          </cell>
          <cell r="I75" t="str">
            <v/>
          </cell>
          <cell r="J75">
            <v>1.78E-2</v>
          </cell>
          <cell r="N75" t="str">
            <v/>
          </cell>
          <cell r="O75" t="str">
            <v/>
          </cell>
          <cell r="P75">
            <v>0</v>
          </cell>
        </row>
        <row r="76">
          <cell r="A76" t="str">
            <v>ST-1880BB-70299-025</v>
          </cell>
          <cell r="B76" t="str">
            <v>1880-T-70299</v>
          </cell>
          <cell r="D76" t="str">
            <v>1880BB-T-70302_FL_43_REV02</v>
          </cell>
          <cell r="F76">
            <v>1</v>
          </cell>
          <cell r="G76">
            <v>17.8</v>
          </cell>
          <cell r="H76">
            <v>1.78E-2</v>
          </cell>
          <cell r="I76" t="str">
            <v/>
          </cell>
          <cell r="J76">
            <v>1.78E-2</v>
          </cell>
          <cell r="N76">
            <v>1.6376000000000002E-2</v>
          </cell>
          <cell r="O76" t="str">
            <v/>
          </cell>
          <cell r="P76">
            <v>1.6376000000000002E-2</v>
          </cell>
        </row>
        <row r="77">
          <cell r="A77" t="str">
            <v>ST-1880BB-70299-027</v>
          </cell>
          <cell r="B77" t="str">
            <v>1880-T-70299</v>
          </cell>
          <cell r="D77" t="str">
            <v>1880BB-T-70302_FL_43_REV02</v>
          </cell>
          <cell r="F77">
            <v>1</v>
          </cell>
          <cell r="G77">
            <v>17.8</v>
          </cell>
          <cell r="H77">
            <v>1.78E-2</v>
          </cell>
          <cell r="I77" t="str">
            <v/>
          </cell>
          <cell r="J77">
            <v>1.78E-2</v>
          </cell>
          <cell r="N77">
            <v>1.6376000000000002E-2</v>
          </cell>
          <cell r="O77" t="str">
            <v/>
          </cell>
          <cell r="P77">
            <v>1.6376000000000002E-2</v>
          </cell>
        </row>
        <row r="78">
          <cell r="A78" t="str">
            <v>ST-1880BB-70299-029</v>
          </cell>
          <cell r="B78" t="str">
            <v>1880-T-70299</v>
          </cell>
          <cell r="D78" t="str">
            <v>1880BB-T-70302_FL_43_REV02</v>
          </cell>
          <cell r="F78">
            <v>1</v>
          </cell>
          <cell r="G78">
            <v>17.8</v>
          </cell>
          <cell r="H78">
            <v>1.78E-2</v>
          </cell>
          <cell r="I78" t="str">
            <v/>
          </cell>
          <cell r="J78">
            <v>1.78E-2</v>
          </cell>
          <cell r="N78">
            <v>2.4104E-2</v>
          </cell>
          <cell r="O78" t="str">
            <v/>
          </cell>
          <cell r="P78">
            <v>2.4104E-2</v>
          </cell>
        </row>
        <row r="79">
          <cell r="A79" t="str">
            <v>ST-1880BB-70299-017</v>
          </cell>
          <cell r="B79" t="str">
            <v>1880-T-70299</v>
          </cell>
          <cell r="D79" t="str">
            <v>1880BB-T-70302_FL_44_REV02</v>
          </cell>
          <cell r="F79">
            <v>1</v>
          </cell>
          <cell r="G79">
            <v>26.2</v>
          </cell>
          <cell r="H79">
            <v>2.6199999999999998E-2</v>
          </cell>
          <cell r="I79" t="str">
            <v/>
          </cell>
          <cell r="J79">
            <v>2.6199999999999998E-2</v>
          </cell>
          <cell r="N79">
            <v>2.4104E-2</v>
          </cell>
          <cell r="O79" t="str">
            <v/>
          </cell>
          <cell r="P79">
            <v>2.4104E-2</v>
          </cell>
        </row>
        <row r="80">
          <cell r="A80" t="str">
            <v>ST-1880BB-70299-019</v>
          </cell>
          <cell r="B80" t="str">
            <v>1880-T-70299</v>
          </cell>
          <cell r="D80" t="str">
            <v>1880BB-T-70302_FL_44_REV02</v>
          </cell>
          <cell r="F80">
            <v>1</v>
          </cell>
          <cell r="G80">
            <v>26.2</v>
          </cell>
          <cell r="H80">
            <v>2.6199999999999998E-2</v>
          </cell>
          <cell r="I80" t="str">
            <v/>
          </cell>
          <cell r="J80">
            <v>2.6199999999999998E-2</v>
          </cell>
          <cell r="N80">
            <v>2.4104E-2</v>
          </cell>
          <cell r="O80" t="str">
            <v/>
          </cell>
          <cell r="P80">
            <v>2.4104E-2</v>
          </cell>
        </row>
        <row r="81">
          <cell r="A81" t="str">
            <v>ST-1880BB-70299-022</v>
          </cell>
          <cell r="B81" t="str">
            <v>1880-T-70299</v>
          </cell>
          <cell r="D81" t="str">
            <v>1880BB-T-70302_FL_44_REV02</v>
          </cell>
          <cell r="F81">
            <v>1</v>
          </cell>
          <cell r="G81">
            <v>26.2</v>
          </cell>
          <cell r="H81">
            <v>2.6199999999999998E-2</v>
          </cell>
          <cell r="I81" t="str">
            <v/>
          </cell>
          <cell r="J81">
            <v>2.6199999999999998E-2</v>
          </cell>
          <cell r="N81">
            <v>2.4104E-2</v>
          </cell>
          <cell r="O81" t="str">
            <v/>
          </cell>
          <cell r="P81">
            <v>2.4104E-2</v>
          </cell>
        </row>
        <row r="82">
          <cell r="A82" t="str">
            <v>ST-1880BB-70299-024</v>
          </cell>
          <cell r="B82" t="str">
            <v>1880-T-70299</v>
          </cell>
          <cell r="D82" t="str">
            <v>1880BB-T-70302_FL_44_REV02</v>
          </cell>
          <cell r="F82">
            <v>1</v>
          </cell>
          <cell r="G82">
            <v>26.2</v>
          </cell>
          <cell r="H82">
            <v>2.6199999999999998E-2</v>
          </cell>
          <cell r="I82" t="str">
            <v/>
          </cell>
          <cell r="J82">
            <v>2.6199999999999998E-2</v>
          </cell>
          <cell r="N82">
            <v>2.4104E-2</v>
          </cell>
          <cell r="O82" t="str">
            <v/>
          </cell>
          <cell r="P82">
            <v>2.4104E-2</v>
          </cell>
        </row>
        <row r="83">
          <cell r="A83" t="str">
            <v>ST-1880BB-70299-026</v>
          </cell>
          <cell r="B83" t="str">
            <v>1880-T-70299</v>
          </cell>
          <cell r="D83" t="str">
            <v>1880BB-T-70302_FL_44_REV02</v>
          </cell>
          <cell r="F83">
            <v>1</v>
          </cell>
          <cell r="G83">
            <v>26.2</v>
          </cell>
          <cell r="H83">
            <v>2.6199999999999998E-2</v>
          </cell>
          <cell r="I83" t="str">
            <v/>
          </cell>
          <cell r="J83">
            <v>2.6199999999999998E-2</v>
          </cell>
          <cell r="N83">
            <v>2.4104E-2</v>
          </cell>
          <cell r="O83" t="str">
            <v/>
          </cell>
          <cell r="P83">
            <v>2.4104E-2</v>
          </cell>
        </row>
        <row r="84">
          <cell r="A84" t="str">
            <v>ST-1880BB-70299-028</v>
          </cell>
          <cell r="B84" t="str">
            <v>1880-T-70299</v>
          </cell>
          <cell r="D84" t="str">
            <v>1880BB-T-70302_FL_44_REV02</v>
          </cell>
          <cell r="F84">
            <v>1</v>
          </cell>
          <cell r="G84">
            <v>26.2</v>
          </cell>
          <cell r="H84">
            <v>2.6199999999999998E-2</v>
          </cell>
          <cell r="I84" t="str">
            <v/>
          </cell>
          <cell r="J84">
            <v>2.6199999999999998E-2</v>
          </cell>
          <cell r="N84">
            <v>3.2384000000000003E-2</v>
          </cell>
          <cell r="O84" t="str">
            <v/>
          </cell>
          <cell r="P84">
            <v>3.2384000000000003E-2</v>
          </cell>
        </row>
        <row r="85">
          <cell r="A85" t="str">
            <v>ST-1880BB-70300-030</v>
          </cell>
          <cell r="B85" t="str">
            <v>1880-T-70300</v>
          </cell>
          <cell r="D85" t="str">
            <v>1880BB-T-70302_FL_45_REV02</v>
          </cell>
          <cell r="F85">
            <v>1</v>
          </cell>
          <cell r="G85">
            <v>35.200000000000003</v>
          </cell>
          <cell r="H85">
            <v>3.5200000000000002E-2</v>
          </cell>
          <cell r="I85" t="str">
            <v/>
          </cell>
          <cell r="J85">
            <v>3.5200000000000002E-2</v>
          </cell>
          <cell r="N85">
            <v>3.2384000000000003E-2</v>
          </cell>
          <cell r="O85" t="str">
            <v/>
          </cell>
          <cell r="P85">
            <v>3.2384000000000003E-2</v>
          </cell>
        </row>
        <row r="86">
          <cell r="A86" t="str">
            <v>ST-1880BB-70300-032</v>
          </cell>
          <cell r="B86" t="str">
            <v>1880-T-70300</v>
          </cell>
          <cell r="D86" t="str">
            <v>1880BB-T-70302_FL_45_REV02</v>
          </cell>
          <cell r="F86">
            <v>1</v>
          </cell>
          <cell r="G86">
            <v>35.200000000000003</v>
          </cell>
          <cell r="H86">
            <v>3.5200000000000002E-2</v>
          </cell>
          <cell r="I86" t="str">
            <v/>
          </cell>
          <cell r="J86">
            <v>3.5200000000000002E-2</v>
          </cell>
          <cell r="N86">
            <v>3.2384000000000003E-2</v>
          </cell>
          <cell r="O86" t="str">
            <v/>
          </cell>
          <cell r="P86">
            <v>3.2384000000000003E-2</v>
          </cell>
        </row>
        <row r="87">
          <cell r="A87" t="str">
            <v>ST-1880BB-70300-031</v>
          </cell>
          <cell r="B87" t="str">
            <v>1880-T-70300</v>
          </cell>
          <cell r="D87" t="str">
            <v>1880BB-T-70302_FL_46_REV02</v>
          </cell>
          <cell r="F87">
            <v>1</v>
          </cell>
          <cell r="G87">
            <v>35.200000000000003</v>
          </cell>
          <cell r="H87">
            <v>3.5200000000000002E-2</v>
          </cell>
          <cell r="I87" t="str">
            <v/>
          </cell>
          <cell r="J87">
            <v>3.5200000000000002E-2</v>
          </cell>
          <cell r="N87">
            <v>3.2384000000000003E-2</v>
          </cell>
          <cell r="O87" t="str">
            <v/>
          </cell>
          <cell r="P87">
            <v>3.2384000000000003E-2</v>
          </cell>
        </row>
        <row r="88">
          <cell r="A88" t="str">
            <v>ST-1880BB-70300-033</v>
          </cell>
          <cell r="B88" t="str">
            <v>1880-T-70300</v>
          </cell>
          <cell r="D88" t="str">
            <v>1880BB-T-70302_FL_46_REV02</v>
          </cell>
          <cell r="F88">
            <v>1</v>
          </cell>
          <cell r="G88">
            <v>35.200000000000003</v>
          </cell>
          <cell r="H88">
            <v>3.5200000000000002E-2</v>
          </cell>
          <cell r="I88" t="str">
            <v/>
          </cell>
          <cell r="J88">
            <v>3.5200000000000002E-2</v>
          </cell>
          <cell r="N88">
            <v>3.9284000000000006E-2</v>
          </cell>
          <cell r="O88" t="str">
            <v/>
          </cell>
          <cell r="P88">
            <v>3.9284000000000006E-2</v>
          </cell>
        </row>
        <row r="89">
          <cell r="A89" t="str">
            <v>ST-1880BB-70326-034</v>
          </cell>
          <cell r="B89" t="str">
            <v>1880-T-70326</v>
          </cell>
          <cell r="D89" t="str">
            <v>1880BB-T-70302_FL_47_REV02</v>
          </cell>
          <cell r="F89">
            <v>1</v>
          </cell>
          <cell r="G89">
            <v>42.7</v>
          </cell>
          <cell r="H89">
            <v>4.2700000000000002E-2</v>
          </cell>
          <cell r="I89" t="str">
            <v/>
          </cell>
          <cell r="J89">
            <v>4.2700000000000002E-2</v>
          </cell>
          <cell r="N89" t="str">
            <v/>
          </cell>
          <cell r="O89" t="str">
            <v/>
          </cell>
          <cell r="P89">
            <v>0</v>
          </cell>
        </row>
        <row r="90">
          <cell r="A90" t="str">
            <v>ST-1880BB-70326-035</v>
          </cell>
          <cell r="B90" t="str">
            <v>1880-T-70326</v>
          </cell>
          <cell r="D90" t="str">
            <v>1880BB-T-70302_FL_48_REV02</v>
          </cell>
          <cell r="F90">
            <v>1</v>
          </cell>
          <cell r="G90">
            <v>20.399999999999999</v>
          </cell>
          <cell r="H90">
            <v>2.0399999999999998E-2</v>
          </cell>
          <cell r="I90" t="str">
            <v/>
          </cell>
          <cell r="J90">
            <v>2.0399999999999998E-2</v>
          </cell>
          <cell r="N90" t="str">
            <v/>
          </cell>
          <cell r="O90" t="str">
            <v/>
          </cell>
          <cell r="P90">
            <v>0</v>
          </cell>
        </row>
        <row r="91">
          <cell r="A91" t="str">
            <v>ST-1880BB-70326-036</v>
          </cell>
          <cell r="B91" t="str">
            <v>1880-T-70326</v>
          </cell>
          <cell r="D91" t="str">
            <v>1880BB-T-70302_FL_49_REV02</v>
          </cell>
          <cell r="F91">
            <v>1</v>
          </cell>
          <cell r="G91">
            <v>46.4</v>
          </cell>
          <cell r="H91">
            <v>4.6399999999999997E-2</v>
          </cell>
          <cell r="I91" t="str">
            <v/>
          </cell>
          <cell r="J91">
            <v>4.6399999999999997E-2</v>
          </cell>
          <cell r="N91" t="str">
            <v/>
          </cell>
          <cell r="O91" t="str">
            <v/>
          </cell>
          <cell r="P91">
            <v>0</v>
          </cell>
        </row>
        <row r="92">
          <cell r="A92" t="str">
            <v>ST-1880BB-70326-037</v>
          </cell>
          <cell r="B92" t="str">
            <v>1880-T-70326</v>
          </cell>
          <cell r="D92" t="str">
            <v>1880BB-T-70302_FL_50_REV02</v>
          </cell>
          <cell r="F92">
            <v>1</v>
          </cell>
          <cell r="G92">
            <v>29.2</v>
          </cell>
          <cell r="H92">
            <v>2.92E-2</v>
          </cell>
          <cell r="I92" t="str">
            <v/>
          </cell>
          <cell r="J92">
            <v>2.92E-2</v>
          </cell>
          <cell r="N92" t="str">
            <v/>
          </cell>
          <cell r="O92" t="str">
            <v/>
          </cell>
          <cell r="P92">
            <v>0</v>
          </cell>
        </row>
        <row r="93">
          <cell r="A93" t="str">
            <v>ST-1880BB-70326-038</v>
          </cell>
          <cell r="B93" t="str">
            <v>1880-T-70326</v>
          </cell>
          <cell r="D93" t="str">
            <v>1880BB-T-70302_FL_51_REV02</v>
          </cell>
          <cell r="F93">
            <v>1</v>
          </cell>
          <cell r="G93">
            <v>20.399999999999999</v>
          </cell>
          <cell r="H93">
            <v>2.0399999999999998E-2</v>
          </cell>
          <cell r="I93" t="str">
            <v/>
          </cell>
          <cell r="J93">
            <v>2.0399999999999998E-2</v>
          </cell>
          <cell r="N93" t="str">
            <v/>
          </cell>
          <cell r="O93" t="str">
            <v/>
          </cell>
          <cell r="P93">
            <v>0</v>
          </cell>
        </row>
        <row r="94">
          <cell r="A94" t="str">
            <v>ST-1880BB-70326-039</v>
          </cell>
          <cell r="B94" t="str">
            <v>1880-T-70326</v>
          </cell>
          <cell r="D94" t="str">
            <v>1880BB-T-70302_FL_51_REV02</v>
          </cell>
          <cell r="F94">
            <v>1</v>
          </cell>
          <cell r="G94">
            <v>20.399999999999999</v>
          </cell>
          <cell r="H94">
            <v>2.0399999999999998E-2</v>
          </cell>
          <cell r="I94" t="str">
            <v/>
          </cell>
          <cell r="J94">
            <v>2.0399999999999998E-2</v>
          </cell>
          <cell r="N94" t="str">
            <v/>
          </cell>
          <cell r="O94" t="str">
            <v/>
          </cell>
          <cell r="P94">
            <v>0</v>
          </cell>
        </row>
        <row r="95">
          <cell r="A95" t="str">
            <v>ST-1880BB-70326-040</v>
          </cell>
          <cell r="B95" t="str">
            <v>1880-T-70326</v>
          </cell>
          <cell r="D95" t="str">
            <v>1880BB-T-70302_FL_51_REV02</v>
          </cell>
          <cell r="F95">
            <v>1</v>
          </cell>
          <cell r="G95">
            <v>20.399999999999999</v>
          </cell>
          <cell r="H95">
            <v>2.0399999999999998E-2</v>
          </cell>
          <cell r="I95" t="str">
            <v/>
          </cell>
          <cell r="J95">
            <v>2.0399999999999998E-2</v>
          </cell>
          <cell r="N95" t="str">
            <v/>
          </cell>
          <cell r="O95" t="str">
            <v/>
          </cell>
          <cell r="P95">
            <v>0</v>
          </cell>
        </row>
        <row r="96">
          <cell r="A96" t="str">
            <v>ST-1880BB-70327-044</v>
          </cell>
          <cell r="B96" t="str">
            <v>1880-T-70327</v>
          </cell>
          <cell r="D96" t="str">
            <v>1880BB-T-70302_FL_52_REV02</v>
          </cell>
          <cell r="F96">
            <v>1</v>
          </cell>
          <cell r="G96">
            <v>27.4</v>
          </cell>
          <cell r="H96">
            <v>2.7399999999999997E-2</v>
          </cell>
          <cell r="I96" t="str">
            <v/>
          </cell>
          <cell r="J96">
            <v>2.7399999999999997E-2</v>
          </cell>
          <cell r="N96" t="str">
            <v/>
          </cell>
          <cell r="O96" t="str">
            <v/>
          </cell>
          <cell r="P96">
            <v>0</v>
          </cell>
        </row>
        <row r="97">
          <cell r="A97" t="str">
            <v>ST-1880BB-70328-045</v>
          </cell>
          <cell r="B97" t="str">
            <v>1880-T-70328</v>
          </cell>
          <cell r="D97" t="str">
            <v>1880BB-T-70302_FL_52_REV02</v>
          </cell>
          <cell r="F97">
            <v>1</v>
          </cell>
          <cell r="G97">
            <v>27.4</v>
          </cell>
          <cell r="H97">
            <v>2.7399999999999997E-2</v>
          </cell>
          <cell r="I97" t="str">
            <v/>
          </cell>
          <cell r="J97">
            <v>2.7399999999999997E-2</v>
          </cell>
          <cell r="N97" t="str">
            <v/>
          </cell>
          <cell r="O97" t="str">
            <v/>
          </cell>
          <cell r="P97">
            <v>0</v>
          </cell>
        </row>
        <row r="98">
          <cell r="A98" t="str">
            <v>ST-1880BB-70328-046</v>
          </cell>
          <cell r="B98" t="str">
            <v>1880-T-70328</v>
          </cell>
          <cell r="D98" t="str">
            <v>1880BB-T-70302_FL_52_REV02</v>
          </cell>
          <cell r="F98">
            <v>1</v>
          </cell>
          <cell r="G98">
            <v>27.4</v>
          </cell>
          <cell r="H98">
            <v>2.7399999999999997E-2</v>
          </cell>
          <cell r="I98" t="str">
            <v/>
          </cell>
          <cell r="J98">
            <v>2.7399999999999997E-2</v>
          </cell>
          <cell r="N98" t="str">
            <v/>
          </cell>
          <cell r="O98" t="str">
            <v/>
          </cell>
          <cell r="P98">
            <v>0</v>
          </cell>
        </row>
        <row r="99">
          <cell r="A99" t="str">
            <v>ST-1880BB-70328-047</v>
          </cell>
          <cell r="B99" t="str">
            <v>1880-T-70328</v>
          </cell>
          <cell r="D99" t="str">
            <v>1880BB-T-70302_FL_53_REV02</v>
          </cell>
          <cell r="F99">
            <v>1</v>
          </cell>
          <cell r="G99">
            <v>38.799999999999997</v>
          </cell>
          <cell r="H99">
            <v>3.8799999999999994E-2</v>
          </cell>
          <cell r="I99" t="str">
            <v/>
          </cell>
          <cell r="J99">
            <v>3.8799999999999994E-2</v>
          </cell>
          <cell r="N99" t="str">
            <v/>
          </cell>
          <cell r="O99" t="str">
            <v/>
          </cell>
          <cell r="P99">
            <v>0</v>
          </cell>
        </row>
        <row r="100">
          <cell r="A100" t="str">
            <v>ST-1880BB-70328-048</v>
          </cell>
          <cell r="B100" t="str">
            <v>1880-T-70328</v>
          </cell>
          <cell r="D100" t="str">
            <v>1880BB-T-70302_FL_53_REV02</v>
          </cell>
          <cell r="F100">
            <v>1</v>
          </cell>
          <cell r="G100">
            <v>38.799999999999997</v>
          </cell>
          <cell r="H100">
            <v>3.8799999999999994E-2</v>
          </cell>
          <cell r="I100" t="str">
            <v/>
          </cell>
          <cell r="J100">
            <v>3.8799999999999994E-2</v>
          </cell>
          <cell r="N100" t="str">
            <v/>
          </cell>
          <cell r="O100" t="str">
            <v/>
          </cell>
          <cell r="P100">
            <v>0</v>
          </cell>
        </row>
        <row r="101">
          <cell r="A101" t="str">
            <v>ST-1880BB-70328-049</v>
          </cell>
          <cell r="B101" t="str">
            <v>1880-T-70328</v>
          </cell>
          <cell r="D101" t="str">
            <v>1880BB-T-70302_FL_54_REV02</v>
          </cell>
          <cell r="F101">
            <v>1</v>
          </cell>
          <cell r="G101">
            <v>41.4</v>
          </cell>
          <cell r="H101">
            <v>4.1399999999999999E-2</v>
          </cell>
          <cell r="I101" t="str">
            <v/>
          </cell>
          <cell r="J101">
            <v>4.1399999999999999E-2</v>
          </cell>
          <cell r="N101" t="str">
            <v/>
          </cell>
          <cell r="O101" t="str">
            <v/>
          </cell>
          <cell r="P101">
            <v>0</v>
          </cell>
        </row>
        <row r="102">
          <cell r="A102" t="str">
            <v>ST-1880BB-70331-050</v>
          </cell>
          <cell r="B102" t="str">
            <v>1880-T-70331</v>
          </cell>
          <cell r="D102" t="str">
            <v>1880BB-T-70302_FL_55_REV02</v>
          </cell>
          <cell r="F102">
            <v>1</v>
          </cell>
          <cell r="G102">
            <v>64.400000000000006</v>
          </cell>
          <cell r="H102">
            <v>6.4399999999999999E-2</v>
          </cell>
          <cell r="I102" t="str">
            <v/>
          </cell>
          <cell r="J102">
            <v>6.4399999999999999E-2</v>
          </cell>
          <cell r="N102" t="str">
            <v/>
          </cell>
          <cell r="O102" t="str">
            <v/>
          </cell>
          <cell r="P102">
            <v>0</v>
          </cell>
        </row>
        <row r="103">
          <cell r="A103" t="str">
            <v>ST-1880BB-70331-051</v>
          </cell>
          <cell r="B103" t="str">
            <v>1880-T-70331</v>
          </cell>
          <cell r="D103" t="str">
            <v>1880BB-T-70302_FL_56_REV02</v>
          </cell>
          <cell r="F103">
            <v>1</v>
          </cell>
          <cell r="G103">
            <v>50.7</v>
          </cell>
          <cell r="H103">
            <v>5.0700000000000002E-2</v>
          </cell>
          <cell r="I103" t="str">
            <v/>
          </cell>
          <cell r="J103">
            <v>5.0700000000000002E-2</v>
          </cell>
          <cell r="N103" t="str">
            <v/>
          </cell>
          <cell r="O103" t="str">
            <v/>
          </cell>
          <cell r="P103">
            <v>0</v>
          </cell>
        </row>
        <row r="104">
          <cell r="A104" t="str">
            <v>ST-1880BB-70331-052</v>
          </cell>
          <cell r="B104" t="str">
            <v>1880-T-70331</v>
          </cell>
          <cell r="D104" t="str">
            <v>1880BB-T-70302_FL_56_REV02</v>
          </cell>
          <cell r="F104">
            <v>1</v>
          </cell>
          <cell r="G104">
            <v>50.7</v>
          </cell>
          <cell r="H104">
            <v>5.0700000000000002E-2</v>
          </cell>
          <cell r="I104" t="str">
            <v/>
          </cell>
          <cell r="J104">
            <v>5.0700000000000002E-2</v>
          </cell>
          <cell r="N104" t="str">
            <v/>
          </cell>
          <cell r="O104" t="str">
            <v/>
          </cell>
          <cell r="P104">
            <v>0</v>
          </cell>
        </row>
        <row r="105">
          <cell r="A105" t="str">
            <v>ST-1880BB-70339-001</v>
          </cell>
          <cell r="B105" t="str">
            <v>1880-T-70339</v>
          </cell>
          <cell r="D105" t="str">
            <v>1880BB-T-70302_FL_57_REV02</v>
          </cell>
          <cell r="F105">
            <v>1</v>
          </cell>
          <cell r="G105">
            <v>14.3</v>
          </cell>
          <cell r="H105">
            <v>1.43E-2</v>
          </cell>
          <cell r="I105" t="str">
            <v/>
          </cell>
          <cell r="J105">
            <v>1.43E-2</v>
          </cell>
          <cell r="N105" t="str">
            <v/>
          </cell>
          <cell r="O105" t="str">
            <v/>
          </cell>
          <cell r="P105">
            <v>0</v>
          </cell>
        </row>
        <row r="106">
          <cell r="A106" t="str">
            <v>ST-1880BB-70339-002</v>
          </cell>
          <cell r="B106" t="str">
            <v>1880-T-70339</v>
          </cell>
          <cell r="D106" t="str">
            <v>1880BB-T-70302_FL_57_REV02</v>
          </cell>
          <cell r="F106">
            <v>1</v>
          </cell>
          <cell r="G106">
            <v>14.3</v>
          </cell>
          <cell r="H106">
            <v>1.43E-2</v>
          </cell>
          <cell r="I106" t="str">
            <v/>
          </cell>
          <cell r="J106">
            <v>1.43E-2</v>
          </cell>
          <cell r="N106" t="str">
            <v/>
          </cell>
          <cell r="O106" t="str">
            <v/>
          </cell>
          <cell r="P106">
            <v>0</v>
          </cell>
        </row>
        <row r="107">
          <cell r="A107" t="str">
            <v>ST-1880BB-70289-013</v>
          </cell>
          <cell r="B107" t="str">
            <v>1880-T-70289</v>
          </cell>
          <cell r="D107" t="str">
            <v>1880BB-T-70302_FL_58_REV02</v>
          </cell>
          <cell r="F107">
            <v>1</v>
          </cell>
          <cell r="G107">
            <v>10.76</v>
          </cell>
          <cell r="H107">
            <v>1.076E-2</v>
          </cell>
          <cell r="I107" t="str">
            <v/>
          </cell>
          <cell r="J107">
            <v>1.076E-2</v>
          </cell>
          <cell r="N107" t="str">
            <v/>
          </cell>
          <cell r="O107" t="str">
            <v/>
          </cell>
          <cell r="P107">
            <v>0</v>
          </cell>
        </row>
        <row r="108">
          <cell r="A108" t="str">
            <v>ST-1880BB-70289-014</v>
          </cell>
          <cell r="B108" t="str">
            <v>1880-T-70289</v>
          </cell>
          <cell r="D108" t="str">
            <v>1880BB-T-70302_FL_59_REV02</v>
          </cell>
          <cell r="F108">
            <v>1</v>
          </cell>
          <cell r="G108">
            <v>10.16</v>
          </cell>
          <cell r="H108">
            <v>1.0160000000000001E-2</v>
          </cell>
          <cell r="I108" t="str">
            <v/>
          </cell>
          <cell r="J108">
            <v>1.0160000000000001E-2</v>
          </cell>
          <cell r="N108" t="str">
            <v/>
          </cell>
          <cell r="O108" t="str">
            <v/>
          </cell>
          <cell r="P108">
            <v>0</v>
          </cell>
        </row>
        <row r="109">
          <cell r="A109" t="str">
            <v>ST-1880BB-70331-053</v>
          </cell>
          <cell r="B109" t="str">
            <v>1880-T-70331</v>
          </cell>
          <cell r="D109" t="str">
            <v>1880BB-T-70302_FL_60_REV02</v>
          </cell>
          <cell r="F109">
            <v>1</v>
          </cell>
          <cell r="G109">
            <v>160.1</v>
          </cell>
          <cell r="H109">
            <v>0.16009999999999999</v>
          </cell>
          <cell r="I109" t="str">
            <v/>
          </cell>
          <cell r="J109">
            <v>0.16009999999999999</v>
          </cell>
          <cell r="N109" t="str">
            <v/>
          </cell>
          <cell r="O109" t="str">
            <v/>
          </cell>
          <cell r="P109">
            <v>0</v>
          </cell>
        </row>
        <row r="110">
          <cell r="A110" t="str">
            <v>ST-1880BB-70331-054</v>
          </cell>
          <cell r="B110" t="str">
            <v>1880-T-70331</v>
          </cell>
          <cell r="D110" t="str">
            <v>1880BB-T-70302_FL_61_REV02</v>
          </cell>
          <cell r="F110">
            <v>1</v>
          </cell>
          <cell r="G110">
            <v>138</v>
          </cell>
          <cell r="H110">
            <v>0.13800000000000001</v>
          </cell>
          <cell r="I110" t="str">
            <v/>
          </cell>
          <cell r="J110">
            <v>0.13800000000000001</v>
          </cell>
          <cell r="N110" t="str">
            <v/>
          </cell>
          <cell r="O110" t="str">
            <v/>
          </cell>
          <cell r="P110">
            <v>0</v>
          </cell>
        </row>
        <row r="111">
          <cell r="A111" t="str">
            <v>SP-05-14"-2</v>
          </cell>
          <cell r="F111">
            <v>1</v>
          </cell>
          <cell r="G111">
            <v>31</v>
          </cell>
          <cell r="H111">
            <v>3.1E-2</v>
          </cell>
          <cell r="I111" t="str">
            <v/>
          </cell>
          <cell r="J111">
            <v>3.1E-2</v>
          </cell>
          <cell r="N111" t="str">
            <v/>
          </cell>
          <cell r="O111" t="str">
            <v/>
          </cell>
          <cell r="P111">
            <v>0</v>
          </cell>
        </row>
        <row r="112">
          <cell r="A112" t="str">
            <v>ST-1880BB-70290-001</v>
          </cell>
          <cell r="B112" t="str">
            <v>1880BB-T-70290</v>
          </cell>
          <cell r="D112" t="str">
            <v>1880BB-T-70287_FL_13</v>
          </cell>
          <cell r="F112">
            <v>1</v>
          </cell>
          <cell r="G112">
            <v>70.900000000000006</v>
          </cell>
          <cell r="H112">
            <v>7.0900000000000005E-2</v>
          </cell>
          <cell r="I112" t="str">
            <v/>
          </cell>
          <cell r="J112">
            <v>7.0900000000000005E-2</v>
          </cell>
          <cell r="N112" t="str">
            <v/>
          </cell>
          <cell r="O112" t="str">
            <v/>
          </cell>
          <cell r="P112">
            <v>0</v>
          </cell>
        </row>
        <row r="113">
          <cell r="A113" t="str">
            <v>ST-1880BB-70290-005</v>
          </cell>
          <cell r="B113" t="str">
            <v>1880BB-T-70290</v>
          </cell>
          <cell r="D113" t="str">
            <v>1880BB-T-70287_FL_13</v>
          </cell>
          <cell r="F113">
            <v>1</v>
          </cell>
          <cell r="G113">
            <v>70.900000000000006</v>
          </cell>
          <cell r="H113">
            <v>7.0900000000000005E-2</v>
          </cell>
          <cell r="I113" t="str">
            <v/>
          </cell>
          <cell r="J113">
            <v>7.0900000000000005E-2</v>
          </cell>
          <cell r="N113" t="str">
            <v/>
          </cell>
          <cell r="O113" t="str">
            <v/>
          </cell>
          <cell r="P113">
            <v>0</v>
          </cell>
        </row>
        <row r="114">
          <cell r="A114" t="str">
            <v>ST-1880BB-70290-002</v>
          </cell>
          <cell r="B114" t="str">
            <v>1880BB-T-70290</v>
          </cell>
          <cell r="D114" t="str">
            <v>1880BB-T-70287_FL_14</v>
          </cell>
          <cell r="F114">
            <v>1</v>
          </cell>
          <cell r="G114">
            <v>114.2</v>
          </cell>
          <cell r="H114">
            <v>0.1142</v>
          </cell>
          <cell r="I114" t="str">
            <v/>
          </cell>
          <cell r="J114">
            <v>0.1142</v>
          </cell>
          <cell r="N114" t="str">
            <v/>
          </cell>
          <cell r="O114" t="str">
            <v/>
          </cell>
          <cell r="P114">
            <v>0</v>
          </cell>
        </row>
        <row r="115">
          <cell r="A115" t="str">
            <v>ST-1880BB-70290-006</v>
          </cell>
          <cell r="B115" t="str">
            <v>1880BB-T-70290</v>
          </cell>
          <cell r="D115" t="str">
            <v>1880BB-T-70287_FL_15</v>
          </cell>
          <cell r="F115">
            <v>1</v>
          </cell>
          <cell r="G115">
            <v>70.900000000000006</v>
          </cell>
          <cell r="H115">
            <v>7.0900000000000005E-2</v>
          </cell>
          <cell r="I115" t="str">
            <v/>
          </cell>
          <cell r="J115">
            <v>7.0900000000000005E-2</v>
          </cell>
          <cell r="N115" t="str">
            <v/>
          </cell>
          <cell r="O115" t="str">
            <v/>
          </cell>
          <cell r="P115">
            <v>0</v>
          </cell>
        </row>
        <row r="116">
          <cell r="A116" t="str">
            <v>ST-1880BB-70290-024</v>
          </cell>
          <cell r="B116" t="str">
            <v>1880BB-T-70290</v>
          </cell>
          <cell r="D116" t="str">
            <v>1880BB-T-70287_FL_18</v>
          </cell>
          <cell r="F116">
            <v>1</v>
          </cell>
          <cell r="G116">
            <v>89.9</v>
          </cell>
          <cell r="H116">
            <v>8.9900000000000008E-2</v>
          </cell>
          <cell r="I116" t="str">
            <v/>
          </cell>
          <cell r="J116">
            <v>8.9900000000000008E-2</v>
          </cell>
          <cell r="N116" t="str">
            <v/>
          </cell>
          <cell r="O116" t="str">
            <v/>
          </cell>
          <cell r="P116">
            <v>0</v>
          </cell>
        </row>
        <row r="117">
          <cell r="A117" t="str">
            <v>ST-1880BB-70290-026</v>
          </cell>
          <cell r="B117" t="str">
            <v>1880BB-T-70290</v>
          </cell>
          <cell r="D117" t="str">
            <v>1880BB-T-70287_FL_19</v>
          </cell>
          <cell r="F117">
            <v>1</v>
          </cell>
          <cell r="G117">
            <v>15.7</v>
          </cell>
          <cell r="H117">
            <v>1.5699999999999999E-2</v>
          </cell>
          <cell r="I117" t="str">
            <v/>
          </cell>
          <cell r="J117">
            <v>1.5699999999999999E-2</v>
          </cell>
          <cell r="N117" t="str">
            <v/>
          </cell>
          <cell r="O117" t="str">
            <v/>
          </cell>
          <cell r="P117">
            <v>0</v>
          </cell>
        </row>
        <row r="118">
          <cell r="A118" t="str">
            <v>ST-1880BB-70290-029</v>
          </cell>
          <cell r="B118" t="str">
            <v>1880BB-T-70290</v>
          </cell>
          <cell r="D118" t="str">
            <v>1880BB-T-70287_FL_20</v>
          </cell>
          <cell r="F118">
            <v>1</v>
          </cell>
          <cell r="G118">
            <v>14.2</v>
          </cell>
          <cell r="H118">
            <v>1.4199999999999999E-2</v>
          </cell>
          <cell r="I118" t="str">
            <v/>
          </cell>
          <cell r="J118">
            <v>1.4199999999999999E-2</v>
          </cell>
          <cell r="N118" t="str">
            <v/>
          </cell>
          <cell r="O118" t="str">
            <v/>
          </cell>
          <cell r="P118">
            <v>0</v>
          </cell>
        </row>
        <row r="119">
          <cell r="A119" t="str">
            <v>ST-1880BB-70290-023</v>
          </cell>
          <cell r="B119" t="str">
            <v>1880BB-T-70290</v>
          </cell>
          <cell r="D119" t="str">
            <v>1880BB-T-70287_FL_21</v>
          </cell>
          <cell r="F119">
            <v>1</v>
          </cell>
          <cell r="G119">
            <v>62.6</v>
          </cell>
          <cell r="H119">
            <v>6.2600000000000003E-2</v>
          </cell>
          <cell r="I119" t="str">
            <v/>
          </cell>
          <cell r="J119">
            <v>6.2600000000000003E-2</v>
          </cell>
          <cell r="N119" t="str">
            <v/>
          </cell>
          <cell r="O119" t="str">
            <v/>
          </cell>
          <cell r="P119">
            <v>0</v>
          </cell>
        </row>
        <row r="120">
          <cell r="A120" t="str">
            <v>ST-1880BB-70290-025</v>
          </cell>
          <cell r="B120" t="str">
            <v>1880BB-T-70290</v>
          </cell>
          <cell r="D120" t="str">
            <v>1880BB-T-70287_FL_21</v>
          </cell>
          <cell r="F120">
            <v>1</v>
          </cell>
          <cell r="G120">
            <v>62.6</v>
          </cell>
          <cell r="H120">
            <v>6.2600000000000003E-2</v>
          </cell>
          <cell r="I120" t="str">
            <v/>
          </cell>
          <cell r="J120">
            <v>6.2600000000000003E-2</v>
          </cell>
          <cell r="N120" t="str">
            <v/>
          </cell>
          <cell r="O120" t="str">
            <v/>
          </cell>
          <cell r="P120">
            <v>0</v>
          </cell>
        </row>
        <row r="121">
          <cell r="A121" t="str">
            <v>ST-1880BB-70290-028</v>
          </cell>
          <cell r="B121" t="str">
            <v>1880BB-T-70290</v>
          </cell>
          <cell r="D121" t="str">
            <v>1880BB-T-70287_FL_21</v>
          </cell>
          <cell r="F121">
            <v>1</v>
          </cell>
          <cell r="G121">
            <v>62.6</v>
          </cell>
          <cell r="H121">
            <v>6.2600000000000003E-2</v>
          </cell>
          <cell r="I121" t="str">
            <v/>
          </cell>
          <cell r="J121">
            <v>6.2600000000000003E-2</v>
          </cell>
          <cell r="N121" t="str">
            <v/>
          </cell>
          <cell r="O121" t="str">
            <v/>
          </cell>
          <cell r="P121">
            <v>0</v>
          </cell>
        </row>
        <row r="122">
          <cell r="A122" t="str">
            <v>ST-1880BB-70291-001</v>
          </cell>
          <cell r="B122" t="str">
            <v>1880BB-T-70291</v>
          </cell>
          <cell r="D122" t="str">
            <v>1880BB-T-70287_FL_22</v>
          </cell>
          <cell r="F122">
            <v>1</v>
          </cell>
          <cell r="G122">
            <v>132.6</v>
          </cell>
          <cell r="H122">
            <v>0.1326</v>
          </cell>
          <cell r="I122" t="str">
            <v/>
          </cell>
          <cell r="J122">
            <v>0.1326</v>
          </cell>
          <cell r="N122" t="str">
            <v/>
          </cell>
          <cell r="O122" t="str">
            <v/>
          </cell>
          <cell r="P122">
            <v>0</v>
          </cell>
        </row>
        <row r="123">
          <cell r="A123" t="str">
            <v>ST-1880BB-70291-003</v>
          </cell>
          <cell r="B123" t="str">
            <v>1880BB-T-70291</v>
          </cell>
          <cell r="D123" t="str">
            <v>1880BB-T-70287_FL_22</v>
          </cell>
          <cell r="F123">
            <v>1</v>
          </cell>
          <cell r="G123">
            <v>132.6</v>
          </cell>
          <cell r="H123">
            <v>0.1326</v>
          </cell>
          <cell r="I123" t="str">
            <v/>
          </cell>
          <cell r="J123">
            <v>0.1326</v>
          </cell>
          <cell r="N123" t="str">
            <v/>
          </cell>
          <cell r="O123" t="str">
            <v/>
          </cell>
          <cell r="P123">
            <v>0</v>
          </cell>
        </row>
        <row r="124">
          <cell r="A124" t="str">
            <v>ST-1880BB-70291-008</v>
          </cell>
          <cell r="B124" t="str">
            <v>1880BB-T-70291</v>
          </cell>
          <cell r="D124" t="str">
            <v>1880BB-T-70287_FL_22</v>
          </cell>
          <cell r="F124">
            <v>1</v>
          </cell>
          <cell r="G124">
            <v>132.6</v>
          </cell>
          <cell r="H124">
            <v>0.1326</v>
          </cell>
          <cell r="I124" t="str">
            <v/>
          </cell>
          <cell r="J124">
            <v>0.1326</v>
          </cell>
          <cell r="N124" t="str">
            <v/>
          </cell>
          <cell r="O124" t="str">
            <v/>
          </cell>
          <cell r="P124">
            <v>0</v>
          </cell>
        </row>
        <row r="125">
          <cell r="A125" t="str">
            <v>ST-1880BB-70291-010</v>
          </cell>
          <cell r="B125" t="str">
            <v>1880BB-T-70291</v>
          </cell>
          <cell r="D125" t="str">
            <v>1880BB-T-70287_FL_22</v>
          </cell>
          <cell r="F125">
            <v>1</v>
          </cell>
          <cell r="G125">
            <v>132.6</v>
          </cell>
          <cell r="H125">
            <v>0.1326</v>
          </cell>
          <cell r="I125" t="str">
            <v/>
          </cell>
          <cell r="J125">
            <v>0.1326</v>
          </cell>
          <cell r="N125" t="str">
            <v/>
          </cell>
          <cell r="O125" t="str">
            <v/>
          </cell>
          <cell r="P125">
            <v>0</v>
          </cell>
        </row>
        <row r="126">
          <cell r="A126" t="str">
            <v>ST-1880BB-70291-011</v>
          </cell>
          <cell r="B126" t="str">
            <v>1880BB-T-70291</v>
          </cell>
          <cell r="D126" t="str">
            <v>1880BB-T-70287_FL_22</v>
          </cell>
          <cell r="F126">
            <v>1</v>
          </cell>
          <cell r="G126">
            <v>132.6</v>
          </cell>
          <cell r="H126">
            <v>0.1326</v>
          </cell>
          <cell r="I126" t="str">
            <v/>
          </cell>
          <cell r="J126">
            <v>0.1326</v>
          </cell>
          <cell r="N126" t="str">
            <v/>
          </cell>
          <cell r="O126" t="str">
            <v/>
          </cell>
          <cell r="P126">
            <v>0</v>
          </cell>
        </row>
        <row r="127">
          <cell r="A127" t="str">
            <v>ST-1880BB-70291-013</v>
          </cell>
          <cell r="B127" t="str">
            <v>1880BB-T-70291</v>
          </cell>
          <cell r="D127" t="str">
            <v>1880BB-T-70287_FL_22</v>
          </cell>
          <cell r="F127">
            <v>1</v>
          </cell>
          <cell r="G127">
            <v>132.6</v>
          </cell>
          <cell r="H127">
            <v>0.1326</v>
          </cell>
          <cell r="I127" t="str">
            <v/>
          </cell>
          <cell r="J127">
            <v>0.1326</v>
          </cell>
          <cell r="N127" t="str">
            <v/>
          </cell>
          <cell r="O127" t="str">
            <v/>
          </cell>
          <cell r="P127">
            <v>0</v>
          </cell>
        </row>
        <row r="128">
          <cell r="A128" t="str">
            <v>ST-1880BB-70291-002</v>
          </cell>
          <cell r="B128" t="str">
            <v>1880BB-T-70291</v>
          </cell>
          <cell r="D128" t="str">
            <v>1880BB-T-70287_FL_23</v>
          </cell>
          <cell r="F128">
            <v>1</v>
          </cell>
          <cell r="G128">
            <v>68.8</v>
          </cell>
          <cell r="H128">
            <v>6.88E-2</v>
          </cell>
          <cell r="I128" t="str">
            <v/>
          </cell>
          <cell r="J128">
            <v>6.88E-2</v>
          </cell>
          <cell r="N128" t="str">
            <v/>
          </cell>
          <cell r="O128" t="str">
            <v/>
          </cell>
          <cell r="P128">
            <v>0</v>
          </cell>
        </row>
        <row r="129">
          <cell r="A129" t="str">
            <v>ST-1880BB-70291-009</v>
          </cell>
          <cell r="B129" t="str">
            <v>1880BB-T-70291</v>
          </cell>
          <cell r="D129" t="str">
            <v>1880BB-T-70287_FL_23</v>
          </cell>
          <cell r="F129">
            <v>1</v>
          </cell>
          <cell r="G129">
            <v>68.8</v>
          </cell>
          <cell r="H129">
            <v>6.88E-2</v>
          </cell>
          <cell r="I129" t="str">
            <v/>
          </cell>
          <cell r="J129">
            <v>6.88E-2</v>
          </cell>
          <cell r="N129" t="str">
            <v/>
          </cell>
          <cell r="O129" t="str">
            <v/>
          </cell>
          <cell r="P129">
            <v>0</v>
          </cell>
        </row>
        <row r="130">
          <cell r="A130" t="str">
            <v>ST-1880BB-70291-012</v>
          </cell>
          <cell r="B130" t="str">
            <v>1880BB-T-70291</v>
          </cell>
          <cell r="D130" t="str">
            <v>1880BB-T-70287_FL_23</v>
          </cell>
          <cell r="F130">
            <v>1</v>
          </cell>
          <cell r="G130">
            <v>68.8</v>
          </cell>
          <cell r="H130">
            <v>6.88E-2</v>
          </cell>
          <cell r="I130" t="str">
            <v/>
          </cell>
          <cell r="J130">
            <v>6.88E-2</v>
          </cell>
          <cell r="N130" t="str">
            <v/>
          </cell>
          <cell r="O130" t="str">
            <v/>
          </cell>
          <cell r="P130">
            <v>0</v>
          </cell>
        </row>
        <row r="131">
          <cell r="A131" t="str">
            <v>ST-1880BB-70291-014</v>
          </cell>
          <cell r="B131" t="str">
            <v>1880BB-T-70291</v>
          </cell>
          <cell r="D131" t="str">
            <v>1880BB-T-70287_FL_24</v>
          </cell>
          <cell r="F131">
            <v>1</v>
          </cell>
          <cell r="G131">
            <v>131.30000000000001</v>
          </cell>
          <cell r="H131">
            <v>0.1313</v>
          </cell>
          <cell r="I131" t="str">
            <v/>
          </cell>
          <cell r="J131">
            <v>0.1313</v>
          </cell>
          <cell r="N131" t="str">
            <v/>
          </cell>
          <cell r="O131" t="str">
            <v/>
          </cell>
          <cell r="P131">
            <v>0</v>
          </cell>
        </row>
        <row r="132">
          <cell r="A132" t="str">
            <v>ST-1880BB-70291-017</v>
          </cell>
          <cell r="B132" t="str">
            <v>1880BB-T-70291</v>
          </cell>
          <cell r="D132" t="str">
            <v>1880BB-T-70287_FL_24</v>
          </cell>
          <cell r="F132">
            <v>1</v>
          </cell>
          <cell r="G132">
            <v>131.30000000000001</v>
          </cell>
          <cell r="H132">
            <v>0.1313</v>
          </cell>
          <cell r="I132" t="str">
            <v/>
          </cell>
          <cell r="J132">
            <v>0.1313</v>
          </cell>
          <cell r="N132" t="str">
            <v/>
          </cell>
          <cell r="O132" t="str">
            <v/>
          </cell>
          <cell r="P132">
            <v>0</v>
          </cell>
        </row>
        <row r="133">
          <cell r="A133" t="str">
            <v>ST-1880BB-70291-021</v>
          </cell>
          <cell r="B133" t="str">
            <v>1880BB-T-70291</v>
          </cell>
          <cell r="D133" t="str">
            <v>1880BB-T-70287_FL_24</v>
          </cell>
          <cell r="F133">
            <v>1</v>
          </cell>
          <cell r="G133">
            <v>131.30000000000001</v>
          </cell>
          <cell r="H133">
            <v>0.1313</v>
          </cell>
          <cell r="I133" t="str">
            <v/>
          </cell>
          <cell r="J133">
            <v>0.1313</v>
          </cell>
          <cell r="N133" t="str">
            <v/>
          </cell>
          <cell r="O133" t="str">
            <v/>
          </cell>
          <cell r="P133">
            <v>0</v>
          </cell>
        </row>
        <row r="134">
          <cell r="A134" t="str">
            <v>ST-1880BB-70291-015</v>
          </cell>
          <cell r="B134" t="str">
            <v>1880BB-T-70291</v>
          </cell>
          <cell r="D134" t="str">
            <v>1880BB-T-70287_FL_25</v>
          </cell>
          <cell r="F134">
            <v>1</v>
          </cell>
          <cell r="G134">
            <v>113.9</v>
          </cell>
          <cell r="H134">
            <v>0.1139</v>
          </cell>
          <cell r="I134" t="str">
            <v/>
          </cell>
          <cell r="J134">
            <v>0.1139</v>
          </cell>
          <cell r="N134" t="str">
            <v/>
          </cell>
          <cell r="O134" t="str">
            <v/>
          </cell>
          <cell r="P134">
            <v>0</v>
          </cell>
        </row>
        <row r="135">
          <cell r="A135" t="str">
            <v>ST-1880BB-70291-016</v>
          </cell>
          <cell r="B135" t="str">
            <v>1880BB-T-70291</v>
          </cell>
          <cell r="D135" t="str">
            <v>1880BB-T-70287_FL_26</v>
          </cell>
          <cell r="F135">
            <v>1</v>
          </cell>
          <cell r="G135">
            <v>85.7</v>
          </cell>
          <cell r="H135">
            <v>8.5699999999999998E-2</v>
          </cell>
          <cell r="I135" t="str">
            <v/>
          </cell>
          <cell r="J135">
            <v>8.5699999999999998E-2</v>
          </cell>
          <cell r="N135" t="str">
            <v/>
          </cell>
          <cell r="O135" t="str">
            <v/>
          </cell>
          <cell r="P135">
            <v>0</v>
          </cell>
        </row>
        <row r="136">
          <cell r="A136" t="str">
            <v>ST-1880BB-70291-019</v>
          </cell>
          <cell r="B136" t="str">
            <v>1880BB-T-70291</v>
          </cell>
          <cell r="D136" t="str">
            <v>1880BB-T-70287_FL_26</v>
          </cell>
          <cell r="F136">
            <v>1</v>
          </cell>
          <cell r="G136">
            <v>85.7</v>
          </cell>
          <cell r="H136">
            <v>8.5699999999999998E-2</v>
          </cell>
          <cell r="I136" t="str">
            <v/>
          </cell>
          <cell r="J136">
            <v>8.5699999999999998E-2</v>
          </cell>
          <cell r="N136" t="str">
            <v/>
          </cell>
          <cell r="O136" t="str">
            <v/>
          </cell>
          <cell r="P136">
            <v>0</v>
          </cell>
        </row>
        <row r="137">
          <cell r="A137" t="str">
            <v>ST-1880BB-70291-023</v>
          </cell>
          <cell r="B137" t="str">
            <v>1880BB-T-70291</v>
          </cell>
          <cell r="D137" t="str">
            <v>1880BB-T-70287_FL_26</v>
          </cell>
          <cell r="F137">
            <v>1</v>
          </cell>
          <cell r="G137">
            <v>85.7</v>
          </cell>
          <cell r="H137">
            <v>8.5699999999999998E-2</v>
          </cell>
          <cell r="I137" t="str">
            <v/>
          </cell>
          <cell r="J137">
            <v>8.5699999999999998E-2</v>
          </cell>
          <cell r="N137" t="str">
            <v/>
          </cell>
          <cell r="O137" t="str">
            <v/>
          </cell>
          <cell r="P137">
            <v>0</v>
          </cell>
        </row>
        <row r="138">
          <cell r="A138" t="str">
            <v>ST-1880BB-70291-030</v>
          </cell>
          <cell r="B138" t="str">
            <v>1880BB-T-70291</v>
          </cell>
          <cell r="D138" t="str">
            <v>1880BB-T-70287_FL_26</v>
          </cell>
          <cell r="F138">
            <v>1</v>
          </cell>
          <cell r="G138">
            <v>85.7</v>
          </cell>
          <cell r="H138">
            <v>8.5699999999999998E-2</v>
          </cell>
          <cell r="I138" t="str">
            <v/>
          </cell>
          <cell r="J138">
            <v>8.5699999999999998E-2</v>
          </cell>
          <cell r="N138" t="str">
            <v/>
          </cell>
          <cell r="O138" t="str">
            <v/>
          </cell>
          <cell r="P138">
            <v>0</v>
          </cell>
        </row>
        <row r="139">
          <cell r="A139" t="str">
            <v>ST-1880BB-70291-032</v>
          </cell>
          <cell r="B139" t="str">
            <v>1880BB-T-70291</v>
          </cell>
          <cell r="D139" t="str">
            <v>1880BB-T-70287_FL_26</v>
          </cell>
          <cell r="F139">
            <v>1</v>
          </cell>
          <cell r="G139">
            <v>85.7</v>
          </cell>
          <cell r="H139">
            <v>8.5699999999999998E-2</v>
          </cell>
          <cell r="I139" t="str">
            <v/>
          </cell>
          <cell r="J139">
            <v>8.5699999999999998E-2</v>
          </cell>
          <cell r="N139" t="str">
            <v/>
          </cell>
          <cell r="O139" t="str">
            <v/>
          </cell>
          <cell r="P139">
            <v>0</v>
          </cell>
        </row>
        <row r="140">
          <cell r="A140" t="str">
            <v>ST-1880BB-70291-018</v>
          </cell>
          <cell r="B140" t="str">
            <v>1880BB-T-70291</v>
          </cell>
          <cell r="D140" t="str">
            <v>1880BB-T-70287_FL_27</v>
          </cell>
          <cell r="F140">
            <v>1</v>
          </cell>
          <cell r="G140">
            <v>87.8</v>
          </cell>
          <cell r="H140">
            <v>8.7800000000000003E-2</v>
          </cell>
          <cell r="I140" t="str">
            <v/>
          </cell>
          <cell r="J140">
            <v>8.7800000000000003E-2</v>
          </cell>
          <cell r="N140" t="str">
            <v/>
          </cell>
          <cell r="O140" t="str">
            <v/>
          </cell>
          <cell r="P140">
            <v>0</v>
          </cell>
        </row>
        <row r="141">
          <cell r="A141" t="str">
            <v>ST-1880BB-70291-022</v>
          </cell>
          <cell r="B141" t="str">
            <v>1880BB-T-70291</v>
          </cell>
          <cell r="D141" t="str">
            <v>1880BB-T-70287_FL_27</v>
          </cell>
          <cell r="F141">
            <v>1</v>
          </cell>
          <cell r="G141">
            <v>87.8</v>
          </cell>
          <cell r="H141">
            <v>8.7800000000000003E-2</v>
          </cell>
          <cell r="I141" t="str">
            <v/>
          </cell>
          <cell r="J141">
            <v>8.7800000000000003E-2</v>
          </cell>
          <cell r="N141" t="str">
            <v/>
          </cell>
          <cell r="O141" t="str">
            <v/>
          </cell>
          <cell r="P141">
            <v>0</v>
          </cell>
        </row>
        <row r="142">
          <cell r="A142" t="str">
            <v>ST-1880BB-70291-025</v>
          </cell>
          <cell r="B142" t="str">
            <v>1880BB-T-70291</v>
          </cell>
          <cell r="D142" t="str">
            <v>1880BB-T-70287_FL_27</v>
          </cell>
          <cell r="F142">
            <v>1</v>
          </cell>
          <cell r="G142">
            <v>87.8</v>
          </cell>
          <cell r="H142">
            <v>8.7800000000000003E-2</v>
          </cell>
          <cell r="I142" t="str">
            <v/>
          </cell>
          <cell r="J142">
            <v>8.7800000000000003E-2</v>
          </cell>
          <cell r="N142" t="str">
            <v/>
          </cell>
          <cell r="O142" t="str">
            <v/>
          </cell>
          <cell r="P142">
            <v>0</v>
          </cell>
        </row>
        <row r="143">
          <cell r="A143" t="str">
            <v>ST-1880BB-70291-031</v>
          </cell>
          <cell r="B143" t="str">
            <v>1880BB-T-70291</v>
          </cell>
          <cell r="D143" t="str">
            <v>1880BB-T-70287_FL_27</v>
          </cell>
          <cell r="F143">
            <v>1</v>
          </cell>
          <cell r="G143">
            <v>87.8</v>
          </cell>
          <cell r="H143">
            <v>8.7800000000000003E-2</v>
          </cell>
          <cell r="I143" t="str">
            <v/>
          </cell>
          <cell r="J143">
            <v>8.7800000000000003E-2</v>
          </cell>
          <cell r="N143" t="str">
            <v/>
          </cell>
          <cell r="O143" t="str">
            <v/>
          </cell>
          <cell r="P143">
            <v>0</v>
          </cell>
        </row>
        <row r="144">
          <cell r="A144" t="str">
            <v>ST-1880BB-70291-033</v>
          </cell>
          <cell r="B144" t="str">
            <v>1880BB-T-70291</v>
          </cell>
          <cell r="D144" t="str">
            <v>1880BB-T-70287_FL_27</v>
          </cell>
          <cell r="F144">
            <v>1</v>
          </cell>
          <cell r="G144">
            <v>87.8</v>
          </cell>
          <cell r="H144">
            <v>8.7800000000000003E-2</v>
          </cell>
          <cell r="I144" t="str">
            <v/>
          </cell>
          <cell r="J144">
            <v>8.7800000000000003E-2</v>
          </cell>
          <cell r="N144" t="str">
            <v/>
          </cell>
          <cell r="O144" t="str">
            <v/>
          </cell>
          <cell r="P144">
            <v>0</v>
          </cell>
        </row>
        <row r="145">
          <cell r="A145" t="str">
            <v>ST-1880BB-70291-020</v>
          </cell>
          <cell r="B145" t="str">
            <v>1880BB-T-70291</v>
          </cell>
          <cell r="D145" t="str">
            <v>1880BB-T-70287_FL_28</v>
          </cell>
          <cell r="F145">
            <v>1</v>
          </cell>
          <cell r="G145">
            <v>89.9</v>
          </cell>
          <cell r="H145">
            <v>8.9900000000000008E-2</v>
          </cell>
          <cell r="I145" t="str">
            <v/>
          </cell>
          <cell r="J145">
            <v>8.9900000000000008E-2</v>
          </cell>
          <cell r="N145" t="str">
            <v/>
          </cell>
          <cell r="O145" t="str">
            <v/>
          </cell>
          <cell r="P145">
            <v>0</v>
          </cell>
        </row>
        <row r="146">
          <cell r="A146" t="str">
            <v>ST-1880BB-70291-024</v>
          </cell>
          <cell r="B146" t="str">
            <v>1880BB-T-70291</v>
          </cell>
          <cell r="D146" t="str">
            <v>1880BB-T-70287_FL_28</v>
          </cell>
          <cell r="F146">
            <v>1</v>
          </cell>
          <cell r="G146">
            <v>89.9</v>
          </cell>
          <cell r="H146">
            <v>8.9900000000000008E-2</v>
          </cell>
          <cell r="I146" t="str">
            <v/>
          </cell>
          <cell r="J146">
            <v>8.9900000000000008E-2</v>
          </cell>
          <cell r="N146" t="str">
            <v/>
          </cell>
          <cell r="O146" t="str">
            <v/>
          </cell>
          <cell r="P146">
            <v>0</v>
          </cell>
        </row>
        <row r="147">
          <cell r="A147" t="str">
            <v>ST-1880BB-70291-026</v>
          </cell>
          <cell r="B147" t="str">
            <v>1880BB-T-70291</v>
          </cell>
          <cell r="D147" t="str">
            <v>1880BB-T-70287_FL_28</v>
          </cell>
          <cell r="F147">
            <v>1</v>
          </cell>
          <cell r="G147">
            <v>89.9</v>
          </cell>
          <cell r="H147">
            <v>8.9900000000000008E-2</v>
          </cell>
          <cell r="I147" t="str">
            <v/>
          </cell>
          <cell r="J147">
            <v>8.9900000000000008E-2</v>
          </cell>
          <cell r="N147" t="str">
            <v/>
          </cell>
          <cell r="O147" t="str">
            <v/>
          </cell>
          <cell r="P147">
            <v>0</v>
          </cell>
        </row>
        <row r="148">
          <cell r="A148" t="str">
            <v>ST-1880BB-70291-027</v>
          </cell>
          <cell r="B148" t="str">
            <v>1880BB-T-70291</v>
          </cell>
          <cell r="D148" t="str">
            <v>1880BB-T-70287_FL_29</v>
          </cell>
          <cell r="F148">
            <v>1</v>
          </cell>
          <cell r="G148">
            <v>126.7</v>
          </cell>
          <cell r="H148">
            <v>0.12670000000000001</v>
          </cell>
          <cell r="I148" t="str">
            <v/>
          </cell>
          <cell r="J148">
            <v>0.12670000000000001</v>
          </cell>
          <cell r="N148" t="str">
            <v/>
          </cell>
          <cell r="O148" t="str">
            <v/>
          </cell>
          <cell r="P148">
            <v>0</v>
          </cell>
        </row>
        <row r="149">
          <cell r="A149" t="str">
            <v>ST-1880BB-70291-029</v>
          </cell>
          <cell r="B149" t="str">
            <v>1880BB-T-70291</v>
          </cell>
          <cell r="D149" t="str">
            <v>1880BB-T-70287_FL_29</v>
          </cell>
          <cell r="F149">
            <v>1</v>
          </cell>
          <cell r="G149">
            <v>126.7</v>
          </cell>
          <cell r="H149">
            <v>0.12670000000000001</v>
          </cell>
          <cell r="I149" t="str">
            <v/>
          </cell>
          <cell r="J149">
            <v>0.12670000000000001</v>
          </cell>
          <cell r="N149" t="str">
            <v/>
          </cell>
          <cell r="O149" t="str">
            <v/>
          </cell>
          <cell r="P149">
            <v>0</v>
          </cell>
        </row>
        <row r="150">
          <cell r="A150" t="str">
            <v>ST-1880BB-70291-028</v>
          </cell>
          <cell r="B150" t="str">
            <v>1880BB-T-70291</v>
          </cell>
          <cell r="D150" t="str">
            <v>1880BB-T-70287_FL_30</v>
          </cell>
          <cell r="F150">
            <v>1</v>
          </cell>
          <cell r="G150">
            <v>54.5</v>
          </cell>
          <cell r="H150">
            <v>5.45E-2</v>
          </cell>
          <cell r="I150" t="str">
            <v/>
          </cell>
          <cell r="J150">
            <v>5.45E-2</v>
          </cell>
          <cell r="N150" t="str">
            <v/>
          </cell>
          <cell r="O150" t="str">
            <v/>
          </cell>
          <cell r="P150">
            <v>0</v>
          </cell>
        </row>
        <row r="151">
          <cell r="A151" t="str">
            <v>ST-1880BB-70291-034</v>
          </cell>
          <cell r="B151" t="str">
            <v>1880BB-T-70291</v>
          </cell>
          <cell r="D151" t="str">
            <v>1880BB-T-70287_FL_31</v>
          </cell>
          <cell r="F151">
            <v>1</v>
          </cell>
          <cell r="G151">
            <v>32.1</v>
          </cell>
          <cell r="H151">
            <v>3.2100000000000004E-2</v>
          </cell>
          <cell r="I151" t="str">
            <v/>
          </cell>
          <cell r="J151">
            <v>3.2100000000000004E-2</v>
          </cell>
          <cell r="N151" t="str">
            <v/>
          </cell>
          <cell r="O151" t="str">
            <v/>
          </cell>
          <cell r="P151">
            <v>0</v>
          </cell>
        </row>
        <row r="152">
          <cell r="A152" t="str">
            <v>ST-1880BB-70291-035</v>
          </cell>
          <cell r="B152" t="str">
            <v>1880BB-T-70291</v>
          </cell>
          <cell r="D152" t="str">
            <v>1880BB-T-70287_FL_31</v>
          </cell>
          <cell r="F152">
            <v>1</v>
          </cell>
          <cell r="G152">
            <v>32.1</v>
          </cell>
          <cell r="H152">
            <v>3.2100000000000004E-2</v>
          </cell>
          <cell r="I152" t="str">
            <v/>
          </cell>
          <cell r="J152">
            <v>3.2100000000000004E-2</v>
          </cell>
          <cell r="N152" t="str">
            <v/>
          </cell>
          <cell r="O152" t="str">
            <v/>
          </cell>
          <cell r="P152">
            <v>0</v>
          </cell>
        </row>
        <row r="153">
          <cell r="A153" t="str">
            <v>ST-1880BB-70292-001</v>
          </cell>
          <cell r="B153" t="str">
            <v>1880BB-T-70292</v>
          </cell>
          <cell r="D153" t="str">
            <v>1880BB-T-70287_FL_32</v>
          </cell>
          <cell r="F153">
            <v>1</v>
          </cell>
          <cell r="G153">
            <v>568.79999999999995</v>
          </cell>
          <cell r="H153">
            <v>0.56879999999999997</v>
          </cell>
          <cell r="I153" t="str">
            <v/>
          </cell>
          <cell r="J153">
            <v>0.56879999999999997</v>
          </cell>
          <cell r="N153" t="str">
            <v/>
          </cell>
          <cell r="O153" t="str">
            <v/>
          </cell>
          <cell r="P153">
            <v>0</v>
          </cell>
        </row>
        <row r="154">
          <cell r="A154" t="str">
            <v>ST-1880BB-70292-002</v>
          </cell>
          <cell r="B154" t="str">
            <v>1880BB-T-70292</v>
          </cell>
          <cell r="D154" t="str">
            <v>1880BB-T-70287_FL_33</v>
          </cell>
          <cell r="F154">
            <v>1</v>
          </cell>
          <cell r="G154">
            <v>274.8</v>
          </cell>
          <cell r="H154">
            <v>0.27479999999999999</v>
          </cell>
          <cell r="I154" t="str">
            <v/>
          </cell>
          <cell r="J154">
            <v>0.27479999999999999</v>
          </cell>
          <cell r="N154" t="str">
            <v/>
          </cell>
          <cell r="O154" t="str">
            <v/>
          </cell>
          <cell r="P154">
            <v>0</v>
          </cell>
        </row>
        <row r="155">
          <cell r="A155" t="str">
            <v>ST-1880BB-70292-003</v>
          </cell>
          <cell r="B155" t="str">
            <v>1880BB-T-70292</v>
          </cell>
          <cell r="D155" t="str">
            <v>1880BB-T-70287_FL_34</v>
          </cell>
          <cell r="F155">
            <v>1</v>
          </cell>
          <cell r="G155">
            <v>117</v>
          </cell>
          <cell r="H155">
            <v>0.11700000000000001</v>
          </cell>
          <cell r="I155" t="str">
            <v/>
          </cell>
          <cell r="J155">
            <v>0.11700000000000001</v>
          </cell>
          <cell r="N155" t="str">
            <v/>
          </cell>
          <cell r="O155" t="str">
            <v/>
          </cell>
          <cell r="P155">
            <v>0</v>
          </cell>
        </row>
        <row r="156">
          <cell r="A156" t="str">
            <v>ST-1880BB-70292-005</v>
          </cell>
          <cell r="B156" t="str">
            <v>1880BB-T-70292</v>
          </cell>
          <cell r="D156" t="str">
            <v>1880BB-T-70287_FL_35</v>
          </cell>
          <cell r="F156">
            <v>1</v>
          </cell>
          <cell r="G156">
            <v>134.80000000000001</v>
          </cell>
          <cell r="H156">
            <v>0.1348</v>
          </cell>
          <cell r="I156" t="str">
            <v/>
          </cell>
          <cell r="J156">
            <v>0.1348</v>
          </cell>
          <cell r="N156" t="str">
            <v/>
          </cell>
          <cell r="O156" t="str">
            <v/>
          </cell>
          <cell r="P156">
            <v>0</v>
          </cell>
        </row>
        <row r="157">
          <cell r="A157" t="str">
            <v>ST-1880BB-70292-006</v>
          </cell>
          <cell r="B157" t="str">
            <v>1880BB-T-70292</v>
          </cell>
          <cell r="D157" t="str">
            <v>1880BB-T-70287_FL_36</v>
          </cell>
          <cell r="F157">
            <v>1</v>
          </cell>
          <cell r="G157">
            <v>114.7</v>
          </cell>
          <cell r="H157">
            <v>0.1147</v>
          </cell>
          <cell r="I157" t="str">
            <v/>
          </cell>
          <cell r="J157">
            <v>0.1147</v>
          </cell>
          <cell r="N157" t="str">
            <v/>
          </cell>
          <cell r="O157" t="str">
            <v/>
          </cell>
          <cell r="P157">
            <v>0</v>
          </cell>
        </row>
        <row r="158">
          <cell r="A158" t="str">
            <v>ST-1880BB-70292-008</v>
          </cell>
          <cell r="B158" t="str">
            <v>1880BB-T-70292</v>
          </cell>
          <cell r="D158" t="str">
            <v>1880BB-T-70287_FL_37</v>
          </cell>
          <cell r="F158">
            <v>1</v>
          </cell>
          <cell r="G158">
            <v>117</v>
          </cell>
          <cell r="H158">
            <v>0.11700000000000001</v>
          </cell>
          <cell r="I158" t="str">
            <v/>
          </cell>
          <cell r="J158">
            <v>0.11700000000000001</v>
          </cell>
          <cell r="N158" t="str">
            <v/>
          </cell>
          <cell r="O158" t="str">
            <v/>
          </cell>
          <cell r="P158">
            <v>0</v>
          </cell>
        </row>
        <row r="159">
          <cell r="A159" t="str">
            <v>ST-1880BB-70292-009</v>
          </cell>
          <cell r="B159" t="str">
            <v>1880BB-T-70292</v>
          </cell>
          <cell r="D159" t="str">
            <v>1880BB-T-70287_FL_38</v>
          </cell>
          <cell r="F159">
            <v>1</v>
          </cell>
          <cell r="G159">
            <v>107.3</v>
          </cell>
          <cell r="H159">
            <v>0.10729999999999999</v>
          </cell>
          <cell r="I159" t="str">
            <v/>
          </cell>
          <cell r="J159">
            <v>0.10729999999999999</v>
          </cell>
          <cell r="N159" t="str">
            <v/>
          </cell>
          <cell r="O159" t="str">
            <v/>
          </cell>
          <cell r="P159">
            <v>0</v>
          </cell>
        </row>
        <row r="160">
          <cell r="A160" t="str">
            <v>SRTBO-01</v>
          </cell>
          <cell r="B160" t="str">
            <v>1880BB-C-15108</v>
          </cell>
          <cell r="D160" t="str">
            <v>1880BB-T-70287_FL_39</v>
          </cell>
          <cell r="F160">
            <v>1</v>
          </cell>
          <cell r="G160">
            <v>276.8</v>
          </cell>
          <cell r="H160">
            <v>0.27679999999999999</v>
          </cell>
          <cell r="I160">
            <v>2.2144E-2</v>
          </cell>
          <cell r="J160">
            <v>0.27679999999999999</v>
          </cell>
          <cell r="K160" t="str">
            <v>BMM-10-JUN</v>
          </cell>
          <cell r="N160">
            <v>0.25465599999999999</v>
          </cell>
          <cell r="O160">
            <v>2.2144E-2</v>
          </cell>
          <cell r="P160">
            <v>0.27679999999999999</v>
          </cell>
        </row>
        <row r="161">
          <cell r="A161" t="str">
            <v>SRTBO-02</v>
          </cell>
          <cell r="B161" t="str">
            <v>1880BB-C-15108</v>
          </cell>
          <cell r="D161" t="str">
            <v>1880BB-T-70287_FL_39</v>
          </cell>
          <cell r="F161">
            <v>1</v>
          </cell>
          <cell r="G161">
            <v>276.8</v>
          </cell>
          <cell r="H161">
            <v>0.27679999999999999</v>
          </cell>
          <cell r="I161">
            <v>2.2144E-2</v>
          </cell>
          <cell r="J161">
            <v>0.27679999999999999</v>
          </cell>
          <cell r="K161" t="str">
            <v>BMM-10-JUN</v>
          </cell>
          <cell r="N161">
            <v>0.25465599999999999</v>
          </cell>
          <cell r="O161">
            <v>2.2144E-2</v>
          </cell>
          <cell r="P161">
            <v>0.27679999999999999</v>
          </cell>
        </row>
        <row r="162">
          <cell r="A162" t="str">
            <v>SRTBO-05</v>
          </cell>
          <cell r="B162" t="str">
            <v>1880BB-C-15108</v>
          </cell>
          <cell r="D162" t="str">
            <v>1880BB-T-70287_FL_39</v>
          </cell>
          <cell r="F162">
            <v>1</v>
          </cell>
          <cell r="G162">
            <v>276.8</v>
          </cell>
          <cell r="H162">
            <v>0.27679999999999999</v>
          </cell>
          <cell r="I162">
            <v>2.2144E-2</v>
          </cell>
          <cell r="J162">
            <v>0.27679999999999999</v>
          </cell>
          <cell r="K162" t="str">
            <v>BMM-10-JUN</v>
          </cell>
          <cell r="N162">
            <v>0.25465599999999999</v>
          </cell>
          <cell r="O162">
            <v>2.2144E-2</v>
          </cell>
          <cell r="P162">
            <v>0.27679999999999999</v>
          </cell>
        </row>
        <row r="163">
          <cell r="A163" t="str">
            <v>SRTBO-07</v>
          </cell>
          <cell r="B163" t="str">
            <v>1880BB-C-15108</v>
          </cell>
          <cell r="D163" t="str">
            <v>1880BB-T-70287_FL_39</v>
          </cell>
          <cell r="F163">
            <v>1</v>
          </cell>
          <cell r="G163">
            <v>276.8</v>
          </cell>
          <cell r="H163">
            <v>0.27679999999999999</v>
          </cell>
          <cell r="I163">
            <v>2.2144E-2</v>
          </cell>
          <cell r="J163">
            <v>0.27679999999999999</v>
          </cell>
          <cell r="K163" t="str">
            <v>BMM-10-JUN</v>
          </cell>
          <cell r="N163">
            <v>0.25465599999999999</v>
          </cell>
          <cell r="O163">
            <v>2.2144E-2</v>
          </cell>
          <cell r="P163">
            <v>0.27679999999999999</v>
          </cell>
        </row>
        <row r="164">
          <cell r="A164" t="str">
            <v>SRTBO-08</v>
          </cell>
          <cell r="B164" t="str">
            <v>1880BB-C-15108</v>
          </cell>
          <cell r="D164" t="str">
            <v>1880BB-T-70287_FL_39</v>
          </cell>
          <cell r="F164">
            <v>1</v>
          </cell>
          <cell r="G164">
            <v>276.8</v>
          </cell>
          <cell r="H164">
            <v>0.27679999999999999</v>
          </cell>
          <cell r="I164">
            <v>2.2144E-2</v>
          </cell>
          <cell r="J164">
            <v>0.27679999999999999</v>
          </cell>
          <cell r="K164" t="str">
            <v>BMM-10-JUN</v>
          </cell>
          <cell r="N164">
            <v>0.25465599999999999</v>
          </cell>
          <cell r="O164">
            <v>2.2144E-2</v>
          </cell>
          <cell r="P164">
            <v>0.27679999999999999</v>
          </cell>
        </row>
        <row r="165">
          <cell r="A165" t="str">
            <v>SRTBO-09</v>
          </cell>
          <cell r="B165" t="str">
            <v>1880BB-C-15108</v>
          </cell>
          <cell r="D165" t="str">
            <v>1880BB-T-70287_FL_39</v>
          </cell>
          <cell r="F165">
            <v>1</v>
          </cell>
          <cell r="G165">
            <v>276.8</v>
          </cell>
          <cell r="H165">
            <v>0.27679999999999999</v>
          </cell>
          <cell r="I165">
            <v>2.2144E-2</v>
          </cell>
          <cell r="J165">
            <v>0.27679999999999999</v>
          </cell>
          <cell r="K165" t="str">
            <v>BMM-10-JUN</v>
          </cell>
          <cell r="N165">
            <v>0.25465599999999999</v>
          </cell>
          <cell r="O165">
            <v>2.2144E-2</v>
          </cell>
          <cell r="P165">
            <v>0.27679999999999999</v>
          </cell>
        </row>
        <row r="166">
          <cell r="A166" t="str">
            <v>SRTBO-10</v>
          </cell>
          <cell r="B166" t="str">
            <v>1880BB-C-15108</v>
          </cell>
          <cell r="D166" t="str">
            <v>1880BB-T-70287_FL_39</v>
          </cell>
          <cell r="F166">
            <v>1</v>
          </cell>
          <cell r="G166">
            <v>276.8</v>
          </cell>
          <cell r="H166">
            <v>0.27679999999999999</v>
          </cell>
          <cell r="I166">
            <v>2.2144E-2</v>
          </cell>
          <cell r="J166">
            <v>0.27679999999999999</v>
          </cell>
          <cell r="K166" t="str">
            <v>BMM-10-JUN</v>
          </cell>
          <cell r="N166">
            <v>0.25465599999999999</v>
          </cell>
          <cell r="O166">
            <v>2.2144E-2</v>
          </cell>
          <cell r="P166">
            <v>0.27679999999999999</v>
          </cell>
        </row>
        <row r="167">
          <cell r="A167" t="str">
            <v>SRTBO-22</v>
          </cell>
          <cell r="B167" t="str">
            <v>1880BB-C-15108</v>
          </cell>
          <cell r="D167" t="str">
            <v>1880BB-T-70287_FL_39</v>
          </cell>
          <cell r="F167">
            <v>1</v>
          </cell>
          <cell r="G167">
            <v>276.8</v>
          </cell>
          <cell r="H167">
            <v>0.27679999999999999</v>
          </cell>
          <cell r="I167">
            <v>2.2144E-2</v>
          </cell>
          <cell r="J167">
            <v>0.27679999999999999</v>
          </cell>
          <cell r="K167" t="str">
            <v>BMM-10-JUN</v>
          </cell>
          <cell r="N167">
            <v>0.25465599999999999</v>
          </cell>
          <cell r="O167">
            <v>2.2144E-2</v>
          </cell>
          <cell r="P167">
            <v>0.27679999999999999</v>
          </cell>
        </row>
        <row r="168">
          <cell r="A168" t="str">
            <v>SRTBO-03</v>
          </cell>
          <cell r="B168" t="str">
            <v>1880BB-C-15108</v>
          </cell>
          <cell r="D168" t="str">
            <v>1880BB-T-70287_FL_40</v>
          </cell>
          <cell r="F168">
            <v>1</v>
          </cell>
          <cell r="G168">
            <v>276.2</v>
          </cell>
          <cell r="H168">
            <v>0.2762</v>
          </cell>
          <cell r="I168">
            <v>2.2096000000000001E-2</v>
          </cell>
          <cell r="J168">
            <v>0.2762</v>
          </cell>
          <cell r="K168" t="str">
            <v>BMM-10-JUN</v>
          </cell>
          <cell r="N168">
            <v>0.254104</v>
          </cell>
          <cell r="O168">
            <v>2.2096000000000001E-2</v>
          </cell>
          <cell r="P168">
            <v>0.2762</v>
          </cell>
        </row>
        <row r="169">
          <cell r="A169" t="str">
            <v>SRTBO-04</v>
          </cell>
          <cell r="B169" t="str">
            <v>1880BB-C-15108</v>
          </cell>
          <cell r="D169" t="str">
            <v>1880BB-T-70287_FL_40</v>
          </cell>
          <cell r="F169">
            <v>1</v>
          </cell>
          <cell r="G169">
            <v>276.2</v>
          </cell>
          <cell r="H169">
            <v>0.2762</v>
          </cell>
          <cell r="I169">
            <v>2.2096000000000001E-2</v>
          </cell>
          <cell r="J169">
            <v>0.2762</v>
          </cell>
          <cell r="K169" t="str">
            <v>BMM-10-JUN</v>
          </cell>
          <cell r="N169">
            <v>0.254104</v>
          </cell>
          <cell r="O169">
            <v>2.2096000000000001E-2</v>
          </cell>
          <cell r="P169">
            <v>0.2762</v>
          </cell>
        </row>
        <row r="170">
          <cell r="A170" t="str">
            <v>SRTBO-06</v>
          </cell>
          <cell r="B170" t="str">
            <v>1880BB-C-15108</v>
          </cell>
          <cell r="D170" t="str">
            <v>1880BB-T-70287_FL_41</v>
          </cell>
          <cell r="F170">
            <v>1</v>
          </cell>
          <cell r="G170">
            <v>289.2</v>
          </cell>
          <cell r="H170">
            <v>0.28920000000000001</v>
          </cell>
          <cell r="I170">
            <v>2.3136E-2</v>
          </cell>
          <cell r="J170">
            <v>0.28920000000000001</v>
          </cell>
          <cell r="K170" t="str">
            <v>BMM-10-JUN</v>
          </cell>
          <cell r="N170">
            <v>0.26606400000000002</v>
          </cell>
          <cell r="O170">
            <v>2.3136E-2</v>
          </cell>
          <cell r="P170">
            <v>0.28920000000000001</v>
          </cell>
        </row>
        <row r="171">
          <cell r="A171" t="str">
            <v>SRTBO-23</v>
          </cell>
          <cell r="B171" t="str">
            <v>1880BB-C-15108</v>
          </cell>
          <cell r="D171" t="str">
            <v>1880BB-T-70287_FL_41</v>
          </cell>
          <cell r="F171">
            <v>1</v>
          </cell>
          <cell r="G171">
            <v>289.2</v>
          </cell>
          <cell r="H171">
            <v>0.28920000000000001</v>
          </cell>
          <cell r="I171">
            <v>2.3136E-2</v>
          </cell>
          <cell r="J171">
            <v>0.28920000000000001</v>
          </cell>
          <cell r="K171" t="str">
            <v>BMM-10-JUN</v>
          </cell>
          <cell r="N171">
            <v>0.168268</v>
          </cell>
          <cell r="O171">
            <v>2.3136E-2</v>
          </cell>
          <cell r="P171">
            <v>0.19140399999999999</v>
          </cell>
        </row>
        <row r="172">
          <cell r="A172" t="str">
            <v>SRTBO-24</v>
          </cell>
          <cell r="B172" t="str">
            <v>1880BB-C-15108</v>
          </cell>
          <cell r="D172" t="str">
            <v>1880BB-T-70287_FL_42</v>
          </cell>
          <cell r="F172">
            <v>1</v>
          </cell>
          <cell r="G172">
            <v>182.9</v>
          </cell>
          <cell r="H172">
            <v>0.18290000000000001</v>
          </cell>
          <cell r="I172">
            <v>1.4632000000000001E-2</v>
          </cell>
          <cell r="J172">
            <v>0.18290000000000001</v>
          </cell>
          <cell r="K172" t="str">
            <v>BMM-10-JUN</v>
          </cell>
          <cell r="N172">
            <v>0.168268</v>
          </cell>
          <cell r="O172">
            <v>1.4632000000000001E-2</v>
          </cell>
          <cell r="P172">
            <v>0.18290000000000001</v>
          </cell>
        </row>
        <row r="173">
          <cell r="A173" t="str">
            <v>SRTBO-25</v>
          </cell>
          <cell r="B173" t="str">
            <v>1880BB-C-15108</v>
          </cell>
          <cell r="D173" t="str">
            <v>1880BB-T-70287_FL_42</v>
          </cell>
          <cell r="F173">
            <v>1</v>
          </cell>
          <cell r="G173">
            <v>182.9</v>
          </cell>
          <cell r="H173">
            <v>0.18290000000000001</v>
          </cell>
          <cell r="I173">
            <v>1.4632000000000001E-2</v>
          </cell>
          <cell r="J173">
            <v>0.18290000000000001</v>
          </cell>
          <cell r="K173" t="str">
            <v>BMM-10-JUN</v>
          </cell>
          <cell r="N173" t="str">
            <v/>
          </cell>
          <cell r="O173">
            <v>1.4632000000000001E-2</v>
          </cell>
          <cell r="P173">
            <v>1.4632000000000001E-2</v>
          </cell>
        </row>
        <row r="174">
          <cell r="A174" t="str">
            <v>SRTBO-27</v>
          </cell>
          <cell r="B174" t="str">
            <v>1880BB-C-15108</v>
          </cell>
          <cell r="D174" t="str">
            <v>1880BB-T-70287_FL_42</v>
          </cell>
          <cell r="F174">
            <v>1</v>
          </cell>
          <cell r="G174">
            <v>182.9</v>
          </cell>
          <cell r="H174">
            <v>0.18290000000000001</v>
          </cell>
          <cell r="I174">
            <v>1.4632000000000001E-2</v>
          </cell>
          <cell r="J174">
            <v>0.18290000000000001</v>
          </cell>
          <cell r="K174" t="str">
            <v>BMM-10-JUN</v>
          </cell>
          <cell r="N174">
            <v>0.168268</v>
          </cell>
          <cell r="O174">
            <v>1.4632000000000001E-2</v>
          </cell>
          <cell r="P174">
            <v>0.18290000000000001</v>
          </cell>
        </row>
        <row r="175">
          <cell r="A175" t="str">
            <v>SRTBO-29</v>
          </cell>
          <cell r="B175" t="str">
            <v>1880BB-C-15108</v>
          </cell>
          <cell r="D175" t="str">
            <v>1880BB-T-70287_FL_42</v>
          </cell>
          <cell r="F175">
            <v>1</v>
          </cell>
          <cell r="G175">
            <v>182.9</v>
          </cell>
          <cell r="H175">
            <v>0.18290000000000001</v>
          </cell>
          <cell r="I175">
            <v>1.4632000000000001E-2</v>
          </cell>
          <cell r="J175">
            <v>0.18290000000000001</v>
          </cell>
          <cell r="K175" t="str">
            <v>BMM-10-JUN</v>
          </cell>
          <cell r="N175">
            <v>0.168268</v>
          </cell>
          <cell r="O175">
            <v>1.4632000000000001E-2</v>
          </cell>
          <cell r="P175">
            <v>0.18290000000000001</v>
          </cell>
        </row>
        <row r="176">
          <cell r="A176" t="str">
            <v>SRTBO-30</v>
          </cell>
          <cell r="B176" t="str">
            <v>1880BB-C-15108</v>
          </cell>
          <cell r="D176" t="str">
            <v>1880BB-T-70287_FL_42</v>
          </cell>
          <cell r="F176">
            <v>1</v>
          </cell>
          <cell r="G176">
            <v>182.9</v>
          </cell>
          <cell r="H176">
            <v>0.18290000000000001</v>
          </cell>
          <cell r="I176">
            <v>1.4632000000000001E-2</v>
          </cell>
          <cell r="J176">
            <v>0.18290000000000001</v>
          </cell>
          <cell r="K176" t="str">
            <v>BMM-10-JUN</v>
          </cell>
          <cell r="N176">
            <v>0.168268</v>
          </cell>
          <cell r="O176">
            <v>1.4632000000000001E-2</v>
          </cell>
          <cell r="P176">
            <v>0.18290000000000001</v>
          </cell>
        </row>
        <row r="177">
          <cell r="A177" t="str">
            <v>SRTBO-31</v>
          </cell>
          <cell r="B177" t="str">
            <v>1880BB-C-15108</v>
          </cell>
          <cell r="D177" t="str">
            <v>1880BB-T-70287_FL_42</v>
          </cell>
          <cell r="F177">
            <v>1</v>
          </cell>
          <cell r="G177">
            <v>182.9</v>
          </cell>
          <cell r="H177">
            <v>0.18290000000000001</v>
          </cell>
          <cell r="I177">
            <v>1.4632000000000001E-2</v>
          </cell>
          <cell r="J177">
            <v>0.18290000000000001</v>
          </cell>
          <cell r="K177" t="str">
            <v>BMM-10-JUN</v>
          </cell>
          <cell r="N177">
            <v>0.168268</v>
          </cell>
          <cell r="O177">
            <v>1.4632000000000001E-2</v>
          </cell>
          <cell r="P177">
            <v>0.18290000000000001</v>
          </cell>
        </row>
        <row r="178">
          <cell r="A178" t="str">
            <v>SRTBO-32</v>
          </cell>
          <cell r="B178" t="str">
            <v>1880BB-C-15108</v>
          </cell>
          <cell r="D178" t="str">
            <v>1880BB-T-70287_FL_42</v>
          </cell>
          <cell r="F178">
            <v>1</v>
          </cell>
          <cell r="G178">
            <v>182.9</v>
          </cell>
          <cell r="H178">
            <v>0.18290000000000001</v>
          </cell>
          <cell r="I178">
            <v>1.4632000000000001E-2</v>
          </cell>
          <cell r="J178">
            <v>0.18290000000000001</v>
          </cell>
          <cell r="K178" t="str">
            <v>BMM-10-JUN</v>
          </cell>
          <cell r="N178">
            <v>0.168268</v>
          </cell>
          <cell r="O178">
            <v>1.4632000000000001E-2</v>
          </cell>
          <cell r="P178">
            <v>0.18290000000000001</v>
          </cell>
        </row>
        <row r="179">
          <cell r="A179" t="str">
            <v>SRTBO-34</v>
          </cell>
          <cell r="B179" t="str">
            <v>1880BB-C-15108</v>
          </cell>
          <cell r="D179" t="str">
            <v>1880BB-T-70287_FL_42</v>
          </cell>
          <cell r="F179">
            <v>1</v>
          </cell>
          <cell r="G179">
            <v>182.9</v>
          </cell>
          <cell r="H179">
            <v>0.18290000000000001</v>
          </cell>
          <cell r="I179">
            <v>1.4632000000000001E-2</v>
          </cell>
          <cell r="J179">
            <v>0.18290000000000001</v>
          </cell>
          <cell r="K179" t="str">
            <v>BMM-10-JUN</v>
          </cell>
          <cell r="N179">
            <v>0.168268</v>
          </cell>
          <cell r="O179">
            <v>1.4632000000000001E-2</v>
          </cell>
          <cell r="P179">
            <v>0.18290000000000001</v>
          </cell>
        </row>
        <row r="180">
          <cell r="A180" t="str">
            <v>SRTBO-35</v>
          </cell>
          <cell r="B180" t="str">
            <v>1880BB-C-15108</v>
          </cell>
          <cell r="D180" t="str">
            <v>1880BB-T-70287_FL_42</v>
          </cell>
          <cell r="F180">
            <v>1</v>
          </cell>
          <cell r="G180">
            <v>182.9</v>
          </cell>
          <cell r="H180">
            <v>0.18290000000000001</v>
          </cell>
          <cell r="I180">
            <v>1.4632000000000001E-2</v>
          </cell>
          <cell r="J180">
            <v>0.18290000000000001</v>
          </cell>
          <cell r="K180" t="str">
            <v>BMM-10-JUN</v>
          </cell>
          <cell r="N180">
            <v>0.168268</v>
          </cell>
          <cell r="O180">
            <v>1.4632000000000001E-2</v>
          </cell>
          <cell r="P180">
            <v>0.18290000000000001</v>
          </cell>
        </row>
        <row r="181">
          <cell r="A181" t="str">
            <v>SRTBO-36</v>
          </cell>
          <cell r="B181" t="str">
            <v>1880BB-C-15108</v>
          </cell>
          <cell r="D181" t="str">
            <v>1880BB-T-70287_FL_42</v>
          </cell>
          <cell r="F181">
            <v>1</v>
          </cell>
          <cell r="G181">
            <v>182.9</v>
          </cell>
          <cell r="H181">
            <v>0.18290000000000001</v>
          </cell>
          <cell r="I181">
            <v>1.4632000000000001E-2</v>
          </cell>
          <cell r="J181">
            <v>0.18290000000000001</v>
          </cell>
          <cell r="K181" t="str">
            <v>BMM-10-JUN</v>
          </cell>
          <cell r="N181">
            <v>0.168268</v>
          </cell>
          <cell r="O181">
            <v>1.4632000000000001E-2</v>
          </cell>
          <cell r="P181">
            <v>0.18290000000000001</v>
          </cell>
        </row>
        <row r="182">
          <cell r="A182" t="str">
            <v>SRTBO-37</v>
          </cell>
          <cell r="B182" t="str">
            <v>1880BB-C-15108</v>
          </cell>
          <cell r="D182" t="str">
            <v>1880BB-T-70287_FL_42</v>
          </cell>
          <cell r="F182">
            <v>1</v>
          </cell>
          <cell r="G182">
            <v>182.9</v>
          </cell>
          <cell r="H182">
            <v>0.18290000000000001</v>
          </cell>
          <cell r="I182">
            <v>1.4632000000000001E-2</v>
          </cell>
          <cell r="J182">
            <v>0.18290000000000001</v>
          </cell>
          <cell r="K182" t="str">
            <v>BMM-10-JUN</v>
          </cell>
          <cell r="N182">
            <v>0.168268</v>
          </cell>
          <cell r="O182">
            <v>1.4632000000000001E-2</v>
          </cell>
          <cell r="P182">
            <v>0.18290000000000001</v>
          </cell>
        </row>
        <row r="183">
          <cell r="A183" t="str">
            <v>SRTBO-38</v>
          </cell>
          <cell r="B183" t="str">
            <v>1880BB-C-15108</v>
          </cell>
          <cell r="D183" t="str">
            <v>1880BB-T-70287_FL_42</v>
          </cell>
          <cell r="F183">
            <v>1</v>
          </cell>
          <cell r="G183">
            <v>182.9</v>
          </cell>
          <cell r="H183">
            <v>0.18290000000000001</v>
          </cell>
          <cell r="I183">
            <v>1.4632000000000001E-2</v>
          </cell>
          <cell r="J183">
            <v>0.18290000000000001</v>
          </cell>
          <cell r="K183" t="str">
            <v>BMM-10-JUN</v>
          </cell>
          <cell r="N183">
            <v>0.168268</v>
          </cell>
          <cell r="O183">
            <v>1.4632000000000001E-2</v>
          </cell>
          <cell r="P183">
            <v>0.18290000000000001</v>
          </cell>
        </row>
        <row r="184">
          <cell r="A184" t="str">
            <v>SRTBO-40</v>
          </cell>
          <cell r="B184" t="str">
            <v>1880BB-C-15108</v>
          </cell>
          <cell r="D184" t="str">
            <v>1880BB-T-70287_FL_42</v>
          </cell>
          <cell r="F184">
            <v>1</v>
          </cell>
          <cell r="G184">
            <v>182.9</v>
          </cell>
          <cell r="H184">
            <v>0.18290000000000001</v>
          </cell>
          <cell r="I184">
            <v>1.4632000000000001E-2</v>
          </cell>
          <cell r="J184">
            <v>0.18290000000000001</v>
          </cell>
          <cell r="K184" t="str">
            <v>BMM-10-JUN</v>
          </cell>
          <cell r="N184">
            <v>0.168268</v>
          </cell>
          <cell r="O184">
            <v>1.4632000000000001E-2</v>
          </cell>
          <cell r="P184">
            <v>0.18290000000000001</v>
          </cell>
        </row>
        <row r="185">
          <cell r="A185" t="str">
            <v>SRTBO-41</v>
          </cell>
          <cell r="B185" t="str">
            <v>1880BB-C-15108</v>
          </cell>
          <cell r="D185" t="str">
            <v>1880BB-T-70287_FL_42</v>
          </cell>
          <cell r="F185">
            <v>1</v>
          </cell>
          <cell r="G185">
            <v>182.9</v>
          </cell>
          <cell r="H185">
            <v>0.18290000000000001</v>
          </cell>
          <cell r="I185">
            <v>1.4632000000000001E-2</v>
          </cell>
          <cell r="J185">
            <v>0.18290000000000001</v>
          </cell>
          <cell r="K185" t="str">
            <v>BMM-10-JUN</v>
          </cell>
          <cell r="N185">
            <v>0.168268</v>
          </cell>
          <cell r="O185">
            <v>1.4632000000000001E-2</v>
          </cell>
          <cell r="P185">
            <v>0.18290000000000001</v>
          </cell>
        </row>
        <row r="186">
          <cell r="A186" t="str">
            <v>SRTBO-42</v>
          </cell>
          <cell r="B186" t="str">
            <v>1880BB-C-15108</v>
          </cell>
          <cell r="D186" t="str">
            <v>1880BB-T-70287_FL_42</v>
          </cell>
          <cell r="F186">
            <v>1</v>
          </cell>
          <cell r="G186">
            <v>182.9</v>
          </cell>
          <cell r="H186">
            <v>0.18290000000000001</v>
          </cell>
          <cell r="I186">
            <v>1.4632000000000001E-2</v>
          </cell>
          <cell r="J186">
            <v>0.18290000000000001</v>
          </cell>
          <cell r="K186" t="str">
            <v>BMM-10-JUN</v>
          </cell>
          <cell r="N186">
            <v>0.168268</v>
          </cell>
          <cell r="O186">
            <v>1.4632000000000001E-2</v>
          </cell>
          <cell r="P186">
            <v>0.18290000000000001</v>
          </cell>
        </row>
        <row r="187">
          <cell r="A187" t="str">
            <v>SRTBO-46</v>
          </cell>
          <cell r="B187" t="str">
            <v>1880BB-C-15108</v>
          </cell>
          <cell r="D187" t="str">
            <v>1880BB-T-70287_FL_42</v>
          </cell>
          <cell r="F187">
            <v>1</v>
          </cell>
          <cell r="G187">
            <v>182.9</v>
          </cell>
          <cell r="H187">
            <v>0.18290000000000001</v>
          </cell>
          <cell r="I187">
            <v>1.4632000000000001E-2</v>
          </cell>
          <cell r="J187">
            <v>0.18290000000000001</v>
          </cell>
          <cell r="K187" t="str">
            <v>BMM-10-JUN</v>
          </cell>
          <cell r="N187">
            <v>0.168268</v>
          </cell>
          <cell r="O187">
            <v>1.4632000000000001E-2</v>
          </cell>
          <cell r="P187">
            <v>0.18290000000000001</v>
          </cell>
        </row>
        <row r="188">
          <cell r="A188" t="str">
            <v>SRTBO-47</v>
          </cell>
          <cell r="B188" t="str">
            <v>1880BB-C-15108</v>
          </cell>
          <cell r="D188" t="str">
            <v>1880BB-T-70287_FL_42</v>
          </cell>
          <cell r="F188">
            <v>1</v>
          </cell>
          <cell r="G188">
            <v>182.9</v>
          </cell>
          <cell r="H188">
            <v>0.18290000000000001</v>
          </cell>
          <cell r="I188">
            <v>1.4632000000000001E-2</v>
          </cell>
          <cell r="J188">
            <v>0.18290000000000001</v>
          </cell>
          <cell r="K188" t="str">
            <v>BMM-10-JUN</v>
          </cell>
          <cell r="N188">
            <v>0.168268</v>
          </cell>
          <cell r="O188">
            <v>1.4632000000000001E-2</v>
          </cell>
          <cell r="P188">
            <v>0.18290000000000001</v>
          </cell>
        </row>
        <row r="189">
          <cell r="A189" t="str">
            <v>SRTBO-48</v>
          </cell>
          <cell r="B189" t="str">
            <v>1880BB-C-15108</v>
          </cell>
          <cell r="D189" t="str">
            <v>1880BB-T-70287_FL_42</v>
          </cell>
          <cell r="F189">
            <v>1</v>
          </cell>
          <cell r="G189">
            <v>182.9</v>
          </cell>
          <cell r="H189">
            <v>0.18290000000000001</v>
          </cell>
          <cell r="I189">
            <v>1.4632000000000001E-2</v>
          </cell>
          <cell r="J189">
            <v>0.18290000000000001</v>
          </cell>
          <cell r="K189" t="str">
            <v>BMM-10-JUN</v>
          </cell>
          <cell r="N189">
            <v>0.168268</v>
          </cell>
          <cell r="O189">
            <v>1.4632000000000001E-2</v>
          </cell>
          <cell r="P189">
            <v>0.18290000000000001</v>
          </cell>
        </row>
        <row r="190">
          <cell r="A190" t="str">
            <v>SRTBO-49</v>
          </cell>
          <cell r="B190" t="str">
            <v>1880BB-C-15108</v>
          </cell>
          <cell r="D190" t="str">
            <v>1880BB-T-70287_FL_42</v>
          </cell>
          <cell r="F190">
            <v>1</v>
          </cell>
          <cell r="G190">
            <v>182.9</v>
          </cell>
          <cell r="H190">
            <v>0.18290000000000001</v>
          </cell>
          <cell r="I190">
            <v>1.4632000000000001E-2</v>
          </cell>
          <cell r="J190">
            <v>0.18290000000000001</v>
          </cell>
          <cell r="K190" t="str">
            <v>BMM-10-JUN</v>
          </cell>
          <cell r="N190">
            <v>0.168268</v>
          </cell>
          <cell r="O190">
            <v>1.4632000000000001E-2</v>
          </cell>
          <cell r="P190">
            <v>0.18290000000000001</v>
          </cell>
        </row>
        <row r="191">
          <cell r="A191" t="str">
            <v>SRTBO-51</v>
          </cell>
          <cell r="B191" t="str">
            <v>1880BB-C-15108</v>
          </cell>
          <cell r="D191" t="str">
            <v>1880BB-T-70287_FL_42</v>
          </cell>
          <cell r="F191">
            <v>1</v>
          </cell>
          <cell r="G191">
            <v>182.9</v>
          </cell>
          <cell r="H191">
            <v>0.18290000000000001</v>
          </cell>
          <cell r="I191">
            <v>1.4632000000000001E-2</v>
          </cell>
          <cell r="J191">
            <v>0.18290000000000001</v>
          </cell>
          <cell r="K191" t="str">
            <v>BMM-10-JUN</v>
          </cell>
          <cell r="N191">
            <v>0.168268</v>
          </cell>
          <cell r="O191">
            <v>1.4632000000000001E-2</v>
          </cell>
          <cell r="P191">
            <v>0.18290000000000001</v>
          </cell>
        </row>
        <row r="192">
          <cell r="A192" t="str">
            <v>SRTBO-26</v>
          </cell>
          <cell r="B192" t="str">
            <v>1880BB-C-15108</v>
          </cell>
          <cell r="D192" t="str">
            <v>1880BB-T-70287_FL_43</v>
          </cell>
          <cell r="F192">
            <v>1</v>
          </cell>
          <cell r="G192">
            <v>190.6</v>
          </cell>
          <cell r="H192">
            <v>0.19059999999999999</v>
          </cell>
          <cell r="I192">
            <v>1.5247999999999999E-2</v>
          </cell>
          <cell r="J192">
            <v>0.19059999999999999</v>
          </cell>
          <cell r="K192" t="str">
            <v>BMM-10-JUN</v>
          </cell>
          <cell r="N192">
            <v>0.17535200000000001</v>
          </cell>
          <cell r="O192">
            <v>1.5247999999999999E-2</v>
          </cell>
          <cell r="P192">
            <v>0.19060000000000002</v>
          </cell>
        </row>
        <row r="193">
          <cell r="A193" t="str">
            <v>SRTBO-28</v>
          </cell>
          <cell r="B193" t="str">
            <v>1880BB-C-15108</v>
          </cell>
          <cell r="D193" t="str">
            <v>1880BB-T-70287_FL_43</v>
          </cell>
          <cell r="F193">
            <v>1</v>
          </cell>
          <cell r="G193">
            <v>190.6</v>
          </cell>
          <cell r="H193">
            <v>0.19059999999999999</v>
          </cell>
          <cell r="I193">
            <v>1.5247999999999999E-2</v>
          </cell>
          <cell r="J193">
            <v>0.19059999999999999</v>
          </cell>
          <cell r="K193" t="str">
            <v>BMM-10-JUN</v>
          </cell>
          <cell r="N193">
            <v>0.17535200000000001</v>
          </cell>
          <cell r="O193">
            <v>1.5247999999999999E-2</v>
          </cell>
          <cell r="P193">
            <v>0.19060000000000002</v>
          </cell>
        </row>
        <row r="194">
          <cell r="A194" t="str">
            <v>SRTBO-33</v>
          </cell>
          <cell r="B194" t="str">
            <v>1880BB-C-15108</v>
          </cell>
          <cell r="D194" t="str">
            <v>1880BB-T-70287_FL_43</v>
          </cell>
          <cell r="F194">
            <v>1</v>
          </cell>
          <cell r="G194">
            <v>190.6</v>
          </cell>
          <cell r="H194">
            <v>0.19059999999999999</v>
          </cell>
          <cell r="I194">
            <v>1.5247999999999999E-2</v>
          </cell>
          <cell r="J194">
            <v>0.19059999999999999</v>
          </cell>
          <cell r="K194" t="str">
            <v>BMM-10-JUN</v>
          </cell>
          <cell r="N194">
            <v>0.17535200000000001</v>
          </cell>
          <cell r="O194">
            <v>1.5247999999999999E-2</v>
          </cell>
          <cell r="P194">
            <v>0.19060000000000002</v>
          </cell>
        </row>
        <row r="195">
          <cell r="A195" t="str">
            <v>SRTBO-39</v>
          </cell>
          <cell r="B195" t="str">
            <v>1880BB-C-15108</v>
          </cell>
          <cell r="D195" t="str">
            <v>1880BB-T-70287_FL_43</v>
          </cell>
          <cell r="F195">
            <v>1</v>
          </cell>
          <cell r="G195">
            <v>190.6</v>
          </cell>
          <cell r="H195">
            <v>0.19059999999999999</v>
          </cell>
          <cell r="I195">
            <v>1.5247999999999999E-2</v>
          </cell>
          <cell r="J195">
            <v>0.19059999999999999</v>
          </cell>
          <cell r="K195" t="str">
            <v>BMM-10-JUN</v>
          </cell>
          <cell r="N195">
            <v>0.17535200000000001</v>
          </cell>
          <cell r="O195">
            <v>1.5247999999999999E-2</v>
          </cell>
          <cell r="P195">
            <v>0.19060000000000002</v>
          </cell>
        </row>
        <row r="196">
          <cell r="A196" t="str">
            <v>SRTBO-43</v>
          </cell>
          <cell r="B196" t="str">
            <v>1880BB-C-15108</v>
          </cell>
          <cell r="D196" t="str">
            <v>1880BB-T-70287_FL_43</v>
          </cell>
          <cell r="F196">
            <v>1</v>
          </cell>
          <cell r="G196">
            <v>190.6</v>
          </cell>
          <cell r="H196">
            <v>0.19059999999999999</v>
          </cell>
          <cell r="I196">
            <v>1.5247999999999999E-2</v>
          </cell>
          <cell r="J196">
            <v>0.19059999999999999</v>
          </cell>
          <cell r="K196" t="str">
            <v>BMM-10-JUN</v>
          </cell>
          <cell r="N196">
            <v>0.17535200000000001</v>
          </cell>
          <cell r="O196">
            <v>1.5247999999999999E-2</v>
          </cell>
          <cell r="P196">
            <v>0.19060000000000002</v>
          </cell>
        </row>
        <row r="197">
          <cell r="A197" t="str">
            <v>SRTBO-44</v>
          </cell>
          <cell r="B197" t="str">
            <v>1880BB-C-15108</v>
          </cell>
          <cell r="D197" t="str">
            <v>1880BB-T-70287_FL_44</v>
          </cell>
          <cell r="F197">
            <v>1</v>
          </cell>
          <cell r="G197">
            <v>182.3</v>
          </cell>
          <cell r="H197">
            <v>0.18230000000000002</v>
          </cell>
          <cell r="I197">
            <v>1.4584000000000001E-2</v>
          </cell>
          <cell r="J197">
            <v>0.18230000000000002</v>
          </cell>
          <cell r="K197" t="str">
            <v>BMM-10-JUN</v>
          </cell>
          <cell r="N197">
            <v>0.16771600000000003</v>
          </cell>
          <cell r="O197">
            <v>1.4584000000000001E-2</v>
          </cell>
          <cell r="P197">
            <v>0.18230000000000005</v>
          </cell>
        </row>
        <row r="198">
          <cell r="A198" t="str">
            <v>SRTBO-45</v>
          </cell>
          <cell r="B198" t="str">
            <v>1880BB-C-15108</v>
          </cell>
          <cell r="D198" t="str">
            <v>1880BB-T-70287_FL_44</v>
          </cell>
          <cell r="F198">
            <v>1</v>
          </cell>
          <cell r="G198">
            <v>182.3</v>
          </cell>
          <cell r="H198">
            <v>0.18230000000000002</v>
          </cell>
          <cell r="I198">
            <v>1.4584000000000001E-2</v>
          </cell>
          <cell r="J198">
            <v>0.18230000000000002</v>
          </cell>
          <cell r="K198" t="str">
            <v>BMM-10-JUN</v>
          </cell>
          <cell r="N198">
            <v>0.16771600000000003</v>
          </cell>
          <cell r="O198">
            <v>1.4584000000000001E-2</v>
          </cell>
          <cell r="P198">
            <v>0.18230000000000005</v>
          </cell>
        </row>
        <row r="199">
          <cell r="A199" t="str">
            <v>SRTBO-50</v>
          </cell>
          <cell r="B199" t="str">
            <v>1880BB-C-15108</v>
          </cell>
          <cell r="D199" t="str">
            <v>1880BB-T-70287_FL_44</v>
          </cell>
          <cell r="F199">
            <v>1</v>
          </cell>
          <cell r="G199">
            <v>182.3</v>
          </cell>
          <cell r="H199">
            <v>0.18230000000000002</v>
          </cell>
          <cell r="I199">
            <v>1.4584000000000001E-2</v>
          </cell>
          <cell r="J199">
            <v>0.18230000000000002</v>
          </cell>
          <cell r="K199" t="str">
            <v>BMM-10-JUN</v>
          </cell>
          <cell r="N199">
            <v>0.16771600000000003</v>
          </cell>
          <cell r="O199">
            <v>1.4584000000000001E-2</v>
          </cell>
          <cell r="P199">
            <v>0.18230000000000005</v>
          </cell>
        </row>
        <row r="200">
          <cell r="A200" t="str">
            <v>SRTBO-121</v>
          </cell>
          <cell r="B200" t="str">
            <v>1880BB-C-15108</v>
          </cell>
          <cell r="D200" t="str">
            <v>1880BB-T-70287_FL_44</v>
          </cell>
          <cell r="F200">
            <v>1</v>
          </cell>
          <cell r="G200">
            <v>182.3</v>
          </cell>
          <cell r="H200">
            <v>0.18230000000000002</v>
          </cell>
          <cell r="I200">
            <v>1.4584000000000001E-2</v>
          </cell>
          <cell r="J200">
            <v>0.18230000000000002</v>
          </cell>
          <cell r="K200" t="str">
            <v>BMM-10-JUN</v>
          </cell>
          <cell r="N200">
            <v>0.41492000000000001</v>
          </cell>
          <cell r="O200">
            <v>1.4584000000000001E-2</v>
          </cell>
          <cell r="P200">
            <v>0.429504</v>
          </cell>
        </row>
        <row r="201">
          <cell r="A201" t="str">
            <v>SRTBO-11</v>
          </cell>
          <cell r="B201" t="str">
            <v>1880BB-C-15108</v>
          </cell>
          <cell r="D201" t="str">
            <v>1880BB-T-70287_FL_45</v>
          </cell>
          <cell r="F201">
            <v>1</v>
          </cell>
          <cell r="G201">
            <v>451</v>
          </cell>
          <cell r="H201">
            <v>0.45100000000000001</v>
          </cell>
          <cell r="I201">
            <v>3.6080000000000001E-2</v>
          </cell>
          <cell r="J201">
            <v>0.45100000000000001</v>
          </cell>
          <cell r="K201" t="str">
            <v>BMM-10-JUN</v>
          </cell>
          <cell r="N201">
            <v>0.44242799999999999</v>
          </cell>
          <cell r="O201">
            <v>3.6080000000000001E-2</v>
          </cell>
          <cell r="P201">
            <v>0.47850799999999999</v>
          </cell>
        </row>
        <row r="202">
          <cell r="A202" t="str">
            <v>SRTBO-12</v>
          </cell>
          <cell r="B202" t="str">
            <v>1880BB-C-15108</v>
          </cell>
          <cell r="D202" t="str">
            <v>1880BB-T-70287_FL_46</v>
          </cell>
          <cell r="F202">
            <v>1</v>
          </cell>
          <cell r="G202">
            <v>480.9</v>
          </cell>
          <cell r="H202">
            <v>0.48089999999999999</v>
          </cell>
          <cell r="I202">
            <v>3.8471999999999999E-2</v>
          </cell>
          <cell r="J202">
            <v>0.48089999999999999</v>
          </cell>
          <cell r="K202" t="str">
            <v>BMM-10-JUN</v>
          </cell>
          <cell r="N202">
            <v>0.44417600000000002</v>
          </cell>
          <cell r="O202">
            <v>3.8471999999999999E-2</v>
          </cell>
          <cell r="P202">
            <v>0.48264800000000002</v>
          </cell>
        </row>
        <row r="203">
          <cell r="A203" t="str">
            <v>SRTBO-13</v>
          </cell>
          <cell r="B203" t="str">
            <v>1880BB-C-15108</v>
          </cell>
          <cell r="D203" t="str">
            <v>1880BB-T-70287_FL_47</v>
          </cell>
          <cell r="F203">
            <v>1</v>
          </cell>
          <cell r="G203">
            <v>482.8</v>
          </cell>
          <cell r="H203">
            <v>0.48280000000000001</v>
          </cell>
          <cell r="I203">
            <v>3.8623999999999999E-2</v>
          </cell>
          <cell r="J203">
            <v>0.48280000000000001</v>
          </cell>
          <cell r="K203" t="str">
            <v>BMM-10-JUN</v>
          </cell>
          <cell r="N203">
            <v>0.43874800000000003</v>
          </cell>
          <cell r="O203">
            <v>3.8623999999999999E-2</v>
          </cell>
          <cell r="P203">
            <v>0.47737200000000002</v>
          </cell>
        </row>
        <row r="204">
          <cell r="A204" t="str">
            <v>SRTBO-14</v>
          </cell>
          <cell r="B204" t="str">
            <v>1880BB-C-15108</v>
          </cell>
          <cell r="D204" t="str">
            <v>1880BB-T-70287_FL_48</v>
          </cell>
          <cell r="F204">
            <v>1</v>
          </cell>
          <cell r="G204">
            <v>476.9</v>
          </cell>
          <cell r="H204">
            <v>0.47689999999999999</v>
          </cell>
          <cell r="I204">
            <v>3.8151999999999998E-2</v>
          </cell>
          <cell r="J204">
            <v>0.47689999999999999</v>
          </cell>
          <cell r="K204" t="str">
            <v>BMM-10-JUN</v>
          </cell>
          <cell r="N204">
            <v>0.44739600000000002</v>
          </cell>
          <cell r="O204">
            <v>3.8151999999999998E-2</v>
          </cell>
          <cell r="P204">
            <v>0.48554800000000004</v>
          </cell>
        </row>
        <row r="205">
          <cell r="A205" t="str">
            <v>SRTBO-15</v>
          </cell>
          <cell r="B205" t="str">
            <v>1880BB-C-15108</v>
          </cell>
          <cell r="D205" t="str">
            <v>1880BB-T-70287_FL_49</v>
          </cell>
          <cell r="F205">
            <v>1</v>
          </cell>
          <cell r="G205">
            <v>486.3</v>
          </cell>
          <cell r="H205">
            <v>0.48630000000000001</v>
          </cell>
          <cell r="I205">
            <v>3.8904000000000001E-2</v>
          </cell>
          <cell r="J205">
            <v>0.48630000000000001</v>
          </cell>
          <cell r="K205" t="str">
            <v>BMM-10-JUN</v>
          </cell>
          <cell r="N205">
            <v>0.44086400000000003</v>
          </cell>
          <cell r="O205">
            <v>3.8904000000000001E-2</v>
          </cell>
          <cell r="P205">
            <v>0.47976800000000003</v>
          </cell>
        </row>
        <row r="206">
          <cell r="A206" t="str">
            <v>SRTBO-16</v>
          </cell>
          <cell r="B206" t="str">
            <v>1880BB-C-15108</v>
          </cell>
          <cell r="D206" t="str">
            <v>1880BB-T-70287_FL_50</v>
          </cell>
          <cell r="F206">
            <v>1</v>
          </cell>
          <cell r="G206">
            <v>479.2</v>
          </cell>
          <cell r="H206">
            <v>0.47920000000000001</v>
          </cell>
          <cell r="I206">
            <v>3.8336000000000002E-2</v>
          </cell>
          <cell r="J206">
            <v>0.47920000000000001</v>
          </cell>
          <cell r="K206" t="str">
            <v>BMM-10-JUN</v>
          </cell>
          <cell r="N206">
            <v>0.46285199999999999</v>
          </cell>
          <cell r="O206">
            <v>3.8336000000000002E-2</v>
          </cell>
          <cell r="P206">
            <v>0.50118799999999997</v>
          </cell>
        </row>
        <row r="207">
          <cell r="A207" t="str">
            <v>SRTBO-17</v>
          </cell>
          <cell r="B207" t="str">
            <v>1880BB-C-15108</v>
          </cell>
          <cell r="D207" t="str">
            <v>1880BB-T-70287_FL_51</v>
          </cell>
          <cell r="F207">
            <v>1</v>
          </cell>
          <cell r="G207">
            <v>503.1</v>
          </cell>
          <cell r="H207">
            <v>0.50309999999999999</v>
          </cell>
          <cell r="I207">
            <v>4.0247999999999999E-2</v>
          </cell>
          <cell r="J207">
            <v>0.50309999999999999</v>
          </cell>
          <cell r="K207" t="str">
            <v>BMM-10-JUN</v>
          </cell>
          <cell r="N207">
            <v>0.46082800000000002</v>
          </cell>
          <cell r="O207">
            <v>4.0247999999999999E-2</v>
          </cell>
          <cell r="P207">
            <v>0.50107599999999997</v>
          </cell>
        </row>
        <row r="208">
          <cell r="A208" t="str">
            <v>SRTBO-18</v>
          </cell>
          <cell r="B208" t="str">
            <v>1880BB-C-15108</v>
          </cell>
          <cell r="D208" t="str">
            <v>1880BB-T-70287_FL_52</v>
          </cell>
          <cell r="F208">
            <v>1</v>
          </cell>
          <cell r="G208">
            <v>500.9</v>
          </cell>
          <cell r="H208">
            <v>0.50090000000000001</v>
          </cell>
          <cell r="I208">
            <v>4.0072000000000003E-2</v>
          </cell>
          <cell r="J208">
            <v>0.50090000000000001</v>
          </cell>
          <cell r="K208" t="str">
            <v>BMM-10-JUN</v>
          </cell>
          <cell r="N208">
            <v>0.46137999999999996</v>
          </cell>
          <cell r="O208">
            <v>4.0072000000000003E-2</v>
          </cell>
          <cell r="P208">
            <v>0.50145200000000001</v>
          </cell>
        </row>
        <row r="209">
          <cell r="A209" t="str">
            <v>SRTBO-19</v>
          </cell>
          <cell r="B209" t="str">
            <v>1880BB-C-15108</v>
          </cell>
          <cell r="D209" t="str">
            <v>1880BB-T-70287_FL_53</v>
          </cell>
          <cell r="F209">
            <v>1</v>
          </cell>
          <cell r="G209">
            <v>501.5</v>
          </cell>
          <cell r="H209">
            <v>0.50149999999999995</v>
          </cell>
          <cell r="I209">
            <v>4.0119999999999996E-2</v>
          </cell>
          <cell r="J209">
            <v>0.50149999999999995</v>
          </cell>
          <cell r="K209" t="str">
            <v>BMM-10-JUN</v>
          </cell>
          <cell r="N209">
            <v>0.44886800000000004</v>
          </cell>
          <cell r="O209">
            <v>4.0119999999999996E-2</v>
          </cell>
          <cell r="P209">
            <v>0.48898800000000003</v>
          </cell>
        </row>
        <row r="210">
          <cell r="A210" t="str">
            <v>SRTBO-20</v>
          </cell>
          <cell r="B210" t="str">
            <v>1880BB-C-15108</v>
          </cell>
          <cell r="D210" t="str">
            <v>1880BB-T-70287_FL_54</v>
          </cell>
          <cell r="F210">
            <v>1</v>
          </cell>
          <cell r="G210">
            <v>487.9</v>
          </cell>
          <cell r="H210">
            <v>0.4879</v>
          </cell>
          <cell r="I210">
            <v>3.9032000000000004E-2</v>
          </cell>
          <cell r="J210">
            <v>0.4879</v>
          </cell>
          <cell r="K210" t="str">
            <v>BMM-10-JUN</v>
          </cell>
          <cell r="N210" t="str">
            <v/>
          </cell>
          <cell r="O210">
            <v>3.9032000000000004E-2</v>
          </cell>
          <cell r="P210">
            <v>3.9032000000000004E-2</v>
          </cell>
        </row>
        <row r="211">
          <cell r="A211" t="str">
            <v>SRTBO-21</v>
          </cell>
          <cell r="B211" t="str">
            <v>1880BB-C-15108</v>
          </cell>
          <cell r="D211" t="str">
            <v>1880BB-T-70287_FL_55</v>
          </cell>
          <cell r="F211">
            <v>1</v>
          </cell>
          <cell r="G211">
            <v>472.9</v>
          </cell>
          <cell r="H211">
            <v>0.47289999999999999</v>
          </cell>
          <cell r="I211">
            <v>3.7831999999999998E-2</v>
          </cell>
          <cell r="J211">
            <v>0.47289999999999999</v>
          </cell>
          <cell r="K211" t="str">
            <v>BMM-10-JUN</v>
          </cell>
          <cell r="N211">
            <v>0.43506800000000001</v>
          </cell>
          <cell r="O211">
            <v>3.7831999999999998E-2</v>
          </cell>
          <cell r="P211">
            <v>0.47289999999999999</v>
          </cell>
        </row>
        <row r="212">
          <cell r="A212" t="str">
            <v>SRTBO-122</v>
          </cell>
          <cell r="B212" t="str">
            <v>1880BB-C-15108</v>
          </cell>
          <cell r="D212" t="str">
            <v>1880BB-T-70287_FL_56</v>
          </cell>
          <cell r="F212">
            <v>1</v>
          </cell>
          <cell r="G212">
            <v>144.69999999999999</v>
          </cell>
          <cell r="H212">
            <v>0.1447</v>
          </cell>
          <cell r="I212" t="str">
            <v/>
          </cell>
          <cell r="J212">
            <v>0.1447</v>
          </cell>
          <cell r="N212" t="str">
            <v/>
          </cell>
          <cell r="O212" t="str">
            <v/>
          </cell>
          <cell r="P212">
            <v>0</v>
          </cell>
        </row>
        <row r="213">
          <cell r="A213" t="str">
            <v>SRTBO-52</v>
          </cell>
          <cell r="B213" t="str">
            <v>1880BB-C-15108</v>
          </cell>
          <cell r="D213" t="str">
            <v>1880BB-T-70287_FL_57</v>
          </cell>
          <cell r="F213">
            <v>1</v>
          </cell>
          <cell r="G213">
            <v>66.3</v>
          </cell>
          <cell r="H213">
            <v>6.6299999999999998E-2</v>
          </cell>
          <cell r="I213" t="str">
            <v/>
          </cell>
          <cell r="J213">
            <v>6.6299999999999998E-2</v>
          </cell>
          <cell r="N213" t="str">
            <v/>
          </cell>
          <cell r="O213" t="str">
            <v/>
          </cell>
          <cell r="P213">
            <v>0</v>
          </cell>
        </row>
        <row r="214">
          <cell r="A214" t="str">
            <v>SRTBO-56</v>
          </cell>
          <cell r="B214" t="str">
            <v>1880BB-C-15108</v>
          </cell>
          <cell r="D214" t="str">
            <v>1880BB-T-70287_FL_57</v>
          </cell>
          <cell r="F214">
            <v>1</v>
          </cell>
          <cell r="G214">
            <v>66.3</v>
          </cell>
          <cell r="H214">
            <v>6.6299999999999998E-2</v>
          </cell>
          <cell r="I214" t="str">
            <v/>
          </cell>
          <cell r="J214">
            <v>6.6299999999999998E-2</v>
          </cell>
          <cell r="N214" t="str">
            <v/>
          </cell>
          <cell r="O214" t="str">
            <v/>
          </cell>
          <cell r="P214">
            <v>0</v>
          </cell>
        </row>
        <row r="215">
          <cell r="A215" t="str">
            <v>SRTBO-58</v>
          </cell>
          <cell r="B215" t="str">
            <v>1880BB-C-15108</v>
          </cell>
          <cell r="D215" t="str">
            <v>1880BB-T-70287_FL_57</v>
          </cell>
          <cell r="F215">
            <v>1</v>
          </cell>
          <cell r="G215">
            <v>66.3</v>
          </cell>
          <cell r="H215">
            <v>6.6299999999999998E-2</v>
          </cell>
          <cell r="I215" t="str">
            <v/>
          </cell>
          <cell r="J215">
            <v>6.6299999999999998E-2</v>
          </cell>
          <cell r="N215" t="str">
            <v/>
          </cell>
          <cell r="O215" t="str">
            <v/>
          </cell>
          <cell r="P215">
            <v>0</v>
          </cell>
        </row>
        <row r="216">
          <cell r="A216" t="str">
            <v>SRTBO-60</v>
          </cell>
          <cell r="B216" t="str">
            <v>1880BB-C-15108</v>
          </cell>
          <cell r="D216" t="str">
            <v>1880BB-T-70287_FL_57</v>
          </cell>
          <cell r="F216">
            <v>1</v>
          </cell>
          <cell r="G216">
            <v>66.3</v>
          </cell>
          <cell r="H216">
            <v>6.6299999999999998E-2</v>
          </cell>
          <cell r="I216" t="str">
            <v/>
          </cell>
          <cell r="J216">
            <v>6.6299999999999998E-2</v>
          </cell>
          <cell r="N216" t="str">
            <v/>
          </cell>
          <cell r="O216" t="str">
            <v/>
          </cell>
          <cell r="P216">
            <v>0</v>
          </cell>
        </row>
        <row r="217">
          <cell r="A217" t="str">
            <v>SRTBO-68</v>
          </cell>
          <cell r="B217" t="str">
            <v>1880BB-C-15108</v>
          </cell>
          <cell r="D217" t="str">
            <v>1880BB-T-70287_FL_57</v>
          </cell>
          <cell r="F217">
            <v>1</v>
          </cell>
          <cell r="G217">
            <v>66.3</v>
          </cell>
          <cell r="H217">
            <v>6.6299999999999998E-2</v>
          </cell>
          <cell r="I217" t="str">
            <v/>
          </cell>
          <cell r="J217">
            <v>6.6299999999999998E-2</v>
          </cell>
          <cell r="N217" t="str">
            <v/>
          </cell>
          <cell r="O217" t="str">
            <v/>
          </cell>
          <cell r="P217">
            <v>0</v>
          </cell>
        </row>
        <row r="218">
          <cell r="A218" t="str">
            <v>SRTBO-70</v>
          </cell>
          <cell r="B218" t="str">
            <v>1880BB-C-15108</v>
          </cell>
          <cell r="D218" t="str">
            <v>1880BB-T-70287_FL_57</v>
          </cell>
          <cell r="F218">
            <v>1</v>
          </cell>
          <cell r="G218">
            <v>66.3</v>
          </cell>
          <cell r="H218">
            <v>6.6299999999999998E-2</v>
          </cell>
          <cell r="I218" t="str">
            <v/>
          </cell>
          <cell r="J218">
            <v>6.6299999999999998E-2</v>
          </cell>
          <cell r="N218" t="str">
            <v/>
          </cell>
          <cell r="O218" t="str">
            <v/>
          </cell>
          <cell r="P218">
            <v>0</v>
          </cell>
        </row>
        <row r="219">
          <cell r="A219" t="str">
            <v>SRTBO-81</v>
          </cell>
          <cell r="B219" t="str">
            <v>1880BB-C-15108</v>
          </cell>
          <cell r="D219" t="str">
            <v>1880BB-T-70287_FL_57</v>
          </cell>
          <cell r="F219">
            <v>1</v>
          </cell>
          <cell r="G219">
            <v>66.3</v>
          </cell>
          <cell r="H219">
            <v>6.6299999999999998E-2</v>
          </cell>
          <cell r="I219" t="str">
            <v/>
          </cell>
          <cell r="J219">
            <v>6.6299999999999998E-2</v>
          </cell>
          <cell r="N219" t="str">
            <v/>
          </cell>
          <cell r="O219" t="str">
            <v/>
          </cell>
          <cell r="P219">
            <v>0</v>
          </cell>
        </row>
        <row r="220">
          <cell r="A220" t="str">
            <v>SRTBO-92</v>
          </cell>
          <cell r="B220" t="str">
            <v>1880BB-C-15108</v>
          </cell>
          <cell r="D220" t="str">
            <v>1880BB-T-70287_FL_57</v>
          </cell>
          <cell r="F220">
            <v>1</v>
          </cell>
          <cell r="G220">
            <v>66.3</v>
          </cell>
          <cell r="H220">
            <v>6.6299999999999998E-2</v>
          </cell>
          <cell r="I220" t="str">
            <v/>
          </cell>
          <cell r="J220">
            <v>6.6299999999999998E-2</v>
          </cell>
          <cell r="N220" t="str">
            <v/>
          </cell>
          <cell r="O220" t="str">
            <v/>
          </cell>
          <cell r="P220">
            <v>0</v>
          </cell>
        </row>
        <row r="221">
          <cell r="A221" t="str">
            <v>SRTBO-103</v>
          </cell>
          <cell r="B221" t="str">
            <v>1880BB-C-15108</v>
          </cell>
          <cell r="D221" t="str">
            <v>1880BB-T-70287_FL_57</v>
          </cell>
          <cell r="F221">
            <v>1</v>
          </cell>
          <cell r="G221">
            <v>66.3</v>
          </cell>
          <cell r="H221">
            <v>6.6299999999999998E-2</v>
          </cell>
          <cell r="I221" t="str">
            <v/>
          </cell>
          <cell r="J221">
            <v>6.6299999999999998E-2</v>
          </cell>
          <cell r="N221" t="str">
            <v/>
          </cell>
          <cell r="O221" t="str">
            <v/>
          </cell>
          <cell r="P221">
            <v>0</v>
          </cell>
        </row>
        <row r="222">
          <cell r="A222" t="str">
            <v>SRTBO-114</v>
          </cell>
          <cell r="B222" t="str">
            <v>1880BB-C-15108</v>
          </cell>
          <cell r="D222" t="str">
            <v>1880BB-T-70287_FL_57</v>
          </cell>
          <cell r="F222">
            <v>1</v>
          </cell>
          <cell r="G222">
            <v>66.3</v>
          </cell>
          <cell r="H222">
            <v>6.6299999999999998E-2</v>
          </cell>
          <cell r="I222" t="str">
            <v/>
          </cell>
          <cell r="J222">
            <v>6.6299999999999998E-2</v>
          </cell>
          <cell r="N222" t="str">
            <v/>
          </cell>
          <cell r="O222" t="str">
            <v/>
          </cell>
          <cell r="P222">
            <v>0</v>
          </cell>
        </row>
        <row r="223">
          <cell r="A223" t="str">
            <v>SRTBO-53</v>
          </cell>
          <cell r="B223" t="str">
            <v>1880BB-C-15108</v>
          </cell>
          <cell r="D223" t="str">
            <v>1880BB-T-70287_FL_58</v>
          </cell>
          <cell r="F223">
            <v>1</v>
          </cell>
          <cell r="G223">
            <v>61.4</v>
          </cell>
          <cell r="H223">
            <v>6.1399999999999996E-2</v>
          </cell>
          <cell r="I223" t="str">
            <v/>
          </cell>
          <cell r="J223">
            <v>6.1399999999999996E-2</v>
          </cell>
          <cell r="N223" t="str">
            <v/>
          </cell>
          <cell r="O223" t="str">
            <v/>
          </cell>
          <cell r="P223">
            <v>0</v>
          </cell>
        </row>
        <row r="224">
          <cell r="A224" t="str">
            <v>SRTBO-54</v>
          </cell>
          <cell r="B224" t="str">
            <v>1880BB-C-15108</v>
          </cell>
          <cell r="D224" t="str">
            <v>1880BB-T-70287_FL_58</v>
          </cell>
          <cell r="F224">
            <v>1</v>
          </cell>
          <cell r="G224">
            <v>61.4</v>
          </cell>
          <cell r="H224">
            <v>6.1399999999999996E-2</v>
          </cell>
          <cell r="I224" t="str">
            <v/>
          </cell>
          <cell r="J224">
            <v>6.1399999999999996E-2</v>
          </cell>
          <cell r="N224" t="str">
            <v/>
          </cell>
          <cell r="O224" t="str">
            <v/>
          </cell>
          <cell r="P224">
            <v>0</v>
          </cell>
        </row>
        <row r="225">
          <cell r="A225" t="str">
            <v>SRTBO-55</v>
          </cell>
          <cell r="B225" t="str">
            <v>1880BB-C-15108</v>
          </cell>
          <cell r="D225" t="str">
            <v>1880BB-T-70287_FL_58</v>
          </cell>
          <cell r="F225">
            <v>1</v>
          </cell>
          <cell r="G225">
            <v>61.4</v>
          </cell>
          <cell r="H225">
            <v>6.1399999999999996E-2</v>
          </cell>
          <cell r="I225" t="str">
            <v/>
          </cell>
          <cell r="J225">
            <v>6.1399999999999996E-2</v>
          </cell>
          <cell r="N225" t="str">
            <v/>
          </cell>
          <cell r="O225" t="str">
            <v/>
          </cell>
          <cell r="P225">
            <v>0</v>
          </cell>
        </row>
        <row r="226">
          <cell r="A226" t="str">
            <v>SRTBO-57</v>
          </cell>
          <cell r="B226" t="str">
            <v>1880BB-C-15108</v>
          </cell>
          <cell r="D226" t="str">
            <v>1880BB-T-70287_FL_58</v>
          </cell>
          <cell r="F226">
            <v>1</v>
          </cell>
          <cell r="G226">
            <v>61.4</v>
          </cell>
          <cell r="H226">
            <v>6.1399999999999996E-2</v>
          </cell>
          <cell r="I226" t="str">
            <v/>
          </cell>
          <cell r="J226">
            <v>6.1399999999999996E-2</v>
          </cell>
          <cell r="N226" t="str">
            <v/>
          </cell>
          <cell r="O226" t="str">
            <v/>
          </cell>
          <cell r="P226">
            <v>0</v>
          </cell>
        </row>
        <row r="227">
          <cell r="A227" t="str">
            <v>SRTBO-59</v>
          </cell>
          <cell r="B227" t="str">
            <v>1880BB-C-15108</v>
          </cell>
          <cell r="D227" t="str">
            <v>1880BB-T-70287_FL_58</v>
          </cell>
          <cell r="F227">
            <v>1</v>
          </cell>
          <cell r="G227">
            <v>61.4</v>
          </cell>
          <cell r="H227">
            <v>6.1399999999999996E-2</v>
          </cell>
          <cell r="I227" t="str">
            <v/>
          </cell>
          <cell r="J227">
            <v>6.1399999999999996E-2</v>
          </cell>
          <cell r="N227" t="str">
            <v/>
          </cell>
          <cell r="O227" t="str">
            <v/>
          </cell>
          <cell r="P227">
            <v>0</v>
          </cell>
        </row>
        <row r="228">
          <cell r="A228" t="str">
            <v>SRTBO-61</v>
          </cell>
          <cell r="B228" t="str">
            <v>1880BB-C-15108</v>
          </cell>
          <cell r="D228" t="str">
            <v>1880BB-T-70287_FL_58</v>
          </cell>
          <cell r="F228">
            <v>1</v>
          </cell>
          <cell r="G228">
            <v>61.4</v>
          </cell>
          <cell r="H228">
            <v>6.1399999999999996E-2</v>
          </cell>
          <cell r="I228" t="str">
            <v/>
          </cell>
          <cell r="J228">
            <v>6.1399999999999996E-2</v>
          </cell>
          <cell r="N228" t="str">
            <v/>
          </cell>
          <cell r="O228" t="str">
            <v/>
          </cell>
          <cell r="P228">
            <v>0</v>
          </cell>
        </row>
        <row r="229">
          <cell r="A229" t="str">
            <v>SRTBO-65</v>
          </cell>
          <cell r="B229" t="str">
            <v>1880BB-C-15108</v>
          </cell>
          <cell r="D229" t="str">
            <v>1880BB-T-70287_FL_58</v>
          </cell>
          <cell r="F229">
            <v>1</v>
          </cell>
          <cell r="G229">
            <v>61.4</v>
          </cell>
          <cell r="H229">
            <v>6.1399999999999996E-2</v>
          </cell>
          <cell r="I229" t="str">
            <v/>
          </cell>
          <cell r="J229">
            <v>6.1399999999999996E-2</v>
          </cell>
          <cell r="N229" t="str">
            <v/>
          </cell>
          <cell r="O229" t="str">
            <v/>
          </cell>
          <cell r="P229">
            <v>0</v>
          </cell>
        </row>
        <row r="230">
          <cell r="A230" t="str">
            <v>SRTBO-66</v>
          </cell>
          <cell r="B230" t="str">
            <v>1880BB-C-15108</v>
          </cell>
          <cell r="D230" t="str">
            <v>1880BB-T-70287_FL_58</v>
          </cell>
          <cell r="F230">
            <v>1</v>
          </cell>
          <cell r="G230">
            <v>61.4</v>
          </cell>
          <cell r="H230">
            <v>6.1399999999999996E-2</v>
          </cell>
          <cell r="I230" t="str">
            <v/>
          </cell>
          <cell r="J230">
            <v>6.1399999999999996E-2</v>
          </cell>
          <cell r="N230" t="str">
            <v/>
          </cell>
          <cell r="O230" t="str">
            <v/>
          </cell>
          <cell r="P230">
            <v>0</v>
          </cell>
        </row>
        <row r="231">
          <cell r="A231" t="str">
            <v>SRTBO-67</v>
          </cell>
          <cell r="B231" t="str">
            <v>1880BB-C-15108</v>
          </cell>
          <cell r="D231" t="str">
            <v>1880BB-T-70287_FL_58</v>
          </cell>
          <cell r="F231">
            <v>1</v>
          </cell>
          <cell r="G231">
            <v>61.4</v>
          </cell>
          <cell r="H231">
            <v>6.1399999999999996E-2</v>
          </cell>
          <cell r="I231" t="str">
            <v/>
          </cell>
          <cell r="J231">
            <v>6.1399999999999996E-2</v>
          </cell>
          <cell r="N231" t="str">
            <v/>
          </cell>
          <cell r="O231" t="str">
            <v/>
          </cell>
          <cell r="P231">
            <v>0</v>
          </cell>
        </row>
        <row r="232">
          <cell r="A232" t="str">
            <v>SRTBO-69</v>
          </cell>
          <cell r="B232" t="str">
            <v>1880BB-C-15108</v>
          </cell>
          <cell r="D232" t="str">
            <v>1880BB-T-70287_FL_58</v>
          </cell>
          <cell r="F232">
            <v>1</v>
          </cell>
          <cell r="G232">
            <v>61.4</v>
          </cell>
          <cell r="H232">
            <v>6.1399999999999996E-2</v>
          </cell>
          <cell r="I232" t="str">
            <v/>
          </cell>
          <cell r="J232">
            <v>6.1399999999999996E-2</v>
          </cell>
          <cell r="N232" t="str">
            <v/>
          </cell>
          <cell r="O232" t="str">
            <v/>
          </cell>
          <cell r="P232">
            <v>0</v>
          </cell>
        </row>
        <row r="233">
          <cell r="A233" t="str">
            <v>SRTBO-71</v>
          </cell>
          <cell r="B233" t="str">
            <v>1880BB-C-15108</v>
          </cell>
          <cell r="D233" t="str">
            <v>1880BB-T-70287_FL_58</v>
          </cell>
          <cell r="F233">
            <v>1</v>
          </cell>
          <cell r="G233">
            <v>61.4</v>
          </cell>
          <cell r="H233">
            <v>6.1399999999999996E-2</v>
          </cell>
          <cell r="I233" t="str">
            <v/>
          </cell>
          <cell r="J233">
            <v>6.1399999999999996E-2</v>
          </cell>
          <cell r="N233" t="str">
            <v/>
          </cell>
          <cell r="O233" t="str">
            <v/>
          </cell>
          <cell r="P233">
            <v>0</v>
          </cell>
        </row>
        <row r="234">
          <cell r="A234" t="str">
            <v>SRTBO-72</v>
          </cell>
          <cell r="B234" t="str">
            <v>1880BB-C-15108</v>
          </cell>
          <cell r="D234" t="str">
            <v>1880BB-T-70287_FL_58</v>
          </cell>
          <cell r="F234">
            <v>1</v>
          </cell>
          <cell r="G234">
            <v>61.4</v>
          </cell>
          <cell r="H234">
            <v>6.1399999999999996E-2</v>
          </cell>
          <cell r="I234" t="str">
            <v/>
          </cell>
          <cell r="J234">
            <v>6.1399999999999996E-2</v>
          </cell>
          <cell r="N234" t="str">
            <v/>
          </cell>
          <cell r="O234" t="str">
            <v/>
          </cell>
          <cell r="P234">
            <v>0</v>
          </cell>
        </row>
        <row r="235">
          <cell r="A235" t="str">
            <v>SRTBO-77</v>
          </cell>
          <cell r="B235" t="str">
            <v>1880BB-C-15108</v>
          </cell>
          <cell r="D235" t="str">
            <v>1880BB-T-70287_FL_58</v>
          </cell>
          <cell r="F235">
            <v>1</v>
          </cell>
          <cell r="G235">
            <v>61.4</v>
          </cell>
          <cell r="H235">
            <v>6.1399999999999996E-2</v>
          </cell>
          <cell r="I235" t="str">
            <v/>
          </cell>
          <cell r="J235">
            <v>6.1399999999999996E-2</v>
          </cell>
          <cell r="N235" t="str">
            <v/>
          </cell>
          <cell r="O235" t="str">
            <v/>
          </cell>
          <cell r="P235">
            <v>0</v>
          </cell>
        </row>
        <row r="236">
          <cell r="A236" t="str">
            <v>SRTBO-78</v>
          </cell>
          <cell r="B236" t="str">
            <v>1880BB-C-15108</v>
          </cell>
          <cell r="D236" t="str">
            <v>1880BB-T-70287_FL_58</v>
          </cell>
          <cell r="F236">
            <v>1</v>
          </cell>
          <cell r="G236">
            <v>61.4</v>
          </cell>
          <cell r="H236">
            <v>6.1399999999999996E-2</v>
          </cell>
          <cell r="I236" t="str">
            <v/>
          </cell>
          <cell r="J236">
            <v>6.1399999999999996E-2</v>
          </cell>
          <cell r="N236" t="str">
            <v/>
          </cell>
          <cell r="O236" t="str">
            <v/>
          </cell>
          <cell r="P236">
            <v>0</v>
          </cell>
        </row>
        <row r="237">
          <cell r="A237" t="str">
            <v>SRTBO-79</v>
          </cell>
          <cell r="B237" t="str">
            <v>1880BB-C-15108</v>
          </cell>
          <cell r="D237" t="str">
            <v>1880BB-T-70287_FL_58</v>
          </cell>
          <cell r="F237">
            <v>1</v>
          </cell>
          <cell r="G237">
            <v>61.4</v>
          </cell>
          <cell r="H237">
            <v>6.1399999999999996E-2</v>
          </cell>
          <cell r="I237" t="str">
            <v/>
          </cell>
          <cell r="J237">
            <v>6.1399999999999996E-2</v>
          </cell>
          <cell r="N237" t="str">
            <v/>
          </cell>
          <cell r="O237" t="str">
            <v/>
          </cell>
          <cell r="P237">
            <v>0</v>
          </cell>
        </row>
        <row r="238">
          <cell r="A238" t="str">
            <v>SRTBO-80</v>
          </cell>
          <cell r="B238" t="str">
            <v>1880BB-C-15108</v>
          </cell>
          <cell r="D238" t="str">
            <v>1880BB-T-70287_FL_58</v>
          </cell>
          <cell r="F238">
            <v>1</v>
          </cell>
          <cell r="G238">
            <v>61.4</v>
          </cell>
          <cell r="H238">
            <v>6.1399999999999996E-2</v>
          </cell>
          <cell r="I238" t="str">
            <v/>
          </cell>
          <cell r="J238">
            <v>6.1399999999999996E-2</v>
          </cell>
          <cell r="N238" t="str">
            <v/>
          </cell>
          <cell r="O238" t="str">
            <v/>
          </cell>
          <cell r="P238">
            <v>0</v>
          </cell>
        </row>
        <row r="239">
          <cell r="A239" t="str">
            <v>SRTBO-82</v>
          </cell>
          <cell r="B239" t="str">
            <v>1880BB-C-15108</v>
          </cell>
          <cell r="D239" t="str">
            <v>1880BB-T-70287_FL_58</v>
          </cell>
          <cell r="F239">
            <v>1</v>
          </cell>
          <cell r="G239">
            <v>61.4</v>
          </cell>
          <cell r="H239">
            <v>6.1399999999999996E-2</v>
          </cell>
          <cell r="I239" t="str">
            <v/>
          </cell>
          <cell r="J239">
            <v>6.1399999999999996E-2</v>
          </cell>
          <cell r="N239" t="str">
            <v/>
          </cell>
          <cell r="O239" t="str">
            <v/>
          </cell>
          <cell r="P239">
            <v>0</v>
          </cell>
        </row>
        <row r="240">
          <cell r="A240" t="str">
            <v>SRTBO-85</v>
          </cell>
          <cell r="B240" t="str">
            <v>1880BB-C-15108</v>
          </cell>
          <cell r="D240" t="str">
            <v>1880BB-T-70287_FL_58</v>
          </cell>
          <cell r="F240">
            <v>1</v>
          </cell>
          <cell r="G240">
            <v>61.4</v>
          </cell>
          <cell r="H240">
            <v>6.1399999999999996E-2</v>
          </cell>
          <cell r="I240" t="str">
            <v/>
          </cell>
          <cell r="J240">
            <v>6.1399999999999996E-2</v>
          </cell>
          <cell r="N240" t="str">
            <v/>
          </cell>
          <cell r="O240" t="str">
            <v/>
          </cell>
          <cell r="P240">
            <v>0</v>
          </cell>
        </row>
        <row r="241">
          <cell r="A241" t="str">
            <v>SRTBO-86</v>
          </cell>
          <cell r="B241" t="str">
            <v>1880BB-C-15108</v>
          </cell>
          <cell r="D241" t="str">
            <v>1880BB-T-70287_FL_58</v>
          </cell>
          <cell r="F241">
            <v>1</v>
          </cell>
          <cell r="G241">
            <v>61.4</v>
          </cell>
          <cell r="H241">
            <v>6.1399999999999996E-2</v>
          </cell>
          <cell r="I241" t="str">
            <v/>
          </cell>
          <cell r="J241">
            <v>6.1399999999999996E-2</v>
          </cell>
          <cell r="N241" t="str">
            <v/>
          </cell>
          <cell r="O241" t="str">
            <v/>
          </cell>
          <cell r="P241">
            <v>0</v>
          </cell>
        </row>
        <row r="242">
          <cell r="A242" t="str">
            <v>SRTBO-87</v>
          </cell>
          <cell r="B242" t="str">
            <v>1880BB-C-15108</v>
          </cell>
          <cell r="D242" t="str">
            <v>1880BB-T-70287_FL_58</v>
          </cell>
          <cell r="F242">
            <v>1</v>
          </cell>
          <cell r="G242">
            <v>61.4</v>
          </cell>
          <cell r="H242">
            <v>6.1399999999999996E-2</v>
          </cell>
          <cell r="I242" t="str">
            <v/>
          </cell>
          <cell r="J242">
            <v>6.1399999999999996E-2</v>
          </cell>
          <cell r="N242" t="str">
            <v/>
          </cell>
          <cell r="O242" t="str">
            <v/>
          </cell>
          <cell r="P242">
            <v>0</v>
          </cell>
        </row>
        <row r="243">
          <cell r="A243" t="str">
            <v>SRTBO-88</v>
          </cell>
          <cell r="B243" t="str">
            <v>1880BB-C-15108</v>
          </cell>
          <cell r="D243" t="str">
            <v>1880BB-T-70287_FL_58</v>
          </cell>
          <cell r="F243">
            <v>1</v>
          </cell>
          <cell r="G243">
            <v>61.4</v>
          </cell>
          <cell r="H243">
            <v>6.1399999999999996E-2</v>
          </cell>
          <cell r="I243" t="str">
            <v/>
          </cell>
          <cell r="J243">
            <v>6.1399999999999996E-2</v>
          </cell>
          <cell r="N243" t="str">
            <v/>
          </cell>
          <cell r="O243" t="str">
            <v/>
          </cell>
          <cell r="P243">
            <v>0</v>
          </cell>
        </row>
        <row r="244">
          <cell r="A244" t="str">
            <v>SRTBO-93</v>
          </cell>
          <cell r="B244" t="str">
            <v>1880BB-C-15108</v>
          </cell>
          <cell r="D244" t="str">
            <v>1880BB-T-70287_FL_58</v>
          </cell>
          <cell r="F244">
            <v>1</v>
          </cell>
          <cell r="G244">
            <v>61.4</v>
          </cell>
          <cell r="H244">
            <v>6.1399999999999996E-2</v>
          </cell>
          <cell r="I244" t="str">
            <v/>
          </cell>
          <cell r="J244">
            <v>6.1399999999999996E-2</v>
          </cell>
          <cell r="N244" t="str">
            <v/>
          </cell>
          <cell r="O244" t="str">
            <v/>
          </cell>
          <cell r="P244">
            <v>0</v>
          </cell>
        </row>
        <row r="245">
          <cell r="A245" t="str">
            <v>SRTBO-94</v>
          </cell>
          <cell r="B245" t="str">
            <v>1880BB-C-15108</v>
          </cell>
          <cell r="D245" t="str">
            <v>1880BB-T-70287_FL_58</v>
          </cell>
          <cell r="F245">
            <v>1</v>
          </cell>
          <cell r="G245">
            <v>61.4</v>
          </cell>
          <cell r="H245">
            <v>6.1399999999999996E-2</v>
          </cell>
          <cell r="I245" t="str">
            <v/>
          </cell>
          <cell r="J245">
            <v>6.1399999999999996E-2</v>
          </cell>
          <cell r="N245" t="str">
            <v/>
          </cell>
          <cell r="O245" t="str">
            <v/>
          </cell>
          <cell r="P245">
            <v>0</v>
          </cell>
        </row>
        <row r="246">
          <cell r="A246" t="str">
            <v>SRTBO-95</v>
          </cell>
          <cell r="B246" t="str">
            <v>1880BB-C-15108</v>
          </cell>
          <cell r="D246" t="str">
            <v>1880BB-T-70287_FL_58</v>
          </cell>
          <cell r="F246">
            <v>1</v>
          </cell>
          <cell r="G246">
            <v>61.4</v>
          </cell>
          <cell r="H246">
            <v>6.1399999999999996E-2</v>
          </cell>
          <cell r="I246" t="str">
            <v/>
          </cell>
          <cell r="J246">
            <v>6.1399999999999996E-2</v>
          </cell>
          <cell r="N246" t="str">
            <v/>
          </cell>
          <cell r="O246" t="str">
            <v/>
          </cell>
          <cell r="P246">
            <v>0</v>
          </cell>
        </row>
        <row r="247">
          <cell r="A247" t="str">
            <v>SRTBO-96</v>
          </cell>
          <cell r="B247" t="str">
            <v>1880BB-C-15108</v>
          </cell>
          <cell r="D247" t="str">
            <v>1880BB-T-70287_FL_58</v>
          </cell>
          <cell r="F247">
            <v>1</v>
          </cell>
          <cell r="G247">
            <v>61.4</v>
          </cell>
          <cell r="H247">
            <v>6.1399999999999996E-2</v>
          </cell>
          <cell r="I247" t="str">
            <v/>
          </cell>
          <cell r="J247">
            <v>6.1399999999999996E-2</v>
          </cell>
          <cell r="N247" t="str">
            <v/>
          </cell>
          <cell r="O247" t="str">
            <v/>
          </cell>
          <cell r="P247">
            <v>0</v>
          </cell>
        </row>
        <row r="248">
          <cell r="A248" t="str">
            <v>SRTBO-97</v>
          </cell>
          <cell r="B248" t="str">
            <v>1880BB-C-15108</v>
          </cell>
          <cell r="D248" t="str">
            <v>1880BB-T-70287_FL_58</v>
          </cell>
          <cell r="F248">
            <v>1</v>
          </cell>
          <cell r="G248">
            <v>61.4</v>
          </cell>
          <cell r="H248">
            <v>6.1399999999999996E-2</v>
          </cell>
          <cell r="I248" t="str">
            <v/>
          </cell>
          <cell r="J248">
            <v>6.1399999999999996E-2</v>
          </cell>
          <cell r="N248" t="str">
            <v/>
          </cell>
          <cell r="O248" t="str">
            <v/>
          </cell>
          <cell r="P248">
            <v>0</v>
          </cell>
        </row>
        <row r="249">
          <cell r="A249" t="str">
            <v>SRTBO-100</v>
          </cell>
          <cell r="B249" t="str">
            <v>1880BB-C-15108</v>
          </cell>
          <cell r="D249" t="str">
            <v>1880BB-T-70287_FL_58</v>
          </cell>
          <cell r="F249">
            <v>1</v>
          </cell>
          <cell r="G249">
            <v>61.4</v>
          </cell>
          <cell r="H249">
            <v>6.1399999999999996E-2</v>
          </cell>
          <cell r="I249" t="str">
            <v/>
          </cell>
          <cell r="J249">
            <v>6.1399999999999996E-2</v>
          </cell>
          <cell r="N249" t="str">
            <v/>
          </cell>
          <cell r="O249" t="str">
            <v/>
          </cell>
          <cell r="P249">
            <v>0</v>
          </cell>
        </row>
        <row r="250">
          <cell r="A250" t="str">
            <v>SRTBO-101</v>
          </cell>
          <cell r="B250" t="str">
            <v>1880BB-C-15108</v>
          </cell>
          <cell r="D250" t="str">
            <v>1880BB-T-70287_FL_58</v>
          </cell>
          <cell r="F250">
            <v>1</v>
          </cell>
          <cell r="G250">
            <v>61.4</v>
          </cell>
          <cell r="H250">
            <v>6.1399999999999996E-2</v>
          </cell>
          <cell r="I250" t="str">
            <v/>
          </cell>
          <cell r="J250">
            <v>6.1399999999999996E-2</v>
          </cell>
          <cell r="N250" t="str">
            <v/>
          </cell>
          <cell r="O250" t="str">
            <v/>
          </cell>
          <cell r="P250">
            <v>0</v>
          </cell>
        </row>
        <row r="251">
          <cell r="A251" t="str">
            <v>SRTBO-102</v>
          </cell>
          <cell r="B251" t="str">
            <v>1880BB-C-15108</v>
          </cell>
          <cell r="D251" t="str">
            <v>1880BB-T-70287_FL_58</v>
          </cell>
          <cell r="F251">
            <v>1</v>
          </cell>
          <cell r="G251">
            <v>61.4</v>
          </cell>
          <cell r="H251">
            <v>6.1399999999999996E-2</v>
          </cell>
          <cell r="I251" t="str">
            <v/>
          </cell>
          <cell r="J251">
            <v>6.1399999999999996E-2</v>
          </cell>
          <cell r="N251" t="str">
            <v/>
          </cell>
          <cell r="O251" t="str">
            <v/>
          </cell>
          <cell r="P251">
            <v>0</v>
          </cell>
        </row>
        <row r="252">
          <cell r="A252" t="str">
            <v>SRTBO-106</v>
          </cell>
          <cell r="B252" t="str">
            <v>1880BB-C-15108</v>
          </cell>
          <cell r="D252" t="str">
            <v>1880BB-T-70287_FL_58</v>
          </cell>
          <cell r="F252">
            <v>1</v>
          </cell>
          <cell r="G252">
            <v>61.4</v>
          </cell>
          <cell r="H252">
            <v>6.1399999999999996E-2</v>
          </cell>
          <cell r="I252" t="str">
            <v/>
          </cell>
          <cell r="J252">
            <v>6.1399999999999996E-2</v>
          </cell>
          <cell r="N252" t="str">
            <v/>
          </cell>
          <cell r="O252" t="str">
            <v/>
          </cell>
          <cell r="P252">
            <v>0</v>
          </cell>
        </row>
        <row r="253">
          <cell r="A253" t="str">
            <v>SRTBO-111</v>
          </cell>
          <cell r="B253" t="str">
            <v>1880BB-C-15108</v>
          </cell>
          <cell r="D253" t="str">
            <v>1880BB-T-70287_FL_58</v>
          </cell>
          <cell r="F253">
            <v>1</v>
          </cell>
          <cell r="G253">
            <v>61.4</v>
          </cell>
          <cell r="H253">
            <v>6.1399999999999996E-2</v>
          </cell>
          <cell r="I253" t="str">
            <v/>
          </cell>
          <cell r="J253">
            <v>6.1399999999999996E-2</v>
          </cell>
          <cell r="N253" t="str">
            <v/>
          </cell>
          <cell r="O253" t="str">
            <v/>
          </cell>
          <cell r="P253">
            <v>0</v>
          </cell>
        </row>
        <row r="254">
          <cell r="A254" t="str">
            <v>SRTBO-113</v>
          </cell>
          <cell r="B254" t="str">
            <v>1880BB-C-15108</v>
          </cell>
          <cell r="D254" t="str">
            <v>1880BB-T-70287_FL_58</v>
          </cell>
          <cell r="F254">
            <v>1</v>
          </cell>
          <cell r="G254">
            <v>61.4</v>
          </cell>
          <cell r="H254">
            <v>6.1399999999999996E-2</v>
          </cell>
          <cell r="I254" t="str">
            <v/>
          </cell>
          <cell r="J254">
            <v>6.1399999999999996E-2</v>
          </cell>
          <cell r="N254" t="str">
            <v/>
          </cell>
          <cell r="O254" t="str">
            <v/>
          </cell>
          <cell r="P254">
            <v>0</v>
          </cell>
        </row>
        <row r="255">
          <cell r="A255" t="str">
            <v>SRTBO-115</v>
          </cell>
          <cell r="B255" t="str">
            <v>1880BB-C-15108</v>
          </cell>
          <cell r="D255" t="str">
            <v>1880BB-T-70287_FL_58</v>
          </cell>
          <cell r="F255">
            <v>1</v>
          </cell>
          <cell r="G255">
            <v>61.4</v>
          </cell>
          <cell r="H255">
            <v>6.1399999999999996E-2</v>
          </cell>
          <cell r="I255" t="str">
            <v/>
          </cell>
          <cell r="J255">
            <v>6.1399999999999996E-2</v>
          </cell>
          <cell r="N255" t="str">
            <v/>
          </cell>
          <cell r="O255" t="str">
            <v/>
          </cell>
          <cell r="P255">
            <v>0</v>
          </cell>
        </row>
        <row r="256">
          <cell r="A256" t="str">
            <v>SRTBO-116</v>
          </cell>
          <cell r="B256" t="str">
            <v>1880BB-C-15108</v>
          </cell>
          <cell r="D256" t="str">
            <v>1880BB-T-70287_FL_58</v>
          </cell>
          <cell r="F256">
            <v>1</v>
          </cell>
          <cell r="G256">
            <v>61.4</v>
          </cell>
          <cell r="H256">
            <v>6.1399999999999996E-2</v>
          </cell>
          <cell r="I256" t="str">
            <v/>
          </cell>
          <cell r="J256">
            <v>6.1399999999999996E-2</v>
          </cell>
          <cell r="N256" t="str">
            <v/>
          </cell>
          <cell r="O256" t="str">
            <v/>
          </cell>
          <cell r="P256">
            <v>0</v>
          </cell>
        </row>
        <row r="257">
          <cell r="A257" t="str">
            <v>SRTBO-62</v>
          </cell>
          <cell r="B257" t="str">
            <v>1880BB-C-15108</v>
          </cell>
          <cell r="D257" t="str">
            <v>1880BB-T-70287_FL_61</v>
          </cell>
          <cell r="F257">
            <v>1</v>
          </cell>
          <cell r="G257">
            <v>55.1</v>
          </cell>
          <cell r="H257">
            <v>5.5100000000000003E-2</v>
          </cell>
          <cell r="I257" t="str">
            <v/>
          </cell>
          <cell r="J257">
            <v>5.5100000000000003E-2</v>
          </cell>
          <cell r="N257" t="str">
            <v/>
          </cell>
          <cell r="O257" t="str">
            <v/>
          </cell>
          <cell r="P257">
            <v>0</v>
          </cell>
        </row>
        <row r="258">
          <cell r="A258" t="str">
            <v>SRTBO-73</v>
          </cell>
          <cell r="B258" t="str">
            <v>1880BB-C-15108</v>
          </cell>
          <cell r="D258" t="str">
            <v>1880BB-T-70287_FL_61</v>
          </cell>
          <cell r="F258">
            <v>1</v>
          </cell>
          <cell r="G258">
            <v>55.1</v>
          </cell>
          <cell r="H258">
            <v>5.5100000000000003E-2</v>
          </cell>
          <cell r="I258" t="str">
            <v/>
          </cell>
          <cell r="J258">
            <v>5.5100000000000003E-2</v>
          </cell>
          <cell r="N258" t="str">
            <v/>
          </cell>
          <cell r="O258" t="str">
            <v/>
          </cell>
          <cell r="P258">
            <v>0</v>
          </cell>
        </row>
        <row r="259">
          <cell r="A259" t="str">
            <v>SRTBO-110</v>
          </cell>
          <cell r="B259" t="str">
            <v>1880BB-C-15108</v>
          </cell>
          <cell r="D259" t="str">
            <v>1880BB-T-70287_FL_61</v>
          </cell>
          <cell r="F259">
            <v>1</v>
          </cell>
          <cell r="G259">
            <v>55.1</v>
          </cell>
          <cell r="H259">
            <v>5.5100000000000003E-2</v>
          </cell>
          <cell r="I259" t="str">
            <v/>
          </cell>
          <cell r="J259">
            <v>5.5100000000000003E-2</v>
          </cell>
          <cell r="N259" t="str">
            <v/>
          </cell>
          <cell r="O259" t="str">
            <v/>
          </cell>
          <cell r="P259">
            <v>0</v>
          </cell>
        </row>
        <row r="260">
          <cell r="A260" t="str">
            <v>SRTBO-120</v>
          </cell>
          <cell r="B260" t="str">
            <v>1880BB-C-15108</v>
          </cell>
          <cell r="D260" t="str">
            <v>1880BB-T-70287_FL_61</v>
          </cell>
          <cell r="F260">
            <v>1</v>
          </cell>
          <cell r="G260">
            <v>55.1</v>
          </cell>
          <cell r="H260">
            <v>5.5100000000000003E-2</v>
          </cell>
          <cell r="I260" t="str">
            <v/>
          </cell>
          <cell r="J260">
            <v>5.5100000000000003E-2</v>
          </cell>
          <cell r="N260" t="str">
            <v/>
          </cell>
          <cell r="O260" t="str">
            <v/>
          </cell>
          <cell r="P260">
            <v>0</v>
          </cell>
        </row>
        <row r="261">
          <cell r="A261" t="str">
            <v>SRTBO-63</v>
          </cell>
          <cell r="B261" t="str">
            <v>1880BB-C-15108</v>
          </cell>
          <cell r="D261" t="str">
            <v>1880BB-T-70287_FL_62</v>
          </cell>
          <cell r="F261">
            <v>1</v>
          </cell>
          <cell r="G261">
            <v>50.7</v>
          </cell>
          <cell r="H261">
            <v>5.0700000000000002E-2</v>
          </cell>
          <cell r="I261" t="str">
            <v/>
          </cell>
          <cell r="J261">
            <v>5.0700000000000002E-2</v>
          </cell>
          <cell r="N261" t="str">
            <v/>
          </cell>
          <cell r="O261" t="str">
            <v/>
          </cell>
          <cell r="P261">
            <v>0</v>
          </cell>
        </row>
        <row r="262">
          <cell r="A262" t="str">
            <v>SRTBO-64</v>
          </cell>
          <cell r="B262" t="str">
            <v>1880BB-C-15108</v>
          </cell>
          <cell r="D262" t="str">
            <v>1880BB-T-70287_FL_62</v>
          </cell>
          <cell r="F262">
            <v>1</v>
          </cell>
          <cell r="G262">
            <v>50.7</v>
          </cell>
          <cell r="H262">
            <v>5.0700000000000002E-2</v>
          </cell>
          <cell r="I262" t="str">
            <v/>
          </cell>
          <cell r="J262">
            <v>5.0700000000000002E-2</v>
          </cell>
          <cell r="N262" t="str">
            <v/>
          </cell>
          <cell r="O262" t="str">
            <v/>
          </cell>
          <cell r="P262">
            <v>0</v>
          </cell>
        </row>
        <row r="263">
          <cell r="A263" t="str">
            <v>SRTBO-74</v>
          </cell>
          <cell r="B263" t="str">
            <v>1880BB-C-15108</v>
          </cell>
          <cell r="D263" t="str">
            <v>1880BB-T-70287_FL_62</v>
          </cell>
          <cell r="F263">
            <v>1</v>
          </cell>
          <cell r="G263">
            <v>50.7</v>
          </cell>
          <cell r="H263">
            <v>5.0700000000000002E-2</v>
          </cell>
          <cell r="I263" t="str">
            <v/>
          </cell>
          <cell r="J263">
            <v>5.0700000000000002E-2</v>
          </cell>
          <cell r="N263" t="str">
            <v/>
          </cell>
          <cell r="O263" t="str">
            <v/>
          </cell>
          <cell r="P263">
            <v>0</v>
          </cell>
        </row>
        <row r="264">
          <cell r="A264" t="str">
            <v>SRTBO-75</v>
          </cell>
          <cell r="B264" t="str">
            <v>1880BB-C-15108</v>
          </cell>
          <cell r="D264" t="str">
            <v>1880BB-T-70287_FL_62</v>
          </cell>
          <cell r="F264">
            <v>1</v>
          </cell>
          <cell r="G264">
            <v>50.7</v>
          </cell>
          <cell r="H264">
            <v>5.0700000000000002E-2</v>
          </cell>
          <cell r="I264" t="str">
            <v/>
          </cell>
          <cell r="J264">
            <v>5.0700000000000002E-2</v>
          </cell>
          <cell r="N264" t="str">
            <v/>
          </cell>
          <cell r="O264" t="str">
            <v/>
          </cell>
          <cell r="P264">
            <v>0</v>
          </cell>
        </row>
        <row r="265">
          <cell r="A265" t="str">
            <v>SRTBO-76</v>
          </cell>
          <cell r="B265" t="str">
            <v>1880BB-C-15108</v>
          </cell>
          <cell r="D265" t="str">
            <v>1880BB-T-70287_FL_62</v>
          </cell>
          <cell r="F265">
            <v>1</v>
          </cell>
          <cell r="G265">
            <v>50.7</v>
          </cell>
          <cell r="H265">
            <v>5.0700000000000002E-2</v>
          </cell>
          <cell r="I265" t="str">
            <v/>
          </cell>
          <cell r="J265">
            <v>5.0700000000000002E-2</v>
          </cell>
          <cell r="N265" t="str">
            <v/>
          </cell>
          <cell r="O265" t="str">
            <v/>
          </cell>
          <cell r="P265">
            <v>0</v>
          </cell>
        </row>
        <row r="266">
          <cell r="A266" t="str">
            <v>SRTBO-83</v>
          </cell>
          <cell r="B266" t="str">
            <v>1880BB-C-15108</v>
          </cell>
          <cell r="D266" t="str">
            <v>1880BB-T-70287_FL_62</v>
          </cell>
          <cell r="F266">
            <v>1</v>
          </cell>
          <cell r="G266">
            <v>50.7</v>
          </cell>
          <cell r="H266">
            <v>5.0700000000000002E-2</v>
          </cell>
          <cell r="I266" t="str">
            <v/>
          </cell>
          <cell r="J266">
            <v>5.0700000000000002E-2</v>
          </cell>
          <cell r="N266" t="str">
            <v/>
          </cell>
          <cell r="O266" t="str">
            <v/>
          </cell>
          <cell r="P266">
            <v>0</v>
          </cell>
        </row>
        <row r="267">
          <cell r="A267" t="str">
            <v>SRTBO-84</v>
          </cell>
          <cell r="B267" t="str">
            <v>1880BB-C-15108</v>
          </cell>
          <cell r="D267" t="str">
            <v>1880BB-T-70287_FL_62</v>
          </cell>
          <cell r="F267">
            <v>1</v>
          </cell>
          <cell r="G267">
            <v>50.7</v>
          </cell>
          <cell r="H267">
            <v>5.0700000000000002E-2</v>
          </cell>
          <cell r="I267" t="str">
            <v/>
          </cell>
          <cell r="J267">
            <v>5.0700000000000002E-2</v>
          </cell>
          <cell r="N267" t="str">
            <v/>
          </cell>
          <cell r="O267" t="str">
            <v/>
          </cell>
          <cell r="P267">
            <v>0</v>
          </cell>
        </row>
        <row r="268">
          <cell r="A268" t="str">
            <v>SRTBO-89</v>
          </cell>
          <cell r="B268" t="str">
            <v>1880BB-C-15108</v>
          </cell>
          <cell r="D268" t="str">
            <v>1880BB-T-70287_FL_62</v>
          </cell>
          <cell r="F268">
            <v>1</v>
          </cell>
          <cell r="G268">
            <v>50.7</v>
          </cell>
          <cell r="H268">
            <v>5.0700000000000002E-2</v>
          </cell>
          <cell r="I268" t="str">
            <v/>
          </cell>
          <cell r="J268">
            <v>5.0700000000000002E-2</v>
          </cell>
          <cell r="N268" t="str">
            <v/>
          </cell>
          <cell r="O268" t="str">
            <v/>
          </cell>
          <cell r="P268">
            <v>0</v>
          </cell>
        </row>
        <row r="269">
          <cell r="A269" t="str">
            <v>SRTBO-90</v>
          </cell>
          <cell r="B269" t="str">
            <v>1880BB-C-15108</v>
          </cell>
          <cell r="D269" t="str">
            <v>1880BB-T-70287_FL_62</v>
          </cell>
          <cell r="F269">
            <v>1</v>
          </cell>
          <cell r="G269">
            <v>50.7</v>
          </cell>
          <cell r="H269">
            <v>5.0700000000000002E-2</v>
          </cell>
          <cell r="I269" t="str">
            <v/>
          </cell>
          <cell r="J269">
            <v>5.0700000000000002E-2</v>
          </cell>
          <cell r="N269" t="str">
            <v/>
          </cell>
          <cell r="O269" t="str">
            <v/>
          </cell>
          <cell r="P269">
            <v>0</v>
          </cell>
        </row>
        <row r="270">
          <cell r="A270" t="str">
            <v>SRTBO-91</v>
          </cell>
          <cell r="B270" t="str">
            <v>1880BB-C-15108</v>
          </cell>
          <cell r="D270" t="str">
            <v>1880BB-T-70287_FL_62</v>
          </cell>
          <cell r="F270">
            <v>1</v>
          </cell>
          <cell r="G270">
            <v>50.7</v>
          </cell>
          <cell r="H270">
            <v>5.0700000000000002E-2</v>
          </cell>
          <cell r="I270" t="str">
            <v/>
          </cell>
          <cell r="J270">
            <v>5.0700000000000002E-2</v>
          </cell>
          <cell r="N270" t="str">
            <v/>
          </cell>
          <cell r="O270" t="str">
            <v/>
          </cell>
          <cell r="P270">
            <v>0</v>
          </cell>
        </row>
        <row r="271">
          <cell r="A271" t="str">
            <v>SRTBO-104</v>
          </cell>
          <cell r="B271" t="str">
            <v>1880BB-C-15108</v>
          </cell>
          <cell r="D271" t="str">
            <v>1880BB-T-70287_FL_62</v>
          </cell>
          <cell r="F271">
            <v>1</v>
          </cell>
          <cell r="G271">
            <v>50.7</v>
          </cell>
          <cell r="H271">
            <v>5.0700000000000002E-2</v>
          </cell>
          <cell r="I271" t="str">
            <v/>
          </cell>
          <cell r="J271">
            <v>5.0700000000000002E-2</v>
          </cell>
          <cell r="N271" t="str">
            <v/>
          </cell>
          <cell r="O271" t="str">
            <v/>
          </cell>
          <cell r="P271">
            <v>0</v>
          </cell>
        </row>
        <row r="272">
          <cell r="A272" t="str">
            <v>SRTBO-105</v>
          </cell>
          <cell r="B272" t="str">
            <v>1880BB-C-15108</v>
          </cell>
          <cell r="D272" t="str">
            <v>1880BB-T-70287_FL_62</v>
          </cell>
          <cell r="F272">
            <v>1</v>
          </cell>
          <cell r="G272">
            <v>50.7</v>
          </cell>
          <cell r="H272">
            <v>5.0700000000000002E-2</v>
          </cell>
          <cell r="I272" t="str">
            <v/>
          </cell>
          <cell r="J272">
            <v>5.0700000000000002E-2</v>
          </cell>
          <cell r="N272" t="str">
            <v/>
          </cell>
          <cell r="O272" t="str">
            <v/>
          </cell>
          <cell r="P272">
            <v>0</v>
          </cell>
        </row>
        <row r="273">
          <cell r="A273" t="str">
            <v>SRTBO-107</v>
          </cell>
          <cell r="B273" t="str">
            <v>1880BB-C-15108</v>
          </cell>
          <cell r="D273" t="str">
            <v>1880BB-T-70287_FL_62</v>
          </cell>
          <cell r="F273">
            <v>1</v>
          </cell>
          <cell r="G273">
            <v>50.7</v>
          </cell>
          <cell r="H273">
            <v>5.0700000000000002E-2</v>
          </cell>
          <cell r="I273" t="str">
            <v/>
          </cell>
          <cell r="J273">
            <v>5.0700000000000002E-2</v>
          </cell>
          <cell r="N273" t="str">
            <v/>
          </cell>
          <cell r="O273" t="str">
            <v/>
          </cell>
          <cell r="P273">
            <v>0</v>
          </cell>
        </row>
        <row r="274">
          <cell r="A274" t="str">
            <v>SRTBO-108</v>
          </cell>
          <cell r="B274" t="str">
            <v>1880BB-C-15108</v>
          </cell>
          <cell r="D274" t="str">
            <v>1880BB-T-70287_FL_62</v>
          </cell>
          <cell r="F274">
            <v>1</v>
          </cell>
          <cell r="G274">
            <v>50.7</v>
          </cell>
          <cell r="H274">
            <v>5.0700000000000002E-2</v>
          </cell>
          <cell r="I274" t="str">
            <v/>
          </cell>
          <cell r="J274">
            <v>5.0700000000000002E-2</v>
          </cell>
          <cell r="N274" t="str">
            <v/>
          </cell>
          <cell r="O274" t="str">
            <v/>
          </cell>
          <cell r="P274">
            <v>0</v>
          </cell>
        </row>
        <row r="275">
          <cell r="A275" t="str">
            <v>SRTBO-109</v>
          </cell>
          <cell r="B275" t="str">
            <v>1880BB-C-15108</v>
          </cell>
          <cell r="D275" t="str">
            <v>1880BB-T-70287_FL_62</v>
          </cell>
          <cell r="F275">
            <v>1</v>
          </cell>
          <cell r="G275">
            <v>50.7</v>
          </cell>
          <cell r="H275">
            <v>5.0700000000000002E-2</v>
          </cell>
          <cell r="I275" t="str">
            <v/>
          </cell>
          <cell r="J275">
            <v>5.0700000000000002E-2</v>
          </cell>
          <cell r="N275" t="str">
            <v/>
          </cell>
          <cell r="O275" t="str">
            <v/>
          </cell>
          <cell r="P275">
            <v>0</v>
          </cell>
        </row>
        <row r="276">
          <cell r="A276" t="str">
            <v>SRTBO-117</v>
          </cell>
          <cell r="B276" t="str">
            <v>1880BB-C-15108</v>
          </cell>
          <cell r="D276" t="str">
            <v>1880BB-T-70287_FL_62</v>
          </cell>
          <cell r="F276">
            <v>1</v>
          </cell>
          <cell r="G276">
            <v>50.7</v>
          </cell>
          <cell r="H276">
            <v>5.0700000000000002E-2</v>
          </cell>
          <cell r="I276" t="str">
            <v/>
          </cell>
          <cell r="J276">
            <v>5.0700000000000002E-2</v>
          </cell>
          <cell r="N276" t="str">
            <v/>
          </cell>
          <cell r="O276" t="str">
            <v/>
          </cell>
          <cell r="P276">
            <v>0</v>
          </cell>
        </row>
        <row r="277">
          <cell r="A277" t="str">
            <v>SRTBO-118</v>
          </cell>
          <cell r="B277" t="str">
            <v>1880BB-C-15108</v>
          </cell>
          <cell r="D277" t="str">
            <v>1880BB-T-70287_FL_62</v>
          </cell>
          <cell r="F277">
            <v>1</v>
          </cell>
          <cell r="G277">
            <v>50.7</v>
          </cell>
          <cell r="H277">
            <v>5.0700000000000002E-2</v>
          </cell>
          <cell r="I277" t="str">
            <v/>
          </cell>
          <cell r="J277">
            <v>5.0700000000000002E-2</v>
          </cell>
          <cell r="N277" t="str">
            <v/>
          </cell>
          <cell r="O277" t="str">
            <v/>
          </cell>
          <cell r="P277">
            <v>0</v>
          </cell>
        </row>
        <row r="278">
          <cell r="A278" t="str">
            <v>SRTBO-119</v>
          </cell>
          <cell r="B278" t="str">
            <v>1880BB-C-15108</v>
          </cell>
          <cell r="D278" t="str">
            <v>1880BB-T-70287_FL_62</v>
          </cell>
          <cell r="F278">
            <v>1</v>
          </cell>
          <cell r="G278">
            <v>50.7</v>
          </cell>
          <cell r="H278">
            <v>5.0700000000000002E-2</v>
          </cell>
          <cell r="I278" t="str">
            <v/>
          </cell>
          <cell r="J278">
            <v>5.0700000000000002E-2</v>
          </cell>
          <cell r="N278" t="str">
            <v/>
          </cell>
          <cell r="O278" t="str">
            <v/>
          </cell>
          <cell r="P278">
            <v>0</v>
          </cell>
        </row>
        <row r="279">
          <cell r="A279" t="str">
            <v>ST-1880BB-70292-004</v>
          </cell>
          <cell r="B279" t="str">
            <v>1880BB-T-70292</v>
          </cell>
          <cell r="D279" t="str">
            <v>1880BB-T-70287_FL_64</v>
          </cell>
          <cell r="F279">
            <v>1</v>
          </cell>
          <cell r="G279">
            <v>218.1</v>
          </cell>
          <cell r="H279">
            <v>0.21809999999999999</v>
          </cell>
          <cell r="I279" t="str">
            <v/>
          </cell>
          <cell r="J279">
            <v>0.21809999999999999</v>
          </cell>
          <cell r="N279" t="str">
            <v/>
          </cell>
          <cell r="O279" t="str">
            <v/>
          </cell>
          <cell r="P279">
            <v>0</v>
          </cell>
        </row>
        <row r="280">
          <cell r="A280" t="str">
            <v>ST-1880BB-70292-007</v>
          </cell>
          <cell r="B280" t="str">
            <v>1880BB-T-70292</v>
          </cell>
          <cell r="D280" t="str">
            <v>1880BB-T-70287_FL_64</v>
          </cell>
          <cell r="F280">
            <v>1</v>
          </cell>
          <cell r="G280">
            <v>218.1</v>
          </cell>
          <cell r="H280">
            <v>0.21809999999999999</v>
          </cell>
          <cell r="I280" t="str">
            <v/>
          </cell>
          <cell r="J280">
            <v>0.21809999999999999</v>
          </cell>
          <cell r="N280" t="str">
            <v/>
          </cell>
          <cell r="O280" t="str">
            <v/>
          </cell>
          <cell r="P280">
            <v>0</v>
          </cell>
        </row>
        <row r="281">
          <cell r="A281" t="str">
            <v>ST-1880BB-70290-010</v>
          </cell>
          <cell r="B281" t="str">
            <v>1880BB-T-70290</v>
          </cell>
          <cell r="D281" t="str">
            <v>1880BB-T-70287_FL_16/17</v>
          </cell>
          <cell r="F281">
            <v>1</v>
          </cell>
          <cell r="G281">
            <v>250.1</v>
          </cell>
          <cell r="H281">
            <v>0.25009999999999999</v>
          </cell>
          <cell r="I281" t="str">
            <v/>
          </cell>
          <cell r="J281">
            <v>0.25009999999999999</v>
          </cell>
          <cell r="N281" t="str">
            <v/>
          </cell>
          <cell r="O281" t="str">
            <v/>
          </cell>
          <cell r="P281">
            <v>0</v>
          </cell>
        </row>
        <row r="282">
          <cell r="A282" t="str">
            <v>SRTBO-98</v>
          </cell>
          <cell r="B282" t="str">
            <v>1880BB-C-15108</v>
          </cell>
          <cell r="D282" t="str">
            <v>1880BB-T-70287_FL_59/60</v>
          </cell>
          <cell r="F282">
            <v>1</v>
          </cell>
          <cell r="G282">
            <v>311.89999999999998</v>
          </cell>
          <cell r="H282">
            <v>0.31189999999999996</v>
          </cell>
          <cell r="I282" t="str">
            <v/>
          </cell>
          <cell r="J282">
            <v>0.31189999999999996</v>
          </cell>
          <cell r="N282" t="str">
            <v/>
          </cell>
          <cell r="O282" t="str">
            <v/>
          </cell>
          <cell r="P282">
            <v>0</v>
          </cell>
        </row>
        <row r="283">
          <cell r="A283" t="str">
            <v>SRTBO-99</v>
          </cell>
          <cell r="B283" t="str">
            <v>1880BB-C-15108</v>
          </cell>
          <cell r="D283" t="str">
            <v>1880BB-T-70287_FL_59/60</v>
          </cell>
          <cell r="F283">
            <v>1</v>
          </cell>
          <cell r="G283">
            <v>311.89999999999998</v>
          </cell>
          <cell r="H283">
            <v>0.31189999999999996</v>
          </cell>
          <cell r="I283" t="str">
            <v/>
          </cell>
          <cell r="J283">
            <v>0.31189999999999996</v>
          </cell>
          <cell r="N283" t="str">
            <v/>
          </cell>
          <cell r="O283" t="str">
            <v/>
          </cell>
          <cell r="P283">
            <v>0</v>
          </cell>
        </row>
        <row r="284">
          <cell r="A284" t="str">
            <v>SRTBO-112</v>
          </cell>
          <cell r="B284" t="str">
            <v>1880BB-C-15108</v>
          </cell>
          <cell r="D284" t="str">
            <v>1880BB-T-70287_FL_59/60</v>
          </cell>
          <cell r="F284">
            <v>1</v>
          </cell>
          <cell r="G284">
            <v>311.89999999999998</v>
          </cell>
          <cell r="H284">
            <v>0.31189999999999996</v>
          </cell>
          <cell r="I284" t="str">
            <v/>
          </cell>
          <cell r="J284">
            <v>0.31189999999999996</v>
          </cell>
          <cell r="N284" t="str">
            <v/>
          </cell>
          <cell r="O284" t="str">
            <v/>
          </cell>
          <cell r="P284">
            <v>0</v>
          </cell>
        </row>
        <row r="285">
          <cell r="A285" t="str">
            <v>ST-1880BB-70310-001</v>
          </cell>
          <cell r="B285" t="str">
            <v>1880BB-T-70310</v>
          </cell>
          <cell r="D285" t="str">
            <v>1880BB-T-70312_FL_05</v>
          </cell>
          <cell r="F285">
            <v>1</v>
          </cell>
          <cell r="G285">
            <v>243.75</v>
          </cell>
          <cell r="H285">
            <v>0.24374999999999999</v>
          </cell>
          <cell r="I285" t="str">
            <v/>
          </cell>
          <cell r="J285">
            <v>0.24374999999999999</v>
          </cell>
          <cell r="N285" t="str">
            <v/>
          </cell>
          <cell r="O285" t="str">
            <v/>
          </cell>
          <cell r="P285">
            <v>0</v>
          </cell>
        </row>
        <row r="286">
          <cell r="A286" t="str">
            <v>ST-1880BB-70310-002</v>
          </cell>
          <cell r="B286" t="str">
            <v>1880BB-T-70310</v>
          </cell>
          <cell r="D286" t="str">
            <v>1880BB-T-70312_FL_06</v>
          </cell>
          <cell r="F286">
            <v>1</v>
          </cell>
          <cell r="G286">
            <v>43.6</v>
          </cell>
          <cell r="H286">
            <v>4.36E-2</v>
          </cell>
          <cell r="I286" t="str">
            <v/>
          </cell>
          <cell r="J286">
            <v>4.36E-2</v>
          </cell>
          <cell r="N286" t="str">
            <v/>
          </cell>
          <cell r="O286" t="str">
            <v/>
          </cell>
          <cell r="P286">
            <v>0</v>
          </cell>
        </row>
        <row r="287">
          <cell r="A287" t="str">
            <v>ST-1880BB-70310-003</v>
          </cell>
          <cell r="B287" t="str">
            <v>1880BB-T-70310</v>
          </cell>
          <cell r="D287" t="str">
            <v>1880BB-T-70312_FL_06</v>
          </cell>
          <cell r="F287">
            <v>1</v>
          </cell>
          <cell r="G287">
            <v>43.6</v>
          </cell>
          <cell r="H287">
            <v>4.36E-2</v>
          </cell>
          <cell r="I287" t="str">
            <v/>
          </cell>
          <cell r="J287">
            <v>4.36E-2</v>
          </cell>
          <cell r="N287" t="str">
            <v/>
          </cell>
          <cell r="O287" t="str">
            <v/>
          </cell>
          <cell r="P287">
            <v>0</v>
          </cell>
        </row>
        <row r="288">
          <cell r="A288" t="str">
            <v>ST-1880BB-70310-004</v>
          </cell>
          <cell r="B288" t="str">
            <v>1880BB-T-70310</v>
          </cell>
          <cell r="D288" t="str">
            <v>1880BB-T-70312_FL_07</v>
          </cell>
          <cell r="F288">
            <v>1</v>
          </cell>
          <cell r="G288">
            <v>30.02</v>
          </cell>
          <cell r="H288">
            <v>3.0019999999999998E-2</v>
          </cell>
          <cell r="I288" t="str">
            <v/>
          </cell>
          <cell r="J288">
            <v>3.0019999999999998E-2</v>
          </cell>
          <cell r="N288" t="str">
            <v/>
          </cell>
          <cell r="O288" t="str">
            <v/>
          </cell>
          <cell r="P288">
            <v>0</v>
          </cell>
        </row>
        <row r="289">
          <cell r="A289" t="str">
            <v>ST-1880BB-70310-005</v>
          </cell>
          <cell r="B289" t="str">
            <v>1880BB-T-70310</v>
          </cell>
          <cell r="D289" t="str">
            <v>1880BB-T-70312_FL_07</v>
          </cell>
          <cell r="F289">
            <v>1</v>
          </cell>
          <cell r="G289">
            <v>30.02</v>
          </cell>
          <cell r="H289">
            <v>3.0019999999999998E-2</v>
          </cell>
          <cell r="I289" t="str">
            <v/>
          </cell>
          <cell r="J289">
            <v>3.0019999999999998E-2</v>
          </cell>
          <cell r="N289" t="str">
            <v/>
          </cell>
          <cell r="O289" t="str">
            <v/>
          </cell>
          <cell r="P289">
            <v>0</v>
          </cell>
        </row>
        <row r="290">
          <cell r="A290" t="str">
            <v>ST-1880BB-70310-006</v>
          </cell>
          <cell r="B290" t="str">
            <v>1880BB-T-70310</v>
          </cell>
          <cell r="D290" t="str">
            <v>1880BB-T-70312_FL_07</v>
          </cell>
          <cell r="F290">
            <v>1</v>
          </cell>
          <cell r="G290">
            <v>30.02</v>
          </cell>
          <cell r="H290">
            <v>3.0019999999999998E-2</v>
          </cell>
          <cell r="I290" t="str">
            <v/>
          </cell>
          <cell r="J290">
            <v>3.0019999999999998E-2</v>
          </cell>
          <cell r="N290" t="str">
            <v/>
          </cell>
          <cell r="O290" t="str">
            <v/>
          </cell>
          <cell r="P290">
            <v>0</v>
          </cell>
        </row>
        <row r="291">
          <cell r="A291" t="str">
            <v>ST-1880BB-70310-007</v>
          </cell>
          <cell r="B291" t="str">
            <v>1880BB-T-70310</v>
          </cell>
          <cell r="D291" t="str">
            <v>1880BB-T-70312_FL_07</v>
          </cell>
          <cell r="F291">
            <v>1</v>
          </cell>
          <cell r="G291">
            <v>30.02</v>
          </cell>
          <cell r="H291">
            <v>3.0019999999999998E-2</v>
          </cell>
          <cell r="I291" t="str">
            <v/>
          </cell>
          <cell r="J291">
            <v>3.0019999999999998E-2</v>
          </cell>
          <cell r="N291" t="str">
            <v/>
          </cell>
          <cell r="O291" t="str">
            <v/>
          </cell>
          <cell r="P291">
            <v>0</v>
          </cell>
        </row>
        <row r="292">
          <cell r="A292" t="str">
            <v>ST-1880BB-70310-008</v>
          </cell>
          <cell r="B292" t="str">
            <v>1880BB-T-70310</v>
          </cell>
          <cell r="D292" t="str">
            <v>1880BB-T-70312_FL_08</v>
          </cell>
          <cell r="F292">
            <v>1</v>
          </cell>
          <cell r="G292">
            <v>31.48</v>
          </cell>
          <cell r="H292">
            <v>3.1480000000000001E-2</v>
          </cell>
          <cell r="I292" t="str">
            <v/>
          </cell>
          <cell r="J292">
            <v>3.1480000000000001E-2</v>
          </cell>
          <cell r="N292" t="str">
            <v/>
          </cell>
          <cell r="O292" t="str">
            <v/>
          </cell>
          <cell r="P292">
            <v>0</v>
          </cell>
        </row>
        <row r="293">
          <cell r="A293" t="str">
            <v>ST-1880BB-70310-009</v>
          </cell>
          <cell r="B293" t="str">
            <v>1880BB-T-70310</v>
          </cell>
          <cell r="D293" t="str">
            <v>1880BB-T-70312_FL_08</v>
          </cell>
          <cell r="F293">
            <v>1</v>
          </cell>
          <cell r="G293">
            <v>31.48</v>
          </cell>
          <cell r="H293">
            <v>3.1480000000000001E-2</v>
          </cell>
          <cell r="I293" t="str">
            <v/>
          </cell>
          <cell r="J293">
            <v>3.1480000000000001E-2</v>
          </cell>
          <cell r="N293" t="str">
            <v/>
          </cell>
          <cell r="O293" t="str">
            <v/>
          </cell>
          <cell r="P293">
            <v>0</v>
          </cell>
        </row>
        <row r="294">
          <cell r="A294" t="str">
            <v>ST-1880BB-70310-010</v>
          </cell>
          <cell r="B294" t="str">
            <v>1880BB-T-70310</v>
          </cell>
          <cell r="D294" t="str">
            <v>1880BB-T-70312_FL_08</v>
          </cell>
          <cell r="F294">
            <v>1</v>
          </cell>
          <cell r="G294">
            <v>31.48</v>
          </cell>
          <cell r="H294">
            <v>3.1480000000000001E-2</v>
          </cell>
          <cell r="I294" t="str">
            <v/>
          </cell>
          <cell r="J294">
            <v>3.1480000000000001E-2</v>
          </cell>
          <cell r="N294" t="str">
            <v/>
          </cell>
          <cell r="O294" t="str">
            <v/>
          </cell>
          <cell r="P294">
            <v>0</v>
          </cell>
        </row>
        <row r="295">
          <cell r="A295" t="str">
            <v>ST-1880BB-70310-011</v>
          </cell>
          <cell r="B295" t="str">
            <v>1880BB-T-70310</v>
          </cell>
          <cell r="D295" t="str">
            <v>1880BB-T-70312_FL_08</v>
          </cell>
          <cell r="F295">
            <v>1</v>
          </cell>
          <cell r="G295">
            <v>31.48</v>
          </cell>
          <cell r="H295">
            <v>3.1480000000000001E-2</v>
          </cell>
          <cell r="I295" t="str">
            <v/>
          </cell>
          <cell r="J295">
            <v>3.1480000000000001E-2</v>
          </cell>
          <cell r="N295" t="str">
            <v/>
          </cell>
          <cell r="O295" t="str">
            <v/>
          </cell>
          <cell r="P295">
            <v>0</v>
          </cell>
        </row>
        <row r="296">
          <cell r="A296" t="str">
            <v>ST-1880BB-70310-012</v>
          </cell>
          <cell r="B296" t="str">
            <v>1880BB-T-70310</v>
          </cell>
          <cell r="D296" t="str">
            <v>1880BB-T-70312_FL_09</v>
          </cell>
          <cell r="F296">
            <v>1</v>
          </cell>
          <cell r="G296">
            <v>52.21</v>
          </cell>
          <cell r="H296">
            <v>5.2209999999999999E-2</v>
          </cell>
          <cell r="I296" t="str">
            <v/>
          </cell>
          <cell r="J296">
            <v>5.2209999999999999E-2</v>
          </cell>
          <cell r="N296" t="str">
            <v/>
          </cell>
          <cell r="O296" t="str">
            <v/>
          </cell>
          <cell r="P296">
            <v>0</v>
          </cell>
        </row>
        <row r="297">
          <cell r="A297" t="str">
            <v>ST-1880BB-70310-013</v>
          </cell>
          <cell r="B297" t="str">
            <v>1880BB-T-70310</v>
          </cell>
          <cell r="D297" t="str">
            <v>1880BB-T-70312_FL_09</v>
          </cell>
          <cell r="F297">
            <v>1</v>
          </cell>
          <cell r="G297">
            <v>52.21</v>
          </cell>
          <cell r="H297">
            <v>5.2209999999999999E-2</v>
          </cell>
          <cell r="I297" t="str">
            <v/>
          </cell>
          <cell r="J297">
            <v>5.2209999999999999E-2</v>
          </cell>
          <cell r="N297" t="str">
            <v/>
          </cell>
          <cell r="O297" t="str">
            <v/>
          </cell>
          <cell r="P297">
            <v>0</v>
          </cell>
        </row>
        <row r="298">
          <cell r="A298" t="str">
            <v>ST-1880BB-70310-014</v>
          </cell>
          <cell r="B298" t="str">
            <v>1880BB-T-70310</v>
          </cell>
          <cell r="D298" t="str">
            <v>1880BB-T-70312_FL_10</v>
          </cell>
          <cell r="F298">
            <v>1</v>
          </cell>
          <cell r="G298">
            <v>442.59</v>
          </cell>
          <cell r="H298">
            <v>0.44258999999999998</v>
          </cell>
          <cell r="I298" t="str">
            <v/>
          </cell>
          <cell r="J298">
            <v>0.44258999999999998</v>
          </cell>
          <cell r="N298" t="str">
            <v/>
          </cell>
          <cell r="O298" t="str">
            <v/>
          </cell>
          <cell r="P298">
            <v>0</v>
          </cell>
        </row>
        <row r="299">
          <cell r="A299" t="str">
            <v>ST-1880BB-70310-015</v>
          </cell>
          <cell r="B299" t="str">
            <v>1880BB-T-70310</v>
          </cell>
          <cell r="D299" t="str">
            <v>1880BB-T-70312_FL_10</v>
          </cell>
          <cell r="F299">
            <v>1</v>
          </cell>
          <cell r="G299">
            <v>442.59</v>
          </cell>
          <cell r="H299">
            <v>0.44258999999999998</v>
          </cell>
          <cell r="I299" t="str">
            <v/>
          </cell>
          <cell r="J299">
            <v>0.44258999999999998</v>
          </cell>
          <cell r="N299" t="str">
            <v/>
          </cell>
          <cell r="O299" t="str">
            <v/>
          </cell>
          <cell r="P299">
            <v>0</v>
          </cell>
        </row>
        <row r="300">
          <cell r="A300" t="str">
            <v>ST-1880BB-70310-016</v>
          </cell>
          <cell r="B300" t="str">
            <v>1880BB-T-70310</v>
          </cell>
          <cell r="D300" t="str">
            <v>1880BB-T-70312_FL_11</v>
          </cell>
          <cell r="F300">
            <v>1</v>
          </cell>
          <cell r="G300">
            <v>38.6</v>
          </cell>
          <cell r="H300">
            <v>3.8600000000000002E-2</v>
          </cell>
          <cell r="I300" t="str">
            <v/>
          </cell>
          <cell r="J300">
            <v>3.8600000000000002E-2</v>
          </cell>
          <cell r="N300" t="str">
            <v/>
          </cell>
          <cell r="O300" t="str">
            <v/>
          </cell>
          <cell r="P300">
            <v>0</v>
          </cell>
        </row>
        <row r="301">
          <cell r="A301" t="str">
            <v>ST-1880BB-70310-017</v>
          </cell>
          <cell r="B301" t="str">
            <v>1880BB-T-70310</v>
          </cell>
          <cell r="D301" t="str">
            <v>1880BB-T-70312_FL_12</v>
          </cell>
          <cell r="F301">
            <v>1</v>
          </cell>
          <cell r="G301">
            <v>52.21</v>
          </cell>
          <cell r="H301">
            <v>5.2209999999999999E-2</v>
          </cell>
          <cell r="I301" t="str">
            <v/>
          </cell>
          <cell r="J301">
            <v>5.2209999999999999E-2</v>
          </cell>
          <cell r="N301" t="str">
            <v/>
          </cell>
          <cell r="O301" t="str">
            <v/>
          </cell>
          <cell r="P301">
            <v>0</v>
          </cell>
        </row>
        <row r="302">
          <cell r="A302" t="str">
            <v>ST-1880BB-70310-018</v>
          </cell>
          <cell r="B302" t="str">
            <v>1880BB-T-70310</v>
          </cell>
          <cell r="D302" t="str">
            <v>1880BB-T-70312_FL_12</v>
          </cell>
          <cell r="F302">
            <v>1</v>
          </cell>
          <cell r="G302">
            <v>52.21</v>
          </cell>
          <cell r="H302">
            <v>5.2209999999999999E-2</v>
          </cell>
          <cell r="I302" t="str">
            <v/>
          </cell>
          <cell r="J302">
            <v>5.2209999999999999E-2</v>
          </cell>
          <cell r="N302" t="str">
            <v/>
          </cell>
          <cell r="O302" t="str">
            <v/>
          </cell>
          <cell r="P302">
            <v>0</v>
          </cell>
        </row>
        <row r="303">
          <cell r="A303" t="str">
            <v>ST-1880BB-70310-019</v>
          </cell>
          <cell r="B303" t="str">
            <v>1880BB-T-70310</v>
          </cell>
          <cell r="D303" t="str">
            <v>1880BB-T-70312_FL_12</v>
          </cell>
          <cell r="F303">
            <v>1</v>
          </cell>
          <cell r="G303">
            <v>52.21</v>
          </cell>
          <cell r="H303">
            <v>5.2209999999999999E-2</v>
          </cell>
          <cell r="I303" t="str">
            <v/>
          </cell>
          <cell r="J303">
            <v>5.2209999999999999E-2</v>
          </cell>
          <cell r="N303" t="str">
            <v/>
          </cell>
          <cell r="O303" t="str">
            <v/>
          </cell>
          <cell r="P303">
            <v>0</v>
          </cell>
        </row>
        <row r="304">
          <cell r="A304" t="str">
            <v>ST-1880BB-70310-020</v>
          </cell>
          <cell r="B304" t="str">
            <v>1880BB-T-70310</v>
          </cell>
          <cell r="D304" t="str">
            <v>1880BB-T-70312_FL_12</v>
          </cell>
          <cell r="F304">
            <v>1</v>
          </cell>
          <cell r="G304">
            <v>52.21</v>
          </cell>
          <cell r="H304">
            <v>5.2209999999999999E-2</v>
          </cell>
          <cell r="I304" t="str">
            <v/>
          </cell>
          <cell r="J304">
            <v>5.2209999999999999E-2</v>
          </cell>
          <cell r="N304" t="str">
            <v/>
          </cell>
          <cell r="O304" t="str">
            <v/>
          </cell>
          <cell r="P304">
            <v>0</v>
          </cell>
        </row>
        <row r="305">
          <cell r="A305" t="str">
            <v>ST-1880BB-70310-021</v>
          </cell>
          <cell r="B305" t="str">
            <v>1880BB-T-70310</v>
          </cell>
          <cell r="D305" t="str">
            <v>1880BB-T-70312_FL_13</v>
          </cell>
          <cell r="F305">
            <v>1</v>
          </cell>
          <cell r="G305">
            <v>442.59</v>
          </cell>
          <cell r="H305">
            <v>0.44258999999999998</v>
          </cell>
          <cell r="I305" t="str">
            <v/>
          </cell>
          <cell r="J305">
            <v>0.44258999999999998</v>
          </cell>
          <cell r="N305" t="str">
            <v/>
          </cell>
          <cell r="O305" t="str">
            <v/>
          </cell>
          <cell r="P305">
            <v>0</v>
          </cell>
        </row>
        <row r="306">
          <cell r="A306" t="str">
            <v>ST-1880BB-70310-022</v>
          </cell>
          <cell r="B306" t="str">
            <v>1880BB-T-70310</v>
          </cell>
          <cell r="D306" t="str">
            <v>1880BB-T-70312_FL_13</v>
          </cell>
          <cell r="F306">
            <v>1</v>
          </cell>
          <cell r="G306">
            <v>442.59</v>
          </cell>
          <cell r="H306">
            <v>0.44258999999999998</v>
          </cell>
          <cell r="I306" t="str">
            <v/>
          </cell>
          <cell r="J306">
            <v>0.44258999999999998</v>
          </cell>
          <cell r="N306" t="str">
            <v/>
          </cell>
          <cell r="O306" t="str">
            <v/>
          </cell>
          <cell r="P306">
            <v>0</v>
          </cell>
        </row>
        <row r="307">
          <cell r="A307" t="str">
            <v>ST-1880BB-70310-023</v>
          </cell>
          <cell r="B307" t="str">
            <v>1880BB-T-70310</v>
          </cell>
          <cell r="D307" t="str">
            <v>1880BB-T-70312_FL_13</v>
          </cell>
          <cell r="F307">
            <v>1</v>
          </cell>
          <cell r="G307">
            <v>442.59</v>
          </cell>
          <cell r="H307">
            <v>0.44258999999999998</v>
          </cell>
          <cell r="I307" t="str">
            <v/>
          </cell>
          <cell r="J307">
            <v>0.44258999999999998</v>
          </cell>
          <cell r="N307" t="str">
            <v/>
          </cell>
          <cell r="O307" t="str">
            <v/>
          </cell>
          <cell r="P307">
            <v>0</v>
          </cell>
        </row>
        <row r="308">
          <cell r="A308" t="str">
            <v>ST-1880BB-70310-024</v>
          </cell>
          <cell r="B308" t="str">
            <v>1880BB-T-70310</v>
          </cell>
          <cell r="D308" t="str">
            <v>1880BB-T-70312_FL_13</v>
          </cell>
          <cell r="F308">
            <v>1</v>
          </cell>
          <cell r="G308">
            <v>442.59</v>
          </cell>
          <cell r="H308">
            <v>0.44258999999999998</v>
          </cell>
          <cell r="I308" t="str">
            <v/>
          </cell>
          <cell r="J308">
            <v>0.44258999999999998</v>
          </cell>
          <cell r="N308" t="str">
            <v/>
          </cell>
          <cell r="O308" t="str">
            <v/>
          </cell>
          <cell r="P308">
            <v>0</v>
          </cell>
        </row>
        <row r="309">
          <cell r="A309" t="str">
            <v>ST-1880BB-70310-026</v>
          </cell>
          <cell r="B309" t="str">
            <v>1880BB-T-70310</v>
          </cell>
          <cell r="D309" t="str">
            <v>1880BB-T-70312_FL_14</v>
          </cell>
          <cell r="F309">
            <v>1</v>
          </cell>
          <cell r="G309">
            <v>1068</v>
          </cell>
          <cell r="H309">
            <v>1.0680000000000001</v>
          </cell>
          <cell r="I309" t="str">
            <v/>
          </cell>
          <cell r="J309">
            <v>1.0680000000000001</v>
          </cell>
          <cell r="N309" t="str">
            <v/>
          </cell>
          <cell r="O309" t="str">
            <v/>
          </cell>
          <cell r="P309">
            <v>0</v>
          </cell>
        </row>
        <row r="310">
          <cell r="A310" t="str">
            <v>ST-1880BB-70310-025</v>
          </cell>
          <cell r="B310" t="str">
            <v>1880BB-T-70310</v>
          </cell>
          <cell r="D310" t="str">
            <v>1880BB-T-70312_FL_15</v>
          </cell>
          <cell r="F310">
            <v>1</v>
          </cell>
          <cell r="G310">
            <v>159.5</v>
          </cell>
          <cell r="H310">
            <v>0.1595</v>
          </cell>
          <cell r="I310" t="str">
            <v/>
          </cell>
          <cell r="J310">
            <v>0.1595</v>
          </cell>
          <cell r="N310" t="str">
            <v/>
          </cell>
          <cell r="O310" t="str">
            <v/>
          </cell>
          <cell r="P310">
            <v>0</v>
          </cell>
        </row>
        <row r="311">
          <cell r="A311" t="str">
            <v>SR70330-01</v>
          </cell>
          <cell r="B311" t="str">
            <v>1880BB-T-70310</v>
          </cell>
          <cell r="D311" t="str">
            <v>1880BB-T-70312_FL_18</v>
          </cell>
          <cell r="F311">
            <v>1</v>
          </cell>
          <cell r="G311">
            <v>148.25</v>
          </cell>
          <cell r="H311">
            <v>0.14824999999999999</v>
          </cell>
          <cell r="I311" t="str">
            <v/>
          </cell>
          <cell r="J311">
            <v>0.14824999999999999</v>
          </cell>
          <cell r="N311" t="str">
            <v/>
          </cell>
          <cell r="O311" t="str">
            <v/>
          </cell>
          <cell r="P311">
            <v>0</v>
          </cell>
        </row>
        <row r="312">
          <cell r="A312" t="str">
            <v>SR70330-02</v>
          </cell>
          <cell r="B312" t="str">
            <v>1880BB-T-70310</v>
          </cell>
          <cell r="D312" t="str">
            <v>1880BB-T-70312_FL_19</v>
          </cell>
          <cell r="F312">
            <v>1</v>
          </cell>
          <cell r="G312">
            <v>283.20999999999998</v>
          </cell>
          <cell r="H312">
            <v>0.28320999999999996</v>
          </cell>
          <cell r="I312" t="str">
            <v/>
          </cell>
          <cell r="J312">
            <v>0.28320999999999996</v>
          </cell>
          <cell r="N312" t="str">
            <v/>
          </cell>
          <cell r="O312" t="str">
            <v/>
          </cell>
          <cell r="P312">
            <v>0</v>
          </cell>
        </row>
        <row r="313">
          <cell r="A313" t="str">
            <v>SR70330-03</v>
          </cell>
          <cell r="B313" t="str">
            <v>1880BB-T-70310</v>
          </cell>
          <cell r="D313" t="str">
            <v>1880BB-T-70312_FL_20</v>
          </cell>
          <cell r="F313">
            <v>1</v>
          </cell>
          <cell r="G313">
            <v>243.05</v>
          </cell>
          <cell r="H313">
            <v>0.24305000000000002</v>
          </cell>
          <cell r="I313" t="str">
            <v/>
          </cell>
          <cell r="J313">
            <v>0.24305000000000002</v>
          </cell>
          <cell r="N313" t="str">
            <v/>
          </cell>
          <cell r="O313" t="str">
            <v/>
          </cell>
          <cell r="P313">
            <v>0</v>
          </cell>
        </row>
        <row r="314">
          <cell r="H314">
            <v>0</v>
          </cell>
          <cell r="I314" t="str">
            <v/>
          </cell>
          <cell r="J314">
            <v>0</v>
          </cell>
          <cell r="N314" t="str">
            <v/>
          </cell>
          <cell r="O314" t="str">
            <v/>
          </cell>
          <cell r="P314">
            <v>0</v>
          </cell>
        </row>
      </sheetData>
    </sheetDataSet>
  </externalBook>
</externalLink>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file:///C:\Users\User\Desktop\Mapa%20de%20Controle_Tubula&#231;&#227;o.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file:///C:\Users\User\Desktop\Mapa%20de%20Controle_Tubula&#231;&#227;o.xlsx" TargetMode="External"/><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4243.396507754631" createdVersion="6" refreshedVersion="6" minRefreshableVersion="3" recordCount="125" xr:uid="{6ECF6D80-AE6A-4755-B26C-45A4E840D711}">
  <cacheSource type="worksheet">
    <worksheetSource ref="B4:S1048576" sheet="MAPA DE THALES"/>
  </cacheSource>
  <cacheFields count="18">
    <cacheField name="COMMODITIE" numFmtId="0">
      <sharedItems containsBlank="1" count="2">
        <m/>
        <s v="PEAD"/>
      </sharedItems>
    </cacheField>
    <cacheField name="DIÂMETRO DO TUBO" numFmtId="0">
      <sharedItems containsString="0" containsBlank="1" containsNumber="1" containsInteger="1" minValue="500" maxValue="500"/>
    </cacheField>
    <cacheField name="PN TUBO" numFmtId="0">
      <sharedItems containsBlank="1"/>
    </cacheField>
    <cacheField name="TRANSPORTADO" numFmtId="0">
      <sharedItems containsBlank="1" count="2">
        <m/>
        <s v="SIM"/>
      </sharedItems>
    </cacheField>
    <cacheField name="COMPRIMENTO" numFmtId="0">
      <sharedItems containsString="0" containsBlank="1" containsNumber="1" containsInteger="1" minValue="6" maxValue="6"/>
    </cacheField>
    <cacheField name="SUB-ÁREA" numFmtId="0">
      <sharedItems containsBlank="1"/>
    </cacheField>
    <cacheField name="SOLDA" numFmtId="0">
      <sharedItems containsBlank="1" count="3">
        <m/>
        <s v="SIM"/>
        <s v="NÃO"/>
      </sharedItems>
    </cacheField>
    <cacheField name="DIA DA SOLDA" numFmtId="0">
      <sharedItems containsNonDate="0" containsDate="1" containsString="0" containsBlank="1" minDate="2021-02-15T00:00:00" maxDate="2021-02-17T00:00:00"/>
    </cacheField>
    <cacheField name="ATERRADO" numFmtId="0">
      <sharedItems containsBlank="1"/>
    </cacheField>
    <cacheField name="DIA DO ATERRO" numFmtId="0">
      <sharedItems containsNonDate="0" containsString="0" containsBlank="1"/>
    </cacheField>
    <cacheField name="LANÇADO " numFmtId="0">
      <sharedItems containsBlank="1"/>
    </cacheField>
    <cacheField name="DATA DE LANÇAMENTO" numFmtId="0">
      <sharedItems containsNonDate="0" containsDate="1" containsString="0" containsBlank="1" minDate="2021-02-15T00:00:00" maxDate="2021-02-17T00:00:00"/>
    </cacheField>
    <cacheField name="POSIÇÃO DO TUBO" numFmtId="0">
      <sharedItems containsString="0" containsBlank="1" containsNumber="1" containsInteger="1" minValue="1" maxValue="5"/>
    </cacheField>
    <cacheField name="PROJETO" numFmtId="49">
      <sharedItems containsNonDate="0" containsString="0" containsBlank="1"/>
    </cacheField>
    <cacheField name="CONDIÇÃO DO TUBO" numFmtId="0">
      <sharedItems containsNonDate="0" containsString="0" containsBlank="1"/>
    </cacheField>
    <cacheField name="Qtd Total" numFmtId="43">
      <sharedItems containsString="0" containsBlank="1" containsNumber="1" containsInteger="1" minValue="6" maxValue="6"/>
    </cacheField>
    <cacheField name="Peso Unit _x000a_(kg)" numFmtId="166">
      <sharedItems containsString="0" containsBlank="1" containsNumber="1" minValue="43.718000000000004" maxValue="43.718000000000004"/>
    </cacheField>
    <cacheField name="Peso Total _x000a_(kg)" numFmtId="43">
      <sharedItems containsString="0" containsBlank="1" containsNumber="1" minValue="262.30799999999999" maxValue="262.3079999999999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4261.336320254632" createdVersion="6" refreshedVersion="6" minRefreshableVersion="3" recordCount="730" xr:uid="{23CF7CEB-4C13-4D88-BE59-A16DFEA6098D}">
  <cacheSource type="worksheet">
    <worksheetSource ref="A4:AP258" sheet="MAPA DE TUBULAÇÃO" r:id="rId2"/>
  </cacheSource>
  <cacheFields count="45">
    <cacheField name="Item PQ" numFmtId="0">
      <sharedItems containsBlank="1" containsMixedTypes="1" containsNumber="1" containsInteger="1" minValue="0" maxValue="0"/>
    </cacheField>
    <cacheField name="CMS" numFmtId="0">
      <sharedItems containsBlank="1"/>
    </cacheField>
    <cacheField name="COMMODITIE" numFmtId="0">
      <sharedItems containsBlank="1"/>
    </cacheField>
    <cacheField name="Item" numFmtId="0">
      <sharedItems containsString="0" containsBlank="1" containsNumber="1" containsInteger="1" minValue="1" maxValue="43"/>
    </cacheField>
    <cacheField name="Spool" numFmtId="0">
      <sharedItems containsBlank="1"/>
    </cacheField>
    <cacheField name="Diâmetro" numFmtId="0">
      <sharedItems containsBlank="1" containsMixedTypes="1" containsNumber="1" containsInteger="1" minValue="4" maxValue="22"/>
    </cacheField>
    <cacheField name="Ajuste" numFmtId="0">
      <sharedItems containsBlank="1"/>
    </cacheField>
    <cacheField name="Sacrifício" numFmtId="0">
      <sharedItems containsBlank="1"/>
    </cacheField>
    <cacheField name="Retrabalho" numFmtId="0">
      <sharedItems containsBlank="1"/>
    </cacheField>
    <cacheField name="Linha de Tubulação" numFmtId="0">
      <sharedItems containsBlank="1"/>
    </cacheField>
    <cacheField name="Start" numFmtId="0">
      <sharedItems containsBlank="1"/>
    </cacheField>
    <cacheField name="Aplicação" numFmtId="0">
      <sharedItems containsBlank="1"/>
    </cacheField>
    <cacheField name="Requisição de Materiais" numFmtId="0">
      <sharedItems containsBlank="1"/>
    </cacheField>
    <cacheField name="Posição" numFmtId="49">
      <sharedItems containsBlank="1"/>
    </cacheField>
    <cacheField name="Diagrama de Arranjo" numFmtId="49">
      <sharedItems containsBlank="1"/>
    </cacheField>
    <cacheField name="Diagrama de Montagem" numFmtId="49">
      <sharedItems containsBlank="1"/>
    </cacheField>
    <cacheField name="Qtd Total" numFmtId="0">
      <sharedItems containsString="0" containsBlank="1" containsNumber="1" containsInteger="1" minValue="1" maxValue="48"/>
    </cacheField>
    <cacheField name="Unid." numFmtId="0">
      <sharedItems containsBlank="1"/>
    </cacheField>
    <cacheField name="Peso Unit / Comprimento" numFmtId="166">
      <sharedItems containsString="0" containsBlank="1" containsNumber="1" minValue="0" maxValue="518.79999999999995"/>
    </cacheField>
    <cacheField name="Peso Total _x000a_(kg / m)" numFmtId="43">
      <sharedItems containsString="0" containsBlank="1" containsNumber="1" minValue="0" maxValue="3537.6000000000004"/>
    </cacheField>
    <cacheField name="R$ Unit." numFmtId="0">
      <sharedItems containsString="0" containsBlank="1" containsNumber="1" minValue="0" maxValue="3789.72"/>
    </cacheField>
    <cacheField name="R$ Total" numFmtId="0">
      <sharedItems containsString="0" containsBlank="1" containsNumber="1" minValue="0" maxValue="117120.36"/>
    </cacheField>
    <cacheField name="Pré-montagem" numFmtId="9">
      <sharedItems containsString="0" containsBlank="1" containsNumber="1" containsInteger="1" minValue="0" maxValue="0"/>
    </cacheField>
    <cacheField name="Montagem e Alinhamento" numFmtId="9">
      <sharedItems containsString="0" containsBlank="1" containsNumber="1" minValue="0.9" maxValue="0.9"/>
    </cacheField>
    <cacheField name="Teste hidrostático" numFmtId="9">
      <sharedItems containsString="0" containsBlank="1" containsNumber="1" minValue="0.1" maxValue="0.1"/>
    </cacheField>
    <cacheField name="Pré-montagem2" numFmtId="9">
      <sharedItems containsNonDate="0" containsString="0" containsBlank="1"/>
    </cacheField>
    <cacheField name="Montagem e Alinhamento2" numFmtId="9">
      <sharedItems containsNonDate="0" containsString="0" containsBlank="1"/>
    </cacheField>
    <cacheField name="Teste hidrostático2" numFmtId="9">
      <sharedItems containsNonDate="0" containsString="0" containsBlank="1"/>
    </cacheField>
    <cacheField name="Qtd _x000a_Físico Acum." numFmtId="164">
      <sharedItems containsString="0" containsBlank="1" containsNumber="1" containsInteger="1" minValue="0" maxValue="0"/>
    </cacheField>
    <cacheField name="Qtd _x000a_Físico Acum. Anterior" numFmtId="164">
      <sharedItems containsString="0" containsBlank="1" containsNumber="1" containsInteger="1" minValue="0" maxValue="0"/>
    </cacheField>
    <cacheField name="Qtd _x000a_Físico Periodo" numFmtId="164">
      <sharedItems containsString="0" containsBlank="1" containsNumber="1" containsInteger="1" minValue="0" maxValue="0"/>
    </cacheField>
    <cacheField name="Qtd _x000a_Saldo" numFmtId="164">
      <sharedItems containsString="0" containsBlank="1" containsNumber="1" minValue="0" maxValue="3537.6000000000004"/>
    </cacheField>
    <cacheField name="." numFmtId="164">
      <sharedItems containsBlank="1"/>
    </cacheField>
    <cacheField name="Pré-montagem3" numFmtId="9">
      <sharedItems containsString="0" containsBlank="1" containsNumber="1" minValue="0" maxValue="0.4"/>
    </cacheField>
    <cacheField name="Montagem e Alinhamento3" numFmtId="9">
      <sharedItems containsString="0" containsBlank="1" containsNumber="1" minValue="0" maxValue="0.5"/>
    </cacheField>
    <cacheField name="Teste hidrostático3" numFmtId="9">
      <sharedItems containsString="0" containsBlank="1" containsNumber="1" minValue="0" maxValue="0.1"/>
    </cacheField>
    <cacheField name="Pré-montagem4" numFmtId="9">
      <sharedItems containsBlank="1"/>
    </cacheField>
    <cacheField name="Montagem e Alinhamento4" numFmtId="9">
      <sharedItems containsBlank="1"/>
    </cacheField>
    <cacheField name="Teste hidrostático4" numFmtId="9">
      <sharedItems containsBlank="1"/>
    </cacheField>
    <cacheField name="Qtd _x000a_Financeiro Acum." numFmtId="165">
      <sharedItems containsString="0" containsBlank="1" containsNumber="1" containsInteger="1" minValue="0" maxValue="0"/>
    </cacheField>
    <cacheField name="Qtd _x000a_Financeiro Acum. Anterior" numFmtId="165">
      <sharedItems containsString="0" containsBlank="1" containsNumber="1" containsInteger="1" minValue="0" maxValue="0"/>
    </cacheField>
    <cacheField name="Qtd _x000a_Financeiro Periodo" numFmtId="165">
      <sharedItems containsString="0" containsBlank="1" containsNumber="1" containsInteger="1" minValue="0" maxValue="0"/>
    </cacheField>
    <cacheField name="Qtd _x000a_Saldo2" numFmtId="165">
      <sharedItems containsString="0" containsBlank="1" containsNumber="1" minValue="0" maxValue="117120.36"/>
    </cacheField>
    <cacheField name=".2" numFmtId="164">
      <sharedItems containsBlank="1"/>
    </cacheField>
    <cacheField name="Relatório CQ" numFmtId="43">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4261.340299421296" createdVersion="6" refreshedVersion="6" minRefreshableVersion="3" recordCount="1597" xr:uid="{436F50AA-DCAB-4E84-AFBF-E973920D31E9}">
  <cacheSource type="worksheet">
    <worksheetSource ref="A4:AP258" sheet="MAPA DE TUBULAÇÃO" r:id="rId2"/>
  </cacheSource>
  <cacheFields count="45">
    <cacheField name="Item PQ" numFmtId="0">
      <sharedItems containsBlank="1" containsMixedTypes="1" containsNumber="1" containsInteger="1" minValue="0" maxValue="0"/>
    </cacheField>
    <cacheField name="CMS" numFmtId="0">
      <sharedItems containsBlank="1"/>
    </cacheField>
    <cacheField name="COMMODITIE" numFmtId="0">
      <sharedItems containsBlank="1" count="3">
        <m/>
        <s v="SUPORTE"/>
        <s v="TUBULAÇÃO"/>
      </sharedItems>
    </cacheField>
    <cacheField name="Item" numFmtId="0">
      <sharedItems containsString="0" containsBlank="1" containsNumber="1" containsInteger="1" minValue="1" maxValue="43"/>
    </cacheField>
    <cacheField name="Spool" numFmtId="0">
      <sharedItems containsBlank="1"/>
    </cacheField>
    <cacheField name="Diâmetro" numFmtId="0">
      <sharedItems containsBlank="1" containsMixedTypes="1" containsNumber="1" containsInteger="1" minValue="4" maxValue="22"/>
    </cacheField>
    <cacheField name="Ajuste" numFmtId="0">
      <sharedItems containsBlank="1" count="3">
        <m/>
        <s v="NÃO"/>
        <s v="SIM"/>
      </sharedItems>
    </cacheField>
    <cacheField name="Sacrifício" numFmtId="0">
      <sharedItems containsBlank="1"/>
    </cacheField>
    <cacheField name="Retrabalho" numFmtId="0">
      <sharedItems containsBlank="1"/>
    </cacheField>
    <cacheField name="Linha de Tubulação" numFmtId="0">
      <sharedItems containsBlank="1" count="95">
        <m/>
        <s v="145A-PG-16¨-L1H-861"/>
        <s v="145A-PG-16¨-L1H-860"/>
        <s v="145A-PG-10¨-L1H-940"/>
        <s v="-"/>
        <s v="10¨-PG-143A-476-X16"/>
        <s v="10¨-PG-143A-477-X16"/>
        <s v="10¨-PG-143A-478-X16"/>
        <s v="10¨-PG-143A-479-X16"/>
        <s v="10¨-PG-143A-480-X16"/>
        <s v="10¨-PG-143A-481-X16"/>
        <s v="10¨-PG-143A-482-X16"/>
        <s v="10¨-PG-143A-483-X16"/>
        <s v="10¨-PG-143A-484-X16"/>
        <s v="145A-PG-22¨-L1H-928"/>
        <s v="145A-PG-14¨-L1H-871"/>
        <s v="145A-PG-14¨-L1H-872"/>
        <s v="145A-PG-14¨-L1H-873"/>
        <s v="145A-PG-14¨-L1H-874"/>
        <s v="145A-PG-14¨-L1H-929"/>
        <s v="145-PP-10¨-L1H-941"/>
        <s v="145A-PG-6¨-L1H-877"/>
        <s v="145A-PG-6¨-L1H-879"/>
        <s v="145A-PG-6¨-L1H-881"/>
        <s v="145A-PG-6¨-L1H-876"/>
        <s v="145A-PG-6¨-L1H-878"/>
        <s v="145A-PG-6¨-L1H-880"/>
        <s v="145A-PG-6¨-L1H-883"/>
        <s v="145A-PG-6¨-L1H-885"/>
        <s v="145A-PG-8¨-L1H-902"/>
        <s v="145A-PG-8¨-L1H-903"/>
        <s v="145A-PG-8¨-L1H-904"/>
        <s v="145A-PG-8¨-L1H-905"/>
        <s v="145A-PG-8¨-L1H-906"/>
        <s v="145A-PG-8¨-L1H-907"/>
        <s v="145A-PG-8¨-L1H-908"/>
        <s v="145A-PG-8¨-L1H-909"/>
        <s v="145A-PG-8¨-L1H-910"/>
        <s v="145A-PG-8¨-L1H-911"/>
        <s v="145A-PG-8¨-L1H-912"/>
        <s v="145A-PG-8¨-L1H-913"/>
        <s v="145A-PG-8¨-L1H-914"/>
        <s v="145A-PG-8¨-L1H-915"/>
        <s v="145A-PG-8¨-L1H-916"/>
        <s v="145A-PG-8¨-L1H-917"/>
        <s v="145A-PG-8¨-L1H-918"/>
        <s v="145A-PG-8¨-L1H-919"/>
        <s v="145A-PG-8¨-L1H-930"/>
        <s v="145A-PG-8¨-L1H-921"/>
        <s v="145A-PG-8¨-L1H-922"/>
        <s v="145A-PG-8¨-L1H-923"/>
        <s v="145A-PG-8¨-L1H-924"/>
        <s v="145A-PG-8¨-L1H-925"/>
        <s v="145A-PG-12¨-L1H-927"/>
        <s v="145A-PG-12¨-L1H-926"/>
        <s v="145A-PP-10¨-L1H-942"/>
        <s v="145A-PG-6¨-L1H-887"/>
        <s v="145A-PG-6¨-L1H-882"/>
        <s v="145A-PG-6¨-L1H-884"/>
        <s v="145A-PG-6¨-L1H-889"/>
        <s v="145A-PG-6¨-L1H-891"/>
        <s v="145A-PG-6¨-L1H-893"/>
        <s v="145A-PG-6¨-L1H-888"/>
        <s v="145A-PG-6¨-L1H-890"/>
        <s v="145A-PG-6¨-L1H-892"/>
        <s v="145A-PG-6¨-L1H-895"/>
        <s v="145A-PG-6¨-L1H-897"/>
        <s v="145A-PG-6¨-L1H-899"/>
        <s v="145A-PG-6¨-L1H-894"/>
        <s v="145A-PG-6¨-L1H-896"/>
        <s v="145A-PG-6¨-L1H-898"/>
        <s v="145A-PG-10¨-L1H-866"/>
        <s v="145A-PG-10¨-L1H-867"/>
        <s v="145A-PG-10¨-L1H-868"/>
        <s v="145A-PG-10¨-L1H-869"/>
        <s v="145A-PG-10¨-L1H-870"/>
        <s v="145A-PG-8¨-L1H-900"/>
        <s v="145A-PG-8¨-L1H-901"/>
        <s v="10¨-PG-143A-008-X16"/>
        <s v="10¨-PG-143A-009-X16"/>
        <s v="10¨-PG-143A-010-X16"/>
        <s v="10¨-PG-143A-011-X16"/>
        <s v="10¨-PG-143A-012-X16"/>
        <s v="10¨-PG-143A-094-X16"/>
        <s v="10¨-PG-143A-095-X16"/>
        <s v="10¨-PG-143A-096-X16"/>
        <s v="10¨-PG-143A-097-X16"/>
        <s v="10¨-PG-143A-700-X16"/>
        <s v="10¨-PG-143A-701-X16"/>
        <s v="10¨-PG-143A-702-X16"/>
        <s v="BY PASS PN-9716-9717"/>
        <s v="145A-PP-10¨-L1H-942/944"/>
        <s v="145A-PP-10¨-L1H-943"/>
        <s v="145A-PP-10¨-L1H-943/945"/>
        <s v="145A-PG-14&quot;-L1H-875"/>
      </sharedItems>
    </cacheField>
    <cacheField name="Start" numFmtId="0">
      <sharedItems containsBlank="1" count="4">
        <m/>
        <s v="START UP I"/>
        <s v="START UP II"/>
        <s v="START UP III"/>
      </sharedItems>
    </cacheField>
    <cacheField name="Aplicação" numFmtId="0">
      <sharedItems containsBlank="1"/>
    </cacheField>
    <cacheField name="Requisição de Materiais" numFmtId="0">
      <sharedItems containsBlank="1"/>
    </cacheField>
    <cacheField name="Posição" numFmtId="49">
      <sharedItems containsBlank="1"/>
    </cacheField>
    <cacheField name="Diagrama de Arranjo" numFmtId="49">
      <sharedItems containsBlank="1"/>
    </cacheField>
    <cacheField name="Diagrama de Montagem" numFmtId="49">
      <sharedItems containsBlank="1"/>
    </cacheField>
    <cacheField name="Qtd Total" numFmtId="0">
      <sharedItems containsString="0" containsBlank="1" containsNumber="1" containsInteger="1" minValue="1" maxValue="48"/>
    </cacheField>
    <cacheField name="Unid." numFmtId="0">
      <sharedItems containsBlank="1"/>
    </cacheField>
    <cacheField name="Peso Unit / Comprimento" numFmtId="166">
      <sharedItems containsString="0" containsBlank="1" containsNumber="1" minValue="0" maxValue="518.79999999999995"/>
    </cacheField>
    <cacheField name="Peso Total _x000a_(kg / m)" numFmtId="43">
      <sharedItems containsString="0" containsBlank="1" containsNumber="1" minValue="0" maxValue="3537.6000000000004"/>
    </cacheField>
    <cacheField name="R$ Unit." numFmtId="0">
      <sharedItems containsString="0" containsBlank="1" containsNumber="1" minValue="0" maxValue="3789.72"/>
    </cacheField>
    <cacheField name="R$ Total" numFmtId="0">
      <sharedItems containsString="0" containsBlank="1" containsNumber="1" minValue="0" maxValue="117120.36"/>
    </cacheField>
    <cacheField name="Pré-montagem" numFmtId="9">
      <sharedItems containsString="0" containsBlank="1" containsNumber="1" containsInteger="1" minValue="0" maxValue="0"/>
    </cacheField>
    <cacheField name="Montagem e Alinhamento" numFmtId="9">
      <sharedItems containsString="0" containsBlank="1" containsNumber="1" minValue="0.9" maxValue="0.9"/>
    </cacheField>
    <cacheField name="Teste hidrostático" numFmtId="9">
      <sharedItems containsString="0" containsBlank="1" containsNumber="1" minValue="0.1" maxValue="0.1"/>
    </cacheField>
    <cacheField name="Pré-montagem2" numFmtId="9">
      <sharedItems containsString="0" containsBlank="1" containsNumber="1" containsInteger="1" minValue="1" maxValue="1"/>
    </cacheField>
    <cacheField name="Montagem e Alinhamento2" numFmtId="9">
      <sharedItems containsString="0" containsBlank="1" containsNumber="1" containsInteger="1" minValue="1" maxValue="1"/>
    </cacheField>
    <cacheField name="Teste hidrostático2" numFmtId="9">
      <sharedItems containsString="0" containsBlank="1" containsNumber="1" containsInteger="1" minValue="1" maxValue="1" count="2">
        <m/>
        <n v="1"/>
      </sharedItems>
    </cacheField>
    <cacheField name="Qtd _x000a_Físico Acum." numFmtId="164">
      <sharedItems containsString="0" containsBlank="1" containsNumber="1" minValue="0" maxValue="42"/>
    </cacheField>
    <cacheField name="Qtd _x000a_Físico Acum. Anterior" numFmtId="164">
      <sharedItems containsString="0" containsBlank="1" containsNumber="1" containsInteger="1" minValue="0" maxValue="0"/>
    </cacheField>
    <cacheField name="Qtd _x000a_Físico Periodo" numFmtId="164">
      <sharedItems containsString="0" containsBlank="1" containsNumber="1" minValue="0" maxValue="42"/>
    </cacheField>
    <cacheField name="Qtd _x000a_Saldo" numFmtId="164">
      <sharedItems containsString="0" containsBlank="1" containsNumber="1" minValue="0" maxValue="3537.6000000000004"/>
    </cacheField>
    <cacheField name="." numFmtId="164">
      <sharedItems containsBlank="1"/>
    </cacheField>
    <cacheField name="Pré-montagem3" numFmtId="9">
      <sharedItems containsString="0" containsBlank="1" containsNumber="1" minValue="0" maxValue="0.4"/>
    </cacheField>
    <cacheField name="Montagem e Alinhamento3" numFmtId="9">
      <sharedItems containsString="0" containsBlank="1" containsNumber="1" minValue="0" maxValue="0.5"/>
    </cacheField>
    <cacheField name="Teste hidrostático3" numFmtId="9">
      <sharedItems containsString="0" containsBlank="1" containsNumber="1" minValue="0" maxValue="0.1"/>
    </cacheField>
    <cacheField name="Pré-montagem4" numFmtId="9">
      <sharedItems containsBlank="1" containsMixedTypes="1" containsNumber="1" containsInteger="1" minValue="1" maxValue="1"/>
    </cacheField>
    <cacheField name="Montagem e Alinhamento4" numFmtId="9">
      <sharedItems containsBlank="1" containsMixedTypes="1" containsNumber="1" containsInteger="1" minValue="1" maxValue="1"/>
    </cacheField>
    <cacheField name="Teste hidrostático4" numFmtId="9">
      <sharedItems containsBlank="1" containsMixedTypes="1" containsNumber="1" containsInteger="1" minValue="1" maxValue="1"/>
    </cacheField>
    <cacheField name="Qtd _x000a_Financeiro Acum." numFmtId="165">
      <sharedItems containsString="0" containsBlank="1" containsNumber="1" minValue="0" maxValue="117120.36"/>
    </cacheField>
    <cacheField name="Qtd _x000a_Financeiro Acum. Anterior" numFmtId="165">
      <sharedItems containsString="0" containsBlank="1" containsNumber="1" containsInteger="1" minValue="0" maxValue="0"/>
    </cacheField>
    <cacheField name="Qtd _x000a_Financeiro Periodo" numFmtId="165">
      <sharedItems containsString="0" containsBlank="1" containsNumber="1" minValue="0" maxValue="117120.36"/>
    </cacheField>
    <cacheField name="Qtd _x000a_Saldo2" numFmtId="165">
      <sharedItems containsString="0" containsBlank="1" containsNumber="1" minValue="0" maxValue="81762"/>
    </cacheField>
    <cacheField name=".2" numFmtId="164">
      <sharedItems containsBlank="1"/>
    </cacheField>
    <cacheField name="Relatório CQ" numFmtId="43">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5">
  <r>
    <x v="0"/>
    <m/>
    <m/>
    <x v="0"/>
    <m/>
    <m/>
    <x v="0"/>
    <m/>
    <m/>
    <m/>
    <m/>
    <m/>
    <m/>
    <m/>
    <m/>
    <m/>
    <m/>
    <m/>
  </r>
  <r>
    <x v="1"/>
    <n v="500"/>
    <s v="PN 10"/>
    <x v="1"/>
    <n v="6"/>
    <s v="TRECHO 05"/>
    <x v="1"/>
    <d v="2021-02-15T00:00:00"/>
    <s v="NÃO"/>
    <m/>
    <s v="SIM"/>
    <d v="2021-02-15T00:00:00"/>
    <n v="1"/>
    <m/>
    <m/>
    <n v="6"/>
    <n v="43.718000000000004"/>
    <n v="262.30799999999999"/>
  </r>
  <r>
    <x v="1"/>
    <n v="500"/>
    <s v="PN 10"/>
    <x v="1"/>
    <n v="6"/>
    <s v="TRECHO 05"/>
    <x v="1"/>
    <d v="2021-02-15T00:00:00"/>
    <s v="NÃO"/>
    <m/>
    <s v="SIM"/>
    <d v="2021-02-15T00:00:00"/>
    <n v="2"/>
    <m/>
    <m/>
    <n v="6"/>
    <n v="43.718000000000004"/>
    <n v="262.30799999999999"/>
  </r>
  <r>
    <x v="1"/>
    <n v="500"/>
    <s v="PN 10"/>
    <x v="1"/>
    <n v="6"/>
    <s v="TRECHO 05"/>
    <x v="1"/>
    <d v="2021-02-15T00:00:00"/>
    <s v="NÃO"/>
    <m/>
    <s v="SIM"/>
    <d v="2021-02-15T00:00:00"/>
    <n v="3"/>
    <m/>
    <m/>
    <n v="6"/>
    <n v="43.718000000000004"/>
    <n v="262.30799999999999"/>
  </r>
  <r>
    <x v="1"/>
    <n v="500"/>
    <s v="PN 10"/>
    <x v="1"/>
    <n v="6"/>
    <s v="TRECHO 05"/>
    <x v="2"/>
    <d v="2021-02-16T00:00:00"/>
    <s v="NÃO"/>
    <m/>
    <s v="NÃO"/>
    <d v="2021-02-16T00:00:00"/>
    <n v="4"/>
    <m/>
    <m/>
    <n v="6"/>
    <n v="43.718000000000004"/>
    <n v="262.30799999999999"/>
  </r>
  <r>
    <x v="1"/>
    <n v="500"/>
    <s v="PN 10"/>
    <x v="1"/>
    <n v="6"/>
    <s v="TRECHO 05"/>
    <x v="2"/>
    <d v="2021-02-16T00:00:00"/>
    <s v="NÃO"/>
    <m/>
    <s v="NÃO"/>
    <d v="2021-02-16T00:00:00"/>
    <n v="5"/>
    <m/>
    <m/>
    <n v="6"/>
    <n v="43.718000000000004"/>
    <n v="262.30799999999999"/>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r>
    <x v="0"/>
    <m/>
    <m/>
    <x v="0"/>
    <m/>
    <m/>
    <x v="0"/>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30">
  <r>
    <m/>
    <m/>
    <m/>
    <m/>
    <m/>
    <m/>
    <m/>
    <m/>
    <m/>
    <m/>
    <m/>
    <m/>
    <m/>
    <m/>
    <m/>
    <m/>
    <m/>
    <m/>
    <m/>
    <m/>
    <m/>
    <m/>
    <m/>
    <m/>
    <m/>
    <m/>
    <m/>
    <m/>
    <m/>
    <m/>
    <m/>
    <m/>
    <m/>
    <m/>
    <m/>
    <m/>
    <m/>
    <m/>
    <m/>
    <m/>
    <m/>
    <m/>
    <m/>
    <m/>
    <m/>
  </r>
  <r>
    <n v="0"/>
    <s v="CMS S.60.10.000"/>
    <s v="SUPORTE"/>
    <m/>
    <m/>
    <m/>
    <m/>
    <m/>
    <m/>
    <m/>
    <m/>
    <s v="LINHA DO CIRCUITO ARENOSO LINHA DE ALIMENTAÇÃO DOS DISTRIBUIDORES DI-145A-9912/9913/9914/9915/9916"/>
    <s v="SC-006"/>
    <s v="SP 8440 A"/>
    <s v="1450AA-L-70109"/>
    <s v="1450AA-S-58040"/>
    <n v="1"/>
    <s v="PÇ"/>
    <n v="76.3"/>
    <n v="76.3"/>
    <n v="0"/>
    <n v="0"/>
    <n v="0"/>
    <n v="0.9"/>
    <n v="0.1"/>
    <m/>
    <m/>
    <m/>
    <n v="0"/>
    <m/>
    <n v="0"/>
    <n v="76.3"/>
    <m/>
    <n v="0"/>
    <n v="0"/>
    <n v="0"/>
    <m/>
    <m/>
    <m/>
    <n v="0"/>
    <n v="0"/>
    <n v="0"/>
    <n v="0"/>
    <m/>
    <m/>
  </r>
  <r>
    <n v="0"/>
    <s v="CMS S.60.10.000"/>
    <s v="SUPORTE"/>
    <m/>
    <m/>
    <m/>
    <m/>
    <m/>
    <m/>
    <m/>
    <m/>
    <s v="LINHA DO CIRCUITO ARENOSO LINHA DE ALIMENTAÇÃO DOS DISTRIBUIDORES DI-145A-9912/9913/9914/9915/9916"/>
    <s v="SC-006"/>
    <s v="SP 8440 B"/>
    <s v="1450AA-L-70109"/>
    <s v="1450AA-S-58040"/>
    <n v="1"/>
    <s v="PÇ"/>
    <n v="86.2"/>
    <n v="86.2"/>
    <n v="0"/>
    <n v="0"/>
    <n v="0"/>
    <n v="0.9"/>
    <n v="0.1"/>
    <m/>
    <m/>
    <m/>
    <n v="0"/>
    <m/>
    <n v="0"/>
    <n v="86.2"/>
    <m/>
    <n v="0"/>
    <n v="0"/>
    <n v="0"/>
    <m/>
    <m/>
    <m/>
    <n v="0"/>
    <n v="0"/>
    <n v="0"/>
    <n v="0"/>
    <m/>
    <m/>
  </r>
  <r>
    <n v="0"/>
    <s v="CMS S.60.10.000"/>
    <s v="SUPORTE"/>
    <m/>
    <m/>
    <m/>
    <m/>
    <m/>
    <m/>
    <m/>
    <m/>
    <s v="LINHA DO CIRCUITO ARENOSO LINHA DE ALIMENTAÇÃO DOS DISTRIBUIDORES DI-145A-9912/9913/9914/9915/9916"/>
    <s v="SC-006"/>
    <s v="SP 8440 C"/>
    <s v="1450AA-L-70109"/>
    <s v="1450AA-S-58040"/>
    <n v="1"/>
    <s v="PÇ"/>
    <n v="88.2"/>
    <n v="88.2"/>
    <n v="0"/>
    <n v="0"/>
    <n v="0"/>
    <n v="0.9"/>
    <n v="0.1"/>
    <m/>
    <m/>
    <m/>
    <n v="0"/>
    <m/>
    <n v="0"/>
    <n v="88.2"/>
    <m/>
    <n v="0"/>
    <n v="0"/>
    <n v="0"/>
    <m/>
    <m/>
    <m/>
    <n v="0"/>
    <n v="0"/>
    <n v="0"/>
    <n v="0"/>
    <m/>
    <m/>
  </r>
  <r>
    <n v="0"/>
    <s v="CMS S.60.10.000"/>
    <s v="SUPORTE"/>
    <m/>
    <m/>
    <m/>
    <m/>
    <m/>
    <m/>
    <m/>
    <m/>
    <s v="LINHA DO CIRCUITO ARENOSO LINHA DE ALIMENTAÇÃO DOS DISTRIBUIDORES DI-145A-9912/9913/9914/9915/9916"/>
    <s v="SC-006"/>
    <s v="SP 8440 D"/>
    <s v="1450AA-L-70109"/>
    <s v="1450AA-S-58040"/>
    <n v="1"/>
    <s v="PÇ"/>
    <n v="88.2"/>
    <n v="88.2"/>
    <n v="0"/>
    <n v="0"/>
    <n v="0"/>
    <n v="0.9"/>
    <n v="0.1"/>
    <m/>
    <m/>
    <m/>
    <n v="0"/>
    <m/>
    <n v="0"/>
    <n v="88.2"/>
    <m/>
    <n v="0"/>
    <n v="0"/>
    <n v="0"/>
    <m/>
    <m/>
    <m/>
    <n v="0"/>
    <n v="0"/>
    <n v="0"/>
    <n v="0"/>
    <m/>
    <m/>
  </r>
  <r>
    <n v="0"/>
    <s v="CMS S.60.10.000"/>
    <s v="SUPORTE"/>
    <m/>
    <m/>
    <m/>
    <m/>
    <m/>
    <m/>
    <m/>
    <m/>
    <s v="LINHA DO CIRCUITO ARENOSO LINHA DE ALIMENTAÇÃO DOS DISTRIBUIDORES DI-145A-9912/9913/9914/9915/9916"/>
    <s v="SC-006"/>
    <s v="SP 8440 E"/>
    <s v="1450AA-L-70109"/>
    <s v="1450AA-S-58040"/>
    <n v="1"/>
    <s v="PÇ"/>
    <n v="122.1"/>
    <n v="122.1"/>
    <n v="0"/>
    <n v="0"/>
    <n v="0"/>
    <n v="0.9"/>
    <n v="0.1"/>
    <m/>
    <m/>
    <m/>
    <n v="0"/>
    <m/>
    <n v="0"/>
    <n v="122.1"/>
    <m/>
    <n v="0"/>
    <n v="0"/>
    <n v="0"/>
    <m/>
    <m/>
    <m/>
    <n v="0"/>
    <n v="0"/>
    <n v="0"/>
    <n v="0"/>
    <m/>
    <m/>
  </r>
  <r>
    <n v="0"/>
    <s v="CMS S.60.10.000"/>
    <s v="SUPORTE"/>
    <m/>
    <m/>
    <m/>
    <m/>
    <m/>
    <m/>
    <m/>
    <m/>
    <s v="LINHA DO CIRCUITO ARENOSO LINHA DE ALIMENTAÇÃO DOS DISTRIBUIDORES DI-145A-9912/9913/9914/9915/9916"/>
    <s v="SC-006"/>
    <s v="SP 8440 F"/>
    <s v="1450AA-L-70109"/>
    <s v="1450AA-S-58040"/>
    <n v="5"/>
    <s v="PÇ"/>
    <n v="79.400000000000006"/>
    <n v="397"/>
    <n v="0"/>
    <n v="0"/>
    <n v="0"/>
    <n v="0.9"/>
    <n v="0.1"/>
    <m/>
    <m/>
    <m/>
    <n v="0"/>
    <m/>
    <n v="0"/>
    <n v="397"/>
    <m/>
    <n v="0"/>
    <n v="0"/>
    <n v="0"/>
    <m/>
    <m/>
    <m/>
    <n v="0"/>
    <n v="0"/>
    <n v="0"/>
    <n v="0"/>
    <m/>
    <m/>
  </r>
  <r>
    <n v="0"/>
    <s v="CMS S.60.10.000"/>
    <s v="SUPORTE"/>
    <m/>
    <m/>
    <m/>
    <m/>
    <m/>
    <m/>
    <m/>
    <m/>
    <s v="LINHA DO CIRCUITO ARENOSO LINHA DE ALIMENTAÇÃO DOS DISTRIBUIDORES DI-145A-9912/9913/9914/9915/9916"/>
    <s v="SC-006"/>
    <s v="SP 8440 G"/>
    <s v="1450AA-L-70109"/>
    <s v="1450AA-S-58040"/>
    <n v="4"/>
    <s v="PÇ"/>
    <n v="82.7"/>
    <n v="330.8"/>
    <n v="0"/>
    <n v="0"/>
    <n v="0"/>
    <n v="0.9"/>
    <n v="0.1"/>
    <m/>
    <m/>
    <m/>
    <n v="0"/>
    <m/>
    <n v="0"/>
    <n v="330.8"/>
    <m/>
    <n v="0"/>
    <n v="0"/>
    <n v="0"/>
    <m/>
    <m/>
    <m/>
    <n v="0"/>
    <n v="0"/>
    <n v="0"/>
    <n v="0"/>
    <m/>
    <m/>
  </r>
  <r>
    <n v="0"/>
    <s v="CMS S.60.10.000"/>
    <s v="SUPORTE"/>
    <m/>
    <m/>
    <m/>
    <m/>
    <m/>
    <m/>
    <m/>
    <m/>
    <s v="LINHA DO CIRCUITO ARENOSO LINHA DE ALIMENTAÇÃO DOS DISTRIBUIDORES DI-145A-9912/9913/9914/9915/9916"/>
    <s v="SC-006"/>
    <s v="SP 8440 H"/>
    <s v="1450AA-L-70109"/>
    <s v="1450AA-S-58040"/>
    <n v="2"/>
    <s v="PÇ"/>
    <n v="61.9"/>
    <n v="123.8"/>
    <n v="0"/>
    <n v="0"/>
    <n v="0"/>
    <n v="0.9"/>
    <n v="0.1"/>
    <m/>
    <m/>
    <m/>
    <n v="0"/>
    <m/>
    <n v="0"/>
    <n v="123.8"/>
    <m/>
    <n v="0"/>
    <n v="0"/>
    <n v="0"/>
    <m/>
    <m/>
    <m/>
    <n v="0"/>
    <n v="0"/>
    <n v="0"/>
    <n v="0"/>
    <m/>
    <m/>
  </r>
  <r>
    <n v="0"/>
    <s v="CMS S.60.10.000"/>
    <s v="SUPORTE"/>
    <m/>
    <m/>
    <m/>
    <m/>
    <m/>
    <m/>
    <m/>
    <m/>
    <s v="LINHA DO CIRCUITO ARENOSO LINHA DE ALIMENTAÇÃO DOS DISTRIBUIDORES DI-145A-9912/9913/9914/9915/9916"/>
    <s v="SC-006"/>
    <s v="SP 8440 K"/>
    <s v="1450AA-L-70109"/>
    <s v="1450AA-S-58040"/>
    <n v="1"/>
    <s v="PÇ"/>
    <n v="96"/>
    <n v="96"/>
    <n v="0"/>
    <n v="0"/>
    <n v="0"/>
    <n v="0.9"/>
    <n v="0.1"/>
    <m/>
    <m/>
    <m/>
    <n v="0"/>
    <m/>
    <n v="0"/>
    <n v="96"/>
    <m/>
    <n v="0"/>
    <n v="0"/>
    <n v="0"/>
    <m/>
    <m/>
    <m/>
    <n v="0"/>
    <n v="0"/>
    <n v="0"/>
    <n v="0"/>
    <m/>
    <m/>
  </r>
  <r>
    <n v="0"/>
    <s v="CMS S.60.10.000"/>
    <s v="SUPORTE"/>
    <m/>
    <m/>
    <m/>
    <m/>
    <m/>
    <m/>
    <m/>
    <m/>
    <s v="LINHA DO CIRCUITO ARENOSO LINHA DE ALIMENTAÇÃO DO DISTRIBUIDOR DI-145A-9911"/>
    <s v="SC-006"/>
    <s v="SP 8036 A"/>
    <s v="1450AA-L-70107"/>
    <s v="1450AA-S-58036"/>
    <n v="1"/>
    <s v="PÇ"/>
    <n v="47.5"/>
    <n v="47.5"/>
    <n v="0"/>
    <n v="0"/>
    <n v="0"/>
    <n v="0.9"/>
    <n v="0.1"/>
    <m/>
    <m/>
    <m/>
    <n v="0"/>
    <m/>
    <n v="0"/>
    <n v="47.5"/>
    <m/>
    <n v="0"/>
    <n v="0"/>
    <n v="0"/>
    <m/>
    <m/>
    <m/>
    <n v="0"/>
    <n v="0"/>
    <n v="0"/>
    <n v="0"/>
    <m/>
    <m/>
  </r>
  <r>
    <n v="0"/>
    <s v="CMS S.60.10.000"/>
    <s v="SUPORTE"/>
    <m/>
    <m/>
    <m/>
    <m/>
    <m/>
    <m/>
    <m/>
    <m/>
    <s v="LINHA DO CIRCUITO ARENOSO LINHA DE ALIMENTAÇÃO DO DISTRIBUIDOR DI-145A-9911"/>
    <s v="SC-006"/>
    <s v="SP 8036 B"/>
    <s v="1450AA-L-70107"/>
    <s v="1450AA-S-58036"/>
    <n v="1"/>
    <s v="PÇ"/>
    <n v="46.3"/>
    <n v="46.3"/>
    <n v="0"/>
    <n v="0"/>
    <n v="0"/>
    <n v="0.9"/>
    <n v="0.1"/>
    <m/>
    <m/>
    <m/>
    <n v="0"/>
    <m/>
    <n v="0"/>
    <n v="46.3"/>
    <m/>
    <n v="0"/>
    <n v="0"/>
    <n v="0"/>
    <m/>
    <m/>
    <m/>
    <n v="0"/>
    <n v="0"/>
    <n v="0"/>
    <n v="0"/>
    <m/>
    <m/>
  </r>
  <r>
    <n v="0"/>
    <s v="CMS S.60.10.000"/>
    <s v="SUPORTE"/>
    <m/>
    <m/>
    <m/>
    <m/>
    <m/>
    <m/>
    <m/>
    <m/>
    <s v="LINHA DO CIRCUITO ARENOSO LINHA DE ALIMENTAÇÃO DO DISTRIBUIDOR DI-145A-9911"/>
    <s v="SC-006"/>
    <s v="SP 8036 C"/>
    <s v="1450AA-L-70107"/>
    <s v="1450AA-S-58036"/>
    <n v="2"/>
    <s v="PÇ"/>
    <n v="27.6"/>
    <n v="55.2"/>
    <n v="0"/>
    <n v="0"/>
    <n v="0"/>
    <n v="0.9"/>
    <n v="0.1"/>
    <m/>
    <m/>
    <m/>
    <n v="0"/>
    <m/>
    <n v="0"/>
    <n v="55.2"/>
    <m/>
    <n v="0"/>
    <n v="0"/>
    <n v="0"/>
    <m/>
    <m/>
    <m/>
    <n v="0"/>
    <n v="0"/>
    <n v="0"/>
    <n v="0"/>
    <m/>
    <m/>
  </r>
  <r>
    <n v="0"/>
    <s v="CMS S.60.10.000"/>
    <s v="SUPORTE"/>
    <m/>
    <m/>
    <m/>
    <m/>
    <m/>
    <m/>
    <m/>
    <m/>
    <s v="LINHA DO CIRCUITO ARENOSO LINHA DE ALIMENTAÇÃO DO DISTRIBUIDOR DI-145A-9911"/>
    <s v="SC-006"/>
    <s v="SP 8037 A"/>
    <s v="1450AA-L-70107"/>
    <s v="1450AA-S-58037"/>
    <n v="2"/>
    <s v="PÇ"/>
    <n v="69.2"/>
    <n v="138.4"/>
    <n v="0"/>
    <n v="0"/>
    <n v="0"/>
    <n v="0.9"/>
    <n v="0.1"/>
    <m/>
    <m/>
    <m/>
    <n v="0"/>
    <m/>
    <n v="0"/>
    <n v="138.4"/>
    <m/>
    <n v="0"/>
    <n v="0"/>
    <n v="0"/>
    <m/>
    <m/>
    <m/>
    <n v="0"/>
    <n v="0"/>
    <n v="0"/>
    <n v="0"/>
    <m/>
    <m/>
  </r>
  <r>
    <n v="0"/>
    <s v="CMS S.60.10.000"/>
    <s v="SUPORTE"/>
    <m/>
    <m/>
    <m/>
    <m/>
    <m/>
    <m/>
    <m/>
    <m/>
    <s v="LINHA DO CIRCUITO ARENOSO LINHA DE ALIMENTAÇÃO DO DISTRIBUIDOR DI-145A-9911"/>
    <s v="SC-006"/>
    <s v="SP 8037 B"/>
    <s v="1450AA-L-70107"/>
    <s v="1450AA-S-58037"/>
    <n v="1"/>
    <s v="PÇ"/>
    <n v="14"/>
    <n v="14"/>
    <n v="0"/>
    <n v="0"/>
    <n v="0"/>
    <n v="0.9"/>
    <n v="0.1"/>
    <m/>
    <m/>
    <m/>
    <n v="0"/>
    <m/>
    <n v="0"/>
    <n v="14"/>
    <m/>
    <n v="0"/>
    <n v="0"/>
    <n v="0"/>
    <m/>
    <m/>
    <m/>
    <n v="0"/>
    <n v="0"/>
    <n v="0"/>
    <n v="0"/>
    <m/>
    <m/>
  </r>
  <r>
    <n v="0"/>
    <s v="CMS S.60.10.000"/>
    <s v="SUPORTE"/>
    <m/>
    <m/>
    <m/>
    <m/>
    <m/>
    <m/>
    <m/>
    <m/>
    <s v="LINHA DO CIRCUITO ARENOSO LINHA DE ALIMENTAÇÃO DO DISTRIBUIDOR DI-145A-9911"/>
    <s v="SC-006"/>
    <s v="SP 8037 C"/>
    <s v="1450AA-L-70107"/>
    <s v="1450AA-S-58037"/>
    <n v="1"/>
    <s v="PÇ"/>
    <n v="349.4"/>
    <n v="349.4"/>
    <n v="0"/>
    <n v="0"/>
    <n v="0"/>
    <n v="0.9"/>
    <n v="0.1"/>
    <m/>
    <m/>
    <m/>
    <n v="0"/>
    <m/>
    <n v="0"/>
    <n v="349.4"/>
    <m/>
    <n v="0"/>
    <n v="0"/>
    <n v="0"/>
    <m/>
    <m/>
    <m/>
    <n v="0"/>
    <n v="0"/>
    <n v="0"/>
    <n v="0"/>
    <m/>
    <m/>
  </r>
  <r>
    <n v="0"/>
    <s v="CMS S.60.10.000"/>
    <s v="SUPORTE"/>
    <m/>
    <m/>
    <m/>
    <m/>
    <m/>
    <m/>
    <m/>
    <m/>
    <s v="LINHA DO CIRCUITO ARENOSO LINHA DE ALIMENTAÇÃO DO DISTRIBUIDOR DI-145A-9911"/>
    <s v="SC-006"/>
    <s v="SP 8038 A "/>
    <s v="1450AA-L-70107"/>
    <s v="1450AA-S-58038"/>
    <n v="1"/>
    <s v="PÇ"/>
    <n v="71.599999999999994"/>
    <n v="71.599999999999994"/>
    <n v="0"/>
    <n v="0"/>
    <n v="0"/>
    <n v="0.9"/>
    <n v="0.1"/>
    <m/>
    <m/>
    <m/>
    <n v="0"/>
    <m/>
    <n v="0"/>
    <n v="71.599999999999994"/>
    <m/>
    <n v="0"/>
    <n v="0"/>
    <n v="0"/>
    <m/>
    <m/>
    <m/>
    <n v="0"/>
    <n v="0"/>
    <n v="0"/>
    <n v="0"/>
    <m/>
    <m/>
  </r>
  <r>
    <n v="0"/>
    <s v="CMS S.60.10.000"/>
    <s v="SUPORTE"/>
    <m/>
    <m/>
    <m/>
    <m/>
    <m/>
    <m/>
    <m/>
    <m/>
    <s v="LINHA DO CIRCUITO ARENOSO LINHA DE ALIMENTAÇÃO DO DISTRIBUIDOR DI-145A-9911"/>
    <s v="SC-006"/>
    <s v="SP 8038 B"/>
    <s v="1450AA-L-70107"/>
    <s v="1450AA-S-58038"/>
    <n v="1"/>
    <s v="PÇ"/>
    <n v="35.799999999999997"/>
    <n v="35.799999999999997"/>
    <n v="0"/>
    <n v="0"/>
    <n v="0"/>
    <n v="0.9"/>
    <n v="0.1"/>
    <m/>
    <m/>
    <m/>
    <n v="0"/>
    <m/>
    <n v="0"/>
    <n v="35.799999999999997"/>
    <m/>
    <n v="0"/>
    <n v="0"/>
    <n v="0"/>
    <m/>
    <m/>
    <m/>
    <n v="0"/>
    <n v="0"/>
    <n v="0"/>
    <n v="0"/>
    <m/>
    <m/>
  </r>
  <r>
    <n v="0"/>
    <s v="CMS S.60.10.000"/>
    <s v="SUPORTE"/>
    <m/>
    <m/>
    <m/>
    <m/>
    <m/>
    <m/>
    <m/>
    <m/>
    <s v="LINHA DO CIRCUITO ARENOSO LINHA DE ALIMENTAÇÃO DO DISTRIBUIDOR DI-145A-9911"/>
    <s v="SC-006"/>
    <s v="SP 8038 C"/>
    <s v="1450AA-L-70107"/>
    <s v="1450AA-S-58038"/>
    <n v="1"/>
    <s v="PÇ"/>
    <n v="35.700000000000003"/>
    <n v="35.700000000000003"/>
    <n v="0"/>
    <n v="0"/>
    <n v="0"/>
    <n v="0.9"/>
    <n v="0.1"/>
    <m/>
    <m/>
    <m/>
    <n v="0"/>
    <m/>
    <n v="0"/>
    <n v="35.700000000000003"/>
    <m/>
    <n v="0"/>
    <n v="0"/>
    <n v="0"/>
    <m/>
    <m/>
    <m/>
    <n v="0"/>
    <n v="0"/>
    <n v="0"/>
    <n v="0"/>
    <m/>
    <m/>
  </r>
  <r>
    <n v="0"/>
    <s v="CMS S.60.10.000"/>
    <s v="SUPORTE"/>
    <m/>
    <m/>
    <m/>
    <m/>
    <m/>
    <m/>
    <m/>
    <m/>
    <s v="LINHA DO CIRCUITO ARENOSO LINHA DE ALIMENTAÇÃO DO DISTRIBUIDOR DI-145A-9911"/>
    <s v="SC-026"/>
    <s v="SP 8039 A"/>
    <s v="1450AA-L-70107"/>
    <s v="1450AA-S-58039"/>
    <n v="2"/>
    <s v="PÇ"/>
    <n v="49.1"/>
    <n v="98.2"/>
    <n v="0"/>
    <n v="0"/>
    <n v="0"/>
    <n v="0.9"/>
    <n v="0.1"/>
    <m/>
    <m/>
    <m/>
    <n v="0"/>
    <m/>
    <n v="0"/>
    <n v="98.2"/>
    <m/>
    <n v="0"/>
    <n v="0"/>
    <n v="0"/>
    <m/>
    <m/>
    <m/>
    <n v="0"/>
    <n v="0"/>
    <n v="0"/>
    <n v="0"/>
    <m/>
    <m/>
  </r>
  <r>
    <n v="0"/>
    <s v="CMS S.60.10.000"/>
    <s v="SUPORTE"/>
    <m/>
    <m/>
    <m/>
    <m/>
    <m/>
    <m/>
    <m/>
    <m/>
    <s v="LINHA DO CIRCUITO ARENOSO LINHA DE ALIMENTAÇÃO DO DISTRIBUIDOR DI-145A-9911"/>
    <s v="SC-026"/>
    <s v="SP 8039 B"/>
    <s v="1450AA-L-70107"/>
    <s v="1450AA-S-58039"/>
    <n v="2"/>
    <s v="PÇ"/>
    <n v="23.9"/>
    <n v="47.8"/>
    <n v="0"/>
    <n v="0"/>
    <n v="0"/>
    <n v="0.9"/>
    <n v="0.1"/>
    <m/>
    <m/>
    <m/>
    <n v="0"/>
    <m/>
    <n v="0"/>
    <n v="47.8"/>
    <m/>
    <n v="0"/>
    <n v="0"/>
    <n v="0"/>
    <m/>
    <m/>
    <m/>
    <n v="0"/>
    <n v="0"/>
    <n v="0"/>
    <n v="0"/>
    <m/>
    <m/>
  </r>
  <r>
    <n v="0"/>
    <s v="CMS S.60.10.000"/>
    <s v="SUPORTE"/>
    <m/>
    <m/>
    <m/>
    <m/>
    <m/>
    <m/>
    <m/>
    <m/>
    <s v="LINHA DO CIRCUITO ARENOSO LINHA DE ALIMENTAÇÃO DO DISTRIBUIDOR DI-145A-9911"/>
    <s v="SC-026"/>
    <s v="SP 8039 C"/>
    <s v="1450AA-L-70107"/>
    <s v="1450AA-S-58039"/>
    <n v="2"/>
    <s v="PÇ"/>
    <n v="1.3"/>
    <n v="2.6"/>
    <n v="0"/>
    <n v="0"/>
    <n v="0"/>
    <n v="0.9"/>
    <n v="0.1"/>
    <m/>
    <m/>
    <m/>
    <n v="0"/>
    <m/>
    <n v="0"/>
    <n v="2.6"/>
    <m/>
    <n v="0"/>
    <n v="0"/>
    <n v="0"/>
    <m/>
    <m/>
    <m/>
    <n v="0"/>
    <n v="0"/>
    <n v="0"/>
    <n v="0"/>
    <m/>
    <m/>
  </r>
  <r>
    <n v="0"/>
    <s v="CMS S.60.10.000"/>
    <s v="SUPORTE"/>
    <m/>
    <m/>
    <m/>
    <m/>
    <m/>
    <m/>
    <m/>
    <m/>
    <s v="LINHA DO CIRCUITO ARENOSO LINHA DE ALIMENTAÇÃO DO DISTRIBUIDOR DI-145A-9911"/>
    <s v="SC-026"/>
    <s v="SP 8039 D"/>
    <s v="1450AA-L-70107"/>
    <s v="1450AA-S-58039"/>
    <n v="2"/>
    <s v="PÇ"/>
    <n v="58.4"/>
    <n v="116.8"/>
    <n v="0"/>
    <n v="0"/>
    <n v="0"/>
    <n v="0.9"/>
    <n v="0.1"/>
    <m/>
    <m/>
    <m/>
    <n v="0"/>
    <m/>
    <n v="0"/>
    <n v="116.8"/>
    <m/>
    <n v="0"/>
    <n v="0"/>
    <n v="0"/>
    <m/>
    <m/>
    <m/>
    <n v="0"/>
    <n v="0"/>
    <n v="0"/>
    <n v="0"/>
    <m/>
    <m/>
  </r>
  <r>
    <n v="0"/>
    <s v="CMS S.60.10.000"/>
    <s v="SUPORTE"/>
    <m/>
    <m/>
    <m/>
    <m/>
    <m/>
    <m/>
    <m/>
    <m/>
    <s v="LINHA DO CIRCUITO ARENOSO LINHA DE ALIMENTAÇÃO DO DISTRIBUIDOR DI-145A-9911"/>
    <s v="SC-026"/>
    <s v="SP 8039 E"/>
    <s v="1450AA-L-70107"/>
    <s v="1450AA-S-58039"/>
    <n v="1"/>
    <s v="PÇ"/>
    <n v="22"/>
    <n v="22"/>
    <n v="0"/>
    <n v="0"/>
    <n v="0"/>
    <n v="0.9"/>
    <n v="0.1"/>
    <m/>
    <m/>
    <m/>
    <n v="0"/>
    <m/>
    <n v="0"/>
    <n v="22"/>
    <m/>
    <n v="0"/>
    <n v="0"/>
    <n v="0"/>
    <m/>
    <m/>
    <m/>
    <n v="0"/>
    <n v="0"/>
    <n v="0"/>
    <n v="0"/>
    <m/>
    <m/>
  </r>
  <r>
    <n v="0"/>
    <s v="CMS S.60.10.000"/>
    <s v="SUPORTE"/>
    <m/>
    <m/>
    <m/>
    <m/>
    <m/>
    <m/>
    <m/>
    <m/>
    <s v="LINHA DO CIRCUITO ARENOSO LINHA DE ALIMENTAÇÃO DOS DISTRIBUIDORES DI-145A-9912/9913/9914/9915/9916"/>
    <s v="SC-006"/>
    <s v=" 8301 A"/>
    <s v="1450AA-L-70109"/>
    <s v="1450AA-S-58301"/>
    <n v="1"/>
    <s v="PÇ"/>
    <n v="518.79999999999995"/>
    <n v="518.79999999999995"/>
    <n v="0"/>
    <n v="0"/>
    <n v="0"/>
    <n v="0.9"/>
    <n v="0.1"/>
    <m/>
    <m/>
    <m/>
    <n v="0"/>
    <m/>
    <n v="0"/>
    <n v="518.79999999999995"/>
    <m/>
    <n v="0"/>
    <n v="0"/>
    <n v="0"/>
    <m/>
    <m/>
    <m/>
    <n v="0"/>
    <n v="0"/>
    <n v="0"/>
    <n v="0"/>
    <m/>
    <m/>
  </r>
  <r>
    <n v="0"/>
    <s v="CMS S.60.10.000"/>
    <s v="SUPORTE"/>
    <m/>
    <m/>
    <m/>
    <m/>
    <m/>
    <m/>
    <m/>
    <m/>
    <s v="LINHA DO CIRCUITO ARENOSO LINHA DE ALIMENTAÇÃO DOS DISTRIBUIDORES DI-145A-9912/9913/9914/9915/9916"/>
    <s v="SC-006"/>
    <s v=" 8301 B "/>
    <s v="1450AA-L-70109"/>
    <s v="1450AA-S-58301"/>
    <n v="1"/>
    <s v="PÇ"/>
    <n v="138.19999999999999"/>
    <n v="138.19999999999999"/>
    <n v="0"/>
    <n v="0"/>
    <n v="0"/>
    <n v="0.9"/>
    <n v="0.1"/>
    <m/>
    <m/>
    <m/>
    <n v="0"/>
    <m/>
    <n v="0"/>
    <n v="138.19999999999999"/>
    <m/>
    <n v="0"/>
    <n v="0"/>
    <n v="0"/>
    <m/>
    <m/>
    <m/>
    <n v="0"/>
    <n v="0"/>
    <n v="0"/>
    <n v="0"/>
    <m/>
    <m/>
  </r>
  <r>
    <n v="0"/>
    <s v="CMS S.60.10.000"/>
    <s v="SUPORTE"/>
    <m/>
    <m/>
    <m/>
    <m/>
    <m/>
    <m/>
    <m/>
    <m/>
    <s v="LINHA DO CIRCUITO ARENOSO LINHA DE ALIMENTAÇÃO DOS DISTRIBUIDORES DI-145A-9912/9913/9914/9915/9916"/>
    <s v="SC-006"/>
    <s v="SP 8301 C"/>
    <s v="1450AA-L-70109"/>
    <s v="1450AA-S-58301"/>
    <n v="1"/>
    <s v="PÇ"/>
    <n v="30"/>
    <n v="30"/>
    <n v="0"/>
    <n v="0"/>
    <n v="0"/>
    <n v="0.9"/>
    <n v="0.1"/>
    <m/>
    <m/>
    <m/>
    <n v="0"/>
    <m/>
    <n v="0"/>
    <n v="30"/>
    <m/>
    <n v="0"/>
    <n v="0"/>
    <n v="0"/>
    <m/>
    <m/>
    <m/>
    <n v="0"/>
    <n v="0"/>
    <n v="0"/>
    <n v="0"/>
    <m/>
    <m/>
  </r>
  <r>
    <n v="0"/>
    <s v="CMS S.60.10.000"/>
    <s v="SUPORTE"/>
    <m/>
    <m/>
    <m/>
    <m/>
    <m/>
    <m/>
    <m/>
    <m/>
    <s v="LINHA DO CIRCUITO ARENOSO LINHA DE ALIMENTAÇÃO DOS DISTRIBUIDORES DI-145A-9912/9913/9914/9915/9916"/>
    <s v="SC-006"/>
    <s v="SP 8301 D"/>
    <s v="1450AA-L-70109"/>
    <s v="1450AA-S-58301"/>
    <n v="2"/>
    <s v="PÇ"/>
    <n v="24.9"/>
    <n v="49.8"/>
    <n v="0"/>
    <n v="0"/>
    <n v="0"/>
    <n v="0.9"/>
    <n v="0.1"/>
    <m/>
    <m/>
    <m/>
    <n v="0"/>
    <m/>
    <n v="0"/>
    <n v="49.8"/>
    <m/>
    <n v="0"/>
    <n v="0"/>
    <n v="0"/>
    <m/>
    <m/>
    <m/>
    <n v="0"/>
    <n v="0"/>
    <n v="0"/>
    <n v="0"/>
    <m/>
    <m/>
  </r>
  <r>
    <n v="0"/>
    <s v="CMS S.60.10.000"/>
    <s v="SUPORTE"/>
    <m/>
    <m/>
    <m/>
    <m/>
    <m/>
    <m/>
    <m/>
    <m/>
    <s v="LINHA DO CIRCUITO ARENOSO LINHA DE ALIMENTAÇÃO DOS DISTRIBUIDORES DI-145A-9912/9913/9914/9915/9916"/>
    <s v="SC-006"/>
    <s v="SP 8301 E"/>
    <s v="1450AA-L-70109"/>
    <s v="1450AA-S-58301"/>
    <n v="1"/>
    <s v="PÇ"/>
    <n v="141.9"/>
    <n v="141.9"/>
    <n v="0"/>
    <n v="0"/>
    <n v="0"/>
    <n v="0.9"/>
    <n v="0.1"/>
    <m/>
    <m/>
    <m/>
    <n v="0"/>
    <m/>
    <n v="0"/>
    <n v="141.9"/>
    <m/>
    <n v="0"/>
    <n v="0"/>
    <n v="0"/>
    <m/>
    <m/>
    <m/>
    <n v="0"/>
    <n v="0"/>
    <n v="0"/>
    <n v="0"/>
    <m/>
    <m/>
  </r>
  <r>
    <n v="0"/>
    <s v="CMS S.60.10.000"/>
    <s v="SUPORTE"/>
    <m/>
    <m/>
    <m/>
    <m/>
    <m/>
    <m/>
    <m/>
    <m/>
    <s v="LINHA DO CIRCUITO ARENOSO LINHA DE ALIMENTAÇÃO DOS DISTRIBUIDORES DI-145A-9912/9913/9914/9915/9916"/>
    <s v="SC-006"/>
    <s v="SP 8301 F"/>
    <s v="1450AA-L-70109"/>
    <s v="1450AA-S-58301"/>
    <n v="1"/>
    <s v="PÇ"/>
    <n v="100.1"/>
    <n v="100.1"/>
    <n v="0"/>
    <n v="0"/>
    <n v="0"/>
    <n v="0.9"/>
    <n v="0.1"/>
    <m/>
    <m/>
    <m/>
    <n v="0"/>
    <m/>
    <n v="0"/>
    <n v="100.1"/>
    <m/>
    <n v="0"/>
    <n v="0"/>
    <n v="0"/>
    <m/>
    <m/>
    <m/>
    <n v="0"/>
    <n v="0"/>
    <n v="0"/>
    <n v="0"/>
    <m/>
    <m/>
  </r>
  <r>
    <n v="0"/>
    <s v="CMS S.60.10.000"/>
    <s v="SUPORTE"/>
    <m/>
    <m/>
    <m/>
    <m/>
    <m/>
    <m/>
    <m/>
    <m/>
    <s v="LINHA DO CIRCUITO ARENOSO LINHA DE ALIMENTAÇÃO DOS DISTRIBUIDORES DI-145A-9912/9913/9914/9915/9916"/>
    <s v="SC-006"/>
    <s v="SP 8301 G"/>
    <s v="1450AA-L-70109"/>
    <s v="1450AA-S-58301"/>
    <n v="1"/>
    <s v="PÇ"/>
    <n v="49.2"/>
    <n v="49.2"/>
    <n v="0"/>
    <n v="0"/>
    <n v="0"/>
    <n v="0.9"/>
    <n v="0.1"/>
    <m/>
    <m/>
    <m/>
    <n v="0"/>
    <m/>
    <n v="0"/>
    <n v="49.2"/>
    <m/>
    <n v="0"/>
    <n v="0"/>
    <n v="0"/>
    <m/>
    <m/>
    <m/>
    <n v="0"/>
    <n v="0"/>
    <n v="0"/>
    <n v="0"/>
    <m/>
    <m/>
  </r>
  <r>
    <n v="0"/>
    <s v="CMS S.60.10.000"/>
    <s v="SUPORTE"/>
    <m/>
    <m/>
    <m/>
    <m/>
    <m/>
    <m/>
    <m/>
    <m/>
    <s v="LINHA DO CIRCUITO ARENOSO LINHA DE ALIMENTAÇÃO DOS DISTRIBUIDORES DI-145A-9912/9913/9914/9915/9916"/>
    <s v="SC-006"/>
    <s v="SP 8301 H"/>
    <s v="1450AA-L-70109"/>
    <s v="1450AA-S-58301"/>
    <n v="8"/>
    <s v="PÇ"/>
    <n v="80.599999999999994"/>
    <n v="644.79999999999995"/>
    <n v="0"/>
    <n v="0"/>
    <n v="0"/>
    <n v="0.9"/>
    <n v="0.1"/>
    <m/>
    <m/>
    <m/>
    <n v="0"/>
    <m/>
    <n v="0"/>
    <n v="644.79999999999995"/>
    <m/>
    <n v="0"/>
    <n v="0"/>
    <n v="0"/>
    <m/>
    <m/>
    <m/>
    <n v="0"/>
    <n v="0"/>
    <n v="0"/>
    <n v="0"/>
    <m/>
    <m/>
  </r>
  <r>
    <n v="0"/>
    <s v="CMS S.60.10.000"/>
    <s v="SUPORTE"/>
    <m/>
    <m/>
    <m/>
    <m/>
    <m/>
    <m/>
    <m/>
    <m/>
    <s v="LINHA DO CIRCUITO ARENOSO LINHA DE ALIMENTAÇÃO DOS DISTRIBUIDORES DI-145A-9912/9913/9914/9915/9916"/>
    <s v="SC-006"/>
    <s v="SP 8301 J"/>
    <s v="1450AA-L-70109"/>
    <s v="1450AA-S-58301"/>
    <n v="1"/>
    <s v="PÇ"/>
    <n v="1.8"/>
    <n v="1.8"/>
    <n v="0"/>
    <n v="0"/>
    <n v="0"/>
    <n v="0.9"/>
    <n v="0.1"/>
    <m/>
    <m/>
    <m/>
    <n v="0"/>
    <m/>
    <n v="0"/>
    <n v="1.8"/>
    <m/>
    <n v="0"/>
    <n v="0"/>
    <n v="0"/>
    <m/>
    <m/>
    <m/>
    <n v="0"/>
    <n v="0"/>
    <n v="0"/>
    <n v="0"/>
    <m/>
    <m/>
  </r>
  <r>
    <n v="0"/>
    <s v="CMS S.60.10.000"/>
    <s v="SUPORTE"/>
    <m/>
    <m/>
    <m/>
    <m/>
    <m/>
    <m/>
    <m/>
    <m/>
    <s v="LINHA DO CIRCUITO ARENOSO LINHA DE ALIMENTAÇÃO DOS DISTRIBUIDORES DI-145A-9912/9913/9914/9915/9916"/>
    <s v="SC-006"/>
    <s v="SP 8301 K"/>
    <s v="1450AA-L-70109"/>
    <s v="1450AA-S-58301"/>
    <n v="1"/>
    <s v="PÇ"/>
    <n v="19.399999999999999"/>
    <n v="19.399999999999999"/>
    <n v="0"/>
    <n v="0"/>
    <n v="0"/>
    <n v="0.9"/>
    <n v="0.1"/>
    <m/>
    <m/>
    <m/>
    <n v="0"/>
    <m/>
    <n v="0"/>
    <n v="19.399999999999999"/>
    <m/>
    <n v="0"/>
    <n v="0"/>
    <n v="0"/>
    <m/>
    <m/>
    <m/>
    <n v="0"/>
    <n v="0"/>
    <n v="0"/>
    <n v="0"/>
    <m/>
    <m/>
  </r>
  <r>
    <n v="0"/>
    <s v="CMS S.60.10.000"/>
    <s v="SUPORTE"/>
    <m/>
    <m/>
    <m/>
    <m/>
    <m/>
    <m/>
    <m/>
    <m/>
    <s v="LINHA DO CIRCUITO ARENOSO LINHA DE ALIMENTAÇÃO DOS DISTRIBUIDORES DI-145A-9912/9913/9914/9915/9916"/>
    <s v="SC-006"/>
    <s v="SP 8301 L"/>
    <s v="1450AA-L-70109"/>
    <s v="1450AA-S-58301"/>
    <n v="1"/>
    <s v="PÇ"/>
    <n v="6.9"/>
    <n v="6.9"/>
    <n v="0"/>
    <n v="0"/>
    <n v="0"/>
    <n v="0.9"/>
    <n v="0.1"/>
    <m/>
    <m/>
    <m/>
    <n v="0"/>
    <m/>
    <n v="0"/>
    <n v="6.9"/>
    <m/>
    <n v="0"/>
    <n v="0"/>
    <n v="0"/>
    <m/>
    <m/>
    <m/>
    <n v="0"/>
    <n v="0"/>
    <n v="0"/>
    <n v="0"/>
    <m/>
    <m/>
  </r>
  <r>
    <n v="0"/>
    <s v="CMS S.60.10.000"/>
    <s v="SUPORTE"/>
    <m/>
    <m/>
    <m/>
    <m/>
    <m/>
    <m/>
    <m/>
    <m/>
    <s v="LINHA DO CIRCUITO ARENOSO LINHA DE ALIMENTAÇÃO DOS DISTRIBUIDORES DI-145A-9912/9913/9914/9915/9916"/>
    <s v="SC-006"/>
    <s v="SP 8301 M"/>
    <s v="1450AA-L-70109"/>
    <s v="1450AA-S-58301"/>
    <n v="1"/>
    <s v="PÇ"/>
    <n v="3.45"/>
    <n v="3.45"/>
    <n v="0"/>
    <n v="0"/>
    <n v="0"/>
    <n v="0.9"/>
    <n v="0.1"/>
    <m/>
    <m/>
    <m/>
    <n v="0"/>
    <m/>
    <n v="0"/>
    <n v="3.45"/>
    <m/>
    <n v="0"/>
    <n v="0"/>
    <n v="0"/>
    <m/>
    <m/>
    <m/>
    <n v="0"/>
    <n v="0"/>
    <n v="0"/>
    <n v="0"/>
    <m/>
    <m/>
  </r>
  <r>
    <n v="0"/>
    <s v="CMS S.60.10.000"/>
    <s v="SUPORTE"/>
    <m/>
    <m/>
    <m/>
    <m/>
    <m/>
    <m/>
    <m/>
    <m/>
    <s v="LINHA DO CIRCUITO ARENOSO LINHA DE DESCARGA  DO DISTRIBUIDOR DI-145A-9912"/>
    <s v="SC-006"/>
    <s v=" 8303 A "/>
    <s v="1450AA-L-70045"/>
    <s v="1450AA-S-58303"/>
    <n v="1"/>
    <s v="PÇ"/>
    <n v="59.5"/>
    <n v="59.5"/>
    <n v="0"/>
    <n v="0"/>
    <n v="0"/>
    <n v="0.9"/>
    <n v="0.1"/>
    <m/>
    <m/>
    <m/>
    <n v="0"/>
    <m/>
    <n v="0"/>
    <n v="59.5"/>
    <m/>
    <n v="0"/>
    <n v="0"/>
    <n v="0"/>
    <m/>
    <m/>
    <m/>
    <n v="0"/>
    <n v="0"/>
    <n v="0"/>
    <n v="0"/>
    <m/>
    <m/>
  </r>
  <r>
    <n v="0"/>
    <s v="CMS S.60.10.000"/>
    <s v="SUPORTE"/>
    <m/>
    <m/>
    <m/>
    <m/>
    <m/>
    <m/>
    <m/>
    <m/>
    <s v="LINHA DO CIRCUITO ARENOSO LINHA DE DESCARGA  DO DISTRIBUIDOR DI-145A-9912"/>
    <s v="SC-006"/>
    <s v=" 8303 B"/>
    <s v="1450AA-L-70045"/>
    <s v="1450AA-S-58303"/>
    <n v="1"/>
    <s v="PÇ"/>
    <n v="48"/>
    <n v="48"/>
    <n v="0"/>
    <n v="0"/>
    <n v="0"/>
    <n v="0.9"/>
    <n v="0.1"/>
    <m/>
    <m/>
    <m/>
    <n v="0"/>
    <m/>
    <n v="0"/>
    <n v="48"/>
    <m/>
    <n v="0"/>
    <n v="0"/>
    <n v="0"/>
    <m/>
    <m/>
    <m/>
    <n v="0"/>
    <n v="0"/>
    <n v="0"/>
    <n v="0"/>
    <m/>
    <m/>
  </r>
  <r>
    <n v="0"/>
    <s v="CMS S.60.10.000"/>
    <s v="SUPORTE"/>
    <m/>
    <m/>
    <m/>
    <m/>
    <m/>
    <m/>
    <m/>
    <m/>
    <s v="LINHA DO CIRCUITO ARENOSO LINHA DE DESCARGA  DO DISTRIBUIDOR DI-145A-9912"/>
    <s v="SC-006"/>
    <s v=" 8303 C "/>
    <s v="1450AA-L-70045"/>
    <s v="1450AA-S-58303"/>
    <n v="1"/>
    <s v="PÇ"/>
    <n v="23.5"/>
    <n v="23.5"/>
    <n v="0"/>
    <n v="0"/>
    <n v="0"/>
    <n v="0.9"/>
    <n v="0.1"/>
    <m/>
    <m/>
    <m/>
    <n v="0"/>
    <m/>
    <n v="0"/>
    <n v="23.5"/>
    <m/>
    <n v="0"/>
    <n v="0"/>
    <n v="0"/>
    <m/>
    <m/>
    <m/>
    <n v="0"/>
    <n v="0"/>
    <n v="0"/>
    <n v="0"/>
    <m/>
    <m/>
  </r>
  <r>
    <n v="0"/>
    <s v="CMS S.60.10.000"/>
    <s v="SUPORTE"/>
    <m/>
    <m/>
    <m/>
    <m/>
    <m/>
    <m/>
    <m/>
    <m/>
    <s v="LINHA DO CIRCUITO ARENOSO LINHA DE DESCARGA  DO DISTRIBUIDOR DI-145A-9912"/>
    <s v="SC-006"/>
    <s v="SP 8303 D"/>
    <s v="1450AA-L-70045"/>
    <s v="1450AA-S-58303"/>
    <n v="1"/>
    <s v="PÇ"/>
    <n v="7.6"/>
    <n v="7.6"/>
    <n v="0"/>
    <n v="0"/>
    <n v="0"/>
    <n v="0.9"/>
    <n v="0.1"/>
    <m/>
    <m/>
    <m/>
    <n v="0"/>
    <m/>
    <n v="0"/>
    <n v="7.6"/>
    <m/>
    <n v="0"/>
    <n v="0"/>
    <n v="0"/>
    <m/>
    <m/>
    <m/>
    <n v="0"/>
    <n v="0"/>
    <n v="0"/>
    <n v="0"/>
    <m/>
    <m/>
  </r>
  <r>
    <n v="0"/>
    <s v="CMS S.60.10.000"/>
    <s v="SUPORTE"/>
    <m/>
    <m/>
    <m/>
    <m/>
    <m/>
    <m/>
    <m/>
    <m/>
    <s v="LINHA DO CIRCUITO ARENOSO LINHA DE DESCARGA  DO DISTRIBUIDOR DI-145A-9912"/>
    <s v="SC-006"/>
    <s v=" 8303 E"/>
    <s v="1450AA-L-70045"/>
    <s v="1450AA-S-58303"/>
    <n v="1"/>
    <s v="PÇ"/>
    <n v="65.900000000000006"/>
    <n v="65.900000000000006"/>
    <n v="0"/>
    <n v="0"/>
    <n v="0"/>
    <n v="0.9"/>
    <n v="0.1"/>
    <m/>
    <m/>
    <m/>
    <n v="0"/>
    <m/>
    <n v="0"/>
    <n v="65.900000000000006"/>
    <m/>
    <n v="0"/>
    <n v="0"/>
    <n v="0"/>
    <m/>
    <m/>
    <m/>
    <n v="0"/>
    <n v="0"/>
    <n v="0"/>
    <n v="0"/>
    <m/>
    <m/>
  </r>
  <r>
    <n v="0"/>
    <s v="CMS S.60.10.000"/>
    <s v="SUPORTE"/>
    <m/>
    <m/>
    <m/>
    <m/>
    <m/>
    <m/>
    <m/>
    <m/>
    <s v="LINHA DO CIRCUITO ARENOSO LINHA DE DESCARGA  DO DISTRIBUIDOR DI-145A-9912"/>
    <s v="SC-006"/>
    <s v=" 8303 F "/>
    <s v="1450AA-L-70045"/>
    <s v="1450AA-S-58303"/>
    <n v="1"/>
    <s v="PÇ"/>
    <n v="55.4"/>
    <n v="55.4"/>
    <n v="0"/>
    <n v="0"/>
    <n v="0"/>
    <n v="0.9"/>
    <n v="0.1"/>
    <m/>
    <m/>
    <m/>
    <n v="0"/>
    <m/>
    <n v="0"/>
    <n v="55.4"/>
    <m/>
    <n v="0"/>
    <n v="0"/>
    <n v="0"/>
    <m/>
    <m/>
    <m/>
    <n v="0"/>
    <n v="0"/>
    <n v="0"/>
    <n v="0"/>
    <m/>
    <m/>
  </r>
  <r>
    <n v="0"/>
    <s v="CMS S.60.10.000"/>
    <s v="SUPORTE"/>
    <m/>
    <m/>
    <m/>
    <m/>
    <m/>
    <m/>
    <m/>
    <m/>
    <s v="LINHA DO CIRCUITO ARENOSO LINHA DE DESCARGA  DO DISTRIBUIDOR DI-145A-9912"/>
    <s v="SC-006"/>
    <s v=" 8303 G "/>
    <s v="1450AA-L-70045"/>
    <s v="1450AA-S-58303"/>
    <n v="1"/>
    <s v="PÇ"/>
    <n v="45.3"/>
    <n v="45.3"/>
    <n v="0"/>
    <n v="0"/>
    <n v="0"/>
    <n v="0.9"/>
    <n v="0.1"/>
    <m/>
    <m/>
    <m/>
    <n v="0"/>
    <m/>
    <n v="0"/>
    <n v="45.3"/>
    <m/>
    <n v="0"/>
    <n v="0"/>
    <n v="0"/>
    <m/>
    <m/>
    <m/>
    <n v="0"/>
    <n v="0"/>
    <n v="0"/>
    <n v="0"/>
    <m/>
    <m/>
  </r>
  <r>
    <n v="0"/>
    <s v="CMS S.60.10.000"/>
    <s v="SUPORTE"/>
    <m/>
    <m/>
    <m/>
    <m/>
    <m/>
    <m/>
    <m/>
    <m/>
    <s v="LINHA DO CIRCUITO ARENOSO LINHA DE DESCARGA  DO DISTRIBUIDOR DI-145A-9912"/>
    <s v="SC-006"/>
    <s v=" 8303 H "/>
    <s v="1450AA-L-70045"/>
    <s v="1450AA-S-58303"/>
    <n v="1"/>
    <s v="PÇ"/>
    <n v="49.8"/>
    <n v="49.8"/>
    <n v="0"/>
    <n v="0"/>
    <n v="0"/>
    <n v="0.9"/>
    <n v="0.1"/>
    <m/>
    <m/>
    <m/>
    <n v="0"/>
    <m/>
    <n v="0"/>
    <n v="49.8"/>
    <m/>
    <n v="0"/>
    <n v="0"/>
    <n v="0"/>
    <m/>
    <m/>
    <m/>
    <n v="0"/>
    <n v="0"/>
    <n v="0"/>
    <n v="0"/>
    <m/>
    <m/>
  </r>
  <r>
    <n v="0"/>
    <s v="CMS S.60.10.000"/>
    <s v="SUPORTE"/>
    <m/>
    <m/>
    <m/>
    <m/>
    <m/>
    <m/>
    <m/>
    <m/>
    <s v="LINHA DO CIRCUITO ARENOSO LINHA DE DESCARGA  DO DISTRIBUIDOR DI-145A-9912"/>
    <s v="SC-006"/>
    <s v=" 8303 J "/>
    <s v="1450AA-L-70045"/>
    <s v="1450AA-S-58303"/>
    <n v="6"/>
    <s v="PÇ"/>
    <n v="56.9"/>
    <n v="341.4"/>
    <n v="0"/>
    <n v="0"/>
    <n v="0"/>
    <n v="0.9"/>
    <n v="0.1"/>
    <m/>
    <m/>
    <m/>
    <n v="0"/>
    <m/>
    <n v="0"/>
    <n v="341.4"/>
    <m/>
    <n v="0"/>
    <n v="0"/>
    <n v="0"/>
    <m/>
    <m/>
    <m/>
    <n v="0"/>
    <n v="0"/>
    <n v="0"/>
    <n v="0"/>
    <m/>
    <m/>
  </r>
  <r>
    <n v="0"/>
    <s v="CMS S.60.10.000"/>
    <s v="SUPORTE"/>
    <m/>
    <m/>
    <m/>
    <m/>
    <m/>
    <m/>
    <m/>
    <m/>
    <s v="LINHA DO CIRCUITO ARENOSO LINHA DE DESCARGA  DO DISTRIBUIDOR DI-145A-9912"/>
    <s v="SC-006"/>
    <s v="SP 8303 K "/>
    <s v="1450AA-L-70045"/>
    <s v="1450AA-S-58303"/>
    <n v="1"/>
    <s v="PÇ"/>
    <n v="7.2"/>
    <n v="7.2"/>
    <n v="0"/>
    <n v="0"/>
    <n v="0"/>
    <n v="0.9"/>
    <n v="0.1"/>
    <m/>
    <m/>
    <m/>
    <n v="0"/>
    <m/>
    <n v="0"/>
    <n v="7.2"/>
    <m/>
    <n v="0"/>
    <n v="0"/>
    <n v="0"/>
    <m/>
    <m/>
    <m/>
    <n v="0"/>
    <n v="0"/>
    <n v="0"/>
    <n v="0"/>
    <m/>
    <m/>
  </r>
  <r>
    <n v="0"/>
    <s v="CMS S.60.10.000"/>
    <s v="SUPORTE"/>
    <m/>
    <m/>
    <m/>
    <m/>
    <m/>
    <m/>
    <m/>
    <m/>
    <s v="LINHA DO CIRCUITO ARENOSO LINHA DE DESCARGA  DO DISTRIBUIDOR DI-145A-9912"/>
    <s v="SC-006"/>
    <s v="SP 8303 L"/>
    <s v="1450AA-L-70045"/>
    <s v="1450AA-S-58303"/>
    <n v="4"/>
    <s v="PÇ"/>
    <n v="54.8"/>
    <n v="219.2"/>
    <n v="0"/>
    <n v="0"/>
    <n v="0"/>
    <n v="0.9"/>
    <n v="0.1"/>
    <m/>
    <m/>
    <m/>
    <n v="0"/>
    <m/>
    <n v="0"/>
    <n v="219.2"/>
    <m/>
    <n v="0"/>
    <n v="0"/>
    <n v="0"/>
    <m/>
    <m/>
    <m/>
    <n v="0"/>
    <n v="0"/>
    <n v="0"/>
    <n v="0"/>
    <m/>
    <m/>
  </r>
  <r>
    <n v="0"/>
    <s v="CMS S.60.10.000"/>
    <s v="SUPORTE"/>
    <m/>
    <m/>
    <m/>
    <m/>
    <m/>
    <m/>
    <m/>
    <m/>
    <s v="LINHA DO CIRCUITO ARENOSO LINHA DE DESCARGA  DO DISTRIBUIDOR DI-145A-9912"/>
    <s v="SC-006"/>
    <s v="SP 8303 M "/>
    <s v="1450AA-L-70045"/>
    <s v="1450AA-S-58303"/>
    <n v="2"/>
    <s v="PÇ"/>
    <n v="12"/>
    <n v="24"/>
    <n v="0"/>
    <n v="0"/>
    <n v="0"/>
    <n v="0.9"/>
    <n v="0.1"/>
    <m/>
    <m/>
    <m/>
    <n v="0"/>
    <m/>
    <n v="0"/>
    <n v="24"/>
    <m/>
    <n v="0"/>
    <n v="0"/>
    <n v="0"/>
    <m/>
    <m/>
    <m/>
    <n v="0"/>
    <n v="0"/>
    <n v="0"/>
    <n v="0"/>
    <m/>
    <m/>
  </r>
  <r>
    <n v="0"/>
    <s v="CMS S.60.10.000"/>
    <s v="SUPORTE"/>
    <m/>
    <m/>
    <m/>
    <m/>
    <m/>
    <m/>
    <m/>
    <m/>
    <s v="LINHA DO CIRCUITO ARENOSO LINHA DE DESCARGA  DO DISTRIBUIDOR DI-145A-9912"/>
    <s v="SC-006"/>
    <s v="SP 8303 N "/>
    <s v="1450AA-L-70045"/>
    <s v="1450AA-S-58303"/>
    <n v="1"/>
    <s v="PÇ"/>
    <n v="12.7"/>
    <n v="12.7"/>
    <n v="0"/>
    <n v="0"/>
    <n v="0"/>
    <n v="0.9"/>
    <n v="0.1"/>
    <m/>
    <m/>
    <m/>
    <n v="0"/>
    <m/>
    <n v="0"/>
    <n v="12.7"/>
    <m/>
    <n v="0"/>
    <n v="0"/>
    <n v="0"/>
    <m/>
    <m/>
    <m/>
    <n v="0"/>
    <n v="0"/>
    <n v="0"/>
    <n v="0"/>
    <m/>
    <m/>
  </r>
  <r>
    <n v="0"/>
    <s v="CMS S.60.10.000"/>
    <s v="SUPORTE"/>
    <m/>
    <m/>
    <m/>
    <m/>
    <m/>
    <m/>
    <m/>
    <m/>
    <s v="LINHA DO CIRCUITO ARENOSO LINHA DE DESCARGA  DO DISTRIBUIDOR DI-145A-9912"/>
    <s v="SC-006"/>
    <s v="SP 8303 P "/>
    <s v="1450AA-L-70045"/>
    <s v="1450AA-S-58303"/>
    <n v="1"/>
    <s v="PÇ"/>
    <n v="3.5"/>
    <n v="3.5"/>
    <n v="0"/>
    <n v="0"/>
    <n v="0"/>
    <n v="0.9"/>
    <n v="0.1"/>
    <m/>
    <m/>
    <m/>
    <n v="0"/>
    <m/>
    <n v="0"/>
    <n v="3.5"/>
    <m/>
    <n v="0"/>
    <n v="0"/>
    <n v="0"/>
    <m/>
    <m/>
    <m/>
    <n v="0"/>
    <n v="0"/>
    <n v="0"/>
    <n v="0"/>
    <m/>
    <m/>
  </r>
  <r>
    <n v="0"/>
    <s v="CMS S.60.10.000"/>
    <s v="SUPORTE"/>
    <m/>
    <m/>
    <m/>
    <m/>
    <m/>
    <m/>
    <m/>
    <m/>
    <s v="LINHA DO CIRCUITO ARENOSO LINHA DE DESCARGA  DO DISTRIBUIDOR DI-145A-9912"/>
    <s v="SC-006"/>
    <s v="SP 8303 Q "/>
    <s v="1450AA-L-70045"/>
    <s v="1450AA-S-58303"/>
    <n v="8"/>
    <s v="PÇ"/>
    <n v="3.5"/>
    <n v="28"/>
    <n v="0"/>
    <n v="0"/>
    <n v="0"/>
    <n v="0.9"/>
    <n v="0.1"/>
    <m/>
    <m/>
    <m/>
    <n v="0"/>
    <m/>
    <n v="0"/>
    <n v="28"/>
    <m/>
    <n v="0"/>
    <n v="0"/>
    <n v="0"/>
    <m/>
    <m/>
    <m/>
    <n v="0"/>
    <n v="0"/>
    <n v="0"/>
    <n v="0"/>
    <m/>
    <m/>
  </r>
  <r>
    <n v="0"/>
    <s v="CMS S.60.10.000"/>
    <s v="SUPORTE"/>
    <m/>
    <m/>
    <m/>
    <m/>
    <m/>
    <m/>
    <m/>
    <m/>
    <s v="LINHA DO CIRCUITO ARENOSO LINHA DE DESCARGA  DO DISTRIBUIDOR DI-145A-9912"/>
    <s v="SC-006"/>
    <s v="SP 8303 R"/>
    <s v="1450AA-L-70045"/>
    <s v="1450AA-S-58303"/>
    <n v="1"/>
    <s v="PÇ"/>
    <n v="0.6"/>
    <n v="0.6"/>
    <n v="0"/>
    <n v="0"/>
    <n v="0"/>
    <n v="0.9"/>
    <n v="0.1"/>
    <m/>
    <m/>
    <m/>
    <n v="0"/>
    <m/>
    <n v="0"/>
    <n v="0.6"/>
    <m/>
    <n v="0"/>
    <n v="0"/>
    <n v="0"/>
    <m/>
    <m/>
    <m/>
    <n v="0"/>
    <n v="0"/>
    <n v="0"/>
    <n v="0"/>
    <m/>
    <m/>
  </r>
  <r>
    <n v="0"/>
    <s v="CMS S.60.10.000"/>
    <s v="SUPORTE"/>
    <m/>
    <m/>
    <m/>
    <m/>
    <m/>
    <m/>
    <m/>
    <m/>
    <s v="LINHA DO CIRCUITO ARENOSO LINHA DE DESCARGA  DO DISTRIBUIDOR DI-145A-9912"/>
    <s v="SC-006"/>
    <s v="SP 8303 S "/>
    <s v="1450AA-L-70045"/>
    <s v="1450AA-S-58303"/>
    <n v="1"/>
    <s v="PÇ"/>
    <n v="13"/>
    <n v="13"/>
    <n v="0"/>
    <n v="0"/>
    <n v="0"/>
    <n v="0.9"/>
    <n v="0.1"/>
    <m/>
    <m/>
    <m/>
    <n v="0"/>
    <m/>
    <n v="0"/>
    <n v="13"/>
    <m/>
    <n v="0"/>
    <n v="0"/>
    <n v="0"/>
    <m/>
    <m/>
    <m/>
    <n v="0"/>
    <n v="0"/>
    <n v="0"/>
    <n v="0"/>
    <m/>
    <m/>
  </r>
  <r>
    <n v="0"/>
    <s v="CMS S.60.10.000"/>
    <s v="SUPORTE"/>
    <m/>
    <m/>
    <m/>
    <m/>
    <m/>
    <m/>
    <m/>
    <m/>
    <s v="LINHA DO CIRCUITO ARENOSO LINHA DE DESCARGA  DO DISTRIBUIDOR DI-145A-9912"/>
    <s v="SC-006"/>
    <s v="SP 8304 A"/>
    <s v="1450AA-L-70045"/>
    <s v="1450AA-S-58304"/>
    <n v="1"/>
    <s v="PÇ"/>
    <n v="34.5"/>
    <n v="34.5"/>
    <n v="0"/>
    <n v="0"/>
    <n v="0"/>
    <n v="0.9"/>
    <n v="0.1"/>
    <m/>
    <m/>
    <m/>
    <n v="0"/>
    <m/>
    <n v="0"/>
    <n v="34.5"/>
    <m/>
    <n v="0"/>
    <n v="0"/>
    <n v="0"/>
    <m/>
    <m/>
    <m/>
    <n v="0"/>
    <n v="0"/>
    <n v="0"/>
    <n v="0"/>
    <m/>
    <m/>
  </r>
  <r>
    <n v="0"/>
    <s v="CMS S.60.10.000"/>
    <s v="SUPORTE"/>
    <m/>
    <m/>
    <m/>
    <m/>
    <m/>
    <m/>
    <m/>
    <m/>
    <s v="LINHA DO CIRCUITO ARENOSO LINHA DE DESCARGA  DO DISTRIBUIDOR DI-145A-9912"/>
    <s v="SC-006"/>
    <s v="SP 8304 B"/>
    <s v="1450AA-L-70045"/>
    <s v="1450AA-S-58304"/>
    <n v="1"/>
    <s v="PÇ"/>
    <n v="5.3999999999999995"/>
    <n v="5.3999999999999995"/>
    <n v="0"/>
    <n v="0"/>
    <n v="0"/>
    <n v="0.9"/>
    <n v="0.1"/>
    <m/>
    <m/>
    <m/>
    <n v="0"/>
    <m/>
    <n v="0"/>
    <n v="5.3999999999999995"/>
    <m/>
    <n v="0"/>
    <n v="0"/>
    <n v="0"/>
    <m/>
    <m/>
    <m/>
    <n v="0"/>
    <n v="0"/>
    <n v="0"/>
    <n v="0"/>
    <m/>
    <m/>
  </r>
  <r>
    <n v="0"/>
    <s v="CMS S.60.10.000"/>
    <s v="SUPORTE"/>
    <m/>
    <m/>
    <m/>
    <m/>
    <m/>
    <m/>
    <m/>
    <m/>
    <s v="LINHA DO CIRCUITO ARENOSO LINHA DE DESCARGA  DO DISTRIBUIDOR DI-145A-9912"/>
    <s v="SC-006"/>
    <s v="SP 8304 C"/>
    <s v="1450AA-L-70045"/>
    <s v="1450AA-S-58304"/>
    <n v="1"/>
    <s v="PÇ"/>
    <n v="16.900000000000002"/>
    <n v="16.900000000000002"/>
    <n v="0"/>
    <n v="0"/>
    <n v="0"/>
    <n v="0.9"/>
    <n v="0.1"/>
    <m/>
    <m/>
    <m/>
    <n v="0"/>
    <m/>
    <n v="0"/>
    <n v="16.900000000000002"/>
    <m/>
    <n v="0"/>
    <n v="0"/>
    <n v="0"/>
    <m/>
    <m/>
    <m/>
    <n v="0"/>
    <n v="0"/>
    <n v="0"/>
    <n v="0"/>
    <m/>
    <m/>
  </r>
  <r>
    <n v="0"/>
    <s v="CMS S.60.10.000"/>
    <s v="SUPORTE"/>
    <m/>
    <m/>
    <m/>
    <m/>
    <m/>
    <m/>
    <m/>
    <m/>
    <s v="LINHA DO CIRCUITO ARENOSO LINHA DE DESCARGA  DO DISTRIBUIDOR DI-145A-9912"/>
    <s v="SC-006"/>
    <s v="SP 8304 D"/>
    <s v="1450AA-L-70045"/>
    <s v="1450AA-S-58304"/>
    <n v="1"/>
    <s v="PÇ"/>
    <n v="15.799999999999999"/>
    <n v="15.799999999999999"/>
    <n v="0"/>
    <n v="0"/>
    <n v="0"/>
    <n v="0.9"/>
    <n v="0.1"/>
    <m/>
    <m/>
    <m/>
    <n v="0"/>
    <m/>
    <n v="0"/>
    <n v="15.799999999999999"/>
    <m/>
    <n v="0"/>
    <n v="0"/>
    <n v="0"/>
    <m/>
    <m/>
    <m/>
    <n v="0"/>
    <n v="0"/>
    <n v="0"/>
    <n v="0"/>
    <m/>
    <m/>
  </r>
  <r>
    <n v="0"/>
    <s v="CMS S.60.10.000"/>
    <s v="SUPORTE"/>
    <m/>
    <m/>
    <m/>
    <m/>
    <m/>
    <m/>
    <m/>
    <m/>
    <s v="LINHA DO CIRCUITO ARENOSO LINHA DE DESCARGA  DO DISTRIBUIDOR DI-145A-9912"/>
    <s v="SC-006"/>
    <s v="SP 8304 E"/>
    <s v="1450AA-L-70045"/>
    <s v="1450AA-S-58304"/>
    <n v="1"/>
    <s v="PÇ"/>
    <n v="23.8"/>
    <n v="23.8"/>
    <n v="0"/>
    <n v="0"/>
    <n v="0"/>
    <n v="0.9"/>
    <n v="0.1"/>
    <m/>
    <m/>
    <m/>
    <n v="0"/>
    <m/>
    <n v="0"/>
    <n v="23.8"/>
    <m/>
    <n v="0"/>
    <n v="0"/>
    <n v="0"/>
    <m/>
    <m/>
    <m/>
    <n v="0"/>
    <n v="0"/>
    <n v="0"/>
    <n v="0"/>
    <m/>
    <m/>
  </r>
  <r>
    <n v="0"/>
    <s v="CMS S.60.10.000"/>
    <s v="SUPORTE"/>
    <m/>
    <m/>
    <m/>
    <m/>
    <m/>
    <m/>
    <m/>
    <m/>
    <s v="LINHA DO CIRCUITO ARENOSO LINHA DE DESCARGA  DO DISTRIBUIDOR DI-145A-9912"/>
    <s v="SC-006"/>
    <s v="SP 8304 F"/>
    <s v="1450AA-L-70045"/>
    <s v="1450AA-S-58304"/>
    <n v="1"/>
    <s v="PÇ"/>
    <n v="0.5"/>
    <n v="0.5"/>
    <n v="0"/>
    <n v="0"/>
    <n v="0"/>
    <n v="0.9"/>
    <n v="0.1"/>
    <m/>
    <m/>
    <m/>
    <n v="0"/>
    <m/>
    <n v="0"/>
    <n v="0.5"/>
    <m/>
    <n v="0"/>
    <n v="0"/>
    <n v="0"/>
    <m/>
    <m/>
    <m/>
    <n v="0"/>
    <n v="0"/>
    <n v="0"/>
    <n v="0"/>
    <m/>
    <m/>
  </r>
  <r>
    <n v="0"/>
    <s v="CMS S.60.10.000"/>
    <s v="SUPORTE"/>
    <m/>
    <m/>
    <m/>
    <m/>
    <m/>
    <m/>
    <m/>
    <m/>
    <s v="LINHA DO CIRCUITO ARENOSO LINHA DE DESCARGA  DO DISTRIBUIDOR DI-145A-9913"/>
    <s v="SC-006"/>
    <s v="SP 8305 A"/>
    <s v="1450AA-L-70046"/>
    <s v="1450AA-S-58305"/>
    <n v="2"/>
    <s v="PÇ"/>
    <n v="48.1"/>
    <n v="96.2"/>
    <n v="0"/>
    <n v="0"/>
    <n v="0"/>
    <n v="0.9"/>
    <n v="0.1"/>
    <m/>
    <m/>
    <m/>
    <n v="0"/>
    <m/>
    <n v="0"/>
    <n v="96.2"/>
    <m/>
    <n v="0"/>
    <n v="0"/>
    <n v="0"/>
    <m/>
    <m/>
    <m/>
    <n v="0"/>
    <n v="0"/>
    <n v="0"/>
    <n v="0"/>
    <m/>
    <m/>
  </r>
  <r>
    <n v="0"/>
    <s v="CMS S.60.10.000"/>
    <s v="SUPORTE"/>
    <m/>
    <m/>
    <m/>
    <m/>
    <m/>
    <m/>
    <m/>
    <m/>
    <s v="LINHA DO CIRCUITO ARENOSO LINHA DE DESCARGA  DO DISTRIBUIDOR DI-145A-9913"/>
    <s v="SC-006"/>
    <s v="SP 8305 B"/>
    <s v="1450AA-L-70046"/>
    <s v="1450AA-S-58305"/>
    <n v="2"/>
    <s v="PÇ"/>
    <n v="49.8"/>
    <n v="99.6"/>
    <n v="0"/>
    <n v="0"/>
    <n v="0"/>
    <n v="0.9"/>
    <n v="0.1"/>
    <m/>
    <m/>
    <m/>
    <n v="0"/>
    <m/>
    <n v="0"/>
    <n v="99.6"/>
    <m/>
    <n v="0"/>
    <n v="0"/>
    <n v="0"/>
    <m/>
    <m/>
    <m/>
    <n v="0"/>
    <n v="0"/>
    <n v="0"/>
    <n v="0"/>
    <m/>
    <m/>
  </r>
  <r>
    <n v="0"/>
    <s v="CMS S.60.10.000"/>
    <s v="SUPORTE"/>
    <m/>
    <m/>
    <m/>
    <m/>
    <m/>
    <m/>
    <m/>
    <m/>
    <s v="LINHA DO CIRCUITO ARENOSO LINHA DE DESCARGA  DO DISTRIBUIDOR DI-145A-9913"/>
    <s v="SC-006"/>
    <s v="SP 8305 C"/>
    <s v="1450AA-L-70046"/>
    <s v="1450AA-S-58305"/>
    <n v="3"/>
    <s v="PÇ"/>
    <n v="48"/>
    <n v="144"/>
    <n v="0"/>
    <n v="0"/>
    <n v="0"/>
    <n v="0.9"/>
    <n v="0.1"/>
    <m/>
    <m/>
    <m/>
    <n v="0"/>
    <m/>
    <n v="0"/>
    <n v="144"/>
    <m/>
    <n v="0"/>
    <n v="0"/>
    <n v="0"/>
    <m/>
    <m/>
    <m/>
    <n v="0"/>
    <n v="0"/>
    <n v="0"/>
    <n v="0"/>
    <m/>
    <m/>
  </r>
  <r>
    <n v="0"/>
    <s v="CMS S.60.10.000"/>
    <s v="SUPORTE"/>
    <m/>
    <m/>
    <m/>
    <m/>
    <m/>
    <m/>
    <m/>
    <m/>
    <s v="LINHA DO CIRCUITO ARENOSO LINHA DE DESCARGA  DO DISTRIBUIDOR DI-145A-9913"/>
    <s v="SC-006"/>
    <s v="SP 8305 D"/>
    <s v="1450AA-L-70046"/>
    <s v="1450AA-S-58305"/>
    <n v="3"/>
    <s v="PÇ"/>
    <n v="39.200000000000003"/>
    <n v="117.60000000000001"/>
    <n v="0"/>
    <n v="0"/>
    <n v="0"/>
    <n v="0.9"/>
    <n v="0.1"/>
    <m/>
    <m/>
    <m/>
    <n v="0"/>
    <m/>
    <n v="0"/>
    <n v="117.60000000000001"/>
    <m/>
    <n v="0"/>
    <n v="0"/>
    <n v="0"/>
    <m/>
    <m/>
    <m/>
    <n v="0"/>
    <n v="0"/>
    <n v="0"/>
    <n v="0"/>
    <m/>
    <m/>
  </r>
  <r>
    <n v="0"/>
    <s v="CMS S.60.10.000"/>
    <s v="SUPORTE"/>
    <m/>
    <m/>
    <m/>
    <m/>
    <m/>
    <m/>
    <m/>
    <m/>
    <s v="LINHA DO CIRCUITO ARENOSO LINHA DE DESCARGA  DO DISTRIBUIDOR DI-145A-9913"/>
    <s v="SC-006"/>
    <s v="SP 8305 E"/>
    <s v="1450AA-L-70046"/>
    <s v="1450AA-S-58305"/>
    <n v="1"/>
    <s v="PÇ"/>
    <n v="34.299999999999997"/>
    <n v="34.299999999999997"/>
    <n v="0"/>
    <n v="0"/>
    <n v="0"/>
    <n v="0.9"/>
    <n v="0.1"/>
    <m/>
    <m/>
    <m/>
    <n v="0"/>
    <m/>
    <n v="0"/>
    <n v="34.299999999999997"/>
    <m/>
    <n v="0"/>
    <n v="0"/>
    <n v="0"/>
    <m/>
    <m/>
    <m/>
    <n v="0"/>
    <n v="0"/>
    <n v="0"/>
    <n v="0"/>
    <m/>
    <m/>
  </r>
  <r>
    <n v="0"/>
    <s v="CMS S.60.10.000"/>
    <s v="SUPORTE"/>
    <m/>
    <m/>
    <m/>
    <m/>
    <m/>
    <m/>
    <m/>
    <m/>
    <s v="LINHA DO CIRCUITO ARENOSO LINHA DE DESCARGA  DO DISTRIBUIDOR DI-145A-9913"/>
    <s v="SC-006"/>
    <s v="SP 8305 F"/>
    <s v="1450AA-L-70046"/>
    <s v="1450AA-S-58305"/>
    <n v="4"/>
    <s v="PÇ"/>
    <n v="23.6"/>
    <n v="94.4"/>
    <n v="0"/>
    <n v="0"/>
    <n v="0"/>
    <n v="0.9"/>
    <n v="0.1"/>
    <m/>
    <m/>
    <m/>
    <n v="0"/>
    <m/>
    <n v="0"/>
    <n v="94.4"/>
    <m/>
    <n v="0"/>
    <n v="0"/>
    <n v="0"/>
    <m/>
    <m/>
    <m/>
    <n v="0"/>
    <n v="0"/>
    <n v="0"/>
    <n v="0"/>
    <m/>
    <m/>
  </r>
  <r>
    <n v="0"/>
    <s v="CMS S.60.10.000"/>
    <s v="SUPORTE"/>
    <m/>
    <m/>
    <m/>
    <m/>
    <m/>
    <m/>
    <m/>
    <m/>
    <s v="LINHA DO CIRCUITO ARENOSO LINHA DE DESCARGA  DO DISTRIBUIDOR DI-145A-9913"/>
    <s v="SC-006"/>
    <s v="SP 8305 G"/>
    <s v="1450AA-L-70046"/>
    <s v="1450AA-S-58305"/>
    <n v="1"/>
    <s v="PÇ"/>
    <n v="7.8"/>
    <n v="7.8"/>
    <n v="0"/>
    <n v="0"/>
    <n v="0"/>
    <n v="0.9"/>
    <n v="0.1"/>
    <m/>
    <m/>
    <m/>
    <n v="0"/>
    <m/>
    <n v="0"/>
    <n v="7.8"/>
    <m/>
    <n v="0"/>
    <n v="0"/>
    <n v="0"/>
    <m/>
    <m/>
    <m/>
    <n v="0"/>
    <n v="0"/>
    <n v="0"/>
    <n v="0"/>
    <m/>
    <m/>
  </r>
  <r>
    <n v="0"/>
    <s v="CMS S.60.10.000"/>
    <s v="SUPORTE"/>
    <m/>
    <m/>
    <m/>
    <m/>
    <m/>
    <m/>
    <m/>
    <m/>
    <s v="LINHA DO CIRCUITO ARENOSO LINHA DE DESCARGA  DO DISTRIBUIDOR DI-145A-9913"/>
    <s v="SC-006"/>
    <s v="SP 8305 H"/>
    <s v="1450AA-L-70046"/>
    <s v="1450AA-S-58305"/>
    <n v="2"/>
    <s v="PÇ"/>
    <n v="66"/>
    <n v="132"/>
    <n v="0"/>
    <n v="0"/>
    <n v="0"/>
    <n v="0.9"/>
    <n v="0.1"/>
    <m/>
    <m/>
    <m/>
    <n v="0"/>
    <m/>
    <n v="0"/>
    <n v="132"/>
    <m/>
    <n v="0"/>
    <n v="0"/>
    <n v="0"/>
    <m/>
    <m/>
    <m/>
    <n v="0"/>
    <n v="0"/>
    <n v="0"/>
    <n v="0"/>
    <m/>
    <m/>
  </r>
  <r>
    <n v="0"/>
    <s v="CMS S.60.10.000"/>
    <s v="SUPORTE"/>
    <m/>
    <m/>
    <m/>
    <m/>
    <m/>
    <m/>
    <m/>
    <m/>
    <s v="LINHA DO CIRCUITO ARENOSO LINHA DE DESCARGA  DO DISTRIBUIDOR DI-145A-9913"/>
    <s v="SC-006"/>
    <s v="SP 8305 J"/>
    <s v="1450AA-L-70046"/>
    <s v="1450AA-S-58305"/>
    <n v="1"/>
    <s v="PÇ"/>
    <n v="8.9"/>
    <n v="8.9"/>
    <n v="0"/>
    <n v="0"/>
    <n v="0"/>
    <n v="0.9"/>
    <n v="0.1"/>
    <m/>
    <m/>
    <m/>
    <n v="0"/>
    <m/>
    <n v="0"/>
    <n v="8.9"/>
    <m/>
    <n v="0"/>
    <n v="0"/>
    <n v="0"/>
    <m/>
    <m/>
    <m/>
    <n v="0"/>
    <n v="0"/>
    <n v="0"/>
    <n v="0"/>
    <m/>
    <m/>
  </r>
  <r>
    <n v="0"/>
    <s v="CMS S.60.10.000"/>
    <s v="SUPORTE"/>
    <m/>
    <m/>
    <m/>
    <m/>
    <m/>
    <m/>
    <m/>
    <m/>
    <s v="LINHA DO CIRCUITO ARENOSO LINHA DE DESCARGA  DO DISTRIBUIDOR DI-145A-9913"/>
    <s v="SC-006"/>
    <s v="SP 8305 K"/>
    <s v="1450AA-L-70046"/>
    <s v="1450AA-S-58305"/>
    <n v="1"/>
    <s v="PÇ"/>
    <n v="7.3"/>
    <n v="7.3"/>
    <n v="0"/>
    <n v="0"/>
    <n v="0"/>
    <n v="0.9"/>
    <n v="0.1"/>
    <m/>
    <m/>
    <m/>
    <n v="0"/>
    <m/>
    <n v="0"/>
    <n v="7.3"/>
    <m/>
    <n v="0"/>
    <n v="0"/>
    <n v="0"/>
    <m/>
    <m/>
    <m/>
    <n v="0"/>
    <n v="0"/>
    <n v="0"/>
    <n v="0"/>
    <m/>
    <m/>
  </r>
  <r>
    <n v="0"/>
    <s v="CMS S.60.10.000"/>
    <s v="SUPORTE"/>
    <m/>
    <m/>
    <m/>
    <m/>
    <m/>
    <m/>
    <m/>
    <m/>
    <s v="LINHA DO CIRCUITO ARENOSO LINHA DE DESCARGA  DO DISTRIBUIDOR DI-145A-9913"/>
    <s v="SC-006"/>
    <s v="SP 8305 L"/>
    <s v="1450AA-L-70046"/>
    <s v="1450AA-S-58305"/>
    <n v="3"/>
    <s v="PÇ"/>
    <n v="7.3"/>
    <n v="21.9"/>
    <n v="0"/>
    <n v="0"/>
    <n v="0"/>
    <n v="0.9"/>
    <n v="0.1"/>
    <m/>
    <m/>
    <m/>
    <n v="0"/>
    <m/>
    <n v="0"/>
    <n v="21.9"/>
    <m/>
    <n v="0"/>
    <n v="0"/>
    <n v="0"/>
    <m/>
    <m/>
    <m/>
    <n v="0"/>
    <n v="0"/>
    <n v="0"/>
    <n v="0"/>
    <m/>
    <m/>
  </r>
  <r>
    <n v="0"/>
    <s v="CMS S.60.10.000"/>
    <s v="SUPORTE"/>
    <m/>
    <m/>
    <m/>
    <m/>
    <m/>
    <m/>
    <m/>
    <m/>
    <s v="LINHA DO CIRCUITO ARENOSO LINHA DE DESCARGA  DO DISTRIBUIDOR DI-145A-9914"/>
    <s v="SC-006"/>
    <s v="SP 8306 A"/>
    <m/>
    <s v="1450AA-S-58306"/>
    <n v="2"/>
    <s v="PÇ"/>
    <n v="49.8"/>
    <n v="99.6"/>
    <n v="0"/>
    <n v="0"/>
    <n v="0"/>
    <n v="0.9"/>
    <n v="0.1"/>
    <m/>
    <m/>
    <m/>
    <n v="0"/>
    <m/>
    <n v="0"/>
    <n v="99.6"/>
    <m/>
    <n v="0"/>
    <n v="0"/>
    <n v="0"/>
    <m/>
    <m/>
    <m/>
    <n v="0"/>
    <n v="0"/>
    <n v="0"/>
    <n v="0"/>
    <m/>
    <m/>
  </r>
  <r>
    <n v="0"/>
    <s v="CMS S.60.10.000"/>
    <s v="SUPORTE"/>
    <m/>
    <m/>
    <m/>
    <m/>
    <m/>
    <m/>
    <m/>
    <m/>
    <s v="LINHA DO CIRCUITO ARENOSO LINHA DE DESCARGA  DO DISTRIBUIDOR DI-145A-9914"/>
    <s v="SC-006"/>
    <s v="SP 8306 B"/>
    <m/>
    <s v="1450AA-S-58306"/>
    <n v="1"/>
    <s v="PÇ"/>
    <n v="70.7"/>
    <n v="70.7"/>
    <n v="0"/>
    <n v="0"/>
    <n v="0"/>
    <n v="0.9"/>
    <n v="0.1"/>
    <m/>
    <m/>
    <m/>
    <n v="0"/>
    <m/>
    <n v="0"/>
    <n v="70.7"/>
    <m/>
    <n v="0"/>
    <n v="0"/>
    <n v="0"/>
    <m/>
    <m/>
    <m/>
    <n v="0"/>
    <n v="0"/>
    <n v="0"/>
    <n v="0"/>
    <m/>
    <m/>
  </r>
  <r>
    <n v="0"/>
    <s v="CMS S.60.10.000"/>
    <s v="SUPORTE"/>
    <m/>
    <m/>
    <m/>
    <m/>
    <m/>
    <m/>
    <m/>
    <m/>
    <s v="LINHA DO CIRCUITO ARENOSO LINHA DE DESCARGA  DO DISTRIBUIDOR DI-145A-9914"/>
    <s v="SC-006"/>
    <s v="SP 8306 C"/>
    <m/>
    <s v="1450AA-S-58306"/>
    <n v="9"/>
    <s v="PÇ"/>
    <n v="7.2"/>
    <n v="64.8"/>
    <n v="0"/>
    <n v="0"/>
    <n v="0"/>
    <n v="0.9"/>
    <n v="0.1"/>
    <m/>
    <m/>
    <m/>
    <n v="0"/>
    <m/>
    <n v="0"/>
    <n v="64.8"/>
    <m/>
    <n v="0"/>
    <n v="0"/>
    <n v="0"/>
    <m/>
    <m/>
    <m/>
    <n v="0"/>
    <n v="0"/>
    <n v="0"/>
    <n v="0"/>
    <m/>
    <m/>
  </r>
  <r>
    <n v="0"/>
    <s v="CMS S.60.10.000"/>
    <s v="SUPORTE"/>
    <m/>
    <m/>
    <m/>
    <m/>
    <m/>
    <m/>
    <m/>
    <m/>
    <s v="LINHA DO CIRCUITO ARENOSO LINHA DE DESCARGA  DO DISTRIBUIDOR DI-145A-9914"/>
    <s v="SC-006"/>
    <s v="SP 8306 D"/>
    <m/>
    <s v="1450AA-S-58306"/>
    <n v="1"/>
    <s v="PÇ"/>
    <n v="13.1"/>
    <n v="13.1"/>
    <n v="0"/>
    <n v="0"/>
    <n v="0"/>
    <n v="0.9"/>
    <n v="0.1"/>
    <m/>
    <m/>
    <m/>
    <n v="0"/>
    <m/>
    <n v="0"/>
    <n v="13.1"/>
    <m/>
    <n v="0"/>
    <n v="0"/>
    <n v="0"/>
    <m/>
    <m/>
    <m/>
    <n v="0"/>
    <n v="0"/>
    <n v="0"/>
    <n v="0"/>
    <m/>
    <m/>
  </r>
  <r>
    <n v="0"/>
    <s v="CMS S.60.10.000"/>
    <s v="SUPORTE"/>
    <m/>
    <m/>
    <m/>
    <m/>
    <m/>
    <m/>
    <m/>
    <m/>
    <s v="LINHA DO CIRCUITO ARENOSO LINHA DE DESCARGA  DO DISTRIBUIDOR DI-145A-9914"/>
    <s v="SC-006"/>
    <s v="SP 8306 E"/>
    <m/>
    <s v="1450AA-S-58306"/>
    <n v="1"/>
    <s v="PÇ"/>
    <n v="8.5"/>
    <n v="8.5"/>
    <n v="0"/>
    <n v="0"/>
    <n v="0"/>
    <n v="0.9"/>
    <n v="0.1"/>
    <m/>
    <m/>
    <m/>
    <n v="0"/>
    <m/>
    <n v="0"/>
    <n v="8.5"/>
    <m/>
    <n v="0"/>
    <n v="0"/>
    <n v="0"/>
    <m/>
    <m/>
    <m/>
    <n v="0"/>
    <n v="0"/>
    <n v="0"/>
    <n v="0"/>
    <m/>
    <m/>
  </r>
  <r>
    <n v="0"/>
    <s v="CMS S.60.10.000"/>
    <s v="SUPORTE"/>
    <m/>
    <m/>
    <m/>
    <m/>
    <m/>
    <m/>
    <m/>
    <m/>
    <s v="LINHA DO CIRCUITO ARENOSO LINHA DE DESCARGA  DO DISTRIBUIDOR DI-145A-9914"/>
    <s v="SC-006"/>
    <s v="SP 8306 F"/>
    <m/>
    <s v="1450AA-S-58306"/>
    <n v="1"/>
    <s v="PÇ"/>
    <n v="5.8"/>
    <n v="5.8"/>
    <n v="0"/>
    <n v="0"/>
    <n v="0"/>
    <n v="0.9"/>
    <n v="0.1"/>
    <m/>
    <m/>
    <m/>
    <n v="0"/>
    <m/>
    <n v="0"/>
    <n v="5.8"/>
    <m/>
    <n v="0"/>
    <n v="0"/>
    <n v="0"/>
    <m/>
    <m/>
    <m/>
    <n v="0"/>
    <n v="0"/>
    <n v="0"/>
    <n v="0"/>
    <m/>
    <m/>
  </r>
  <r>
    <n v="0"/>
    <s v="CMS S.60.10.000"/>
    <s v="SUPORTE"/>
    <m/>
    <m/>
    <m/>
    <m/>
    <m/>
    <m/>
    <m/>
    <m/>
    <s v="LINHA DO CIRCUITO ARENOSO LINHA DE DESCARGA  DO DISTRIBUIDOR DI-145A-9914"/>
    <s v="SC-006"/>
    <s v="SP 8306 G"/>
    <m/>
    <s v="1450AA-S-58306"/>
    <n v="1"/>
    <s v="PÇ"/>
    <n v="3.5"/>
    <n v="3.5"/>
    <n v="0"/>
    <n v="0"/>
    <n v="0"/>
    <n v="0.9"/>
    <n v="0.1"/>
    <m/>
    <m/>
    <m/>
    <n v="0"/>
    <m/>
    <n v="0"/>
    <n v="3.5"/>
    <m/>
    <n v="0"/>
    <n v="0"/>
    <n v="0"/>
    <m/>
    <m/>
    <m/>
    <n v="0"/>
    <n v="0"/>
    <n v="0"/>
    <n v="0"/>
    <m/>
    <m/>
  </r>
  <r>
    <n v="0"/>
    <s v="CMS S.60.10.000"/>
    <s v="SUPORTE"/>
    <m/>
    <m/>
    <m/>
    <m/>
    <m/>
    <m/>
    <m/>
    <m/>
    <s v="LINHA DO CIRCUITO ARENOSO LINHA DE DESCARGA  DO DISTRIBUIDOR DI-145A-9914"/>
    <s v="SC-006"/>
    <s v="SP 8306 H"/>
    <m/>
    <s v="1450AA-S-58306"/>
    <n v="1"/>
    <s v="PÇ"/>
    <n v="30.6"/>
    <n v="30.6"/>
    <n v="0"/>
    <n v="0"/>
    <n v="0"/>
    <n v="0.9"/>
    <n v="0.1"/>
    <m/>
    <m/>
    <m/>
    <n v="0"/>
    <m/>
    <n v="0"/>
    <n v="30.6"/>
    <m/>
    <n v="0"/>
    <n v="0"/>
    <n v="0"/>
    <m/>
    <m/>
    <m/>
    <n v="0"/>
    <n v="0"/>
    <n v="0"/>
    <n v="0"/>
    <m/>
    <m/>
  </r>
  <r>
    <n v="0"/>
    <s v="CMS S.60.10.000"/>
    <s v="SUPORTE"/>
    <m/>
    <m/>
    <m/>
    <m/>
    <m/>
    <m/>
    <m/>
    <m/>
    <s v="LINHA DO CIRCUITO ARENOSO LINHA DE DESCARGA  DO DISTRIBUIDOR DI-145A-9914"/>
    <s v="SC-006"/>
    <s v="SP 8306 J"/>
    <m/>
    <s v="1450AA-S-58306"/>
    <n v="1"/>
    <s v="PÇ"/>
    <n v="17.5"/>
    <n v="17.5"/>
    <n v="0"/>
    <n v="0"/>
    <n v="0"/>
    <n v="0.9"/>
    <n v="0.1"/>
    <m/>
    <m/>
    <m/>
    <n v="0"/>
    <m/>
    <n v="0"/>
    <n v="17.5"/>
    <m/>
    <n v="0"/>
    <n v="0"/>
    <n v="0"/>
    <m/>
    <m/>
    <m/>
    <n v="0"/>
    <n v="0"/>
    <n v="0"/>
    <n v="0"/>
    <m/>
    <m/>
  </r>
  <r>
    <n v="0"/>
    <s v="CMS S.60.10.000"/>
    <s v="SUPORTE"/>
    <m/>
    <m/>
    <m/>
    <m/>
    <m/>
    <m/>
    <m/>
    <m/>
    <s v="LINHA DO CIRCUITO ARENOSO LINHA DE DESCARGA  DO DISTRIBUIDOR DI-145A-9914"/>
    <s v="SC-006"/>
    <s v="SP 8306 K"/>
    <m/>
    <s v="1450AA-S-58306"/>
    <n v="1"/>
    <s v="PÇ"/>
    <n v="11"/>
    <n v="11"/>
    <n v="0"/>
    <n v="0"/>
    <n v="0"/>
    <n v="0.9"/>
    <n v="0.1"/>
    <m/>
    <m/>
    <m/>
    <n v="0"/>
    <m/>
    <n v="0"/>
    <n v="11"/>
    <m/>
    <n v="0"/>
    <n v="0"/>
    <n v="0"/>
    <m/>
    <m/>
    <m/>
    <n v="0"/>
    <n v="0"/>
    <n v="0"/>
    <n v="0"/>
    <m/>
    <m/>
  </r>
  <r>
    <n v="0"/>
    <s v="CMS S.60.10.000"/>
    <s v="SUPORTE"/>
    <m/>
    <m/>
    <m/>
    <m/>
    <m/>
    <m/>
    <m/>
    <m/>
    <s v="LINHA DO CIRCUITO ARENOSO LINHA DE DESCARGA  DO DISTRIBUIDOR DI-145A-9914"/>
    <s v="SC-006"/>
    <s v="SP 8306 L"/>
    <m/>
    <s v="1450AA-S-58306"/>
    <n v="3"/>
    <s v="PÇ"/>
    <n v="41.5"/>
    <n v="124.5"/>
    <n v="0"/>
    <n v="0"/>
    <n v="0"/>
    <n v="0.9"/>
    <n v="0.1"/>
    <m/>
    <m/>
    <m/>
    <n v="0"/>
    <m/>
    <n v="0"/>
    <n v="124.5"/>
    <m/>
    <n v="0"/>
    <n v="0"/>
    <n v="0"/>
    <m/>
    <m/>
    <m/>
    <n v="0"/>
    <n v="0"/>
    <n v="0"/>
    <n v="0"/>
    <m/>
    <m/>
  </r>
  <r>
    <n v="0"/>
    <s v="CMS S.60.10.000"/>
    <s v="SUPORTE"/>
    <m/>
    <m/>
    <m/>
    <m/>
    <m/>
    <m/>
    <m/>
    <m/>
    <s v="LINHA DO CIRCUITO ARENOSO LINHA DE DESCARGA  DO DISTRIBUIDOR DI-145A-9914"/>
    <s v="SC-006"/>
    <s v="SP 8306 M"/>
    <m/>
    <s v="1450AA-S-58306"/>
    <n v="3"/>
    <s v="PÇ"/>
    <n v="38.800000000000004"/>
    <n v="116.4"/>
    <n v="0"/>
    <n v="0"/>
    <n v="0"/>
    <n v="0.9"/>
    <n v="0.1"/>
    <m/>
    <m/>
    <m/>
    <n v="0"/>
    <m/>
    <n v="0"/>
    <n v="116.4"/>
    <m/>
    <n v="0"/>
    <n v="0"/>
    <n v="0"/>
    <m/>
    <m/>
    <m/>
    <n v="0"/>
    <n v="0"/>
    <n v="0"/>
    <n v="0"/>
    <m/>
    <m/>
  </r>
  <r>
    <n v="0"/>
    <s v="CMS S.60.10.000"/>
    <s v="SUPORTE"/>
    <m/>
    <m/>
    <m/>
    <m/>
    <m/>
    <m/>
    <m/>
    <m/>
    <s v="LINHA DO CIRCUITO ARENOSO LINHA DE DESCARGA  DO DISTRIBUIDOR DI-145A-9914"/>
    <s v="SC-006"/>
    <s v="SP 8306 N"/>
    <m/>
    <s v="1450AA-S-58306"/>
    <n v="1"/>
    <s v="PÇ"/>
    <n v="3.1999999999999997"/>
    <n v="3.1999999999999997"/>
    <n v="0"/>
    <n v="0"/>
    <n v="0"/>
    <n v="0.9"/>
    <n v="0.1"/>
    <m/>
    <m/>
    <m/>
    <n v="0"/>
    <m/>
    <n v="0"/>
    <n v="3.1999999999999997"/>
    <m/>
    <n v="0"/>
    <n v="0"/>
    <n v="0"/>
    <m/>
    <m/>
    <m/>
    <n v="0"/>
    <n v="0"/>
    <n v="0"/>
    <n v="0"/>
    <m/>
    <m/>
  </r>
  <r>
    <n v="0"/>
    <s v="CMS S.60.10.000"/>
    <s v="SUPORTE"/>
    <m/>
    <m/>
    <m/>
    <m/>
    <m/>
    <m/>
    <m/>
    <m/>
    <s v="LINHA DO CIRCUITO ARENOSO LINHA DE DESCARGA  DO DISTRIBUIDOR DI-145A-9914"/>
    <s v="SC-006"/>
    <s v="SP 8306 P"/>
    <m/>
    <s v="1450AA-S-58306"/>
    <n v="1"/>
    <s v="PÇ"/>
    <n v="2.3000000000000003"/>
    <n v="2.3000000000000003"/>
    <n v="0"/>
    <n v="0"/>
    <n v="0"/>
    <n v="0.9"/>
    <n v="0.1"/>
    <m/>
    <m/>
    <m/>
    <n v="0"/>
    <m/>
    <n v="0"/>
    <n v="2.3000000000000003"/>
    <m/>
    <n v="0"/>
    <n v="0"/>
    <n v="0"/>
    <m/>
    <m/>
    <m/>
    <n v="0"/>
    <n v="0"/>
    <n v="0"/>
    <n v="0"/>
    <m/>
    <m/>
  </r>
  <r>
    <n v="0"/>
    <s v="CMS S.60.10.000"/>
    <s v="SUPORTE"/>
    <m/>
    <m/>
    <m/>
    <m/>
    <m/>
    <m/>
    <m/>
    <m/>
    <s v="LINHA DO CIRCUITO ARENOSO LINHA DE DESCARGA  DO DISTRIBUIDOR DI-145A-9914"/>
    <s v="SC-006"/>
    <s v="SP 8306 Q"/>
    <m/>
    <s v="1450AA-S-58306"/>
    <n v="1"/>
    <s v="PÇ"/>
    <n v="0.6"/>
    <n v="0.6"/>
    <n v="0"/>
    <n v="0"/>
    <n v="0"/>
    <n v="0.9"/>
    <n v="0.1"/>
    <m/>
    <m/>
    <m/>
    <n v="0"/>
    <m/>
    <n v="0"/>
    <n v="0.6"/>
    <m/>
    <n v="0"/>
    <n v="0"/>
    <n v="0"/>
    <m/>
    <m/>
    <m/>
    <n v="0"/>
    <n v="0"/>
    <n v="0"/>
    <n v="0"/>
    <m/>
    <m/>
  </r>
  <r>
    <n v="0"/>
    <s v="CMS S.60.10.000"/>
    <s v="SUPORTE"/>
    <m/>
    <m/>
    <m/>
    <m/>
    <m/>
    <m/>
    <m/>
    <m/>
    <s v="LINHA DO CIRCUITO ARENOSO LINHA DE DESCARGA  DO DISTRIBUIDOR DI-145A-9914"/>
    <s v="SC-006"/>
    <s v="SP 8306 R"/>
    <m/>
    <s v="1450AA-S-58306"/>
    <n v="1"/>
    <s v="PÇ"/>
    <n v="0.5"/>
    <n v="0.5"/>
    <n v="0"/>
    <n v="0"/>
    <n v="0"/>
    <n v="0.9"/>
    <n v="0.1"/>
    <m/>
    <m/>
    <m/>
    <n v="0"/>
    <m/>
    <n v="0"/>
    <n v="0.5"/>
    <m/>
    <n v="0"/>
    <n v="0"/>
    <n v="0"/>
    <m/>
    <m/>
    <m/>
    <n v="0"/>
    <n v="0"/>
    <n v="0"/>
    <n v="0"/>
    <m/>
    <m/>
  </r>
  <r>
    <n v="0"/>
    <s v="CMS S.60.10.000"/>
    <s v="SUPORTE"/>
    <m/>
    <m/>
    <m/>
    <m/>
    <m/>
    <m/>
    <m/>
    <m/>
    <s v="LINHA DO CIRCUITO ARENOSO LINHA DE DESCARGA  DO DISTRIBUIDOR DI-145A-9914"/>
    <s v="SC-006"/>
    <s v="SP 8306 S"/>
    <m/>
    <s v="1450AA-S-58306"/>
    <n v="1"/>
    <s v="PÇ"/>
    <n v="13.4"/>
    <n v="13.4"/>
    <n v="0"/>
    <n v="0"/>
    <n v="0"/>
    <n v="0.9"/>
    <n v="0.1"/>
    <m/>
    <m/>
    <m/>
    <n v="0"/>
    <m/>
    <n v="0"/>
    <n v="13.4"/>
    <m/>
    <n v="0"/>
    <n v="0"/>
    <n v="0"/>
    <m/>
    <m/>
    <m/>
    <n v="0"/>
    <n v="0"/>
    <n v="0"/>
    <n v="0"/>
    <m/>
    <m/>
  </r>
  <r>
    <n v="0"/>
    <s v="CMS S.60.10.000"/>
    <s v="SUPORTE"/>
    <m/>
    <m/>
    <m/>
    <m/>
    <m/>
    <m/>
    <m/>
    <m/>
    <s v="LINHA DO CIRCUITO ARENOSO LINHA DE DESCARGA  DO DISTRIBUIDOR DI-145A-9914"/>
    <s v="SC-006"/>
    <s v="SP 8306 T"/>
    <m/>
    <s v="1450AA-S-58306"/>
    <n v="1"/>
    <s v="PÇ"/>
    <n v="10"/>
    <n v="10"/>
    <n v="0"/>
    <n v="0"/>
    <n v="0"/>
    <n v="0.9"/>
    <n v="0.1"/>
    <m/>
    <m/>
    <m/>
    <n v="0"/>
    <m/>
    <n v="0"/>
    <n v="10"/>
    <m/>
    <n v="0"/>
    <n v="0"/>
    <n v="0"/>
    <m/>
    <m/>
    <m/>
    <n v="0"/>
    <n v="0"/>
    <n v="0"/>
    <n v="0"/>
    <m/>
    <m/>
  </r>
  <r>
    <n v="0"/>
    <s v="CMS S.60.10.000"/>
    <s v="SUPORTE"/>
    <m/>
    <m/>
    <m/>
    <m/>
    <m/>
    <m/>
    <m/>
    <m/>
    <s v="LINHA DE UNDERFLOW DAS PENEIRAS DESAGUADORAS"/>
    <s v="SC-026"/>
    <s v="SP 8307 A"/>
    <s v="1450AA-L-70113"/>
    <s v="1450AA-S-58307"/>
    <n v="1"/>
    <s v="PÇ"/>
    <n v="12.7"/>
    <n v="12.7"/>
    <n v="0"/>
    <n v="0"/>
    <n v="0"/>
    <n v="0.9"/>
    <n v="0.1"/>
    <m/>
    <m/>
    <m/>
    <n v="0"/>
    <m/>
    <n v="0"/>
    <n v="12.7"/>
    <m/>
    <n v="0"/>
    <n v="0"/>
    <n v="0"/>
    <m/>
    <m/>
    <m/>
    <n v="0"/>
    <n v="0"/>
    <n v="0"/>
    <n v="0"/>
    <m/>
    <m/>
  </r>
  <r>
    <n v="0"/>
    <s v="CMS S.60.10.000"/>
    <s v="SUPORTE"/>
    <m/>
    <m/>
    <m/>
    <m/>
    <m/>
    <m/>
    <m/>
    <m/>
    <s v="LINHA DE UNDERFLOW DAS PENEIRAS DESAGUADORAS"/>
    <s v="SC-026"/>
    <s v="SP 8307 B"/>
    <s v="1450AA-L-70113"/>
    <s v="1450AA-S-58307"/>
    <n v="1"/>
    <s v="PÇ"/>
    <n v="24.5"/>
    <n v="24.5"/>
    <n v="0"/>
    <n v="0"/>
    <n v="0"/>
    <n v="0.9"/>
    <n v="0.1"/>
    <m/>
    <m/>
    <m/>
    <n v="0"/>
    <m/>
    <n v="0"/>
    <n v="24.5"/>
    <m/>
    <n v="0"/>
    <n v="0"/>
    <n v="0"/>
    <m/>
    <m/>
    <m/>
    <n v="0"/>
    <n v="0"/>
    <n v="0"/>
    <n v="0"/>
    <m/>
    <m/>
  </r>
  <r>
    <n v="0"/>
    <s v="CMS S.60.10.000"/>
    <s v="SUPORTE"/>
    <m/>
    <m/>
    <m/>
    <m/>
    <m/>
    <m/>
    <m/>
    <m/>
    <s v="LINHA DE UNDERFLOW DAS PENEIRAS DESAGUADORAS"/>
    <s v="SC-026"/>
    <s v="SP 8307 C"/>
    <s v="1450AA-L-70113"/>
    <s v="1450AA-S-58307"/>
    <n v="2"/>
    <s v="PÇ"/>
    <n v="33.9"/>
    <n v="67.8"/>
    <n v="0"/>
    <n v="0"/>
    <n v="0"/>
    <n v="0.9"/>
    <n v="0.1"/>
    <m/>
    <m/>
    <m/>
    <n v="0"/>
    <m/>
    <n v="0"/>
    <n v="67.8"/>
    <m/>
    <n v="0"/>
    <n v="0"/>
    <n v="0"/>
    <m/>
    <m/>
    <m/>
    <n v="0"/>
    <n v="0"/>
    <n v="0"/>
    <n v="0"/>
    <m/>
    <m/>
  </r>
  <r>
    <n v="0"/>
    <s v="CMS S.60.10.000"/>
    <s v="SUPORTE"/>
    <m/>
    <m/>
    <m/>
    <m/>
    <m/>
    <m/>
    <m/>
    <m/>
    <s v="LINHA DE UNDERFLOW DAS PENEIRAS DESAGUADORAS"/>
    <s v="SC-026"/>
    <s v="SP 8307 D"/>
    <s v="1450AA-L-70113"/>
    <s v="1450AA-S-58307"/>
    <n v="2"/>
    <s v="PÇ"/>
    <n v="4.1000000000000005"/>
    <n v="8.2000000000000011"/>
    <n v="0"/>
    <n v="0"/>
    <n v="0"/>
    <n v="0.9"/>
    <n v="0.1"/>
    <m/>
    <m/>
    <m/>
    <n v="0"/>
    <m/>
    <n v="0"/>
    <n v="8.2000000000000011"/>
    <m/>
    <n v="0"/>
    <n v="0"/>
    <n v="0"/>
    <m/>
    <m/>
    <m/>
    <n v="0"/>
    <n v="0"/>
    <n v="0"/>
    <n v="0"/>
    <m/>
    <m/>
  </r>
  <r>
    <n v="0"/>
    <s v="CMS S.60.10.000"/>
    <s v="SUPORTE"/>
    <m/>
    <m/>
    <m/>
    <m/>
    <m/>
    <m/>
    <m/>
    <m/>
    <s v="LINHA DE UNDERFLOW DAS PENEIRAS DESAGUADORAS"/>
    <s v="SC-026"/>
    <s v="SP 8307 E"/>
    <s v="1450AA-L-70113"/>
    <s v="1450AA-S-58307"/>
    <n v="1"/>
    <s v="PÇ"/>
    <n v="8.1999999999999993"/>
    <n v="8.1999999999999993"/>
    <n v="0"/>
    <n v="0"/>
    <n v="0"/>
    <n v="0.9"/>
    <n v="0.1"/>
    <m/>
    <m/>
    <m/>
    <n v="0"/>
    <m/>
    <n v="0"/>
    <n v="8.1999999999999993"/>
    <m/>
    <n v="0"/>
    <n v="0"/>
    <n v="0"/>
    <m/>
    <m/>
    <m/>
    <n v="0"/>
    <n v="0"/>
    <n v="0"/>
    <n v="0"/>
    <m/>
    <m/>
  </r>
  <r>
    <n v="0"/>
    <s v="CMS S.60.10.000"/>
    <s v="SUPORTE"/>
    <m/>
    <m/>
    <m/>
    <m/>
    <m/>
    <m/>
    <m/>
    <m/>
    <s v="LINHA DE UNDERFLOW DAS PENEIRAS DESAGUADORAS"/>
    <s v="SC-026"/>
    <s v="SP 8307 F"/>
    <s v="1450AA-L-70113"/>
    <s v="1450AA-S-58307"/>
    <n v="4"/>
    <s v="PÇ"/>
    <n v="11.4"/>
    <n v="45.6"/>
    <n v="0"/>
    <n v="0"/>
    <n v="0"/>
    <n v="0.9"/>
    <n v="0.1"/>
    <m/>
    <m/>
    <m/>
    <n v="0"/>
    <m/>
    <n v="0"/>
    <n v="45.6"/>
    <m/>
    <n v="0"/>
    <n v="0"/>
    <n v="0"/>
    <m/>
    <m/>
    <m/>
    <n v="0"/>
    <n v="0"/>
    <n v="0"/>
    <n v="0"/>
    <m/>
    <m/>
  </r>
  <r>
    <n v="0"/>
    <s v="CMS S.60.10.000"/>
    <s v="SUPORTE"/>
    <m/>
    <m/>
    <m/>
    <m/>
    <m/>
    <m/>
    <m/>
    <m/>
    <s v="LINHA DE UNDERFLOW DAS PENEIRAS DESAGUADORAS"/>
    <s v="SC-026"/>
    <s v="SP 8307 G"/>
    <s v="1450AA-L-70113"/>
    <s v="1450AA-S-58307"/>
    <n v="1"/>
    <s v="PÇ"/>
    <n v="16.2"/>
    <n v="16.2"/>
    <n v="0"/>
    <n v="0"/>
    <n v="0"/>
    <n v="0.9"/>
    <n v="0.1"/>
    <m/>
    <m/>
    <m/>
    <n v="0"/>
    <m/>
    <n v="0"/>
    <n v="16.2"/>
    <m/>
    <n v="0"/>
    <n v="0"/>
    <n v="0"/>
    <m/>
    <m/>
    <m/>
    <n v="0"/>
    <n v="0"/>
    <n v="0"/>
    <n v="0"/>
    <m/>
    <m/>
  </r>
  <r>
    <n v="0"/>
    <s v="CMS S.60.10.000"/>
    <s v="SUPORTE"/>
    <m/>
    <m/>
    <m/>
    <m/>
    <m/>
    <m/>
    <m/>
    <m/>
    <s v="LINHA DE UNDERFLOW DAS PENEIRAS DESAGUADORAS"/>
    <s v="SC-026"/>
    <s v="SP 8307 H"/>
    <s v="1450AA-L-70113"/>
    <s v="1450AA-S-58307"/>
    <n v="1"/>
    <s v="PÇ"/>
    <n v="18.600000000000001"/>
    <n v="18.600000000000001"/>
    <n v="0"/>
    <n v="0"/>
    <n v="0"/>
    <n v="0.9"/>
    <n v="0.1"/>
    <m/>
    <m/>
    <m/>
    <n v="0"/>
    <m/>
    <n v="0"/>
    <n v="18.600000000000001"/>
    <m/>
    <n v="0"/>
    <n v="0"/>
    <n v="0"/>
    <m/>
    <m/>
    <m/>
    <n v="0"/>
    <n v="0"/>
    <n v="0"/>
    <n v="0"/>
    <m/>
    <m/>
  </r>
  <r>
    <n v="0"/>
    <s v="CMS S.60.10.000"/>
    <s v="SUPORTE"/>
    <m/>
    <m/>
    <m/>
    <m/>
    <m/>
    <m/>
    <m/>
    <m/>
    <s v="LINHA DE UNDERFLOW DAS PENEIRAS DESAGUADORAS"/>
    <s v="SC-026"/>
    <s v="SP 8307 J"/>
    <s v="1450AA-L-70113"/>
    <s v="1450AA-S-58307"/>
    <n v="3"/>
    <s v="PÇ"/>
    <n v="29.4"/>
    <n v="88.199999999999989"/>
    <n v="0"/>
    <n v="0"/>
    <n v="0"/>
    <n v="0.9"/>
    <n v="0.1"/>
    <m/>
    <m/>
    <m/>
    <n v="0"/>
    <m/>
    <n v="0"/>
    <n v="88.199999999999989"/>
    <m/>
    <n v="0"/>
    <n v="0"/>
    <n v="0"/>
    <m/>
    <m/>
    <m/>
    <n v="0"/>
    <n v="0"/>
    <n v="0"/>
    <n v="0"/>
    <m/>
    <m/>
  </r>
  <r>
    <n v="0"/>
    <s v="CMS S.60.10.000"/>
    <s v="SUPORTE"/>
    <m/>
    <m/>
    <m/>
    <m/>
    <m/>
    <m/>
    <m/>
    <m/>
    <s v="LINHA DE UNDERFLOW DAS PENEIRAS DESAGUADORAS"/>
    <s v="SC-026"/>
    <s v="SP 8307 K"/>
    <s v="1450AA-L-70113"/>
    <s v="1450AA-S-58307"/>
    <n v="2"/>
    <s v="PÇ"/>
    <n v="33.700000000000003"/>
    <n v="67.400000000000006"/>
    <n v="0"/>
    <n v="0"/>
    <n v="0"/>
    <n v="0.9"/>
    <n v="0.1"/>
    <m/>
    <m/>
    <m/>
    <n v="0"/>
    <m/>
    <n v="0"/>
    <n v="67.400000000000006"/>
    <m/>
    <n v="0"/>
    <n v="0"/>
    <n v="0"/>
    <m/>
    <m/>
    <m/>
    <n v="0"/>
    <n v="0"/>
    <n v="0"/>
    <n v="0"/>
    <m/>
    <m/>
  </r>
  <r>
    <n v="0"/>
    <s v="CMS S.60.10.000"/>
    <s v="SUPORTE"/>
    <m/>
    <m/>
    <m/>
    <m/>
    <m/>
    <m/>
    <m/>
    <m/>
    <s v="LINHA DE UNDERFLOW DAS PENEIRAS DESAGUADORAS"/>
    <s v="SC-026"/>
    <s v="SP 8307 L"/>
    <s v="1450AA-L-70113"/>
    <s v="1450AA-S-58307"/>
    <n v="1"/>
    <s v="PÇ"/>
    <n v="39.299999999999997"/>
    <n v="39.299999999999997"/>
    <n v="0"/>
    <n v="0"/>
    <n v="0"/>
    <n v="0.9"/>
    <n v="0.1"/>
    <m/>
    <m/>
    <m/>
    <n v="0"/>
    <m/>
    <n v="0"/>
    <n v="39.299999999999997"/>
    <m/>
    <n v="0"/>
    <n v="0"/>
    <n v="0"/>
    <m/>
    <m/>
    <m/>
    <n v="0"/>
    <n v="0"/>
    <n v="0"/>
    <n v="0"/>
    <m/>
    <m/>
  </r>
  <r>
    <n v="0"/>
    <s v="CMS S.60.10.000"/>
    <s v="SUPORTE"/>
    <m/>
    <m/>
    <m/>
    <m/>
    <m/>
    <m/>
    <m/>
    <m/>
    <s v="LINHA DE UNDERFLOW DAS PENEIRAS DESAGUADORAS"/>
    <s v="SC-026"/>
    <s v="SP 8307 M"/>
    <s v="1450AA-L-70113"/>
    <s v="1450AA-S-58307"/>
    <n v="9"/>
    <s v="PÇ"/>
    <n v="25.6"/>
    <n v="230.4"/>
    <n v="0"/>
    <n v="0"/>
    <n v="0"/>
    <n v="0.9"/>
    <n v="0.1"/>
    <m/>
    <m/>
    <m/>
    <n v="0"/>
    <m/>
    <n v="0"/>
    <n v="230.4"/>
    <m/>
    <n v="0"/>
    <n v="0"/>
    <n v="0"/>
    <m/>
    <m/>
    <m/>
    <n v="0"/>
    <n v="0"/>
    <n v="0"/>
    <n v="0"/>
    <m/>
    <m/>
  </r>
  <r>
    <n v="0"/>
    <s v="CMS S.60.10.000"/>
    <s v="SUPORTE"/>
    <m/>
    <m/>
    <m/>
    <m/>
    <m/>
    <m/>
    <m/>
    <m/>
    <s v="LINHA DE UNDERFLOW DAS PENEIRAS DESAGUADORAS"/>
    <s v="SC-026"/>
    <s v="SP 8307 N"/>
    <s v="1450AA-L-70113"/>
    <s v="1450AA-S-58307"/>
    <n v="1"/>
    <s v="PÇ"/>
    <n v="38.700000000000003"/>
    <n v="38.700000000000003"/>
    <n v="0"/>
    <n v="0"/>
    <n v="0"/>
    <n v="0.9"/>
    <n v="0.1"/>
    <m/>
    <m/>
    <m/>
    <n v="0"/>
    <m/>
    <n v="0"/>
    <n v="38.700000000000003"/>
    <m/>
    <n v="0"/>
    <n v="0"/>
    <n v="0"/>
    <m/>
    <m/>
    <m/>
    <n v="0"/>
    <n v="0"/>
    <n v="0"/>
    <n v="0"/>
    <m/>
    <m/>
  </r>
  <r>
    <n v="0"/>
    <s v="CMS S.60.10.000"/>
    <s v="SUPORTE"/>
    <m/>
    <m/>
    <m/>
    <m/>
    <m/>
    <m/>
    <m/>
    <m/>
    <s v="LINHA DE UNDERFLOW DAS PENEIRAS DESAGUADORAS"/>
    <s v="SC-026"/>
    <s v="SP 8307 P"/>
    <s v="1450AA-L-70113"/>
    <s v="1450AA-S-58307"/>
    <n v="1"/>
    <s v="PÇ"/>
    <n v="53.6"/>
    <n v="53.6"/>
    <n v="0"/>
    <n v="0"/>
    <n v="0"/>
    <n v="0.9"/>
    <n v="0.1"/>
    <m/>
    <m/>
    <m/>
    <n v="0"/>
    <m/>
    <n v="0"/>
    <n v="53.6"/>
    <m/>
    <n v="0"/>
    <n v="0"/>
    <n v="0"/>
    <m/>
    <m/>
    <m/>
    <n v="0"/>
    <n v="0"/>
    <n v="0"/>
    <n v="0"/>
    <m/>
    <m/>
  </r>
  <r>
    <n v="0"/>
    <s v="CMS S.60.10.000"/>
    <s v="SUPORTE"/>
    <m/>
    <m/>
    <m/>
    <m/>
    <m/>
    <m/>
    <m/>
    <m/>
    <s v="LINHA DE UNDERFLOW DAS PENEIRAS DESAGUADORAS"/>
    <s v="SC-026"/>
    <s v="SP 8307 Q"/>
    <s v="1450AA-L-70113"/>
    <s v="1450AA-S-58307"/>
    <n v="1"/>
    <s v="PÇ"/>
    <n v="70.599999999999994"/>
    <n v="70.599999999999994"/>
    <n v="0"/>
    <n v="0"/>
    <n v="0"/>
    <n v="0.9"/>
    <n v="0.1"/>
    <m/>
    <m/>
    <m/>
    <n v="0"/>
    <m/>
    <n v="0"/>
    <n v="70.599999999999994"/>
    <m/>
    <n v="0"/>
    <n v="0"/>
    <n v="0"/>
    <m/>
    <m/>
    <m/>
    <n v="0"/>
    <n v="0"/>
    <n v="0"/>
    <n v="0"/>
    <m/>
    <m/>
  </r>
  <r>
    <n v="0"/>
    <s v="CMS S.60.10.000"/>
    <s v="SUPORTE"/>
    <m/>
    <m/>
    <m/>
    <m/>
    <m/>
    <m/>
    <m/>
    <m/>
    <s v="LINHA DE UNDERFLOW DAS PENEIRAS DESAGUADORAS"/>
    <s v="SC-026"/>
    <s v="SP 8307 R"/>
    <s v="1450AA-L-70113"/>
    <s v="1450AA-S-58307"/>
    <n v="1"/>
    <s v="PÇ"/>
    <n v="81.099999999999994"/>
    <n v="81.099999999999994"/>
    <n v="0"/>
    <n v="0"/>
    <n v="0"/>
    <n v="0.9"/>
    <n v="0.1"/>
    <m/>
    <m/>
    <m/>
    <n v="0"/>
    <m/>
    <n v="0"/>
    <n v="81.099999999999994"/>
    <m/>
    <n v="0"/>
    <n v="0"/>
    <n v="0"/>
    <m/>
    <m/>
    <m/>
    <n v="0"/>
    <n v="0"/>
    <n v="0"/>
    <n v="0"/>
    <m/>
    <m/>
  </r>
  <r>
    <n v="0"/>
    <s v="CMS S.60.10.000"/>
    <s v="SUPORTE"/>
    <m/>
    <m/>
    <m/>
    <m/>
    <m/>
    <m/>
    <m/>
    <m/>
    <s v="LINHA DE UNDERFLOW DAS PENEIRAS DESAGUADORAS"/>
    <s v="SC-026"/>
    <s v="SP 8308 A"/>
    <s v="1450AA-L-70113"/>
    <s v="1450AA-S-58308"/>
    <n v="1"/>
    <s v="PÇ"/>
    <n v="36.200000000000003"/>
    <n v="36.200000000000003"/>
    <n v="0"/>
    <n v="0"/>
    <n v="0"/>
    <n v="0.9"/>
    <n v="0.1"/>
    <m/>
    <m/>
    <m/>
    <n v="0"/>
    <m/>
    <n v="0"/>
    <n v="36.200000000000003"/>
    <m/>
    <n v="0"/>
    <n v="0"/>
    <n v="0"/>
    <m/>
    <m/>
    <m/>
    <n v="0"/>
    <n v="0"/>
    <n v="0"/>
    <n v="0"/>
    <m/>
    <m/>
  </r>
  <r>
    <n v="0"/>
    <s v="CMS S.60.10.000"/>
    <s v="SUPORTE"/>
    <m/>
    <m/>
    <m/>
    <m/>
    <m/>
    <m/>
    <m/>
    <m/>
    <s v="LINHA DE UNDERFLOW DAS PENEIRAS DESAGUADORAS"/>
    <s v="SC-026"/>
    <s v="SP 8308 B"/>
    <s v="1450AA-L-70113"/>
    <s v="1450AA-S-58308"/>
    <n v="1"/>
    <s v="PÇ"/>
    <n v="33"/>
    <n v="33"/>
    <n v="0"/>
    <n v="0"/>
    <n v="0"/>
    <n v="0.9"/>
    <n v="0.1"/>
    <m/>
    <m/>
    <m/>
    <n v="0"/>
    <m/>
    <n v="0"/>
    <n v="33"/>
    <m/>
    <n v="0"/>
    <n v="0"/>
    <n v="0"/>
    <m/>
    <m/>
    <m/>
    <n v="0"/>
    <n v="0"/>
    <n v="0"/>
    <n v="0"/>
    <m/>
    <m/>
  </r>
  <r>
    <n v="0"/>
    <s v="CMS S.60.10.000"/>
    <s v="SUPORTE"/>
    <m/>
    <m/>
    <m/>
    <m/>
    <m/>
    <m/>
    <m/>
    <m/>
    <s v="LINHA DE UNDERFLOW DAS PENEIRAS DESAGUADORAS"/>
    <s v="SC-026"/>
    <s v="SP 8308 C"/>
    <s v="1450AA-L-70113"/>
    <s v="1450AA-S-58308"/>
    <n v="2"/>
    <s v="PÇ"/>
    <n v="7.3999999999999995"/>
    <n v="14.799999999999999"/>
    <n v="0"/>
    <n v="0"/>
    <n v="0"/>
    <n v="0.9"/>
    <n v="0.1"/>
    <m/>
    <m/>
    <m/>
    <n v="0"/>
    <m/>
    <n v="0"/>
    <n v="14.799999999999999"/>
    <m/>
    <n v="0"/>
    <n v="0"/>
    <n v="0"/>
    <m/>
    <m/>
    <m/>
    <n v="0"/>
    <n v="0"/>
    <n v="0"/>
    <n v="0"/>
    <m/>
    <m/>
  </r>
  <r>
    <n v="0"/>
    <s v="CMS S.60.10.000"/>
    <s v="SUPORTE"/>
    <m/>
    <m/>
    <m/>
    <m/>
    <m/>
    <m/>
    <m/>
    <m/>
    <s v="LINHA DE UNDERFLOW DAS PENEIRAS DESAGUADORAS"/>
    <s v="SC-026"/>
    <s v="SP 8308 D"/>
    <s v="1450AA-L-70113"/>
    <s v="1450AA-S-58308"/>
    <n v="3"/>
    <s v="PÇ"/>
    <n v="13.9"/>
    <n v="41.7"/>
    <n v="0"/>
    <n v="0"/>
    <n v="0"/>
    <n v="0.9"/>
    <n v="0.1"/>
    <m/>
    <m/>
    <m/>
    <n v="0"/>
    <m/>
    <n v="0"/>
    <n v="41.7"/>
    <m/>
    <n v="0"/>
    <n v="0"/>
    <n v="0"/>
    <m/>
    <m/>
    <m/>
    <n v="0"/>
    <n v="0"/>
    <n v="0"/>
    <n v="0"/>
    <m/>
    <m/>
  </r>
  <r>
    <n v="0"/>
    <s v="CMS S.60.10.000"/>
    <s v="SUPORTE"/>
    <m/>
    <m/>
    <m/>
    <m/>
    <m/>
    <m/>
    <m/>
    <m/>
    <s v="LINHA DE UNDERFLOW DAS PENEIRAS DESAGUADORAS"/>
    <s v="SC-026"/>
    <s v="SP 8308 E"/>
    <s v="1450AA-L-70113"/>
    <s v="1450AA-S-58308"/>
    <n v="3"/>
    <s v="PÇ"/>
    <n v="25.4"/>
    <n v="76.199999999999989"/>
    <n v="0"/>
    <n v="0"/>
    <n v="0"/>
    <n v="0.9"/>
    <n v="0.1"/>
    <m/>
    <m/>
    <m/>
    <n v="0"/>
    <m/>
    <n v="0"/>
    <n v="76.199999999999989"/>
    <m/>
    <n v="0"/>
    <n v="0"/>
    <n v="0"/>
    <m/>
    <m/>
    <m/>
    <n v="0"/>
    <n v="0"/>
    <n v="0"/>
    <n v="0"/>
    <m/>
    <m/>
  </r>
  <r>
    <n v="0"/>
    <s v="CMS S.60.10.000"/>
    <s v="SUPORTE"/>
    <m/>
    <m/>
    <m/>
    <m/>
    <m/>
    <m/>
    <m/>
    <m/>
    <s v="LINHA DE UNDERFLOW DAS PENEIRAS DESAGUADORAS"/>
    <s v="SC-026"/>
    <s v="SP 8308 F"/>
    <s v="1450AA-L-70113"/>
    <s v="1450AA-S-58308"/>
    <n v="1"/>
    <s v="PÇ"/>
    <n v="80.3"/>
    <n v="80.3"/>
    <n v="0"/>
    <n v="0"/>
    <n v="0"/>
    <n v="0.9"/>
    <n v="0.1"/>
    <m/>
    <m/>
    <m/>
    <n v="0"/>
    <m/>
    <n v="0"/>
    <n v="80.3"/>
    <m/>
    <n v="0"/>
    <n v="0"/>
    <n v="0"/>
    <m/>
    <m/>
    <m/>
    <n v="0"/>
    <n v="0"/>
    <n v="0"/>
    <n v="0"/>
    <m/>
    <m/>
  </r>
  <r>
    <n v="0"/>
    <s v="CMS S.60.10.000"/>
    <s v="SUPORTE"/>
    <m/>
    <m/>
    <m/>
    <m/>
    <m/>
    <m/>
    <m/>
    <m/>
    <s v="LINHA DE UNDERFLOW DAS PENEIRAS DESAGUADORAS"/>
    <s v="SC-026"/>
    <s v="SP 8308 G"/>
    <s v="1450AA-L-70113"/>
    <s v="1450AA-S-58308"/>
    <n v="1"/>
    <s v="PÇ"/>
    <n v="63.699999999999996"/>
    <n v="63.699999999999996"/>
    <n v="0"/>
    <n v="0"/>
    <n v="0"/>
    <n v="0.9"/>
    <n v="0.1"/>
    <m/>
    <m/>
    <m/>
    <n v="0"/>
    <m/>
    <n v="0"/>
    <n v="63.699999999999996"/>
    <m/>
    <n v="0"/>
    <n v="0"/>
    <n v="0"/>
    <m/>
    <m/>
    <m/>
    <n v="0"/>
    <n v="0"/>
    <n v="0"/>
    <n v="0"/>
    <m/>
    <m/>
  </r>
  <r>
    <n v="0"/>
    <s v="CMS S.60.10.000"/>
    <s v="SUPORTE"/>
    <m/>
    <m/>
    <m/>
    <m/>
    <m/>
    <m/>
    <m/>
    <m/>
    <s v="LINHA DE UNDERFLOW DAS PENEIRAS DESAGUADORAS"/>
    <s v="SC-026"/>
    <s v="SP 8308 H"/>
    <s v="1450AA-L-70113"/>
    <s v="1450AA-S-58308"/>
    <n v="1"/>
    <s v="PÇ"/>
    <n v="64.3"/>
    <n v="64.3"/>
    <n v="0"/>
    <n v="0"/>
    <n v="0"/>
    <n v="0.9"/>
    <n v="0.1"/>
    <m/>
    <m/>
    <m/>
    <n v="0"/>
    <m/>
    <n v="0"/>
    <n v="64.3"/>
    <m/>
    <n v="0"/>
    <n v="0"/>
    <n v="0"/>
    <m/>
    <m/>
    <m/>
    <n v="0"/>
    <n v="0"/>
    <n v="0"/>
    <n v="0"/>
    <m/>
    <m/>
  </r>
  <r>
    <n v="0"/>
    <s v="CMS S.60.10.000"/>
    <s v="SUPORTE"/>
    <m/>
    <m/>
    <m/>
    <m/>
    <m/>
    <m/>
    <m/>
    <m/>
    <s v="LINHA DE BY PASS DAS PENEIRAS ALIMENTAÇÃO DO TANQUE TQ-145A-9701"/>
    <s v="SC-010"/>
    <s v="SP 8311 A"/>
    <m/>
    <s v="1450AA-S-58311"/>
    <n v="1"/>
    <s v="PÇ"/>
    <n v="96.8"/>
    <n v="96.8"/>
    <n v="0"/>
    <n v="0"/>
    <n v="0"/>
    <n v="0.9"/>
    <n v="0.1"/>
    <m/>
    <m/>
    <m/>
    <n v="0"/>
    <m/>
    <n v="0"/>
    <n v="96.8"/>
    <m/>
    <n v="0"/>
    <n v="0"/>
    <n v="0"/>
    <m/>
    <m/>
    <m/>
    <n v="0"/>
    <n v="0"/>
    <n v="0"/>
    <n v="0"/>
    <m/>
    <m/>
  </r>
  <r>
    <n v="0"/>
    <s v="CMS S.60.10.000"/>
    <s v="SUPORTE"/>
    <m/>
    <m/>
    <m/>
    <m/>
    <m/>
    <m/>
    <m/>
    <m/>
    <s v="LINHA DE BY PASS DAS PENEIRAS ALIMENTAÇÃO DO TANQUE TQ-145A-9701"/>
    <s v="SC-010"/>
    <s v="SP 8311 B "/>
    <m/>
    <s v="1450AA-S-58311"/>
    <n v="1"/>
    <s v="PÇ"/>
    <n v="97.4"/>
    <n v="97.4"/>
    <n v="0"/>
    <n v="0"/>
    <n v="0"/>
    <n v="0.9"/>
    <n v="0.1"/>
    <m/>
    <m/>
    <m/>
    <n v="0"/>
    <m/>
    <n v="0"/>
    <n v="97.4"/>
    <m/>
    <n v="0"/>
    <n v="0"/>
    <n v="0"/>
    <m/>
    <m/>
    <m/>
    <n v="0"/>
    <n v="0"/>
    <n v="0"/>
    <n v="0"/>
    <m/>
    <m/>
  </r>
  <r>
    <n v="0"/>
    <s v="CMS S.60.10.000"/>
    <s v="SUPORTE"/>
    <m/>
    <m/>
    <m/>
    <m/>
    <m/>
    <m/>
    <m/>
    <m/>
    <s v="LINHA DE BY PASS DAS PENEIRAS ALIMENTAÇÃO DO TANQUE TQ-145A-9701"/>
    <s v="SC-010"/>
    <s v="SP 8311 C"/>
    <m/>
    <s v="1450AA-S-58311"/>
    <n v="1"/>
    <s v="PÇ"/>
    <n v="43.5"/>
    <n v="43.5"/>
    <n v="0"/>
    <n v="0"/>
    <n v="0"/>
    <n v="0.9"/>
    <n v="0.1"/>
    <m/>
    <m/>
    <m/>
    <n v="0"/>
    <m/>
    <n v="0"/>
    <n v="43.5"/>
    <m/>
    <n v="0"/>
    <n v="0"/>
    <n v="0"/>
    <m/>
    <m/>
    <m/>
    <n v="0"/>
    <n v="0"/>
    <n v="0"/>
    <n v="0"/>
    <m/>
    <m/>
  </r>
  <r>
    <n v="0"/>
    <s v="CMS S.60.10.000"/>
    <s v="SUPORTE"/>
    <m/>
    <m/>
    <m/>
    <m/>
    <m/>
    <m/>
    <m/>
    <m/>
    <s v="LINHA DE BY PASS DAS PENEIRAS ALIMENTAÇÃO DO TANQUE TQ-145A-9701"/>
    <s v="SC-010"/>
    <s v="SP 8311 D"/>
    <m/>
    <s v="1450AA-S-58311"/>
    <n v="1"/>
    <s v="PÇ"/>
    <n v="7.5"/>
    <n v="7.5"/>
    <n v="0"/>
    <n v="0"/>
    <n v="0"/>
    <n v="0.9"/>
    <n v="0.1"/>
    <m/>
    <m/>
    <m/>
    <n v="0"/>
    <m/>
    <n v="0"/>
    <n v="7.5"/>
    <m/>
    <n v="0"/>
    <n v="0"/>
    <n v="0"/>
    <m/>
    <m/>
    <m/>
    <n v="0"/>
    <n v="0"/>
    <n v="0"/>
    <n v="0"/>
    <m/>
    <m/>
  </r>
  <r>
    <n v="0"/>
    <s v="CMS S.60.10.000"/>
    <s v="SUPORTE"/>
    <m/>
    <m/>
    <m/>
    <m/>
    <m/>
    <m/>
    <m/>
    <m/>
    <s v="LINHA DE BY PASS DAS PENEIRAS ALIMENTAÇÃO DO TANQUE TQ-145A-9701"/>
    <s v="SC-010"/>
    <s v="SP 8311 E"/>
    <m/>
    <s v="1450AA-S-58311"/>
    <n v="1"/>
    <s v="PÇ"/>
    <n v="18.400000000000002"/>
    <n v="18.400000000000002"/>
    <n v="0"/>
    <n v="0"/>
    <n v="0"/>
    <n v="0.9"/>
    <n v="0.1"/>
    <m/>
    <m/>
    <m/>
    <n v="0"/>
    <m/>
    <n v="0"/>
    <n v="18.400000000000002"/>
    <m/>
    <n v="0"/>
    <n v="0"/>
    <n v="0"/>
    <m/>
    <m/>
    <m/>
    <n v="0"/>
    <n v="0"/>
    <n v="0"/>
    <n v="0"/>
    <m/>
    <m/>
  </r>
  <r>
    <n v="0"/>
    <s v="CMS S.60.10.000"/>
    <s v="SUPORTE"/>
    <m/>
    <m/>
    <m/>
    <m/>
    <m/>
    <m/>
    <m/>
    <m/>
    <s v="LINHA DE BY PASS DAS PENEIRAS ALIMENTAÇÃO DO TANQUE TQ-145A-9701"/>
    <s v="SC-010"/>
    <s v="SP 8311 F"/>
    <m/>
    <s v="1450AA-S-58311"/>
    <n v="2"/>
    <s v="PÇ"/>
    <n v="17.3"/>
    <n v="34.6"/>
    <n v="0"/>
    <n v="0"/>
    <n v="0"/>
    <n v="0.9"/>
    <n v="0.1"/>
    <m/>
    <m/>
    <m/>
    <n v="0"/>
    <m/>
    <n v="0"/>
    <n v="34.6"/>
    <m/>
    <n v="0"/>
    <n v="0"/>
    <n v="0"/>
    <m/>
    <m/>
    <m/>
    <n v="0"/>
    <n v="0"/>
    <n v="0"/>
    <n v="0"/>
    <m/>
    <m/>
  </r>
  <r>
    <n v="0"/>
    <s v="CMS S.60.10.000"/>
    <s v="SUPORTE"/>
    <m/>
    <m/>
    <m/>
    <m/>
    <m/>
    <m/>
    <m/>
    <m/>
    <s v="LINHA DE BY PASS DAS PENEIRAS ALIMENTAÇÃO DO TANQUE TQ-145A-9701"/>
    <s v="SC-010"/>
    <s v="SP 8311 G"/>
    <m/>
    <s v="1450AA-S-58311"/>
    <n v="2"/>
    <s v="PÇ"/>
    <n v="10.8"/>
    <n v="21.6"/>
    <n v="0"/>
    <n v="0"/>
    <n v="0"/>
    <n v="0.9"/>
    <n v="0.1"/>
    <m/>
    <m/>
    <m/>
    <n v="0"/>
    <m/>
    <n v="0"/>
    <n v="21.6"/>
    <m/>
    <n v="0"/>
    <n v="0"/>
    <n v="0"/>
    <m/>
    <m/>
    <m/>
    <n v="0"/>
    <n v="0"/>
    <n v="0"/>
    <n v="0"/>
    <m/>
    <m/>
  </r>
  <r>
    <n v="0"/>
    <s v="CMS S.60.10.000"/>
    <s v="SUPORTE"/>
    <m/>
    <m/>
    <m/>
    <m/>
    <m/>
    <m/>
    <m/>
    <m/>
    <s v="LINHA DE BY PASS DAS PENEIRAS ALIMENTAÇÃO DO TANQUE TQ-145A-9701"/>
    <s v="SC-010"/>
    <s v="SP 8311 H"/>
    <m/>
    <s v="1450AA-S-58311"/>
    <n v="2"/>
    <s v="PÇ"/>
    <n v="5.0999999999999996"/>
    <n v="10.199999999999999"/>
    <n v="0"/>
    <n v="0"/>
    <n v="0"/>
    <n v="0.9"/>
    <n v="0.1"/>
    <m/>
    <m/>
    <m/>
    <n v="0"/>
    <m/>
    <n v="0"/>
    <n v="10.199999999999999"/>
    <m/>
    <n v="0"/>
    <n v="0"/>
    <n v="0"/>
    <m/>
    <m/>
    <m/>
    <n v="0"/>
    <n v="0"/>
    <n v="0"/>
    <n v="0"/>
    <m/>
    <m/>
  </r>
  <r>
    <n v="0"/>
    <s v="CMS S.60.10.000"/>
    <s v="SUPORTE"/>
    <m/>
    <m/>
    <m/>
    <m/>
    <m/>
    <m/>
    <m/>
    <m/>
    <s v="LINHA DE BY PASS DAS PENEIRAS ALIMENTAÇÃO DO TANQUE TQ-145A-9701"/>
    <s v="SC-010"/>
    <s v="SP 8311 J"/>
    <m/>
    <s v="1450AA-S-58311"/>
    <n v="1"/>
    <s v="PÇ"/>
    <n v="8"/>
    <n v="8"/>
    <n v="0"/>
    <n v="0"/>
    <n v="0"/>
    <n v="0.9"/>
    <n v="0.1"/>
    <m/>
    <m/>
    <m/>
    <n v="0"/>
    <m/>
    <n v="0"/>
    <n v="8"/>
    <m/>
    <n v="0"/>
    <n v="0"/>
    <n v="0"/>
    <m/>
    <m/>
    <m/>
    <n v="0"/>
    <n v="0"/>
    <n v="0"/>
    <n v="0"/>
    <m/>
    <m/>
  </r>
  <r>
    <n v="0"/>
    <s v="CMS S.60.10.000"/>
    <s v="SUPORTE"/>
    <m/>
    <m/>
    <m/>
    <m/>
    <m/>
    <m/>
    <m/>
    <m/>
    <s v="LINHA DE BY PASS DAS PENEIRAS ALIMENTAÇÃO DO TANQUE TQ-145A-9701"/>
    <s v="SC-010"/>
    <s v="SP 8311 K"/>
    <m/>
    <s v="1450AA-S-58311"/>
    <n v="1"/>
    <s v="PÇ"/>
    <n v="6.1"/>
    <n v="6.1"/>
    <n v="0"/>
    <n v="0"/>
    <n v="0"/>
    <n v="0.9"/>
    <n v="0.1"/>
    <m/>
    <m/>
    <m/>
    <n v="0"/>
    <m/>
    <n v="0"/>
    <n v="6.1"/>
    <m/>
    <n v="0"/>
    <n v="0"/>
    <n v="0"/>
    <m/>
    <m/>
    <m/>
    <n v="0"/>
    <n v="0"/>
    <n v="0"/>
    <n v="0"/>
    <m/>
    <m/>
  </r>
  <r>
    <n v="0"/>
    <s v="CMS S.60.10.000"/>
    <s v="SUPORTE"/>
    <m/>
    <m/>
    <m/>
    <m/>
    <m/>
    <m/>
    <m/>
    <m/>
    <s v="LINHA DE BY PASS DAS PENEIRAS ALIMENTAÇÃO DO TANQUE TQ-145A-9701"/>
    <s v="SC-010"/>
    <s v="SP 8311 L"/>
    <m/>
    <s v="1450AA-S-58311"/>
    <n v="1"/>
    <s v="PÇ"/>
    <n v="4.5999999999999996"/>
    <n v="4.5999999999999996"/>
    <n v="0"/>
    <n v="0"/>
    <n v="0"/>
    <n v="0.9"/>
    <n v="0.1"/>
    <m/>
    <m/>
    <m/>
    <n v="0"/>
    <m/>
    <n v="0"/>
    <n v="4.5999999999999996"/>
    <m/>
    <n v="0"/>
    <n v="0"/>
    <n v="0"/>
    <m/>
    <m/>
    <m/>
    <n v="0"/>
    <n v="0"/>
    <n v="0"/>
    <n v="0"/>
    <m/>
    <m/>
  </r>
  <r>
    <n v="0"/>
    <s v="CMS S.60.10.000"/>
    <s v="SUPORTE"/>
    <m/>
    <m/>
    <m/>
    <m/>
    <m/>
    <m/>
    <m/>
    <m/>
    <s v="LINHA DE BY PASS DAS PENEIRAS ALIMENTAÇÃO DO TANQUE TQ-145A-9701"/>
    <s v="SC-010"/>
    <s v="SP 8311 M"/>
    <m/>
    <s v="1450AA-S-58311"/>
    <n v="1"/>
    <s v="PÇ"/>
    <n v="12.7"/>
    <n v="12.7"/>
    <n v="0"/>
    <n v="0"/>
    <n v="0"/>
    <n v="0.9"/>
    <n v="0.1"/>
    <m/>
    <m/>
    <m/>
    <n v="0"/>
    <m/>
    <n v="0"/>
    <n v="12.7"/>
    <m/>
    <n v="0"/>
    <n v="0"/>
    <n v="0"/>
    <m/>
    <m/>
    <m/>
    <n v="0"/>
    <n v="0"/>
    <n v="0"/>
    <n v="0"/>
    <m/>
    <m/>
  </r>
  <r>
    <n v="0"/>
    <s v="CMS S.60.10.000"/>
    <s v="SUPORTE"/>
    <m/>
    <m/>
    <m/>
    <m/>
    <m/>
    <m/>
    <m/>
    <m/>
    <s v="LINHA DE BY PASS DAS PENEIRAS ALIMENTAÇÃO DO TANQUE TQ-145A-9701"/>
    <s v="SC-010"/>
    <s v="SP 8311 N"/>
    <m/>
    <s v="1450AA-S-58311"/>
    <n v="1"/>
    <s v="PÇ"/>
    <n v="5.8"/>
    <n v="5.8"/>
    <n v="0"/>
    <n v="0"/>
    <n v="0"/>
    <n v="0.9"/>
    <n v="0.1"/>
    <m/>
    <m/>
    <m/>
    <n v="0"/>
    <m/>
    <n v="0"/>
    <n v="5.8"/>
    <m/>
    <n v="0"/>
    <n v="0"/>
    <n v="0"/>
    <m/>
    <m/>
    <m/>
    <n v="0"/>
    <n v="0"/>
    <n v="0"/>
    <n v="0"/>
    <m/>
    <m/>
  </r>
  <r>
    <n v="0"/>
    <s v="CMS S.60.10.000"/>
    <s v="SUPORTE"/>
    <m/>
    <m/>
    <m/>
    <m/>
    <m/>
    <m/>
    <m/>
    <m/>
    <s v="LINHA DE BY PASS DAS PENEIRAS ALIMENTAÇÃO DO TANQUE TQ-145A-9702"/>
    <s v="SC-010"/>
    <s v="SP 8312 A"/>
    <s v="1450AA-L-70116"/>
    <s v="1450AA-S-58312"/>
    <n v="1"/>
    <s v="PÇ"/>
    <n v="12.7"/>
    <n v="12.7"/>
    <n v="0"/>
    <n v="0"/>
    <n v="0"/>
    <n v="0.9"/>
    <n v="0.1"/>
    <m/>
    <m/>
    <m/>
    <n v="0"/>
    <m/>
    <n v="0"/>
    <n v="12.7"/>
    <m/>
    <n v="0"/>
    <n v="0"/>
    <n v="0"/>
    <m/>
    <m/>
    <m/>
    <n v="0"/>
    <n v="0"/>
    <n v="0"/>
    <n v="0"/>
    <m/>
    <m/>
  </r>
  <r>
    <n v="0"/>
    <s v="CMS S.60.10.000"/>
    <s v="SUPORTE"/>
    <m/>
    <m/>
    <m/>
    <m/>
    <m/>
    <m/>
    <m/>
    <m/>
    <s v="LINHA DE BY PASS DAS PENEIRAS ALIMENTAÇÃO DO TANQUE TQ-145A-9702"/>
    <s v="SC-010"/>
    <s v="SP 8312 B"/>
    <s v="1450AA-L-70116"/>
    <s v="1450AA-S-58312"/>
    <n v="2"/>
    <s v="PÇ"/>
    <n v="15.5"/>
    <n v="31"/>
    <n v="0"/>
    <n v="0"/>
    <n v="0"/>
    <n v="0.9"/>
    <n v="0.1"/>
    <m/>
    <m/>
    <m/>
    <n v="0"/>
    <m/>
    <n v="0"/>
    <n v="31"/>
    <m/>
    <n v="0"/>
    <n v="0"/>
    <n v="0"/>
    <m/>
    <m/>
    <m/>
    <n v="0"/>
    <n v="0"/>
    <n v="0"/>
    <n v="0"/>
    <m/>
    <m/>
  </r>
  <r>
    <n v="0"/>
    <s v="CMS S.60.10.000"/>
    <s v="SUPORTE"/>
    <m/>
    <m/>
    <m/>
    <m/>
    <m/>
    <m/>
    <m/>
    <m/>
    <s v="LINHA DE BY PASS DAS PENEIRAS ALIMENTAÇÃO DO TANQUE TQ-145A-9702"/>
    <s v="SC-010"/>
    <s v="SP 8312 C"/>
    <s v="1450AA-L-70116"/>
    <s v="1450AA-S-58312"/>
    <n v="2"/>
    <s v="PÇ"/>
    <n v="34.1"/>
    <n v="68.2"/>
    <n v="0"/>
    <n v="0"/>
    <n v="0"/>
    <n v="0.9"/>
    <n v="0.1"/>
    <m/>
    <m/>
    <m/>
    <n v="0"/>
    <m/>
    <n v="0"/>
    <n v="68.2"/>
    <m/>
    <n v="0"/>
    <n v="0"/>
    <n v="0"/>
    <m/>
    <m/>
    <m/>
    <n v="0"/>
    <n v="0"/>
    <n v="0"/>
    <n v="0"/>
    <m/>
    <m/>
  </r>
  <r>
    <n v="0"/>
    <s v="CMS S.60.10.000"/>
    <s v="SUPORTE"/>
    <m/>
    <m/>
    <m/>
    <m/>
    <m/>
    <m/>
    <m/>
    <m/>
    <s v="LINHA DE BY PASS DAS PENEIRAS ALIMENTAÇÃO DO TANQUE TQ-145A-9702"/>
    <s v="SC-010"/>
    <s v="SP 8312 D"/>
    <s v="1450AA-L-70116"/>
    <s v="1450AA-S-58312"/>
    <n v="5"/>
    <s v="PÇ"/>
    <n v="39.6"/>
    <n v="198"/>
    <n v="0"/>
    <n v="0"/>
    <n v="0"/>
    <n v="0.9"/>
    <n v="0.1"/>
    <m/>
    <m/>
    <m/>
    <n v="0"/>
    <m/>
    <n v="0"/>
    <n v="198"/>
    <m/>
    <n v="0"/>
    <n v="0"/>
    <n v="0"/>
    <m/>
    <m/>
    <m/>
    <n v="0"/>
    <n v="0"/>
    <n v="0"/>
    <n v="0"/>
    <m/>
    <m/>
  </r>
  <r>
    <n v="0"/>
    <s v="CMS S.60.10.000"/>
    <s v="SUPORTE"/>
    <m/>
    <m/>
    <m/>
    <m/>
    <m/>
    <m/>
    <m/>
    <m/>
    <s v="LINHA DE BY PASS DAS PENEIRAS ALIMENTAÇÃO DO TANQUE TQ-145A-9702"/>
    <s v="SC-010"/>
    <s v="SP 8312 E"/>
    <s v="1450AA-L-70116"/>
    <s v="1450AA-S-58312"/>
    <n v="1"/>
    <s v="PÇ"/>
    <n v="5.2"/>
    <n v="5.2"/>
    <n v="0"/>
    <n v="0"/>
    <n v="0"/>
    <n v="0.9"/>
    <n v="0.1"/>
    <m/>
    <m/>
    <m/>
    <n v="0"/>
    <m/>
    <n v="0"/>
    <n v="5.2"/>
    <m/>
    <n v="0"/>
    <n v="0"/>
    <n v="0"/>
    <m/>
    <m/>
    <m/>
    <n v="0"/>
    <n v="0"/>
    <n v="0"/>
    <n v="0"/>
    <m/>
    <m/>
  </r>
  <r>
    <n v="0"/>
    <s v="CMS S.60.10.000"/>
    <s v="SUPORTE"/>
    <m/>
    <m/>
    <m/>
    <m/>
    <m/>
    <m/>
    <m/>
    <m/>
    <s v="LINHA DE BY PASS DAS PENEIRAS ALIMENTAÇÃO DO TANQUE TQ-145A-9702"/>
    <s v="SC-010"/>
    <s v="SP 8312 F"/>
    <s v="1450AA-L-70116"/>
    <s v="1450AA-S-58312"/>
    <n v="1"/>
    <s v="PÇ"/>
    <n v="4"/>
    <n v="4"/>
    <n v="0"/>
    <n v="0"/>
    <n v="0"/>
    <n v="0.9"/>
    <n v="0.1"/>
    <m/>
    <m/>
    <m/>
    <n v="0"/>
    <m/>
    <n v="0"/>
    <n v="4"/>
    <m/>
    <n v="0"/>
    <n v="0"/>
    <n v="0"/>
    <m/>
    <m/>
    <m/>
    <n v="0"/>
    <n v="0"/>
    <n v="0"/>
    <n v="0"/>
    <m/>
    <m/>
  </r>
  <r>
    <n v="0"/>
    <s v="CMS S.60.10.000"/>
    <s v="SUPORTE"/>
    <m/>
    <m/>
    <m/>
    <m/>
    <m/>
    <m/>
    <m/>
    <m/>
    <s v="LINHA DE BY PASS DAS PENEIRAS ALIMENTAÇÃO DO TANQUE TQ-145A-9702"/>
    <s v="SC-010"/>
    <s v="SP 8312 G"/>
    <s v="1450AA-L-70116"/>
    <s v="1450AA-S-58312"/>
    <n v="1"/>
    <s v="PÇ"/>
    <n v="5.9"/>
    <n v="5.9"/>
    <n v="0"/>
    <n v="0"/>
    <n v="0"/>
    <n v="0.9"/>
    <n v="0.1"/>
    <m/>
    <m/>
    <m/>
    <n v="0"/>
    <m/>
    <n v="0"/>
    <n v="5.9"/>
    <m/>
    <n v="0"/>
    <n v="0"/>
    <n v="0"/>
    <m/>
    <m/>
    <m/>
    <n v="0"/>
    <n v="0"/>
    <n v="0"/>
    <n v="0"/>
    <m/>
    <m/>
  </r>
  <r>
    <n v="0"/>
    <s v="CMS S.60.10.000"/>
    <s v="SUPORTE"/>
    <m/>
    <m/>
    <m/>
    <m/>
    <m/>
    <m/>
    <m/>
    <m/>
    <s v="LINHA DE BY PASS DAS PENEIRAS ALIMENTAÇÃO DO TANQUE TQ-145A-9702"/>
    <s v="SC-010"/>
    <s v="SP 8312 H"/>
    <s v="1450AA-L-70116"/>
    <s v="1450AA-S-58312"/>
    <n v="1"/>
    <s v="PÇ"/>
    <n v="11.8"/>
    <n v="11.8"/>
    <n v="0"/>
    <n v="0"/>
    <n v="0"/>
    <n v="0.9"/>
    <n v="0.1"/>
    <m/>
    <m/>
    <m/>
    <n v="0"/>
    <m/>
    <n v="0"/>
    <n v="11.8"/>
    <m/>
    <n v="0"/>
    <n v="0"/>
    <n v="0"/>
    <m/>
    <m/>
    <m/>
    <n v="0"/>
    <n v="0"/>
    <n v="0"/>
    <n v="0"/>
    <m/>
    <m/>
  </r>
  <r>
    <n v="0"/>
    <s v="CMS S.60.10.000"/>
    <s v="SUPORTE"/>
    <m/>
    <m/>
    <m/>
    <m/>
    <m/>
    <m/>
    <m/>
    <m/>
    <s v="LINHA DE BY PASS DAS PENEIRAS ALIMENTAÇÃO DO TANQUE TQ-145A-9702"/>
    <s v="SC-010"/>
    <s v="SP 8312 J"/>
    <s v="1450AA-L-70116"/>
    <s v="1450AA-S-58312"/>
    <n v="1"/>
    <s v="PÇ"/>
    <n v="25.4"/>
    <n v="25.4"/>
    <n v="0"/>
    <n v="0"/>
    <n v="0"/>
    <n v="0.9"/>
    <n v="0.1"/>
    <m/>
    <m/>
    <m/>
    <n v="0"/>
    <m/>
    <n v="0"/>
    <n v="25.4"/>
    <m/>
    <n v="0"/>
    <n v="0"/>
    <n v="0"/>
    <m/>
    <m/>
    <m/>
    <n v="0"/>
    <n v="0"/>
    <n v="0"/>
    <n v="0"/>
    <m/>
    <m/>
  </r>
  <r>
    <n v="0"/>
    <s v="CMS S.60.10.000"/>
    <s v="SUPORTE"/>
    <m/>
    <m/>
    <m/>
    <m/>
    <m/>
    <m/>
    <m/>
    <m/>
    <s v="LINHA DE BY PASS DAS PENEIRAS ALIMENTAÇÃO DO TANQUE TQ-145A-9702"/>
    <s v="SC-010"/>
    <s v="SP 8312 K"/>
    <s v="1450AA-L-70116"/>
    <s v="1450AA-S-58312"/>
    <n v="2"/>
    <s v="PÇ"/>
    <n v="28"/>
    <n v="56"/>
    <n v="0"/>
    <n v="0"/>
    <n v="0"/>
    <n v="0.9"/>
    <n v="0.1"/>
    <m/>
    <m/>
    <m/>
    <n v="0"/>
    <m/>
    <n v="0"/>
    <n v="56"/>
    <m/>
    <n v="0"/>
    <n v="0"/>
    <n v="0"/>
    <m/>
    <m/>
    <m/>
    <n v="0"/>
    <n v="0"/>
    <n v="0"/>
    <n v="0"/>
    <m/>
    <m/>
  </r>
  <r>
    <n v="0"/>
    <s v="CMS S.60.10.000"/>
    <s v="SUPORTE"/>
    <m/>
    <m/>
    <m/>
    <m/>
    <m/>
    <m/>
    <m/>
    <m/>
    <s v="LINHA DE BY PASS DAS PENEIRAS ALIMENTAÇÃO DO TANQUE TQ-145A-9702"/>
    <s v="SC-010"/>
    <s v="SP 8312 L"/>
    <s v="1450AA-L-70116"/>
    <s v="1450AA-S-58312"/>
    <n v="2"/>
    <s v="PÇ"/>
    <n v="30.6"/>
    <n v="61.2"/>
    <n v="0"/>
    <n v="0"/>
    <n v="0"/>
    <n v="0.9"/>
    <n v="0.1"/>
    <m/>
    <m/>
    <m/>
    <n v="0"/>
    <m/>
    <n v="0"/>
    <n v="61.2"/>
    <m/>
    <n v="0"/>
    <n v="0"/>
    <n v="0"/>
    <m/>
    <m/>
    <m/>
    <n v="0"/>
    <n v="0"/>
    <n v="0"/>
    <n v="0"/>
    <m/>
    <m/>
  </r>
  <r>
    <n v="0"/>
    <s v="CMS S.60.10.000"/>
    <s v="SUPORTE"/>
    <m/>
    <m/>
    <m/>
    <m/>
    <m/>
    <m/>
    <m/>
    <m/>
    <s v="LINHA DE BY PASS DAS PENEIRAS ALIMENTAÇÃO DO TANQUE TQ-145A-9703"/>
    <s v="SC-010"/>
    <s v="SP 8313 A"/>
    <s v="1450AA-L-70111"/>
    <s v="1450AA-S-58313"/>
    <n v="2"/>
    <s v="PÇ"/>
    <n v="145.5"/>
    <n v="291"/>
    <n v="0"/>
    <n v="0"/>
    <n v="0"/>
    <n v="0.9"/>
    <n v="0.1"/>
    <m/>
    <m/>
    <m/>
    <n v="0"/>
    <m/>
    <n v="0"/>
    <n v="291"/>
    <m/>
    <n v="0"/>
    <n v="0"/>
    <n v="0"/>
    <m/>
    <m/>
    <m/>
    <n v="0"/>
    <n v="0"/>
    <n v="0"/>
    <n v="0"/>
    <m/>
    <m/>
  </r>
  <r>
    <n v="0"/>
    <s v="CMS S.60.10.000"/>
    <s v="SUPORTE"/>
    <m/>
    <m/>
    <m/>
    <m/>
    <m/>
    <m/>
    <m/>
    <m/>
    <s v="LINHA DE BY PASS DAS PENEIRAS ALIMENTAÇÃO DO TANQUE TQ-145A-9703"/>
    <s v="SC-010"/>
    <s v="SP 8313 B"/>
    <s v="1450AA-L-70111"/>
    <s v="1450AA-S-58313"/>
    <n v="1"/>
    <s v="PÇ"/>
    <n v="18.100000000000001"/>
    <n v="18.100000000000001"/>
    <n v="0"/>
    <n v="0"/>
    <n v="0"/>
    <n v="0.9"/>
    <n v="0.1"/>
    <m/>
    <m/>
    <m/>
    <n v="0"/>
    <m/>
    <n v="0"/>
    <n v="18.100000000000001"/>
    <m/>
    <n v="0"/>
    <n v="0"/>
    <n v="0"/>
    <m/>
    <m/>
    <m/>
    <n v="0"/>
    <n v="0"/>
    <n v="0"/>
    <n v="0"/>
    <m/>
    <m/>
  </r>
  <r>
    <n v="0"/>
    <s v="CMS S.60.10.000"/>
    <s v="SUPORTE"/>
    <m/>
    <m/>
    <m/>
    <m/>
    <m/>
    <m/>
    <m/>
    <m/>
    <s v="LINHA DE BY PASS DAS PENEIRAS ALIMENTAÇÃO DO TANQUE TQ-145A-9703"/>
    <s v="SC-010"/>
    <s v="SP 8313 C"/>
    <s v="1450AA-L-70111"/>
    <s v="1450AA-S-58313"/>
    <n v="1"/>
    <s v="PÇ"/>
    <n v="53.2"/>
    <n v="53.2"/>
    <n v="0"/>
    <n v="0"/>
    <n v="0"/>
    <n v="0.9"/>
    <n v="0.1"/>
    <m/>
    <m/>
    <m/>
    <n v="0"/>
    <m/>
    <n v="0"/>
    <n v="53.2"/>
    <m/>
    <n v="0"/>
    <n v="0"/>
    <n v="0"/>
    <m/>
    <m/>
    <m/>
    <n v="0"/>
    <n v="0"/>
    <n v="0"/>
    <n v="0"/>
    <m/>
    <m/>
  </r>
  <r>
    <n v="0"/>
    <s v="CMS S.60.10.000"/>
    <s v="SUPORTE"/>
    <m/>
    <m/>
    <m/>
    <m/>
    <m/>
    <m/>
    <m/>
    <m/>
    <s v="LINHA DE BY PASS DAS PENEIRAS ALIMENTAÇÃO DO TANQUE TQ-145A-9703"/>
    <s v="SC-010"/>
    <s v="SP 8313 D"/>
    <s v="1450AA-L-70111"/>
    <s v="1450AA-S-58313"/>
    <n v="1"/>
    <s v="PÇ"/>
    <n v="18.2"/>
    <n v="18.2"/>
    <n v="0"/>
    <n v="0"/>
    <n v="0"/>
    <n v="0.9"/>
    <n v="0.1"/>
    <m/>
    <m/>
    <m/>
    <n v="0"/>
    <m/>
    <n v="0"/>
    <n v="18.2"/>
    <m/>
    <n v="0"/>
    <n v="0"/>
    <n v="0"/>
    <m/>
    <m/>
    <m/>
    <n v="0"/>
    <n v="0"/>
    <n v="0"/>
    <n v="0"/>
    <m/>
    <m/>
  </r>
  <r>
    <n v="0"/>
    <s v="CMS S.60.10.000"/>
    <s v="SUPORTE"/>
    <m/>
    <m/>
    <m/>
    <m/>
    <m/>
    <m/>
    <m/>
    <m/>
    <s v="LINHA DE BY PASS DAS PENEIRAS ALIMENTAÇÃO DO TANQUE TQ-145A-9703"/>
    <s v="SC-010"/>
    <s v="SP 8313 E"/>
    <s v="1450AA-L-70111"/>
    <s v="1450AA-S-58313"/>
    <n v="1"/>
    <s v="PÇ"/>
    <n v="15.3"/>
    <n v="15.3"/>
    <n v="0"/>
    <n v="0"/>
    <n v="0"/>
    <n v="0.9"/>
    <n v="0.1"/>
    <m/>
    <m/>
    <m/>
    <n v="0"/>
    <m/>
    <n v="0"/>
    <n v="15.3"/>
    <m/>
    <n v="0"/>
    <n v="0"/>
    <n v="0"/>
    <m/>
    <m/>
    <m/>
    <n v="0"/>
    <n v="0"/>
    <n v="0"/>
    <n v="0"/>
    <m/>
    <m/>
  </r>
  <r>
    <n v="0"/>
    <s v="CMS S.60.10.000"/>
    <s v="SUPORTE"/>
    <m/>
    <m/>
    <m/>
    <m/>
    <m/>
    <m/>
    <m/>
    <m/>
    <s v="LINHA DE BY PASS DAS PENEIRAS ALIMENTAÇÃO DO TANQUE TQ-145A-9703"/>
    <s v="SC-010"/>
    <s v="SP 8313 F"/>
    <s v="1450AA-L-70111"/>
    <s v="1450AA-S-58313"/>
    <n v="1"/>
    <s v="PÇ"/>
    <n v="32.5"/>
    <n v="32.5"/>
    <n v="0"/>
    <n v="0"/>
    <n v="0"/>
    <n v="0.9"/>
    <n v="0.1"/>
    <m/>
    <m/>
    <m/>
    <n v="0"/>
    <m/>
    <n v="0"/>
    <n v="32.5"/>
    <m/>
    <n v="0"/>
    <n v="0"/>
    <n v="0"/>
    <m/>
    <m/>
    <m/>
    <n v="0"/>
    <n v="0"/>
    <n v="0"/>
    <n v="0"/>
    <m/>
    <m/>
  </r>
  <r>
    <n v="0"/>
    <s v="CMS S.60.10.000"/>
    <s v="SUPORTE"/>
    <m/>
    <m/>
    <m/>
    <m/>
    <m/>
    <m/>
    <m/>
    <m/>
    <s v="LINHA DE BY PASS DAS PENEIRAS ALIMENTAÇÃO DO TANQUE TQ-145A-9703"/>
    <s v="SC-010"/>
    <s v="SP 8313 G"/>
    <s v="1450AA-L-70111"/>
    <s v="1450AA-S-58313"/>
    <n v="1"/>
    <s v="PÇ"/>
    <n v="31.5"/>
    <n v="31.5"/>
    <n v="0"/>
    <n v="0"/>
    <n v="0"/>
    <n v="0.9"/>
    <n v="0.1"/>
    <m/>
    <m/>
    <m/>
    <n v="0"/>
    <m/>
    <n v="0"/>
    <n v="31.5"/>
    <m/>
    <n v="0"/>
    <n v="0"/>
    <n v="0"/>
    <m/>
    <m/>
    <m/>
    <n v="0"/>
    <n v="0"/>
    <n v="0"/>
    <n v="0"/>
    <m/>
    <m/>
  </r>
  <r>
    <n v="0"/>
    <s v="CMS S.60.10.000"/>
    <s v="SUPORTE"/>
    <m/>
    <m/>
    <m/>
    <m/>
    <m/>
    <m/>
    <m/>
    <m/>
    <s v="LINHA DE BY PASS DAS PENEIRAS ALIMENTAÇÃO DO TANQUE TQ-145A-9703"/>
    <s v="SC-010"/>
    <s v="SP 8313 H"/>
    <s v="1450AA-L-70111"/>
    <s v="1450AA-S-58313"/>
    <n v="1"/>
    <s v="PÇ"/>
    <n v="23.1"/>
    <n v="23.1"/>
    <n v="0"/>
    <n v="0"/>
    <n v="0"/>
    <n v="0.9"/>
    <n v="0.1"/>
    <m/>
    <m/>
    <m/>
    <n v="0"/>
    <m/>
    <n v="0"/>
    <n v="23.1"/>
    <m/>
    <n v="0"/>
    <n v="0"/>
    <n v="0"/>
    <m/>
    <m/>
    <m/>
    <n v="0"/>
    <n v="0"/>
    <n v="0"/>
    <n v="0"/>
    <m/>
    <m/>
  </r>
  <r>
    <n v="0"/>
    <s v="CMS S.60.10.000"/>
    <s v="SUPORTE"/>
    <m/>
    <m/>
    <m/>
    <m/>
    <m/>
    <m/>
    <m/>
    <m/>
    <s v="LINHA DE BY PASS DAS PENEIRAS ALIMENTAÇÃO DO TANQUE TQ-145A-9703"/>
    <s v="SC-010"/>
    <s v="SP 8313 J"/>
    <s v="1450AA-L-70111"/>
    <s v="1450AA-S-58313"/>
    <n v="2"/>
    <s v="PÇ"/>
    <n v="21.5"/>
    <n v="43"/>
    <n v="0"/>
    <n v="0"/>
    <n v="0"/>
    <n v="0.9"/>
    <n v="0.1"/>
    <m/>
    <m/>
    <m/>
    <n v="0"/>
    <m/>
    <n v="0"/>
    <n v="43"/>
    <m/>
    <n v="0"/>
    <n v="0"/>
    <n v="0"/>
    <m/>
    <m/>
    <m/>
    <n v="0"/>
    <n v="0"/>
    <n v="0"/>
    <n v="0"/>
    <m/>
    <m/>
  </r>
  <r>
    <n v="0"/>
    <s v="CMS S.60.10.000"/>
    <s v="SUPORTE"/>
    <m/>
    <m/>
    <m/>
    <m/>
    <m/>
    <m/>
    <m/>
    <m/>
    <s v="LINHA DE BY PASS DAS PENEIRAS ALIMENTAÇÃO DO TANQUE TQ-145A-9703"/>
    <s v="SC-010"/>
    <s v="SP 8313 K"/>
    <s v="1450AA-L-70111"/>
    <s v="1450AA-S-58313"/>
    <n v="2"/>
    <s v="PÇ"/>
    <n v="15.2"/>
    <n v="30.4"/>
    <n v="0"/>
    <n v="0"/>
    <n v="0"/>
    <n v="0.9"/>
    <n v="0.1"/>
    <m/>
    <m/>
    <m/>
    <n v="0"/>
    <m/>
    <n v="0"/>
    <n v="30.4"/>
    <m/>
    <n v="0"/>
    <n v="0"/>
    <n v="0"/>
    <m/>
    <m/>
    <m/>
    <n v="0"/>
    <n v="0"/>
    <n v="0"/>
    <n v="0"/>
    <m/>
    <m/>
  </r>
  <r>
    <n v="0"/>
    <s v="CMS S.60.10.000"/>
    <s v="SUPORTE"/>
    <m/>
    <m/>
    <m/>
    <m/>
    <m/>
    <m/>
    <m/>
    <m/>
    <s v="LINHA DE BY PASS DAS PENEIRAS ALIMENTAÇÃO DO TANQUE TQ-145A-9703"/>
    <s v="SC-010"/>
    <s v="SP 8313 L"/>
    <s v="1450AA-L-70111"/>
    <s v="1450AA-S-58313"/>
    <n v="1"/>
    <s v="PÇ"/>
    <n v="11.6"/>
    <n v="11.6"/>
    <n v="0"/>
    <n v="0"/>
    <n v="0"/>
    <n v="0.9"/>
    <n v="0.1"/>
    <m/>
    <m/>
    <m/>
    <n v="0"/>
    <m/>
    <n v="0"/>
    <n v="11.6"/>
    <m/>
    <n v="0"/>
    <n v="0"/>
    <n v="0"/>
    <m/>
    <m/>
    <m/>
    <n v="0"/>
    <n v="0"/>
    <n v="0"/>
    <n v="0"/>
    <m/>
    <m/>
  </r>
  <r>
    <n v="0"/>
    <s v="CMS S.60.10.000"/>
    <s v="SUPORTE"/>
    <m/>
    <m/>
    <m/>
    <m/>
    <m/>
    <m/>
    <m/>
    <m/>
    <s v="LINHA DE BY PASS DAS PENEIRAS ALIMENTAÇÃO DO TANQUE TQ-145A-9703"/>
    <s v="SC-010"/>
    <s v="SP 8313 M"/>
    <s v="1450AA-L-70111"/>
    <s v="1450AA-S-58313"/>
    <n v="1"/>
    <s v="PÇ"/>
    <n v="7.9"/>
    <n v="7.9"/>
    <n v="0"/>
    <n v="0"/>
    <n v="0"/>
    <n v="0.9"/>
    <n v="0.1"/>
    <m/>
    <m/>
    <m/>
    <n v="0"/>
    <m/>
    <n v="0"/>
    <n v="7.9"/>
    <m/>
    <n v="0"/>
    <n v="0"/>
    <n v="0"/>
    <m/>
    <m/>
    <m/>
    <n v="0"/>
    <n v="0"/>
    <n v="0"/>
    <n v="0"/>
    <m/>
    <m/>
  </r>
  <r>
    <n v="0"/>
    <s v="CMS S.60.10.000"/>
    <s v="SUPORTE"/>
    <m/>
    <m/>
    <m/>
    <m/>
    <m/>
    <m/>
    <m/>
    <m/>
    <s v="LINHA DE BY PASS DAS PENEIRAS ALIMENTAÇÃO DO TANQUE TQ-145A-9703"/>
    <s v="SC-010"/>
    <s v="SP 8313 N"/>
    <s v="1450AA-L-70111"/>
    <s v="1450AA-S-58313"/>
    <n v="2"/>
    <s v="PÇ"/>
    <n v="5.5"/>
    <n v="11"/>
    <n v="0"/>
    <n v="0"/>
    <n v="0"/>
    <n v="0.9"/>
    <n v="0.1"/>
    <m/>
    <m/>
    <m/>
    <n v="0"/>
    <m/>
    <n v="0"/>
    <n v="11"/>
    <m/>
    <n v="0"/>
    <n v="0"/>
    <n v="0"/>
    <m/>
    <m/>
    <m/>
    <n v="0"/>
    <n v="0"/>
    <n v="0"/>
    <n v="0"/>
    <m/>
    <m/>
  </r>
  <r>
    <n v="0"/>
    <s v="CMS S.60.10.000"/>
    <s v="SUPORTE"/>
    <m/>
    <m/>
    <m/>
    <m/>
    <m/>
    <m/>
    <m/>
    <m/>
    <s v="LINHA DE BY PASS DAS PENEIRAS ALIMENTAÇÃO DO TANQUE TQ-145A-9703"/>
    <s v="SC-010"/>
    <s v="SP 8313 P"/>
    <s v="1450AA-L-70111"/>
    <s v="1450AA-S-58313"/>
    <n v="2"/>
    <s v="PÇ"/>
    <n v="9.3000000000000007"/>
    <n v="18.600000000000001"/>
    <n v="0"/>
    <n v="0"/>
    <n v="0"/>
    <n v="0.9"/>
    <n v="0.1"/>
    <m/>
    <m/>
    <m/>
    <n v="0"/>
    <m/>
    <n v="0"/>
    <n v="18.600000000000001"/>
    <m/>
    <n v="0"/>
    <n v="0"/>
    <n v="0"/>
    <m/>
    <m/>
    <m/>
    <n v="0"/>
    <n v="0"/>
    <n v="0"/>
    <n v="0"/>
    <m/>
    <m/>
  </r>
  <r>
    <n v="0"/>
    <s v="CMS S.60.10.000"/>
    <s v="SUPORTE"/>
    <m/>
    <m/>
    <m/>
    <m/>
    <m/>
    <m/>
    <m/>
    <m/>
    <s v="LINHA DE BY PASS DAS PENEIRAS ALIMENTAÇÃO DO TANQUE TQ-145A-9703"/>
    <s v="SC-010"/>
    <s v="SP 8313 Q"/>
    <s v="1450AA-L-70111"/>
    <s v="1450AA-S-58313"/>
    <n v="2"/>
    <s v="PÇ"/>
    <n v="4.2"/>
    <n v="8.4"/>
    <n v="0"/>
    <n v="0"/>
    <n v="0"/>
    <n v="0.9"/>
    <n v="0.1"/>
    <m/>
    <m/>
    <m/>
    <n v="0"/>
    <m/>
    <n v="0"/>
    <n v="8.4"/>
    <m/>
    <n v="0"/>
    <n v="0"/>
    <n v="0"/>
    <m/>
    <m/>
    <m/>
    <n v="0"/>
    <n v="0"/>
    <n v="0"/>
    <n v="0"/>
    <m/>
    <m/>
  </r>
  <r>
    <n v="0"/>
    <s v="CMS S.60.10.000"/>
    <s v="SUPORTE"/>
    <m/>
    <m/>
    <m/>
    <m/>
    <m/>
    <m/>
    <m/>
    <m/>
    <s v="LINHA DE BY PASS DAS PENEIRAS ALIMENTAÇÃO DO TANQUE TQ-145A-9703"/>
    <s v="SC-010"/>
    <s v="SP 8313 R"/>
    <s v="1450AA-L-70111"/>
    <s v="1450AA-S-58313"/>
    <n v="1"/>
    <s v="PÇ"/>
    <n v="12.700000000000001"/>
    <n v="12.700000000000001"/>
    <n v="0"/>
    <n v="0"/>
    <n v="0"/>
    <n v="0.9"/>
    <n v="0.1"/>
    <m/>
    <m/>
    <m/>
    <n v="0"/>
    <m/>
    <n v="0"/>
    <n v="12.700000000000001"/>
    <m/>
    <n v="0"/>
    <n v="0"/>
    <n v="0"/>
    <m/>
    <m/>
    <m/>
    <n v="0"/>
    <n v="0"/>
    <n v="0"/>
    <n v="0"/>
    <m/>
    <m/>
  </r>
  <r>
    <n v="0"/>
    <s v="CMS S.60.10.000"/>
    <s v="SUPORTE"/>
    <m/>
    <m/>
    <m/>
    <m/>
    <m/>
    <m/>
    <m/>
    <m/>
    <s v="LINHA DE BY PASS DAS PENEIRAS ALIMENTAÇÃO DO TANQUE TQ-145A-9703"/>
    <s v="SC-010"/>
    <s v="SP 8313 S"/>
    <s v="1450AA-L-70111"/>
    <s v="1450AA-S-58313"/>
    <n v="1"/>
    <s v="PÇ"/>
    <n v="6.3"/>
    <n v="6.3"/>
    <n v="0"/>
    <n v="0"/>
    <n v="0"/>
    <n v="0.9"/>
    <n v="0.1"/>
    <m/>
    <m/>
    <m/>
    <n v="0"/>
    <m/>
    <n v="0"/>
    <n v="6.3"/>
    <m/>
    <n v="0"/>
    <n v="0"/>
    <n v="0"/>
    <m/>
    <m/>
    <m/>
    <n v="0"/>
    <n v="0"/>
    <n v="0"/>
    <n v="0"/>
    <m/>
    <m/>
  </r>
  <r>
    <n v="0"/>
    <s v="CMS S.60.10.000"/>
    <s v="SUPORTE"/>
    <m/>
    <m/>
    <m/>
    <m/>
    <m/>
    <m/>
    <m/>
    <m/>
    <s v="LINHA DE BY PASS DAS PENEIRAS ALIMENTAÇÃO DO TANQUE TQ-145A-9703"/>
    <s v="SC-010"/>
    <s v="SP 8313 T"/>
    <s v="1450AA-L-70111"/>
    <s v="1450AA-S-58313"/>
    <n v="1"/>
    <s v="PÇ"/>
    <n v="0.8"/>
    <n v="0.8"/>
    <n v="0"/>
    <n v="0"/>
    <n v="0"/>
    <n v="0.9"/>
    <n v="0.1"/>
    <m/>
    <m/>
    <m/>
    <n v="0"/>
    <m/>
    <n v="0"/>
    <n v="0.8"/>
    <m/>
    <n v="0"/>
    <n v="0"/>
    <n v="0"/>
    <m/>
    <m/>
    <m/>
    <n v="0"/>
    <n v="0"/>
    <n v="0"/>
    <n v="0"/>
    <m/>
    <m/>
  </r>
  <r>
    <n v="0"/>
    <s v="CMS S.60.10.000"/>
    <s v="SUPORTE"/>
    <m/>
    <m/>
    <m/>
    <m/>
    <m/>
    <m/>
    <m/>
    <m/>
    <s v="LINHA DE BY PASS DAS PENEIRAS ALIMENTAÇÃO DO TANQUE TQ-145A-9704"/>
    <s v="SC-010"/>
    <s v="SP 8314 A"/>
    <s v="1450AA-L-70112"/>
    <s v="1450AA-S-58314"/>
    <n v="9"/>
    <s v="PÇ"/>
    <n v="12.7"/>
    <n v="114.3"/>
    <n v="0"/>
    <n v="0"/>
    <n v="0"/>
    <n v="0.9"/>
    <n v="0.1"/>
    <m/>
    <m/>
    <m/>
    <n v="0"/>
    <m/>
    <n v="0"/>
    <n v="114.3"/>
    <m/>
    <n v="0"/>
    <n v="0"/>
    <n v="0"/>
    <m/>
    <m/>
    <m/>
    <n v="0"/>
    <n v="0"/>
    <n v="0"/>
    <n v="0"/>
    <m/>
    <m/>
  </r>
  <r>
    <n v="0"/>
    <s v="CMS S.60.10.000"/>
    <s v="SUPORTE"/>
    <m/>
    <m/>
    <m/>
    <m/>
    <m/>
    <m/>
    <m/>
    <m/>
    <s v="LINHA DE BY PASS DAS PENEIRAS ALIMENTAÇÃO DO TANQUE TQ-145A-9704"/>
    <s v="SC-010"/>
    <s v="SP 8314 B"/>
    <s v="1450AA-L-70112"/>
    <s v="1450AA-S-58314"/>
    <n v="1"/>
    <s v="PÇ"/>
    <n v="252.5"/>
    <n v="252.5"/>
    <n v="0"/>
    <n v="0"/>
    <n v="0"/>
    <n v="0.9"/>
    <n v="0.1"/>
    <m/>
    <m/>
    <m/>
    <n v="0"/>
    <m/>
    <n v="0"/>
    <n v="252.5"/>
    <m/>
    <n v="0"/>
    <n v="0"/>
    <n v="0"/>
    <m/>
    <m/>
    <m/>
    <n v="0"/>
    <n v="0"/>
    <n v="0"/>
    <n v="0"/>
    <m/>
    <m/>
  </r>
  <r>
    <n v="0"/>
    <s v="CMS S.60.10.000"/>
    <s v="SUPORTE"/>
    <m/>
    <m/>
    <m/>
    <m/>
    <m/>
    <m/>
    <m/>
    <m/>
    <s v="LINHA DE BY PASS DAS PENEIRAS ALIMENTAÇÃO DO TANQUE TQ-145A-9704"/>
    <s v="SC-010"/>
    <s v="SP 8314 C"/>
    <s v="1450AA-L-70112"/>
    <s v="1450AA-S-58314"/>
    <n v="1"/>
    <s v="PÇ"/>
    <n v="36.9"/>
    <n v="36.9"/>
    <n v="0"/>
    <n v="0"/>
    <n v="0"/>
    <n v="0.9"/>
    <n v="0.1"/>
    <m/>
    <m/>
    <m/>
    <n v="0"/>
    <m/>
    <n v="0"/>
    <n v="36.9"/>
    <m/>
    <n v="0"/>
    <n v="0"/>
    <n v="0"/>
    <m/>
    <m/>
    <m/>
    <n v="0"/>
    <n v="0"/>
    <n v="0"/>
    <n v="0"/>
    <m/>
    <m/>
  </r>
  <r>
    <n v="0"/>
    <s v="CMS S.60.10.000"/>
    <s v="SUPORTE"/>
    <m/>
    <m/>
    <m/>
    <m/>
    <m/>
    <m/>
    <m/>
    <m/>
    <s v="LINHA DE BY PASS DAS PENEIRAS ALIMENTAÇÃO DO TANQUE TQ-145A-9704"/>
    <s v="SC-010"/>
    <s v="SP 8314 D"/>
    <s v="1450AA-L-70112"/>
    <s v="1450AA-S-58314"/>
    <n v="1"/>
    <s v="PÇ"/>
    <n v="5.5"/>
    <n v="5.5"/>
    <n v="0"/>
    <n v="0"/>
    <n v="0"/>
    <n v="0.9"/>
    <n v="0.1"/>
    <m/>
    <m/>
    <m/>
    <n v="0"/>
    <m/>
    <n v="0"/>
    <n v="5.5"/>
    <m/>
    <n v="0"/>
    <n v="0"/>
    <n v="0"/>
    <m/>
    <m/>
    <m/>
    <n v="0"/>
    <n v="0"/>
    <n v="0"/>
    <n v="0"/>
    <m/>
    <m/>
  </r>
  <r>
    <n v="0"/>
    <s v="CMS S.60.10.000"/>
    <s v="SUPORTE"/>
    <m/>
    <m/>
    <m/>
    <m/>
    <m/>
    <m/>
    <m/>
    <m/>
    <s v="LINHA DE BY PASS DAS PENEIRAS ALIMENTAÇÃO DO TANQUE TQ-145A-9704"/>
    <s v="SC-010"/>
    <s v="SP 8314 E"/>
    <s v="1450AA-L-70112"/>
    <s v="1450AA-S-58314"/>
    <n v="1"/>
    <s v="PÇ"/>
    <n v="13.2"/>
    <n v="13.2"/>
    <n v="0"/>
    <n v="0"/>
    <n v="0"/>
    <n v="0.9"/>
    <n v="0.1"/>
    <m/>
    <m/>
    <m/>
    <n v="0"/>
    <m/>
    <n v="0"/>
    <n v="13.2"/>
    <m/>
    <n v="0"/>
    <n v="0"/>
    <n v="0"/>
    <m/>
    <m/>
    <m/>
    <n v="0"/>
    <n v="0"/>
    <n v="0"/>
    <n v="0"/>
    <m/>
    <m/>
  </r>
  <r>
    <n v="0"/>
    <s v="CMS S.60.10.000"/>
    <s v="SUPORTE"/>
    <m/>
    <m/>
    <m/>
    <m/>
    <m/>
    <m/>
    <m/>
    <m/>
    <s v="LINHA DE BY PASS DAS PENEIRAS ALIMENTAÇÃO DO TANQUE TQ-145A-9704"/>
    <s v="SC-010"/>
    <s v="SP 8314 F"/>
    <s v="1450AA-L-70112"/>
    <s v="1450AA-S-58314"/>
    <n v="1"/>
    <s v="PÇ"/>
    <n v="25.6"/>
    <n v="25.6"/>
    <n v="0"/>
    <n v="0"/>
    <n v="0"/>
    <n v="0.9"/>
    <n v="0.1"/>
    <m/>
    <m/>
    <m/>
    <n v="0"/>
    <m/>
    <n v="0"/>
    <n v="25.6"/>
    <m/>
    <n v="0"/>
    <n v="0"/>
    <n v="0"/>
    <m/>
    <m/>
    <m/>
    <n v="0"/>
    <n v="0"/>
    <n v="0"/>
    <n v="0"/>
    <m/>
    <m/>
  </r>
  <r>
    <n v="0"/>
    <s v="CMS S.60.10.000"/>
    <s v="SUPORTE"/>
    <m/>
    <m/>
    <m/>
    <m/>
    <m/>
    <m/>
    <m/>
    <m/>
    <s v="LINHA DE BY PASS DAS PENEIRAS ALIMENTAÇÃO DO TANQUE TQ-145A-9704"/>
    <s v="SC-010"/>
    <s v="SP 8314 G"/>
    <s v="1450AA-L-70112"/>
    <s v="1450AA-S-58314"/>
    <n v="1"/>
    <s v="PÇ"/>
    <n v="12"/>
    <n v="12"/>
    <n v="0"/>
    <n v="0"/>
    <n v="0"/>
    <n v="0.9"/>
    <n v="0.1"/>
    <m/>
    <m/>
    <m/>
    <n v="0"/>
    <m/>
    <n v="0"/>
    <n v="12"/>
    <m/>
    <n v="0"/>
    <n v="0"/>
    <n v="0"/>
    <m/>
    <m/>
    <m/>
    <n v="0"/>
    <n v="0"/>
    <n v="0"/>
    <n v="0"/>
    <m/>
    <m/>
  </r>
  <r>
    <n v="0"/>
    <s v="CMS S.60.10.000"/>
    <s v="SUPORTE"/>
    <m/>
    <m/>
    <m/>
    <m/>
    <m/>
    <m/>
    <m/>
    <m/>
    <s v="LINHA DE BY PASS DAS PENEIRAS ALIMENTAÇÃO DO TANQUE TQ-145A-9704"/>
    <s v="SC-010"/>
    <s v="SP 8314 H"/>
    <s v="1450AA-L-70112"/>
    <s v="1450AA-S-58314"/>
    <n v="1"/>
    <s v="PÇ"/>
    <n v="2"/>
    <n v="2"/>
    <n v="0"/>
    <n v="0"/>
    <n v="0"/>
    <n v="0.9"/>
    <n v="0.1"/>
    <m/>
    <m/>
    <m/>
    <n v="0"/>
    <m/>
    <n v="0"/>
    <n v="2"/>
    <m/>
    <n v="0"/>
    <n v="0"/>
    <n v="0"/>
    <m/>
    <m/>
    <m/>
    <n v="0"/>
    <n v="0"/>
    <n v="0"/>
    <n v="0"/>
    <m/>
    <m/>
  </r>
  <r>
    <n v="0"/>
    <s v="CMS S.60.10.000"/>
    <s v="SUPORTE"/>
    <m/>
    <m/>
    <m/>
    <m/>
    <m/>
    <m/>
    <m/>
    <m/>
    <s v="LINHA DE BY PASS DAS PENEIRAS ALIMENTAÇÃO DO TANQUE TQ-145A-9704"/>
    <s v="SC-010"/>
    <s v="SP 8314 J"/>
    <s v="1450AA-L-70112"/>
    <s v="1450AA-S-58314"/>
    <n v="1"/>
    <s v="PÇ"/>
    <n v="7.9"/>
    <n v="7.9"/>
    <n v="0"/>
    <n v="0"/>
    <n v="0"/>
    <n v="0.9"/>
    <n v="0.1"/>
    <m/>
    <m/>
    <m/>
    <n v="0"/>
    <m/>
    <n v="0"/>
    <n v="7.9"/>
    <m/>
    <n v="0"/>
    <n v="0"/>
    <n v="0"/>
    <m/>
    <m/>
    <m/>
    <n v="0"/>
    <n v="0"/>
    <n v="0"/>
    <n v="0"/>
    <m/>
    <m/>
  </r>
  <r>
    <n v="0"/>
    <s v="CMS S.60.10.000"/>
    <s v="SUPORTE"/>
    <m/>
    <m/>
    <m/>
    <m/>
    <m/>
    <m/>
    <m/>
    <m/>
    <s v="LINHA DE BY PASS DAS PENEIRAS ALIMENTAÇÃO DO TANQUE TQ-145A-9704"/>
    <s v="SC-010"/>
    <s v="SP 8314 K"/>
    <s v="1450AA-L-70112"/>
    <s v="1450AA-S-58314"/>
    <n v="1"/>
    <s v="PÇ"/>
    <n v="7.7"/>
    <n v="7.7"/>
    <n v="0"/>
    <n v="0"/>
    <n v="0"/>
    <n v="0.9"/>
    <n v="0.1"/>
    <m/>
    <m/>
    <m/>
    <n v="0"/>
    <m/>
    <n v="0"/>
    <n v="7.7"/>
    <m/>
    <n v="0"/>
    <n v="0"/>
    <n v="0"/>
    <m/>
    <m/>
    <m/>
    <n v="0"/>
    <n v="0"/>
    <n v="0"/>
    <n v="0"/>
    <m/>
    <m/>
  </r>
  <r>
    <n v="0"/>
    <s v="CMS S.60.10.000"/>
    <s v="SUPORTE"/>
    <m/>
    <m/>
    <m/>
    <m/>
    <m/>
    <m/>
    <m/>
    <m/>
    <s v="LINHA DE BY PASS DAS PENEIRAS ALIMENTAÇÃO DO TANQUE TQ-145A-9704"/>
    <s v="SC-010"/>
    <s v="SP 8314 L"/>
    <s v="1450AA-L-70112"/>
    <s v="1450AA-S-58314"/>
    <n v="1"/>
    <s v="PÇ"/>
    <n v="5.2"/>
    <n v="5.2"/>
    <n v="0"/>
    <n v="0"/>
    <n v="0"/>
    <n v="0.9"/>
    <n v="0.1"/>
    <m/>
    <m/>
    <m/>
    <n v="0"/>
    <m/>
    <n v="0"/>
    <n v="5.2"/>
    <m/>
    <n v="0"/>
    <n v="0"/>
    <n v="0"/>
    <m/>
    <m/>
    <m/>
    <n v="0"/>
    <n v="0"/>
    <n v="0"/>
    <n v="0"/>
    <m/>
    <m/>
  </r>
  <r>
    <n v="0"/>
    <s v="CMS S.60.10.000"/>
    <s v="SUPORTE"/>
    <m/>
    <m/>
    <m/>
    <m/>
    <m/>
    <m/>
    <m/>
    <m/>
    <s v="LINHA DE BY PASS DAS PENEIRAS ALIMENTAÇÃO DO TANQUE TQ-145A-9704"/>
    <s v="SC-010"/>
    <s v="SP 8314 M"/>
    <s v="1450AA-L-70112"/>
    <s v="1450AA-S-58314"/>
    <n v="1"/>
    <s v="PÇ"/>
    <n v="9.1999999999999993"/>
    <n v="9.1999999999999993"/>
    <n v="0"/>
    <n v="0"/>
    <n v="0"/>
    <n v="0.9"/>
    <n v="0.1"/>
    <m/>
    <m/>
    <m/>
    <n v="0"/>
    <m/>
    <n v="0"/>
    <n v="9.1999999999999993"/>
    <m/>
    <n v="0"/>
    <n v="0"/>
    <n v="0"/>
    <m/>
    <m/>
    <m/>
    <n v="0"/>
    <n v="0"/>
    <n v="0"/>
    <n v="0"/>
    <m/>
    <m/>
  </r>
  <r>
    <n v="0"/>
    <s v="CMS S.60.10.000"/>
    <s v="SUPORTE"/>
    <m/>
    <m/>
    <m/>
    <m/>
    <m/>
    <m/>
    <m/>
    <m/>
    <s v="LINHA DE BY PASS DAS PENEIRAS ALIMENTAÇÃO DO TANQUE TQ-145A-9704"/>
    <s v="SC-010"/>
    <s v="SP 8314 N"/>
    <s v="1450AA-L-70112"/>
    <s v="1450AA-S-58314"/>
    <n v="2"/>
    <s v="PÇ"/>
    <n v="2.6999999999999997"/>
    <n v="5.3999999999999995"/>
    <n v="0"/>
    <n v="0"/>
    <n v="0"/>
    <n v="0.9"/>
    <n v="0.1"/>
    <m/>
    <m/>
    <m/>
    <n v="0"/>
    <m/>
    <n v="0"/>
    <n v="5.3999999999999995"/>
    <m/>
    <n v="0"/>
    <n v="0"/>
    <n v="0"/>
    <m/>
    <m/>
    <m/>
    <n v="0"/>
    <n v="0"/>
    <n v="0"/>
    <n v="0"/>
    <m/>
    <m/>
  </r>
  <r>
    <n v="0"/>
    <s v="CMS S.60.10.000"/>
    <s v="SUPORTE"/>
    <m/>
    <m/>
    <m/>
    <m/>
    <m/>
    <m/>
    <m/>
    <m/>
    <s v="LINHA DE BY PASS DAS PENEIRAS ALIMENTAÇÃO DO TANQUE TQ-145A-9704"/>
    <s v="SC-010"/>
    <s v="SP 8314 P"/>
    <s v="1450AA-L-70112"/>
    <s v="1450AA-S-58314"/>
    <n v="3"/>
    <s v="PÇ"/>
    <n v="4"/>
    <n v="12"/>
    <n v="0"/>
    <n v="0"/>
    <n v="0"/>
    <n v="0.9"/>
    <n v="0.1"/>
    <m/>
    <m/>
    <m/>
    <n v="0"/>
    <m/>
    <n v="0"/>
    <n v="12"/>
    <m/>
    <n v="0"/>
    <n v="0"/>
    <n v="0"/>
    <m/>
    <m/>
    <m/>
    <n v="0"/>
    <n v="0"/>
    <n v="0"/>
    <n v="0"/>
    <m/>
    <m/>
  </r>
  <r>
    <n v="0"/>
    <s v="CMS S.60.10.000"/>
    <s v="SUPORTE"/>
    <m/>
    <m/>
    <m/>
    <m/>
    <m/>
    <m/>
    <m/>
    <m/>
    <s v="LINHA DE BY PASS DAS PENEIRAS ALIMENTAÇÃO DO TANQUE TQ-145A-9704"/>
    <s v="SC-010"/>
    <s v="SP 8314 Q"/>
    <s v="1450AA-L-70112"/>
    <s v="1450AA-S-58314"/>
    <n v="3"/>
    <s v="PÇ"/>
    <n v="5.3"/>
    <n v="15.899999999999999"/>
    <n v="0"/>
    <n v="0"/>
    <n v="0"/>
    <n v="0.9"/>
    <n v="0.1"/>
    <m/>
    <m/>
    <m/>
    <n v="0"/>
    <m/>
    <n v="0"/>
    <n v="15.899999999999999"/>
    <m/>
    <n v="0"/>
    <n v="0"/>
    <n v="0"/>
    <m/>
    <m/>
    <m/>
    <n v="0"/>
    <n v="0"/>
    <n v="0"/>
    <n v="0"/>
    <m/>
    <m/>
  </r>
  <r>
    <n v="0"/>
    <s v="CMS S.60.10.000"/>
    <s v="SUPORTE"/>
    <m/>
    <m/>
    <m/>
    <m/>
    <m/>
    <m/>
    <m/>
    <m/>
    <s v="LINHA DE BY PASS DAS PENEIRAS ALIMENTAÇÃO DO TANQUE TQ-145A-9704"/>
    <s v="SC-010"/>
    <s v="SP 8314 R"/>
    <s v="1450AA-L-70112"/>
    <s v="1450AA-S-58314"/>
    <n v="1"/>
    <s v="PÇ"/>
    <n v="6.6000000000000005"/>
    <n v="6.6000000000000005"/>
    <n v="0"/>
    <n v="0"/>
    <n v="0"/>
    <n v="0.9"/>
    <n v="0.1"/>
    <m/>
    <m/>
    <m/>
    <n v="0"/>
    <m/>
    <n v="0"/>
    <n v="6.6000000000000005"/>
    <m/>
    <n v="0"/>
    <n v="0"/>
    <n v="0"/>
    <m/>
    <m/>
    <m/>
    <n v="0"/>
    <n v="0"/>
    <n v="0"/>
    <n v="0"/>
    <m/>
    <m/>
  </r>
  <r>
    <n v="0"/>
    <s v="CMS S.60.10.000"/>
    <s v="SUPORTE"/>
    <m/>
    <m/>
    <m/>
    <m/>
    <m/>
    <m/>
    <m/>
    <m/>
    <s v="LINHA DE BY PASS DAS PENEIRAS ALIMENTAÇÃO DO TANQUE TQ-145A-9704"/>
    <s v="SC-010"/>
    <s v="SP 8314 S"/>
    <s v="1450AA-L-70112"/>
    <s v="1450AA-S-58314"/>
    <n v="4"/>
    <s v="PÇ"/>
    <n v="12.4"/>
    <n v="49.6"/>
    <n v="0"/>
    <n v="0"/>
    <n v="0"/>
    <n v="0.9"/>
    <n v="0.1"/>
    <m/>
    <m/>
    <m/>
    <n v="0"/>
    <m/>
    <n v="0"/>
    <n v="49.6"/>
    <m/>
    <n v="0"/>
    <n v="0"/>
    <n v="0"/>
    <m/>
    <m/>
    <m/>
    <n v="0"/>
    <n v="0"/>
    <n v="0"/>
    <n v="0"/>
    <m/>
    <m/>
  </r>
  <r>
    <n v="0"/>
    <s v="CMS S.60.10.000"/>
    <s v="SUPORTE"/>
    <m/>
    <m/>
    <m/>
    <m/>
    <m/>
    <m/>
    <m/>
    <m/>
    <s v="LINHA DE BY PASS DAS PENEIRAS ALIMENTAÇÃO DO TANQUE TQ-145A-9704"/>
    <s v="SC-010"/>
    <s v="SP 8314 T"/>
    <s v="1450AA-L-70112"/>
    <s v="1450AA-S-58314"/>
    <n v="1"/>
    <s v="PÇ"/>
    <n v="15"/>
    <n v="15"/>
    <n v="0"/>
    <n v="0"/>
    <n v="0"/>
    <n v="0.9"/>
    <n v="0.1"/>
    <m/>
    <m/>
    <m/>
    <n v="0"/>
    <m/>
    <n v="0"/>
    <n v="15"/>
    <m/>
    <n v="0"/>
    <n v="0"/>
    <n v="0"/>
    <m/>
    <m/>
    <m/>
    <n v="0"/>
    <n v="0"/>
    <n v="0"/>
    <n v="0"/>
    <m/>
    <m/>
  </r>
  <r>
    <n v="0"/>
    <s v="CMS S.60.10.000"/>
    <s v="SUPORTE"/>
    <m/>
    <m/>
    <m/>
    <m/>
    <m/>
    <m/>
    <m/>
    <m/>
    <s v="LINHA DO CIRCUITO ULTRAFINO LINHA DE ALIMENTAÇÃO DO DISTRIBUIDOR DI 145A-9903"/>
    <s v="SC-018"/>
    <s v="SP 8315 A"/>
    <m/>
    <s v="1450AA-S-58315"/>
    <n v="3"/>
    <s v="PÇ"/>
    <n v="12.7"/>
    <n v="38.099999999999994"/>
    <n v="0"/>
    <n v="0"/>
    <n v="0"/>
    <n v="0.9"/>
    <n v="0.1"/>
    <m/>
    <m/>
    <m/>
    <n v="0"/>
    <m/>
    <n v="0"/>
    <n v="38.099999999999994"/>
    <m/>
    <n v="0"/>
    <n v="0"/>
    <n v="0"/>
    <m/>
    <m/>
    <m/>
    <n v="0"/>
    <n v="0"/>
    <n v="0"/>
    <n v="0"/>
    <m/>
    <m/>
  </r>
  <r>
    <n v="0"/>
    <s v="CMS S.60.10.000"/>
    <s v="SUPORTE"/>
    <m/>
    <m/>
    <m/>
    <m/>
    <m/>
    <m/>
    <m/>
    <m/>
    <s v="LINHA DO CIRCUITO ULTRAFINO LINHA DE ALIMENTAÇÃO DO DISTRIBUIDOR DI 145A-9903"/>
    <s v="SC-018"/>
    <s v="SP 8315 B"/>
    <m/>
    <s v="1450AA-S-58315"/>
    <n v="1"/>
    <s v="PÇ"/>
    <n v="13.7"/>
    <n v="13.7"/>
    <n v="0"/>
    <n v="0"/>
    <n v="0"/>
    <n v="0.9"/>
    <n v="0.1"/>
    <m/>
    <m/>
    <m/>
    <n v="0"/>
    <m/>
    <n v="0"/>
    <n v="13.7"/>
    <m/>
    <n v="0"/>
    <n v="0"/>
    <n v="0"/>
    <m/>
    <m/>
    <m/>
    <n v="0"/>
    <n v="0"/>
    <n v="0"/>
    <n v="0"/>
    <m/>
    <m/>
  </r>
  <r>
    <n v="0"/>
    <s v="CMS S.60.10.000"/>
    <s v="SUPORTE"/>
    <m/>
    <m/>
    <m/>
    <m/>
    <m/>
    <m/>
    <m/>
    <m/>
    <s v="LINHA DO CIRCUITO ULTRAFINO LINHA DE ALIMENTAÇÃO DO DISTRIBUIDOR DI 145A-9903"/>
    <s v="SC-018"/>
    <s v="SP 8315 C"/>
    <m/>
    <s v="1450AA-S-58315"/>
    <n v="1"/>
    <s v="PÇ"/>
    <n v="15.9"/>
    <n v="15.9"/>
    <n v="0"/>
    <n v="0"/>
    <n v="0"/>
    <n v="0.9"/>
    <n v="0.1"/>
    <m/>
    <m/>
    <m/>
    <n v="0"/>
    <m/>
    <n v="0"/>
    <n v="15.9"/>
    <m/>
    <n v="0"/>
    <n v="0"/>
    <n v="0"/>
    <m/>
    <m/>
    <m/>
    <n v="0"/>
    <n v="0"/>
    <n v="0"/>
    <n v="0"/>
    <m/>
    <m/>
  </r>
  <r>
    <n v="0"/>
    <s v="CMS S.60.10.000"/>
    <s v="SUPORTE"/>
    <m/>
    <m/>
    <m/>
    <m/>
    <m/>
    <m/>
    <m/>
    <m/>
    <s v="LINHA DO CIRCUITO ULTRAFINO LINHA DE ALIMENTAÇÃO DO DISTRIBUIDOR DI 145A-9903"/>
    <s v="SC-018"/>
    <s v="SP 8315 D"/>
    <m/>
    <s v="1450AA-S-58315"/>
    <n v="8"/>
    <s v="PÇ"/>
    <n v="1.7"/>
    <n v="13.6"/>
    <n v="0"/>
    <n v="0"/>
    <n v="0"/>
    <n v="0.9"/>
    <n v="0.1"/>
    <m/>
    <m/>
    <m/>
    <n v="0"/>
    <m/>
    <n v="0"/>
    <n v="13.6"/>
    <m/>
    <n v="0"/>
    <n v="0"/>
    <n v="0"/>
    <m/>
    <m/>
    <m/>
    <n v="0"/>
    <n v="0"/>
    <n v="0"/>
    <n v="0"/>
    <m/>
    <m/>
  </r>
  <r>
    <n v="0"/>
    <s v="CMS S.60.10.000"/>
    <s v="SUPORTE"/>
    <m/>
    <m/>
    <m/>
    <m/>
    <m/>
    <m/>
    <m/>
    <m/>
    <s v="LINHA DO CIRCUITO ULTRAFINO LINHA DE ALIMENTAÇÃO DO DISTRIBUIDOR DI 145A-9903"/>
    <s v="SC-018"/>
    <s v="SP 8315 E"/>
    <m/>
    <s v="1450AA-S-58315"/>
    <n v="1"/>
    <s v="PÇ"/>
    <n v="270.7"/>
    <n v="270.7"/>
    <n v="0"/>
    <n v="0"/>
    <n v="0"/>
    <n v="0.9"/>
    <n v="0.1"/>
    <m/>
    <m/>
    <m/>
    <n v="0"/>
    <m/>
    <n v="0"/>
    <n v="270.7"/>
    <m/>
    <n v="0"/>
    <n v="0"/>
    <n v="0"/>
    <m/>
    <m/>
    <m/>
    <n v="0"/>
    <n v="0"/>
    <n v="0"/>
    <n v="0"/>
    <m/>
    <m/>
  </r>
  <r>
    <n v="0"/>
    <s v="CMS S.60.10.000"/>
    <s v="SUPORTE"/>
    <m/>
    <m/>
    <m/>
    <m/>
    <m/>
    <m/>
    <m/>
    <m/>
    <s v="LINHA DO CIRCUITO ULTRAFINO LINHA DE ALIMENTAÇÃO DO DISTRIBUIDOR DI 145A-9903"/>
    <s v="SC-018"/>
    <s v="SP 8315 F"/>
    <m/>
    <s v="1450AA-S-58315"/>
    <n v="1"/>
    <s v="PÇ"/>
    <n v="24.7"/>
    <n v="24.7"/>
    <n v="0"/>
    <n v="0"/>
    <n v="0"/>
    <n v="0.9"/>
    <n v="0.1"/>
    <m/>
    <m/>
    <m/>
    <n v="0"/>
    <m/>
    <n v="0"/>
    <n v="24.7"/>
    <m/>
    <n v="0"/>
    <n v="0"/>
    <n v="0"/>
    <m/>
    <m/>
    <m/>
    <n v="0"/>
    <n v="0"/>
    <n v="0"/>
    <n v="0"/>
    <m/>
    <m/>
  </r>
  <r>
    <n v="0"/>
    <s v="CMS S.60.10.000"/>
    <s v="SUPORTE"/>
    <m/>
    <m/>
    <m/>
    <m/>
    <m/>
    <m/>
    <m/>
    <m/>
    <s v="LINHA DO CIRCUITO ULTRAFINO LINHA DE ALIMENTAÇÃO DO DISTRIBUIDOR DI 145A-9903"/>
    <s v="SC-018"/>
    <s v="SP 8315 G"/>
    <m/>
    <s v="1450AA-S-58315"/>
    <n v="1"/>
    <s v="PÇ"/>
    <n v="23.2"/>
    <n v="23.2"/>
    <n v="0"/>
    <n v="0"/>
    <n v="0"/>
    <n v="0.9"/>
    <n v="0.1"/>
    <m/>
    <m/>
    <m/>
    <n v="0"/>
    <m/>
    <n v="0"/>
    <n v="23.2"/>
    <m/>
    <n v="0"/>
    <n v="0"/>
    <n v="0"/>
    <m/>
    <m/>
    <m/>
    <n v="0"/>
    <n v="0"/>
    <n v="0"/>
    <n v="0"/>
    <m/>
    <m/>
  </r>
  <r>
    <n v="0"/>
    <s v="CMS S.60.10.000"/>
    <s v="SUPORTE"/>
    <m/>
    <m/>
    <m/>
    <m/>
    <m/>
    <m/>
    <m/>
    <m/>
    <s v="LINHA DO CIRCUITO ULTRAFINO LINHA DE ALIMENTAÇÃO DO DISTRIBUIDOR DI 145A-9903"/>
    <s v="SC-018"/>
    <s v="SP 8315 H"/>
    <m/>
    <s v="1450AA-S-58315"/>
    <n v="1"/>
    <s v="PÇ"/>
    <n v="37.5"/>
    <n v="37.5"/>
    <n v="0"/>
    <n v="0"/>
    <n v="0"/>
    <n v="0.9"/>
    <n v="0.1"/>
    <m/>
    <m/>
    <m/>
    <n v="0"/>
    <m/>
    <n v="0"/>
    <n v="37.5"/>
    <m/>
    <n v="0"/>
    <n v="0"/>
    <n v="0"/>
    <m/>
    <m/>
    <m/>
    <n v="0"/>
    <n v="0"/>
    <n v="0"/>
    <n v="0"/>
    <m/>
    <m/>
  </r>
  <r>
    <n v="0"/>
    <s v="CMS S.60.10.000"/>
    <s v="SUPORTE"/>
    <m/>
    <m/>
    <m/>
    <m/>
    <m/>
    <m/>
    <m/>
    <m/>
    <s v="LINHA DO CIRCUITO ULTRAFINO LINHA DE ALIMENTAÇÃO DO DISTRIBUIDOR DI 145A-9903"/>
    <s v="SC-018"/>
    <s v="SP 8315 J"/>
    <m/>
    <s v="1450AA-S-58315"/>
    <n v="4"/>
    <s v="PÇ"/>
    <n v="4.3"/>
    <n v="17.2"/>
    <n v="0"/>
    <n v="0"/>
    <n v="0"/>
    <n v="0.9"/>
    <n v="0.1"/>
    <m/>
    <m/>
    <m/>
    <n v="0"/>
    <m/>
    <n v="0"/>
    <n v="17.2"/>
    <m/>
    <n v="0"/>
    <n v="0"/>
    <n v="0"/>
    <m/>
    <m/>
    <m/>
    <n v="0"/>
    <n v="0"/>
    <n v="0"/>
    <n v="0"/>
    <m/>
    <m/>
  </r>
  <r>
    <n v="0"/>
    <s v="CMS S.60.10.000"/>
    <s v="SUPORTE"/>
    <m/>
    <m/>
    <m/>
    <m/>
    <m/>
    <m/>
    <m/>
    <m/>
    <s v="LINHA DO CIRCUITO ULTRAFINO LINHA DE ALIMENTAÇÃO DO DISTRIBUIDOR DI 145A-9903"/>
    <s v="SC-018"/>
    <s v="SP 8315 K"/>
    <m/>
    <s v="1450AA-S-58315"/>
    <n v="6"/>
    <s v="PÇ"/>
    <n v="6"/>
    <n v="36"/>
    <n v="0"/>
    <n v="0"/>
    <n v="0"/>
    <n v="0.9"/>
    <n v="0.1"/>
    <m/>
    <m/>
    <m/>
    <n v="0"/>
    <m/>
    <n v="0"/>
    <n v="36"/>
    <m/>
    <n v="0"/>
    <n v="0"/>
    <n v="0"/>
    <m/>
    <m/>
    <m/>
    <n v="0"/>
    <n v="0"/>
    <n v="0"/>
    <n v="0"/>
    <m/>
    <m/>
  </r>
  <r>
    <n v="0"/>
    <s v="CMS S.60.10.000"/>
    <s v="SUPORTE"/>
    <m/>
    <m/>
    <m/>
    <m/>
    <m/>
    <m/>
    <m/>
    <m/>
    <s v="LINHA DO CIRCUITO ULTRAFINO LINHA DE ALIMENTAÇÃO DO DISTRIBUIDOR DI 145A-9903"/>
    <s v="SC-018"/>
    <s v="SP 8315 L"/>
    <m/>
    <s v="1450AA-S-58315"/>
    <n v="3"/>
    <s v="PÇ"/>
    <n v="7.6"/>
    <n v="22.799999999999997"/>
    <n v="0"/>
    <n v="0"/>
    <n v="0"/>
    <n v="0.9"/>
    <n v="0.1"/>
    <m/>
    <m/>
    <m/>
    <n v="0"/>
    <m/>
    <n v="0"/>
    <n v="22.799999999999997"/>
    <m/>
    <n v="0"/>
    <n v="0"/>
    <n v="0"/>
    <m/>
    <m/>
    <m/>
    <n v="0"/>
    <n v="0"/>
    <n v="0"/>
    <n v="0"/>
    <m/>
    <m/>
  </r>
  <r>
    <n v="0"/>
    <s v="CMS S.60.10.000"/>
    <s v="SUPORTE"/>
    <m/>
    <m/>
    <m/>
    <m/>
    <m/>
    <m/>
    <m/>
    <m/>
    <s v="LINHA DO CIRCUITO ULTRAFINO LINHA DE ALIMENTAÇÃO DO DISTRIBUIDOR DI 145A-9903"/>
    <s v="SC-018"/>
    <s v="SP 8315 M"/>
    <m/>
    <s v="1450AA-S-58315"/>
    <n v="1"/>
    <s v="PÇ"/>
    <n v="3.3"/>
    <n v="3.3"/>
    <n v="0"/>
    <n v="0"/>
    <n v="0"/>
    <n v="0.9"/>
    <n v="0.1"/>
    <m/>
    <m/>
    <m/>
    <n v="0"/>
    <m/>
    <n v="0"/>
    <n v="3.3"/>
    <m/>
    <n v="0"/>
    <n v="0"/>
    <n v="0"/>
    <m/>
    <m/>
    <m/>
    <n v="0"/>
    <n v="0"/>
    <n v="0"/>
    <n v="0"/>
    <m/>
    <m/>
  </r>
  <r>
    <n v="0"/>
    <s v="CMS S.60.10.000"/>
    <s v="SUPORTE"/>
    <m/>
    <m/>
    <m/>
    <m/>
    <m/>
    <m/>
    <m/>
    <m/>
    <s v="LINHA DO CIRCUITO ULTRAFINO LINHA DE ALIMENTAÇÃO DO DISTRIBUIDOR DI 145A-9903"/>
    <s v="SC-018"/>
    <s v="SP 8315 N"/>
    <m/>
    <s v="1450AA-S-58315"/>
    <n v="1"/>
    <s v="PÇ"/>
    <n v="10.8"/>
    <n v="10.8"/>
    <n v="0"/>
    <n v="0"/>
    <n v="0"/>
    <n v="0.9"/>
    <n v="0.1"/>
    <m/>
    <m/>
    <m/>
    <n v="0"/>
    <m/>
    <n v="0"/>
    <n v="10.8"/>
    <m/>
    <n v="0"/>
    <n v="0"/>
    <n v="0"/>
    <m/>
    <m/>
    <m/>
    <n v="0"/>
    <n v="0"/>
    <n v="0"/>
    <n v="0"/>
    <m/>
    <m/>
  </r>
  <r>
    <n v="0"/>
    <s v="CMS S.60.10.000"/>
    <s v="SUPORTE"/>
    <m/>
    <m/>
    <m/>
    <m/>
    <m/>
    <m/>
    <m/>
    <m/>
    <s v="LINHA DO CIRCUITO ULTRAFINO LINHA DE ALIMENTAÇÃO DO DISTRIBUIDOR DI 145A-9903"/>
    <s v="SC-018"/>
    <s v="SP 8317 A"/>
    <m/>
    <s v="1450AA-S-58317"/>
    <n v="1"/>
    <s v="PÇ"/>
    <n v="14.5"/>
    <n v="14.5"/>
    <n v="0"/>
    <n v="0"/>
    <n v="0"/>
    <n v="0.9"/>
    <n v="0.1"/>
    <m/>
    <m/>
    <m/>
    <n v="0"/>
    <m/>
    <n v="0"/>
    <n v="14.5"/>
    <m/>
    <n v="0"/>
    <n v="0"/>
    <n v="0"/>
    <m/>
    <m/>
    <m/>
    <n v="0"/>
    <n v="0"/>
    <n v="0"/>
    <n v="0"/>
    <m/>
    <m/>
  </r>
  <r>
    <n v="0"/>
    <s v="CMS S.60.10.000"/>
    <s v="SUPORTE"/>
    <m/>
    <m/>
    <m/>
    <m/>
    <m/>
    <m/>
    <m/>
    <m/>
    <s v="LINHA DO CIRCUITO ULTRAFINO LINHA DE ALIMENTAÇÃO DO DISTRIBUIDOR DI 145A-9903"/>
    <s v="SC-018"/>
    <s v="SP 8317 B"/>
    <m/>
    <s v="1450AA-S-58317"/>
    <n v="2"/>
    <s v="PÇ"/>
    <n v="11.8"/>
    <n v="23.6"/>
    <n v="0"/>
    <n v="0"/>
    <n v="0"/>
    <n v="0.9"/>
    <n v="0.1"/>
    <m/>
    <m/>
    <m/>
    <n v="0"/>
    <m/>
    <n v="0"/>
    <n v="23.6"/>
    <m/>
    <n v="0"/>
    <n v="0"/>
    <n v="0"/>
    <m/>
    <m/>
    <m/>
    <n v="0"/>
    <n v="0"/>
    <n v="0"/>
    <n v="0"/>
    <m/>
    <m/>
  </r>
  <r>
    <n v="0"/>
    <s v="CMS S.60.10.000"/>
    <s v="SUPORTE"/>
    <m/>
    <m/>
    <m/>
    <m/>
    <m/>
    <m/>
    <m/>
    <m/>
    <s v="LINHA DO CIRCUITO ULTRAFINO LINHA DE ALIMENTAÇÃO DO DISTRIBUIDOR DI 145A-9903"/>
    <s v="SC-018"/>
    <s v="SP 8317 C"/>
    <m/>
    <s v="1450AA-S-58317"/>
    <n v="1"/>
    <s v="PÇ"/>
    <n v="13.2"/>
    <n v="13.2"/>
    <n v="0"/>
    <n v="0"/>
    <n v="0"/>
    <n v="0.9"/>
    <n v="0.1"/>
    <m/>
    <m/>
    <m/>
    <n v="0"/>
    <m/>
    <n v="0"/>
    <n v="13.2"/>
    <m/>
    <n v="0"/>
    <n v="0"/>
    <n v="0"/>
    <m/>
    <m/>
    <m/>
    <n v="0"/>
    <n v="0"/>
    <n v="0"/>
    <n v="0"/>
    <m/>
    <m/>
  </r>
  <r>
    <n v="0"/>
    <s v="CMS S.60.10.000"/>
    <s v="SUPORTE"/>
    <m/>
    <m/>
    <m/>
    <m/>
    <m/>
    <m/>
    <m/>
    <m/>
    <s v="LINHA DO CIRCUITO ULTRAFINO LINHA DE ALIMENTAÇÃO DO DISTRIBUIDOR DI 145A-9903"/>
    <s v="SC-018"/>
    <s v="SP 8317 D"/>
    <m/>
    <s v="1450AA-S-58317"/>
    <n v="2"/>
    <s v="PÇ"/>
    <n v="11.8"/>
    <n v="23.6"/>
    <n v="0"/>
    <n v="0"/>
    <n v="0"/>
    <n v="0.9"/>
    <n v="0.1"/>
    <m/>
    <m/>
    <m/>
    <n v="0"/>
    <m/>
    <n v="0"/>
    <n v="23.6"/>
    <m/>
    <n v="0"/>
    <n v="0"/>
    <n v="0"/>
    <m/>
    <m/>
    <m/>
    <n v="0"/>
    <n v="0"/>
    <n v="0"/>
    <n v="0"/>
    <m/>
    <m/>
  </r>
  <r>
    <n v="0"/>
    <s v="CMS S.60.10.000"/>
    <s v="SUPORTE"/>
    <m/>
    <m/>
    <m/>
    <m/>
    <m/>
    <m/>
    <m/>
    <m/>
    <s v="LINHA DO CIRCUITO ULTRAFINO LINHA DE ALIMENTAÇÃO DO DISTRIBUIDOR DI 145A-9903"/>
    <s v="SC-018"/>
    <s v="SP 8317 E"/>
    <m/>
    <s v="1450AA-S-58317"/>
    <n v="1"/>
    <s v="PÇ"/>
    <n v="14"/>
    <n v="14"/>
    <n v="0"/>
    <n v="0"/>
    <n v="0"/>
    <n v="0.9"/>
    <n v="0.1"/>
    <m/>
    <m/>
    <m/>
    <n v="0"/>
    <m/>
    <n v="0"/>
    <n v="14"/>
    <m/>
    <n v="0"/>
    <n v="0"/>
    <n v="0"/>
    <m/>
    <m/>
    <m/>
    <n v="0"/>
    <n v="0"/>
    <n v="0"/>
    <n v="0"/>
    <m/>
    <m/>
  </r>
  <r>
    <n v="0"/>
    <s v="CMS S.60.10.000"/>
    <s v="SUPORTE"/>
    <m/>
    <m/>
    <m/>
    <m/>
    <m/>
    <m/>
    <m/>
    <m/>
    <s v="LINHA DO CIRCUITO ULTRAFINO LINHA DE ALIMENTAÇÃO DO DISTRIBUIDOR DI 145A-9903"/>
    <s v="SC-018"/>
    <s v="SP 8317 F"/>
    <m/>
    <s v="1450AA-S-58317"/>
    <n v="1"/>
    <s v="PÇ"/>
    <n v="11.9"/>
    <n v="11.9"/>
    <n v="0"/>
    <n v="0"/>
    <n v="0"/>
    <n v="0.9"/>
    <n v="0.1"/>
    <m/>
    <m/>
    <m/>
    <n v="0"/>
    <m/>
    <n v="0"/>
    <n v="11.9"/>
    <m/>
    <n v="0"/>
    <n v="0"/>
    <n v="0"/>
    <m/>
    <m/>
    <m/>
    <n v="0"/>
    <n v="0"/>
    <n v="0"/>
    <n v="0"/>
    <m/>
    <m/>
  </r>
  <r>
    <n v="0"/>
    <s v="CMS S.60.10.000"/>
    <s v="SUPORTE"/>
    <m/>
    <m/>
    <m/>
    <m/>
    <m/>
    <m/>
    <m/>
    <m/>
    <s v="LINHA DO CIRCUITO ULTRAFINO LINHA DE ALIMENTAÇÃO DO DISTRIBUIDOR DI 145A-9903"/>
    <s v="SC-018"/>
    <s v="SP 8317 G"/>
    <m/>
    <s v="1450AA-S-58317"/>
    <n v="1"/>
    <s v="PÇ"/>
    <n v="107.9"/>
    <n v="107.9"/>
    <n v="0"/>
    <n v="0"/>
    <n v="0"/>
    <n v="0.9"/>
    <n v="0.1"/>
    <m/>
    <m/>
    <m/>
    <n v="0"/>
    <m/>
    <n v="0"/>
    <n v="107.9"/>
    <m/>
    <n v="0"/>
    <n v="0"/>
    <n v="0"/>
    <m/>
    <m/>
    <m/>
    <n v="0"/>
    <n v="0"/>
    <n v="0"/>
    <n v="0"/>
    <m/>
    <m/>
  </r>
  <r>
    <n v="0"/>
    <s v="CMS S.60.10.000"/>
    <s v="SUPORTE"/>
    <m/>
    <m/>
    <m/>
    <m/>
    <m/>
    <m/>
    <m/>
    <m/>
    <s v="LINHA DO CIRCUITO ULTRAFINO LINHA DE ALIMENTAÇÃO DO DISTRIBUIDOR DI 145A-9903"/>
    <s v="SC-018"/>
    <s v="SP 8317 H"/>
    <m/>
    <s v="1450AA-S-58317"/>
    <n v="1"/>
    <s v="PÇ"/>
    <n v="22.9"/>
    <n v="22.9"/>
    <n v="0"/>
    <n v="0"/>
    <n v="0"/>
    <n v="0.9"/>
    <n v="0.1"/>
    <m/>
    <m/>
    <m/>
    <n v="0"/>
    <m/>
    <n v="0"/>
    <n v="22.9"/>
    <m/>
    <n v="0"/>
    <n v="0"/>
    <n v="0"/>
    <m/>
    <m/>
    <m/>
    <n v="0"/>
    <n v="0"/>
    <n v="0"/>
    <n v="0"/>
    <m/>
    <m/>
  </r>
  <r>
    <n v="0"/>
    <s v="CMS S.60.10.000"/>
    <s v="SUPORTE"/>
    <m/>
    <m/>
    <m/>
    <m/>
    <m/>
    <m/>
    <m/>
    <m/>
    <s v="LINHA DO CIRCUITO ULTRAFINO LINHA DE ALIMENTAÇÃO DO DISTRIBUIDOR DI 145A-9903"/>
    <s v="SC-018"/>
    <s v="SP 8317 J"/>
    <m/>
    <s v="1450AA-S-58317"/>
    <n v="1"/>
    <s v="PÇ"/>
    <n v="0.8"/>
    <n v="0.8"/>
    <n v="0"/>
    <n v="0"/>
    <n v="0"/>
    <n v="0.9"/>
    <n v="0.1"/>
    <m/>
    <m/>
    <m/>
    <n v="0"/>
    <m/>
    <n v="0"/>
    <n v="0.8"/>
    <m/>
    <n v="0"/>
    <n v="0"/>
    <n v="0"/>
    <m/>
    <m/>
    <m/>
    <n v="0"/>
    <n v="0"/>
    <n v="0"/>
    <n v="0"/>
    <m/>
    <m/>
  </r>
  <r>
    <n v="0"/>
    <s v="CMS S.60.10.000"/>
    <s v="SUPORTE"/>
    <m/>
    <m/>
    <m/>
    <m/>
    <m/>
    <m/>
    <m/>
    <m/>
    <s v="LINHA DO CIRCUITO ULTRAFINO LINHA DE ALIMENTAÇÃO DO DISTRIBUIDOR DI 145A-9903"/>
    <s v="SC-018"/>
    <s v="SP 8317 K"/>
    <m/>
    <s v="1450AA-S-58317"/>
    <n v="1"/>
    <s v="PÇ"/>
    <n v="41.7"/>
    <n v="41.7"/>
    <n v="0"/>
    <n v="0"/>
    <n v="0"/>
    <n v="0.9"/>
    <n v="0.1"/>
    <m/>
    <m/>
    <m/>
    <n v="0"/>
    <m/>
    <n v="0"/>
    <n v="41.7"/>
    <m/>
    <n v="0"/>
    <n v="0"/>
    <n v="0"/>
    <m/>
    <m/>
    <m/>
    <n v="0"/>
    <n v="0"/>
    <n v="0"/>
    <n v="0"/>
    <m/>
    <m/>
  </r>
  <r>
    <n v="0"/>
    <s v="CMS S.60.10.000"/>
    <s v="SUPORTE"/>
    <m/>
    <m/>
    <m/>
    <m/>
    <m/>
    <m/>
    <m/>
    <m/>
    <s v="LINHA DO CIRCUITO ULTRAFINO LINHA DE ALIMENTAÇÃO DO DISTRIBUIDOR DI 145A-9903"/>
    <s v="SC-018"/>
    <s v="SP 8317 L"/>
    <m/>
    <s v="1450AA-S-58317"/>
    <n v="1"/>
    <s v="PÇ"/>
    <n v="41.2"/>
    <n v="41.2"/>
    <n v="0"/>
    <n v="0"/>
    <n v="0"/>
    <n v="0.9"/>
    <n v="0.1"/>
    <m/>
    <m/>
    <m/>
    <n v="0"/>
    <m/>
    <n v="0"/>
    <n v="41.2"/>
    <m/>
    <n v="0"/>
    <n v="0"/>
    <n v="0"/>
    <m/>
    <m/>
    <m/>
    <n v="0"/>
    <n v="0"/>
    <n v="0"/>
    <n v="0"/>
    <m/>
    <m/>
  </r>
  <r>
    <n v="0"/>
    <s v="CMS S.60.10.000"/>
    <s v="SUPORTE"/>
    <m/>
    <m/>
    <m/>
    <m/>
    <m/>
    <m/>
    <m/>
    <m/>
    <s v="LINHA DO CIRCUITO ULTRAFINO LINHA DE DESCARGA DO DISTRIBUIDOR DI 145A-9904"/>
    <s v="SC-026"/>
    <s v="SP 8320 A"/>
    <m/>
    <s v="1450AA-S-58320"/>
    <n v="2"/>
    <s v="PÇ"/>
    <n v="17.3"/>
    <n v="34.6"/>
    <n v="0"/>
    <n v="0"/>
    <n v="0"/>
    <n v="0.9"/>
    <n v="0.1"/>
    <m/>
    <m/>
    <m/>
    <n v="0"/>
    <m/>
    <n v="0"/>
    <n v="34.6"/>
    <m/>
    <n v="0"/>
    <n v="0"/>
    <n v="0"/>
    <m/>
    <m/>
    <m/>
    <n v="0"/>
    <n v="0"/>
    <n v="0"/>
    <n v="0"/>
    <m/>
    <m/>
  </r>
  <r>
    <n v="0"/>
    <s v="CMS S.60.10.000"/>
    <s v="SUPORTE"/>
    <m/>
    <m/>
    <m/>
    <m/>
    <m/>
    <m/>
    <m/>
    <m/>
    <s v="LINHA DO CIRCUITO ULTRAFINO LINHA DE DESCARGA DO DISTRIBUIDOR DI 145A-9904"/>
    <s v="SC-026"/>
    <s v="SP 8320 B"/>
    <m/>
    <s v="1450AA-S-58320"/>
    <n v="2"/>
    <s v="PÇ"/>
    <n v="15.299999999999999"/>
    <n v="30.599999999999998"/>
    <n v="0"/>
    <n v="0"/>
    <n v="0"/>
    <n v="0.9"/>
    <n v="0.1"/>
    <m/>
    <m/>
    <m/>
    <n v="0"/>
    <m/>
    <n v="0"/>
    <n v="30.599999999999998"/>
    <m/>
    <n v="0"/>
    <n v="0"/>
    <n v="0"/>
    <m/>
    <m/>
    <m/>
    <n v="0"/>
    <n v="0"/>
    <n v="0"/>
    <n v="0"/>
    <m/>
    <m/>
  </r>
  <r>
    <n v="0"/>
    <s v="CMS S.60.10.000"/>
    <s v="SUPORTE"/>
    <m/>
    <m/>
    <m/>
    <m/>
    <m/>
    <m/>
    <m/>
    <m/>
    <s v="LINHA DO CIRCUITO ULTRAFINO LINHA DE DESCARGA DO DISTRIBUIDOR DI 145A-9904"/>
    <s v="SC-026"/>
    <s v="SP 8320 C"/>
    <m/>
    <s v="1450AA-S-58320"/>
    <n v="2"/>
    <s v="PÇ"/>
    <n v="12.2"/>
    <n v="24.4"/>
    <n v="0"/>
    <n v="0"/>
    <n v="0"/>
    <n v="0.9"/>
    <n v="0.1"/>
    <m/>
    <m/>
    <m/>
    <n v="0"/>
    <m/>
    <n v="0"/>
    <n v="24.4"/>
    <m/>
    <n v="0"/>
    <n v="0"/>
    <n v="0"/>
    <m/>
    <m/>
    <m/>
    <n v="0"/>
    <n v="0"/>
    <n v="0"/>
    <n v="0"/>
    <m/>
    <m/>
  </r>
  <r>
    <n v="0"/>
    <s v="CMS S.60.10.000"/>
    <s v="SUPORTE"/>
    <m/>
    <m/>
    <m/>
    <m/>
    <m/>
    <m/>
    <m/>
    <m/>
    <s v="LINHA DO CIRCUITO ULTRAFINO LINHA DE DESCARGA DO DISTRIBUIDOR DI 145A-9904"/>
    <s v="SC-026"/>
    <s v="SP 8320 D"/>
    <m/>
    <s v="1450AA-S-58320"/>
    <n v="1"/>
    <s v="PÇ"/>
    <n v="12.9"/>
    <n v="12.9"/>
    <n v="0"/>
    <n v="0"/>
    <n v="0"/>
    <n v="0.9"/>
    <n v="0.1"/>
    <m/>
    <m/>
    <m/>
    <n v="0"/>
    <m/>
    <n v="0"/>
    <n v="12.9"/>
    <m/>
    <n v="0"/>
    <n v="0"/>
    <n v="0"/>
    <m/>
    <m/>
    <m/>
    <n v="0"/>
    <n v="0"/>
    <n v="0"/>
    <n v="0"/>
    <m/>
    <m/>
  </r>
  <r>
    <n v="0"/>
    <s v="CMS S.60.10.000"/>
    <s v="SUPORTE"/>
    <m/>
    <m/>
    <m/>
    <m/>
    <m/>
    <m/>
    <m/>
    <m/>
    <s v="LINHA DO CIRCUITO ULTRAFINO LINHA DE DESCARGA DO DISTRIBUIDOR DI 145A-9904"/>
    <s v="SC-026"/>
    <s v="SP 8320 E"/>
    <m/>
    <s v="1450AA-S-58320"/>
    <n v="2"/>
    <s v="PÇ"/>
    <n v="16.8"/>
    <n v="33.6"/>
    <n v="0"/>
    <n v="0"/>
    <n v="0"/>
    <n v="0.9"/>
    <n v="0.1"/>
    <m/>
    <m/>
    <m/>
    <n v="0"/>
    <m/>
    <n v="0"/>
    <n v="33.6"/>
    <m/>
    <n v="0"/>
    <n v="0"/>
    <n v="0"/>
    <m/>
    <m/>
    <m/>
    <n v="0"/>
    <n v="0"/>
    <n v="0"/>
    <n v="0"/>
    <m/>
    <m/>
  </r>
  <r>
    <n v="0"/>
    <s v="CMS S.60.10.000"/>
    <s v="SUPORTE"/>
    <m/>
    <m/>
    <m/>
    <m/>
    <m/>
    <m/>
    <m/>
    <m/>
    <s v="LINHA DO CIRCUITO ULTRAFINO LINHA DE DESCARGA DO DISTRIBUIDOR DI 145A-9904"/>
    <s v="SC-026"/>
    <s v=" 8320 F"/>
    <m/>
    <s v="1450AA-S-58320"/>
    <n v="2"/>
    <s v="PÇ"/>
    <n v="15.5"/>
    <n v="31"/>
    <n v="0"/>
    <n v="0"/>
    <n v="0"/>
    <n v="0.9"/>
    <n v="0.1"/>
    <m/>
    <m/>
    <m/>
    <n v="0"/>
    <m/>
    <n v="0"/>
    <n v="31"/>
    <m/>
    <n v="0"/>
    <n v="0"/>
    <n v="0"/>
    <m/>
    <m/>
    <m/>
    <n v="0"/>
    <n v="0"/>
    <n v="0"/>
    <n v="0"/>
    <m/>
    <m/>
  </r>
  <r>
    <n v="0"/>
    <s v="CMS S.60.10.000"/>
    <s v="SUPORTE"/>
    <m/>
    <m/>
    <m/>
    <m/>
    <m/>
    <m/>
    <m/>
    <m/>
    <s v="LINHA DO CIRCUITO ULTRAFINO LINHA DE DESCARGA DO DISTRIBUIDOR DI 145A-9904"/>
    <s v="SC-026"/>
    <s v="SP 8320 G"/>
    <m/>
    <s v="1450AA-S-58320"/>
    <n v="2"/>
    <s v="PÇ"/>
    <n v="5.7"/>
    <n v="11.4"/>
    <n v="0"/>
    <n v="0"/>
    <n v="0"/>
    <n v="0.9"/>
    <n v="0.1"/>
    <m/>
    <m/>
    <m/>
    <n v="0"/>
    <m/>
    <n v="0"/>
    <n v="11.4"/>
    <m/>
    <n v="0"/>
    <n v="0"/>
    <n v="0"/>
    <m/>
    <m/>
    <m/>
    <n v="0"/>
    <n v="0"/>
    <n v="0"/>
    <n v="0"/>
    <m/>
    <m/>
  </r>
  <r>
    <n v="0"/>
    <s v="CMS S.60.10.000"/>
    <s v="SUPORTE"/>
    <m/>
    <m/>
    <m/>
    <m/>
    <m/>
    <m/>
    <m/>
    <m/>
    <s v="LINHA DO CIRCUITO ULTRAFINO LINHA DE DESCARGA DO DISTRIBUIDOR DI 145A-9904"/>
    <s v="SC-026"/>
    <s v="SP 8320 H"/>
    <m/>
    <s v="1450AA-S-58320"/>
    <n v="3"/>
    <s v="PÇ"/>
    <n v="5.7"/>
    <n v="17.100000000000001"/>
    <n v="0"/>
    <n v="0"/>
    <n v="0"/>
    <n v="0.9"/>
    <n v="0.1"/>
    <m/>
    <m/>
    <m/>
    <n v="0"/>
    <m/>
    <n v="0"/>
    <n v="17.100000000000001"/>
    <m/>
    <n v="0"/>
    <n v="0"/>
    <n v="0"/>
    <m/>
    <m/>
    <m/>
    <n v="0"/>
    <n v="0"/>
    <n v="0"/>
    <n v="0"/>
    <m/>
    <m/>
  </r>
  <r>
    <n v="0"/>
    <s v="CMS S.60.10.000"/>
    <s v="SUPORTE"/>
    <m/>
    <m/>
    <m/>
    <m/>
    <m/>
    <m/>
    <m/>
    <m/>
    <s v="LINHA DO CIRCUITO ULTRAFINO LINHA DE DESCARGA DO DISTRIBUIDOR DI 145A-9904"/>
    <s v="SC-026"/>
    <s v="SP 8320 J"/>
    <m/>
    <s v="1450AA-S-58320"/>
    <n v="3"/>
    <s v="PÇ"/>
    <n v="20.399999999999999"/>
    <n v="61.199999999999996"/>
    <n v="0"/>
    <n v="0"/>
    <n v="0"/>
    <n v="0.9"/>
    <n v="0.1"/>
    <m/>
    <m/>
    <m/>
    <n v="0"/>
    <m/>
    <n v="0"/>
    <n v="61.199999999999996"/>
    <m/>
    <n v="0"/>
    <n v="0"/>
    <n v="0"/>
    <m/>
    <m/>
    <m/>
    <n v="0"/>
    <n v="0"/>
    <n v="0"/>
    <n v="0"/>
    <m/>
    <m/>
  </r>
  <r>
    <n v="0"/>
    <s v="CMS S.60.10.000"/>
    <s v="SUPORTE"/>
    <m/>
    <m/>
    <m/>
    <m/>
    <m/>
    <m/>
    <m/>
    <m/>
    <s v="LINHA DO CIRCUITO ULTRAFINO LINHA DE DESCARGA DO DISTRIBUIDOR DI 145A-9904"/>
    <s v="SC-026"/>
    <s v="SP 8320 K "/>
    <m/>
    <s v="1450AA-S-58320"/>
    <n v="3"/>
    <s v="PÇ"/>
    <n v="0.3"/>
    <n v="0.89999999999999991"/>
    <n v="0"/>
    <n v="0"/>
    <n v="0"/>
    <n v="0.9"/>
    <n v="0.1"/>
    <m/>
    <m/>
    <m/>
    <n v="0"/>
    <m/>
    <n v="0"/>
    <n v="0.89999999999999991"/>
    <m/>
    <n v="0"/>
    <n v="0"/>
    <n v="0"/>
    <m/>
    <m/>
    <m/>
    <n v="0"/>
    <n v="0"/>
    <n v="0"/>
    <n v="0"/>
    <m/>
    <m/>
  </r>
  <r>
    <n v="0"/>
    <s v="CMS S.60.10.000"/>
    <s v="SUPORTE"/>
    <m/>
    <m/>
    <m/>
    <m/>
    <m/>
    <m/>
    <m/>
    <m/>
    <s v="LINHA DO CIRCUITO ULTRAFINO LINHA DE DESCARGA DO DISTRIBUIDOR DI 145A-9904"/>
    <s v="SC-026"/>
    <s v="SP 8320 L"/>
    <m/>
    <s v="1450AA-S-58320"/>
    <n v="3"/>
    <s v="PÇ"/>
    <n v="0.3"/>
    <n v="0.89999999999999991"/>
    <n v="0"/>
    <n v="0"/>
    <n v="0"/>
    <n v="0.9"/>
    <n v="0.1"/>
    <m/>
    <m/>
    <m/>
    <n v="0"/>
    <m/>
    <n v="0"/>
    <n v="0.89999999999999991"/>
    <m/>
    <n v="0"/>
    <n v="0"/>
    <n v="0"/>
    <m/>
    <m/>
    <m/>
    <n v="0"/>
    <n v="0"/>
    <n v="0"/>
    <n v="0"/>
    <m/>
    <m/>
  </r>
  <r>
    <n v="0"/>
    <s v="CMS S.60.10.000"/>
    <s v="SUPORTE"/>
    <m/>
    <m/>
    <m/>
    <m/>
    <m/>
    <m/>
    <m/>
    <m/>
    <s v="LINHA DO CIRCUITO ULTRAFINO LINHA DE DESCARGA DO DISTRIBUIDOR DI 145A-9904"/>
    <s v="SC-026"/>
    <s v="SP 8320 M"/>
    <m/>
    <s v="1450AA-S-58320"/>
    <n v="2"/>
    <s v="PÇ"/>
    <n v="2.1999999999999997"/>
    <n v="4.3999999999999995"/>
    <n v="0"/>
    <n v="0"/>
    <n v="0"/>
    <n v="0.9"/>
    <n v="0.1"/>
    <m/>
    <m/>
    <m/>
    <n v="0"/>
    <m/>
    <n v="0"/>
    <n v="4.3999999999999995"/>
    <m/>
    <n v="0"/>
    <n v="0"/>
    <n v="0"/>
    <m/>
    <m/>
    <m/>
    <n v="0"/>
    <n v="0"/>
    <n v="0"/>
    <n v="0"/>
    <m/>
    <m/>
  </r>
  <r>
    <n v="0"/>
    <s v="CMS S.60.10.000"/>
    <s v="SUPORTE"/>
    <m/>
    <m/>
    <m/>
    <m/>
    <m/>
    <m/>
    <m/>
    <m/>
    <s v="LINHA DO CIRCUITO ARENOSO LINHA DE DESCARGA  DO DISTRIBUIDOR DI-145A-9915"/>
    <s v="SC-014"/>
    <s v="SP 8321 A"/>
    <s v="1450AA-L-70048"/>
    <s v="1450AA-S-58321"/>
    <n v="16"/>
    <s v="PÇ"/>
    <n v="12.4"/>
    <n v="198.4"/>
    <n v="0"/>
    <n v="0"/>
    <n v="0"/>
    <n v="0.9"/>
    <n v="0.1"/>
    <m/>
    <m/>
    <m/>
    <n v="0"/>
    <m/>
    <n v="0"/>
    <n v="198.4"/>
    <m/>
    <n v="0"/>
    <n v="0"/>
    <n v="0"/>
    <m/>
    <m/>
    <m/>
    <n v="0"/>
    <n v="0"/>
    <n v="0"/>
    <n v="0"/>
    <m/>
    <m/>
  </r>
  <r>
    <n v="0"/>
    <s v="CMS S.60.10.000"/>
    <s v="SUPORTE"/>
    <m/>
    <m/>
    <m/>
    <m/>
    <m/>
    <m/>
    <m/>
    <m/>
    <s v="LINHA DO CIRCUITO ARENOSO LINHA DE DESCARGA  DO DISTRIBUIDOR DI-145A-9915"/>
    <s v="SC-014"/>
    <s v="SP 8321 B"/>
    <s v="1450AA-L-70048"/>
    <s v="1450AA-S-58321"/>
    <n v="1"/>
    <s v="PÇ"/>
    <n v="10.4"/>
    <n v="10.4"/>
    <n v="0"/>
    <n v="0"/>
    <n v="0"/>
    <n v="0.9"/>
    <n v="0.1"/>
    <m/>
    <m/>
    <m/>
    <n v="0"/>
    <m/>
    <n v="0"/>
    <n v="10.4"/>
    <m/>
    <n v="0"/>
    <n v="0"/>
    <n v="0"/>
    <m/>
    <m/>
    <m/>
    <n v="0"/>
    <n v="0"/>
    <n v="0"/>
    <n v="0"/>
    <m/>
    <m/>
  </r>
  <r>
    <n v="0"/>
    <s v="CMS S.60.10.000"/>
    <s v="SUPORTE"/>
    <m/>
    <m/>
    <m/>
    <m/>
    <m/>
    <m/>
    <m/>
    <m/>
    <s v="LINHA DO CIRCUITO ARENOSO LINHA DE DESCARGA  DO DISTRIBUIDOR DI-145A-9915"/>
    <s v="SC-014"/>
    <s v="SP 8321 C"/>
    <s v="1450AA-L-70048"/>
    <s v="1450AA-S-58321"/>
    <n v="1"/>
    <s v="PÇ"/>
    <n v="5.4"/>
    <n v="5.4"/>
    <n v="0"/>
    <n v="0"/>
    <n v="0"/>
    <n v="0.9"/>
    <n v="0.1"/>
    <m/>
    <m/>
    <m/>
    <n v="0"/>
    <m/>
    <n v="0"/>
    <n v="5.4"/>
    <m/>
    <n v="0"/>
    <n v="0"/>
    <n v="0"/>
    <m/>
    <m/>
    <m/>
    <n v="0"/>
    <n v="0"/>
    <n v="0"/>
    <n v="0"/>
    <m/>
    <m/>
  </r>
  <r>
    <n v="0"/>
    <s v="CMS S.60.10.000"/>
    <s v="SUPORTE"/>
    <m/>
    <m/>
    <m/>
    <m/>
    <m/>
    <m/>
    <m/>
    <m/>
    <s v="LINHA DO CIRCUITO ARENOSO LINHA DE DESCARGA  DO DISTRIBUIDOR DI-145A-9915"/>
    <s v="SC-014"/>
    <s v="SP 8321 D"/>
    <s v="1450AA-L-70048"/>
    <s v="1450AA-S-58321"/>
    <n v="1"/>
    <s v="PÇ"/>
    <n v="4.8"/>
    <n v="4.8"/>
    <n v="0"/>
    <n v="0"/>
    <n v="0"/>
    <n v="0.9"/>
    <n v="0.1"/>
    <m/>
    <m/>
    <m/>
    <n v="0"/>
    <m/>
    <n v="0"/>
    <n v="4.8"/>
    <m/>
    <n v="0"/>
    <n v="0"/>
    <n v="0"/>
    <m/>
    <m/>
    <m/>
    <n v="0"/>
    <n v="0"/>
    <n v="0"/>
    <n v="0"/>
    <m/>
    <m/>
  </r>
  <r>
    <n v="0"/>
    <s v="CMS S.60.10.000"/>
    <s v="SUPORTE"/>
    <m/>
    <m/>
    <m/>
    <m/>
    <m/>
    <m/>
    <m/>
    <m/>
    <s v="LINHA DO CIRCUITO ARENOSO LINHA DE DESCARGA  DO DISTRIBUIDOR DI-145A-9915"/>
    <s v="SC-014"/>
    <s v=" 8321 E"/>
    <s v="1450AA-L-70048"/>
    <s v="1450AA-S-58321"/>
    <n v="4"/>
    <s v="PÇ"/>
    <n v="0.39999999999999997"/>
    <n v="1.5999999999999999"/>
    <n v="0"/>
    <n v="0"/>
    <n v="0"/>
    <n v="0.9"/>
    <n v="0.1"/>
    <m/>
    <m/>
    <m/>
    <n v="0"/>
    <m/>
    <n v="0"/>
    <n v="1.5999999999999999"/>
    <m/>
    <n v="0"/>
    <n v="0"/>
    <n v="0"/>
    <m/>
    <m/>
    <m/>
    <n v="0"/>
    <n v="0"/>
    <n v="0"/>
    <n v="0"/>
    <m/>
    <m/>
  </r>
  <r>
    <n v="0"/>
    <s v="CMS S.60.10.000"/>
    <s v="SUPORTE"/>
    <m/>
    <m/>
    <m/>
    <m/>
    <m/>
    <m/>
    <m/>
    <m/>
    <s v="LINHA DO CIRCUITO ARENOSO LINHA DE DESCARGA  DO DISTRIBUIDOR DI-145A-9915"/>
    <s v="SC-014"/>
    <s v="SP 8321 F"/>
    <s v="1450AA-L-70048"/>
    <s v="1450AA-S-58321"/>
    <n v="1"/>
    <s v="PÇ"/>
    <n v="4.3"/>
    <n v="4.3"/>
    <n v="0"/>
    <n v="0"/>
    <n v="0"/>
    <n v="0.9"/>
    <n v="0.1"/>
    <m/>
    <m/>
    <m/>
    <n v="0"/>
    <m/>
    <n v="0"/>
    <n v="4.3"/>
    <m/>
    <n v="0"/>
    <n v="0"/>
    <n v="0"/>
    <m/>
    <m/>
    <m/>
    <n v="0"/>
    <n v="0"/>
    <n v="0"/>
    <n v="0"/>
    <m/>
    <m/>
  </r>
  <r>
    <n v="0"/>
    <s v="CMS S.60.10.000"/>
    <s v="SUPORTE"/>
    <m/>
    <m/>
    <m/>
    <m/>
    <m/>
    <m/>
    <m/>
    <m/>
    <s v="LINHA DO CIRCUITO ARENOSO LINHA DE DESCARGA  DO DISTRIBUIDOR DI-145A-9915"/>
    <s v="SC-014"/>
    <s v="SP 8321 G"/>
    <s v="1450AA-L-70048"/>
    <s v="1450AA-S-58321"/>
    <n v="1"/>
    <s v="PÇ"/>
    <n v="10.7"/>
    <n v="10.7"/>
    <n v="0"/>
    <n v="0"/>
    <n v="0"/>
    <n v="0.9"/>
    <n v="0.1"/>
    <m/>
    <m/>
    <m/>
    <n v="0"/>
    <m/>
    <n v="0"/>
    <n v="10.7"/>
    <m/>
    <n v="0"/>
    <n v="0"/>
    <n v="0"/>
    <m/>
    <m/>
    <m/>
    <n v="0"/>
    <n v="0"/>
    <n v="0"/>
    <n v="0"/>
    <m/>
    <m/>
  </r>
  <r>
    <n v="0"/>
    <s v="CMS S.60.10.000"/>
    <s v="SUPORTE"/>
    <m/>
    <m/>
    <m/>
    <m/>
    <m/>
    <m/>
    <m/>
    <m/>
    <s v="LINHA DO CIRCUITO ARENOSO LINHA DE DESCARGA  DO DISTRIBUIDOR DI-145A-9915"/>
    <s v="SC-014"/>
    <s v="SP 8321 H"/>
    <s v="1450AA-L-70048"/>
    <s v="1450AA-S-58321"/>
    <n v="2"/>
    <s v="PÇ"/>
    <n v="34.5"/>
    <n v="69"/>
    <n v="0"/>
    <n v="0"/>
    <n v="0"/>
    <n v="0.9"/>
    <n v="0.1"/>
    <m/>
    <m/>
    <m/>
    <n v="0"/>
    <m/>
    <n v="0"/>
    <n v="69"/>
    <m/>
    <n v="0"/>
    <n v="0"/>
    <n v="0"/>
    <m/>
    <m/>
    <m/>
    <n v="0"/>
    <n v="0"/>
    <n v="0"/>
    <n v="0"/>
    <m/>
    <m/>
  </r>
  <r>
    <n v="0"/>
    <s v="CMS S.60.10.000"/>
    <s v="SUPORTE"/>
    <m/>
    <m/>
    <m/>
    <m/>
    <m/>
    <m/>
    <m/>
    <m/>
    <s v="LINHA DO CIRCUITO ARENOSO LINHA DE DESCARGA  DO DISTRIBUIDOR DI-145A-9915"/>
    <s v="SC-014"/>
    <s v="SP 8321 J"/>
    <s v="1450AA-L-70048"/>
    <s v="1450AA-S-58321"/>
    <n v="1"/>
    <s v="PÇ"/>
    <n v="5.3"/>
    <n v="5.3"/>
    <n v="0"/>
    <n v="0"/>
    <n v="0"/>
    <n v="0.9"/>
    <n v="0.1"/>
    <m/>
    <m/>
    <m/>
    <n v="0"/>
    <m/>
    <n v="0"/>
    <n v="5.3"/>
    <m/>
    <n v="0"/>
    <n v="0"/>
    <n v="0"/>
    <m/>
    <m/>
    <m/>
    <n v="0"/>
    <n v="0"/>
    <n v="0"/>
    <n v="0"/>
    <m/>
    <m/>
  </r>
  <r>
    <n v="0"/>
    <s v="CMS S.60.10.000"/>
    <s v="SUPORTE"/>
    <m/>
    <m/>
    <m/>
    <m/>
    <m/>
    <m/>
    <m/>
    <m/>
    <s v="LINHA DO CIRCUITO ARENOSO LINHA DE DESCARGA  DO DISTRIBUIDOR DI-145A-9915"/>
    <s v="SC-014"/>
    <s v="SP 8321 K"/>
    <s v="1450AA-L-70048"/>
    <s v="1450AA-S-58321"/>
    <n v="1"/>
    <s v="PÇ"/>
    <n v="9.6"/>
    <n v="9.6"/>
    <n v="0"/>
    <n v="0"/>
    <n v="0"/>
    <n v="0.9"/>
    <n v="0.1"/>
    <m/>
    <m/>
    <m/>
    <n v="0"/>
    <m/>
    <n v="0"/>
    <n v="9.6"/>
    <m/>
    <n v="0"/>
    <n v="0"/>
    <n v="0"/>
    <m/>
    <m/>
    <m/>
    <n v="0"/>
    <n v="0"/>
    <n v="0"/>
    <n v="0"/>
    <m/>
    <m/>
  </r>
  <r>
    <n v="0"/>
    <s v="CMS S.60.10.000"/>
    <s v="SUPORTE"/>
    <m/>
    <m/>
    <m/>
    <m/>
    <m/>
    <m/>
    <m/>
    <m/>
    <s v="LINHA DO CIRCUITO ARENOSO LINHA DE DESCARGA  DO DISTRIBUIDOR DI-145A-9915"/>
    <s v="SC-014"/>
    <s v=" 8321 L"/>
    <s v="1450AA-L-70048"/>
    <s v="1450AA-S-58321"/>
    <n v="8"/>
    <s v="PÇ"/>
    <n v="0.5"/>
    <n v="4"/>
    <n v="0"/>
    <n v="0"/>
    <n v="0"/>
    <n v="0.9"/>
    <n v="0.1"/>
    <m/>
    <m/>
    <m/>
    <n v="0"/>
    <m/>
    <n v="0"/>
    <n v="4"/>
    <m/>
    <n v="0"/>
    <n v="0"/>
    <n v="0"/>
    <m/>
    <m/>
    <m/>
    <n v="0"/>
    <n v="0"/>
    <n v="0"/>
    <n v="0"/>
    <m/>
    <m/>
  </r>
  <r>
    <n v="0"/>
    <s v="CMS S.60.10.000"/>
    <s v="SUPORTE"/>
    <m/>
    <m/>
    <m/>
    <m/>
    <m/>
    <m/>
    <m/>
    <m/>
    <s v="LINHA DO CIRCUITO ARENOSO LINHA DE DESCARGA  DO DISTRIBUIDOR DI-145A-9915"/>
    <s v="SC-014"/>
    <s v="SP 8321 M"/>
    <s v="1450AA-L-70048"/>
    <s v="1450AA-S-58321"/>
    <n v="1"/>
    <s v="PÇ"/>
    <n v="7.2"/>
    <n v="7.2"/>
    <n v="0"/>
    <n v="0"/>
    <n v="0"/>
    <n v="0.9"/>
    <n v="0.1"/>
    <m/>
    <m/>
    <m/>
    <n v="0"/>
    <m/>
    <n v="0"/>
    <n v="7.2"/>
    <m/>
    <n v="0"/>
    <n v="0"/>
    <n v="0"/>
    <m/>
    <m/>
    <m/>
    <n v="0"/>
    <n v="0"/>
    <n v="0"/>
    <n v="0"/>
    <m/>
    <m/>
  </r>
  <r>
    <n v="0"/>
    <s v="CMS S.60.10.000"/>
    <s v="SUPORTE"/>
    <m/>
    <m/>
    <m/>
    <m/>
    <m/>
    <m/>
    <m/>
    <m/>
    <s v="LINHA DO CIRCUITO ARENOSO LINHA DE ALIMENTAÇÃO DO DISTRIBUIDOR DI-145A-9911"/>
    <s v="SC-011"/>
    <s v="SP 8323 A"/>
    <s v="1450AA-L-70107"/>
    <s v="1450AA-S-58323"/>
    <n v="1"/>
    <s v="PÇ"/>
    <n v="27.3"/>
    <n v="27.3"/>
    <n v="0"/>
    <n v="0"/>
    <n v="0"/>
    <n v="0.9"/>
    <n v="0.1"/>
    <m/>
    <m/>
    <m/>
    <n v="0"/>
    <m/>
    <n v="0"/>
    <n v="27.3"/>
    <m/>
    <n v="0"/>
    <n v="0"/>
    <n v="0"/>
    <m/>
    <m/>
    <m/>
    <n v="0"/>
    <n v="0"/>
    <n v="0"/>
    <n v="0"/>
    <m/>
    <m/>
  </r>
  <r>
    <n v="0"/>
    <s v="CMS S.60.10.000"/>
    <s v="SUPORTE"/>
    <m/>
    <m/>
    <m/>
    <m/>
    <m/>
    <m/>
    <m/>
    <m/>
    <s v="LINHA DO CIRCUITO ARENOSO LINHA DE ALIMENTAÇÃO DO DISTRIBUIDOR DI-145A-9911"/>
    <s v="SC-011"/>
    <s v="SP 8323 B"/>
    <s v="1450AA-L-70107"/>
    <s v="1450AA-S-58323"/>
    <n v="3"/>
    <s v="PÇ"/>
    <n v="12.7"/>
    <n v="38.099999999999994"/>
    <n v="0"/>
    <n v="0"/>
    <n v="0"/>
    <n v="0.9"/>
    <n v="0.1"/>
    <m/>
    <m/>
    <m/>
    <n v="0"/>
    <m/>
    <n v="0"/>
    <n v="38.099999999999994"/>
    <m/>
    <n v="0"/>
    <n v="0"/>
    <n v="0"/>
    <m/>
    <m/>
    <m/>
    <n v="0"/>
    <n v="0"/>
    <n v="0"/>
    <n v="0"/>
    <m/>
    <m/>
  </r>
  <r>
    <n v="0"/>
    <s v="CMS S.60.10.000"/>
    <s v="SUPORTE"/>
    <m/>
    <m/>
    <m/>
    <m/>
    <m/>
    <m/>
    <m/>
    <m/>
    <s v="LINHA DO CIRCUITO ARENOSO LINHA DE ALIMENTAÇÃO DO DISTRIBUIDOR DI-145A-9911"/>
    <s v="SC-011"/>
    <s v="SP 8323 C"/>
    <s v="1450AA-L-70107"/>
    <s v="1450AA-S-58323"/>
    <n v="2"/>
    <s v="PÇ"/>
    <n v="5.7"/>
    <n v="11.4"/>
    <n v="0"/>
    <n v="0"/>
    <n v="0"/>
    <n v="0.9"/>
    <n v="0.1"/>
    <m/>
    <m/>
    <m/>
    <n v="0"/>
    <m/>
    <n v="0"/>
    <n v="11.4"/>
    <m/>
    <n v="0"/>
    <n v="0"/>
    <n v="0"/>
    <m/>
    <m/>
    <m/>
    <n v="0"/>
    <n v="0"/>
    <n v="0"/>
    <n v="0"/>
    <m/>
    <m/>
  </r>
  <r>
    <n v="0"/>
    <s v="CMS S.60.10.000"/>
    <s v="SUPORTE"/>
    <m/>
    <m/>
    <m/>
    <m/>
    <m/>
    <m/>
    <m/>
    <m/>
    <s v="LINHA DO CIRCUITO ARENOSO LINHA DE ALIMENTAÇÃO DO DISTRIBUIDOR DI-145A-9911"/>
    <s v="SC-011"/>
    <s v="SP 8323 D"/>
    <s v="1450AA-L-70107"/>
    <s v="1450AA-S-58323"/>
    <n v="2"/>
    <s v="PÇ"/>
    <n v="28.5"/>
    <n v="57"/>
    <n v="0"/>
    <n v="0"/>
    <n v="0"/>
    <n v="0.9"/>
    <n v="0.1"/>
    <m/>
    <m/>
    <m/>
    <n v="0"/>
    <m/>
    <n v="0"/>
    <n v="57"/>
    <m/>
    <n v="0"/>
    <n v="0"/>
    <n v="0"/>
    <m/>
    <m/>
    <m/>
    <n v="0"/>
    <n v="0"/>
    <n v="0"/>
    <n v="0"/>
    <m/>
    <m/>
  </r>
  <r>
    <n v="0"/>
    <s v="CMS S.60.10.000"/>
    <s v="SUPORTE"/>
    <m/>
    <m/>
    <m/>
    <m/>
    <m/>
    <m/>
    <m/>
    <m/>
    <s v="LINHA DO CIRCUITO ARENOSO LINHA DE ALIMENTAÇÃO DO DISTRIBUIDOR DI-145A-9911"/>
    <s v="SC-011"/>
    <s v="SP 8323 E"/>
    <s v="1450AA-L-70107"/>
    <s v="1450AA-S-58323"/>
    <n v="2"/>
    <s v="PÇ"/>
    <n v="241.6"/>
    <n v="483.2"/>
    <n v="0"/>
    <n v="0"/>
    <n v="0"/>
    <n v="0.9"/>
    <n v="0.1"/>
    <m/>
    <m/>
    <m/>
    <n v="0"/>
    <m/>
    <n v="0"/>
    <n v="483.2"/>
    <m/>
    <n v="0"/>
    <n v="0"/>
    <n v="0"/>
    <m/>
    <m/>
    <m/>
    <n v="0"/>
    <n v="0"/>
    <n v="0"/>
    <n v="0"/>
    <m/>
    <m/>
  </r>
  <r>
    <n v="0"/>
    <s v="CMS S.60.10.000"/>
    <s v="SUPORTE"/>
    <m/>
    <m/>
    <m/>
    <m/>
    <m/>
    <m/>
    <m/>
    <m/>
    <s v="LINHA DO CIRCUITO ARENOSO LINHA DE ALIMENTAÇÃO DO DISTRIBUIDOR DI-145A-9911"/>
    <s v="SC-011"/>
    <s v="SP 8323 F"/>
    <s v="1450AA-L-70107"/>
    <s v="1450AA-S-58323"/>
    <n v="2"/>
    <s v="PÇ"/>
    <n v="3.8"/>
    <n v="7.6"/>
    <n v="0"/>
    <n v="0"/>
    <n v="0"/>
    <n v="0.9"/>
    <n v="0.1"/>
    <m/>
    <m/>
    <m/>
    <n v="0"/>
    <m/>
    <n v="0"/>
    <n v="7.6"/>
    <m/>
    <n v="0"/>
    <n v="0"/>
    <n v="0"/>
    <m/>
    <m/>
    <m/>
    <n v="0"/>
    <n v="0"/>
    <n v="0"/>
    <n v="0"/>
    <m/>
    <m/>
  </r>
  <r>
    <n v="0"/>
    <s v="CMS S.60.10.000"/>
    <s v="SUPORTE"/>
    <m/>
    <m/>
    <m/>
    <m/>
    <m/>
    <m/>
    <m/>
    <m/>
    <s v="LINHA DO CIRCUITO ARENOSO LINHA DE ALIMENTAÇÃO DO DISTRIBUIDOR DI-145A-9911"/>
    <s v="SC-018"/>
    <s v="SP 8324 A"/>
    <s v="1450AA-L-70107"/>
    <s v="1450AA-S-58324"/>
    <n v="2"/>
    <s v="PÇ"/>
    <n v="12.7"/>
    <n v="25.4"/>
    <n v="0"/>
    <n v="0"/>
    <n v="0"/>
    <n v="0.9"/>
    <n v="0.1"/>
    <m/>
    <m/>
    <m/>
    <n v="0"/>
    <m/>
    <n v="0"/>
    <n v="25.4"/>
    <m/>
    <n v="0"/>
    <n v="0"/>
    <n v="0"/>
    <m/>
    <m/>
    <m/>
    <n v="0"/>
    <n v="0"/>
    <n v="0"/>
    <n v="0"/>
    <m/>
    <m/>
  </r>
  <r>
    <n v="0"/>
    <s v="CMS S.60.10.000"/>
    <s v="SUPORTE"/>
    <m/>
    <m/>
    <m/>
    <m/>
    <m/>
    <m/>
    <m/>
    <m/>
    <s v="LINHA DO CIRCUITO ARENOSO LINHA DE ALIMENTAÇÃO DO DISTRIBUIDOR DI-145A-9911"/>
    <s v="SC-018"/>
    <s v="SP 8324 B"/>
    <s v="1450AA-L-70107"/>
    <s v="1450AA-S-58324"/>
    <n v="2"/>
    <s v="PÇ"/>
    <n v="4.3"/>
    <n v="8.6"/>
    <n v="0"/>
    <n v="0"/>
    <n v="0"/>
    <n v="0.9"/>
    <n v="0.1"/>
    <m/>
    <m/>
    <m/>
    <n v="0"/>
    <m/>
    <n v="0"/>
    <n v="8.6"/>
    <m/>
    <n v="0"/>
    <n v="0"/>
    <n v="0"/>
    <m/>
    <m/>
    <m/>
    <n v="0"/>
    <n v="0"/>
    <n v="0"/>
    <n v="0"/>
    <m/>
    <m/>
  </r>
  <r>
    <n v="0"/>
    <s v="CMS S.60.10.000"/>
    <s v="SUPORTE"/>
    <m/>
    <m/>
    <m/>
    <m/>
    <m/>
    <m/>
    <m/>
    <m/>
    <s v="LINHA DO CIRCUITO ARENOSO LINHA DE ALIMENTAÇÃO DO DISTRIBUIDOR DI-145A-9911"/>
    <s v="SC-018"/>
    <s v="SP 8324 C"/>
    <s v="1450AA-L-70107"/>
    <s v="1450AA-S-58324"/>
    <n v="2"/>
    <s v="PÇ"/>
    <n v="92.3"/>
    <n v="184.6"/>
    <n v="0"/>
    <n v="0"/>
    <n v="0"/>
    <n v="0.9"/>
    <n v="0.1"/>
    <m/>
    <m/>
    <m/>
    <n v="0"/>
    <m/>
    <n v="0"/>
    <n v="184.6"/>
    <m/>
    <n v="0"/>
    <n v="0"/>
    <n v="0"/>
    <m/>
    <m/>
    <m/>
    <n v="0"/>
    <n v="0"/>
    <n v="0"/>
    <n v="0"/>
    <m/>
    <m/>
  </r>
  <r>
    <n v="0"/>
    <s v="CMS S.60.10.000"/>
    <s v="SUPORTE"/>
    <m/>
    <m/>
    <m/>
    <m/>
    <m/>
    <m/>
    <m/>
    <m/>
    <s v="LINHA DO CIRCUITO ARENOSO LINHA DE ALIMENTAÇÃO DO DISTRIBUIDOR DI-145A-9911"/>
    <s v="SC-018"/>
    <s v="SP 8324 D"/>
    <s v="1450AA-L-70107"/>
    <s v="1450AA-S-58324"/>
    <n v="4"/>
    <s v="PÇ"/>
    <n v="86.1"/>
    <n v="344.4"/>
    <n v="0"/>
    <n v="0"/>
    <n v="0"/>
    <n v="0.9"/>
    <n v="0.1"/>
    <m/>
    <m/>
    <m/>
    <n v="0"/>
    <m/>
    <n v="0"/>
    <n v="344.4"/>
    <m/>
    <n v="0"/>
    <n v="0"/>
    <n v="0"/>
    <m/>
    <m/>
    <m/>
    <n v="0"/>
    <n v="0"/>
    <n v="0"/>
    <n v="0"/>
    <m/>
    <m/>
  </r>
  <r>
    <n v="0"/>
    <s v="CMS S.60.10.000"/>
    <s v="SUPORTE"/>
    <m/>
    <m/>
    <m/>
    <m/>
    <m/>
    <m/>
    <m/>
    <m/>
    <s v="LINHA DO CIRCUITO ARENOSO LINHA DE ALIMENTAÇÃO DO DISTRIBUIDOR DI-145A-9911"/>
    <s v="SC-018"/>
    <s v="SP 8324 E"/>
    <s v="1450AA-L-70107"/>
    <s v="1450AA-S-58324"/>
    <n v="1"/>
    <s v="PÇ"/>
    <n v="11.9"/>
    <n v="11.9"/>
    <n v="0"/>
    <n v="0"/>
    <n v="0"/>
    <n v="0.9"/>
    <n v="0.1"/>
    <m/>
    <m/>
    <m/>
    <n v="0"/>
    <m/>
    <n v="0"/>
    <n v="11.9"/>
    <m/>
    <n v="0"/>
    <n v="0"/>
    <n v="0"/>
    <m/>
    <m/>
    <m/>
    <n v="0"/>
    <n v="0"/>
    <n v="0"/>
    <n v="0"/>
    <m/>
    <m/>
  </r>
  <r>
    <n v="0"/>
    <s v="CMS S.60.10.000"/>
    <s v="SUPORTE"/>
    <m/>
    <m/>
    <m/>
    <m/>
    <m/>
    <m/>
    <m/>
    <m/>
    <s v="LINHA DO CIRCUITO ARENOSO LINHA DE ALIMENTAÇÃO DO DISTRIBUIDOR DI-145A-9911"/>
    <s v="SC-011"/>
    <s v="SP 8325 A"/>
    <s v="1450AA-L-70107"/>
    <s v="1450AA-S-58325"/>
    <n v="1"/>
    <s v="PÇ"/>
    <n v="12.7"/>
    <n v="12.7"/>
    <n v="0"/>
    <n v="0"/>
    <n v="0"/>
    <n v="0.9"/>
    <n v="0.1"/>
    <m/>
    <m/>
    <m/>
    <n v="0"/>
    <m/>
    <n v="0"/>
    <n v="12.7"/>
    <m/>
    <n v="0"/>
    <n v="0"/>
    <n v="0"/>
    <m/>
    <m/>
    <m/>
    <n v="0"/>
    <n v="0"/>
    <n v="0"/>
    <n v="0"/>
    <m/>
    <m/>
  </r>
  <r>
    <n v="0"/>
    <s v="CMS S.60.10.000"/>
    <s v="SUPORTE"/>
    <m/>
    <m/>
    <m/>
    <m/>
    <m/>
    <m/>
    <m/>
    <m/>
    <s v="LINHA DO CIRCUITO ARENOSO LINHA DE ALIMENTAÇÃO DO DISTRIBUIDOR DI-145A-9911"/>
    <s v="SC-011"/>
    <s v="SP 8325 B"/>
    <s v="1450AA-L-70107"/>
    <s v="1450AA-S-58325"/>
    <n v="1"/>
    <s v="PÇ"/>
    <n v="10.3"/>
    <n v="10.3"/>
    <n v="0"/>
    <n v="0"/>
    <n v="0"/>
    <n v="0.9"/>
    <n v="0.1"/>
    <m/>
    <m/>
    <m/>
    <n v="0"/>
    <m/>
    <n v="0"/>
    <n v="10.3"/>
    <m/>
    <n v="0"/>
    <n v="0"/>
    <n v="0"/>
    <m/>
    <m/>
    <m/>
    <n v="0"/>
    <n v="0"/>
    <n v="0"/>
    <n v="0"/>
    <m/>
    <m/>
  </r>
  <r>
    <n v="0"/>
    <s v="CMS S.60.10.000"/>
    <s v="SUPORTE"/>
    <m/>
    <m/>
    <m/>
    <m/>
    <m/>
    <m/>
    <m/>
    <m/>
    <s v="LINHA DO CIRCUITO ARENOSO LINHA DE ALIMENTAÇÃO DO DISTRIBUIDOR DI-145A-9911"/>
    <s v="SC-011"/>
    <s v="SP 8325 C"/>
    <s v="1450AA-L-70107"/>
    <s v="1450AA-S-58325"/>
    <n v="1"/>
    <s v="PÇ"/>
    <n v="77.599999999999994"/>
    <n v="77.599999999999994"/>
    <n v="0"/>
    <n v="0"/>
    <n v="0"/>
    <n v="0.9"/>
    <n v="0.1"/>
    <m/>
    <m/>
    <m/>
    <n v="0"/>
    <m/>
    <n v="0"/>
    <n v="77.599999999999994"/>
    <m/>
    <n v="0"/>
    <n v="0"/>
    <n v="0"/>
    <m/>
    <m/>
    <m/>
    <n v="0"/>
    <n v="0"/>
    <n v="0"/>
    <n v="0"/>
    <m/>
    <m/>
  </r>
  <r>
    <n v="0"/>
    <s v="CMS S.60.10.000"/>
    <s v="SUPORTE"/>
    <m/>
    <m/>
    <m/>
    <m/>
    <m/>
    <m/>
    <m/>
    <m/>
    <s v="LINHA DO CIRCUITO ARENOSO LINHA DE ALIMENTAÇÃO DO DISTRIBUIDOR DI-145A-9911"/>
    <s v="SC-011"/>
    <s v="SP 8325 D"/>
    <s v="1450AA-L-70107"/>
    <s v="1450AA-S-58325"/>
    <n v="1"/>
    <s v="PÇ"/>
    <n v="7.5"/>
    <n v="7.5"/>
    <n v="0"/>
    <n v="0"/>
    <n v="0"/>
    <n v="0.9"/>
    <n v="0.1"/>
    <m/>
    <m/>
    <m/>
    <n v="0"/>
    <m/>
    <n v="0"/>
    <n v="7.5"/>
    <m/>
    <n v="0"/>
    <n v="0"/>
    <n v="0"/>
    <m/>
    <m/>
    <m/>
    <n v="0"/>
    <n v="0"/>
    <n v="0"/>
    <n v="0"/>
    <m/>
    <m/>
  </r>
  <r>
    <n v="0"/>
    <s v="CMS S.60.10.000"/>
    <s v="SUPORTE"/>
    <m/>
    <m/>
    <m/>
    <m/>
    <m/>
    <m/>
    <m/>
    <m/>
    <s v="LINHA DO CIRCUITO ARENOSO LINHA DE ALIMENTAÇÃO DO DISTRIBUIDOR DI-145A-9911"/>
    <s v="SC-011"/>
    <s v="SP 8325 E"/>
    <s v="1450AA-L-70107"/>
    <s v="1450AA-S-58325"/>
    <n v="2"/>
    <s v="PÇ"/>
    <n v="4"/>
    <n v="8"/>
    <n v="0"/>
    <n v="0"/>
    <n v="0"/>
    <n v="0.9"/>
    <n v="0.1"/>
    <m/>
    <m/>
    <m/>
    <n v="0"/>
    <m/>
    <n v="0"/>
    <n v="8"/>
    <m/>
    <n v="0"/>
    <n v="0"/>
    <n v="0"/>
    <m/>
    <m/>
    <m/>
    <n v="0"/>
    <n v="0"/>
    <n v="0"/>
    <n v="0"/>
    <m/>
    <m/>
  </r>
  <r>
    <n v="0"/>
    <s v="CMS S.60.10.000"/>
    <s v="SUPORTE"/>
    <m/>
    <m/>
    <m/>
    <m/>
    <m/>
    <m/>
    <m/>
    <m/>
    <s v="LINHA DO CIRCUITO ARENOSO LINHA DE ALIMENTAÇÃO DO DISTRIBUIDOR DI-145A-9911"/>
    <s v="SC-011"/>
    <s v="SP 8325 F"/>
    <s v="1450AA-L-70107"/>
    <s v="1450AA-S-58325"/>
    <n v="5"/>
    <s v="PÇ"/>
    <n v="236.4"/>
    <n v="1182"/>
    <n v="0"/>
    <n v="0"/>
    <n v="0"/>
    <n v="0.9"/>
    <n v="0.1"/>
    <m/>
    <m/>
    <m/>
    <n v="0"/>
    <m/>
    <n v="0"/>
    <n v="1182"/>
    <m/>
    <n v="0"/>
    <n v="0"/>
    <n v="0"/>
    <m/>
    <m/>
    <m/>
    <n v="0"/>
    <n v="0"/>
    <n v="0"/>
    <n v="0"/>
    <m/>
    <m/>
  </r>
  <r>
    <n v="0"/>
    <s v="CMS S.60.10.000"/>
    <s v="SUPORTE"/>
    <m/>
    <m/>
    <m/>
    <m/>
    <m/>
    <m/>
    <m/>
    <m/>
    <s v="LINHA DO CIRCUITO ARENOSO LINHA DE ALIMENTAÇÃO DO DISTRIBUIDOR DI-145A-9911"/>
    <s v="SC-011"/>
    <s v="SP 8325 G"/>
    <s v="1450AA-L-70107"/>
    <s v="1450AA-S-58325"/>
    <n v="3"/>
    <s v="PÇ"/>
    <n v="225"/>
    <n v="675"/>
    <n v="0"/>
    <n v="0"/>
    <n v="0"/>
    <n v="0.9"/>
    <n v="0.1"/>
    <m/>
    <m/>
    <m/>
    <n v="0"/>
    <m/>
    <n v="0"/>
    <n v="675"/>
    <m/>
    <n v="0"/>
    <n v="0"/>
    <n v="0"/>
    <m/>
    <m/>
    <m/>
    <n v="0"/>
    <n v="0"/>
    <n v="0"/>
    <n v="0"/>
    <m/>
    <m/>
  </r>
  <r>
    <n v="0"/>
    <s v="CMS S.60.10.000"/>
    <s v="SUPORTE"/>
    <m/>
    <m/>
    <m/>
    <m/>
    <m/>
    <m/>
    <m/>
    <m/>
    <s v="LINHA DO CIRCUITO ARENOSO LINHA DE DESCARGA DO DISTRIBUIDOR DI-145A-9915"/>
    <s v="SC-011"/>
    <s v="SP 8352 A"/>
    <s v="1450AA-L-70048"/>
    <s v="1450AA-S-58352"/>
    <n v="3"/>
    <s v="PÇ"/>
    <n v="54.2"/>
    <n v="162.60000000000002"/>
    <n v="0"/>
    <n v="0"/>
    <n v="0"/>
    <n v="0.9"/>
    <n v="0.1"/>
    <m/>
    <m/>
    <m/>
    <n v="0"/>
    <m/>
    <n v="0"/>
    <n v="162.60000000000002"/>
    <m/>
    <n v="0"/>
    <n v="0"/>
    <n v="0"/>
    <m/>
    <m/>
    <m/>
    <n v="0"/>
    <n v="0"/>
    <n v="0"/>
    <n v="0"/>
    <m/>
    <m/>
  </r>
  <r>
    <n v="0"/>
    <s v="CMS S.60.10.000"/>
    <s v="SUPORTE"/>
    <m/>
    <m/>
    <m/>
    <m/>
    <m/>
    <m/>
    <m/>
    <m/>
    <s v="LINHA DO CIRCUITO ARENOSO LINHA DE DESCARGA DO DISTRIBUIDOR DI-145A-9915"/>
    <s v="SC-011"/>
    <s v="SP 8352 B"/>
    <s v="1450AA-L-70048"/>
    <s v="1450AA-S-58352"/>
    <n v="1"/>
    <s v="PÇ"/>
    <n v="64"/>
    <n v="64"/>
    <n v="0"/>
    <n v="0"/>
    <n v="0"/>
    <n v="0.9"/>
    <n v="0.1"/>
    <m/>
    <m/>
    <m/>
    <n v="0"/>
    <m/>
    <n v="0"/>
    <n v="64"/>
    <m/>
    <n v="0"/>
    <n v="0"/>
    <n v="0"/>
    <m/>
    <m/>
    <m/>
    <n v="0"/>
    <n v="0"/>
    <n v="0"/>
    <n v="0"/>
    <m/>
    <m/>
  </r>
  <r>
    <n v="0"/>
    <s v="CMS S.60.10.000"/>
    <s v="SUPORTE"/>
    <m/>
    <m/>
    <m/>
    <m/>
    <m/>
    <m/>
    <m/>
    <m/>
    <s v="LINHA DO CIRCUITO ARENOSO LINHA DE DESCARGA DO DISTRIBUIDOR DI-145A-9915"/>
    <s v="SC-011"/>
    <s v="SP 8352 C"/>
    <s v="1450AA-L-70048"/>
    <s v="1450AA-S-58352"/>
    <n v="23"/>
    <s v="PÇ"/>
    <n v="66"/>
    <n v="1518"/>
    <n v="0"/>
    <n v="0"/>
    <n v="0"/>
    <n v="0.9"/>
    <n v="0.1"/>
    <m/>
    <m/>
    <m/>
    <n v="0"/>
    <m/>
    <n v="0"/>
    <n v="1518"/>
    <m/>
    <n v="0"/>
    <n v="0"/>
    <n v="0"/>
    <m/>
    <m/>
    <m/>
    <n v="0"/>
    <n v="0"/>
    <n v="0"/>
    <n v="0"/>
    <m/>
    <m/>
  </r>
  <r>
    <n v="0"/>
    <s v="CMS S.60.10.000"/>
    <s v="SUPORTE"/>
    <m/>
    <m/>
    <m/>
    <m/>
    <m/>
    <m/>
    <m/>
    <m/>
    <s v="LINHA DO CIRCUITO ARENOSO LINHA DE DESCARGA DO DISTRIBUIDOR DI-145A-9915"/>
    <s v="SC-011"/>
    <s v="SP 8352 D"/>
    <s v="1450AA-L-70048"/>
    <s v="1450AA-S-58352"/>
    <n v="1"/>
    <s v="PÇ"/>
    <n v="69.3"/>
    <n v="69.3"/>
    <n v="0"/>
    <n v="0"/>
    <n v="0"/>
    <n v="0.9"/>
    <n v="0.1"/>
    <m/>
    <m/>
    <m/>
    <n v="0"/>
    <m/>
    <n v="0"/>
    <n v="69.3"/>
    <m/>
    <n v="0"/>
    <n v="0"/>
    <n v="0"/>
    <m/>
    <m/>
    <m/>
    <n v="0"/>
    <n v="0"/>
    <n v="0"/>
    <n v="0"/>
    <m/>
    <m/>
  </r>
  <r>
    <n v="0"/>
    <s v="CMS S.60.10.000"/>
    <s v="SUPORTE"/>
    <m/>
    <m/>
    <m/>
    <m/>
    <m/>
    <m/>
    <m/>
    <m/>
    <s v="LINHA DO CIRCUITO ARENOSO LINHA DE DESCARGA DO DISTRIBUIDOR DI-145A-9915"/>
    <s v="SC-011"/>
    <s v="SP 8352 E"/>
    <s v="1450AA-L-70048"/>
    <s v="1450AA-S-58352"/>
    <n v="1"/>
    <s v="PÇ"/>
    <n v="40.799999999999997"/>
    <n v="40.799999999999997"/>
    <n v="0"/>
    <n v="0"/>
    <n v="0"/>
    <n v="0.9"/>
    <n v="0.1"/>
    <m/>
    <m/>
    <m/>
    <n v="0"/>
    <m/>
    <n v="0"/>
    <n v="40.799999999999997"/>
    <m/>
    <n v="0"/>
    <n v="0"/>
    <n v="0"/>
    <m/>
    <m/>
    <m/>
    <n v="0"/>
    <n v="0"/>
    <n v="0"/>
    <n v="0"/>
    <m/>
    <m/>
  </r>
  <r>
    <n v="0"/>
    <s v="CMS S.60.10.000"/>
    <s v="SUPORTE"/>
    <m/>
    <m/>
    <m/>
    <m/>
    <m/>
    <m/>
    <m/>
    <m/>
    <s v="LINHA DO CIRCUITO ARENOSO LINHA DE DESCARGA DO DISTRIBUIDOR DI-145A-9915"/>
    <s v="SC-011"/>
    <s v="SP 8352 F"/>
    <s v="1450AA-L-70048"/>
    <s v="1450AA-S-58352"/>
    <n v="2"/>
    <s v="PÇ"/>
    <n v="68.099999999999994"/>
    <n v="136.19999999999999"/>
    <n v="0"/>
    <n v="0"/>
    <n v="0"/>
    <n v="0.9"/>
    <n v="0.1"/>
    <m/>
    <m/>
    <m/>
    <n v="0"/>
    <m/>
    <n v="0"/>
    <n v="136.19999999999999"/>
    <m/>
    <n v="0"/>
    <n v="0"/>
    <n v="0"/>
    <m/>
    <m/>
    <m/>
    <n v="0"/>
    <n v="0"/>
    <n v="0"/>
    <n v="0"/>
    <m/>
    <m/>
  </r>
  <r>
    <n v="0"/>
    <s v="CMS S.60.10.000"/>
    <s v="SUPORTE"/>
    <m/>
    <m/>
    <m/>
    <m/>
    <m/>
    <m/>
    <m/>
    <m/>
    <s v="LINHA DO CIRCUITO ARENOSO LINHA DE DESCARGA DO DISTRIBUIDOR DI-145A-9915"/>
    <s v="SC-011"/>
    <s v="SP 8352 G"/>
    <s v="1450AA-L-70048"/>
    <s v="1450AA-S-58352"/>
    <n v="2"/>
    <s v="PÇ"/>
    <n v="51.6"/>
    <n v="103.2"/>
    <n v="0"/>
    <n v="0"/>
    <n v="0"/>
    <n v="0.9"/>
    <n v="0.1"/>
    <m/>
    <m/>
    <m/>
    <n v="0"/>
    <m/>
    <n v="0"/>
    <n v="103.2"/>
    <m/>
    <n v="0"/>
    <n v="0"/>
    <n v="0"/>
    <m/>
    <m/>
    <m/>
    <n v="0"/>
    <n v="0"/>
    <n v="0"/>
    <n v="0"/>
    <m/>
    <m/>
  </r>
  <r>
    <n v="0"/>
    <s v="CMS S.60.10.000"/>
    <s v="SUPORTE"/>
    <m/>
    <m/>
    <m/>
    <m/>
    <m/>
    <m/>
    <m/>
    <m/>
    <s v="LINHA DE BY PASS DAS PENEIRAS ALIMENTAÇÃO DO TANQUE TQ-145A-9722"/>
    <s v="SC-010"/>
    <s v="SP 8353 A"/>
    <s v="1450AA-L-70122"/>
    <s v="1450AA-S-58353"/>
    <n v="4"/>
    <s v="PÇ"/>
    <n v="41.1"/>
    <n v="164.4"/>
    <n v="0"/>
    <n v="0"/>
    <n v="0"/>
    <n v="0.9"/>
    <n v="0.1"/>
    <m/>
    <m/>
    <m/>
    <n v="0"/>
    <m/>
    <n v="0"/>
    <n v="164.4"/>
    <m/>
    <n v="0"/>
    <n v="0"/>
    <n v="0"/>
    <m/>
    <m/>
    <m/>
    <n v="0"/>
    <n v="0"/>
    <n v="0"/>
    <n v="0"/>
    <m/>
    <m/>
  </r>
  <r>
    <n v="0"/>
    <s v="CMS S.60.10.000"/>
    <s v="SUPORTE"/>
    <m/>
    <m/>
    <m/>
    <m/>
    <m/>
    <m/>
    <m/>
    <m/>
    <s v="LINHA DE BY PASS DAS PENEIRAS ALIMENTAÇÃO DO TANQUE TQ-145A-9722"/>
    <s v="SC-010"/>
    <s v="SP 8353 B"/>
    <s v="1450AA-L-70122"/>
    <s v="1450AA-S-58353"/>
    <n v="3"/>
    <s v="PÇ"/>
    <n v="12.7"/>
    <n v="38.099999999999994"/>
    <n v="0"/>
    <n v="0"/>
    <n v="0"/>
    <n v="0.9"/>
    <n v="0.1"/>
    <m/>
    <m/>
    <m/>
    <n v="0"/>
    <m/>
    <n v="0"/>
    <n v="38.099999999999994"/>
    <m/>
    <n v="0"/>
    <n v="0"/>
    <n v="0"/>
    <m/>
    <m/>
    <m/>
    <n v="0"/>
    <n v="0"/>
    <n v="0"/>
    <n v="0"/>
    <m/>
    <m/>
  </r>
  <r>
    <n v="0"/>
    <s v="CMS S.60.10.000"/>
    <s v="SUPORTE"/>
    <m/>
    <m/>
    <m/>
    <m/>
    <m/>
    <m/>
    <m/>
    <m/>
    <s v="LINHA DE BY PASS DAS PENEIRAS ALIMENTAÇÃO DO TANQUE TQ-145A-9722"/>
    <s v="SC-010"/>
    <s v="SP 8353 C"/>
    <s v="1450AA-L-70122"/>
    <s v="1450AA-S-58353"/>
    <n v="7"/>
    <s v="PÇ"/>
    <n v="36.1"/>
    <n v="252.70000000000002"/>
    <n v="0"/>
    <n v="0"/>
    <n v="0"/>
    <n v="0.9"/>
    <n v="0.1"/>
    <m/>
    <m/>
    <m/>
    <n v="0"/>
    <m/>
    <n v="0"/>
    <n v="252.70000000000002"/>
    <m/>
    <n v="0"/>
    <n v="0"/>
    <n v="0"/>
    <m/>
    <m/>
    <m/>
    <n v="0"/>
    <n v="0"/>
    <n v="0"/>
    <n v="0"/>
    <m/>
    <m/>
  </r>
  <r>
    <n v="0"/>
    <s v="CMS S.60.10.000"/>
    <s v="SUPORTE"/>
    <m/>
    <m/>
    <m/>
    <m/>
    <m/>
    <m/>
    <m/>
    <m/>
    <s v="LINHA DE BY PASS DAS PENEIRAS ALIMENTAÇÃO DO TANQUE TQ-145A-9722"/>
    <s v="SC-010"/>
    <s v="SP 8353 D"/>
    <s v="1450AA-L-70122"/>
    <s v="1450AA-S-58353"/>
    <n v="2"/>
    <s v="PÇ"/>
    <n v="28.2"/>
    <n v="56.4"/>
    <n v="0"/>
    <n v="0"/>
    <n v="0"/>
    <n v="0.9"/>
    <n v="0.1"/>
    <m/>
    <m/>
    <m/>
    <n v="0"/>
    <m/>
    <n v="0"/>
    <n v="56.4"/>
    <m/>
    <n v="0"/>
    <n v="0"/>
    <n v="0"/>
    <m/>
    <m/>
    <m/>
    <n v="0"/>
    <n v="0"/>
    <n v="0"/>
    <n v="0"/>
    <m/>
    <m/>
  </r>
  <r>
    <n v="0"/>
    <s v="CMS S.60.10.000"/>
    <s v="SUPORTE"/>
    <m/>
    <m/>
    <m/>
    <m/>
    <m/>
    <m/>
    <m/>
    <m/>
    <s v="LINHA DE BY PASS DAS PENEIRAS ALIMENTAÇÃO DO TANQUE TQ-145A-9722"/>
    <s v="SC-010"/>
    <s v="SP 8353 E"/>
    <s v="1450AA-L-70122"/>
    <s v="1450AA-S-58353"/>
    <n v="14"/>
    <s v="PÇ"/>
    <n v="50.9"/>
    <n v="712.6"/>
    <n v="0"/>
    <n v="0"/>
    <n v="0"/>
    <n v="0.9"/>
    <n v="0.1"/>
    <m/>
    <m/>
    <m/>
    <n v="0"/>
    <m/>
    <n v="0"/>
    <n v="712.6"/>
    <m/>
    <n v="0"/>
    <n v="0"/>
    <n v="0"/>
    <m/>
    <m/>
    <m/>
    <n v="0"/>
    <n v="0"/>
    <n v="0"/>
    <n v="0"/>
    <m/>
    <m/>
  </r>
  <r>
    <n v="0"/>
    <s v="CMS S.60.10.000"/>
    <s v="SUPORTE"/>
    <m/>
    <m/>
    <m/>
    <m/>
    <m/>
    <m/>
    <m/>
    <m/>
    <s v="LINHA DE BY PASS DAS PENEIRAS ALIMENTAÇÃO DO TANQUE TQ-145A-9722"/>
    <s v="SC-010"/>
    <s v="SP 8353 F"/>
    <s v="1450AA-L-70122"/>
    <s v="1450AA-S-58353"/>
    <n v="1"/>
    <s v="PÇ"/>
    <n v="33.5"/>
    <n v="33.5"/>
    <n v="0"/>
    <n v="0"/>
    <n v="0"/>
    <n v="0.9"/>
    <n v="0.1"/>
    <m/>
    <m/>
    <m/>
    <n v="0"/>
    <m/>
    <n v="0"/>
    <n v="33.5"/>
    <m/>
    <n v="0"/>
    <n v="0"/>
    <n v="0"/>
    <m/>
    <m/>
    <m/>
    <n v="0"/>
    <n v="0"/>
    <n v="0"/>
    <n v="0"/>
    <m/>
    <m/>
  </r>
  <r>
    <n v="0"/>
    <s v="CMS S.60.10.000"/>
    <s v="SUPORTE"/>
    <m/>
    <m/>
    <m/>
    <m/>
    <m/>
    <m/>
    <m/>
    <m/>
    <s v="LINHA DE BY PASS DAS PENEIRAS ALIMENTAÇÃO DO TANQUE TQ-145A-9722"/>
    <s v="SC-010"/>
    <s v="SP 8353 G"/>
    <s v="1450AA-L-70122"/>
    <s v="1450AA-S-58353"/>
    <n v="1"/>
    <s v="PÇ"/>
    <n v="9"/>
    <n v="9"/>
    <n v="0"/>
    <n v="0"/>
    <n v="0"/>
    <n v="0.9"/>
    <n v="0.1"/>
    <m/>
    <m/>
    <m/>
    <n v="0"/>
    <m/>
    <n v="0"/>
    <n v="9"/>
    <m/>
    <n v="0"/>
    <n v="0"/>
    <n v="0"/>
    <m/>
    <m/>
    <m/>
    <n v="0"/>
    <n v="0"/>
    <n v="0"/>
    <n v="0"/>
    <m/>
    <m/>
  </r>
  <r>
    <n v="0"/>
    <s v="CMS S.60.10.000"/>
    <s v="SUPORTE"/>
    <m/>
    <m/>
    <m/>
    <m/>
    <m/>
    <m/>
    <m/>
    <m/>
    <s v="LINHA DE BY PASS DAS PENEIRAS ALIMENTAÇÃO DO TANQUE TQ-145A-9722"/>
    <s v="SC-010"/>
    <s v="SP 8353 H"/>
    <s v="1450AA-L-70122"/>
    <s v="1450AA-S-58353"/>
    <n v="1"/>
    <s v="PÇ"/>
    <n v="24.4"/>
    <n v="24.4"/>
    <n v="0"/>
    <n v="0"/>
    <n v="0"/>
    <n v="0.9"/>
    <n v="0.1"/>
    <m/>
    <m/>
    <m/>
    <n v="0"/>
    <m/>
    <n v="0"/>
    <n v="24.4"/>
    <m/>
    <n v="0"/>
    <n v="0"/>
    <n v="0"/>
    <m/>
    <m/>
    <m/>
    <n v="0"/>
    <n v="0"/>
    <n v="0"/>
    <n v="0"/>
    <m/>
    <m/>
  </r>
  <r>
    <n v="0"/>
    <s v="CMS S.60.10.000"/>
    <s v="SUPORTE"/>
    <m/>
    <m/>
    <m/>
    <m/>
    <m/>
    <m/>
    <m/>
    <m/>
    <s v="LINHA DE BY PASS DAS PENEIRAS ALIMENTAÇÃO DO TANQUE TQ-145A-9722"/>
    <s v="SC-010"/>
    <s v="SP 8353 J"/>
    <s v="1450AA-L-70122"/>
    <s v="1450AA-S-58353"/>
    <n v="2"/>
    <s v="PÇ"/>
    <n v="25.4"/>
    <n v="50.8"/>
    <n v="0"/>
    <n v="0"/>
    <n v="0"/>
    <n v="0.9"/>
    <n v="0.1"/>
    <m/>
    <m/>
    <m/>
    <n v="0"/>
    <m/>
    <n v="0"/>
    <n v="50.8"/>
    <m/>
    <n v="0"/>
    <n v="0"/>
    <n v="0"/>
    <m/>
    <m/>
    <m/>
    <n v="0"/>
    <n v="0"/>
    <n v="0"/>
    <n v="0"/>
    <m/>
    <m/>
  </r>
  <r>
    <n v="0"/>
    <s v="CMS S.60.10.000"/>
    <s v="SUPORTE"/>
    <m/>
    <m/>
    <m/>
    <m/>
    <m/>
    <m/>
    <m/>
    <m/>
    <s v="LINHA DE BY PASS DAS PENEIRAS ALIMENTAÇÃO DO TANQUE TQ-145A-9722"/>
    <s v="SC-010"/>
    <s v=" 8353 K"/>
    <s v="1450AA-L-70122"/>
    <s v="1450AA-S-58353"/>
    <n v="1"/>
    <s v="PÇ"/>
    <n v="2"/>
    <n v="2"/>
    <n v="0"/>
    <n v="0"/>
    <n v="0"/>
    <n v="0.9"/>
    <n v="0.1"/>
    <m/>
    <m/>
    <m/>
    <n v="0"/>
    <m/>
    <n v="0"/>
    <n v="2"/>
    <m/>
    <n v="0"/>
    <n v="0"/>
    <n v="0"/>
    <m/>
    <m/>
    <m/>
    <n v="0"/>
    <n v="0"/>
    <n v="0"/>
    <n v="0"/>
    <m/>
    <m/>
  </r>
  <r>
    <n v="0"/>
    <s v="CMS S.60.10.000"/>
    <s v="SUPORTE"/>
    <m/>
    <m/>
    <m/>
    <m/>
    <m/>
    <m/>
    <m/>
    <m/>
    <s v="LINHA DE BY PASS DAS PENEIRAS ALIMENTAÇÃO DO TANQUE TQ-145A-9722"/>
    <s v="SC-010"/>
    <s v=" 8353 L"/>
    <s v="1450AA-L-70122"/>
    <s v="1450AA-S-58353"/>
    <n v="1"/>
    <s v="PÇ"/>
    <n v="1.6"/>
    <n v="1.6"/>
    <n v="0"/>
    <n v="0"/>
    <n v="0"/>
    <n v="0.9"/>
    <n v="0.1"/>
    <m/>
    <m/>
    <m/>
    <n v="0"/>
    <m/>
    <n v="0"/>
    <n v="1.6"/>
    <m/>
    <n v="0"/>
    <n v="0"/>
    <n v="0"/>
    <m/>
    <m/>
    <m/>
    <n v="0"/>
    <n v="0"/>
    <n v="0"/>
    <n v="0"/>
    <m/>
    <m/>
  </r>
  <r>
    <n v="0"/>
    <s v="CMS S.60.10.000"/>
    <s v="SUPORTE"/>
    <m/>
    <m/>
    <m/>
    <m/>
    <m/>
    <m/>
    <m/>
    <m/>
    <s v="LINHA DE BY PASS DAS PENEIRAS ALIMENTAÇÃO DO TANQUE TQ-145A-9722"/>
    <s v="SC-010"/>
    <s v="SP 8353 M"/>
    <s v="1450AA-L-70122"/>
    <s v="1450AA-S-58353"/>
    <n v="48"/>
    <s v="PÇ"/>
    <n v="73.7"/>
    <n v="3537.6000000000004"/>
    <n v="0"/>
    <n v="0"/>
    <n v="0"/>
    <n v="0.9"/>
    <n v="0.1"/>
    <m/>
    <m/>
    <m/>
    <n v="0"/>
    <m/>
    <n v="0"/>
    <n v="3537.6000000000004"/>
    <m/>
    <n v="0"/>
    <n v="0"/>
    <n v="0"/>
    <m/>
    <m/>
    <m/>
    <n v="0"/>
    <n v="0"/>
    <n v="0"/>
    <n v="0"/>
    <m/>
    <m/>
  </r>
  <r>
    <n v="0"/>
    <s v="CMS S.60.10.000"/>
    <s v="SUPORTE"/>
    <m/>
    <m/>
    <m/>
    <m/>
    <m/>
    <m/>
    <m/>
    <m/>
    <s v="LINHA DO CIRCUITO ARENOSO LINHA DE DESCARGA DO DISTRIBUIDOR DI-145A-9916"/>
    <s v="SC-011"/>
    <s v="SP 8354 A"/>
    <m/>
    <s v="1450AA-S-58354"/>
    <n v="48"/>
    <s v="PÇ"/>
    <n v="22.8"/>
    <n v="1094.4000000000001"/>
    <n v="0"/>
    <n v="0"/>
    <n v="0"/>
    <n v="0.9"/>
    <n v="0.1"/>
    <m/>
    <m/>
    <m/>
    <n v="0"/>
    <m/>
    <n v="0"/>
    <n v="1094.4000000000001"/>
    <m/>
    <n v="0"/>
    <n v="0"/>
    <n v="0"/>
    <m/>
    <m/>
    <m/>
    <n v="0"/>
    <n v="0"/>
    <n v="0"/>
    <n v="0"/>
    <m/>
    <m/>
  </r>
  <r>
    <n v="0"/>
    <s v="CMS S.60.10.000"/>
    <s v="SUPORTE"/>
    <m/>
    <m/>
    <m/>
    <m/>
    <m/>
    <m/>
    <m/>
    <m/>
    <s v="LINHA DO CIRCUITO ARENOSO LINHA DE DESCARGA DO DISTRIBUIDOR DI-145A-9916"/>
    <s v="SC-011"/>
    <s v="SP 8354 B"/>
    <m/>
    <s v="1450AA-S-58354"/>
    <n v="48"/>
    <s v="PÇ"/>
    <n v="18.5"/>
    <n v="888"/>
    <n v="0"/>
    <n v="0"/>
    <n v="0"/>
    <n v="0.9"/>
    <n v="0.1"/>
    <m/>
    <m/>
    <m/>
    <n v="0"/>
    <m/>
    <n v="0"/>
    <n v="888"/>
    <m/>
    <n v="0"/>
    <n v="0"/>
    <n v="0"/>
    <m/>
    <m/>
    <m/>
    <n v="0"/>
    <n v="0"/>
    <n v="0"/>
    <n v="0"/>
    <m/>
    <m/>
  </r>
  <r>
    <n v="0"/>
    <s v="CMS S.60.10.000"/>
    <s v="SUPORTE"/>
    <m/>
    <m/>
    <m/>
    <m/>
    <m/>
    <m/>
    <m/>
    <m/>
    <s v="LINHA DO CIRCUITO ARENOSO LINHA DE DESCARGA DO DISTRIBUIDOR DI-145A-9916"/>
    <s v="SC-011"/>
    <s v="SP 8354 C"/>
    <m/>
    <s v="1450AA-S-58354"/>
    <n v="48"/>
    <s v="PÇ"/>
    <n v="17.7"/>
    <n v="849.59999999999991"/>
    <n v="0"/>
    <n v="0"/>
    <n v="0"/>
    <n v="0.9"/>
    <n v="0.1"/>
    <m/>
    <m/>
    <m/>
    <n v="0"/>
    <m/>
    <n v="0"/>
    <n v="849.59999999999991"/>
    <m/>
    <n v="0"/>
    <n v="0"/>
    <n v="0"/>
    <m/>
    <m/>
    <m/>
    <n v="0"/>
    <n v="0"/>
    <n v="0"/>
    <n v="0"/>
    <m/>
    <m/>
  </r>
  <r>
    <n v="0"/>
    <s v="CMS S.60.10.000"/>
    <s v="SUPORTE"/>
    <m/>
    <m/>
    <m/>
    <m/>
    <m/>
    <m/>
    <m/>
    <m/>
    <s v="LINHA DO CIRCUITO ARENOSO LINHA DE DESCARGA DO DISTRIBUIDOR DI-145A-9916"/>
    <s v="SC-011"/>
    <s v="SP 8354 D"/>
    <m/>
    <s v="1450AA-S-58354"/>
    <n v="48"/>
    <s v="PÇ"/>
    <n v="4.8"/>
    <n v="230.39999999999998"/>
    <n v="0"/>
    <n v="0"/>
    <n v="0"/>
    <n v="0.9"/>
    <n v="0.1"/>
    <m/>
    <m/>
    <m/>
    <n v="0"/>
    <m/>
    <n v="0"/>
    <n v="230.39999999999998"/>
    <m/>
    <n v="0"/>
    <n v="0"/>
    <n v="0"/>
    <m/>
    <m/>
    <m/>
    <n v="0"/>
    <n v="0"/>
    <n v="0"/>
    <n v="0"/>
    <m/>
    <m/>
  </r>
  <r>
    <n v="0"/>
    <s v="CMS S.60.10.000"/>
    <s v="SUPORTE"/>
    <m/>
    <m/>
    <m/>
    <m/>
    <m/>
    <m/>
    <m/>
    <m/>
    <s v="LINHA DO CIRCUITO ARENOSO LINHA DE DESCARGA DO DISTRIBUIDOR DI-145A-9916"/>
    <s v="SC-011"/>
    <s v="SP 8354 E"/>
    <m/>
    <s v="1450AA-S-58354"/>
    <n v="48"/>
    <s v="PÇ"/>
    <n v="13.8"/>
    <n v="662.40000000000009"/>
    <n v="0"/>
    <n v="0"/>
    <n v="0"/>
    <n v="0.9"/>
    <n v="0.1"/>
    <m/>
    <m/>
    <m/>
    <n v="0"/>
    <m/>
    <n v="0"/>
    <n v="662.40000000000009"/>
    <m/>
    <n v="0"/>
    <n v="0"/>
    <n v="0"/>
    <m/>
    <m/>
    <m/>
    <n v="0"/>
    <n v="0"/>
    <n v="0"/>
    <n v="0"/>
    <m/>
    <m/>
  </r>
  <r>
    <n v="0"/>
    <s v="CMS S.60.10.000"/>
    <s v="SUPORTE"/>
    <m/>
    <m/>
    <m/>
    <m/>
    <m/>
    <m/>
    <m/>
    <m/>
    <s v="LINHA DO CIRCUITO ARENOSO LINHA DE DESCARGA DO DISTRIBUIDOR DI-145A-9916"/>
    <s v="SC-011"/>
    <s v="SP 8354 F"/>
    <m/>
    <s v="1450AA-S-58354"/>
    <n v="48"/>
    <s v="PÇ"/>
    <n v="9.6999999999999993"/>
    <n v="465.59999999999997"/>
    <n v="0"/>
    <n v="0"/>
    <n v="0"/>
    <n v="0.9"/>
    <n v="0.1"/>
    <m/>
    <m/>
    <m/>
    <n v="0"/>
    <m/>
    <n v="0"/>
    <n v="465.59999999999997"/>
    <m/>
    <n v="0"/>
    <n v="0"/>
    <n v="0"/>
    <m/>
    <m/>
    <m/>
    <n v="0"/>
    <n v="0"/>
    <n v="0"/>
    <n v="0"/>
    <m/>
    <m/>
  </r>
  <r>
    <n v="0"/>
    <s v="CMS S.60.10.000"/>
    <s v="SUPORTE"/>
    <m/>
    <m/>
    <m/>
    <m/>
    <m/>
    <m/>
    <m/>
    <m/>
    <s v="LINHA DO CIRCUITO ARENOSO LINHA DE DESCARGA DO DISTRIBUIDOR DI-145A-9916"/>
    <s v="SC-011"/>
    <s v="SP 8354 G"/>
    <m/>
    <s v="1450AA-S-58354"/>
    <n v="1"/>
    <s v="PÇ"/>
    <n v="16.8"/>
    <n v="16.8"/>
    <n v="0"/>
    <n v="0"/>
    <n v="0"/>
    <n v="0.9"/>
    <n v="0.1"/>
    <m/>
    <m/>
    <m/>
    <n v="0"/>
    <m/>
    <n v="0"/>
    <n v="16.8"/>
    <m/>
    <n v="0"/>
    <n v="0"/>
    <n v="0"/>
    <m/>
    <m/>
    <m/>
    <n v="0"/>
    <n v="0"/>
    <n v="0"/>
    <n v="0"/>
    <m/>
    <m/>
  </r>
  <r>
    <n v="0"/>
    <s v="CMS S.60.10.000"/>
    <s v="SUPORTE"/>
    <m/>
    <m/>
    <m/>
    <m/>
    <m/>
    <m/>
    <m/>
    <m/>
    <s v="LINHA DO CIRCUITO ARENOSO LINHA DE DESCARGA DO DISTRIBUIDOR DI-145A-9916"/>
    <s v="SC-011"/>
    <s v="SP 8354 H"/>
    <m/>
    <s v="1450AA-S-58354"/>
    <n v="1"/>
    <s v="PÇ"/>
    <n v="8.4"/>
    <n v="8.4"/>
    <n v="0"/>
    <n v="0"/>
    <n v="0"/>
    <n v="0.9"/>
    <n v="0.1"/>
    <m/>
    <m/>
    <m/>
    <n v="0"/>
    <m/>
    <n v="0"/>
    <n v="8.4"/>
    <m/>
    <n v="0"/>
    <n v="0"/>
    <n v="0"/>
    <m/>
    <m/>
    <m/>
    <n v="0"/>
    <n v="0"/>
    <n v="0"/>
    <n v="0"/>
    <m/>
    <m/>
  </r>
  <r>
    <n v="0"/>
    <s v="CMS S.60.10.000"/>
    <s v="SUPORTE"/>
    <m/>
    <m/>
    <m/>
    <m/>
    <m/>
    <m/>
    <m/>
    <m/>
    <s v="LINHA DO CIRCUITO ARENOSO LINHA DE DESCARGA DO DISTRIBUIDOR DI-145A-9916"/>
    <s v="SC-011"/>
    <s v="SP 8354 J"/>
    <m/>
    <s v="1450AA-S-58354"/>
    <n v="1"/>
    <s v="PÇ"/>
    <n v="40.200000000000003"/>
    <n v="40.200000000000003"/>
    <n v="0"/>
    <n v="0"/>
    <n v="0"/>
    <n v="0.9"/>
    <n v="0.1"/>
    <m/>
    <m/>
    <m/>
    <n v="0"/>
    <m/>
    <n v="0"/>
    <n v="40.200000000000003"/>
    <m/>
    <n v="0"/>
    <n v="0"/>
    <n v="0"/>
    <m/>
    <m/>
    <m/>
    <n v="0"/>
    <n v="0"/>
    <n v="0"/>
    <n v="0"/>
    <m/>
    <m/>
  </r>
  <r>
    <n v="0"/>
    <s v="CMS S.60.10.000"/>
    <s v="SUPORTE"/>
    <m/>
    <m/>
    <m/>
    <m/>
    <m/>
    <m/>
    <m/>
    <m/>
    <s v="LINHA DO CIRCUITO ULTRAFINO LINHA DE DESCARGA DO DISTRIBUIDOR DI 145A-9904"/>
    <s v="SC-026"/>
    <s v="SP8361 A"/>
    <m/>
    <s v="1450AA-S-58361"/>
    <n v="2"/>
    <s v="PÇ"/>
    <n v="28.1"/>
    <n v="56.2"/>
    <n v="0"/>
    <n v="0"/>
    <n v="0"/>
    <n v="0.9"/>
    <n v="0.1"/>
    <m/>
    <m/>
    <m/>
    <n v="0"/>
    <m/>
    <n v="0"/>
    <n v="56.2"/>
    <m/>
    <n v="0"/>
    <n v="0"/>
    <n v="0"/>
    <m/>
    <m/>
    <m/>
    <n v="0"/>
    <n v="0"/>
    <n v="0"/>
    <n v="0"/>
    <m/>
    <m/>
  </r>
  <r>
    <n v="0"/>
    <s v="CMS S.60.10.000"/>
    <s v="SUPORTE"/>
    <m/>
    <m/>
    <m/>
    <m/>
    <m/>
    <m/>
    <m/>
    <m/>
    <s v="LINHA DO CIRCUITO ULTRAFINO LINHA DE DESCARGA DO DISTRIBUIDOR DI 145A-9904"/>
    <s v="SC-026"/>
    <s v="SP8361 B"/>
    <m/>
    <s v="1450AA-S-58361"/>
    <n v="1"/>
    <s v="PÇ"/>
    <n v="25.8"/>
    <n v="25.8"/>
    <n v="0"/>
    <n v="0"/>
    <n v="0"/>
    <n v="0.9"/>
    <n v="0.1"/>
    <m/>
    <m/>
    <m/>
    <n v="0"/>
    <m/>
    <n v="0"/>
    <n v="25.8"/>
    <m/>
    <n v="0"/>
    <n v="0"/>
    <n v="0"/>
    <m/>
    <m/>
    <m/>
    <n v="0"/>
    <n v="0"/>
    <n v="0"/>
    <n v="0"/>
    <m/>
    <m/>
  </r>
  <r>
    <n v="0"/>
    <s v="CMS S.60.10.000"/>
    <s v="SUPORTE"/>
    <m/>
    <m/>
    <m/>
    <m/>
    <m/>
    <m/>
    <m/>
    <m/>
    <s v="LINHA DO CIRCUITO ULTRAFINO LINHA DE DESCARGA DO DISTRIBUIDOR DI 145A-9904"/>
    <s v="SC-026"/>
    <s v="SP8361 C"/>
    <m/>
    <s v="1450AA-S-58361"/>
    <n v="2"/>
    <s v="PÇ"/>
    <n v="23.3"/>
    <n v="46.6"/>
    <n v="0"/>
    <n v="0"/>
    <n v="0"/>
    <n v="0.9"/>
    <n v="0.1"/>
    <m/>
    <m/>
    <m/>
    <n v="0"/>
    <m/>
    <n v="0"/>
    <n v="46.6"/>
    <m/>
    <n v="0"/>
    <n v="0"/>
    <n v="0"/>
    <m/>
    <m/>
    <m/>
    <n v="0"/>
    <n v="0"/>
    <n v="0"/>
    <n v="0"/>
    <m/>
    <m/>
  </r>
  <r>
    <n v="0"/>
    <s v="CMS S.60.10.000"/>
    <s v="SUPORTE"/>
    <m/>
    <m/>
    <m/>
    <m/>
    <m/>
    <m/>
    <m/>
    <m/>
    <s v="LINHA DO CIRCUITO ULTRAFINO LINHA DE DESCARGA DO DISTRIBUIDOR DI 145A-9904"/>
    <s v="SC-026"/>
    <s v="SP8361 D"/>
    <m/>
    <s v="1450AA-S-58361"/>
    <n v="2"/>
    <s v="PÇ"/>
    <n v="21.9"/>
    <n v="43.8"/>
    <n v="0"/>
    <n v="0"/>
    <n v="0"/>
    <n v="0.9"/>
    <n v="0.1"/>
    <m/>
    <m/>
    <m/>
    <n v="0"/>
    <m/>
    <n v="0"/>
    <n v="43.8"/>
    <m/>
    <n v="0"/>
    <n v="0"/>
    <n v="0"/>
    <m/>
    <m/>
    <m/>
    <n v="0"/>
    <n v="0"/>
    <n v="0"/>
    <n v="0"/>
    <m/>
    <m/>
  </r>
  <r>
    <n v="0"/>
    <s v="CMS S.60.10.000"/>
    <s v="SUPORTE"/>
    <m/>
    <m/>
    <m/>
    <m/>
    <m/>
    <m/>
    <m/>
    <m/>
    <s v="LINHA DO CIRCUITO ULTRAFINO LINHA DE DESCARGA DO DISTRIBUIDOR DI 145A-9904"/>
    <s v="SC-026"/>
    <s v="SP8361 E"/>
    <m/>
    <s v="1450AA-S-58361"/>
    <n v="12"/>
    <s v="PÇ"/>
    <n v="15.8"/>
    <n v="189.60000000000002"/>
    <n v="0"/>
    <n v="0"/>
    <n v="0"/>
    <n v="0.9"/>
    <n v="0.1"/>
    <m/>
    <m/>
    <m/>
    <n v="0"/>
    <m/>
    <n v="0"/>
    <n v="189.60000000000002"/>
    <m/>
    <n v="0"/>
    <n v="0"/>
    <n v="0"/>
    <m/>
    <m/>
    <m/>
    <n v="0"/>
    <n v="0"/>
    <n v="0"/>
    <n v="0"/>
    <m/>
    <m/>
  </r>
  <r>
    <n v="0"/>
    <s v="CMS S.60.10.000"/>
    <s v="SUPORTE"/>
    <m/>
    <m/>
    <m/>
    <m/>
    <m/>
    <m/>
    <m/>
    <m/>
    <s v="LINHA DO CIRCUITO ULTRAFINO LINHA DE DESCARGA DO DISTRIBUIDOR DI 145A-9904"/>
    <s v="SC-026"/>
    <s v="SP8361 F"/>
    <m/>
    <s v="1450AA-S-58361"/>
    <n v="12"/>
    <s v="PÇ"/>
    <n v="15"/>
    <n v="180"/>
    <n v="0"/>
    <n v="0"/>
    <n v="0"/>
    <n v="0.9"/>
    <n v="0.1"/>
    <m/>
    <m/>
    <m/>
    <n v="0"/>
    <m/>
    <n v="0"/>
    <n v="180"/>
    <m/>
    <n v="0"/>
    <n v="0"/>
    <n v="0"/>
    <m/>
    <m/>
    <m/>
    <n v="0"/>
    <n v="0"/>
    <n v="0"/>
    <n v="0"/>
    <m/>
    <m/>
  </r>
  <r>
    <n v="0"/>
    <s v="CMS S.60.10.000"/>
    <s v="SUPORTE"/>
    <m/>
    <m/>
    <m/>
    <m/>
    <m/>
    <m/>
    <m/>
    <m/>
    <s v="LINHA DO CIRCUITO ULTRAFINO LINHA DE DESCARGA DO DISTRIBUIDOR DI 145A-9904"/>
    <s v="SC-026"/>
    <s v="SP8361 G"/>
    <m/>
    <s v="1450AA-S-58361"/>
    <n v="2"/>
    <s v="PÇ"/>
    <n v="22.7"/>
    <n v="45.4"/>
    <n v="0"/>
    <n v="0"/>
    <n v="0"/>
    <n v="0.9"/>
    <n v="0.1"/>
    <m/>
    <m/>
    <m/>
    <n v="0"/>
    <m/>
    <n v="0"/>
    <n v="45.4"/>
    <m/>
    <n v="0"/>
    <n v="0"/>
    <n v="0"/>
    <m/>
    <m/>
    <m/>
    <n v="0"/>
    <n v="0"/>
    <n v="0"/>
    <n v="0"/>
    <m/>
    <m/>
  </r>
  <r>
    <n v="0"/>
    <s v="CMS S.60.10.000"/>
    <s v="SUPORTE"/>
    <m/>
    <m/>
    <m/>
    <m/>
    <m/>
    <m/>
    <m/>
    <m/>
    <s v="LINHA DO CIRCUITO ULTRAFINO LINHA DE DESCARGA DO DISTRIBUIDOR DI 145A-9904"/>
    <s v="SC-026"/>
    <s v="SP8361 H"/>
    <m/>
    <s v="1450AA-S-58361"/>
    <n v="2"/>
    <s v="PÇ"/>
    <n v="19.3"/>
    <n v="38.6"/>
    <n v="0"/>
    <n v="0"/>
    <n v="0"/>
    <n v="0.9"/>
    <n v="0.1"/>
    <m/>
    <m/>
    <m/>
    <n v="0"/>
    <m/>
    <n v="0"/>
    <n v="38.6"/>
    <m/>
    <n v="0"/>
    <n v="0"/>
    <n v="0"/>
    <m/>
    <m/>
    <m/>
    <n v="0"/>
    <n v="0"/>
    <n v="0"/>
    <n v="0"/>
    <m/>
    <m/>
  </r>
  <r>
    <n v="0"/>
    <s v="CMS S.60.10.000"/>
    <s v="SUPORTE"/>
    <m/>
    <m/>
    <m/>
    <m/>
    <m/>
    <m/>
    <m/>
    <m/>
    <s v="LINHA DO CIRCUITO ULTRAFINO LINHA DE DESCARGA DO DISTRIBUIDOR DI 145A-9904"/>
    <s v="SC-026"/>
    <s v="SP8361 J"/>
    <m/>
    <s v="1450AA-S-58361"/>
    <n v="1"/>
    <s v="PÇ"/>
    <n v="10"/>
    <n v="10"/>
    <n v="0"/>
    <n v="0"/>
    <n v="0"/>
    <n v="0.9"/>
    <n v="0.1"/>
    <m/>
    <m/>
    <m/>
    <n v="0"/>
    <m/>
    <n v="0"/>
    <n v="10"/>
    <m/>
    <n v="0"/>
    <n v="0"/>
    <n v="0"/>
    <m/>
    <m/>
    <m/>
    <n v="0"/>
    <n v="0"/>
    <n v="0"/>
    <n v="0"/>
    <m/>
    <m/>
  </r>
  <r>
    <n v="0"/>
    <s v="CMS S.60.10.000"/>
    <s v="SUPORTE"/>
    <m/>
    <m/>
    <m/>
    <m/>
    <m/>
    <m/>
    <m/>
    <m/>
    <s v="LINHA DO CIRCUITO ULTRAFINO LINHA DE DESCARGA DO DISTRIBUIDOR DI 145A-9904"/>
    <s v="SC-026"/>
    <s v="8361 K"/>
    <m/>
    <s v="1450AA-S-58361"/>
    <n v="1"/>
    <s v="PÇ"/>
    <n v="12"/>
    <n v="12"/>
    <n v="0"/>
    <n v="0"/>
    <n v="0"/>
    <n v="0.9"/>
    <n v="0.1"/>
    <m/>
    <m/>
    <m/>
    <n v="0"/>
    <m/>
    <n v="0"/>
    <n v="12"/>
    <m/>
    <n v="0"/>
    <n v="0"/>
    <n v="0"/>
    <m/>
    <m/>
    <m/>
    <n v="0"/>
    <n v="0"/>
    <n v="0"/>
    <n v="0"/>
    <m/>
    <m/>
  </r>
  <r>
    <n v="0"/>
    <s v="CMS S.60.10.000"/>
    <s v="SUPORTE"/>
    <m/>
    <m/>
    <m/>
    <m/>
    <m/>
    <m/>
    <m/>
    <m/>
    <s v="LINHA DO CIRCUITO ULTRAFINO LINHA DE DESCARGA DO DISTRIBUIDOR DI 145A-9904"/>
    <s v="SC-026"/>
    <s v="8361 L"/>
    <m/>
    <s v="1450AA-S-58361"/>
    <n v="1"/>
    <s v="PÇ"/>
    <n v="12"/>
    <n v="12"/>
    <n v="0"/>
    <n v="0"/>
    <n v="0"/>
    <n v="0.9"/>
    <n v="0.1"/>
    <m/>
    <m/>
    <m/>
    <n v="0"/>
    <m/>
    <n v="0"/>
    <n v="12"/>
    <m/>
    <n v="0"/>
    <n v="0"/>
    <n v="0"/>
    <m/>
    <m/>
    <m/>
    <n v="0"/>
    <n v="0"/>
    <n v="0"/>
    <n v="0"/>
    <m/>
    <m/>
  </r>
  <r>
    <n v="0"/>
    <s v="CMS S.60.10.000"/>
    <s v="SUPORTE"/>
    <m/>
    <m/>
    <m/>
    <m/>
    <m/>
    <m/>
    <m/>
    <m/>
    <s v="LINHA DO CIRCUITO ARENOSO LINHA DE DESCARGA DO DISTRIBUIDOR DI 145A-9913"/>
    <s v="SC-026"/>
    <s v="8361 M"/>
    <m/>
    <s v="1450AA-S-58361"/>
    <n v="1"/>
    <s v="PÇ"/>
    <n v="20"/>
    <n v="20"/>
    <n v="0"/>
    <n v="0"/>
    <n v="0"/>
    <n v="0.9"/>
    <n v="0.1"/>
    <m/>
    <m/>
    <m/>
    <n v="0"/>
    <m/>
    <n v="0"/>
    <n v="20"/>
    <m/>
    <n v="0"/>
    <n v="0"/>
    <n v="0"/>
    <m/>
    <m/>
    <m/>
    <n v="0"/>
    <n v="0"/>
    <n v="0"/>
    <n v="0"/>
    <m/>
    <m/>
  </r>
  <r>
    <n v="0"/>
    <s v="CMS S.60.10.000"/>
    <s v="SUPORTE"/>
    <m/>
    <m/>
    <m/>
    <m/>
    <m/>
    <m/>
    <m/>
    <m/>
    <s v="LINHA DO CIRCUITO ARENOSO LINHA DE DESCARGA DO DISTRIBUIDOR DI 145A-9913"/>
    <s v="SC-014"/>
    <s v="SP 8364 A"/>
    <s v="1450AA-L-70046"/>
    <s v="1450AA-S-58364"/>
    <n v="1"/>
    <s v="PÇ"/>
    <n v="12"/>
    <n v="12"/>
    <n v="0"/>
    <n v="0"/>
    <n v="0"/>
    <n v="0.9"/>
    <n v="0.1"/>
    <m/>
    <m/>
    <m/>
    <n v="0"/>
    <m/>
    <n v="0"/>
    <n v="12"/>
    <m/>
    <n v="0"/>
    <n v="0"/>
    <n v="0"/>
    <m/>
    <m/>
    <m/>
    <n v="0"/>
    <n v="0"/>
    <n v="0"/>
    <n v="0"/>
    <m/>
    <m/>
  </r>
  <r>
    <n v="0"/>
    <s v="CMS S.60.10.000"/>
    <s v="SUPORTE"/>
    <m/>
    <m/>
    <m/>
    <m/>
    <m/>
    <m/>
    <m/>
    <m/>
    <s v="LINHA DO CIRCUITO ARENOSO LINHA DE DESCARGA DO DISTRIBUIDOR DI 145A-9913"/>
    <s v="SC-014"/>
    <s v="SP 8364 B"/>
    <s v="1450AA-L-70046"/>
    <s v="1450AA-S-58364"/>
    <n v="1"/>
    <s v="PÇ"/>
    <n v="14.4"/>
    <n v="14.4"/>
    <n v="0"/>
    <n v="0"/>
    <n v="0"/>
    <n v="0.9"/>
    <n v="0.1"/>
    <m/>
    <m/>
    <m/>
    <n v="0"/>
    <m/>
    <n v="0"/>
    <n v="14.4"/>
    <m/>
    <n v="0"/>
    <n v="0"/>
    <n v="0"/>
    <m/>
    <m/>
    <m/>
    <n v="0"/>
    <n v="0"/>
    <n v="0"/>
    <n v="0"/>
    <m/>
    <m/>
  </r>
  <r>
    <n v="0"/>
    <s v="CMS S.60.10.000"/>
    <s v="SUPORTE"/>
    <m/>
    <m/>
    <m/>
    <m/>
    <m/>
    <m/>
    <m/>
    <m/>
    <s v="LINHA DO CIRCUITO ARENOSO LINHA DE DESCARGA DO DISTRIBUIDOR DI 145A-9913"/>
    <s v="SC-014"/>
    <s v="SP 8364 C"/>
    <s v="1450AA-L-70046"/>
    <s v="1450AA-S-58364"/>
    <n v="1"/>
    <s v="PÇ"/>
    <n v="46.2"/>
    <n v="46.2"/>
    <n v="0"/>
    <n v="0"/>
    <n v="0"/>
    <n v="0.9"/>
    <n v="0.1"/>
    <m/>
    <m/>
    <m/>
    <n v="0"/>
    <m/>
    <n v="0"/>
    <n v="46.2"/>
    <m/>
    <n v="0"/>
    <n v="0"/>
    <n v="0"/>
    <m/>
    <m/>
    <m/>
    <n v="0"/>
    <n v="0"/>
    <n v="0"/>
    <n v="0"/>
    <m/>
    <m/>
  </r>
  <r>
    <n v="0"/>
    <s v="CMS S.60.10.000"/>
    <s v="SUPORTE"/>
    <m/>
    <m/>
    <m/>
    <m/>
    <m/>
    <m/>
    <m/>
    <m/>
    <s v="LINHA DO CIRCUITO ARENOSO LINHA DE DESCARGA DO DISTRIBUIDOR DI 145A-9913"/>
    <s v="SC-014"/>
    <s v="SP 8364 D"/>
    <s v="1450AA-L-70046"/>
    <s v="1450AA-S-58364"/>
    <n v="1"/>
    <s v="PÇ"/>
    <n v="14"/>
    <n v="14"/>
    <n v="0"/>
    <n v="0"/>
    <n v="0"/>
    <n v="0.9"/>
    <n v="0.1"/>
    <m/>
    <m/>
    <m/>
    <n v="0"/>
    <m/>
    <n v="0"/>
    <n v="14"/>
    <m/>
    <n v="0"/>
    <n v="0"/>
    <n v="0"/>
    <m/>
    <m/>
    <m/>
    <n v="0"/>
    <n v="0"/>
    <n v="0"/>
    <n v="0"/>
    <m/>
    <m/>
  </r>
  <r>
    <n v="0"/>
    <s v="CMS S.60.10.000"/>
    <s v="SUPORTE"/>
    <m/>
    <m/>
    <m/>
    <m/>
    <m/>
    <m/>
    <m/>
    <m/>
    <s v="LINHA DO CIRCUITO ARENOSO LINHA DE DESCARGA DO DISTRIBUIDOR DI 145A-9913"/>
    <s v="SC-014"/>
    <s v="SP 8364 E"/>
    <s v="1450AA-L-70046"/>
    <s v="1450AA-S-58364"/>
    <n v="1"/>
    <s v="PÇ"/>
    <n v="2.2000000000000002"/>
    <n v="2.2000000000000002"/>
    <n v="0"/>
    <n v="0"/>
    <n v="0"/>
    <n v="0.9"/>
    <n v="0.1"/>
    <m/>
    <m/>
    <m/>
    <n v="0"/>
    <m/>
    <n v="0"/>
    <n v="2.2000000000000002"/>
    <m/>
    <n v="0"/>
    <n v="0"/>
    <n v="0"/>
    <m/>
    <m/>
    <m/>
    <n v="0"/>
    <n v="0"/>
    <n v="0"/>
    <n v="0"/>
    <m/>
    <m/>
  </r>
  <r>
    <n v="0"/>
    <s v="CMS S.60.10.000"/>
    <s v="SUPORTE"/>
    <m/>
    <m/>
    <m/>
    <m/>
    <m/>
    <m/>
    <m/>
    <m/>
    <s v="LINHA DO CIRCUITO ARENOSO LINHA DE DESCARGA DO DISTRIBUIDOR DI 145A-9913"/>
    <s v="SC-014"/>
    <s v="SP 8364 F"/>
    <s v="1450AA-L-70046"/>
    <s v="1450AA-S-58364"/>
    <n v="1"/>
    <s v="PÇ"/>
    <n v="6"/>
    <n v="6"/>
    <n v="0"/>
    <n v="0"/>
    <n v="0"/>
    <n v="0.9"/>
    <n v="0.1"/>
    <m/>
    <m/>
    <m/>
    <n v="0"/>
    <m/>
    <n v="0"/>
    <n v="6"/>
    <m/>
    <n v="0"/>
    <n v="0"/>
    <n v="0"/>
    <m/>
    <m/>
    <m/>
    <n v="0"/>
    <n v="0"/>
    <n v="0"/>
    <n v="0"/>
    <m/>
    <m/>
  </r>
  <r>
    <n v="0"/>
    <s v="CMS S.60.10.000"/>
    <s v="SUPORTE"/>
    <m/>
    <m/>
    <m/>
    <m/>
    <m/>
    <m/>
    <m/>
    <m/>
    <s v="LINHA DO CIRCUITO ARENOSO LINHA DE DESCARGA DO DISTRIBUIDOR DI 145A-9913"/>
    <s v="SC-014"/>
    <s v="SP 8364 G"/>
    <s v="1450AA-L-70046"/>
    <s v="1450AA-S-58364"/>
    <n v="2"/>
    <s v="PÇ"/>
    <n v="22.5"/>
    <n v="45"/>
    <n v="0"/>
    <n v="0"/>
    <n v="0"/>
    <n v="0.9"/>
    <n v="0.1"/>
    <m/>
    <m/>
    <m/>
    <n v="0"/>
    <m/>
    <n v="0"/>
    <n v="45"/>
    <m/>
    <n v="0"/>
    <n v="0"/>
    <n v="0"/>
    <m/>
    <m/>
    <m/>
    <n v="0"/>
    <n v="0"/>
    <n v="0"/>
    <n v="0"/>
    <m/>
    <m/>
  </r>
  <r>
    <n v="0"/>
    <s v="CMS S.60.10.000"/>
    <s v="SUPORTE"/>
    <m/>
    <m/>
    <m/>
    <m/>
    <m/>
    <m/>
    <m/>
    <m/>
    <s v="LINHA DO CIRCUITO ARENOSO LINHA DE DESCARGA DO DISTRIBUIDOR DI 145A-9913"/>
    <s v="SC-014"/>
    <s v="SP 8364 H"/>
    <s v="1450AA-L-70046"/>
    <s v="1450AA-S-58364"/>
    <n v="2"/>
    <s v="PÇ"/>
    <n v="38.6"/>
    <n v="77.2"/>
    <n v="0"/>
    <n v="0"/>
    <n v="0"/>
    <n v="0.9"/>
    <n v="0.1"/>
    <m/>
    <m/>
    <m/>
    <n v="0"/>
    <m/>
    <n v="0"/>
    <n v="77.2"/>
    <m/>
    <n v="0"/>
    <n v="0"/>
    <n v="0"/>
    <m/>
    <m/>
    <m/>
    <n v="0"/>
    <n v="0"/>
    <n v="0"/>
    <n v="0"/>
    <m/>
    <m/>
  </r>
  <r>
    <n v="0"/>
    <s v="CMS S.60.10.000"/>
    <s v="SUPORTE"/>
    <m/>
    <m/>
    <m/>
    <m/>
    <m/>
    <m/>
    <m/>
    <m/>
    <s v="LINHA DO CIRCUITO ARENOSO LINHA DE DESCARGA DO DISTRIBUIDOR DI 145A-9913"/>
    <s v="SC-014"/>
    <s v="SP 8364 J"/>
    <s v="1450AA-L-70046"/>
    <s v="1450AA-S-58364"/>
    <n v="6"/>
    <s v="PÇ"/>
    <n v="0.5"/>
    <n v="3"/>
    <n v="0"/>
    <n v="0"/>
    <n v="0"/>
    <n v="0.9"/>
    <n v="0.1"/>
    <m/>
    <m/>
    <m/>
    <n v="0"/>
    <m/>
    <n v="0"/>
    <n v="3"/>
    <m/>
    <n v="0"/>
    <n v="0"/>
    <n v="0"/>
    <m/>
    <m/>
    <m/>
    <n v="0"/>
    <n v="0"/>
    <n v="0"/>
    <n v="0"/>
    <m/>
    <m/>
  </r>
  <r>
    <n v="0"/>
    <s v="CMS S.60.10.000"/>
    <s v="SUPORTE"/>
    <m/>
    <m/>
    <m/>
    <m/>
    <m/>
    <m/>
    <m/>
    <m/>
    <s v="LINHA DO CIRCUITO ARENOSO LINHA DE DESCARGA DO DISTRIBUIDOR DI 145A-9913"/>
    <s v="SC-014"/>
    <s v="SP 8364 K"/>
    <s v="1450AA-L-70046"/>
    <s v="1450AA-S-58364"/>
    <n v="2"/>
    <s v="PÇ"/>
    <n v="0.4"/>
    <n v="0.8"/>
    <n v="0"/>
    <n v="0"/>
    <n v="0"/>
    <n v="0.9"/>
    <n v="0.1"/>
    <m/>
    <m/>
    <m/>
    <n v="0"/>
    <m/>
    <n v="0"/>
    <n v="0.8"/>
    <m/>
    <n v="0"/>
    <n v="0"/>
    <n v="0"/>
    <m/>
    <m/>
    <m/>
    <n v="0"/>
    <n v="0"/>
    <n v="0"/>
    <n v="0"/>
    <m/>
    <m/>
  </r>
  <r>
    <n v="0"/>
    <s v="CMS S.60.10.000"/>
    <s v="SUPORTE"/>
    <m/>
    <m/>
    <m/>
    <m/>
    <m/>
    <m/>
    <m/>
    <m/>
    <s v="LINHA DO CIRCUITO ARENOSO LINHA DE DESCARGA DO DISTRIBUIDOR DI 145A-9913"/>
    <s v="SC-014"/>
    <s v="SP 8365 A"/>
    <s v="1450AA-L-70046"/>
    <s v="1450AA-S-58365"/>
    <n v="6"/>
    <s v="PÇ"/>
    <n v="34.5"/>
    <n v="207"/>
    <n v="0"/>
    <n v="0"/>
    <n v="0"/>
    <n v="0.9"/>
    <n v="0.1"/>
    <m/>
    <m/>
    <m/>
    <n v="0"/>
    <m/>
    <n v="0"/>
    <n v="207"/>
    <m/>
    <n v="0"/>
    <n v="0"/>
    <n v="0"/>
    <m/>
    <m/>
    <m/>
    <n v="0"/>
    <n v="0"/>
    <n v="0"/>
    <n v="0"/>
    <m/>
    <m/>
  </r>
  <r>
    <n v="0"/>
    <s v="CMS S.60.10.000"/>
    <s v="SUPORTE"/>
    <m/>
    <m/>
    <m/>
    <m/>
    <m/>
    <m/>
    <m/>
    <m/>
    <s v="LINHA DO CIRCUITO ARENOSO LINHA DE DESCARGA DO DISTRIBUIDOR DI 145A-9913"/>
    <s v="SC-014"/>
    <s v="SP 8365 B"/>
    <s v="1450AA-L-70046"/>
    <s v="1450AA-S-58365"/>
    <n v="3"/>
    <s v="PÇ"/>
    <n v="5.3999999999999995"/>
    <n v="16.2"/>
    <n v="0"/>
    <n v="0"/>
    <n v="0"/>
    <n v="0.9"/>
    <n v="0.1"/>
    <m/>
    <m/>
    <m/>
    <n v="0"/>
    <m/>
    <n v="0"/>
    <n v="16.2"/>
    <m/>
    <n v="0"/>
    <n v="0"/>
    <n v="0"/>
    <m/>
    <m/>
    <m/>
    <n v="0"/>
    <n v="0"/>
    <n v="0"/>
    <n v="0"/>
    <m/>
    <m/>
  </r>
  <r>
    <n v="0"/>
    <s v="CMS S.60.10.000"/>
    <s v="SUPORTE"/>
    <m/>
    <m/>
    <m/>
    <m/>
    <m/>
    <m/>
    <m/>
    <m/>
    <s v="LINHA DO CIRCUITO ARENOSO LINHA DE DESCARGA DO DISTRIBUIDOR DI 145A-9913"/>
    <s v="SC-014"/>
    <s v="SP 8365 C"/>
    <s v="1450AA-L-70046"/>
    <s v="1450AA-S-58365"/>
    <n v="1"/>
    <s v="PÇ"/>
    <n v="12.100000000000001"/>
    <n v="12.100000000000001"/>
    <n v="0"/>
    <n v="0"/>
    <n v="0"/>
    <n v="0.9"/>
    <n v="0.1"/>
    <m/>
    <m/>
    <m/>
    <n v="0"/>
    <m/>
    <n v="0"/>
    <n v="12.100000000000001"/>
    <m/>
    <n v="0"/>
    <n v="0"/>
    <n v="0"/>
    <m/>
    <m/>
    <m/>
    <n v="0"/>
    <n v="0"/>
    <n v="0"/>
    <n v="0"/>
    <m/>
    <m/>
  </r>
  <r>
    <n v="0"/>
    <s v="CMS S.60.10.000"/>
    <s v="SUPORTE"/>
    <m/>
    <m/>
    <m/>
    <m/>
    <m/>
    <m/>
    <m/>
    <m/>
    <s v="LINHA DO CIRCUITO ARENOSO LINHA DE DESCARGA DO DISTRIBUIDOR DI 145A-9913"/>
    <s v="SC-014"/>
    <s v="SP 8365 D"/>
    <s v="1450AA-L-70046"/>
    <s v="1450AA-S-58365"/>
    <n v="2"/>
    <s v="PÇ"/>
    <n v="12.799999999999999"/>
    <n v="25.599999999999998"/>
    <n v="0"/>
    <n v="0"/>
    <n v="0"/>
    <n v="0.9"/>
    <n v="0.1"/>
    <m/>
    <m/>
    <m/>
    <n v="0"/>
    <m/>
    <n v="0"/>
    <n v="25.599999999999998"/>
    <m/>
    <n v="0"/>
    <n v="0"/>
    <n v="0"/>
    <m/>
    <m/>
    <m/>
    <n v="0"/>
    <n v="0"/>
    <n v="0"/>
    <n v="0"/>
    <m/>
    <m/>
  </r>
  <r>
    <n v="0"/>
    <s v="CMS S.60.10.000"/>
    <s v="SUPORTE"/>
    <m/>
    <m/>
    <m/>
    <m/>
    <m/>
    <m/>
    <m/>
    <m/>
    <s v="LINHA DO CIRCUITO ARENOSO LINHA DE DESCARGA DO DISTRIBUIDOR DI 145A-9913"/>
    <s v="SC-014"/>
    <s v="SP 8365 E"/>
    <s v="1450AA-L-70046"/>
    <s v="1450AA-S-58365"/>
    <n v="3"/>
    <s v="PÇ"/>
    <n v="4.8"/>
    <n v="14.399999999999999"/>
    <n v="0"/>
    <n v="0"/>
    <n v="0"/>
    <n v="0.9"/>
    <n v="0.1"/>
    <m/>
    <m/>
    <m/>
    <n v="0"/>
    <m/>
    <n v="0"/>
    <n v="14.399999999999999"/>
    <m/>
    <n v="0"/>
    <n v="0"/>
    <n v="0"/>
    <m/>
    <m/>
    <m/>
    <n v="0"/>
    <n v="0"/>
    <n v="0"/>
    <n v="0"/>
    <m/>
    <m/>
  </r>
  <r>
    <n v="0"/>
    <s v="CMS S.60.10.000"/>
    <s v="SUPORTE"/>
    <m/>
    <m/>
    <m/>
    <m/>
    <m/>
    <m/>
    <m/>
    <m/>
    <s v="LINHA DO CIRCUITO ARENOSO LINHA DE DESCARGA DO DISTRIBUIDOR DI 145A-9913"/>
    <s v="SC-014"/>
    <s v="SP 8365 F"/>
    <s v="1450AA-L-70046"/>
    <s v="1450AA-S-58365"/>
    <n v="4"/>
    <s v="PÇ"/>
    <n v="3.6999999999999997"/>
    <n v="14.799999999999999"/>
    <n v="0"/>
    <n v="0"/>
    <n v="0"/>
    <n v="0.9"/>
    <n v="0.1"/>
    <m/>
    <m/>
    <m/>
    <n v="0"/>
    <m/>
    <n v="0"/>
    <n v="14.799999999999999"/>
    <m/>
    <n v="0"/>
    <n v="0"/>
    <n v="0"/>
    <m/>
    <m/>
    <m/>
    <n v="0"/>
    <n v="0"/>
    <n v="0"/>
    <n v="0"/>
    <m/>
    <m/>
  </r>
  <r>
    <n v="0"/>
    <s v="CMS S.60.10.000"/>
    <s v="SUPORTE"/>
    <m/>
    <m/>
    <m/>
    <m/>
    <m/>
    <m/>
    <m/>
    <m/>
    <s v="LINHA DO CIRCUITO ARENOSO LINHA DE DESCARGA DO DISTRIBUIDOR DI 145A-9913"/>
    <s v="SC-014"/>
    <s v="SP 8365 G"/>
    <s v="1450AA-L-70046"/>
    <s v="1450AA-S-58365"/>
    <n v="1"/>
    <s v="PÇ"/>
    <n v="9.1999999999999993"/>
    <n v="9.1999999999999993"/>
    <n v="0"/>
    <n v="0"/>
    <n v="0"/>
    <n v="0.9"/>
    <n v="0.1"/>
    <m/>
    <m/>
    <m/>
    <n v="0"/>
    <m/>
    <n v="0"/>
    <n v="9.1999999999999993"/>
    <m/>
    <n v="0"/>
    <n v="0"/>
    <n v="0"/>
    <m/>
    <m/>
    <m/>
    <n v="0"/>
    <n v="0"/>
    <n v="0"/>
    <n v="0"/>
    <m/>
    <m/>
  </r>
  <r>
    <n v="0"/>
    <s v="CMS S.60.10.000"/>
    <s v="SUPORTE"/>
    <m/>
    <m/>
    <m/>
    <m/>
    <m/>
    <m/>
    <m/>
    <m/>
    <s v="LINHA DO CIRCUITO ARENOSO LINHA DE DESCARGA DO DISTRIBUIDOR DI 145A-9913"/>
    <s v="SC-014"/>
    <s v="SP 8365 H"/>
    <s v="1450AA-L-70046"/>
    <s v="1450AA-S-58365"/>
    <n v="1"/>
    <s v="PÇ"/>
    <n v="12.2"/>
    <n v="12.2"/>
    <n v="0"/>
    <n v="0"/>
    <n v="0"/>
    <n v="0.9"/>
    <n v="0.1"/>
    <m/>
    <m/>
    <m/>
    <n v="0"/>
    <m/>
    <n v="0"/>
    <n v="12.2"/>
    <m/>
    <n v="0"/>
    <n v="0"/>
    <n v="0"/>
    <m/>
    <m/>
    <m/>
    <n v="0"/>
    <n v="0"/>
    <n v="0"/>
    <n v="0"/>
    <m/>
    <m/>
  </r>
  <r>
    <n v="0"/>
    <s v="CMS S.60.10.000"/>
    <s v="SUPORTE"/>
    <m/>
    <m/>
    <m/>
    <m/>
    <m/>
    <m/>
    <m/>
    <m/>
    <s v="LINHA DO CIRCUITO ARENOSO LINHA DE DESCARGA DO DISTRIBUIDOR DI 145A-9913"/>
    <s v="SC-014"/>
    <s v="SP 8365 J"/>
    <s v="1450AA-L-70046"/>
    <s v="1450AA-S-58365"/>
    <n v="1"/>
    <s v="PÇ"/>
    <n v="12.2"/>
    <n v="12.2"/>
    <n v="0"/>
    <n v="0"/>
    <n v="0"/>
    <n v="0.9"/>
    <n v="0.1"/>
    <m/>
    <m/>
    <m/>
    <n v="0"/>
    <m/>
    <n v="0"/>
    <n v="12.2"/>
    <m/>
    <n v="0"/>
    <n v="0"/>
    <n v="0"/>
    <m/>
    <m/>
    <m/>
    <n v="0"/>
    <n v="0"/>
    <n v="0"/>
    <n v="0"/>
    <m/>
    <m/>
  </r>
  <r>
    <n v="0"/>
    <s v="CMS S.60.10.000"/>
    <s v="SUPORTE"/>
    <m/>
    <m/>
    <m/>
    <m/>
    <m/>
    <m/>
    <m/>
    <m/>
    <s v="LINHA DO CIRCUITO ARENOSO LINHA DE DESCARGA DO DISTRIBUIDOR DI 145A-9913"/>
    <s v="SC-014"/>
    <s v="SP 8365 K"/>
    <s v="1450AA-L-70046"/>
    <s v="1450AA-S-58365"/>
    <n v="1"/>
    <s v="PÇ"/>
    <n v="0.5"/>
    <n v="0.5"/>
    <n v="0"/>
    <n v="0"/>
    <n v="0"/>
    <n v="0.9"/>
    <n v="0.1"/>
    <m/>
    <m/>
    <m/>
    <n v="0"/>
    <m/>
    <n v="0"/>
    <n v="0.5"/>
    <m/>
    <n v="0"/>
    <n v="0"/>
    <n v="0"/>
    <m/>
    <m/>
    <m/>
    <n v="0"/>
    <n v="0"/>
    <n v="0"/>
    <n v="0"/>
    <m/>
    <m/>
  </r>
  <r>
    <n v="0"/>
    <s v="CMS S.60.10.000"/>
    <s v="SUPORTE"/>
    <m/>
    <m/>
    <m/>
    <m/>
    <m/>
    <m/>
    <m/>
    <m/>
    <s v="LINHA DO CIRCUITO ARENOSO LINHA DE DESCARGA DO DISTRIBUIDOR DI 145A-9913"/>
    <s v="SC-014"/>
    <s v="SP 8365 L"/>
    <s v="1450AA-L-70046"/>
    <s v="1450AA-S-58365"/>
    <n v="1"/>
    <s v="PÇ"/>
    <n v="0.6"/>
    <n v="0.6"/>
    <n v="0"/>
    <n v="0"/>
    <n v="0"/>
    <n v="0.9"/>
    <n v="0.1"/>
    <m/>
    <m/>
    <m/>
    <n v="0"/>
    <m/>
    <n v="0"/>
    <n v="0.6"/>
    <m/>
    <n v="0"/>
    <n v="0"/>
    <n v="0"/>
    <m/>
    <m/>
    <m/>
    <n v="0"/>
    <n v="0"/>
    <n v="0"/>
    <n v="0"/>
    <m/>
    <m/>
  </r>
  <r>
    <n v="0"/>
    <s v="CMS S.60.10.000"/>
    <s v="SUPORTE"/>
    <m/>
    <m/>
    <m/>
    <m/>
    <m/>
    <m/>
    <m/>
    <m/>
    <s v="LINHA DO CIRCUITO ARENOSO LINHA DE DESCARGA DO DISTRIBUIDOR DI 145A-9913"/>
    <s v="SC-014"/>
    <s v="SP 8365 M"/>
    <s v="1450AA-L-70046"/>
    <s v="1450AA-S-58365"/>
    <n v="2"/>
    <s v="PÇ"/>
    <n v="2.6999999999999997"/>
    <n v="5.3999999999999995"/>
    <n v="0"/>
    <n v="0"/>
    <n v="0"/>
    <n v="0.9"/>
    <n v="0.1"/>
    <m/>
    <m/>
    <m/>
    <n v="0"/>
    <m/>
    <n v="0"/>
    <n v="5.3999999999999995"/>
    <m/>
    <n v="0"/>
    <n v="0"/>
    <n v="0"/>
    <m/>
    <m/>
    <m/>
    <n v="0"/>
    <n v="0"/>
    <n v="0"/>
    <n v="0"/>
    <m/>
    <m/>
  </r>
  <r>
    <n v="0"/>
    <s v="CMS S.60.10.000"/>
    <s v="SUPORTE"/>
    <m/>
    <m/>
    <m/>
    <m/>
    <m/>
    <m/>
    <m/>
    <m/>
    <s v="LINHA DE UNDERFLOW DAS PENEIRAS DESAGUADORAS"/>
    <s v="SC-026"/>
    <s v="SP 8307 S"/>
    <s v="1450AA-L-70113"/>
    <s v="1450AA-S-58307"/>
    <n v="1"/>
    <s v="PÇ"/>
    <n v="56.9"/>
    <n v="56.9"/>
    <n v="0"/>
    <n v="0"/>
    <n v="0"/>
    <n v="0.9"/>
    <n v="0.1"/>
    <m/>
    <m/>
    <m/>
    <n v="0"/>
    <m/>
    <n v="0"/>
    <n v="56.9"/>
    <m/>
    <n v="0"/>
    <n v="0"/>
    <n v="0"/>
    <m/>
    <m/>
    <m/>
    <n v="0"/>
    <n v="0"/>
    <n v="0"/>
    <n v="0"/>
    <m/>
    <m/>
  </r>
  <r>
    <n v="0"/>
    <s v="CMS S.60.10.000"/>
    <s v="SUPORTE"/>
    <m/>
    <m/>
    <m/>
    <m/>
    <m/>
    <m/>
    <m/>
    <m/>
    <s v="LINHA DE BY PASS DAS PENEIRAS ALIMENTAÇÃO DO TANQUE TQ-145A-9703"/>
    <s v="SC-010"/>
    <s v="SP 8313 U"/>
    <s v="1450AA-L-70111"/>
    <s v="1450AA-S-58313"/>
    <n v="6"/>
    <s v="PÇ"/>
    <n v="2.7"/>
    <n v="16.200000000000003"/>
    <n v="0"/>
    <n v="0"/>
    <n v="0"/>
    <n v="0.9"/>
    <n v="0.1"/>
    <m/>
    <m/>
    <m/>
    <n v="0"/>
    <m/>
    <n v="0"/>
    <n v="16.200000000000003"/>
    <m/>
    <n v="0"/>
    <n v="0"/>
    <n v="0"/>
    <m/>
    <m/>
    <m/>
    <n v="0"/>
    <n v="0"/>
    <n v="0"/>
    <n v="0"/>
    <m/>
    <m/>
  </r>
  <r>
    <n v="0"/>
    <s v="CMS S.60.10.000"/>
    <s v="SUPORTE"/>
    <m/>
    <m/>
    <m/>
    <m/>
    <m/>
    <m/>
    <m/>
    <m/>
    <s v="LINHA DO CIRCUITO ULTRAFINO, LINHA DE DESCARGA DO DISTRIBUIDOR DI-145A-9907"/>
    <s v="SC-026"/>
    <s v="SP 8355 A"/>
    <m/>
    <s v="1450AA-S-58355"/>
    <n v="8"/>
    <s v="PÇ"/>
    <n v="18.900000000000002"/>
    <n v="151.20000000000002"/>
    <n v="0"/>
    <n v="0"/>
    <n v="0"/>
    <n v="0.9"/>
    <n v="0.1"/>
    <m/>
    <m/>
    <m/>
    <n v="0"/>
    <m/>
    <n v="0"/>
    <n v="151.20000000000002"/>
    <m/>
    <n v="0"/>
    <n v="0"/>
    <n v="0"/>
    <m/>
    <m/>
    <m/>
    <n v="0"/>
    <n v="0"/>
    <n v="0"/>
    <n v="0"/>
    <m/>
    <m/>
  </r>
  <r>
    <n v="0"/>
    <s v="CMS S.60.10.000"/>
    <s v="SUPORTE"/>
    <m/>
    <m/>
    <m/>
    <m/>
    <m/>
    <m/>
    <m/>
    <m/>
    <s v="LINHA DO CIRCUITO ULTRAFINO, LINHA DE DESCARGA DO DISTRIBUIDOR DI-145A-9907"/>
    <s v="SC-026"/>
    <s v="SP 8355 B"/>
    <m/>
    <s v="1450AA-S-58355"/>
    <n v="4"/>
    <s v="PÇ"/>
    <n v="3.4"/>
    <n v="13.6"/>
    <n v="0"/>
    <n v="0"/>
    <n v="0"/>
    <n v="0.9"/>
    <n v="0.1"/>
    <m/>
    <m/>
    <m/>
    <n v="0"/>
    <m/>
    <n v="0"/>
    <n v="13.6"/>
    <m/>
    <n v="0"/>
    <n v="0"/>
    <n v="0"/>
    <m/>
    <m/>
    <m/>
    <n v="0"/>
    <n v="0"/>
    <n v="0"/>
    <n v="0"/>
    <m/>
    <m/>
  </r>
  <r>
    <n v="0"/>
    <s v="CMS S.60.10.000"/>
    <s v="SUPORTE"/>
    <m/>
    <m/>
    <m/>
    <m/>
    <m/>
    <m/>
    <m/>
    <m/>
    <s v="LINHA DO CIRCUITO ULTRAFINO, LINHA DE DESCARGA DO DISTRIBUIDOR DI-145A-9907"/>
    <s v="SC-026"/>
    <s v="SP 8355 C"/>
    <m/>
    <s v="1450AA-S-58355"/>
    <n v="1"/>
    <s v="PÇ"/>
    <n v="4.3"/>
    <n v="4.3"/>
    <n v="0"/>
    <n v="0"/>
    <n v="0"/>
    <n v="0.9"/>
    <n v="0.1"/>
    <m/>
    <m/>
    <m/>
    <n v="0"/>
    <m/>
    <n v="0"/>
    <n v="4.3"/>
    <m/>
    <n v="0"/>
    <n v="0"/>
    <n v="0"/>
    <m/>
    <m/>
    <m/>
    <n v="0"/>
    <n v="0"/>
    <n v="0"/>
    <n v="0"/>
    <m/>
    <m/>
  </r>
  <r>
    <n v="0"/>
    <s v="CMS S.60.10.000"/>
    <s v="SUPORTE"/>
    <m/>
    <m/>
    <m/>
    <m/>
    <m/>
    <m/>
    <m/>
    <m/>
    <s v="LINHA DO CIRCUITO ULTRAFINO, LINHA DE DESCARGA DO DISTRIBUIDOR DI-145A-9907"/>
    <s v="SC-026"/>
    <s v="SP 8355 D"/>
    <m/>
    <s v="1450AA-S-58355"/>
    <n v="1"/>
    <s v="PÇ"/>
    <n v="4"/>
    <n v="4"/>
    <n v="0"/>
    <n v="0"/>
    <n v="0"/>
    <n v="0.9"/>
    <n v="0.1"/>
    <m/>
    <m/>
    <m/>
    <n v="0"/>
    <m/>
    <n v="0"/>
    <n v="4"/>
    <m/>
    <n v="0"/>
    <n v="0"/>
    <n v="0"/>
    <m/>
    <m/>
    <m/>
    <n v="0"/>
    <n v="0"/>
    <n v="0"/>
    <n v="0"/>
    <m/>
    <m/>
  </r>
  <r>
    <n v="0"/>
    <s v="CMS S.60.10.000"/>
    <s v="SUPORTE"/>
    <m/>
    <m/>
    <m/>
    <m/>
    <m/>
    <m/>
    <m/>
    <m/>
    <s v="LINHA DE ALIMENTAÇÃO DOS DISTRIBUIDORES DI-145A-9904/9905/9906/9907/9908"/>
    <s v="SC-026"/>
    <s v="SP 8357 A"/>
    <m/>
    <s v="1450AA-S-58357"/>
    <n v="1"/>
    <s v="PÇ"/>
    <n v="5.9"/>
    <n v="5.9"/>
    <n v="0"/>
    <n v="0"/>
    <n v="0"/>
    <n v="0.9"/>
    <n v="0.1"/>
    <m/>
    <m/>
    <m/>
    <n v="0"/>
    <m/>
    <n v="0"/>
    <n v="5.9"/>
    <m/>
    <n v="0"/>
    <n v="0"/>
    <n v="0"/>
    <m/>
    <m/>
    <m/>
    <n v="0"/>
    <n v="0"/>
    <n v="0"/>
    <n v="0"/>
    <m/>
    <m/>
  </r>
  <r>
    <n v="0"/>
    <s v="CMS S.60.10.000"/>
    <s v="SUPORTE"/>
    <m/>
    <m/>
    <m/>
    <m/>
    <m/>
    <m/>
    <m/>
    <m/>
    <s v="LINHA DE ALIMENTAÇÃO DOS DISTRIBUIDORES DI-145A-9904/9905/9906/9907/9908"/>
    <s v="SC-026"/>
    <s v="SP 8357 B"/>
    <m/>
    <s v="1450AA-S-58357"/>
    <n v="2"/>
    <s v="PÇ"/>
    <n v="12.899999999999999"/>
    <n v="25.799999999999997"/>
    <n v="0"/>
    <n v="0"/>
    <n v="0"/>
    <n v="0.9"/>
    <n v="0.1"/>
    <m/>
    <m/>
    <m/>
    <n v="0"/>
    <m/>
    <n v="0"/>
    <n v="25.799999999999997"/>
    <m/>
    <n v="0"/>
    <n v="0"/>
    <n v="0"/>
    <m/>
    <m/>
    <m/>
    <n v="0"/>
    <n v="0"/>
    <n v="0"/>
    <n v="0"/>
    <m/>
    <m/>
  </r>
  <r>
    <n v="0"/>
    <s v="CMS S.60.10.000"/>
    <s v="SUPORTE"/>
    <m/>
    <m/>
    <m/>
    <m/>
    <m/>
    <m/>
    <m/>
    <m/>
    <s v="LINHA DE ALIMENTAÇÃO DOS DISTRIBUIDORES DI-145A-9904/9905/9906/9907/9908"/>
    <s v="SC-026"/>
    <s v="SP 8357 C"/>
    <m/>
    <s v="1450AA-S-58357"/>
    <n v="1"/>
    <s v="PÇ"/>
    <n v="4.0999999999999996"/>
    <n v="4.0999999999999996"/>
    <n v="0"/>
    <n v="0"/>
    <n v="0"/>
    <n v="0.9"/>
    <n v="0.1"/>
    <m/>
    <m/>
    <m/>
    <n v="0"/>
    <m/>
    <n v="0"/>
    <n v="4.0999999999999996"/>
    <m/>
    <n v="0"/>
    <n v="0"/>
    <n v="0"/>
    <m/>
    <m/>
    <m/>
    <n v="0"/>
    <n v="0"/>
    <n v="0"/>
    <n v="0"/>
    <m/>
    <m/>
  </r>
  <r>
    <n v="0"/>
    <s v="CMS S.60.10.000"/>
    <s v="SUPORTE"/>
    <m/>
    <m/>
    <m/>
    <m/>
    <m/>
    <m/>
    <m/>
    <m/>
    <s v="LINHA DE ALIMENTAÇÃO DOS DISTRIBUIDORES DI-145A-9904/9905/9906/9907/9908"/>
    <s v="SC-026"/>
    <s v="SP 8357 D"/>
    <m/>
    <s v="1450AA-S-58357"/>
    <n v="1"/>
    <s v="PÇ"/>
    <n v="17"/>
    <n v="17"/>
    <n v="0"/>
    <n v="0"/>
    <n v="0"/>
    <n v="0.9"/>
    <n v="0.1"/>
    <m/>
    <m/>
    <m/>
    <n v="0"/>
    <m/>
    <n v="0"/>
    <n v="17"/>
    <m/>
    <n v="0"/>
    <n v="0"/>
    <n v="0"/>
    <m/>
    <m/>
    <m/>
    <n v="0"/>
    <n v="0"/>
    <n v="0"/>
    <n v="0"/>
    <m/>
    <m/>
  </r>
  <r>
    <n v="0"/>
    <s v="CMS S.60.10.000"/>
    <s v="SUPORTE"/>
    <m/>
    <m/>
    <m/>
    <m/>
    <m/>
    <m/>
    <m/>
    <m/>
    <s v="LINHA DE ALIMENTAÇÃO DOS DISTRIBUIDORES DI-145A-9904/9905/9906/9907/9908"/>
    <s v="SC-026"/>
    <s v="SP 8357 E"/>
    <m/>
    <s v="1450AA-S-58357"/>
    <n v="1"/>
    <s v="PÇ"/>
    <n v="9.5"/>
    <n v="9.5"/>
    <n v="0"/>
    <n v="0"/>
    <n v="0"/>
    <n v="0.9"/>
    <n v="0.1"/>
    <m/>
    <m/>
    <m/>
    <n v="0"/>
    <m/>
    <n v="0"/>
    <n v="9.5"/>
    <m/>
    <n v="0"/>
    <n v="0"/>
    <n v="0"/>
    <m/>
    <m/>
    <m/>
    <n v="0"/>
    <n v="0"/>
    <n v="0"/>
    <n v="0"/>
    <m/>
    <m/>
  </r>
  <r>
    <n v="0"/>
    <s v="CMS S.60.10.000"/>
    <s v="SUPORTE"/>
    <m/>
    <m/>
    <m/>
    <m/>
    <m/>
    <m/>
    <m/>
    <m/>
    <s v="LINHA DE ALIMENTAÇÃO DOS DISTRIBUIDORES DI-145A-9904/9905/9906/9907/9908"/>
    <s v="SC-026"/>
    <s v="SP 8357 F"/>
    <m/>
    <s v="1450AA-S-58357"/>
    <n v="2"/>
    <s v="PÇ"/>
    <n v="19.2"/>
    <n v="38.4"/>
    <n v="0"/>
    <n v="0"/>
    <n v="0"/>
    <n v="0.9"/>
    <n v="0.1"/>
    <m/>
    <m/>
    <m/>
    <n v="0"/>
    <m/>
    <n v="0"/>
    <n v="38.4"/>
    <m/>
    <n v="0"/>
    <n v="0"/>
    <n v="0"/>
    <m/>
    <m/>
    <m/>
    <n v="0"/>
    <n v="0"/>
    <n v="0"/>
    <n v="0"/>
    <m/>
    <m/>
  </r>
  <r>
    <n v="0"/>
    <s v="CMS S.60.10.000"/>
    <s v="SUPORTE"/>
    <m/>
    <m/>
    <m/>
    <m/>
    <m/>
    <m/>
    <m/>
    <m/>
    <s v="LINHA DE ALIMENTAÇÃO DOS DISTRIBUIDORES DI-145A-9904/9905/9906/9907/9908"/>
    <s v="SC-026"/>
    <s v="SP 8357 G"/>
    <m/>
    <s v="1450AA-S-58357"/>
    <n v="1"/>
    <s v="PÇ"/>
    <n v="26.7"/>
    <n v="26.7"/>
    <n v="0"/>
    <n v="0"/>
    <n v="0"/>
    <n v="0.9"/>
    <n v="0.1"/>
    <m/>
    <m/>
    <m/>
    <n v="0"/>
    <m/>
    <n v="0"/>
    <n v="26.7"/>
    <m/>
    <n v="0"/>
    <n v="0"/>
    <n v="0"/>
    <m/>
    <m/>
    <m/>
    <n v="0"/>
    <n v="0"/>
    <n v="0"/>
    <n v="0"/>
    <m/>
    <m/>
  </r>
  <r>
    <n v="0"/>
    <s v="CMS S.60.10.000"/>
    <s v="SUPORTE"/>
    <m/>
    <m/>
    <m/>
    <m/>
    <m/>
    <m/>
    <m/>
    <m/>
    <s v="LINHA DE ALIMENTAÇÃO DOS DISTRIBUIDORES DI-145A-9904/9905/9906/9907/9908"/>
    <s v="SC-026"/>
    <s v="SP 8357 H"/>
    <m/>
    <s v="1450AA-S-58357"/>
    <n v="1"/>
    <s v="PÇ"/>
    <n v="17.5"/>
    <n v="17.5"/>
    <n v="0"/>
    <n v="0"/>
    <n v="0"/>
    <n v="0.9"/>
    <n v="0.1"/>
    <m/>
    <m/>
    <m/>
    <n v="0"/>
    <m/>
    <n v="0"/>
    <n v="17.5"/>
    <m/>
    <n v="0"/>
    <n v="0"/>
    <n v="0"/>
    <m/>
    <m/>
    <m/>
    <n v="0"/>
    <n v="0"/>
    <n v="0"/>
    <n v="0"/>
    <m/>
    <m/>
  </r>
  <r>
    <n v="0"/>
    <s v="CMS S.60.10.000"/>
    <s v="SUPORTE"/>
    <m/>
    <m/>
    <m/>
    <m/>
    <m/>
    <m/>
    <m/>
    <m/>
    <s v="LINHA DE ALIMENTAÇÃO DOS DISTRIBUIDORES DI-145A-9904/9905/9906/9907/9908"/>
    <s v="SC-026"/>
    <s v="SP 8357 J"/>
    <m/>
    <s v="1450AA-S-58357"/>
    <n v="1"/>
    <s v="PÇ"/>
    <n v="16.5"/>
    <n v="16.5"/>
    <n v="0"/>
    <n v="0"/>
    <n v="0"/>
    <n v="0.9"/>
    <n v="0.1"/>
    <m/>
    <m/>
    <m/>
    <n v="0"/>
    <m/>
    <n v="0"/>
    <n v="16.5"/>
    <m/>
    <n v="0"/>
    <n v="0"/>
    <n v="0"/>
    <m/>
    <m/>
    <m/>
    <n v="0"/>
    <n v="0"/>
    <n v="0"/>
    <n v="0"/>
    <m/>
    <m/>
  </r>
  <r>
    <n v="0"/>
    <s v="CMS S.60.10.000"/>
    <s v="SUPORTE"/>
    <m/>
    <m/>
    <m/>
    <m/>
    <m/>
    <m/>
    <m/>
    <m/>
    <s v="LINHA DE ALIMENTAÇÃO DOS DISTRIBUIDORES DI-145A-9904/9905/9906/9907/9908"/>
    <s v="SC-026"/>
    <s v="SP 8357 K"/>
    <m/>
    <s v="1450AA-S-58357"/>
    <n v="1"/>
    <s v="PÇ"/>
    <n v="9.9"/>
    <n v="9.9"/>
    <n v="0"/>
    <n v="0"/>
    <n v="0"/>
    <n v="0.9"/>
    <n v="0.1"/>
    <m/>
    <m/>
    <m/>
    <n v="0"/>
    <m/>
    <n v="0"/>
    <n v="9.9"/>
    <m/>
    <n v="0"/>
    <n v="0"/>
    <n v="0"/>
    <m/>
    <m/>
    <m/>
    <n v="0"/>
    <n v="0"/>
    <n v="0"/>
    <n v="0"/>
    <m/>
    <m/>
  </r>
  <r>
    <n v="0"/>
    <s v="CMS S.60.10.000"/>
    <s v="SUPORTE"/>
    <m/>
    <m/>
    <m/>
    <m/>
    <m/>
    <m/>
    <m/>
    <m/>
    <s v="LINHA DO CIRCUITO ULTRAFINO LINHA DE DESCARGA DO DISTRIBUIDOR DI 145A-9905"/>
    <s v="SC-026"/>
    <s v="SP 8362 A"/>
    <m/>
    <s v="1450AA-S-58362"/>
    <n v="1"/>
    <s v="PÇ"/>
    <n v="9.9"/>
    <n v="9.9"/>
    <n v="0"/>
    <n v="0"/>
    <n v="0"/>
    <n v="0.9"/>
    <n v="0.1"/>
    <m/>
    <m/>
    <m/>
    <n v="0"/>
    <m/>
    <n v="0"/>
    <n v="9.9"/>
    <m/>
    <n v="0"/>
    <n v="0"/>
    <n v="0"/>
    <m/>
    <m/>
    <m/>
    <n v="0"/>
    <n v="0"/>
    <n v="0"/>
    <n v="0"/>
    <m/>
    <m/>
  </r>
  <r>
    <n v="0"/>
    <s v="CMS S.60.10.000"/>
    <s v="SUPORTE"/>
    <m/>
    <m/>
    <m/>
    <m/>
    <m/>
    <m/>
    <m/>
    <m/>
    <s v="LINHA DO CIRCUITO ULTRAFINO LINHA DE DESCARGA DO DISTRIBUIDOR DI 145A-9905"/>
    <s v="SC-026"/>
    <s v="SP 8362 B"/>
    <m/>
    <s v="1450AA-S-58362"/>
    <n v="1"/>
    <s v="PÇ"/>
    <n v="34.4"/>
    <n v="34.4"/>
    <n v="0"/>
    <n v="0"/>
    <n v="0"/>
    <n v="0.9"/>
    <n v="0.1"/>
    <m/>
    <m/>
    <m/>
    <n v="0"/>
    <m/>
    <n v="0"/>
    <n v="34.4"/>
    <m/>
    <n v="0"/>
    <n v="0"/>
    <n v="0"/>
    <m/>
    <m/>
    <m/>
    <n v="0"/>
    <n v="0"/>
    <n v="0"/>
    <n v="0"/>
    <m/>
    <m/>
  </r>
  <r>
    <n v="0"/>
    <s v="CMS S.60.10.000"/>
    <s v="SUPORTE"/>
    <m/>
    <m/>
    <m/>
    <m/>
    <m/>
    <m/>
    <m/>
    <m/>
    <s v="LINHA DO CIRCUITO ULTRAFINO LINHA DE DESCARGA DO DISTRIBUIDOR DI 145A-9905"/>
    <s v="SC-026"/>
    <s v="SP 8362 C"/>
    <m/>
    <s v="1450AA-S-58362"/>
    <n v="1"/>
    <s v="PÇ"/>
    <n v="22.7"/>
    <n v="22.7"/>
    <n v="0"/>
    <n v="0"/>
    <n v="0"/>
    <n v="0.9"/>
    <n v="0.1"/>
    <m/>
    <m/>
    <m/>
    <n v="0"/>
    <m/>
    <n v="0"/>
    <n v="22.7"/>
    <m/>
    <n v="0"/>
    <n v="0"/>
    <n v="0"/>
    <m/>
    <m/>
    <m/>
    <n v="0"/>
    <n v="0"/>
    <n v="0"/>
    <n v="0"/>
    <m/>
    <m/>
  </r>
  <r>
    <n v="0"/>
    <s v="CMS S.60.10.000"/>
    <s v="SUPORTE"/>
    <m/>
    <m/>
    <m/>
    <m/>
    <m/>
    <m/>
    <m/>
    <m/>
    <s v="LINHA DO CIRCUITO ULTRAFINO LINHA DE DESCARGA DO DISTRIBUIDOR DI 145A-9905"/>
    <s v="SC-026"/>
    <s v="SP 8362 D"/>
    <m/>
    <s v="1450AA-S-58362"/>
    <n v="1"/>
    <s v="PÇ"/>
    <n v="3.1"/>
    <n v="3.1"/>
    <n v="0"/>
    <n v="0"/>
    <n v="0"/>
    <n v="0.9"/>
    <n v="0.1"/>
    <m/>
    <m/>
    <m/>
    <n v="0"/>
    <m/>
    <n v="0"/>
    <n v="3.1"/>
    <m/>
    <n v="0"/>
    <n v="0"/>
    <n v="0"/>
    <m/>
    <m/>
    <m/>
    <n v="0"/>
    <n v="0"/>
    <n v="0"/>
    <n v="0"/>
    <m/>
    <m/>
  </r>
  <r>
    <n v="0"/>
    <s v="CMS S.60.10.000"/>
    <s v="SUPORTE"/>
    <m/>
    <m/>
    <m/>
    <m/>
    <m/>
    <m/>
    <m/>
    <m/>
    <s v="LINHA DO CIRCUITO ULTRAFINO LINHA DE DESCARGA DO DISTRIBUIDOR DI 145A-9905"/>
    <s v="SC-026"/>
    <s v="SP 8362 E"/>
    <m/>
    <s v="1450AA-S-58362"/>
    <n v="4"/>
    <s v="PÇ"/>
    <n v="38"/>
    <n v="152"/>
    <n v="0"/>
    <n v="0"/>
    <n v="0"/>
    <n v="0.9"/>
    <n v="0.1"/>
    <m/>
    <m/>
    <m/>
    <n v="0"/>
    <m/>
    <n v="0"/>
    <n v="152"/>
    <m/>
    <n v="0"/>
    <n v="0"/>
    <n v="0"/>
    <m/>
    <m/>
    <m/>
    <n v="0"/>
    <n v="0"/>
    <n v="0"/>
    <n v="0"/>
    <m/>
    <m/>
  </r>
  <r>
    <n v="0"/>
    <s v="CMS S.60.10.000"/>
    <s v="SUPORTE"/>
    <m/>
    <m/>
    <m/>
    <m/>
    <m/>
    <m/>
    <m/>
    <m/>
    <s v="LINHA DO CIRCUITO ULTRAFINO LINHA DE DESCARGA DO DISTRIBUIDOR DI 145A-9905"/>
    <s v="SC-026"/>
    <s v="SP 8362 F"/>
    <m/>
    <s v="1450AA-S-58362"/>
    <n v="2"/>
    <s v="PÇ"/>
    <n v="41.9"/>
    <n v="83.8"/>
    <n v="0"/>
    <n v="0"/>
    <n v="0"/>
    <n v="0.9"/>
    <n v="0.1"/>
    <m/>
    <m/>
    <m/>
    <n v="0"/>
    <m/>
    <n v="0"/>
    <n v="83.8"/>
    <m/>
    <n v="0"/>
    <n v="0"/>
    <n v="0"/>
    <m/>
    <m/>
    <m/>
    <n v="0"/>
    <n v="0"/>
    <n v="0"/>
    <n v="0"/>
    <m/>
    <m/>
  </r>
  <r>
    <n v="0"/>
    <s v="CMS S.60.10.000"/>
    <s v="SUPORTE"/>
    <m/>
    <m/>
    <m/>
    <m/>
    <m/>
    <m/>
    <m/>
    <m/>
    <s v="LINHA DO CIRCUITO ULTRAFINO LINHA DE DESCARGA DO DISTRIBUIDOR DI 145A-9905"/>
    <s v="SC-026"/>
    <s v="SP 8362 L"/>
    <m/>
    <s v="1450AA-S-58362"/>
    <n v="2"/>
    <s v="PÇ"/>
    <n v="13.3"/>
    <n v="26.6"/>
    <n v="0"/>
    <n v="0"/>
    <n v="0"/>
    <n v="0.9"/>
    <n v="0.1"/>
    <m/>
    <m/>
    <m/>
    <n v="0"/>
    <m/>
    <n v="0"/>
    <n v="26.6"/>
    <m/>
    <n v="0"/>
    <n v="0"/>
    <n v="0"/>
    <m/>
    <m/>
    <m/>
    <n v="0"/>
    <n v="0"/>
    <n v="0"/>
    <n v="0"/>
    <m/>
    <m/>
  </r>
  <r>
    <n v="0"/>
    <s v="CMS S.60.10.000"/>
    <s v="SUPORTE"/>
    <m/>
    <m/>
    <m/>
    <m/>
    <m/>
    <m/>
    <m/>
    <m/>
    <s v="LINHA DO CIRCUITO ULTRAFINO LINHA DE DESCARGA DO DISTRIBUIDOR DI 145A-9905"/>
    <s v="SC-026"/>
    <s v="SP 8362 M"/>
    <m/>
    <s v="1450AA-S-58362"/>
    <n v="8"/>
    <s v="PÇ"/>
    <n v="14.9"/>
    <n v="119.2"/>
    <n v="0"/>
    <n v="0"/>
    <n v="0"/>
    <n v="0.9"/>
    <n v="0.1"/>
    <m/>
    <m/>
    <m/>
    <n v="0"/>
    <m/>
    <n v="0"/>
    <n v="119.2"/>
    <m/>
    <n v="0"/>
    <n v="0"/>
    <n v="0"/>
    <m/>
    <m/>
    <m/>
    <n v="0"/>
    <n v="0"/>
    <n v="0"/>
    <n v="0"/>
    <m/>
    <m/>
  </r>
  <r>
    <n v="0"/>
    <s v="CMS S.60.10.000"/>
    <s v="SUPORTE"/>
    <m/>
    <m/>
    <m/>
    <m/>
    <m/>
    <m/>
    <m/>
    <m/>
    <s v="LINHA DO CIRCUITO ULTRAFINO LINHA DE DESCARGA DO DISTRIBUIDOR DI 145A-9905"/>
    <s v="SC-026"/>
    <s v="SP 8362 N"/>
    <m/>
    <s v="1450AA-S-58362"/>
    <n v="1"/>
    <s v="PÇ"/>
    <n v="11.8"/>
    <n v="11.8"/>
    <n v="0"/>
    <n v="0"/>
    <n v="0"/>
    <n v="0.9"/>
    <n v="0.1"/>
    <m/>
    <m/>
    <m/>
    <n v="0"/>
    <m/>
    <n v="0"/>
    <n v="11.8"/>
    <m/>
    <n v="0"/>
    <n v="0"/>
    <n v="0"/>
    <m/>
    <m/>
    <m/>
    <n v="0"/>
    <n v="0"/>
    <n v="0"/>
    <n v="0"/>
    <m/>
    <m/>
  </r>
  <r>
    <n v="0"/>
    <s v="CMS S.60.10.000"/>
    <s v="SUPORTE"/>
    <m/>
    <m/>
    <m/>
    <m/>
    <m/>
    <m/>
    <m/>
    <m/>
    <s v="LINHA DO CIRCUITO ULTRAFINO LINHA DE DESCARGA DO DISTRIBUIDOR DI 145A-9905"/>
    <s v="SC-026"/>
    <s v="SP 8362 P"/>
    <m/>
    <s v="1450AA-S-58362"/>
    <n v="1"/>
    <s v="PÇ"/>
    <n v="63.5"/>
    <n v="63.5"/>
    <n v="0"/>
    <n v="0"/>
    <n v="0"/>
    <n v="0.9"/>
    <n v="0.1"/>
    <m/>
    <m/>
    <m/>
    <n v="0"/>
    <m/>
    <n v="0"/>
    <n v="63.5"/>
    <m/>
    <n v="0"/>
    <n v="0"/>
    <n v="0"/>
    <m/>
    <m/>
    <m/>
    <n v="0"/>
    <n v="0"/>
    <n v="0"/>
    <n v="0"/>
    <m/>
    <m/>
  </r>
  <r>
    <n v="0"/>
    <s v="CMS S.60.10.000"/>
    <s v="SUPORTE"/>
    <m/>
    <m/>
    <m/>
    <m/>
    <m/>
    <m/>
    <m/>
    <m/>
    <s v="LINHA DO CIRCUITO ULTRAFINO LINHA DE DESCARGA DO DISTRIBUIDOR DI 145A-9906"/>
    <s v="SC-026"/>
    <s v="SP 8363 A"/>
    <m/>
    <s v="1450AA-S-58363"/>
    <n v="1"/>
    <s v="PÇ"/>
    <n v="11.5"/>
    <n v="11.5"/>
    <n v="0"/>
    <n v="0"/>
    <n v="0"/>
    <n v="0.9"/>
    <n v="0.1"/>
    <m/>
    <m/>
    <m/>
    <n v="0"/>
    <m/>
    <n v="0"/>
    <n v="11.5"/>
    <m/>
    <n v="0"/>
    <n v="0"/>
    <n v="0"/>
    <m/>
    <m/>
    <m/>
    <n v="0"/>
    <n v="0"/>
    <n v="0"/>
    <n v="0"/>
    <m/>
    <m/>
  </r>
  <r>
    <n v="0"/>
    <s v="CMS S.60.10.000"/>
    <s v="SUPORTE"/>
    <m/>
    <m/>
    <m/>
    <m/>
    <m/>
    <m/>
    <m/>
    <m/>
    <s v="LINHA DO CIRCUITO ULTRAFINO LINHA DE DESCARGA DO DISTRIBUIDOR DI 145A-9906"/>
    <s v="SC-026"/>
    <s v="SP 8363 B"/>
    <m/>
    <s v="1450AA-S-58363"/>
    <n v="1"/>
    <s v="PÇ"/>
    <n v="9.9"/>
    <n v="9.9"/>
    <n v="0"/>
    <n v="0"/>
    <n v="0"/>
    <n v="0.9"/>
    <n v="0.1"/>
    <m/>
    <m/>
    <m/>
    <n v="0"/>
    <m/>
    <n v="0"/>
    <n v="9.9"/>
    <m/>
    <n v="0"/>
    <n v="0"/>
    <n v="0"/>
    <m/>
    <m/>
    <m/>
    <n v="0"/>
    <n v="0"/>
    <n v="0"/>
    <n v="0"/>
    <m/>
    <m/>
  </r>
  <r>
    <n v="0"/>
    <s v="CMS S.60.10.000"/>
    <s v="SUPORTE"/>
    <m/>
    <m/>
    <m/>
    <m/>
    <m/>
    <m/>
    <m/>
    <m/>
    <s v="LINHA DO CIRCUITO ULTRAFINO LINHA DE DESCARGA DO DISTRIBUIDOR DI 145A-9906"/>
    <s v="SC-026"/>
    <s v="SP 8363 C"/>
    <m/>
    <s v="1450AA-S-58363"/>
    <n v="8"/>
    <s v="PÇ"/>
    <n v="7.8"/>
    <n v="62.4"/>
    <n v="0"/>
    <n v="0"/>
    <n v="0"/>
    <n v="0.9"/>
    <n v="0.1"/>
    <m/>
    <m/>
    <m/>
    <n v="0"/>
    <m/>
    <n v="0"/>
    <n v="62.4"/>
    <m/>
    <n v="0"/>
    <n v="0"/>
    <n v="0"/>
    <m/>
    <m/>
    <m/>
    <n v="0"/>
    <n v="0"/>
    <n v="0"/>
    <n v="0"/>
    <m/>
    <m/>
  </r>
  <r>
    <n v="0"/>
    <s v="CMS S.60.10.000"/>
    <s v="SUPORTE"/>
    <m/>
    <m/>
    <m/>
    <m/>
    <m/>
    <m/>
    <m/>
    <m/>
    <s v="LINHA DO CIRCUITO ULTRAFINO LINHA DE DESCARGA DO DISTRIBUIDOR DI 145A-9906"/>
    <s v="SC-026"/>
    <s v="SP 8363 D"/>
    <m/>
    <s v="1450AA-S-58363"/>
    <n v="8"/>
    <s v="PÇ"/>
    <n v="10"/>
    <n v="80"/>
    <n v="0"/>
    <n v="0"/>
    <n v="0"/>
    <n v="0.9"/>
    <n v="0.1"/>
    <m/>
    <m/>
    <m/>
    <n v="0"/>
    <m/>
    <n v="0"/>
    <n v="80"/>
    <m/>
    <n v="0"/>
    <n v="0"/>
    <n v="0"/>
    <m/>
    <m/>
    <m/>
    <n v="0"/>
    <n v="0"/>
    <n v="0"/>
    <n v="0"/>
    <m/>
    <m/>
  </r>
  <r>
    <n v="0"/>
    <s v="CMS S.60.10.000"/>
    <s v="SUPORTE"/>
    <m/>
    <m/>
    <m/>
    <m/>
    <m/>
    <m/>
    <m/>
    <m/>
    <s v="LINHA DO CIRCUITO ULTRAFINO LINHA DE DESCARGA DO DISTRIBUIDOR DI 145A-9906"/>
    <s v="SC-026"/>
    <s v="SP 8363 E"/>
    <m/>
    <s v="1450AA-S-58363"/>
    <n v="1"/>
    <s v="PÇ"/>
    <n v="12.7"/>
    <n v="12.7"/>
    <n v="0"/>
    <n v="0"/>
    <n v="0"/>
    <n v="0.9"/>
    <n v="0.1"/>
    <m/>
    <m/>
    <m/>
    <n v="0"/>
    <m/>
    <n v="0"/>
    <n v="12.7"/>
    <m/>
    <n v="0"/>
    <n v="0"/>
    <n v="0"/>
    <m/>
    <m/>
    <m/>
    <n v="0"/>
    <n v="0"/>
    <n v="0"/>
    <n v="0"/>
    <m/>
    <m/>
  </r>
  <r>
    <n v="0"/>
    <s v="CMS S.60.10.000"/>
    <s v="SUPORTE"/>
    <m/>
    <m/>
    <m/>
    <m/>
    <m/>
    <m/>
    <m/>
    <m/>
    <s v="LINHA DO CIRCUITO ULTRAFINO LINHA DE DESCARGA DO DISTRIBUIDOR DI 145A-9906"/>
    <s v="SC-026"/>
    <s v="SP 8363 F"/>
    <m/>
    <s v="1450AA-S-58363"/>
    <n v="1"/>
    <s v="PÇ"/>
    <n v="11"/>
    <n v="11"/>
    <n v="0"/>
    <n v="0"/>
    <n v="0"/>
    <n v="0.9"/>
    <n v="0.1"/>
    <m/>
    <m/>
    <m/>
    <n v="0"/>
    <m/>
    <n v="0"/>
    <n v="11"/>
    <m/>
    <n v="0"/>
    <n v="0"/>
    <n v="0"/>
    <m/>
    <m/>
    <m/>
    <n v="0"/>
    <n v="0"/>
    <n v="0"/>
    <n v="0"/>
    <m/>
    <m/>
  </r>
  <r>
    <n v="0"/>
    <s v="CMS S.60.10.000"/>
    <s v="SUPORTE"/>
    <m/>
    <m/>
    <m/>
    <m/>
    <m/>
    <m/>
    <m/>
    <m/>
    <s v="LINHA DO CIRCUITO ULTRAFINO LINHA DE DESCARGA DO DISTRIBUIDOR DI 145A-9906"/>
    <s v="SC-026"/>
    <s v="SP 8363 G"/>
    <m/>
    <s v="1450AA-S-58363"/>
    <n v="1"/>
    <s v="PÇ"/>
    <n v="0.70000000000000007"/>
    <n v="0.70000000000000007"/>
    <n v="0"/>
    <n v="0"/>
    <n v="0"/>
    <n v="0.9"/>
    <n v="0.1"/>
    <m/>
    <m/>
    <m/>
    <n v="0"/>
    <m/>
    <n v="0"/>
    <n v="0.70000000000000007"/>
    <m/>
    <n v="0"/>
    <n v="0"/>
    <n v="0"/>
    <m/>
    <m/>
    <m/>
    <n v="0"/>
    <n v="0"/>
    <n v="0"/>
    <n v="0"/>
    <m/>
    <m/>
  </r>
  <r>
    <n v="0"/>
    <s v="CMS S.60.10.000"/>
    <s v="SUPORTE"/>
    <m/>
    <m/>
    <m/>
    <m/>
    <m/>
    <m/>
    <m/>
    <m/>
    <s v="LINHA DO CIRCUITO ULTRAFINO LINHA DE DESCARGA DO DISTRIBUIDOR DI 145A-9906"/>
    <s v="SC-026"/>
    <s v="SP 8363 K"/>
    <m/>
    <s v="1450AA-S-58363"/>
    <n v="2"/>
    <s v="PÇ"/>
    <n v="10.200000000000001"/>
    <n v="20.400000000000002"/>
    <n v="0"/>
    <n v="0"/>
    <n v="0"/>
    <n v="0.9"/>
    <n v="0.1"/>
    <m/>
    <m/>
    <m/>
    <n v="0"/>
    <m/>
    <n v="0"/>
    <n v="20.400000000000002"/>
    <m/>
    <n v="0"/>
    <n v="0"/>
    <n v="0"/>
    <m/>
    <m/>
    <m/>
    <n v="0"/>
    <n v="0"/>
    <n v="0"/>
    <n v="0"/>
    <m/>
    <m/>
  </r>
  <r>
    <n v="0"/>
    <s v="CMS S.60.10.000"/>
    <s v="SUPORTE"/>
    <m/>
    <m/>
    <m/>
    <m/>
    <m/>
    <m/>
    <m/>
    <m/>
    <s v="LINHA DO CIRCUITO ULTRAFINO LINHA DE DESCARGA DO DISTRIBUIDOR DI 145A-9906"/>
    <s v="SC-026"/>
    <s v="SP 8363 L"/>
    <m/>
    <s v="1450AA-S-58363"/>
    <n v="7"/>
    <s v="PÇ"/>
    <n v="85.2"/>
    <n v="596.4"/>
    <n v="0"/>
    <n v="0"/>
    <n v="0"/>
    <n v="0.9"/>
    <n v="0.1"/>
    <m/>
    <m/>
    <m/>
    <n v="0"/>
    <m/>
    <n v="0"/>
    <n v="596.4"/>
    <m/>
    <n v="0"/>
    <n v="0"/>
    <n v="0"/>
    <m/>
    <m/>
    <m/>
    <n v="0"/>
    <n v="0"/>
    <n v="0"/>
    <n v="0"/>
    <m/>
    <m/>
  </r>
  <r>
    <n v="0"/>
    <s v="CMS S.60.10.000"/>
    <s v="SUPORTE"/>
    <m/>
    <m/>
    <m/>
    <m/>
    <m/>
    <m/>
    <m/>
    <m/>
    <s v="LINHA DO CIRCUITO ULTRAFINO LINHA DE DESCARGA DO DISTRIBUIDOR DI 145A-9906"/>
    <s v="SC-026"/>
    <s v="SP 8363 M"/>
    <m/>
    <s v="1450AA-S-58363"/>
    <n v="4"/>
    <s v="PÇ"/>
    <n v="3.4"/>
    <n v="13.6"/>
    <n v="0"/>
    <n v="0"/>
    <n v="0"/>
    <n v="0.9"/>
    <n v="0.1"/>
    <m/>
    <m/>
    <m/>
    <n v="0"/>
    <m/>
    <n v="0"/>
    <n v="13.6"/>
    <m/>
    <n v="0"/>
    <n v="0"/>
    <n v="0"/>
    <m/>
    <m/>
    <m/>
    <n v="0"/>
    <n v="0"/>
    <n v="0"/>
    <n v="0"/>
    <m/>
    <m/>
  </r>
  <r>
    <n v="0"/>
    <s v="CMS S.60.10.000"/>
    <s v="SUPORTE"/>
    <m/>
    <m/>
    <m/>
    <m/>
    <m/>
    <m/>
    <m/>
    <m/>
    <s v="LINHA DO CIRCUITO ULTRAFINO LINHA DE DESCARGA DO DISTRIBUIDOR DI 145A-9906"/>
    <s v="SC-026"/>
    <s v="SP 8363 N"/>
    <m/>
    <s v="1450AA-S-58363"/>
    <n v="14"/>
    <s v="PÇ"/>
    <n v="44.6"/>
    <n v="624.4"/>
    <n v="0"/>
    <n v="0"/>
    <n v="0"/>
    <n v="0.9"/>
    <n v="0.1"/>
    <m/>
    <m/>
    <m/>
    <n v="0"/>
    <m/>
    <n v="0"/>
    <n v="624.4"/>
    <m/>
    <n v="0"/>
    <n v="0"/>
    <n v="0"/>
    <m/>
    <m/>
    <m/>
    <n v="0"/>
    <n v="0"/>
    <n v="0"/>
    <n v="0"/>
    <m/>
    <m/>
  </r>
  <r>
    <n v="0"/>
    <s v="CMS S.60.10.000"/>
    <s v="SUPORTE"/>
    <m/>
    <m/>
    <m/>
    <m/>
    <m/>
    <m/>
    <m/>
    <m/>
    <s v="LINHA DO CIRCUITO ULTRAFINO LINHA DE DESCARGA DO DISTRIBUIDOR DI 145A-9906"/>
    <s v="SC-026"/>
    <s v="SP 8363 P"/>
    <m/>
    <s v="1450AA-S-58363"/>
    <n v="2"/>
    <s v="PÇ"/>
    <n v="7.5"/>
    <n v="15"/>
    <n v="0"/>
    <n v="0"/>
    <n v="0"/>
    <n v="0.9"/>
    <n v="0.1"/>
    <m/>
    <m/>
    <m/>
    <n v="0"/>
    <m/>
    <n v="0"/>
    <n v="15"/>
    <m/>
    <n v="0"/>
    <n v="0"/>
    <n v="0"/>
    <m/>
    <m/>
    <m/>
    <n v="0"/>
    <n v="0"/>
    <n v="0"/>
    <n v="0"/>
    <m/>
    <m/>
  </r>
  <r>
    <n v="0"/>
    <s v="CMS S.60.10.000"/>
    <s v="SUPORTE"/>
    <m/>
    <m/>
    <m/>
    <m/>
    <m/>
    <m/>
    <m/>
    <m/>
    <s v="LINHA DO CIRCUITO ULTRAFINO LINHA DE DESCARGA DO DISTRIBUIDOR DI 145A-9906"/>
    <s v="SC-026"/>
    <s v="SP 8363 Q"/>
    <m/>
    <s v="1450AA-S-58363"/>
    <n v="2"/>
    <s v="PÇ"/>
    <n v="5.6000000000000005"/>
    <n v="11.200000000000001"/>
    <n v="0"/>
    <n v="0"/>
    <n v="0"/>
    <n v="0.9"/>
    <n v="0.1"/>
    <m/>
    <m/>
    <m/>
    <n v="0"/>
    <m/>
    <n v="0"/>
    <n v="11.200000000000001"/>
    <m/>
    <n v="0"/>
    <n v="0"/>
    <n v="0"/>
    <m/>
    <m/>
    <m/>
    <n v="0"/>
    <n v="0"/>
    <n v="0"/>
    <n v="0"/>
    <m/>
    <m/>
  </r>
  <r>
    <n v="0"/>
    <s v="CMS S.60.10.000"/>
    <s v="SUPORTE"/>
    <m/>
    <m/>
    <m/>
    <m/>
    <m/>
    <m/>
    <m/>
    <m/>
    <s v="LINHA DO CIRCUITO ULTRAFINO LINHA DE DESCARGA DO DISTRIBUIDOR DI 145A-9906"/>
    <s v="SC-026"/>
    <s v="SP 8363 R"/>
    <m/>
    <s v="1450AA-S-58363"/>
    <n v="7"/>
    <s v="PÇ"/>
    <n v="3.6"/>
    <n v="25.2"/>
    <n v="0"/>
    <n v="0"/>
    <n v="0"/>
    <n v="0.9"/>
    <n v="0.1"/>
    <m/>
    <m/>
    <m/>
    <n v="0"/>
    <m/>
    <n v="0"/>
    <n v="25.2"/>
    <m/>
    <n v="0"/>
    <n v="0"/>
    <n v="0"/>
    <m/>
    <m/>
    <m/>
    <n v="0"/>
    <n v="0"/>
    <n v="0"/>
    <n v="0"/>
    <m/>
    <m/>
  </r>
  <r>
    <n v="0"/>
    <s v="CMS S.60.10.000"/>
    <s v="SUPORTE"/>
    <m/>
    <m/>
    <m/>
    <m/>
    <m/>
    <m/>
    <m/>
    <m/>
    <s v="LINHA DO CIRCUITO ULTRAFINO LINHA DE DESCARGA DO DISTRIBUIDOR DI 145A-9906"/>
    <s v="SC-026"/>
    <s v="SP 8363 S"/>
    <m/>
    <s v="1450AA-S-58363"/>
    <n v="1"/>
    <s v="PÇ"/>
    <n v="25.5"/>
    <n v="25.5"/>
    <n v="0"/>
    <n v="0"/>
    <n v="0"/>
    <n v="0.9"/>
    <n v="0.1"/>
    <m/>
    <m/>
    <m/>
    <n v="0"/>
    <m/>
    <n v="0"/>
    <n v="25.5"/>
    <m/>
    <n v="0"/>
    <n v="0"/>
    <n v="0"/>
    <m/>
    <m/>
    <m/>
    <n v="0"/>
    <n v="0"/>
    <n v="0"/>
    <n v="0"/>
    <m/>
    <m/>
  </r>
  <r>
    <n v="0"/>
    <s v="CMS S.60.10.000"/>
    <s v="SUPORTE"/>
    <m/>
    <m/>
    <m/>
    <m/>
    <m/>
    <m/>
    <m/>
    <m/>
    <s v="LINHA DO CIRCUITO ULTRAFINO LINHA DE DESCARGA DO DISTRIBUIDOR DI 145A-9906"/>
    <s v="SC-026"/>
    <s v="SP 8363 T"/>
    <m/>
    <s v="1450AA-S-58363"/>
    <n v="1"/>
    <s v="PÇ"/>
    <n v="21.5"/>
    <n v="21.5"/>
    <n v="0"/>
    <n v="0"/>
    <n v="0"/>
    <n v="0.9"/>
    <n v="0.1"/>
    <m/>
    <m/>
    <m/>
    <n v="0"/>
    <m/>
    <n v="0"/>
    <n v="21.5"/>
    <m/>
    <n v="0"/>
    <n v="0"/>
    <n v="0"/>
    <m/>
    <m/>
    <m/>
    <n v="0"/>
    <n v="0"/>
    <n v="0"/>
    <n v="0"/>
    <m/>
    <m/>
  </r>
  <r>
    <n v="0"/>
    <s v="CMS S.60.10.000"/>
    <s v="SUPORTE"/>
    <m/>
    <m/>
    <m/>
    <m/>
    <m/>
    <m/>
    <m/>
    <m/>
    <s v="LINHA DO CIRCUITO ULTRAFINO LINHA DE DESCARGA DO DISTRIBUIDOR DI 145A-9906"/>
    <s v="SC-026"/>
    <s v="SP 8363 U"/>
    <m/>
    <s v="1450AA-S-58363"/>
    <n v="4"/>
    <s v="PÇ"/>
    <n v="21.4"/>
    <n v="85.6"/>
    <n v="0"/>
    <n v="0"/>
    <n v="0"/>
    <n v="0.9"/>
    <n v="0.1"/>
    <m/>
    <m/>
    <m/>
    <n v="0"/>
    <m/>
    <n v="0"/>
    <n v="85.6"/>
    <m/>
    <n v="0"/>
    <n v="0"/>
    <n v="0"/>
    <m/>
    <m/>
    <m/>
    <n v="0"/>
    <n v="0"/>
    <n v="0"/>
    <n v="0"/>
    <m/>
    <m/>
  </r>
  <r>
    <n v="0"/>
    <s v="CMS S.60.10.000"/>
    <s v="SUPORTE"/>
    <m/>
    <m/>
    <m/>
    <m/>
    <m/>
    <m/>
    <m/>
    <m/>
    <s v="LINHA DO CIRCUITO ULTRAFINO LINHA DE DESCARGA DO DISTRIBUIDOR DI 145A-9906"/>
    <s v="SC-026"/>
    <s v="SP 8363 V"/>
    <m/>
    <s v="1450AA-S-58363"/>
    <n v="4"/>
    <s v="PÇ"/>
    <n v="8.1999999999999993"/>
    <n v="32.799999999999997"/>
    <n v="0"/>
    <n v="0"/>
    <n v="0"/>
    <n v="0.9"/>
    <n v="0.1"/>
    <m/>
    <m/>
    <m/>
    <n v="0"/>
    <m/>
    <n v="0"/>
    <n v="32.799999999999997"/>
    <m/>
    <n v="0"/>
    <n v="0"/>
    <n v="0"/>
    <m/>
    <m/>
    <m/>
    <n v="0"/>
    <n v="0"/>
    <n v="0"/>
    <n v="0"/>
    <m/>
    <m/>
  </r>
  <r>
    <n v="0"/>
    <s v="CMS S.60.10.000"/>
    <s v="SUPORTE"/>
    <m/>
    <m/>
    <m/>
    <m/>
    <m/>
    <m/>
    <m/>
    <m/>
    <s v="LINHA DO CIRCUITO ULTRAFINO LINHA DE DESCARGA DO DISTRIBUIDOR DI 145A-9906"/>
    <s v="SC-026"/>
    <s v="SP 8363 W"/>
    <m/>
    <s v="1450AA-S-58363"/>
    <n v="2"/>
    <s v="PÇ"/>
    <n v="9.3000000000000007"/>
    <n v="18.600000000000001"/>
    <n v="0"/>
    <n v="0"/>
    <n v="0"/>
    <n v="0.9"/>
    <n v="0.1"/>
    <m/>
    <m/>
    <m/>
    <n v="0"/>
    <m/>
    <n v="0"/>
    <n v="18.600000000000001"/>
    <m/>
    <n v="0"/>
    <n v="0"/>
    <n v="0"/>
    <m/>
    <m/>
    <m/>
    <n v="0"/>
    <n v="0"/>
    <n v="0"/>
    <n v="0"/>
    <m/>
    <m/>
  </r>
  <r>
    <n v="0"/>
    <s v="CMS S.60.10.000"/>
    <s v="SUPORTE"/>
    <m/>
    <m/>
    <m/>
    <m/>
    <m/>
    <m/>
    <m/>
    <m/>
    <s v="LINHA DO CIRCUITO ULTRAFINO LINHA DE DESCARGA DO DISTRIBUIDOR DI 145A-9906"/>
    <s v="SC-026"/>
    <s v="SP 8363 X"/>
    <m/>
    <s v="1450AA-S-58363"/>
    <n v="2"/>
    <s v="PÇ"/>
    <n v="16.3"/>
    <n v="32.6"/>
    <n v="0"/>
    <n v="0"/>
    <n v="0"/>
    <n v="0.9"/>
    <n v="0.1"/>
    <m/>
    <m/>
    <m/>
    <n v="0"/>
    <m/>
    <n v="0"/>
    <n v="32.6"/>
    <m/>
    <n v="0"/>
    <n v="0"/>
    <n v="0"/>
    <m/>
    <m/>
    <m/>
    <n v="0"/>
    <n v="0"/>
    <n v="0"/>
    <n v="0"/>
    <m/>
    <m/>
  </r>
  <r>
    <n v="0"/>
    <s v="CMS S.60.10.000"/>
    <s v="SUPORTE"/>
    <m/>
    <m/>
    <m/>
    <m/>
    <m/>
    <m/>
    <m/>
    <m/>
    <s v="LINHA DO CIRCUITO ULTRAFINO LINHA DE DESCARGA DO DISTRIBUIDOR DI 145A-9906"/>
    <s v="SC-026"/>
    <s v="SP 8363 Y"/>
    <m/>
    <s v="1450AA-S-58363"/>
    <n v="1"/>
    <s v="PÇ"/>
    <n v="10.5"/>
    <n v="10.5"/>
    <n v="0"/>
    <n v="0"/>
    <n v="0"/>
    <n v="0.9"/>
    <n v="0.1"/>
    <m/>
    <m/>
    <m/>
    <n v="0"/>
    <m/>
    <n v="0"/>
    <n v="10.5"/>
    <m/>
    <n v="0"/>
    <n v="0"/>
    <n v="0"/>
    <m/>
    <m/>
    <m/>
    <n v="0"/>
    <n v="0"/>
    <n v="0"/>
    <n v="0"/>
    <m/>
    <m/>
  </r>
  <r>
    <n v="0"/>
    <s v="CMS S.60.10.000"/>
    <s v="SUPORTE"/>
    <m/>
    <m/>
    <m/>
    <m/>
    <m/>
    <m/>
    <m/>
    <m/>
    <s v="LINHA DO CIRCUITO ULTRAFINO LINHA DE DESCARGA DO DISTRIBUIDOR DI 145A-9906"/>
    <s v="SC-026"/>
    <s v="SP 8363 Z"/>
    <m/>
    <s v="1450AA-S-58363"/>
    <n v="4"/>
    <s v="PÇ"/>
    <n v="21.2"/>
    <n v="84.8"/>
    <n v="0"/>
    <n v="0"/>
    <n v="0"/>
    <n v="0.9"/>
    <n v="0.1"/>
    <m/>
    <m/>
    <m/>
    <n v="0"/>
    <m/>
    <n v="0"/>
    <n v="84.8"/>
    <m/>
    <n v="0"/>
    <n v="0"/>
    <n v="0"/>
    <m/>
    <m/>
    <m/>
    <n v="0"/>
    <n v="0"/>
    <n v="0"/>
    <n v="0"/>
    <m/>
    <m/>
  </r>
  <r>
    <n v="0"/>
    <s v="CMS S.60.10.000"/>
    <s v="SUPORTE"/>
    <m/>
    <m/>
    <m/>
    <m/>
    <m/>
    <m/>
    <m/>
    <m/>
    <s v="LINHA DO CIRCUITO ULTRAFINO LINHA DE DESCARGA DO DISTRIBUIDOR DI 145A-9906"/>
    <s v="SC-026"/>
    <s v="SP 8363 AA"/>
    <m/>
    <s v="1450AA-S-58363"/>
    <n v="2"/>
    <s v="PÇ"/>
    <n v="1.3"/>
    <n v="2.6"/>
    <n v="0"/>
    <n v="0"/>
    <n v="0"/>
    <n v="0.9"/>
    <n v="0.1"/>
    <m/>
    <m/>
    <m/>
    <n v="0"/>
    <m/>
    <n v="0"/>
    <n v="2.6"/>
    <m/>
    <n v="0"/>
    <n v="0"/>
    <n v="0"/>
    <m/>
    <m/>
    <m/>
    <n v="0"/>
    <n v="0"/>
    <n v="0"/>
    <n v="0"/>
    <m/>
    <m/>
  </r>
  <r>
    <n v="0"/>
    <s v="CMS S.60.10.000"/>
    <s v="SUPORTE"/>
    <m/>
    <m/>
    <m/>
    <m/>
    <m/>
    <m/>
    <m/>
    <m/>
    <s v="LINHA DE ALIMENTAÇÃO DOS DISTRIBUIDORES DI-145A-9904/9905/9906/9907/9908"/>
    <s v="SC-026"/>
    <s v="SP 8358 A"/>
    <m/>
    <s v="1450AA-S-58358"/>
    <n v="2"/>
    <s v="PÇ"/>
    <n v="12.1"/>
    <n v="24.2"/>
    <n v="0"/>
    <n v="0"/>
    <n v="0"/>
    <n v="0.9"/>
    <n v="0.1"/>
    <m/>
    <m/>
    <m/>
    <n v="0"/>
    <m/>
    <n v="0"/>
    <n v="24.2"/>
    <m/>
    <n v="0"/>
    <n v="0"/>
    <n v="0"/>
    <m/>
    <m/>
    <m/>
    <n v="0"/>
    <n v="0"/>
    <n v="0"/>
    <n v="0"/>
    <m/>
    <m/>
  </r>
  <r>
    <n v="0"/>
    <s v="CMS S.60.10.000"/>
    <s v="SUPORTE"/>
    <m/>
    <m/>
    <m/>
    <m/>
    <m/>
    <m/>
    <m/>
    <m/>
    <s v="LINHA DE ALIMENTAÇÃO DOS DISTRIBUIDORES DI-145A-9904/9905/9906/9907/9908"/>
    <s v="SC-026"/>
    <s v="SP 8358 B"/>
    <m/>
    <s v="1450AA-S-58358"/>
    <n v="2"/>
    <s v="PÇ"/>
    <n v="11.8"/>
    <n v="23.6"/>
    <n v="0"/>
    <n v="0"/>
    <n v="0"/>
    <n v="0.9"/>
    <n v="0.1"/>
    <m/>
    <m/>
    <m/>
    <n v="0"/>
    <m/>
    <n v="0"/>
    <n v="23.6"/>
    <m/>
    <n v="0"/>
    <n v="0"/>
    <n v="0"/>
    <m/>
    <m/>
    <m/>
    <n v="0"/>
    <n v="0"/>
    <n v="0"/>
    <n v="0"/>
    <m/>
    <m/>
  </r>
  <r>
    <n v="0"/>
    <s v="CMS S.60.10.000"/>
    <s v="SUPORTE"/>
    <m/>
    <m/>
    <m/>
    <m/>
    <m/>
    <m/>
    <m/>
    <m/>
    <s v="LINHA DE ALIMENTAÇÃO DOS DISTRIBUIDORES DI-145A-9904/9905/9906/9907/9908"/>
    <s v="SC-026"/>
    <s v="SP 8358 C"/>
    <m/>
    <s v="1450AA-S-58358"/>
    <n v="1"/>
    <s v="PÇ"/>
    <n v="12"/>
    <n v="12"/>
    <n v="0"/>
    <n v="0"/>
    <n v="0"/>
    <n v="0.9"/>
    <n v="0.1"/>
    <m/>
    <m/>
    <m/>
    <n v="0"/>
    <m/>
    <n v="0"/>
    <n v="12"/>
    <m/>
    <n v="0"/>
    <n v="0"/>
    <n v="0"/>
    <m/>
    <m/>
    <m/>
    <n v="0"/>
    <n v="0"/>
    <n v="0"/>
    <n v="0"/>
    <m/>
    <m/>
  </r>
  <r>
    <n v="0"/>
    <s v="CMS S.60.10.000"/>
    <s v="SUPORTE"/>
    <m/>
    <m/>
    <m/>
    <m/>
    <m/>
    <m/>
    <m/>
    <m/>
    <s v="LINHA DE ALIMENTAÇÃO DOS DISTRIBUIDORES DI-145A-9904/9905/9906/9907/9908"/>
    <s v="SC-026"/>
    <s v="SP 8358 D"/>
    <m/>
    <s v="1450AA-S-58358"/>
    <n v="1"/>
    <s v="PÇ"/>
    <n v="13.3"/>
    <n v="13.3"/>
    <n v="0"/>
    <n v="0"/>
    <n v="0"/>
    <n v="0.9"/>
    <n v="0.1"/>
    <m/>
    <m/>
    <m/>
    <n v="0"/>
    <m/>
    <n v="0"/>
    <n v="13.3"/>
    <m/>
    <n v="0"/>
    <n v="0"/>
    <n v="0"/>
    <m/>
    <m/>
    <m/>
    <n v="0"/>
    <n v="0"/>
    <n v="0"/>
    <n v="0"/>
    <m/>
    <m/>
  </r>
  <r>
    <n v="0"/>
    <s v="CMS S.60.10.000"/>
    <s v="SUPORTE"/>
    <m/>
    <m/>
    <m/>
    <m/>
    <m/>
    <m/>
    <m/>
    <m/>
    <s v="LINHA DE ALIMENTAÇÃO DOS DISTRIBUIDORES DI-145A-9904/9905/9906/9907/9908"/>
    <s v="SC-026"/>
    <s v="SP 8358 E"/>
    <m/>
    <s v="1450AA-S-58358"/>
    <n v="1"/>
    <s v="PÇ"/>
    <n v="13.200000000000001"/>
    <n v="13.200000000000001"/>
    <n v="0"/>
    <n v="0"/>
    <n v="0"/>
    <n v="0.9"/>
    <n v="0.1"/>
    <m/>
    <m/>
    <m/>
    <n v="0"/>
    <m/>
    <n v="0"/>
    <n v="13.200000000000001"/>
    <m/>
    <n v="0"/>
    <n v="0"/>
    <n v="0"/>
    <m/>
    <m/>
    <m/>
    <n v="0"/>
    <n v="0"/>
    <n v="0"/>
    <n v="0"/>
    <m/>
    <m/>
  </r>
  <r>
    <n v="0"/>
    <s v="CMS S.60.10.000"/>
    <s v="SUPORTE"/>
    <m/>
    <m/>
    <m/>
    <m/>
    <m/>
    <m/>
    <m/>
    <m/>
    <s v="LINHA DE ALIMENTAÇÃO DOS DISTRIBUIDORES DI-145A-9904/9905/9906/9907/9908"/>
    <s v="SC-026"/>
    <s v="SP 8358 F"/>
    <m/>
    <s v="1450AA-S-58358"/>
    <n v="1"/>
    <s v="PÇ"/>
    <n v="16.399999999999999"/>
    <n v="16.399999999999999"/>
    <n v="0"/>
    <n v="0"/>
    <n v="0"/>
    <n v="0.9"/>
    <n v="0.1"/>
    <m/>
    <m/>
    <m/>
    <n v="0"/>
    <m/>
    <n v="0"/>
    <n v="16.399999999999999"/>
    <m/>
    <n v="0"/>
    <n v="0"/>
    <n v="0"/>
    <m/>
    <m/>
    <m/>
    <n v="0"/>
    <n v="0"/>
    <n v="0"/>
    <n v="0"/>
    <m/>
    <m/>
  </r>
  <r>
    <n v="0"/>
    <s v="CMS S.60.10.000"/>
    <s v="SUPORTE"/>
    <m/>
    <m/>
    <m/>
    <m/>
    <m/>
    <m/>
    <m/>
    <m/>
    <s v="LINHA DE ALIMENTAÇÃO DOS DISTRIBUIDORES DI-145A-9904/9905/9906/9907/9908"/>
    <s v="SC-026"/>
    <s v="SP 8358 G"/>
    <m/>
    <s v="1450AA-S-58358"/>
    <n v="1"/>
    <s v="PÇ"/>
    <n v="14.799999999999999"/>
    <n v="14.799999999999999"/>
    <n v="0"/>
    <n v="0"/>
    <n v="0"/>
    <n v="0.9"/>
    <n v="0.1"/>
    <m/>
    <m/>
    <m/>
    <n v="0"/>
    <m/>
    <n v="0"/>
    <n v="14.799999999999999"/>
    <m/>
    <n v="0"/>
    <n v="0"/>
    <n v="0"/>
    <m/>
    <m/>
    <m/>
    <n v="0"/>
    <n v="0"/>
    <n v="0"/>
    <n v="0"/>
    <m/>
    <m/>
  </r>
  <r>
    <n v="0"/>
    <s v="CMS S.60.10.000"/>
    <s v="SUPORTE"/>
    <m/>
    <m/>
    <m/>
    <m/>
    <m/>
    <m/>
    <m/>
    <m/>
    <s v="LINHA DE ALIMENTAÇÃO DOS DISTRIBUIDORES DI-145A-9904/9905/9906/9907/9908"/>
    <s v="SC-026"/>
    <s v="SP 8358 H"/>
    <m/>
    <s v="1450AA-S-58358"/>
    <n v="4"/>
    <s v="PÇ"/>
    <n v="180.3"/>
    <n v="721.2"/>
    <n v="0"/>
    <n v="0"/>
    <n v="0"/>
    <n v="0.9"/>
    <n v="0.1"/>
    <m/>
    <m/>
    <m/>
    <n v="0"/>
    <m/>
    <n v="0"/>
    <n v="721.2"/>
    <m/>
    <n v="0"/>
    <n v="0"/>
    <n v="0"/>
    <m/>
    <m/>
    <m/>
    <n v="0"/>
    <n v="0"/>
    <n v="0"/>
    <n v="0"/>
    <m/>
    <m/>
  </r>
  <r>
    <n v="0"/>
    <s v="CMS S.60.10.000"/>
    <s v="SUPORTE"/>
    <m/>
    <m/>
    <m/>
    <m/>
    <m/>
    <m/>
    <m/>
    <m/>
    <s v="LINHA DE ALIMENTAÇÃO DOS DISTRIBUIDORES DI-145A-9904/9905/9906/9907/9908"/>
    <s v="SC-026"/>
    <s v="SP 8358 J"/>
    <m/>
    <s v="1450AA-S-58358"/>
    <n v="8"/>
    <s v="PÇ"/>
    <n v="69.900000000000006"/>
    <n v="559.20000000000005"/>
    <n v="0"/>
    <n v="0"/>
    <n v="0"/>
    <n v="0.9"/>
    <n v="0.1"/>
    <m/>
    <m/>
    <m/>
    <n v="0"/>
    <m/>
    <n v="0"/>
    <n v="559.20000000000005"/>
    <m/>
    <n v="0"/>
    <n v="0"/>
    <n v="0"/>
    <m/>
    <m/>
    <m/>
    <n v="0"/>
    <n v="0"/>
    <n v="0"/>
    <n v="0"/>
    <m/>
    <m/>
  </r>
  <r>
    <n v="0"/>
    <s v="CMS S.60.10.000"/>
    <s v="SUPORTE"/>
    <m/>
    <m/>
    <m/>
    <m/>
    <m/>
    <m/>
    <m/>
    <m/>
    <s v="LINHA DE ALIMENTAÇÃO DOS DISTRIBUIDORES DI-145A-9904/9905/9906/9907/9908"/>
    <s v="SC-026"/>
    <s v="SP 8358 K"/>
    <m/>
    <s v="1450AA-S-58358"/>
    <n v="14"/>
    <s v="PÇ"/>
    <n v="58.9"/>
    <n v="824.6"/>
    <n v="0"/>
    <n v="0"/>
    <n v="0"/>
    <n v="0.9"/>
    <n v="0.1"/>
    <m/>
    <m/>
    <m/>
    <n v="0"/>
    <m/>
    <n v="0"/>
    <n v="824.6"/>
    <m/>
    <n v="0"/>
    <n v="0"/>
    <n v="0"/>
    <m/>
    <m/>
    <m/>
    <n v="0"/>
    <n v="0"/>
    <n v="0"/>
    <n v="0"/>
    <m/>
    <m/>
  </r>
  <r>
    <n v="0"/>
    <s v="CMS S.60.10.000"/>
    <s v="SUPORTE"/>
    <m/>
    <m/>
    <m/>
    <m/>
    <m/>
    <m/>
    <m/>
    <m/>
    <s v="LINHA DE ALIMENTAÇÃO DOS DISTRIBUIDORES DI-145A-9904/9905/9906/9907/9908"/>
    <s v="SC-026"/>
    <s v="SP 8358 L"/>
    <m/>
    <s v="1450AA-S-58358"/>
    <n v="2"/>
    <s v="PÇ"/>
    <n v="23.8"/>
    <n v="47.6"/>
    <n v="0"/>
    <n v="0"/>
    <n v="0"/>
    <n v="0.9"/>
    <n v="0.1"/>
    <m/>
    <m/>
    <m/>
    <n v="0"/>
    <m/>
    <n v="0"/>
    <n v="47.6"/>
    <m/>
    <n v="0"/>
    <n v="0"/>
    <n v="0"/>
    <m/>
    <m/>
    <m/>
    <n v="0"/>
    <n v="0"/>
    <n v="0"/>
    <n v="0"/>
    <m/>
    <m/>
  </r>
  <r>
    <m/>
    <m/>
    <m/>
    <m/>
    <m/>
    <m/>
    <m/>
    <m/>
    <m/>
    <m/>
    <m/>
    <m/>
    <m/>
    <m/>
    <m/>
    <m/>
    <m/>
    <m/>
    <m/>
    <m/>
    <m/>
    <m/>
    <m/>
    <m/>
    <m/>
    <m/>
    <m/>
    <m/>
    <m/>
    <m/>
    <m/>
    <m/>
    <m/>
    <m/>
    <m/>
    <m/>
    <m/>
    <m/>
    <m/>
    <m/>
    <m/>
    <m/>
    <m/>
    <m/>
    <m/>
  </r>
  <r>
    <s v="2.4.3.1.6"/>
    <s v="CMS M.60.10.000"/>
    <s v="TUBULAÇÃO"/>
    <n v="1"/>
    <s v="SPOOL"/>
    <n v="16"/>
    <s v="NÃO"/>
    <s v="SIM"/>
    <s v="NÃO"/>
    <s v="145A-PG-16¨-L1H-861"/>
    <s v="START UP I"/>
    <s v="UNDER DO HIDROCICLONE HC- 145A-9913 PARA DISTRIBUIDOR DI- 145A-9911"/>
    <m/>
    <m/>
    <m/>
    <s v="1450AA-T-70215_FL10"/>
    <n v="1"/>
    <s v="PÇ"/>
    <n v="0.48499999999999999"/>
    <n v="0.48499999999999999"/>
    <n v="3249.8"/>
    <n v="1576.153"/>
    <n v="0"/>
    <n v="0.9"/>
    <n v="0.1"/>
    <m/>
    <m/>
    <m/>
    <n v="0"/>
    <m/>
    <n v="0"/>
    <n v="0.48499999999999999"/>
    <m/>
    <n v="0.4"/>
    <n v="0.5"/>
    <n v="0.1"/>
    <m/>
    <m/>
    <m/>
    <n v="0"/>
    <n v="0"/>
    <n v="0"/>
    <n v="1576.153"/>
    <m/>
    <m/>
  </r>
  <r>
    <s v="2.4.3.1.6"/>
    <s v="CMS M.60.10.000"/>
    <s v="TUBULAÇÃO"/>
    <n v="3"/>
    <s v="SPOOL"/>
    <n v="16"/>
    <s v="SIM"/>
    <s v="NÃO"/>
    <s v="NÃO"/>
    <s v="145A-PG-16¨-L1H-861"/>
    <s v="START UP I"/>
    <s v="UNDER DO HIDROCICLONE HC- 145A-9913 PARA DISTRIBUIDOR DI- 145A-9911"/>
    <m/>
    <m/>
    <m/>
    <s v="1450AA-T-70215_FL09"/>
    <n v="1"/>
    <s v="PÇ"/>
    <n v="0.59"/>
    <n v="0.59"/>
    <n v="3249.8"/>
    <n v="1917.3820000000001"/>
    <n v="0"/>
    <n v="0.9"/>
    <n v="0.1"/>
    <m/>
    <m/>
    <m/>
    <n v="0"/>
    <m/>
    <n v="0"/>
    <n v="0.59"/>
    <m/>
    <n v="0.4"/>
    <n v="0.5"/>
    <n v="0.1"/>
    <m/>
    <m/>
    <m/>
    <n v="0"/>
    <n v="0"/>
    <n v="0"/>
    <n v="1917.3820000000001"/>
    <m/>
    <m/>
  </r>
  <r>
    <s v="2.4.3.1.6"/>
    <s v="CMS M.60.10.000"/>
    <s v="TUBULAÇÃO"/>
    <n v="4"/>
    <s v="SPOOL"/>
    <n v="16"/>
    <s v="NÃO"/>
    <s v="NÃO"/>
    <s v="NÃO"/>
    <s v="145A-PG-16¨-L1H-861"/>
    <s v="START UP I"/>
    <s v="UNDER DO HIDROCICLONE HC- 145A-9913 PARA DISTRIBUIDOR DI- 145A-9911"/>
    <m/>
    <m/>
    <m/>
    <s v="1450AA-T-70215_FL07"/>
    <n v="1"/>
    <s v="PÇ"/>
    <n v="4"/>
    <n v="4"/>
    <n v="3249.8"/>
    <n v="12999.2"/>
    <n v="0"/>
    <n v="0.9"/>
    <n v="0.1"/>
    <m/>
    <m/>
    <m/>
    <n v="0"/>
    <m/>
    <n v="0"/>
    <n v="4"/>
    <m/>
    <n v="0.4"/>
    <n v="0.5"/>
    <n v="0.1"/>
    <m/>
    <m/>
    <m/>
    <n v="0"/>
    <n v="0"/>
    <n v="0"/>
    <n v="12999.2"/>
    <m/>
    <m/>
  </r>
  <r>
    <s v="2.4.3.1.6"/>
    <s v="CMS M.60.10.000"/>
    <s v="TUBULAÇÃO"/>
    <n v="5"/>
    <s v="CURVA"/>
    <n v="16"/>
    <s v="NÃO"/>
    <s v="NÃO"/>
    <s v="NÃO"/>
    <s v="145A-PG-16¨-L1H-861"/>
    <s v="START UP I"/>
    <s v="UNDER DO HIDROCICLONE HC- 145A-9913 PARA DISTRIBUIDOR DI- 145A-9911"/>
    <m/>
    <m/>
    <m/>
    <s v="1450AA-T-70215_FL11"/>
    <n v="1"/>
    <s v="PÇ"/>
    <n v="0.59899999999999998"/>
    <n v="0.59899999999999998"/>
    <n v="3249.8"/>
    <n v="1946.6302000000001"/>
    <n v="0"/>
    <n v="0.9"/>
    <n v="0.1"/>
    <m/>
    <m/>
    <m/>
    <n v="0"/>
    <m/>
    <n v="0"/>
    <n v="0.59899999999999998"/>
    <m/>
    <n v="0.4"/>
    <n v="0.5"/>
    <n v="0.1"/>
    <m/>
    <m/>
    <m/>
    <n v="0"/>
    <n v="0"/>
    <n v="0"/>
    <n v="1946.6302000000001"/>
    <m/>
    <m/>
  </r>
  <r>
    <s v="2.4.3.1.6"/>
    <s v="CMS M.60.10.000"/>
    <s v="TUBULAÇÃO"/>
    <n v="6"/>
    <s v="SPOOL"/>
    <n v="16"/>
    <s v="SIM"/>
    <s v="NÃO"/>
    <s v="NÃO"/>
    <s v="145A-PG-16¨-L1H-861"/>
    <s v="START UP I"/>
    <s v="UNDER DO HIDROCICLONE HC- 145A-9913 PARA DISTRIBUIDOR DI- 145A-9911"/>
    <m/>
    <m/>
    <m/>
    <s v="1450AA-T-70215_FL08"/>
    <n v="1"/>
    <s v="PÇ"/>
    <n v="0.56999999999999995"/>
    <n v="0.56999999999999995"/>
    <n v="3249.8"/>
    <n v="1852.386"/>
    <n v="0"/>
    <n v="0.9"/>
    <n v="0.1"/>
    <m/>
    <m/>
    <m/>
    <n v="0"/>
    <m/>
    <n v="0"/>
    <n v="0.56999999999999995"/>
    <m/>
    <n v="0.4"/>
    <n v="0.5"/>
    <n v="0.1"/>
    <m/>
    <m/>
    <m/>
    <n v="0"/>
    <n v="0"/>
    <n v="0"/>
    <n v="1852.386"/>
    <m/>
    <m/>
  </r>
  <r>
    <s v="2.4.3.1.6"/>
    <s v="CMS M.60.10.000"/>
    <s v="TUBULAÇÃO"/>
    <n v="1"/>
    <s v="SPOOL"/>
    <n v="16"/>
    <s v="NÃO"/>
    <s v="SIM"/>
    <s v="NÃO"/>
    <s v="145A-PG-16¨-L1H-860"/>
    <s v="START UP I"/>
    <s v="UNDER DO HIDROCICLONE HC- 145A-9911 PARA DISTRIBUIDOR DI- 145A-9911"/>
    <m/>
    <m/>
    <m/>
    <s v="1450AA-T-70217_FL09"/>
    <n v="1"/>
    <s v="PÇ"/>
    <n v="0.48499999999999999"/>
    <n v="0.48499999999999999"/>
    <n v="3249.8"/>
    <n v="1576.153"/>
    <n v="0"/>
    <n v="0.9"/>
    <n v="0.1"/>
    <m/>
    <m/>
    <m/>
    <n v="0"/>
    <m/>
    <n v="0"/>
    <n v="0.48499999999999999"/>
    <m/>
    <n v="0.4"/>
    <n v="0.5"/>
    <n v="0.1"/>
    <m/>
    <m/>
    <m/>
    <n v="0"/>
    <n v="0"/>
    <n v="0"/>
    <n v="1576.153"/>
    <m/>
    <m/>
  </r>
  <r>
    <s v="2.4.3.1.6"/>
    <s v="CMS M.60.10.000"/>
    <s v="TUBULAÇÃO"/>
    <n v="3"/>
    <s v="SPOOL"/>
    <n v="16"/>
    <s v="NÃO"/>
    <s v="NÃO"/>
    <s v="NÃO"/>
    <s v="145A-PG-16¨-L1H-860"/>
    <s v="START UP I"/>
    <s v="UNDER DO HIDROCICLONE HC- 145A-9911 PARA DISTRIBUIDOR DI- 145A-9911"/>
    <m/>
    <m/>
    <m/>
    <s v="1450AA-T-70217_FL07"/>
    <n v="1"/>
    <s v="PÇ"/>
    <n v="0.4"/>
    <n v="0.4"/>
    <n v="3249.8"/>
    <n v="1299.92"/>
    <n v="0"/>
    <n v="0.9"/>
    <n v="0.1"/>
    <m/>
    <m/>
    <m/>
    <n v="0"/>
    <m/>
    <n v="0"/>
    <n v="0.4"/>
    <m/>
    <n v="0.4"/>
    <n v="0.5"/>
    <n v="0.1"/>
    <m/>
    <m/>
    <m/>
    <n v="0"/>
    <n v="0"/>
    <n v="0"/>
    <n v="1299.92"/>
    <m/>
    <m/>
  </r>
  <r>
    <s v="2.4.3.1.6"/>
    <s v="CMS M.60.10.000"/>
    <s v="TUBULAÇÃO"/>
    <n v="4"/>
    <s v="CURVA"/>
    <n v="16"/>
    <s v="NÃO"/>
    <s v="NÃO"/>
    <s v="NÃO"/>
    <s v="145A-PG-16¨-L1H-860"/>
    <s v="START UP I"/>
    <s v="UNDER DO HIDROCICLONE HC- 145A-9911 PARA DISTRIBUIDOR DI- 145A-9911"/>
    <m/>
    <m/>
    <m/>
    <s v="1450AA-T-70217_FL10"/>
    <n v="1"/>
    <s v="PÇ"/>
    <n v="0.59899999999999998"/>
    <n v="0.59899999999999998"/>
    <n v="3249.8"/>
    <n v="1946.6302000000001"/>
    <n v="0"/>
    <n v="0.9"/>
    <n v="0.1"/>
    <m/>
    <m/>
    <m/>
    <n v="0"/>
    <m/>
    <n v="0"/>
    <n v="0.59899999999999998"/>
    <m/>
    <n v="0.4"/>
    <n v="0.5"/>
    <n v="0.1"/>
    <m/>
    <m/>
    <m/>
    <n v="0"/>
    <n v="0"/>
    <n v="0"/>
    <n v="1946.6302000000001"/>
    <m/>
    <m/>
  </r>
  <r>
    <s v="2.4.3.1.6"/>
    <s v="CMS M.60.10.000"/>
    <s v="TUBULAÇÃO"/>
    <n v="5"/>
    <s v="SPOOL"/>
    <n v="16"/>
    <s v="SIM"/>
    <s v="NÃO"/>
    <s v="NÃO"/>
    <s v="145A-PG-16¨-L1H-860"/>
    <s v="START UP I"/>
    <s v="UNDER DO HIDROCICLONE HC- 145A-9911 PARA DISTRIBUIDOR DI- 145A-9911"/>
    <m/>
    <m/>
    <m/>
    <s v="1450AA-T-70217_FL08"/>
    <n v="1"/>
    <s v="PÇ"/>
    <n v="0.54"/>
    <n v="0.54"/>
    <n v="3249.8"/>
    <n v="1754.8920000000003"/>
    <n v="0"/>
    <n v="0.9"/>
    <n v="0.1"/>
    <m/>
    <m/>
    <m/>
    <n v="0"/>
    <m/>
    <n v="0"/>
    <n v="0.54"/>
    <m/>
    <n v="0.4"/>
    <n v="0.5"/>
    <n v="0.1"/>
    <m/>
    <m/>
    <m/>
    <n v="0"/>
    <n v="0"/>
    <n v="0"/>
    <n v="1754.8920000000003"/>
    <m/>
    <m/>
  </r>
  <r>
    <s v="2.4.3.1.3"/>
    <s v="CMS M.60.10.000"/>
    <s v="TUBULAÇÃO"/>
    <n v="1"/>
    <s v="SPOOL"/>
    <n v="10"/>
    <s v="NÃO"/>
    <s v="NÃO"/>
    <s v="NÃO"/>
    <s v="145A-PG-10¨-L1H-940"/>
    <s v="START UP II"/>
    <s v="UNDER DO ESPESSADOR ES- 142A-9801 PARA DISTRIBUIDOR DI- 145A-9911"/>
    <m/>
    <m/>
    <m/>
    <s v="1450AA-T-70265_FL08"/>
    <n v="1"/>
    <s v="PÇ"/>
    <n v="1.5"/>
    <n v="1.5"/>
    <n v="2238.89"/>
    <n v="3358.335"/>
    <n v="0"/>
    <n v="0.9"/>
    <n v="0.1"/>
    <m/>
    <m/>
    <m/>
    <n v="0"/>
    <m/>
    <n v="0"/>
    <n v="1.5"/>
    <m/>
    <n v="0.4"/>
    <n v="0.5"/>
    <n v="0.1"/>
    <m/>
    <m/>
    <m/>
    <n v="0"/>
    <n v="0"/>
    <n v="0"/>
    <n v="3358.335"/>
    <m/>
    <m/>
  </r>
  <r>
    <s v="2.4.3.1.3"/>
    <s v="CMS M.60.10.000"/>
    <s v="TUBULAÇÃO"/>
    <n v="2"/>
    <s v="SPOOL"/>
    <n v="10"/>
    <s v="NÃO"/>
    <s v="NÃO"/>
    <s v="NÃO"/>
    <s v="145A-PG-10¨-L1H-940"/>
    <s v="START UP II"/>
    <s v="UNDER DO ESPESSADOR ES- 142A-9801 PARA DISTRIBUIDOR DI- 145A-9911"/>
    <m/>
    <m/>
    <m/>
    <s v="1450AA-T-70265_FL09"/>
    <n v="1"/>
    <s v="PÇ"/>
    <n v="2"/>
    <n v="2"/>
    <n v="2238.89"/>
    <n v="4477.78"/>
    <n v="0"/>
    <n v="0.9"/>
    <n v="0.1"/>
    <m/>
    <m/>
    <m/>
    <n v="0"/>
    <m/>
    <n v="0"/>
    <n v="2"/>
    <m/>
    <n v="0.4"/>
    <n v="0.5"/>
    <n v="0.1"/>
    <m/>
    <m/>
    <m/>
    <n v="0"/>
    <n v="0"/>
    <n v="0"/>
    <n v="4477.78"/>
    <m/>
    <m/>
  </r>
  <r>
    <s v="2.4.3.1.3"/>
    <s v="CMS M.60.10.000"/>
    <s v="TUBULAÇÃO"/>
    <n v="3"/>
    <s v="SPOOL"/>
    <n v="10"/>
    <s v="SIM"/>
    <s v="NÃO"/>
    <s v="NÃO"/>
    <s v="145A-PG-10¨-L1H-940"/>
    <s v="START UP II"/>
    <s v="UNDER DO ESPESSADOR ES- 142A-9801 PARA DISTRIBUIDOR DI- 145A-9911"/>
    <m/>
    <m/>
    <m/>
    <s v="1450AA-T-70265_FL10"/>
    <n v="1"/>
    <s v="PÇ"/>
    <n v="0.43"/>
    <n v="0.43"/>
    <n v="2238.89"/>
    <n v="962.72269999999992"/>
    <n v="0"/>
    <n v="0.9"/>
    <n v="0.1"/>
    <m/>
    <m/>
    <m/>
    <n v="0"/>
    <m/>
    <n v="0"/>
    <n v="0.43"/>
    <m/>
    <n v="0.4"/>
    <n v="0.5"/>
    <n v="0.1"/>
    <m/>
    <m/>
    <m/>
    <n v="0"/>
    <n v="0"/>
    <n v="0"/>
    <n v="962.72269999999992"/>
    <m/>
    <m/>
  </r>
  <r>
    <s v="2.4.3.1.3"/>
    <s v="CMS M.60.10.000"/>
    <s v="TUBULAÇÃO"/>
    <n v="4"/>
    <s v="SPOOL"/>
    <n v="10"/>
    <s v="SIM"/>
    <s v="NÃO"/>
    <s v="NÃO"/>
    <s v="145A-PG-10¨-L1H-940"/>
    <s v="START UP II"/>
    <s v="UNDER DO ESPESSADOR ES- 142A-9801 PARA DISTRIBUIDOR DI- 145A-9911"/>
    <m/>
    <m/>
    <m/>
    <s v="1450AA-T-70265_FL11"/>
    <n v="1"/>
    <s v="PÇ"/>
    <n v="0.94"/>
    <n v="0.94"/>
    <n v="2238.89"/>
    <n v="2104.5565999999999"/>
    <n v="0"/>
    <n v="0.9"/>
    <n v="0.1"/>
    <m/>
    <m/>
    <m/>
    <n v="0"/>
    <m/>
    <n v="0"/>
    <n v="0.94"/>
    <m/>
    <n v="0.4"/>
    <n v="0.5"/>
    <n v="0.1"/>
    <m/>
    <m/>
    <m/>
    <n v="0"/>
    <n v="0"/>
    <n v="0"/>
    <n v="2104.5565999999999"/>
    <m/>
    <m/>
  </r>
  <r>
    <s v="2.4.3.1.3"/>
    <s v="CMS M.60.10.000"/>
    <s v="TUBULAÇÃO"/>
    <n v="5"/>
    <s v="CURVA"/>
    <n v="10"/>
    <s v="NÃO"/>
    <s v="NÃO"/>
    <s v="NÃO"/>
    <s v="145A-PG-10¨-L1H-940"/>
    <s v="START UP II"/>
    <s v="UNDER DO ESPESSADOR ES- 142A-9801 PARA DISTRIBUIDOR DI- 145A-9911"/>
    <m/>
    <m/>
    <m/>
    <s v="1450AA-T-70265_FL12"/>
    <n v="1"/>
    <s v="PÇ"/>
    <n v="0.35399999999999998"/>
    <n v="0.35399999999999998"/>
    <n v="2238.89"/>
    <n v="792.56705999999997"/>
    <n v="0"/>
    <n v="0.9"/>
    <n v="0.1"/>
    <m/>
    <m/>
    <m/>
    <n v="0"/>
    <m/>
    <n v="0"/>
    <n v="0.35399999999999998"/>
    <m/>
    <n v="0.4"/>
    <n v="0.5"/>
    <n v="0.1"/>
    <m/>
    <m/>
    <m/>
    <n v="0"/>
    <n v="0"/>
    <n v="0"/>
    <n v="792.56705999999997"/>
    <m/>
    <m/>
  </r>
  <r>
    <s v="2.4.3.1.3"/>
    <s v="CMS M.60.10.000"/>
    <s v="TUBULAÇÃO"/>
    <n v="6"/>
    <s v="CURVA"/>
    <n v="10"/>
    <s v="NÃO"/>
    <s v="NÃO"/>
    <s v="NÃO"/>
    <s v="145A-PG-10¨-L1H-940"/>
    <s v="START UP II"/>
    <s v="UNDER DO ESPESSADOR ES- 142A-9801 PARA DISTRIBUIDOR DI- 145A-9911"/>
    <m/>
    <m/>
    <m/>
    <s v="1450AA-T-70265_FL13"/>
    <n v="1"/>
    <s v="PÇ"/>
    <n v="0.65100000000000002"/>
    <n v="0.65100000000000002"/>
    <n v="2238.89"/>
    <n v="1457.51739"/>
    <n v="0"/>
    <n v="0.9"/>
    <n v="0.1"/>
    <m/>
    <m/>
    <m/>
    <n v="0"/>
    <m/>
    <n v="0"/>
    <n v="0.65100000000000002"/>
    <m/>
    <n v="0.4"/>
    <n v="0.5"/>
    <n v="0.1"/>
    <m/>
    <m/>
    <m/>
    <n v="0"/>
    <n v="0"/>
    <n v="0"/>
    <n v="1457.51739"/>
    <m/>
    <m/>
  </r>
  <r>
    <s v="2.4.3.1.3"/>
    <s v="CMS M.60.10.000"/>
    <s v="TUBULAÇÃO"/>
    <n v="7"/>
    <s v="CURVA"/>
    <n v="10"/>
    <s v="NÃO"/>
    <s v="NÃO"/>
    <s v="NÃO"/>
    <s v="145A-PG-10¨-L1H-940"/>
    <s v="START UP II"/>
    <s v="UNDER DO ESPESSADOR ES- 142A-9801 PARA DISTRIBUIDOR DI- 145A-9911"/>
    <m/>
    <m/>
    <m/>
    <s v="1450AA-T-70265_FL14"/>
    <n v="1"/>
    <s v="PÇ"/>
    <n v="0.90300000000000002"/>
    <n v="0.90300000000000002"/>
    <n v="2238.89"/>
    <n v="2021.71767"/>
    <n v="0"/>
    <n v="0.9"/>
    <n v="0.1"/>
    <m/>
    <m/>
    <m/>
    <n v="0"/>
    <m/>
    <n v="0"/>
    <n v="0.90300000000000002"/>
    <m/>
    <n v="0.4"/>
    <n v="0.5"/>
    <n v="0.1"/>
    <m/>
    <m/>
    <m/>
    <n v="0"/>
    <n v="0"/>
    <n v="0"/>
    <n v="2021.71767"/>
    <m/>
    <m/>
  </r>
  <r>
    <s v="2.4.3.1.3"/>
    <s v="CMS M.60.10.000"/>
    <s v="TUBULAÇÃO"/>
    <n v="8"/>
    <s v="REDUÇÃO"/>
    <s v="12 X 10"/>
    <s v="NÃO"/>
    <s v="NÃO"/>
    <s v="NÃO"/>
    <s v="145A-PG-10¨-L1H-940"/>
    <s v="START UP II"/>
    <s v="UNDER DO ESPESSADOR ES- 142A-9801 PARA DISTRIBUIDOR DI- 145A-9911"/>
    <m/>
    <m/>
    <m/>
    <s v="1450AA-T-70265_FL15"/>
    <n v="1"/>
    <s v="PÇ"/>
    <n v="0.45300000000000001"/>
    <n v="0.45300000000000001"/>
    <n v="2238.89"/>
    <n v="1014.21717"/>
    <n v="0"/>
    <n v="0.9"/>
    <n v="0.1"/>
    <m/>
    <m/>
    <m/>
    <n v="0"/>
    <m/>
    <n v="0"/>
    <n v="0.45300000000000001"/>
    <m/>
    <n v="0.4"/>
    <n v="0.5"/>
    <n v="0.1"/>
    <m/>
    <m/>
    <m/>
    <n v="0"/>
    <n v="0"/>
    <n v="0"/>
    <n v="1014.21717"/>
    <m/>
    <m/>
  </r>
  <r>
    <s v="2.4.3.1.8"/>
    <s v="CMS M.60.10.000"/>
    <s v="TUBULAÇÃO"/>
    <n v="1"/>
    <s v="SPOOL"/>
    <n v="22"/>
    <s v="NÃO"/>
    <s v="SIM"/>
    <s v="NÃO"/>
    <s v="-"/>
    <s v="START UP II"/>
    <s v="DISPOSIÇÃO DE REJEITOS DISTRIBUIDOR DI-145A-9911"/>
    <m/>
    <m/>
    <m/>
    <s v="1450AA-T-70220"/>
    <n v="1"/>
    <s v="PÇ"/>
    <n v="0.92100000000000004"/>
    <n v="0.92100000000000004"/>
    <n v="2788.58"/>
    <n v="2568.2821800000002"/>
    <n v="0"/>
    <n v="0.9"/>
    <n v="0.1"/>
    <m/>
    <m/>
    <m/>
    <n v="0"/>
    <m/>
    <n v="0"/>
    <n v="0.92100000000000004"/>
    <m/>
    <n v="0.4"/>
    <n v="0.5"/>
    <n v="0.1"/>
    <m/>
    <m/>
    <m/>
    <n v="0"/>
    <n v="0"/>
    <n v="0"/>
    <n v="2568.2821800000002"/>
    <m/>
    <m/>
  </r>
  <r>
    <s v="2.4.3.1.6"/>
    <s v="CMS M.60.10.000"/>
    <s v="TUBULAÇÃO"/>
    <n v="1"/>
    <s v="SPOOL"/>
    <n v="16"/>
    <s v="NÃO"/>
    <s v="SIM"/>
    <s v="NÃO"/>
    <s v="-"/>
    <s v="START UP II"/>
    <s v="DISPOSIÇÃO DE REJEITOS DISTRIBUIDOR DI-145A-9911"/>
    <m/>
    <m/>
    <m/>
    <s v="1450AA-T-70221"/>
    <n v="7"/>
    <s v="PÇ"/>
    <n v="0.35799999999999998"/>
    <n v="2.5059999999999998"/>
    <n v="3249.8"/>
    <n v="8143.9987999999994"/>
    <n v="0"/>
    <n v="0.9"/>
    <n v="0.1"/>
    <m/>
    <m/>
    <m/>
    <n v="0"/>
    <m/>
    <n v="0"/>
    <n v="2.5059999999999998"/>
    <m/>
    <n v="0.4"/>
    <n v="0.5"/>
    <n v="0.1"/>
    <m/>
    <m/>
    <m/>
    <n v="0"/>
    <n v="0"/>
    <n v="0"/>
    <n v="8143.9987999999994"/>
    <m/>
    <m/>
  </r>
  <r>
    <s v="2.4.3.1.5"/>
    <s v="CMS M.60.10.000"/>
    <s v="TUBULAÇÃO"/>
    <n v="1"/>
    <s v="SPOOL"/>
    <n v="14"/>
    <s v="NÃO"/>
    <s v="SIM"/>
    <s v="NÃO"/>
    <s v="-"/>
    <s v="START UP I"/>
    <s v="DISPOSIÇÃO DE REJEITOS LINHA DO CIRCUITO ARENOSO DISTRIBUIDORES DI-145A-9912/9913/9914/9915"/>
    <m/>
    <m/>
    <m/>
    <s v="1450AA-T-70222"/>
    <n v="1"/>
    <s v="PÇ"/>
    <n v="0.90600000000000003"/>
    <n v="0.90600000000000003"/>
    <n v="2725.4"/>
    <n v="2469.2124000000003"/>
    <n v="0"/>
    <n v="0.9"/>
    <n v="0.1"/>
    <m/>
    <m/>
    <m/>
    <n v="0"/>
    <m/>
    <n v="0"/>
    <n v="0.90600000000000003"/>
    <m/>
    <n v="0.4"/>
    <n v="0.5"/>
    <n v="0.1"/>
    <m/>
    <m/>
    <m/>
    <n v="0"/>
    <n v="0"/>
    <n v="0"/>
    <n v="2469.2124000000003"/>
    <m/>
    <m/>
  </r>
  <r>
    <s v="2.4.3.1.2"/>
    <s v="CMS M.60.10.000"/>
    <s v="TUBULAÇÃO"/>
    <n v="1"/>
    <s v="SPOOL"/>
    <n v="8"/>
    <s v="NÃO"/>
    <s v="SIM"/>
    <s v="NÃO"/>
    <s v="-"/>
    <s v="START UP I"/>
    <s v="DISPOSIÇÃO DE REJEITOS LINHA DO CIRCUITO ARENOSO DISTRIBUIDORES DI-145A-9912/9913/9914/9915"/>
    <m/>
    <m/>
    <m/>
    <s v="1450AA-T-70223"/>
    <n v="6"/>
    <s v="PÇ"/>
    <n v="0.32300000000000001"/>
    <n v="1.9380000000000002"/>
    <n v="1651.88"/>
    <n v="3201.3434400000006"/>
    <n v="0"/>
    <n v="0.9"/>
    <n v="0.1"/>
    <m/>
    <m/>
    <m/>
    <n v="0"/>
    <m/>
    <n v="0"/>
    <n v="1.9380000000000002"/>
    <m/>
    <n v="0.4"/>
    <n v="0.5"/>
    <n v="0.1"/>
    <m/>
    <m/>
    <m/>
    <n v="0"/>
    <n v="0"/>
    <n v="0"/>
    <n v="3201.3434400000006"/>
    <m/>
    <m/>
  </r>
  <r>
    <s v="2.4.3.1.1"/>
    <s v="CMS M.60.10.000"/>
    <s v="TUBULAÇÃO"/>
    <n v="1"/>
    <s v="SPOOL"/>
    <n v="6"/>
    <s v="NÃO"/>
    <s v="SIM"/>
    <s v="NÃO"/>
    <s v="-"/>
    <s v="START UP I"/>
    <s v="DISPOSIÇÃO DE REJEITOS LINHA DO CIRCUITO ULTRAFINO DISTRIBUIDORES DI-145A-9904/9905/9906/9907"/>
    <m/>
    <m/>
    <m/>
    <s v="1450AA-T-70224"/>
    <n v="6"/>
    <s v="PÇ"/>
    <n v="0.32300000000000001"/>
    <n v="1.9380000000000002"/>
    <n v="1169.77"/>
    <n v="2267.0142600000004"/>
    <n v="0"/>
    <n v="0.9"/>
    <n v="0.1"/>
    <m/>
    <m/>
    <m/>
    <n v="0"/>
    <m/>
    <n v="0"/>
    <n v="1.9380000000000002"/>
    <m/>
    <n v="0.4"/>
    <n v="0.5"/>
    <n v="0.1"/>
    <m/>
    <m/>
    <m/>
    <n v="0"/>
    <n v="0"/>
    <n v="0"/>
    <n v="2267.0142600000004"/>
    <m/>
    <m/>
  </r>
  <r>
    <s v="2.4.3.1.3"/>
    <s v="CMS M.60.10.000"/>
    <s v="TUBULAÇÃO"/>
    <n v="1"/>
    <s v="SPOOL"/>
    <n v="10"/>
    <s v="NÃO"/>
    <s v="SIM"/>
    <s v="NÃO"/>
    <s v="-"/>
    <s v="START UP I"/>
    <s v="DISPOSIÇÃO DE REJEITOS LINHA DO CIRCUITO ULTRAFINO DISTRIBUIDORES DI-145A-9904/9905/9906/9907"/>
    <m/>
    <m/>
    <m/>
    <s v="1450AA-T-70225"/>
    <n v="1"/>
    <s v="PÇ"/>
    <n v="0.78"/>
    <n v="0.78"/>
    <n v="2238.89"/>
    <n v="1746.3342"/>
    <n v="0"/>
    <n v="0.9"/>
    <n v="0.1"/>
    <m/>
    <m/>
    <m/>
    <n v="0"/>
    <m/>
    <n v="0"/>
    <n v="0.78"/>
    <m/>
    <n v="0.4"/>
    <n v="0.5"/>
    <n v="0.1"/>
    <m/>
    <m/>
    <m/>
    <n v="0"/>
    <n v="0"/>
    <n v="0"/>
    <n v="1746.3342"/>
    <m/>
    <m/>
  </r>
  <r>
    <s v="2.4.3.1.5"/>
    <s v="CMS M.60.10.000"/>
    <s v="TUBULAÇÃO"/>
    <n v="1"/>
    <s v="SPOOL"/>
    <n v="14"/>
    <s v="NÃO"/>
    <s v="SIM"/>
    <s v="NÃO"/>
    <s v="-"/>
    <s v="START UP II"/>
    <s v="DISPOSIÇÃO DE REJEITOS LINHA DO CIRCUITO ARENOSO DISTRIBUIDORES DI-145A-9916"/>
    <m/>
    <m/>
    <m/>
    <s v="1450AA-T-70226"/>
    <n v="1"/>
    <s v="PÇ"/>
    <n v="0.90100000000000002"/>
    <n v="0.90100000000000002"/>
    <n v="2725.4"/>
    <n v="2455.5853999999999"/>
    <n v="0"/>
    <n v="0.9"/>
    <n v="0.1"/>
    <m/>
    <m/>
    <m/>
    <n v="0"/>
    <m/>
    <n v="0"/>
    <n v="0.90100000000000002"/>
    <m/>
    <n v="0.4"/>
    <n v="0.5"/>
    <n v="0.1"/>
    <m/>
    <m/>
    <m/>
    <n v="0"/>
    <n v="0"/>
    <n v="0"/>
    <n v="2455.5853999999999"/>
    <m/>
    <m/>
  </r>
  <r>
    <s v="2.4.3.1.4"/>
    <s v="CMS M.60.10.000"/>
    <s v="TUBULAÇÃO"/>
    <n v="1"/>
    <s v="SPOOL"/>
    <n v="12"/>
    <s v="NÃO"/>
    <s v="SIM"/>
    <s v="NÃO"/>
    <s v="-"/>
    <s v="START UP II"/>
    <s v="DISPOSIÇÃO DE REJEITOS LINHA DO CIRCUITO ARENOSO DISTRIBUIDORES DI-145A-9916"/>
    <m/>
    <m/>
    <m/>
    <s v="1450AA-T-70227"/>
    <n v="2"/>
    <s v="PÇ"/>
    <n v="0.35799999999999998"/>
    <n v="0.71599999999999997"/>
    <n v="2576.75"/>
    <n v="1844.953"/>
    <n v="0"/>
    <n v="0.9"/>
    <n v="0.1"/>
    <m/>
    <m/>
    <m/>
    <n v="0"/>
    <m/>
    <n v="0"/>
    <n v="0.71599999999999997"/>
    <m/>
    <n v="0.4"/>
    <n v="0.5"/>
    <n v="0.1"/>
    <m/>
    <m/>
    <m/>
    <n v="0"/>
    <n v="0"/>
    <n v="0"/>
    <n v="1844.953"/>
    <m/>
    <m/>
  </r>
  <r>
    <s v="2.4.3.1.2"/>
    <s v="CMS M.60.10.000"/>
    <s v="TUBULAÇÃO"/>
    <n v="1"/>
    <s v="SPOOL"/>
    <n v="8"/>
    <s v="NÃO"/>
    <s v="SIM"/>
    <s v="NÃO"/>
    <s v="-"/>
    <s v="START UP III"/>
    <s v="DISPOSIÇÃO DE REJEITOS LINHA DO CIRCUITO ULTRAFINO DISTRIBUIDORES DI-145A-9908"/>
    <m/>
    <m/>
    <m/>
    <s v="1450AA-T-70228"/>
    <n v="2"/>
    <s v="PÇ"/>
    <n v="0.32300000000000001"/>
    <n v="0.64600000000000002"/>
    <n v="1651.88"/>
    <n v="1067.1144800000002"/>
    <n v="0"/>
    <n v="0.9"/>
    <n v="0.1"/>
    <m/>
    <m/>
    <m/>
    <n v="0"/>
    <m/>
    <n v="0"/>
    <n v="0.64600000000000002"/>
    <m/>
    <n v="0.4"/>
    <n v="0.5"/>
    <n v="0.1"/>
    <m/>
    <m/>
    <m/>
    <n v="0"/>
    <n v="0"/>
    <n v="0"/>
    <n v="1067.1144800000002"/>
    <m/>
    <m/>
  </r>
  <r>
    <s v="2.4.3.1.3"/>
    <s v="CMS M.60.10.000"/>
    <s v="TUBULAÇÃO"/>
    <n v="1"/>
    <s v="SPOOL"/>
    <n v="10"/>
    <s v="NÃO"/>
    <s v="SIM"/>
    <s v="NÃO"/>
    <s v="-"/>
    <s v="START UP III"/>
    <s v="DISPOSIÇÃO DE REJEITOS LINHA DO CIRCUITO ULTRAFINO DISTRIBUIDORES DI-145A-9908"/>
    <m/>
    <m/>
    <m/>
    <s v="1450AA-T-70229"/>
    <n v="1"/>
    <s v="PÇ"/>
    <n v="0.72199999999999998"/>
    <n v="0.72199999999999998"/>
    <n v="2238.89"/>
    <n v="1616.47858"/>
    <n v="0"/>
    <n v="0.9"/>
    <n v="0.1"/>
    <m/>
    <m/>
    <m/>
    <n v="0"/>
    <m/>
    <n v="0"/>
    <n v="0.72199999999999998"/>
    <m/>
    <n v="0.4"/>
    <n v="0.5"/>
    <n v="0.1"/>
    <m/>
    <m/>
    <m/>
    <n v="0"/>
    <n v="0"/>
    <n v="0"/>
    <n v="1616.47858"/>
    <m/>
    <m/>
  </r>
  <r>
    <s v="2.4.3.1.3"/>
    <s v="CMS M.60.10.000"/>
    <s v="TUBULAÇÃO"/>
    <n v="1"/>
    <s v="CURVA"/>
    <n v="10"/>
    <s v="NÃO"/>
    <s v="NÃO"/>
    <s v="SIM"/>
    <s v="10¨-PG-143A-476-X16"/>
    <s v="START UP I"/>
    <s v="LINHA DE UNDERFLOW DAS PENEIRAS DESAGUADORAS RETRABALHO DO UNDERFLOW DA PENEIRA PN-143A-9721"/>
    <m/>
    <m/>
    <m/>
    <s v="1450AA-T-70231_FL06"/>
    <n v="1"/>
    <s v="PÇ"/>
    <n v="0.69099999999999995"/>
    <n v="0.69099999999999995"/>
    <n v="2238.89"/>
    <n v="1547.0729899999999"/>
    <n v="0"/>
    <n v="0.9"/>
    <n v="0.1"/>
    <m/>
    <m/>
    <m/>
    <n v="0"/>
    <m/>
    <n v="0"/>
    <n v="0.69099999999999995"/>
    <m/>
    <n v="0.4"/>
    <n v="0.5"/>
    <n v="0.1"/>
    <m/>
    <m/>
    <m/>
    <n v="0"/>
    <n v="0"/>
    <n v="0"/>
    <n v="1547.0729899999999"/>
    <m/>
    <m/>
  </r>
  <r>
    <s v="2.4.3.1.3"/>
    <s v="CMS M.60.10.000"/>
    <s v="TUBULAÇÃO"/>
    <n v="2"/>
    <s v="SPOOL"/>
    <n v="10"/>
    <s v="NÃO"/>
    <s v="NÃO"/>
    <s v="SIM"/>
    <s v="10¨-PG-143A-476-X16"/>
    <s v="START UP I"/>
    <s v="LINHA DE UNDERFLOW DAS PENEIRAS DESAGUADORAS RETRABALHO DO UNDERFLOW DA PENEIRA PN-143A-9721"/>
    <m/>
    <m/>
    <m/>
    <s v="1450AA-T-70231_FL07"/>
    <n v="1"/>
    <s v="PÇ"/>
    <n v="3.1"/>
    <n v="3.1"/>
    <n v="2238.89"/>
    <n v="6940.5590000000002"/>
    <n v="0"/>
    <n v="0.9"/>
    <n v="0.1"/>
    <m/>
    <m/>
    <m/>
    <n v="0"/>
    <m/>
    <n v="0"/>
    <n v="3.1"/>
    <m/>
    <n v="0.4"/>
    <n v="0.5"/>
    <n v="0.1"/>
    <m/>
    <m/>
    <m/>
    <n v="0"/>
    <n v="0"/>
    <n v="0"/>
    <n v="6940.5590000000002"/>
    <m/>
    <m/>
  </r>
  <r>
    <s v="2.4.3.1.3"/>
    <s v="CMS M.60.10.000"/>
    <s v="TUBULAÇÃO"/>
    <n v="3"/>
    <s v="SPOOL"/>
    <n v="10"/>
    <s v="SIM"/>
    <s v="NÃO"/>
    <s v="SIM"/>
    <s v="10¨-PG-143A-476-X16"/>
    <s v="START UP I"/>
    <s v="LINHA DE UNDERFLOW DAS PENEIRAS DESAGUADORAS RETRABALHO DO UNDERFLOW DA PENEIRA PN-143A-9721"/>
    <m/>
    <m/>
    <m/>
    <s v="1450AA-T-70231_FL08"/>
    <n v="2"/>
    <s v="PÇ"/>
    <n v="0.5"/>
    <n v="1"/>
    <n v="2238.89"/>
    <n v="2238.89"/>
    <n v="0"/>
    <n v="0.9"/>
    <n v="0.1"/>
    <m/>
    <m/>
    <m/>
    <n v="0"/>
    <m/>
    <n v="0"/>
    <n v="1"/>
    <m/>
    <n v="0.4"/>
    <n v="0.5"/>
    <n v="0.1"/>
    <m/>
    <m/>
    <m/>
    <n v="0"/>
    <n v="0"/>
    <n v="0"/>
    <n v="2238.89"/>
    <m/>
    <m/>
  </r>
  <r>
    <s v="2.4.3.1.3"/>
    <s v="CMS M.60.10.000"/>
    <s v="TUBULAÇÃO"/>
    <n v="1"/>
    <s v="SPOOL"/>
    <n v="10"/>
    <s v="NÃO"/>
    <s v="NÃO"/>
    <s v="SIM"/>
    <s v="10¨-PG-143A-477-X16"/>
    <s v="START UP I"/>
    <s v="LINHA DE UNDERFLOW DAS PENEIRAS DESAGUADORAS RETRABALHO DO UNDERFLOW DA PENEIRA PN-143A-9722"/>
    <m/>
    <m/>
    <m/>
    <s v="1450AA-T-70233_FL04"/>
    <n v="1"/>
    <s v="PÇ"/>
    <n v="3.1"/>
    <n v="3.1"/>
    <n v="2238.89"/>
    <n v="6940.5590000000002"/>
    <n v="0"/>
    <n v="0.9"/>
    <n v="0.1"/>
    <m/>
    <m/>
    <m/>
    <n v="0"/>
    <m/>
    <n v="0"/>
    <n v="3.1"/>
    <m/>
    <n v="0.4"/>
    <n v="0.5"/>
    <n v="0.1"/>
    <m/>
    <m/>
    <m/>
    <n v="0"/>
    <n v="0"/>
    <n v="0"/>
    <n v="6940.5590000000002"/>
    <m/>
    <m/>
  </r>
  <r>
    <s v="2.4.3.1.3"/>
    <s v="CMS M.60.10.000"/>
    <s v="TUBULAÇÃO"/>
    <n v="2"/>
    <s v="SPOOL"/>
    <n v="10"/>
    <s v="SIM"/>
    <s v="NÃO"/>
    <s v="SIM"/>
    <s v="10¨-PG-143A-477-X16"/>
    <s v="START UP I"/>
    <s v="LINHA DE UNDERFLOW DAS PENEIRAS DESAGUADORAS RETRABALHO DO UNDERFLOW DA PENEIRA PN-143A-9722"/>
    <m/>
    <m/>
    <m/>
    <s v="1450AA-T-70233_FL05"/>
    <n v="1"/>
    <s v="PÇ"/>
    <n v="0.4"/>
    <n v="0.4"/>
    <n v="2238.89"/>
    <n v="895.55600000000004"/>
    <n v="0"/>
    <n v="0.9"/>
    <n v="0.1"/>
    <m/>
    <m/>
    <m/>
    <n v="0"/>
    <m/>
    <n v="0"/>
    <n v="0.4"/>
    <m/>
    <n v="0.4"/>
    <n v="0.5"/>
    <n v="0.1"/>
    <m/>
    <m/>
    <m/>
    <n v="0"/>
    <n v="0"/>
    <n v="0"/>
    <n v="895.55600000000004"/>
    <m/>
    <m/>
  </r>
  <r>
    <s v="2.4.3.1.3"/>
    <s v="CMS M.60.10.000"/>
    <s v="TUBULAÇÃO"/>
    <n v="1"/>
    <s v="SPOOL"/>
    <n v="10"/>
    <s v="NÃO"/>
    <s v="NÃO"/>
    <s v="SIM"/>
    <s v="10¨-PG-143A-478-X16"/>
    <s v="START UP I"/>
    <s v="LINHA DE UNDERFLOW DAS PENEIRAS DESAGUADORAS RETRABALHO DO UNDERFLOW DA PENEIRA PN-143A-9723"/>
    <m/>
    <m/>
    <m/>
    <s v="1450AA-T-70235_FL04"/>
    <n v="1"/>
    <s v="PÇ"/>
    <n v="3.1"/>
    <n v="3.1"/>
    <n v="2238.89"/>
    <n v="6940.5590000000002"/>
    <n v="0"/>
    <n v="0.9"/>
    <n v="0.1"/>
    <m/>
    <m/>
    <m/>
    <n v="0"/>
    <m/>
    <n v="0"/>
    <n v="3.1"/>
    <m/>
    <n v="0.4"/>
    <n v="0.5"/>
    <n v="0.1"/>
    <m/>
    <m/>
    <m/>
    <n v="0"/>
    <n v="0"/>
    <n v="0"/>
    <n v="6940.5590000000002"/>
    <m/>
    <m/>
  </r>
  <r>
    <s v="2.4.3.1.3"/>
    <s v="CMS M.60.10.000"/>
    <s v="TUBULAÇÃO"/>
    <n v="2"/>
    <s v="SPOOL"/>
    <n v="10"/>
    <s v="SIM"/>
    <s v="NÃO"/>
    <s v="SIM"/>
    <s v="10¨-PG-143A-478-X16"/>
    <s v="START UP I"/>
    <s v="LINHA DE UNDERFLOW DAS PENEIRAS DESAGUADORAS RETRABALHO DO UNDERFLOW DA PENEIRA PN-143A-9723"/>
    <m/>
    <m/>
    <m/>
    <s v="1450AA-T-70235_FL05"/>
    <n v="1"/>
    <s v="PÇ"/>
    <n v="0.45"/>
    <n v="0.45"/>
    <n v="2238.89"/>
    <n v="1007.5005"/>
    <n v="0"/>
    <n v="0.9"/>
    <n v="0.1"/>
    <m/>
    <m/>
    <m/>
    <n v="0"/>
    <m/>
    <n v="0"/>
    <n v="0.45"/>
    <m/>
    <n v="0.4"/>
    <n v="0.5"/>
    <n v="0.1"/>
    <m/>
    <m/>
    <m/>
    <n v="0"/>
    <n v="0"/>
    <n v="0"/>
    <n v="1007.5005"/>
    <m/>
    <m/>
  </r>
  <r>
    <s v="2.4.3.1.3"/>
    <s v="CMS M.60.10.000"/>
    <s v="TUBULAÇÃO"/>
    <n v="1"/>
    <s v="SPOOL"/>
    <n v="10"/>
    <s v="NÃO"/>
    <s v="NÃO"/>
    <s v="SIM"/>
    <s v="10¨-PG-143A-479-X16"/>
    <s v="START UP I"/>
    <s v="LINHA DE UNDERFLOW DAS PENEIRAS DESAGUADORAS RETRABALHO DO UNDERFLOW DA PENEIRA PN-143A-9724"/>
    <m/>
    <m/>
    <m/>
    <s v="1450AA-T-70237_FL04"/>
    <n v="1"/>
    <s v="PÇ"/>
    <n v="3.1"/>
    <n v="3.1"/>
    <n v="2238.89"/>
    <n v="6940.5590000000002"/>
    <n v="0"/>
    <n v="0.9"/>
    <n v="0.1"/>
    <m/>
    <m/>
    <m/>
    <n v="0"/>
    <m/>
    <n v="0"/>
    <n v="3.1"/>
    <m/>
    <n v="0.4"/>
    <n v="0.5"/>
    <n v="0.1"/>
    <m/>
    <m/>
    <m/>
    <n v="0"/>
    <n v="0"/>
    <n v="0"/>
    <n v="6940.5590000000002"/>
    <m/>
    <m/>
  </r>
  <r>
    <s v="2.4.3.1.3"/>
    <s v="CMS M.60.10.000"/>
    <s v="TUBULAÇÃO"/>
    <n v="2"/>
    <s v="SPOOL"/>
    <n v="10"/>
    <s v="SIM"/>
    <s v="NÃO"/>
    <s v="SIM"/>
    <s v="10¨-PG-143A-479-X16"/>
    <s v="START UP I"/>
    <s v="LINHA DE UNDERFLOW DAS PENEIRAS DESAGUADORAS RETRABALHO DO UNDERFLOW DA PENEIRA PN-143A-9724"/>
    <m/>
    <m/>
    <m/>
    <s v="1450AA-T-70237_FL05"/>
    <n v="1"/>
    <s v="PÇ"/>
    <n v="0.45"/>
    <n v="0.45"/>
    <n v="2238.89"/>
    <n v="1007.5005"/>
    <n v="0"/>
    <n v="0.9"/>
    <n v="0.1"/>
    <m/>
    <m/>
    <m/>
    <n v="0"/>
    <m/>
    <n v="0"/>
    <n v="0.45"/>
    <m/>
    <n v="0.4"/>
    <n v="0.5"/>
    <n v="0.1"/>
    <m/>
    <m/>
    <m/>
    <n v="0"/>
    <n v="0"/>
    <n v="0"/>
    <n v="1007.5005"/>
    <m/>
    <m/>
  </r>
  <r>
    <s v="2.4.3.1.3"/>
    <s v="CMS M.60.10.000"/>
    <s v="TUBULAÇÃO"/>
    <n v="1"/>
    <s v="CURVA"/>
    <n v="10"/>
    <s v="NÃO"/>
    <s v="NÃO"/>
    <s v="SIM"/>
    <s v="10¨-PG-143A-480-X16"/>
    <s v="START UP I"/>
    <s v="LINHA DE UNDERFLOW DAS PENEIRAS DESAGUADORAS RETRABALHO DO UNDERFLOW DA PENEIRA PN-143A-9725"/>
    <m/>
    <m/>
    <m/>
    <s v="1450AA-T-70239_FL06"/>
    <n v="1"/>
    <s v="PÇ"/>
    <n v="0.6"/>
    <n v="0.6"/>
    <n v="2238.89"/>
    <n v="1343.3339999999998"/>
    <n v="0"/>
    <n v="0.9"/>
    <n v="0.1"/>
    <m/>
    <m/>
    <m/>
    <n v="0"/>
    <m/>
    <n v="0"/>
    <n v="0.6"/>
    <m/>
    <n v="0.4"/>
    <n v="0.5"/>
    <n v="0.1"/>
    <m/>
    <m/>
    <m/>
    <n v="0"/>
    <n v="0"/>
    <n v="0"/>
    <n v="1343.3339999999998"/>
    <m/>
    <m/>
  </r>
  <r>
    <s v="2.4.3.1.3"/>
    <s v="CMS M.60.10.000"/>
    <s v="TUBULAÇÃO"/>
    <n v="2"/>
    <s v="SPOOL"/>
    <n v="10"/>
    <s v="NÃO"/>
    <s v="NÃO"/>
    <s v="SIM"/>
    <s v="10¨-PG-143A-480-X16"/>
    <s v="START UP I"/>
    <s v="LINHA DE UNDERFLOW DAS PENEIRAS DESAGUADORAS RETRABALHO DO UNDERFLOW DA PENEIRA PN-143A-9725"/>
    <m/>
    <m/>
    <m/>
    <s v="1450AA-T-70239_FL07"/>
    <n v="1"/>
    <s v="PÇ"/>
    <n v="2.2999999999999998"/>
    <n v="2.2999999999999998"/>
    <n v="2238.89"/>
    <n v="5149.4469999999992"/>
    <n v="0"/>
    <n v="0.9"/>
    <n v="0.1"/>
    <m/>
    <m/>
    <m/>
    <n v="0"/>
    <m/>
    <n v="0"/>
    <n v="2.2999999999999998"/>
    <m/>
    <n v="0.4"/>
    <n v="0.5"/>
    <n v="0.1"/>
    <m/>
    <m/>
    <m/>
    <n v="0"/>
    <n v="0"/>
    <n v="0"/>
    <n v="5149.4469999999992"/>
    <m/>
    <m/>
  </r>
  <r>
    <s v="2.4.3.1.3"/>
    <s v="CMS M.60.10.000"/>
    <s v="TUBULAÇÃO"/>
    <n v="3"/>
    <s v="SPOOL"/>
    <n v="10"/>
    <s v="SIM"/>
    <s v="NÃO"/>
    <s v="SIM"/>
    <s v="10¨-PG-143A-480-X16"/>
    <s v="START UP I"/>
    <s v="LINHA DE UNDERFLOW DAS PENEIRAS DESAGUADORAS RETRABALHO DO UNDERFLOW DA PENEIRA PN-143A-9725"/>
    <m/>
    <m/>
    <m/>
    <s v="1450AA-T-70239_FL08"/>
    <n v="1"/>
    <s v="PÇ"/>
    <n v="0.3"/>
    <n v="0.3"/>
    <n v="2238.89"/>
    <n v="671.66699999999992"/>
    <n v="0"/>
    <n v="0.9"/>
    <n v="0.1"/>
    <m/>
    <m/>
    <m/>
    <n v="0"/>
    <m/>
    <n v="0"/>
    <n v="0.3"/>
    <m/>
    <n v="0.4"/>
    <n v="0.5"/>
    <n v="0.1"/>
    <m/>
    <m/>
    <m/>
    <n v="0"/>
    <n v="0"/>
    <n v="0"/>
    <n v="671.66699999999992"/>
    <m/>
    <m/>
  </r>
  <r>
    <s v="2.4.3.1.3"/>
    <s v="CMS M.60.10.000"/>
    <s v="TUBULAÇÃO"/>
    <n v="4"/>
    <s v="SPOOL"/>
    <n v="10"/>
    <s v="SIM"/>
    <s v="NÃO"/>
    <s v="SIM"/>
    <s v="10¨-PG-143A-480-X16"/>
    <s v="START UP I"/>
    <s v="LINHA DE UNDERFLOW DAS PENEIRAS DESAGUADORAS RETRABALHO DO UNDERFLOW DA PENEIRA PN-143A-9725"/>
    <m/>
    <m/>
    <m/>
    <s v="1450AA-T-70239_FL09"/>
    <n v="1"/>
    <s v="PÇ"/>
    <n v="0.4"/>
    <n v="0.4"/>
    <n v="2238.89"/>
    <n v="895.55600000000004"/>
    <n v="0"/>
    <n v="0.9"/>
    <n v="0.1"/>
    <m/>
    <m/>
    <m/>
    <n v="0"/>
    <m/>
    <n v="0"/>
    <n v="0.4"/>
    <m/>
    <n v="0.4"/>
    <n v="0.5"/>
    <n v="0.1"/>
    <m/>
    <m/>
    <m/>
    <n v="0"/>
    <n v="0"/>
    <n v="0"/>
    <n v="895.55600000000004"/>
    <m/>
    <m/>
  </r>
  <r>
    <s v="2.4.3.1.3"/>
    <s v="CMS M.60.10.000"/>
    <s v="TUBULAÇÃO"/>
    <n v="5"/>
    <s v="SPOOL"/>
    <n v="10"/>
    <s v="SIM"/>
    <s v="NÃO"/>
    <s v="SIM"/>
    <s v="10¨-PG-143A-480-X16"/>
    <s v="START UP I"/>
    <s v="LINHA DE UNDERFLOW DAS PENEIRAS DESAGUADORAS RETRABALHO DO UNDERFLOW DA PENEIRA PN-143A-9725"/>
    <m/>
    <m/>
    <m/>
    <s v="1450AA-T-70239_FL10"/>
    <n v="1"/>
    <s v="PÇ"/>
    <n v="0.6"/>
    <n v="0.6"/>
    <n v="2238.89"/>
    <n v="1343.3339999999998"/>
    <n v="0"/>
    <n v="0.9"/>
    <n v="0.1"/>
    <m/>
    <m/>
    <m/>
    <n v="0"/>
    <m/>
    <n v="0"/>
    <n v="0.6"/>
    <m/>
    <n v="0.4"/>
    <n v="0.5"/>
    <n v="0.1"/>
    <m/>
    <m/>
    <m/>
    <n v="0"/>
    <n v="0"/>
    <n v="0"/>
    <n v="1343.3339999999998"/>
    <m/>
    <m/>
  </r>
  <r>
    <s v="2.4.3.1.3"/>
    <s v="CMS M.60.10.000"/>
    <s v="TUBULAÇÃO"/>
    <n v="1"/>
    <s v="CURVA"/>
    <n v="10"/>
    <s v="NÃO"/>
    <s v="NÃO"/>
    <s v="SIM"/>
    <s v="10¨-PG-143A-481-X16"/>
    <s v="START UP I"/>
    <s v="LINHA DE UNDERFLOW DAS PENEIRAS DESAGUADORAS RETRABALHO DO UNDERFLOW DA PENEIRA PN-143A-9726"/>
    <m/>
    <m/>
    <m/>
    <s v="1450AA-T-70241_FL06"/>
    <n v="1"/>
    <s v="PÇ"/>
    <n v="0.61699999999999999"/>
    <n v="0.61699999999999999"/>
    <n v="2238.89"/>
    <n v="1381.3951299999999"/>
    <n v="0"/>
    <n v="0.9"/>
    <n v="0.1"/>
    <m/>
    <m/>
    <m/>
    <n v="0"/>
    <m/>
    <n v="0"/>
    <n v="0.61699999999999999"/>
    <m/>
    <n v="0.4"/>
    <n v="0.5"/>
    <n v="0.1"/>
    <m/>
    <m/>
    <m/>
    <n v="0"/>
    <n v="0"/>
    <n v="0"/>
    <n v="1381.3951299999999"/>
    <m/>
    <m/>
  </r>
  <r>
    <s v="2.4.3.1.3"/>
    <s v="CMS M.60.10.000"/>
    <s v="TUBULAÇÃO"/>
    <n v="2"/>
    <s v="SPOOL"/>
    <n v="10"/>
    <s v="NÃO"/>
    <s v="NÃO"/>
    <s v="SIM"/>
    <s v="10¨-PG-143A-481-X16"/>
    <s v="START UP I"/>
    <s v="LINHA DE UNDERFLOW DAS PENEIRAS DESAGUADORAS RETRABALHO DO UNDERFLOW DA PENEIRA PN-143A-9726"/>
    <m/>
    <m/>
    <m/>
    <s v="1450AA-T-70241_FL07"/>
    <n v="1"/>
    <s v="PÇ"/>
    <n v="1.45"/>
    <n v="1.45"/>
    <n v="2238.89"/>
    <n v="3246.3904999999995"/>
    <n v="0"/>
    <n v="0.9"/>
    <n v="0.1"/>
    <m/>
    <m/>
    <m/>
    <n v="0"/>
    <m/>
    <n v="0"/>
    <n v="1.45"/>
    <m/>
    <n v="0.4"/>
    <n v="0.5"/>
    <n v="0.1"/>
    <m/>
    <m/>
    <m/>
    <n v="0"/>
    <n v="0"/>
    <n v="0"/>
    <n v="3246.3904999999995"/>
    <m/>
    <m/>
  </r>
  <r>
    <s v="2.4.3.1.3"/>
    <s v="CMS M.60.10.000"/>
    <s v="TUBULAÇÃO"/>
    <n v="3"/>
    <s v="SPOOL"/>
    <n v="10"/>
    <s v="SIM"/>
    <s v="NÃO"/>
    <s v="SIM"/>
    <s v="10¨-PG-143A-481-X16"/>
    <s v="START UP I"/>
    <s v="LINHA DE UNDERFLOW DAS PENEIRAS DESAGUADORAS RETRABALHO DO UNDERFLOW DA PENEIRA PN-143A-9726"/>
    <m/>
    <m/>
    <m/>
    <s v="1450AA-T-70241_FL08"/>
    <n v="1"/>
    <s v="PÇ"/>
    <n v="0.3"/>
    <n v="0.3"/>
    <n v="2238.89"/>
    <n v="671.66699999999992"/>
    <n v="0"/>
    <n v="0.9"/>
    <n v="0.1"/>
    <m/>
    <m/>
    <m/>
    <n v="0"/>
    <m/>
    <n v="0"/>
    <n v="0.3"/>
    <m/>
    <n v="0.4"/>
    <n v="0.5"/>
    <n v="0.1"/>
    <m/>
    <m/>
    <m/>
    <n v="0"/>
    <n v="0"/>
    <n v="0"/>
    <n v="671.66699999999992"/>
    <m/>
    <m/>
  </r>
  <r>
    <s v="2.4.3.1.3"/>
    <s v="CMS M.60.10.000"/>
    <s v="TUBULAÇÃO"/>
    <n v="4"/>
    <s v="SPOOL"/>
    <n v="10"/>
    <s v="SIM"/>
    <s v="NÃO"/>
    <s v="SIM"/>
    <s v="10¨-PG-143A-481-X16"/>
    <s v="START UP I"/>
    <s v="LINHA DE UNDERFLOW DAS PENEIRAS DESAGUADORAS RETRABALHO DO UNDERFLOW DA PENEIRA PN-143A-9726"/>
    <m/>
    <m/>
    <m/>
    <s v="1450AA-T-70241_FL09"/>
    <n v="1"/>
    <s v="PÇ"/>
    <n v="0.4"/>
    <n v="0.4"/>
    <n v="2238.89"/>
    <n v="895.55600000000004"/>
    <n v="0"/>
    <n v="0.9"/>
    <n v="0.1"/>
    <m/>
    <m/>
    <m/>
    <n v="0"/>
    <m/>
    <n v="0"/>
    <n v="0.4"/>
    <m/>
    <n v="0.4"/>
    <n v="0.5"/>
    <n v="0.1"/>
    <m/>
    <m/>
    <m/>
    <n v="0"/>
    <n v="0"/>
    <n v="0"/>
    <n v="895.55600000000004"/>
    <m/>
    <m/>
  </r>
  <r>
    <s v="2.4.3.1.3"/>
    <s v="CMS M.60.10.000"/>
    <s v="TUBULAÇÃO"/>
    <n v="5"/>
    <s v="SPOOL"/>
    <n v="10"/>
    <s v="SIM"/>
    <s v="NÃO"/>
    <s v="SIM"/>
    <s v="10¨-PG-143A-481-X16"/>
    <s v="START UP I"/>
    <s v="LINHA DE UNDERFLOW DAS PENEIRAS DESAGUADORAS RETRABALHO DO UNDERFLOW DA PENEIRA PN-143A-9726"/>
    <m/>
    <m/>
    <m/>
    <s v="1450AA-T-70241_FL10"/>
    <n v="1"/>
    <s v="PÇ"/>
    <n v="1.05"/>
    <n v="1.05"/>
    <n v="2238.89"/>
    <n v="2350.8344999999999"/>
    <n v="0"/>
    <n v="0.9"/>
    <n v="0.1"/>
    <m/>
    <m/>
    <m/>
    <n v="0"/>
    <m/>
    <n v="0"/>
    <n v="1.05"/>
    <m/>
    <n v="0.4"/>
    <n v="0.5"/>
    <n v="0.1"/>
    <m/>
    <m/>
    <m/>
    <n v="0"/>
    <n v="0"/>
    <n v="0"/>
    <n v="2350.8344999999999"/>
    <m/>
    <m/>
  </r>
  <r>
    <s v="2.4.3.1.3"/>
    <s v="CMS M.60.10.000"/>
    <s v="TUBULAÇÃO"/>
    <n v="1"/>
    <s v="CURVA"/>
    <n v="10"/>
    <s v="NÃO"/>
    <s v="NÃO"/>
    <s v="SIM"/>
    <s v="10¨-PG-143A-482-X16"/>
    <s v="START UP II"/>
    <s v="LINHA DE UNDERFLOW DAS PENEIRAS DESAGUADORAS RETRABALHO DO UNDERFLOW DA PENEIRA PN-143A-9727"/>
    <m/>
    <m/>
    <m/>
    <s v="1450AA-T-70243_FL06"/>
    <n v="1"/>
    <s v="PÇ"/>
    <n v="0.61699999999999999"/>
    <n v="0.61699999999999999"/>
    <n v="2238.89"/>
    <n v="1381.3951299999999"/>
    <n v="0"/>
    <n v="0.9"/>
    <n v="0.1"/>
    <m/>
    <m/>
    <m/>
    <n v="0"/>
    <m/>
    <n v="0"/>
    <n v="0.61699999999999999"/>
    <m/>
    <n v="0.4"/>
    <n v="0.5"/>
    <n v="0.1"/>
    <m/>
    <m/>
    <m/>
    <n v="0"/>
    <n v="0"/>
    <n v="0"/>
    <n v="1381.3951299999999"/>
    <m/>
    <m/>
  </r>
  <r>
    <s v="2.4.3.1.3"/>
    <s v="CMS M.60.10.000"/>
    <s v="TUBULAÇÃO"/>
    <n v="2"/>
    <s v="SPOOL"/>
    <n v="10"/>
    <s v="NÃO"/>
    <s v="NÃO"/>
    <s v="SIM"/>
    <s v="10¨-PG-143A-482-X16"/>
    <s v="START UP II"/>
    <s v="LINHA DE UNDERFLOW DAS PENEIRAS DESAGUADORAS RETRABALHO DO UNDERFLOW DA PENEIRA PN-143A-9727"/>
    <m/>
    <m/>
    <m/>
    <s v="1450AA-T-70243_FL07"/>
    <n v="1"/>
    <s v="PÇ"/>
    <n v="1.45"/>
    <n v="1.45"/>
    <n v="2238.89"/>
    <n v="3246.3904999999995"/>
    <n v="0"/>
    <n v="0.9"/>
    <n v="0.1"/>
    <m/>
    <m/>
    <m/>
    <n v="0"/>
    <m/>
    <n v="0"/>
    <n v="1.45"/>
    <m/>
    <n v="0.4"/>
    <n v="0.5"/>
    <n v="0.1"/>
    <m/>
    <m/>
    <m/>
    <n v="0"/>
    <n v="0"/>
    <n v="0"/>
    <n v="3246.3904999999995"/>
    <m/>
    <m/>
  </r>
  <r>
    <s v="2.4.3.1.3"/>
    <s v="CMS M.60.10.000"/>
    <s v="TUBULAÇÃO"/>
    <n v="3"/>
    <s v="SPOOL"/>
    <n v="10"/>
    <s v="SIM"/>
    <s v="NÃO"/>
    <s v="SIM"/>
    <s v="10¨-PG-143A-482-X16"/>
    <s v="START UP II"/>
    <s v="LINHA DE UNDERFLOW DAS PENEIRAS DESAGUADORAS RETRABALHO DO UNDERFLOW DA PENEIRA PN-143A-9727"/>
    <m/>
    <m/>
    <m/>
    <s v="1450AA-T-70243_FL08"/>
    <n v="1"/>
    <s v="PÇ"/>
    <n v="0.3"/>
    <n v="0.3"/>
    <n v="2238.89"/>
    <n v="671.66699999999992"/>
    <n v="0"/>
    <n v="0.9"/>
    <n v="0.1"/>
    <m/>
    <m/>
    <m/>
    <n v="0"/>
    <m/>
    <n v="0"/>
    <n v="0.3"/>
    <m/>
    <n v="0.4"/>
    <n v="0.5"/>
    <n v="0.1"/>
    <m/>
    <m/>
    <m/>
    <n v="0"/>
    <n v="0"/>
    <n v="0"/>
    <n v="671.66699999999992"/>
    <m/>
    <m/>
  </r>
  <r>
    <s v="2.4.3.1.3"/>
    <s v="CMS M.60.10.000"/>
    <s v="TUBULAÇÃO"/>
    <n v="4"/>
    <s v="SPOOL"/>
    <n v="10"/>
    <s v="SIM"/>
    <s v="NÃO"/>
    <s v="SIM"/>
    <s v="10¨-PG-143A-482-X16"/>
    <s v="START UP II"/>
    <s v="LINHA DE UNDERFLOW DAS PENEIRAS DESAGUADORAS RETRABALHO DO UNDERFLOW DA PENEIRA PN-143A-9727"/>
    <m/>
    <m/>
    <m/>
    <s v="1450AA-T-70243_FL09"/>
    <n v="1"/>
    <s v="PÇ"/>
    <n v="0.55000000000000004"/>
    <n v="0.55000000000000004"/>
    <n v="2238.89"/>
    <n v="1231.3895"/>
    <n v="0"/>
    <n v="0.9"/>
    <n v="0.1"/>
    <m/>
    <m/>
    <m/>
    <n v="0"/>
    <m/>
    <n v="0"/>
    <n v="0.55000000000000004"/>
    <m/>
    <n v="0.4"/>
    <n v="0.5"/>
    <n v="0.1"/>
    <m/>
    <m/>
    <m/>
    <n v="0"/>
    <n v="0"/>
    <n v="0"/>
    <n v="1231.3895"/>
    <m/>
    <m/>
  </r>
  <r>
    <s v="2.4.3.1.3"/>
    <s v="CMS M.60.10.000"/>
    <s v="TUBULAÇÃO"/>
    <n v="5"/>
    <s v="SPOOL"/>
    <n v="10"/>
    <s v="SIM"/>
    <s v="NÃO"/>
    <s v="SIM"/>
    <s v="10¨-PG-143A-482-X16"/>
    <s v="START UP II"/>
    <s v="LINHA DE UNDERFLOW DAS PENEIRAS DESAGUADORAS RETRABALHO DO UNDERFLOW DA PENEIRA PN-143A-9727"/>
    <m/>
    <m/>
    <m/>
    <s v="1450AA-T-70243_FL10"/>
    <n v="1"/>
    <s v="PÇ"/>
    <n v="1.05"/>
    <n v="1.05"/>
    <n v="2238.89"/>
    <n v="2350.8344999999999"/>
    <n v="0"/>
    <n v="0.9"/>
    <n v="0.1"/>
    <m/>
    <m/>
    <m/>
    <n v="0"/>
    <m/>
    <n v="0"/>
    <n v="1.05"/>
    <m/>
    <n v="0.4"/>
    <n v="0.5"/>
    <n v="0.1"/>
    <m/>
    <m/>
    <m/>
    <n v="0"/>
    <n v="0"/>
    <n v="0"/>
    <n v="2350.8344999999999"/>
    <m/>
    <m/>
  </r>
  <r>
    <s v="2.4.3.1.3"/>
    <s v="CMS M.60.10.000"/>
    <s v="TUBULAÇÃO"/>
    <n v="1"/>
    <s v="CURVA"/>
    <n v="10"/>
    <s v="NÃO"/>
    <s v="NÃO"/>
    <s v="SIM"/>
    <s v="10¨-PG-143A-483-X16"/>
    <s v="START UP II"/>
    <s v="LINHA DE UNDERFLOW DAS PENEIRAS DESAGUADORAS RETRABALHO DO UNDERFLOW DA PENEIRA PN-143A-9728"/>
    <m/>
    <m/>
    <m/>
    <s v="1450AA-T-70245_FL06"/>
    <n v="1"/>
    <s v="PÇ"/>
    <n v="0.61699999999999999"/>
    <n v="0.61699999999999999"/>
    <n v="2238.89"/>
    <n v="1381.3951299999999"/>
    <n v="0"/>
    <n v="0.9"/>
    <n v="0.1"/>
    <m/>
    <m/>
    <m/>
    <n v="0"/>
    <m/>
    <n v="0"/>
    <n v="0.61699999999999999"/>
    <m/>
    <n v="0.4"/>
    <n v="0.5"/>
    <n v="0.1"/>
    <m/>
    <m/>
    <m/>
    <n v="0"/>
    <n v="0"/>
    <n v="0"/>
    <n v="1381.3951299999999"/>
    <m/>
    <m/>
  </r>
  <r>
    <s v="2.4.3.1.3"/>
    <s v="CMS M.60.10.000"/>
    <s v="TUBULAÇÃO"/>
    <n v="2"/>
    <s v="SPOOL"/>
    <n v="10"/>
    <s v="NÃO"/>
    <s v="NÃO"/>
    <s v="SIM"/>
    <s v="10¨-PG-143A-483-X16"/>
    <s v="START UP II"/>
    <s v="LINHA DE UNDERFLOW DAS PENEIRAS DESAGUADORAS RETRABALHO DO UNDERFLOW DA PENEIRA PN-143A-9728"/>
    <m/>
    <m/>
    <m/>
    <s v="1450AA-T-70245_FL07"/>
    <n v="1"/>
    <s v="PÇ"/>
    <n v="1.55"/>
    <n v="1.55"/>
    <n v="2238.89"/>
    <n v="3470.2795000000001"/>
    <n v="0"/>
    <n v="0.9"/>
    <n v="0.1"/>
    <m/>
    <m/>
    <m/>
    <n v="0"/>
    <m/>
    <n v="0"/>
    <n v="1.55"/>
    <m/>
    <n v="0.4"/>
    <n v="0.5"/>
    <n v="0.1"/>
    <m/>
    <m/>
    <m/>
    <n v="0"/>
    <n v="0"/>
    <n v="0"/>
    <n v="3470.2795000000001"/>
    <m/>
    <m/>
  </r>
  <r>
    <s v="2.4.3.1.3"/>
    <s v="CMS M.60.10.000"/>
    <s v="TUBULAÇÃO"/>
    <n v="3"/>
    <s v="SPOOL"/>
    <n v="10"/>
    <s v="SIM"/>
    <s v="NÃO"/>
    <s v="SIM"/>
    <s v="10¨-PG-143A-483-X16"/>
    <s v="START UP II"/>
    <s v="LINHA DE UNDERFLOW DAS PENEIRAS DESAGUADORAS RETRABALHO DO UNDERFLOW DA PENEIRA PN-143A-9728"/>
    <m/>
    <m/>
    <m/>
    <s v="1450AA-T-70245_FL08"/>
    <n v="3"/>
    <s v="PÇ"/>
    <n v="0.6"/>
    <n v="1.7999999999999998"/>
    <n v="2238.89"/>
    <n v="4030.0019999999995"/>
    <n v="0"/>
    <n v="0.9"/>
    <n v="0.1"/>
    <m/>
    <m/>
    <m/>
    <n v="0"/>
    <m/>
    <n v="0"/>
    <n v="1.7999999999999998"/>
    <m/>
    <n v="0.4"/>
    <n v="0.5"/>
    <n v="0.1"/>
    <m/>
    <m/>
    <m/>
    <n v="0"/>
    <n v="0"/>
    <n v="0"/>
    <n v="4030.0019999999995"/>
    <m/>
    <m/>
  </r>
  <r>
    <s v="2.4.3.1.3"/>
    <s v="CMS M.60.10.000"/>
    <s v="TUBULAÇÃO"/>
    <n v="1"/>
    <s v="CURVA"/>
    <n v="10"/>
    <s v="NÃO"/>
    <s v="NÃO"/>
    <s v="SIM"/>
    <s v="10¨-PG-143A-484-X16"/>
    <s v="START UP II"/>
    <s v="LINHA DE UNDERFLOW DAS PENEIRAS DESAGUADORAS RETRABALHO DO UNDERFLOW DA PENEIRA PN-143A-9729"/>
    <m/>
    <m/>
    <m/>
    <s v="1450AA-T-70247_FL06"/>
    <n v="1"/>
    <s v="PÇ"/>
    <n v="0.67300000000000004"/>
    <n v="0.67300000000000004"/>
    <n v="2238.89"/>
    <n v="1506.77297"/>
    <n v="0"/>
    <n v="0.9"/>
    <n v="0.1"/>
    <m/>
    <m/>
    <m/>
    <n v="0"/>
    <m/>
    <n v="0"/>
    <n v="0.67300000000000004"/>
    <m/>
    <n v="0.4"/>
    <n v="0.5"/>
    <n v="0.1"/>
    <m/>
    <m/>
    <m/>
    <n v="0"/>
    <n v="0"/>
    <n v="0"/>
    <n v="1506.77297"/>
    <m/>
    <m/>
  </r>
  <r>
    <s v="2.4.3.1.3"/>
    <s v="CMS M.60.10.000"/>
    <s v="TUBULAÇÃO"/>
    <n v="2"/>
    <s v="SPOOL"/>
    <n v="10"/>
    <s v="NÃO"/>
    <s v="NÃO"/>
    <s v="SIM"/>
    <s v="10¨-PG-143A-484-X16"/>
    <s v="START UP II"/>
    <s v="LINHA DE UNDERFLOW DAS PENEIRAS DESAGUADORAS RETRABALHO DO UNDERFLOW DA PENEIRA PN-143A-9729"/>
    <m/>
    <m/>
    <m/>
    <s v="1450AA-T-70247_FL07"/>
    <n v="1"/>
    <s v="PÇ"/>
    <n v="2"/>
    <n v="2"/>
    <n v="2238.89"/>
    <n v="4477.78"/>
    <n v="0"/>
    <n v="0.9"/>
    <n v="0.1"/>
    <m/>
    <m/>
    <m/>
    <n v="0"/>
    <m/>
    <n v="0"/>
    <n v="2"/>
    <m/>
    <n v="0.4"/>
    <n v="0.5"/>
    <n v="0.1"/>
    <m/>
    <m/>
    <m/>
    <n v="0"/>
    <n v="0"/>
    <n v="0"/>
    <n v="4477.78"/>
    <m/>
    <m/>
  </r>
  <r>
    <s v="2.4.3.1.3"/>
    <s v="CMS M.60.10.000"/>
    <s v="TUBULAÇÃO"/>
    <n v="3"/>
    <s v="SPOOL"/>
    <n v="10"/>
    <s v="SIM"/>
    <s v="NÃO"/>
    <s v="SIM"/>
    <s v="10¨-PG-143A-484-X16"/>
    <s v="START UP II"/>
    <s v="LINHA DE UNDERFLOW DAS PENEIRAS DESAGUADORAS RETRABALHO DO UNDERFLOW DA PENEIRA PN-143A-9729"/>
    <m/>
    <m/>
    <m/>
    <s v="1450AA-T-70247_FL08"/>
    <n v="1"/>
    <s v="PÇ"/>
    <n v="0.25"/>
    <n v="0.25"/>
    <n v="2238.89"/>
    <n v="559.72249999999997"/>
    <n v="0"/>
    <n v="0.9"/>
    <n v="0.1"/>
    <m/>
    <m/>
    <m/>
    <n v="0"/>
    <m/>
    <n v="0"/>
    <n v="0.25"/>
    <m/>
    <n v="0.4"/>
    <n v="0.5"/>
    <n v="0.1"/>
    <m/>
    <m/>
    <m/>
    <n v="0"/>
    <n v="0"/>
    <n v="0"/>
    <n v="559.72249999999997"/>
    <m/>
    <m/>
  </r>
  <r>
    <s v="2.4.3.1.3"/>
    <s v="CMS M.60.10.000"/>
    <s v="TUBULAÇÃO"/>
    <n v="4"/>
    <s v="SPOOL"/>
    <n v="10"/>
    <s v="SIM"/>
    <s v="NÃO"/>
    <s v="SIM"/>
    <s v="10¨-PG-143A-484-X16"/>
    <s v="START UP II"/>
    <s v="LINHA DE UNDERFLOW DAS PENEIRAS DESAGUADORAS RETRABALHO DO UNDERFLOW DA PENEIRA PN-143A-9729"/>
    <m/>
    <m/>
    <m/>
    <s v="1450AA-T-70247_FL09"/>
    <n v="1"/>
    <s v="PÇ"/>
    <n v="0.35"/>
    <n v="0.35"/>
    <n v="2238.89"/>
    <n v="783.61149999999986"/>
    <n v="0"/>
    <n v="0.9"/>
    <n v="0.1"/>
    <m/>
    <m/>
    <m/>
    <n v="0"/>
    <m/>
    <n v="0"/>
    <n v="0.35"/>
    <m/>
    <n v="0.4"/>
    <n v="0.5"/>
    <n v="0.1"/>
    <m/>
    <m/>
    <m/>
    <n v="0"/>
    <n v="0"/>
    <n v="0"/>
    <n v="783.61149999999986"/>
    <m/>
    <m/>
  </r>
  <r>
    <s v="2.4.3.1.3"/>
    <s v="CMS M.60.10.000"/>
    <s v="TUBULAÇÃO"/>
    <n v="5"/>
    <s v="SPOOL"/>
    <n v="10"/>
    <s v="SIM"/>
    <s v="NÃO"/>
    <s v="SIM"/>
    <s v="10¨-PG-143A-484-X16"/>
    <s v="START UP II"/>
    <s v="LINHA DE UNDERFLOW DAS PENEIRAS DESAGUADORAS RETRABALHO DO UNDERFLOW DA PENEIRA PN-143A-9729"/>
    <m/>
    <m/>
    <m/>
    <s v="1450AA-T-70247_FL10"/>
    <n v="1"/>
    <s v="PÇ"/>
    <n v="0.6"/>
    <n v="0.6"/>
    <n v="2238.89"/>
    <n v="1343.3339999999998"/>
    <n v="0"/>
    <n v="0.9"/>
    <n v="0.1"/>
    <m/>
    <m/>
    <m/>
    <n v="0"/>
    <m/>
    <n v="0"/>
    <n v="0.6"/>
    <m/>
    <n v="0.4"/>
    <n v="0.5"/>
    <n v="0.1"/>
    <m/>
    <m/>
    <m/>
    <n v="0"/>
    <n v="0"/>
    <n v="0"/>
    <n v="1343.3339999999998"/>
    <m/>
    <m/>
  </r>
  <r>
    <s v="2.4.3.1.3"/>
    <s v="CMS M.60.10.000"/>
    <s v="TUBULAÇÃO"/>
    <n v="1"/>
    <s v="SPOOL"/>
    <n v="10"/>
    <s v="NÃO"/>
    <s v="SIM"/>
    <s v="NÃO"/>
    <s v="145A-PG-22¨-L1H-928"/>
    <s v="START UP I"/>
    <s v="LINHA DO CIRCUITO ARENOSO LINHA DE UNDERFLOW DAS PENEIRAS DESAGUADORAS"/>
    <m/>
    <m/>
    <m/>
    <s v="1450AA-T-70251_FL22"/>
    <n v="6"/>
    <s v="PÇ"/>
    <n v="0.5"/>
    <n v="3"/>
    <n v="2238.89"/>
    <n v="6716.67"/>
    <n v="0"/>
    <n v="0.9"/>
    <n v="0.1"/>
    <m/>
    <m/>
    <m/>
    <n v="0"/>
    <m/>
    <n v="0"/>
    <n v="3"/>
    <m/>
    <n v="0.4"/>
    <n v="0.5"/>
    <n v="0.1"/>
    <m/>
    <m/>
    <m/>
    <n v="0"/>
    <n v="0"/>
    <n v="0"/>
    <n v="6716.67"/>
    <m/>
    <m/>
  </r>
  <r>
    <s v="2.4.3.1.3"/>
    <s v="CMS M.60.10.000"/>
    <s v="TUBULAÇÃO"/>
    <n v="2"/>
    <s v="SPOOL"/>
    <n v="10"/>
    <s v="NÃO"/>
    <s v="NÃO"/>
    <s v="NÃO"/>
    <s v="145A-PG-22¨-L1H-928"/>
    <s v="START UP I"/>
    <s v="LINHA DO CIRCUITO ARENOSO LINHA DE UNDERFLOW DAS PENEIRAS DESAGUADORAS"/>
    <m/>
    <m/>
    <m/>
    <s v="1450AA-T-70251_FL41"/>
    <n v="1"/>
    <s v="PÇ"/>
    <n v="2.5"/>
    <n v="2.5"/>
    <n v="2238.89"/>
    <n v="5597.2249999999995"/>
    <n v="0"/>
    <n v="0.9"/>
    <n v="0.1"/>
    <m/>
    <m/>
    <m/>
    <n v="0"/>
    <m/>
    <n v="0"/>
    <n v="2.5"/>
    <m/>
    <n v="0.4"/>
    <n v="0.5"/>
    <n v="0.1"/>
    <m/>
    <m/>
    <m/>
    <n v="0"/>
    <n v="0"/>
    <n v="0"/>
    <n v="5597.2249999999995"/>
    <m/>
    <m/>
  </r>
  <r>
    <s v="2.4.3.1.3"/>
    <s v="CMS M.60.10.000"/>
    <s v="TUBULAÇÃO"/>
    <n v="3"/>
    <s v="DERIVAÇÃO "/>
    <n v="10"/>
    <s v="NÃO"/>
    <s v="NÃO"/>
    <s v="NÃO"/>
    <s v="145A-PG-22¨-L1H-928"/>
    <s v="START UP I"/>
    <s v="LINHA DO CIRCUITO ARENOSO LINHA DE UNDERFLOW DAS PENEIRAS DESAGUADORAS"/>
    <m/>
    <m/>
    <m/>
    <s v="1450AA-T-70251_FL26"/>
    <n v="1"/>
    <s v="PÇ"/>
    <n v="1.7"/>
    <n v="1.7"/>
    <n v="2238.89"/>
    <n v="3806.1129999999998"/>
    <n v="0"/>
    <n v="0.9"/>
    <n v="0.1"/>
    <m/>
    <m/>
    <m/>
    <n v="0"/>
    <m/>
    <n v="0"/>
    <n v="1.7"/>
    <m/>
    <n v="0.4"/>
    <n v="0.5"/>
    <n v="0.1"/>
    <m/>
    <m/>
    <m/>
    <n v="0"/>
    <n v="0"/>
    <n v="0"/>
    <n v="3806.1129999999998"/>
    <m/>
    <m/>
  </r>
  <r>
    <s v="2.4.3.1.3"/>
    <s v="CMS M.60.10.000"/>
    <s v="TUBULAÇÃO"/>
    <n v="4"/>
    <s v="SPOOL"/>
    <n v="10"/>
    <s v="SIM"/>
    <s v="NÃO"/>
    <s v="NÃO"/>
    <s v="145A-PG-22¨-L1H-928"/>
    <s v="START UP I"/>
    <s v="LINHA DO CIRCUITO ARENOSO LINHA DE UNDERFLOW DAS PENEIRAS DESAGUADORAS"/>
    <m/>
    <m/>
    <m/>
    <s v="1450AA-T-70251_FL52"/>
    <n v="2"/>
    <s v="PÇ"/>
    <n v="0.5"/>
    <n v="1"/>
    <n v="2238.89"/>
    <n v="2238.89"/>
    <n v="0"/>
    <n v="0.9"/>
    <n v="0.1"/>
    <m/>
    <m/>
    <m/>
    <n v="0"/>
    <m/>
    <n v="0"/>
    <n v="1"/>
    <m/>
    <n v="0.4"/>
    <n v="0.5"/>
    <n v="0.1"/>
    <m/>
    <m/>
    <m/>
    <n v="0"/>
    <n v="0"/>
    <n v="0"/>
    <n v="2238.89"/>
    <m/>
    <m/>
  </r>
  <r>
    <s v="2.4.3.1.3"/>
    <s v="CMS M.60.10.000"/>
    <s v="TUBULAÇÃO"/>
    <n v="5"/>
    <s v="REDUÇÃO"/>
    <s v="14 X 10"/>
    <s v="NÃO"/>
    <s v="NÃO"/>
    <s v="NÃO"/>
    <s v="145A-PG-22¨-L1H-928"/>
    <s v="START UP I"/>
    <s v="LINHA DO CIRCUITO ARENOSO LINHA DE UNDERFLOW DAS PENEIRAS DESAGUADORAS"/>
    <m/>
    <m/>
    <m/>
    <s v="1450AA-T-70251_FL23"/>
    <n v="1"/>
    <s v="PÇ"/>
    <n v="0.63"/>
    <n v="0.63"/>
    <n v="2238.89"/>
    <n v="1410.5006999999998"/>
    <n v="0"/>
    <n v="0.9"/>
    <n v="0.1"/>
    <m/>
    <m/>
    <m/>
    <n v="0"/>
    <m/>
    <n v="0"/>
    <n v="0.63"/>
    <m/>
    <n v="0.4"/>
    <n v="0.5"/>
    <n v="0.1"/>
    <m/>
    <m/>
    <m/>
    <n v="0"/>
    <n v="0"/>
    <n v="0"/>
    <n v="1410.5006999999998"/>
    <m/>
    <m/>
  </r>
  <r>
    <s v="2.4.3.1.3"/>
    <s v="CMS M.60.10.000"/>
    <s v="TUBULAÇÃO"/>
    <n v="6"/>
    <s v="DERIVAÇÃO "/>
    <s v="14 X 10"/>
    <s v="NÃO"/>
    <s v="NÃO"/>
    <s v="NÃO"/>
    <s v="145A-PG-22¨-L1H-928"/>
    <s v="START UP I"/>
    <s v="LINHA DO CIRCUITO ARENOSO LINHA DE UNDERFLOW DAS PENEIRAS DESAGUADORAS"/>
    <m/>
    <m/>
    <m/>
    <s v="1450AA-T-70251_FL27"/>
    <n v="4"/>
    <s v="PÇ"/>
    <n v="1.9"/>
    <n v="7.6"/>
    <n v="2238.89"/>
    <n v="17015.563999999998"/>
    <n v="0"/>
    <n v="0.9"/>
    <n v="0.1"/>
    <m/>
    <m/>
    <m/>
    <n v="0"/>
    <m/>
    <n v="0"/>
    <n v="7.6"/>
    <m/>
    <n v="0.4"/>
    <n v="0.5"/>
    <n v="0.1"/>
    <m/>
    <m/>
    <m/>
    <n v="0"/>
    <n v="0"/>
    <n v="0"/>
    <n v="17015.563999999998"/>
    <m/>
    <m/>
  </r>
  <r>
    <s v="2.4.3.1.5"/>
    <s v="CMS M.60.10.000"/>
    <s v="TUBULAÇÃO"/>
    <n v="7"/>
    <s v="SPOOL"/>
    <n v="14"/>
    <s v="SIM"/>
    <s v="NÃO"/>
    <s v="NÃO"/>
    <s v="145A-PG-22¨-L1H-928"/>
    <s v="START UP I"/>
    <s v="LINHA DO CIRCUITO ARENOSO LINHA DE UNDERFLOW DAS PENEIRAS DESAGUADORAS"/>
    <m/>
    <m/>
    <m/>
    <s v="1450AA-T-70251_FL55"/>
    <n v="4"/>
    <s v="PÇ"/>
    <n v="0.4"/>
    <n v="1.6"/>
    <n v="2725.4"/>
    <n v="4360.6400000000003"/>
    <n v="0"/>
    <n v="0.9"/>
    <n v="0.1"/>
    <m/>
    <m/>
    <m/>
    <n v="0"/>
    <m/>
    <n v="0"/>
    <n v="1.6"/>
    <m/>
    <n v="0.4"/>
    <n v="0.5"/>
    <n v="0.1"/>
    <m/>
    <m/>
    <m/>
    <n v="0"/>
    <n v="0"/>
    <n v="0"/>
    <n v="4360.6400000000003"/>
    <m/>
    <m/>
  </r>
  <r>
    <s v="2.4.3.1.3"/>
    <s v="CMS M.60.10.000"/>
    <s v="TUBULAÇÃO"/>
    <n v="8"/>
    <s v="DERIVAÇÃO "/>
    <s v="14 X 10"/>
    <s v="NÃO"/>
    <s v="NÃO"/>
    <s v="NÃO"/>
    <s v="145A-PG-22¨-L1H-928"/>
    <s v="START UP I"/>
    <s v="LINHA DO CIRCUITO ARENOSO LINHA DE UNDERFLOW DAS PENEIRAS DESAGUADORAS"/>
    <m/>
    <m/>
    <m/>
    <s v="1450AA-T-70251_FL29"/>
    <n v="3"/>
    <s v="PÇ"/>
    <n v="1.9"/>
    <n v="5.6999999999999993"/>
    <n v="2238.89"/>
    <n v="12761.672999999997"/>
    <n v="0"/>
    <n v="0.9"/>
    <n v="0.1"/>
    <m/>
    <m/>
    <m/>
    <n v="0"/>
    <m/>
    <n v="0"/>
    <n v="5.6999999999999993"/>
    <m/>
    <n v="0.4"/>
    <n v="0.5"/>
    <n v="0.1"/>
    <m/>
    <m/>
    <m/>
    <n v="0"/>
    <n v="0"/>
    <n v="0"/>
    <n v="12761.672999999997"/>
    <m/>
    <m/>
  </r>
  <r>
    <s v="2.4.3.1.5"/>
    <s v="CMS M.60.10.000"/>
    <s v="TUBULAÇÃO"/>
    <n v="9"/>
    <s v="SPOOL"/>
    <n v="14"/>
    <s v="NÃO"/>
    <s v="NÃO"/>
    <s v="NÃO"/>
    <s v="145A-PG-22¨-L1H-928"/>
    <s v="START UP I"/>
    <s v="LINHA DO CIRCUITO ARENOSO LINHA DE UNDERFLOW DAS PENEIRAS DESAGUADORAS"/>
    <m/>
    <m/>
    <m/>
    <s v="1450AA-T-70251_FL42"/>
    <n v="2"/>
    <s v="PÇ"/>
    <n v="1.8"/>
    <n v="3.6"/>
    <n v="2725.4"/>
    <n v="9811.44"/>
    <n v="0"/>
    <n v="0.9"/>
    <n v="0.1"/>
    <m/>
    <m/>
    <m/>
    <n v="0"/>
    <m/>
    <n v="0"/>
    <n v="3.6"/>
    <m/>
    <n v="0.4"/>
    <n v="0.5"/>
    <n v="0.1"/>
    <m/>
    <m/>
    <m/>
    <n v="0"/>
    <n v="0"/>
    <n v="0"/>
    <n v="9811.44"/>
    <m/>
    <m/>
  </r>
  <r>
    <s v="2.4.3.1.7"/>
    <s v="CMS M.60.10.000"/>
    <s v="TUBULAÇÃO"/>
    <n v="10"/>
    <s v="SPOOL"/>
    <n v="20"/>
    <s v="SIM"/>
    <s v="NÃO"/>
    <s v="NÃO"/>
    <s v="145A-PG-22¨-L1H-928"/>
    <s v="START UP I"/>
    <s v="LINHA DO CIRCUITO ARENOSO LINHA DE UNDERFLOW DAS PENEIRAS DESAGUADORAS"/>
    <m/>
    <m/>
    <m/>
    <s v="1450AA-T-70251_FL62"/>
    <n v="2"/>
    <s v="PÇ"/>
    <n v="0.8"/>
    <n v="1.6"/>
    <n v="3789.72"/>
    <n v="6063.5519999999997"/>
    <n v="0"/>
    <n v="0.9"/>
    <n v="0.1"/>
    <m/>
    <m/>
    <m/>
    <n v="0"/>
    <m/>
    <n v="0"/>
    <n v="1.6"/>
    <m/>
    <n v="0.4"/>
    <n v="0.5"/>
    <n v="0.1"/>
    <m/>
    <m/>
    <m/>
    <n v="0"/>
    <n v="0"/>
    <n v="0"/>
    <n v="6063.5519999999997"/>
    <m/>
    <m/>
  </r>
  <r>
    <s v="2.4.3.1.5"/>
    <s v="CMS M.60.10.000"/>
    <s v="TUBULAÇÃO"/>
    <n v="11"/>
    <s v="SPOOL"/>
    <n v="14"/>
    <s v="NÃO"/>
    <s v="NÃO"/>
    <s v="NÃO"/>
    <s v="145A-PG-22¨-L1H-928"/>
    <s v="START UP I"/>
    <s v="LINHA DO CIRCUITO ARENOSO LINHA DE UNDERFLOW DAS PENEIRAS DESAGUADORAS"/>
    <m/>
    <m/>
    <m/>
    <s v="1450AA-T-70251_FL43"/>
    <n v="1"/>
    <s v="PÇ"/>
    <n v="2"/>
    <n v="2"/>
    <n v="2725.4"/>
    <n v="5450.8"/>
    <n v="0"/>
    <n v="0.9"/>
    <n v="0.1"/>
    <m/>
    <m/>
    <m/>
    <n v="0"/>
    <m/>
    <n v="0"/>
    <n v="2"/>
    <m/>
    <n v="0.4"/>
    <n v="0.5"/>
    <n v="0.1"/>
    <m/>
    <m/>
    <m/>
    <n v="0"/>
    <n v="0"/>
    <n v="0"/>
    <n v="5450.8"/>
    <m/>
    <m/>
  </r>
  <r>
    <s v="2.4.3.1.5"/>
    <s v="CMS M.60.10.000"/>
    <s v="TUBULAÇÃO"/>
    <n v="12"/>
    <s v="SPOOL"/>
    <n v="14"/>
    <s v="SIM"/>
    <s v="NÃO"/>
    <s v="NÃO"/>
    <s v="145A-PG-22¨-L1H-928"/>
    <s v="START UP I"/>
    <s v="LINHA DO CIRCUITO ARENOSO LINHA DE UNDERFLOW DAS PENEIRAS DESAGUADORAS"/>
    <m/>
    <m/>
    <m/>
    <s v="1450AA-T-70251_FL56"/>
    <n v="1"/>
    <s v="PÇ"/>
    <n v="0.5"/>
    <n v="0.5"/>
    <n v="2725.4"/>
    <n v="1362.7"/>
    <n v="0"/>
    <n v="0.9"/>
    <n v="0.1"/>
    <m/>
    <m/>
    <m/>
    <n v="0"/>
    <m/>
    <n v="0"/>
    <n v="0.5"/>
    <m/>
    <n v="0.4"/>
    <n v="0.5"/>
    <n v="0.1"/>
    <m/>
    <m/>
    <m/>
    <n v="0"/>
    <n v="0"/>
    <n v="0"/>
    <n v="1362.7"/>
    <m/>
    <m/>
  </r>
  <r>
    <s v="2.4.3.1.3"/>
    <s v="CMS M.60.10.000"/>
    <s v="TUBULAÇÃO"/>
    <n v="13"/>
    <s v="SPOOL"/>
    <n v="10"/>
    <s v="SIM"/>
    <s v="NÃO"/>
    <s v="NÃO"/>
    <s v="145A-PG-22¨-L1H-928"/>
    <s v="START UP I"/>
    <s v="LINHA DO CIRCUITO ARENOSO LINHA DE UNDERFLOW DAS PENEIRAS DESAGUADORAS"/>
    <m/>
    <m/>
    <m/>
    <s v="1450AA-T-70251_FL51"/>
    <n v="2"/>
    <s v="PÇ"/>
    <n v="0.4"/>
    <n v="0.8"/>
    <n v="2238.89"/>
    <n v="1791.1120000000001"/>
    <n v="0"/>
    <n v="0.9"/>
    <n v="0.1"/>
    <m/>
    <m/>
    <m/>
    <n v="0"/>
    <m/>
    <n v="0"/>
    <n v="0.8"/>
    <m/>
    <n v="0.4"/>
    <n v="0.5"/>
    <n v="0.1"/>
    <m/>
    <m/>
    <m/>
    <n v="0"/>
    <n v="0"/>
    <n v="0"/>
    <n v="1791.1120000000001"/>
    <m/>
    <m/>
  </r>
  <r>
    <s v="2.4.3.1.3"/>
    <s v="CMS M.60.10.000"/>
    <s v="TUBULAÇÃO"/>
    <n v="14"/>
    <s v="DERIVAÇÃO "/>
    <s v="14 X 10"/>
    <s v="NÃO"/>
    <s v="NÃO"/>
    <s v="NÃO"/>
    <s v="145A-PG-22¨-L1H-928"/>
    <s v="START UP I"/>
    <s v="LINHA DO CIRCUITO ARENOSO LINHA DE UNDERFLOW DAS PENEIRAS DESAGUADORAS"/>
    <m/>
    <m/>
    <m/>
    <s v="1450AA-T-70251_FL28"/>
    <n v="1"/>
    <s v="PÇ"/>
    <n v="1.9"/>
    <n v="1.9"/>
    <n v="2238.89"/>
    <n v="4253.8909999999996"/>
    <n v="0"/>
    <n v="0.9"/>
    <n v="0.1"/>
    <m/>
    <m/>
    <m/>
    <n v="0"/>
    <m/>
    <n v="0"/>
    <n v="1.9"/>
    <m/>
    <n v="0.4"/>
    <n v="0.5"/>
    <n v="0.1"/>
    <m/>
    <m/>
    <m/>
    <n v="0"/>
    <n v="0"/>
    <n v="0"/>
    <n v="4253.8909999999996"/>
    <m/>
    <m/>
  </r>
  <r>
    <s v="2.4.3.1.5"/>
    <s v="CMS M.60.10.000"/>
    <s v="TUBULAÇÃO"/>
    <n v="15"/>
    <s v="REDUÇÃO"/>
    <s v="20 X 14"/>
    <s v="NÃO"/>
    <s v="NÃO"/>
    <s v="NÃO"/>
    <s v="145A-PG-22¨-L1H-928"/>
    <s v="START UP I"/>
    <s v="LINHA DO CIRCUITO ARENOSO LINHA DE UNDERFLOW DAS PENEIRAS DESAGUADORAS"/>
    <m/>
    <m/>
    <m/>
    <s v="1450AA-T-70251_FL24"/>
    <n v="1"/>
    <s v="PÇ"/>
    <n v="0.81"/>
    <n v="0.81"/>
    <n v="2725.4"/>
    <n v="2207.5740000000001"/>
    <n v="0"/>
    <n v="0.9"/>
    <n v="0.1"/>
    <m/>
    <m/>
    <m/>
    <n v="0"/>
    <m/>
    <n v="0"/>
    <n v="0.81"/>
    <m/>
    <n v="0.4"/>
    <n v="0.5"/>
    <n v="0.1"/>
    <m/>
    <m/>
    <m/>
    <n v="0"/>
    <n v="0"/>
    <n v="0"/>
    <n v="2207.5740000000001"/>
    <m/>
    <m/>
  </r>
  <r>
    <s v="2.4.3.1.7"/>
    <s v="CMS M.60.10.000"/>
    <s v="TUBULAÇÃO"/>
    <n v="16"/>
    <s v="SPOOL"/>
    <n v="20"/>
    <s v="SIM"/>
    <s v="NÃO"/>
    <s v="NÃO"/>
    <s v="145A-PG-22¨-L1H-928"/>
    <s v="START UP I"/>
    <s v="LINHA DO CIRCUITO ARENOSO LINHA DE UNDERFLOW DAS PENEIRAS DESAGUADORAS"/>
    <m/>
    <m/>
    <m/>
    <s v="1450AA-T-70251_FL60"/>
    <n v="2"/>
    <s v="PÇ"/>
    <n v="0.5"/>
    <n v="1"/>
    <n v="3789.72"/>
    <n v="3789.72"/>
    <n v="0"/>
    <n v="0.9"/>
    <n v="0.1"/>
    <m/>
    <m/>
    <m/>
    <n v="0"/>
    <m/>
    <n v="0"/>
    <n v="1"/>
    <m/>
    <n v="0.4"/>
    <n v="0.5"/>
    <n v="0.1"/>
    <m/>
    <m/>
    <m/>
    <n v="0"/>
    <n v="0"/>
    <n v="0"/>
    <n v="3789.72"/>
    <m/>
    <m/>
  </r>
  <r>
    <s v="2.4.3.1.7"/>
    <s v="CMS M.60.10.000"/>
    <s v="TUBULAÇÃO"/>
    <n v="17"/>
    <s v="SPOOL"/>
    <n v="20"/>
    <s v="NÃO"/>
    <s v="NÃO"/>
    <s v="NÃO"/>
    <s v="145A-PG-22¨-L1H-928"/>
    <s v="START UP I"/>
    <s v="LINHA DO CIRCUITO ARENOSO LINHA DE UNDERFLOW DAS PENEIRAS DESAGUADORAS"/>
    <m/>
    <m/>
    <m/>
    <s v="1450AA-T-70251_FL44"/>
    <n v="3"/>
    <s v="PÇ"/>
    <n v="2"/>
    <n v="6"/>
    <n v="3789.72"/>
    <n v="22738.32"/>
    <n v="0"/>
    <n v="0.9"/>
    <n v="0.1"/>
    <m/>
    <m/>
    <m/>
    <n v="0"/>
    <m/>
    <n v="0"/>
    <n v="6"/>
    <m/>
    <n v="0.4"/>
    <n v="0.5"/>
    <n v="0.1"/>
    <m/>
    <m/>
    <m/>
    <n v="0"/>
    <n v="0"/>
    <n v="0"/>
    <n v="22738.32"/>
    <m/>
    <m/>
  </r>
  <r>
    <s v="2.4.3.1.3"/>
    <s v="CMS M.60.10.000"/>
    <s v="TUBULAÇÃO"/>
    <n v="18"/>
    <s v="DERIVAÇÃO "/>
    <s v="20 X 10"/>
    <s v="NÃO"/>
    <s v="NÃO"/>
    <s v="NÃO"/>
    <s v="145A-PG-22¨-L1H-928"/>
    <s v="START UP I"/>
    <s v="LINHA DO CIRCUITO ARENOSO LINHA DE UNDERFLOW DAS PENEIRAS DESAGUADORAS"/>
    <m/>
    <m/>
    <m/>
    <s v="1450AA-T-70251_FL31"/>
    <n v="2"/>
    <s v="PÇ"/>
    <n v="1.121"/>
    <n v="2.242"/>
    <n v="2238.89"/>
    <n v="5019.5913799999998"/>
    <n v="0"/>
    <n v="0.9"/>
    <n v="0.1"/>
    <m/>
    <m/>
    <m/>
    <n v="0"/>
    <m/>
    <n v="0"/>
    <n v="2.242"/>
    <m/>
    <n v="0.4"/>
    <n v="0.5"/>
    <n v="0.1"/>
    <m/>
    <m/>
    <m/>
    <n v="0"/>
    <n v="0"/>
    <n v="0"/>
    <n v="5019.5913799999998"/>
    <m/>
    <m/>
  </r>
  <r>
    <s v="2.4.3.1.7"/>
    <s v="CMS M.60.10.000"/>
    <s v="TUBULAÇÃO"/>
    <n v="19"/>
    <s v="SPOOL"/>
    <n v="20"/>
    <s v="SIM"/>
    <s v="NÃO"/>
    <s v="NÃO"/>
    <s v="145A-PG-22¨-L1H-928"/>
    <s v="START UP I"/>
    <s v="LINHA DO CIRCUITO ARENOSO LINHA DE UNDERFLOW DAS PENEIRAS DESAGUADORAS"/>
    <m/>
    <m/>
    <m/>
    <s v="1450AA-T-70251_FL59"/>
    <n v="2"/>
    <s v="PÇ"/>
    <n v="0.4"/>
    <n v="0.8"/>
    <n v="3789.72"/>
    <n v="3031.7759999999998"/>
    <n v="0"/>
    <n v="0.9"/>
    <n v="0.1"/>
    <m/>
    <m/>
    <m/>
    <n v="0"/>
    <m/>
    <n v="0"/>
    <n v="0.8"/>
    <m/>
    <n v="0.4"/>
    <n v="0.5"/>
    <n v="0.1"/>
    <m/>
    <m/>
    <m/>
    <n v="0"/>
    <n v="0"/>
    <n v="0"/>
    <n v="3031.7759999999998"/>
    <m/>
    <m/>
  </r>
  <r>
    <s v="2.4.3.1.3"/>
    <s v="CMS M.60.10.000"/>
    <s v="TUBULAÇÃO"/>
    <n v="20"/>
    <s v="DERIVAÇÃO "/>
    <s v="20 X 10"/>
    <s v="NÃO"/>
    <s v="NÃO"/>
    <s v="NÃO"/>
    <s v="145A-PG-22¨-L1H-928"/>
    <s v="START UP I"/>
    <s v="LINHA DO CIRCUITO ARENOSO LINHA DE UNDERFLOW DAS PENEIRAS DESAGUADORAS"/>
    <m/>
    <m/>
    <m/>
    <s v="1450AA-T-70251_FL30"/>
    <n v="2"/>
    <s v="PÇ"/>
    <n v="1.7"/>
    <n v="3.4"/>
    <n v="2238.89"/>
    <n v="7612.2259999999997"/>
    <n v="0"/>
    <n v="0.9"/>
    <n v="0.1"/>
    <m/>
    <m/>
    <m/>
    <n v="0"/>
    <m/>
    <n v="0"/>
    <n v="3.4"/>
    <m/>
    <n v="0.4"/>
    <n v="0.5"/>
    <n v="0.1"/>
    <m/>
    <m/>
    <m/>
    <n v="0"/>
    <n v="0"/>
    <n v="0"/>
    <n v="7612.2259999999997"/>
    <m/>
    <m/>
  </r>
  <r>
    <s v="2.4.3.1.3"/>
    <s v="CMS M.60.10.000"/>
    <s v="TUBULAÇÃO"/>
    <n v="1"/>
    <s v="DERIVAÇÃO "/>
    <s v="20 X 10"/>
    <s v="NÃO"/>
    <s v="NÃO"/>
    <s v="NÃO"/>
    <s v="145A-PG-22¨-L1H-928"/>
    <s v="START UP I"/>
    <s v="LINHA DO CIRCUITO ARENOSO LINHA DE UNDERFLOW DAS PENEIRAS DESAGUADORAS"/>
    <m/>
    <m/>
    <m/>
    <s v="1450AA-T-70251_FL31"/>
    <n v="3"/>
    <s v="PÇ"/>
    <n v="1.121"/>
    <n v="3.363"/>
    <n v="2238.89"/>
    <n v="7529.3870699999998"/>
    <n v="0"/>
    <n v="0.9"/>
    <n v="0.1"/>
    <m/>
    <m/>
    <m/>
    <n v="0"/>
    <m/>
    <n v="0"/>
    <n v="3.363"/>
    <m/>
    <n v="0.4"/>
    <n v="0.5"/>
    <n v="0.1"/>
    <m/>
    <m/>
    <m/>
    <n v="0"/>
    <n v="0"/>
    <n v="0"/>
    <n v="7529.3870699999998"/>
    <m/>
    <m/>
  </r>
  <r>
    <s v="2.4.3.1.3"/>
    <s v="CMS M.60.10.000"/>
    <s v="TUBULAÇÃO"/>
    <n v="2"/>
    <s v="SPOOL"/>
    <n v="10"/>
    <s v="SIM"/>
    <s v="NÃO"/>
    <s v="NÃO"/>
    <s v="145A-PG-22¨-L1H-928"/>
    <s v="START UP I"/>
    <s v="LINHA DO CIRCUITO ARENOSO LINHA DE UNDERFLOW DAS PENEIRAS DESAGUADORAS"/>
    <m/>
    <m/>
    <m/>
    <s v="1450AA-T-70251_FL53"/>
    <n v="1"/>
    <s v="PÇ"/>
    <n v="0.65"/>
    <n v="0.65"/>
    <n v="2238.89"/>
    <n v="1455.2784999999999"/>
    <n v="0"/>
    <n v="0.9"/>
    <n v="0.1"/>
    <m/>
    <m/>
    <m/>
    <n v="0"/>
    <m/>
    <n v="0"/>
    <n v="0.65"/>
    <m/>
    <n v="0.4"/>
    <n v="0.5"/>
    <n v="0.1"/>
    <m/>
    <m/>
    <m/>
    <n v="0"/>
    <n v="0"/>
    <n v="0"/>
    <n v="1455.2784999999999"/>
    <m/>
    <m/>
  </r>
  <r>
    <s v="2.4.3.1.3"/>
    <s v="CMS M.60.10.000"/>
    <s v="TUBULAÇÃO"/>
    <n v="3"/>
    <s v="DERIVAÇÃO "/>
    <s v="20 X 10"/>
    <s v="NÃO"/>
    <s v="NÃO"/>
    <s v="NÃO"/>
    <s v="145A-PG-22¨-L1H-928"/>
    <s v="START UP I"/>
    <s v="LINHA DO CIRCUITO ARENOSO LINHA DE UNDERFLOW DAS PENEIRAS DESAGUADORAS"/>
    <m/>
    <m/>
    <m/>
    <s v="1450AA-T-70251_FL30"/>
    <n v="2"/>
    <s v="PÇ"/>
    <n v="1.7"/>
    <n v="3.4"/>
    <n v="2238.89"/>
    <n v="7612.2259999999997"/>
    <n v="0"/>
    <n v="0.9"/>
    <n v="0.1"/>
    <m/>
    <m/>
    <m/>
    <n v="0"/>
    <m/>
    <n v="0"/>
    <n v="3.4"/>
    <m/>
    <n v="0.4"/>
    <n v="0.5"/>
    <n v="0.1"/>
    <m/>
    <m/>
    <m/>
    <n v="0"/>
    <n v="0"/>
    <n v="0"/>
    <n v="7612.2259999999997"/>
    <m/>
    <m/>
  </r>
  <r>
    <s v="2.4.3.1.7"/>
    <s v="CMS M.60.10.000"/>
    <s v="TUBULAÇÃO"/>
    <n v="4"/>
    <s v="SPOOL"/>
    <n v="20"/>
    <s v="NÃO"/>
    <s v="NÃO"/>
    <s v="NÃO"/>
    <s v="145A-PG-22¨-L1H-928"/>
    <s v="START UP I"/>
    <s v="LINHA DO CIRCUITO ARENOSO LINHA DE UNDERFLOW DAS PENEIRAS DESAGUADORAS"/>
    <m/>
    <m/>
    <m/>
    <s v="1450AA-T-70251_FL44"/>
    <n v="2"/>
    <s v="PÇ"/>
    <n v="2"/>
    <n v="4"/>
    <n v="3789.72"/>
    <n v="15158.88"/>
    <n v="0"/>
    <n v="0.9"/>
    <n v="0.1"/>
    <m/>
    <m/>
    <m/>
    <n v="0"/>
    <m/>
    <n v="0"/>
    <n v="4"/>
    <m/>
    <n v="0.4"/>
    <n v="0.5"/>
    <n v="0.1"/>
    <m/>
    <m/>
    <m/>
    <n v="0"/>
    <n v="0"/>
    <n v="0"/>
    <n v="15158.88"/>
    <m/>
    <m/>
  </r>
  <r>
    <s v="2.4.3.1.7"/>
    <s v="CMS M.60.10.000"/>
    <s v="TUBULAÇÃO"/>
    <n v="5"/>
    <s v="SPOOL"/>
    <n v="20"/>
    <s v="SIM"/>
    <s v="NÃO"/>
    <s v="NÃO"/>
    <s v="145A-PG-22¨-L1H-928"/>
    <s v="START UP I"/>
    <s v="LINHA DO CIRCUITO ARENOSO LINHA DE UNDERFLOW DAS PENEIRAS DESAGUADORAS"/>
    <m/>
    <m/>
    <m/>
    <s v="1450AA-T-70251_FL62"/>
    <n v="2"/>
    <s v="PÇ"/>
    <n v="0.8"/>
    <n v="1.6"/>
    <n v="3789.72"/>
    <n v="6063.5519999999997"/>
    <n v="0"/>
    <n v="0.9"/>
    <n v="0.1"/>
    <m/>
    <m/>
    <m/>
    <n v="0"/>
    <m/>
    <n v="0"/>
    <n v="1.6"/>
    <m/>
    <n v="0.4"/>
    <n v="0.5"/>
    <n v="0.1"/>
    <m/>
    <m/>
    <m/>
    <n v="0"/>
    <n v="0"/>
    <n v="0"/>
    <n v="6063.5519999999997"/>
    <m/>
    <m/>
  </r>
  <r>
    <s v="2.4.3.1.3"/>
    <s v="CMS M.60.10.000"/>
    <s v="TUBULAÇÃO"/>
    <n v="6"/>
    <s v="SPOOL"/>
    <n v="10"/>
    <s v="SIM"/>
    <s v="NÃO"/>
    <s v="NÃO"/>
    <s v="145A-PG-22¨-L1H-928"/>
    <s v="START UP I"/>
    <s v="LINHA DO CIRCUITO ARENOSO LINHA DE UNDERFLOW DAS PENEIRAS DESAGUADORAS"/>
    <m/>
    <m/>
    <m/>
    <s v="1450AA-T-70251_FL54"/>
    <n v="1"/>
    <s v="PÇ"/>
    <n v="0.85"/>
    <n v="0.85"/>
    <n v="2238.89"/>
    <n v="1903.0564999999999"/>
    <n v="0"/>
    <n v="0.9"/>
    <n v="0.1"/>
    <m/>
    <m/>
    <m/>
    <n v="0"/>
    <m/>
    <n v="0"/>
    <n v="0.85"/>
    <m/>
    <n v="0.4"/>
    <n v="0.5"/>
    <n v="0.1"/>
    <m/>
    <m/>
    <m/>
    <n v="0"/>
    <n v="0"/>
    <n v="0"/>
    <n v="1903.0564999999999"/>
    <m/>
    <m/>
  </r>
  <r>
    <s v="2.4.3.1.7"/>
    <s v="CMS M.60.10.000"/>
    <s v="TUBULAÇÃO"/>
    <n v="7"/>
    <s v="SPOOL"/>
    <n v="20"/>
    <s v="NÃO"/>
    <s v="NÃO"/>
    <s v="NÃO"/>
    <s v="145A-PG-22¨-L1H-928"/>
    <s v="START UP I"/>
    <s v="LINHA DO CIRCUITO ARENOSO LINHA DE UNDERFLOW DAS PENEIRAS DESAGUADORAS"/>
    <m/>
    <m/>
    <m/>
    <s v="1450AA-T-70251_FL45"/>
    <n v="1"/>
    <s v="PÇ"/>
    <n v="3"/>
    <n v="3"/>
    <n v="3789.72"/>
    <n v="11369.16"/>
    <n v="0"/>
    <n v="0.9"/>
    <n v="0.1"/>
    <m/>
    <m/>
    <m/>
    <n v="0"/>
    <m/>
    <n v="0"/>
    <n v="3"/>
    <m/>
    <n v="0.4"/>
    <n v="0.5"/>
    <n v="0.1"/>
    <m/>
    <m/>
    <m/>
    <n v="0"/>
    <n v="0"/>
    <n v="0"/>
    <n v="11369.16"/>
    <m/>
    <m/>
  </r>
  <r>
    <s v="2.4.3.1.7"/>
    <s v="CMS M.60.10.000"/>
    <s v="TUBULAÇÃO"/>
    <n v="8"/>
    <s v="SPOOL"/>
    <n v="20"/>
    <s v="SIM"/>
    <s v="NÃO"/>
    <s v="NÃO"/>
    <s v="145A-PG-22¨-L1H-928"/>
    <s v="START UP I"/>
    <s v="LINHA DO CIRCUITO ARENOSO LINHA DE UNDERFLOW DAS PENEIRAS DESAGUADORAS"/>
    <m/>
    <m/>
    <m/>
    <s v="1450AA-T-70251_FL61"/>
    <n v="1"/>
    <s v="PÇ"/>
    <n v="0.7"/>
    <n v="0.7"/>
    <n v="3789.72"/>
    <n v="2652.8039999999996"/>
    <n v="0"/>
    <n v="0.9"/>
    <n v="0.1"/>
    <m/>
    <m/>
    <m/>
    <n v="0"/>
    <m/>
    <n v="0"/>
    <n v="0.7"/>
    <m/>
    <n v="0.4"/>
    <n v="0.5"/>
    <n v="0.1"/>
    <m/>
    <m/>
    <m/>
    <n v="0"/>
    <n v="0"/>
    <n v="0"/>
    <n v="2652.8039999999996"/>
    <m/>
    <m/>
  </r>
  <r>
    <s v="2.4.3.1.7"/>
    <s v="CMS M.60.10.000"/>
    <s v="TUBULAÇÃO"/>
    <n v="9"/>
    <s v="REDUÇÃO"/>
    <s v="22 X 20"/>
    <s v="NÃO"/>
    <s v="NÃO"/>
    <s v="NÃO"/>
    <s v="145A-PG-22¨-L1H-928"/>
    <s v="START UP I"/>
    <s v="LINHA DO CIRCUITO ARENOSO LINHA DE UNDERFLOW DAS PENEIRAS DESAGUADORAS"/>
    <m/>
    <m/>
    <m/>
    <s v="1450AA-T-70251_FL25"/>
    <n v="1"/>
    <s v="PÇ"/>
    <n v="1.008"/>
    <n v="1.008"/>
    <n v="3789.72"/>
    <n v="3820.0377599999997"/>
    <n v="0"/>
    <n v="0.9"/>
    <n v="0.1"/>
    <m/>
    <m/>
    <m/>
    <n v="0"/>
    <m/>
    <n v="0"/>
    <n v="1.008"/>
    <m/>
    <n v="0.4"/>
    <n v="0.5"/>
    <n v="0.1"/>
    <m/>
    <m/>
    <m/>
    <n v="0"/>
    <n v="0"/>
    <n v="0"/>
    <n v="3820.0377599999997"/>
    <m/>
    <m/>
  </r>
  <r>
    <s v="2.4.3.1.3"/>
    <s v="CMS M.60.10.000"/>
    <s v="TUBULAÇÃO"/>
    <n v="10"/>
    <s v="DERIVAÇÃO "/>
    <s v="22 X 10"/>
    <s v="NÃO"/>
    <s v="NÃO"/>
    <s v="NÃO"/>
    <s v="145A-PG-22¨-L1H-928"/>
    <s v="START UP I"/>
    <s v="LINHA DO CIRCUITO ARENOSO LINHA DE UNDERFLOW DAS PENEIRAS DESAGUADORAS"/>
    <m/>
    <m/>
    <m/>
    <s v="1450AA-T-70251_FL33"/>
    <n v="2"/>
    <s v="PÇ"/>
    <n v="1.121"/>
    <n v="2.242"/>
    <n v="2238.89"/>
    <n v="5019.5913799999998"/>
    <n v="0"/>
    <n v="0.9"/>
    <n v="0.1"/>
    <m/>
    <m/>
    <m/>
    <n v="0"/>
    <m/>
    <n v="0"/>
    <n v="2.242"/>
    <m/>
    <n v="0.4"/>
    <n v="0.5"/>
    <n v="0.1"/>
    <m/>
    <m/>
    <m/>
    <n v="0"/>
    <n v="0"/>
    <n v="0"/>
    <n v="5019.5913799999998"/>
    <m/>
    <m/>
  </r>
  <r>
    <s v="2.4.3.1.3"/>
    <s v="CMS M.60.10.000"/>
    <s v="TUBULAÇÃO"/>
    <n v="11"/>
    <s v="SPOOL"/>
    <n v="10"/>
    <s v="SIM"/>
    <s v="NÃO"/>
    <s v="NÃO"/>
    <s v="145A-PG-22¨-L1H-928"/>
    <s v="START UP I"/>
    <s v="LINHA DO CIRCUITO ARENOSO LINHA DE UNDERFLOW DAS PENEIRAS DESAGUADORAS"/>
    <m/>
    <m/>
    <m/>
    <s v="1450AA-T-70251_FL50"/>
    <n v="1"/>
    <s v="PÇ"/>
    <n v="0.3"/>
    <n v="0.3"/>
    <n v="2238.89"/>
    <n v="671.66699999999992"/>
    <n v="0"/>
    <n v="0.9"/>
    <n v="0.1"/>
    <m/>
    <m/>
    <m/>
    <n v="0"/>
    <m/>
    <n v="0"/>
    <n v="0.3"/>
    <m/>
    <n v="0.4"/>
    <n v="0.5"/>
    <n v="0.1"/>
    <m/>
    <m/>
    <m/>
    <n v="0"/>
    <n v="0"/>
    <n v="0"/>
    <n v="671.66699999999992"/>
    <m/>
    <m/>
  </r>
  <r>
    <s v="2.4.3.1.8"/>
    <s v="CMS M.60.10.000"/>
    <s v="TUBULAÇÃO"/>
    <n v="12"/>
    <s v="SPOOL"/>
    <n v="22"/>
    <s v="NÃO"/>
    <s v="NÃO"/>
    <s v="NÃO"/>
    <s v="145A-PG-22¨-L1H-928"/>
    <s v="START UP I"/>
    <s v="LINHA DO CIRCUITO ARENOSO LINHA DE UNDERFLOW DAS PENEIRAS DESAGUADORAS"/>
    <m/>
    <m/>
    <m/>
    <s v="1450AA-T-70251_FL47"/>
    <n v="1"/>
    <s v="PÇ"/>
    <n v="4"/>
    <n v="4"/>
    <n v="2788.58"/>
    <n v="11154.32"/>
    <n v="0"/>
    <n v="0.9"/>
    <n v="0.1"/>
    <m/>
    <m/>
    <m/>
    <n v="0"/>
    <m/>
    <n v="0"/>
    <n v="4"/>
    <m/>
    <n v="0.4"/>
    <n v="0.5"/>
    <n v="0.1"/>
    <m/>
    <m/>
    <m/>
    <n v="0"/>
    <n v="0"/>
    <n v="0"/>
    <n v="11154.32"/>
    <m/>
    <m/>
  </r>
  <r>
    <s v="2.4.3.1.8"/>
    <s v="CMS M.60.10.000"/>
    <s v="TUBULAÇÃO"/>
    <n v="13"/>
    <s v="SPOOL"/>
    <n v="22"/>
    <s v="SIM"/>
    <s v="NÃO"/>
    <s v="NÃO"/>
    <s v="145A-PG-22¨-L1H-928"/>
    <s v="START UP I"/>
    <s v="LINHA DO CIRCUITO ARENOSO LINHA DE UNDERFLOW DAS PENEIRAS DESAGUADORAS"/>
    <m/>
    <m/>
    <m/>
    <s v="1450AA-T-70251_FL64"/>
    <n v="1"/>
    <s v="PÇ"/>
    <n v="0.7"/>
    <n v="0.7"/>
    <n v="2788.58"/>
    <n v="1952.0059999999999"/>
    <n v="0"/>
    <n v="0.9"/>
    <n v="0.1"/>
    <m/>
    <m/>
    <m/>
    <n v="0"/>
    <m/>
    <n v="0"/>
    <n v="0.7"/>
    <m/>
    <n v="0.4"/>
    <n v="0.5"/>
    <n v="0.1"/>
    <m/>
    <m/>
    <m/>
    <n v="0"/>
    <n v="0"/>
    <n v="0"/>
    <n v="1952.0059999999999"/>
    <m/>
    <m/>
  </r>
  <r>
    <s v="2.4.3.1.3"/>
    <s v="CMS M.60.10.000"/>
    <s v="TUBULAÇÃO"/>
    <n v="14"/>
    <s v="SPOOL"/>
    <n v="10"/>
    <s v="SIM"/>
    <s v="NÃO"/>
    <s v="NÃO"/>
    <s v="145A-PG-22¨-L1H-928"/>
    <s v="START UP I"/>
    <s v="LINHA DO CIRCUITO ARENOSO LINHA DE UNDERFLOW DAS PENEIRAS DESAGUADORAS"/>
    <m/>
    <m/>
    <m/>
    <s v="1450AA-T-70251_FL52"/>
    <n v="1"/>
    <s v="PÇ"/>
    <n v="0.5"/>
    <n v="0.5"/>
    <n v="2238.89"/>
    <n v="1119.4449999999999"/>
    <n v="0"/>
    <n v="0.9"/>
    <n v="0.1"/>
    <m/>
    <m/>
    <m/>
    <n v="0"/>
    <m/>
    <n v="0"/>
    <n v="0.5"/>
    <m/>
    <n v="0.4"/>
    <n v="0.5"/>
    <n v="0.1"/>
    <m/>
    <m/>
    <m/>
    <n v="0"/>
    <n v="0"/>
    <n v="0"/>
    <n v="1119.4449999999999"/>
    <m/>
    <m/>
  </r>
  <r>
    <s v="2.4.3.1.8"/>
    <s v="CMS M.60.10.000"/>
    <s v="TUBULAÇÃO"/>
    <n v="15"/>
    <s v="CURVA"/>
    <n v="22"/>
    <s v="NÃO"/>
    <s v="NÃO"/>
    <s v="NÃO"/>
    <s v="145A-PG-22¨-L1H-928"/>
    <s v="START UP I"/>
    <s v="LINHA DO CIRCUITO ARENOSO LINHA DE UNDERFLOW DAS PENEIRAS DESAGUADORAS"/>
    <m/>
    <m/>
    <m/>
    <s v="1450AA-T-70251_FL36"/>
    <n v="2"/>
    <s v="PÇ"/>
    <n v="0.57999999999999996"/>
    <n v="1.1599999999999999"/>
    <n v="2788.58"/>
    <n v="3234.7527999999998"/>
    <n v="0"/>
    <n v="0.9"/>
    <n v="0.1"/>
    <m/>
    <m/>
    <m/>
    <n v="0"/>
    <m/>
    <n v="0"/>
    <n v="1.1599999999999999"/>
    <m/>
    <n v="0.4"/>
    <n v="0.5"/>
    <n v="0.1"/>
    <m/>
    <m/>
    <m/>
    <n v="0"/>
    <n v="0"/>
    <n v="0"/>
    <n v="3234.7527999999998"/>
    <m/>
    <m/>
  </r>
  <r>
    <s v="2.4.3.1.8"/>
    <s v="CMS M.60.10.000"/>
    <s v="TUBULAÇÃO"/>
    <n v="16"/>
    <s v="SPOOL"/>
    <n v="22"/>
    <s v="NÃO"/>
    <s v="NÃO"/>
    <s v="NÃO"/>
    <s v="145A-PG-22¨-L1H-928"/>
    <s v="START UP I"/>
    <s v="LINHA DO CIRCUITO ARENOSO LINHA DE UNDERFLOW DAS PENEIRAS DESAGUADORAS"/>
    <m/>
    <m/>
    <m/>
    <s v="1450AA-T-70251_FL48"/>
    <n v="1"/>
    <s v="PÇ"/>
    <n v="4.5"/>
    <n v="4.5"/>
    <n v="2788.58"/>
    <n v="12548.61"/>
    <n v="0"/>
    <n v="0.9"/>
    <n v="0.1"/>
    <m/>
    <m/>
    <m/>
    <n v="0"/>
    <m/>
    <n v="0"/>
    <n v="4.5"/>
    <m/>
    <n v="0.4"/>
    <n v="0.5"/>
    <n v="0.1"/>
    <m/>
    <m/>
    <m/>
    <n v="0"/>
    <n v="0"/>
    <n v="0"/>
    <n v="12548.61"/>
    <m/>
    <m/>
  </r>
  <r>
    <s v="2.4.3.1.8"/>
    <s v="CMS M.60.10.000"/>
    <s v="TUBULAÇÃO"/>
    <n v="17"/>
    <s v="SPOOL"/>
    <n v="22"/>
    <s v="SIM"/>
    <s v="NÃO"/>
    <s v="NÃO"/>
    <s v="145A-PG-22¨-L1H-928"/>
    <s v="START UP I"/>
    <s v="LINHA DO CIRCUITO ARENOSO LINHA DE UNDERFLOW DAS PENEIRAS DESAGUADORAS"/>
    <m/>
    <m/>
    <m/>
    <s v="1450AA-T-70251_FL66"/>
    <n v="1"/>
    <s v="PÇ"/>
    <n v="0.9"/>
    <n v="0.9"/>
    <n v="2788.58"/>
    <n v="2509.7220000000002"/>
    <n v="0"/>
    <n v="0.9"/>
    <n v="0.1"/>
    <m/>
    <m/>
    <m/>
    <n v="0"/>
    <m/>
    <n v="0"/>
    <n v="0.9"/>
    <m/>
    <n v="0.4"/>
    <n v="0.5"/>
    <n v="0.1"/>
    <m/>
    <m/>
    <m/>
    <n v="0"/>
    <n v="0"/>
    <n v="0"/>
    <n v="2509.7220000000002"/>
    <m/>
    <m/>
  </r>
  <r>
    <s v="2.4.3.1.5"/>
    <s v="CMS M.60.10.000"/>
    <s v="TUBULAÇÃO"/>
    <n v="18"/>
    <s v="DERIVAÇÃO "/>
    <s v="22 X 14"/>
    <s v="NÃO"/>
    <s v="NÃO"/>
    <s v="NÃO"/>
    <s v="145A-PG-22¨-L1H-928"/>
    <s v="START UP I"/>
    <s v="LINHA DO CIRCUITO ARENOSO LINHA DE UNDERFLOW DAS PENEIRAS DESAGUADORAS"/>
    <m/>
    <m/>
    <m/>
    <s v="1450AA-T-70251_FL32"/>
    <n v="2"/>
    <s v="PÇ"/>
    <n v="2.8"/>
    <n v="5.6"/>
    <n v="2725.4"/>
    <n v="15262.24"/>
    <n v="0"/>
    <n v="0.9"/>
    <n v="0.1"/>
    <m/>
    <m/>
    <m/>
    <n v="0"/>
    <m/>
    <n v="0"/>
    <n v="5.6"/>
    <m/>
    <n v="0.4"/>
    <n v="0.5"/>
    <n v="0.1"/>
    <m/>
    <m/>
    <m/>
    <n v="0"/>
    <n v="0"/>
    <n v="0"/>
    <n v="15262.24"/>
    <m/>
    <m/>
  </r>
  <r>
    <s v="2.4.3.1.5"/>
    <s v="CMS M.60.10.000"/>
    <s v="TUBULAÇÃO"/>
    <n v="19"/>
    <s v="CURVA"/>
    <n v="14"/>
    <s v="NÃO"/>
    <s v="NÃO"/>
    <s v="NÃO"/>
    <s v="145A-PG-22¨-L1H-928"/>
    <s v="START UP I"/>
    <s v="LINHA DO CIRCUITO ARENOSO LINHA DE UNDERFLOW DAS PENEIRAS DESAGUADORAS"/>
    <m/>
    <m/>
    <m/>
    <s v="1450AA-T-70251_FL35"/>
    <n v="2"/>
    <s v="PÇ"/>
    <n v="0.55000000000000004"/>
    <n v="1.1000000000000001"/>
    <n v="2725.4"/>
    <n v="2997.9400000000005"/>
    <n v="0"/>
    <n v="0.9"/>
    <n v="0.1"/>
    <m/>
    <m/>
    <m/>
    <n v="0"/>
    <m/>
    <n v="0"/>
    <n v="1.1000000000000001"/>
    <m/>
    <n v="0.4"/>
    <n v="0.5"/>
    <n v="0.1"/>
    <m/>
    <m/>
    <m/>
    <n v="0"/>
    <n v="0"/>
    <n v="0"/>
    <n v="2997.9400000000005"/>
    <m/>
    <m/>
  </r>
  <r>
    <s v="2.4.3.1.5"/>
    <s v="CMS M.60.10.000"/>
    <s v="TUBULAÇÃO"/>
    <n v="20"/>
    <s v="SPOOL"/>
    <n v="14"/>
    <s v="SIM"/>
    <s v="NÃO"/>
    <s v="NÃO"/>
    <s v="145A-PG-22¨-L1H-928"/>
    <s v="START UP I"/>
    <s v="LINHA DO CIRCUITO ARENOSO LINHA DE UNDERFLOW DAS PENEIRAS DESAGUADORAS"/>
    <m/>
    <m/>
    <m/>
    <s v="1450AA-T-70251_FL57"/>
    <n v="1"/>
    <s v="PÇ"/>
    <n v="0.8"/>
    <n v="0.8"/>
    <n v="2725.4"/>
    <n v="2180.3200000000002"/>
    <n v="0"/>
    <n v="0.9"/>
    <n v="0.1"/>
    <m/>
    <m/>
    <m/>
    <n v="0"/>
    <m/>
    <n v="0"/>
    <n v="0.8"/>
    <m/>
    <n v="0.4"/>
    <n v="0.5"/>
    <n v="0.1"/>
    <m/>
    <m/>
    <m/>
    <n v="0"/>
    <n v="0"/>
    <n v="0"/>
    <n v="2180.3200000000002"/>
    <m/>
    <m/>
  </r>
  <r>
    <s v="2.4.3.1.8"/>
    <s v="CMS M.60.10.000"/>
    <s v="TUBULAÇÃO"/>
    <n v="21"/>
    <s v="SPOOL"/>
    <n v="22"/>
    <s v="NÃO"/>
    <s v="NÃO"/>
    <s v="NÃO"/>
    <s v="145A-PG-22¨-L1H-928"/>
    <s v="START UP I"/>
    <s v="LINHA DO CIRCUITO ARENOSO LINHA DE UNDERFLOW DAS PENEIRAS DESAGUADORAS"/>
    <m/>
    <m/>
    <m/>
    <s v="1450AA-T-70251_FL46"/>
    <n v="2"/>
    <s v="PÇ"/>
    <n v="2"/>
    <n v="4"/>
    <n v="2788.58"/>
    <n v="11154.32"/>
    <n v="0"/>
    <n v="0.9"/>
    <n v="0.1"/>
    <m/>
    <m/>
    <m/>
    <n v="0"/>
    <m/>
    <n v="0"/>
    <n v="4"/>
    <m/>
    <n v="0.4"/>
    <n v="0.5"/>
    <n v="0.1"/>
    <m/>
    <m/>
    <m/>
    <n v="0"/>
    <n v="0"/>
    <n v="0"/>
    <n v="11154.32"/>
    <m/>
    <m/>
  </r>
  <r>
    <s v="2.4.3.1.8"/>
    <s v="CMS M.60.10.000"/>
    <s v="TUBULAÇÃO"/>
    <n v="22"/>
    <s v="SPOOL"/>
    <n v="22"/>
    <s v="SIM"/>
    <s v="NÃO"/>
    <s v="NÃO"/>
    <s v="145A-PG-22¨-L1H-928"/>
    <s v="START UP I"/>
    <s v="LINHA DO CIRCUITO ARENOSO LINHA DE UNDERFLOW DAS PENEIRAS DESAGUADORAS"/>
    <m/>
    <m/>
    <m/>
    <s v="1450AA-T-70251_FL63"/>
    <n v="1"/>
    <s v="PÇ"/>
    <n v="0.5"/>
    <n v="0.5"/>
    <n v="2788.58"/>
    <n v="1394.29"/>
    <n v="0"/>
    <n v="0.9"/>
    <n v="0.1"/>
    <m/>
    <m/>
    <m/>
    <n v="0"/>
    <m/>
    <n v="0"/>
    <n v="0.5"/>
    <m/>
    <n v="0.4"/>
    <n v="0.5"/>
    <n v="0.1"/>
    <m/>
    <m/>
    <m/>
    <n v="0"/>
    <n v="0"/>
    <n v="0"/>
    <n v="1394.29"/>
    <m/>
    <m/>
  </r>
  <r>
    <s v="2.4.3.1.5"/>
    <s v="CMS M.60.10.000"/>
    <s v="TUBULAÇÃO"/>
    <n v="23"/>
    <s v="SPOOL"/>
    <n v="14"/>
    <s v="SIM"/>
    <s v="NÃO"/>
    <s v="NÃO"/>
    <s v="145A-PG-22¨-L1H-928"/>
    <s v="START UP I"/>
    <s v="LINHA DO CIRCUITO ARENOSO LINHA DE UNDERFLOW DAS PENEIRAS DESAGUADORAS"/>
    <m/>
    <m/>
    <m/>
    <s v="1450AA-T-70251_FL58"/>
    <n v="1"/>
    <s v="PÇ"/>
    <n v="0.95"/>
    <n v="0.95"/>
    <n v="2725.4"/>
    <n v="2589.13"/>
    <n v="0"/>
    <n v="0.9"/>
    <n v="0.1"/>
    <m/>
    <m/>
    <m/>
    <n v="0"/>
    <m/>
    <n v="0"/>
    <n v="0.95"/>
    <m/>
    <n v="0.4"/>
    <n v="0.5"/>
    <n v="0.1"/>
    <m/>
    <m/>
    <m/>
    <n v="0"/>
    <n v="0"/>
    <n v="0"/>
    <n v="2589.13"/>
    <m/>
    <m/>
  </r>
  <r>
    <s v="2.4.3.1.8"/>
    <s v="CMS M.60.10.000"/>
    <s v="TUBULAÇÃO"/>
    <n v="24"/>
    <s v="SPOOL"/>
    <n v="22"/>
    <s v="NÃO"/>
    <s v="NÃO"/>
    <s v="NÃO"/>
    <s v="145A-PG-22¨-L1H-928"/>
    <s v="START UP I"/>
    <s v="LINHA DO CIRCUITO ARENOSO LINHA DE UNDERFLOW DAS PENEIRAS DESAGUADORAS"/>
    <m/>
    <m/>
    <m/>
    <s v="1450AA-T-70251_FL49"/>
    <n v="1"/>
    <s v="PÇ"/>
    <n v="6"/>
    <n v="6"/>
    <n v="2788.58"/>
    <n v="16731.48"/>
    <n v="0"/>
    <n v="0.9"/>
    <n v="0.1"/>
    <m/>
    <m/>
    <m/>
    <n v="0"/>
    <m/>
    <n v="0"/>
    <n v="6"/>
    <m/>
    <n v="0.4"/>
    <n v="0.5"/>
    <n v="0.1"/>
    <m/>
    <m/>
    <m/>
    <n v="0"/>
    <n v="0"/>
    <n v="0"/>
    <n v="16731.48"/>
    <m/>
    <m/>
  </r>
  <r>
    <s v="2.4.3.1.8"/>
    <s v="CMS M.60.10.000"/>
    <s v="TUBULAÇÃO"/>
    <n v="25"/>
    <s v="SPOOL"/>
    <n v="22"/>
    <s v="SIM"/>
    <s v="NÃO"/>
    <s v="NÃO"/>
    <s v="145A-PG-22¨-L1H-928"/>
    <s v="START UP I"/>
    <s v="LINHA DO CIRCUITO ARENOSO LINHA DE UNDERFLOW DAS PENEIRAS DESAGUADORAS"/>
    <m/>
    <m/>
    <m/>
    <s v="1450AA-T-70251_FL65"/>
    <n v="1"/>
    <s v="PÇ"/>
    <n v="0.85"/>
    <n v="0.85"/>
    <n v="2788.58"/>
    <n v="2370.2929999999997"/>
    <n v="0"/>
    <n v="0.9"/>
    <n v="0.1"/>
    <m/>
    <m/>
    <m/>
    <n v="0"/>
    <m/>
    <n v="0"/>
    <n v="0.85"/>
    <m/>
    <n v="0.4"/>
    <n v="0.5"/>
    <n v="0.1"/>
    <m/>
    <m/>
    <m/>
    <n v="0"/>
    <n v="0"/>
    <n v="0"/>
    <n v="2370.2929999999997"/>
    <m/>
    <m/>
  </r>
  <r>
    <s v="2.4.3.1.8"/>
    <s v="CMS M.60.10.000"/>
    <s v="TUBULAÇÃO"/>
    <n v="1"/>
    <s v="CURVA"/>
    <n v="22"/>
    <s v="NÃO"/>
    <s v="NÃO"/>
    <s v="NÃO"/>
    <s v="145A-PG-22¨-L1H-928"/>
    <s v="START UP I"/>
    <s v="LINHA DO CIRCUITO ARENOSO LINHA DE UNDERFLOW DAS PENEIRAS DESAGUADORAS"/>
    <m/>
    <m/>
    <m/>
    <s v="1450AA-T-70251_FL40"/>
    <n v="1"/>
    <s v="PÇ"/>
    <n v="1.738"/>
    <n v="1.738"/>
    <n v="2788.58"/>
    <n v="4846.5520399999996"/>
    <n v="0"/>
    <n v="0.9"/>
    <n v="0.1"/>
    <m/>
    <m/>
    <m/>
    <n v="0"/>
    <m/>
    <n v="0"/>
    <n v="1.738"/>
    <m/>
    <n v="0.4"/>
    <n v="0.5"/>
    <n v="0.1"/>
    <m/>
    <m/>
    <m/>
    <n v="0"/>
    <n v="0"/>
    <n v="0"/>
    <n v="4846.5520399999996"/>
    <m/>
    <m/>
  </r>
  <r>
    <s v="2.4.3.1.8"/>
    <s v="CMS M.60.10.000"/>
    <s v="TUBULAÇÃO"/>
    <n v="2"/>
    <s v="SPOOL"/>
    <n v="22"/>
    <s v="SIM"/>
    <s v="NÃO"/>
    <s v="NÃO"/>
    <s v="145A-PG-22¨-L1H-928"/>
    <s v="START UP I"/>
    <s v="LINHA DO CIRCUITO ARENOSO LINHA DE UNDERFLOW DAS PENEIRAS DESAGUADORAS"/>
    <m/>
    <m/>
    <m/>
    <s v="1450AA-T-70251_FL65"/>
    <n v="2"/>
    <s v="PÇ"/>
    <n v="0.85"/>
    <n v="1.7"/>
    <n v="2788.58"/>
    <n v="4740.5859999999993"/>
    <n v="0"/>
    <n v="0.9"/>
    <n v="0.1"/>
    <m/>
    <m/>
    <m/>
    <n v="0"/>
    <m/>
    <n v="0"/>
    <n v="1.7"/>
    <m/>
    <n v="0.4"/>
    <n v="0.5"/>
    <n v="0.1"/>
    <m/>
    <m/>
    <m/>
    <n v="0"/>
    <n v="0"/>
    <n v="0"/>
    <n v="4740.5859999999993"/>
    <m/>
    <m/>
  </r>
  <r>
    <s v="2.4.3.1.8"/>
    <s v="CMS M.60.10.000"/>
    <s v="TUBULAÇÃO"/>
    <n v="3"/>
    <s v="CURVA"/>
    <n v="22"/>
    <s v="NÃO"/>
    <s v="NÃO"/>
    <s v="NÃO"/>
    <s v="145A-PG-22¨-L1H-928"/>
    <s v="START UP I"/>
    <s v="LINHA DO CIRCUITO ARENOSO LINHA DE UNDERFLOW DAS PENEIRAS DESAGUADORAS"/>
    <m/>
    <m/>
    <m/>
    <s v="1450AA-T-70251_FL37"/>
    <n v="1"/>
    <s v="PÇ"/>
    <n v="1.028"/>
    <n v="1.028"/>
    <n v="2788.58"/>
    <n v="2866.6602400000002"/>
    <n v="0"/>
    <n v="0.9"/>
    <n v="0.1"/>
    <m/>
    <m/>
    <m/>
    <n v="0"/>
    <m/>
    <n v="0"/>
    <n v="1.028"/>
    <m/>
    <n v="0.4"/>
    <n v="0.5"/>
    <n v="0.1"/>
    <m/>
    <m/>
    <m/>
    <n v="0"/>
    <n v="0"/>
    <n v="0"/>
    <n v="2866.6602400000002"/>
    <m/>
    <m/>
  </r>
  <r>
    <s v="2.4.3.1.8"/>
    <s v="CMS M.60.10.000"/>
    <s v="TUBULAÇÃO"/>
    <n v="4"/>
    <s v="SPOOL"/>
    <n v="22"/>
    <s v="NÃO"/>
    <s v="NÃO"/>
    <s v="NÃO"/>
    <s v="145A-PG-22¨-L1H-928"/>
    <s v="START UP I"/>
    <s v="LINHA DO CIRCUITO ARENOSO LINHA DE UNDERFLOW DAS PENEIRAS DESAGUADORAS"/>
    <m/>
    <m/>
    <m/>
    <s v="1450AA-T-70251_FL49"/>
    <n v="7"/>
    <s v="PÇ"/>
    <n v="6"/>
    <n v="42"/>
    <n v="2788.58"/>
    <n v="117120.36"/>
    <n v="0"/>
    <n v="0.9"/>
    <n v="0.1"/>
    <m/>
    <m/>
    <m/>
    <n v="0"/>
    <m/>
    <n v="0"/>
    <n v="42"/>
    <m/>
    <n v="0.4"/>
    <n v="0.5"/>
    <n v="0.1"/>
    <m/>
    <m/>
    <m/>
    <n v="0"/>
    <n v="0"/>
    <n v="0"/>
    <n v="117120.36"/>
    <m/>
    <m/>
  </r>
  <r>
    <s v="2.4.3.1.8"/>
    <s v="CMS M.60.10.000"/>
    <s v="TUBULAÇÃO"/>
    <n v="5"/>
    <s v="SPOOL"/>
    <n v="22"/>
    <s v="NÃO"/>
    <s v="NÃO"/>
    <s v="NÃO"/>
    <s v="145A-PG-22¨-L1H-928"/>
    <s v="START UP I"/>
    <s v="LINHA DO CIRCUITO ARENOSO LINHA DE UNDERFLOW DAS PENEIRAS DESAGUADORAS"/>
    <m/>
    <m/>
    <m/>
    <s v="1450AA-T-70251_FL46"/>
    <n v="2"/>
    <s v="PÇ"/>
    <n v="2"/>
    <n v="4"/>
    <n v="2788.58"/>
    <n v="11154.32"/>
    <n v="0"/>
    <n v="0.9"/>
    <n v="0.1"/>
    <m/>
    <m/>
    <m/>
    <n v="0"/>
    <m/>
    <n v="0"/>
    <n v="4"/>
    <m/>
    <n v="0.4"/>
    <n v="0.5"/>
    <n v="0.1"/>
    <m/>
    <m/>
    <m/>
    <n v="0"/>
    <n v="0"/>
    <n v="0"/>
    <n v="11154.32"/>
    <m/>
    <m/>
  </r>
  <r>
    <s v="2.4.3.1.8"/>
    <s v="CMS M.60.10.000"/>
    <s v="TUBULAÇÃO"/>
    <n v="6"/>
    <s v="SPOOL"/>
    <n v="22"/>
    <s v="SIM"/>
    <s v="NÃO"/>
    <s v="NÃO"/>
    <s v="145A-PG-22¨-L1H-928"/>
    <s v="START UP I"/>
    <s v="LINHA DO CIRCUITO ARENOSO LINHA DE UNDERFLOW DAS PENEIRAS DESAGUADORAS"/>
    <m/>
    <m/>
    <m/>
    <s v="1450AA-T-70251_FL68"/>
    <n v="1"/>
    <s v="PÇ"/>
    <n v="1.3"/>
    <n v="1.3"/>
    <n v="2788.58"/>
    <n v="3625.154"/>
    <n v="0"/>
    <n v="0.9"/>
    <n v="0.1"/>
    <m/>
    <m/>
    <m/>
    <n v="0"/>
    <m/>
    <n v="0"/>
    <n v="1.3"/>
    <m/>
    <n v="0.4"/>
    <n v="0.5"/>
    <n v="0.1"/>
    <m/>
    <m/>
    <m/>
    <n v="0"/>
    <n v="0"/>
    <n v="0"/>
    <n v="3625.154"/>
    <m/>
    <m/>
  </r>
  <r>
    <s v="2.4.3.1.8"/>
    <s v="CMS M.60.10.000"/>
    <s v="TUBULAÇÃO"/>
    <n v="7"/>
    <s v="CURVA"/>
    <n v="22"/>
    <s v="NÃO"/>
    <s v="NÃO"/>
    <s v="NÃO"/>
    <s v="145A-PG-22¨-L1H-928"/>
    <s v="START UP I"/>
    <s v="LINHA DO CIRCUITO ARENOSO LINHA DE UNDERFLOW DAS PENEIRAS DESAGUADORAS"/>
    <m/>
    <m/>
    <m/>
    <s v="1450AA-T-70251_FL38"/>
    <n v="1"/>
    <s v="PÇ"/>
    <n v="1.165"/>
    <n v="1.165"/>
    <n v="2788.58"/>
    <n v="3248.6957000000002"/>
    <n v="0"/>
    <n v="0.9"/>
    <n v="0.1"/>
    <m/>
    <m/>
    <m/>
    <n v="0"/>
    <m/>
    <n v="0"/>
    <n v="1.165"/>
    <m/>
    <n v="0.4"/>
    <n v="0.5"/>
    <n v="0.1"/>
    <m/>
    <m/>
    <m/>
    <n v="0"/>
    <n v="0"/>
    <n v="0"/>
    <n v="3248.6957000000002"/>
    <m/>
    <m/>
  </r>
  <r>
    <s v="2.4.3.1.8"/>
    <s v="CMS M.60.10.000"/>
    <s v="TUBULAÇÃO"/>
    <n v="8"/>
    <s v="SPOOL"/>
    <n v="22"/>
    <s v="SIM"/>
    <s v="NÃO"/>
    <s v="NÃO"/>
    <s v="145A-PG-22¨-L1H-928"/>
    <s v="START UP I"/>
    <s v="LINHA DO CIRCUITO ARENOSO LINHA DE UNDERFLOW DAS PENEIRAS DESAGUADORAS"/>
    <m/>
    <m/>
    <m/>
    <s v="1450AA-T-70251_FL67"/>
    <n v="1"/>
    <s v="PÇ"/>
    <n v="1.1000000000000001"/>
    <n v="1.1000000000000001"/>
    <n v="2788.58"/>
    <n v="3067.4380000000001"/>
    <n v="0"/>
    <n v="0.9"/>
    <n v="0.1"/>
    <m/>
    <m/>
    <m/>
    <n v="0"/>
    <m/>
    <n v="0"/>
    <n v="1.1000000000000001"/>
    <m/>
    <n v="0.4"/>
    <n v="0.5"/>
    <n v="0.1"/>
    <m/>
    <m/>
    <m/>
    <n v="0"/>
    <n v="0"/>
    <n v="0"/>
    <n v="3067.4380000000001"/>
    <m/>
    <m/>
  </r>
  <r>
    <s v="2.4.3.1.8"/>
    <s v="CMS M.60.10.000"/>
    <s v="TUBULAÇÃO"/>
    <n v="9"/>
    <s v="CURVA"/>
    <n v="22"/>
    <s v="NÃO"/>
    <s v="NÃO"/>
    <s v="NÃO"/>
    <s v="145A-PG-22¨-L1H-928"/>
    <s v="START UP I"/>
    <s v="LINHA DO CIRCUITO ARENOSO LINHA DE UNDERFLOW DAS PENEIRAS DESAGUADORAS"/>
    <m/>
    <m/>
    <m/>
    <s v="1450AA-T-70251_FL39"/>
    <n v="1"/>
    <s v="PÇ"/>
    <n v="1.6839999999999999"/>
    <n v="1.6839999999999999"/>
    <n v="2788.58"/>
    <n v="4695.9687199999998"/>
    <n v="0"/>
    <n v="0.9"/>
    <n v="0.1"/>
    <m/>
    <m/>
    <m/>
    <n v="0"/>
    <m/>
    <n v="0"/>
    <n v="1.6839999999999999"/>
    <m/>
    <n v="0.4"/>
    <n v="0.5"/>
    <n v="0.1"/>
    <m/>
    <m/>
    <m/>
    <n v="0"/>
    <n v="0"/>
    <n v="0"/>
    <n v="4695.9687199999998"/>
    <m/>
    <m/>
  </r>
  <r>
    <s v="2.4.3.1.8"/>
    <s v="CMS M.60.10.000"/>
    <s v="TUBULAÇÃO"/>
    <n v="10"/>
    <s v="SPOOL"/>
    <n v="22"/>
    <s v="NÃO"/>
    <s v="NÃO"/>
    <s v="NÃO"/>
    <s v="145A-PG-22¨-L1H-928"/>
    <s v="START UP I"/>
    <s v="LINHA DO CIRCUITO ARENOSO LINHA DE UNDERFLOW DAS PENEIRAS DESAGUADORAS"/>
    <m/>
    <m/>
    <m/>
    <s v="1450AA-T-70251_FL34"/>
    <n v="1"/>
    <s v="PÇ"/>
    <n v="2.4"/>
    <n v="2.4"/>
    <n v="2788.58"/>
    <n v="6692.5919999999996"/>
    <n v="0"/>
    <n v="0.9"/>
    <n v="0.1"/>
    <m/>
    <m/>
    <m/>
    <n v="0"/>
    <m/>
    <n v="0"/>
    <n v="2.4"/>
    <m/>
    <n v="0.4"/>
    <n v="0.5"/>
    <n v="0.1"/>
    <m/>
    <m/>
    <m/>
    <n v="0"/>
    <n v="0"/>
    <n v="0"/>
    <n v="6692.5919999999996"/>
    <m/>
    <m/>
  </r>
  <r>
    <s v="2.4.3.1.6"/>
    <s v="CMS M.60.10.000"/>
    <s v="TUBULAÇÃO"/>
    <n v="1"/>
    <s v="CURVA"/>
    <n v="16"/>
    <s v="NÃO"/>
    <s v="NÃO"/>
    <s v="NÃO"/>
    <s v="145A-PG-14¨-L1H-871"/>
    <s v="START UP II"/>
    <s v="DISPOSIÇÃO DE REJEITOS LINHA DO CIRCUITO ARENOSO DISTRIBUIDOR DI-145A-9911 PARA DISTRIBUIDOR DI 145A-9912"/>
    <m/>
    <m/>
    <m/>
    <s v="1450AA-T-70254_FL18"/>
    <n v="1"/>
    <s v="PÇ"/>
    <n v="1.2090000000000001"/>
    <n v="1.2090000000000001"/>
    <n v="3249.8"/>
    <n v="3929.0082000000007"/>
    <n v="0"/>
    <n v="0.9"/>
    <n v="0.1"/>
    <m/>
    <m/>
    <m/>
    <n v="0"/>
    <m/>
    <n v="0"/>
    <n v="1.2090000000000001"/>
    <m/>
    <n v="0.4"/>
    <n v="0.5"/>
    <n v="0.1"/>
    <m/>
    <m/>
    <m/>
    <n v="0"/>
    <n v="0"/>
    <n v="0"/>
    <n v="3929.0082000000007"/>
    <m/>
    <m/>
  </r>
  <r>
    <s v="2.4.3.1.5"/>
    <s v="CMS M.60.10.000"/>
    <s v="TUBULAÇÃO"/>
    <n v="2"/>
    <s v="REDUÇÃO"/>
    <s v="16 X 14"/>
    <s v="NÃO"/>
    <s v="NÃO"/>
    <s v="NÃO"/>
    <s v="145A-PG-14¨-L1H-871"/>
    <s v="START UP II"/>
    <s v="DISPOSIÇÃO DE REJEITOS LINHA DO CIRCUITO ARENOSO DISTRIBUIDOR DI-145A-9911 PARA DISTRIBUIDOR DI 145A-9912"/>
    <m/>
    <m/>
    <m/>
    <s v="1450AA-T-70254_FL19"/>
    <n v="1"/>
    <s v="PÇ"/>
    <n v="0.7"/>
    <n v="0.7"/>
    <n v="2725.4"/>
    <n v="1907.78"/>
    <n v="0"/>
    <n v="0.9"/>
    <n v="0.1"/>
    <m/>
    <m/>
    <m/>
    <n v="0"/>
    <m/>
    <n v="0"/>
    <n v="0.7"/>
    <m/>
    <n v="0.4"/>
    <n v="0.5"/>
    <n v="0.1"/>
    <m/>
    <m/>
    <m/>
    <n v="0"/>
    <n v="0"/>
    <n v="0"/>
    <n v="1907.78"/>
    <m/>
    <m/>
  </r>
  <r>
    <s v="2.4.3.1.5"/>
    <s v="CMS M.60.10.000"/>
    <s v="TUBULAÇÃO"/>
    <n v="3"/>
    <s v="SPOOL"/>
    <n v="14"/>
    <s v="NÃO"/>
    <s v="NÃO"/>
    <s v="NÃO"/>
    <s v="145A-PG-14¨-L1H-871"/>
    <s v="START UP II"/>
    <s v="DISPOSIÇÃO DE REJEITOS LINHA DO CIRCUITO ARENOSO DISTRIBUIDOR DI-145A-9911 PARA DISTRIBUIDOR DI 145A-9912"/>
    <m/>
    <m/>
    <m/>
    <s v="1450AA-T-70254_FL08"/>
    <n v="1"/>
    <s v="PÇ"/>
    <n v="0.185"/>
    <n v="0.185"/>
    <n v="2725.4"/>
    <n v="504.19900000000001"/>
    <n v="0"/>
    <n v="0.9"/>
    <n v="0.1"/>
    <m/>
    <m/>
    <m/>
    <n v="0"/>
    <m/>
    <n v="0"/>
    <n v="0.185"/>
    <m/>
    <n v="0.4"/>
    <n v="0.5"/>
    <n v="0.1"/>
    <m/>
    <m/>
    <m/>
    <n v="0"/>
    <n v="0"/>
    <n v="0"/>
    <n v="504.19900000000001"/>
    <m/>
    <m/>
  </r>
  <r>
    <s v="2.4.3.1.5"/>
    <s v="CMS M.60.10.000"/>
    <s v="TUBULAÇÃO"/>
    <n v="4"/>
    <s v="CURVA"/>
    <n v="14"/>
    <s v="NÃO"/>
    <s v="NÃO"/>
    <s v="NÃO"/>
    <s v="145A-PG-14¨-L1H-871"/>
    <s v="START UP II"/>
    <s v="DISPOSIÇÃO DE REJEITOS LINHA DO CIRCUITO ARENOSO DISTRIBUIDOR DI-145A-9911 PARA DISTRIBUIDOR DI 145A-9912"/>
    <m/>
    <m/>
    <m/>
    <s v="1450AA-T-70254_FL15"/>
    <n v="1"/>
    <s v="PÇ"/>
    <n v="0.48799999999999999"/>
    <n v="0.48799999999999999"/>
    <n v="2725.4"/>
    <n v="1329.9952000000001"/>
    <n v="0"/>
    <n v="0.9"/>
    <n v="0.1"/>
    <m/>
    <m/>
    <m/>
    <n v="0"/>
    <m/>
    <n v="0"/>
    <n v="0.48799999999999999"/>
    <m/>
    <n v="0.4"/>
    <n v="0.5"/>
    <n v="0.1"/>
    <m/>
    <m/>
    <m/>
    <n v="0"/>
    <n v="0"/>
    <n v="0"/>
    <n v="1329.9952000000001"/>
    <m/>
    <m/>
  </r>
  <r>
    <s v="2.4.3.1.5"/>
    <s v="CMS M.60.10.000"/>
    <s v="TUBULAÇÃO"/>
    <n v="5"/>
    <s v="SPOOL"/>
    <n v="14"/>
    <s v="SIM"/>
    <s v="NÃO"/>
    <s v="NÃO"/>
    <s v="145A-PG-14¨-L1H-871"/>
    <s v="START UP II"/>
    <s v="DISPOSIÇÃO DE REJEITOS LINHA DO CIRCUITO ARENOSO DISTRIBUIDOR DI-145A-9911 PARA DISTRIBUIDOR DI 145A-9912"/>
    <m/>
    <m/>
    <m/>
    <s v="1450AA-T-70254_FL13"/>
    <n v="1"/>
    <s v="PÇ"/>
    <n v="0.35499999999999998"/>
    <n v="0.35499999999999998"/>
    <n v="2725.4"/>
    <n v="967.51699999999994"/>
    <n v="0"/>
    <n v="0.9"/>
    <n v="0.1"/>
    <m/>
    <m/>
    <m/>
    <n v="0"/>
    <m/>
    <n v="0"/>
    <n v="0.35499999999999998"/>
    <m/>
    <n v="0.4"/>
    <n v="0.5"/>
    <n v="0.1"/>
    <m/>
    <m/>
    <m/>
    <n v="0"/>
    <n v="0"/>
    <n v="0"/>
    <n v="967.51699999999994"/>
    <m/>
    <m/>
  </r>
  <r>
    <s v="2.4.3.1.5"/>
    <s v="CMS M.60.10.000"/>
    <s v="TUBULAÇÃO"/>
    <n v="6"/>
    <s v="SPOOL"/>
    <n v="14"/>
    <s v="NÃO"/>
    <s v="NÃO"/>
    <s v="NÃO"/>
    <s v="145A-PG-14¨-L1H-871"/>
    <s v="START UP II"/>
    <s v="DISPOSIÇÃO DE REJEITOS LINHA DO CIRCUITO ARENOSO DISTRIBUIDOR DI-145A-9911 PARA DISTRIBUIDOR DI 145A-9912"/>
    <m/>
    <m/>
    <m/>
    <s v="1450AA-T-70254_FL11"/>
    <n v="1"/>
    <s v="PÇ"/>
    <n v="3.3"/>
    <n v="3.3"/>
    <n v="2725.4"/>
    <n v="8993.82"/>
    <n v="0"/>
    <n v="0.9"/>
    <n v="0.1"/>
    <m/>
    <m/>
    <m/>
    <n v="0"/>
    <m/>
    <n v="0"/>
    <n v="3.3"/>
    <m/>
    <n v="0.4"/>
    <n v="0.5"/>
    <n v="0.1"/>
    <m/>
    <m/>
    <m/>
    <n v="0"/>
    <n v="0"/>
    <n v="0"/>
    <n v="8993.82"/>
    <m/>
    <m/>
  </r>
  <r>
    <s v="2.4.3.1.5"/>
    <s v="CMS M.60.10.000"/>
    <s v="TUBULAÇÃO"/>
    <n v="7"/>
    <s v="CURVA"/>
    <n v="14"/>
    <s v="NÃO"/>
    <s v="NÃO"/>
    <s v="NÃO"/>
    <s v="145A-PG-14¨-L1H-871"/>
    <s v="START UP II"/>
    <s v="DISPOSIÇÃO DE REJEITOS LINHA DO CIRCUITO ARENOSO DISTRIBUIDOR DI-145A-9911 PARA DISTRIBUIDOR DI 145A-9912"/>
    <m/>
    <m/>
    <m/>
    <s v="1450AA-T-70254_FL14"/>
    <n v="1"/>
    <s v="PÇ"/>
    <n v="0.45400000000000001"/>
    <n v="0.45400000000000001"/>
    <n v="2725.4"/>
    <n v="1237.3316"/>
    <n v="0"/>
    <n v="0.9"/>
    <n v="0.1"/>
    <m/>
    <m/>
    <m/>
    <n v="0"/>
    <m/>
    <n v="0"/>
    <n v="0.45400000000000001"/>
    <m/>
    <n v="0.4"/>
    <n v="0.5"/>
    <n v="0.1"/>
    <m/>
    <m/>
    <m/>
    <n v="0"/>
    <n v="0"/>
    <n v="0"/>
    <n v="1237.3316"/>
    <m/>
    <m/>
  </r>
  <r>
    <s v="2.4.3.1.5"/>
    <s v="CMS M.60.10.000"/>
    <s v="TUBULAÇÃO"/>
    <n v="8"/>
    <s v="SPOOL"/>
    <n v="14"/>
    <s v="NÃO"/>
    <s v="NÃO"/>
    <s v="NÃO"/>
    <s v="145A-PG-14¨-L1H-871"/>
    <s v="START UP II"/>
    <s v="DISPOSIÇÃO DE REJEITOS LINHA DO CIRCUITO ARENOSO DISTRIBUIDOR DI-145A-9911 PARA DISTRIBUIDOR DI 145A-9912"/>
    <m/>
    <m/>
    <m/>
    <s v="1450AA-T-70254_FL10"/>
    <n v="1"/>
    <s v="PÇ"/>
    <n v="2.0710000000000002"/>
    <n v="2.0710000000000002"/>
    <n v="2725.4"/>
    <n v="5644.3034000000007"/>
    <n v="0"/>
    <n v="0.9"/>
    <n v="0.1"/>
    <m/>
    <m/>
    <m/>
    <n v="0"/>
    <m/>
    <n v="0"/>
    <n v="2.0710000000000002"/>
    <m/>
    <n v="0.4"/>
    <n v="0.5"/>
    <n v="0.1"/>
    <m/>
    <m/>
    <m/>
    <n v="0"/>
    <n v="0"/>
    <n v="0"/>
    <n v="5644.3034000000007"/>
    <m/>
    <m/>
  </r>
  <r>
    <s v="2.4.3.1.5"/>
    <s v="CMS M.60.10.000"/>
    <s v="TUBULAÇÃO"/>
    <n v="9"/>
    <s v="CURVA"/>
    <n v="14"/>
    <s v="NÃO"/>
    <s v="NÃO"/>
    <s v="NÃO"/>
    <s v="145A-PG-14¨-L1H-871"/>
    <s v="START UP II"/>
    <s v="DISPOSIÇÃO DE REJEITOS LINHA DO CIRCUITO ARENOSO DISTRIBUIDOR DI-145A-9911 PARA DISTRIBUIDOR DI 145A-9912"/>
    <m/>
    <m/>
    <m/>
    <s v="1450AA-T-70254_FL17"/>
    <n v="1"/>
    <s v="PÇ"/>
    <n v="0.81799999999999995"/>
    <n v="0.81799999999999995"/>
    <n v="2725.4"/>
    <n v="2229.3771999999999"/>
    <n v="0"/>
    <n v="0.9"/>
    <n v="0.1"/>
    <m/>
    <m/>
    <m/>
    <n v="0"/>
    <m/>
    <n v="0"/>
    <n v="0.81799999999999995"/>
    <m/>
    <n v="0.4"/>
    <n v="0.5"/>
    <n v="0.1"/>
    <m/>
    <m/>
    <m/>
    <n v="0"/>
    <n v="0"/>
    <n v="0"/>
    <n v="2229.3771999999999"/>
    <m/>
    <m/>
  </r>
  <r>
    <s v="2.4.3.1.5"/>
    <s v="CMS M.60.10.000"/>
    <s v="TUBULAÇÃO"/>
    <n v="10"/>
    <s v="SPOOL"/>
    <n v="14"/>
    <s v="NÃO"/>
    <s v="NÃO"/>
    <s v="NÃO"/>
    <s v="145A-PG-14¨-L1H-871"/>
    <s v="START UP II"/>
    <s v="DISPOSIÇÃO DE REJEITOS LINHA DO CIRCUITO ARENOSO DISTRIBUIDOR DI-145A-9911 PARA DISTRIBUIDOR DI 145A-9912"/>
    <m/>
    <m/>
    <m/>
    <s v="1450AA-T-70254_FL12"/>
    <n v="1"/>
    <s v="PÇ"/>
    <n v="5.4580000000000002"/>
    <n v="5.4580000000000002"/>
    <n v="2725.4"/>
    <n v="14875.233200000001"/>
    <n v="0"/>
    <n v="0.9"/>
    <n v="0.1"/>
    <m/>
    <m/>
    <m/>
    <n v="0"/>
    <m/>
    <n v="0"/>
    <n v="5.4580000000000002"/>
    <m/>
    <n v="0.4"/>
    <n v="0.5"/>
    <n v="0.1"/>
    <m/>
    <m/>
    <m/>
    <n v="0"/>
    <n v="0"/>
    <n v="0"/>
    <n v="14875.233200000001"/>
    <m/>
    <m/>
  </r>
  <r>
    <s v="2.4.3.1.5"/>
    <s v="CMS M.60.10.000"/>
    <s v="TUBULAÇÃO"/>
    <n v="11"/>
    <s v="CURVA"/>
    <n v="14"/>
    <s v="NÃO"/>
    <s v="NÃO"/>
    <s v="NÃO"/>
    <s v="145A-PG-14¨-L1H-871"/>
    <s v="START UP II"/>
    <s v="DISPOSIÇÃO DE REJEITOS LINHA DO CIRCUITO ARENOSO DISTRIBUIDOR DI-145A-9911 PARA DISTRIBUIDOR DI 145A-9912"/>
    <m/>
    <m/>
    <m/>
    <s v="1450AA-T-70254_FL16"/>
    <n v="1"/>
    <s v="PÇ"/>
    <n v="0.61299999999999999"/>
    <n v="0.61299999999999999"/>
    <n v="2725.4"/>
    <n v="1670.6702"/>
    <n v="0"/>
    <n v="0.9"/>
    <n v="0.1"/>
    <m/>
    <m/>
    <m/>
    <n v="0"/>
    <m/>
    <n v="0"/>
    <n v="0.61299999999999999"/>
    <m/>
    <n v="0.4"/>
    <n v="0.5"/>
    <n v="0.1"/>
    <m/>
    <m/>
    <m/>
    <n v="0"/>
    <n v="0"/>
    <n v="0"/>
    <n v="1670.6702"/>
    <m/>
    <m/>
  </r>
  <r>
    <s v="2.4.3.1.5"/>
    <s v="CMS M.60.10.000"/>
    <s v="TUBULAÇÃO"/>
    <n v="12"/>
    <s v="SPOOL"/>
    <n v="14"/>
    <s v="NÃO"/>
    <s v="NÃO"/>
    <s v="NÃO"/>
    <s v="145A-PG-14¨-L1H-871"/>
    <s v="START UP II"/>
    <s v="DISPOSIÇÃO DE REJEITOS LINHA DO CIRCUITO ARENOSO DISTRIBUIDOR DI-145A-9911 PARA DISTRIBUIDOR DI 145A-9912"/>
    <m/>
    <m/>
    <m/>
    <s v="1450AA-T-70254_FL20"/>
    <n v="1"/>
    <s v="PÇ"/>
    <n v="1.5"/>
    <n v="1.5"/>
    <n v="2725.4"/>
    <n v="4088.1000000000004"/>
    <n v="0"/>
    <n v="0.9"/>
    <n v="0.1"/>
    <m/>
    <m/>
    <m/>
    <n v="0"/>
    <m/>
    <n v="0"/>
    <n v="1.5"/>
    <m/>
    <n v="0.4"/>
    <n v="0.5"/>
    <n v="0.1"/>
    <m/>
    <m/>
    <m/>
    <n v="0"/>
    <n v="0"/>
    <n v="0"/>
    <n v="4088.1000000000004"/>
    <m/>
    <m/>
  </r>
  <r>
    <s v="2.4.3.1.5"/>
    <s v="CMS M.60.10.000"/>
    <s v="TUBULAÇÃO"/>
    <n v="13"/>
    <s v="SPOOL"/>
    <n v="14"/>
    <s v="NÃO"/>
    <s v="NÃO"/>
    <s v="NÃO"/>
    <s v="145A-PG-14¨-L1H-871"/>
    <s v="START UP II"/>
    <s v="DISPOSIÇÃO DE REJEITOS LINHA DO CIRCUITO ARENOSO DISTRIBUIDOR DI-145A-9911 PARA DISTRIBUIDOR DI 145A-9912"/>
    <m/>
    <m/>
    <m/>
    <s v="1450AA-T-70254_FL09"/>
    <n v="1"/>
    <s v="PÇ"/>
    <n v="0.28899999999999998"/>
    <n v="0.28899999999999998"/>
    <n v="2725.4"/>
    <n v="787.64059999999995"/>
    <n v="0"/>
    <n v="0.9"/>
    <n v="0.1"/>
    <m/>
    <m/>
    <m/>
    <n v="0"/>
    <m/>
    <n v="0"/>
    <n v="0.28899999999999998"/>
    <m/>
    <n v="0.4"/>
    <n v="0.5"/>
    <n v="0.1"/>
    <m/>
    <m/>
    <m/>
    <n v="0"/>
    <n v="0"/>
    <n v="0"/>
    <n v="787.64059999999995"/>
    <m/>
    <m/>
  </r>
  <r>
    <s v="2.4.3.1.6"/>
    <s v="CMS M.60.10.000"/>
    <s v="TUBULAÇÃO"/>
    <n v="1"/>
    <s v="CURVA"/>
    <n v="16"/>
    <s v="NÃO"/>
    <s v="NÃO"/>
    <s v="NÃO"/>
    <s v="145A-PG-14¨-L1H-872"/>
    <s v="START UP II"/>
    <s v="DISPOSIÇÃO DE REJEITOS LINHA DO CIRCUITO ARENOSO DISTRIBUIDOR DI-145A-9911 PARA DISTRIBUIDOR DI 145A-9913"/>
    <m/>
    <m/>
    <m/>
    <s v="1450AA-T-70256_FL15"/>
    <n v="1"/>
    <s v="PÇ"/>
    <n v="1.2090000000000001"/>
    <n v="1.2090000000000001"/>
    <n v="3249.8"/>
    <n v="3929.0082000000007"/>
    <n v="0"/>
    <n v="0.9"/>
    <n v="0.1"/>
    <m/>
    <m/>
    <m/>
    <n v="0"/>
    <m/>
    <n v="0"/>
    <n v="1.2090000000000001"/>
    <m/>
    <n v="0.4"/>
    <n v="0.5"/>
    <n v="0.1"/>
    <m/>
    <m/>
    <m/>
    <n v="0"/>
    <n v="0"/>
    <n v="0"/>
    <n v="3929.0082000000007"/>
    <m/>
    <m/>
  </r>
  <r>
    <s v="2.4.3.1.5"/>
    <s v="CMS M.60.10.000"/>
    <s v="TUBULAÇÃO"/>
    <n v="2"/>
    <s v="REDUÇÃO"/>
    <s v="16 X 14"/>
    <s v="NÃO"/>
    <s v="NÃO"/>
    <s v="NÃO"/>
    <s v="145A-PG-14¨-L1H-872"/>
    <s v="START UP II"/>
    <s v="DISPOSIÇÃO DE REJEITOS LINHA DO CIRCUITO ARENOSO DISTRIBUIDOR DI-145A-9911 PARA DISTRIBUIDOR DI 145A-9913"/>
    <m/>
    <m/>
    <m/>
    <s v="1450AA-T-70256_FL16"/>
    <n v="1"/>
    <s v="PÇ"/>
    <n v="1"/>
    <n v="1"/>
    <n v="2725.4"/>
    <n v="2725.4"/>
    <n v="0"/>
    <n v="0.9"/>
    <n v="0.1"/>
    <m/>
    <m/>
    <m/>
    <n v="0"/>
    <m/>
    <n v="0"/>
    <n v="1"/>
    <m/>
    <n v="0.4"/>
    <n v="0.5"/>
    <n v="0.1"/>
    <m/>
    <m/>
    <m/>
    <n v="0"/>
    <n v="0"/>
    <n v="0"/>
    <n v="2725.4"/>
    <m/>
    <m/>
  </r>
  <r>
    <s v="2.4.3.1.5"/>
    <s v="CMS M.60.10.000"/>
    <s v="TUBULAÇÃO"/>
    <n v="3"/>
    <s v="SPOOL"/>
    <n v="14"/>
    <s v="SIM"/>
    <s v="NÃO"/>
    <s v="NÃO"/>
    <s v="145A-PG-14¨-L1H-872"/>
    <s v="START UP II"/>
    <s v="DISPOSIÇÃO DE REJEITOS LINHA DO CIRCUITO ARENOSO DISTRIBUIDOR DI-145A-9911 PARA DISTRIBUIDOR DI 145A-9913"/>
    <m/>
    <m/>
    <m/>
    <s v="1450AA-T-70256_FL12"/>
    <n v="1"/>
    <s v="PÇ"/>
    <n v="0.375"/>
    <n v="0.375"/>
    <n v="2725.4"/>
    <n v="1022.0250000000001"/>
    <n v="0"/>
    <n v="0.9"/>
    <n v="0.1"/>
    <m/>
    <m/>
    <m/>
    <n v="0"/>
    <m/>
    <n v="0"/>
    <n v="0.375"/>
    <m/>
    <n v="0.4"/>
    <n v="0.5"/>
    <n v="0.1"/>
    <m/>
    <m/>
    <m/>
    <n v="0"/>
    <n v="0"/>
    <n v="0"/>
    <n v="1022.0250000000001"/>
    <m/>
    <m/>
  </r>
  <r>
    <s v="2.4.3.1.5"/>
    <s v="CMS M.60.10.000"/>
    <s v="TUBULAÇÃO"/>
    <n v="4"/>
    <s v="SPOOL"/>
    <n v="14"/>
    <s v="NÃO"/>
    <s v="NÃO"/>
    <s v="NÃO"/>
    <s v="145A-PG-14¨-L1H-872"/>
    <s v="START UP II"/>
    <s v="DISPOSIÇÃO DE REJEITOS LINHA DO CIRCUITO ARENOSO DISTRIBUIDOR DI-145A-9911 PARA DISTRIBUIDOR DI 145A-9913"/>
    <m/>
    <m/>
    <m/>
    <s v="1450AA-T-70256_FL11"/>
    <n v="1"/>
    <s v="PÇ"/>
    <n v="2.4"/>
    <n v="2.4"/>
    <n v="2725.4"/>
    <n v="6540.96"/>
    <n v="0"/>
    <n v="0.9"/>
    <n v="0.1"/>
    <m/>
    <m/>
    <m/>
    <n v="0"/>
    <m/>
    <n v="0"/>
    <n v="2.4"/>
    <m/>
    <n v="0.4"/>
    <n v="0.5"/>
    <n v="0.1"/>
    <m/>
    <m/>
    <m/>
    <n v="0"/>
    <n v="0"/>
    <n v="0"/>
    <n v="6540.96"/>
    <m/>
    <m/>
  </r>
  <r>
    <s v="2.4.3.1.5"/>
    <s v="CMS M.60.10.000"/>
    <s v="TUBULAÇÃO"/>
    <n v="5"/>
    <s v="CURVA"/>
    <n v="14"/>
    <s v="NÃO"/>
    <s v="NÃO"/>
    <s v="NÃO"/>
    <s v="145A-PG-14¨-L1H-872"/>
    <s v="START UP II"/>
    <s v="DISPOSIÇÃO DE REJEITOS LINHA DO CIRCUITO ARENOSO DISTRIBUIDOR DI-145A-9911 PARA DISTRIBUIDOR DI 145A-9913"/>
    <m/>
    <m/>
    <m/>
    <s v="1450AA-T-70256_FL14"/>
    <n v="1"/>
    <s v="PÇ"/>
    <n v="0.61299999999999999"/>
    <n v="0.61299999999999999"/>
    <n v="2725.4"/>
    <n v="1670.6702"/>
    <n v="0"/>
    <n v="0.9"/>
    <n v="0.1"/>
    <m/>
    <m/>
    <m/>
    <n v="0"/>
    <m/>
    <n v="0"/>
    <n v="0.61299999999999999"/>
    <m/>
    <n v="0.4"/>
    <n v="0.5"/>
    <n v="0.1"/>
    <m/>
    <m/>
    <m/>
    <n v="0"/>
    <n v="0"/>
    <n v="0"/>
    <n v="1670.6702"/>
    <m/>
    <m/>
  </r>
  <r>
    <s v="2.4.3.1.5"/>
    <s v="CMS M.60.10.000"/>
    <s v="TUBULAÇÃO"/>
    <n v="6"/>
    <s v="SPOOL"/>
    <n v="14"/>
    <s v="NÃO"/>
    <s v="NÃO"/>
    <s v="NÃO"/>
    <s v="145A-PG-14¨-L1H-872"/>
    <s v="START UP II"/>
    <s v="DISPOSIÇÃO DE REJEITOS LINHA DO CIRCUITO ARENOSO DISTRIBUIDOR DI-145A-9911 PARA DISTRIBUIDOR DI 145A-9913"/>
    <m/>
    <m/>
    <m/>
    <s v="1450AA-T-70256_FL10"/>
    <n v="1"/>
    <s v="PÇ"/>
    <n v="1.3660000000000001"/>
    <n v="1.3660000000000001"/>
    <n v="2725.4"/>
    <n v="3722.8964000000005"/>
    <n v="0"/>
    <n v="0.9"/>
    <n v="0.1"/>
    <m/>
    <m/>
    <m/>
    <n v="0"/>
    <m/>
    <n v="0"/>
    <n v="1.3660000000000001"/>
    <m/>
    <n v="0.4"/>
    <n v="0.5"/>
    <n v="0.1"/>
    <m/>
    <m/>
    <m/>
    <n v="0"/>
    <n v="0"/>
    <n v="0"/>
    <n v="3722.8964000000005"/>
    <m/>
    <m/>
  </r>
  <r>
    <s v="2.4.3.1.5"/>
    <s v="CMS M.60.10.000"/>
    <s v="TUBULAÇÃO"/>
    <n v="7"/>
    <s v="CURVA"/>
    <n v="14"/>
    <s v="NÃO"/>
    <s v="NÃO"/>
    <s v="NÃO"/>
    <s v="145A-PG-14¨-L1H-872"/>
    <s v="START UP II"/>
    <s v="DISPOSIÇÃO DE REJEITOS LINHA DO CIRCUITO ARENOSO DISTRIBUIDOR DI-145A-9911 PARA DISTRIBUIDOR DI 145A-9913"/>
    <m/>
    <m/>
    <m/>
    <s v="1450AA-T-70256_FL13"/>
    <n v="1"/>
    <s v="PÇ"/>
    <n v="0.52100000000000002"/>
    <n v="0.52100000000000002"/>
    <n v="2725.4"/>
    <n v="1419.9334000000001"/>
    <n v="0"/>
    <n v="0.9"/>
    <n v="0.1"/>
    <m/>
    <m/>
    <m/>
    <n v="0"/>
    <m/>
    <n v="0"/>
    <n v="0.52100000000000002"/>
    <m/>
    <n v="0.4"/>
    <n v="0.5"/>
    <n v="0.1"/>
    <m/>
    <m/>
    <m/>
    <n v="0"/>
    <n v="0"/>
    <n v="0"/>
    <n v="1419.9334000000001"/>
    <m/>
    <m/>
  </r>
  <r>
    <s v="2.4.3.1.5"/>
    <s v="CMS M.60.10.000"/>
    <s v="TUBULAÇÃO"/>
    <n v="8"/>
    <s v="SPOOL"/>
    <n v="14"/>
    <s v="NÃO"/>
    <s v="NÃO"/>
    <s v="NÃO"/>
    <s v="145A-PG-14¨-L1H-872"/>
    <s v="START UP II"/>
    <s v="DISPOSIÇÃO DE REJEITOS LINHA DO CIRCUITO ARENOSO DISTRIBUIDOR DI-145A-9911 PARA DISTRIBUIDOR DI 145A-9913"/>
    <m/>
    <m/>
    <m/>
    <s v="1450AA-T-70256_FL09"/>
    <n v="1"/>
    <s v="PÇ"/>
    <n v="1.07"/>
    <n v="1.07"/>
    <n v="2725.4"/>
    <n v="2916.1780000000003"/>
    <n v="0"/>
    <n v="0.9"/>
    <n v="0.1"/>
    <m/>
    <m/>
    <m/>
    <n v="0"/>
    <m/>
    <n v="0"/>
    <n v="1.07"/>
    <m/>
    <n v="0.4"/>
    <n v="0.5"/>
    <n v="0.1"/>
    <m/>
    <m/>
    <m/>
    <n v="0"/>
    <n v="0"/>
    <n v="0"/>
    <n v="2916.1780000000003"/>
    <m/>
    <m/>
  </r>
  <r>
    <s v="2.4.3.1.5"/>
    <s v="CMS M.60.10.000"/>
    <s v="TUBULAÇÃO"/>
    <n v="9"/>
    <s v="SPOOL"/>
    <n v="14"/>
    <s v="NÃO"/>
    <s v="NÃO"/>
    <s v="NÃO"/>
    <s v="145A-PG-14¨-L1H-872"/>
    <s v="START UP II"/>
    <s v="DISPOSIÇÃO DE REJEITOS LINHA DO CIRCUITO ARENOSO DISTRIBUIDOR DI-145A-9911 PARA DISTRIBUIDOR DI 145A-9913"/>
    <m/>
    <m/>
    <m/>
    <s v="1450AA-T-70256_FL17"/>
    <n v="1"/>
    <s v="PÇ"/>
    <n v="1.5"/>
    <n v="1.5"/>
    <n v="2725.4"/>
    <n v="4088.1000000000004"/>
    <n v="0"/>
    <n v="0.9"/>
    <n v="0.1"/>
    <m/>
    <m/>
    <m/>
    <n v="0"/>
    <m/>
    <n v="0"/>
    <n v="1.5"/>
    <m/>
    <n v="0.4"/>
    <n v="0.5"/>
    <n v="0.1"/>
    <m/>
    <m/>
    <m/>
    <n v="0"/>
    <n v="0"/>
    <n v="0"/>
    <n v="4088.1000000000004"/>
    <m/>
    <m/>
  </r>
  <r>
    <s v="2.4.3.1.5"/>
    <s v="CMS M.60.10.000"/>
    <s v="TUBULAÇÃO"/>
    <n v="10"/>
    <s v="SPOOL"/>
    <n v="14"/>
    <s v="NÃO"/>
    <s v="NÃO"/>
    <s v="NÃO"/>
    <s v="145A-PG-14¨-L1H-872"/>
    <s v="START UP II"/>
    <s v="DISPOSIÇÃO DE REJEITOS LINHA DO CIRCUITO ARENOSO DISTRIBUIDOR DI-145A-9911 PARA DISTRIBUIDOR DI 145A-9913"/>
    <m/>
    <m/>
    <m/>
    <s v="1450AA-T-70256_FL08"/>
    <n v="1"/>
    <s v="PÇ"/>
    <n v="0.27100000000000002"/>
    <n v="0.27100000000000002"/>
    <n v="2725.4"/>
    <n v="738.5834000000001"/>
    <n v="0"/>
    <n v="0.9"/>
    <n v="0.1"/>
    <m/>
    <m/>
    <m/>
    <n v="0"/>
    <m/>
    <n v="0"/>
    <n v="0.27100000000000002"/>
    <m/>
    <n v="0.4"/>
    <n v="0.5"/>
    <n v="0.1"/>
    <m/>
    <m/>
    <m/>
    <n v="0"/>
    <n v="0"/>
    <n v="0"/>
    <n v="738.5834000000001"/>
    <m/>
    <m/>
  </r>
  <r>
    <s v="2.4.3.1.6"/>
    <s v="CMS M.60.10.000"/>
    <s v="TUBULAÇÃO"/>
    <n v="1"/>
    <s v="CURVA"/>
    <n v="16"/>
    <s v="NÃO"/>
    <s v="NÃO"/>
    <s v="NÃO"/>
    <s v="145A-PG-14¨-L1H-873"/>
    <s v="START UP I"/>
    <s v="DISPOSIÇÃO DE REJEITOS LINHA DO CIRCUITO ARENOSO DISTRIBUIDOR DI-145A-9911 PARA DISTRIBUIDOR DI 145A-9914"/>
    <m/>
    <m/>
    <m/>
    <s v="1450AA-T-70258_FL17"/>
    <n v="1"/>
    <s v="PÇ"/>
    <n v="1.2090000000000001"/>
    <n v="1.2090000000000001"/>
    <n v="3249.8"/>
    <n v="3929.0082000000007"/>
    <n v="0"/>
    <n v="0.9"/>
    <n v="0.1"/>
    <m/>
    <m/>
    <m/>
    <n v="0"/>
    <m/>
    <n v="0"/>
    <n v="1.2090000000000001"/>
    <m/>
    <n v="0.4"/>
    <n v="0.5"/>
    <n v="0.1"/>
    <m/>
    <m/>
    <m/>
    <n v="0"/>
    <n v="0"/>
    <n v="0"/>
    <n v="3929.0082000000007"/>
    <m/>
    <m/>
  </r>
  <r>
    <s v="2.4.3.1.5"/>
    <s v="CMS M.60.10.000"/>
    <s v="TUBULAÇÃO"/>
    <n v="2"/>
    <s v="REDUÇÃO"/>
    <s v="16 X 14"/>
    <s v="NÃO"/>
    <s v="NÃO"/>
    <s v="NÃO"/>
    <s v="145A-PG-14¨-L1H-873"/>
    <s v="START UP I"/>
    <s v="DISPOSIÇÃO DE REJEITOS LINHA DO CIRCUITO ARENOSO DISTRIBUIDOR DI-145A-9911 PARA DISTRIBUIDOR DI 145A-9914"/>
    <m/>
    <m/>
    <m/>
    <s v="1450AA-T-70258_FL18"/>
    <n v="1"/>
    <s v="PÇ"/>
    <n v="0.7"/>
    <n v="0.7"/>
    <n v="2725.4"/>
    <n v="1907.78"/>
    <n v="0"/>
    <n v="0.9"/>
    <n v="0.1"/>
    <m/>
    <m/>
    <m/>
    <n v="0"/>
    <m/>
    <n v="0"/>
    <n v="0.7"/>
    <m/>
    <n v="0.4"/>
    <n v="0.5"/>
    <n v="0.1"/>
    <m/>
    <m/>
    <m/>
    <n v="0"/>
    <n v="0"/>
    <n v="0"/>
    <n v="1907.78"/>
    <m/>
    <m/>
  </r>
  <r>
    <s v="2.4.3.1.5"/>
    <s v="CMS M.60.10.000"/>
    <s v="TUBULAÇÃO"/>
    <n v="3"/>
    <s v="SPOOL"/>
    <n v="14"/>
    <s v="SIM"/>
    <s v="NÃO"/>
    <s v="NÃO"/>
    <s v="145A-PG-14¨-L1H-873"/>
    <s v="START UP I"/>
    <s v="DISPOSIÇÃO DE REJEITOS LINHA DO CIRCUITO ARENOSO DISTRIBUIDOR DI-145A-9911 PARA DISTRIBUIDOR DI 145A-9914"/>
    <m/>
    <m/>
    <m/>
    <s v="1450AA-T-70258_FL12"/>
    <n v="1"/>
    <s v="PÇ"/>
    <n v="0.32"/>
    <n v="0.32"/>
    <n v="2725.4"/>
    <n v="872.12800000000004"/>
    <n v="0"/>
    <n v="0.9"/>
    <n v="0.1"/>
    <m/>
    <m/>
    <m/>
    <n v="0"/>
    <m/>
    <n v="0"/>
    <n v="0.32"/>
    <m/>
    <n v="0.4"/>
    <n v="0.5"/>
    <n v="0.1"/>
    <m/>
    <m/>
    <m/>
    <n v="0"/>
    <n v="0"/>
    <n v="0"/>
    <n v="872.12800000000004"/>
    <m/>
    <m/>
  </r>
  <r>
    <s v="2.4.3.1.5"/>
    <s v="CMS M.60.10.000"/>
    <s v="TUBULAÇÃO"/>
    <n v="4"/>
    <s v="SPOOL"/>
    <n v="14"/>
    <s v="NÃO"/>
    <s v="NÃO"/>
    <s v="NÃO"/>
    <s v="145A-PG-14¨-L1H-873"/>
    <s v="START UP I"/>
    <s v="DISPOSIÇÃO DE REJEITOS LINHA DO CIRCUITO ARENOSO DISTRIBUIDOR DI-145A-9911 PARA DISTRIBUIDOR DI 145A-9914"/>
    <m/>
    <m/>
    <m/>
    <s v="1450AA-T-70258_FL09"/>
    <n v="1"/>
    <s v="PÇ"/>
    <n v="1.4"/>
    <n v="1.4"/>
    <n v="2725.4"/>
    <n v="3815.56"/>
    <n v="0"/>
    <n v="0.9"/>
    <n v="0.1"/>
    <m/>
    <m/>
    <m/>
    <n v="0"/>
    <m/>
    <n v="0"/>
    <n v="1.4"/>
    <m/>
    <n v="0.4"/>
    <n v="0.5"/>
    <n v="0.1"/>
    <m/>
    <m/>
    <m/>
    <n v="0"/>
    <n v="0"/>
    <n v="0"/>
    <n v="3815.56"/>
    <m/>
    <m/>
  </r>
  <r>
    <s v="2.4.3.1.5"/>
    <s v="CMS M.60.10.000"/>
    <s v="TUBULAÇÃO"/>
    <n v="5"/>
    <s v="CURVA"/>
    <n v="14"/>
    <s v="NÃO"/>
    <s v="NÃO"/>
    <s v="NÃO"/>
    <s v="145A-PG-14¨-L1H-873"/>
    <s v="START UP I"/>
    <s v="DISPOSIÇÃO DE REJEITOS LINHA DO CIRCUITO ARENOSO DISTRIBUIDOR DI-145A-9911 PARA DISTRIBUIDOR DI 145A-9914"/>
    <m/>
    <m/>
    <m/>
    <s v="1450AA-T-70258_FL14"/>
    <n v="1"/>
    <s v="PÇ"/>
    <n v="0.34200000000000003"/>
    <n v="0.34200000000000003"/>
    <n v="2725.4"/>
    <n v="932.08680000000015"/>
    <n v="0"/>
    <n v="0.9"/>
    <n v="0.1"/>
    <m/>
    <m/>
    <m/>
    <n v="0"/>
    <m/>
    <n v="0"/>
    <n v="0.34200000000000003"/>
    <m/>
    <n v="0.4"/>
    <n v="0.5"/>
    <n v="0.1"/>
    <m/>
    <m/>
    <m/>
    <n v="0"/>
    <n v="0"/>
    <n v="0"/>
    <n v="932.08680000000015"/>
    <m/>
    <m/>
  </r>
  <r>
    <s v="2.4.3.1.5"/>
    <s v="CMS M.60.10.000"/>
    <s v="TUBULAÇÃO"/>
    <n v="6"/>
    <s v="SPOOL"/>
    <n v="14"/>
    <s v="NÃO"/>
    <s v="NÃO"/>
    <s v="NÃO"/>
    <s v="145A-PG-14¨-L1H-873"/>
    <s v="START UP I"/>
    <s v="DISPOSIÇÃO DE REJEITOS LINHA DO CIRCUITO ARENOSO DISTRIBUIDOR DI-145A-9911 PARA DISTRIBUIDOR DI 145A-9914"/>
    <m/>
    <m/>
    <m/>
    <s v="1450AA-T-70258_FL10"/>
    <n v="1"/>
    <s v="PÇ"/>
    <n v="3.1259999999999999"/>
    <n v="3.1259999999999999"/>
    <n v="2725.4"/>
    <n v="8519.6003999999994"/>
    <n v="0"/>
    <n v="0.9"/>
    <n v="0.1"/>
    <m/>
    <m/>
    <m/>
    <n v="0"/>
    <m/>
    <n v="0"/>
    <n v="3.1259999999999999"/>
    <m/>
    <n v="0.4"/>
    <n v="0.5"/>
    <n v="0.1"/>
    <m/>
    <m/>
    <m/>
    <n v="0"/>
    <n v="0"/>
    <n v="0"/>
    <n v="8519.6003999999994"/>
    <m/>
    <m/>
  </r>
  <r>
    <s v="2.4.3.1.5"/>
    <s v="CMS M.60.10.000"/>
    <s v="TUBULAÇÃO"/>
    <n v="7"/>
    <s v="CURVA"/>
    <n v="14"/>
    <s v="NÃO"/>
    <s v="NÃO"/>
    <s v="NÃO"/>
    <s v="145A-PG-14¨-L1H-873"/>
    <s v="START UP I"/>
    <s v="DISPOSIÇÃO DE REJEITOS LINHA DO CIRCUITO ARENOSO DISTRIBUIDOR DI-145A-9911 PARA DISTRIBUIDOR DI 145A-9914"/>
    <m/>
    <m/>
    <m/>
    <s v="1450AA-T-70258_FL16"/>
    <n v="1"/>
    <s v="PÇ"/>
    <n v="0.76900000000000002"/>
    <n v="0.76900000000000002"/>
    <n v="2725.4"/>
    <n v="2095.8326000000002"/>
    <n v="0"/>
    <n v="0.9"/>
    <n v="0.1"/>
    <m/>
    <m/>
    <m/>
    <n v="0"/>
    <m/>
    <n v="0"/>
    <n v="0.76900000000000002"/>
    <m/>
    <n v="0.4"/>
    <n v="0.5"/>
    <n v="0.1"/>
    <m/>
    <m/>
    <m/>
    <n v="0"/>
    <n v="0"/>
    <n v="0"/>
    <n v="2095.8326000000002"/>
    <m/>
    <m/>
  </r>
  <r>
    <s v="2.4.3.1.5"/>
    <s v="CMS M.60.10.000"/>
    <s v="TUBULAÇÃO"/>
    <n v="8"/>
    <s v="SPOOL"/>
    <n v="14"/>
    <s v="NÃO"/>
    <s v="NÃO"/>
    <s v="NÃO"/>
    <s v="145A-PG-14¨-L1H-873"/>
    <s v="START UP I"/>
    <s v="DISPOSIÇÃO DE REJEITOS LINHA DO CIRCUITO ARENOSO DISTRIBUIDOR DI-145A-9911 PARA DISTRIBUIDOR DI 145A-9914"/>
    <m/>
    <m/>
    <m/>
    <s v="1450AA-T-70258_FL11"/>
    <n v="2"/>
    <s v="PÇ"/>
    <n v="3.4"/>
    <n v="6.8"/>
    <n v="2725.4"/>
    <n v="18532.72"/>
    <n v="0"/>
    <n v="0.9"/>
    <n v="0.1"/>
    <m/>
    <m/>
    <m/>
    <n v="0"/>
    <m/>
    <n v="0"/>
    <n v="6.8"/>
    <m/>
    <n v="0.4"/>
    <n v="0.5"/>
    <n v="0.1"/>
    <m/>
    <m/>
    <m/>
    <n v="0"/>
    <n v="0"/>
    <n v="0"/>
    <n v="18532.72"/>
    <m/>
    <m/>
  </r>
  <r>
    <s v="2.4.3.1.5"/>
    <s v="CMS M.60.10.000"/>
    <s v="TUBULAÇÃO"/>
    <n v="9"/>
    <s v="SPOOL"/>
    <n v="14"/>
    <s v="SIM"/>
    <s v="NÃO"/>
    <s v="NÃO"/>
    <s v="145A-PG-14¨-L1H-873"/>
    <s v="START UP I"/>
    <s v="DISPOSIÇÃO DE REJEITOS LINHA DO CIRCUITO ARENOSO DISTRIBUIDOR DI-145A-9911 PARA DISTRIBUIDOR DI 145A-9914"/>
    <m/>
    <m/>
    <m/>
    <s v="1450AA-T-70258_FL13"/>
    <n v="1"/>
    <s v="PÇ"/>
    <n v="0.42"/>
    <n v="0.42"/>
    <n v="2725.4"/>
    <n v="1144.6679999999999"/>
    <n v="0"/>
    <n v="0.9"/>
    <n v="0.1"/>
    <m/>
    <m/>
    <m/>
    <n v="0"/>
    <m/>
    <n v="0"/>
    <n v="0.42"/>
    <m/>
    <n v="0.4"/>
    <n v="0.5"/>
    <n v="0.1"/>
    <m/>
    <m/>
    <m/>
    <n v="0"/>
    <n v="0"/>
    <n v="0"/>
    <n v="1144.6679999999999"/>
    <m/>
    <m/>
  </r>
  <r>
    <s v="2.4.3.1.5"/>
    <s v="CMS M.60.10.000"/>
    <s v="TUBULAÇÃO"/>
    <n v="10"/>
    <s v="CURVA"/>
    <n v="14"/>
    <s v="NÃO"/>
    <s v="NÃO"/>
    <s v="NÃO"/>
    <s v="145A-PG-14¨-L1H-873"/>
    <s v="START UP I"/>
    <s v="DISPOSIÇÃO DE REJEITOS LINHA DO CIRCUITO ARENOSO DISTRIBUIDOR DI-145A-9911 PARA DISTRIBUIDOR DI 145A-9914"/>
    <m/>
    <m/>
    <m/>
    <s v="1450AA-T-70258_FL15"/>
    <n v="1"/>
    <s v="PÇ"/>
    <n v="0.61299999999999999"/>
    <n v="0.61299999999999999"/>
    <n v="2725.4"/>
    <n v="1670.6702"/>
    <n v="0"/>
    <n v="0.9"/>
    <n v="0.1"/>
    <m/>
    <m/>
    <m/>
    <n v="0"/>
    <m/>
    <n v="0"/>
    <n v="0.61299999999999999"/>
    <m/>
    <n v="0.4"/>
    <n v="0.5"/>
    <n v="0.1"/>
    <m/>
    <m/>
    <m/>
    <n v="0"/>
    <n v="0"/>
    <n v="0"/>
    <n v="1670.6702"/>
    <m/>
    <m/>
  </r>
  <r>
    <s v="2.4.3.1.5"/>
    <s v="CMS M.60.10.000"/>
    <s v="TUBULAÇÃO"/>
    <n v="11"/>
    <s v="SPOOL"/>
    <n v="14"/>
    <s v="NÃO"/>
    <s v="NÃO"/>
    <s v="NÃO"/>
    <s v="145A-PG-14¨-L1H-873"/>
    <s v="START UP I"/>
    <s v="DISPOSIÇÃO DE REJEITOS LINHA DO CIRCUITO ARENOSO DISTRIBUIDOR DI-145A-9911 PARA DISTRIBUIDOR DI 145A-9914"/>
    <m/>
    <m/>
    <m/>
    <s v="1450AA-T-70258_FL19"/>
    <n v="1"/>
    <s v="PÇ"/>
    <n v="1.5"/>
    <n v="1.5"/>
    <n v="2725.4"/>
    <n v="4088.1000000000004"/>
    <n v="0"/>
    <n v="0.9"/>
    <n v="0.1"/>
    <m/>
    <m/>
    <m/>
    <n v="0"/>
    <m/>
    <n v="0"/>
    <n v="1.5"/>
    <m/>
    <n v="0.4"/>
    <n v="0.5"/>
    <n v="0.1"/>
    <m/>
    <m/>
    <m/>
    <n v="0"/>
    <n v="0"/>
    <n v="0"/>
    <n v="4088.1000000000004"/>
    <m/>
    <m/>
  </r>
  <r>
    <s v="2.4.3.1.5"/>
    <s v="CMS M.60.10.000"/>
    <s v="TUBULAÇÃO"/>
    <n v="12"/>
    <s v="SPOOL"/>
    <n v="14"/>
    <s v="NÃO"/>
    <s v="NÃO"/>
    <s v="NÃO"/>
    <s v="145A-PG-14¨-L1H-873"/>
    <s v="START UP I"/>
    <s v="DISPOSIÇÃO DE REJEITOS LINHA DO CIRCUITO ARENOSO DISTRIBUIDOR DI-145A-9911 PARA DISTRIBUIDOR DI 145A-9914"/>
    <m/>
    <m/>
    <m/>
    <s v="1450AA-T-70258_FL08"/>
    <n v="1"/>
    <s v="PÇ"/>
    <n v="0.27700000000000002"/>
    <n v="0.27700000000000002"/>
    <n v="2725.4"/>
    <n v="754.93580000000009"/>
    <n v="0"/>
    <n v="0.9"/>
    <n v="0.1"/>
    <m/>
    <m/>
    <m/>
    <n v="0"/>
    <m/>
    <n v="0"/>
    <n v="0.27700000000000002"/>
    <m/>
    <n v="0.4"/>
    <n v="0.5"/>
    <n v="0.1"/>
    <m/>
    <m/>
    <m/>
    <n v="0"/>
    <n v="0"/>
    <n v="0"/>
    <n v="754.93580000000009"/>
    <m/>
    <m/>
  </r>
  <r>
    <s v="2.4.3.1.6"/>
    <s v="CMS M.60.10.000"/>
    <s v="TUBULAÇÃO"/>
    <n v="1"/>
    <s v="CURVA"/>
    <n v="16"/>
    <s v="NÃO"/>
    <s v="NÃO"/>
    <s v="NÃO"/>
    <s v="145A-PG-14¨-L1H-874"/>
    <s v="START UP I"/>
    <s v="DISPOSIÇÃO DE REJEITOS LINHA DO CIRCUITO ARENOSO DISTRIBUIDOR DI-145A-9911 PARA DISTRIBUIDOR DI 145A-9915"/>
    <m/>
    <m/>
    <m/>
    <s v="1450AA-T-70260_FL20"/>
    <n v="1"/>
    <s v="PÇ"/>
    <n v="1.2090000000000001"/>
    <n v="1.2090000000000001"/>
    <n v="3249.8"/>
    <n v="3929.0082000000007"/>
    <n v="0"/>
    <n v="0.9"/>
    <n v="0.1"/>
    <m/>
    <m/>
    <m/>
    <n v="0"/>
    <m/>
    <n v="0"/>
    <n v="1.2090000000000001"/>
    <m/>
    <n v="0.4"/>
    <n v="0.5"/>
    <n v="0.1"/>
    <m/>
    <m/>
    <m/>
    <n v="0"/>
    <n v="0"/>
    <n v="0"/>
    <n v="3929.0082000000007"/>
    <m/>
    <m/>
  </r>
  <r>
    <s v="2.4.3.1.5"/>
    <s v="CMS M.60.10.000"/>
    <s v="TUBULAÇÃO"/>
    <n v="2"/>
    <s v="REDUÇÃO"/>
    <s v="16 X 14"/>
    <s v="NÃO"/>
    <s v="NÃO"/>
    <s v="NÃO"/>
    <s v="145A-PG-14¨-L1H-874"/>
    <s v="START UP I"/>
    <s v="DISPOSIÇÃO DE REJEITOS LINHA DO CIRCUITO ARENOSO DISTRIBUIDOR DI-145A-9911 PARA DISTRIBUIDOR DI 145A-9915"/>
    <m/>
    <m/>
    <m/>
    <s v="1450AA-T-70260_FL21"/>
    <n v="1"/>
    <s v="PÇ"/>
    <n v="0.7"/>
    <n v="0.7"/>
    <n v="2725.4"/>
    <n v="1907.78"/>
    <n v="0"/>
    <n v="0.9"/>
    <n v="0.1"/>
    <m/>
    <m/>
    <m/>
    <n v="0"/>
    <m/>
    <n v="0"/>
    <n v="0.7"/>
    <m/>
    <n v="0.4"/>
    <n v="0.5"/>
    <n v="0.1"/>
    <m/>
    <m/>
    <m/>
    <n v="0"/>
    <n v="0"/>
    <n v="0"/>
    <n v="1907.78"/>
    <m/>
    <m/>
  </r>
  <r>
    <s v="2.4.3.1.5"/>
    <s v="CMS M.60.10.000"/>
    <s v="TUBULAÇÃO"/>
    <n v="3"/>
    <s v="SPOOL"/>
    <n v="14"/>
    <s v="NÃO"/>
    <s v="NÃO"/>
    <s v="NÃO"/>
    <s v="145A-PG-14¨-L1H-874"/>
    <s v="START UP I"/>
    <s v="DISPOSIÇÃO DE REJEITOS LINHA DO CIRCUITO ARENOSO DISTRIBUIDOR DI-145A-9911 PARA DISTRIBUIDOR DI 145A-9915"/>
    <m/>
    <m/>
    <m/>
    <s v="1450AA-T-70260_FL08"/>
    <n v="1"/>
    <s v="PÇ"/>
    <n v="0.185"/>
    <n v="0.185"/>
    <n v="2725.4"/>
    <n v="504.19900000000001"/>
    <n v="0"/>
    <n v="0.9"/>
    <n v="0.1"/>
    <m/>
    <m/>
    <m/>
    <n v="0"/>
    <m/>
    <n v="0"/>
    <n v="0.185"/>
    <m/>
    <n v="0.4"/>
    <n v="0.5"/>
    <n v="0.1"/>
    <m/>
    <m/>
    <m/>
    <n v="0"/>
    <n v="0"/>
    <n v="0"/>
    <n v="504.19900000000001"/>
    <m/>
    <m/>
  </r>
  <r>
    <s v="2.4.3.1.5"/>
    <s v="CMS M.60.10.000"/>
    <s v="TUBULAÇÃO"/>
    <n v="4"/>
    <s v="CURVA"/>
    <n v="14"/>
    <s v="NÃO"/>
    <s v="NÃO"/>
    <s v="NÃO"/>
    <s v="145A-PG-14¨-L1H-874"/>
    <s v="START UP I"/>
    <s v="DISPOSIÇÃO DE REJEITOS LINHA DO CIRCUITO ARENOSO DISTRIBUIDOR DI-145A-9911 PARA DISTRIBUIDOR DI 145A-9915"/>
    <m/>
    <m/>
    <m/>
    <s v="1450AA-T-70260_FL17"/>
    <n v="1"/>
    <s v="PÇ"/>
    <n v="0.48799999999999999"/>
    <n v="0.48799999999999999"/>
    <n v="2725.4"/>
    <n v="1329.9952000000001"/>
    <n v="0"/>
    <n v="0.9"/>
    <n v="0.1"/>
    <m/>
    <m/>
    <m/>
    <n v="0"/>
    <m/>
    <n v="0"/>
    <n v="0.48799999999999999"/>
    <m/>
    <n v="0.4"/>
    <n v="0.5"/>
    <n v="0.1"/>
    <m/>
    <m/>
    <m/>
    <n v="0"/>
    <n v="0"/>
    <n v="0"/>
    <n v="1329.9952000000001"/>
    <m/>
    <m/>
  </r>
  <r>
    <s v="2.4.3.1.5"/>
    <s v="CMS M.60.10.000"/>
    <s v="TUBULAÇÃO"/>
    <n v="5"/>
    <s v="SPOOL"/>
    <n v="14"/>
    <s v="SIM"/>
    <s v="NÃO"/>
    <s v="NÃO"/>
    <s v="145A-PG-14¨-L1H-874"/>
    <s v="START UP I"/>
    <s v="DISPOSIÇÃO DE REJEITOS LINHA DO CIRCUITO ARENOSO DISTRIBUIDOR DI-145A-9911 PARA DISTRIBUIDOR DI 145A-9915"/>
    <m/>
    <m/>
    <m/>
    <s v="1450AA-T-70260_FL15"/>
    <n v="1"/>
    <s v="PÇ"/>
    <n v="0.38"/>
    <n v="0.38"/>
    <n v="2725.4"/>
    <n v="1035.652"/>
    <n v="0"/>
    <n v="0.9"/>
    <n v="0.1"/>
    <m/>
    <m/>
    <m/>
    <n v="0"/>
    <m/>
    <n v="0"/>
    <n v="0.38"/>
    <m/>
    <n v="0.4"/>
    <n v="0.5"/>
    <n v="0.1"/>
    <m/>
    <m/>
    <m/>
    <n v="0"/>
    <n v="0"/>
    <n v="0"/>
    <n v="1035.652"/>
    <m/>
    <m/>
  </r>
  <r>
    <s v="2.4.3.1.5"/>
    <s v="CMS M.60.10.000"/>
    <s v="TUBULAÇÃO"/>
    <n v="6"/>
    <s v="SPOOL"/>
    <n v="14"/>
    <s v="NÃO"/>
    <s v="NÃO"/>
    <s v="NÃO"/>
    <s v="145A-PG-14¨-L1H-874"/>
    <s v="START UP I"/>
    <s v="DISPOSIÇÃO DE REJEITOS LINHA DO CIRCUITO ARENOSO DISTRIBUIDOR DI-145A-9911 PARA DISTRIBUIDOR DI 145A-9915"/>
    <m/>
    <m/>
    <m/>
    <s v="1450AA-T-70260_FL10"/>
    <n v="1"/>
    <s v="PÇ"/>
    <n v="2.4"/>
    <n v="2.4"/>
    <n v="2725.4"/>
    <n v="6540.96"/>
    <n v="0"/>
    <n v="0.9"/>
    <n v="0.1"/>
    <m/>
    <m/>
    <m/>
    <n v="0"/>
    <m/>
    <n v="0"/>
    <n v="2.4"/>
    <m/>
    <n v="0.4"/>
    <n v="0.5"/>
    <n v="0.1"/>
    <m/>
    <m/>
    <m/>
    <n v="0"/>
    <n v="0"/>
    <n v="0"/>
    <n v="6540.96"/>
    <m/>
    <m/>
  </r>
  <r>
    <s v="2.4.3.1.5"/>
    <s v="CMS M.60.10.000"/>
    <s v="TUBULAÇÃO"/>
    <n v="7"/>
    <s v="CURVA"/>
    <n v="14"/>
    <s v="NÃO"/>
    <s v="NÃO"/>
    <s v="NÃO"/>
    <s v="145A-PG-14¨-L1H-874"/>
    <s v="START UP I"/>
    <s v="DISPOSIÇÃO DE REJEITOS LINHA DO CIRCUITO ARENOSO DISTRIBUIDOR DI-145A-9911 PARA DISTRIBUIDOR DI 145A-9915"/>
    <m/>
    <m/>
    <m/>
    <s v="1450AA-T-70260_FL16"/>
    <n v="1"/>
    <s v="PÇ"/>
    <n v="0.45400000000000001"/>
    <n v="0.45400000000000001"/>
    <n v="2725.4"/>
    <n v="1237.3316"/>
    <n v="0"/>
    <n v="0.9"/>
    <n v="0.1"/>
    <m/>
    <m/>
    <m/>
    <n v="0"/>
    <m/>
    <n v="0"/>
    <n v="0.45400000000000001"/>
    <m/>
    <n v="0.4"/>
    <n v="0.5"/>
    <n v="0.1"/>
    <m/>
    <m/>
    <m/>
    <n v="0"/>
    <n v="0"/>
    <n v="0"/>
    <n v="1237.3316"/>
    <m/>
    <m/>
  </r>
  <r>
    <s v="2.4.3.1.5"/>
    <s v="CMS M.60.10.000"/>
    <s v="TUBULAÇÃO"/>
    <n v="8"/>
    <s v="SPOOL"/>
    <n v="14"/>
    <s v="NÃO"/>
    <s v="NÃO"/>
    <s v="NÃO"/>
    <s v="145A-PG-14¨-L1H-874"/>
    <s v="START UP I"/>
    <s v="DISPOSIÇÃO DE REJEITOS LINHA DO CIRCUITO ARENOSO DISTRIBUIDOR DI-145A-9911 PARA DISTRIBUIDOR DI 145A-9915"/>
    <m/>
    <m/>
    <m/>
    <s v="1450AA-T-70260_FL11"/>
    <n v="1"/>
    <s v="PÇ"/>
    <n v="3.0339999999999998"/>
    <n v="3.0339999999999998"/>
    <n v="2725.4"/>
    <n v="8268.8636000000006"/>
    <n v="0"/>
    <n v="0.9"/>
    <n v="0.1"/>
    <m/>
    <m/>
    <m/>
    <n v="0"/>
    <m/>
    <n v="0"/>
    <n v="3.0339999999999998"/>
    <m/>
    <n v="0.4"/>
    <n v="0.5"/>
    <n v="0.1"/>
    <m/>
    <m/>
    <m/>
    <n v="0"/>
    <n v="0"/>
    <n v="0"/>
    <n v="8268.8636000000006"/>
    <m/>
    <m/>
  </r>
  <r>
    <s v="2.4.3.1.5"/>
    <s v="CMS M.60.10.000"/>
    <s v="TUBULAÇÃO"/>
    <n v="9"/>
    <s v="CURVA"/>
    <n v="14"/>
    <s v="NÃO"/>
    <s v="NÃO"/>
    <s v="NÃO"/>
    <s v="145A-PG-14¨-L1H-874"/>
    <s v="START UP I"/>
    <s v="DISPOSIÇÃO DE REJEITOS LINHA DO CIRCUITO ARENOSO DISTRIBUIDOR DI-145A-9911 PARA DISTRIBUIDOR DI 145A-9915"/>
    <m/>
    <m/>
    <m/>
    <s v="1450AA-T-70260_FL19"/>
    <n v="1"/>
    <s v="PÇ"/>
    <n v="0.78"/>
    <n v="0.78"/>
    <n v="2725.4"/>
    <n v="2125.8120000000004"/>
    <n v="0"/>
    <n v="0.9"/>
    <n v="0.1"/>
    <m/>
    <m/>
    <m/>
    <n v="0"/>
    <m/>
    <n v="0"/>
    <n v="0.78"/>
    <m/>
    <n v="0.4"/>
    <n v="0.5"/>
    <n v="0.1"/>
    <m/>
    <m/>
    <m/>
    <n v="0"/>
    <n v="0"/>
    <n v="0"/>
    <n v="2125.8120000000004"/>
    <m/>
    <m/>
  </r>
  <r>
    <s v="2.4.3.1.5"/>
    <s v="CMS M.60.10.000"/>
    <s v="TUBULAÇÃO"/>
    <n v="10"/>
    <s v="SPOOL"/>
    <n v="14"/>
    <s v="NÃO"/>
    <s v="NÃO"/>
    <s v="NÃO"/>
    <s v="145A-PG-14¨-L1H-874"/>
    <s v="START UP I"/>
    <s v="DISPOSIÇÃO DE REJEITOS LINHA DO CIRCUITO ARENOSO DISTRIBUIDOR DI-145A-9911 PARA DISTRIBUIDOR DI 145A-9915"/>
    <m/>
    <m/>
    <m/>
    <s v="1450AA-T-70260_FL13"/>
    <n v="1"/>
    <s v="PÇ"/>
    <n v="6"/>
    <n v="6"/>
    <n v="2725.4"/>
    <n v="16352.400000000001"/>
    <n v="0"/>
    <n v="0.9"/>
    <n v="0.1"/>
    <m/>
    <m/>
    <m/>
    <n v="0"/>
    <m/>
    <n v="0"/>
    <n v="6"/>
    <m/>
    <n v="0.4"/>
    <n v="0.5"/>
    <n v="0.1"/>
    <m/>
    <m/>
    <m/>
    <n v="0"/>
    <n v="0"/>
    <n v="0"/>
    <n v="16352.400000000001"/>
    <m/>
    <m/>
  </r>
  <r>
    <s v="2.4.3.1.5"/>
    <s v="CMS M.60.10.000"/>
    <s v="TUBULAÇÃO"/>
    <n v="11"/>
    <s v="SPOOL"/>
    <n v="14"/>
    <s v="NÃO"/>
    <s v="NÃO"/>
    <s v="NÃO"/>
    <s v="145A-PG-14¨-L1H-874"/>
    <s v="START UP I"/>
    <s v="DISPOSIÇÃO DE REJEITOS LINHA DO CIRCUITO ARENOSO DISTRIBUIDOR DI-145A-9911 PARA DISTRIBUIDOR DI 145A-9915"/>
    <m/>
    <m/>
    <m/>
    <s v="1450AA-T-70260_FL12"/>
    <n v="1"/>
    <s v="PÇ"/>
    <n v="4.2"/>
    <n v="4.2"/>
    <n v="2725.4"/>
    <n v="11446.68"/>
    <n v="0"/>
    <n v="0.9"/>
    <n v="0.1"/>
    <m/>
    <m/>
    <m/>
    <n v="0"/>
    <m/>
    <n v="0"/>
    <n v="4.2"/>
    <m/>
    <n v="0.4"/>
    <n v="0.5"/>
    <n v="0.1"/>
    <m/>
    <m/>
    <m/>
    <n v="0"/>
    <n v="0"/>
    <n v="0"/>
    <n v="11446.68"/>
    <m/>
    <m/>
  </r>
  <r>
    <s v="2.4.3.1.5"/>
    <s v="CMS M.60.10.000"/>
    <s v="TUBULAÇÃO"/>
    <n v="12"/>
    <s v="SPOOL"/>
    <n v="14"/>
    <s v="SIM"/>
    <s v="NÃO"/>
    <s v="NÃO"/>
    <s v="145A-PG-14¨-L1H-874"/>
    <s v="START UP I"/>
    <s v="DISPOSIÇÃO DE REJEITOS LINHA DO CIRCUITO ARENOSO DISTRIBUIDOR DI-145A-9911 PARA DISTRIBUIDOR DI 145A-9915"/>
    <m/>
    <m/>
    <m/>
    <s v="1450AA-T-70260_FL14"/>
    <n v="1"/>
    <s v="PÇ"/>
    <n v="0.34"/>
    <n v="0.34"/>
    <n v="2725.4"/>
    <n v="926.63600000000008"/>
    <n v="0"/>
    <n v="0.9"/>
    <n v="0.1"/>
    <m/>
    <m/>
    <m/>
    <n v="0"/>
    <m/>
    <n v="0"/>
    <n v="0.34"/>
    <m/>
    <n v="0.4"/>
    <n v="0.5"/>
    <n v="0.1"/>
    <m/>
    <m/>
    <m/>
    <n v="0"/>
    <n v="0"/>
    <n v="0"/>
    <n v="926.63600000000008"/>
    <m/>
    <m/>
  </r>
  <r>
    <s v="2.4.3.1.5"/>
    <s v="CMS M.60.10.000"/>
    <s v="TUBULAÇÃO"/>
    <n v="13"/>
    <s v="CURVA"/>
    <n v="14"/>
    <s v="NÃO"/>
    <s v="NÃO"/>
    <s v="NÃO"/>
    <s v="145A-PG-14¨-L1H-874"/>
    <s v="START UP I"/>
    <s v="DISPOSIÇÃO DE REJEITOS LINHA DO CIRCUITO ARENOSO DISTRIBUIDOR DI-145A-9911 PARA DISTRIBUIDOR DI 145A-9915"/>
    <m/>
    <m/>
    <m/>
    <s v="1450AA-T-70260_FL18"/>
    <n v="1"/>
    <s v="PÇ"/>
    <n v="0.61299999999999999"/>
    <n v="0.61299999999999999"/>
    <n v="2725.4"/>
    <n v="1670.6702"/>
    <n v="0"/>
    <n v="0.9"/>
    <n v="0.1"/>
    <m/>
    <m/>
    <m/>
    <n v="0"/>
    <m/>
    <n v="0"/>
    <n v="0.61299999999999999"/>
    <m/>
    <n v="0.4"/>
    <n v="0.5"/>
    <n v="0.1"/>
    <m/>
    <m/>
    <m/>
    <n v="0"/>
    <n v="0"/>
    <n v="0"/>
    <n v="1670.6702"/>
    <m/>
    <m/>
  </r>
  <r>
    <s v="2.4.3.1.5"/>
    <s v="CMS M.60.10.000"/>
    <s v="TUBULAÇÃO"/>
    <n v="14"/>
    <s v="SPOOL"/>
    <n v="14"/>
    <s v="NÃO"/>
    <s v="NÃO"/>
    <s v="NÃO"/>
    <s v="145A-PG-14¨-L1H-874"/>
    <s v="START UP I"/>
    <s v="DISPOSIÇÃO DE REJEITOS LINHA DO CIRCUITO ARENOSO DISTRIBUIDOR DI-145A-9911 PARA DISTRIBUIDOR DI 145A-9915"/>
    <m/>
    <m/>
    <m/>
    <s v="1450AA-T-70260_FL22"/>
    <n v="1"/>
    <s v="PÇ"/>
    <n v="1.5"/>
    <n v="1.5"/>
    <n v="2725.4"/>
    <n v="4088.1000000000004"/>
    <n v="0"/>
    <n v="0.9"/>
    <n v="0.1"/>
    <m/>
    <m/>
    <m/>
    <n v="0"/>
    <m/>
    <n v="0"/>
    <n v="1.5"/>
    <m/>
    <n v="0.4"/>
    <n v="0.5"/>
    <n v="0.1"/>
    <m/>
    <m/>
    <m/>
    <n v="0"/>
    <n v="0"/>
    <n v="0"/>
    <n v="4088.1000000000004"/>
    <m/>
    <m/>
  </r>
  <r>
    <s v="2.4.3.1.5"/>
    <s v="CMS M.60.10.000"/>
    <s v="TUBULAÇÃO"/>
    <n v="15"/>
    <s v="SPOOL"/>
    <n v="14"/>
    <s v="NÃO"/>
    <s v="NÃO"/>
    <s v="NÃO"/>
    <s v="145A-PG-14¨-L1H-874"/>
    <s v="START UP I"/>
    <s v="DISPOSIÇÃO DE REJEITOS LINHA DO CIRCUITO ARENOSO DISTRIBUIDOR DI-145A-9911 PARA DISTRIBUIDOR DI 145A-9915"/>
    <m/>
    <m/>
    <m/>
    <s v="1450AA-T-70260_FL09"/>
    <n v="1"/>
    <s v="PÇ"/>
    <n v="0.38100000000000001"/>
    <n v="0.38100000000000001"/>
    <n v="2725.4"/>
    <n v="1038.3774000000001"/>
    <n v="0"/>
    <n v="0.9"/>
    <n v="0.1"/>
    <m/>
    <m/>
    <m/>
    <n v="0"/>
    <m/>
    <n v="0"/>
    <n v="0.38100000000000001"/>
    <m/>
    <n v="0.4"/>
    <n v="0.5"/>
    <n v="0.1"/>
    <m/>
    <m/>
    <m/>
    <n v="0"/>
    <n v="0"/>
    <n v="0"/>
    <n v="1038.3774000000001"/>
    <m/>
    <m/>
  </r>
  <r>
    <s v="2.4.3.1.6"/>
    <s v="CMS M.60.10.000"/>
    <s v="TUBULAÇÃO"/>
    <n v="1"/>
    <s v="CURVA"/>
    <n v="16"/>
    <s v="NÃO"/>
    <s v="NÃO"/>
    <s v="NÃO"/>
    <s v="145A-PG-14¨-L1H-929"/>
    <s v="START UP II"/>
    <s v="DISPOSIÇÃO DE REJEITOS LINHA DO CIRCUITO ARENOSO DISTRIBUIDOR DI-145A-9911 PARA DISTRIBUIDOR DI 145A-9916"/>
    <m/>
    <m/>
    <m/>
    <s v="1450AA-T-70264_FL25"/>
    <n v="1"/>
    <s v="PÇ"/>
    <n v="1.2090000000000001"/>
    <n v="1.2090000000000001"/>
    <n v="3249.8"/>
    <n v="3929.0082000000007"/>
    <n v="0"/>
    <n v="0.9"/>
    <n v="0.1"/>
    <m/>
    <m/>
    <m/>
    <n v="0"/>
    <m/>
    <n v="0"/>
    <n v="1.2090000000000001"/>
    <m/>
    <n v="0.4"/>
    <n v="0.5"/>
    <n v="0.1"/>
    <m/>
    <m/>
    <m/>
    <n v="0"/>
    <n v="0"/>
    <n v="0"/>
    <n v="3929.0082000000007"/>
    <m/>
    <m/>
  </r>
  <r>
    <s v="2.4.3.1.5"/>
    <s v="CMS M.60.10.000"/>
    <s v="TUBULAÇÃO"/>
    <n v="2"/>
    <s v="REDUÇÃO"/>
    <s v="16 X 14"/>
    <s v="NÃO"/>
    <s v="NÃO"/>
    <s v="NÃO"/>
    <s v="145A-PG-14¨-L1H-929"/>
    <s v="START UP II"/>
    <s v="DISPOSIÇÃO DE REJEITOS LINHA DO CIRCUITO ARENOSO DISTRIBUIDOR DI-145A-9911 PARA DISTRIBUIDOR DI 145A-9916"/>
    <m/>
    <m/>
    <m/>
    <s v="1450AA-T-70264_FL26"/>
    <n v="1"/>
    <s v="PÇ"/>
    <n v="0.7"/>
    <n v="0.7"/>
    <n v="2725.4"/>
    <n v="1907.78"/>
    <n v="0"/>
    <n v="0.9"/>
    <n v="0.1"/>
    <m/>
    <m/>
    <m/>
    <n v="0"/>
    <m/>
    <n v="0"/>
    <n v="0.7"/>
    <m/>
    <n v="0.4"/>
    <n v="0.5"/>
    <n v="0.1"/>
    <m/>
    <m/>
    <m/>
    <n v="0"/>
    <n v="0"/>
    <n v="0"/>
    <n v="1907.78"/>
    <m/>
    <m/>
  </r>
  <r>
    <s v="2.4.3.1.5"/>
    <s v="CMS M.60.10.000"/>
    <s v="TUBULAÇÃO"/>
    <n v="3"/>
    <s v="SPOOL"/>
    <n v="14"/>
    <s v="SIM"/>
    <s v="NÃO"/>
    <s v="NÃO"/>
    <s v="145A-PG-14¨-L1H-929"/>
    <s v="START UP II"/>
    <s v="DISPOSIÇÃO DE REJEITOS LINHA DO CIRCUITO ARENOSO DISTRIBUIDOR DI-145A-9911 PARA DISTRIBUIDOR DI 145A-9916"/>
    <m/>
    <m/>
    <m/>
    <s v="1450AA-T-70264_FL17"/>
    <n v="1"/>
    <s v="PÇ"/>
    <n v="0.375"/>
    <n v="0.375"/>
    <n v="2725.4"/>
    <n v="1022.0250000000001"/>
    <n v="0"/>
    <n v="0.9"/>
    <n v="0.1"/>
    <m/>
    <m/>
    <m/>
    <n v="0"/>
    <m/>
    <n v="0"/>
    <n v="0.375"/>
    <m/>
    <n v="0.4"/>
    <n v="0.5"/>
    <n v="0.1"/>
    <m/>
    <m/>
    <m/>
    <n v="0"/>
    <n v="0"/>
    <n v="0"/>
    <n v="1022.0250000000001"/>
    <m/>
    <m/>
  </r>
  <r>
    <s v="2.4.3.1.5"/>
    <s v="CMS M.60.10.000"/>
    <s v="TUBULAÇÃO"/>
    <n v="4"/>
    <s v="SPOOL"/>
    <n v="14"/>
    <s v="NÃO"/>
    <s v="NÃO"/>
    <s v="NÃO"/>
    <s v="145A-PG-14¨-L1H-929"/>
    <s v="START UP II"/>
    <s v="DISPOSIÇÃO DE REJEITOS LINHA DO CIRCUITO ARENOSO DISTRIBUIDOR DI-145A-9911 PARA DISTRIBUIDOR DI 145A-9916"/>
    <m/>
    <m/>
    <m/>
    <s v="1450AA-T-70264_FL11"/>
    <n v="1"/>
    <s v="PÇ"/>
    <n v="2.4"/>
    <n v="2.4"/>
    <n v="2725.4"/>
    <n v="6540.96"/>
    <n v="0"/>
    <n v="0.9"/>
    <n v="0.1"/>
    <m/>
    <m/>
    <m/>
    <n v="0"/>
    <m/>
    <n v="0"/>
    <n v="2.4"/>
    <m/>
    <n v="0.4"/>
    <n v="0.5"/>
    <n v="0.1"/>
    <m/>
    <m/>
    <m/>
    <n v="0"/>
    <n v="0"/>
    <n v="0"/>
    <n v="6540.96"/>
    <m/>
    <m/>
  </r>
  <r>
    <s v="2.4.3.1.5"/>
    <s v="CMS M.60.10.000"/>
    <s v="TUBULAÇÃO"/>
    <n v="5"/>
    <s v="CURVA"/>
    <n v="14"/>
    <s v="NÃO"/>
    <s v="NÃO"/>
    <s v="NÃO"/>
    <s v="145A-PG-14¨-L1H-929"/>
    <s v="START UP II"/>
    <s v="DISPOSIÇÃO DE REJEITOS LINHA DO CIRCUITO ARENOSO DISTRIBUIDOR DI-145A-9911 PARA DISTRIBUIDOR DI 145A-9916"/>
    <m/>
    <m/>
    <m/>
    <s v="1450AA-T-70264_FL21"/>
    <n v="1"/>
    <s v="PÇ"/>
    <n v="0.45400000000000001"/>
    <n v="0.45400000000000001"/>
    <n v="2725.4"/>
    <n v="1237.3316"/>
    <n v="0"/>
    <n v="0.9"/>
    <n v="0.1"/>
    <m/>
    <m/>
    <m/>
    <n v="0"/>
    <m/>
    <n v="0"/>
    <n v="0.45400000000000001"/>
    <m/>
    <n v="0.4"/>
    <n v="0.5"/>
    <n v="0.1"/>
    <m/>
    <m/>
    <m/>
    <n v="0"/>
    <n v="0"/>
    <n v="0"/>
    <n v="1237.3316"/>
    <m/>
    <m/>
  </r>
  <r>
    <s v="2.4.3.1.5"/>
    <s v="CMS M.60.10.000"/>
    <s v="TUBULAÇÃO"/>
    <n v="6"/>
    <s v="SPOOL"/>
    <n v="14"/>
    <s v="NÃO"/>
    <s v="NÃO"/>
    <s v="NÃO"/>
    <s v="145A-PG-14¨-L1H-929"/>
    <s v="START UP II"/>
    <s v="DISPOSIÇÃO DE REJEITOS LINHA DO CIRCUITO ARENOSO DISTRIBUIDOR DI-145A-9911 PARA DISTRIBUIDOR DI 145A-9916"/>
    <m/>
    <m/>
    <m/>
    <s v="1450AA-T-70264_FL12"/>
    <n v="1"/>
    <s v="PÇ"/>
    <n v="3.448"/>
    <n v="3.448"/>
    <n v="2725.4"/>
    <n v="9397.1792000000005"/>
    <n v="0"/>
    <n v="0.9"/>
    <n v="0.1"/>
    <m/>
    <m/>
    <m/>
    <n v="0"/>
    <m/>
    <n v="0"/>
    <n v="3.448"/>
    <m/>
    <n v="0.4"/>
    <n v="0.5"/>
    <n v="0.1"/>
    <m/>
    <m/>
    <m/>
    <n v="0"/>
    <n v="0"/>
    <n v="0"/>
    <n v="9397.1792000000005"/>
    <m/>
    <m/>
  </r>
  <r>
    <s v="2.4.3.1.5"/>
    <s v="CMS M.60.10.000"/>
    <s v="TUBULAÇÃO"/>
    <n v="7"/>
    <s v="CURVA"/>
    <n v="14"/>
    <s v="NÃO"/>
    <s v="NÃO"/>
    <s v="NÃO"/>
    <s v="145A-PG-14¨-L1H-929"/>
    <s v="START UP II"/>
    <s v="DISPOSIÇÃO DE REJEITOS LINHA DO CIRCUITO ARENOSO DISTRIBUIDOR DI-145A-9911 PARA DISTRIBUIDOR DI 145A-9916"/>
    <m/>
    <m/>
    <m/>
    <s v="1450AA-T-70264_FL20"/>
    <n v="1"/>
    <s v="PÇ"/>
    <n v="0.39800000000000002"/>
    <n v="0.39800000000000002"/>
    <n v="2725.4"/>
    <n v="1084.7092"/>
    <n v="0"/>
    <n v="0.9"/>
    <n v="0.1"/>
    <m/>
    <m/>
    <m/>
    <n v="0"/>
    <m/>
    <n v="0"/>
    <n v="0.39800000000000002"/>
    <m/>
    <n v="0.4"/>
    <n v="0.5"/>
    <n v="0.1"/>
    <m/>
    <m/>
    <m/>
    <n v="0"/>
    <n v="0"/>
    <n v="0"/>
    <n v="1084.7092"/>
    <m/>
    <m/>
  </r>
  <r>
    <s v="2.4.3.1.5"/>
    <s v="CMS M.60.10.000"/>
    <s v="TUBULAÇÃO"/>
    <n v="8"/>
    <s v="SPOOL"/>
    <n v="14"/>
    <s v="NÃO"/>
    <s v="NÃO"/>
    <s v="NÃO"/>
    <s v="145A-PG-14¨-L1H-929"/>
    <s v="START UP II"/>
    <s v="DISPOSIÇÃO DE REJEITOS LINHA DO CIRCUITO ARENOSO DISTRIBUIDOR DI-145A-9911 PARA DISTRIBUIDOR DI 145A-9916"/>
    <m/>
    <m/>
    <m/>
    <s v="1450AA-T-70264_FL10"/>
    <n v="1"/>
    <s v="PÇ"/>
    <n v="1.8"/>
    <n v="1.8"/>
    <n v="2725.4"/>
    <n v="4905.72"/>
    <n v="0"/>
    <n v="0.9"/>
    <n v="0.1"/>
    <m/>
    <m/>
    <m/>
    <n v="0"/>
    <m/>
    <n v="0"/>
    <n v="1.8"/>
    <m/>
    <n v="0.4"/>
    <n v="0.5"/>
    <n v="0.1"/>
    <m/>
    <m/>
    <m/>
    <n v="0"/>
    <n v="0"/>
    <n v="0"/>
    <n v="4905.72"/>
    <m/>
    <m/>
  </r>
  <r>
    <s v="2.4.3.1.5"/>
    <s v="CMS M.60.10.000"/>
    <s v="TUBULAÇÃO"/>
    <n v="9"/>
    <s v="CURVA"/>
    <n v="14"/>
    <s v="NÃO"/>
    <s v="NÃO"/>
    <s v="NÃO"/>
    <s v="145A-PG-14¨-L1H-929"/>
    <s v="START UP II"/>
    <s v="DISPOSIÇÃO DE REJEITOS LINHA DO CIRCUITO ARENOSO DISTRIBUIDOR DI-145A-9911 PARA DISTRIBUIDOR DI 145A-9916"/>
    <m/>
    <m/>
    <m/>
    <s v="1450AA-T-70264_FL23"/>
    <n v="1"/>
    <s v="PÇ"/>
    <n v="0.79"/>
    <n v="0.79"/>
    <n v="2725.4"/>
    <n v="2153.0660000000003"/>
    <n v="0"/>
    <n v="0.9"/>
    <n v="0.1"/>
    <m/>
    <m/>
    <m/>
    <n v="0"/>
    <m/>
    <n v="0"/>
    <n v="0.79"/>
    <m/>
    <n v="0.4"/>
    <n v="0.5"/>
    <n v="0.1"/>
    <m/>
    <m/>
    <m/>
    <n v="0"/>
    <n v="0"/>
    <n v="0"/>
    <n v="2153.0660000000003"/>
    <m/>
    <m/>
  </r>
  <r>
    <s v="2.4.3.1.5"/>
    <s v="CMS M.60.10.000"/>
    <s v="TUBULAÇÃO"/>
    <n v="10"/>
    <s v="SPOOL"/>
    <n v="14"/>
    <s v="NÃO"/>
    <s v="NÃO"/>
    <s v="NÃO"/>
    <s v="145A-PG-14¨-L1H-929"/>
    <s v="START UP II"/>
    <s v="DISPOSIÇÃO DE REJEITOS LINHA DO CIRCUITO ARENOSO DISTRIBUIDOR DI-145A-9911 PARA DISTRIBUIDOR DI 145A-9916"/>
    <m/>
    <m/>
    <m/>
    <s v="1450AA-T-70264_FL15"/>
    <n v="5"/>
    <s v="PÇ"/>
    <n v="6"/>
    <n v="30"/>
    <n v="2725.4"/>
    <n v="81762"/>
    <n v="0"/>
    <n v="0.9"/>
    <n v="0.1"/>
    <m/>
    <m/>
    <m/>
    <n v="0"/>
    <m/>
    <n v="0"/>
    <n v="30"/>
    <m/>
    <n v="0.4"/>
    <n v="0.5"/>
    <n v="0.1"/>
    <m/>
    <m/>
    <m/>
    <n v="0"/>
    <n v="0"/>
    <n v="0"/>
    <n v="81762"/>
    <m/>
    <m/>
  </r>
  <r>
    <s v="2.4.3.1.5"/>
    <s v="CMS M.60.10.000"/>
    <s v="TUBULAÇÃO"/>
    <n v="11"/>
    <s v="SPOOL"/>
    <n v="14"/>
    <s v="NÃO"/>
    <s v="NÃO"/>
    <s v="NÃO"/>
    <s v="145A-PG-14¨-L1H-929"/>
    <s v="START UP II"/>
    <s v="DISPOSIÇÃO DE REJEITOS LINHA DO CIRCUITO ARENOSO DISTRIBUIDOR DI-145A-9911 PARA DISTRIBUIDOR DI 145A-9916"/>
    <m/>
    <m/>
    <m/>
    <s v="1450AA-T-70264_FL13"/>
    <n v="1"/>
    <s v="PÇ"/>
    <n v="3.8"/>
    <n v="3.8"/>
    <n v="2725.4"/>
    <n v="10356.52"/>
    <n v="0"/>
    <n v="0.9"/>
    <n v="0.1"/>
    <m/>
    <m/>
    <m/>
    <n v="0"/>
    <m/>
    <n v="0"/>
    <n v="3.8"/>
    <m/>
    <n v="0.4"/>
    <n v="0.5"/>
    <n v="0.1"/>
    <m/>
    <m/>
    <m/>
    <n v="0"/>
    <n v="0"/>
    <n v="0"/>
    <n v="10356.52"/>
    <m/>
    <m/>
  </r>
  <r>
    <s v="2.4.3.1.5"/>
    <s v="CMS M.60.10.000"/>
    <s v="TUBULAÇÃO"/>
    <n v="12"/>
    <s v="SPOOL"/>
    <n v="14"/>
    <s v="SIM"/>
    <s v="NÃO"/>
    <s v="NÃO"/>
    <s v="145A-PG-14¨-L1H-929"/>
    <s v="START UP II"/>
    <s v="DISPOSIÇÃO DE REJEITOS LINHA DO CIRCUITO ARENOSO DISTRIBUIDOR DI-145A-9911 PARA DISTRIBUIDOR DI 145A-9916"/>
    <m/>
    <m/>
    <m/>
    <s v="1450AA-T-70264_FL19"/>
    <n v="1"/>
    <s v="PÇ"/>
    <n v="0.44"/>
    <n v="0.44"/>
    <n v="2725.4"/>
    <n v="1199.1760000000002"/>
    <n v="0"/>
    <n v="0.9"/>
    <n v="0.1"/>
    <m/>
    <m/>
    <m/>
    <n v="0"/>
    <m/>
    <n v="0"/>
    <n v="0.44"/>
    <m/>
    <n v="0.4"/>
    <n v="0.5"/>
    <n v="0.1"/>
    <m/>
    <m/>
    <m/>
    <n v="0"/>
    <n v="0"/>
    <n v="0"/>
    <n v="1199.1760000000002"/>
    <m/>
    <m/>
  </r>
  <r>
    <s v="2.4.3.1.5"/>
    <s v="CMS M.60.10.000"/>
    <s v="TUBULAÇÃO"/>
    <n v="13"/>
    <s v="CURVA"/>
    <n v="14"/>
    <s v="NÃO"/>
    <s v="NÃO"/>
    <s v="NÃO"/>
    <s v="145A-PG-14¨-L1H-929"/>
    <s v="START UP II"/>
    <s v="DISPOSIÇÃO DE REJEITOS LINHA DO CIRCUITO ARENOSO DISTRIBUIDOR DI-145A-9911 PARA DISTRIBUIDOR DI 145A-9916"/>
    <m/>
    <m/>
    <m/>
    <s v="1450AA-T-70264_FL22"/>
    <n v="2"/>
    <s v="PÇ"/>
    <n v="0.64"/>
    <n v="1.28"/>
    <n v="2725.4"/>
    <n v="3488.5120000000002"/>
    <n v="0"/>
    <n v="0.9"/>
    <n v="0.1"/>
    <m/>
    <m/>
    <m/>
    <n v="0"/>
    <m/>
    <n v="0"/>
    <n v="1.28"/>
    <m/>
    <n v="0.4"/>
    <n v="0.5"/>
    <n v="0.1"/>
    <m/>
    <m/>
    <m/>
    <n v="0"/>
    <n v="0"/>
    <n v="0"/>
    <n v="3488.5120000000002"/>
    <m/>
    <m/>
  </r>
  <r>
    <s v="2.4.3.1.5"/>
    <s v="CMS M.60.10.000"/>
    <s v="TUBULAÇÃO"/>
    <n v="14"/>
    <s v="SPOOL"/>
    <n v="14"/>
    <s v="NÃO"/>
    <s v="NÃO"/>
    <s v="NÃO"/>
    <s v="145A-PG-14¨-L1H-929"/>
    <s v="START UP II"/>
    <s v="DISPOSIÇÃO DE REJEITOS LINHA DO CIRCUITO ARENOSO DISTRIBUIDOR DI-145A-9911 PARA DISTRIBUIDOR DI 145A-9916"/>
    <m/>
    <m/>
    <m/>
    <s v="1450AA-T-70264_FL08"/>
    <n v="1"/>
    <s v="PÇ"/>
    <n v="0.42799999999999999"/>
    <n v="0.42799999999999999"/>
    <n v="2725.4"/>
    <n v="1166.4712"/>
    <n v="0"/>
    <n v="0.9"/>
    <n v="0.1"/>
    <m/>
    <m/>
    <m/>
    <n v="0"/>
    <m/>
    <n v="0"/>
    <n v="0.42799999999999999"/>
    <m/>
    <n v="0.4"/>
    <n v="0.5"/>
    <n v="0.1"/>
    <m/>
    <m/>
    <m/>
    <n v="0"/>
    <n v="0"/>
    <n v="0"/>
    <n v="1166.4712"/>
    <m/>
    <m/>
  </r>
  <r>
    <s v="2.4.3.1.5"/>
    <s v="CMS M.60.10.000"/>
    <s v="TUBULAÇÃO"/>
    <n v="15"/>
    <s v="SPOOL"/>
    <n v="14"/>
    <s v="NÃO"/>
    <s v="NÃO"/>
    <s v="NÃO"/>
    <s v="145A-PG-14¨-L1H-929"/>
    <s v="START UP II"/>
    <s v="DISPOSIÇÃO DE REJEITOS LINHA DO CIRCUITO ARENOSO DISTRIBUIDOR DI-145A-9911 PARA DISTRIBUIDOR DI 145A-9916"/>
    <m/>
    <m/>
    <m/>
    <s v="1450AA-T-70264_FL14"/>
    <n v="1"/>
    <s v="PÇ"/>
    <n v="4.2"/>
    <n v="4.2"/>
    <n v="2725.4"/>
    <n v="11446.68"/>
    <n v="0"/>
    <n v="0.9"/>
    <n v="0.1"/>
    <m/>
    <m/>
    <m/>
    <n v="0"/>
    <m/>
    <n v="0"/>
    <n v="4.2"/>
    <m/>
    <n v="0.4"/>
    <n v="0.5"/>
    <n v="0.1"/>
    <m/>
    <m/>
    <m/>
    <n v="0"/>
    <n v="0"/>
    <n v="0"/>
    <n v="11446.68"/>
    <m/>
    <m/>
  </r>
  <r>
    <s v="2.4.3.1.5"/>
    <s v="CMS M.60.10.000"/>
    <s v="TUBULAÇÃO"/>
    <n v="16"/>
    <s v="SPOOL"/>
    <n v="14"/>
    <s v="NÃO"/>
    <s v="NÃO"/>
    <s v="NÃO"/>
    <s v="145A-PG-14¨-L1H-929"/>
    <s v="START UP II"/>
    <s v="DISPOSIÇÃO DE REJEITOS LINHA DO CIRCUITO ARENOSO DISTRIBUIDOR DI-145A-9911 PARA DISTRIBUIDOR DI 145A-9916"/>
    <m/>
    <m/>
    <m/>
    <s v="1450AA-T-70264_FL16"/>
    <n v="1"/>
    <s v="PÇ"/>
    <n v="0.32"/>
    <n v="0.32"/>
    <n v="2725.4"/>
    <n v="872.12800000000004"/>
    <n v="0"/>
    <n v="0.9"/>
    <n v="0.1"/>
    <m/>
    <m/>
    <m/>
    <n v="0"/>
    <m/>
    <n v="0"/>
    <n v="0.32"/>
    <m/>
    <n v="0.4"/>
    <n v="0.5"/>
    <n v="0.1"/>
    <m/>
    <m/>
    <m/>
    <n v="0"/>
    <n v="0"/>
    <n v="0"/>
    <n v="872.12800000000004"/>
    <m/>
    <m/>
  </r>
  <r>
    <s v="2.4.3.1.5"/>
    <s v="CMS M.60.10.000"/>
    <s v="TUBULAÇÃO"/>
    <n v="17"/>
    <s v="CURVA"/>
    <n v="14"/>
    <s v="NÃO"/>
    <s v="NÃO"/>
    <s v="NÃO"/>
    <s v="145A-PG-14¨-L1H-929"/>
    <s v="START UP II"/>
    <s v="DISPOSIÇÃO DE REJEITOS LINHA DO CIRCUITO ARENOSO DISTRIBUIDOR DI-145A-9911 PARA DISTRIBUIDOR DI 145A-9916"/>
    <m/>
    <m/>
    <m/>
    <s v="1450AA-T-70264_FL24"/>
    <n v="1"/>
    <s v="PÇ"/>
    <n v="1.927"/>
    <n v="1.927"/>
    <n v="2725.4"/>
    <n v="5251.8458000000001"/>
    <n v="0"/>
    <n v="0.9"/>
    <n v="0.1"/>
    <m/>
    <m/>
    <m/>
    <n v="0"/>
    <m/>
    <n v="0"/>
    <n v="1.927"/>
    <m/>
    <n v="0.4"/>
    <n v="0.5"/>
    <n v="0.1"/>
    <m/>
    <m/>
    <m/>
    <n v="0"/>
    <n v="0"/>
    <n v="0"/>
    <n v="5251.8458000000001"/>
    <m/>
    <m/>
  </r>
  <r>
    <s v="2.4.3.1.5"/>
    <s v="CMS M.60.10.000"/>
    <s v="TUBULAÇÃO"/>
    <n v="18"/>
    <s v="SPOOL"/>
    <n v="14"/>
    <s v="NÃO"/>
    <s v="NÃO"/>
    <s v="NÃO"/>
    <s v="145A-PG-14¨-L1H-929"/>
    <s v="START UP II"/>
    <s v="DISPOSIÇÃO DE REJEITOS LINHA DO CIRCUITO ARENOSO DISTRIBUIDOR DI-145A-9911 PARA DISTRIBUIDOR DI 145A-9916"/>
    <m/>
    <m/>
    <m/>
    <s v="1450AA-T-70264_FL09"/>
    <n v="1"/>
    <s v="PÇ"/>
    <n v="0.5"/>
    <n v="0.5"/>
    <n v="2725.4"/>
    <n v="1362.7"/>
    <n v="0"/>
    <n v="0.9"/>
    <n v="0.1"/>
    <m/>
    <m/>
    <m/>
    <n v="0"/>
    <m/>
    <n v="0"/>
    <n v="0.5"/>
    <m/>
    <n v="0.4"/>
    <n v="0.5"/>
    <n v="0.1"/>
    <m/>
    <m/>
    <m/>
    <n v="0"/>
    <n v="0"/>
    <n v="0"/>
    <n v="1362.7"/>
    <m/>
    <m/>
  </r>
  <r>
    <s v="2.4.3.1.5"/>
    <s v="CMS M.60.10.000"/>
    <s v="TUBULAÇÃO"/>
    <n v="19"/>
    <s v="SPOOL"/>
    <n v="14"/>
    <s v="SIM"/>
    <s v="NÃO"/>
    <s v="NÃO"/>
    <s v="145A-PG-14¨-L1H-929"/>
    <s v="START UP II"/>
    <s v="DISPOSIÇÃO DE REJEITOS LINHA DO CIRCUITO ARENOSO DISTRIBUIDOR DI-145A-9911 PARA DISTRIBUIDOR DI 145A-9916"/>
    <m/>
    <m/>
    <m/>
    <s v="1450AA-T-70264_FL18"/>
    <n v="1"/>
    <s v="PÇ"/>
    <n v="0.43"/>
    <n v="0.43"/>
    <n v="2725.4"/>
    <n v="1171.922"/>
    <n v="0"/>
    <n v="0.9"/>
    <n v="0.1"/>
    <m/>
    <m/>
    <m/>
    <n v="0"/>
    <m/>
    <n v="0"/>
    <n v="0.43"/>
    <m/>
    <n v="0.4"/>
    <n v="0.5"/>
    <n v="0.1"/>
    <m/>
    <m/>
    <m/>
    <n v="0"/>
    <n v="0"/>
    <n v="0"/>
    <n v="1171.922"/>
    <m/>
    <m/>
  </r>
  <r>
    <s v="2.4.3.1.5"/>
    <s v="CMS M.60.10.000"/>
    <s v="TUBULAÇÃO"/>
    <n v="20"/>
    <s v="SPOOL"/>
    <n v="14"/>
    <s v="NÃO"/>
    <s v="NÃO"/>
    <s v="NÃO"/>
    <s v="145A-PG-14¨-L1H-929"/>
    <s v="START UP II"/>
    <s v="DISPOSIÇÃO DE REJEITOS LINHA DO CIRCUITO ARENOSO DISTRIBUIDOR DI-145A-9911 PARA DISTRIBUIDOR DI 145A-9916"/>
    <m/>
    <m/>
    <m/>
    <s v="1450AA-T-70264_FL27"/>
    <n v="1"/>
    <s v="PÇ"/>
    <n v="1.5"/>
    <n v="1.5"/>
    <n v="2725.4"/>
    <n v="4088.1000000000004"/>
    <n v="0"/>
    <n v="0.9"/>
    <n v="0.1"/>
    <m/>
    <m/>
    <m/>
    <n v="0"/>
    <m/>
    <n v="0"/>
    <n v="1.5"/>
    <m/>
    <n v="0.4"/>
    <n v="0.5"/>
    <n v="0.1"/>
    <m/>
    <m/>
    <m/>
    <n v="0"/>
    <n v="0"/>
    <n v="0"/>
    <n v="4088.1000000000004"/>
    <m/>
    <m/>
  </r>
  <r>
    <s v="2.4.3.1.3"/>
    <s v="CMS M.60.10.000"/>
    <s v="TUBULAÇÃO"/>
    <n v="1"/>
    <s v="SPOOL"/>
    <n v="10"/>
    <s v="NÃO"/>
    <s v="NÃO"/>
    <s v="NÃO"/>
    <s v="145-PP-10¨-L1H-941"/>
    <s v="START UP II"/>
    <s v="DISPOSIÇÃO DE REJEITOS LINHA DO CIRCUITO ARENOSO UNDER DO ESPESSADOR ES-142A-9801 PARA DISTRIBUIDOR DI-145A-9911"/>
    <m/>
    <m/>
    <m/>
    <s v="1450AA-T-70267_FL14"/>
    <n v="1"/>
    <s v="PÇ"/>
    <n v="0.438"/>
    <n v="0.438"/>
    <n v="2238.89"/>
    <n v="980.6338199999999"/>
    <n v="0"/>
    <n v="0.9"/>
    <n v="0.1"/>
    <m/>
    <m/>
    <m/>
    <n v="0"/>
    <m/>
    <n v="0"/>
    <n v="0.438"/>
    <m/>
    <n v="0.4"/>
    <n v="0.5"/>
    <n v="0.1"/>
    <m/>
    <m/>
    <m/>
    <n v="0"/>
    <n v="0"/>
    <n v="0"/>
    <n v="980.6338199999999"/>
    <m/>
    <m/>
  </r>
  <r>
    <s v="2.4.3.1.6"/>
    <s v="CMS M.60.10.000"/>
    <s v="TUBULAÇÃO"/>
    <n v="2"/>
    <s v="DERIVAÇÃO "/>
    <s v="22 X 16"/>
    <s v="NÃO"/>
    <s v="NÃO"/>
    <s v="NÃO"/>
    <s v="145-PP-10¨-L1H-941"/>
    <s v="START UP II"/>
    <s v="DISPOSIÇÃO DE REJEITOS LINHA DO CIRCUITO ARENOSO UNDER DO ESPESSADOR ES-142A-9801 PARA DISTRIBUIDOR DI-145A-9911"/>
    <m/>
    <m/>
    <m/>
    <s v="1450AA-T-70267_FL15"/>
    <n v="2"/>
    <s v="PÇ"/>
    <n v="1.3129999999999999"/>
    <n v="2.6259999999999999"/>
    <n v="3249.8"/>
    <n v="8533.9748"/>
    <n v="0"/>
    <n v="0.9"/>
    <n v="0.1"/>
    <m/>
    <m/>
    <m/>
    <n v="0"/>
    <m/>
    <n v="0"/>
    <n v="2.6259999999999999"/>
    <m/>
    <n v="0.4"/>
    <n v="0.5"/>
    <n v="0.1"/>
    <m/>
    <m/>
    <m/>
    <n v="0"/>
    <n v="0"/>
    <n v="0"/>
    <n v="8533.9748"/>
    <m/>
    <m/>
  </r>
  <r>
    <s v="2.4.3.1.3"/>
    <s v="CMS M.60.10.000"/>
    <s v="TUBULAÇÃO"/>
    <n v="3"/>
    <s v="SPOOL"/>
    <n v="10"/>
    <s v="NÃO"/>
    <s v="NÃO"/>
    <s v="NÃO"/>
    <s v="145-PP-10¨-L1H-941"/>
    <s v="START UP II"/>
    <s v="DISPOSIÇÃO DE REJEITOS LINHA DO CIRCUITO ARENOSO UNDER DO ESPESSADOR ES-142A-9801 PARA DISTRIBUIDOR DI-145A-9911"/>
    <m/>
    <m/>
    <m/>
    <s v="1450AA-T-70267_FL16"/>
    <n v="1"/>
    <s v="PÇ"/>
    <n v="0.61399999999999999"/>
    <n v="0.61399999999999999"/>
    <n v="2238.89"/>
    <n v="1374.6784599999999"/>
    <n v="0"/>
    <n v="0.9"/>
    <n v="0.1"/>
    <m/>
    <m/>
    <m/>
    <n v="0"/>
    <m/>
    <n v="0"/>
    <n v="0.61399999999999999"/>
    <m/>
    <n v="0.4"/>
    <n v="0.5"/>
    <n v="0.1"/>
    <m/>
    <m/>
    <m/>
    <n v="0"/>
    <n v="0"/>
    <n v="0"/>
    <n v="1374.6784599999999"/>
    <m/>
    <m/>
  </r>
  <r>
    <s v="2.4.3.1.3"/>
    <s v="CMS M.60.10.000"/>
    <s v="TUBULAÇÃO"/>
    <n v="4"/>
    <s v="SPOOL"/>
    <n v="10"/>
    <s v="NÃO"/>
    <s v="NÃO"/>
    <s v="NÃO"/>
    <s v="145-PP-10¨-L1H-941"/>
    <s v="START UP II"/>
    <s v="DISPOSIÇÃO DE REJEITOS LINHA DO CIRCUITO ARENOSO UNDER DO ESPESSADOR ES-142A-9801 PARA DISTRIBUIDOR DI-145A-9911"/>
    <m/>
    <m/>
    <m/>
    <s v="1450AA-T-70267_FL17"/>
    <n v="1"/>
    <s v="PÇ"/>
    <n v="0.75"/>
    <n v="0.75"/>
    <n v="2238.89"/>
    <n v="1679.1675"/>
    <n v="0"/>
    <n v="0.9"/>
    <n v="0.1"/>
    <m/>
    <m/>
    <m/>
    <n v="0"/>
    <m/>
    <n v="0"/>
    <n v="0.75"/>
    <m/>
    <n v="0.4"/>
    <n v="0.5"/>
    <n v="0.1"/>
    <m/>
    <m/>
    <m/>
    <n v="0"/>
    <n v="0"/>
    <n v="0"/>
    <n v="1679.1675"/>
    <m/>
    <m/>
  </r>
  <r>
    <s v="2.4.3.1.3"/>
    <s v="CMS M.60.10.000"/>
    <s v="TUBULAÇÃO"/>
    <n v="5"/>
    <s v="SPOOL"/>
    <n v="10"/>
    <s v="NÃO"/>
    <s v="NÃO"/>
    <s v="NÃO"/>
    <s v="145-PP-10¨-L1H-941"/>
    <s v="START UP II"/>
    <s v="DISPOSIÇÃO DE REJEITOS LINHA DO CIRCUITO ARENOSO UNDER DO ESPESSADOR ES-142A-9801 PARA DISTRIBUIDOR DI-145A-9911"/>
    <m/>
    <m/>
    <m/>
    <s v="1450AA-T-70267_FL18"/>
    <n v="1"/>
    <s v="PÇ"/>
    <n v="0.76500000000000001"/>
    <n v="0.76500000000000001"/>
    <n v="2238.89"/>
    <n v="1712.7508499999999"/>
    <n v="0"/>
    <n v="0.9"/>
    <n v="0.1"/>
    <m/>
    <m/>
    <m/>
    <n v="0"/>
    <m/>
    <n v="0"/>
    <n v="0.76500000000000001"/>
    <m/>
    <n v="0.4"/>
    <n v="0.5"/>
    <n v="0.1"/>
    <m/>
    <m/>
    <m/>
    <n v="0"/>
    <n v="0"/>
    <n v="0"/>
    <n v="1712.7508499999999"/>
    <m/>
    <m/>
  </r>
  <r>
    <s v="2.4.3.1.3"/>
    <s v="CMS M.60.10.000"/>
    <s v="TUBULAÇÃO"/>
    <n v="6"/>
    <s v="SPOOL"/>
    <n v="10"/>
    <s v="NÃO"/>
    <s v="NÃO"/>
    <s v="NÃO"/>
    <s v="145-PP-10¨-L1H-941"/>
    <s v="START UP II"/>
    <s v="DISPOSIÇÃO DE REJEITOS LINHA DO CIRCUITO ARENOSO UNDER DO ESPESSADOR ES-142A-9801 PARA DISTRIBUIDOR DI-145A-9911"/>
    <m/>
    <m/>
    <m/>
    <s v="1450AA-T-70267_FL19"/>
    <n v="1"/>
    <s v="PÇ"/>
    <n v="1.3"/>
    <n v="1.3"/>
    <n v="2238.89"/>
    <n v="2910.5569999999998"/>
    <n v="0"/>
    <n v="0.9"/>
    <n v="0.1"/>
    <m/>
    <m/>
    <m/>
    <n v="0"/>
    <m/>
    <n v="0"/>
    <n v="1.3"/>
    <m/>
    <n v="0.4"/>
    <n v="0.5"/>
    <n v="0.1"/>
    <m/>
    <m/>
    <m/>
    <n v="0"/>
    <n v="0"/>
    <n v="0"/>
    <n v="2910.5569999999998"/>
    <m/>
    <m/>
  </r>
  <r>
    <s v="2.4.3.1.3"/>
    <s v="CMS M.60.10.000"/>
    <s v="TUBULAÇÃO"/>
    <n v="7"/>
    <s v="SPOOL"/>
    <n v="10"/>
    <s v="NÃO"/>
    <s v="NÃO"/>
    <s v="NÃO"/>
    <s v="145-PP-10¨-L1H-941"/>
    <s v="START UP II"/>
    <s v="DISPOSIÇÃO DE REJEITOS LINHA DO CIRCUITO ARENOSO UNDER DO ESPESSADOR ES-142A-9801 PARA DISTRIBUIDOR DI-145A-9911"/>
    <m/>
    <m/>
    <m/>
    <s v="1450AA-T-70267_FL20"/>
    <n v="2"/>
    <s v="PÇ"/>
    <n v="1.5"/>
    <n v="3"/>
    <n v="2238.89"/>
    <n v="6716.67"/>
    <n v="0"/>
    <n v="0.9"/>
    <n v="0.1"/>
    <m/>
    <m/>
    <m/>
    <n v="0"/>
    <m/>
    <n v="0"/>
    <n v="3"/>
    <m/>
    <n v="0.4"/>
    <n v="0.5"/>
    <n v="0.1"/>
    <m/>
    <m/>
    <m/>
    <n v="0"/>
    <n v="0"/>
    <n v="0"/>
    <n v="6716.67"/>
    <m/>
    <m/>
  </r>
  <r>
    <s v="2.4.3.1.3"/>
    <s v="CMS M.60.10.000"/>
    <s v="TUBULAÇÃO"/>
    <n v="8"/>
    <s v="SPOOL"/>
    <n v="10"/>
    <s v="NÃO"/>
    <s v="NÃO"/>
    <s v="NÃO"/>
    <s v="145-PP-10¨-L1H-941"/>
    <s v="START UP II"/>
    <s v="DISPOSIÇÃO DE REJEITOS LINHA DO CIRCUITO ARENOSO UNDER DO ESPESSADOR ES-142A-9801 PARA DISTRIBUIDOR DI-145A-9911"/>
    <m/>
    <m/>
    <m/>
    <s v="1450AA-T-70267_FL21"/>
    <n v="2"/>
    <s v="PÇ"/>
    <n v="2"/>
    <n v="4"/>
    <n v="2238.89"/>
    <n v="8955.56"/>
    <n v="0"/>
    <n v="0.9"/>
    <n v="0.1"/>
    <m/>
    <m/>
    <m/>
    <n v="0"/>
    <m/>
    <n v="0"/>
    <n v="4"/>
    <m/>
    <n v="0.4"/>
    <n v="0.5"/>
    <n v="0.1"/>
    <m/>
    <m/>
    <m/>
    <n v="0"/>
    <n v="0"/>
    <n v="0"/>
    <n v="8955.56"/>
    <m/>
    <m/>
  </r>
  <r>
    <s v="2.4.3.1.3"/>
    <s v="CMS M.60.10.000"/>
    <s v="TUBULAÇÃO"/>
    <n v="9"/>
    <s v="SPOOL"/>
    <n v="10"/>
    <s v="NÃO"/>
    <s v="NÃO"/>
    <s v="NÃO"/>
    <s v="145-PP-10¨-L1H-941"/>
    <s v="START UP II"/>
    <s v="DISPOSIÇÃO DE REJEITOS LINHA DO CIRCUITO ARENOSO UNDER DO ESPESSADOR ES-142A-9801 PARA DISTRIBUIDOR DI-145A-9911"/>
    <m/>
    <m/>
    <m/>
    <s v="1450AA-T-70267_FL22"/>
    <n v="1"/>
    <s v="PÇ"/>
    <n v="2.137"/>
    <n v="2.137"/>
    <n v="2238.89"/>
    <n v="4784.5079299999998"/>
    <n v="0"/>
    <n v="0.9"/>
    <n v="0.1"/>
    <m/>
    <m/>
    <m/>
    <n v="0"/>
    <m/>
    <n v="0"/>
    <n v="2.137"/>
    <m/>
    <n v="0.4"/>
    <n v="0.5"/>
    <n v="0.1"/>
    <m/>
    <m/>
    <m/>
    <n v="0"/>
    <n v="0"/>
    <n v="0"/>
    <n v="4784.5079299999998"/>
    <m/>
    <m/>
  </r>
  <r>
    <s v="2.4.3.1.3"/>
    <s v="CMS M.60.10.000"/>
    <s v="TUBULAÇÃO"/>
    <n v="10"/>
    <s v="SPOOL"/>
    <n v="10"/>
    <s v="NÃO"/>
    <s v="NÃO"/>
    <s v="NÃO"/>
    <s v="145-PP-10¨-L1H-941"/>
    <s v="START UP II"/>
    <s v="DISPOSIÇÃO DE REJEITOS LINHA DO CIRCUITO ARENOSO UNDER DO ESPESSADOR ES-142A-9801 PARA DISTRIBUIDOR DI-145A-9911"/>
    <m/>
    <m/>
    <m/>
    <s v="1450AA-T-70267_FL23"/>
    <n v="5"/>
    <s v="PÇ"/>
    <n v="2.5"/>
    <n v="12.5"/>
    <n v="2238.89"/>
    <n v="27986.125"/>
    <n v="0"/>
    <n v="0.9"/>
    <n v="0.1"/>
    <m/>
    <m/>
    <m/>
    <n v="0"/>
    <m/>
    <n v="0"/>
    <n v="12.5"/>
    <m/>
    <n v="0.4"/>
    <n v="0.5"/>
    <n v="0.1"/>
    <m/>
    <m/>
    <m/>
    <n v="0"/>
    <n v="0"/>
    <n v="0"/>
    <n v="27986.125"/>
    <m/>
    <m/>
  </r>
  <r>
    <s v="2.4.3.1.3"/>
    <s v="CMS M.60.10.000"/>
    <s v="TUBULAÇÃO"/>
    <n v="11"/>
    <s v="SPOOL"/>
    <n v="10"/>
    <s v="NÃO"/>
    <s v="NÃO"/>
    <s v="NÃO"/>
    <s v="145-PP-10¨-L1H-941"/>
    <s v="START UP II"/>
    <s v="DISPOSIÇÃO DE REJEITOS LINHA DO CIRCUITO ARENOSO UNDER DO ESPESSADOR ES-142A-9801 PARA DISTRIBUIDOR DI-145A-9911"/>
    <m/>
    <m/>
    <m/>
    <s v="1450AA-T-70267_FL24"/>
    <n v="1"/>
    <s v="PÇ"/>
    <n v="2.6"/>
    <n v="2.6"/>
    <n v="2238.89"/>
    <n v="5821.1139999999996"/>
    <n v="0"/>
    <n v="0.9"/>
    <n v="0.1"/>
    <m/>
    <m/>
    <m/>
    <n v="0"/>
    <m/>
    <n v="0"/>
    <n v="2.6"/>
    <m/>
    <n v="0.4"/>
    <n v="0.5"/>
    <n v="0.1"/>
    <m/>
    <m/>
    <m/>
    <n v="0"/>
    <n v="0"/>
    <n v="0"/>
    <n v="5821.1139999999996"/>
    <m/>
    <m/>
  </r>
  <r>
    <s v="2.4.3.1.3"/>
    <s v="CMS M.60.10.000"/>
    <s v="TUBULAÇÃO"/>
    <n v="12"/>
    <s v="SPOOL"/>
    <n v="10"/>
    <s v="NÃO"/>
    <s v="NÃO"/>
    <s v="NÃO"/>
    <s v="145-PP-10¨-L1H-941"/>
    <s v="START UP II"/>
    <s v="DISPOSIÇÃO DE REJEITOS LINHA DO CIRCUITO ARENOSO UNDER DO ESPESSADOR ES-142A-9801 PARA DISTRIBUIDOR DI-145A-9911"/>
    <m/>
    <m/>
    <m/>
    <s v="1450AA-T-70267_FL25"/>
    <n v="1"/>
    <s v="PÇ"/>
    <n v="3.5"/>
    <n v="3.5"/>
    <n v="2238.89"/>
    <n v="7836.1149999999998"/>
    <n v="0"/>
    <n v="0.9"/>
    <n v="0.1"/>
    <m/>
    <m/>
    <m/>
    <n v="0"/>
    <m/>
    <n v="0"/>
    <n v="3.5"/>
    <m/>
    <n v="0.4"/>
    <n v="0.5"/>
    <n v="0.1"/>
    <m/>
    <m/>
    <m/>
    <n v="0"/>
    <n v="0"/>
    <n v="0"/>
    <n v="7836.1149999999998"/>
    <m/>
    <m/>
  </r>
  <r>
    <s v="2.4.3.1.3"/>
    <s v="CMS M.60.10.000"/>
    <s v="TUBULAÇÃO"/>
    <n v="13"/>
    <s v="SPOOL"/>
    <n v="10"/>
    <s v="NÃO"/>
    <s v="NÃO"/>
    <s v="NÃO"/>
    <s v="145-PP-10¨-L1H-941"/>
    <s v="START UP II"/>
    <s v="DISPOSIÇÃO DE REJEITOS LINHA DO CIRCUITO ARENOSO UNDER DO ESPESSADOR ES-142A-9801 PARA DISTRIBUIDOR DI-145A-9911"/>
    <m/>
    <m/>
    <m/>
    <s v="1450AA-T-70267_FL26"/>
    <n v="1"/>
    <s v="PÇ"/>
    <n v="4"/>
    <n v="4"/>
    <n v="2238.89"/>
    <n v="8955.56"/>
    <n v="0"/>
    <n v="0.9"/>
    <n v="0.1"/>
    <m/>
    <m/>
    <m/>
    <n v="0"/>
    <m/>
    <n v="0"/>
    <n v="4"/>
    <m/>
    <n v="0.4"/>
    <n v="0.5"/>
    <n v="0.1"/>
    <m/>
    <m/>
    <m/>
    <n v="0"/>
    <n v="0"/>
    <n v="0"/>
    <n v="8955.56"/>
    <m/>
    <m/>
  </r>
  <r>
    <s v="2.4.3.1.3"/>
    <s v="CMS M.60.10.000"/>
    <s v="TUBULAÇÃO"/>
    <n v="14"/>
    <s v="SPOOL"/>
    <n v="10"/>
    <s v="NÃO"/>
    <s v="NÃO"/>
    <s v="NÃO"/>
    <s v="145-PP-10¨-L1H-941"/>
    <s v="START UP II"/>
    <s v="DISPOSIÇÃO DE REJEITOS LINHA DO CIRCUITO ARENOSO UNDER DO ESPESSADOR ES-142A-9801 PARA DISTRIBUIDOR DI-145A-9911"/>
    <m/>
    <m/>
    <m/>
    <s v="1450AA-T-70267_FL27"/>
    <n v="1"/>
    <s v="PÇ"/>
    <n v="5"/>
    <n v="5"/>
    <n v="2238.89"/>
    <n v="11194.449999999999"/>
    <n v="0"/>
    <n v="0.9"/>
    <n v="0.1"/>
    <m/>
    <m/>
    <m/>
    <n v="0"/>
    <m/>
    <n v="0"/>
    <n v="5"/>
    <m/>
    <n v="0.4"/>
    <n v="0.5"/>
    <n v="0.1"/>
    <m/>
    <m/>
    <m/>
    <n v="0"/>
    <n v="0"/>
    <n v="0"/>
    <n v="11194.449999999999"/>
    <m/>
    <m/>
  </r>
  <r>
    <s v="2.4.3.1.3"/>
    <s v="CMS M.60.10.000"/>
    <s v="TUBULAÇÃO"/>
    <n v="15"/>
    <s v="SPOOL"/>
    <n v="10"/>
    <s v="NÃO"/>
    <s v="NÃO"/>
    <s v="NÃO"/>
    <s v="145-PP-10¨-L1H-941"/>
    <s v="START UP II"/>
    <s v="DISPOSIÇÃO DE REJEITOS LINHA DO CIRCUITO ARENOSO UNDER DO ESPESSADOR ES-142A-9801 PARA DISTRIBUIDOR DI-145A-9911"/>
    <m/>
    <m/>
    <m/>
    <s v="1450AA-T-70267_FL28"/>
    <n v="1"/>
    <s v="PÇ"/>
    <n v="5.5"/>
    <n v="5.5"/>
    <n v="2238.89"/>
    <n v="12313.894999999999"/>
    <n v="0"/>
    <n v="0.9"/>
    <n v="0.1"/>
    <m/>
    <m/>
    <m/>
    <n v="0"/>
    <m/>
    <n v="0"/>
    <n v="5.5"/>
    <m/>
    <n v="0.4"/>
    <n v="0.5"/>
    <n v="0.1"/>
    <m/>
    <m/>
    <m/>
    <n v="0"/>
    <n v="0"/>
    <n v="0"/>
    <n v="12313.894999999999"/>
    <m/>
    <m/>
  </r>
  <r>
    <s v="2.4.3.1.3"/>
    <s v="CMS M.60.10.000"/>
    <s v="TUBULAÇÃO"/>
    <n v="16"/>
    <s v="SPOOL"/>
    <n v="10"/>
    <s v="NÃO"/>
    <s v="NÃO"/>
    <s v="NÃO"/>
    <s v="145-PP-10¨-L1H-941"/>
    <s v="START UP II"/>
    <s v="DISPOSIÇÃO DE REJEITOS LINHA DO CIRCUITO ARENOSO UNDER DO ESPESSADOR ES-142A-9801 PARA DISTRIBUIDOR DI-145A-9911"/>
    <m/>
    <m/>
    <m/>
    <s v="1450AA-T-70267_FL29"/>
    <n v="6"/>
    <s v="PÇ"/>
    <n v="6"/>
    <n v="36"/>
    <n v="2238.89"/>
    <n v="80600.039999999994"/>
    <n v="0"/>
    <n v="0.9"/>
    <n v="0.1"/>
    <m/>
    <m/>
    <m/>
    <n v="0"/>
    <m/>
    <n v="0"/>
    <n v="36"/>
    <m/>
    <n v="0.4"/>
    <n v="0.5"/>
    <n v="0.1"/>
    <m/>
    <m/>
    <m/>
    <n v="0"/>
    <n v="0"/>
    <n v="0"/>
    <n v="80600.039999999994"/>
    <m/>
    <m/>
  </r>
  <r>
    <s v="2.4.3.1.3"/>
    <s v="CMS M.60.10.000"/>
    <s v="TUBULAÇÃO"/>
    <n v="17"/>
    <s v="SPOOL"/>
    <n v="10"/>
    <s v="NÃO"/>
    <s v="SIM"/>
    <s v="NÃO"/>
    <s v="145-PP-10¨-L1H-941"/>
    <s v="START UP II"/>
    <s v="DISPOSIÇÃO DE REJEITOS LINHA DO CIRCUITO ARENOSO UNDER DO ESPESSADOR ES-142A-9801 PARA DISTRIBUIDOR DI-145A-9911"/>
    <m/>
    <m/>
    <m/>
    <s v="1450AA-T-70267_FL30"/>
    <n v="1"/>
    <s v="PÇ"/>
    <n v="0.35499999999999998"/>
    <n v="0.35499999999999998"/>
    <n v="2238.89"/>
    <n v="794.80594999999994"/>
    <n v="0"/>
    <n v="0.9"/>
    <n v="0.1"/>
    <m/>
    <m/>
    <m/>
    <n v="0"/>
    <m/>
    <n v="0"/>
    <n v="0.35499999999999998"/>
    <m/>
    <n v="0.4"/>
    <n v="0.5"/>
    <n v="0.1"/>
    <m/>
    <m/>
    <m/>
    <n v="0"/>
    <n v="0"/>
    <n v="0"/>
    <n v="794.80594999999994"/>
    <m/>
    <m/>
  </r>
  <r>
    <s v="2.4.3.1.3"/>
    <s v="CMS M.60.10.000"/>
    <s v="TUBULAÇÃO"/>
    <n v="18"/>
    <s v="SPOOL"/>
    <n v="10"/>
    <s v="SIM"/>
    <s v="NÃO"/>
    <s v="NÃO"/>
    <s v="145-PP-10¨-L1H-941"/>
    <s v="START UP II"/>
    <s v="DISPOSIÇÃO DE REJEITOS LINHA DO CIRCUITO ARENOSO UNDER DO ESPESSADOR ES-142A-9801 PARA DISTRIBUIDOR DI-145A-9911"/>
    <m/>
    <m/>
    <m/>
    <s v="1450AA-T-70267_FL31"/>
    <n v="1"/>
    <s v="PÇ"/>
    <n v="0.27"/>
    <n v="0.27"/>
    <n v="2238.89"/>
    <n v="604.50030000000004"/>
    <n v="0"/>
    <n v="0.9"/>
    <n v="0.1"/>
    <m/>
    <m/>
    <m/>
    <n v="0"/>
    <m/>
    <n v="0"/>
    <n v="0.27"/>
    <m/>
    <n v="0.4"/>
    <n v="0.5"/>
    <n v="0.1"/>
    <m/>
    <m/>
    <m/>
    <n v="0"/>
    <n v="0"/>
    <n v="0"/>
    <n v="604.50030000000004"/>
    <m/>
    <m/>
  </r>
  <r>
    <s v="2.4.3.1.3"/>
    <s v="CMS M.60.10.000"/>
    <s v="TUBULAÇÃO"/>
    <n v="19"/>
    <s v="SPOOL"/>
    <n v="10"/>
    <s v="SIM"/>
    <s v="NÃO"/>
    <s v="NÃO"/>
    <s v="145-PP-10¨-L1H-941"/>
    <s v="START UP II"/>
    <s v="DISPOSIÇÃO DE REJEITOS LINHA DO CIRCUITO ARENOSO UNDER DO ESPESSADOR ES-142A-9801 PARA DISTRIBUIDOR DI-145A-9911"/>
    <m/>
    <m/>
    <m/>
    <s v="1450AA-T-70267_FL32"/>
    <n v="1"/>
    <s v="PÇ"/>
    <n v="0.38"/>
    <n v="0.38"/>
    <n v="2238.89"/>
    <n v="850.77819999999997"/>
    <n v="0"/>
    <n v="0.9"/>
    <n v="0.1"/>
    <m/>
    <m/>
    <m/>
    <n v="0"/>
    <m/>
    <n v="0"/>
    <n v="0.38"/>
    <m/>
    <n v="0.4"/>
    <n v="0.5"/>
    <n v="0.1"/>
    <m/>
    <m/>
    <m/>
    <n v="0"/>
    <n v="0"/>
    <n v="0"/>
    <n v="850.77819999999997"/>
    <m/>
    <m/>
  </r>
  <r>
    <s v="2.4.3.1.3"/>
    <s v="CMS M.60.10.000"/>
    <s v="TUBULAÇÃO"/>
    <n v="20"/>
    <s v="SPOOL"/>
    <n v="10"/>
    <s v="SIM"/>
    <s v="NÃO"/>
    <s v="NÃO"/>
    <s v="145-PP-10¨-L1H-941"/>
    <s v="START UP II"/>
    <s v="DISPOSIÇÃO DE REJEITOS LINHA DO CIRCUITO ARENOSO UNDER DO ESPESSADOR ES-142A-9801 PARA DISTRIBUIDOR DI-145A-9911"/>
    <m/>
    <m/>
    <m/>
    <s v="1450AA-T-70267_FL33"/>
    <n v="2"/>
    <s v="PÇ"/>
    <n v="0.39"/>
    <n v="0.78"/>
    <n v="2238.89"/>
    <n v="1746.3342"/>
    <n v="0"/>
    <n v="0.9"/>
    <n v="0.1"/>
    <m/>
    <m/>
    <m/>
    <n v="0"/>
    <m/>
    <n v="0"/>
    <n v="0.78"/>
    <m/>
    <n v="0.4"/>
    <n v="0.5"/>
    <n v="0.1"/>
    <m/>
    <m/>
    <m/>
    <n v="0"/>
    <n v="0"/>
    <n v="0"/>
    <n v="1746.3342"/>
    <m/>
    <m/>
  </r>
  <r>
    <s v="2.4.3.1.3"/>
    <s v="CMS M.60.10.000"/>
    <s v="TUBULAÇÃO"/>
    <n v="21"/>
    <s v="SPOOL"/>
    <n v="10"/>
    <s v="SIM"/>
    <s v="NÃO"/>
    <s v="NÃO"/>
    <s v="145-PP-10¨-L1H-941"/>
    <s v="START UP II"/>
    <s v="DISPOSIÇÃO DE REJEITOS LINHA DO CIRCUITO ARENOSO UNDER DO ESPESSADOR ES-142A-9801 PARA DISTRIBUIDOR DI-145A-9911"/>
    <m/>
    <m/>
    <m/>
    <s v="1450AA-T-70267_FL34"/>
    <n v="1"/>
    <s v="PÇ"/>
    <n v="0.44"/>
    <n v="0.44"/>
    <n v="2238.89"/>
    <n v="985.11159999999995"/>
    <n v="0"/>
    <n v="0.9"/>
    <n v="0.1"/>
    <m/>
    <m/>
    <m/>
    <n v="0"/>
    <m/>
    <n v="0"/>
    <n v="0.44"/>
    <m/>
    <n v="0.4"/>
    <n v="0.5"/>
    <n v="0.1"/>
    <m/>
    <m/>
    <m/>
    <n v="0"/>
    <n v="0"/>
    <n v="0"/>
    <n v="985.11159999999995"/>
    <m/>
    <m/>
  </r>
  <r>
    <s v="2.4.3.1.3"/>
    <s v="CMS M.60.10.000"/>
    <s v="TUBULAÇÃO"/>
    <n v="22"/>
    <s v="SPOOL"/>
    <n v="10"/>
    <s v="SIM"/>
    <s v="NÃO"/>
    <s v="NÃO"/>
    <s v="145-PP-10¨-L1H-941"/>
    <s v="START UP II"/>
    <s v="DISPOSIÇÃO DE REJEITOS LINHA DO CIRCUITO ARENOSO UNDER DO ESPESSADOR ES-142A-9801 PARA DISTRIBUIDOR DI-145A-9911"/>
    <m/>
    <m/>
    <m/>
    <s v="1450AA-T-70267_FL35"/>
    <n v="1"/>
    <s v="PÇ"/>
    <n v="0.49"/>
    <n v="0.49"/>
    <n v="2238.89"/>
    <n v="1097.0561"/>
    <n v="0"/>
    <n v="0.9"/>
    <n v="0.1"/>
    <m/>
    <m/>
    <m/>
    <n v="0"/>
    <m/>
    <n v="0"/>
    <n v="0.49"/>
    <m/>
    <n v="0.4"/>
    <n v="0.5"/>
    <n v="0.1"/>
    <m/>
    <m/>
    <m/>
    <n v="0"/>
    <n v="0"/>
    <n v="0"/>
    <n v="1097.0561"/>
    <m/>
    <m/>
  </r>
  <r>
    <s v="2.4.3.1.3"/>
    <s v="CMS M.60.10.000"/>
    <s v="TUBULAÇÃO"/>
    <n v="23"/>
    <s v="SPOOL"/>
    <n v="10"/>
    <s v="SIM"/>
    <s v="NÃO"/>
    <s v="NÃO"/>
    <s v="145-PP-10¨-L1H-941"/>
    <s v="START UP II"/>
    <s v="DISPOSIÇÃO DE REJEITOS LINHA DO CIRCUITO ARENOSO UNDER DO ESPESSADOR ES-142A-9801 PARA DISTRIBUIDOR DI-145A-9911"/>
    <m/>
    <m/>
    <m/>
    <s v="1450AA-T-70267_FL36"/>
    <n v="1"/>
    <s v="PÇ"/>
    <n v="0.54"/>
    <n v="0.54"/>
    <n v="2238.89"/>
    <n v="1209.0006000000001"/>
    <n v="0"/>
    <n v="0.9"/>
    <n v="0.1"/>
    <m/>
    <m/>
    <m/>
    <n v="0"/>
    <m/>
    <n v="0"/>
    <n v="0.54"/>
    <m/>
    <n v="0.4"/>
    <n v="0.5"/>
    <n v="0.1"/>
    <m/>
    <m/>
    <m/>
    <n v="0"/>
    <n v="0"/>
    <n v="0"/>
    <n v="1209.0006000000001"/>
    <m/>
    <m/>
  </r>
  <r>
    <s v="2.4.3.1.3"/>
    <s v="CMS M.60.10.000"/>
    <s v="TUBULAÇÃO"/>
    <n v="24"/>
    <s v="SPOOL"/>
    <n v="10"/>
    <s v="SIM"/>
    <s v="NÃO"/>
    <s v="NÃO"/>
    <s v="145-PP-10¨-L1H-941"/>
    <s v="START UP II"/>
    <s v="DISPOSIÇÃO DE REJEITOS LINHA DO CIRCUITO ARENOSO UNDER DO ESPESSADOR ES-142A-9801 PARA DISTRIBUIDOR DI-145A-9911"/>
    <m/>
    <m/>
    <m/>
    <s v="1450AA-T-70267_FL37"/>
    <n v="2"/>
    <s v="PÇ"/>
    <n v="0.56999999999999995"/>
    <n v="1.1399999999999999"/>
    <n v="2238.89"/>
    <n v="2552.3345999999997"/>
    <n v="0"/>
    <n v="0.9"/>
    <n v="0.1"/>
    <m/>
    <m/>
    <m/>
    <n v="0"/>
    <m/>
    <n v="0"/>
    <n v="1.1399999999999999"/>
    <m/>
    <n v="0.4"/>
    <n v="0.5"/>
    <n v="0.1"/>
    <m/>
    <m/>
    <m/>
    <n v="0"/>
    <n v="0"/>
    <n v="0"/>
    <n v="2552.3345999999997"/>
    <m/>
    <m/>
  </r>
  <r>
    <s v="2.4.3.1.3"/>
    <s v="CMS M.60.10.000"/>
    <s v="TUBULAÇÃO"/>
    <n v="25"/>
    <s v="SPOOL"/>
    <n v="10"/>
    <s v="SIM"/>
    <s v="NÃO"/>
    <s v="NÃO"/>
    <s v="145-PP-10¨-L1H-941"/>
    <s v="START UP II"/>
    <s v="DISPOSIÇÃO DE REJEITOS LINHA DO CIRCUITO ARENOSO UNDER DO ESPESSADOR ES-142A-9801 PARA DISTRIBUIDOR DI-145A-9911"/>
    <m/>
    <m/>
    <m/>
    <s v="1450AA-T-70267_FL38"/>
    <n v="1"/>
    <s v="PÇ"/>
    <n v="0.75"/>
    <n v="0.75"/>
    <n v="2238.89"/>
    <n v="1679.1675"/>
    <n v="0"/>
    <n v="0.9"/>
    <n v="0.1"/>
    <m/>
    <m/>
    <m/>
    <n v="0"/>
    <m/>
    <n v="0"/>
    <n v="0.75"/>
    <m/>
    <n v="0.4"/>
    <n v="0.5"/>
    <n v="0.1"/>
    <m/>
    <m/>
    <m/>
    <n v="0"/>
    <n v="0"/>
    <n v="0"/>
    <n v="1679.1675"/>
    <m/>
    <m/>
  </r>
  <r>
    <s v="2.4.3.1.3"/>
    <s v="CMS M.60.10.000"/>
    <s v="TUBULAÇÃO"/>
    <n v="26"/>
    <s v="SPOOL"/>
    <n v="10"/>
    <s v="SIM"/>
    <s v="NÃO"/>
    <s v="NÃO"/>
    <s v="145-PP-10¨-L1H-941"/>
    <s v="START UP II"/>
    <s v="DISPOSIÇÃO DE REJEITOS LINHA DO CIRCUITO ARENOSO UNDER DO ESPESSADOR ES-142A-9801 PARA DISTRIBUIDOR DI-145A-9911"/>
    <m/>
    <m/>
    <m/>
    <s v="1450AA-T-70267_FL39"/>
    <n v="2"/>
    <s v="PÇ"/>
    <n v="0.76500000000000001"/>
    <n v="1.53"/>
    <n v="2238.89"/>
    <n v="3425.5016999999998"/>
    <n v="0"/>
    <n v="0.9"/>
    <n v="0.1"/>
    <m/>
    <m/>
    <m/>
    <n v="0"/>
    <m/>
    <n v="0"/>
    <n v="1.53"/>
    <m/>
    <n v="0.4"/>
    <n v="0.5"/>
    <n v="0.1"/>
    <m/>
    <m/>
    <m/>
    <n v="0"/>
    <n v="0"/>
    <n v="0"/>
    <n v="3425.5016999999998"/>
    <m/>
    <m/>
  </r>
  <r>
    <s v="2.4.3.1.3"/>
    <s v="CMS M.60.10.000"/>
    <s v="TUBULAÇÃO"/>
    <n v="27"/>
    <s v="SPOOL"/>
    <n v="10"/>
    <s v="SIM"/>
    <s v="NÃO"/>
    <s v="NÃO"/>
    <s v="145-PP-10¨-L1H-941"/>
    <s v="START UP II"/>
    <s v="DISPOSIÇÃO DE REJEITOS LINHA DO CIRCUITO ARENOSO UNDER DO ESPESSADOR ES-142A-9801 PARA DISTRIBUIDOR DI-145A-9911"/>
    <m/>
    <m/>
    <m/>
    <s v="1450AA-T-70267_FL40"/>
    <n v="1"/>
    <s v="PÇ"/>
    <n v="0.99"/>
    <n v="0.99"/>
    <n v="2238.89"/>
    <n v="2216.5011"/>
    <n v="0"/>
    <n v="0.9"/>
    <n v="0.1"/>
    <m/>
    <m/>
    <m/>
    <n v="0"/>
    <m/>
    <n v="0"/>
    <n v="0.99"/>
    <m/>
    <n v="0.4"/>
    <n v="0.5"/>
    <n v="0.1"/>
    <m/>
    <m/>
    <m/>
    <n v="0"/>
    <n v="0"/>
    <n v="0"/>
    <n v="2216.5011"/>
    <m/>
    <m/>
  </r>
  <r>
    <s v="2.4.3.1.8"/>
    <s v="CMS M.60.10.000"/>
    <s v="TUBULAÇÃO"/>
    <n v="28"/>
    <s v="SPOOL"/>
    <n v="22"/>
    <s v="SIM"/>
    <s v="NÃO"/>
    <s v="NÃO"/>
    <s v="145-PP-10¨-L1H-941"/>
    <s v="START UP II"/>
    <s v="DISPOSIÇÃO DE REJEITOS LINHA DO CIRCUITO ARENOSO UNDER DO ESPESSADOR ES-142A-9801 PARA DISTRIBUIDOR DI-145A-9911"/>
    <m/>
    <m/>
    <m/>
    <s v="1450AA-T-70267_FL41"/>
    <n v="1"/>
    <s v="PÇ"/>
    <n v="0.71499999999999997"/>
    <n v="0.71499999999999997"/>
    <n v="2788.58"/>
    <n v="1993.8346999999999"/>
    <n v="0"/>
    <n v="0.9"/>
    <n v="0.1"/>
    <m/>
    <m/>
    <m/>
    <n v="0"/>
    <m/>
    <n v="0"/>
    <n v="0.71499999999999997"/>
    <m/>
    <n v="0.4"/>
    <n v="0.5"/>
    <n v="0.1"/>
    <m/>
    <m/>
    <m/>
    <n v="0"/>
    <n v="0"/>
    <n v="0"/>
    <n v="1993.8346999999999"/>
    <m/>
    <m/>
  </r>
  <r>
    <s v="2.4.3.1.3"/>
    <s v="CMS M.60.10.000"/>
    <s v="TUBULAÇÃO"/>
    <n v="29"/>
    <s v="CURVA"/>
    <n v="10"/>
    <s v="NÃO"/>
    <s v="NÃO"/>
    <s v="NÃO"/>
    <s v="145-PP-10¨-L1H-941"/>
    <s v="START UP II"/>
    <s v="DISPOSIÇÃO DE REJEITOS LINHA DO CIRCUITO ARENOSO UNDER DO ESPESSADOR ES-142A-9801 PARA DISTRIBUIDOR DI-145A-9911"/>
    <m/>
    <m/>
    <m/>
    <s v="1450AA-T-70267_FL42"/>
    <n v="1"/>
    <s v="PÇ"/>
    <n v="0.27400000000000002"/>
    <n v="0.27400000000000002"/>
    <n v="2238.89"/>
    <n v="613.45586000000003"/>
    <n v="0"/>
    <n v="0.9"/>
    <n v="0.1"/>
    <m/>
    <m/>
    <m/>
    <n v="0"/>
    <m/>
    <n v="0"/>
    <n v="0.27400000000000002"/>
    <m/>
    <n v="0.4"/>
    <n v="0.5"/>
    <n v="0.1"/>
    <m/>
    <m/>
    <m/>
    <n v="0"/>
    <n v="0"/>
    <n v="0"/>
    <n v="613.45586000000003"/>
    <m/>
    <m/>
  </r>
  <r>
    <s v="2.4.3.1.3"/>
    <s v="CMS M.60.10.000"/>
    <s v="TUBULAÇÃO"/>
    <n v="30"/>
    <s v="CURVA"/>
    <n v="10"/>
    <s v="NÃO"/>
    <s v="NÃO"/>
    <s v="NÃO"/>
    <s v="145-PP-10¨-L1H-941"/>
    <s v="START UP II"/>
    <s v="DISPOSIÇÃO DE REJEITOS LINHA DO CIRCUITO ARENOSO UNDER DO ESPESSADOR ES-142A-9801 PARA DISTRIBUIDOR DI-145A-9911"/>
    <m/>
    <m/>
    <m/>
    <s v="1450AA-T-70267_FL43"/>
    <n v="3"/>
    <s v="PÇ"/>
    <n v="0.22700000000000001"/>
    <n v="0.68100000000000005"/>
    <n v="2238.89"/>
    <n v="1524.68409"/>
    <n v="0"/>
    <n v="0.9"/>
    <n v="0.1"/>
    <m/>
    <m/>
    <m/>
    <n v="0"/>
    <m/>
    <n v="0"/>
    <n v="0.68100000000000005"/>
    <m/>
    <n v="0.4"/>
    <n v="0.5"/>
    <n v="0.1"/>
    <m/>
    <m/>
    <m/>
    <n v="0"/>
    <n v="0"/>
    <n v="0"/>
    <n v="1524.68409"/>
    <m/>
    <m/>
  </r>
  <r>
    <s v="2.4.3.1.3"/>
    <s v="CMS M.60.10.000"/>
    <s v="TUBULAÇÃO"/>
    <n v="31"/>
    <s v="CURVA"/>
    <n v="10"/>
    <s v="NÃO"/>
    <s v="NÃO"/>
    <s v="NÃO"/>
    <s v="145-PP-10¨-L1H-941"/>
    <s v="START UP II"/>
    <s v="DISPOSIÇÃO DE REJEITOS LINHA DO CIRCUITO ARENOSO UNDER DO ESPESSADOR ES-142A-9801 PARA DISTRIBUIDOR DI-145A-9911"/>
    <m/>
    <m/>
    <m/>
    <s v="1450AA-T-70267_FL44"/>
    <n v="1"/>
    <s v="PÇ"/>
    <n v="0.35399999999999998"/>
    <n v="0.35399999999999998"/>
    <n v="2238.89"/>
    <n v="792.56705999999997"/>
    <n v="0"/>
    <n v="0.9"/>
    <n v="0.1"/>
    <m/>
    <m/>
    <m/>
    <n v="0"/>
    <m/>
    <n v="0"/>
    <n v="0.35399999999999998"/>
    <m/>
    <n v="0.4"/>
    <n v="0.5"/>
    <n v="0.1"/>
    <m/>
    <m/>
    <m/>
    <n v="0"/>
    <n v="0"/>
    <n v="0"/>
    <n v="792.56705999999997"/>
    <m/>
    <m/>
  </r>
  <r>
    <s v="2.4.3.1.3"/>
    <s v="CMS M.60.10.000"/>
    <s v="TUBULAÇÃO"/>
    <n v="32"/>
    <s v="CURVA"/>
    <n v="10"/>
    <s v="NÃO"/>
    <s v="NÃO"/>
    <s v="NÃO"/>
    <s v="145-PP-10¨-L1H-941"/>
    <s v="START UP II"/>
    <s v="DISPOSIÇÃO DE REJEITOS LINHA DO CIRCUITO ARENOSO UNDER DO ESPESSADOR ES-142A-9801 PARA DISTRIBUIDOR DI-145A-9911"/>
    <m/>
    <m/>
    <m/>
    <s v="1450AA-T-70267_FL45"/>
    <n v="2"/>
    <s v="PÇ"/>
    <n v="0.44"/>
    <n v="0.88"/>
    <n v="2238.89"/>
    <n v="1970.2231999999999"/>
    <n v="0"/>
    <n v="0.9"/>
    <n v="0.1"/>
    <m/>
    <m/>
    <m/>
    <n v="0"/>
    <m/>
    <n v="0"/>
    <n v="0.88"/>
    <m/>
    <n v="0.4"/>
    <n v="0.5"/>
    <n v="0.1"/>
    <m/>
    <m/>
    <m/>
    <n v="0"/>
    <n v="0"/>
    <n v="0"/>
    <n v="1970.2231999999999"/>
    <m/>
    <m/>
  </r>
  <r>
    <s v="2.4.3.1.3"/>
    <s v="CMS M.60.10.000"/>
    <s v="TUBULAÇÃO"/>
    <n v="33"/>
    <s v="CURVA"/>
    <n v="10"/>
    <s v="NÃO"/>
    <s v="NÃO"/>
    <s v="NÃO"/>
    <s v="145-PP-10¨-L1H-941"/>
    <s v="START UP II"/>
    <s v="DISPOSIÇÃO DE REJEITOS LINHA DO CIRCUITO ARENOSO UNDER DO ESPESSADOR ES-142A-9801 PARA DISTRIBUIDOR DI-145A-9911"/>
    <m/>
    <m/>
    <m/>
    <s v="1450AA-T-70267_FL46"/>
    <n v="4"/>
    <s v="PÇ"/>
    <n v="0.54100000000000004"/>
    <n v="2.1640000000000001"/>
    <n v="2238.89"/>
    <n v="4844.9579599999997"/>
    <n v="0"/>
    <n v="0.9"/>
    <n v="0.1"/>
    <m/>
    <m/>
    <m/>
    <n v="0"/>
    <m/>
    <n v="0"/>
    <n v="2.1640000000000001"/>
    <m/>
    <n v="0.4"/>
    <n v="0.5"/>
    <n v="0.1"/>
    <m/>
    <m/>
    <m/>
    <n v="0"/>
    <n v="0"/>
    <n v="0"/>
    <n v="4844.9579599999997"/>
    <m/>
    <m/>
  </r>
  <r>
    <s v="2.4.3.1.3"/>
    <s v="CMS M.60.10.000"/>
    <s v="TUBULAÇÃO"/>
    <n v="34"/>
    <s v="CURVA"/>
    <n v="10"/>
    <s v="NÃO"/>
    <s v="NÃO"/>
    <s v="NÃO"/>
    <s v="145-PP-10¨-L1H-941"/>
    <s v="START UP II"/>
    <s v="DISPOSIÇÃO DE REJEITOS LINHA DO CIRCUITO ARENOSO UNDER DO ESPESSADOR ES-142A-9801 PARA DISTRIBUIDOR DI-145A-9911"/>
    <m/>
    <m/>
    <m/>
    <s v="1450AA-T-70267_FL47"/>
    <n v="1"/>
    <s v="PÇ"/>
    <n v="0.59099999999999997"/>
    <n v="0.59099999999999997"/>
    <n v="2238.89"/>
    <n v="1323.1839899999998"/>
    <n v="0"/>
    <n v="0.9"/>
    <n v="0.1"/>
    <m/>
    <m/>
    <m/>
    <n v="0"/>
    <m/>
    <n v="0"/>
    <n v="0.59099999999999997"/>
    <m/>
    <n v="0.4"/>
    <n v="0.5"/>
    <n v="0.1"/>
    <m/>
    <m/>
    <m/>
    <n v="0"/>
    <n v="0"/>
    <n v="0"/>
    <n v="1323.1839899999998"/>
    <m/>
    <m/>
  </r>
  <r>
    <s v="2.4.3.1.3"/>
    <s v="CMS M.60.10.000"/>
    <s v="TUBULAÇÃO"/>
    <n v="35"/>
    <s v="CURVA"/>
    <n v="10"/>
    <s v="NÃO"/>
    <s v="NÃO"/>
    <s v="NÃO"/>
    <s v="145-PP-10¨-L1H-941"/>
    <s v="START UP II"/>
    <s v="DISPOSIÇÃO DE REJEITOS LINHA DO CIRCUITO ARENOSO UNDER DO ESPESSADOR ES-142A-9801 PARA DISTRIBUIDOR DI-145A-9911"/>
    <m/>
    <m/>
    <m/>
    <s v="1450AA-T-70267_FL48"/>
    <n v="2"/>
    <s v="PÇ"/>
    <n v="0.61199999999999999"/>
    <n v="1.224"/>
    <n v="2238.89"/>
    <n v="2740.4013599999998"/>
    <n v="0"/>
    <n v="0.9"/>
    <n v="0.1"/>
    <m/>
    <m/>
    <m/>
    <n v="0"/>
    <m/>
    <n v="0"/>
    <n v="1.224"/>
    <m/>
    <n v="0.4"/>
    <n v="0.5"/>
    <n v="0.1"/>
    <m/>
    <m/>
    <m/>
    <n v="0"/>
    <n v="0"/>
    <n v="0"/>
    <n v="2740.4013599999998"/>
    <m/>
    <m/>
  </r>
  <r>
    <s v="2.4.3.1.3"/>
    <s v="CMS M.60.10.000"/>
    <s v="TUBULAÇÃO"/>
    <n v="36"/>
    <s v="CURVA"/>
    <n v="10"/>
    <s v="NÃO"/>
    <s v="NÃO"/>
    <s v="NÃO"/>
    <s v="145-PP-10¨-L1H-941"/>
    <s v="START UP II"/>
    <s v="DISPOSIÇÃO DE REJEITOS LINHA DO CIRCUITO ARENOSO UNDER DO ESPESSADOR ES-142A-9801 PARA DISTRIBUIDOR DI-145A-9911"/>
    <m/>
    <m/>
    <m/>
    <s v="1450AA-T-70267_FL49"/>
    <n v="2"/>
    <s v="PÇ"/>
    <n v="0.65100000000000002"/>
    <n v="1.302"/>
    <n v="2238.89"/>
    <n v="2915.03478"/>
    <n v="0"/>
    <n v="0.9"/>
    <n v="0.1"/>
    <m/>
    <m/>
    <m/>
    <n v="0"/>
    <m/>
    <n v="0"/>
    <n v="1.302"/>
    <m/>
    <n v="0.4"/>
    <n v="0.5"/>
    <n v="0.1"/>
    <m/>
    <m/>
    <m/>
    <n v="0"/>
    <n v="0"/>
    <n v="0"/>
    <n v="2915.03478"/>
    <m/>
    <m/>
  </r>
  <r>
    <s v="2.4.3.1.3"/>
    <s v="CMS M.60.10.000"/>
    <s v="TUBULAÇÃO"/>
    <n v="37"/>
    <s v="CURVA"/>
    <n v="10"/>
    <s v="NÃO"/>
    <s v="NÃO"/>
    <s v="NÃO"/>
    <s v="145-PP-10¨-L1H-941"/>
    <s v="START UP II"/>
    <s v="DISPOSIÇÃO DE REJEITOS LINHA DO CIRCUITO ARENOSO UNDER DO ESPESSADOR ES-142A-9801 PARA DISTRIBUIDOR DI-145A-9911"/>
    <m/>
    <m/>
    <m/>
    <s v="1450AA-T-70267_FL50"/>
    <n v="1"/>
    <s v="PÇ"/>
    <n v="0.68300000000000005"/>
    <n v="0.68300000000000005"/>
    <n v="2238.89"/>
    <n v="1529.1618700000001"/>
    <n v="0"/>
    <n v="0.9"/>
    <n v="0.1"/>
    <m/>
    <m/>
    <m/>
    <n v="0"/>
    <m/>
    <n v="0"/>
    <n v="0.68300000000000005"/>
    <m/>
    <n v="0.4"/>
    <n v="0.5"/>
    <n v="0.1"/>
    <m/>
    <m/>
    <m/>
    <n v="0"/>
    <n v="0"/>
    <n v="0"/>
    <n v="1529.1618700000001"/>
    <m/>
    <m/>
  </r>
  <r>
    <s v="2.4.3.1.3"/>
    <s v="CMS M.60.10.000"/>
    <s v="TUBULAÇÃO"/>
    <n v="38"/>
    <s v="CURVA"/>
    <n v="10"/>
    <s v="NÃO"/>
    <s v="NÃO"/>
    <s v="NÃO"/>
    <s v="145-PP-10¨-L1H-941"/>
    <s v="START UP II"/>
    <s v="DISPOSIÇÃO DE REJEITOS LINHA DO CIRCUITO ARENOSO UNDER DO ESPESSADOR ES-142A-9801 PARA DISTRIBUIDOR DI-145A-9911"/>
    <m/>
    <m/>
    <m/>
    <s v="1450AA-T-70267_FL51"/>
    <n v="1"/>
    <s v="PÇ"/>
    <n v="0.79900000000000004"/>
    <n v="0.79900000000000004"/>
    <n v="2238.89"/>
    <n v="1788.87311"/>
    <n v="0"/>
    <n v="0.9"/>
    <n v="0.1"/>
    <m/>
    <m/>
    <m/>
    <n v="0"/>
    <m/>
    <n v="0"/>
    <n v="0.79900000000000004"/>
    <m/>
    <n v="0.4"/>
    <n v="0.5"/>
    <n v="0.1"/>
    <m/>
    <m/>
    <m/>
    <n v="0"/>
    <n v="0"/>
    <n v="0"/>
    <n v="1788.87311"/>
    <m/>
    <m/>
  </r>
  <r>
    <s v="2.4.3.1.3"/>
    <s v="CMS M.60.10.000"/>
    <s v="TUBULAÇÃO"/>
    <n v="39"/>
    <s v="CURVA"/>
    <n v="10"/>
    <s v="NÃO"/>
    <s v="NÃO"/>
    <s v="NÃO"/>
    <s v="145-PP-10¨-L1H-941"/>
    <s v="START UP II"/>
    <s v="DISPOSIÇÃO DE REJEITOS LINHA DO CIRCUITO ARENOSO UNDER DO ESPESSADOR ES-142A-9801 PARA DISTRIBUIDOR DI-145A-9911"/>
    <m/>
    <m/>
    <m/>
    <s v="1450AA-T-70267_FL52"/>
    <n v="1"/>
    <s v="PÇ"/>
    <n v="0.90300000000000002"/>
    <n v="0.90300000000000002"/>
    <n v="2238.89"/>
    <n v="2021.71767"/>
    <n v="0"/>
    <n v="0.9"/>
    <n v="0.1"/>
    <m/>
    <m/>
    <m/>
    <n v="0"/>
    <m/>
    <n v="0"/>
    <n v="0.90300000000000002"/>
    <m/>
    <n v="0.4"/>
    <n v="0.5"/>
    <n v="0.1"/>
    <m/>
    <m/>
    <m/>
    <n v="0"/>
    <n v="0"/>
    <n v="0"/>
    <n v="2021.71767"/>
    <m/>
    <m/>
  </r>
  <r>
    <s v="2.4.3.1.3"/>
    <s v="CMS M.60.10.000"/>
    <s v="TUBULAÇÃO"/>
    <n v="40"/>
    <s v="CURVA"/>
    <n v="10"/>
    <s v="NÃO"/>
    <s v="NÃO"/>
    <s v="NÃO"/>
    <s v="145-PP-10¨-L1H-941"/>
    <s v="START UP II"/>
    <s v="DISPOSIÇÃO DE REJEITOS LINHA DO CIRCUITO ARENOSO UNDER DO ESPESSADOR ES-142A-9801 PARA DISTRIBUIDOR DI-145A-9911"/>
    <m/>
    <m/>
    <m/>
    <s v="1450AA-T-70267_FL53"/>
    <n v="1"/>
    <s v="PÇ"/>
    <n v="1.3759999999999999"/>
    <n v="1.3759999999999999"/>
    <n v="2238.89"/>
    <n v="3080.7126399999997"/>
    <n v="0"/>
    <n v="0.9"/>
    <n v="0.1"/>
    <m/>
    <m/>
    <m/>
    <n v="0"/>
    <m/>
    <n v="0"/>
    <n v="1.3759999999999999"/>
    <m/>
    <n v="0.4"/>
    <n v="0.5"/>
    <n v="0.1"/>
    <m/>
    <m/>
    <m/>
    <n v="0"/>
    <n v="0"/>
    <n v="0"/>
    <n v="3080.7126399999997"/>
    <m/>
    <m/>
  </r>
  <r>
    <s v="2.4.3.1.3"/>
    <s v="CMS M.60.10.000"/>
    <s v="TUBULAÇÃO"/>
    <n v="41"/>
    <s v="DERIVAÇÃO "/>
    <n v="10"/>
    <s v="NÃO"/>
    <s v="NÃO"/>
    <s v="NÃO"/>
    <s v="145-PP-10¨-L1H-941"/>
    <s v="START UP II"/>
    <s v="DISPOSIÇÃO DE REJEITOS LINHA DO CIRCUITO ARENOSO UNDER DO ESPESSADOR ES-142A-9801 PARA DISTRIBUIDOR DI-145A-9911"/>
    <m/>
    <m/>
    <m/>
    <s v="1450AA-T-70267_FL54"/>
    <n v="1"/>
    <s v="PÇ"/>
    <n v="2.0499999999999998"/>
    <n v="2.0499999999999998"/>
    <n v="2238.89"/>
    <n v="4589.7244999999994"/>
    <n v="0"/>
    <n v="0.9"/>
    <n v="0.1"/>
    <m/>
    <m/>
    <m/>
    <n v="0"/>
    <m/>
    <n v="0"/>
    <n v="2.0499999999999998"/>
    <m/>
    <n v="0.4"/>
    <n v="0.5"/>
    <n v="0.1"/>
    <m/>
    <m/>
    <m/>
    <n v="0"/>
    <n v="0"/>
    <n v="0"/>
    <n v="4589.7244999999994"/>
    <m/>
    <m/>
  </r>
  <r>
    <s v="2.4.3.1.3"/>
    <s v="CMS M.60.10.000"/>
    <s v="TUBULAÇÃO"/>
    <n v="42"/>
    <s v="SPOOL"/>
    <n v="10"/>
    <s v="NÃO"/>
    <s v="NÃO"/>
    <s v="NÃO"/>
    <s v="145-PP-10¨-L1H-941"/>
    <s v="START UP II"/>
    <s v="DISPOSIÇÃO DE REJEITOS LINHA DO CIRCUITO ARENOSO UNDER DO ESPESSADOR ES-142A-9801 PARA DISTRIBUIDOR DI-145A-9911"/>
    <m/>
    <m/>
    <m/>
    <s v="1450AA-T-70267_FL55"/>
    <n v="1"/>
    <s v="PÇ"/>
    <n v="1.39"/>
    <n v="1.39"/>
    <n v="2238.89"/>
    <n v="3112.0570999999995"/>
    <n v="0"/>
    <n v="0.9"/>
    <n v="0.1"/>
    <m/>
    <m/>
    <m/>
    <n v="0"/>
    <m/>
    <n v="0"/>
    <n v="1.39"/>
    <m/>
    <n v="0.4"/>
    <n v="0.5"/>
    <n v="0.1"/>
    <m/>
    <m/>
    <m/>
    <n v="0"/>
    <n v="0"/>
    <n v="0"/>
    <n v="3112.0570999999995"/>
    <m/>
    <m/>
  </r>
  <r>
    <s v="2.4.3.1.3"/>
    <s v="CMS M.60.10.000"/>
    <s v="TUBULAÇÃO"/>
    <n v="43"/>
    <s v="REDUÇÃO"/>
    <s v="12 X 10"/>
    <s v="NÃO"/>
    <s v="NÃO"/>
    <s v="NÃO"/>
    <s v="145-PP-10¨-L1H-941"/>
    <s v="START UP II"/>
    <s v="DISPOSIÇÃO DE REJEITOS LINHA DO CIRCUITO ARENOSO UNDER DO ESPESSADOR ES-142A-9801 PARA DISTRIBUIDOR DI-145A-9911"/>
    <m/>
    <m/>
    <m/>
    <s v="1450AA-T-70267_FL56"/>
    <n v="1"/>
    <s v="PÇ"/>
    <n v="0.45300000000000001"/>
    <n v="0.45300000000000001"/>
    <n v="2238.89"/>
    <n v="1014.21717"/>
    <n v="0"/>
    <n v="0.9"/>
    <n v="0.1"/>
    <m/>
    <m/>
    <m/>
    <n v="0"/>
    <m/>
    <n v="0"/>
    <n v="0.45300000000000001"/>
    <m/>
    <n v="0.4"/>
    <n v="0.5"/>
    <n v="0.1"/>
    <m/>
    <m/>
    <m/>
    <n v="0"/>
    <n v="0"/>
    <n v="0"/>
    <n v="1014.21717"/>
    <m/>
    <m/>
  </r>
  <r>
    <s v="2.4.3.1.1"/>
    <s v="CMS M.60.10.000"/>
    <s v="TUBULAÇÃO"/>
    <n v="1"/>
    <s v="CURVA"/>
    <n v="6"/>
    <s v="NÃO"/>
    <s v="NÃO"/>
    <s v="NÃO"/>
    <s v="145A-PG-6¨-L1H-877"/>
    <s v="START UP III"/>
    <s v="DISPOSIÇÃO DE REJEITOS LINHA DO CIRCUITO ULTRAFINO DISTRIBUIDOR DI-145A-9904 PARA A PENEIRA PN-145A-9721"/>
    <m/>
    <m/>
    <m/>
    <s v="1450AA-T-70270_FL13"/>
    <n v="2"/>
    <s v="PÇ"/>
    <n v="0.46500000000000002"/>
    <n v="0.93"/>
    <n v="1169.77"/>
    <n v="1087.8860999999999"/>
    <n v="0"/>
    <n v="0.9"/>
    <n v="0.1"/>
    <m/>
    <m/>
    <m/>
    <n v="0"/>
    <m/>
    <n v="0"/>
    <n v="0.93"/>
    <m/>
    <n v="0.4"/>
    <n v="0.5"/>
    <n v="0.1"/>
    <m/>
    <m/>
    <m/>
    <n v="0"/>
    <n v="0"/>
    <n v="0"/>
    <n v="1087.8860999999999"/>
    <m/>
    <m/>
  </r>
  <r>
    <s v="2.4.3.1.1"/>
    <s v="CMS M.60.10.000"/>
    <s v="TUBULAÇÃO"/>
    <n v="2"/>
    <s v="SPOOL"/>
    <n v="6"/>
    <s v="NÃO"/>
    <s v="NÃO"/>
    <s v="NÃO"/>
    <s v="145A-PG-6¨-L1H-877"/>
    <s v="START UP III"/>
    <s v="DISPOSIÇÃO DE REJEITOS LINHA DO CIRCUITO ULTRAFINO DISTRIBUIDOR DI-145A-9904 PARA A PENEIRA PN-145A-9721"/>
    <m/>
    <m/>
    <m/>
    <s v="1450AA-T-70270_FL15"/>
    <n v="1"/>
    <s v="PÇ"/>
    <n v="0.29599999999999999"/>
    <n v="0.29599999999999999"/>
    <n v="1169.77"/>
    <n v="346.25191999999998"/>
    <n v="0"/>
    <n v="0.9"/>
    <n v="0.1"/>
    <m/>
    <m/>
    <m/>
    <n v="0"/>
    <m/>
    <n v="0"/>
    <n v="0.29599999999999999"/>
    <m/>
    <n v="0.4"/>
    <n v="0.5"/>
    <n v="0.1"/>
    <m/>
    <m/>
    <m/>
    <n v="0"/>
    <n v="0"/>
    <n v="0"/>
    <n v="346.25191999999998"/>
    <m/>
    <m/>
  </r>
  <r>
    <s v="2.4.3.1.1"/>
    <s v="CMS M.60.10.000"/>
    <s v="TUBULAÇÃO"/>
    <n v="3"/>
    <s v="CURVA"/>
    <n v="6"/>
    <s v="NÃO"/>
    <s v="NÃO"/>
    <s v="NÃO"/>
    <s v="145A-PG-6¨-L1H-877"/>
    <s v="START UP III"/>
    <s v="DISPOSIÇÃO DE REJEITOS LINHA DO CIRCUITO ULTRAFINO DISTRIBUIDOR DI-145A-9904 PARA A PENEIRA PN-145A-9721"/>
    <m/>
    <m/>
    <m/>
    <s v="1450AA-T-70270_FL14"/>
    <n v="1"/>
    <s v="PÇ"/>
    <n v="0.48"/>
    <n v="0.48"/>
    <n v="1169.77"/>
    <n v="561.4896"/>
    <n v="0"/>
    <n v="0.9"/>
    <n v="0.1"/>
    <m/>
    <m/>
    <m/>
    <n v="0"/>
    <m/>
    <n v="0"/>
    <n v="0.48"/>
    <m/>
    <n v="0.4"/>
    <n v="0.5"/>
    <n v="0.1"/>
    <m/>
    <m/>
    <m/>
    <n v="0"/>
    <n v="0"/>
    <n v="0"/>
    <n v="561.4896"/>
    <m/>
    <m/>
  </r>
  <r>
    <s v="2.4.3.1.1"/>
    <s v="CMS M.60.10.000"/>
    <s v="TUBULAÇÃO"/>
    <n v="4"/>
    <s v="SPOOL"/>
    <n v="6"/>
    <s v="SIM"/>
    <s v="NÃO"/>
    <s v="NÃO"/>
    <s v="145A-PG-6¨-L1H-877"/>
    <s v="START UP III"/>
    <s v="DISPOSIÇÃO DE REJEITOS LINHA DO CIRCUITO ULTRAFINO DISTRIBUIDOR DI-145A-9904 PARA A PENEIRA PN-145A-9721"/>
    <m/>
    <m/>
    <m/>
    <s v="1450AA-T-70270_FL19"/>
    <n v="1"/>
    <s v="PÇ"/>
    <n v="0.35"/>
    <n v="0.35"/>
    <n v="1169.77"/>
    <n v="409.41949999999997"/>
    <n v="0"/>
    <n v="0.9"/>
    <n v="0.1"/>
    <m/>
    <m/>
    <m/>
    <n v="0"/>
    <m/>
    <n v="0"/>
    <n v="0.35"/>
    <m/>
    <n v="0.4"/>
    <n v="0.5"/>
    <n v="0.1"/>
    <m/>
    <m/>
    <m/>
    <n v="0"/>
    <n v="0"/>
    <n v="0"/>
    <n v="409.41949999999997"/>
    <m/>
    <m/>
  </r>
  <r>
    <s v="2.4.3.1.1"/>
    <s v="CMS M.60.10.000"/>
    <s v="TUBULAÇÃO"/>
    <n v="5"/>
    <s v="CURVA"/>
    <n v="6"/>
    <s v="NÃO"/>
    <s v="NÃO"/>
    <s v="NÃO"/>
    <s v="145A-PG-6¨-L1H-877"/>
    <s v="START UP III"/>
    <s v="DISPOSIÇÃO DE REJEITOS LINHA DO CIRCUITO ULTRAFINO DISTRIBUIDOR DI-145A-9904 PARA A PENEIRA PN-145A-9721"/>
    <m/>
    <m/>
    <m/>
    <s v="1450AA-T-70270_FL11"/>
    <n v="1"/>
    <s v="PÇ"/>
    <n v="0.28999999999999998"/>
    <n v="0.28999999999999998"/>
    <n v="1169.77"/>
    <n v="339.23329999999999"/>
    <n v="0"/>
    <n v="0.9"/>
    <n v="0.1"/>
    <m/>
    <m/>
    <m/>
    <n v="0"/>
    <m/>
    <n v="0"/>
    <n v="0.28999999999999998"/>
    <m/>
    <n v="0.4"/>
    <n v="0.5"/>
    <n v="0.1"/>
    <m/>
    <m/>
    <m/>
    <n v="0"/>
    <n v="0"/>
    <n v="0"/>
    <n v="339.23329999999999"/>
    <m/>
    <m/>
  </r>
  <r>
    <s v="2.4.3.1.1"/>
    <s v="CMS M.60.10.000"/>
    <s v="TUBULAÇÃO"/>
    <n v="6"/>
    <s v="SPOOL"/>
    <n v="6"/>
    <s v="NÃO"/>
    <s v="NÃO"/>
    <s v="NÃO"/>
    <s v="145A-PG-6¨-L1H-877"/>
    <s v="START UP III"/>
    <s v="DISPOSIÇÃO DE REJEITOS LINHA DO CIRCUITO ULTRAFINO DISTRIBUIDOR DI-145A-9904 PARA A PENEIRA PN-145A-9721"/>
    <m/>
    <m/>
    <m/>
    <s v="1450AA-T-70270_FL16"/>
    <n v="1"/>
    <s v="PÇ"/>
    <n v="0.63100000000000001"/>
    <n v="0.63100000000000001"/>
    <n v="1169.77"/>
    <n v="738.12486999999999"/>
    <n v="0"/>
    <n v="0.9"/>
    <n v="0.1"/>
    <m/>
    <m/>
    <m/>
    <n v="0"/>
    <m/>
    <n v="0"/>
    <n v="0.63100000000000001"/>
    <m/>
    <n v="0.4"/>
    <n v="0.5"/>
    <n v="0.1"/>
    <m/>
    <m/>
    <m/>
    <n v="0"/>
    <n v="0"/>
    <n v="0"/>
    <n v="738.12486999999999"/>
    <m/>
    <m/>
  </r>
  <r>
    <s v="2.4.3.1.1"/>
    <s v="CMS M.60.10.000"/>
    <s v="TUBULAÇÃO"/>
    <n v="7"/>
    <s v="CURVA"/>
    <n v="6"/>
    <s v="NÃO"/>
    <s v="NÃO"/>
    <s v="NÃO"/>
    <s v="145A-PG-6¨-L1H-877"/>
    <s v="START UP III"/>
    <s v="DISPOSIÇÃO DE REJEITOS LINHA DO CIRCUITO ULTRAFINO DISTRIBUIDOR DI-145A-9904 PARA A PENEIRA PN-145A-9721"/>
    <m/>
    <m/>
    <m/>
    <s v="1450AA-T-70270_FL12"/>
    <n v="1"/>
    <s v="PÇ"/>
    <n v="0.315"/>
    <n v="0.315"/>
    <n v="1169.77"/>
    <n v="368.47755000000001"/>
    <n v="0"/>
    <n v="0.9"/>
    <n v="0.1"/>
    <m/>
    <m/>
    <m/>
    <n v="0"/>
    <m/>
    <n v="0"/>
    <n v="0.315"/>
    <m/>
    <n v="0.4"/>
    <n v="0.5"/>
    <n v="0.1"/>
    <m/>
    <m/>
    <m/>
    <n v="0"/>
    <n v="0"/>
    <n v="0"/>
    <n v="368.47755000000001"/>
    <m/>
    <m/>
  </r>
  <r>
    <s v="2.4.3.1.1"/>
    <s v="CMS M.60.10.000"/>
    <s v="TUBULAÇÃO"/>
    <n v="8"/>
    <s v="SPOOL"/>
    <n v="6"/>
    <s v="NÃO"/>
    <s v="NÃO"/>
    <s v="NÃO"/>
    <s v="145A-PG-6¨-L1H-877"/>
    <s v="START UP III"/>
    <s v="DISPOSIÇÃO DE REJEITOS LINHA DO CIRCUITO ULTRAFINO DISTRIBUIDOR DI-145A-9904 PARA A PENEIRA PN-145A-9721"/>
    <m/>
    <m/>
    <m/>
    <s v="1450AA-T-70270_FL17"/>
    <n v="1"/>
    <s v="PÇ"/>
    <n v="1.5"/>
    <n v="1.5"/>
    <n v="1169.77"/>
    <n v="1754.655"/>
    <n v="0"/>
    <n v="0.9"/>
    <n v="0.1"/>
    <m/>
    <m/>
    <m/>
    <n v="0"/>
    <m/>
    <n v="0"/>
    <n v="1.5"/>
    <m/>
    <n v="0.4"/>
    <n v="0.5"/>
    <n v="0.1"/>
    <m/>
    <m/>
    <m/>
    <n v="0"/>
    <n v="0"/>
    <n v="0"/>
    <n v="1754.655"/>
    <m/>
    <m/>
  </r>
  <r>
    <s v="2.4.3.1.1"/>
    <s v="CMS M.60.10.000"/>
    <s v="TUBULAÇÃO"/>
    <n v="9"/>
    <s v="SPOOL"/>
    <n v="6"/>
    <s v="NÃO"/>
    <s v="NÃO"/>
    <s v="NÃO"/>
    <s v="145A-PG-6¨-L1H-877"/>
    <s v="START UP III"/>
    <s v="DISPOSIÇÃO DE REJEITOS LINHA DO CIRCUITO ULTRAFINO DISTRIBUIDOR DI-145A-9904 PARA A PENEIRA PN-145A-9721"/>
    <m/>
    <m/>
    <m/>
    <s v="1450AA-T-70270_FL18"/>
    <n v="1"/>
    <s v="PÇ"/>
    <n v="3"/>
    <n v="3"/>
    <n v="1169.77"/>
    <n v="3509.31"/>
    <n v="0"/>
    <n v="0.9"/>
    <n v="0.1"/>
    <m/>
    <m/>
    <m/>
    <n v="0"/>
    <m/>
    <n v="0"/>
    <n v="3"/>
    <m/>
    <n v="0.4"/>
    <n v="0.5"/>
    <n v="0.1"/>
    <m/>
    <m/>
    <m/>
    <n v="0"/>
    <n v="0"/>
    <n v="0"/>
    <n v="3509.31"/>
    <m/>
    <m/>
  </r>
  <r>
    <s v="2.4.3.1.1"/>
    <s v="CMS M.60.10.000"/>
    <s v="TUBULAÇÃO"/>
    <n v="10"/>
    <s v="SPOOL"/>
    <n v="6"/>
    <s v="SIM"/>
    <s v="NÃO"/>
    <s v="NÃO"/>
    <s v="145A-PG-6¨-L1H-877"/>
    <s v="START UP III"/>
    <s v="DISPOSIÇÃO DE REJEITOS LINHA DO CIRCUITO ULTRAFINO DISTRIBUIDOR DI-145A-9904 PARA A PENEIRA PN-145A-9721"/>
    <m/>
    <m/>
    <m/>
    <s v="1450AA-T-70270_FL20"/>
    <n v="2"/>
    <s v="PÇ"/>
    <n v="0.45"/>
    <n v="0.9"/>
    <n v="1169.77"/>
    <n v="1052.7930000000001"/>
    <n v="0"/>
    <n v="0.9"/>
    <n v="0.1"/>
    <m/>
    <m/>
    <m/>
    <n v="0"/>
    <m/>
    <n v="0"/>
    <n v="0.9"/>
    <m/>
    <n v="0.4"/>
    <n v="0.5"/>
    <n v="0.1"/>
    <m/>
    <m/>
    <m/>
    <n v="0"/>
    <n v="0"/>
    <n v="0"/>
    <n v="1052.7930000000001"/>
    <m/>
    <m/>
  </r>
  <r>
    <n v="0"/>
    <s v="CMS M.60.10.000"/>
    <s v="TUBULAÇÃO"/>
    <n v="11"/>
    <s v="SPOOL"/>
    <s v="6 X 4"/>
    <s v="NÃO"/>
    <s v="NÃO"/>
    <s v="NÃO"/>
    <s v="145A-PG-6¨-L1H-877"/>
    <s v="START UP III"/>
    <s v="DISPOSIÇÃO DE REJEITOS LINHA DO CIRCUITO ULTRAFINO DISTRIBUIDOR DI-145A-9904 PARA A PENEIRA PN-145A-9721"/>
    <m/>
    <m/>
    <m/>
    <s v="1450AA-T-70270_FL09"/>
    <n v="1"/>
    <s v="PÇ"/>
    <n v="2.1349999999999998"/>
    <n v="2.1349999999999998"/>
    <n v="0"/>
    <n v="0"/>
    <n v="0"/>
    <n v="0.9"/>
    <n v="0.1"/>
    <m/>
    <m/>
    <m/>
    <n v="0"/>
    <m/>
    <n v="0"/>
    <n v="2.1349999999999998"/>
    <m/>
    <n v="0.4"/>
    <n v="0.5"/>
    <n v="0.1"/>
    <m/>
    <m/>
    <m/>
    <n v="0"/>
    <n v="0"/>
    <n v="0"/>
    <n v="0"/>
    <m/>
    <m/>
  </r>
  <r>
    <n v="0"/>
    <s v="CMS M.60.10.000"/>
    <s v="TUBULAÇÃO"/>
    <n v="12"/>
    <s v="FLANGE"/>
    <n v="4"/>
    <s v="NÃO"/>
    <s v="NÃO"/>
    <s v="NÃO"/>
    <s v="145A-PG-6¨-L1H-877"/>
    <s v="START UP III"/>
    <s v="DISPOSIÇÃO DE REJEITOS LINHA DO CIRCUITO ULTRAFINO DISTRIBUIDOR DI-145A-9904 PARA A PENEIRA PN-145A-9721"/>
    <m/>
    <m/>
    <m/>
    <s v="1450AA-T-70270_FL03"/>
    <n v="2"/>
    <s v="PÇ"/>
    <n v="0"/>
    <n v="0"/>
    <n v="0"/>
    <n v="0"/>
    <n v="0"/>
    <n v="0.9"/>
    <n v="0.1"/>
    <m/>
    <m/>
    <m/>
    <n v="0"/>
    <m/>
    <n v="0"/>
    <n v="0"/>
    <m/>
    <n v="0.4"/>
    <n v="0.5"/>
    <n v="0.1"/>
    <m/>
    <m/>
    <m/>
    <n v="0"/>
    <n v="0"/>
    <n v="0"/>
    <n v="0"/>
    <m/>
    <m/>
  </r>
  <r>
    <s v="2.4.3.1.1"/>
    <s v="CMS M.60.10.000"/>
    <s v="TUBULAÇÃO"/>
    <n v="1"/>
    <s v="SPOOL"/>
    <n v="6"/>
    <s v="NÃO"/>
    <s v="NÃO"/>
    <s v="NÃO"/>
    <s v="145A-PG-6¨-L1H-879"/>
    <s v="START UP III"/>
    <s v="DISPOSIÇÃO DE REJEITOS LINHA DO CIRCUITO ULTRAFINO DISTRIBUIDOR DI-145A-9904 PARA A PENEIRA PN-145A-9722"/>
    <m/>
    <m/>
    <m/>
    <s v="1450AA-T-70272_FL12"/>
    <n v="1"/>
    <s v="PÇ"/>
    <n v="0.2"/>
    <n v="0.2"/>
    <n v="1169.77"/>
    <n v="233.95400000000001"/>
    <n v="0"/>
    <n v="0.9"/>
    <n v="0.1"/>
    <m/>
    <m/>
    <m/>
    <n v="0"/>
    <m/>
    <n v="0"/>
    <n v="0.2"/>
    <m/>
    <n v="0.4"/>
    <n v="0.5"/>
    <n v="0.1"/>
    <m/>
    <m/>
    <m/>
    <n v="0"/>
    <n v="0"/>
    <n v="0"/>
    <n v="233.95400000000001"/>
    <m/>
    <m/>
  </r>
  <r>
    <s v="2.4.3.1.1"/>
    <s v="CMS M.60.10.000"/>
    <s v="TUBULAÇÃO"/>
    <n v="2"/>
    <s v="CURVA"/>
    <n v="6"/>
    <s v="NÃO"/>
    <s v="NÃO"/>
    <s v="NÃO"/>
    <s v="145A-PG-6¨-L1H-879"/>
    <s v="START UP III"/>
    <s v="DISPOSIÇÃO DE REJEITOS LINHA DO CIRCUITO ULTRAFINO DISTRIBUIDOR DI-145A-9904 PARA A PENEIRA PN-145A-9722"/>
    <m/>
    <m/>
    <m/>
    <s v="1450AA-T-70272_FL11"/>
    <n v="2"/>
    <s v="PÇ"/>
    <n v="0.46500000000000002"/>
    <n v="0.93"/>
    <n v="1169.77"/>
    <n v="1087.8860999999999"/>
    <n v="0"/>
    <n v="0.9"/>
    <n v="0.1"/>
    <m/>
    <m/>
    <m/>
    <n v="0"/>
    <m/>
    <n v="0"/>
    <n v="0.93"/>
    <m/>
    <n v="0.4"/>
    <n v="0.5"/>
    <n v="0.1"/>
    <m/>
    <m/>
    <m/>
    <n v="0"/>
    <n v="0"/>
    <n v="0"/>
    <n v="1087.8860999999999"/>
    <m/>
    <m/>
  </r>
  <r>
    <s v="2.4.3.1.1"/>
    <s v="CMS M.60.10.000"/>
    <s v="TUBULAÇÃO"/>
    <n v="3"/>
    <s v="SPOOL"/>
    <n v="6"/>
    <s v="NÃO"/>
    <s v="NÃO"/>
    <s v="NÃO"/>
    <s v="145A-PG-6¨-L1H-879"/>
    <s v="START UP III"/>
    <s v="DISPOSIÇÃO DE REJEITOS LINHA DO CIRCUITO ULTRAFINO DISTRIBUIDOR DI-145A-9904 PARA A PENEIRA PN-145A-9722"/>
    <m/>
    <m/>
    <m/>
    <s v="1450AA-T-70272_FL13"/>
    <n v="1"/>
    <s v="PÇ"/>
    <n v="1.125"/>
    <n v="1.125"/>
    <n v="1169.77"/>
    <n v="1315.99125"/>
    <n v="0"/>
    <n v="0.9"/>
    <n v="0.1"/>
    <m/>
    <m/>
    <m/>
    <n v="0"/>
    <m/>
    <n v="0"/>
    <n v="1.125"/>
    <m/>
    <n v="0.4"/>
    <n v="0.5"/>
    <n v="0.1"/>
    <m/>
    <m/>
    <m/>
    <n v="0"/>
    <n v="0"/>
    <n v="0"/>
    <n v="1315.99125"/>
    <m/>
    <m/>
  </r>
  <r>
    <s v="2.4.3.1.1"/>
    <s v="CMS M.60.10.000"/>
    <s v="TUBULAÇÃO"/>
    <n v="4"/>
    <s v="SPOOL"/>
    <n v="6"/>
    <s v="NÃO"/>
    <s v="NÃO"/>
    <s v="NÃO"/>
    <s v="145A-PG-6¨-L1H-879"/>
    <s v="START UP III"/>
    <s v="DISPOSIÇÃO DE REJEITOS LINHA DO CIRCUITO ULTRAFINO DISTRIBUIDOR DI-145A-9904 PARA A PENEIRA PN-145A-9722"/>
    <m/>
    <m/>
    <m/>
    <s v="1450AA-T-70272_FL14"/>
    <n v="1"/>
    <s v="PÇ"/>
    <n v="3.2"/>
    <n v="3.2"/>
    <n v="1169.77"/>
    <n v="3743.2640000000001"/>
    <n v="0"/>
    <n v="0.9"/>
    <n v="0.1"/>
    <m/>
    <m/>
    <m/>
    <n v="0"/>
    <m/>
    <n v="0"/>
    <n v="3.2"/>
    <m/>
    <n v="0.4"/>
    <n v="0.5"/>
    <n v="0.1"/>
    <m/>
    <m/>
    <m/>
    <n v="0"/>
    <n v="0"/>
    <n v="0"/>
    <n v="3743.2640000000001"/>
    <m/>
    <m/>
  </r>
  <r>
    <s v="2.4.3.1.1"/>
    <s v="CMS M.60.10.000"/>
    <s v="TUBULAÇÃO"/>
    <n v="5"/>
    <s v="SPOOL"/>
    <n v="6"/>
    <s v="SIM"/>
    <s v="NÃO"/>
    <s v="NÃO"/>
    <s v="145A-PG-6¨-L1H-879"/>
    <s v="START UP III"/>
    <s v="DISPOSIÇÃO DE REJEITOS LINHA DO CIRCUITO ULTRAFINO DISTRIBUIDOR DI-145A-9904 PARA A PENEIRA PN-145A-9722"/>
    <m/>
    <m/>
    <m/>
    <s v="1450AA-T-70272_FL15"/>
    <n v="1"/>
    <s v="PÇ"/>
    <n v="0.42"/>
    <n v="0.42"/>
    <n v="1169.77"/>
    <n v="491.30339999999995"/>
    <n v="0"/>
    <n v="0.9"/>
    <n v="0.1"/>
    <m/>
    <m/>
    <m/>
    <n v="0"/>
    <m/>
    <n v="0"/>
    <n v="0.42"/>
    <m/>
    <n v="0.4"/>
    <n v="0.5"/>
    <n v="0.1"/>
    <m/>
    <m/>
    <m/>
    <n v="0"/>
    <n v="0"/>
    <n v="0"/>
    <n v="491.30339999999995"/>
    <m/>
    <m/>
  </r>
  <r>
    <n v="0"/>
    <s v="CMS M.60.10.000"/>
    <s v="TUBULAÇÃO"/>
    <n v="6"/>
    <s v="SPOOL"/>
    <s v="6 X 4"/>
    <s v="NÃO"/>
    <s v="NÃO"/>
    <s v="NÃO"/>
    <s v="145A-PG-6¨-L1H-879"/>
    <s v="START UP III"/>
    <s v="DISPOSIÇÃO DE REJEITOS LINHA DO CIRCUITO ULTRAFINO DISTRIBUIDOR DI-145A-9904 PARA A PENEIRA PN-145A-9722"/>
    <m/>
    <m/>
    <m/>
    <s v="1450AA-T-70272_FL09"/>
    <n v="1"/>
    <s v="PÇ"/>
    <n v="2.1349999999999998"/>
    <n v="2.1349999999999998"/>
    <n v="0"/>
    <n v="0"/>
    <n v="0"/>
    <n v="0.9"/>
    <n v="0.1"/>
    <m/>
    <m/>
    <m/>
    <n v="0"/>
    <m/>
    <n v="0"/>
    <n v="2.1349999999999998"/>
    <m/>
    <n v="0.4"/>
    <n v="0.5"/>
    <n v="0.1"/>
    <m/>
    <m/>
    <m/>
    <n v="0"/>
    <n v="0"/>
    <n v="0"/>
    <n v="0"/>
    <m/>
    <m/>
  </r>
  <r>
    <n v="0"/>
    <s v="CMS M.60.10.000"/>
    <s v="TUBULAÇÃO"/>
    <n v="7"/>
    <s v="FLANGE"/>
    <n v="4"/>
    <s v="NÃO"/>
    <s v="NÃO"/>
    <s v="NÃO"/>
    <s v="145A-PG-6¨-L1H-879"/>
    <s v="START UP III"/>
    <s v="DISPOSIÇÃO DE REJEITOS LINHA DO CIRCUITO ULTRAFINO DISTRIBUIDOR DI-145A-9904 PARA A PENEIRA PN-145A-9722"/>
    <m/>
    <m/>
    <m/>
    <s v="1450AA-T-70272_FL03"/>
    <n v="2"/>
    <s v="PÇ"/>
    <n v="0"/>
    <n v="0"/>
    <n v="0"/>
    <n v="0"/>
    <n v="0"/>
    <n v="0.9"/>
    <n v="0.1"/>
    <m/>
    <m/>
    <m/>
    <n v="0"/>
    <m/>
    <n v="0"/>
    <n v="0"/>
    <m/>
    <n v="0.4"/>
    <n v="0.5"/>
    <n v="0.1"/>
    <m/>
    <m/>
    <m/>
    <n v="0"/>
    <n v="0"/>
    <n v="0"/>
    <n v="0"/>
    <m/>
    <m/>
  </r>
  <r>
    <s v="2.4.3.1.1"/>
    <s v="CMS M.60.10.000"/>
    <s v="TUBULAÇÃO"/>
    <n v="1"/>
    <s v="CURVA"/>
    <n v="6"/>
    <s v="NÃO"/>
    <s v="NÃO"/>
    <s v="NÃO"/>
    <s v="145A-PG-6¨-L1H-881"/>
    <s v="START UP III"/>
    <s v="DISPOSIÇÃO DE REJEITOS LINHA DO CIRCUITO ULTRAFINO DISTRIBUIDOR DI-145A-9904 PARA A PENEIRA PN-145A-9723"/>
    <m/>
    <m/>
    <m/>
    <s v="1450AA-T-70274_FL12"/>
    <n v="2"/>
    <s v="PÇ"/>
    <n v="0.47"/>
    <n v="0.94"/>
    <n v="1169.77"/>
    <n v="1099.5837999999999"/>
    <n v="0"/>
    <n v="0.9"/>
    <n v="0.1"/>
    <m/>
    <m/>
    <m/>
    <n v="0"/>
    <m/>
    <n v="0"/>
    <n v="0.94"/>
    <m/>
    <n v="0.4"/>
    <n v="0.5"/>
    <n v="0.1"/>
    <m/>
    <m/>
    <m/>
    <n v="0"/>
    <n v="0"/>
    <n v="0"/>
    <n v="1099.5837999999999"/>
    <m/>
    <m/>
  </r>
  <r>
    <s v="2.4.3.1.1"/>
    <s v="CMS M.60.10.000"/>
    <s v="TUBULAÇÃO"/>
    <n v="2"/>
    <s v="SPOOL"/>
    <n v="6"/>
    <s v="NÃO"/>
    <s v="NÃO"/>
    <s v="NÃO"/>
    <s v="145A-PG-6¨-L1H-881"/>
    <s v="START UP III"/>
    <s v="DISPOSIÇÃO DE REJEITOS LINHA DO CIRCUITO ULTRAFINO DISTRIBUIDOR DI-145A-9904 PARA A PENEIRA PN-145A-9723"/>
    <m/>
    <m/>
    <m/>
    <s v="1450AA-T-70274_FL16"/>
    <n v="1"/>
    <s v="PÇ"/>
    <n v="2.5"/>
    <n v="2.5"/>
    <n v="1169.77"/>
    <n v="2924.4250000000002"/>
    <n v="0"/>
    <n v="0.9"/>
    <n v="0.1"/>
    <m/>
    <m/>
    <m/>
    <n v="0"/>
    <m/>
    <n v="0"/>
    <n v="2.5"/>
    <m/>
    <n v="0.4"/>
    <n v="0.5"/>
    <n v="0.1"/>
    <m/>
    <m/>
    <m/>
    <n v="0"/>
    <n v="0"/>
    <n v="0"/>
    <n v="2924.4250000000002"/>
    <m/>
    <m/>
  </r>
  <r>
    <s v="2.4.3.1.1"/>
    <s v="CMS M.60.10.000"/>
    <s v="TUBULAÇÃO"/>
    <n v="3"/>
    <s v="SPOOL"/>
    <n v="6"/>
    <s v="SIM"/>
    <s v="NÃO"/>
    <s v="NÃO"/>
    <s v="145A-PG-6¨-L1H-881"/>
    <s v="START UP III"/>
    <s v="DISPOSIÇÃO DE REJEITOS LINHA DO CIRCUITO ULTRAFINO DISTRIBUIDOR DI-145A-9904 PARA A PENEIRA PN-145A-9723"/>
    <m/>
    <m/>
    <m/>
    <s v="1450AA-T-70274_FL17"/>
    <n v="2"/>
    <s v="PÇ"/>
    <n v="0.4"/>
    <n v="0.8"/>
    <n v="1169.77"/>
    <n v="935.81600000000003"/>
    <n v="0"/>
    <n v="0.9"/>
    <n v="0.1"/>
    <m/>
    <m/>
    <m/>
    <n v="0"/>
    <m/>
    <n v="0"/>
    <n v="0.8"/>
    <m/>
    <n v="0.4"/>
    <n v="0.5"/>
    <n v="0.1"/>
    <m/>
    <m/>
    <m/>
    <n v="0"/>
    <n v="0"/>
    <n v="0"/>
    <n v="935.81600000000003"/>
    <m/>
    <m/>
  </r>
  <r>
    <s v="2.4.3.1.1"/>
    <s v="CMS M.60.10.000"/>
    <s v="TUBULAÇÃO"/>
    <n v="4"/>
    <s v="SPOOL"/>
    <n v="6"/>
    <s v="NÃO"/>
    <s v="NÃO"/>
    <s v="NÃO"/>
    <s v="145A-PG-6¨-L1H-881"/>
    <s v="START UP III"/>
    <s v="DISPOSIÇÃO DE REJEITOS LINHA DO CIRCUITO ULTRAFINO DISTRIBUIDOR DI-145A-9904 PARA A PENEIRA PN-145A-9723"/>
    <m/>
    <m/>
    <m/>
    <s v="1450AA-T-70274_FL13"/>
    <n v="1"/>
    <s v="PÇ"/>
    <n v="0.96399999999999997"/>
    <n v="0.96399999999999997"/>
    <n v="1169.77"/>
    <n v="1127.6582799999999"/>
    <n v="0"/>
    <n v="0.9"/>
    <n v="0.1"/>
    <m/>
    <m/>
    <m/>
    <n v="0"/>
    <m/>
    <n v="0"/>
    <n v="0.96399999999999997"/>
    <m/>
    <n v="0.4"/>
    <n v="0.5"/>
    <n v="0.1"/>
    <m/>
    <m/>
    <m/>
    <n v="0"/>
    <n v="0"/>
    <n v="0"/>
    <n v="1127.6582799999999"/>
    <m/>
    <m/>
  </r>
  <r>
    <s v="2.4.3.1.1"/>
    <s v="CMS M.60.10.000"/>
    <s v="TUBULAÇÃO"/>
    <n v="5"/>
    <s v="CURVA"/>
    <n v="6"/>
    <s v="NÃO"/>
    <s v="NÃO"/>
    <s v="NÃO"/>
    <s v="145A-PG-6¨-L1H-881"/>
    <s v="START UP III"/>
    <s v="DISPOSIÇÃO DE REJEITOS LINHA DO CIRCUITO ULTRAFINO DISTRIBUIDOR DI-145A-9904 PARA A PENEIRA PN-145A-9723"/>
    <m/>
    <m/>
    <m/>
    <s v="1450AA-T-70274_FL11"/>
    <n v="2"/>
    <s v="PÇ"/>
    <n v="0.435"/>
    <n v="0.87"/>
    <n v="1169.77"/>
    <n v="1017.6999"/>
    <n v="0"/>
    <n v="0.9"/>
    <n v="0.1"/>
    <m/>
    <m/>
    <m/>
    <n v="0"/>
    <m/>
    <n v="0"/>
    <n v="0.87"/>
    <m/>
    <n v="0.4"/>
    <n v="0.5"/>
    <n v="0.1"/>
    <m/>
    <m/>
    <m/>
    <n v="0"/>
    <n v="0"/>
    <n v="0"/>
    <n v="1017.6999"/>
    <m/>
    <m/>
  </r>
  <r>
    <s v="2.4.3.1.1"/>
    <s v="CMS M.60.10.000"/>
    <s v="TUBULAÇÃO"/>
    <n v="6"/>
    <s v="SPOOL"/>
    <n v="6"/>
    <s v="NÃO"/>
    <s v="NÃO"/>
    <s v="NÃO"/>
    <s v="145A-PG-6¨-L1H-881"/>
    <s v="START UP III"/>
    <s v="DISPOSIÇÃO DE REJEITOS LINHA DO CIRCUITO ULTRAFINO DISTRIBUIDOR DI-145A-9904 PARA A PENEIRA PN-145A-9723"/>
    <m/>
    <m/>
    <m/>
    <s v="1450AA-T-70274_FL15"/>
    <n v="1"/>
    <s v="PÇ"/>
    <n v="2.3050000000000002"/>
    <n v="2.3050000000000002"/>
    <n v="1169.77"/>
    <n v="2696.3198500000003"/>
    <n v="0"/>
    <n v="0.9"/>
    <n v="0.1"/>
    <m/>
    <m/>
    <m/>
    <n v="0"/>
    <m/>
    <n v="0"/>
    <n v="2.3050000000000002"/>
    <m/>
    <n v="0.4"/>
    <n v="0.5"/>
    <n v="0.1"/>
    <m/>
    <m/>
    <m/>
    <n v="0"/>
    <n v="0"/>
    <n v="0"/>
    <n v="2696.3198500000003"/>
    <m/>
    <m/>
  </r>
  <r>
    <s v="2.4.3.1.1"/>
    <s v="CMS M.60.10.000"/>
    <s v="TUBULAÇÃO"/>
    <n v="7"/>
    <s v="SPOOL"/>
    <n v="6"/>
    <s v="NÃO"/>
    <s v="NÃO"/>
    <s v="NÃO"/>
    <s v="145A-PG-6¨-L1H-881"/>
    <s v="START UP III"/>
    <s v="DISPOSIÇÃO DE REJEITOS LINHA DO CIRCUITO ULTRAFINO DISTRIBUIDOR DI-145A-9904 PARA A PENEIRA PN-145A-9723"/>
    <m/>
    <m/>
    <m/>
    <s v="1450AA-T-70274_FL14"/>
    <n v="1"/>
    <s v="PÇ"/>
    <n v="1.5"/>
    <n v="1.5"/>
    <n v="1169.77"/>
    <n v="1754.655"/>
    <n v="0"/>
    <n v="0.9"/>
    <n v="0.1"/>
    <m/>
    <m/>
    <m/>
    <n v="0"/>
    <m/>
    <n v="0"/>
    <n v="1.5"/>
    <m/>
    <n v="0.4"/>
    <n v="0.5"/>
    <n v="0.1"/>
    <m/>
    <m/>
    <m/>
    <n v="0"/>
    <n v="0"/>
    <n v="0"/>
    <n v="1754.655"/>
    <m/>
    <m/>
  </r>
  <r>
    <n v="0"/>
    <s v="CMS M.60.10.000"/>
    <s v="TUBULAÇÃO"/>
    <n v="8"/>
    <s v="SPOOL"/>
    <s v="6 X 4"/>
    <s v="NÃO"/>
    <s v="NÃO"/>
    <s v="NÃO"/>
    <s v="145A-PG-6¨-L1H-881"/>
    <s v="START UP III"/>
    <s v="DISPOSIÇÃO DE REJEITOS LINHA DO CIRCUITO ULTRAFINO DISTRIBUIDOR DI-145A-9904 PARA A PENEIRA PN-145A-9723"/>
    <m/>
    <m/>
    <m/>
    <s v="1450AA-T-70274_FL09"/>
    <n v="1"/>
    <s v="PÇ"/>
    <n v="2.1349999999999998"/>
    <n v="2.1349999999999998"/>
    <n v="0"/>
    <n v="0"/>
    <n v="0"/>
    <n v="0.9"/>
    <n v="0.1"/>
    <m/>
    <m/>
    <m/>
    <n v="0"/>
    <m/>
    <n v="0"/>
    <n v="2.1349999999999998"/>
    <m/>
    <n v="0.4"/>
    <n v="0.5"/>
    <n v="0.1"/>
    <m/>
    <m/>
    <m/>
    <n v="0"/>
    <n v="0"/>
    <n v="0"/>
    <n v="0"/>
    <m/>
    <m/>
  </r>
  <r>
    <n v="0"/>
    <s v="CMS M.60.10.000"/>
    <s v="TUBULAÇÃO"/>
    <n v="9"/>
    <s v="FLANGE"/>
    <n v="4"/>
    <s v="NÃO"/>
    <s v="NÃO"/>
    <s v="NÃO"/>
    <s v="145A-PG-6¨-L1H-881"/>
    <s v="START UP III"/>
    <s v="DISPOSIÇÃO DE REJEITOS LINHA DO CIRCUITO ULTRAFINO DISTRIBUIDOR DI-145A-9904 PARA A PENEIRA PN-145A-9723"/>
    <m/>
    <m/>
    <m/>
    <s v="1450AA-T-70274_FL03"/>
    <n v="2"/>
    <s v="PÇ"/>
    <n v="0"/>
    <n v="0"/>
    <n v="0"/>
    <n v="0"/>
    <n v="0"/>
    <n v="0.9"/>
    <n v="0.1"/>
    <m/>
    <m/>
    <m/>
    <n v="0"/>
    <m/>
    <n v="0"/>
    <n v="0"/>
    <m/>
    <n v="0.4"/>
    <n v="0.5"/>
    <n v="0.1"/>
    <m/>
    <m/>
    <m/>
    <n v="0"/>
    <n v="0"/>
    <n v="0"/>
    <n v="0"/>
    <m/>
    <m/>
  </r>
  <r>
    <s v="2.4.3.1.1"/>
    <s v="CMS M.60.10.000"/>
    <s v="TUBULAÇÃO"/>
    <n v="1"/>
    <s v="CURVA"/>
    <n v="6"/>
    <s v="NÃO"/>
    <s v="NÃO"/>
    <s v="NÃO"/>
    <s v="145A-PG-6¨-L1H-876"/>
    <s v="START UP III"/>
    <s v="DISPOSIÇÃO DE REJEITOS LINHA DO CIRCUITO ULTRAFINO DISTRIBUIDOR DI-145A-9904 PARA A PENEIRA PN-145A-9701"/>
    <m/>
    <m/>
    <m/>
    <s v="1450AA-T-70276_FL16"/>
    <n v="2"/>
    <s v="PÇ"/>
    <n v="0.46500000000000002"/>
    <n v="0.93"/>
    <n v="1169.77"/>
    <n v="1087.8860999999999"/>
    <n v="0"/>
    <n v="0.9"/>
    <n v="0.1"/>
    <m/>
    <m/>
    <m/>
    <n v="0"/>
    <m/>
    <n v="0"/>
    <n v="0.93"/>
    <m/>
    <n v="0.4"/>
    <n v="0.5"/>
    <n v="0.1"/>
    <m/>
    <m/>
    <m/>
    <n v="0"/>
    <n v="0"/>
    <n v="0"/>
    <n v="1087.8860999999999"/>
    <m/>
    <m/>
  </r>
  <r>
    <s v="2.4.3.1.1"/>
    <s v="CMS M.60.10.000"/>
    <s v="TUBULAÇÃO"/>
    <n v="2"/>
    <s v="SPOOL"/>
    <n v="6"/>
    <s v="NÃO"/>
    <s v="NÃO"/>
    <s v="NÃO"/>
    <s v="145A-PG-6¨-L1H-876"/>
    <s v="START UP III"/>
    <s v="DISPOSIÇÃO DE REJEITOS LINHA DO CIRCUITO ULTRAFINO DISTRIBUIDOR DI-145A-9904 PARA A PENEIRA PN-145A-9701"/>
    <m/>
    <m/>
    <m/>
    <s v="1450AA-T-70276_FL17"/>
    <n v="1"/>
    <s v="PÇ"/>
    <n v="0.28100000000000003"/>
    <n v="0.28100000000000003"/>
    <n v="1169.77"/>
    <n v="328.70537000000002"/>
    <n v="0"/>
    <n v="0.9"/>
    <n v="0.1"/>
    <m/>
    <m/>
    <m/>
    <n v="0"/>
    <m/>
    <n v="0"/>
    <n v="0.28100000000000003"/>
    <m/>
    <n v="0.4"/>
    <n v="0.5"/>
    <n v="0.1"/>
    <m/>
    <m/>
    <m/>
    <n v="0"/>
    <n v="0"/>
    <n v="0"/>
    <n v="328.70537000000002"/>
    <m/>
    <m/>
  </r>
  <r>
    <s v="2.4.3.1.1"/>
    <s v="CMS M.60.10.000"/>
    <s v="TUBULAÇÃO"/>
    <n v="3"/>
    <s v="CURVA"/>
    <n v="6"/>
    <s v="NÃO"/>
    <s v="NÃO"/>
    <s v="NÃO"/>
    <s v="145A-PG-6¨-L1H-876"/>
    <s v="START UP III"/>
    <s v="DISPOSIÇÃO DE REJEITOS LINHA DO CIRCUITO ULTRAFINO DISTRIBUIDOR DI-145A-9904 PARA A PENEIRA PN-145A-9701"/>
    <m/>
    <m/>
    <m/>
    <s v="1450AA-T-70276_FL13"/>
    <n v="1"/>
    <s v="PÇ"/>
    <n v="0.42"/>
    <n v="0.42"/>
    <n v="1169.77"/>
    <n v="491.30339999999995"/>
    <n v="0"/>
    <n v="0.9"/>
    <n v="0.1"/>
    <m/>
    <m/>
    <m/>
    <n v="0"/>
    <m/>
    <n v="0"/>
    <n v="0.42"/>
    <m/>
    <n v="0.4"/>
    <n v="0.5"/>
    <n v="0.1"/>
    <m/>
    <m/>
    <m/>
    <n v="0"/>
    <n v="0"/>
    <n v="0"/>
    <n v="491.30339999999995"/>
    <m/>
    <m/>
  </r>
  <r>
    <s v="2.4.3.1.1"/>
    <s v="CMS M.60.10.000"/>
    <s v="TUBULAÇÃO"/>
    <n v="4"/>
    <s v="SPOOL"/>
    <n v="6"/>
    <s v="NÃO"/>
    <s v="NÃO"/>
    <s v="NÃO"/>
    <s v="145A-PG-6¨-L1H-876"/>
    <s v="START UP III"/>
    <s v="DISPOSIÇÃO DE REJEITOS LINHA DO CIRCUITO ULTRAFINO DISTRIBUIDOR DI-145A-9904 PARA A PENEIRA PN-145A-9701"/>
    <m/>
    <m/>
    <m/>
    <s v="1450AA-T-70276_FL19"/>
    <n v="1"/>
    <s v="PÇ"/>
    <n v="1.4"/>
    <n v="1.4"/>
    <n v="1169.77"/>
    <n v="1637.6779999999999"/>
    <n v="0"/>
    <n v="0.9"/>
    <n v="0.1"/>
    <m/>
    <m/>
    <m/>
    <n v="0"/>
    <m/>
    <n v="0"/>
    <n v="1.4"/>
    <m/>
    <n v="0.4"/>
    <n v="0.5"/>
    <n v="0.1"/>
    <m/>
    <m/>
    <m/>
    <n v="0"/>
    <n v="0"/>
    <n v="0"/>
    <n v="1637.6779999999999"/>
    <m/>
    <m/>
  </r>
  <r>
    <s v="2.4.3.1.1"/>
    <s v="CMS M.60.10.000"/>
    <s v="TUBULAÇÃO"/>
    <n v="5"/>
    <s v="SPOOL"/>
    <n v="6"/>
    <s v="SIM"/>
    <s v="NÃO"/>
    <s v="NÃO"/>
    <s v="145A-PG-6¨-L1H-876"/>
    <s v="START UP III"/>
    <s v="DISPOSIÇÃO DE REJEITOS LINHA DO CIRCUITO ULTRAFINO DISTRIBUIDOR DI-145A-9904 PARA A PENEIRA PN-145A-9701"/>
    <m/>
    <m/>
    <m/>
    <s v="1450AA-T-70276_FL23"/>
    <n v="2"/>
    <s v="PÇ"/>
    <n v="0.35"/>
    <n v="0.7"/>
    <n v="1169.77"/>
    <n v="818.83899999999994"/>
    <n v="0"/>
    <n v="0.9"/>
    <n v="0.1"/>
    <m/>
    <m/>
    <m/>
    <n v="0"/>
    <m/>
    <n v="0"/>
    <n v="0.7"/>
    <m/>
    <n v="0.4"/>
    <n v="0.5"/>
    <n v="0.1"/>
    <m/>
    <m/>
    <m/>
    <n v="0"/>
    <n v="0"/>
    <n v="0"/>
    <n v="818.83899999999994"/>
    <m/>
    <m/>
  </r>
  <r>
    <s v="2.4.3.1.1"/>
    <s v="CMS M.60.10.000"/>
    <s v="TUBULAÇÃO"/>
    <n v="6"/>
    <s v="CURVA"/>
    <n v="6"/>
    <s v="NÃO"/>
    <s v="NÃO"/>
    <s v="NÃO"/>
    <s v="145A-PG-6¨-L1H-876"/>
    <s v="START UP III"/>
    <s v="DISPOSIÇÃO DE REJEITOS LINHA DO CIRCUITO ULTRAFINO DISTRIBUIDOR DI-145A-9904 PARA A PENEIRA PN-145A-9701"/>
    <m/>
    <m/>
    <m/>
    <s v="1450AA-T-70276_FL12"/>
    <n v="1"/>
    <s v="PÇ"/>
    <n v="0.32500000000000001"/>
    <n v="0.32500000000000001"/>
    <n v="1169.77"/>
    <n v="380.17525000000001"/>
    <n v="0"/>
    <n v="0.9"/>
    <n v="0.1"/>
    <m/>
    <m/>
    <m/>
    <n v="0"/>
    <m/>
    <n v="0"/>
    <n v="0.32500000000000001"/>
    <m/>
    <n v="0.4"/>
    <n v="0.5"/>
    <n v="0.1"/>
    <m/>
    <m/>
    <m/>
    <n v="0"/>
    <n v="0"/>
    <n v="0"/>
    <n v="380.17525000000001"/>
    <m/>
    <m/>
  </r>
  <r>
    <s v="2.4.3.1.1"/>
    <s v="CMS M.60.10.000"/>
    <s v="TUBULAÇÃO"/>
    <n v="7"/>
    <s v="SPOOL"/>
    <n v="6"/>
    <s v="NÃO"/>
    <s v="NÃO"/>
    <s v="NÃO"/>
    <s v="145A-PG-6¨-L1H-876"/>
    <s v="START UP III"/>
    <s v="DISPOSIÇÃO DE REJEITOS LINHA DO CIRCUITO ULTRAFINO DISTRIBUIDOR DI-145A-9904 PARA A PENEIRA PN-145A-9701"/>
    <m/>
    <m/>
    <m/>
    <s v="1450AA-T-70276_FL21"/>
    <n v="1"/>
    <s v="PÇ"/>
    <n v="2.02"/>
    <n v="2.02"/>
    <n v="1169.77"/>
    <n v="2362.9353999999998"/>
    <n v="0"/>
    <n v="0.9"/>
    <n v="0.1"/>
    <m/>
    <m/>
    <m/>
    <n v="0"/>
    <m/>
    <n v="0"/>
    <n v="2.02"/>
    <m/>
    <n v="0.4"/>
    <n v="0.5"/>
    <n v="0.1"/>
    <m/>
    <m/>
    <m/>
    <n v="0"/>
    <n v="0"/>
    <n v="0"/>
    <n v="2362.9353999999998"/>
    <m/>
    <m/>
  </r>
  <r>
    <s v="2.4.3.1.1"/>
    <s v="CMS M.60.10.000"/>
    <s v="TUBULAÇÃO"/>
    <n v="8"/>
    <s v="SPOOL"/>
    <n v="6"/>
    <s v="NÃO"/>
    <s v="NÃO"/>
    <s v="NÃO"/>
    <s v="145A-PG-6¨-L1H-876"/>
    <s v="START UP III"/>
    <s v="DISPOSIÇÃO DE REJEITOS LINHA DO CIRCUITO ULTRAFINO DISTRIBUIDOR DI-145A-9904 PARA A PENEIRA PN-145A-9701"/>
    <m/>
    <m/>
    <m/>
    <s v="1450AA-T-70276_FL22"/>
    <n v="2"/>
    <s v="PÇ"/>
    <n v="3"/>
    <n v="6"/>
    <n v="1169.77"/>
    <n v="7018.62"/>
    <n v="0"/>
    <n v="0.9"/>
    <n v="0.1"/>
    <m/>
    <m/>
    <m/>
    <n v="0"/>
    <m/>
    <n v="0"/>
    <n v="6"/>
    <m/>
    <n v="0.4"/>
    <n v="0.5"/>
    <n v="0.1"/>
    <m/>
    <m/>
    <m/>
    <n v="0"/>
    <n v="0"/>
    <n v="0"/>
    <n v="7018.62"/>
    <m/>
    <m/>
  </r>
  <r>
    <s v="2.4.3.1.1"/>
    <s v="CMS M.60.10.000"/>
    <s v="TUBULAÇÃO"/>
    <n v="9"/>
    <s v="SPOOL"/>
    <n v="6"/>
    <s v="SIM"/>
    <s v="NÃO"/>
    <s v="NÃO"/>
    <s v="145A-PG-6¨-L1H-876"/>
    <s v="START UP III"/>
    <s v="DISPOSIÇÃO DE REJEITOS LINHA DO CIRCUITO ULTRAFINO DISTRIBUIDOR DI-145A-9904 PARA A PENEIRA PN-145A-9701"/>
    <m/>
    <m/>
    <m/>
    <s v="1450AA-T-70276_FL24"/>
    <n v="1"/>
    <s v="PÇ"/>
    <n v="0.55000000000000004"/>
    <n v="0.55000000000000004"/>
    <n v="1169.77"/>
    <n v="643.37350000000004"/>
    <n v="0"/>
    <n v="0.9"/>
    <n v="0.1"/>
    <m/>
    <m/>
    <m/>
    <n v="0"/>
    <m/>
    <n v="0"/>
    <n v="0.55000000000000004"/>
    <m/>
    <n v="0.4"/>
    <n v="0.5"/>
    <n v="0.1"/>
    <m/>
    <m/>
    <m/>
    <n v="0"/>
    <n v="0"/>
    <n v="0"/>
    <n v="643.37350000000004"/>
    <m/>
    <m/>
  </r>
  <r>
    <s v="2.4.3.1.1"/>
    <s v="CMS M.60.10.000"/>
    <s v="TUBULAÇÃO"/>
    <n v="10"/>
    <s v="CURVA"/>
    <n v="6"/>
    <s v="NÃO"/>
    <s v="NÃO"/>
    <s v="NÃO"/>
    <s v="145A-PG-6¨-L1H-876"/>
    <s v="START UP III"/>
    <s v="DISPOSIÇÃO DE REJEITOS LINHA DO CIRCUITO ULTRAFINO DISTRIBUIDOR DI-145A-9904 PARA A PENEIRA PN-145A-9701"/>
    <m/>
    <m/>
    <m/>
    <s v="1450AA-T-70276_FL15"/>
    <n v="1"/>
    <s v="PÇ"/>
    <n v="0.42"/>
    <n v="0.42"/>
    <n v="1169.77"/>
    <n v="491.30339999999995"/>
    <n v="0"/>
    <n v="0.9"/>
    <n v="0.1"/>
    <m/>
    <m/>
    <m/>
    <n v="0"/>
    <m/>
    <n v="0"/>
    <n v="0.42"/>
    <m/>
    <n v="0.4"/>
    <n v="0.5"/>
    <n v="0.1"/>
    <m/>
    <m/>
    <m/>
    <n v="0"/>
    <n v="0"/>
    <n v="0"/>
    <n v="491.30339999999995"/>
    <m/>
    <m/>
  </r>
  <r>
    <s v="2.4.3.1.1"/>
    <s v="CMS M.60.10.000"/>
    <s v="TUBULAÇÃO"/>
    <n v="11"/>
    <s v="SPOOL"/>
    <n v="6"/>
    <s v="NÃO"/>
    <s v="NÃO"/>
    <s v="NÃO"/>
    <s v="145A-PG-6¨-L1H-876"/>
    <s v="START UP III"/>
    <s v="DISPOSIÇÃO DE REJEITOS LINHA DO CIRCUITO ULTRAFINO DISTRIBUIDOR DI-145A-9904 PARA A PENEIRA PN-145A-9701"/>
    <m/>
    <m/>
    <m/>
    <s v="1450AA-T-70276_FL20"/>
    <n v="1"/>
    <s v="PÇ"/>
    <n v="1.93"/>
    <n v="1.93"/>
    <n v="1169.77"/>
    <n v="2257.6560999999997"/>
    <n v="0"/>
    <n v="0.9"/>
    <n v="0.1"/>
    <m/>
    <m/>
    <m/>
    <n v="0"/>
    <m/>
    <n v="0"/>
    <n v="1.93"/>
    <m/>
    <n v="0.4"/>
    <n v="0.5"/>
    <n v="0.1"/>
    <m/>
    <m/>
    <m/>
    <n v="0"/>
    <n v="0"/>
    <n v="0"/>
    <n v="2257.6560999999997"/>
    <m/>
    <m/>
  </r>
  <r>
    <s v="2.4.3.1.1"/>
    <s v="CMS M.60.10.000"/>
    <s v="TUBULAÇÃO"/>
    <n v="12"/>
    <s v="CURVA"/>
    <n v="6"/>
    <s v="NÃO"/>
    <s v="NÃO"/>
    <s v="NÃO"/>
    <s v="145A-PG-6¨-L1H-876"/>
    <s v="START UP III"/>
    <s v="DISPOSIÇÃO DE REJEITOS LINHA DO CIRCUITO ULTRAFINO DISTRIBUIDOR DI-145A-9904 PARA A PENEIRA PN-145A-9701"/>
    <m/>
    <m/>
    <m/>
    <s v="1450AA-T-70276_FL14"/>
    <n v="1"/>
    <s v="PÇ"/>
    <n v="0.51200000000000001"/>
    <n v="0.51200000000000001"/>
    <n v="1169.77"/>
    <n v="598.92223999999999"/>
    <n v="0"/>
    <n v="0.9"/>
    <n v="0.1"/>
    <m/>
    <m/>
    <m/>
    <n v="0"/>
    <m/>
    <n v="0"/>
    <n v="0.51200000000000001"/>
    <m/>
    <n v="0.4"/>
    <n v="0.5"/>
    <n v="0.1"/>
    <m/>
    <m/>
    <m/>
    <n v="0"/>
    <n v="0"/>
    <n v="0"/>
    <n v="598.92223999999999"/>
    <m/>
    <m/>
  </r>
  <r>
    <s v="2.4.3.1.1"/>
    <s v="CMS M.60.10.000"/>
    <s v="TUBULAÇÃO"/>
    <n v="13"/>
    <s v="SPOOL"/>
    <n v="6"/>
    <s v="NÃO"/>
    <s v="NÃO"/>
    <s v="NÃO"/>
    <s v="145A-PG-6¨-L1H-876"/>
    <s v="START UP III"/>
    <s v="DISPOSIÇÃO DE REJEITOS LINHA DO CIRCUITO ULTRAFINO DISTRIBUIDOR DI-145A-9904 PARA A PENEIRA PN-145A-9701"/>
    <m/>
    <m/>
    <m/>
    <s v="1450AA-T-70276_FL18"/>
    <n v="1"/>
    <s v="PÇ"/>
    <n v="1.349"/>
    <n v="1.349"/>
    <n v="1169.77"/>
    <n v="1578.01973"/>
    <n v="0"/>
    <n v="0.9"/>
    <n v="0.1"/>
    <m/>
    <m/>
    <m/>
    <n v="0"/>
    <m/>
    <n v="0"/>
    <n v="1.349"/>
    <m/>
    <n v="0.4"/>
    <n v="0.5"/>
    <n v="0.1"/>
    <m/>
    <m/>
    <m/>
    <n v="0"/>
    <n v="0"/>
    <n v="0"/>
    <n v="1578.01973"/>
    <m/>
    <m/>
  </r>
  <r>
    <s v="2.4.3.1.1"/>
    <s v="CMS M.60.10.000"/>
    <s v="TUBULAÇÃO"/>
    <n v="14"/>
    <s v="SPOOL"/>
    <n v="6"/>
    <s v="NÃO"/>
    <s v="NÃO"/>
    <s v="NÃO"/>
    <s v="145A-PG-6¨-L1H-876"/>
    <s v="START UP III"/>
    <s v="DISPOSIÇÃO DE REJEITOS LINHA DO CIRCUITO ULTRAFINO DISTRIBUIDOR DI-145A-9904 PARA A PENEIRA PN-145A-9701"/>
    <m/>
    <m/>
    <m/>
    <s v="1450AA-T-70276_FL11"/>
    <n v="1"/>
    <s v="PÇ"/>
    <n v="0.82"/>
    <n v="0.82"/>
    <n v="1169.77"/>
    <n v="959.21139999999991"/>
    <n v="0"/>
    <n v="0.9"/>
    <n v="0.1"/>
    <m/>
    <m/>
    <m/>
    <n v="0"/>
    <m/>
    <n v="0"/>
    <n v="0.82"/>
    <m/>
    <n v="0.4"/>
    <n v="0.5"/>
    <n v="0.1"/>
    <m/>
    <m/>
    <m/>
    <n v="0"/>
    <n v="0"/>
    <n v="0"/>
    <n v="959.21139999999991"/>
    <m/>
    <m/>
  </r>
  <r>
    <n v="0"/>
    <s v="CMS M.60.10.000"/>
    <s v="TUBULAÇÃO"/>
    <n v="15"/>
    <s v="SPOOL"/>
    <s v="6 X 4"/>
    <s v="NÃO"/>
    <s v="NÃO"/>
    <s v="NÃO"/>
    <s v="145A-PG-6¨-L1H-876"/>
    <s v="START UP III"/>
    <s v="DISPOSIÇÃO DE REJEITOS LINHA DO CIRCUITO ULTRAFINO DISTRIBUIDOR DI-145A-9904 PARA A PENEIRA PN-145A-9701"/>
    <m/>
    <m/>
    <m/>
    <s v="1450AA-T-70276_FL09"/>
    <n v="1"/>
    <s v="PÇ"/>
    <n v="2.1349999999999998"/>
    <n v="2.1349999999999998"/>
    <n v="0"/>
    <n v="0"/>
    <n v="0"/>
    <n v="0.9"/>
    <n v="0.1"/>
    <m/>
    <m/>
    <m/>
    <n v="0"/>
    <m/>
    <n v="0"/>
    <n v="2.1349999999999998"/>
    <m/>
    <n v="0.4"/>
    <n v="0.5"/>
    <n v="0.1"/>
    <m/>
    <m/>
    <m/>
    <n v="0"/>
    <n v="0"/>
    <n v="0"/>
    <n v="0"/>
    <m/>
    <m/>
  </r>
  <r>
    <n v="0"/>
    <s v="CMS M.60.10.000"/>
    <s v="TUBULAÇÃO"/>
    <n v="16"/>
    <s v="FLANGE"/>
    <n v="4"/>
    <s v="NÃO"/>
    <s v="NÃO"/>
    <s v="NÃO"/>
    <s v="145A-PG-6¨-L1H-876"/>
    <s v="START UP III"/>
    <s v="DISPOSIÇÃO DE REJEITOS LINHA DO CIRCUITO ULTRAFINO DISTRIBUIDOR DI-145A-9904 PARA A PENEIRA PN-145A-9701"/>
    <m/>
    <m/>
    <m/>
    <s v="1450AA-T-70276_FL03"/>
    <n v="2"/>
    <s v="PÇ"/>
    <n v="0"/>
    <n v="0"/>
    <n v="0"/>
    <n v="0"/>
    <n v="0"/>
    <n v="0.9"/>
    <n v="0.1"/>
    <m/>
    <m/>
    <m/>
    <n v="0"/>
    <m/>
    <n v="0"/>
    <n v="0"/>
    <m/>
    <n v="0.4"/>
    <n v="0.5"/>
    <n v="0.1"/>
    <m/>
    <m/>
    <m/>
    <n v="0"/>
    <n v="0"/>
    <n v="0"/>
    <n v="0"/>
    <m/>
    <m/>
  </r>
  <r>
    <s v="2.4.3.1.1"/>
    <s v="CMS M.60.10.000"/>
    <s v="TUBULAÇÃO"/>
    <n v="1"/>
    <s v="CURVA"/>
    <n v="6"/>
    <s v="NÃO"/>
    <s v="NÃO"/>
    <s v="NÃO"/>
    <s v="145A-PG-6¨-L1H-878"/>
    <s v="START UP III"/>
    <s v="DISPOSIÇÃO DE REJEITOS LINHA DO CIRCUITO ULTRAFINO DISTRIBUIDOR DI-145A-9904 PARA A PENEIRA PN-145A-9702"/>
    <m/>
    <m/>
    <m/>
    <s v="1450AA-T-70278_FL14"/>
    <n v="2"/>
    <s v="PÇ"/>
    <n v="0.46"/>
    <n v="0.92"/>
    <n v="1169.77"/>
    <n v="1076.1884"/>
    <n v="0"/>
    <n v="0.9"/>
    <n v="0.1"/>
    <m/>
    <m/>
    <m/>
    <n v="0"/>
    <m/>
    <n v="0"/>
    <n v="0.92"/>
    <m/>
    <n v="0.4"/>
    <n v="0.5"/>
    <n v="0.1"/>
    <m/>
    <m/>
    <m/>
    <n v="0"/>
    <n v="0"/>
    <n v="0"/>
    <n v="1076.1884"/>
    <m/>
    <m/>
  </r>
  <r>
    <s v="2.4.3.1.1"/>
    <s v="CMS M.60.10.000"/>
    <s v="TUBULAÇÃO"/>
    <n v="2"/>
    <s v="SPOOL"/>
    <n v="6"/>
    <s v="NÃO"/>
    <s v="NÃO"/>
    <s v="NÃO"/>
    <s v="145A-PG-6¨-L1H-878"/>
    <s v="START UP III"/>
    <s v="DISPOSIÇÃO DE REJEITOS LINHA DO CIRCUITO ULTRAFINO DISTRIBUIDOR DI-145A-9904 PARA A PENEIRA PN-145A-9702"/>
    <m/>
    <m/>
    <m/>
    <s v="1450AA-T-70278_FL15"/>
    <n v="1"/>
    <s v="PÇ"/>
    <n v="0.69"/>
    <n v="0.69"/>
    <n v="1169.77"/>
    <n v="807.14129999999989"/>
    <n v="0"/>
    <n v="0.9"/>
    <n v="0.1"/>
    <m/>
    <m/>
    <m/>
    <n v="0"/>
    <m/>
    <n v="0"/>
    <n v="0.69"/>
    <m/>
    <n v="0.4"/>
    <n v="0.5"/>
    <n v="0.1"/>
    <m/>
    <m/>
    <m/>
    <n v="0"/>
    <n v="0"/>
    <n v="0"/>
    <n v="807.14129999999989"/>
    <m/>
    <m/>
  </r>
  <r>
    <s v="2.4.3.1.1"/>
    <s v="CMS M.60.10.000"/>
    <s v="TUBULAÇÃO"/>
    <n v="3"/>
    <s v="SPOOL"/>
    <n v="6"/>
    <s v="SIM"/>
    <s v="NÃO"/>
    <s v="NÃO"/>
    <s v="145A-PG-6¨-L1H-878"/>
    <s v="START UP III"/>
    <s v="DISPOSIÇÃO DE REJEITOS LINHA DO CIRCUITO ULTRAFINO DISTRIBUIDOR DI-145A-9904 PARA A PENEIRA PN-145A-9702"/>
    <m/>
    <m/>
    <m/>
    <s v="1450AA-T-70278_FL19"/>
    <n v="2"/>
    <s v="PÇ"/>
    <n v="0.35"/>
    <n v="0.7"/>
    <n v="1169.77"/>
    <n v="818.83899999999994"/>
    <n v="0"/>
    <n v="0.9"/>
    <n v="0.1"/>
    <m/>
    <m/>
    <m/>
    <n v="0"/>
    <m/>
    <n v="0"/>
    <n v="0.7"/>
    <m/>
    <n v="0.4"/>
    <n v="0.5"/>
    <n v="0.1"/>
    <m/>
    <m/>
    <m/>
    <n v="0"/>
    <n v="0"/>
    <n v="0"/>
    <n v="818.83899999999994"/>
    <m/>
    <m/>
  </r>
  <r>
    <s v="2.4.3.1.1"/>
    <s v="CMS M.60.10.000"/>
    <s v="TUBULAÇÃO"/>
    <n v="4"/>
    <s v="SPOOL"/>
    <n v="6"/>
    <s v="NÃO"/>
    <s v="NÃO"/>
    <s v="NÃO"/>
    <s v="145A-PG-6¨-L1H-878"/>
    <s v="START UP III"/>
    <s v="DISPOSIÇÃO DE REJEITOS LINHA DO CIRCUITO ULTRAFINO DISTRIBUIDOR DI-145A-9904 PARA A PENEIRA PN-145A-9702"/>
    <m/>
    <m/>
    <m/>
    <s v="1450AA-T-70278_FL18"/>
    <n v="2"/>
    <s v="PÇ"/>
    <n v="3.2"/>
    <n v="6.4"/>
    <n v="1169.77"/>
    <n v="7486.5280000000002"/>
    <n v="0"/>
    <n v="0.9"/>
    <n v="0.1"/>
    <m/>
    <m/>
    <m/>
    <n v="0"/>
    <m/>
    <n v="0"/>
    <n v="6.4"/>
    <m/>
    <n v="0.4"/>
    <n v="0.5"/>
    <n v="0.1"/>
    <m/>
    <m/>
    <m/>
    <n v="0"/>
    <n v="0"/>
    <n v="0"/>
    <n v="7486.5280000000002"/>
    <m/>
    <m/>
  </r>
  <r>
    <s v="2.4.3.1.1"/>
    <s v="CMS M.60.10.000"/>
    <s v="TUBULAÇÃO"/>
    <n v="5"/>
    <s v="SPOOL"/>
    <n v="6"/>
    <s v="SIM"/>
    <s v="NÃO"/>
    <s v="NÃO"/>
    <s v="145A-PG-6¨-L1H-878"/>
    <s v="START UP III"/>
    <s v="DISPOSIÇÃO DE REJEITOS LINHA DO CIRCUITO ULTRAFINO DISTRIBUIDOR DI-145A-9904 PARA A PENEIRA PN-145A-9702"/>
    <m/>
    <m/>
    <m/>
    <s v="1450AA-T-70278_FL20"/>
    <n v="1"/>
    <s v="PÇ"/>
    <n v="0.4"/>
    <n v="0.4"/>
    <n v="1169.77"/>
    <n v="467.90800000000002"/>
    <n v="0"/>
    <n v="0.9"/>
    <n v="0.1"/>
    <m/>
    <m/>
    <m/>
    <n v="0"/>
    <m/>
    <n v="0"/>
    <n v="0.4"/>
    <m/>
    <n v="0.4"/>
    <n v="0.5"/>
    <n v="0.1"/>
    <m/>
    <m/>
    <m/>
    <n v="0"/>
    <n v="0"/>
    <n v="0"/>
    <n v="467.90800000000002"/>
    <m/>
    <m/>
  </r>
  <r>
    <s v="2.4.3.1.1"/>
    <s v="CMS M.60.10.000"/>
    <s v="TUBULAÇÃO"/>
    <n v="6"/>
    <s v="CURVA"/>
    <n v="6"/>
    <s v="NÃO"/>
    <s v="NÃO"/>
    <s v="NÃO"/>
    <s v="145A-PG-6¨-L1H-878"/>
    <s v="START UP III"/>
    <s v="DISPOSIÇÃO DE REJEITOS LINHA DO CIRCUITO ULTRAFINO DISTRIBUIDOR DI-145A-9904 PARA A PENEIRA PN-145A-9702"/>
    <m/>
    <m/>
    <m/>
    <s v="1450AA-T-70278_FL13"/>
    <n v="1"/>
    <s v="PÇ"/>
    <n v="0.42"/>
    <n v="0.42"/>
    <n v="1169.77"/>
    <n v="491.30339999999995"/>
    <n v="0"/>
    <n v="0.9"/>
    <n v="0.1"/>
    <m/>
    <m/>
    <m/>
    <n v="0"/>
    <m/>
    <n v="0"/>
    <n v="0.42"/>
    <m/>
    <n v="0.4"/>
    <n v="0.5"/>
    <n v="0.1"/>
    <m/>
    <m/>
    <m/>
    <n v="0"/>
    <n v="0"/>
    <n v="0"/>
    <n v="491.30339999999995"/>
    <m/>
    <m/>
  </r>
  <r>
    <s v="2.4.3.1.1"/>
    <s v="CMS M.60.10.000"/>
    <s v="TUBULAÇÃO"/>
    <n v="7"/>
    <s v="SPOOL"/>
    <n v="6"/>
    <s v="NÃO"/>
    <s v="NÃO"/>
    <s v="NÃO"/>
    <s v="145A-PG-6¨-L1H-878"/>
    <s v="START UP III"/>
    <s v="DISPOSIÇÃO DE REJEITOS LINHA DO CIRCUITO ULTRAFINO DISTRIBUIDOR DI-145A-9904 PARA A PENEIRA PN-145A-9702"/>
    <m/>
    <m/>
    <m/>
    <s v="1450AA-T-70278_FL17"/>
    <n v="1"/>
    <s v="PÇ"/>
    <n v="1.93"/>
    <n v="1.93"/>
    <n v="1169.77"/>
    <n v="2257.6560999999997"/>
    <n v="0"/>
    <n v="0.9"/>
    <n v="0.1"/>
    <m/>
    <m/>
    <m/>
    <n v="0"/>
    <m/>
    <n v="0"/>
    <n v="1.93"/>
    <m/>
    <n v="0.4"/>
    <n v="0.5"/>
    <n v="0.1"/>
    <m/>
    <m/>
    <m/>
    <n v="0"/>
    <n v="0"/>
    <n v="0"/>
    <n v="2257.6560999999997"/>
    <m/>
    <m/>
  </r>
  <r>
    <s v="2.4.3.1.1"/>
    <s v="CMS M.60.10.000"/>
    <s v="TUBULAÇÃO"/>
    <n v="8"/>
    <s v="CURVA"/>
    <n v="6"/>
    <s v="NÃO"/>
    <s v="NÃO"/>
    <s v="NÃO"/>
    <s v="145A-PG-6¨-L1H-878"/>
    <s v="START UP III"/>
    <s v="DISPOSIÇÃO DE REJEITOS LINHA DO CIRCUITO ULTRAFINO DISTRIBUIDOR DI-145A-9904 PARA A PENEIRA PN-145A-9702"/>
    <m/>
    <m/>
    <m/>
    <s v="1450AA-T-70278_FL12"/>
    <n v="1"/>
    <s v="PÇ"/>
    <n v="0.51200000000000001"/>
    <n v="0.51200000000000001"/>
    <n v="1169.77"/>
    <n v="598.92223999999999"/>
    <n v="0"/>
    <n v="0.9"/>
    <n v="0.1"/>
    <m/>
    <m/>
    <m/>
    <n v="0"/>
    <m/>
    <n v="0"/>
    <n v="0.51200000000000001"/>
    <m/>
    <n v="0.4"/>
    <n v="0.5"/>
    <n v="0.1"/>
    <m/>
    <m/>
    <m/>
    <n v="0"/>
    <n v="0"/>
    <n v="0"/>
    <n v="598.92223999999999"/>
    <m/>
    <m/>
  </r>
  <r>
    <s v="2.4.3.1.1"/>
    <s v="CMS M.60.10.000"/>
    <s v="TUBULAÇÃO"/>
    <n v="9"/>
    <s v="SPOOL"/>
    <n v="6"/>
    <s v="NÃO"/>
    <s v="NÃO"/>
    <s v="NÃO"/>
    <s v="145A-PG-6¨-L1H-878"/>
    <s v="START UP III"/>
    <s v="DISPOSIÇÃO DE REJEITOS LINHA DO CIRCUITO ULTRAFINO DISTRIBUIDOR DI-145A-9904 PARA A PENEIRA PN-145A-9702"/>
    <m/>
    <m/>
    <m/>
    <s v="1450AA-T-70278_FL16"/>
    <n v="1"/>
    <s v="PÇ"/>
    <n v="1.349"/>
    <n v="1.349"/>
    <n v="1169.77"/>
    <n v="1578.01973"/>
    <n v="0"/>
    <n v="0.9"/>
    <n v="0.1"/>
    <m/>
    <m/>
    <m/>
    <n v="0"/>
    <m/>
    <n v="0"/>
    <n v="1.349"/>
    <m/>
    <n v="0.4"/>
    <n v="0.5"/>
    <n v="0.1"/>
    <m/>
    <m/>
    <m/>
    <n v="0"/>
    <n v="0"/>
    <n v="0"/>
    <n v="1578.01973"/>
    <m/>
    <m/>
  </r>
  <r>
    <s v="2.4.3.1.1"/>
    <s v="CMS M.60.10.000"/>
    <s v="TUBULAÇÃO"/>
    <n v="10"/>
    <s v="SPOOL"/>
    <n v="6"/>
    <s v="NÃO"/>
    <s v="NÃO"/>
    <s v="NÃO"/>
    <s v="145A-PG-6¨-L1H-878"/>
    <s v="START UP III"/>
    <s v="DISPOSIÇÃO DE REJEITOS LINHA DO CIRCUITO ULTRAFINO DISTRIBUIDOR DI-145A-9904 PARA A PENEIRA PN-145A-9702"/>
    <m/>
    <m/>
    <m/>
    <s v="1450AA-T-70278_FL11"/>
    <n v="1"/>
    <s v="PÇ"/>
    <n v="0.82"/>
    <n v="0.82"/>
    <n v="1169.77"/>
    <n v="959.21139999999991"/>
    <n v="0"/>
    <n v="0.9"/>
    <n v="0.1"/>
    <m/>
    <m/>
    <m/>
    <n v="0"/>
    <m/>
    <n v="0"/>
    <n v="0.82"/>
    <m/>
    <n v="0.4"/>
    <n v="0.5"/>
    <n v="0.1"/>
    <m/>
    <m/>
    <m/>
    <n v="0"/>
    <n v="0"/>
    <n v="0"/>
    <n v="959.21139999999991"/>
    <m/>
    <m/>
  </r>
  <r>
    <n v="0"/>
    <s v="CMS M.60.10.000"/>
    <s v="TUBULAÇÃO"/>
    <n v="11"/>
    <s v="SPOOL"/>
    <s v="6 X 4"/>
    <s v="NÃO"/>
    <s v="NÃO"/>
    <s v="NÃO"/>
    <s v="145A-PG-6¨-L1H-878"/>
    <s v="START UP III"/>
    <s v="DISPOSIÇÃO DE REJEITOS LINHA DO CIRCUITO ULTRAFINO DISTRIBUIDOR DI-145A-9904 PARA A PENEIRA PN-145A-9702"/>
    <m/>
    <m/>
    <m/>
    <s v="1450AA-T-70278_FL09"/>
    <n v="1"/>
    <s v="PÇ"/>
    <n v="2.1349999999999998"/>
    <n v="2.1349999999999998"/>
    <n v="0"/>
    <n v="0"/>
    <n v="0"/>
    <n v="0.9"/>
    <n v="0.1"/>
    <m/>
    <m/>
    <m/>
    <n v="0"/>
    <m/>
    <n v="0"/>
    <n v="2.1349999999999998"/>
    <m/>
    <n v="0.4"/>
    <n v="0.5"/>
    <n v="0.1"/>
    <m/>
    <m/>
    <m/>
    <n v="0"/>
    <n v="0"/>
    <n v="0"/>
    <n v="0"/>
    <m/>
    <m/>
  </r>
  <r>
    <n v="0"/>
    <s v="CMS M.60.10.000"/>
    <s v="TUBULAÇÃO"/>
    <n v="12"/>
    <s v="FLANGE"/>
    <n v="4"/>
    <s v="NÃO"/>
    <s v="NÃO"/>
    <s v="NÃO"/>
    <s v="145A-PG-6¨-L1H-878"/>
    <s v="START UP III"/>
    <s v="DISPOSIÇÃO DE REJEITOS LINHA DO CIRCUITO ULTRAFINO DISTRIBUIDOR DI-145A-9904 PARA A PENEIRA PN-145A-9702"/>
    <m/>
    <m/>
    <m/>
    <s v="1450AA-T-70278_FL03"/>
    <n v="2"/>
    <s v="PÇ"/>
    <n v="0"/>
    <n v="0"/>
    <n v="0"/>
    <n v="0"/>
    <n v="0"/>
    <n v="0.9"/>
    <n v="0.1"/>
    <m/>
    <m/>
    <m/>
    <n v="0"/>
    <m/>
    <n v="0"/>
    <n v="0"/>
    <m/>
    <n v="0.4"/>
    <n v="0.5"/>
    <n v="0.1"/>
    <m/>
    <m/>
    <m/>
    <n v="0"/>
    <n v="0"/>
    <n v="0"/>
    <n v="0"/>
    <m/>
    <m/>
  </r>
  <r>
    <s v="2.4.3.1.1"/>
    <s v="CMS M.60.10.000"/>
    <s v="TUBULAÇÃO"/>
    <n v="1"/>
    <s v="CURVA"/>
    <n v="6"/>
    <s v="NÃO"/>
    <s v="NÃO"/>
    <s v="NÃO"/>
    <s v="145A-PG-6¨-L1H-880"/>
    <s v="START UP III"/>
    <s v="DISPOSIÇÃO DE REJEITOS LINHA DO CIRCUITO ULTRAFINO DISTRIBUIDOR DI-145A-9904 PARA A PENEIRA PN-145A-9703"/>
    <m/>
    <m/>
    <m/>
    <s v="1450AA-T-70280_FL15"/>
    <n v="2"/>
    <s v="PÇ"/>
    <n v="0.46500000000000002"/>
    <n v="0.93"/>
    <n v="1169.77"/>
    <n v="1087.8860999999999"/>
    <n v="0"/>
    <n v="0.9"/>
    <n v="0.1"/>
    <m/>
    <m/>
    <m/>
    <n v="0"/>
    <m/>
    <n v="0"/>
    <n v="0.93"/>
    <m/>
    <n v="0.4"/>
    <n v="0.5"/>
    <n v="0.1"/>
    <m/>
    <m/>
    <m/>
    <n v="0"/>
    <n v="0"/>
    <n v="0"/>
    <n v="1087.8860999999999"/>
    <m/>
    <m/>
  </r>
  <r>
    <s v="2.4.3.1.1"/>
    <s v="CMS M.60.10.000"/>
    <s v="TUBULAÇÃO"/>
    <n v="2"/>
    <s v="SPOOL"/>
    <n v="6"/>
    <s v="NÃO"/>
    <s v="NÃO"/>
    <s v="NÃO"/>
    <s v="145A-PG-6¨-L1H-880"/>
    <s v="START UP III"/>
    <s v="DISPOSIÇÃO DE REJEITOS LINHA DO CIRCUITO ULTRAFINO DISTRIBUIDOR DI-145A-9904 PARA A PENEIRA PN-145A-9703"/>
    <m/>
    <m/>
    <m/>
    <s v="1450AA-T-70280_FL17"/>
    <n v="2"/>
    <s v="PÇ"/>
    <n v="1.6220000000000001"/>
    <n v="3.2440000000000002"/>
    <n v="1169.77"/>
    <n v="3794.7338800000002"/>
    <n v="0"/>
    <n v="0.9"/>
    <n v="0.1"/>
    <m/>
    <m/>
    <m/>
    <n v="0"/>
    <m/>
    <n v="0"/>
    <n v="3.2440000000000002"/>
    <m/>
    <n v="0.4"/>
    <n v="0.5"/>
    <n v="0.1"/>
    <m/>
    <m/>
    <m/>
    <n v="0"/>
    <n v="0"/>
    <n v="0"/>
    <n v="3794.7338800000002"/>
    <m/>
    <m/>
  </r>
  <r>
    <s v="2.4.3.1.1"/>
    <s v="CMS M.60.10.000"/>
    <s v="TUBULAÇÃO"/>
    <n v="3"/>
    <s v="CURVA"/>
    <n v="6"/>
    <s v="NÃO"/>
    <s v="NÃO"/>
    <s v="NÃO"/>
    <s v="145A-PG-6¨-L1H-880"/>
    <s v="START UP III"/>
    <s v="DISPOSIÇÃO DE REJEITOS LINHA DO CIRCUITO ULTRAFINO DISTRIBUIDOR DI-145A-9904 PARA A PENEIRA PN-145A-9703"/>
    <m/>
    <m/>
    <m/>
    <s v="1450AA-T-70280_FL12"/>
    <n v="1"/>
    <s v="PÇ"/>
    <n v="0.39500000000000002"/>
    <n v="0.39500000000000002"/>
    <n v="1169.77"/>
    <n v="462.05914999999999"/>
    <n v="0"/>
    <n v="0.9"/>
    <n v="0.1"/>
    <m/>
    <m/>
    <m/>
    <n v="0"/>
    <m/>
    <n v="0"/>
    <n v="0.39500000000000002"/>
    <m/>
    <n v="0.4"/>
    <n v="0.5"/>
    <n v="0.1"/>
    <m/>
    <m/>
    <m/>
    <n v="0"/>
    <n v="0"/>
    <n v="0"/>
    <n v="462.05914999999999"/>
    <m/>
    <m/>
  </r>
  <r>
    <s v="2.4.3.1.1"/>
    <s v="CMS M.60.10.000"/>
    <s v="TUBULAÇÃO"/>
    <n v="4"/>
    <s v="SPOOL"/>
    <n v="6"/>
    <s v="SIM"/>
    <s v="NÃO"/>
    <s v="NÃO"/>
    <s v="145A-PG-6¨-L1H-880"/>
    <s v="START UP III"/>
    <s v="DISPOSIÇÃO DE REJEITOS LINHA DO CIRCUITO ULTRAFINO DISTRIBUIDOR DI-145A-9904 PARA A PENEIRA PN-145A-9703"/>
    <m/>
    <m/>
    <m/>
    <s v="1450AA-T-70280_FL21"/>
    <n v="1"/>
    <s v="PÇ"/>
    <n v="0.4"/>
    <n v="0.4"/>
    <n v="1169.77"/>
    <n v="467.90800000000002"/>
    <n v="0"/>
    <n v="0.9"/>
    <n v="0.1"/>
    <m/>
    <m/>
    <m/>
    <n v="0"/>
    <m/>
    <n v="0"/>
    <n v="0.4"/>
    <m/>
    <n v="0.4"/>
    <n v="0.5"/>
    <n v="0.1"/>
    <m/>
    <m/>
    <m/>
    <n v="0"/>
    <n v="0"/>
    <n v="0"/>
    <n v="467.90800000000002"/>
    <m/>
    <m/>
  </r>
  <r>
    <s v="2.4.3.1.1"/>
    <s v="CMS M.60.10.000"/>
    <s v="TUBULAÇÃO"/>
    <n v="5"/>
    <s v="SPOOL"/>
    <n v="6"/>
    <s v="NÃO"/>
    <s v="NÃO"/>
    <s v="NÃO"/>
    <s v="145A-PG-6¨-L1H-880"/>
    <s v="START UP III"/>
    <s v="DISPOSIÇÃO DE REJEITOS LINHA DO CIRCUITO ULTRAFINO DISTRIBUIDOR DI-145A-9904 PARA A PENEIRA PN-145A-9703"/>
    <m/>
    <m/>
    <m/>
    <s v="1450AA-T-70280_FL19"/>
    <n v="2"/>
    <s v="PÇ"/>
    <n v="3"/>
    <n v="6"/>
    <n v="1169.77"/>
    <n v="7018.62"/>
    <n v="0"/>
    <n v="0.9"/>
    <n v="0.1"/>
    <m/>
    <m/>
    <m/>
    <n v="0"/>
    <m/>
    <n v="0"/>
    <n v="6"/>
    <m/>
    <n v="0.4"/>
    <n v="0.5"/>
    <n v="0.1"/>
    <m/>
    <m/>
    <m/>
    <n v="0"/>
    <n v="0"/>
    <n v="0"/>
    <n v="7018.62"/>
    <m/>
    <m/>
  </r>
  <r>
    <s v="2.4.3.1.1"/>
    <s v="CMS M.60.10.000"/>
    <s v="TUBULAÇÃO"/>
    <n v="6"/>
    <s v="SPOOL"/>
    <n v="6"/>
    <s v="SIM"/>
    <s v="NÃO"/>
    <s v="NÃO"/>
    <s v="145A-PG-6¨-L1H-880"/>
    <s v="START UP III"/>
    <s v="DISPOSIÇÃO DE REJEITOS LINHA DO CIRCUITO ULTRAFINO DISTRIBUIDOR DI-145A-9904 PARA A PENEIRA PN-145A-9703"/>
    <m/>
    <m/>
    <m/>
    <s v="1450AA-T-70280_FL22"/>
    <n v="1"/>
    <s v="PÇ"/>
    <n v="0.55000000000000004"/>
    <n v="0.55000000000000004"/>
    <n v="1169.77"/>
    <n v="643.37350000000004"/>
    <n v="0"/>
    <n v="0.9"/>
    <n v="0.1"/>
    <m/>
    <m/>
    <m/>
    <n v="0"/>
    <m/>
    <n v="0"/>
    <n v="0.55000000000000004"/>
    <m/>
    <n v="0.4"/>
    <n v="0.5"/>
    <n v="0.1"/>
    <m/>
    <m/>
    <m/>
    <n v="0"/>
    <n v="0"/>
    <n v="0"/>
    <n v="643.37350000000004"/>
    <m/>
    <m/>
  </r>
  <r>
    <s v="2.4.3.1.1"/>
    <s v="CMS M.60.10.000"/>
    <s v="TUBULAÇÃO"/>
    <n v="7"/>
    <s v="CURVA"/>
    <n v="6"/>
    <s v="NÃO"/>
    <s v="NÃO"/>
    <s v="NÃO"/>
    <s v="145A-PG-6¨-L1H-880"/>
    <s v="START UP III"/>
    <s v="DISPOSIÇÃO DE REJEITOS LINHA DO CIRCUITO ULTRAFINO DISTRIBUIDOR DI-145A-9904 PARA A PENEIRA PN-145A-9703"/>
    <m/>
    <m/>
    <m/>
    <s v="1450AA-T-70280_FL14"/>
    <n v="1"/>
    <s v="PÇ"/>
    <n v="0.42"/>
    <n v="0.42"/>
    <n v="1169.77"/>
    <n v="491.30339999999995"/>
    <n v="0"/>
    <n v="0.9"/>
    <n v="0.1"/>
    <m/>
    <m/>
    <m/>
    <n v="0"/>
    <m/>
    <n v="0"/>
    <n v="0.42"/>
    <m/>
    <n v="0.4"/>
    <n v="0.5"/>
    <n v="0.1"/>
    <m/>
    <m/>
    <m/>
    <n v="0"/>
    <n v="0"/>
    <n v="0"/>
    <n v="491.30339999999995"/>
    <m/>
    <m/>
  </r>
  <r>
    <s v="2.4.3.1.1"/>
    <s v="CMS M.60.10.000"/>
    <s v="TUBULAÇÃO"/>
    <n v="8"/>
    <s v="SPOOL"/>
    <n v="6"/>
    <s v="NÃO"/>
    <s v="NÃO"/>
    <s v="NÃO"/>
    <s v="145A-PG-6¨-L1H-880"/>
    <s v="START UP III"/>
    <s v="DISPOSIÇÃO DE REJEITOS LINHA DO CIRCUITO ULTRAFINO DISTRIBUIDOR DI-145A-9904 PARA A PENEIRA PN-145A-9703"/>
    <m/>
    <m/>
    <m/>
    <s v="1450AA-T-70280_FL18"/>
    <n v="1"/>
    <s v="PÇ"/>
    <n v="1.93"/>
    <n v="1.93"/>
    <n v="1169.77"/>
    <n v="2257.6560999999997"/>
    <n v="0"/>
    <n v="0.9"/>
    <n v="0.1"/>
    <m/>
    <m/>
    <m/>
    <n v="0"/>
    <m/>
    <n v="0"/>
    <n v="1.93"/>
    <m/>
    <n v="0.4"/>
    <n v="0.5"/>
    <n v="0.1"/>
    <m/>
    <m/>
    <m/>
    <n v="0"/>
    <n v="0"/>
    <n v="0"/>
    <n v="2257.6560999999997"/>
    <m/>
    <m/>
  </r>
  <r>
    <s v="2.4.3.1.1"/>
    <s v="CMS M.60.10.000"/>
    <s v="TUBULAÇÃO"/>
    <n v="9"/>
    <s v="CURVA"/>
    <n v="6"/>
    <s v="NÃO"/>
    <s v="NÃO"/>
    <s v="NÃO"/>
    <s v="145A-PG-6¨-L1H-880"/>
    <s v="START UP III"/>
    <s v="DISPOSIÇÃO DE REJEITOS LINHA DO CIRCUITO ULTRAFINO DISTRIBUIDOR DI-145A-9904 PARA A PENEIRA PN-145A-9703"/>
    <m/>
    <m/>
    <m/>
    <s v="1450AA-T-70280_FL13"/>
    <n v="1"/>
    <s v="PÇ"/>
    <n v="0.51200000000000001"/>
    <n v="0.51200000000000001"/>
    <n v="1169.77"/>
    <n v="598.92223999999999"/>
    <n v="0"/>
    <n v="0.9"/>
    <n v="0.1"/>
    <m/>
    <m/>
    <m/>
    <n v="0"/>
    <m/>
    <n v="0"/>
    <n v="0.51200000000000001"/>
    <m/>
    <n v="0.4"/>
    <n v="0.5"/>
    <n v="0.1"/>
    <m/>
    <m/>
    <m/>
    <n v="0"/>
    <n v="0"/>
    <n v="0"/>
    <n v="598.92223999999999"/>
    <m/>
    <m/>
  </r>
  <r>
    <s v="2.4.3.1.1"/>
    <s v="CMS M.60.10.000"/>
    <s v="TUBULAÇÃO"/>
    <n v="10"/>
    <s v="SPOOL"/>
    <n v="6"/>
    <s v="NÃO"/>
    <s v="NÃO"/>
    <s v="NÃO"/>
    <s v="145A-PG-6¨-L1H-880"/>
    <s v="START UP III"/>
    <s v="DISPOSIÇÃO DE REJEITOS LINHA DO CIRCUITO ULTRAFINO DISTRIBUIDOR DI-145A-9904 PARA A PENEIRA PN-145A-9703"/>
    <m/>
    <m/>
    <m/>
    <s v="1450AA-T-70280_FL16"/>
    <n v="1"/>
    <s v="PÇ"/>
    <n v="1.351"/>
    <n v="1.351"/>
    <n v="1169.77"/>
    <n v="1580.3592699999999"/>
    <n v="0"/>
    <n v="0.9"/>
    <n v="0.1"/>
    <m/>
    <m/>
    <m/>
    <n v="0"/>
    <m/>
    <n v="0"/>
    <n v="1.351"/>
    <m/>
    <n v="0.4"/>
    <n v="0.5"/>
    <n v="0.1"/>
    <m/>
    <m/>
    <m/>
    <n v="0"/>
    <n v="0"/>
    <n v="0"/>
    <n v="1580.3592699999999"/>
    <m/>
    <m/>
  </r>
  <r>
    <s v="2.4.3.1.1"/>
    <s v="CMS M.60.10.000"/>
    <s v="TUBULAÇÃO"/>
    <n v="11"/>
    <s v="SPOOL"/>
    <n v="6"/>
    <s v="NÃO"/>
    <s v="NÃO"/>
    <s v="NÃO"/>
    <s v="145A-PG-6¨-L1H-880"/>
    <s v="START UP III"/>
    <s v="DISPOSIÇÃO DE REJEITOS LINHA DO CIRCUITO ULTRAFINO DISTRIBUIDOR DI-145A-9904 PARA A PENEIRA PN-145A-9703"/>
    <m/>
    <m/>
    <m/>
    <s v="1450AA-T-70280_FL11"/>
    <n v="1"/>
    <s v="PÇ"/>
    <n v="0.82"/>
    <n v="0.82"/>
    <n v="1169.77"/>
    <n v="959.21139999999991"/>
    <n v="0"/>
    <n v="0.9"/>
    <n v="0.1"/>
    <m/>
    <m/>
    <m/>
    <n v="0"/>
    <m/>
    <n v="0"/>
    <n v="0.82"/>
    <m/>
    <n v="0.4"/>
    <n v="0.5"/>
    <n v="0.1"/>
    <m/>
    <m/>
    <m/>
    <n v="0"/>
    <n v="0"/>
    <n v="0"/>
    <n v="959.21139999999991"/>
    <m/>
    <m/>
  </r>
  <r>
    <s v="2.4.3.1.1"/>
    <s v="CMS M.60.10.000"/>
    <s v="TUBULAÇÃO"/>
    <n v="12"/>
    <s v="SPOOL"/>
    <n v="6"/>
    <s v="SIM"/>
    <s v="NÃO"/>
    <s v="NÃO"/>
    <s v="145A-PG-6¨-L1H-880"/>
    <s v="START UP III"/>
    <s v="DISPOSIÇÃO DE REJEITOS LINHA DO CIRCUITO ULTRAFINO DISTRIBUIDOR DI-145A-9904 PARA A PENEIRA PN-145A-9703"/>
    <m/>
    <m/>
    <m/>
    <s v="1450AA-T-70280_FL20"/>
    <n v="1"/>
    <s v="PÇ"/>
    <n v="0.35"/>
    <n v="0.35"/>
    <n v="1169.77"/>
    <n v="409.41949999999997"/>
    <n v="0"/>
    <n v="0.9"/>
    <n v="0.1"/>
    <m/>
    <m/>
    <m/>
    <n v="0"/>
    <m/>
    <n v="0"/>
    <n v="0.35"/>
    <m/>
    <n v="0.4"/>
    <n v="0.5"/>
    <n v="0.1"/>
    <m/>
    <m/>
    <m/>
    <n v="0"/>
    <n v="0"/>
    <n v="0"/>
    <n v="409.41949999999997"/>
    <m/>
    <m/>
  </r>
  <r>
    <n v="0"/>
    <s v="CMS M.60.10.000"/>
    <s v="TUBULAÇÃO"/>
    <n v="13"/>
    <s v="SPOOL"/>
    <s v="6 X 4"/>
    <s v="NÃO"/>
    <s v="NÃO"/>
    <s v="NÃO"/>
    <s v="145A-PG-6¨-L1H-880"/>
    <s v="START UP III"/>
    <s v="DISPOSIÇÃO DE REJEITOS LINHA DO CIRCUITO ULTRAFINO DISTRIBUIDOR DI-145A-9904 PARA A PENEIRA PN-145A-9703"/>
    <m/>
    <m/>
    <m/>
    <s v="1450AA-T-70280_FL09"/>
    <n v="1"/>
    <s v="PÇ"/>
    <n v="2.1349999999999998"/>
    <n v="2.1349999999999998"/>
    <n v="0"/>
    <n v="0"/>
    <n v="0"/>
    <n v="0.9"/>
    <n v="0.1"/>
    <m/>
    <m/>
    <m/>
    <n v="0"/>
    <m/>
    <n v="0"/>
    <n v="2.1349999999999998"/>
    <m/>
    <n v="0.4"/>
    <n v="0.5"/>
    <n v="0.1"/>
    <m/>
    <m/>
    <m/>
    <n v="0"/>
    <n v="0"/>
    <n v="0"/>
    <n v="0"/>
    <m/>
    <m/>
  </r>
  <r>
    <n v="0"/>
    <s v="CMS M.60.10.000"/>
    <s v="TUBULAÇÃO"/>
    <n v="14"/>
    <s v="FLANGE"/>
    <n v="4"/>
    <s v="NÃO"/>
    <s v="NÃO"/>
    <s v="NÃO"/>
    <s v="145A-PG-6¨-L1H-880"/>
    <s v="START UP III"/>
    <s v="DISPOSIÇÃO DE REJEITOS LINHA DO CIRCUITO ULTRAFINO DISTRIBUIDOR DI-145A-9904 PARA A PENEIRA PN-145A-9703"/>
    <m/>
    <m/>
    <m/>
    <s v="1450AA-T-70280_FL03"/>
    <n v="2"/>
    <s v="PÇ"/>
    <n v="0"/>
    <n v="0"/>
    <n v="0"/>
    <n v="0"/>
    <n v="0"/>
    <n v="0.9"/>
    <n v="0.1"/>
    <m/>
    <m/>
    <m/>
    <n v="0"/>
    <m/>
    <n v="0"/>
    <n v="0"/>
    <m/>
    <n v="0.4"/>
    <n v="0.5"/>
    <n v="0.1"/>
    <m/>
    <m/>
    <m/>
    <n v="0"/>
    <n v="0"/>
    <n v="0"/>
    <n v="0"/>
    <m/>
    <m/>
  </r>
  <r>
    <s v="2.4.3.1.1"/>
    <s v="CMS M.60.10.000"/>
    <s v="TUBULAÇÃO"/>
    <n v="1"/>
    <s v="SPOOL"/>
    <n v="6"/>
    <s v="NÃO"/>
    <s v="NÃO"/>
    <s v="NÃO"/>
    <s v="145A-PG-6¨-L1H-883"/>
    <s v="START UP III"/>
    <s v="DISPOSIÇÃO DE REJEITOS LINHA DO CIRCUITO ULTRAFINO DISTRIBUIDOR DI-145A-9905 PARA A PENEIRA PN-145A-9724"/>
    <m/>
    <m/>
    <m/>
    <s v="1450AA-T-70283_FL12"/>
    <n v="3"/>
    <s v="PÇ"/>
    <n v="2"/>
    <n v="6"/>
    <n v="1169.77"/>
    <n v="7018.62"/>
    <n v="0"/>
    <n v="0.9"/>
    <n v="0.1"/>
    <m/>
    <m/>
    <m/>
    <n v="0"/>
    <m/>
    <n v="0"/>
    <n v="6"/>
    <m/>
    <n v="0.4"/>
    <n v="0.5"/>
    <n v="0.1"/>
    <m/>
    <m/>
    <m/>
    <n v="0"/>
    <n v="0"/>
    <n v="0"/>
    <n v="7018.62"/>
    <m/>
    <m/>
  </r>
  <r>
    <s v="2.4.3.1.1"/>
    <s v="CMS M.60.10.000"/>
    <s v="TUBULAÇÃO"/>
    <n v="2"/>
    <s v="SPOOL"/>
    <n v="6"/>
    <s v="NÃO"/>
    <s v="NÃO"/>
    <s v="NÃO"/>
    <s v="145A-PG-6¨-L1H-883"/>
    <s v="START UP III"/>
    <s v="DISPOSIÇÃO DE REJEITOS LINHA DO CIRCUITO ULTRAFINO DISTRIBUIDOR DI-145A-9905 PARA A PENEIRA PN-145A-9724"/>
    <m/>
    <m/>
    <m/>
    <s v="1450AA-T-70283_FL11"/>
    <n v="1"/>
    <s v="PÇ"/>
    <n v="1.5"/>
    <n v="1.5"/>
    <n v="1169.77"/>
    <n v="1754.655"/>
    <n v="0"/>
    <n v="0.9"/>
    <n v="0.1"/>
    <m/>
    <m/>
    <m/>
    <n v="0"/>
    <m/>
    <n v="0"/>
    <n v="1.5"/>
    <m/>
    <n v="0.4"/>
    <n v="0.5"/>
    <n v="0.1"/>
    <m/>
    <m/>
    <m/>
    <n v="0"/>
    <n v="0"/>
    <n v="0"/>
    <n v="1754.655"/>
    <m/>
    <m/>
  </r>
  <r>
    <s v="2.4.3.1.1"/>
    <s v="CMS M.60.10.000"/>
    <s v="TUBULAÇÃO"/>
    <n v="3"/>
    <s v="SPOOL"/>
    <n v="6"/>
    <s v="NÃO"/>
    <s v="NÃO"/>
    <s v="NÃO"/>
    <s v="145A-PG-6¨-L1H-883"/>
    <s v="START UP III"/>
    <s v="DISPOSIÇÃO DE REJEITOS LINHA DO CIRCUITO ULTRAFINO DISTRIBUIDOR DI-145A-9905 PARA A PENEIRA PN-145A-9724"/>
    <m/>
    <m/>
    <m/>
    <s v="1450AA-T-70283_FL10"/>
    <n v="1"/>
    <s v="PÇ"/>
    <n v="0.75"/>
    <n v="0.75"/>
    <n v="1169.77"/>
    <n v="877.32749999999999"/>
    <n v="0"/>
    <n v="0.9"/>
    <n v="0.1"/>
    <m/>
    <m/>
    <m/>
    <n v="0"/>
    <m/>
    <n v="0"/>
    <n v="0.75"/>
    <m/>
    <n v="0.4"/>
    <n v="0.5"/>
    <n v="0.1"/>
    <m/>
    <m/>
    <m/>
    <n v="0"/>
    <n v="0"/>
    <n v="0"/>
    <n v="877.32749999999999"/>
    <m/>
    <m/>
  </r>
  <r>
    <s v="2.4.3.1.1"/>
    <s v="CMS M.60.10.000"/>
    <s v="TUBULAÇÃO"/>
    <n v="4"/>
    <s v="SPOOL"/>
    <n v="6"/>
    <s v="SIM"/>
    <s v="NÃO"/>
    <s v="NÃO"/>
    <s v="145A-PG-6¨-L1H-883"/>
    <s v="START UP III"/>
    <s v="DISPOSIÇÃO DE REJEITOS LINHA DO CIRCUITO ULTRAFINO DISTRIBUIDOR DI-145A-9905 PARA A PENEIRA PN-145A-9724"/>
    <m/>
    <m/>
    <m/>
    <s v="1450AA-T-70283_FL15"/>
    <n v="1"/>
    <s v="PÇ"/>
    <n v="0.52"/>
    <n v="0.52"/>
    <n v="1169.77"/>
    <n v="608.28039999999999"/>
    <n v="0"/>
    <n v="0.9"/>
    <n v="0.1"/>
    <m/>
    <m/>
    <m/>
    <n v="0"/>
    <m/>
    <n v="0"/>
    <n v="0.52"/>
    <m/>
    <n v="0.4"/>
    <n v="0.5"/>
    <n v="0.1"/>
    <m/>
    <m/>
    <m/>
    <n v="0"/>
    <n v="0"/>
    <n v="0"/>
    <n v="608.28039999999999"/>
    <m/>
    <m/>
  </r>
  <r>
    <s v="2.4.3.1.1"/>
    <s v="CMS M.60.10.000"/>
    <s v="TUBULAÇÃO"/>
    <n v="5"/>
    <s v="SPOOL"/>
    <n v="6"/>
    <s v="SIM"/>
    <s v="NÃO"/>
    <s v="NÃO"/>
    <s v="145A-PG-6¨-L1H-883"/>
    <s v="START UP III"/>
    <s v="DISPOSIÇÃO DE REJEITOS LINHA DO CIRCUITO ULTRAFINO DISTRIBUIDOR DI-145A-9905 PARA A PENEIRA PN-145A-9724"/>
    <m/>
    <m/>
    <m/>
    <s v="1450AA-T-70283_FL14"/>
    <n v="1"/>
    <s v="PÇ"/>
    <n v="0.34"/>
    <n v="0.34"/>
    <n v="1169.77"/>
    <n v="397.72180000000003"/>
    <n v="0"/>
    <n v="0.9"/>
    <n v="0.1"/>
    <m/>
    <m/>
    <m/>
    <n v="0"/>
    <m/>
    <n v="0"/>
    <n v="0.34"/>
    <m/>
    <n v="0.4"/>
    <n v="0.5"/>
    <n v="0.1"/>
    <m/>
    <m/>
    <m/>
    <n v="0"/>
    <n v="0"/>
    <n v="0"/>
    <n v="397.72180000000003"/>
    <m/>
    <m/>
  </r>
  <r>
    <s v="2.4.3.1.1"/>
    <s v="CMS M.60.10.000"/>
    <s v="TUBULAÇÃO"/>
    <n v="6"/>
    <s v="SPOOL"/>
    <n v="6"/>
    <s v="SIM"/>
    <s v="NÃO"/>
    <s v="NÃO"/>
    <s v="145A-PG-6¨-L1H-883"/>
    <s v="START UP III"/>
    <s v="DISPOSIÇÃO DE REJEITOS LINHA DO CIRCUITO ULTRAFINO DISTRIBUIDOR DI-145A-9905 PARA A PENEIRA PN-145A-9724"/>
    <m/>
    <m/>
    <m/>
    <s v="1450AA-T-70283_FL13"/>
    <n v="1"/>
    <s v="PÇ"/>
    <n v="0.31"/>
    <n v="0.31"/>
    <n v="1169.77"/>
    <n v="362.62869999999998"/>
    <n v="0"/>
    <n v="0.9"/>
    <n v="0.1"/>
    <m/>
    <m/>
    <m/>
    <n v="0"/>
    <m/>
    <n v="0"/>
    <n v="0.31"/>
    <m/>
    <n v="0.4"/>
    <n v="0.5"/>
    <n v="0.1"/>
    <m/>
    <m/>
    <m/>
    <n v="0"/>
    <n v="0"/>
    <n v="0"/>
    <n v="362.62869999999998"/>
    <m/>
    <m/>
  </r>
  <r>
    <s v="2.4.3.1.1"/>
    <s v="CMS M.60.10.000"/>
    <s v="TUBULAÇÃO"/>
    <n v="7"/>
    <s v="SPOOL"/>
    <n v="6"/>
    <s v="NÃO"/>
    <s v="NÃO"/>
    <s v="NÃO"/>
    <s v="145A-PG-6¨-L1H-883"/>
    <s v="START UP III"/>
    <s v="DISPOSIÇÃO DE REJEITOS LINHA DO CIRCUITO ULTRAFINO DISTRIBUIDOR DI-145A-9905 PARA A PENEIRA PN-145A-9724"/>
    <m/>
    <m/>
    <m/>
    <s v="1450AA-T-70283_FL09"/>
    <n v="2"/>
    <s v="PÇ"/>
    <n v="0.3"/>
    <n v="0.6"/>
    <n v="1169.77"/>
    <n v="701.86199999999997"/>
    <n v="0"/>
    <n v="0.9"/>
    <n v="0.1"/>
    <m/>
    <m/>
    <m/>
    <n v="0"/>
    <m/>
    <n v="0"/>
    <n v="0.6"/>
    <m/>
    <n v="0.4"/>
    <n v="0.5"/>
    <n v="0.1"/>
    <m/>
    <m/>
    <m/>
    <n v="0"/>
    <n v="0"/>
    <n v="0"/>
    <n v="701.86199999999997"/>
    <m/>
    <m/>
  </r>
  <r>
    <s v="2.4.3.1.1"/>
    <s v="CMS M.60.10.000"/>
    <s v="TUBULAÇÃO"/>
    <n v="8"/>
    <s v="CURVA"/>
    <n v="6"/>
    <s v="NÃO"/>
    <s v="NÃO"/>
    <s v="NÃO"/>
    <s v="145A-PG-6¨-L1H-883"/>
    <s v="START UP III"/>
    <s v="DISPOSIÇÃO DE REJEITOS LINHA DO CIRCUITO ULTRAFINO DISTRIBUIDOR DI-145A-9905 PARA A PENEIRA PN-145A-9724"/>
    <m/>
    <m/>
    <m/>
    <s v="1450AA-T-70283_FL18"/>
    <n v="3"/>
    <s v="PÇ"/>
    <n v="0.46500000000000002"/>
    <n v="1.395"/>
    <n v="1169.77"/>
    <n v="1631.82915"/>
    <n v="0"/>
    <n v="0.9"/>
    <n v="0.1"/>
    <m/>
    <m/>
    <m/>
    <n v="0"/>
    <m/>
    <n v="0"/>
    <n v="1.395"/>
    <m/>
    <n v="0.4"/>
    <n v="0.5"/>
    <n v="0.1"/>
    <m/>
    <m/>
    <m/>
    <n v="0"/>
    <n v="0"/>
    <n v="0"/>
    <n v="1631.82915"/>
    <m/>
    <m/>
  </r>
  <r>
    <s v="2.4.3.1.1"/>
    <s v="CMS M.60.10.000"/>
    <s v="TUBULAÇÃO"/>
    <n v="9"/>
    <s v="CURVA"/>
    <n v="6"/>
    <s v="NÃO"/>
    <s v="NÃO"/>
    <s v="NÃO"/>
    <s v="145A-PG-6¨-L1H-883"/>
    <s v="START UP III"/>
    <s v="DISPOSIÇÃO DE REJEITOS LINHA DO CIRCUITO ULTRAFINO DISTRIBUIDOR DI-145A-9905 PARA A PENEIRA PN-145A-9724"/>
    <m/>
    <m/>
    <m/>
    <s v="1450AA-T-70283_FL17"/>
    <n v="1"/>
    <s v="PÇ"/>
    <n v="0.315"/>
    <n v="0.315"/>
    <n v="1169.77"/>
    <n v="368.47755000000001"/>
    <n v="0"/>
    <n v="0.9"/>
    <n v="0.1"/>
    <m/>
    <m/>
    <m/>
    <n v="0"/>
    <m/>
    <n v="0"/>
    <n v="0.315"/>
    <m/>
    <n v="0.4"/>
    <n v="0.5"/>
    <n v="0.1"/>
    <m/>
    <m/>
    <m/>
    <n v="0"/>
    <n v="0"/>
    <n v="0"/>
    <n v="368.47755000000001"/>
    <m/>
    <m/>
  </r>
  <r>
    <s v="2.4.3.1.1"/>
    <s v="CMS M.60.10.000"/>
    <s v="TUBULAÇÃO"/>
    <n v="10"/>
    <s v="CURVA"/>
    <n v="6"/>
    <s v="NÃO"/>
    <s v="NÃO"/>
    <s v="NÃO"/>
    <s v="145A-PG-6¨-L1H-883"/>
    <s v="START UP III"/>
    <s v="DISPOSIÇÃO DE REJEITOS LINHA DO CIRCUITO ULTRAFINO DISTRIBUIDOR DI-145A-9905 PARA A PENEIRA PN-145A-9724"/>
    <m/>
    <m/>
    <m/>
    <s v="1450AA-T-70283_FL16"/>
    <n v="1"/>
    <s v="PÇ"/>
    <n v="0.23499999999999999"/>
    <n v="0.23499999999999999"/>
    <n v="1169.77"/>
    <n v="274.89594999999997"/>
    <n v="0"/>
    <n v="0.9"/>
    <n v="0.1"/>
    <m/>
    <m/>
    <m/>
    <n v="0"/>
    <m/>
    <n v="0"/>
    <n v="0.23499999999999999"/>
    <m/>
    <n v="0.4"/>
    <n v="0.5"/>
    <n v="0.1"/>
    <m/>
    <m/>
    <m/>
    <n v="0"/>
    <n v="0"/>
    <n v="0"/>
    <n v="274.89594999999997"/>
    <m/>
    <m/>
  </r>
  <r>
    <n v="0"/>
    <s v="CMS M.60.10.000"/>
    <s v="TUBULAÇÃO"/>
    <n v="11"/>
    <s v="SPOOL"/>
    <s v="6 X 4"/>
    <s v="NÃO"/>
    <s v="NÃO"/>
    <s v="NÃO"/>
    <s v="145A-PG-6¨-L1H-883"/>
    <s v="START UP III"/>
    <s v="DISPOSIÇÃO DE REJEITOS LINHA DO CIRCUITO ULTRAFINO DISTRIBUIDOR DI-145A-9905 PARA A PENEIRA PN-145A-9724"/>
    <m/>
    <m/>
    <m/>
    <s v="1450AA-T-70283_FL19"/>
    <n v="1"/>
    <s v="PÇ"/>
    <n v="2.1349999999999998"/>
    <n v="2.1349999999999998"/>
    <n v="0"/>
    <n v="0"/>
    <n v="0"/>
    <n v="0.9"/>
    <n v="0.1"/>
    <m/>
    <m/>
    <m/>
    <n v="0"/>
    <m/>
    <n v="0"/>
    <n v="2.1349999999999998"/>
    <m/>
    <n v="0.4"/>
    <n v="0.5"/>
    <n v="0.1"/>
    <m/>
    <m/>
    <m/>
    <n v="0"/>
    <n v="0"/>
    <n v="0"/>
    <n v="0"/>
    <m/>
    <m/>
  </r>
  <r>
    <n v="0"/>
    <s v="CMS M.60.10.000"/>
    <s v="TUBULAÇÃO"/>
    <n v="12"/>
    <s v="FLANGE"/>
    <n v="4"/>
    <s v="NÃO"/>
    <s v="NÃO"/>
    <s v="NÃO"/>
    <s v="145A-PG-6¨-L1H-883"/>
    <s v="START UP III"/>
    <s v="DISPOSIÇÃO DE REJEITOS LINHA DO CIRCUITO ULTRAFINO DISTRIBUIDOR DI-145A-9905 PARA A PENEIRA PN-145A-9724"/>
    <m/>
    <m/>
    <m/>
    <s v="1450AA-T-70283_FL03"/>
    <n v="2"/>
    <s v="PÇ"/>
    <n v="0"/>
    <n v="0"/>
    <n v="0"/>
    <n v="0"/>
    <n v="0"/>
    <n v="0.9"/>
    <n v="0.1"/>
    <m/>
    <m/>
    <m/>
    <n v="0"/>
    <m/>
    <n v="0"/>
    <n v="0"/>
    <m/>
    <n v="0.4"/>
    <n v="0.5"/>
    <n v="0.1"/>
    <m/>
    <m/>
    <m/>
    <n v="0"/>
    <n v="0"/>
    <n v="0"/>
    <n v="0"/>
    <m/>
    <m/>
  </r>
  <r>
    <s v="2.4.3.1.1"/>
    <s v="CMS M.60.10.000"/>
    <s v="TUBULAÇÃO"/>
    <n v="1"/>
    <s v="SPOOL"/>
    <n v="6"/>
    <s v="NÃO"/>
    <s v="NÃO"/>
    <s v="NÃO"/>
    <s v="145A-PG-6¨-L1H-885"/>
    <s v="START UP III"/>
    <s v="DISPOSIÇÃO DE REJEITOS LINHA DO CIRCUITO ULTRAFINO DISTRIBUIDOR DI-145A-9905 PARA A PENEIRA PN-145A-9725"/>
    <m/>
    <m/>
    <m/>
    <s v="1450AA-T-70440_FL12"/>
    <n v="1"/>
    <s v="PÇ"/>
    <n v="1.9"/>
    <n v="1.9"/>
    <n v="1169.77"/>
    <n v="2222.5629999999996"/>
    <n v="0"/>
    <n v="0.9"/>
    <n v="0.1"/>
    <m/>
    <m/>
    <m/>
    <n v="0"/>
    <m/>
    <n v="0"/>
    <n v="1.9"/>
    <m/>
    <n v="0.4"/>
    <n v="0.5"/>
    <n v="0.1"/>
    <m/>
    <m/>
    <m/>
    <n v="0"/>
    <n v="0"/>
    <n v="0"/>
    <n v="2222.5629999999996"/>
    <m/>
    <m/>
  </r>
  <r>
    <s v="2.4.3.1.1"/>
    <s v="CMS M.60.10.000"/>
    <s v="TUBULAÇÃO"/>
    <n v="2"/>
    <s v="SPOOL"/>
    <n v="6"/>
    <s v="NÃO"/>
    <s v="NÃO"/>
    <s v="NÃO"/>
    <s v="145A-PG-6¨-L1H-885"/>
    <s v="START UP III"/>
    <s v="DISPOSIÇÃO DE REJEITOS LINHA DO CIRCUITO ULTRAFINO DISTRIBUIDOR DI-145A-9905 PARA A PENEIRA PN-145A-9725"/>
    <m/>
    <m/>
    <m/>
    <s v="1450AA-T-70440_FL11"/>
    <n v="1"/>
    <s v="PÇ"/>
    <n v="1.05"/>
    <n v="1.05"/>
    <n v="1169.77"/>
    <n v="1228.2585000000001"/>
    <n v="0"/>
    <n v="0.9"/>
    <n v="0.1"/>
    <m/>
    <m/>
    <m/>
    <n v="0"/>
    <m/>
    <n v="0"/>
    <n v="1.05"/>
    <m/>
    <n v="0.4"/>
    <n v="0.5"/>
    <n v="0.1"/>
    <m/>
    <m/>
    <m/>
    <n v="0"/>
    <n v="0"/>
    <n v="0"/>
    <n v="1228.2585000000001"/>
    <m/>
    <m/>
  </r>
  <r>
    <s v="2.4.3.1.1"/>
    <s v="CMS M.60.10.000"/>
    <s v="TUBULAÇÃO"/>
    <n v="3"/>
    <s v="SPOOL"/>
    <n v="6"/>
    <s v="NÃO"/>
    <s v="NÃO"/>
    <s v="NÃO"/>
    <s v="145A-PG-6¨-L1H-885"/>
    <s v="START UP III"/>
    <s v="DISPOSIÇÃO DE REJEITOS LINHA DO CIRCUITO ULTRAFINO DISTRIBUIDOR DI-145A-9905 PARA A PENEIRA PN-145A-9725"/>
    <m/>
    <m/>
    <m/>
    <s v="1450AA-T-70440_FL10"/>
    <n v="1"/>
    <s v="PÇ"/>
    <n v="1"/>
    <n v="1"/>
    <n v="1169.77"/>
    <n v="1169.77"/>
    <n v="0"/>
    <n v="0.9"/>
    <n v="0.1"/>
    <m/>
    <m/>
    <m/>
    <n v="0"/>
    <m/>
    <n v="0"/>
    <n v="1"/>
    <m/>
    <n v="0.4"/>
    <n v="0.5"/>
    <n v="0.1"/>
    <m/>
    <m/>
    <m/>
    <n v="0"/>
    <n v="0"/>
    <n v="0"/>
    <n v="1169.77"/>
    <m/>
    <m/>
  </r>
  <r>
    <s v="2.4.3.1.1"/>
    <s v="CMS M.60.10.000"/>
    <s v="TUBULAÇÃO"/>
    <n v="4"/>
    <s v="SPOOL"/>
    <n v="6"/>
    <s v="NÃO"/>
    <s v="NÃO"/>
    <s v="NÃO"/>
    <s v="145A-PG-6¨-L1H-885"/>
    <s v="START UP III"/>
    <s v="DISPOSIÇÃO DE REJEITOS LINHA DO CIRCUITO ULTRAFINO DISTRIBUIDOR DI-145A-9905 PARA A PENEIRA PN-145A-9725"/>
    <m/>
    <m/>
    <m/>
    <s v="1450AA-T-70440_FL09"/>
    <n v="1"/>
    <s v="PÇ"/>
    <n v="0.9"/>
    <n v="0.9"/>
    <n v="1169.77"/>
    <n v="1052.7930000000001"/>
    <n v="0"/>
    <n v="0.9"/>
    <n v="0.1"/>
    <m/>
    <m/>
    <m/>
    <n v="0"/>
    <m/>
    <n v="0"/>
    <n v="0.9"/>
    <m/>
    <n v="0.4"/>
    <n v="0.5"/>
    <n v="0.1"/>
    <m/>
    <m/>
    <m/>
    <n v="0"/>
    <n v="0"/>
    <n v="0"/>
    <n v="1052.7930000000001"/>
    <m/>
    <m/>
  </r>
  <r>
    <s v="2.4.3.1.1"/>
    <s v="CMS M.60.10.000"/>
    <s v="TUBULAÇÃO"/>
    <n v="5"/>
    <s v="SPOOL"/>
    <n v="6"/>
    <s v="SIM"/>
    <s v="NÃO"/>
    <s v="NÃO"/>
    <s v="145A-PG-6¨-L1H-885"/>
    <s v="START UP III"/>
    <s v="DISPOSIÇÃO DE REJEITOS LINHA DO CIRCUITO ULTRAFINO DISTRIBUIDOR DI-145A-9905 PARA A PENEIRA PN-145A-9725"/>
    <m/>
    <m/>
    <m/>
    <s v="1450AA-T-70440_FL14"/>
    <n v="1"/>
    <s v="PÇ"/>
    <n v="0.4"/>
    <n v="0.4"/>
    <n v="1169.77"/>
    <n v="467.90800000000002"/>
    <n v="0"/>
    <n v="0.9"/>
    <n v="0.1"/>
    <m/>
    <m/>
    <m/>
    <n v="0"/>
    <m/>
    <n v="0"/>
    <n v="0.4"/>
    <m/>
    <n v="0.4"/>
    <n v="0.5"/>
    <n v="0.1"/>
    <m/>
    <m/>
    <m/>
    <n v="0"/>
    <n v="0"/>
    <n v="0"/>
    <n v="467.90800000000002"/>
    <m/>
    <m/>
  </r>
  <r>
    <s v="2.4.3.1.1"/>
    <s v="CMS M.60.10.000"/>
    <s v="TUBULAÇÃO"/>
    <n v="6"/>
    <s v="SPOOL"/>
    <n v="6"/>
    <s v="SIM"/>
    <s v="NÃO"/>
    <s v="NÃO"/>
    <s v="145A-PG-6¨-L1H-885"/>
    <s v="START UP III"/>
    <s v="DISPOSIÇÃO DE REJEITOS LINHA DO CIRCUITO ULTRAFINO DISTRIBUIDOR DI-145A-9905 PARA A PENEIRA PN-145A-9725"/>
    <m/>
    <m/>
    <m/>
    <s v="1450AA-T-70440_FL13"/>
    <n v="1"/>
    <s v="PÇ"/>
    <n v="0.37"/>
    <n v="0.37"/>
    <n v="1169.77"/>
    <n v="432.81489999999997"/>
    <n v="0"/>
    <n v="0.9"/>
    <n v="0.1"/>
    <m/>
    <m/>
    <m/>
    <n v="0"/>
    <m/>
    <n v="0"/>
    <n v="0.37"/>
    <m/>
    <n v="0.4"/>
    <n v="0.5"/>
    <n v="0.1"/>
    <m/>
    <m/>
    <m/>
    <n v="0"/>
    <n v="0"/>
    <n v="0"/>
    <n v="432.81489999999997"/>
    <m/>
    <m/>
  </r>
  <r>
    <s v="2.4.3.1.1"/>
    <s v="CMS M.60.10.000"/>
    <s v="TUBULAÇÃO"/>
    <n v="7"/>
    <s v="CURVA"/>
    <n v="6"/>
    <s v="NÃO"/>
    <s v="NÃO"/>
    <s v="NÃO"/>
    <s v="145A-PG-6¨-L1H-885"/>
    <s v="START UP III"/>
    <s v="DISPOSIÇÃO DE REJEITOS LINHA DO CIRCUITO ULTRAFINO DISTRIBUIDOR DI-145A-9905 PARA A PENEIRA PN-145A-9725"/>
    <m/>
    <m/>
    <m/>
    <s v="1450AA-T-70440_FL17"/>
    <n v="1"/>
    <s v="PÇ"/>
    <n v="0.46899999999999997"/>
    <n v="0.46899999999999997"/>
    <n v="1169.77"/>
    <n v="548.62212999999997"/>
    <n v="0"/>
    <n v="0.9"/>
    <n v="0.1"/>
    <m/>
    <m/>
    <m/>
    <n v="0"/>
    <m/>
    <n v="0"/>
    <n v="0.46899999999999997"/>
    <m/>
    <n v="0.4"/>
    <n v="0.5"/>
    <n v="0.1"/>
    <m/>
    <m/>
    <m/>
    <n v="0"/>
    <n v="0"/>
    <n v="0"/>
    <n v="548.62212999999997"/>
    <m/>
    <m/>
  </r>
  <r>
    <s v="2.4.3.1.1"/>
    <s v="CMS M.60.10.000"/>
    <s v="TUBULAÇÃO"/>
    <n v="8"/>
    <s v="CURVA"/>
    <n v="6"/>
    <s v="NÃO"/>
    <s v="NÃO"/>
    <s v="NÃO"/>
    <s v="145A-PG-6¨-L1H-885"/>
    <s v="START UP III"/>
    <s v="DISPOSIÇÃO DE REJEITOS LINHA DO CIRCUITO ULTRAFINO DISTRIBUIDOR DI-145A-9905 PARA A PENEIRA PN-145A-9725"/>
    <m/>
    <m/>
    <m/>
    <s v="1450AA-T-70440_FL16"/>
    <n v="1"/>
    <s v="PÇ"/>
    <n v="0.36399999999999999"/>
    <n v="0.36399999999999999"/>
    <n v="1169.77"/>
    <n v="425.79627999999997"/>
    <n v="0"/>
    <n v="0.9"/>
    <n v="0.1"/>
    <m/>
    <m/>
    <m/>
    <n v="0"/>
    <m/>
    <n v="0"/>
    <n v="0.36399999999999999"/>
    <m/>
    <n v="0.4"/>
    <n v="0.5"/>
    <n v="0.1"/>
    <m/>
    <m/>
    <m/>
    <n v="0"/>
    <n v="0"/>
    <n v="0"/>
    <n v="425.79627999999997"/>
    <m/>
    <m/>
  </r>
  <r>
    <s v="2.4.3.1.1"/>
    <s v="CMS M.60.10.000"/>
    <s v="TUBULAÇÃO"/>
    <n v="9"/>
    <s v="CURVA"/>
    <n v="6"/>
    <s v="NÃO"/>
    <s v="NÃO"/>
    <s v="NÃO"/>
    <s v="145A-PG-6¨-L1H-885"/>
    <s v="START UP III"/>
    <s v="DISPOSIÇÃO DE REJEITOS LINHA DO CIRCUITO ULTRAFINO DISTRIBUIDOR DI-145A-9905 PARA A PENEIRA PN-145A-9725"/>
    <m/>
    <m/>
    <m/>
    <s v="1450AA-T-70440_FL15"/>
    <n v="1"/>
    <s v="PÇ"/>
    <n v="0.188"/>
    <n v="0.188"/>
    <n v="1169.77"/>
    <n v="219.91676000000001"/>
    <n v="0"/>
    <n v="0.9"/>
    <n v="0.1"/>
    <m/>
    <m/>
    <m/>
    <n v="0"/>
    <m/>
    <n v="0"/>
    <n v="0.188"/>
    <m/>
    <n v="0.4"/>
    <n v="0.5"/>
    <n v="0.1"/>
    <m/>
    <m/>
    <m/>
    <n v="0"/>
    <n v="0"/>
    <n v="0"/>
    <n v="219.91676000000001"/>
    <m/>
    <m/>
  </r>
  <r>
    <n v="0"/>
    <s v="CMS M.60.10.000"/>
    <s v="TUBULAÇÃO"/>
    <n v="10"/>
    <s v="SPOOL"/>
    <s v="6 X 4"/>
    <s v="NÃO"/>
    <s v="NÃO"/>
    <s v="NÃO"/>
    <s v="145A-PG-6¨-L1H-885"/>
    <s v="START UP III"/>
    <s v="DISPOSIÇÃO DE REJEITOS LINHA DO CIRCUITO ULTRAFINO DISTRIBUIDOR DI-145A-9905 PARA A PENEIRA PN-145A-9725"/>
    <m/>
    <m/>
    <m/>
    <s v="1450AA-T-70440_FL18"/>
    <n v="1"/>
    <s v="PÇ"/>
    <n v="2.1349999999999998"/>
    <n v="2.1349999999999998"/>
    <n v="0"/>
    <n v="0"/>
    <n v="0"/>
    <n v="0.9"/>
    <n v="0.1"/>
    <m/>
    <m/>
    <m/>
    <n v="0"/>
    <m/>
    <n v="0"/>
    <n v="2.1349999999999998"/>
    <m/>
    <n v="0.4"/>
    <n v="0.5"/>
    <n v="0.1"/>
    <m/>
    <m/>
    <m/>
    <n v="0"/>
    <n v="0"/>
    <n v="0"/>
    <n v="0"/>
    <m/>
    <m/>
  </r>
  <r>
    <n v="0"/>
    <s v="CMS M.60.10.000"/>
    <s v="TUBULAÇÃO"/>
    <n v="11"/>
    <s v="FLANGE"/>
    <n v="4"/>
    <s v="NÃO"/>
    <s v="NÃO"/>
    <s v="NÃO"/>
    <s v="145A-PG-6¨-L1H-885"/>
    <s v="START UP III"/>
    <s v="DISPOSIÇÃO DE REJEITOS LINHA DO CIRCUITO ULTRAFINO DISTRIBUIDOR DI-145A-9905 PARA A PENEIRA PN-145A-9725"/>
    <m/>
    <m/>
    <m/>
    <s v="1450AA-T-70440_FL03"/>
    <n v="2"/>
    <s v="PÇ"/>
    <n v="0"/>
    <n v="0"/>
    <n v="0"/>
    <n v="0"/>
    <n v="0"/>
    <n v="0.9"/>
    <n v="0.1"/>
    <m/>
    <m/>
    <m/>
    <n v="0"/>
    <m/>
    <n v="0"/>
    <n v="0"/>
    <m/>
    <n v="0.4"/>
    <n v="0.5"/>
    <n v="0.1"/>
    <m/>
    <m/>
    <m/>
    <n v="0"/>
    <n v="0"/>
    <n v="0"/>
    <n v="0"/>
    <m/>
    <m/>
  </r>
  <r>
    <s v="2.4.3.1.2"/>
    <s v="CMS M.60.10.000"/>
    <s v="TUBULAÇÃO"/>
    <n v="1"/>
    <s v="CURVA"/>
    <n v="8"/>
    <s v="NÃO"/>
    <s v="NÃO"/>
    <s v="NÃO"/>
    <s v="145A-PG-8¨-L1H-902"/>
    <s v="START UP II"/>
    <s v="DISPOSIÇÃO DE REJEITOS LINHA DO CIRCUITO ARENOSO DISTRIBUIDOR DI-145A-9912 PARA A PENEIRA PN-145A-9701"/>
    <m/>
    <m/>
    <m/>
    <s v="1450AA-T-70378_FL17"/>
    <n v="2"/>
    <s v="PÇ"/>
    <n v="0.61099999999999999"/>
    <n v="1.222"/>
    <n v="1651.88"/>
    <n v="2018.59736"/>
    <n v="0"/>
    <n v="0.9"/>
    <n v="0.1"/>
    <m/>
    <m/>
    <m/>
    <n v="0"/>
    <m/>
    <n v="0"/>
    <n v="1.222"/>
    <m/>
    <n v="0.4"/>
    <n v="0.5"/>
    <n v="0.1"/>
    <m/>
    <m/>
    <m/>
    <n v="0"/>
    <n v="0"/>
    <n v="0"/>
    <n v="2018.59736"/>
    <m/>
    <m/>
  </r>
  <r>
    <s v="2.4.3.1.2"/>
    <s v="CMS M.60.10.000"/>
    <s v="TUBULAÇÃO"/>
    <n v="2"/>
    <s v="SPOOL"/>
    <n v="8"/>
    <s v="NÃO"/>
    <s v="NÃO"/>
    <s v="NÃO"/>
    <s v="145A-PG-8¨-L1H-902"/>
    <s v="START UP II"/>
    <s v="DISPOSIÇÃO DE REJEITOS LINHA DO CIRCUITO ARENOSO DISTRIBUIDOR DI-145A-9912 PARA A PENEIRA PN-145A-9701"/>
    <m/>
    <m/>
    <m/>
    <s v="1450AA-T-70378_FL09"/>
    <n v="2"/>
    <s v="PÇ"/>
    <n v="0.81599999999999995"/>
    <n v="1.6319999999999999"/>
    <n v="1651.88"/>
    <n v="2695.86816"/>
    <n v="0"/>
    <n v="0.9"/>
    <n v="0.1"/>
    <m/>
    <m/>
    <m/>
    <n v="0"/>
    <m/>
    <n v="0"/>
    <n v="1.6319999999999999"/>
    <m/>
    <n v="0.4"/>
    <n v="0.5"/>
    <n v="0.1"/>
    <m/>
    <m/>
    <m/>
    <n v="0"/>
    <n v="0"/>
    <n v="0"/>
    <n v="2695.86816"/>
    <m/>
    <m/>
  </r>
  <r>
    <s v="2.4.3.1.2"/>
    <s v="CMS M.60.10.000"/>
    <s v="TUBULAÇÃO"/>
    <n v="3"/>
    <s v="CURVA"/>
    <n v="8"/>
    <s v="NÃO"/>
    <s v="NÃO"/>
    <s v="NÃO"/>
    <s v="145A-PG-8¨-L1H-902"/>
    <s v="START UP II"/>
    <s v="DISPOSIÇÃO DE REJEITOS LINHA DO CIRCUITO ARENOSO DISTRIBUIDOR DI-145A-9912 PARA A PENEIRA PN-145A-9701"/>
    <m/>
    <m/>
    <m/>
    <s v="1450AA-T-70378_FL15"/>
    <n v="1"/>
    <s v="PÇ"/>
    <n v="0.32100000000000001"/>
    <n v="0.32100000000000001"/>
    <n v="1651.88"/>
    <n v="530.25348000000008"/>
    <n v="0"/>
    <n v="0.9"/>
    <n v="0.1"/>
    <m/>
    <m/>
    <m/>
    <n v="0"/>
    <m/>
    <n v="0"/>
    <n v="0.32100000000000001"/>
    <m/>
    <n v="0.4"/>
    <n v="0.5"/>
    <n v="0.1"/>
    <m/>
    <m/>
    <m/>
    <n v="0"/>
    <n v="0"/>
    <n v="0"/>
    <n v="530.25348000000008"/>
    <m/>
    <m/>
  </r>
  <r>
    <s v="2.4.3.1.2"/>
    <s v="CMS M.60.10.000"/>
    <s v="TUBULAÇÃO"/>
    <n v="4"/>
    <s v="SPOOL"/>
    <n v="8"/>
    <s v="SIM"/>
    <s v="NÃO"/>
    <s v="NÃO"/>
    <s v="145A-PG-8¨-L1H-902"/>
    <s v="START UP II"/>
    <s v="DISPOSIÇÃO DE REJEITOS LINHA DO CIRCUITO ARENOSO DISTRIBUIDOR DI-145A-9912 PARA A PENEIRA PN-145A-9701"/>
    <m/>
    <m/>
    <m/>
    <s v="1450AA-T-70378_FL14"/>
    <n v="2"/>
    <s v="PÇ"/>
    <n v="0.62"/>
    <n v="1.24"/>
    <n v="1651.88"/>
    <n v="2048.3312000000001"/>
    <n v="0"/>
    <n v="0.9"/>
    <n v="0.1"/>
    <m/>
    <m/>
    <m/>
    <n v="0"/>
    <m/>
    <n v="0"/>
    <n v="1.24"/>
    <m/>
    <n v="0.4"/>
    <n v="0.5"/>
    <n v="0.1"/>
    <m/>
    <m/>
    <m/>
    <n v="0"/>
    <n v="0"/>
    <n v="0"/>
    <n v="2048.3312000000001"/>
    <m/>
    <m/>
  </r>
  <r>
    <s v="2.4.3.1.2"/>
    <s v="CMS M.60.10.000"/>
    <s v="TUBULAÇÃO"/>
    <n v="5"/>
    <s v="SPOOL"/>
    <n v="8"/>
    <s v="NÃO"/>
    <s v="NÃO"/>
    <s v="NÃO"/>
    <s v="145A-PG-8¨-L1H-902"/>
    <s v="START UP II"/>
    <s v="DISPOSIÇÃO DE REJEITOS LINHA DO CIRCUITO ARENOSO DISTRIBUIDOR DI-145A-9912 PARA A PENEIRA PN-145A-9701"/>
    <m/>
    <m/>
    <m/>
    <s v="1450AA-T-70378_FL13"/>
    <n v="2"/>
    <s v="PÇ"/>
    <n v="4.8"/>
    <n v="9.6"/>
    <n v="1651.88"/>
    <n v="15858.048000000001"/>
    <n v="0"/>
    <n v="0.9"/>
    <n v="0.1"/>
    <m/>
    <m/>
    <m/>
    <n v="0"/>
    <m/>
    <n v="0"/>
    <n v="9.6"/>
    <m/>
    <n v="0.4"/>
    <n v="0.5"/>
    <n v="0.1"/>
    <m/>
    <m/>
    <m/>
    <n v="0"/>
    <n v="0"/>
    <n v="0"/>
    <n v="15858.048000000001"/>
    <m/>
    <m/>
  </r>
  <r>
    <s v="2.4.3.1.2"/>
    <s v="CMS M.60.10.000"/>
    <s v="TUBULAÇÃO"/>
    <n v="6"/>
    <s v="SPOOL"/>
    <n v="8"/>
    <s v="NÃO"/>
    <s v="NÃO"/>
    <s v="NÃO"/>
    <s v="145A-PG-8¨-L1H-902"/>
    <s v="START UP II"/>
    <s v="DISPOSIÇÃO DE REJEITOS LINHA DO CIRCUITO ARENOSO DISTRIBUIDOR DI-145A-9912 PARA A PENEIRA PN-145A-9701"/>
    <m/>
    <m/>
    <m/>
    <s v="1450AA-T-70378_FL11"/>
    <n v="1"/>
    <s v="PÇ"/>
    <n v="1.5"/>
    <n v="1.5"/>
    <n v="1651.88"/>
    <n v="2477.8200000000002"/>
    <n v="0"/>
    <n v="0.9"/>
    <n v="0.1"/>
    <m/>
    <m/>
    <m/>
    <n v="0"/>
    <m/>
    <n v="0"/>
    <n v="1.5"/>
    <m/>
    <n v="0.4"/>
    <n v="0.5"/>
    <n v="0.1"/>
    <m/>
    <m/>
    <m/>
    <n v="0"/>
    <n v="0"/>
    <n v="0"/>
    <n v="2477.8200000000002"/>
    <m/>
    <m/>
  </r>
  <r>
    <s v="2.4.3.1.2"/>
    <s v="CMS M.60.10.000"/>
    <s v="TUBULAÇÃO"/>
    <n v="7"/>
    <s v="SPOOL"/>
    <n v="8"/>
    <s v="NÃO"/>
    <s v="NÃO"/>
    <s v="NÃO"/>
    <s v="145A-PG-8¨-L1H-902"/>
    <s v="START UP II"/>
    <s v="DISPOSIÇÃO DE REJEITOS LINHA DO CIRCUITO ARENOSO DISTRIBUIDOR DI-145A-9912 PARA A PENEIRA PN-145A-9701"/>
    <m/>
    <m/>
    <m/>
    <s v="1450AA-T-70378_FL12"/>
    <n v="1"/>
    <s v="PÇ"/>
    <n v="3"/>
    <n v="3"/>
    <n v="1651.88"/>
    <n v="4955.6400000000003"/>
    <n v="0"/>
    <n v="0.9"/>
    <n v="0.1"/>
    <m/>
    <m/>
    <m/>
    <n v="0"/>
    <m/>
    <n v="0"/>
    <n v="3"/>
    <m/>
    <n v="0.4"/>
    <n v="0.5"/>
    <n v="0.1"/>
    <m/>
    <m/>
    <m/>
    <n v="0"/>
    <n v="0"/>
    <n v="0"/>
    <n v="4955.6400000000003"/>
    <m/>
    <m/>
  </r>
  <r>
    <s v="2.4.3.1.2"/>
    <s v="CMS M.60.10.000"/>
    <s v="TUBULAÇÃO"/>
    <n v="8"/>
    <s v="CURVA"/>
    <n v="8"/>
    <s v="NÃO"/>
    <s v="NÃO"/>
    <s v="NÃO"/>
    <s v="145A-PG-8¨-L1H-902"/>
    <s v="START UP II"/>
    <s v="DISPOSIÇÃO DE REJEITOS LINHA DO CIRCUITO ARENOSO DISTRIBUIDOR DI-145A-9912 PARA A PENEIRA PN-145A-9701"/>
    <m/>
    <m/>
    <m/>
    <s v="1450AA-T-70378_FL16"/>
    <n v="1"/>
    <s v="PÇ"/>
    <n v="0.54200000000000004"/>
    <n v="0.54200000000000004"/>
    <n v="1651.88"/>
    <n v="895.31896000000017"/>
    <n v="0"/>
    <n v="0.9"/>
    <n v="0.1"/>
    <m/>
    <m/>
    <m/>
    <n v="0"/>
    <m/>
    <n v="0"/>
    <n v="0.54200000000000004"/>
    <m/>
    <n v="0.4"/>
    <n v="0.5"/>
    <n v="0.1"/>
    <m/>
    <m/>
    <m/>
    <n v="0"/>
    <n v="0"/>
    <n v="0"/>
    <n v="895.31896000000017"/>
    <m/>
    <m/>
  </r>
  <r>
    <s v="2.4.3.1.2"/>
    <s v="CMS M.60.10.000"/>
    <s v="TUBULAÇÃO"/>
    <n v="9"/>
    <s v="CURVA"/>
    <n v="8"/>
    <s v="NÃO"/>
    <s v="NÃO"/>
    <s v="NÃO"/>
    <s v="145A-PG-8¨-L1H-902"/>
    <s v="START UP II"/>
    <s v="DISPOSIÇÃO DE REJEITOS LINHA DO CIRCUITO ARENOSO DISTRIBUIDOR DI-145A-9912 PARA A PENEIRA PN-145A-9701"/>
    <m/>
    <m/>
    <m/>
    <s v="1450AA-T-70378_FL18"/>
    <n v="1"/>
    <s v="PÇ"/>
    <n v="0.63800000000000001"/>
    <n v="0.63800000000000001"/>
    <n v="1651.88"/>
    <n v="1053.8994400000001"/>
    <n v="0"/>
    <n v="0.9"/>
    <n v="0.1"/>
    <m/>
    <m/>
    <m/>
    <n v="0"/>
    <m/>
    <n v="0"/>
    <n v="0.63800000000000001"/>
    <m/>
    <n v="0.4"/>
    <n v="0.5"/>
    <n v="0.1"/>
    <m/>
    <m/>
    <m/>
    <n v="0"/>
    <n v="0"/>
    <n v="0"/>
    <n v="1053.8994400000001"/>
    <m/>
    <m/>
  </r>
  <r>
    <s v="2.4.3.1.2"/>
    <s v="CMS M.60.10.000"/>
    <s v="TUBULAÇÃO"/>
    <n v="10"/>
    <s v="SPOOL"/>
    <n v="8"/>
    <s v="NÃO"/>
    <s v="NÃO"/>
    <s v="NÃO"/>
    <s v="145A-PG-8¨-L1H-902"/>
    <s v="START UP II"/>
    <s v="DISPOSIÇÃO DE REJEITOS LINHA DO CIRCUITO ARENOSO DISTRIBUIDOR DI-145A-9912 PARA A PENEIRA PN-145A-9701"/>
    <m/>
    <m/>
    <m/>
    <s v="1450AA-T-70378_FL10"/>
    <n v="1"/>
    <s v="PÇ"/>
    <n v="1.34"/>
    <n v="1.34"/>
    <n v="1651.88"/>
    <n v="2213.5192000000002"/>
    <n v="0"/>
    <n v="0.9"/>
    <n v="0.1"/>
    <m/>
    <m/>
    <m/>
    <n v="0"/>
    <m/>
    <n v="0"/>
    <n v="1.34"/>
    <m/>
    <n v="0.4"/>
    <n v="0.5"/>
    <n v="0.1"/>
    <m/>
    <m/>
    <m/>
    <n v="0"/>
    <n v="0"/>
    <n v="0"/>
    <n v="2213.5192000000002"/>
    <m/>
    <m/>
  </r>
  <r>
    <s v="2.4.3.1.2"/>
    <s v="CMS M.60.10.000"/>
    <s v="TUBULAÇÃO"/>
    <n v="11"/>
    <s v="SPOOL"/>
    <n v="8"/>
    <s v="NÃO"/>
    <s v="NÃO"/>
    <s v="NÃO"/>
    <s v="145A-PG-8¨-L1H-902"/>
    <s v="START UP II"/>
    <s v="DISPOSIÇÃO DE REJEITOS LINHA DO CIRCUITO ARENOSO DISTRIBUIDOR DI-145A-9912 PARA A PENEIRA PN-145A-9701"/>
    <m/>
    <m/>
    <m/>
    <s v="1450AA-T-70378_FL19"/>
    <n v="1"/>
    <s v="PÇ"/>
    <n v="0.96"/>
    <n v="0.96"/>
    <n v="1651.88"/>
    <n v="1585.8048000000001"/>
    <n v="0"/>
    <n v="0.9"/>
    <n v="0.1"/>
    <m/>
    <m/>
    <m/>
    <n v="0"/>
    <m/>
    <n v="0"/>
    <n v="0.96"/>
    <m/>
    <n v="0.4"/>
    <n v="0.5"/>
    <n v="0.1"/>
    <m/>
    <m/>
    <m/>
    <n v="0"/>
    <n v="0"/>
    <n v="0"/>
    <n v="1585.8048000000001"/>
    <m/>
    <m/>
  </r>
  <r>
    <s v="2.4.3.1.1"/>
    <s v="CMS M.60.10.000"/>
    <s v="TUBULAÇÃO"/>
    <n v="12"/>
    <s v="SPOOL"/>
    <s v="8 X 6"/>
    <s v="NÃO"/>
    <s v="NÃO"/>
    <s v="NÃO"/>
    <s v="145A-PG-8¨-L1H-902"/>
    <s v="START UP II"/>
    <s v="DISPOSIÇÃO DE REJEITOS LINHA DO CIRCUITO ARENOSO DISTRIBUIDOR DI-145A-9912 PARA A PENEIRA PN-145A-9701"/>
    <m/>
    <m/>
    <m/>
    <s v="1450AA-T-70378_FL20"/>
    <n v="1"/>
    <s v="PÇ"/>
    <n v="2.113"/>
    <n v="2.113"/>
    <n v="1169.77"/>
    <n v="2471.7240099999999"/>
    <n v="0"/>
    <n v="0.9"/>
    <n v="0.1"/>
    <m/>
    <m/>
    <m/>
    <n v="0"/>
    <m/>
    <n v="0"/>
    <n v="2.113"/>
    <m/>
    <n v="0.4"/>
    <n v="0.5"/>
    <n v="0.1"/>
    <m/>
    <m/>
    <m/>
    <n v="0"/>
    <n v="0"/>
    <n v="0"/>
    <n v="2471.7240099999999"/>
    <m/>
    <m/>
  </r>
  <r>
    <s v="2.4.3.1.2"/>
    <s v="CMS M.60.10.000"/>
    <s v="TUBULAÇÃO"/>
    <n v="13"/>
    <s v="FLANGE"/>
    <n v="8"/>
    <s v="NÃO"/>
    <s v="NÃO"/>
    <s v="NÃO"/>
    <s v="145A-PG-8¨-L1H-902"/>
    <s v="START UP II"/>
    <s v="DISPOSIÇÃO DE REJEITOS LINHA DO CIRCUITO ARENOSO DISTRIBUIDOR DI-145A-9912 PARA A PENEIRA PN-145A-9701"/>
    <m/>
    <m/>
    <m/>
    <s v="1450AA-T-70378_FL08"/>
    <n v="2"/>
    <s v="PÇ"/>
    <n v="0"/>
    <n v="0"/>
    <n v="1651.88"/>
    <n v="0"/>
    <n v="0"/>
    <n v="0.9"/>
    <n v="0.1"/>
    <m/>
    <m/>
    <m/>
    <n v="0"/>
    <m/>
    <n v="0"/>
    <n v="0"/>
    <m/>
    <n v="0.4"/>
    <n v="0.5"/>
    <n v="0.1"/>
    <m/>
    <m/>
    <m/>
    <n v="0"/>
    <n v="0"/>
    <n v="0"/>
    <n v="0"/>
    <m/>
    <m/>
  </r>
  <r>
    <s v="2.4.3.1.2"/>
    <s v="CMS M.60.10.000"/>
    <s v="TUBULAÇÃO"/>
    <n v="1"/>
    <s v="CURVA"/>
    <n v="8"/>
    <s v="NÃO"/>
    <s v="NÃO"/>
    <s v="NÃO"/>
    <s v="145A-PG-8¨-L1H-903"/>
    <s v="START UP II"/>
    <s v="DISPOSIÇÃO DE REJEITOS LINHA DO CIRCUITO ARENOSO DISTRIBUIDOR DI-145A-9912 PARA A PENEIRA PN-145A-9721"/>
    <m/>
    <m/>
    <m/>
    <s v="1450AA-T-70380_FL13"/>
    <n v="3"/>
    <s v="PÇ"/>
    <n v="0.61099999999999999"/>
    <n v="1.833"/>
    <n v="1651.88"/>
    <n v="3027.8960400000001"/>
    <n v="0"/>
    <n v="0.9"/>
    <n v="0.1"/>
    <m/>
    <m/>
    <m/>
    <n v="0"/>
    <m/>
    <n v="0"/>
    <n v="1.833"/>
    <m/>
    <n v="0.4"/>
    <n v="0.5"/>
    <n v="0.1"/>
    <m/>
    <m/>
    <m/>
    <n v="0"/>
    <n v="0"/>
    <n v="0"/>
    <n v="3027.8960400000001"/>
    <m/>
    <m/>
  </r>
  <r>
    <s v="2.4.3.1.2"/>
    <s v="CMS M.60.10.000"/>
    <s v="TUBULAÇÃO"/>
    <n v="2"/>
    <s v="SPOOL"/>
    <n v="8"/>
    <s v="NÃO"/>
    <s v="NÃO"/>
    <s v="NÃO"/>
    <s v="145A-PG-8¨-L1H-903"/>
    <s v="START UP II"/>
    <s v="DISPOSIÇÃO DE REJEITOS LINHA DO CIRCUITO ARENOSO DISTRIBUIDOR DI-145A-9912 PARA A PENEIRA PN-145A-9721"/>
    <m/>
    <m/>
    <m/>
    <s v="1450AA-T-70380_FL07"/>
    <n v="1"/>
    <s v="PÇ"/>
    <n v="0.23499999999999999"/>
    <n v="0.23499999999999999"/>
    <n v="1651.88"/>
    <n v="388.1918"/>
    <n v="0"/>
    <n v="0.9"/>
    <n v="0.1"/>
    <m/>
    <m/>
    <m/>
    <n v="0"/>
    <m/>
    <n v="0"/>
    <n v="0.23499999999999999"/>
    <m/>
    <n v="0.4"/>
    <n v="0.5"/>
    <n v="0.1"/>
    <m/>
    <m/>
    <m/>
    <n v="0"/>
    <n v="0"/>
    <n v="0"/>
    <n v="388.1918"/>
    <m/>
    <m/>
  </r>
  <r>
    <s v="2.4.3.1.2"/>
    <s v="CMS M.60.10.000"/>
    <s v="TUBULAÇÃO"/>
    <n v="3"/>
    <s v="CURVA"/>
    <n v="8"/>
    <s v="NÃO"/>
    <s v="NÃO"/>
    <s v="NÃO"/>
    <s v="145A-PG-8¨-L1H-903"/>
    <s v="START UP II"/>
    <s v="DISPOSIÇÃO DE REJEITOS LINHA DO CIRCUITO ARENOSO DISTRIBUIDOR DI-145A-9912 PARA A PENEIRA PN-145A-9721"/>
    <m/>
    <m/>
    <m/>
    <s v="1450AA-T-70380_FL12"/>
    <n v="1"/>
    <s v="PÇ"/>
    <n v="0.32100000000000001"/>
    <n v="0.32100000000000001"/>
    <n v="1651.88"/>
    <n v="530.25348000000008"/>
    <n v="0"/>
    <n v="0.9"/>
    <n v="0.1"/>
    <m/>
    <m/>
    <m/>
    <n v="0"/>
    <m/>
    <n v="0"/>
    <n v="0.32100000000000001"/>
    <m/>
    <n v="0.4"/>
    <n v="0.5"/>
    <n v="0.1"/>
    <m/>
    <m/>
    <m/>
    <n v="0"/>
    <n v="0"/>
    <n v="0"/>
    <n v="530.25348000000008"/>
    <m/>
    <m/>
  </r>
  <r>
    <s v="2.4.3.1.2"/>
    <s v="CMS M.60.10.000"/>
    <s v="TUBULAÇÃO"/>
    <n v="4"/>
    <s v="SPOOL"/>
    <n v="8"/>
    <s v="SIM"/>
    <s v="NÃO"/>
    <s v="NÃO"/>
    <s v="145A-PG-8¨-L1H-903"/>
    <s v="START UP II"/>
    <s v="DISPOSIÇÃO DE REJEITOS LINHA DO CIRCUITO ARENOSO DISTRIBUIDOR DI-145A-9912 PARA A PENEIRA PN-145A-9721"/>
    <m/>
    <m/>
    <m/>
    <s v="1450AA-T-70380_FL11"/>
    <n v="1"/>
    <s v="PÇ"/>
    <n v="0.6"/>
    <n v="0.6"/>
    <n v="1651.88"/>
    <n v="991.12800000000004"/>
    <n v="0"/>
    <n v="0.9"/>
    <n v="0.1"/>
    <m/>
    <m/>
    <m/>
    <n v="0"/>
    <m/>
    <n v="0"/>
    <n v="0.6"/>
    <m/>
    <n v="0.4"/>
    <n v="0.5"/>
    <n v="0.1"/>
    <m/>
    <m/>
    <m/>
    <n v="0"/>
    <n v="0"/>
    <n v="0"/>
    <n v="991.12800000000004"/>
    <m/>
    <m/>
  </r>
  <r>
    <s v="2.4.3.1.2"/>
    <s v="CMS M.60.10.000"/>
    <s v="TUBULAÇÃO"/>
    <n v="5"/>
    <s v="SPOOL"/>
    <n v="8"/>
    <s v="NÃO"/>
    <s v="NÃO"/>
    <s v="NÃO"/>
    <s v="145A-PG-8¨-L1H-903"/>
    <s v="START UP II"/>
    <s v="DISPOSIÇÃO DE REJEITOS LINHA DO CIRCUITO ARENOSO DISTRIBUIDOR DI-145A-9912 PARA A PENEIRA PN-145A-9721"/>
    <m/>
    <m/>
    <m/>
    <s v="1450AA-T-70380_FL09"/>
    <n v="2"/>
    <s v="PÇ"/>
    <n v="3.7"/>
    <n v="7.4"/>
    <n v="1651.88"/>
    <n v="12223.912000000002"/>
    <n v="0"/>
    <n v="0.9"/>
    <n v="0.1"/>
    <m/>
    <m/>
    <m/>
    <n v="0"/>
    <m/>
    <n v="0"/>
    <n v="7.4"/>
    <m/>
    <n v="0.4"/>
    <n v="0.5"/>
    <n v="0.1"/>
    <m/>
    <m/>
    <m/>
    <n v="0"/>
    <n v="0"/>
    <n v="0"/>
    <n v="12223.912000000002"/>
    <m/>
    <m/>
  </r>
  <r>
    <s v="2.4.3.1.2"/>
    <s v="CMS M.60.10.000"/>
    <s v="TUBULAÇÃO"/>
    <n v="6"/>
    <s v="SPOOL"/>
    <n v="8"/>
    <s v="NÃO"/>
    <s v="NÃO"/>
    <s v="NÃO"/>
    <s v="145A-PG-8¨-L1H-903"/>
    <s v="START UP II"/>
    <s v="DISPOSIÇÃO DE REJEITOS LINHA DO CIRCUITO ARENOSO DISTRIBUIDOR DI-145A-9912 PARA A PENEIRA PN-145A-9721"/>
    <m/>
    <m/>
    <m/>
    <s v="1450AA-T-70380_FL06"/>
    <n v="1"/>
    <s v="PÇ"/>
    <n v="0.18099999999999999"/>
    <n v="0.18099999999999999"/>
    <n v="1651.88"/>
    <n v="298.99027999999998"/>
    <n v="0"/>
    <n v="0.9"/>
    <n v="0.1"/>
    <m/>
    <m/>
    <m/>
    <n v="0"/>
    <m/>
    <n v="0"/>
    <n v="0.18099999999999999"/>
    <m/>
    <n v="0.4"/>
    <n v="0.5"/>
    <n v="0.1"/>
    <m/>
    <m/>
    <m/>
    <n v="0"/>
    <n v="0"/>
    <n v="0"/>
    <n v="298.99027999999998"/>
    <m/>
    <m/>
  </r>
  <r>
    <s v="2.4.3.1.2"/>
    <s v="CMS M.60.10.000"/>
    <s v="TUBULAÇÃO"/>
    <n v="7"/>
    <s v="SPOOL"/>
    <n v="8"/>
    <s v="NÃO"/>
    <s v="NÃO"/>
    <s v="NÃO"/>
    <s v="145A-PG-8¨-L1H-903"/>
    <s v="START UP II"/>
    <s v="DISPOSIÇÃO DE REJEITOS LINHA DO CIRCUITO ARENOSO DISTRIBUIDOR DI-145A-9912 PARA A PENEIRA PN-145A-9721"/>
    <m/>
    <m/>
    <m/>
    <s v="1450AA-T-70380_FL08"/>
    <n v="1"/>
    <s v="PÇ"/>
    <n v="0.32500000000000001"/>
    <n v="0.32500000000000001"/>
    <n v="1651.88"/>
    <n v="536.8610000000001"/>
    <n v="0"/>
    <n v="0.9"/>
    <n v="0.1"/>
    <m/>
    <m/>
    <m/>
    <n v="0"/>
    <m/>
    <n v="0"/>
    <n v="0.32500000000000001"/>
    <m/>
    <n v="0.4"/>
    <n v="0.5"/>
    <n v="0.1"/>
    <m/>
    <m/>
    <m/>
    <n v="0"/>
    <n v="0"/>
    <n v="0"/>
    <n v="536.8610000000001"/>
    <m/>
    <m/>
  </r>
  <r>
    <s v="2.4.3.1.2"/>
    <s v="CMS M.60.10.000"/>
    <s v="TUBULAÇÃO"/>
    <n v="8"/>
    <s v="SPOOL"/>
    <n v="8"/>
    <s v="NÃO"/>
    <s v="NÃO"/>
    <s v="NÃO"/>
    <s v="145A-PG-8¨-L1H-903"/>
    <s v="START UP II"/>
    <s v="DISPOSIÇÃO DE REJEITOS LINHA DO CIRCUITO ARENOSO DISTRIBUIDOR DI-145A-9912 PARA A PENEIRA PN-145A-9721"/>
    <m/>
    <m/>
    <m/>
    <s v="1450AA-T-70380_FL14"/>
    <n v="1"/>
    <s v="PÇ"/>
    <n v="1.01"/>
    <n v="1.01"/>
    <n v="1651.88"/>
    <n v="1668.3988000000002"/>
    <n v="0"/>
    <n v="0.9"/>
    <n v="0.1"/>
    <m/>
    <m/>
    <m/>
    <n v="0"/>
    <m/>
    <n v="0"/>
    <n v="1.01"/>
    <m/>
    <n v="0.4"/>
    <n v="0.5"/>
    <n v="0.1"/>
    <m/>
    <m/>
    <m/>
    <n v="0"/>
    <n v="0"/>
    <n v="0"/>
    <n v="1668.3988000000002"/>
    <m/>
    <m/>
  </r>
  <r>
    <s v="2.4.3.1.2"/>
    <s v="CMS M.60.10.000"/>
    <s v="TUBULAÇÃO"/>
    <n v="9"/>
    <s v="SPOOL"/>
    <n v="8"/>
    <s v="SIM"/>
    <s v="NÃO"/>
    <s v="NÃO"/>
    <s v="145A-PG-8¨-L1H-903"/>
    <s v="START UP II"/>
    <s v="DISPOSIÇÃO DE REJEITOS LINHA DO CIRCUITO ARENOSO DISTRIBUIDOR DI-145A-9912 PARA A PENEIRA PN-145A-9721"/>
    <m/>
    <m/>
    <m/>
    <s v="1450AA-T-70380_FL10"/>
    <n v="1"/>
    <s v="PÇ"/>
    <n v="0.51"/>
    <n v="0.51"/>
    <n v="1651.88"/>
    <n v="842.45880000000011"/>
    <n v="0"/>
    <n v="0.9"/>
    <n v="0.1"/>
    <m/>
    <m/>
    <m/>
    <n v="0"/>
    <m/>
    <n v="0"/>
    <n v="0.51"/>
    <m/>
    <n v="0.4"/>
    <n v="0.5"/>
    <n v="0.1"/>
    <m/>
    <m/>
    <m/>
    <n v="0"/>
    <n v="0"/>
    <n v="0"/>
    <n v="842.45880000000011"/>
    <m/>
    <m/>
  </r>
  <r>
    <s v="2.4.3.1.2"/>
    <s v="CMS M.60.10.000"/>
    <s v="TUBULAÇÃO"/>
    <n v="1"/>
    <s v="SPOOL"/>
    <n v="8"/>
    <s v="NÃO"/>
    <s v="NÃO"/>
    <s v="NÃO"/>
    <s v="145A-PG-8¨-L1H-904"/>
    <s v="START UP II"/>
    <s v="DISPOSIÇÃO DE REJEITOS LINHA DO CIRCUITO ARENOSO DISTRIBUIDOR DI-145A-9912 PARA A PENEIRA PN-145A-9702"/>
    <m/>
    <m/>
    <m/>
    <s v="1450AA-T-70382_FL09"/>
    <n v="1"/>
    <s v="PÇ"/>
    <n v="0.33500000000000002"/>
    <n v="0.33500000000000002"/>
    <n v="1651.88"/>
    <n v="553.37980000000005"/>
    <n v="0"/>
    <n v="0.9"/>
    <n v="0.1"/>
    <m/>
    <m/>
    <m/>
    <n v="0"/>
    <m/>
    <n v="0"/>
    <n v="0.33500000000000002"/>
    <m/>
    <n v="0.4"/>
    <n v="0.5"/>
    <n v="0.1"/>
    <m/>
    <m/>
    <m/>
    <n v="0"/>
    <n v="0"/>
    <n v="0"/>
    <n v="553.37980000000005"/>
    <m/>
    <m/>
  </r>
  <r>
    <s v="2.4.3.1.2"/>
    <s v="CMS M.60.10.000"/>
    <s v="TUBULAÇÃO"/>
    <n v="2"/>
    <s v="CURVA"/>
    <n v="8"/>
    <s v="NÃO"/>
    <s v="NÃO"/>
    <s v="NÃO"/>
    <s v="145A-PG-8¨-L1H-904"/>
    <s v="START UP II"/>
    <s v="DISPOSIÇÃO DE REJEITOS LINHA DO CIRCUITO ARENOSO DISTRIBUIDOR DI-145A-9912 PARA A PENEIRA PN-145A-9702"/>
    <m/>
    <m/>
    <m/>
    <s v="1450AA-T-70382_FL20"/>
    <n v="2"/>
    <s v="PÇ"/>
    <n v="0.61099999999999999"/>
    <n v="1.222"/>
    <n v="1651.88"/>
    <n v="2018.59736"/>
    <n v="0"/>
    <n v="0.9"/>
    <n v="0.1"/>
    <m/>
    <m/>
    <m/>
    <n v="0"/>
    <m/>
    <n v="0"/>
    <n v="1.222"/>
    <m/>
    <n v="0.4"/>
    <n v="0.5"/>
    <n v="0.1"/>
    <m/>
    <m/>
    <m/>
    <n v="0"/>
    <n v="0"/>
    <n v="0"/>
    <n v="2018.59736"/>
    <m/>
    <m/>
  </r>
  <r>
    <s v="2.4.3.1.2"/>
    <s v="CMS M.60.10.000"/>
    <s v="TUBULAÇÃO"/>
    <n v="3"/>
    <s v="SPOOL"/>
    <n v="8"/>
    <s v="NÃO"/>
    <s v="NÃO"/>
    <s v="NÃO"/>
    <s v="145A-PG-8¨-L1H-904"/>
    <s v="START UP II"/>
    <s v="DISPOSIÇÃO DE REJEITOS LINHA DO CIRCUITO ARENOSO DISTRIBUIDOR DI-145A-9912 PARA A PENEIRA PN-145A-9702"/>
    <m/>
    <m/>
    <m/>
    <s v="1450AA-T-70382_FL10"/>
    <n v="1"/>
    <s v="PÇ"/>
    <n v="0.42299999999999999"/>
    <n v="0.42299999999999999"/>
    <n v="1651.88"/>
    <n v="698.74524000000008"/>
    <n v="0"/>
    <n v="0.9"/>
    <n v="0.1"/>
    <m/>
    <m/>
    <m/>
    <n v="0"/>
    <m/>
    <n v="0"/>
    <n v="0.42299999999999999"/>
    <m/>
    <n v="0.4"/>
    <n v="0.5"/>
    <n v="0.1"/>
    <m/>
    <m/>
    <m/>
    <n v="0"/>
    <n v="0"/>
    <n v="0"/>
    <n v="698.74524000000008"/>
    <m/>
    <m/>
  </r>
  <r>
    <s v="2.4.3.1.2"/>
    <s v="CMS M.60.10.000"/>
    <s v="TUBULAÇÃO"/>
    <n v="4"/>
    <s v="CURVA"/>
    <n v="8"/>
    <s v="NÃO"/>
    <s v="NÃO"/>
    <s v="NÃO"/>
    <s v="145A-PG-8¨-L1H-904"/>
    <s v="START UP II"/>
    <s v="DISPOSIÇÃO DE REJEITOS LINHA DO CIRCUITO ARENOSO DISTRIBUIDOR DI-145A-9912 PARA A PENEIRA PN-145A-9702"/>
    <m/>
    <m/>
    <m/>
    <s v="1450AA-T-70382_FL18"/>
    <n v="1"/>
    <s v="PÇ"/>
    <n v="0.32100000000000001"/>
    <n v="0.32100000000000001"/>
    <n v="1651.88"/>
    <n v="530.25348000000008"/>
    <n v="0"/>
    <n v="0.9"/>
    <n v="0.1"/>
    <m/>
    <m/>
    <m/>
    <n v="0"/>
    <m/>
    <n v="0"/>
    <n v="0.32100000000000001"/>
    <m/>
    <n v="0.4"/>
    <n v="0.5"/>
    <n v="0.1"/>
    <m/>
    <m/>
    <m/>
    <n v="0"/>
    <n v="0"/>
    <n v="0"/>
    <n v="530.25348000000008"/>
    <m/>
    <m/>
  </r>
  <r>
    <s v="2.4.3.1.2"/>
    <s v="CMS M.60.10.000"/>
    <s v="TUBULAÇÃO"/>
    <n v="5"/>
    <s v="SPOOL"/>
    <n v="8"/>
    <s v="SIM"/>
    <s v="NÃO"/>
    <s v="NÃO"/>
    <s v="145A-PG-8¨-L1H-904"/>
    <s v="START UP II"/>
    <s v="DISPOSIÇÃO DE REJEITOS LINHA DO CIRCUITO ARENOSO DISTRIBUIDOR DI-145A-9912 PARA A PENEIRA PN-145A-9702"/>
    <m/>
    <m/>
    <m/>
    <s v="1450AA-T-70382_FL16"/>
    <n v="1"/>
    <s v="PÇ"/>
    <n v="0.46"/>
    <n v="0.46"/>
    <n v="1651.88"/>
    <n v="759.86480000000006"/>
    <n v="0"/>
    <n v="0.9"/>
    <n v="0.1"/>
    <m/>
    <m/>
    <m/>
    <n v="0"/>
    <m/>
    <n v="0"/>
    <n v="0.46"/>
    <m/>
    <n v="0.4"/>
    <n v="0.5"/>
    <n v="0.1"/>
    <m/>
    <m/>
    <m/>
    <n v="0"/>
    <n v="0"/>
    <n v="0"/>
    <n v="759.86480000000006"/>
    <m/>
    <m/>
  </r>
  <r>
    <s v="2.4.3.1.2"/>
    <s v="CMS M.60.10.000"/>
    <s v="TUBULAÇÃO"/>
    <n v="6"/>
    <s v="SPOOL"/>
    <n v="8"/>
    <s v="NÃO"/>
    <s v="NÃO"/>
    <s v="NÃO"/>
    <s v="145A-PG-8¨-L1H-904"/>
    <s v="START UP II"/>
    <s v="DISPOSIÇÃO DE REJEITOS LINHA DO CIRCUITO ARENOSO DISTRIBUIDOR DI-145A-9912 PARA A PENEIRA PN-145A-9702"/>
    <m/>
    <m/>
    <m/>
    <s v="1450AA-T-70382_FL15"/>
    <n v="1"/>
    <s v="PÇ"/>
    <n v="6"/>
    <n v="6"/>
    <n v="1651.88"/>
    <n v="9911.2800000000007"/>
    <n v="0"/>
    <n v="0.9"/>
    <n v="0.1"/>
    <m/>
    <m/>
    <m/>
    <n v="0"/>
    <m/>
    <n v="0"/>
    <n v="6"/>
    <m/>
    <n v="0.4"/>
    <n v="0.5"/>
    <n v="0.1"/>
    <m/>
    <m/>
    <m/>
    <n v="0"/>
    <n v="0"/>
    <n v="0"/>
    <n v="9911.2800000000007"/>
    <m/>
    <m/>
  </r>
  <r>
    <s v="2.4.3.1.2"/>
    <s v="CMS M.60.10.000"/>
    <s v="TUBULAÇÃO"/>
    <n v="7"/>
    <s v="SPOOL"/>
    <n v="8"/>
    <s v="NÃO"/>
    <s v="NÃO"/>
    <s v="NÃO"/>
    <s v="145A-PG-8¨-L1H-904"/>
    <s v="START UP II"/>
    <s v="DISPOSIÇÃO DE REJEITOS LINHA DO CIRCUITO ARENOSO DISTRIBUIDOR DI-145A-9912 PARA A PENEIRA PN-145A-9702"/>
    <m/>
    <m/>
    <m/>
    <s v="1450AA-T-70382_FL13"/>
    <n v="1"/>
    <s v="PÇ"/>
    <n v="1.5"/>
    <n v="1.5"/>
    <n v="1651.88"/>
    <n v="2477.8200000000002"/>
    <n v="0"/>
    <n v="0.9"/>
    <n v="0.1"/>
    <m/>
    <m/>
    <m/>
    <n v="0"/>
    <m/>
    <n v="0"/>
    <n v="1.5"/>
    <m/>
    <n v="0.4"/>
    <n v="0.5"/>
    <n v="0.1"/>
    <m/>
    <m/>
    <m/>
    <n v="0"/>
    <n v="0"/>
    <n v="0"/>
    <n v="2477.8200000000002"/>
    <m/>
    <m/>
  </r>
  <r>
    <s v="2.4.3.1.2"/>
    <s v="CMS M.60.10.000"/>
    <s v="TUBULAÇÃO"/>
    <n v="8"/>
    <s v="SPOOL"/>
    <n v="8"/>
    <s v="NÃO"/>
    <s v="NÃO"/>
    <s v="NÃO"/>
    <s v="145A-PG-8¨-L1H-904"/>
    <s v="START UP II"/>
    <s v="DISPOSIÇÃO DE REJEITOS LINHA DO CIRCUITO ARENOSO DISTRIBUIDOR DI-145A-9912 PARA A PENEIRA PN-145A-9702"/>
    <m/>
    <m/>
    <m/>
    <s v="1450AA-T-70382_FL14"/>
    <n v="1"/>
    <s v="PÇ"/>
    <n v="3"/>
    <n v="3"/>
    <n v="1651.88"/>
    <n v="4955.6400000000003"/>
    <n v="0"/>
    <n v="0.9"/>
    <n v="0.1"/>
    <m/>
    <m/>
    <m/>
    <n v="0"/>
    <m/>
    <n v="0"/>
    <n v="3"/>
    <m/>
    <n v="0.4"/>
    <n v="0.5"/>
    <n v="0.1"/>
    <m/>
    <m/>
    <m/>
    <n v="0"/>
    <n v="0"/>
    <n v="0"/>
    <n v="4955.6400000000003"/>
    <m/>
    <m/>
  </r>
  <r>
    <s v="2.4.3.1.2"/>
    <s v="CMS M.60.10.000"/>
    <s v="TUBULAÇÃO"/>
    <n v="9"/>
    <s v="SPOOL"/>
    <n v="8"/>
    <s v="SIM"/>
    <s v="NÃO"/>
    <s v="NÃO"/>
    <s v="145A-PG-8¨-L1H-904"/>
    <s v="START UP II"/>
    <s v="DISPOSIÇÃO DE REJEITOS LINHA DO CIRCUITO ARENOSO DISTRIBUIDOR DI-145A-9912 PARA A PENEIRA PN-145A-9702"/>
    <m/>
    <m/>
    <m/>
    <s v="1450AA-T-70382_FL17"/>
    <n v="1"/>
    <s v="PÇ"/>
    <n v="0.65"/>
    <n v="0.65"/>
    <n v="1651.88"/>
    <n v="1073.7220000000002"/>
    <n v="0"/>
    <n v="0.9"/>
    <n v="0.1"/>
    <m/>
    <m/>
    <m/>
    <n v="0"/>
    <m/>
    <n v="0"/>
    <n v="0.65"/>
    <m/>
    <n v="0.4"/>
    <n v="0.5"/>
    <n v="0.1"/>
    <m/>
    <m/>
    <m/>
    <n v="0"/>
    <n v="0"/>
    <n v="0"/>
    <n v="1073.7220000000002"/>
    <m/>
    <m/>
  </r>
  <r>
    <s v="2.4.3.1.2"/>
    <s v="CMS M.60.10.000"/>
    <s v="TUBULAÇÃO"/>
    <n v="10"/>
    <s v="CURVA"/>
    <n v="8"/>
    <s v="NÃO"/>
    <s v="NÃO"/>
    <s v="NÃO"/>
    <s v="145A-PG-8¨-L1H-904"/>
    <s v="START UP II"/>
    <s v="DISPOSIÇÃO DE REJEITOS LINHA DO CIRCUITO ARENOSO DISTRIBUIDOR DI-145A-9912 PARA A PENEIRA PN-145A-9702"/>
    <m/>
    <m/>
    <m/>
    <s v="1450AA-T-70382_FL19"/>
    <n v="1"/>
    <s v="PÇ"/>
    <n v="0.54200000000000004"/>
    <n v="0.54200000000000004"/>
    <n v="1651.88"/>
    <n v="895.31896000000017"/>
    <n v="0"/>
    <n v="0.9"/>
    <n v="0.1"/>
    <m/>
    <m/>
    <m/>
    <n v="0"/>
    <m/>
    <n v="0"/>
    <n v="0.54200000000000004"/>
    <m/>
    <n v="0.4"/>
    <n v="0.5"/>
    <n v="0.1"/>
    <m/>
    <m/>
    <m/>
    <n v="0"/>
    <n v="0"/>
    <n v="0"/>
    <n v="895.31896000000017"/>
    <m/>
    <m/>
  </r>
  <r>
    <s v="2.4.3.1.2"/>
    <s v="CMS M.60.10.000"/>
    <s v="TUBULAÇÃO"/>
    <n v="11"/>
    <s v="SPOOL"/>
    <n v="8"/>
    <s v="NÃO"/>
    <s v="NÃO"/>
    <s v="NÃO"/>
    <s v="145A-PG-8¨-L1H-904"/>
    <s v="START UP II"/>
    <s v="DISPOSIÇÃO DE REJEITOS LINHA DO CIRCUITO ARENOSO DISTRIBUIDOR DI-145A-9912 PARA A PENEIRA PN-145A-9702"/>
    <m/>
    <m/>
    <m/>
    <s v="1450AA-T-70382_FL11"/>
    <n v="1"/>
    <s v="PÇ"/>
    <n v="0.81599999999999995"/>
    <n v="0.81599999999999995"/>
    <n v="1651.88"/>
    <n v="1347.93408"/>
    <n v="0"/>
    <n v="0.9"/>
    <n v="0.1"/>
    <m/>
    <m/>
    <m/>
    <n v="0"/>
    <m/>
    <n v="0"/>
    <n v="0.81599999999999995"/>
    <m/>
    <n v="0.4"/>
    <n v="0.5"/>
    <n v="0.1"/>
    <m/>
    <m/>
    <m/>
    <n v="0"/>
    <n v="0"/>
    <n v="0"/>
    <n v="1347.93408"/>
    <m/>
    <m/>
  </r>
  <r>
    <s v="2.4.3.1.2"/>
    <s v="CMS M.60.10.000"/>
    <s v="TUBULAÇÃO"/>
    <n v="12"/>
    <s v="CURVA"/>
    <n v="8"/>
    <s v="NÃO"/>
    <s v="NÃO"/>
    <s v="NÃO"/>
    <s v="145A-PG-8¨-L1H-904"/>
    <s v="START UP II"/>
    <s v="DISPOSIÇÃO DE REJEITOS LINHA DO CIRCUITO ARENOSO DISTRIBUIDOR DI-145A-9912 PARA A PENEIRA PN-145A-9702"/>
    <m/>
    <m/>
    <m/>
    <s v="1450AA-T-70382_FL21"/>
    <n v="1"/>
    <s v="PÇ"/>
    <n v="0.63800000000000001"/>
    <n v="0.63800000000000001"/>
    <n v="1651.88"/>
    <n v="1053.8994400000001"/>
    <n v="0"/>
    <n v="0.9"/>
    <n v="0.1"/>
    <m/>
    <m/>
    <m/>
    <n v="0"/>
    <m/>
    <n v="0"/>
    <n v="0.63800000000000001"/>
    <m/>
    <n v="0.4"/>
    <n v="0.5"/>
    <n v="0.1"/>
    <m/>
    <m/>
    <m/>
    <n v="0"/>
    <n v="0"/>
    <n v="0"/>
    <n v="1053.8994400000001"/>
    <m/>
    <m/>
  </r>
  <r>
    <s v="2.4.3.1.2"/>
    <s v="CMS M.60.10.000"/>
    <s v="TUBULAÇÃO"/>
    <n v="13"/>
    <s v="SPOOL"/>
    <n v="8"/>
    <s v="NÃO"/>
    <s v="NÃO"/>
    <s v="NÃO"/>
    <s v="145A-PG-8¨-L1H-904"/>
    <s v="START UP II"/>
    <s v="DISPOSIÇÃO DE REJEITOS LINHA DO CIRCUITO ARENOSO DISTRIBUIDOR DI-145A-9912 PARA A PENEIRA PN-145A-9702"/>
    <m/>
    <m/>
    <m/>
    <s v="1450AA-T-70382_FL12"/>
    <n v="1"/>
    <s v="PÇ"/>
    <n v="1.34"/>
    <n v="1.34"/>
    <n v="1651.88"/>
    <n v="2213.5192000000002"/>
    <n v="0"/>
    <n v="0.9"/>
    <n v="0.1"/>
    <m/>
    <m/>
    <m/>
    <n v="0"/>
    <m/>
    <n v="0"/>
    <n v="1.34"/>
    <m/>
    <n v="0.4"/>
    <n v="0.5"/>
    <n v="0.1"/>
    <m/>
    <m/>
    <m/>
    <n v="0"/>
    <n v="0"/>
    <n v="0"/>
    <n v="2213.5192000000002"/>
    <m/>
    <m/>
  </r>
  <r>
    <s v="2.4.3.1.2"/>
    <s v="CMS M.60.10.000"/>
    <s v="TUBULAÇÃO"/>
    <n v="14"/>
    <s v="SPOOL"/>
    <n v="8"/>
    <s v="NÃO"/>
    <s v="NÃO"/>
    <s v="NÃO"/>
    <s v="145A-PG-8¨-L1H-904"/>
    <s v="START UP II"/>
    <s v="DISPOSIÇÃO DE REJEITOS LINHA DO CIRCUITO ARENOSO DISTRIBUIDOR DI-145A-9912 PARA A PENEIRA PN-145A-9702"/>
    <m/>
    <m/>
    <m/>
    <s v="1450AA-T-70382_FL22"/>
    <n v="1"/>
    <s v="PÇ"/>
    <n v="0.96"/>
    <n v="0.96"/>
    <n v="1651.88"/>
    <n v="1585.8048000000001"/>
    <n v="0"/>
    <n v="0.9"/>
    <n v="0.1"/>
    <m/>
    <m/>
    <m/>
    <n v="0"/>
    <m/>
    <n v="0"/>
    <n v="0.96"/>
    <m/>
    <n v="0.4"/>
    <n v="0.5"/>
    <n v="0.1"/>
    <m/>
    <m/>
    <m/>
    <n v="0"/>
    <n v="0"/>
    <n v="0"/>
    <n v="1585.8048000000001"/>
    <m/>
    <m/>
  </r>
  <r>
    <s v="2.4.3.1.1"/>
    <s v="CMS M.60.10.000"/>
    <s v="TUBULAÇÃO"/>
    <n v="15"/>
    <s v="SPOOL"/>
    <s v="8 X 6"/>
    <s v="NÃO"/>
    <s v="NÃO"/>
    <s v="NÃO"/>
    <s v="145A-PG-8¨-L1H-904"/>
    <s v="START UP II"/>
    <s v="DISPOSIÇÃO DE REJEITOS LINHA DO CIRCUITO ARENOSO DISTRIBUIDOR DI-145A-9912 PARA A PENEIRA PN-145A-9702"/>
    <m/>
    <m/>
    <m/>
    <s v="1450AA-T-70382_FL23"/>
    <n v="1"/>
    <s v="PÇ"/>
    <n v="2.113"/>
    <n v="2.113"/>
    <n v="1169.77"/>
    <n v="2471.7240099999999"/>
    <n v="0"/>
    <n v="0.9"/>
    <n v="0.1"/>
    <m/>
    <m/>
    <m/>
    <n v="0"/>
    <m/>
    <n v="0"/>
    <n v="2.113"/>
    <m/>
    <n v="0.4"/>
    <n v="0.5"/>
    <n v="0.1"/>
    <m/>
    <m/>
    <m/>
    <n v="0"/>
    <n v="0"/>
    <n v="0"/>
    <n v="2471.7240099999999"/>
    <m/>
    <m/>
  </r>
  <r>
    <s v="2.4.3.1.1"/>
    <s v="CMS M.60.10.000"/>
    <s v="TUBULAÇÃO"/>
    <n v="16"/>
    <s v="FLANGE"/>
    <n v="6"/>
    <s v="NÃO"/>
    <s v="NÃO"/>
    <s v="NÃO"/>
    <s v="145A-PG-8¨-L1H-904"/>
    <s v="START UP II"/>
    <s v="DISPOSIÇÃO DE REJEITOS LINHA DO CIRCUITO ARENOSO DISTRIBUIDOR DI-145A-9912 PARA A PENEIRA PN-145A-9702"/>
    <m/>
    <m/>
    <m/>
    <s v="1450AA-T-70382_FL08"/>
    <n v="2"/>
    <s v="PÇ"/>
    <n v="0"/>
    <n v="0"/>
    <n v="1169.77"/>
    <n v="0"/>
    <n v="0"/>
    <n v="0.9"/>
    <n v="0.1"/>
    <m/>
    <m/>
    <m/>
    <n v="0"/>
    <m/>
    <n v="0"/>
    <n v="0"/>
    <m/>
    <n v="0.4"/>
    <n v="0.5"/>
    <n v="0.1"/>
    <m/>
    <m/>
    <m/>
    <n v="0"/>
    <n v="0"/>
    <n v="0"/>
    <n v="0"/>
    <m/>
    <m/>
  </r>
  <r>
    <s v="2.4.3.1.2"/>
    <s v="CMS M.60.10.000"/>
    <s v="TUBULAÇÃO"/>
    <n v="1"/>
    <s v="SPOOL"/>
    <n v="8"/>
    <s v="NÃO"/>
    <s v="NÃO"/>
    <s v="NÃO"/>
    <s v="145A-PG-8¨-L1H-905"/>
    <s v="START UP II"/>
    <s v="DISPOSIÇÃO DE REJEITOS LINHA DO CIRCUITO ARENOSO DISTRIBUIDOR DI-145A-9912 PARA A PENEIRA PN-145A-9722"/>
    <m/>
    <m/>
    <m/>
    <s v="1450AA-T-70384_FL06"/>
    <n v="1"/>
    <s v="PÇ"/>
    <n v="0.14899999999999999"/>
    <n v="0.14899999999999999"/>
    <n v="1651.88"/>
    <n v="246.13012000000001"/>
    <n v="0"/>
    <n v="0.9"/>
    <n v="0.1"/>
    <m/>
    <m/>
    <m/>
    <n v="0"/>
    <m/>
    <n v="0"/>
    <n v="0.14899999999999999"/>
    <m/>
    <n v="0.4"/>
    <n v="0.5"/>
    <n v="0.1"/>
    <m/>
    <m/>
    <m/>
    <n v="0"/>
    <n v="0"/>
    <n v="0"/>
    <n v="246.13012000000001"/>
    <m/>
    <m/>
  </r>
  <r>
    <s v="2.4.3.1.2"/>
    <s v="CMS M.60.10.000"/>
    <s v="TUBULAÇÃO"/>
    <n v="2"/>
    <s v="CURVA"/>
    <n v="8"/>
    <s v="NÃO"/>
    <s v="NÃO"/>
    <s v="NÃO"/>
    <s v="145A-PG-8¨-L1H-905"/>
    <s v="START UP II"/>
    <s v="DISPOSIÇÃO DE REJEITOS LINHA DO CIRCUITO ARENOSO DISTRIBUIDOR DI-145A-9912 PARA A PENEIRA PN-145A-9722"/>
    <m/>
    <m/>
    <m/>
    <s v="1450AA-T-70384_FL14"/>
    <n v="1"/>
    <s v="PÇ"/>
    <n v="0.33200000000000002"/>
    <n v="0.33200000000000002"/>
    <n v="1651.88"/>
    <n v="548.42416000000003"/>
    <n v="0"/>
    <n v="0.9"/>
    <n v="0.1"/>
    <m/>
    <m/>
    <m/>
    <n v="0"/>
    <m/>
    <n v="0"/>
    <n v="0.33200000000000002"/>
    <m/>
    <n v="0.4"/>
    <n v="0.5"/>
    <n v="0.1"/>
    <m/>
    <m/>
    <m/>
    <n v="0"/>
    <n v="0"/>
    <n v="0"/>
    <n v="548.42416000000003"/>
    <m/>
    <m/>
  </r>
  <r>
    <s v="2.4.3.1.2"/>
    <s v="CMS M.60.10.000"/>
    <s v="TUBULAÇÃO"/>
    <n v="3"/>
    <s v="SPOOL"/>
    <n v="8"/>
    <s v="NÃO"/>
    <s v="NÃO"/>
    <s v="NÃO"/>
    <s v="145A-PG-8¨-L1H-905"/>
    <s v="START UP II"/>
    <s v="DISPOSIÇÃO DE REJEITOS LINHA DO CIRCUITO ARENOSO DISTRIBUIDOR DI-145A-9912 PARA A PENEIRA PN-145A-9722"/>
    <m/>
    <m/>
    <m/>
    <s v="1450AA-T-70384_FL08"/>
    <n v="1"/>
    <s v="PÇ"/>
    <n v="0.30399999999999999"/>
    <n v="0.30399999999999999"/>
    <n v="1651.88"/>
    <n v="502.17152000000004"/>
    <n v="0"/>
    <n v="0.9"/>
    <n v="0.1"/>
    <m/>
    <m/>
    <m/>
    <n v="0"/>
    <m/>
    <n v="0"/>
    <n v="0.30399999999999999"/>
    <m/>
    <n v="0.4"/>
    <n v="0.5"/>
    <n v="0.1"/>
    <m/>
    <m/>
    <m/>
    <n v="0"/>
    <n v="0"/>
    <n v="0"/>
    <n v="502.17152000000004"/>
    <m/>
    <m/>
  </r>
  <r>
    <s v="2.4.3.1.2"/>
    <s v="CMS M.60.10.000"/>
    <s v="TUBULAÇÃO"/>
    <n v="4"/>
    <s v="CURVA"/>
    <n v="8"/>
    <s v="NÃO"/>
    <s v="NÃO"/>
    <s v="NÃO"/>
    <s v="145A-PG-8¨-L1H-905"/>
    <s v="START UP II"/>
    <s v="DISPOSIÇÃO DE REJEITOS LINHA DO CIRCUITO ARENOSO DISTRIBUIDOR DI-145A-9912 PARA A PENEIRA PN-145A-9722"/>
    <m/>
    <m/>
    <m/>
    <s v="1450AA-T-70384_FL13"/>
    <n v="1"/>
    <s v="PÇ"/>
    <n v="0.33200000000000002"/>
    <n v="0.33200000000000002"/>
    <n v="1651.88"/>
    <n v="548.42416000000003"/>
    <n v="0"/>
    <n v="0.9"/>
    <n v="0.1"/>
    <m/>
    <m/>
    <m/>
    <n v="0"/>
    <m/>
    <n v="0"/>
    <n v="0.33200000000000002"/>
    <m/>
    <n v="0.4"/>
    <n v="0.5"/>
    <n v="0.1"/>
    <m/>
    <m/>
    <m/>
    <n v="0"/>
    <n v="0"/>
    <n v="0"/>
    <n v="548.42416000000003"/>
    <m/>
    <m/>
  </r>
  <r>
    <s v="2.4.3.1.2"/>
    <s v="CMS M.60.10.000"/>
    <s v="TUBULAÇÃO"/>
    <n v="5"/>
    <s v="SPOOL"/>
    <n v="8"/>
    <s v="SIM"/>
    <s v="NÃO"/>
    <s v="NÃO"/>
    <s v="145A-PG-8¨-L1H-905"/>
    <s v="START UP II"/>
    <s v="DISPOSIÇÃO DE REJEITOS LINHA DO CIRCUITO ARENOSO DISTRIBUIDOR DI-145A-9912 PARA A PENEIRA PN-145A-9722"/>
    <m/>
    <m/>
    <m/>
    <s v="1450AA-T-70384_FL11"/>
    <n v="1"/>
    <s v="PÇ"/>
    <n v="0.34499999999999997"/>
    <n v="0.34499999999999997"/>
    <n v="1651.88"/>
    <n v="569.89859999999999"/>
    <n v="0"/>
    <n v="0.9"/>
    <n v="0.1"/>
    <m/>
    <m/>
    <m/>
    <n v="0"/>
    <m/>
    <n v="0"/>
    <n v="0.34499999999999997"/>
    <m/>
    <n v="0.4"/>
    <n v="0.5"/>
    <n v="0.1"/>
    <m/>
    <m/>
    <m/>
    <n v="0"/>
    <n v="0"/>
    <n v="0"/>
    <n v="569.89859999999999"/>
    <m/>
    <m/>
  </r>
  <r>
    <s v="2.4.3.1.2"/>
    <s v="CMS M.60.10.000"/>
    <s v="TUBULAÇÃO"/>
    <n v="6"/>
    <s v="SPOOL"/>
    <n v="8"/>
    <s v="NÃO"/>
    <s v="NÃO"/>
    <s v="NÃO"/>
    <s v="145A-PG-8¨-L1H-905"/>
    <s v="START UP II"/>
    <s v="DISPOSIÇÃO DE REJEITOS LINHA DO CIRCUITO ARENOSO DISTRIBUIDOR DI-145A-9912 PARA A PENEIRA PN-145A-9722"/>
    <m/>
    <m/>
    <m/>
    <s v="1450AA-T-70384_FL10"/>
    <n v="1"/>
    <s v="PÇ"/>
    <n v="3.7"/>
    <n v="3.7"/>
    <n v="1651.88"/>
    <n v="6111.956000000001"/>
    <n v="0"/>
    <n v="0.9"/>
    <n v="0.1"/>
    <m/>
    <m/>
    <m/>
    <n v="0"/>
    <m/>
    <n v="0"/>
    <n v="3.7"/>
    <m/>
    <n v="0.4"/>
    <n v="0.5"/>
    <n v="0.1"/>
    <m/>
    <m/>
    <m/>
    <n v="0"/>
    <n v="0"/>
    <n v="0"/>
    <n v="6111.956000000001"/>
    <m/>
    <m/>
  </r>
  <r>
    <s v="2.4.3.1.2"/>
    <s v="CMS M.60.10.000"/>
    <s v="TUBULAÇÃO"/>
    <n v="7"/>
    <s v="CURVA"/>
    <n v="8"/>
    <s v="NÃO"/>
    <s v="NÃO"/>
    <s v="NÃO"/>
    <s v="145A-PG-8¨-L1H-905"/>
    <s v="START UP II"/>
    <s v="DISPOSIÇÃO DE REJEITOS LINHA DO CIRCUITO ARENOSO DISTRIBUIDOR DI-145A-9912 PARA A PENEIRA PN-145A-9722"/>
    <m/>
    <m/>
    <m/>
    <s v="1450AA-T-70384_FL15"/>
    <n v="2"/>
    <s v="PÇ"/>
    <n v="0.61099999999999999"/>
    <n v="1.222"/>
    <n v="1651.88"/>
    <n v="2018.59736"/>
    <n v="0"/>
    <n v="0.9"/>
    <n v="0.1"/>
    <m/>
    <m/>
    <m/>
    <n v="0"/>
    <m/>
    <n v="0"/>
    <n v="1.222"/>
    <m/>
    <n v="0.4"/>
    <n v="0.5"/>
    <n v="0.1"/>
    <m/>
    <m/>
    <m/>
    <n v="0"/>
    <n v="0"/>
    <n v="0"/>
    <n v="2018.59736"/>
    <m/>
    <m/>
  </r>
  <r>
    <s v="2.4.3.1.2"/>
    <s v="CMS M.60.10.000"/>
    <s v="TUBULAÇÃO"/>
    <n v="8"/>
    <s v="SPOOL"/>
    <n v="8"/>
    <s v="NÃO"/>
    <s v="NÃO"/>
    <s v="NÃO"/>
    <s v="145A-PG-8¨-L1H-905"/>
    <s v="START UP II"/>
    <s v="DISPOSIÇÃO DE REJEITOS LINHA DO CIRCUITO ARENOSO DISTRIBUIDOR DI-145A-9912 PARA A PENEIRA PN-145A-9722"/>
    <m/>
    <m/>
    <m/>
    <s v="1450AA-T-70384_FL07"/>
    <n v="1"/>
    <s v="PÇ"/>
    <n v="0.19400000000000001"/>
    <n v="0.19400000000000001"/>
    <n v="1651.88"/>
    <n v="320.46472000000006"/>
    <n v="0"/>
    <n v="0.9"/>
    <n v="0.1"/>
    <m/>
    <m/>
    <m/>
    <n v="0"/>
    <m/>
    <n v="0"/>
    <n v="0.19400000000000001"/>
    <m/>
    <n v="0.4"/>
    <n v="0.5"/>
    <n v="0.1"/>
    <m/>
    <m/>
    <m/>
    <n v="0"/>
    <n v="0"/>
    <n v="0"/>
    <n v="320.46472000000006"/>
    <m/>
    <m/>
  </r>
  <r>
    <s v="2.4.3.1.2"/>
    <s v="CMS M.60.10.000"/>
    <s v="TUBULAÇÃO"/>
    <n v="9"/>
    <s v="SPOOL"/>
    <n v="8"/>
    <s v="NÃO"/>
    <s v="NÃO"/>
    <s v="NÃO"/>
    <s v="145A-PG-8¨-L1H-905"/>
    <s v="START UP II"/>
    <s v="DISPOSIÇÃO DE REJEITOS LINHA DO CIRCUITO ARENOSO DISTRIBUIDOR DI-145A-9912 PARA A PENEIRA PN-145A-9722"/>
    <m/>
    <m/>
    <m/>
    <s v="1450AA-T-70384_FL09"/>
    <n v="1"/>
    <s v="PÇ"/>
    <n v="0.32500000000000001"/>
    <n v="0.32500000000000001"/>
    <n v="1651.88"/>
    <n v="536.8610000000001"/>
    <n v="0"/>
    <n v="0.9"/>
    <n v="0.1"/>
    <m/>
    <m/>
    <m/>
    <n v="0"/>
    <m/>
    <n v="0"/>
    <n v="0.32500000000000001"/>
    <m/>
    <n v="0.4"/>
    <n v="0.5"/>
    <n v="0.1"/>
    <m/>
    <m/>
    <m/>
    <n v="0"/>
    <n v="0"/>
    <n v="0"/>
    <n v="536.8610000000001"/>
    <m/>
    <m/>
  </r>
  <r>
    <s v="2.4.3.1.2"/>
    <s v="CMS M.60.10.000"/>
    <s v="TUBULAÇÃO"/>
    <n v="10"/>
    <s v="SPOOL"/>
    <n v="8"/>
    <s v="NÃO"/>
    <s v="NÃO"/>
    <s v="NÃO"/>
    <s v="145A-PG-8¨-L1H-905"/>
    <s v="START UP II"/>
    <s v="DISPOSIÇÃO DE REJEITOS LINHA DO CIRCUITO ARENOSO DISTRIBUIDOR DI-145A-9912 PARA A PENEIRA PN-145A-9722"/>
    <m/>
    <m/>
    <m/>
    <s v="1450AA-T-70384_FL16"/>
    <n v="1"/>
    <s v="PÇ"/>
    <n v="1.01"/>
    <n v="1.01"/>
    <n v="1651.88"/>
    <n v="1668.3988000000002"/>
    <n v="0"/>
    <n v="0.9"/>
    <n v="0.1"/>
    <m/>
    <m/>
    <m/>
    <n v="0"/>
    <m/>
    <n v="0"/>
    <n v="1.01"/>
    <m/>
    <n v="0.4"/>
    <n v="0.5"/>
    <n v="0.1"/>
    <m/>
    <m/>
    <m/>
    <n v="0"/>
    <n v="0"/>
    <n v="0"/>
    <n v="1668.3988000000002"/>
    <m/>
    <m/>
  </r>
  <r>
    <s v="2.4.3.1.2"/>
    <s v="CMS M.60.10.000"/>
    <s v="TUBULAÇÃO"/>
    <n v="11"/>
    <s v="SPOOL"/>
    <n v="8"/>
    <s v="SIM"/>
    <s v="NÃO"/>
    <s v="NÃO"/>
    <s v="145A-PG-8¨-L1H-905"/>
    <s v="START UP II"/>
    <s v="DISPOSIÇÃO DE REJEITOS LINHA DO CIRCUITO ARENOSO DISTRIBUIDOR DI-145A-9912 PARA A PENEIRA PN-145A-9722"/>
    <m/>
    <m/>
    <m/>
    <s v="1450AA-T-70384_FL12"/>
    <n v="1"/>
    <s v="PÇ"/>
    <n v="0.51"/>
    <n v="0.51"/>
    <n v="1651.88"/>
    <n v="842.45880000000011"/>
    <n v="0"/>
    <n v="0.9"/>
    <n v="0.1"/>
    <m/>
    <m/>
    <m/>
    <n v="0"/>
    <n v="0"/>
    <n v="0"/>
    <n v="0.51"/>
    <s v="X"/>
    <n v="0.4"/>
    <n v="0.5"/>
    <n v="0.1"/>
    <s v="X"/>
    <s v="X"/>
    <s v="X"/>
    <n v="0"/>
    <n v="0"/>
    <n v="0"/>
    <n v="842.45880000000011"/>
    <s v="X"/>
    <s v="X"/>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97">
  <r>
    <m/>
    <m/>
    <x v="0"/>
    <m/>
    <m/>
    <m/>
    <x v="0"/>
    <m/>
    <m/>
    <x v="0"/>
    <x v="0"/>
    <m/>
    <m/>
    <m/>
    <m/>
    <m/>
    <m/>
    <m/>
    <m/>
    <m/>
    <m/>
    <m/>
    <m/>
    <m/>
    <m/>
    <m/>
    <m/>
    <x v="0"/>
    <m/>
    <m/>
    <m/>
    <m/>
    <m/>
    <m/>
    <m/>
    <m/>
    <m/>
    <m/>
    <m/>
    <m/>
    <m/>
    <m/>
    <m/>
    <m/>
    <m/>
  </r>
  <r>
    <n v="0"/>
    <s v="CMS S.60.10.000"/>
    <x v="1"/>
    <m/>
    <m/>
    <m/>
    <x v="0"/>
    <m/>
    <m/>
    <x v="0"/>
    <x v="0"/>
    <s v="LINHA DO CIRCUITO ARENOSO LINHA DE ALIMENTAÇÃO DOS DISTRIBUIDORES DI-145A-9912/9913/9914/9915/9916"/>
    <s v="SC-006"/>
    <s v="SP 8440 A"/>
    <s v="1450AA-L-70109"/>
    <s v="1450AA-S-58040"/>
    <n v="1"/>
    <s v="PÇ"/>
    <n v="76.3"/>
    <n v="76.3"/>
    <n v="0"/>
    <n v="0"/>
    <n v="0"/>
    <n v="0.9"/>
    <n v="0.1"/>
    <m/>
    <m/>
    <x v="0"/>
    <n v="0"/>
    <m/>
    <n v="0"/>
    <n v="76.3"/>
    <m/>
    <n v="0"/>
    <n v="0"/>
    <n v="0"/>
    <m/>
    <m/>
    <m/>
    <n v="0"/>
    <n v="0"/>
    <n v="0"/>
    <n v="0"/>
    <m/>
    <m/>
  </r>
  <r>
    <n v="0"/>
    <s v="CMS S.60.10.000"/>
    <x v="1"/>
    <m/>
    <m/>
    <m/>
    <x v="0"/>
    <m/>
    <m/>
    <x v="0"/>
    <x v="0"/>
    <s v="LINHA DO CIRCUITO ARENOSO LINHA DE ALIMENTAÇÃO DOS DISTRIBUIDORES DI-145A-9912/9913/9914/9915/9916"/>
    <s v="SC-006"/>
    <s v="SP 8440 B"/>
    <s v="1450AA-L-70109"/>
    <s v="1450AA-S-58040"/>
    <n v="1"/>
    <s v="PÇ"/>
    <n v="86.2"/>
    <n v="86.2"/>
    <n v="0"/>
    <n v="0"/>
    <n v="0"/>
    <n v="0.9"/>
    <n v="0.1"/>
    <m/>
    <m/>
    <x v="0"/>
    <n v="0"/>
    <m/>
    <n v="0"/>
    <n v="86.2"/>
    <m/>
    <n v="0"/>
    <n v="0"/>
    <n v="0"/>
    <m/>
    <m/>
    <m/>
    <n v="0"/>
    <n v="0"/>
    <n v="0"/>
    <n v="0"/>
    <m/>
    <m/>
  </r>
  <r>
    <n v="0"/>
    <s v="CMS S.60.10.000"/>
    <x v="1"/>
    <m/>
    <m/>
    <m/>
    <x v="0"/>
    <m/>
    <m/>
    <x v="0"/>
    <x v="0"/>
    <s v="LINHA DO CIRCUITO ARENOSO LINHA DE ALIMENTAÇÃO DOS DISTRIBUIDORES DI-145A-9912/9913/9914/9915/9916"/>
    <s v="SC-006"/>
    <s v="SP 8440 C"/>
    <s v="1450AA-L-70109"/>
    <s v="1450AA-S-58040"/>
    <n v="1"/>
    <s v="PÇ"/>
    <n v="88.2"/>
    <n v="88.2"/>
    <n v="0"/>
    <n v="0"/>
    <n v="0"/>
    <n v="0.9"/>
    <n v="0.1"/>
    <m/>
    <m/>
    <x v="0"/>
    <n v="0"/>
    <m/>
    <n v="0"/>
    <n v="88.2"/>
    <m/>
    <n v="0"/>
    <n v="0"/>
    <n v="0"/>
    <m/>
    <m/>
    <m/>
    <n v="0"/>
    <n v="0"/>
    <n v="0"/>
    <n v="0"/>
    <m/>
    <m/>
  </r>
  <r>
    <n v="0"/>
    <s v="CMS S.60.10.000"/>
    <x v="1"/>
    <m/>
    <m/>
    <m/>
    <x v="0"/>
    <m/>
    <m/>
    <x v="0"/>
    <x v="0"/>
    <s v="LINHA DO CIRCUITO ARENOSO LINHA DE ALIMENTAÇÃO DOS DISTRIBUIDORES DI-145A-9912/9913/9914/9915/9916"/>
    <s v="SC-006"/>
    <s v="SP 8440 D"/>
    <s v="1450AA-L-70109"/>
    <s v="1450AA-S-58040"/>
    <n v="1"/>
    <s v="PÇ"/>
    <n v="88.2"/>
    <n v="88.2"/>
    <n v="0"/>
    <n v="0"/>
    <n v="0"/>
    <n v="0.9"/>
    <n v="0.1"/>
    <m/>
    <m/>
    <x v="0"/>
    <n v="0"/>
    <m/>
    <n v="0"/>
    <n v="88.2"/>
    <m/>
    <n v="0"/>
    <n v="0"/>
    <n v="0"/>
    <m/>
    <m/>
    <m/>
    <n v="0"/>
    <n v="0"/>
    <n v="0"/>
    <n v="0"/>
    <m/>
    <m/>
  </r>
  <r>
    <n v="0"/>
    <s v="CMS S.60.10.000"/>
    <x v="1"/>
    <m/>
    <m/>
    <m/>
    <x v="0"/>
    <m/>
    <m/>
    <x v="0"/>
    <x v="0"/>
    <s v="LINHA DO CIRCUITO ARENOSO LINHA DE ALIMENTAÇÃO DOS DISTRIBUIDORES DI-145A-9912/9913/9914/9915/9916"/>
    <s v="SC-006"/>
    <s v="SP 8440 E"/>
    <s v="1450AA-L-70109"/>
    <s v="1450AA-S-58040"/>
    <n v="1"/>
    <s v="PÇ"/>
    <n v="122.1"/>
    <n v="122.1"/>
    <n v="0"/>
    <n v="0"/>
    <n v="0"/>
    <n v="0.9"/>
    <n v="0.1"/>
    <m/>
    <m/>
    <x v="0"/>
    <n v="0"/>
    <m/>
    <n v="0"/>
    <n v="122.1"/>
    <m/>
    <n v="0"/>
    <n v="0"/>
    <n v="0"/>
    <m/>
    <m/>
    <m/>
    <n v="0"/>
    <n v="0"/>
    <n v="0"/>
    <n v="0"/>
    <m/>
    <m/>
  </r>
  <r>
    <n v="0"/>
    <s v="CMS S.60.10.000"/>
    <x v="1"/>
    <m/>
    <m/>
    <m/>
    <x v="0"/>
    <m/>
    <m/>
    <x v="0"/>
    <x v="0"/>
    <s v="LINHA DO CIRCUITO ARENOSO LINHA DE ALIMENTAÇÃO DOS DISTRIBUIDORES DI-145A-9912/9913/9914/9915/9916"/>
    <s v="SC-006"/>
    <s v="SP 8440 F"/>
    <s v="1450AA-L-70109"/>
    <s v="1450AA-S-58040"/>
    <n v="5"/>
    <s v="PÇ"/>
    <n v="79.400000000000006"/>
    <n v="397"/>
    <n v="0"/>
    <n v="0"/>
    <n v="0"/>
    <n v="0.9"/>
    <n v="0.1"/>
    <m/>
    <m/>
    <x v="0"/>
    <n v="0"/>
    <m/>
    <n v="0"/>
    <n v="397"/>
    <m/>
    <n v="0"/>
    <n v="0"/>
    <n v="0"/>
    <m/>
    <m/>
    <m/>
    <n v="0"/>
    <n v="0"/>
    <n v="0"/>
    <n v="0"/>
    <m/>
    <m/>
  </r>
  <r>
    <n v="0"/>
    <s v="CMS S.60.10.000"/>
    <x v="1"/>
    <m/>
    <m/>
    <m/>
    <x v="0"/>
    <m/>
    <m/>
    <x v="0"/>
    <x v="0"/>
    <s v="LINHA DO CIRCUITO ARENOSO LINHA DE ALIMENTAÇÃO DOS DISTRIBUIDORES DI-145A-9912/9913/9914/9915/9916"/>
    <s v="SC-006"/>
    <s v="SP 8440 G"/>
    <s v="1450AA-L-70109"/>
    <s v="1450AA-S-58040"/>
    <n v="4"/>
    <s v="PÇ"/>
    <n v="82.7"/>
    <n v="330.8"/>
    <n v="0"/>
    <n v="0"/>
    <n v="0"/>
    <n v="0.9"/>
    <n v="0.1"/>
    <m/>
    <m/>
    <x v="0"/>
    <n v="0"/>
    <m/>
    <n v="0"/>
    <n v="330.8"/>
    <m/>
    <n v="0"/>
    <n v="0"/>
    <n v="0"/>
    <m/>
    <m/>
    <m/>
    <n v="0"/>
    <n v="0"/>
    <n v="0"/>
    <n v="0"/>
    <m/>
    <m/>
  </r>
  <r>
    <n v="0"/>
    <s v="CMS S.60.10.000"/>
    <x v="1"/>
    <m/>
    <m/>
    <m/>
    <x v="0"/>
    <m/>
    <m/>
    <x v="0"/>
    <x v="0"/>
    <s v="LINHA DO CIRCUITO ARENOSO LINHA DE ALIMENTAÇÃO DOS DISTRIBUIDORES DI-145A-9912/9913/9914/9915/9916"/>
    <s v="SC-006"/>
    <s v="SP 8440 H"/>
    <s v="1450AA-L-70109"/>
    <s v="1450AA-S-58040"/>
    <n v="2"/>
    <s v="PÇ"/>
    <n v="61.9"/>
    <n v="123.8"/>
    <n v="0"/>
    <n v="0"/>
    <n v="0"/>
    <n v="0.9"/>
    <n v="0.1"/>
    <m/>
    <m/>
    <x v="0"/>
    <n v="0"/>
    <m/>
    <n v="0"/>
    <n v="123.8"/>
    <m/>
    <n v="0"/>
    <n v="0"/>
    <n v="0"/>
    <m/>
    <m/>
    <m/>
    <n v="0"/>
    <n v="0"/>
    <n v="0"/>
    <n v="0"/>
    <m/>
    <m/>
  </r>
  <r>
    <n v="0"/>
    <s v="CMS S.60.10.000"/>
    <x v="1"/>
    <m/>
    <m/>
    <m/>
    <x v="0"/>
    <m/>
    <m/>
    <x v="0"/>
    <x v="0"/>
    <s v="LINHA DO CIRCUITO ARENOSO LINHA DE ALIMENTAÇÃO DOS DISTRIBUIDORES DI-145A-9912/9913/9914/9915/9916"/>
    <s v="SC-006"/>
    <s v="SP 8440 K"/>
    <s v="1450AA-L-70109"/>
    <s v="1450AA-S-58040"/>
    <n v="1"/>
    <s v="PÇ"/>
    <n v="96"/>
    <n v="96"/>
    <n v="0"/>
    <n v="0"/>
    <n v="0"/>
    <n v="0.9"/>
    <n v="0.1"/>
    <m/>
    <m/>
    <x v="0"/>
    <n v="0"/>
    <m/>
    <n v="0"/>
    <n v="96"/>
    <m/>
    <n v="0"/>
    <n v="0"/>
    <n v="0"/>
    <m/>
    <m/>
    <m/>
    <n v="0"/>
    <n v="0"/>
    <n v="0"/>
    <n v="0"/>
    <m/>
    <m/>
  </r>
  <r>
    <n v="0"/>
    <s v="CMS S.60.10.000"/>
    <x v="1"/>
    <m/>
    <m/>
    <m/>
    <x v="0"/>
    <m/>
    <m/>
    <x v="0"/>
    <x v="0"/>
    <s v="LINHA DO CIRCUITO ARENOSO LINHA DE ALIMENTAÇÃO DO DISTRIBUIDOR DI-145A-9911"/>
    <s v="SC-006"/>
    <s v="SP 8036 A"/>
    <s v="1450AA-L-70107"/>
    <s v="1450AA-S-58036"/>
    <n v="1"/>
    <s v="PÇ"/>
    <n v="47.5"/>
    <n v="47.5"/>
    <n v="0"/>
    <n v="0"/>
    <n v="0"/>
    <n v="0.9"/>
    <n v="0.1"/>
    <m/>
    <m/>
    <x v="0"/>
    <n v="0"/>
    <m/>
    <n v="0"/>
    <n v="47.5"/>
    <m/>
    <n v="0"/>
    <n v="0"/>
    <n v="0"/>
    <m/>
    <m/>
    <m/>
    <n v="0"/>
    <n v="0"/>
    <n v="0"/>
    <n v="0"/>
    <m/>
    <m/>
  </r>
  <r>
    <n v="0"/>
    <s v="CMS S.60.10.000"/>
    <x v="1"/>
    <m/>
    <m/>
    <m/>
    <x v="0"/>
    <m/>
    <m/>
    <x v="0"/>
    <x v="0"/>
    <s v="LINHA DO CIRCUITO ARENOSO LINHA DE ALIMENTAÇÃO DO DISTRIBUIDOR DI-145A-9911"/>
    <s v="SC-006"/>
    <s v="SP 8036 B"/>
    <s v="1450AA-L-70107"/>
    <s v="1450AA-S-58036"/>
    <n v="1"/>
    <s v="PÇ"/>
    <n v="46.3"/>
    <n v="46.3"/>
    <n v="0"/>
    <n v="0"/>
    <n v="0"/>
    <n v="0.9"/>
    <n v="0.1"/>
    <m/>
    <m/>
    <x v="0"/>
    <n v="0"/>
    <m/>
    <n v="0"/>
    <n v="46.3"/>
    <m/>
    <n v="0"/>
    <n v="0"/>
    <n v="0"/>
    <m/>
    <m/>
    <m/>
    <n v="0"/>
    <n v="0"/>
    <n v="0"/>
    <n v="0"/>
    <m/>
    <m/>
  </r>
  <r>
    <n v="0"/>
    <s v="CMS S.60.10.000"/>
    <x v="1"/>
    <m/>
    <m/>
    <m/>
    <x v="0"/>
    <m/>
    <m/>
    <x v="0"/>
    <x v="0"/>
    <s v="LINHA DO CIRCUITO ARENOSO LINHA DE ALIMENTAÇÃO DO DISTRIBUIDOR DI-145A-9911"/>
    <s v="SC-006"/>
    <s v="SP 8036 C"/>
    <s v="1450AA-L-70107"/>
    <s v="1450AA-S-58036"/>
    <n v="2"/>
    <s v="PÇ"/>
    <n v="27.6"/>
    <n v="55.2"/>
    <n v="0"/>
    <n v="0"/>
    <n v="0"/>
    <n v="0.9"/>
    <n v="0.1"/>
    <m/>
    <m/>
    <x v="0"/>
    <n v="0"/>
    <m/>
    <n v="0"/>
    <n v="55.2"/>
    <m/>
    <n v="0"/>
    <n v="0"/>
    <n v="0"/>
    <m/>
    <m/>
    <m/>
    <n v="0"/>
    <n v="0"/>
    <n v="0"/>
    <n v="0"/>
    <m/>
    <m/>
  </r>
  <r>
    <n v="0"/>
    <s v="CMS S.60.10.000"/>
    <x v="1"/>
    <m/>
    <m/>
    <m/>
    <x v="0"/>
    <m/>
    <m/>
    <x v="0"/>
    <x v="0"/>
    <s v="LINHA DO CIRCUITO ARENOSO LINHA DE ALIMENTAÇÃO DO DISTRIBUIDOR DI-145A-9911"/>
    <s v="SC-006"/>
    <s v="SP 8037 A"/>
    <s v="1450AA-L-70107"/>
    <s v="1450AA-S-58037"/>
    <n v="2"/>
    <s v="PÇ"/>
    <n v="69.2"/>
    <n v="138.4"/>
    <n v="0"/>
    <n v="0"/>
    <n v="0"/>
    <n v="0.9"/>
    <n v="0.1"/>
    <m/>
    <m/>
    <x v="0"/>
    <n v="0"/>
    <m/>
    <n v="0"/>
    <n v="138.4"/>
    <m/>
    <n v="0"/>
    <n v="0"/>
    <n v="0"/>
    <m/>
    <m/>
    <m/>
    <n v="0"/>
    <n v="0"/>
    <n v="0"/>
    <n v="0"/>
    <m/>
    <m/>
  </r>
  <r>
    <n v="0"/>
    <s v="CMS S.60.10.000"/>
    <x v="1"/>
    <m/>
    <m/>
    <m/>
    <x v="0"/>
    <m/>
    <m/>
    <x v="0"/>
    <x v="0"/>
    <s v="LINHA DO CIRCUITO ARENOSO LINHA DE ALIMENTAÇÃO DO DISTRIBUIDOR DI-145A-9911"/>
    <s v="SC-006"/>
    <s v="SP 8037 B"/>
    <s v="1450AA-L-70107"/>
    <s v="1450AA-S-58037"/>
    <n v="1"/>
    <s v="PÇ"/>
    <n v="14"/>
    <n v="14"/>
    <n v="0"/>
    <n v="0"/>
    <n v="0"/>
    <n v="0.9"/>
    <n v="0.1"/>
    <m/>
    <m/>
    <x v="0"/>
    <n v="0"/>
    <m/>
    <n v="0"/>
    <n v="14"/>
    <m/>
    <n v="0"/>
    <n v="0"/>
    <n v="0"/>
    <m/>
    <m/>
    <m/>
    <n v="0"/>
    <n v="0"/>
    <n v="0"/>
    <n v="0"/>
    <m/>
    <m/>
  </r>
  <r>
    <n v="0"/>
    <s v="CMS S.60.10.000"/>
    <x v="1"/>
    <m/>
    <m/>
    <m/>
    <x v="0"/>
    <m/>
    <m/>
    <x v="0"/>
    <x v="0"/>
    <s v="LINHA DO CIRCUITO ARENOSO LINHA DE ALIMENTAÇÃO DO DISTRIBUIDOR DI-145A-9911"/>
    <s v="SC-006"/>
    <s v="SP 8037 C"/>
    <s v="1450AA-L-70107"/>
    <s v="1450AA-S-58037"/>
    <n v="1"/>
    <s v="PÇ"/>
    <n v="349.4"/>
    <n v="349.4"/>
    <n v="0"/>
    <n v="0"/>
    <n v="0"/>
    <n v="0.9"/>
    <n v="0.1"/>
    <m/>
    <m/>
    <x v="0"/>
    <n v="0"/>
    <m/>
    <n v="0"/>
    <n v="349.4"/>
    <m/>
    <n v="0"/>
    <n v="0"/>
    <n v="0"/>
    <m/>
    <m/>
    <m/>
    <n v="0"/>
    <n v="0"/>
    <n v="0"/>
    <n v="0"/>
    <m/>
    <m/>
  </r>
  <r>
    <n v="0"/>
    <s v="CMS S.60.10.000"/>
    <x v="1"/>
    <m/>
    <m/>
    <m/>
    <x v="0"/>
    <m/>
    <m/>
    <x v="0"/>
    <x v="0"/>
    <s v="LINHA DO CIRCUITO ARENOSO LINHA DE ALIMENTAÇÃO DO DISTRIBUIDOR DI-145A-9911"/>
    <s v="SC-006"/>
    <s v="SP 8038 A "/>
    <s v="1450AA-L-70107"/>
    <s v="1450AA-S-58038"/>
    <n v="1"/>
    <s v="PÇ"/>
    <n v="71.599999999999994"/>
    <n v="71.599999999999994"/>
    <n v="0"/>
    <n v="0"/>
    <n v="0"/>
    <n v="0.9"/>
    <n v="0.1"/>
    <m/>
    <m/>
    <x v="0"/>
    <n v="0"/>
    <m/>
    <n v="0"/>
    <n v="71.599999999999994"/>
    <m/>
    <n v="0"/>
    <n v="0"/>
    <n v="0"/>
    <m/>
    <m/>
    <m/>
    <n v="0"/>
    <n v="0"/>
    <n v="0"/>
    <n v="0"/>
    <m/>
    <m/>
  </r>
  <r>
    <n v="0"/>
    <s v="CMS S.60.10.000"/>
    <x v="1"/>
    <m/>
    <m/>
    <m/>
    <x v="0"/>
    <m/>
    <m/>
    <x v="0"/>
    <x v="0"/>
    <s v="LINHA DO CIRCUITO ARENOSO LINHA DE ALIMENTAÇÃO DO DISTRIBUIDOR DI-145A-9911"/>
    <s v="SC-006"/>
    <s v="SP 8038 B"/>
    <s v="1450AA-L-70107"/>
    <s v="1450AA-S-58038"/>
    <n v="1"/>
    <s v="PÇ"/>
    <n v="35.799999999999997"/>
    <n v="35.799999999999997"/>
    <n v="0"/>
    <n v="0"/>
    <n v="0"/>
    <n v="0.9"/>
    <n v="0.1"/>
    <m/>
    <m/>
    <x v="0"/>
    <n v="0"/>
    <m/>
    <n v="0"/>
    <n v="35.799999999999997"/>
    <m/>
    <n v="0"/>
    <n v="0"/>
    <n v="0"/>
    <m/>
    <m/>
    <m/>
    <n v="0"/>
    <n v="0"/>
    <n v="0"/>
    <n v="0"/>
    <m/>
    <m/>
  </r>
  <r>
    <n v="0"/>
    <s v="CMS S.60.10.000"/>
    <x v="1"/>
    <m/>
    <m/>
    <m/>
    <x v="0"/>
    <m/>
    <m/>
    <x v="0"/>
    <x v="0"/>
    <s v="LINHA DO CIRCUITO ARENOSO LINHA DE ALIMENTAÇÃO DO DISTRIBUIDOR DI-145A-9911"/>
    <s v="SC-006"/>
    <s v="SP 8038 C"/>
    <s v="1450AA-L-70107"/>
    <s v="1450AA-S-58038"/>
    <n v="1"/>
    <s v="PÇ"/>
    <n v="35.700000000000003"/>
    <n v="35.700000000000003"/>
    <n v="0"/>
    <n v="0"/>
    <n v="0"/>
    <n v="0.9"/>
    <n v="0.1"/>
    <m/>
    <m/>
    <x v="0"/>
    <n v="0"/>
    <m/>
    <n v="0"/>
    <n v="35.700000000000003"/>
    <m/>
    <n v="0"/>
    <n v="0"/>
    <n v="0"/>
    <m/>
    <m/>
    <m/>
    <n v="0"/>
    <n v="0"/>
    <n v="0"/>
    <n v="0"/>
    <m/>
    <m/>
  </r>
  <r>
    <n v="0"/>
    <s v="CMS S.60.10.000"/>
    <x v="1"/>
    <m/>
    <m/>
    <m/>
    <x v="0"/>
    <m/>
    <m/>
    <x v="0"/>
    <x v="0"/>
    <s v="LINHA DO CIRCUITO ARENOSO LINHA DE ALIMENTAÇÃO DO DISTRIBUIDOR DI-145A-9911"/>
    <s v="SC-026"/>
    <s v="SP 8039 A"/>
    <s v="1450AA-L-70107"/>
    <s v="1450AA-S-58039"/>
    <n v="2"/>
    <s v="PÇ"/>
    <n v="49.1"/>
    <n v="98.2"/>
    <n v="0"/>
    <n v="0"/>
    <n v="0"/>
    <n v="0.9"/>
    <n v="0.1"/>
    <m/>
    <m/>
    <x v="0"/>
    <n v="0"/>
    <m/>
    <n v="0"/>
    <n v="98.2"/>
    <m/>
    <n v="0"/>
    <n v="0"/>
    <n v="0"/>
    <m/>
    <m/>
    <m/>
    <n v="0"/>
    <n v="0"/>
    <n v="0"/>
    <n v="0"/>
    <m/>
    <m/>
  </r>
  <r>
    <n v="0"/>
    <s v="CMS S.60.10.000"/>
    <x v="1"/>
    <m/>
    <m/>
    <m/>
    <x v="0"/>
    <m/>
    <m/>
    <x v="0"/>
    <x v="0"/>
    <s v="LINHA DO CIRCUITO ARENOSO LINHA DE ALIMENTAÇÃO DO DISTRIBUIDOR DI-145A-9911"/>
    <s v="SC-026"/>
    <s v="SP 8039 B"/>
    <s v="1450AA-L-70107"/>
    <s v="1450AA-S-58039"/>
    <n v="2"/>
    <s v="PÇ"/>
    <n v="23.9"/>
    <n v="47.8"/>
    <n v="0"/>
    <n v="0"/>
    <n v="0"/>
    <n v="0.9"/>
    <n v="0.1"/>
    <m/>
    <m/>
    <x v="0"/>
    <n v="0"/>
    <m/>
    <n v="0"/>
    <n v="47.8"/>
    <m/>
    <n v="0"/>
    <n v="0"/>
    <n v="0"/>
    <m/>
    <m/>
    <m/>
    <n v="0"/>
    <n v="0"/>
    <n v="0"/>
    <n v="0"/>
    <m/>
    <m/>
  </r>
  <r>
    <n v="0"/>
    <s v="CMS S.60.10.000"/>
    <x v="1"/>
    <m/>
    <m/>
    <m/>
    <x v="0"/>
    <m/>
    <m/>
    <x v="0"/>
    <x v="0"/>
    <s v="LINHA DO CIRCUITO ARENOSO LINHA DE ALIMENTAÇÃO DO DISTRIBUIDOR DI-145A-9911"/>
    <s v="SC-026"/>
    <s v="SP 8039 C"/>
    <s v="1450AA-L-70107"/>
    <s v="1450AA-S-58039"/>
    <n v="2"/>
    <s v="PÇ"/>
    <n v="1.3"/>
    <n v="2.6"/>
    <n v="0"/>
    <n v="0"/>
    <n v="0"/>
    <n v="0.9"/>
    <n v="0.1"/>
    <m/>
    <m/>
    <x v="0"/>
    <n v="0"/>
    <m/>
    <n v="0"/>
    <n v="2.6"/>
    <m/>
    <n v="0"/>
    <n v="0"/>
    <n v="0"/>
    <m/>
    <m/>
    <m/>
    <n v="0"/>
    <n v="0"/>
    <n v="0"/>
    <n v="0"/>
    <m/>
    <m/>
  </r>
  <r>
    <n v="0"/>
    <s v="CMS S.60.10.000"/>
    <x v="1"/>
    <m/>
    <m/>
    <m/>
    <x v="0"/>
    <m/>
    <m/>
    <x v="0"/>
    <x v="0"/>
    <s v="LINHA DO CIRCUITO ARENOSO LINHA DE ALIMENTAÇÃO DO DISTRIBUIDOR DI-145A-9911"/>
    <s v="SC-026"/>
    <s v="SP 8039 D"/>
    <s v="1450AA-L-70107"/>
    <s v="1450AA-S-58039"/>
    <n v="2"/>
    <s v="PÇ"/>
    <n v="58.4"/>
    <n v="116.8"/>
    <n v="0"/>
    <n v="0"/>
    <n v="0"/>
    <n v="0.9"/>
    <n v="0.1"/>
    <m/>
    <m/>
    <x v="0"/>
    <n v="0"/>
    <m/>
    <n v="0"/>
    <n v="116.8"/>
    <m/>
    <n v="0"/>
    <n v="0"/>
    <n v="0"/>
    <m/>
    <m/>
    <m/>
    <n v="0"/>
    <n v="0"/>
    <n v="0"/>
    <n v="0"/>
    <m/>
    <m/>
  </r>
  <r>
    <n v="0"/>
    <s v="CMS S.60.10.000"/>
    <x v="1"/>
    <m/>
    <m/>
    <m/>
    <x v="0"/>
    <m/>
    <m/>
    <x v="0"/>
    <x v="0"/>
    <s v="LINHA DO CIRCUITO ARENOSO LINHA DE ALIMENTAÇÃO DO DISTRIBUIDOR DI-145A-9911"/>
    <s v="SC-026"/>
    <s v="SP 8039 E"/>
    <s v="1450AA-L-70107"/>
    <s v="1450AA-S-58039"/>
    <n v="1"/>
    <s v="PÇ"/>
    <n v="22"/>
    <n v="22"/>
    <n v="0"/>
    <n v="0"/>
    <n v="0"/>
    <n v="0.9"/>
    <n v="0.1"/>
    <m/>
    <m/>
    <x v="0"/>
    <n v="0"/>
    <m/>
    <n v="0"/>
    <n v="22"/>
    <m/>
    <n v="0"/>
    <n v="0"/>
    <n v="0"/>
    <m/>
    <m/>
    <m/>
    <n v="0"/>
    <n v="0"/>
    <n v="0"/>
    <n v="0"/>
    <m/>
    <m/>
  </r>
  <r>
    <n v="0"/>
    <s v="CMS S.60.10.000"/>
    <x v="1"/>
    <m/>
    <m/>
    <m/>
    <x v="0"/>
    <m/>
    <m/>
    <x v="0"/>
    <x v="0"/>
    <s v="LINHA DO CIRCUITO ARENOSO LINHA DE ALIMENTAÇÃO DOS DISTRIBUIDORES DI-145A-9912/9913/9914/9915/9916"/>
    <s v="SC-006"/>
    <s v=" 8301 A"/>
    <s v="1450AA-L-70109"/>
    <s v="1450AA-S-58301"/>
    <n v="1"/>
    <s v="PÇ"/>
    <n v="518.79999999999995"/>
    <n v="518.79999999999995"/>
    <n v="0"/>
    <n v="0"/>
    <n v="0"/>
    <n v="0.9"/>
    <n v="0.1"/>
    <m/>
    <m/>
    <x v="0"/>
    <n v="0"/>
    <m/>
    <n v="0"/>
    <n v="518.79999999999995"/>
    <m/>
    <n v="0"/>
    <n v="0"/>
    <n v="0"/>
    <m/>
    <m/>
    <m/>
    <n v="0"/>
    <n v="0"/>
    <n v="0"/>
    <n v="0"/>
    <m/>
    <m/>
  </r>
  <r>
    <n v="0"/>
    <s v="CMS S.60.10.000"/>
    <x v="1"/>
    <m/>
    <m/>
    <m/>
    <x v="0"/>
    <m/>
    <m/>
    <x v="0"/>
    <x v="0"/>
    <s v="LINHA DO CIRCUITO ARENOSO LINHA DE ALIMENTAÇÃO DOS DISTRIBUIDORES DI-145A-9912/9913/9914/9915/9916"/>
    <s v="SC-006"/>
    <s v=" 8301 B "/>
    <s v="1450AA-L-70109"/>
    <s v="1450AA-S-58301"/>
    <n v="1"/>
    <s v="PÇ"/>
    <n v="138.19999999999999"/>
    <n v="138.19999999999999"/>
    <n v="0"/>
    <n v="0"/>
    <n v="0"/>
    <n v="0.9"/>
    <n v="0.1"/>
    <m/>
    <m/>
    <x v="0"/>
    <n v="0"/>
    <m/>
    <n v="0"/>
    <n v="138.19999999999999"/>
    <m/>
    <n v="0"/>
    <n v="0"/>
    <n v="0"/>
    <m/>
    <m/>
    <m/>
    <n v="0"/>
    <n v="0"/>
    <n v="0"/>
    <n v="0"/>
    <m/>
    <m/>
  </r>
  <r>
    <n v="0"/>
    <s v="CMS S.60.10.000"/>
    <x v="1"/>
    <m/>
    <m/>
    <m/>
    <x v="0"/>
    <m/>
    <m/>
    <x v="0"/>
    <x v="0"/>
    <s v="LINHA DO CIRCUITO ARENOSO LINHA DE ALIMENTAÇÃO DOS DISTRIBUIDORES DI-145A-9912/9913/9914/9915/9916"/>
    <s v="SC-006"/>
    <s v="SP 8301 C"/>
    <s v="1450AA-L-70109"/>
    <s v="1450AA-S-58301"/>
    <n v="1"/>
    <s v="PÇ"/>
    <n v="30"/>
    <n v="30"/>
    <n v="0"/>
    <n v="0"/>
    <n v="0"/>
    <n v="0.9"/>
    <n v="0.1"/>
    <m/>
    <m/>
    <x v="0"/>
    <n v="0"/>
    <m/>
    <n v="0"/>
    <n v="30"/>
    <m/>
    <n v="0"/>
    <n v="0"/>
    <n v="0"/>
    <m/>
    <m/>
    <m/>
    <n v="0"/>
    <n v="0"/>
    <n v="0"/>
    <n v="0"/>
    <m/>
    <m/>
  </r>
  <r>
    <n v="0"/>
    <s v="CMS S.60.10.000"/>
    <x v="1"/>
    <m/>
    <m/>
    <m/>
    <x v="0"/>
    <m/>
    <m/>
    <x v="0"/>
    <x v="0"/>
    <s v="LINHA DO CIRCUITO ARENOSO LINHA DE ALIMENTAÇÃO DOS DISTRIBUIDORES DI-145A-9912/9913/9914/9915/9916"/>
    <s v="SC-006"/>
    <s v="SP 8301 D"/>
    <s v="1450AA-L-70109"/>
    <s v="1450AA-S-58301"/>
    <n v="2"/>
    <s v="PÇ"/>
    <n v="24.9"/>
    <n v="49.8"/>
    <n v="0"/>
    <n v="0"/>
    <n v="0"/>
    <n v="0.9"/>
    <n v="0.1"/>
    <m/>
    <m/>
    <x v="0"/>
    <n v="0"/>
    <m/>
    <n v="0"/>
    <n v="49.8"/>
    <m/>
    <n v="0"/>
    <n v="0"/>
    <n v="0"/>
    <m/>
    <m/>
    <m/>
    <n v="0"/>
    <n v="0"/>
    <n v="0"/>
    <n v="0"/>
    <m/>
    <m/>
  </r>
  <r>
    <n v="0"/>
    <s v="CMS S.60.10.000"/>
    <x v="1"/>
    <m/>
    <m/>
    <m/>
    <x v="0"/>
    <m/>
    <m/>
    <x v="0"/>
    <x v="0"/>
    <s v="LINHA DO CIRCUITO ARENOSO LINHA DE ALIMENTAÇÃO DOS DISTRIBUIDORES DI-145A-9912/9913/9914/9915/9916"/>
    <s v="SC-006"/>
    <s v="SP 8301 E"/>
    <s v="1450AA-L-70109"/>
    <s v="1450AA-S-58301"/>
    <n v="1"/>
    <s v="PÇ"/>
    <n v="141.9"/>
    <n v="141.9"/>
    <n v="0"/>
    <n v="0"/>
    <n v="0"/>
    <n v="0.9"/>
    <n v="0.1"/>
    <m/>
    <m/>
    <x v="0"/>
    <n v="0"/>
    <m/>
    <n v="0"/>
    <n v="141.9"/>
    <m/>
    <n v="0"/>
    <n v="0"/>
    <n v="0"/>
    <m/>
    <m/>
    <m/>
    <n v="0"/>
    <n v="0"/>
    <n v="0"/>
    <n v="0"/>
    <m/>
    <m/>
  </r>
  <r>
    <n v="0"/>
    <s v="CMS S.60.10.000"/>
    <x v="1"/>
    <m/>
    <m/>
    <m/>
    <x v="0"/>
    <m/>
    <m/>
    <x v="0"/>
    <x v="0"/>
    <s v="LINHA DO CIRCUITO ARENOSO LINHA DE ALIMENTAÇÃO DOS DISTRIBUIDORES DI-145A-9912/9913/9914/9915/9916"/>
    <s v="SC-006"/>
    <s v="SP 8301 F"/>
    <s v="1450AA-L-70109"/>
    <s v="1450AA-S-58301"/>
    <n v="1"/>
    <s v="PÇ"/>
    <n v="100.1"/>
    <n v="100.1"/>
    <n v="0"/>
    <n v="0"/>
    <n v="0"/>
    <n v="0.9"/>
    <n v="0.1"/>
    <m/>
    <m/>
    <x v="0"/>
    <n v="0"/>
    <m/>
    <n v="0"/>
    <n v="100.1"/>
    <m/>
    <n v="0"/>
    <n v="0"/>
    <n v="0"/>
    <m/>
    <m/>
    <m/>
    <n v="0"/>
    <n v="0"/>
    <n v="0"/>
    <n v="0"/>
    <m/>
    <m/>
  </r>
  <r>
    <n v="0"/>
    <s v="CMS S.60.10.000"/>
    <x v="1"/>
    <m/>
    <m/>
    <m/>
    <x v="0"/>
    <m/>
    <m/>
    <x v="0"/>
    <x v="0"/>
    <s v="LINHA DO CIRCUITO ARENOSO LINHA DE ALIMENTAÇÃO DOS DISTRIBUIDORES DI-145A-9912/9913/9914/9915/9916"/>
    <s v="SC-006"/>
    <s v="SP 8301 G"/>
    <s v="1450AA-L-70109"/>
    <s v="1450AA-S-58301"/>
    <n v="1"/>
    <s v="PÇ"/>
    <n v="49.2"/>
    <n v="49.2"/>
    <n v="0"/>
    <n v="0"/>
    <n v="0"/>
    <n v="0.9"/>
    <n v="0.1"/>
    <m/>
    <m/>
    <x v="0"/>
    <n v="0"/>
    <m/>
    <n v="0"/>
    <n v="49.2"/>
    <m/>
    <n v="0"/>
    <n v="0"/>
    <n v="0"/>
    <m/>
    <m/>
    <m/>
    <n v="0"/>
    <n v="0"/>
    <n v="0"/>
    <n v="0"/>
    <m/>
    <m/>
  </r>
  <r>
    <n v="0"/>
    <s v="CMS S.60.10.000"/>
    <x v="1"/>
    <m/>
    <m/>
    <m/>
    <x v="0"/>
    <m/>
    <m/>
    <x v="0"/>
    <x v="0"/>
    <s v="LINHA DO CIRCUITO ARENOSO LINHA DE ALIMENTAÇÃO DOS DISTRIBUIDORES DI-145A-9912/9913/9914/9915/9916"/>
    <s v="SC-006"/>
    <s v="SP 8301 H"/>
    <s v="1450AA-L-70109"/>
    <s v="1450AA-S-58301"/>
    <n v="8"/>
    <s v="PÇ"/>
    <n v="80.599999999999994"/>
    <n v="644.79999999999995"/>
    <n v="0"/>
    <n v="0"/>
    <n v="0"/>
    <n v="0.9"/>
    <n v="0.1"/>
    <m/>
    <m/>
    <x v="0"/>
    <n v="0"/>
    <m/>
    <n v="0"/>
    <n v="644.79999999999995"/>
    <m/>
    <n v="0"/>
    <n v="0"/>
    <n v="0"/>
    <m/>
    <m/>
    <m/>
    <n v="0"/>
    <n v="0"/>
    <n v="0"/>
    <n v="0"/>
    <m/>
    <m/>
  </r>
  <r>
    <n v="0"/>
    <s v="CMS S.60.10.000"/>
    <x v="1"/>
    <m/>
    <m/>
    <m/>
    <x v="0"/>
    <m/>
    <m/>
    <x v="0"/>
    <x v="0"/>
    <s v="LINHA DO CIRCUITO ARENOSO LINHA DE ALIMENTAÇÃO DOS DISTRIBUIDORES DI-145A-9912/9913/9914/9915/9916"/>
    <s v="SC-006"/>
    <s v="SP 8301 J"/>
    <s v="1450AA-L-70109"/>
    <s v="1450AA-S-58301"/>
    <n v="1"/>
    <s v="PÇ"/>
    <n v="1.8"/>
    <n v="1.8"/>
    <n v="0"/>
    <n v="0"/>
    <n v="0"/>
    <n v="0.9"/>
    <n v="0.1"/>
    <m/>
    <m/>
    <x v="0"/>
    <n v="0"/>
    <m/>
    <n v="0"/>
    <n v="1.8"/>
    <m/>
    <n v="0"/>
    <n v="0"/>
    <n v="0"/>
    <m/>
    <m/>
    <m/>
    <n v="0"/>
    <n v="0"/>
    <n v="0"/>
    <n v="0"/>
    <m/>
    <m/>
  </r>
  <r>
    <n v="0"/>
    <s v="CMS S.60.10.000"/>
    <x v="1"/>
    <m/>
    <m/>
    <m/>
    <x v="0"/>
    <m/>
    <m/>
    <x v="0"/>
    <x v="0"/>
    <s v="LINHA DO CIRCUITO ARENOSO LINHA DE ALIMENTAÇÃO DOS DISTRIBUIDORES DI-145A-9912/9913/9914/9915/9916"/>
    <s v="SC-006"/>
    <s v="SP 8301 K"/>
    <s v="1450AA-L-70109"/>
    <s v="1450AA-S-58301"/>
    <n v="1"/>
    <s v="PÇ"/>
    <n v="19.399999999999999"/>
    <n v="19.399999999999999"/>
    <n v="0"/>
    <n v="0"/>
    <n v="0"/>
    <n v="0.9"/>
    <n v="0.1"/>
    <m/>
    <m/>
    <x v="0"/>
    <n v="0"/>
    <m/>
    <n v="0"/>
    <n v="19.399999999999999"/>
    <m/>
    <n v="0"/>
    <n v="0"/>
    <n v="0"/>
    <m/>
    <m/>
    <m/>
    <n v="0"/>
    <n v="0"/>
    <n v="0"/>
    <n v="0"/>
    <m/>
    <m/>
  </r>
  <r>
    <n v="0"/>
    <s v="CMS S.60.10.000"/>
    <x v="1"/>
    <m/>
    <m/>
    <m/>
    <x v="0"/>
    <m/>
    <m/>
    <x v="0"/>
    <x v="0"/>
    <s v="LINHA DO CIRCUITO ARENOSO LINHA DE ALIMENTAÇÃO DOS DISTRIBUIDORES DI-145A-9912/9913/9914/9915/9916"/>
    <s v="SC-006"/>
    <s v="SP 8301 L"/>
    <s v="1450AA-L-70109"/>
    <s v="1450AA-S-58301"/>
    <n v="1"/>
    <s v="PÇ"/>
    <n v="6.9"/>
    <n v="6.9"/>
    <n v="0"/>
    <n v="0"/>
    <n v="0"/>
    <n v="0.9"/>
    <n v="0.1"/>
    <m/>
    <m/>
    <x v="0"/>
    <n v="0"/>
    <m/>
    <n v="0"/>
    <n v="6.9"/>
    <m/>
    <n v="0"/>
    <n v="0"/>
    <n v="0"/>
    <m/>
    <m/>
    <m/>
    <n v="0"/>
    <n v="0"/>
    <n v="0"/>
    <n v="0"/>
    <m/>
    <m/>
  </r>
  <r>
    <n v="0"/>
    <s v="CMS S.60.10.000"/>
    <x v="1"/>
    <m/>
    <m/>
    <m/>
    <x v="0"/>
    <m/>
    <m/>
    <x v="0"/>
    <x v="0"/>
    <s v="LINHA DO CIRCUITO ARENOSO LINHA DE ALIMENTAÇÃO DOS DISTRIBUIDORES DI-145A-9912/9913/9914/9915/9916"/>
    <s v="SC-006"/>
    <s v="SP 8301 M"/>
    <s v="1450AA-L-70109"/>
    <s v="1450AA-S-58301"/>
    <n v="1"/>
    <s v="PÇ"/>
    <n v="3.45"/>
    <n v="3.45"/>
    <n v="0"/>
    <n v="0"/>
    <n v="0"/>
    <n v="0.9"/>
    <n v="0.1"/>
    <m/>
    <m/>
    <x v="0"/>
    <n v="0"/>
    <m/>
    <n v="0"/>
    <n v="3.45"/>
    <m/>
    <n v="0"/>
    <n v="0"/>
    <n v="0"/>
    <m/>
    <m/>
    <m/>
    <n v="0"/>
    <n v="0"/>
    <n v="0"/>
    <n v="0"/>
    <m/>
    <m/>
  </r>
  <r>
    <n v="0"/>
    <s v="CMS S.60.10.000"/>
    <x v="1"/>
    <m/>
    <m/>
    <m/>
    <x v="0"/>
    <m/>
    <m/>
    <x v="0"/>
    <x v="0"/>
    <s v="LINHA DO CIRCUITO ARENOSO LINHA DE DESCARGA  DO DISTRIBUIDOR DI-145A-9912"/>
    <s v="SC-006"/>
    <s v=" 8303 A "/>
    <s v="1450AA-L-70045"/>
    <s v="1450AA-S-58303"/>
    <n v="1"/>
    <s v="PÇ"/>
    <n v="59.5"/>
    <n v="59.5"/>
    <n v="0"/>
    <n v="0"/>
    <n v="0"/>
    <n v="0.9"/>
    <n v="0.1"/>
    <m/>
    <m/>
    <x v="0"/>
    <n v="0"/>
    <m/>
    <n v="0"/>
    <n v="59.5"/>
    <m/>
    <n v="0"/>
    <n v="0"/>
    <n v="0"/>
    <m/>
    <m/>
    <m/>
    <n v="0"/>
    <n v="0"/>
    <n v="0"/>
    <n v="0"/>
    <m/>
    <m/>
  </r>
  <r>
    <n v="0"/>
    <s v="CMS S.60.10.000"/>
    <x v="1"/>
    <m/>
    <m/>
    <m/>
    <x v="0"/>
    <m/>
    <m/>
    <x v="0"/>
    <x v="0"/>
    <s v="LINHA DO CIRCUITO ARENOSO LINHA DE DESCARGA  DO DISTRIBUIDOR DI-145A-9912"/>
    <s v="SC-006"/>
    <s v=" 8303 B"/>
    <s v="1450AA-L-70045"/>
    <s v="1450AA-S-58303"/>
    <n v="1"/>
    <s v="PÇ"/>
    <n v="48"/>
    <n v="48"/>
    <n v="0"/>
    <n v="0"/>
    <n v="0"/>
    <n v="0.9"/>
    <n v="0.1"/>
    <m/>
    <m/>
    <x v="0"/>
    <n v="0"/>
    <m/>
    <n v="0"/>
    <n v="48"/>
    <m/>
    <n v="0"/>
    <n v="0"/>
    <n v="0"/>
    <m/>
    <m/>
    <m/>
    <n v="0"/>
    <n v="0"/>
    <n v="0"/>
    <n v="0"/>
    <m/>
    <m/>
  </r>
  <r>
    <n v="0"/>
    <s v="CMS S.60.10.000"/>
    <x v="1"/>
    <m/>
    <m/>
    <m/>
    <x v="0"/>
    <m/>
    <m/>
    <x v="0"/>
    <x v="0"/>
    <s v="LINHA DO CIRCUITO ARENOSO LINHA DE DESCARGA  DO DISTRIBUIDOR DI-145A-9912"/>
    <s v="SC-006"/>
    <s v=" 8303 C "/>
    <s v="1450AA-L-70045"/>
    <s v="1450AA-S-58303"/>
    <n v="1"/>
    <s v="PÇ"/>
    <n v="23.5"/>
    <n v="23.5"/>
    <n v="0"/>
    <n v="0"/>
    <n v="0"/>
    <n v="0.9"/>
    <n v="0.1"/>
    <m/>
    <m/>
    <x v="0"/>
    <n v="0"/>
    <m/>
    <n v="0"/>
    <n v="23.5"/>
    <m/>
    <n v="0"/>
    <n v="0"/>
    <n v="0"/>
    <m/>
    <m/>
    <m/>
    <n v="0"/>
    <n v="0"/>
    <n v="0"/>
    <n v="0"/>
    <m/>
    <m/>
  </r>
  <r>
    <n v="0"/>
    <s v="CMS S.60.10.000"/>
    <x v="1"/>
    <m/>
    <m/>
    <m/>
    <x v="0"/>
    <m/>
    <m/>
    <x v="0"/>
    <x v="0"/>
    <s v="LINHA DO CIRCUITO ARENOSO LINHA DE DESCARGA  DO DISTRIBUIDOR DI-145A-9912"/>
    <s v="SC-006"/>
    <s v="SP 8303 D"/>
    <s v="1450AA-L-70045"/>
    <s v="1450AA-S-58303"/>
    <n v="1"/>
    <s v="PÇ"/>
    <n v="7.6"/>
    <n v="7.6"/>
    <n v="0"/>
    <n v="0"/>
    <n v="0"/>
    <n v="0.9"/>
    <n v="0.1"/>
    <m/>
    <m/>
    <x v="0"/>
    <n v="0"/>
    <m/>
    <n v="0"/>
    <n v="7.6"/>
    <m/>
    <n v="0"/>
    <n v="0"/>
    <n v="0"/>
    <m/>
    <m/>
    <m/>
    <n v="0"/>
    <n v="0"/>
    <n v="0"/>
    <n v="0"/>
    <m/>
    <m/>
  </r>
  <r>
    <n v="0"/>
    <s v="CMS S.60.10.000"/>
    <x v="1"/>
    <m/>
    <m/>
    <m/>
    <x v="0"/>
    <m/>
    <m/>
    <x v="0"/>
    <x v="0"/>
    <s v="LINHA DO CIRCUITO ARENOSO LINHA DE DESCARGA  DO DISTRIBUIDOR DI-145A-9912"/>
    <s v="SC-006"/>
    <s v=" 8303 E"/>
    <s v="1450AA-L-70045"/>
    <s v="1450AA-S-58303"/>
    <n v="1"/>
    <s v="PÇ"/>
    <n v="65.900000000000006"/>
    <n v="65.900000000000006"/>
    <n v="0"/>
    <n v="0"/>
    <n v="0"/>
    <n v="0.9"/>
    <n v="0.1"/>
    <m/>
    <m/>
    <x v="0"/>
    <n v="0"/>
    <m/>
    <n v="0"/>
    <n v="65.900000000000006"/>
    <m/>
    <n v="0"/>
    <n v="0"/>
    <n v="0"/>
    <m/>
    <m/>
    <m/>
    <n v="0"/>
    <n v="0"/>
    <n v="0"/>
    <n v="0"/>
    <m/>
    <m/>
  </r>
  <r>
    <n v="0"/>
    <s v="CMS S.60.10.000"/>
    <x v="1"/>
    <m/>
    <m/>
    <m/>
    <x v="0"/>
    <m/>
    <m/>
    <x v="0"/>
    <x v="0"/>
    <s v="LINHA DO CIRCUITO ARENOSO LINHA DE DESCARGA  DO DISTRIBUIDOR DI-145A-9912"/>
    <s v="SC-006"/>
    <s v=" 8303 F "/>
    <s v="1450AA-L-70045"/>
    <s v="1450AA-S-58303"/>
    <n v="1"/>
    <s v="PÇ"/>
    <n v="55.4"/>
    <n v="55.4"/>
    <n v="0"/>
    <n v="0"/>
    <n v="0"/>
    <n v="0.9"/>
    <n v="0.1"/>
    <m/>
    <m/>
    <x v="0"/>
    <n v="0"/>
    <m/>
    <n v="0"/>
    <n v="55.4"/>
    <m/>
    <n v="0"/>
    <n v="0"/>
    <n v="0"/>
    <m/>
    <m/>
    <m/>
    <n v="0"/>
    <n v="0"/>
    <n v="0"/>
    <n v="0"/>
    <m/>
    <m/>
  </r>
  <r>
    <n v="0"/>
    <s v="CMS S.60.10.000"/>
    <x v="1"/>
    <m/>
    <m/>
    <m/>
    <x v="0"/>
    <m/>
    <m/>
    <x v="0"/>
    <x v="0"/>
    <s v="LINHA DO CIRCUITO ARENOSO LINHA DE DESCARGA  DO DISTRIBUIDOR DI-145A-9912"/>
    <s v="SC-006"/>
    <s v=" 8303 G "/>
    <s v="1450AA-L-70045"/>
    <s v="1450AA-S-58303"/>
    <n v="1"/>
    <s v="PÇ"/>
    <n v="45.3"/>
    <n v="45.3"/>
    <n v="0"/>
    <n v="0"/>
    <n v="0"/>
    <n v="0.9"/>
    <n v="0.1"/>
    <m/>
    <m/>
    <x v="0"/>
    <n v="0"/>
    <m/>
    <n v="0"/>
    <n v="45.3"/>
    <m/>
    <n v="0"/>
    <n v="0"/>
    <n v="0"/>
    <m/>
    <m/>
    <m/>
    <n v="0"/>
    <n v="0"/>
    <n v="0"/>
    <n v="0"/>
    <m/>
    <m/>
  </r>
  <r>
    <n v="0"/>
    <s v="CMS S.60.10.000"/>
    <x v="1"/>
    <m/>
    <m/>
    <m/>
    <x v="0"/>
    <m/>
    <m/>
    <x v="0"/>
    <x v="0"/>
    <s v="LINHA DO CIRCUITO ARENOSO LINHA DE DESCARGA  DO DISTRIBUIDOR DI-145A-9912"/>
    <s v="SC-006"/>
    <s v=" 8303 H "/>
    <s v="1450AA-L-70045"/>
    <s v="1450AA-S-58303"/>
    <n v="1"/>
    <s v="PÇ"/>
    <n v="49.8"/>
    <n v="49.8"/>
    <n v="0"/>
    <n v="0"/>
    <n v="0"/>
    <n v="0.9"/>
    <n v="0.1"/>
    <m/>
    <m/>
    <x v="0"/>
    <n v="0"/>
    <m/>
    <n v="0"/>
    <n v="49.8"/>
    <m/>
    <n v="0"/>
    <n v="0"/>
    <n v="0"/>
    <m/>
    <m/>
    <m/>
    <n v="0"/>
    <n v="0"/>
    <n v="0"/>
    <n v="0"/>
    <m/>
    <m/>
  </r>
  <r>
    <n v="0"/>
    <s v="CMS S.60.10.000"/>
    <x v="1"/>
    <m/>
    <m/>
    <m/>
    <x v="0"/>
    <m/>
    <m/>
    <x v="0"/>
    <x v="0"/>
    <s v="LINHA DO CIRCUITO ARENOSO LINHA DE DESCARGA  DO DISTRIBUIDOR DI-145A-9912"/>
    <s v="SC-006"/>
    <s v=" 8303 J "/>
    <s v="1450AA-L-70045"/>
    <s v="1450AA-S-58303"/>
    <n v="6"/>
    <s v="PÇ"/>
    <n v="56.9"/>
    <n v="341.4"/>
    <n v="0"/>
    <n v="0"/>
    <n v="0"/>
    <n v="0.9"/>
    <n v="0.1"/>
    <m/>
    <m/>
    <x v="0"/>
    <n v="0"/>
    <m/>
    <n v="0"/>
    <n v="341.4"/>
    <m/>
    <n v="0"/>
    <n v="0"/>
    <n v="0"/>
    <m/>
    <m/>
    <m/>
    <n v="0"/>
    <n v="0"/>
    <n v="0"/>
    <n v="0"/>
    <m/>
    <m/>
  </r>
  <r>
    <n v="0"/>
    <s v="CMS S.60.10.000"/>
    <x v="1"/>
    <m/>
    <m/>
    <m/>
    <x v="0"/>
    <m/>
    <m/>
    <x v="0"/>
    <x v="0"/>
    <s v="LINHA DO CIRCUITO ARENOSO LINHA DE DESCARGA  DO DISTRIBUIDOR DI-145A-9912"/>
    <s v="SC-006"/>
    <s v="SP 8303 K "/>
    <s v="1450AA-L-70045"/>
    <s v="1450AA-S-58303"/>
    <n v="1"/>
    <s v="PÇ"/>
    <n v="7.2"/>
    <n v="7.2"/>
    <n v="0"/>
    <n v="0"/>
    <n v="0"/>
    <n v="0.9"/>
    <n v="0.1"/>
    <m/>
    <m/>
    <x v="0"/>
    <n v="0"/>
    <m/>
    <n v="0"/>
    <n v="7.2"/>
    <m/>
    <n v="0"/>
    <n v="0"/>
    <n v="0"/>
    <m/>
    <m/>
    <m/>
    <n v="0"/>
    <n v="0"/>
    <n v="0"/>
    <n v="0"/>
    <m/>
    <m/>
  </r>
  <r>
    <n v="0"/>
    <s v="CMS S.60.10.000"/>
    <x v="1"/>
    <m/>
    <m/>
    <m/>
    <x v="0"/>
    <m/>
    <m/>
    <x v="0"/>
    <x v="0"/>
    <s v="LINHA DO CIRCUITO ARENOSO LINHA DE DESCARGA  DO DISTRIBUIDOR DI-145A-9912"/>
    <s v="SC-006"/>
    <s v="SP 8303 L"/>
    <s v="1450AA-L-70045"/>
    <s v="1450AA-S-58303"/>
    <n v="4"/>
    <s v="PÇ"/>
    <n v="54.8"/>
    <n v="219.2"/>
    <n v="0"/>
    <n v="0"/>
    <n v="0"/>
    <n v="0.9"/>
    <n v="0.1"/>
    <m/>
    <m/>
    <x v="0"/>
    <n v="0"/>
    <m/>
    <n v="0"/>
    <n v="219.2"/>
    <m/>
    <n v="0"/>
    <n v="0"/>
    <n v="0"/>
    <m/>
    <m/>
    <m/>
    <n v="0"/>
    <n v="0"/>
    <n v="0"/>
    <n v="0"/>
    <m/>
    <m/>
  </r>
  <r>
    <n v="0"/>
    <s v="CMS S.60.10.000"/>
    <x v="1"/>
    <m/>
    <m/>
    <m/>
    <x v="0"/>
    <m/>
    <m/>
    <x v="0"/>
    <x v="0"/>
    <s v="LINHA DO CIRCUITO ARENOSO LINHA DE DESCARGA  DO DISTRIBUIDOR DI-145A-9912"/>
    <s v="SC-006"/>
    <s v="SP 8303 M "/>
    <s v="1450AA-L-70045"/>
    <s v="1450AA-S-58303"/>
    <n v="2"/>
    <s v="PÇ"/>
    <n v="12"/>
    <n v="24"/>
    <n v="0"/>
    <n v="0"/>
    <n v="0"/>
    <n v="0.9"/>
    <n v="0.1"/>
    <m/>
    <m/>
    <x v="0"/>
    <n v="0"/>
    <m/>
    <n v="0"/>
    <n v="24"/>
    <m/>
    <n v="0"/>
    <n v="0"/>
    <n v="0"/>
    <m/>
    <m/>
    <m/>
    <n v="0"/>
    <n v="0"/>
    <n v="0"/>
    <n v="0"/>
    <m/>
    <m/>
  </r>
  <r>
    <n v="0"/>
    <s v="CMS S.60.10.000"/>
    <x v="1"/>
    <m/>
    <m/>
    <m/>
    <x v="0"/>
    <m/>
    <m/>
    <x v="0"/>
    <x v="0"/>
    <s v="LINHA DO CIRCUITO ARENOSO LINHA DE DESCARGA  DO DISTRIBUIDOR DI-145A-9912"/>
    <s v="SC-006"/>
    <s v="SP 8303 N "/>
    <s v="1450AA-L-70045"/>
    <s v="1450AA-S-58303"/>
    <n v="1"/>
    <s v="PÇ"/>
    <n v="12.7"/>
    <n v="12.7"/>
    <n v="0"/>
    <n v="0"/>
    <n v="0"/>
    <n v="0.9"/>
    <n v="0.1"/>
    <m/>
    <m/>
    <x v="0"/>
    <n v="0"/>
    <m/>
    <n v="0"/>
    <n v="12.7"/>
    <m/>
    <n v="0"/>
    <n v="0"/>
    <n v="0"/>
    <m/>
    <m/>
    <m/>
    <n v="0"/>
    <n v="0"/>
    <n v="0"/>
    <n v="0"/>
    <m/>
    <m/>
  </r>
  <r>
    <n v="0"/>
    <s v="CMS S.60.10.000"/>
    <x v="1"/>
    <m/>
    <m/>
    <m/>
    <x v="0"/>
    <m/>
    <m/>
    <x v="0"/>
    <x v="0"/>
    <s v="LINHA DO CIRCUITO ARENOSO LINHA DE DESCARGA  DO DISTRIBUIDOR DI-145A-9912"/>
    <s v="SC-006"/>
    <s v="SP 8303 P "/>
    <s v="1450AA-L-70045"/>
    <s v="1450AA-S-58303"/>
    <n v="1"/>
    <s v="PÇ"/>
    <n v="3.5"/>
    <n v="3.5"/>
    <n v="0"/>
    <n v="0"/>
    <n v="0"/>
    <n v="0.9"/>
    <n v="0.1"/>
    <m/>
    <m/>
    <x v="0"/>
    <n v="0"/>
    <m/>
    <n v="0"/>
    <n v="3.5"/>
    <m/>
    <n v="0"/>
    <n v="0"/>
    <n v="0"/>
    <m/>
    <m/>
    <m/>
    <n v="0"/>
    <n v="0"/>
    <n v="0"/>
    <n v="0"/>
    <m/>
    <m/>
  </r>
  <r>
    <n v="0"/>
    <s v="CMS S.60.10.000"/>
    <x v="1"/>
    <m/>
    <m/>
    <m/>
    <x v="0"/>
    <m/>
    <m/>
    <x v="0"/>
    <x v="0"/>
    <s v="LINHA DO CIRCUITO ARENOSO LINHA DE DESCARGA  DO DISTRIBUIDOR DI-145A-9912"/>
    <s v="SC-006"/>
    <s v="SP 8303 Q "/>
    <s v="1450AA-L-70045"/>
    <s v="1450AA-S-58303"/>
    <n v="8"/>
    <s v="PÇ"/>
    <n v="3.5"/>
    <n v="28"/>
    <n v="0"/>
    <n v="0"/>
    <n v="0"/>
    <n v="0.9"/>
    <n v="0.1"/>
    <m/>
    <m/>
    <x v="0"/>
    <n v="0"/>
    <m/>
    <n v="0"/>
    <n v="28"/>
    <m/>
    <n v="0"/>
    <n v="0"/>
    <n v="0"/>
    <m/>
    <m/>
    <m/>
    <n v="0"/>
    <n v="0"/>
    <n v="0"/>
    <n v="0"/>
    <m/>
    <m/>
  </r>
  <r>
    <n v="0"/>
    <s v="CMS S.60.10.000"/>
    <x v="1"/>
    <m/>
    <m/>
    <m/>
    <x v="0"/>
    <m/>
    <m/>
    <x v="0"/>
    <x v="0"/>
    <s v="LINHA DO CIRCUITO ARENOSO LINHA DE DESCARGA  DO DISTRIBUIDOR DI-145A-9912"/>
    <s v="SC-006"/>
    <s v="SP 8303 R"/>
    <s v="1450AA-L-70045"/>
    <s v="1450AA-S-58303"/>
    <n v="1"/>
    <s v="PÇ"/>
    <n v="0.6"/>
    <n v="0.6"/>
    <n v="0"/>
    <n v="0"/>
    <n v="0"/>
    <n v="0.9"/>
    <n v="0.1"/>
    <m/>
    <m/>
    <x v="0"/>
    <n v="0"/>
    <m/>
    <n v="0"/>
    <n v="0.6"/>
    <m/>
    <n v="0"/>
    <n v="0"/>
    <n v="0"/>
    <m/>
    <m/>
    <m/>
    <n v="0"/>
    <n v="0"/>
    <n v="0"/>
    <n v="0"/>
    <m/>
    <m/>
  </r>
  <r>
    <n v="0"/>
    <s v="CMS S.60.10.000"/>
    <x v="1"/>
    <m/>
    <m/>
    <m/>
    <x v="0"/>
    <m/>
    <m/>
    <x v="0"/>
    <x v="0"/>
    <s v="LINHA DO CIRCUITO ARENOSO LINHA DE DESCARGA  DO DISTRIBUIDOR DI-145A-9912"/>
    <s v="SC-006"/>
    <s v="SP 8303 S "/>
    <s v="1450AA-L-70045"/>
    <s v="1450AA-S-58303"/>
    <n v="1"/>
    <s v="PÇ"/>
    <n v="13"/>
    <n v="13"/>
    <n v="0"/>
    <n v="0"/>
    <n v="0"/>
    <n v="0.9"/>
    <n v="0.1"/>
    <m/>
    <m/>
    <x v="0"/>
    <n v="0"/>
    <m/>
    <n v="0"/>
    <n v="13"/>
    <m/>
    <n v="0"/>
    <n v="0"/>
    <n v="0"/>
    <m/>
    <m/>
    <m/>
    <n v="0"/>
    <n v="0"/>
    <n v="0"/>
    <n v="0"/>
    <m/>
    <m/>
  </r>
  <r>
    <n v="0"/>
    <s v="CMS S.60.10.000"/>
    <x v="1"/>
    <m/>
    <m/>
    <m/>
    <x v="0"/>
    <m/>
    <m/>
    <x v="0"/>
    <x v="0"/>
    <s v="LINHA DO CIRCUITO ARENOSO LINHA DE DESCARGA  DO DISTRIBUIDOR DI-145A-9912"/>
    <s v="SC-006"/>
    <s v="SP 8304 A"/>
    <s v="1450AA-L-70045"/>
    <s v="1450AA-S-58304"/>
    <n v="1"/>
    <s v="PÇ"/>
    <n v="34.5"/>
    <n v="34.5"/>
    <n v="0"/>
    <n v="0"/>
    <n v="0"/>
    <n v="0.9"/>
    <n v="0.1"/>
    <m/>
    <m/>
    <x v="0"/>
    <n v="0"/>
    <m/>
    <n v="0"/>
    <n v="34.5"/>
    <m/>
    <n v="0"/>
    <n v="0"/>
    <n v="0"/>
    <m/>
    <m/>
    <m/>
    <n v="0"/>
    <n v="0"/>
    <n v="0"/>
    <n v="0"/>
    <m/>
    <m/>
  </r>
  <r>
    <n v="0"/>
    <s v="CMS S.60.10.000"/>
    <x v="1"/>
    <m/>
    <m/>
    <m/>
    <x v="0"/>
    <m/>
    <m/>
    <x v="0"/>
    <x v="0"/>
    <s v="LINHA DO CIRCUITO ARENOSO LINHA DE DESCARGA  DO DISTRIBUIDOR DI-145A-9912"/>
    <s v="SC-006"/>
    <s v="SP 8304 B"/>
    <s v="1450AA-L-70045"/>
    <s v="1450AA-S-58304"/>
    <n v="1"/>
    <s v="PÇ"/>
    <n v="5.3999999999999995"/>
    <n v="5.3999999999999995"/>
    <n v="0"/>
    <n v="0"/>
    <n v="0"/>
    <n v="0.9"/>
    <n v="0.1"/>
    <m/>
    <m/>
    <x v="0"/>
    <n v="0"/>
    <m/>
    <n v="0"/>
    <n v="5.3999999999999995"/>
    <m/>
    <n v="0"/>
    <n v="0"/>
    <n v="0"/>
    <m/>
    <m/>
    <m/>
    <n v="0"/>
    <n v="0"/>
    <n v="0"/>
    <n v="0"/>
    <m/>
    <m/>
  </r>
  <r>
    <n v="0"/>
    <s v="CMS S.60.10.000"/>
    <x v="1"/>
    <m/>
    <m/>
    <m/>
    <x v="0"/>
    <m/>
    <m/>
    <x v="0"/>
    <x v="0"/>
    <s v="LINHA DO CIRCUITO ARENOSO LINHA DE DESCARGA  DO DISTRIBUIDOR DI-145A-9912"/>
    <s v="SC-006"/>
    <s v="SP 8304 C"/>
    <s v="1450AA-L-70045"/>
    <s v="1450AA-S-58304"/>
    <n v="1"/>
    <s v="PÇ"/>
    <n v="16.900000000000002"/>
    <n v="16.900000000000002"/>
    <n v="0"/>
    <n v="0"/>
    <n v="0"/>
    <n v="0.9"/>
    <n v="0.1"/>
    <m/>
    <m/>
    <x v="0"/>
    <n v="0"/>
    <m/>
    <n v="0"/>
    <n v="16.900000000000002"/>
    <m/>
    <n v="0"/>
    <n v="0"/>
    <n v="0"/>
    <m/>
    <m/>
    <m/>
    <n v="0"/>
    <n v="0"/>
    <n v="0"/>
    <n v="0"/>
    <m/>
    <m/>
  </r>
  <r>
    <n v="0"/>
    <s v="CMS S.60.10.000"/>
    <x v="1"/>
    <m/>
    <m/>
    <m/>
    <x v="0"/>
    <m/>
    <m/>
    <x v="0"/>
    <x v="0"/>
    <s v="LINHA DO CIRCUITO ARENOSO LINHA DE DESCARGA  DO DISTRIBUIDOR DI-145A-9912"/>
    <s v="SC-006"/>
    <s v="SP 8304 D"/>
    <s v="1450AA-L-70045"/>
    <s v="1450AA-S-58304"/>
    <n v="1"/>
    <s v="PÇ"/>
    <n v="15.799999999999999"/>
    <n v="15.799999999999999"/>
    <n v="0"/>
    <n v="0"/>
    <n v="0"/>
    <n v="0.9"/>
    <n v="0.1"/>
    <m/>
    <m/>
    <x v="0"/>
    <n v="0"/>
    <m/>
    <n v="0"/>
    <n v="15.799999999999999"/>
    <m/>
    <n v="0"/>
    <n v="0"/>
    <n v="0"/>
    <m/>
    <m/>
    <m/>
    <n v="0"/>
    <n v="0"/>
    <n v="0"/>
    <n v="0"/>
    <m/>
    <m/>
  </r>
  <r>
    <n v="0"/>
    <s v="CMS S.60.10.000"/>
    <x v="1"/>
    <m/>
    <m/>
    <m/>
    <x v="0"/>
    <m/>
    <m/>
    <x v="0"/>
    <x v="0"/>
    <s v="LINHA DO CIRCUITO ARENOSO LINHA DE DESCARGA  DO DISTRIBUIDOR DI-145A-9912"/>
    <s v="SC-006"/>
    <s v="SP 8304 E"/>
    <s v="1450AA-L-70045"/>
    <s v="1450AA-S-58304"/>
    <n v="1"/>
    <s v="PÇ"/>
    <n v="23.8"/>
    <n v="23.8"/>
    <n v="0"/>
    <n v="0"/>
    <n v="0"/>
    <n v="0.9"/>
    <n v="0.1"/>
    <m/>
    <m/>
    <x v="0"/>
    <n v="0"/>
    <m/>
    <n v="0"/>
    <n v="23.8"/>
    <m/>
    <n v="0"/>
    <n v="0"/>
    <n v="0"/>
    <m/>
    <m/>
    <m/>
    <n v="0"/>
    <n v="0"/>
    <n v="0"/>
    <n v="0"/>
    <m/>
    <m/>
  </r>
  <r>
    <n v="0"/>
    <s v="CMS S.60.10.000"/>
    <x v="1"/>
    <m/>
    <m/>
    <m/>
    <x v="0"/>
    <m/>
    <m/>
    <x v="0"/>
    <x v="0"/>
    <s v="LINHA DO CIRCUITO ARENOSO LINHA DE DESCARGA  DO DISTRIBUIDOR DI-145A-9912"/>
    <s v="SC-006"/>
    <s v="SP 8304 F"/>
    <s v="1450AA-L-70045"/>
    <s v="1450AA-S-58304"/>
    <n v="1"/>
    <s v="PÇ"/>
    <n v="0.5"/>
    <n v="0.5"/>
    <n v="0"/>
    <n v="0"/>
    <n v="0"/>
    <n v="0.9"/>
    <n v="0.1"/>
    <m/>
    <m/>
    <x v="0"/>
    <n v="0"/>
    <m/>
    <n v="0"/>
    <n v="0.5"/>
    <m/>
    <n v="0"/>
    <n v="0"/>
    <n v="0"/>
    <m/>
    <m/>
    <m/>
    <n v="0"/>
    <n v="0"/>
    <n v="0"/>
    <n v="0"/>
    <m/>
    <m/>
  </r>
  <r>
    <n v="0"/>
    <s v="CMS S.60.10.000"/>
    <x v="1"/>
    <m/>
    <m/>
    <m/>
    <x v="0"/>
    <m/>
    <m/>
    <x v="0"/>
    <x v="0"/>
    <s v="LINHA DO CIRCUITO ARENOSO LINHA DE DESCARGA  DO DISTRIBUIDOR DI-145A-9913"/>
    <s v="SC-006"/>
    <s v="SP 8305 A"/>
    <s v="1450AA-L-70046"/>
    <s v="1450AA-S-58305"/>
    <n v="2"/>
    <s v="PÇ"/>
    <n v="48.1"/>
    <n v="96.2"/>
    <n v="0"/>
    <n v="0"/>
    <n v="0"/>
    <n v="0.9"/>
    <n v="0.1"/>
    <m/>
    <m/>
    <x v="0"/>
    <n v="0"/>
    <m/>
    <n v="0"/>
    <n v="96.2"/>
    <m/>
    <n v="0"/>
    <n v="0"/>
    <n v="0"/>
    <m/>
    <m/>
    <m/>
    <n v="0"/>
    <n v="0"/>
    <n v="0"/>
    <n v="0"/>
    <m/>
    <m/>
  </r>
  <r>
    <n v="0"/>
    <s v="CMS S.60.10.000"/>
    <x v="1"/>
    <m/>
    <m/>
    <m/>
    <x v="0"/>
    <m/>
    <m/>
    <x v="0"/>
    <x v="0"/>
    <s v="LINHA DO CIRCUITO ARENOSO LINHA DE DESCARGA  DO DISTRIBUIDOR DI-145A-9913"/>
    <s v="SC-006"/>
    <s v="SP 8305 B"/>
    <s v="1450AA-L-70046"/>
    <s v="1450AA-S-58305"/>
    <n v="2"/>
    <s v="PÇ"/>
    <n v="49.8"/>
    <n v="99.6"/>
    <n v="0"/>
    <n v="0"/>
    <n v="0"/>
    <n v="0.9"/>
    <n v="0.1"/>
    <m/>
    <m/>
    <x v="0"/>
    <n v="0"/>
    <m/>
    <n v="0"/>
    <n v="99.6"/>
    <m/>
    <n v="0"/>
    <n v="0"/>
    <n v="0"/>
    <m/>
    <m/>
    <m/>
    <n v="0"/>
    <n v="0"/>
    <n v="0"/>
    <n v="0"/>
    <m/>
    <m/>
  </r>
  <r>
    <n v="0"/>
    <s v="CMS S.60.10.000"/>
    <x v="1"/>
    <m/>
    <m/>
    <m/>
    <x v="0"/>
    <m/>
    <m/>
    <x v="0"/>
    <x v="0"/>
    <s v="LINHA DO CIRCUITO ARENOSO LINHA DE DESCARGA  DO DISTRIBUIDOR DI-145A-9913"/>
    <s v="SC-006"/>
    <s v="SP 8305 C"/>
    <s v="1450AA-L-70046"/>
    <s v="1450AA-S-58305"/>
    <n v="3"/>
    <s v="PÇ"/>
    <n v="48"/>
    <n v="144"/>
    <n v="0"/>
    <n v="0"/>
    <n v="0"/>
    <n v="0.9"/>
    <n v="0.1"/>
    <m/>
    <m/>
    <x v="0"/>
    <n v="0"/>
    <m/>
    <n v="0"/>
    <n v="144"/>
    <m/>
    <n v="0"/>
    <n v="0"/>
    <n v="0"/>
    <m/>
    <m/>
    <m/>
    <n v="0"/>
    <n v="0"/>
    <n v="0"/>
    <n v="0"/>
    <m/>
    <m/>
  </r>
  <r>
    <n v="0"/>
    <s v="CMS S.60.10.000"/>
    <x v="1"/>
    <m/>
    <m/>
    <m/>
    <x v="0"/>
    <m/>
    <m/>
    <x v="0"/>
    <x v="0"/>
    <s v="LINHA DO CIRCUITO ARENOSO LINHA DE DESCARGA  DO DISTRIBUIDOR DI-145A-9913"/>
    <s v="SC-006"/>
    <s v="SP 8305 D"/>
    <s v="1450AA-L-70046"/>
    <s v="1450AA-S-58305"/>
    <n v="3"/>
    <s v="PÇ"/>
    <n v="39.200000000000003"/>
    <n v="117.60000000000001"/>
    <n v="0"/>
    <n v="0"/>
    <n v="0"/>
    <n v="0.9"/>
    <n v="0.1"/>
    <m/>
    <m/>
    <x v="0"/>
    <n v="0"/>
    <m/>
    <n v="0"/>
    <n v="117.60000000000001"/>
    <m/>
    <n v="0"/>
    <n v="0"/>
    <n v="0"/>
    <m/>
    <m/>
    <m/>
    <n v="0"/>
    <n v="0"/>
    <n v="0"/>
    <n v="0"/>
    <m/>
    <m/>
  </r>
  <r>
    <n v="0"/>
    <s v="CMS S.60.10.000"/>
    <x v="1"/>
    <m/>
    <m/>
    <m/>
    <x v="0"/>
    <m/>
    <m/>
    <x v="0"/>
    <x v="0"/>
    <s v="LINHA DO CIRCUITO ARENOSO LINHA DE DESCARGA  DO DISTRIBUIDOR DI-145A-9913"/>
    <s v="SC-006"/>
    <s v="SP 8305 E"/>
    <s v="1450AA-L-70046"/>
    <s v="1450AA-S-58305"/>
    <n v="1"/>
    <s v="PÇ"/>
    <n v="34.299999999999997"/>
    <n v="34.299999999999997"/>
    <n v="0"/>
    <n v="0"/>
    <n v="0"/>
    <n v="0.9"/>
    <n v="0.1"/>
    <m/>
    <m/>
    <x v="0"/>
    <n v="0"/>
    <m/>
    <n v="0"/>
    <n v="34.299999999999997"/>
    <m/>
    <n v="0"/>
    <n v="0"/>
    <n v="0"/>
    <m/>
    <m/>
    <m/>
    <n v="0"/>
    <n v="0"/>
    <n v="0"/>
    <n v="0"/>
    <m/>
    <m/>
  </r>
  <r>
    <n v="0"/>
    <s v="CMS S.60.10.000"/>
    <x v="1"/>
    <m/>
    <m/>
    <m/>
    <x v="0"/>
    <m/>
    <m/>
    <x v="0"/>
    <x v="0"/>
    <s v="LINHA DO CIRCUITO ARENOSO LINHA DE DESCARGA  DO DISTRIBUIDOR DI-145A-9913"/>
    <s v="SC-006"/>
    <s v="SP 8305 F"/>
    <s v="1450AA-L-70046"/>
    <s v="1450AA-S-58305"/>
    <n v="4"/>
    <s v="PÇ"/>
    <n v="23.6"/>
    <n v="94.4"/>
    <n v="0"/>
    <n v="0"/>
    <n v="0"/>
    <n v="0.9"/>
    <n v="0.1"/>
    <m/>
    <m/>
    <x v="0"/>
    <n v="0"/>
    <m/>
    <n v="0"/>
    <n v="94.4"/>
    <m/>
    <n v="0"/>
    <n v="0"/>
    <n v="0"/>
    <m/>
    <m/>
    <m/>
    <n v="0"/>
    <n v="0"/>
    <n v="0"/>
    <n v="0"/>
    <m/>
    <m/>
  </r>
  <r>
    <n v="0"/>
    <s v="CMS S.60.10.000"/>
    <x v="1"/>
    <m/>
    <m/>
    <m/>
    <x v="0"/>
    <m/>
    <m/>
    <x v="0"/>
    <x v="0"/>
    <s v="LINHA DO CIRCUITO ARENOSO LINHA DE DESCARGA  DO DISTRIBUIDOR DI-145A-9913"/>
    <s v="SC-006"/>
    <s v="SP 8305 G"/>
    <s v="1450AA-L-70046"/>
    <s v="1450AA-S-58305"/>
    <n v="1"/>
    <s v="PÇ"/>
    <n v="7.8"/>
    <n v="7.8"/>
    <n v="0"/>
    <n v="0"/>
    <n v="0"/>
    <n v="0.9"/>
    <n v="0.1"/>
    <m/>
    <m/>
    <x v="0"/>
    <n v="0"/>
    <m/>
    <n v="0"/>
    <n v="7.8"/>
    <m/>
    <n v="0"/>
    <n v="0"/>
    <n v="0"/>
    <m/>
    <m/>
    <m/>
    <n v="0"/>
    <n v="0"/>
    <n v="0"/>
    <n v="0"/>
    <m/>
    <m/>
  </r>
  <r>
    <n v="0"/>
    <s v="CMS S.60.10.000"/>
    <x v="1"/>
    <m/>
    <m/>
    <m/>
    <x v="0"/>
    <m/>
    <m/>
    <x v="0"/>
    <x v="0"/>
    <s v="LINHA DO CIRCUITO ARENOSO LINHA DE DESCARGA  DO DISTRIBUIDOR DI-145A-9913"/>
    <s v="SC-006"/>
    <s v="SP 8305 H"/>
    <s v="1450AA-L-70046"/>
    <s v="1450AA-S-58305"/>
    <n v="2"/>
    <s v="PÇ"/>
    <n v="66"/>
    <n v="132"/>
    <n v="0"/>
    <n v="0"/>
    <n v="0"/>
    <n v="0.9"/>
    <n v="0.1"/>
    <m/>
    <m/>
    <x v="0"/>
    <n v="0"/>
    <m/>
    <n v="0"/>
    <n v="132"/>
    <m/>
    <n v="0"/>
    <n v="0"/>
    <n v="0"/>
    <m/>
    <m/>
    <m/>
    <n v="0"/>
    <n v="0"/>
    <n v="0"/>
    <n v="0"/>
    <m/>
    <m/>
  </r>
  <r>
    <n v="0"/>
    <s v="CMS S.60.10.000"/>
    <x v="1"/>
    <m/>
    <m/>
    <m/>
    <x v="0"/>
    <m/>
    <m/>
    <x v="0"/>
    <x v="0"/>
    <s v="LINHA DO CIRCUITO ARENOSO LINHA DE DESCARGA  DO DISTRIBUIDOR DI-145A-9913"/>
    <s v="SC-006"/>
    <s v="SP 8305 J"/>
    <s v="1450AA-L-70046"/>
    <s v="1450AA-S-58305"/>
    <n v="1"/>
    <s v="PÇ"/>
    <n v="8.9"/>
    <n v="8.9"/>
    <n v="0"/>
    <n v="0"/>
    <n v="0"/>
    <n v="0.9"/>
    <n v="0.1"/>
    <m/>
    <m/>
    <x v="0"/>
    <n v="0"/>
    <m/>
    <n v="0"/>
    <n v="8.9"/>
    <m/>
    <n v="0"/>
    <n v="0"/>
    <n v="0"/>
    <m/>
    <m/>
    <m/>
    <n v="0"/>
    <n v="0"/>
    <n v="0"/>
    <n v="0"/>
    <m/>
    <m/>
  </r>
  <r>
    <n v="0"/>
    <s v="CMS S.60.10.000"/>
    <x v="1"/>
    <m/>
    <m/>
    <m/>
    <x v="0"/>
    <m/>
    <m/>
    <x v="0"/>
    <x v="0"/>
    <s v="LINHA DO CIRCUITO ARENOSO LINHA DE DESCARGA  DO DISTRIBUIDOR DI-145A-9913"/>
    <s v="SC-006"/>
    <s v="SP 8305 K"/>
    <s v="1450AA-L-70046"/>
    <s v="1450AA-S-58305"/>
    <n v="1"/>
    <s v="PÇ"/>
    <n v="7.3"/>
    <n v="7.3"/>
    <n v="0"/>
    <n v="0"/>
    <n v="0"/>
    <n v="0.9"/>
    <n v="0.1"/>
    <m/>
    <m/>
    <x v="0"/>
    <n v="0"/>
    <m/>
    <n v="0"/>
    <n v="7.3"/>
    <m/>
    <n v="0"/>
    <n v="0"/>
    <n v="0"/>
    <m/>
    <m/>
    <m/>
    <n v="0"/>
    <n v="0"/>
    <n v="0"/>
    <n v="0"/>
    <m/>
    <m/>
  </r>
  <r>
    <n v="0"/>
    <s v="CMS S.60.10.000"/>
    <x v="1"/>
    <m/>
    <m/>
    <m/>
    <x v="0"/>
    <m/>
    <m/>
    <x v="0"/>
    <x v="0"/>
    <s v="LINHA DO CIRCUITO ARENOSO LINHA DE DESCARGA  DO DISTRIBUIDOR DI-145A-9913"/>
    <s v="SC-006"/>
    <s v="SP 8305 L"/>
    <s v="1450AA-L-70046"/>
    <s v="1450AA-S-58305"/>
    <n v="3"/>
    <s v="PÇ"/>
    <n v="7.3"/>
    <n v="21.9"/>
    <n v="0"/>
    <n v="0"/>
    <n v="0"/>
    <n v="0.9"/>
    <n v="0.1"/>
    <m/>
    <m/>
    <x v="0"/>
    <n v="0"/>
    <m/>
    <n v="0"/>
    <n v="21.9"/>
    <m/>
    <n v="0"/>
    <n v="0"/>
    <n v="0"/>
    <m/>
    <m/>
    <m/>
    <n v="0"/>
    <n v="0"/>
    <n v="0"/>
    <n v="0"/>
    <m/>
    <m/>
  </r>
  <r>
    <n v="0"/>
    <s v="CMS S.60.10.000"/>
    <x v="1"/>
    <m/>
    <m/>
    <m/>
    <x v="0"/>
    <m/>
    <m/>
    <x v="0"/>
    <x v="0"/>
    <s v="LINHA DO CIRCUITO ARENOSO LINHA DE DESCARGA  DO DISTRIBUIDOR DI-145A-9914"/>
    <s v="SC-006"/>
    <s v="SP 8306 A"/>
    <m/>
    <s v="1450AA-S-58306"/>
    <n v="2"/>
    <s v="PÇ"/>
    <n v="49.8"/>
    <n v="99.6"/>
    <n v="0"/>
    <n v="0"/>
    <n v="0"/>
    <n v="0.9"/>
    <n v="0.1"/>
    <m/>
    <m/>
    <x v="0"/>
    <n v="0"/>
    <m/>
    <n v="0"/>
    <n v="99.6"/>
    <m/>
    <n v="0"/>
    <n v="0"/>
    <n v="0"/>
    <m/>
    <m/>
    <m/>
    <n v="0"/>
    <n v="0"/>
    <n v="0"/>
    <n v="0"/>
    <m/>
    <m/>
  </r>
  <r>
    <n v="0"/>
    <s v="CMS S.60.10.000"/>
    <x v="1"/>
    <m/>
    <m/>
    <m/>
    <x v="0"/>
    <m/>
    <m/>
    <x v="0"/>
    <x v="0"/>
    <s v="LINHA DO CIRCUITO ARENOSO LINHA DE DESCARGA  DO DISTRIBUIDOR DI-145A-9914"/>
    <s v="SC-006"/>
    <s v="SP 8306 B"/>
    <m/>
    <s v="1450AA-S-58306"/>
    <n v="1"/>
    <s v="PÇ"/>
    <n v="70.7"/>
    <n v="70.7"/>
    <n v="0"/>
    <n v="0"/>
    <n v="0"/>
    <n v="0.9"/>
    <n v="0.1"/>
    <m/>
    <m/>
    <x v="0"/>
    <n v="0"/>
    <m/>
    <n v="0"/>
    <n v="70.7"/>
    <m/>
    <n v="0"/>
    <n v="0"/>
    <n v="0"/>
    <m/>
    <m/>
    <m/>
    <n v="0"/>
    <n v="0"/>
    <n v="0"/>
    <n v="0"/>
    <m/>
    <m/>
  </r>
  <r>
    <n v="0"/>
    <s v="CMS S.60.10.000"/>
    <x v="1"/>
    <m/>
    <m/>
    <m/>
    <x v="0"/>
    <m/>
    <m/>
    <x v="0"/>
    <x v="0"/>
    <s v="LINHA DO CIRCUITO ARENOSO LINHA DE DESCARGA  DO DISTRIBUIDOR DI-145A-9914"/>
    <s v="SC-006"/>
    <s v="SP 8306 C"/>
    <m/>
    <s v="1450AA-S-58306"/>
    <n v="9"/>
    <s v="PÇ"/>
    <n v="7.2"/>
    <n v="64.8"/>
    <n v="0"/>
    <n v="0"/>
    <n v="0"/>
    <n v="0.9"/>
    <n v="0.1"/>
    <m/>
    <m/>
    <x v="0"/>
    <n v="0"/>
    <m/>
    <n v="0"/>
    <n v="64.8"/>
    <m/>
    <n v="0"/>
    <n v="0"/>
    <n v="0"/>
    <m/>
    <m/>
    <m/>
    <n v="0"/>
    <n v="0"/>
    <n v="0"/>
    <n v="0"/>
    <m/>
    <m/>
  </r>
  <r>
    <n v="0"/>
    <s v="CMS S.60.10.000"/>
    <x v="1"/>
    <m/>
    <m/>
    <m/>
    <x v="0"/>
    <m/>
    <m/>
    <x v="0"/>
    <x v="0"/>
    <s v="LINHA DO CIRCUITO ARENOSO LINHA DE DESCARGA  DO DISTRIBUIDOR DI-145A-9914"/>
    <s v="SC-006"/>
    <s v="SP 8306 D"/>
    <m/>
    <s v="1450AA-S-58306"/>
    <n v="1"/>
    <s v="PÇ"/>
    <n v="13.1"/>
    <n v="13.1"/>
    <n v="0"/>
    <n v="0"/>
    <n v="0"/>
    <n v="0.9"/>
    <n v="0.1"/>
    <m/>
    <m/>
    <x v="0"/>
    <n v="0"/>
    <m/>
    <n v="0"/>
    <n v="13.1"/>
    <m/>
    <n v="0"/>
    <n v="0"/>
    <n v="0"/>
    <m/>
    <m/>
    <m/>
    <n v="0"/>
    <n v="0"/>
    <n v="0"/>
    <n v="0"/>
    <m/>
    <m/>
  </r>
  <r>
    <n v="0"/>
    <s v="CMS S.60.10.000"/>
    <x v="1"/>
    <m/>
    <m/>
    <m/>
    <x v="0"/>
    <m/>
    <m/>
    <x v="0"/>
    <x v="0"/>
    <s v="LINHA DO CIRCUITO ARENOSO LINHA DE DESCARGA  DO DISTRIBUIDOR DI-145A-9914"/>
    <s v="SC-006"/>
    <s v="SP 8306 E"/>
    <m/>
    <s v="1450AA-S-58306"/>
    <n v="1"/>
    <s v="PÇ"/>
    <n v="8.5"/>
    <n v="8.5"/>
    <n v="0"/>
    <n v="0"/>
    <n v="0"/>
    <n v="0.9"/>
    <n v="0.1"/>
    <m/>
    <m/>
    <x v="0"/>
    <n v="0"/>
    <m/>
    <n v="0"/>
    <n v="8.5"/>
    <m/>
    <n v="0"/>
    <n v="0"/>
    <n v="0"/>
    <m/>
    <m/>
    <m/>
    <n v="0"/>
    <n v="0"/>
    <n v="0"/>
    <n v="0"/>
    <m/>
    <m/>
  </r>
  <r>
    <n v="0"/>
    <s v="CMS S.60.10.000"/>
    <x v="1"/>
    <m/>
    <m/>
    <m/>
    <x v="0"/>
    <m/>
    <m/>
    <x v="0"/>
    <x v="0"/>
    <s v="LINHA DO CIRCUITO ARENOSO LINHA DE DESCARGA  DO DISTRIBUIDOR DI-145A-9914"/>
    <s v="SC-006"/>
    <s v="SP 8306 F"/>
    <m/>
    <s v="1450AA-S-58306"/>
    <n v="1"/>
    <s v="PÇ"/>
    <n v="5.8"/>
    <n v="5.8"/>
    <n v="0"/>
    <n v="0"/>
    <n v="0"/>
    <n v="0.9"/>
    <n v="0.1"/>
    <m/>
    <m/>
    <x v="0"/>
    <n v="0"/>
    <m/>
    <n v="0"/>
    <n v="5.8"/>
    <m/>
    <n v="0"/>
    <n v="0"/>
    <n v="0"/>
    <m/>
    <m/>
    <m/>
    <n v="0"/>
    <n v="0"/>
    <n v="0"/>
    <n v="0"/>
    <m/>
    <m/>
  </r>
  <r>
    <n v="0"/>
    <s v="CMS S.60.10.000"/>
    <x v="1"/>
    <m/>
    <m/>
    <m/>
    <x v="0"/>
    <m/>
    <m/>
    <x v="0"/>
    <x v="0"/>
    <s v="LINHA DO CIRCUITO ARENOSO LINHA DE DESCARGA  DO DISTRIBUIDOR DI-145A-9914"/>
    <s v="SC-006"/>
    <s v="SP 8306 G"/>
    <m/>
    <s v="1450AA-S-58306"/>
    <n v="1"/>
    <s v="PÇ"/>
    <n v="3.5"/>
    <n v="3.5"/>
    <n v="0"/>
    <n v="0"/>
    <n v="0"/>
    <n v="0.9"/>
    <n v="0.1"/>
    <m/>
    <m/>
    <x v="0"/>
    <n v="0"/>
    <m/>
    <n v="0"/>
    <n v="3.5"/>
    <m/>
    <n v="0"/>
    <n v="0"/>
    <n v="0"/>
    <m/>
    <m/>
    <m/>
    <n v="0"/>
    <n v="0"/>
    <n v="0"/>
    <n v="0"/>
    <m/>
    <m/>
  </r>
  <r>
    <n v="0"/>
    <s v="CMS S.60.10.000"/>
    <x v="1"/>
    <m/>
    <m/>
    <m/>
    <x v="0"/>
    <m/>
    <m/>
    <x v="0"/>
    <x v="0"/>
    <s v="LINHA DO CIRCUITO ARENOSO LINHA DE DESCARGA  DO DISTRIBUIDOR DI-145A-9914"/>
    <s v="SC-006"/>
    <s v="SP 8306 H"/>
    <m/>
    <s v="1450AA-S-58306"/>
    <n v="1"/>
    <s v="PÇ"/>
    <n v="30.6"/>
    <n v="30.6"/>
    <n v="0"/>
    <n v="0"/>
    <n v="0"/>
    <n v="0.9"/>
    <n v="0.1"/>
    <m/>
    <m/>
    <x v="0"/>
    <n v="0"/>
    <m/>
    <n v="0"/>
    <n v="30.6"/>
    <m/>
    <n v="0"/>
    <n v="0"/>
    <n v="0"/>
    <m/>
    <m/>
    <m/>
    <n v="0"/>
    <n v="0"/>
    <n v="0"/>
    <n v="0"/>
    <m/>
    <m/>
  </r>
  <r>
    <n v="0"/>
    <s v="CMS S.60.10.000"/>
    <x v="1"/>
    <m/>
    <m/>
    <m/>
    <x v="0"/>
    <m/>
    <m/>
    <x v="0"/>
    <x v="0"/>
    <s v="LINHA DO CIRCUITO ARENOSO LINHA DE DESCARGA  DO DISTRIBUIDOR DI-145A-9914"/>
    <s v="SC-006"/>
    <s v="SP 8306 J"/>
    <m/>
    <s v="1450AA-S-58306"/>
    <n v="1"/>
    <s v="PÇ"/>
    <n v="17.5"/>
    <n v="17.5"/>
    <n v="0"/>
    <n v="0"/>
    <n v="0"/>
    <n v="0.9"/>
    <n v="0.1"/>
    <m/>
    <m/>
    <x v="0"/>
    <n v="0"/>
    <m/>
    <n v="0"/>
    <n v="17.5"/>
    <m/>
    <n v="0"/>
    <n v="0"/>
    <n v="0"/>
    <m/>
    <m/>
    <m/>
    <n v="0"/>
    <n v="0"/>
    <n v="0"/>
    <n v="0"/>
    <m/>
    <m/>
  </r>
  <r>
    <n v="0"/>
    <s v="CMS S.60.10.000"/>
    <x v="1"/>
    <m/>
    <m/>
    <m/>
    <x v="0"/>
    <m/>
    <m/>
    <x v="0"/>
    <x v="0"/>
    <s v="LINHA DO CIRCUITO ARENOSO LINHA DE DESCARGA  DO DISTRIBUIDOR DI-145A-9914"/>
    <s v="SC-006"/>
    <s v="SP 8306 K"/>
    <m/>
    <s v="1450AA-S-58306"/>
    <n v="1"/>
    <s v="PÇ"/>
    <n v="11"/>
    <n v="11"/>
    <n v="0"/>
    <n v="0"/>
    <n v="0"/>
    <n v="0.9"/>
    <n v="0.1"/>
    <m/>
    <m/>
    <x v="0"/>
    <n v="0"/>
    <m/>
    <n v="0"/>
    <n v="11"/>
    <m/>
    <n v="0"/>
    <n v="0"/>
    <n v="0"/>
    <m/>
    <m/>
    <m/>
    <n v="0"/>
    <n v="0"/>
    <n v="0"/>
    <n v="0"/>
    <m/>
    <m/>
  </r>
  <r>
    <n v="0"/>
    <s v="CMS S.60.10.000"/>
    <x v="1"/>
    <m/>
    <m/>
    <m/>
    <x v="0"/>
    <m/>
    <m/>
    <x v="0"/>
    <x v="0"/>
    <s v="LINHA DO CIRCUITO ARENOSO LINHA DE DESCARGA  DO DISTRIBUIDOR DI-145A-9914"/>
    <s v="SC-006"/>
    <s v="SP 8306 L"/>
    <m/>
    <s v="1450AA-S-58306"/>
    <n v="3"/>
    <s v="PÇ"/>
    <n v="41.5"/>
    <n v="124.5"/>
    <n v="0"/>
    <n v="0"/>
    <n v="0"/>
    <n v="0.9"/>
    <n v="0.1"/>
    <m/>
    <m/>
    <x v="0"/>
    <n v="0"/>
    <m/>
    <n v="0"/>
    <n v="124.5"/>
    <m/>
    <n v="0"/>
    <n v="0"/>
    <n v="0"/>
    <m/>
    <m/>
    <m/>
    <n v="0"/>
    <n v="0"/>
    <n v="0"/>
    <n v="0"/>
    <m/>
    <m/>
  </r>
  <r>
    <n v="0"/>
    <s v="CMS S.60.10.000"/>
    <x v="1"/>
    <m/>
    <m/>
    <m/>
    <x v="0"/>
    <m/>
    <m/>
    <x v="0"/>
    <x v="0"/>
    <s v="LINHA DO CIRCUITO ARENOSO LINHA DE DESCARGA  DO DISTRIBUIDOR DI-145A-9914"/>
    <s v="SC-006"/>
    <s v="SP 8306 M"/>
    <m/>
    <s v="1450AA-S-58306"/>
    <n v="3"/>
    <s v="PÇ"/>
    <n v="38.800000000000004"/>
    <n v="116.4"/>
    <n v="0"/>
    <n v="0"/>
    <n v="0"/>
    <n v="0.9"/>
    <n v="0.1"/>
    <m/>
    <m/>
    <x v="0"/>
    <n v="0"/>
    <m/>
    <n v="0"/>
    <n v="116.4"/>
    <m/>
    <n v="0"/>
    <n v="0"/>
    <n v="0"/>
    <m/>
    <m/>
    <m/>
    <n v="0"/>
    <n v="0"/>
    <n v="0"/>
    <n v="0"/>
    <m/>
    <m/>
  </r>
  <r>
    <n v="0"/>
    <s v="CMS S.60.10.000"/>
    <x v="1"/>
    <m/>
    <m/>
    <m/>
    <x v="0"/>
    <m/>
    <m/>
    <x v="0"/>
    <x v="0"/>
    <s v="LINHA DO CIRCUITO ARENOSO LINHA DE DESCARGA  DO DISTRIBUIDOR DI-145A-9914"/>
    <s v="SC-006"/>
    <s v="SP 8306 N"/>
    <m/>
    <s v="1450AA-S-58306"/>
    <n v="1"/>
    <s v="PÇ"/>
    <n v="3.1999999999999997"/>
    <n v="3.1999999999999997"/>
    <n v="0"/>
    <n v="0"/>
    <n v="0"/>
    <n v="0.9"/>
    <n v="0.1"/>
    <m/>
    <m/>
    <x v="0"/>
    <n v="0"/>
    <m/>
    <n v="0"/>
    <n v="3.1999999999999997"/>
    <m/>
    <n v="0"/>
    <n v="0"/>
    <n v="0"/>
    <m/>
    <m/>
    <m/>
    <n v="0"/>
    <n v="0"/>
    <n v="0"/>
    <n v="0"/>
    <m/>
    <m/>
  </r>
  <r>
    <n v="0"/>
    <s v="CMS S.60.10.000"/>
    <x v="1"/>
    <m/>
    <m/>
    <m/>
    <x v="0"/>
    <m/>
    <m/>
    <x v="0"/>
    <x v="0"/>
    <s v="LINHA DO CIRCUITO ARENOSO LINHA DE DESCARGA  DO DISTRIBUIDOR DI-145A-9914"/>
    <s v="SC-006"/>
    <s v="SP 8306 P"/>
    <m/>
    <s v="1450AA-S-58306"/>
    <n v="1"/>
    <s v="PÇ"/>
    <n v="2.3000000000000003"/>
    <n v="2.3000000000000003"/>
    <n v="0"/>
    <n v="0"/>
    <n v="0"/>
    <n v="0.9"/>
    <n v="0.1"/>
    <m/>
    <m/>
    <x v="0"/>
    <n v="0"/>
    <m/>
    <n v="0"/>
    <n v="2.3000000000000003"/>
    <m/>
    <n v="0"/>
    <n v="0"/>
    <n v="0"/>
    <m/>
    <m/>
    <m/>
    <n v="0"/>
    <n v="0"/>
    <n v="0"/>
    <n v="0"/>
    <m/>
    <m/>
  </r>
  <r>
    <n v="0"/>
    <s v="CMS S.60.10.000"/>
    <x v="1"/>
    <m/>
    <m/>
    <m/>
    <x v="0"/>
    <m/>
    <m/>
    <x v="0"/>
    <x v="0"/>
    <s v="LINHA DO CIRCUITO ARENOSO LINHA DE DESCARGA  DO DISTRIBUIDOR DI-145A-9914"/>
    <s v="SC-006"/>
    <s v="SP 8306 Q"/>
    <m/>
    <s v="1450AA-S-58306"/>
    <n v="1"/>
    <s v="PÇ"/>
    <n v="0.6"/>
    <n v="0.6"/>
    <n v="0"/>
    <n v="0"/>
    <n v="0"/>
    <n v="0.9"/>
    <n v="0.1"/>
    <m/>
    <m/>
    <x v="0"/>
    <n v="0"/>
    <m/>
    <n v="0"/>
    <n v="0.6"/>
    <m/>
    <n v="0"/>
    <n v="0"/>
    <n v="0"/>
    <m/>
    <m/>
    <m/>
    <n v="0"/>
    <n v="0"/>
    <n v="0"/>
    <n v="0"/>
    <m/>
    <m/>
  </r>
  <r>
    <n v="0"/>
    <s v="CMS S.60.10.000"/>
    <x v="1"/>
    <m/>
    <m/>
    <m/>
    <x v="0"/>
    <m/>
    <m/>
    <x v="0"/>
    <x v="0"/>
    <s v="LINHA DO CIRCUITO ARENOSO LINHA DE DESCARGA  DO DISTRIBUIDOR DI-145A-9914"/>
    <s v="SC-006"/>
    <s v="SP 8306 R"/>
    <m/>
    <s v="1450AA-S-58306"/>
    <n v="1"/>
    <s v="PÇ"/>
    <n v="0.5"/>
    <n v="0.5"/>
    <n v="0"/>
    <n v="0"/>
    <n v="0"/>
    <n v="0.9"/>
    <n v="0.1"/>
    <m/>
    <m/>
    <x v="0"/>
    <n v="0"/>
    <m/>
    <n v="0"/>
    <n v="0.5"/>
    <m/>
    <n v="0"/>
    <n v="0"/>
    <n v="0"/>
    <m/>
    <m/>
    <m/>
    <n v="0"/>
    <n v="0"/>
    <n v="0"/>
    <n v="0"/>
    <m/>
    <m/>
  </r>
  <r>
    <n v="0"/>
    <s v="CMS S.60.10.000"/>
    <x v="1"/>
    <m/>
    <m/>
    <m/>
    <x v="0"/>
    <m/>
    <m/>
    <x v="0"/>
    <x v="0"/>
    <s v="LINHA DO CIRCUITO ARENOSO LINHA DE DESCARGA  DO DISTRIBUIDOR DI-145A-9914"/>
    <s v="SC-006"/>
    <s v="SP 8306 S"/>
    <m/>
    <s v="1450AA-S-58306"/>
    <n v="1"/>
    <s v="PÇ"/>
    <n v="13.4"/>
    <n v="13.4"/>
    <n v="0"/>
    <n v="0"/>
    <n v="0"/>
    <n v="0.9"/>
    <n v="0.1"/>
    <m/>
    <m/>
    <x v="0"/>
    <n v="0"/>
    <m/>
    <n v="0"/>
    <n v="13.4"/>
    <m/>
    <n v="0"/>
    <n v="0"/>
    <n v="0"/>
    <m/>
    <m/>
    <m/>
    <n v="0"/>
    <n v="0"/>
    <n v="0"/>
    <n v="0"/>
    <m/>
    <m/>
  </r>
  <r>
    <n v="0"/>
    <s v="CMS S.60.10.000"/>
    <x v="1"/>
    <m/>
    <m/>
    <m/>
    <x v="0"/>
    <m/>
    <m/>
    <x v="0"/>
    <x v="0"/>
    <s v="LINHA DO CIRCUITO ARENOSO LINHA DE DESCARGA  DO DISTRIBUIDOR DI-145A-9914"/>
    <s v="SC-006"/>
    <s v="SP 8306 T"/>
    <m/>
    <s v="1450AA-S-58306"/>
    <n v="1"/>
    <s v="PÇ"/>
    <n v="10"/>
    <n v="10"/>
    <n v="0"/>
    <n v="0"/>
    <n v="0"/>
    <n v="0.9"/>
    <n v="0.1"/>
    <m/>
    <m/>
    <x v="0"/>
    <n v="0"/>
    <m/>
    <n v="0"/>
    <n v="10"/>
    <m/>
    <n v="0"/>
    <n v="0"/>
    <n v="0"/>
    <m/>
    <m/>
    <m/>
    <n v="0"/>
    <n v="0"/>
    <n v="0"/>
    <n v="0"/>
    <m/>
    <m/>
  </r>
  <r>
    <n v="0"/>
    <s v="CMS S.60.10.000"/>
    <x v="1"/>
    <m/>
    <m/>
    <m/>
    <x v="0"/>
    <m/>
    <m/>
    <x v="0"/>
    <x v="0"/>
    <s v="LINHA DE UNDERFLOW DAS PENEIRAS DESAGUADORAS"/>
    <s v="SC-026"/>
    <s v="SP 8307 A"/>
    <s v="1450AA-L-70113"/>
    <s v="1450AA-S-58307"/>
    <n v="1"/>
    <s v="PÇ"/>
    <n v="12.7"/>
    <n v="12.7"/>
    <n v="0"/>
    <n v="0"/>
    <n v="0"/>
    <n v="0.9"/>
    <n v="0.1"/>
    <m/>
    <m/>
    <x v="0"/>
    <n v="0"/>
    <m/>
    <n v="0"/>
    <n v="12.7"/>
    <m/>
    <n v="0"/>
    <n v="0"/>
    <n v="0"/>
    <m/>
    <m/>
    <m/>
    <n v="0"/>
    <n v="0"/>
    <n v="0"/>
    <n v="0"/>
    <m/>
    <m/>
  </r>
  <r>
    <n v="0"/>
    <s v="CMS S.60.10.000"/>
    <x v="1"/>
    <m/>
    <m/>
    <m/>
    <x v="0"/>
    <m/>
    <m/>
    <x v="0"/>
    <x v="0"/>
    <s v="LINHA DE UNDERFLOW DAS PENEIRAS DESAGUADORAS"/>
    <s v="SC-026"/>
    <s v="SP 8307 B"/>
    <s v="1450AA-L-70113"/>
    <s v="1450AA-S-58307"/>
    <n v="1"/>
    <s v="PÇ"/>
    <n v="24.5"/>
    <n v="24.5"/>
    <n v="0"/>
    <n v="0"/>
    <n v="0"/>
    <n v="0.9"/>
    <n v="0.1"/>
    <m/>
    <m/>
    <x v="0"/>
    <n v="0"/>
    <m/>
    <n v="0"/>
    <n v="24.5"/>
    <m/>
    <n v="0"/>
    <n v="0"/>
    <n v="0"/>
    <m/>
    <m/>
    <m/>
    <n v="0"/>
    <n v="0"/>
    <n v="0"/>
    <n v="0"/>
    <m/>
    <m/>
  </r>
  <r>
    <n v="0"/>
    <s v="CMS S.60.10.000"/>
    <x v="1"/>
    <m/>
    <m/>
    <m/>
    <x v="0"/>
    <m/>
    <m/>
    <x v="0"/>
    <x v="0"/>
    <s v="LINHA DE UNDERFLOW DAS PENEIRAS DESAGUADORAS"/>
    <s v="SC-026"/>
    <s v="SP 8307 C"/>
    <s v="1450AA-L-70113"/>
    <s v="1450AA-S-58307"/>
    <n v="2"/>
    <s v="PÇ"/>
    <n v="33.9"/>
    <n v="67.8"/>
    <n v="0"/>
    <n v="0"/>
    <n v="0"/>
    <n v="0.9"/>
    <n v="0.1"/>
    <m/>
    <m/>
    <x v="0"/>
    <n v="0"/>
    <m/>
    <n v="0"/>
    <n v="67.8"/>
    <m/>
    <n v="0"/>
    <n v="0"/>
    <n v="0"/>
    <m/>
    <m/>
    <m/>
    <n v="0"/>
    <n v="0"/>
    <n v="0"/>
    <n v="0"/>
    <m/>
    <m/>
  </r>
  <r>
    <n v="0"/>
    <s v="CMS S.60.10.000"/>
    <x v="1"/>
    <m/>
    <m/>
    <m/>
    <x v="0"/>
    <m/>
    <m/>
    <x v="0"/>
    <x v="0"/>
    <s v="LINHA DE UNDERFLOW DAS PENEIRAS DESAGUADORAS"/>
    <s v="SC-026"/>
    <s v="SP 8307 D"/>
    <s v="1450AA-L-70113"/>
    <s v="1450AA-S-58307"/>
    <n v="2"/>
    <s v="PÇ"/>
    <n v="4.1000000000000005"/>
    <n v="8.2000000000000011"/>
    <n v="0"/>
    <n v="0"/>
    <n v="0"/>
    <n v="0.9"/>
    <n v="0.1"/>
    <m/>
    <m/>
    <x v="0"/>
    <n v="0"/>
    <m/>
    <n v="0"/>
    <n v="8.2000000000000011"/>
    <m/>
    <n v="0"/>
    <n v="0"/>
    <n v="0"/>
    <m/>
    <m/>
    <m/>
    <n v="0"/>
    <n v="0"/>
    <n v="0"/>
    <n v="0"/>
    <m/>
    <m/>
  </r>
  <r>
    <n v="0"/>
    <s v="CMS S.60.10.000"/>
    <x v="1"/>
    <m/>
    <m/>
    <m/>
    <x v="0"/>
    <m/>
    <m/>
    <x v="0"/>
    <x v="0"/>
    <s v="LINHA DE UNDERFLOW DAS PENEIRAS DESAGUADORAS"/>
    <s v="SC-026"/>
    <s v="SP 8307 E"/>
    <s v="1450AA-L-70113"/>
    <s v="1450AA-S-58307"/>
    <n v="1"/>
    <s v="PÇ"/>
    <n v="8.1999999999999993"/>
    <n v="8.1999999999999993"/>
    <n v="0"/>
    <n v="0"/>
    <n v="0"/>
    <n v="0.9"/>
    <n v="0.1"/>
    <m/>
    <m/>
    <x v="0"/>
    <n v="0"/>
    <m/>
    <n v="0"/>
    <n v="8.1999999999999993"/>
    <m/>
    <n v="0"/>
    <n v="0"/>
    <n v="0"/>
    <m/>
    <m/>
    <m/>
    <n v="0"/>
    <n v="0"/>
    <n v="0"/>
    <n v="0"/>
    <m/>
    <m/>
  </r>
  <r>
    <n v="0"/>
    <s v="CMS S.60.10.000"/>
    <x v="1"/>
    <m/>
    <m/>
    <m/>
    <x v="0"/>
    <m/>
    <m/>
    <x v="0"/>
    <x v="0"/>
    <s v="LINHA DE UNDERFLOW DAS PENEIRAS DESAGUADORAS"/>
    <s v="SC-026"/>
    <s v="SP 8307 F"/>
    <s v="1450AA-L-70113"/>
    <s v="1450AA-S-58307"/>
    <n v="4"/>
    <s v="PÇ"/>
    <n v="11.4"/>
    <n v="45.6"/>
    <n v="0"/>
    <n v="0"/>
    <n v="0"/>
    <n v="0.9"/>
    <n v="0.1"/>
    <m/>
    <m/>
    <x v="0"/>
    <n v="0"/>
    <m/>
    <n v="0"/>
    <n v="45.6"/>
    <m/>
    <n v="0"/>
    <n v="0"/>
    <n v="0"/>
    <m/>
    <m/>
    <m/>
    <n v="0"/>
    <n v="0"/>
    <n v="0"/>
    <n v="0"/>
    <m/>
    <m/>
  </r>
  <r>
    <n v="0"/>
    <s v="CMS S.60.10.000"/>
    <x v="1"/>
    <m/>
    <m/>
    <m/>
    <x v="0"/>
    <m/>
    <m/>
    <x v="0"/>
    <x v="0"/>
    <s v="LINHA DE UNDERFLOW DAS PENEIRAS DESAGUADORAS"/>
    <s v="SC-026"/>
    <s v="SP 8307 G"/>
    <s v="1450AA-L-70113"/>
    <s v="1450AA-S-58307"/>
    <n v="1"/>
    <s v="PÇ"/>
    <n v="16.2"/>
    <n v="16.2"/>
    <n v="0"/>
    <n v="0"/>
    <n v="0"/>
    <n v="0.9"/>
    <n v="0.1"/>
    <m/>
    <m/>
    <x v="0"/>
    <n v="0"/>
    <m/>
    <n v="0"/>
    <n v="16.2"/>
    <m/>
    <n v="0"/>
    <n v="0"/>
    <n v="0"/>
    <m/>
    <m/>
    <m/>
    <n v="0"/>
    <n v="0"/>
    <n v="0"/>
    <n v="0"/>
    <m/>
    <m/>
  </r>
  <r>
    <n v="0"/>
    <s v="CMS S.60.10.000"/>
    <x v="1"/>
    <m/>
    <m/>
    <m/>
    <x v="0"/>
    <m/>
    <m/>
    <x v="0"/>
    <x v="0"/>
    <s v="LINHA DE UNDERFLOW DAS PENEIRAS DESAGUADORAS"/>
    <s v="SC-026"/>
    <s v="SP 8307 H"/>
    <s v="1450AA-L-70113"/>
    <s v="1450AA-S-58307"/>
    <n v="1"/>
    <s v="PÇ"/>
    <n v="18.600000000000001"/>
    <n v="18.600000000000001"/>
    <n v="0"/>
    <n v="0"/>
    <n v="0"/>
    <n v="0.9"/>
    <n v="0.1"/>
    <m/>
    <m/>
    <x v="0"/>
    <n v="0"/>
    <m/>
    <n v="0"/>
    <n v="18.600000000000001"/>
    <m/>
    <n v="0"/>
    <n v="0"/>
    <n v="0"/>
    <m/>
    <m/>
    <m/>
    <n v="0"/>
    <n v="0"/>
    <n v="0"/>
    <n v="0"/>
    <m/>
    <m/>
  </r>
  <r>
    <n v="0"/>
    <s v="CMS S.60.10.000"/>
    <x v="1"/>
    <m/>
    <m/>
    <m/>
    <x v="0"/>
    <m/>
    <m/>
    <x v="0"/>
    <x v="0"/>
    <s v="LINHA DE UNDERFLOW DAS PENEIRAS DESAGUADORAS"/>
    <s v="SC-026"/>
    <s v="SP 8307 J"/>
    <s v="1450AA-L-70113"/>
    <s v="1450AA-S-58307"/>
    <n v="3"/>
    <s v="PÇ"/>
    <n v="29.4"/>
    <n v="88.199999999999989"/>
    <n v="0"/>
    <n v="0"/>
    <n v="0"/>
    <n v="0.9"/>
    <n v="0.1"/>
    <m/>
    <m/>
    <x v="0"/>
    <n v="0"/>
    <m/>
    <n v="0"/>
    <n v="88.199999999999989"/>
    <m/>
    <n v="0"/>
    <n v="0"/>
    <n v="0"/>
    <m/>
    <m/>
    <m/>
    <n v="0"/>
    <n v="0"/>
    <n v="0"/>
    <n v="0"/>
    <m/>
    <m/>
  </r>
  <r>
    <n v="0"/>
    <s v="CMS S.60.10.000"/>
    <x v="1"/>
    <m/>
    <m/>
    <m/>
    <x v="0"/>
    <m/>
    <m/>
    <x v="0"/>
    <x v="0"/>
    <s v="LINHA DE UNDERFLOW DAS PENEIRAS DESAGUADORAS"/>
    <s v="SC-026"/>
    <s v="SP 8307 K"/>
    <s v="1450AA-L-70113"/>
    <s v="1450AA-S-58307"/>
    <n v="2"/>
    <s v="PÇ"/>
    <n v="33.700000000000003"/>
    <n v="67.400000000000006"/>
    <n v="0"/>
    <n v="0"/>
    <n v="0"/>
    <n v="0.9"/>
    <n v="0.1"/>
    <m/>
    <m/>
    <x v="0"/>
    <n v="0"/>
    <m/>
    <n v="0"/>
    <n v="67.400000000000006"/>
    <m/>
    <n v="0"/>
    <n v="0"/>
    <n v="0"/>
    <m/>
    <m/>
    <m/>
    <n v="0"/>
    <n v="0"/>
    <n v="0"/>
    <n v="0"/>
    <m/>
    <m/>
  </r>
  <r>
    <n v="0"/>
    <s v="CMS S.60.10.000"/>
    <x v="1"/>
    <m/>
    <m/>
    <m/>
    <x v="0"/>
    <m/>
    <m/>
    <x v="0"/>
    <x v="0"/>
    <s v="LINHA DE UNDERFLOW DAS PENEIRAS DESAGUADORAS"/>
    <s v="SC-026"/>
    <s v="SP 8307 L"/>
    <s v="1450AA-L-70113"/>
    <s v="1450AA-S-58307"/>
    <n v="1"/>
    <s v="PÇ"/>
    <n v="39.299999999999997"/>
    <n v="39.299999999999997"/>
    <n v="0"/>
    <n v="0"/>
    <n v="0"/>
    <n v="0.9"/>
    <n v="0.1"/>
    <m/>
    <m/>
    <x v="0"/>
    <n v="0"/>
    <m/>
    <n v="0"/>
    <n v="39.299999999999997"/>
    <m/>
    <n v="0"/>
    <n v="0"/>
    <n v="0"/>
    <m/>
    <m/>
    <m/>
    <n v="0"/>
    <n v="0"/>
    <n v="0"/>
    <n v="0"/>
    <m/>
    <m/>
  </r>
  <r>
    <n v="0"/>
    <s v="CMS S.60.10.000"/>
    <x v="1"/>
    <m/>
    <m/>
    <m/>
    <x v="0"/>
    <m/>
    <m/>
    <x v="0"/>
    <x v="0"/>
    <s v="LINHA DE UNDERFLOW DAS PENEIRAS DESAGUADORAS"/>
    <s v="SC-026"/>
    <s v="SP 8307 M"/>
    <s v="1450AA-L-70113"/>
    <s v="1450AA-S-58307"/>
    <n v="9"/>
    <s v="PÇ"/>
    <n v="25.6"/>
    <n v="230.4"/>
    <n v="0"/>
    <n v="0"/>
    <n v="0"/>
    <n v="0.9"/>
    <n v="0.1"/>
    <m/>
    <m/>
    <x v="0"/>
    <n v="0"/>
    <m/>
    <n v="0"/>
    <n v="230.4"/>
    <m/>
    <n v="0"/>
    <n v="0"/>
    <n v="0"/>
    <m/>
    <m/>
    <m/>
    <n v="0"/>
    <n v="0"/>
    <n v="0"/>
    <n v="0"/>
    <m/>
    <m/>
  </r>
  <r>
    <n v="0"/>
    <s v="CMS S.60.10.000"/>
    <x v="1"/>
    <m/>
    <m/>
    <m/>
    <x v="0"/>
    <m/>
    <m/>
    <x v="0"/>
    <x v="0"/>
    <s v="LINHA DE UNDERFLOW DAS PENEIRAS DESAGUADORAS"/>
    <s v="SC-026"/>
    <s v="SP 8307 N"/>
    <s v="1450AA-L-70113"/>
    <s v="1450AA-S-58307"/>
    <n v="1"/>
    <s v="PÇ"/>
    <n v="38.700000000000003"/>
    <n v="38.700000000000003"/>
    <n v="0"/>
    <n v="0"/>
    <n v="0"/>
    <n v="0.9"/>
    <n v="0.1"/>
    <m/>
    <m/>
    <x v="0"/>
    <n v="0"/>
    <m/>
    <n v="0"/>
    <n v="38.700000000000003"/>
    <m/>
    <n v="0"/>
    <n v="0"/>
    <n v="0"/>
    <m/>
    <m/>
    <m/>
    <n v="0"/>
    <n v="0"/>
    <n v="0"/>
    <n v="0"/>
    <m/>
    <m/>
  </r>
  <r>
    <n v="0"/>
    <s v="CMS S.60.10.000"/>
    <x v="1"/>
    <m/>
    <m/>
    <m/>
    <x v="0"/>
    <m/>
    <m/>
    <x v="0"/>
    <x v="0"/>
    <s v="LINHA DE UNDERFLOW DAS PENEIRAS DESAGUADORAS"/>
    <s v="SC-026"/>
    <s v="SP 8307 P"/>
    <s v="1450AA-L-70113"/>
    <s v="1450AA-S-58307"/>
    <n v="1"/>
    <s v="PÇ"/>
    <n v="53.6"/>
    <n v="53.6"/>
    <n v="0"/>
    <n v="0"/>
    <n v="0"/>
    <n v="0.9"/>
    <n v="0.1"/>
    <m/>
    <m/>
    <x v="0"/>
    <n v="0"/>
    <m/>
    <n v="0"/>
    <n v="53.6"/>
    <m/>
    <n v="0"/>
    <n v="0"/>
    <n v="0"/>
    <m/>
    <m/>
    <m/>
    <n v="0"/>
    <n v="0"/>
    <n v="0"/>
    <n v="0"/>
    <m/>
    <m/>
  </r>
  <r>
    <n v="0"/>
    <s v="CMS S.60.10.000"/>
    <x v="1"/>
    <m/>
    <m/>
    <m/>
    <x v="0"/>
    <m/>
    <m/>
    <x v="0"/>
    <x v="0"/>
    <s v="LINHA DE UNDERFLOW DAS PENEIRAS DESAGUADORAS"/>
    <s v="SC-026"/>
    <s v="SP 8307 Q"/>
    <s v="1450AA-L-70113"/>
    <s v="1450AA-S-58307"/>
    <n v="1"/>
    <s v="PÇ"/>
    <n v="70.599999999999994"/>
    <n v="70.599999999999994"/>
    <n v="0"/>
    <n v="0"/>
    <n v="0"/>
    <n v="0.9"/>
    <n v="0.1"/>
    <m/>
    <m/>
    <x v="0"/>
    <n v="0"/>
    <m/>
    <n v="0"/>
    <n v="70.599999999999994"/>
    <m/>
    <n v="0"/>
    <n v="0"/>
    <n v="0"/>
    <m/>
    <m/>
    <m/>
    <n v="0"/>
    <n v="0"/>
    <n v="0"/>
    <n v="0"/>
    <m/>
    <m/>
  </r>
  <r>
    <n v="0"/>
    <s v="CMS S.60.10.000"/>
    <x v="1"/>
    <m/>
    <m/>
    <m/>
    <x v="0"/>
    <m/>
    <m/>
    <x v="0"/>
    <x v="0"/>
    <s v="LINHA DE UNDERFLOW DAS PENEIRAS DESAGUADORAS"/>
    <s v="SC-026"/>
    <s v="SP 8307 R"/>
    <s v="1450AA-L-70113"/>
    <s v="1450AA-S-58307"/>
    <n v="1"/>
    <s v="PÇ"/>
    <n v="81.099999999999994"/>
    <n v="81.099999999999994"/>
    <n v="0"/>
    <n v="0"/>
    <n v="0"/>
    <n v="0.9"/>
    <n v="0.1"/>
    <m/>
    <m/>
    <x v="0"/>
    <n v="0"/>
    <m/>
    <n v="0"/>
    <n v="81.099999999999994"/>
    <m/>
    <n v="0"/>
    <n v="0"/>
    <n v="0"/>
    <m/>
    <m/>
    <m/>
    <n v="0"/>
    <n v="0"/>
    <n v="0"/>
    <n v="0"/>
    <m/>
    <m/>
  </r>
  <r>
    <n v="0"/>
    <s v="CMS S.60.10.000"/>
    <x v="1"/>
    <m/>
    <m/>
    <m/>
    <x v="0"/>
    <m/>
    <m/>
    <x v="0"/>
    <x v="0"/>
    <s v="LINHA DE UNDERFLOW DAS PENEIRAS DESAGUADORAS"/>
    <s v="SC-026"/>
    <s v="SP 8308 A"/>
    <s v="1450AA-L-70113"/>
    <s v="1450AA-S-58308"/>
    <n v="1"/>
    <s v="PÇ"/>
    <n v="36.200000000000003"/>
    <n v="36.200000000000003"/>
    <n v="0"/>
    <n v="0"/>
    <n v="0"/>
    <n v="0.9"/>
    <n v="0.1"/>
    <m/>
    <m/>
    <x v="0"/>
    <n v="0"/>
    <m/>
    <n v="0"/>
    <n v="36.200000000000003"/>
    <m/>
    <n v="0"/>
    <n v="0"/>
    <n v="0"/>
    <m/>
    <m/>
    <m/>
    <n v="0"/>
    <n v="0"/>
    <n v="0"/>
    <n v="0"/>
    <m/>
    <m/>
  </r>
  <r>
    <n v="0"/>
    <s v="CMS S.60.10.000"/>
    <x v="1"/>
    <m/>
    <m/>
    <m/>
    <x v="0"/>
    <m/>
    <m/>
    <x v="0"/>
    <x v="0"/>
    <s v="LINHA DE UNDERFLOW DAS PENEIRAS DESAGUADORAS"/>
    <s v="SC-026"/>
    <s v="SP 8308 B"/>
    <s v="1450AA-L-70113"/>
    <s v="1450AA-S-58308"/>
    <n v="1"/>
    <s v="PÇ"/>
    <n v="33"/>
    <n v="33"/>
    <n v="0"/>
    <n v="0"/>
    <n v="0"/>
    <n v="0.9"/>
    <n v="0.1"/>
    <m/>
    <m/>
    <x v="0"/>
    <n v="0"/>
    <m/>
    <n v="0"/>
    <n v="33"/>
    <m/>
    <n v="0"/>
    <n v="0"/>
    <n v="0"/>
    <m/>
    <m/>
    <m/>
    <n v="0"/>
    <n v="0"/>
    <n v="0"/>
    <n v="0"/>
    <m/>
    <m/>
  </r>
  <r>
    <n v="0"/>
    <s v="CMS S.60.10.000"/>
    <x v="1"/>
    <m/>
    <m/>
    <m/>
    <x v="0"/>
    <m/>
    <m/>
    <x v="0"/>
    <x v="0"/>
    <s v="LINHA DE UNDERFLOW DAS PENEIRAS DESAGUADORAS"/>
    <s v="SC-026"/>
    <s v="SP 8308 C"/>
    <s v="1450AA-L-70113"/>
    <s v="1450AA-S-58308"/>
    <n v="2"/>
    <s v="PÇ"/>
    <n v="7.3999999999999995"/>
    <n v="14.799999999999999"/>
    <n v="0"/>
    <n v="0"/>
    <n v="0"/>
    <n v="0.9"/>
    <n v="0.1"/>
    <m/>
    <m/>
    <x v="0"/>
    <n v="0"/>
    <m/>
    <n v="0"/>
    <n v="14.799999999999999"/>
    <m/>
    <n v="0"/>
    <n v="0"/>
    <n v="0"/>
    <m/>
    <m/>
    <m/>
    <n v="0"/>
    <n v="0"/>
    <n v="0"/>
    <n v="0"/>
    <m/>
    <m/>
  </r>
  <r>
    <n v="0"/>
    <s v="CMS S.60.10.000"/>
    <x v="1"/>
    <m/>
    <m/>
    <m/>
    <x v="0"/>
    <m/>
    <m/>
    <x v="0"/>
    <x v="0"/>
    <s v="LINHA DE UNDERFLOW DAS PENEIRAS DESAGUADORAS"/>
    <s v="SC-026"/>
    <s v="SP 8308 D"/>
    <s v="1450AA-L-70113"/>
    <s v="1450AA-S-58308"/>
    <n v="3"/>
    <s v="PÇ"/>
    <n v="13.9"/>
    <n v="41.7"/>
    <n v="0"/>
    <n v="0"/>
    <n v="0"/>
    <n v="0.9"/>
    <n v="0.1"/>
    <m/>
    <m/>
    <x v="0"/>
    <n v="0"/>
    <m/>
    <n v="0"/>
    <n v="41.7"/>
    <m/>
    <n v="0"/>
    <n v="0"/>
    <n v="0"/>
    <m/>
    <m/>
    <m/>
    <n v="0"/>
    <n v="0"/>
    <n v="0"/>
    <n v="0"/>
    <m/>
    <m/>
  </r>
  <r>
    <n v="0"/>
    <s v="CMS S.60.10.000"/>
    <x v="1"/>
    <m/>
    <m/>
    <m/>
    <x v="0"/>
    <m/>
    <m/>
    <x v="0"/>
    <x v="0"/>
    <s v="LINHA DE UNDERFLOW DAS PENEIRAS DESAGUADORAS"/>
    <s v="SC-026"/>
    <s v="SP 8308 E"/>
    <s v="1450AA-L-70113"/>
    <s v="1450AA-S-58308"/>
    <n v="3"/>
    <s v="PÇ"/>
    <n v="25.4"/>
    <n v="76.199999999999989"/>
    <n v="0"/>
    <n v="0"/>
    <n v="0"/>
    <n v="0.9"/>
    <n v="0.1"/>
    <m/>
    <m/>
    <x v="0"/>
    <n v="0"/>
    <m/>
    <n v="0"/>
    <n v="76.199999999999989"/>
    <m/>
    <n v="0"/>
    <n v="0"/>
    <n v="0"/>
    <m/>
    <m/>
    <m/>
    <n v="0"/>
    <n v="0"/>
    <n v="0"/>
    <n v="0"/>
    <m/>
    <m/>
  </r>
  <r>
    <n v="0"/>
    <s v="CMS S.60.10.000"/>
    <x v="1"/>
    <m/>
    <m/>
    <m/>
    <x v="0"/>
    <m/>
    <m/>
    <x v="0"/>
    <x v="0"/>
    <s v="LINHA DE UNDERFLOW DAS PENEIRAS DESAGUADORAS"/>
    <s v="SC-026"/>
    <s v="SP 8308 F"/>
    <s v="1450AA-L-70113"/>
    <s v="1450AA-S-58308"/>
    <n v="1"/>
    <s v="PÇ"/>
    <n v="80.3"/>
    <n v="80.3"/>
    <n v="0"/>
    <n v="0"/>
    <n v="0"/>
    <n v="0.9"/>
    <n v="0.1"/>
    <m/>
    <m/>
    <x v="0"/>
    <n v="0"/>
    <m/>
    <n v="0"/>
    <n v="80.3"/>
    <m/>
    <n v="0"/>
    <n v="0"/>
    <n v="0"/>
    <m/>
    <m/>
    <m/>
    <n v="0"/>
    <n v="0"/>
    <n v="0"/>
    <n v="0"/>
    <m/>
    <m/>
  </r>
  <r>
    <n v="0"/>
    <s v="CMS S.60.10.000"/>
    <x v="1"/>
    <m/>
    <m/>
    <m/>
    <x v="0"/>
    <m/>
    <m/>
    <x v="0"/>
    <x v="0"/>
    <s v="LINHA DE UNDERFLOW DAS PENEIRAS DESAGUADORAS"/>
    <s v="SC-026"/>
    <s v="SP 8308 G"/>
    <s v="1450AA-L-70113"/>
    <s v="1450AA-S-58308"/>
    <n v="1"/>
    <s v="PÇ"/>
    <n v="63.699999999999996"/>
    <n v="63.699999999999996"/>
    <n v="0"/>
    <n v="0"/>
    <n v="0"/>
    <n v="0.9"/>
    <n v="0.1"/>
    <m/>
    <m/>
    <x v="0"/>
    <n v="0"/>
    <m/>
    <n v="0"/>
    <n v="63.699999999999996"/>
    <m/>
    <n v="0"/>
    <n v="0"/>
    <n v="0"/>
    <m/>
    <m/>
    <m/>
    <n v="0"/>
    <n v="0"/>
    <n v="0"/>
    <n v="0"/>
    <m/>
    <m/>
  </r>
  <r>
    <n v="0"/>
    <s v="CMS S.60.10.000"/>
    <x v="1"/>
    <m/>
    <m/>
    <m/>
    <x v="0"/>
    <m/>
    <m/>
    <x v="0"/>
    <x v="0"/>
    <s v="LINHA DE UNDERFLOW DAS PENEIRAS DESAGUADORAS"/>
    <s v="SC-026"/>
    <s v="SP 8308 H"/>
    <s v="1450AA-L-70113"/>
    <s v="1450AA-S-58308"/>
    <n v="1"/>
    <s v="PÇ"/>
    <n v="64.3"/>
    <n v="64.3"/>
    <n v="0"/>
    <n v="0"/>
    <n v="0"/>
    <n v="0.9"/>
    <n v="0.1"/>
    <m/>
    <m/>
    <x v="0"/>
    <n v="0"/>
    <m/>
    <n v="0"/>
    <n v="64.3"/>
    <m/>
    <n v="0"/>
    <n v="0"/>
    <n v="0"/>
    <m/>
    <m/>
    <m/>
    <n v="0"/>
    <n v="0"/>
    <n v="0"/>
    <n v="0"/>
    <m/>
    <m/>
  </r>
  <r>
    <n v="0"/>
    <s v="CMS S.60.10.000"/>
    <x v="1"/>
    <m/>
    <m/>
    <m/>
    <x v="0"/>
    <m/>
    <m/>
    <x v="0"/>
    <x v="0"/>
    <s v="LINHA DE BY PASS DAS PENEIRAS ALIMENTAÇÃO DO TANQUE TQ-145A-9701"/>
    <s v="SC-010"/>
    <s v="SP 8311 A"/>
    <m/>
    <s v="1450AA-S-58311"/>
    <n v="1"/>
    <s v="PÇ"/>
    <n v="96.8"/>
    <n v="96.8"/>
    <n v="0"/>
    <n v="0"/>
    <n v="0"/>
    <n v="0.9"/>
    <n v="0.1"/>
    <m/>
    <m/>
    <x v="0"/>
    <n v="0"/>
    <m/>
    <n v="0"/>
    <n v="96.8"/>
    <m/>
    <n v="0"/>
    <n v="0"/>
    <n v="0"/>
    <m/>
    <m/>
    <m/>
    <n v="0"/>
    <n v="0"/>
    <n v="0"/>
    <n v="0"/>
    <m/>
    <m/>
  </r>
  <r>
    <n v="0"/>
    <s v="CMS S.60.10.000"/>
    <x v="1"/>
    <m/>
    <m/>
    <m/>
    <x v="0"/>
    <m/>
    <m/>
    <x v="0"/>
    <x v="0"/>
    <s v="LINHA DE BY PASS DAS PENEIRAS ALIMENTAÇÃO DO TANQUE TQ-145A-9701"/>
    <s v="SC-010"/>
    <s v="SP 8311 B "/>
    <m/>
    <s v="1450AA-S-58311"/>
    <n v="1"/>
    <s v="PÇ"/>
    <n v="97.4"/>
    <n v="97.4"/>
    <n v="0"/>
    <n v="0"/>
    <n v="0"/>
    <n v="0.9"/>
    <n v="0.1"/>
    <m/>
    <m/>
    <x v="0"/>
    <n v="0"/>
    <m/>
    <n v="0"/>
    <n v="97.4"/>
    <m/>
    <n v="0"/>
    <n v="0"/>
    <n v="0"/>
    <m/>
    <m/>
    <m/>
    <n v="0"/>
    <n v="0"/>
    <n v="0"/>
    <n v="0"/>
    <m/>
    <m/>
  </r>
  <r>
    <n v="0"/>
    <s v="CMS S.60.10.000"/>
    <x v="1"/>
    <m/>
    <m/>
    <m/>
    <x v="0"/>
    <m/>
    <m/>
    <x v="0"/>
    <x v="0"/>
    <s v="LINHA DE BY PASS DAS PENEIRAS ALIMENTAÇÃO DO TANQUE TQ-145A-9701"/>
    <s v="SC-010"/>
    <s v="SP 8311 C"/>
    <m/>
    <s v="1450AA-S-58311"/>
    <n v="1"/>
    <s v="PÇ"/>
    <n v="43.5"/>
    <n v="43.5"/>
    <n v="0"/>
    <n v="0"/>
    <n v="0"/>
    <n v="0.9"/>
    <n v="0.1"/>
    <m/>
    <m/>
    <x v="0"/>
    <n v="0"/>
    <m/>
    <n v="0"/>
    <n v="43.5"/>
    <m/>
    <n v="0"/>
    <n v="0"/>
    <n v="0"/>
    <m/>
    <m/>
    <m/>
    <n v="0"/>
    <n v="0"/>
    <n v="0"/>
    <n v="0"/>
    <m/>
    <m/>
  </r>
  <r>
    <n v="0"/>
    <s v="CMS S.60.10.000"/>
    <x v="1"/>
    <m/>
    <m/>
    <m/>
    <x v="0"/>
    <m/>
    <m/>
    <x v="0"/>
    <x v="0"/>
    <s v="LINHA DE BY PASS DAS PENEIRAS ALIMENTAÇÃO DO TANQUE TQ-145A-9701"/>
    <s v="SC-010"/>
    <s v="SP 8311 D"/>
    <m/>
    <s v="1450AA-S-58311"/>
    <n v="1"/>
    <s v="PÇ"/>
    <n v="7.5"/>
    <n v="7.5"/>
    <n v="0"/>
    <n v="0"/>
    <n v="0"/>
    <n v="0.9"/>
    <n v="0.1"/>
    <m/>
    <m/>
    <x v="0"/>
    <n v="0"/>
    <m/>
    <n v="0"/>
    <n v="7.5"/>
    <m/>
    <n v="0"/>
    <n v="0"/>
    <n v="0"/>
    <m/>
    <m/>
    <m/>
    <n v="0"/>
    <n v="0"/>
    <n v="0"/>
    <n v="0"/>
    <m/>
    <m/>
  </r>
  <r>
    <n v="0"/>
    <s v="CMS S.60.10.000"/>
    <x v="1"/>
    <m/>
    <m/>
    <m/>
    <x v="0"/>
    <m/>
    <m/>
    <x v="0"/>
    <x v="0"/>
    <s v="LINHA DE BY PASS DAS PENEIRAS ALIMENTAÇÃO DO TANQUE TQ-145A-9701"/>
    <s v="SC-010"/>
    <s v="SP 8311 E"/>
    <m/>
    <s v="1450AA-S-58311"/>
    <n v="1"/>
    <s v="PÇ"/>
    <n v="18.400000000000002"/>
    <n v="18.400000000000002"/>
    <n v="0"/>
    <n v="0"/>
    <n v="0"/>
    <n v="0.9"/>
    <n v="0.1"/>
    <m/>
    <m/>
    <x v="0"/>
    <n v="0"/>
    <m/>
    <n v="0"/>
    <n v="18.400000000000002"/>
    <m/>
    <n v="0"/>
    <n v="0"/>
    <n v="0"/>
    <m/>
    <m/>
    <m/>
    <n v="0"/>
    <n v="0"/>
    <n v="0"/>
    <n v="0"/>
    <m/>
    <m/>
  </r>
  <r>
    <n v="0"/>
    <s v="CMS S.60.10.000"/>
    <x v="1"/>
    <m/>
    <m/>
    <m/>
    <x v="0"/>
    <m/>
    <m/>
    <x v="0"/>
    <x v="0"/>
    <s v="LINHA DE BY PASS DAS PENEIRAS ALIMENTAÇÃO DO TANQUE TQ-145A-9701"/>
    <s v="SC-010"/>
    <s v="SP 8311 F"/>
    <m/>
    <s v="1450AA-S-58311"/>
    <n v="2"/>
    <s v="PÇ"/>
    <n v="17.3"/>
    <n v="34.6"/>
    <n v="0"/>
    <n v="0"/>
    <n v="0"/>
    <n v="0.9"/>
    <n v="0.1"/>
    <m/>
    <m/>
    <x v="0"/>
    <n v="0"/>
    <m/>
    <n v="0"/>
    <n v="34.6"/>
    <m/>
    <n v="0"/>
    <n v="0"/>
    <n v="0"/>
    <m/>
    <m/>
    <m/>
    <n v="0"/>
    <n v="0"/>
    <n v="0"/>
    <n v="0"/>
    <m/>
    <m/>
  </r>
  <r>
    <n v="0"/>
    <s v="CMS S.60.10.000"/>
    <x v="1"/>
    <m/>
    <m/>
    <m/>
    <x v="0"/>
    <m/>
    <m/>
    <x v="0"/>
    <x v="0"/>
    <s v="LINHA DE BY PASS DAS PENEIRAS ALIMENTAÇÃO DO TANQUE TQ-145A-9701"/>
    <s v="SC-010"/>
    <s v="SP 8311 G"/>
    <m/>
    <s v="1450AA-S-58311"/>
    <n v="2"/>
    <s v="PÇ"/>
    <n v="10.8"/>
    <n v="21.6"/>
    <n v="0"/>
    <n v="0"/>
    <n v="0"/>
    <n v="0.9"/>
    <n v="0.1"/>
    <m/>
    <m/>
    <x v="0"/>
    <n v="0"/>
    <m/>
    <n v="0"/>
    <n v="21.6"/>
    <m/>
    <n v="0"/>
    <n v="0"/>
    <n v="0"/>
    <m/>
    <m/>
    <m/>
    <n v="0"/>
    <n v="0"/>
    <n v="0"/>
    <n v="0"/>
    <m/>
    <m/>
  </r>
  <r>
    <n v="0"/>
    <s v="CMS S.60.10.000"/>
    <x v="1"/>
    <m/>
    <m/>
    <m/>
    <x v="0"/>
    <m/>
    <m/>
    <x v="0"/>
    <x v="0"/>
    <s v="LINHA DE BY PASS DAS PENEIRAS ALIMENTAÇÃO DO TANQUE TQ-145A-9701"/>
    <s v="SC-010"/>
    <s v="SP 8311 H"/>
    <m/>
    <s v="1450AA-S-58311"/>
    <n v="2"/>
    <s v="PÇ"/>
    <n v="5.0999999999999996"/>
    <n v="10.199999999999999"/>
    <n v="0"/>
    <n v="0"/>
    <n v="0"/>
    <n v="0.9"/>
    <n v="0.1"/>
    <m/>
    <m/>
    <x v="0"/>
    <n v="0"/>
    <m/>
    <n v="0"/>
    <n v="10.199999999999999"/>
    <m/>
    <n v="0"/>
    <n v="0"/>
    <n v="0"/>
    <m/>
    <m/>
    <m/>
    <n v="0"/>
    <n v="0"/>
    <n v="0"/>
    <n v="0"/>
    <m/>
    <m/>
  </r>
  <r>
    <n v="0"/>
    <s v="CMS S.60.10.000"/>
    <x v="1"/>
    <m/>
    <m/>
    <m/>
    <x v="0"/>
    <m/>
    <m/>
    <x v="0"/>
    <x v="0"/>
    <s v="LINHA DE BY PASS DAS PENEIRAS ALIMENTAÇÃO DO TANQUE TQ-145A-9701"/>
    <s v="SC-010"/>
    <s v="SP 8311 J"/>
    <m/>
    <s v="1450AA-S-58311"/>
    <n v="1"/>
    <s v="PÇ"/>
    <n v="8"/>
    <n v="8"/>
    <n v="0"/>
    <n v="0"/>
    <n v="0"/>
    <n v="0.9"/>
    <n v="0.1"/>
    <m/>
    <m/>
    <x v="0"/>
    <n v="0"/>
    <m/>
    <n v="0"/>
    <n v="8"/>
    <m/>
    <n v="0"/>
    <n v="0"/>
    <n v="0"/>
    <m/>
    <m/>
    <m/>
    <n v="0"/>
    <n v="0"/>
    <n v="0"/>
    <n v="0"/>
    <m/>
    <m/>
  </r>
  <r>
    <n v="0"/>
    <s v="CMS S.60.10.000"/>
    <x v="1"/>
    <m/>
    <m/>
    <m/>
    <x v="0"/>
    <m/>
    <m/>
    <x v="0"/>
    <x v="0"/>
    <s v="LINHA DE BY PASS DAS PENEIRAS ALIMENTAÇÃO DO TANQUE TQ-145A-9701"/>
    <s v="SC-010"/>
    <s v="SP 8311 K"/>
    <m/>
    <s v="1450AA-S-58311"/>
    <n v="1"/>
    <s v="PÇ"/>
    <n v="6.1"/>
    <n v="6.1"/>
    <n v="0"/>
    <n v="0"/>
    <n v="0"/>
    <n v="0.9"/>
    <n v="0.1"/>
    <m/>
    <m/>
    <x v="0"/>
    <n v="0"/>
    <m/>
    <n v="0"/>
    <n v="6.1"/>
    <m/>
    <n v="0"/>
    <n v="0"/>
    <n v="0"/>
    <m/>
    <m/>
    <m/>
    <n v="0"/>
    <n v="0"/>
    <n v="0"/>
    <n v="0"/>
    <m/>
    <m/>
  </r>
  <r>
    <n v="0"/>
    <s v="CMS S.60.10.000"/>
    <x v="1"/>
    <m/>
    <m/>
    <m/>
    <x v="0"/>
    <m/>
    <m/>
    <x v="0"/>
    <x v="0"/>
    <s v="LINHA DE BY PASS DAS PENEIRAS ALIMENTAÇÃO DO TANQUE TQ-145A-9701"/>
    <s v="SC-010"/>
    <s v="SP 8311 L"/>
    <m/>
    <s v="1450AA-S-58311"/>
    <n v="1"/>
    <s v="PÇ"/>
    <n v="4.5999999999999996"/>
    <n v="4.5999999999999996"/>
    <n v="0"/>
    <n v="0"/>
    <n v="0"/>
    <n v="0.9"/>
    <n v="0.1"/>
    <m/>
    <m/>
    <x v="0"/>
    <n v="0"/>
    <m/>
    <n v="0"/>
    <n v="4.5999999999999996"/>
    <m/>
    <n v="0"/>
    <n v="0"/>
    <n v="0"/>
    <m/>
    <m/>
    <m/>
    <n v="0"/>
    <n v="0"/>
    <n v="0"/>
    <n v="0"/>
    <m/>
    <m/>
  </r>
  <r>
    <n v="0"/>
    <s v="CMS S.60.10.000"/>
    <x v="1"/>
    <m/>
    <m/>
    <m/>
    <x v="0"/>
    <m/>
    <m/>
    <x v="0"/>
    <x v="0"/>
    <s v="LINHA DE BY PASS DAS PENEIRAS ALIMENTAÇÃO DO TANQUE TQ-145A-9701"/>
    <s v="SC-010"/>
    <s v="SP 8311 M"/>
    <m/>
    <s v="1450AA-S-58311"/>
    <n v="1"/>
    <s v="PÇ"/>
    <n v="12.7"/>
    <n v="12.7"/>
    <n v="0"/>
    <n v="0"/>
    <n v="0"/>
    <n v="0.9"/>
    <n v="0.1"/>
    <m/>
    <m/>
    <x v="0"/>
    <n v="0"/>
    <m/>
    <n v="0"/>
    <n v="12.7"/>
    <m/>
    <n v="0"/>
    <n v="0"/>
    <n v="0"/>
    <m/>
    <m/>
    <m/>
    <n v="0"/>
    <n v="0"/>
    <n v="0"/>
    <n v="0"/>
    <m/>
    <m/>
  </r>
  <r>
    <n v="0"/>
    <s v="CMS S.60.10.000"/>
    <x v="1"/>
    <m/>
    <m/>
    <m/>
    <x v="0"/>
    <m/>
    <m/>
    <x v="0"/>
    <x v="0"/>
    <s v="LINHA DE BY PASS DAS PENEIRAS ALIMENTAÇÃO DO TANQUE TQ-145A-9701"/>
    <s v="SC-010"/>
    <s v="SP 8311 N"/>
    <m/>
    <s v="1450AA-S-58311"/>
    <n v="1"/>
    <s v="PÇ"/>
    <n v="5.8"/>
    <n v="5.8"/>
    <n v="0"/>
    <n v="0"/>
    <n v="0"/>
    <n v="0.9"/>
    <n v="0.1"/>
    <m/>
    <m/>
    <x v="0"/>
    <n v="0"/>
    <m/>
    <n v="0"/>
    <n v="5.8"/>
    <m/>
    <n v="0"/>
    <n v="0"/>
    <n v="0"/>
    <m/>
    <m/>
    <m/>
    <n v="0"/>
    <n v="0"/>
    <n v="0"/>
    <n v="0"/>
    <m/>
    <m/>
  </r>
  <r>
    <n v="0"/>
    <s v="CMS S.60.10.000"/>
    <x v="1"/>
    <m/>
    <m/>
    <m/>
    <x v="0"/>
    <m/>
    <m/>
    <x v="0"/>
    <x v="0"/>
    <s v="LINHA DE BY PASS DAS PENEIRAS ALIMENTAÇÃO DO TANQUE TQ-145A-9702"/>
    <s v="SC-010"/>
    <s v="SP 8312 A"/>
    <s v="1450AA-L-70116"/>
    <s v="1450AA-S-58312"/>
    <n v="1"/>
    <s v="PÇ"/>
    <n v="12.7"/>
    <n v="12.7"/>
    <n v="0"/>
    <n v="0"/>
    <n v="0"/>
    <n v="0.9"/>
    <n v="0.1"/>
    <m/>
    <m/>
    <x v="0"/>
    <n v="0"/>
    <m/>
    <n v="0"/>
    <n v="12.7"/>
    <m/>
    <n v="0"/>
    <n v="0"/>
    <n v="0"/>
    <m/>
    <m/>
    <m/>
    <n v="0"/>
    <n v="0"/>
    <n v="0"/>
    <n v="0"/>
    <m/>
    <m/>
  </r>
  <r>
    <n v="0"/>
    <s v="CMS S.60.10.000"/>
    <x v="1"/>
    <m/>
    <m/>
    <m/>
    <x v="0"/>
    <m/>
    <m/>
    <x v="0"/>
    <x v="0"/>
    <s v="LINHA DE BY PASS DAS PENEIRAS ALIMENTAÇÃO DO TANQUE TQ-145A-9702"/>
    <s v="SC-010"/>
    <s v="SP 8312 B"/>
    <s v="1450AA-L-70116"/>
    <s v="1450AA-S-58312"/>
    <n v="2"/>
    <s v="PÇ"/>
    <n v="15.5"/>
    <n v="31"/>
    <n v="0"/>
    <n v="0"/>
    <n v="0"/>
    <n v="0.9"/>
    <n v="0.1"/>
    <m/>
    <m/>
    <x v="0"/>
    <n v="0"/>
    <m/>
    <n v="0"/>
    <n v="31"/>
    <m/>
    <n v="0"/>
    <n v="0"/>
    <n v="0"/>
    <m/>
    <m/>
    <m/>
    <n v="0"/>
    <n v="0"/>
    <n v="0"/>
    <n v="0"/>
    <m/>
    <m/>
  </r>
  <r>
    <n v="0"/>
    <s v="CMS S.60.10.000"/>
    <x v="1"/>
    <m/>
    <m/>
    <m/>
    <x v="0"/>
    <m/>
    <m/>
    <x v="0"/>
    <x v="0"/>
    <s v="LINHA DE BY PASS DAS PENEIRAS ALIMENTAÇÃO DO TANQUE TQ-145A-9702"/>
    <s v="SC-010"/>
    <s v="SP 8312 C"/>
    <s v="1450AA-L-70116"/>
    <s v="1450AA-S-58312"/>
    <n v="2"/>
    <s v="PÇ"/>
    <n v="34.1"/>
    <n v="68.2"/>
    <n v="0"/>
    <n v="0"/>
    <n v="0"/>
    <n v="0.9"/>
    <n v="0.1"/>
    <m/>
    <m/>
    <x v="0"/>
    <n v="0"/>
    <m/>
    <n v="0"/>
    <n v="68.2"/>
    <m/>
    <n v="0"/>
    <n v="0"/>
    <n v="0"/>
    <m/>
    <m/>
    <m/>
    <n v="0"/>
    <n v="0"/>
    <n v="0"/>
    <n v="0"/>
    <m/>
    <m/>
  </r>
  <r>
    <n v="0"/>
    <s v="CMS S.60.10.000"/>
    <x v="1"/>
    <m/>
    <m/>
    <m/>
    <x v="0"/>
    <m/>
    <m/>
    <x v="0"/>
    <x v="0"/>
    <s v="LINHA DE BY PASS DAS PENEIRAS ALIMENTAÇÃO DO TANQUE TQ-145A-9702"/>
    <s v="SC-010"/>
    <s v="SP 8312 D"/>
    <s v="1450AA-L-70116"/>
    <s v="1450AA-S-58312"/>
    <n v="5"/>
    <s v="PÇ"/>
    <n v="39.6"/>
    <n v="198"/>
    <n v="0"/>
    <n v="0"/>
    <n v="0"/>
    <n v="0.9"/>
    <n v="0.1"/>
    <m/>
    <m/>
    <x v="0"/>
    <n v="0"/>
    <m/>
    <n v="0"/>
    <n v="198"/>
    <m/>
    <n v="0"/>
    <n v="0"/>
    <n v="0"/>
    <m/>
    <m/>
    <m/>
    <n v="0"/>
    <n v="0"/>
    <n v="0"/>
    <n v="0"/>
    <m/>
    <m/>
  </r>
  <r>
    <n v="0"/>
    <s v="CMS S.60.10.000"/>
    <x v="1"/>
    <m/>
    <m/>
    <m/>
    <x v="0"/>
    <m/>
    <m/>
    <x v="0"/>
    <x v="0"/>
    <s v="LINHA DE BY PASS DAS PENEIRAS ALIMENTAÇÃO DO TANQUE TQ-145A-9702"/>
    <s v="SC-010"/>
    <s v="SP 8312 E"/>
    <s v="1450AA-L-70116"/>
    <s v="1450AA-S-58312"/>
    <n v="1"/>
    <s v="PÇ"/>
    <n v="5.2"/>
    <n v="5.2"/>
    <n v="0"/>
    <n v="0"/>
    <n v="0"/>
    <n v="0.9"/>
    <n v="0.1"/>
    <m/>
    <m/>
    <x v="0"/>
    <n v="0"/>
    <m/>
    <n v="0"/>
    <n v="5.2"/>
    <m/>
    <n v="0"/>
    <n v="0"/>
    <n v="0"/>
    <m/>
    <m/>
    <m/>
    <n v="0"/>
    <n v="0"/>
    <n v="0"/>
    <n v="0"/>
    <m/>
    <m/>
  </r>
  <r>
    <n v="0"/>
    <s v="CMS S.60.10.000"/>
    <x v="1"/>
    <m/>
    <m/>
    <m/>
    <x v="0"/>
    <m/>
    <m/>
    <x v="0"/>
    <x v="0"/>
    <s v="LINHA DE BY PASS DAS PENEIRAS ALIMENTAÇÃO DO TANQUE TQ-145A-9702"/>
    <s v="SC-010"/>
    <s v="SP 8312 F"/>
    <s v="1450AA-L-70116"/>
    <s v="1450AA-S-58312"/>
    <n v="1"/>
    <s v="PÇ"/>
    <n v="4"/>
    <n v="4"/>
    <n v="0"/>
    <n v="0"/>
    <n v="0"/>
    <n v="0.9"/>
    <n v="0.1"/>
    <m/>
    <m/>
    <x v="0"/>
    <n v="0"/>
    <m/>
    <n v="0"/>
    <n v="4"/>
    <m/>
    <n v="0"/>
    <n v="0"/>
    <n v="0"/>
    <m/>
    <m/>
    <m/>
    <n v="0"/>
    <n v="0"/>
    <n v="0"/>
    <n v="0"/>
    <m/>
    <m/>
  </r>
  <r>
    <n v="0"/>
    <s v="CMS S.60.10.000"/>
    <x v="1"/>
    <m/>
    <m/>
    <m/>
    <x v="0"/>
    <m/>
    <m/>
    <x v="0"/>
    <x v="0"/>
    <s v="LINHA DE BY PASS DAS PENEIRAS ALIMENTAÇÃO DO TANQUE TQ-145A-9702"/>
    <s v="SC-010"/>
    <s v="SP 8312 G"/>
    <s v="1450AA-L-70116"/>
    <s v="1450AA-S-58312"/>
    <n v="1"/>
    <s v="PÇ"/>
    <n v="5.9"/>
    <n v="5.9"/>
    <n v="0"/>
    <n v="0"/>
    <n v="0"/>
    <n v="0.9"/>
    <n v="0.1"/>
    <m/>
    <m/>
    <x v="0"/>
    <n v="0"/>
    <m/>
    <n v="0"/>
    <n v="5.9"/>
    <m/>
    <n v="0"/>
    <n v="0"/>
    <n v="0"/>
    <m/>
    <m/>
    <m/>
    <n v="0"/>
    <n v="0"/>
    <n v="0"/>
    <n v="0"/>
    <m/>
    <m/>
  </r>
  <r>
    <n v="0"/>
    <s v="CMS S.60.10.000"/>
    <x v="1"/>
    <m/>
    <m/>
    <m/>
    <x v="0"/>
    <m/>
    <m/>
    <x v="0"/>
    <x v="0"/>
    <s v="LINHA DE BY PASS DAS PENEIRAS ALIMENTAÇÃO DO TANQUE TQ-145A-9702"/>
    <s v="SC-010"/>
    <s v="SP 8312 H"/>
    <s v="1450AA-L-70116"/>
    <s v="1450AA-S-58312"/>
    <n v="1"/>
    <s v="PÇ"/>
    <n v="11.8"/>
    <n v="11.8"/>
    <n v="0"/>
    <n v="0"/>
    <n v="0"/>
    <n v="0.9"/>
    <n v="0.1"/>
    <m/>
    <m/>
    <x v="0"/>
    <n v="0"/>
    <m/>
    <n v="0"/>
    <n v="11.8"/>
    <m/>
    <n v="0"/>
    <n v="0"/>
    <n v="0"/>
    <m/>
    <m/>
    <m/>
    <n v="0"/>
    <n v="0"/>
    <n v="0"/>
    <n v="0"/>
    <m/>
    <m/>
  </r>
  <r>
    <n v="0"/>
    <s v="CMS S.60.10.000"/>
    <x v="1"/>
    <m/>
    <m/>
    <m/>
    <x v="0"/>
    <m/>
    <m/>
    <x v="0"/>
    <x v="0"/>
    <s v="LINHA DE BY PASS DAS PENEIRAS ALIMENTAÇÃO DO TANQUE TQ-145A-9702"/>
    <s v="SC-010"/>
    <s v="SP 8312 J"/>
    <s v="1450AA-L-70116"/>
    <s v="1450AA-S-58312"/>
    <n v="1"/>
    <s v="PÇ"/>
    <n v="25.4"/>
    <n v="25.4"/>
    <n v="0"/>
    <n v="0"/>
    <n v="0"/>
    <n v="0.9"/>
    <n v="0.1"/>
    <m/>
    <m/>
    <x v="0"/>
    <n v="0"/>
    <m/>
    <n v="0"/>
    <n v="25.4"/>
    <m/>
    <n v="0"/>
    <n v="0"/>
    <n v="0"/>
    <m/>
    <m/>
    <m/>
    <n v="0"/>
    <n v="0"/>
    <n v="0"/>
    <n v="0"/>
    <m/>
    <m/>
  </r>
  <r>
    <n v="0"/>
    <s v="CMS S.60.10.000"/>
    <x v="1"/>
    <m/>
    <m/>
    <m/>
    <x v="0"/>
    <m/>
    <m/>
    <x v="0"/>
    <x v="0"/>
    <s v="LINHA DE BY PASS DAS PENEIRAS ALIMENTAÇÃO DO TANQUE TQ-145A-9702"/>
    <s v="SC-010"/>
    <s v="SP 8312 K"/>
    <s v="1450AA-L-70116"/>
    <s v="1450AA-S-58312"/>
    <n v="2"/>
    <s v="PÇ"/>
    <n v="28"/>
    <n v="56"/>
    <n v="0"/>
    <n v="0"/>
    <n v="0"/>
    <n v="0.9"/>
    <n v="0.1"/>
    <m/>
    <m/>
    <x v="0"/>
    <n v="0"/>
    <m/>
    <n v="0"/>
    <n v="56"/>
    <m/>
    <n v="0"/>
    <n v="0"/>
    <n v="0"/>
    <m/>
    <m/>
    <m/>
    <n v="0"/>
    <n v="0"/>
    <n v="0"/>
    <n v="0"/>
    <m/>
    <m/>
  </r>
  <r>
    <n v="0"/>
    <s v="CMS S.60.10.000"/>
    <x v="1"/>
    <m/>
    <m/>
    <m/>
    <x v="0"/>
    <m/>
    <m/>
    <x v="0"/>
    <x v="0"/>
    <s v="LINHA DE BY PASS DAS PENEIRAS ALIMENTAÇÃO DO TANQUE TQ-145A-9702"/>
    <s v="SC-010"/>
    <s v="SP 8312 L"/>
    <s v="1450AA-L-70116"/>
    <s v="1450AA-S-58312"/>
    <n v="2"/>
    <s v="PÇ"/>
    <n v="30.6"/>
    <n v="61.2"/>
    <n v="0"/>
    <n v="0"/>
    <n v="0"/>
    <n v="0.9"/>
    <n v="0.1"/>
    <m/>
    <m/>
    <x v="0"/>
    <n v="0"/>
    <m/>
    <n v="0"/>
    <n v="61.2"/>
    <m/>
    <n v="0"/>
    <n v="0"/>
    <n v="0"/>
    <m/>
    <m/>
    <m/>
    <n v="0"/>
    <n v="0"/>
    <n v="0"/>
    <n v="0"/>
    <m/>
    <m/>
  </r>
  <r>
    <n v="0"/>
    <s v="CMS S.60.10.000"/>
    <x v="1"/>
    <m/>
    <m/>
    <m/>
    <x v="0"/>
    <m/>
    <m/>
    <x v="0"/>
    <x v="0"/>
    <s v="LINHA DE BY PASS DAS PENEIRAS ALIMENTAÇÃO DO TANQUE TQ-145A-9703"/>
    <s v="SC-010"/>
    <s v="SP 8313 A"/>
    <s v="1450AA-L-70111"/>
    <s v="1450AA-S-58313"/>
    <n v="2"/>
    <s v="PÇ"/>
    <n v="145.5"/>
    <n v="291"/>
    <n v="0"/>
    <n v="0"/>
    <n v="0"/>
    <n v="0.9"/>
    <n v="0.1"/>
    <m/>
    <m/>
    <x v="0"/>
    <n v="0"/>
    <m/>
    <n v="0"/>
    <n v="291"/>
    <m/>
    <n v="0"/>
    <n v="0"/>
    <n v="0"/>
    <m/>
    <m/>
    <m/>
    <n v="0"/>
    <n v="0"/>
    <n v="0"/>
    <n v="0"/>
    <m/>
    <m/>
  </r>
  <r>
    <n v="0"/>
    <s v="CMS S.60.10.000"/>
    <x v="1"/>
    <m/>
    <m/>
    <m/>
    <x v="0"/>
    <m/>
    <m/>
    <x v="0"/>
    <x v="0"/>
    <s v="LINHA DE BY PASS DAS PENEIRAS ALIMENTAÇÃO DO TANQUE TQ-145A-9703"/>
    <s v="SC-010"/>
    <s v="SP 8313 B"/>
    <s v="1450AA-L-70111"/>
    <s v="1450AA-S-58313"/>
    <n v="1"/>
    <s v="PÇ"/>
    <n v="18.100000000000001"/>
    <n v="18.100000000000001"/>
    <n v="0"/>
    <n v="0"/>
    <n v="0"/>
    <n v="0.9"/>
    <n v="0.1"/>
    <m/>
    <m/>
    <x v="0"/>
    <n v="0"/>
    <m/>
    <n v="0"/>
    <n v="18.100000000000001"/>
    <m/>
    <n v="0"/>
    <n v="0"/>
    <n v="0"/>
    <m/>
    <m/>
    <m/>
    <n v="0"/>
    <n v="0"/>
    <n v="0"/>
    <n v="0"/>
    <m/>
    <m/>
  </r>
  <r>
    <n v="0"/>
    <s v="CMS S.60.10.000"/>
    <x v="1"/>
    <m/>
    <m/>
    <m/>
    <x v="0"/>
    <m/>
    <m/>
    <x v="0"/>
    <x v="0"/>
    <s v="LINHA DE BY PASS DAS PENEIRAS ALIMENTAÇÃO DO TANQUE TQ-145A-9703"/>
    <s v="SC-010"/>
    <s v="SP 8313 C"/>
    <s v="1450AA-L-70111"/>
    <s v="1450AA-S-58313"/>
    <n v="1"/>
    <s v="PÇ"/>
    <n v="53.2"/>
    <n v="53.2"/>
    <n v="0"/>
    <n v="0"/>
    <n v="0"/>
    <n v="0.9"/>
    <n v="0.1"/>
    <m/>
    <m/>
    <x v="0"/>
    <n v="0"/>
    <m/>
    <n v="0"/>
    <n v="53.2"/>
    <m/>
    <n v="0"/>
    <n v="0"/>
    <n v="0"/>
    <m/>
    <m/>
    <m/>
    <n v="0"/>
    <n v="0"/>
    <n v="0"/>
    <n v="0"/>
    <m/>
    <m/>
  </r>
  <r>
    <n v="0"/>
    <s v="CMS S.60.10.000"/>
    <x v="1"/>
    <m/>
    <m/>
    <m/>
    <x v="0"/>
    <m/>
    <m/>
    <x v="0"/>
    <x v="0"/>
    <s v="LINHA DE BY PASS DAS PENEIRAS ALIMENTAÇÃO DO TANQUE TQ-145A-9703"/>
    <s v="SC-010"/>
    <s v="SP 8313 D"/>
    <s v="1450AA-L-70111"/>
    <s v="1450AA-S-58313"/>
    <n v="1"/>
    <s v="PÇ"/>
    <n v="18.2"/>
    <n v="18.2"/>
    <n v="0"/>
    <n v="0"/>
    <n v="0"/>
    <n v="0.9"/>
    <n v="0.1"/>
    <m/>
    <m/>
    <x v="0"/>
    <n v="0"/>
    <m/>
    <n v="0"/>
    <n v="18.2"/>
    <m/>
    <n v="0"/>
    <n v="0"/>
    <n v="0"/>
    <m/>
    <m/>
    <m/>
    <n v="0"/>
    <n v="0"/>
    <n v="0"/>
    <n v="0"/>
    <m/>
    <m/>
  </r>
  <r>
    <n v="0"/>
    <s v="CMS S.60.10.000"/>
    <x v="1"/>
    <m/>
    <m/>
    <m/>
    <x v="0"/>
    <m/>
    <m/>
    <x v="0"/>
    <x v="0"/>
    <s v="LINHA DE BY PASS DAS PENEIRAS ALIMENTAÇÃO DO TANQUE TQ-145A-9703"/>
    <s v="SC-010"/>
    <s v="SP 8313 E"/>
    <s v="1450AA-L-70111"/>
    <s v="1450AA-S-58313"/>
    <n v="1"/>
    <s v="PÇ"/>
    <n v="15.3"/>
    <n v="15.3"/>
    <n v="0"/>
    <n v="0"/>
    <n v="0"/>
    <n v="0.9"/>
    <n v="0.1"/>
    <m/>
    <m/>
    <x v="0"/>
    <n v="0"/>
    <m/>
    <n v="0"/>
    <n v="15.3"/>
    <m/>
    <n v="0"/>
    <n v="0"/>
    <n v="0"/>
    <m/>
    <m/>
    <m/>
    <n v="0"/>
    <n v="0"/>
    <n v="0"/>
    <n v="0"/>
    <m/>
    <m/>
  </r>
  <r>
    <n v="0"/>
    <s v="CMS S.60.10.000"/>
    <x v="1"/>
    <m/>
    <m/>
    <m/>
    <x v="0"/>
    <m/>
    <m/>
    <x v="0"/>
    <x v="0"/>
    <s v="LINHA DE BY PASS DAS PENEIRAS ALIMENTAÇÃO DO TANQUE TQ-145A-9703"/>
    <s v="SC-010"/>
    <s v="SP 8313 F"/>
    <s v="1450AA-L-70111"/>
    <s v="1450AA-S-58313"/>
    <n v="1"/>
    <s v="PÇ"/>
    <n v="32.5"/>
    <n v="32.5"/>
    <n v="0"/>
    <n v="0"/>
    <n v="0"/>
    <n v="0.9"/>
    <n v="0.1"/>
    <m/>
    <m/>
    <x v="0"/>
    <n v="0"/>
    <m/>
    <n v="0"/>
    <n v="32.5"/>
    <m/>
    <n v="0"/>
    <n v="0"/>
    <n v="0"/>
    <m/>
    <m/>
    <m/>
    <n v="0"/>
    <n v="0"/>
    <n v="0"/>
    <n v="0"/>
    <m/>
    <m/>
  </r>
  <r>
    <n v="0"/>
    <s v="CMS S.60.10.000"/>
    <x v="1"/>
    <m/>
    <m/>
    <m/>
    <x v="0"/>
    <m/>
    <m/>
    <x v="0"/>
    <x v="0"/>
    <s v="LINHA DE BY PASS DAS PENEIRAS ALIMENTAÇÃO DO TANQUE TQ-145A-9703"/>
    <s v="SC-010"/>
    <s v="SP 8313 G"/>
    <s v="1450AA-L-70111"/>
    <s v="1450AA-S-58313"/>
    <n v="1"/>
    <s v="PÇ"/>
    <n v="31.5"/>
    <n v="31.5"/>
    <n v="0"/>
    <n v="0"/>
    <n v="0"/>
    <n v="0.9"/>
    <n v="0.1"/>
    <m/>
    <m/>
    <x v="0"/>
    <n v="0"/>
    <m/>
    <n v="0"/>
    <n v="31.5"/>
    <m/>
    <n v="0"/>
    <n v="0"/>
    <n v="0"/>
    <m/>
    <m/>
    <m/>
    <n v="0"/>
    <n v="0"/>
    <n v="0"/>
    <n v="0"/>
    <m/>
    <m/>
  </r>
  <r>
    <n v="0"/>
    <s v="CMS S.60.10.000"/>
    <x v="1"/>
    <m/>
    <m/>
    <m/>
    <x v="0"/>
    <m/>
    <m/>
    <x v="0"/>
    <x v="0"/>
    <s v="LINHA DE BY PASS DAS PENEIRAS ALIMENTAÇÃO DO TANQUE TQ-145A-9703"/>
    <s v="SC-010"/>
    <s v="SP 8313 H"/>
    <s v="1450AA-L-70111"/>
    <s v="1450AA-S-58313"/>
    <n v="1"/>
    <s v="PÇ"/>
    <n v="23.1"/>
    <n v="23.1"/>
    <n v="0"/>
    <n v="0"/>
    <n v="0"/>
    <n v="0.9"/>
    <n v="0.1"/>
    <m/>
    <m/>
    <x v="0"/>
    <n v="0"/>
    <m/>
    <n v="0"/>
    <n v="23.1"/>
    <m/>
    <n v="0"/>
    <n v="0"/>
    <n v="0"/>
    <m/>
    <m/>
    <m/>
    <n v="0"/>
    <n v="0"/>
    <n v="0"/>
    <n v="0"/>
    <m/>
    <m/>
  </r>
  <r>
    <n v="0"/>
    <s v="CMS S.60.10.000"/>
    <x v="1"/>
    <m/>
    <m/>
    <m/>
    <x v="0"/>
    <m/>
    <m/>
    <x v="0"/>
    <x v="0"/>
    <s v="LINHA DE BY PASS DAS PENEIRAS ALIMENTAÇÃO DO TANQUE TQ-145A-9703"/>
    <s v="SC-010"/>
    <s v="SP 8313 J"/>
    <s v="1450AA-L-70111"/>
    <s v="1450AA-S-58313"/>
    <n v="2"/>
    <s v="PÇ"/>
    <n v="21.5"/>
    <n v="43"/>
    <n v="0"/>
    <n v="0"/>
    <n v="0"/>
    <n v="0.9"/>
    <n v="0.1"/>
    <m/>
    <m/>
    <x v="0"/>
    <n v="0"/>
    <m/>
    <n v="0"/>
    <n v="43"/>
    <m/>
    <n v="0"/>
    <n v="0"/>
    <n v="0"/>
    <m/>
    <m/>
    <m/>
    <n v="0"/>
    <n v="0"/>
    <n v="0"/>
    <n v="0"/>
    <m/>
    <m/>
  </r>
  <r>
    <n v="0"/>
    <s v="CMS S.60.10.000"/>
    <x v="1"/>
    <m/>
    <m/>
    <m/>
    <x v="0"/>
    <m/>
    <m/>
    <x v="0"/>
    <x v="0"/>
    <s v="LINHA DE BY PASS DAS PENEIRAS ALIMENTAÇÃO DO TANQUE TQ-145A-9703"/>
    <s v="SC-010"/>
    <s v="SP 8313 K"/>
    <s v="1450AA-L-70111"/>
    <s v="1450AA-S-58313"/>
    <n v="2"/>
    <s v="PÇ"/>
    <n v="15.2"/>
    <n v="30.4"/>
    <n v="0"/>
    <n v="0"/>
    <n v="0"/>
    <n v="0.9"/>
    <n v="0.1"/>
    <m/>
    <m/>
    <x v="0"/>
    <n v="0"/>
    <m/>
    <n v="0"/>
    <n v="30.4"/>
    <m/>
    <n v="0"/>
    <n v="0"/>
    <n v="0"/>
    <m/>
    <m/>
    <m/>
    <n v="0"/>
    <n v="0"/>
    <n v="0"/>
    <n v="0"/>
    <m/>
    <m/>
  </r>
  <r>
    <n v="0"/>
    <s v="CMS S.60.10.000"/>
    <x v="1"/>
    <m/>
    <m/>
    <m/>
    <x v="0"/>
    <m/>
    <m/>
    <x v="0"/>
    <x v="0"/>
    <s v="LINHA DE BY PASS DAS PENEIRAS ALIMENTAÇÃO DO TANQUE TQ-145A-9703"/>
    <s v="SC-010"/>
    <s v="SP 8313 L"/>
    <s v="1450AA-L-70111"/>
    <s v="1450AA-S-58313"/>
    <n v="1"/>
    <s v="PÇ"/>
    <n v="11.6"/>
    <n v="11.6"/>
    <n v="0"/>
    <n v="0"/>
    <n v="0"/>
    <n v="0.9"/>
    <n v="0.1"/>
    <m/>
    <m/>
    <x v="0"/>
    <n v="0"/>
    <m/>
    <n v="0"/>
    <n v="11.6"/>
    <m/>
    <n v="0"/>
    <n v="0"/>
    <n v="0"/>
    <m/>
    <m/>
    <m/>
    <n v="0"/>
    <n v="0"/>
    <n v="0"/>
    <n v="0"/>
    <m/>
    <m/>
  </r>
  <r>
    <n v="0"/>
    <s v="CMS S.60.10.000"/>
    <x v="1"/>
    <m/>
    <m/>
    <m/>
    <x v="0"/>
    <m/>
    <m/>
    <x v="0"/>
    <x v="0"/>
    <s v="LINHA DE BY PASS DAS PENEIRAS ALIMENTAÇÃO DO TANQUE TQ-145A-9703"/>
    <s v="SC-010"/>
    <s v="SP 8313 M"/>
    <s v="1450AA-L-70111"/>
    <s v="1450AA-S-58313"/>
    <n v="1"/>
    <s v="PÇ"/>
    <n v="7.9"/>
    <n v="7.9"/>
    <n v="0"/>
    <n v="0"/>
    <n v="0"/>
    <n v="0.9"/>
    <n v="0.1"/>
    <m/>
    <m/>
    <x v="0"/>
    <n v="0"/>
    <m/>
    <n v="0"/>
    <n v="7.9"/>
    <m/>
    <n v="0"/>
    <n v="0"/>
    <n v="0"/>
    <m/>
    <m/>
    <m/>
    <n v="0"/>
    <n v="0"/>
    <n v="0"/>
    <n v="0"/>
    <m/>
    <m/>
  </r>
  <r>
    <n v="0"/>
    <s v="CMS S.60.10.000"/>
    <x v="1"/>
    <m/>
    <m/>
    <m/>
    <x v="0"/>
    <m/>
    <m/>
    <x v="0"/>
    <x v="0"/>
    <s v="LINHA DE BY PASS DAS PENEIRAS ALIMENTAÇÃO DO TANQUE TQ-145A-9703"/>
    <s v="SC-010"/>
    <s v="SP 8313 N"/>
    <s v="1450AA-L-70111"/>
    <s v="1450AA-S-58313"/>
    <n v="2"/>
    <s v="PÇ"/>
    <n v="5.5"/>
    <n v="11"/>
    <n v="0"/>
    <n v="0"/>
    <n v="0"/>
    <n v="0.9"/>
    <n v="0.1"/>
    <m/>
    <m/>
    <x v="0"/>
    <n v="0"/>
    <m/>
    <n v="0"/>
    <n v="11"/>
    <m/>
    <n v="0"/>
    <n v="0"/>
    <n v="0"/>
    <m/>
    <m/>
    <m/>
    <n v="0"/>
    <n v="0"/>
    <n v="0"/>
    <n v="0"/>
    <m/>
    <m/>
  </r>
  <r>
    <n v="0"/>
    <s v="CMS S.60.10.000"/>
    <x v="1"/>
    <m/>
    <m/>
    <m/>
    <x v="0"/>
    <m/>
    <m/>
    <x v="0"/>
    <x v="0"/>
    <s v="LINHA DE BY PASS DAS PENEIRAS ALIMENTAÇÃO DO TANQUE TQ-145A-9703"/>
    <s v="SC-010"/>
    <s v="SP 8313 P"/>
    <s v="1450AA-L-70111"/>
    <s v="1450AA-S-58313"/>
    <n v="2"/>
    <s v="PÇ"/>
    <n v="9.3000000000000007"/>
    <n v="18.600000000000001"/>
    <n v="0"/>
    <n v="0"/>
    <n v="0"/>
    <n v="0.9"/>
    <n v="0.1"/>
    <m/>
    <m/>
    <x v="0"/>
    <n v="0"/>
    <m/>
    <n v="0"/>
    <n v="18.600000000000001"/>
    <m/>
    <n v="0"/>
    <n v="0"/>
    <n v="0"/>
    <m/>
    <m/>
    <m/>
    <n v="0"/>
    <n v="0"/>
    <n v="0"/>
    <n v="0"/>
    <m/>
    <m/>
  </r>
  <r>
    <n v="0"/>
    <s v="CMS S.60.10.000"/>
    <x v="1"/>
    <m/>
    <m/>
    <m/>
    <x v="0"/>
    <m/>
    <m/>
    <x v="0"/>
    <x v="0"/>
    <s v="LINHA DE BY PASS DAS PENEIRAS ALIMENTAÇÃO DO TANQUE TQ-145A-9703"/>
    <s v="SC-010"/>
    <s v="SP 8313 Q"/>
    <s v="1450AA-L-70111"/>
    <s v="1450AA-S-58313"/>
    <n v="2"/>
    <s v="PÇ"/>
    <n v="4.2"/>
    <n v="8.4"/>
    <n v="0"/>
    <n v="0"/>
    <n v="0"/>
    <n v="0.9"/>
    <n v="0.1"/>
    <m/>
    <m/>
    <x v="0"/>
    <n v="0"/>
    <m/>
    <n v="0"/>
    <n v="8.4"/>
    <m/>
    <n v="0"/>
    <n v="0"/>
    <n v="0"/>
    <m/>
    <m/>
    <m/>
    <n v="0"/>
    <n v="0"/>
    <n v="0"/>
    <n v="0"/>
    <m/>
    <m/>
  </r>
  <r>
    <n v="0"/>
    <s v="CMS S.60.10.000"/>
    <x v="1"/>
    <m/>
    <m/>
    <m/>
    <x v="0"/>
    <m/>
    <m/>
    <x v="0"/>
    <x v="0"/>
    <s v="LINHA DE BY PASS DAS PENEIRAS ALIMENTAÇÃO DO TANQUE TQ-145A-9703"/>
    <s v="SC-010"/>
    <s v="SP 8313 R"/>
    <s v="1450AA-L-70111"/>
    <s v="1450AA-S-58313"/>
    <n v="1"/>
    <s v="PÇ"/>
    <n v="12.700000000000001"/>
    <n v="12.700000000000001"/>
    <n v="0"/>
    <n v="0"/>
    <n v="0"/>
    <n v="0.9"/>
    <n v="0.1"/>
    <m/>
    <m/>
    <x v="0"/>
    <n v="0"/>
    <m/>
    <n v="0"/>
    <n v="12.700000000000001"/>
    <m/>
    <n v="0"/>
    <n v="0"/>
    <n v="0"/>
    <m/>
    <m/>
    <m/>
    <n v="0"/>
    <n v="0"/>
    <n v="0"/>
    <n v="0"/>
    <m/>
    <m/>
  </r>
  <r>
    <n v="0"/>
    <s v="CMS S.60.10.000"/>
    <x v="1"/>
    <m/>
    <m/>
    <m/>
    <x v="0"/>
    <m/>
    <m/>
    <x v="0"/>
    <x v="0"/>
    <s v="LINHA DE BY PASS DAS PENEIRAS ALIMENTAÇÃO DO TANQUE TQ-145A-9703"/>
    <s v="SC-010"/>
    <s v="SP 8313 S"/>
    <s v="1450AA-L-70111"/>
    <s v="1450AA-S-58313"/>
    <n v="1"/>
    <s v="PÇ"/>
    <n v="6.3"/>
    <n v="6.3"/>
    <n v="0"/>
    <n v="0"/>
    <n v="0"/>
    <n v="0.9"/>
    <n v="0.1"/>
    <m/>
    <m/>
    <x v="0"/>
    <n v="0"/>
    <m/>
    <n v="0"/>
    <n v="6.3"/>
    <m/>
    <n v="0"/>
    <n v="0"/>
    <n v="0"/>
    <m/>
    <m/>
    <m/>
    <n v="0"/>
    <n v="0"/>
    <n v="0"/>
    <n v="0"/>
    <m/>
    <m/>
  </r>
  <r>
    <n v="0"/>
    <s v="CMS S.60.10.000"/>
    <x v="1"/>
    <m/>
    <m/>
    <m/>
    <x v="0"/>
    <m/>
    <m/>
    <x v="0"/>
    <x v="0"/>
    <s v="LINHA DE BY PASS DAS PENEIRAS ALIMENTAÇÃO DO TANQUE TQ-145A-9703"/>
    <s v="SC-010"/>
    <s v="SP 8313 T"/>
    <s v="1450AA-L-70111"/>
    <s v="1450AA-S-58313"/>
    <n v="1"/>
    <s v="PÇ"/>
    <n v="0.8"/>
    <n v="0.8"/>
    <n v="0"/>
    <n v="0"/>
    <n v="0"/>
    <n v="0.9"/>
    <n v="0.1"/>
    <m/>
    <m/>
    <x v="0"/>
    <n v="0"/>
    <m/>
    <n v="0"/>
    <n v="0.8"/>
    <m/>
    <n v="0"/>
    <n v="0"/>
    <n v="0"/>
    <m/>
    <m/>
    <m/>
    <n v="0"/>
    <n v="0"/>
    <n v="0"/>
    <n v="0"/>
    <m/>
    <m/>
  </r>
  <r>
    <n v="0"/>
    <s v="CMS S.60.10.000"/>
    <x v="1"/>
    <m/>
    <m/>
    <m/>
    <x v="0"/>
    <m/>
    <m/>
    <x v="0"/>
    <x v="0"/>
    <s v="LINHA DE BY PASS DAS PENEIRAS ALIMENTAÇÃO DO TANQUE TQ-145A-9704"/>
    <s v="SC-010"/>
    <s v="SP 8314 A"/>
    <s v="1450AA-L-70112"/>
    <s v="1450AA-S-58314"/>
    <n v="9"/>
    <s v="PÇ"/>
    <n v="12.7"/>
    <n v="114.3"/>
    <n v="0"/>
    <n v="0"/>
    <n v="0"/>
    <n v="0.9"/>
    <n v="0.1"/>
    <m/>
    <m/>
    <x v="0"/>
    <n v="0"/>
    <m/>
    <n v="0"/>
    <n v="114.3"/>
    <m/>
    <n v="0"/>
    <n v="0"/>
    <n v="0"/>
    <m/>
    <m/>
    <m/>
    <n v="0"/>
    <n v="0"/>
    <n v="0"/>
    <n v="0"/>
    <m/>
    <m/>
  </r>
  <r>
    <n v="0"/>
    <s v="CMS S.60.10.000"/>
    <x v="1"/>
    <m/>
    <m/>
    <m/>
    <x v="0"/>
    <m/>
    <m/>
    <x v="0"/>
    <x v="0"/>
    <s v="LINHA DE BY PASS DAS PENEIRAS ALIMENTAÇÃO DO TANQUE TQ-145A-9704"/>
    <s v="SC-010"/>
    <s v="SP 8314 B"/>
    <s v="1450AA-L-70112"/>
    <s v="1450AA-S-58314"/>
    <n v="1"/>
    <s v="PÇ"/>
    <n v="252.5"/>
    <n v="252.5"/>
    <n v="0"/>
    <n v="0"/>
    <n v="0"/>
    <n v="0.9"/>
    <n v="0.1"/>
    <m/>
    <m/>
    <x v="0"/>
    <n v="0"/>
    <m/>
    <n v="0"/>
    <n v="252.5"/>
    <m/>
    <n v="0"/>
    <n v="0"/>
    <n v="0"/>
    <m/>
    <m/>
    <m/>
    <n v="0"/>
    <n v="0"/>
    <n v="0"/>
    <n v="0"/>
    <m/>
    <m/>
  </r>
  <r>
    <n v="0"/>
    <s v="CMS S.60.10.000"/>
    <x v="1"/>
    <m/>
    <m/>
    <m/>
    <x v="0"/>
    <m/>
    <m/>
    <x v="0"/>
    <x v="0"/>
    <s v="LINHA DE BY PASS DAS PENEIRAS ALIMENTAÇÃO DO TANQUE TQ-145A-9704"/>
    <s v="SC-010"/>
    <s v="SP 8314 C"/>
    <s v="1450AA-L-70112"/>
    <s v="1450AA-S-58314"/>
    <n v="1"/>
    <s v="PÇ"/>
    <n v="36.9"/>
    <n v="36.9"/>
    <n v="0"/>
    <n v="0"/>
    <n v="0"/>
    <n v="0.9"/>
    <n v="0.1"/>
    <m/>
    <m/>
    <x v="0"/>
    <n v="0"/>
    <m/>
    <n v="0"/>
    <n v="36.9"/>
    <m/>
    <n v="0"/>
    <n v="0"/>
    <n v="0"/>
    <m/>
    <m/>
    <m/>
    <n v="0"/>
    <n v="0"/>
    <n v="0"/>
    <n v="0"/>
    <m/>
    <m/>
  </r>
  <r>
    <n v="0"/>
    <s v="CMS S.60.10.000"/>
    <x v="1"/>
    <m/>
    <m/>
    <m/>
    <x v="0"/>
    <m/>
    <m/>
    <x v="0"/>
    <x v="0"/>
    <s v="LINHA DE BY PASS DAS PENEIRAS ALIMENTAÇÃO DO TANQUE TQ-145A-9704"/>
    <s v="SC-010"/>
    <s v="SP 8314 D"/>
    <s v="1450AA-L-70112"/>
    <s v="1450AA-S-58314"/>
    <n v="1"/>
    <s v="PÇ"/>
    <n v="5.5"/>
    <n v="5.5"/>
    <n v="0"/>
    <n v="0"/>
    <n v="0"/>
    <n v="0.9"/>
    <n v="0.1"/>
    <m/>
    <m/>
    <x v="0"/>
    <n v="0"/>
    <m/>
    <n v="0"/>
    <n v="5.5"/>
    <m/>
    <n v="0"/>
    <n v="0"/>
    <n v="0"/>
    <m/>
    <m/>
    <m/>
    <n v="0"/>
    <n v="0"/>
    <n v="0"/>
    <n v="0"/>
    <m/>
    <m/>
  </r>
  <r>
    <n v="0"/>
    <s v="CMS S.60.10.000"/>
    <x v="1"/>
    <m/>
    <m/>
    <m/>
    <x v="0"/>
    <m/>
    <m/>
    <x v="0"/>
    <x v="0"/>
    <s v="LINHA DE BY PASS DAS PENEIRAS ALIMENTAÇÃO DO TANQUE TQ-145A-9704"/>
    <s v="SC-010"/>
    <s v="SP 8314 E"/>
    <s v="1450AA-L-70112"/>
    <s v="1450AA-S-58314"/>
    <n v="1"/>
    <s v="PÇ"/>
    <n v="13.2"/>
    <n v="13.2"/>
    <n v="0"/>
    <n v="0"/>
    <n v="0"/>
    <n v="0.9"/>
    <n v="0.1"/>
    <m/>
    <m/>
    <x v="0"/>
    <n v="0"/>
    <m/>
    <n v="0"/>
    <n v="13.2"/>
    <m/>
    <n v="0"/>
    <n v="0"/>
    <n v="0"/>
    <m/>
    <m/>
    <m/>
    <n v="0"/>
    <n v="0"/>
    <n v="0"/>
    <n v="0"/>
    <m/>
    <m/>
  </r>
  <r>
    <n v="0"/>
    <s v="CMS S.60.10.000"/>
    <x v="1"/>
    <m/>
    <m/>
    <m/>
    <x v="0"/>
    <m/>
    <m/>
    <x v="0"/>
    <x v="0"/>
    <s v="LINHA DE BY PASS DAS PENEIRAS ALIMENTAÇÃO DO TANQUE TQ-145A-9704"/>
    <s v="SC-010"/>
    <s v="SP 8314 F"/>
    <s v="1450AA-L-70112"/>
    <s v="1450AA-S-58314"/>
    <n v="1"/>
    <s v="PÇ"/>
    <n v="25.6"/>
    <n v="25.6"/>
    <n v="0"/>
    <n v="0"/>
    <n v="0"/>
    <n v="0.9"/>
    <n v="0.1"/>
    <m/>
    <m/>
    <x v="0"/>
    <n v="0"/>
    <m/>
    <n v="0"/>
    <n v="25.6"/>
    <m/>
    <n v="0"/>
    <n v="0"/>
    <n v="0"/>
    <m/>
    <m/>
    <m/>
    <n v="0"/>
    <n v="0"/>
    <n v="0"/>
    <n v="0"/>
    <m/>
    <m/>
  </r>
  <r>
    <n v="0"/>
    <s v="CMS S.60.10.000"/>
    <x v="1"/>
    <m/>
    <m/>
    <m/>
    <x v="0"/>
    <m/>
    <m/>
    <x v="0"/>
    <x v="0"/>
    <s v="LINHA DE BY PASS DAS PENEIRAS ALIMENTAÇÃO DO TANQUE TQ-145A-9704"/>
    <s v="SC-010"/>
    <s v="SP 8314 G"/>
    <s v="1450AA-L-70112"/>
    <s v="1450AA-S-58314"/>
    <n v="1"/>
    <s v="PÇ"/>
    <n v="12"/>
    <n v="12"/>
    <n v="0"/>
    <n v="0"/>
    <n v="0"/>
    <n v="0.9"/>
    <n v="0.1"/>
    <m/>
    <m/>
    <x v="0"/>
    <n v="0"/>
    <m/>
    <n v="0"/>
    <n v="12"/>
    <m/>
    <n v="0"/>
    <n v="0"/>
    <n v="0"/>
    <m/>
    <m/>
    <m/>
    <n v="0"/>
    <n v="0"/>
    <n v="0"/>
    <n v="0"/>
    <m/>
    <m/>
  </r>
  <r>
    <n v="0"/>
    <s v="CMS S.60.10.000"/>
    <x v="1"/>
    <m/>
    <m/>
    <m/>
    <x v="0"/>
    <m/>
    <m/>
    <x v="0"/>
    <x v="0"/>
    <s v="LINHA DE BY PASS DAS PENEIRAS ALIMENTAÇÃO DO TANQUE TQ-145A-9704"/>
    <s v="SC-010"/>
    <s v="SP 8314 H"/>
    <s v="1450AA-L-70112"/>
    <s v="1450AA-S-58314"/>
    <n v="1"/>
    <s v="PÇ"/>
    <n v="2"/>
    <n v="2"/>
    <n v="0"/>
    <n v="0"/>
    <n v="0"/>
    <n v="0.9"/>
    <n v="0.1"/>
    <m/>
    <m/>
    <x v="0"/>
    <n v="0"/>
    <m/>
    <n v="0"/>
    <n v="2"/>
    <m/>
    <n v="0"/>
    <n v="0"/>
    <n v="0"/>
    <m/>
    <m/>
    <m/>
    <n v="0"/>
    <n v="0"/>
    <n v="0"/>
    <n v="0"/>
    <m/>
    <m/>
  </r>
  <r>
    <n v="0"/>
    <s v="CMS S.60.10.000"/>
    <x v="1"/>
    <m/>
    <m/>
    <m/>
    <x v="0"/>
    <m/>
    <m/>
    <x v="0"/>
    <x v="0"/>
    <s v="LINHA DE BY PASS DAS PENEIRAS ALIMENTAÇÃO DO TANQUE TQ-145A-9704"/>
    <s v="SC-010"/>
    <s v="SP 8314 J"/>
    <s v="1450AA-L-70112"/>
    <s v="1450AA-S-58314"/>
    <n v="1"/>
    <s v="PÇ"/>
    <n v="7.9"/>
    <n v="7.9"/>
    <n v="0"/>
    <n v="0"/>
    <n v="0"/>
    <n v="0.9"/>
    <n v="0.1"/>
    <m/>
    <m/>
    <x v="0"/>
    <n v="0"/>
    <m/>
    <n v="0"/>
    <n v="7.9"/>
    <m/>
    <n v="0"/>
    <n v="0"/>
    <n v="0"/>
    <m/>
    <m/>
    <m/>
    <n v="0"/>
    <n v="0"/>
    <n v="0"/>
    <n v="0"/>
    <m/>
    <m/>
  </r>
  <r>
    <n v="0"/>
    <s v="CMS S.60.10.000"/>
    <x v="1"/>
    <m/>
    <m/>
    <m/>
    <x v="0"/>
    <m/>
    <m/>
    <x v="0"/>
    <x v="0"/>
    <s v="LINHA DE BY PASS DAS PENEIRAS ALIMENTAÇÃO DO TANQUE TQ-145A-9704"/>
    <s v="SC-010"/>
    <s v="SP 8314 K"/>
    <s v="1450AA-L-70112"/>
    <s v="1450AA-S-58314"/>
    <n v="1"/>
    <s v="PÇ"/>
    <n v="7.7"/>
    <n v="7.7"/>
    <n v="0"/>
    <n v="0"/>
    <n v="0"/>
    <n v="0.9"/>
    <n v="0.1"/>
    <m/>
    <m/>
    <x v="0"/>
    <n v="0"/>
    <m/>
    <n v="0"/>
    <n v="7.7"/>
    <m/>
    <n v="0"/>
    <n v="0"/>
    <n v="0"/>
    <m/>
    <m/>
    <m/>
    <n v="0"/>
    <n v="0"/>
    <n v="0"/>
    <n v="0"/>
    <m/>
    <m/>
  </r>
  <r>
    <n v="0"/>
    <s v="CMS S.60.10.000"/>
    <x v="1"/>
    <m/>
    <m/>
    <m/>
    <x v="0"/>
    <m/>
    <m/>
    <x v="0"/>
    <x v="0"/>
    <s v="LINHA DE BY PASS DAS PENEIRAS ALIMENTAÇÃO DO TANQUE TQ-145A-9704"/>
    <s v="SC-010"/>
    <s v="SP 8314 L"/>
    <s v="1450AA-L-70112"/>
    <s v="1450AA-S-58314"/>
    <n v="1"/>
    <s v="PÇ"/>
    <n v="5.2"/>
    <n v="5.2"/>
    <n v="0"/>
    <n v="0"/>
    <n v="0"/>
    <n v="0.9"/>
    <n v="0.1"/>
    <m/>
    <m/>
    <x v="0"/>
    <n v="0"/>
    <m/>
    <n v="0"/>
    <n v="5.2"/>
    <m/>
    <n v="0"/>
    <n v="0"/>
    <n v="0"/>
    <m/>
    <m/>
    <m/>
    <n v="0"/>
    <n v="0"/>
    <n v="0"/>
    <n v="0"/>
    <m/>
    <m/>
  </r>
  <r>
    <n v="0"/>
    <s v="CMS S.60.10.000"/>
    <x v="1"/>
    <m/>
    <m/>
    <m/>
    <x v="0"/>
    <m/>
    <m/>
    <x v="0"/>
    <x v="0"/>
    <s v="LINHA DE BY PASS DAS PENEIRAS ALIMENTAÇÃO DO TANQUE TQ-145A-9704"/>
    <s v="SC-010"/>
    <s v="SP 8314 M"/>
    <s v="1450AA-L-70112"/>
    <s v="1450AA-S-58314"/>
    <n v="1"/>
    <s v="PÇ"/>
    <n v="9.1999999999999993"/>
    <n v="9.1999999999999993"/>
    <n v="0"/>
    <n v="0"/>
    <n v="0"/>
    <n v="0.9"/>
    <n v="0.1"/>
    <m/>
    <m/>
    <x v="0"/>
    <n v="0"/>
    <m/>
    <n v="0"/>
    <n v="9.1999999999999993"/>
    <m/>
    <n v="0"/>
    <n v="0"/>
    <n v="0"/>
    <m/>
    <m/>
    <m/>
    <n v="0"/>
    <n v="0"/>
    <n v="0"/>
    <n v="0"/>
    <m/>
    <m/>
  </r>
  <r>
    <n v="0"/>
    <s v="CMS S.60.10.000"/>
    <x v="1"/>
    <m/>
    <m/>
    <m/>
    <x v="0"/>
    <m/>
    <m/>
    <x v="0"/>
    <x v="0"/>
    <s v="LINHA DE BY PASS DAS PENEIRAS ALIMENTAÇÃO DO TANQUE TQ-145A-9704"/>
    <s v="SC-010"/>
    <s v="SP 8314 N"/>
    <s v="1450AA-L-70112"/>
    <s v="1450AA-S-58314"/>
    <n v="2"/>
    <s v="PÇ"/>
    <n v="2.6999999999999997"/>
    <n v="5.3999999999999995"/>
    <n v="0"/>
    <n v="0"/>
    <n v="0"/>
    <n v="0.9"/>
    <n v="0.1"/>
    <m/>
    <m/>
    <x v="0"/>
    <n v="0"/>
    <m/>
    <n v="0"/>
    <n v="5.3999999999999995"/>
    <m/>
    <n v="0"/>
    <n v="0"/>
    <n v="0"/>
    <m/>
    <m/>
    <m/>
    <n v="0"/>
    <n v="0"/>
    <n v="0"/>
    <n v="0"/>
    <m/>
    <m/>
  </r>
  <r>
    <n v="0"/>
    <s v="CMS S.60.10.000"/>
    <x v="1"/>
    <m/>
    <m/>
    <m/>
    <x v="0"/>
    <m/>
    <m/>
    <x v="0"/>
    <x v="0"/>
    <s v="LINHA DE BY PASS DAS PENEIRAS ALIMENTAÇÃO DO TANQUE TQ-145A-9704"/>
    <s v="SC-010"/>
    <s v="SP 8314 P"/>
    <s v="1450AA-L-70112"/>
    <s v="1450AA-S-58314"/>
    <n v="3"/>
    <s v="PÇ"/>
    <n v="4"/>
    <n v="12"/>
    <n v="0"/>
    <n v="0"/>
    <n v="0"/>
    <n v="0.9"/>
    <n v="0.1"/>
    <m/>
    <m/>
    <x v="0"/>
    <n v="0"/>
    <m/>
    <n v="0"/>
    <n v="12"/>
    <m/>
    <n v="0"/>
    <n v="0"/>
    <n v="0"/>
    <m/>
    <m/>
    <m/>
    <n v="0"/>
    <n v="0"/>
    <n v="0"/>
    <n v="0"/>
    <m/>
    <m/>
  </r>
  <r>
    <n v="0"/>
    <s v="CMS S.60.10.000"/>
    <x v="1"/>
    <m/>
    <m/>
    <m/>
    <x v="0"/>
    <m/>
    <m/>
    <x v="0"/>
    <x v="0"/>
    <s v="LINHA DE BY PASS DAS PENEIRAS ALIMENTAÇÃO DO TANQUE TQ-145A-9704"/>
    <s v="SC-010"/>
    <s v="SP 8314 Q"/>
    <s v="1450AA-L-70112"/>
    <s v="1450AA-S-58314"/>
    <n v="3"/>
    <s v="PÇ"/>
    <n v="5.3"/>
    <n v="15.899999999999999"/>
    <n v="0"/>
    <n v="0"/>
    <n v="0"/>
    <n v="0.9"/>
    <n v="0.1"/>
    <m/>
    <m/>
    <x v="0"/>
    <n v="0"/>
    <m/>
    <n v="0"/>
    <n v="15.899999999999999"/>
    <m/>
    <n v="0"/>
    <n v="0"/>
    <n v="0"/>
    <m/>
    <m/>
    <m/>
    <n v="0"/>
    <n v="0"/>
    <n v="0"/>
    <n v="0"/>
    <m/>
    <m/>
  </r>
  <r>
    <n v="0"/>
    <s v="CMS S.60.10.000"/>
    <x v="1"/>
    <m/>
    <m/>
    <m/>
    <x v="0"/>
    <m/>
    <m/>
    <x v="0"/>
    <x v="0"/>
    <s v="LINHA DE BY PASS DAS PENEIRAS ALIMENTAÇÃO DO TANQUE TQ-145A-9704"/>
    <s v="SC-010"/>
    <s v="SP 8314 R"/>
    <s v="1450AA-L-70112"/>
    <s v="1450AA-S-58314"/>
    <n v="1"/>
    <s v="PÇ"/>
    <n v="6.6000000000000005"/>
    <n v="6.6000000000000005"/>
    <n v="0"/>
    <n v="0"/>
    <n v="0"/>
    <n v="0.9"/>
    <n v="0.1"/>
    <m/>
    <m/>
    <x v="0"/>
    <n v="0"/>
    <m/>
    <n v="0"/>
    <n v="6.6000000000000005"/>
    <m/>
    <n v="0"/>
    <n v="0"/>
    <n v="0"/>
    <m/>
    <m/>
    <m/>
    <n v="0"/>
    <n v="0"/>
    <n v="0"/>
    <n v="0"/>
    <m/>
    <m/>
  </r>
  <r>
    <n v="0"/>
    <s v="CMS S.60.10.000"/>
    <x v="1"/>
    <m/>
    <m/>
    <m/>
    <x v="0"/>
    <m/>
    <m/>
    <x v="0"/>
    <x v="0"/>
    <s v="LINHA DE BY PASS DAS PENEIRAS ALIMENTAÇÃO DO TANQUE TQ-145A-9704"/>
    <s v="SC-010"/>
    <s v="SP 8314 S"/>
    <s v="1450AA-L-70112"/>
    <s v="1450AA-S-58314"/>
    <n v="4"/>
    <s v="PÇ"/>
    <n v="12.4"/>
    <n v="49.6"/>
    <n v="0"/>
    <n v="0"/>
    <n v="0"/>
    <n v="0.9"/>
    <n v="0.1"/>
    <m/>
    <m/>
    <x v="0"/>
    <n v="0"/>
    <m/>
    <n v="0"/>
    <n v="49.6"/>
    <m/>
    <n v="0"/>
    <n v="0"/>
    <n v="0"/>
    <m/>
    <m/>
    <m/>
    <n v="0"/>
    <n v="0"/>
    <n v="0"/>
    <n v="0"/>
    <m/>
    <m/>
  </r>
  <r>
    <n v="0"/>
    <s v="CMS S.60.10.000"/>
    <x v="1"/>
    <m/>
    <m/>
    <m/>
    <x v="0"/>
    <m/>
    <m/>
    <x v="0"/>
    <x v="0"/>
    <s v="LINHA DE BY PASS DAS PENEIRAS ALIMENTAÇÃO DO TANQUE TQ-145A-9704"/>
    <s v="SC-010"/>
    <s v="SP 8314 T"/>
    <s v="1450AA-L-70112"/>
    <s v="1450AA-S-58314"/>
    <n v="1"/>
    <s v="PÇ"/>
    <n v="15"/>
    <n v="15"/>
    <n v="0"/>
    <n v="0"/>
    <n v="0"/>
    <n v="0.9"/>
    <n v="0.1"/>
    <m/>
    <m/>
    <x v="0"/>
    <n v="0"/>
    <m/>
    <n v="0"/>
    <n v="15"/>
    <m/>
    <n v="0"/>
    <n v="0"/>
    <n v="0"/>
    <m/>
    <m/>
    <m/>
    <n v="0"/>
    <n v="0"/>
    <n v="0"/>
    <n v="0"/>
    <m/>
    <m/>
  </r>
  <r>
    <n v="0"/>
    <s v="CMS S.60.10.000"/>
    <x v="1"/>
    <m/>
    <m/>
    <m/>
    <x v="0"/>
    <m/>
    <m/>
    <x v="0"/>
    <x v="0"/>
    <s v="LINHA DO CIRCUITO ULTRAFINO LINHA DE ALIMENTAÇÃO DO DISTRIBUIDOR DI 145A-9903"/>
    <s v="SC-018"/>
    <s v="SP 8315 A"/>
    <m/>
    <s v="1450AA-S-58315"/>
    <n v="3"/>
    <s v="PÇ"/>
    <n v="12.7"/>
    <n v="38.099999999999994"/>
    <n v="0"/>
    <n v="0"/>
    <n v="0"/>
    <n v="0.9"/>
    <n v="0.1"/>
    <m/>
    <m/>
    <x v="0"/>
    <n v="0"/>
    <m/>
    <n v="0"/>
    <n v="38.099999999999994"/>
    <m/>
    <n v="0"/>
    <n v="0"/>
    <n v="0"/>
    <m/>
    <m/>
    <m/>
    <n v="0"/>
    <n v="0"/>
    <n v="0"/>
    <n v="0"/>
    <m/>
    <m/>
  </r>
  <r>
    <n v="0"/>
    <s v="CMS S.60.10.000"/>
    <x v="1"/>
    <m/>
    <m/>
    <m/>
    <x v="0"/>
    <m/>
    <m/>
    <x v="0"/>
    <x v="0"/>
    <s v="LINHA DO CIRCUITO ULTRAFINO LINHA DE ALIMENTAÇÃO DO DISTRIBUIDOR DI 145A-9903"/>
    <s v="SC-018"/>
    <s v="SP 8315 B"/>
    <m/>
    <s v="1450AA-S-58315"/>
    <n v="1"/>
    <s v="PÇ"/>
    <n v="13.7"/>
    <n v="13.7"/>
    <n v="0"/>
    <n v="0"/>
    <n v="0"/>
    <n v="0.9"/>
    <n v="0.1"/>
    <m/>
    <m/>
    <x v="0"/>
    <n v="0"/>
    <m/>
    <n v="0"/>
    <n v="13.7"/>
    <m/>
    <n v="0"/>
    <n v="0"/>
    <n v="0"/>
    <m/>
    <m/>
    <m/>
    <n v="0"/>
    <n v="0"/>
    <n v="0"/>
    <n v="0"/>
    <m/>
    <m/>
  </r>
  <r>
    <n v="0"/>
    <s v="CMS S.60.10.000"/>
    <x v="1"/>
    <m/>
    <m/>
    <m/>
    <x v="0"/>
    <m/>
    <m/>
    <x v="0"/>
    <x v="0"/>
    <s v="LINHA DO CIRCUITO ULTRAFINO LINHA DE ALIMENTAÇÃO DO DISTRIBUIDOR DI 145A-9903"/>
    <s v="SC-018"/>
    <s v="SP 8315 C"/>
    <m/>
    <s v="1450AA-S-58315"/>
    <n v="1"/>
    <s v="PÇ"/>
    <n v="15.9"/>
    <n v="15.9"/>
    <n v="0"/>
    <n v="0"/>
    <n v="0"/>
    <n v="0.9"/>
    <n v="0.1"/>
    <m/>
    <m/>
    <x v="0"/>
    <n v="0"/>
    <m/>
    <n v="0"/>
    <n v="15.9"/>
    <m/>
    <n v="0"/>
    <n v="0"/>
    <n v="0"/>
    <m/>
    <m/>
    <m/>
    <n v="0"/>
    <n v="0"/>
    <n v="0"/>
    <n v="0"/>
    <m/>
    <m/>
  </r>
  <r>
    <n v="0"/>
    <s v="CMS S.60.10.000"/>
    <x v="1"/>
    <m/>
    <m/>
    <m/>
    <x v="0"/>
    <m/>
    <m/>
    <x v="0"/>
    <x v="0"/>
    <s v="LINHA DO CIRCUITO ULTRAFINO LINHA DE ALIMENTAÇÃO DO DISTRIBUIDOR DI 145A-9903"/>
    <s v="SC-018"/>
    <s v="SP 8315 D"/>
    <m/>
    <s v="1450AA-S-58315"/>
    <n v="8"/>
    <s v="PÇ"/>
    <n v="1.7"/>
    <n v="13.6"/>
    <n v="0"/>
    <n v="0"/>
    <n v="0"/>
    <n v="0.9"/>
    <n v="0.1"/>
    <m/>
    <m/>
    <x v="0"/>
    <n v="0"/>
    <m/>
    <n v="0"/>
    <n v="13.6"/>
    <m/>
    <n v="0"/>
    <n v="0"/>
    <n v="0"/>
    <m/>
    <m/>
    <m/>
    <n v="0"/>
    <n v="0"/>
    <n v="0"/>
    <n v="0"/>
    <m/>
    <m/>
  </r>
  <r>
    <n v="0"/>
    <s v="CMS S.60.10.000"/>
    <x v="1"/>
    <m/>
    <m/>
    <m/>
    <x v="0"/>
    <m/>
    <m/>
    <x v="0"/>
    <x v="0"/>
    <s v="LINHA DO CIRCUITO ULTRAFINO LINHA DE ALIMENTAÇÃO DO DISTRIBUIDOR DI 145A-9903"/>
    <s v="SC-018"/>
    <s v="SP 8315 E"/>
    <m/>
    <s v="1450AA-S-58315"/>
    <n v="1"/>
    <s v="PÇ"/>
    <n v="270.7"/>
    <n v="270.7"/>
    <n v="0"/>
    <n v="0"/>
    <n v="0"/>
    <n v="0.9"/>
    <n v="0.1"/>
    <m/>
    <m/>
    <x v="0"/>
    <n v="0"/>
    <m/>
    <n v="0"/>
    <n v="270.7"/>
    <m/>
    <n v="0"/>
    <n v="0"/>
    <n v="0"/>
    <m/>
    <m/>
    <m/>
    <n v="0"/>
    <n v="0"/>
    <n v="0"/>
    <n v="0"/>
    <m/>
    <m/>
  </r>
  <r>
    <n v="0"/>
    <s v="CMS S.60.10.000"/>
    <x v="1"/>
    <m/>
    <m/>
    <m/>
    <x v="0"/>
    <m/>
    <m/>
    <x v="0"/>
    <x v="0"/>
    <s v="LINHA DO CIRCUITO ULTRAFINO LINHA DE ALIMENTAÇÃO DO DISTRIBUIDOR DI 145A-9903"/>
    <s v="SC-018"/>
    <s v="SP 8315 F"/>
    <m/>
    <s v="1450AA-S-58315"/>
    <n v="1"/>
    <s v="PÇ"/>
    <n v="24.7"/>
    <n v="24.7"/>
    <n v="0"/>
    <n v="0"/>
    <n v="0"/>
    <n v="0.9"/>
    <n v="0.1"/>
    <m/>
    <m/>
    <x v="0"/>
    <n v="0"/>
    <m/>
    <n v="0"/>
    <n v="24.7"/>
    <m/>
    <n v="0"/>
    <n v="0"/>
    <n v="0"/>
    <m/>
    <m/>
    <m/>
    <n v="0"/>
    <n v="0"/>
    <n v="0"/>
    <n v="0"/>
    <m/>
    <m/>
  </r>
  <r>
    <n v="0"/>
    <s v="CMS S.60.10.000"/>
    <x v="1"/>
    <m/>
    <m/>
    <m/>
    <x v="0"/>
    <m/>
    <m/>
    <x v="0"/>
    <x v="0"/>
    <s v="LINHA DO CIRCUITO ULTRAFINO LINHA DE ALIMENTAÇÃO DO DISTRIBUIDOR DI 145A-9903"/>
    <s v="SC-018"/>
    <s v="SP 8315 G"/>
    <m/>
    <s v="1450AA-S-58315"/>
    <n v="1"/>
    <s v="PÇ"/>
    <n v="23.2"/>
    <n v="23.2"/>
    <n v="0"/>
    <n v="0"/>
    <n v="0"/>
    <n v="0.9"/>
    <n v="0.1"/>
    <m/>
    <m/>
    <x v="0"/>
    <n v="0"/>
    <m/>
    <n v="0"/>
    <n v="23.2"/>
    <m/>
    <n v="0"/>
    <n v="0"/>
    <n v="0"/>
    <m/>
    <m/>
    <m/>
    <n v="0"/>
    <n v="0"/>
    <n v="0"/>
    <n v="0"/>
    <m/>
    <m/>
  </r>
  <r>
    <n v="0"/>
    <s v="CMS S.60.10.000"/>
    <x v="1"/>
    <m/>
    <m/>
    <m/>
    <x v="0"/>
    <m/>
    <m/>
    <x v="0"/>
    <x v="0"/>
    <s v="LINHA DO CIRCUITO ULTRAFINO LINHA DE ALIMENTAÇÃO DO DISTRIBUIDOR DI 145A-9903"/>
    <s v="SC-018"/>
    <s v="SP 8315 H"/>
    <m/>
    <s v="1450AA-S-58315"/>
    <n v="1"/>
    <s v="PÇ"/>
    <n v="37.5"/>
    <n v="37.5"/>
    <n v="0"/>
    <n v="0"/>
    <n v="0"/>
    <n v="0.9"/>
    <n v="0.1"/>
    <m/>
    <m/>
    <x v="0"/>
    <n v="0"/>
    <m/>
    <n v="0"/>
    <n v="37.5"/>
    <m/>
    <n v="0"/>
    <n v="0"/>
    <n v="0"/>
    <m/>
    <m/>
    <m/>
    <n v="0"/>
    <n v="0"/>
    <n v="0"/>
    <n v="0"/>
    <m/>
    <m/>
  </r>
  <r>
    <n v="0"/>
    <s v="CMS S.60.10.000"/>
    <x v="1"/>
    <m/>
    <m/>
    <m/>
    <x v="0"/>
    <m/>
    <m/>
    <x v="0"/>
    <x v="0"/>
    <s v="LINHA DO CIRCUITO ULTRAFINO LINHA DE ALIMENTAÇÃO DO DISTRIBUIDOR DI 145A-9903"/>
    <s v="SC-018"/>
    <s v="SP 8315 J"/>
    <m/>
    <s v="1450AA-S-58315"/>
    <n v="4"/>
    <s v="PÇ"/>
    <n v="4.3"/>
    <n v="17.2"/>
    <n v="0"/>
    <n v="0"/>
    <n v="0"/>
    <n v="0.9"/>
    <n v="0.1"/>
    <m/>
    <m/>
    <x v="0"/>
    <n v="0"/>
    <m/>
    <n v="0"/>
    <n v="17.2"/>
    <m/>
    <n v="0"/>
    <n v="0"/>
    <n v="0"/>
    <m/>
    <m/>
    <m/>
    <n v="0"/>
    <n v="0"/>
    <n v="0"/>
    <n v="0"/>
    <m/>
    <m/>
  </r>
  <r>
    <n v="0"/>
    <s v="CMS S.60.10.000"/>
    <x v="1"/>
    <m/>
    <m/>
    <m/>
    <x v="0"/>
    <m/>
    <m/>
    <x v="0"/>
    <x v="0"/>
    <s v="LINHA DO CIRCUITO ULTRAFINO LINHA DE ALIMENTAÇÃO DO DISTRIBUIDOR DI 145A-9903"/>
    <s v="SC-018"/>
    <s v="SP 8315 K"/>
    <m/>
    <s v="1450AA-S-58315"/>
    <n v="6"/>
    <s v="PÇ"/>
    <n v="6"/>
    <n v="36"/>
    <n v="0"/>
    <n v="0"/>
    <n v="0"/>
    <n v="0.9"/>
    <n v="0.1"/>
    <m/>
    <m/>
    <x v="0"/>
    <n v="0"/>
    <m/>
    <n v="0"/>
    <n v="36"/>
    <m/>
    <n v="0"/>
    <n v="0"/>
    <n v="0"/>
    <m/>
    <m/>
    <m/>
    <n v="0"/>
    <n v="0"/>
    <n v="0"/>
    <n v="0"/>
    <m/>
    <m/>
  </r>
  <r>
    <n v="0"/>
    <s v="CMS S.60.10.000"/>
    <x v="1"/>
    <m/>
    <m/>
    <m/>
    <x v="0"/>
    <m/>
    <m/>
    <x v="0"/>
    <x v="0"/>
    <s v="LINHA DO CIRCUITO ULTRAFINO LINHA DE ALIMENTAÇÃO DO DISTRIBUIDOR DI 145A-9903"/>
    <s v="SC-018"/>
    <s v="SP 8315 L"/>
    <m/>
    <s v="1450AA-S-58315"/>
    <n v="3"/>
    <s v="PÇ"/>
    <n v="7.6"/>
    <n v="22.799999999999997"/>
    <n v="0"/>
    <n v="0"/>
    <n v="0"/>
    <n v="0.9"/>
    <n v="0.1"/>
    <m/>
    <m/>
    <x v="0"/>
    <n v="0"/>
    <m/>
    <n v="0"/>
    <n v="22.799999999999997"/>
    <m/>
    <n v="0"/>
    <n v="0"/>
    <n v="0"/>
    <m/>
    <m/>
    <m/>
    <n v="0"/>
    <n v="0"/>
    <n v="0"/>
    <n v="0"/>
    <m/>
    <m/>
  </r>
  <r>
    <n v="0"/>
    <s v="CMS S.60.10.000"/>
    <x v="1"/>
    <m/>
    <m/>
    <m/>
    <x v="0"/>
    <m/>
    <m/>
    <x v="0"/>
    <x v="0"/>
    <s v="LINHA DO CIRCUITO ULTRAFINO LINHA DE ALIMENTAÇÃO DO DISTRIBUIDOR DI 145A-9903"/>
    <s v="SC-018"/>
    <s v="SP 8315 M"/>
    <m/>
    <s v="1450AA-S-58315"/>
    <n v="1"/>
    <s v="PÇ"/>
    <n v="3.3"/>
    <n v="3.3"/>
    <n v="0"/>
    <n v="0"/>
    <n v="0"/>
    <n v="0.9"/>
    <n v="0.1"/>
    <m/>
    <m/>
    <x v="0"/>
    <n v="0"/>
    <m/>
    <n v="0"/>
    <n v="3.3"/>
    <m/>
    <n v="0"/>
    <n v="0"/>
    <n v="0"/>
    <m/>
    <m/>
    <m/>
    <n v="0"/>
    <n v="0"/>
    <n v="0"/>
    <n v="0"/>
    <m/>
    <m/>
  </r>
  <r>
    <n v="0"/>
    <s v="CMS S.60.10.000"/>
    <x v="1"/>
    <m/>
    <m/>
    <m/>
    <x v="0"/>
    <m/>
    <m/>
    <x v="0"/>
    <x v="0"/>
    <s v="LINHA DO CIRCUITO ULTRAFINO LINHA DE ALIMENTAÇÃO DO DISTRIBUIDOR DI 145A-9903"/>
    <s v="SC-018"/>
    <s v="SP 8315 N"/>
    <m/>
    <s v="1450AA-S-58315"/>
    <n v="1"/>
    <s v="PÇ"/>
    <n v="10.8"/>
    <n v="10.8"/>
    <n v="0"/>
    <n v="0"/>
    <n v="0"/>
    <n v="0.9"/>
    <n v="0.1"/>
    <m/>
    <m/>
    <x v="0"/>
    <n v="0"/>
    <m/>
    <n v="0"/>
    <n v="10.8"/>
    <m/>
    <n v="0"/>
    <n v="0"/>
    <n v="0"/>
    <m/>
    <m/>
    <m/>
    <n v="0"/>
    <n v="0"/>
    <n v="0"/>
    <n v="0"/>
    <m/>
    <m/>
  </r>
  <r>
    <n v="0"/>
    <s v="CMS S.60.10.000"/>
    <x v="1"/>
    <m/>
    <m/>
    <m/>
    <x v="0"/>
    <m/>
    <m/>
    <x v="0"/>
    <x v="0"/>
    <s v="LINHA DO CIRCUITO ULTRAFINO LINHA DE ALIMENTAÇÃO DO DISTRIBUIDOR DI 145A-9903"/>
    <s v="SC-018"/>
    <s v="SP 8317 A"/>
    <m/>
    <s v="1450AA-S-58317"/>
    <n v="1"/>
    <s v="PÇ"/>
    <n v="14.5"/>
    <n v="14.5"/>
    <n v="0"/>
    <n v="0"/>
    <n v="0"/>
    <n v="0.9"/>
    <n v="0.1"/>
    <m/>
    <m/>
    <x v="0"/>
    <n v="0"/>
    <m/>
    <n v="0"/>
    <n v="14.5"/>
    <m/>
    <n v="0"/>
    <n v="0"/>
    <n v="0"/>
    <m/>
    <m/>
    <m/>
    <n v="0"/>
    <n v="0"/>
    <n v="0"/>
    <n v="0"/>
    <m/>
    <m/>
  </r>
  <r>
    <n v="0"/>
    <s v="CMS S.60.10.000"/>
    <x v="1"/>
    <m/>
    <m/>
    <m/>
    <x v="0"/>
    <m/>
    <m/>
    <x v="0"/>
    <x v="0"/>
    <s v="LINHA DO CIRCUITO ULTRAFINO LINHA DE ALIMENTAÇÃO DO DISTRIBUIDOR DI 145A-9903"/>
    <s v="SC-018"/>
    <s v="SP 8317 B"/>
    <m/>
    <s v="1450AA-S-58317"/>
    <n v="2"/>
    <s v="PÇ"/>
    <n v="11.8"/>
    <n v="23.6"/>
    <n v="0"/>
    <n v="0"/>
    <n v="0"/>
    <n v="0.9"/>
    <n v="0.1"/>
    <m/>
    <m/>
    <x v="0"/>
    <n v="0"/>
    <m/>
    <n v="0"/>
    <n v="23.6"/>
    <m/>
    <n v="0"/>
    <n v="0"/>
    <n v="0"/>
    <m/>
    <m/>
    <m/>
    <n v="0"/>
    <n v="0"/>
    <n v="0"/>
    <n v="0"/>
    <m/>
    <m/>
  </r>
  <r>
    <n v="0"/>
    <s v="CMS S.60.10.000"/>
    <x v="1"/>
    <m/>
    <m/>
    <m/>
    <x v="0"/>
    <m/>
    <m/>
    <x v="0"/>
    <x v="0"/>
    <s v="LINHA DO CIRCUITO ULTRAFINO LINHA DE ALIMENTAÇÃO DO DISTRIBUIDOR DI 145A-9903"/>
    <s v="SC-018"/>
    <s v="SP 8317 C"/>
    <m/>
    <s v="1450AA-S-58317"/>
    <n v="1"/>
    <s v="PÇ"/>
    <n v="13.2"/>
    <n v="13.2"/>
    <n v="0"/>
    <n v="0"/>
    <n v="0"/>
    <n v="0.9"/>
    <n v="0.1"/>
    <m/>
    <m/>
    <x v="0"/>
    <n v="0"/>
    <m/>
    <n v="0"/>
    <n v="13.2"/>
    <m/>
    <n v="0"/>
    <n v="0"/>
    <n v="0"/>
    <m/>
    <m/>
    <m/>
    <n v="0"/>
    <n v="0"/>
    <n v="0"/>
    <n v="0"/>
    <m/>
    <m/>
  </r>
  <r>
    <n v="0"/>
    <s v="CMS S.60.10.000"/>
    <x v="1"/>
    <m/>
    <m/>
    <m/>
    <x v="0"/>
    <m/>
    <m/>
    <x v="0"/>
    <x v="0"/>
    <s v="LINHA DO CIRCUITO ULTRAFINO LINHA DE ALIMENTAÇÃO DO DISTRIBUIDOR DI 145A-9903"/>
    <s v="SC-018"/>
    <s v="SP 8317 D"/>
    <m/>
    <s v="1450AA-S-58317"/>
    <n v="2"/>
    <s v="PÇ"/>
    <n v="11.8"/>
    <n v="23.6"/>
    <n v="0"/>
    <n v="0"/>
    <n v="0"/>
    <n v="0.9"/>
    <n v="0.1"/>
    <m/>
    <m/>
    <x v="0"/>
    <n v="0"/>
    <m/>
    <n v="0"/>
    <n v="23.6"/>
    <m/>
    <n v="0"/>
    <n v="0"/>
    <n v="0"/>
    <m/>
    <m/>
    <m/>
    <n v="0"/>
    <n v="0"/>
    <n v="0"/>
    <n v="0"/>
    <m/>
    <m/>
  </r>
  <r>
    <n v="0"/>
    <s v="CMS S.60.10.000"/>
    <x v="1"/>
    <m/>
    <m/>
    <m/>
    <x v="0"/>
    <m/>
    <m/>
    <x v="0"/>
    <x v="0"/>
    <s v="LINHA DO CIRCUITO ULTRAFINO LINHA DE ALIMENTAÇÃO DO DISTRIBUIDOR DI 145A-9903"/>
    <s v="SC-018"/>
    <s v="SP 8317 E"/>
    <m/>
    <s v="1450AA-S-58317"/>
    <n v="1"/>
    <s v="PÇ"/>
    <n v="14"/>
    <n v="14"/>
    <n v="0"/>
    <n v="0"/>
    <n v="0"/>
    <n v="0.9"/>
    <n v="0.1"/>
    <m/>
    <m/>
    <x v="0"/>
    <n v="0"/>
    <m/>
    <n v="0"/>
    <n v="14"/>
    <m/>
    <n v="0"/>
    <n v="0"/>
    <n v="0"/>
    <m/>
    <m/>
    <m/>
    <n v="0"/>
    <n v="0"/>
    <n v="0"/>
    <n v="0"/>
    <m/>
    <m/>
  </r>
  <r>
    <n v="0"/>
    <s v="CMS S.60.10.000"/>
    <x v="1"/>
    <m/>
    <m/>
    <m/>
    <x v="0"/>
    <m/>
    <m/>
    <x v="0"/>
    <x v="0"/>
    <s v="LINHA DO CIRCUITO ULTRAFINO LINHA DE ALIMENTAÇÃO DO DISTRIBUIDOR DI 145A-9903"/>
    <s v="SC-018"/>
    <s v="SP 8317 F"/>
    <m/>
    <s v="1450AA-S-58317"/>
    <n v="1"/>
    <s v="PÇ"/>
    <n v="11.9"/>
    <n v="11.9"/>
    <n v="0"/>
    <n v="0"/>
    <n v="0"/>
    <n v="0.9"/>
    <n v="0.1"/>
    <m/>
    <m/>
    <x v="0"/>
    <n v="0"/>
    <m/>
    <n v="0"/>
    <n v="11.9"/>
    <m/>
    <n v="0"/>
    <n v="0"/>
    <n v="0"/>
    <m/>
    <m/>
    <m/>
    <n v="0"/>
    <n v="0"/>
    <n v="0"/>
    <n v="0"/>
    <m/>
    <m/>
  </r>
  <r>
    <n v="0"/>
    <s v="CMS S.60.10.000"/>
    <x v="1"/>
    <m/>
    <m/>
    <m/>
    <x v="0"/>
    <m/>
    <m/>
    <x v="0"/>
    <x v="0"/>
    <s v="LINHA DO CIRCUITO ULTRAFINO LINHA DE ALIMENTAÇÃO DO DISTRIBUIDOR DI 145A-9903"/>
    <s v="SC-018"/>
    <s v="SP 8317 G"/>
    <m/>
    <s v="1450AA-S-58317"/>
    <n v="1"/>
    <s v="PÇ"/>
    <n v="107.9"/>
    <n v="107.9"/>
    <n v="0"/>
    <n v="0"/>
    <n v="0"/>
    <n v="0.9"/>
    <n v="0.1"/>
    <m/>
    <m/>
    <x v="0"/>
    <n v="0"/>
    <m/>
    <n v="0"/>
    <n v="107.9"/>
    <m/>
    <n v="0"/>
    <n v="0"/>
    <n v="0"/>
    <m/>
    <m/>
    <m/>
    <n v="0"/>
    <n v="0"/>
    <n v="0"/>
    <n v="0"/>
    <m/>
    <m/>
  </r>
  <r>
    <n v="0"/>
    <s v="CMS S.60.10.000"/>
    <x v="1"/>
    <m/>
    <m/>
    <m/>
    <x v="0"/>
    <m/>
    <m/>
    <x v="0"/>
    <x v="0"/>
    <s v="LINHA DO CIRCUITO ULTRAFINO LINHA DE ALIMENTAÇÃO DO DISTRIBUIDOR DI 145A-9903"/>
    <s v="SC-018"/>
    <s v="SP 8317 H"/>
    <m/>
    <s v="1450AA-S-58317"/>
    <n v="1"/>
    <s v="PÇ"/>
    <n v="22.9"/>
    <n v="22.9"/>
    <n v="0"/>
    <n v="0"/>
    <n v="0"/>
    <n v="0.9"/>
    <n v="0.1"/>
    <m/>
    <m/>
    <x v="0"/>
    <n v="0"/>
    <m/>
    <n v="0"/>
    <n v="22.9"/>
    <m/>
    <n v="0"/>
    <n v="0"/>
    <n v="0"/>
    <m/>
    <m/>
    <m/>
    <n v="0"/>
    <n v="0"/>
    <n v="0"/>
    <n v="0"/>
    <m/>
    <m/>
  </r>
  <r>
    <n v="0"/>
    <s v="CMS S.60.10.000"/>
    <x v="1"/>
    <m/>
    <m/>
    <m/>
    <x v="0"/>
    <m/>
    <m/>
    <x v="0"/>
    <x v="0"/>
    <s v="LINHA DO CIRCUITO ULTRAFINO LINHA DE ALIMENTAÇÃO DO DISTRIBUIDOR DI 145A-9903"/>
    <s v="SC-018"/>
    <s v="SP 8317 J"/>
    <m/>
    <s v="1450AA-S-58317"/>
    <n v="1"/>
    <s v="PÇ"/>
    <n v="0.8"/>
    <n v="0.8"/>
    <n v="0"/>
    <n v="0"/>
    <n v="0"/>
    <n v="0.9"/>
    <n v="0.1"/>
    <m/>
    <m/>
    <x v="0"/>
    <n v="0"/>
    <m/>
    <n v="0"/>
    <n v="0.8"/>
    <m/>
    <n v="0"/>
    <n v="0"/>
    <n v="0"/>
    <m/>
    <m/>
    <m/>
    <n v="0"/>
    <n v="0"/>
    <n v="0"/>
    <n v="0"/>
    <m/>
    <m/>
  </r>
  <r>
    <n v="0"/>
    <s v="CMS S.60.10.000"/>
    <x v="1"/>
    <m/>
    <m/>
    <m/>
    <x v="0"/>
    <m/>
    <m/>
    <x v="0"/>
    <x v="0"/>
    <s v="LINHA DO CIRCUITO ULTRAFINO LINHA DE ALIMENTAÇÃO DO DISTRIBUIDOR DI 145A-9903"/>
    <s v="SC-018"/>
    <s v="SP 8317 K"/>
    <m/>
    <s v="1450AA-S-58317"/>
    <n v="1"/>
    <s v="PÇ"/>
    <n v="41.7"/>
    <n v="41.7"/>
    <n v="0"/>
    <n v="0"/>
    <n v="0"/>
    <n v="0.9"/>
    <n v="0.1"/>
    <m/>
    <m/>
    <x v="0"/>
    <n v="0"/>
    <m/>
    <n v="0"/>
    <n v="41.7"/>
    <m/>
    <n v="0"/>
    <n v="0"/>
    <n v="0"/>
    <m/>
    <m/>
    <m/>
    <n v="0"/>
    <n v="0"/>
    <n v="0"/>
    <n v="0"/>
    <m/>
    <m/>
  </r>
  <r>
    <n v="0"/>
    <s v="CMS S.60.10.000"/>
    <x v="1"/>
    <m/>
    <m/>
    <m/>
    <x v="0"/>
    <m/>
    <m/>
    <x v="0"/>
    <x v="0"/>
    <s v="LINHA DO CIRCUITO ULTRAFINO LINHA DE ALIMENTAÇÃO DO DISTRIBUIDOR DI 145A-9903"/>
    <s v="SC-018"/>
    <s v="SP 8317 L"/>
    <m/>
    <s v="1450AA-S-58317"/>
    <n v="1"/>
    <s v="PÇ"/>
    <n v="41.2"/>
    <n v="41.2"/>
    <n v="0"/>
    <n v="0"/>
    <n v="0"/>
    <n v="0.9"/>
    <n v="0.1"/>
    <m/>
    <m/>
    <x v="0"/>
    <n v="0"/>
    <m/>
    <n v="0"/>
    <n v="41.2"/>
    <m/>
    <n v="0"/>
    <n v="0"/>
    <n v="0"/>
    <m/>
    <m/>
    <m/>
    <n v="0"/>
    <n v="0"/>
    <n v="0"/>
    <n v="0"/>
    <m/>
    <m/>
  </r>
  <r>
    <n v="0"/>
    <s v="CMS S.60.10.000"/>
    <x v="1"/>
    <m/>
    <m/>
    <m/>
    <x v="0"/>
    <m/>
    <m/>
    <x v="0"/>
    <x v="0"/>
    <s v="LINHA DO CIRCUITO ULTRAFINO LINHA DE DESCARGA DO DISTRIBUIDOR DI 145A-9904"/>
    <s v="SC-026"/>
    <s v="SP 8320 A"/>
    <m/>
    <s v="1450AA-S-58320"/>
    <n v="2"/>
    <s v="PÇ"/>
    <n v="17.3"/>
    <n v="34.6"/>
    <n v="0"/>
    <n v="0"/>
    <n v="0"/>
    <n v="0.9"/>
    <n v="0.1"/>
    <m/>
    <m/>
    <x v="0"/>
    <n v="0"/>
    <m/>
    <n v="0"/>
    <n v="34.6"/>
    <m/>
    <n v="0"/>
    <n v="0"/>
    <n v="0"/>
    <m/>
    <m/>
    <m/>
    <n v="0"/>
    <n v="0"/>
    <n v="0"/>
    <n v="0"/>
    <m/>
    <m/>
  </r>
  <r>
    <n v="0"/>
    <s v="CMS S.60.10.000"/>
    <x v="1"/>
    <m/>
    <m/>
    <m/>
    <x v="0"/>
    <m/>
    <m/>
    <x v="0"/>
    <x v="0"/>
    <s v="LINHA DO CIRCUITO ULTRAFINO LINHA DE DESCARGA DO DISTRIBUIDOR DI 145A-9904"/>
    <s v="SC-026"/>
    <s v="SP 8320 B"/>
    <m/>
    <s v="1450AA-S-58320"/>
    <n v="2"/>
    <s v="PÇ"/>
    <n v="15.299999999999999"/>
    <n v="30.599999999999998"/>
    <n v="0"/>
    <n v="0"/>
    <n v="0"/>
    <n v="0.9"/>
    <n v="0.1"/>
    <m/>
    <m/>
    <x v="0"/>
    <n v="0"/>
    <m/>
    <n v="0"/>
    <n v="30.599999999999998"/>
    <m/>
    <n v="0"/>
    <n v="0"/>
    <n v="0"/>
    <m/>
    <m/>
    <m/>
    <n v="0"/>
    <n v="0"/>
    <n v="0"/>
    <n v="0"/>
    <m/>
    <m/>
  </r>
  <r>
    <n v="0"/>
    <s v="CMS S.60.10.000"/>
    <x v="1"/>
    <m/>
    <m/>
    <m/>
    <x v="0"/>
    <m/>
    <m/>
    <x v="0"/>
    <x v="0"/>
    <s v="LINHA DO CIRCUITO ULTRAFINO LINHA DE DESCARGA DO DISTRIBUIDOR DI 145A-9904"/>
    <s v="SC-026"/>
    <s v="SP 8320 C"/>
    <m/>
    <s v="1450AA-S-58320"/>
    <n v="2"/>
    <s v="PÇ"/>
    <n v="12.2"/>
    <n v="24.4"/>
    <n v="0"/>
    <n v="0"/>
    <n v="0"/>
    <n v="0.9"/>
    <n v="0.1"/>
    <m/>
    <m/>
    <x v="0"/>
    <n v="0"/>
    <m/>
    <n v="0"/>
    <n v="24.4"/>
    <m/>
    <n v="0"/>
    <n v="0"/>
    <n v="0"/>
    <m/>
    <m/>
    <m/>
    <n v="0"/>
    <n v="0"/>
    <n v="0"/>
    <n v="0"/>
    <m/>
    <m/>
  </r>
  <r>
    <n v="0"/>
    <s v="CMS S.60.10.000"/>
    <x v="1"/>
    <m/>
    <m/>
    <m/>
    <x v="0"/>
    <m/>
    <m/>
    <x v="0"/>
    <x v="0"/>
    <s v="LINHA DO CIRCUITO ULTRAFINO LINHA DE DESCARGA DO DISTRIBUIDOR DI 145A-9904"/>
    <s v="SC-026"/>
    <s v="SP 8320 D"/>
    <m/>
    <s v="1450AA-S-58320"/>
    <n v="1"/>
    <s v="PÇ"/>
    <n v="12.9"/>
    <n v="12.9"/>
    <n v="0"/>
    <n v="0"/>
    <n v="0"/>
    <n v="0.9"/>
    <n v="0.1"/>
    <m/>
    <m/>
    <x v="0"/>
    <n v="0"/>
    <m/>
    <n v="0"/>
    <n v="12.9"/>
    <m/>
    <n v="0"/>
    <n v="0"/>
    <n v="0"/>
    <m/>
    <m/>
    <m/>
    <n v="0"/>
    <n v="0"/>
    <n v="0"/>
    <n v="0"/>
    <m/>
    <m/>
  </r>
  <r>
    <n v="0"/>
    <s v="CMS S.60.10.000"/>
    <x v="1"/>
    <m/>
    <m/>
    <m/>
    <x v="0"/>
    <m/>
    <m/>
    <x v="0"/>
    <x v="0"/>
    <s v="LINHA DO CIRCUITO ULTRAFINO LINHA DE DESCARGA DO DISTRIBUIDOR DI 145A-9904"/>
    <s v="SC-026"/>
    <s v="SP 8320 E"/>
    <m/>
    <s v="1450AA-S-58320"/>
    <n v="2"/>
    <s v="PÇ"/>
    <n v="16.8"/>
    <n v="33.6"/>
    <n v="0"/>
    <n v="0"/>
    <n v="0"/>
    <n v="0.9"/>
    <n v="0.1"/>
    <m/>
    <m/>
    <x v="0"/>
    <n v="0"/>
    <m/>
    <n v="0"/>
    <n v="33.6"/>
    <m/>
    <n v="0"/>
    <n v="0"/>
    <n v="0"/>
    <m/>
    <m/>
    <m/>
    <n v="0"/>
    <n v="0"/>
    <n v="0"/>
    <n v="0"/>
    <m/>
    <m/>
  </r>
  <r>
    <n v="0"/>
    <s v="CMS S.60.10.000"/>
    <x v="1"/>
    <m/>
    <m/>
    <m/>
    <x v="0"/>
    <m/>
    <m/>
    <x v="0"/>
    <x v="0"/>
    <s v="LINHA DO CIRCUITO ULTRAFINO LINHA DE DESCARGA DO DISTRIBUIDOR DI 145A-9904"/>
    <s v="SC-026"/>
    <s v=" 8320 F"/>
    <m/>
    <s v="1450AA-S-58320"/>
    <n v="2"/>
    <s v="PÇ"/>
    <n v="15.5"/>
    <n v="31"/>
    <n v="0"/>
    <n v="0"/>
    <n v="0"/>
    <n v="0.9"/>
    <n v="0.1"/>
    <m/>
    <m/>
    <x v="0"/>
    <n v="0"/>
    <m/>
    <n v="0"/>
    <n v="31"/>
    <m/>
    <n v="0"/>
    <n v="0"/>
    <n v="0"/>
    <m/>
    <m/>
    <m/>
    <n v="0"/>
    <n v="0"/>
    <n v="0"/>
    <n v="0"/>
    <m/>
    <m/>
  </r>
  <r>
    <n v="0"/>
    <s v="CMS S.60.10.000"/>
    <x v="1"/>
    <m/>
    <m/>
    <m/>
    <x v="0"/>
    <m/>
    <m/>
    <x v="0"/>
    <x v="0"/>
    <s v="LINHA DO CIRCUITO ULTRAFINO LINHA DE DESCARGA DO DISTRIBUIDOR DI 145A-9904"/>
    <s v="SC-026"/>
    <s v="SP 8320 G"/>
    <m/>
    <s v="1450AA-S-58320"/>
    <n v="2"/>
    <s v="PÇ"/>
    <n v="5.7"/>
    <n v="11.4"/>
    <n v="0"/>
    <n v="0"/>
    <n v="0"/>
    <n v="0.9"/>
    <n v="0.1"/>
    <m/>
    <m/>
    <x v="0"/>
    <n v="0"/>
    <m/>
    <n v="0"/>
    <n v="11.4"/>
    <m/>
    <n v="0"/>
    <n v="0"/>
    <n v="0"/>
    <m/>
    <m/>
    <m/>
    <n v="0"/>
    <n v="0"/>
    <n v="0"/>
    <n v="0"/>
    <m/>
    <m/>
  </r>
  <r>
    <n v="0"/>
    <s v="CMS S.60.10.000"/>
    <x v="1"/>
    <m/>
    <m/>
    <m/>
    <x v="0"/>
    <m/>
    <m/>
    <x v="0"/>
    <x v="0"/>
    <s v="LINHA DO CIRCUITO ULTRAFINO LINHA DE DESCARGA DO DISTRIBUIDOR DI 145A-9904"/>
    <s v="SC-026"/>
    <s v="SP 8320 H"/>
    <m/>
    <s v="1450AA-S-58320"/>
    <n v="3"/>
    <s v="PÇ"/>
    <n v="5.7"/>
    <n v="17.100000000000001"/>
    <n v="0"/>
    <n v="0"/>
    <n v="0"/>
    <n v="0.9"/>
    <n v="0.1"/>
    <m/>
    <m/>
    <x v="0"/>
    <n v="0"/>
    <m/>
    <n v="0"/>
    <n v="17.100000000000001"/>
    <m/>
    <n v="0"/>
    <n v="0"/>
    <n v="0"/>
    <m/>
    <m/>
    <m/>
    <n v="0"/>
    <n v="0"/>
    <n v="0"/>
    <n v="0"/>
    <m/>
    <m/>
  </r>
  <r>
    <n v="0"/>
    <s v="CMS S.60.10.000"/>
    <x v="1"/>
    <m/>
    <m/>
    <m/>
    <x v="0"/>
    <m/>
    <m/>
    <x v="0"/>
    <x v="0"/>
    <s v="LINHA DO CIRCUITO ULTRAFINO LINHA DE DESCARGA DO DISTRIBUIDOR DI 145A-9904"/>
    <s v="SC-026"/>
    <s v="SP 8320 J"/>
    <m/>
    <s v="1450AA-S-58320"/>
    <n v="3"/>
    <s v="PÇ"/>
    <n v="20.399999999999999"/>
    <n v="61.199999999999996"/>
    <n v="0"/>
    <n v="0"/>
    <n v="0"/>
    <n v="0.9"/>
    <n v="0.1"/>
    <m/>
    <m/>
    <x v="0"/>
    <n v="0"/>
    <m/>
    <n v="0"/>
    <n v="61.199999999999996"/>
    <m/>
    <n v="0"/>
    <n v="0"/>
    <n v="0"/>
    <m/>
    <m/>
    <m/>
    <n v="0"/>
    <n v="0"/>
    <n v="0"/>
    <n v="0"/>
    <m/>
    <m/>
  </r>
  <r>
    <n v="0"/>
    <s v="CMS S.60.10.000"/>
    <x v="1"/>
    <m/>
    <m/>
    <m/>
    <x v="0"/>
    <m/>
    <m/>
    <x v="0"/>
    <x v="0"/>
    <s v="LINHA DO CIRCUITO ULTRAFINO LINHA DE DESCARGA DO DISTRIBUIDOR DI 145A-9904"/>
    <s v="SC-026"/>
    <s v="SP 8320 K "/>
    <m/>
    <s v="1450AA-S-58320"/>
    <n v="3"/>
    <s v="PÇ"/>
    <n v="0.3"/>
    <n v="0.89999999999999991"/>
    <n v="0"/>
    <n v="0"/>
    <n v="0"/>
    <n v="0.9"/>
    <n v="0.1"/>
    <m/>
    <m/>
    <x v="0"/>
    <n v="0"/>
    <m/>
    <n v="0"/>
    <n v="0.89999999999999991"/>
    <m/>
    <n v="0"/>
    <n v="0"/>
    <n v="0"/>
    <m/>
    <m/>
    <m/>
    <n v="0"/>
    <n v="0"/>
    <n v="0"/>
    <n v="0"/>
    <m/>
    <m/>
  </r>
  <r>
    <n v="0"/>
    <s v="CMS S.60.10.000"/>
    <x v="1"/>
    <m/>
    <m/>
    <m/>
    <x v="0"/>
    <m/>
    <m/>
    <x v="0"/>
    <x v="0"/>
    <s v="LINHA DO CIRCUITO ULTRAFINO LINHA DE DESCARGA DO DISTRIBUIDOR DI 145A-9904"/>
    <s v="SC-026"/>
    <s v="SP 8320 L"/>
    <m/>
    <s v="1450AA-S-58320"/>
    <n v="3"/>
    <s v="PÇ"/>
    <n v="0.3"/>
    <n v="0.89999999999999991"/>
    <n v="0"/>
    <n v="0"/>
    <n v="0"/>
    <n v="0.9"/>
    <n v="0.1"/>
    <m/>
    <m/>
    <x v="0"/>
    <n v="0"/>
    <m/>
    <n v="0"/>
    <n v="0.89999999999999991"/>
    <m/>
    <n v="0"/>
    <n v="0"/>
    <n v="0"/>
    <m/>
    <m/>
    <m/>
    <n v="0"/>
    <n v="0"/>
    <n v="0"/>
    <n v="0"/>
    <m/>
    <m/>
  </r>
  <r>
    <n v="0"/>
    <s v="CMS S.60.10.000"/>
    <x v="1"/>
    <m/>
    <m/>
    <m/>
    <x v="0"/>
    <m/>
    <m/>
    <x v="0"/>
    <x v="0"/>
    <s v="LINHA DO CIRCUITO ULTRAFINO LINHA DE DESCARGA DO DISTRIBUIDOR DI 145A-9904"/>
    <s v="SC-026"/>
    <s v="SP 8320 M"/>
    <m/>
    <s v="1450AA-S-58320"/>
    <n v="2"/>
    <s v="PÇ"/>
    <n v="2.1999999999999997"/>
    <n v="4.3999999999999995"/>
    <n v="0"/>
    <n v="0"/>
    <n v="0"/>
    <n v="0.9"/>
    <n v="0.1"/>
    <m/>
    <m/>
    <x v="0"/>
    <n v="0"/>
    <m/>
    <n v="0"/>
    <n v="4.3999999999999995"/>
    <m/>
    <n v="0"/>
    <n v="0"/>
    <n v="0"/>
    <m/>
    <m/>
    <m/>
    <n v="0"/>
    <n v="0"/>
    <n v="0"/>
    <n v="0"/>
    <m/>
    <m/>
  </r>
  <r>
    <n v="0"/>
    <s v="CMS S.60.10.000"/>
    <x v="1"/>
    <m/>
    <m/>
    <m/>
    <x v="0"/>
    <m/>
    <m/>
    <x v="0"/>
    <x v="0"/>
    <s v="LINHA DO CIRCUITO ARENOSO LINHA DE DESCARGA  DO DISTRIBUIDOR DI-145A-9915"/>
    <s v="SC-014"/>
    <s v="SP 8321 A"/>
    <s v="1450AA-L-70048"/>
    <s v="1450AA-S-58321"/>
    <n v="16"/>
    <s v="PÇ"/>
    <n v="12.4"/>
    <n v="198.4"/>
    <n v="0"/>
    <n v="0"/>
    <n v="0"/>
    <n v="0.9"/>
    <n v="0.1"/>
    <m/>
    <m/>
    <x v="0"/>
    <n v="0"/>
    <m/>
    <n v="0"/>
    <n v="198.4"/>
    <m/>
    <n v="0"/>
    <n v="0"/>
    <n v="0"/>
    <m/>
    <m/>
    <m/>
    <n v="0"/>
    <n v="0"/>
    <n v="0"/>
    <n v="0"/>
    <m/>
    <m/>
  </r>
  <r>
    <n v="0"/>
    <s v="CMS S.60.10.000"/>
    <x v="1"/>
    <m/>
    <m/>
    <m/>
    <x v="0"/>
    <m/>
    <m/>
    <x v="0"/>
    <x v="0"/>
    <s v="LINHA DO CIRCUITO ARENOSO LINHA DE DESCARGA  DO DISTRIBUIDOR DI-145A-9915"/>
    <s v="SC-014"/>
    <s v="SP 8321 B"/>
    <s v="1450AA-L-70048"/>
    <s v="1450AA-S-58321"/>
    <n v="1"/>
    <s v="PÇ"/>
    <n v="10.4"/>
    <n v="10.4"/>
    <n v="0"/>
    <n v="0"/>
    <n v="0"/>
    <n v="0.9"/>
    <n v="0.1"/>
    <m/>
    <m/>
    <x v="0"/>
    <n v="0"/>
    <m/>
    <n v="0"/>
    <n v="10.4"/>
    <m/>
    <n v="0"/>
    <n v="0"/>
    <n v="0"/>
    <m/>
    <m/>
    <m/>
    <n v="0"/>
    <n v="0"/>
    <n v="0"/>
    <n v="0"/>
    <m/>
    <m/>
  </r>
  <r>
    <n v="0"/>
    <s v="CMS S.60.10.000"/>
    <x v="1"/>
    <m/>
    <m/>
    <m/>
    <x v="0"/>
    <m/>
    <m/>
    <x v="0"/>
    <x v="0"/>
    <s v="LINHA DO CIRCUITO ARENOSO LINHA DE DESCARGA  DO DISTRIBUIDOR DI-145A-9915"/>
    <s v="SC-014"/>
    <s v="SP 8321 C"/>
    <s v="1450AA-L-70048"/>
    <s v="1450AA-S-58321"/>
    <n v="1"/>
    <s v="PÇ"/>
    <n v="5.4"/>
    <n v="5.4"/>
    <n v="0"/>
    <n v="0"/>
    <n v="0"/>
    <n v="0.9"/>
    <n v="0.1"/>
    <m/>
    <m/>
    <x v="0"/>
    <n v="0"/>
    <m/>
    <n v="0"/>
    <n v="5.4"/>
    <m/>
    <n v="0"/>
    <n v="0"/>
    <n v="0"/>
    <m/>
    <m/>
    <m/>
    <n v="0"/>
    <n v="0"/>
    <n v="0"/>
    <n v="0"/>
    <m/>
    <m/>
  </r>
  <r>
    <n v="0"/>
    <s v="CMS S.60.10.000"/>
    <x v="1"/>
    <m/>
    <m/>
    <m/>
    <x v="0"/>
    <m/>
    <m/>
    <x v="0"/>
    <x v="0"/>
    <s v="LINHA DO CIRCUITO ARENOSO LINHA DE DESCARGA  DO DISTRIBUIDOR DI-145A-9915"/>
    <s v="SC-014"/>
    <s v="SP 8321 D"/>
    <s v="1450AA-L-70048"/>
    <s v="1450AA-S-58321"/>
    <n v="1"/>
    <s v="PÇ"/>
    <n v="4.8"/>
    <n v="4.8"/>
    <n v="0"/>
    <n v="0"/>
    <n v="0"/>
    <n v="0.9"/>
    <n v="0.1"/>
    <m/>
    <m/>
    <x v="0"/>
    <n v="0"/>
    <m/>
    <n v="0"/>
    <n v="4.8"/>
    <m/>
    <n v="0"/>
    <n v="0"/>
    <n v="0"/>
    <m/>
    <m/>
    <m/>
    <n v="0"/>
    <n v="0"/>
    <n v="0"/>
    <n v="0"/>
    <m/>
    <m/>
  </r>
  <r>
    <n v="0"/>
    <s v="CMS S.60.10.000"/>
    <x v="1"/>
    <m/>
    <m/>
    <m/>
    <x v="0"/>
    <m/>
    <m/>
    <x v="0"/>
    <x v="0"/>
    <s v="LINHA DO CIRCUITO ARENOSO LINHA DE DESCARGA  DO DISTRIBUIDOR DI-145A-9915"/>
    <s v="SC-014"/>
    <s v=" 8321 E"/>
    <s v="1450AA-L-70048"/>
    <s v="1450AA-S-58321"/>
    <n v="4"/>
    <s v="PÇ"/>
    <n v="0.39999999999999997"/>
    <n v="1.5999999999999999"/>
    <n v="0"/>
    <n v="0"/>
    <n v="0"/>
    <n v="0.9"/>
    <n v="0.1"/>
    <m/>
    <m/>
    <x v="0"/>
    <n v="0"/>
    <m/>
    <n v="0"/>
    <n v="1.5999999999999999"/>
    <m/>
    <n v="0"/>
    <n v="0"/>
    <n v="0"/>
    <m/>
    <m/>
    <m/>
    <n v="0"/>
    <n v="0"/>
    <n v="0"/>
    <n v="0"/>
    <m/>
    <m/>
  </r>
  <r>
    <n v="0"/>
    <s v="CMS S.60.10.000"/>
    <x v="1"/>
    <m/>
    <m/>
    <m/>
    <x v="0"/>
    <m/>
    <m/>
    <x v="0"/>
    <x v="0"/>
    <s v="LINHA DO CIRCUITO ARENOSO LINHA DE DESCARGA  DO DISTRIBUIDOR DI-145A-9915"/>
    <s v="SC-014"/>
    <s v="SP 8321 F"/>
    <s v="1450AA-L-70048"/>
    <s v="1450AA-S-58321"/>
    <n v="1"/>
    <s v="PÇ"/>
    <n v="4.3"/>
    <n v="4.3"/>
    <n v="0"/>
    <n v="0"/>
    <n v="0"/>
    <n v="0.9"/>
    <n v="0.1"/>
    <m/>
    <m/>
    <x v="0"/>
    <n v="0"/>
    <m/>
    <n v="0"/>
    <n v="4.3"/>
    <m/>
    <n v="0"/>
    <n v="0"/>
    <n v="0"/>
    <m/>
    <m/>
    <m/>
    <n v="0"/>
    <n v="0"/>
    <n v="0"/>
    <n v="0"/>
    <m/>
    <m/>
  </r>
  <r>
    <n v="0"/>
    <s v="CMS S.60.10.000"/>
    <x v="1"/>
    <m/>
    <m/>
    <m/>
    <x v="0"/>
    <m/>
    <m/>
    <x v="0"/>
    <x v="0"/>
    <s v="LINHA DO CIRCUITO ARENOSO LINHA DE DESCARGA  DO DISTRIBUIDOR DI-145A-9915"/>
    <s v="SC-014"/>
    <s v="SP 8321 G"/>
    <s v="1450AA-L-70048"/>
    <s v="1450AA-S-58321"/>
    <n v="1"/>
    <s v="PÇ"/>
    <n v="10.7"/>
    <n v="10.7"/>
    <n v="0"/>
    <n v="0"/>
    <n v="0"/>
    <n v="0.9"/>
    <n v="0.1"/>
    <m/>
    <m/>
    <x v="0"/>
    <n v="0"/>
    <m/>
    <n v="0"/>
    <n v="10.7"/>
    <m/>
    <n v="0"/>
    <n v="0"/>
    <n v="0"/>
    <m/>
    <m/>
    <m/>
    <n v="0"/>
    <n v="0"/>
    <n v="0"/>
    <n v="0"/>
    <m/>
    <m/>
  </r>
  <r>
    <n v="0"/>
    <s v="CMS S.60.10.000"/>
    <x v="1"/>
    <m/>
    <m/>
    <m/>
    <x v="0"/>
    <m/>
    <m/>
    <x v="0"/>
    <x v="0"/>
    <s v="LINHA DO CIRCUITO ARENOSO LINHA DE DESCARGA  DO DISTRIBUIDOR DI-145A-9915"/>
    <s v="SC-014"/>
    <s v="SP 8321 H"/>
    <s v="1450AA-L-70048"/>
    <s v="1450AA-S-58321"/>
    <n v="2"/>
    <s v="PÇ"/>
    <n v="34.5"/>
    <n v="69"/>
    <n v="0"/>
    <n v="0"/>
    <n v="0"/>
    <n v="0.9"/>
    <n v="0.1"/>
    <m/>
    <m/>
    <x v="0"/>
    <n v="0"/>
    <m/>
    <n v="0"/>
    <n v="69"/>
    <m/>
    <n v="0"/>
    <n v="0"/>
    <n v="0"/>
    <m/>
    <m/>
    <m/>
    <n v="0"/>
    <n v="0"/>
    <n v="0"/>
    <n v="0"/>
    <m/>
    <m/>
  </r>
  <r>
    <n v="0"/>
    <s v="CMS S.60.10.000"/>
    <x v="1"/>
    <m/>
    <m/>
    <m/>
    <x v="0"/>
    <m/>
    <m/>
    <x v="0"/>
    <x v="0"/>
    <s v="LINHA DO CIRCUITO ARENOSO LINHA DE DESCARGA  DO DISTRIBUIDOR DI-145A-9915"/>
    <s v="SC-014"/>
    <s v="SP 8321 J"/>
    <s v="1450AA-L-70048"/>
    <s v="1450AA-S-58321"/>
    <n v="1"/>
    <s v="PÇ"/>
    <n v="5.3"/>
    <n v="5.3"/>
    <n v="0"/>
    <n v="0"/>
    <n v="0"/>
    <n v="0.9"/>
    <n v="0.1"/>
    <m/>
    <m/>
    <x v="0"/>
    <n v="0"/>
    <m/>
    <n v="0"/>
    <n v="5.3"/>
    <m/>
    <n v="0"/>
    <n v="0"/>
    <n v="0"/>
    <m/>
    <m/>
    <m/>
    <n v="0"/>
    <n v="0"/>
    <n v="0"/>
    <n v="0"/>
    <m/>
    <m/>
  </r>
  <r>
    <n v="0"/>
    <s v="CMS S.60.10.000"/>
    <x v="1"/>
    <m/>
    <m/>
    <m/>
    <x v="0"/>
    <m/>
    <m/>
    <x v="0"/>
    <x v="0"/>
    <s v="LINHA DO CIRCUITO ARENOSO LINHA DE DESCARGA  DO DISTRIBUIDOR DI-145A-9915"/>
    <s v="SC-014"/>
    <s v="SP 8321 K"/>
    <s v="1450AA-L-70048"/>
    <s v="1450AA-S-58321"/>
    <n v="1"/>
    <s v="PÇ"/>
    <n v="9.6"/>
    <n v="9.6"/>
    <n v="0"/>
    <n v="0"/>
    <n v="0"/>
    <n v="0.9"/>
    <n v="0.1"/>
    <m/>
    <m/>
    <x v="0"/>
    <n v="0"/>
    <m/>
    <n v="0"/>
    <n v="9.6"/>
    <m/>
    <n v="0"/>
    <n v="0"/>
    <n v="0"/>
    <m/>
    <m/>
    <m/>
    <n v="0"/>
    <n v="0"/>
    <n v="0"/>
    <n v="0"/>
    <m/>
    <m/>
  </r>
  <r>
    <n v="0"/>
    <s v="CMS S.60.10.000"/>
    <x v="1"/>
    <m/>
    <m/>
    <m/>
    <x v="0"/>
    <m/>
    <m/>
    <x v="0"/>
    <x v="0"/>
    <s v="LINHA DO CIRCUITO ARENOSO LINHA DE DESCARGA  DO DISTRIBUIDOR DI-145A-9915"/>
    <s v="SC-014"/>
    <s v=" 8321 L"/>
    <s v="1450AA-L-70048"/>
    <s v="1450AA-S-58321"/>
    <n v="8"/>
    <s v="PÇ"/>
    <n v="0.5"/>
    <n v="4"/>
    <n v="0"/>
    <n v="0"/>
    <n v="0"/>
    <n v="0.9"/>
    <n v="0.1"/>
    <m/>
    <m/>
    <x v="0"/>
    <n v="0"/>
    <m/>
    <n v="0"/>
    <n v="4"/>
    <m/>
    <n v="0"/>
    <n v="0"/>
    <n v="0"/>
    <m/>
    <m/>
    <m/>
    <n v="0"/>
    <n v="0"/>
    <n v="0"/>
    <n v="0"/>
    <m/>
    <m/>
  </r>
  <r>
    <n v="0"/>
    <s v="CMS S.60.10.000"/>
    <x v="1"/>
    <m/>
    <m/>
    <m/>
    <x v="0"/>
    <m/>
    <m/>
    <x v="0"/>
    <x v="0"/>
    <s v="LINHA DO CIRCUITO ARENOSO LINHA DE DESCARGA  DO DISTRIBUIDOR DI-145A-9915"/>
    <s v="SC-014"/>
    <s v="SP 8321 M"/>
    <s v="1450AA-L-70048"/>
    <s v="1450AA-S-58321"/>
    <n v="1"/>
    <s v="PÇ"/>
    <n v="7.2"/>
    <n v="7.2"/>
    <n v="0"/>
    <n v="0"/>
    <n v="0"/>
    <n v="0.9"/>
    <n v="0.1"/>
    <m/>
    <m/>
    <x v="0"/>
    <n v="0"/>
    <m/>
    <n v="0"/>
    <n v="7.2"/>
    <m/>
    <n v="0"/>
    <n v="0"/>
    <n v="0"/>
    <m/>
    <m/>
    <m/>
    <n v="0"/>
    <n v="0"/>
    <n v="0"/>
    <n v="0"/>
    <m/>
    <m/>
  </r>
  <r>
    <n v="0"/>
    <s v="CMS S.60.10.000"/>
    <x v="1"/>
    <m/>
    <m/>
    <m/>
    <x v="0"/>
    <m/>
    <m/>
    <x v="0"/>
    <x v="0"/>
    <s v="LINHA DO CIRCUITO ARENOSO LINHA DE ALIMENTAÇÃO DO DISTRIBUIDOR DI-145A-9911"/>
    <s v="SC-011"/>
    <s v="SP 8323 A"/>
    <s v="1450AA-L-70107"/>
    <s v="1450AA-S-58323"/>
    <n v="1"/>
    <s v="PÇ"/>
    <n v="27.3"/>
    <n v="27.3"/>
    <n v="0"/>
    <n v="0"/>
    <n v="0"/>
    <n v="0.9"/>
    <n v="0.1"/>
    <m/>
    <m/>
    <x v="0"/>
    <n v="0"/>
    <m/>
    <n v="0"/>
    <n v="27.3"/>
    <m/>
    <n v="0"/>
    <n v="0"/>
    <n v="0"/>
    <m/>
    <m/>
    <m/>
    <n v="0"/>
    <n v="0"/>
    <n v="0"/>
    <n v="0"/>
    <m/>
    <m/>
  </r>
  <r>
    <n v="0"/>
    <s v="CMS S.60.10.000"/>
    <x v="1"/>
    <m/>
    <m/>
    <m/>
    <x v="0"/>
    <m/>
    <m/>
    <x v="0"/>
    <x v="0"/>
    <s v="LINHA DO CIRCUITO ARENOSO LINHA DE ALIMENTAÇÃO DO DISTRIBUIDOR DI-145A-9911"/>
    <s v="SC-011"/>
    <s v="SP 8323 B"/>
    <s v="1450AA-L-70107"/>
    <s v="1450AA-S-58323"/>
    <n v="3"/>
    <s v="PÇ"/>
    <n v="12.7"/>
    <n v="38.099999999999994"/>
    <n v="0"/>
    <n v="0"/>
    <n v="0"/>
    <n v="0.9"/>
    <n v="0.1"/>
    <m/>
    <m/>
    <x v="0"/>
    <n v="0"/>
    <m/>
    <n v="0"/>
    <n v="38.099999999999994"/>
    <m/>
    <n v="0"/>
    <n v="0"/>
    <n v="0"/>
    <m/>
    <m/>
    <m/>
    <n v="0"/>
    <n v="0"/>
    <n v="0"/>
    <n v="0"/>
    <m/>
    <m/>
  </r>
  <r>
    <n v="0"/>
    <s v="CMS S.60.10.000"/>
    <x v="1"/>
    <m/>
    <m/>
    <m/>
    <x v="0"/>
    <m/>
    <m/>
    <x v="0"/>
    <x v="0"/>
    <s v="LINHA DO CIRCUITO ARENOSO LINHA DE ALIMENTAÇÃO DO DISTRIBUIDOR DI-145A-9911"/>
    <s v="SC-011"/>
    <s v="SP 8323 C"/>
    <s v="1450AA-L-70107"/>
    <s v="1450AA-S-58323"/>
    <n v="2"/>
    <s v="PÇ"/>
    <n v="5.7"/>
    <n v="11.4"/>
    <n v="0"/>
    <n v="0"/>
    <n v="0"/>
    <n v="0.9"/>
    <n v="0.1"/>
    <m/>
    <m/>
    <x v="0"/>
    <n v="0"/>
    <m/>
    <n v="0"/>
    <n v="11.4"/>
    <m/>
    <n v="0"/>
    <n v="0"/>
    <n v="0"/>
    <m/>
    <m/>
    <m/>
    <n v="0"/>
    <n v="0"/>
    <n v="0"/>
    <n v="0"/>
    <m/>
    <m/>
  </r>
  <r>
    <n v="0"/>
    <s v="CMS S.60.10.000"/>
    <x v="1"/>
    <m/>
    <m/>
    <m/>
    <x v="0"/>
    <m/>
    <m/>
    <x v="0"/>
    <x v="0"/>
    <s v="LINHA DO CIRCUITO ARENOSO LINHA DE ALIMENTAÇÃO DO DISTRIBUIDOR DI-145A-9911"/>
    <s v="SC-011"/>
    <s v="SP 8323 D"/>
    <s v="1450AA-L-70107"/>
    <s v="1450AA-S-58323"/>
    <n v="2"/>
    <s v="PÇ"/>
    <n v="28.5"/>
    <n v="57"/>
    <n v="0"/>
    <n v="0"/>
    <n v="0"/>
    <n v="0.9"/>
    <n v="0.1"/>
    <m/>
    <m/>
    <x v="0"/>
    <n v="0"/>
    <m/>
    <n v="0"/>
    <n v="57"/>
    <m/>
    <n v="0"/>
    <n v="0"/>
    <n v="0"/>
    <m/>
    <m/>
    <m/>
    <n v="0"/>
    <n v="0"/>
    <n v="0"/>
    <n v="0"/>
    <m/>
    <m/>
  </r>
  <r>
    <n v="0"/>
    <s v="CMS S.60.10.000"/>
    <x v="1"/>
    <m/>
    <m/>
    <m/>
    <x v="0"/>
    <m/>
    <m/>
    <x v="0"/>
    <x v="0"/>
    <s v="LINHA DO CIRCUITO ARENOSO LINHA DE ALIMENTAÇÃO DO DISTRIBUIDOR DI-145A-9911"/>
    <s v="SC-011"/>
    <s v="SP 8323 E"/>
    <s v="1450AA-L-70107"/>
    <s v="1450AA-S-58323"/>
    <n v="2"/>
    <s v="PÇ"/>
    <n v="241.6"/>
    <n v="483.2"/>
    <n v="0"/>
    <n v="0"/>
    <n v="0"/>
    <n v="0.9"/>
    <n v="0.1"/>
    <m/>
    <m/>
    <x v="0"/>
    <n v="0"/>
    <m/>
    <n v="0"/>
    <n v="483.2"/>
    <m/>
    <n v="0"/>
    <n v="0"/>
    <n v="0"/>
    <m/>
    <m/>
    <m/>
    <n v="0"/>
    <n v="0"/>
    <n v="0"/>
    <n v="0"/>
    <m/>
    <m/>
  </r>
  <r>
    <n v="0"/>
    <s v="CMS S.60.10.000"/>
    <x v="1"/>
    <m/>
    <m/>
    <m/>
    <x v="0"/>
    <m/>
    <m/>
    <x v="0"/>
    <x v="0"/>
    <s v="LINHA DO CIRCUITO ARENOSO LINHA DE ALIMENTAÇÃO DO DISTRIBUIDOR DI-145A-9911"/>
    <s v="SC-011"/>
    <s v="SP 8323 F"/>
    <s v="1450AA-L-70107"/>
    <s v="1450AA-S-58323"/>
    <n v="2"/>
    <s v="PÇ"/>
    <n v="3.8"/>
    <n v="7.6"/>
    <n v="0"/>
    <n v="0"/>
    <n v="0"/>
    <n v="0.9"/>
    <n v="0.1"/>
    <m/>
    <m/>
    <x v="0"/>
    <n v="0"/>
    <m/>
    <n v="0"/>
    <n v="7.6"/>
    <m/>
    <n v="0"/>
    <n v="0"/>
    <n v="0"/>
    <m/>
    <m/>
    <m/>
    <n v="0"/>
    <n v="0"/>
    <n v="0"/>
    <n v="0"/>
    <m/>
    <m/>
  </r>
  <r>
    <n v="0"/>
    <s v="CMS S.60.10.000"/>
    <x v="1"/>
    <m/>
    <m/>
    <m/>
    <x v="0"/>
    <m/>
    <m/>
    <x v="0"/>
    <x v="0"/>
    <s v="LINHA DO CIRCUITO ARENOSO LINHA DE ALIMENTAÇÃO DO DISTRIBUIDOR DI-145A-9911"/>
    <s v="SC-018"/>
    <s v="SP 8324 A"/>
    <s v="1450AA-L-70107"/>
    <s v="1450AA-S-58324"/>
    <n v="2"/>
    <s v="PÇ"/>
    <n v="12.7"/>
    <n v="25.4"/>
    <n v="0"/>
    <n v="0"/>
    <n v="0"/>
    <n v="0.9"/>
    <n v="0.1"/>
    <m/>
    <m/>
    <x v="0"/>
    <n v="0"/>
    <m/>
    <n v="0"/>
    <n v="25.4"/>
    <m/>
    <n v="0"/>
    <n v="0"/>
    <n v="0"/>
    <m/>
    <m/>
    <m/>
    <n v="0"/>
    <n v="0"/>
    <n v="0"/>
    <n v="0"/>
    <m/>
    <m/>
  </r>
  <r>
    <n v="0"/>
    <s v="CMS S.60.10.000"/>
    <x v="1"/>
    <m/>
    <m/>
    <m/>
    <x v="0"/>
    <m/>
    <m/>
    <x v="0"/>
    <x v="0"/>
    <s v="LINHA DO CIRCUITO ARENOSO LINHA DE ALIMENTAÇÃO DO DISTRIBUIDOR DI-145A-9911"/>
    <s v="SC-018"/>
    <s v="SP 8324 B"/>
    <s v="1450AA-L-70107"/>
    <s v="1450AA-S-58324"/>
    <n v="2"/>
    <s v="PÇ"/>
    <n v="4.3"/>
    <n v="8.6"/>
    <n v="0"/>
    <n v="0"/>
    <n v="0"/>
    <n v="0.9"/>
    <n v="0.1"/>
    <m/>
    <m/>
    <x v="0"/>
    <n v="0"/>
    <m/>
    <n v="0"/>
    <n v="8.6"/>
    <m/>
    <n v="0"/>
    <n v="0"/>
    <n v="0"/>
    <m/>
    <m/>
    <m/>
    <n v="0"/>
    <n v="0"/>
    <n v="0"/>
    <n v="0"/>
    <m/>
    <m/>
  </r>
  <r>
    <n v="0"/>
    <s v="CMS S.60.10.000"/>
    <x v="1"/>
    <m/>
    <m/>
    <m/>
    <x v="0"/>
    <m/>
    <m/>
    <x v="0"/>
    <x v="0"/>
    <s v="LINHA DO CIRCUITO ARENOSO LINHA DE ALIMENTAÇÃO DO DISTRIBUIDOR DI-145A-9911"/>
    <s v="SC-018"/>
    <s v="SP 8324 C"/>
    <s v="1450AA-L-70107"/>
    <s v="1450AA-S-58324"/>
    <n v="2"/>
    <s v="PÇ"/>
    <n v="92.3"/>
    <n v="184.6"/>
    <n v="0"/>
    <n v="0"/>
    <n v="0"/>
    <n v="0.9"/>
    <n v="0.1"/>
    <m/>
    <m/>
    <x v="0"/>
    <n v="0"/>
    <m/>
    <n v="0"/>
    <n v="184.6"/>
    <m/>
    <n v="0"/>
    <n v="0"/>
    <n v="0"/>
    <m/>
    <m/>
    <m/>
    <n v="0"/>
    <n v="0"/>
    <n v="0"/>
    <n v="0"/>
    <m/>
    <m/>
  </r>
  <r>
    <n v="0"/>
    <s v="CMS S.60.10.000"/>
    <x v="1"/>
    <m/>
    <m/>
    <m/>
    <x v="0"/>
    <m/>
    <m/>
    <x v="0"/>
    <x v="0"/>
    <s v="LINHA DO CIRCUITO ARENOSO LINHA DE ALIMENTAÇÃO DO DISTRIBUIDOR DI-145A-9911"/>
    <s v="SC-018"/>
    <s v="SP 8324 D"/>
    <s v="1450AA-L-70107"/>
    <s v="1450AA-S-58324"/>
    <n v="4"/>
    <s v="PÇ"/>
    <n v="86.1"/>
    <n v="344.4"/>
    <n v="0"/>
    <n v="0"/>
    <n v="0"/>
    <n v="0.9"/>
    <n v="0.1"/>
    <m/>
    <m/>
    <x v="0"/>
    <n v="0"/>
    <m/>
    <n v="0"/>
    <n v="344.4"/>
    <m/>
    <n v="0"/>
    <n v="0"/>
    <n v="0"/>
    <m/>
    <m/>
    <m/>
    <n v="0"/>
    <n v="0"/>
    <n v="0"/>
    <n v="0"/>
    <m/>
    <m/>
  </r>
  <r>
    <n v="0"/>
    <s v="CMS S.60.10.000"/>
    <x v="1"/>
    <m/>
    <m/>
    <m/>
    <x v="0"/>
    <m/>
    <m/>
    <x v="0"/>
    <x v="0"/>
    <s v="LINHA DO CIRCUITO ARENOSO LINHA DE ALIMENTAÇÃO DO DISTRIBUIDOR DI-145A-9911"/>
    <s v="SC-018"/>
    <s v="SP 8324 E"/>
    <s v="1450AA-L-70107"/>
    <s v="1450AA-S-58324"/>
    <n v="1"/>
    <s v="PÇ"/>
    <n v="11.9"/>
    <n v="11.9"/>
    <n v="0"/>
    <n v="0"/>
    <n v="0"/>
    <n v="0.9"/>
    <n v="0.1"/>
    <m/>
    <m/>
    <x v="0"/>
    <n v="0"/>
    <m/>
    <n v="0"/>
    <n v="11.9"/>
    <m/>
    <n v="0"/>
    <n v="0"/>
    <n v="0"/>
    <m/>
    <m/>
    <m/>
    <n v="0"/>
    <n v="0"/>
    <n v="0"/>
    <n v="0"/>
    <m/>
    <m/>
  </r>
  <r>
    <n v="0"/>
    <s v="CMS S.60.10.000"/>
    <x v="1"/>
    <m/>
    <m/>
    <m/>
    <x v="0"/>
    <m/>
    <m/>
    <x v="0"/>
    <x v="0"/>
    <s v="LINHA DO CIRCUITO ARENOSO LINHA DE ALIMENTAÇÃO DO DISTRIBUIDOR DI-145A-9911"/>
    <s v="SC-011"/>
    <s v="SP 8325 A"/>
    <s v="1450AA-L-70107"/>
    <s v="1450AA-S-58325"/>
    <n v="1"/>
    <s v="PÇ"/>
    <n v="12.7"/>
    <n v="12.7"/>
    <n v="0"/>
    <n v="0"/>
    <n v="0"/>
    <n v="0.9"/>
    <n v="0.1"/>
    <m/>
    <m/>
    <x v="0"/>
    <n v="0"/>
    <m/>
    <n v="0"/>
    <n v="12.7"/>
    <m/>
    <n v="0"/>
    <n v="0"/>
    <n v="0"/>
    <m/>
    <m/>
    <m/>
    <n v="0"/>
    <n v="0"/>
    <n v="0"/>
    <n v="0"/>
    <m/>
    <m/>
  </r>
  <r>
    <n v="0"/>
    <s v="CMS S.60.10.000"/>
    <x v="1"/>
    <m/>
    <m/>
    <m/>
    <x v="0"/>
    <m/>
    <m/>
    <x v="0"/>
    <x v="0"/>
    <s v="LINHA DO CIRCUITO ARENOSO LINHA DE ALIMENTAÇÃO DO DISTRIBUIDOR DI-145A-9911"/>
    <s v="SC-011"/>
    <s v="SP 8325 B"/>
    <s v="1450AA-L-70107"/>
    <s v="1450AA-S-58325"/>
    <n v="1"/>
    <s v="PÇ"/>
    <n v="10.3"/>
    <n v="10.3"/>
    <n v="0"/>
    <n v="0"/>
    <n v="0"/>
    <n v="0.9"/>
    <n v="0.1"/>
    <m/>
    <m/>
    <x v="0"/>
    <n v="0"/>
    <m/>
    <n v="0"/>
    <n v="10.3"/>
    <m/>
    <n v="0"/>
    <n v="0"/>
    <n v="0"/>
    <m/>
    <m/>
    <m/>
    <n v="0"/>
    <n v="0"/>
    <n v="0"/>
    <n v="0"/>
    <m/>
    <m/>
  </r>
  <r>
    <n v="0"/>
    <s v="CMS S.60.10.000"/>
    <x v="1"/>
    <m/>
    <m/>
    <m/>
    <x v="0"/>
    <m/>
    <m/>
    <x v="0"/>
    <x v="0"/>
    <s v="LINHA DO CIRCUITO ARENOSO LINHA DE ALIMENTAÇÃO DO DISTRIBUIDOR DI-145A-9911"/>
    <s v="SC-011"/>
    <s v="SP 8325 C"/>
    <s v="1450AA-L-70107"/>
    <s v="1450AA-S-58325"/>
    <n v="1"/>
    <s v="PÇ"/>
    <n v="77.599999999999994"/>
    <n v="77.599999999999994"/>
    <n v="0"/>
    <n v="0"/>
    <n v="0"/>
    <n v="0.9"/>
    <n v="0.1"/>
    <m/>
    <m/>
    <x v="0"/>
    <n v="0"/>
    <m/>
    <n v="0"/>
    <n v="77.599999999999994"/>
    <m/>
    <n v="0"/>
    <n v="0"/>
    <n v="0"/>
    <m/>
    <m/>
    <m/>
    <n v="0"/>
    <n v="0"/>
    <n v="0"/>
    <n v="0"/>
    <m/>
    <m/>
  </r>
  <r>
    <n v="0"/>
    <s v="CMS S.60.10.000"/>
    <x v="1"/>
    <m/>
    <m/>
    <m/>
    <x v="0"/>
    <m/>
    <m/>
    <x v="0"/>
    <x v="0"/>
    <s v="LINHA DO CIRCUITO ARENOSO LINHA DE ALIMENTAÇÃO DO DISTRIBUIDOR DI-145A-9911"/>
    <s v="SC-011"/>
    <s v="SP 8325 D"/>
    <s v="1450AA-L-70107"/>
    <s v="1450AA-S-58325"/>
    <n v="1"/>
    <s v="PÇ"/>
    <n v="7.5"/>
    <n v="7.5"/>
    <n v="0"/>
    <n v="0"/>
    <n v="0"/>
    <n v="0.9"/>
    <n v="0.1"/>
    <m/>
    <m/>
    <x v="0"/>
    <n v="0"/>
    <m/>
    <n v="0"/>
    <n v="7.5"/>
    <m/>
    <n v="0"/>
    <n v="0"/>
    <n v="0"/>
    <m/>
    <m/>
    <m/>
    <n v="0"/>
    <n v="0"/>
    <n v="0"/>
    <n v="0"/>
    <m/>
    <m/>
  </r>
  <r>
    <n v="0"/>
    <s v="CMS S.60.10.000"/>
    <x v="1"/>
    <m/>
    <m/>
    <m/>
    <x v="0"/>
    <m/>
    <m/>
    <x v="0"/>
    <x v="0"/>
    <s v="LINHA DO CIRCUITO ARENOSO LINHA DE ALIMENTAÇÃO DO DISTRIBUIDOR DI-145A-9911"/>
    <s v="SC-011"/>
    <s v="SP 8325 E"/>
    <s v="1450AA-L-70107"/>
    <s v="1450AA-S-58325"/>
    <n v="2"/>
    <s v="PÇ"/>
    <n v="4"/>
    <n v="8"/>
    <n v="0"/>
    <n v="0"/>
    <n v="0"/>
    <n v="0.9"/>
    <n v="0.1"/>
    <m/>
    <m/>
    <x v="0"/>
    <n v="0"/>
    <m/>
    <n v="0"/>
    <n v="8"/>
    <m/>
    <n v="0"/>
    <n v="0"/>
    <n v="0"/>
    <m/>
    <m/>
    <m/>
    <n v="0"/>
    <n v="0"/>
    <n v="0"/>
    <n v="0"/>
    <m/>
    <m/>
  </r>
  <r>
    <n v="0"/>
    <s v="CMS S.60.10.000"/>
    <x v="1"/>
    <m/>
    <m/>
    <m/>
    <x v="0"/>
    <m/>
    <m/>
    <x v="0"/>
    <x v="0"/>
    <s v="LINHA DO CIRCUITO ARENOSO LINHA DE ALIMENTAÇÃO DO DISTRIBUIDOR DI-145A-9911"/>
    <s v="SC-011"/>
    <s v="SP 8325 F"/>
    <s v="1450AA-L-70107"/>
    <s v="1450AA-S-58325"/>
    <n v="5"/>
    <s v="PÇ"/>
    <n v="236.4"/>
    <n v="1182"/>
    <n v="0"/>
    <n v="0"/>
    <n v="0"/>
    <n v="0.9"/>
    <n v="0.1"/>
    <m/>
    <m/>
    <x v="0"/>
    <n v="0"/>
    <m/>
    <n v="0"/>
    <n v="1182"/>
    <m/>
    <n v="0"/>
    <n v="0"/>
    <n v="0"/>
    <m/>
    <m/>
    <m/>
    <n v="0"/>
    <n v="0"/>
    <n v="0"/>
    <n v="0"/>
    <m/>
    <m/>
  </r>
  <r>
    <n v="0"/>
    <s v="CMS S.60.10.000"/>
    <x v="1"/>
    <m/>
    <m/>
    <m/>
    <x v="0"/>
    <m/>
    <m/>
    <x v="0"/>
    <x v="0"/>
    <s v="LINHA DO CIRCUITO ARENOSO LINHA DE ALIMENTAÇÃO DO DISTRIBUIDOR DI-145A-9911"/>
    <s v="SC-011"/>
    <s v="SP 8325 G"/>
    <s v="1450AA-L-70107"/>
    <s v="1450AA-S-58325"/>
    <n v="3"/>
    <s v="PÇ"/>
    <n v="225"/>
    <n v="675"/>
    <n v="0"/>
    <n v="0"/>
    <n v="0"/>
    <n v="0.9"/>
    <n v="0.1"/>
    <m/>
    <m/>
    <x v="0"/>
    <n v="0"/>
    <m/>
    <n v="0"/>
    <n v="675"/>
    <m/>
    <n v="0"/>
    <n v="0"/>
    <n v="0"/>
    <m/>
    <m/>
    <m/>
    <n v="0"/>
    <n v="0"/>
    <n v="0"/>
    <n v="0"/>
    <m/>
    <m/>
  </r>
  <r>
    <n v="0"/>
    <s v="CMS S.60.10.000"/>
    <x v="1"/>
    <m/>
    <m/>
    <m/>
    <x v="0"/>
    <m/>
    <m/>
    <x v="0"/>
    <x v="0"/>
    <s v="LINHA DO CIRCUITO ARENOSO LINHA DE DESCARGA DO DISTRIBUIDOR DI-145A-9915"/>
    <s v="SC-011"/>
    <s v="SP 8352 A"/>
    <s v="1450AA-L-70048"/>
    <s v="1450AA-S-58352"/>
    <n v="3"/>
    <s v="PÇ"/>
    <n v="54.2"/>
    <n v="162.60000000000002"/>
    <n v="0"/>
    <n v="0"/>
    <n v="0"/>
    <n v="0.9"/>
    <n v="0.1"/>
    <m/>
    <m/>
    <x v="0"/>
    <n v="0"/>
    <m/>
    <n v="0"/>
    <n v="162.60000000000002"/>
    <m/>
    <n v="0"/>
    <n v="0"/>
    <n v="0"/>
    <m/>
    <m/>
    <m/>
    <n v="0"/>
    <n v="0"/>
    <n v="0"/>
    <n v="0"/>
    <m/>
    <m/>
  </r>
  <r>
    <n v="0"/>
    <s v="CMS S.60.10.000"/>
    <x v="1"/>
    <m/>
    <m/>
    <m/>
    <x v="0"/>
    <m/>
    <m/>
    <x v="0"/>
    <x v="0"/>
    <s v="LINHA DO CIRCUITO ARENOSO LINHA DE DESCARGA DO DISTRIBUIDOR DI-145A-9915"/>
    <s v="SC-011"/>
    <s v="SP 8352 B"/>
    <s v="1450AA-L-70048"/>
    <s v="1450AA-S-58352"/>
    <n v="1"/>
    <s v="PÇ"/>
    <n v="64"/>
    <n v="64"/>
    <n v="0"/>
    <n v="0"/>
    <n v="0"/>
    <n v="0.9"/>
    <n v="0.1"/>
    <m/>
    <m/>
    <x v="0"/>
    <n v="0"/>
    <m/>
    <n v="0"/>
    <n v="64"/>
    <m/>
    <n v="0"/>
    <n v="0"/>
    <n v="0"/>
    <m/>
    <m/>
    <m/>
    <n v="0"/>
    <n v="0"/>
    <n v="0"/>
    <n v="0"/>
    <m/>
    <m/>
  </r>
  <r>
    <n v="0"/>
    <s v="CMS S.60.10.000"/>
    <x v="1"/>
    <m/>
    <m/>
    <m/>
    <x v="0"/>
    <m/>
    <m/>
    <x v="0"/>
    <x v="0"/>
    <s v="LINHA DO CIRCUITO ARENOSO LINHA DE DESCARGA DO DISTRIBUIDOR DI-145A-9915"/>
    <s v="SC-011"/>
    <s v="SP 8352 C"/>
    <s v="1450AA-L-70048"/>
    <s v="1450AA-S-58352"/>
    <n v="23"/>
    <s v="PÇ"/>
    <n v="66"/>
    <n v="1518"/>
    <n v="0"/>
    <n v="0"/>
    <n v="0"/>
    <n v="0.9"/>
    <n v="0.1"/>
    <m/>
    <m/>
    <x v="0"/>
    <n v="0"/>
    <m/>
    <n v="0"/>
    <n v="1518"/>
    <m/>
    <n v="0"/>
    <n v="0"/>
    <n v="0"/>
    <m/>
    <m/>
    <m/>
    <n v="0"/>
    <n v="0"/>
    <n v="0"/>
    <n v="0"/>
    <m/>
    <m/>
  </r>
  <r>
    <n v="0"/>
    <s v="CMS S.60.10.000"/>
    <x v="1"/>
    <m/>
    <m/>
    <m/>
    <x v="0"/>
    <m/>
    <m/>
    <x v="0"/>
    <x v="0"/>
    <s v="LINHA DO CIRCUITO ARENOSO LINHA DE DESCARGA DO DISTRIBUIDOR DI-145A-9915"/>
    <s v="SC-011"/>
    <s v="SP 8352 D"/>
    <s v="1450AA-L-70048"/>
    <s v="1450AA-S-58352"/>
    <n v="1"/>
    <s v="PÇ"/>
    <n v="69.3"/>
    <n v="69.3"/>
    <n v="0"/>
    <n v="0"/>
    <n v="0"/>
    <n v="0.9"/>
    <n v="0.1"/>
    <m/>
    <m/>
    <x v="0"/>
    <n v="0"/>
    <m/>
    <n v="0"/>
    <n v="69.3"/>
    <m/>
    <n v="0"/>
    <n v="0"/>
    <n v="0"/>
    <m/>
    <m/>
    <m/>
    <n v="0"/>
    <n v="0"/>
    <n v="0"/>
    <n v="0"/>
    <m/>
    <m/>
  </r>
  <r>
    <n v="0"/>
    <s v="CMS S.60.10.000"/>
    <x v="1"/>
    <m/>
    <m/>
    <m/>
    <x v="0"/>
    <m/>
    <m/>
    <x v="0"/>
    <x v="0"/>
    <s v="LINHA DO CIRCUITO ARENOSO LINHA DE DESCARGA DO DISTRIBUIDOR DI-145A-9915"/>
    <s v="SC-011"/>
    <s v="SP 8352 E"/>
    <s v="1450AA-L-70048"/>
    <s v="1450AA-S-58352"/>
    <n v="1"/>
    <s v="PÇ"/>
    <n v="40.799999999999997"/>
    <n v="40.799999999999997"/>
    <n v="0"/>
    <n v="0"/>
    <n v="0"/>
    <n v="0.9"/>
    <n v="0.1"/>
    <m/>
    <m/>
    <x v="0"/>
    <n v="0"/>
    <m/>
    <n v="0"/>
    <n v="40.799999999999997"/>
    <m/>
    <n v="0"/>
    <n v="0"/>
    <n v="0"/>
    <m/>
    <m/>
    <m/>
    <n v="0"/>
    <n v="0"/>
    <n v="0"/>
    <n v="0"/>
    <m/>
    <m/>
  </r>
  <r>
    <n v="0"/>
    <s v="CMS S.60.10.000"/>
    <x v="1"/>
    <m/>
    <m/>
    <m/>
    <x v="0"/>
    <m/>
    <m/>
    <x v="0"/>
    <x v="0"/>
    <s v="LINHA DO CIRCUITO ARENOSO LINHA DE DESCARGA DO DISTRIBUIDOR DI-145A-9915"/>
    <s v="SC-011"/>
    <s v="SP 8352 F"/>
    <s v="1450AA-L-70048"/>
    <s v="1450AA-S-58352"/>
    <n v="2"/>
    <s v="PÇ"/>
    <n v="68.099999999999994"/>
    <n v="136.19999999999999"/>
    <n v="0"/>
    <n v="0"/>
    <n v="0"/>
    <n v="0.9"/>
    <n v="0.1"/>
    <m/>
    <m/>
    <x v="0"/>
    <n v="0"/>
    <m/>
    <n v="0"/>
    <n v="136.19999999999999"/>
    <m/>
    <n v="0"/>
    <n v="0"/>
    <n v="0"/>
    <m/>
    <m/>
    <m/>
    <n v="0"/>
    <n v="0"/>
    <n v="0"/>
    <n v="0"/>
    <m/>
    <m/>
  </r>
  <r>
    <n v="0"/>
    <s v="CMS S.60.10.000"/>
    <x v="1"/>
    <m/>
    <m/>
    <m/>
    <x v="0"/>
    <m/>
    <m/>
    <x v="0"/>
    <x v="0"/>
    <s v="LINHA DO CIRCUITO ARENOSO LINHA DE DESCARGA DO DISTRIBUIDOR DI-145A-9915"/>
    <s v="SC-011"/>
    <s v="SP 8352 G"/>
    <s v="1450AA-L-70048"/>
    <s v="1450AA-S-58352"/>
    <n v="2"/>
    <s v="PÇ"/>
    <n v="51.6"/>
    <n v="103.2"/>
    <n v="0"/>
    <n v="0"/>
    <n v="0"/>
    <n v="0.9"/>
    <n v="0.1"/>
    <m/>
    <m/>
    <x v="0"/>
    <n v="0"/>
    <m/>
    <n v="0"/>
    <n v="103.2"/>
    <m/>
    <n v="0"/>
    <n v="0"/>
    <n v="0"/>
    <m/>
    <m/>
    <m/>
    <n v="0"/>
    <n v="0"/>
    <n v="0"/>
    <n v="0"/>
    <m/>
    <m/>
  </r>
  <r>
    <n v="0"/>
    <s v="CMS S.60.10.000"/>
    <x v="1"/>
    <m/>
    <m/>
    <m/>
    <x v="0"/>
    <m/>
    <m/>
    <x v="0"/>
    <x v="0"/>
    <s v="LINHA DE BY PASS DAS PENEIRAS ALIMENTAÇÃO DO TANQUE TQ-145A-9722"/>
    <s v="SC-010"/>
    <s v="SP 8353 A"/>
    <s v="1450AA-L-70122"/>
    <s v="1450AA-S-58353"/>
    <n v="4"/>
    <s v="PÇ"/>
    <n v="41.1"/>
    <n v="164.4"/>
    <n v="0"/>
    <n v="0"/>
    <n v="0"/>
    <n v="0.9"/>
    <n v="0.1"/>
    <m/>
    <m/>
    <x v="0"/>
    <n v="0"/>
    <m/>
    <n v="0"/>
    <n v="164.4"/>
    <m/>
    <n v="0"/>
    <n v="0"/>
    <n v="0"/>
    <m/>
    <m/>
    <m/>
    <n v="0"/>
    <n v="0"/>
    <n v="0"/>
    <n v="0"/>
    <m/>
    <m/>
  </r>
  <r>
    <n v="0"/>
    <s v="CMS S.60.10.000"/>
    <x v="1"/>
    <m/>
    <m/>
    <m/>
    <x v="0"/>
    <m/>
    <m/>
    <x v="0"/>
    <x v="0"/>
    <s v="LINHA DE BY PASS DAS PENEIRAS ALIMENTAÇÃO DO TANQUE TQ-145A-9722"/>
    <s v="SC-010"/>
    <s v="SP 8353 B"/>
    <s v="1450AA-L-70122"/>
    <s v="1450AA-S-58353"/>
    <n v="3"/>
    <s v="PÇ"/>
    <n v="12.7"/>
    <n v="38.099999999999994"/>
    <n v="0"/>
    <n v="0"/>
    <n v="0"/>
    <n v="0.9"/>
    <n v="0.1"/>
    <m/>
    <m/>
    <x v="0"/>
    <n v="0"/>
    <m/>
    <n v="0"/>
    <n v="38.099999999999994"/>
    <m/>
    <n v="0"/>
    <n v="0"/>
    <n v="0"/>
    <m/>
    <m/>
    <m/>
    <n v="0"/>
    <n v="0"/>
    <n v="0"/>
    <n v="0"/>
    <m/>
    <m/>
  </r>
  <r>
    <n v="0"/>
    <s v="CMS S.60.10.000"/>
    <x v="1"/>
    <m/>
    <m/>
    <m/>
    <x v="0"/>
    <m/>
    <m/>
    <x v="0"/>
    <x v="0"/>
    <s v="LINHA DE BY PASS DAS PENEIRAS ALIMENTAÇÃO DO TANQUE TQ-145A-9722"/>
    <s v="SC-010"/>
    <s v="SP 8353 C"/>
    <s v="1450AA-L-70122"/>
    <s v="1450AA-S-58353"/>
    <n v="7"/>
    <s v="PÇ"/>
    <n v="36.1"/>
    <n v="252.70000000000002"/>
    <n v="0"/>
    <n v="0"/>
    <n v="0"/>
    <n v="0.9"/>
    <n v="0.1"/>
    <m/>
    <m/>
    <x v="0"/>
    <n v="0"/>
    <m/>
    <n v="0"/>
    <n v="252.70000000000002"/>
    <m/>
    <n v="0"/>
    <n v="0"/>
    <n v="0"/>
    <m/>
    <m/>
    <m/>
    <n v="0"/>
    <n v="0"/>
    <n v="0"/>
    <n v="0"/>
    <m/>
    <m/>
  </r>
  <r>
    <n v="0"/>
    <s v="CMS S.60.10.000"/>
    <x v="1"/>
    <m/>
    <m/>
    <m/>
    <x v="0"/>
    <m/>
    <m/>
    <x v="0"/>
    <x v="0"/>
    <s v="LINHA DE BY PASS DAS PENEIRAS ALIMENTAÇÃO DO TANQUE TQ-145A-9722"/>
    <s v="SC-010"/>
    <s v="SP 8353 D"/>
    <s v="1450AA-L-70122"/>
    <s v="1450AA-S-58353"/>
    <n v="2"/>
    <s v="PÇ"/>
    <n v="28.2"/>
    <n v="56.4"/>
    <n v="0"/>
    <n v="0"/>
    <n v="0"/>
    <n v="0.9"/>
    <n v="0.1"/>
    <m/>
    <m/>
    <x v="0"/>
    <n v="0"/>
    <m/>
    <n v="0"/>
    <n v="56.4"/>
    <m/>
    <n v="0"/>
    <n v="0"/>
    <n v="0"/>
    <m/>
    <m/>
    <m/>
    <n v="0"/>
    <n v="0"/>
    <n v="0"/>
    <n v="0"/>
    <m/>
    <m/>
  </r>
  <r>
    <n v="0"/>
    <s v="CMS S.60.10.000"/>
    <x v="1"/>
    <m/>
    <m/>
    <m/>
    <x v="0"/>
    <m/>
    <m/>
    <x v="0"/>
    <x v="0"/>
    <s v="LINHA DE BY PASS DAS PENEIRAS ALIMENTAÇÃO DO TANQUE TQ-145A-9722"/>
    <s v="SC-010"/>
    <s v="SP 8353 E"/>
    <s v="1450AA-L-70122"/>
    <s v="1450AA-S-58353"/>
    <n v="14"/>
    <s v="PÇ"/>
    <n v="50.9"/>
    <n v="712.6"/>
    <n v="0"/>
    <n v="0"/>
    <n v="0"/>
    <n v="0.9"/>
    <n v="0.1"/>
    <m/>
    <m/>
    <x v="0"/>
    <n v="0"/>
    <m/>
    <n v="0"/>
    <n v="712.6"/>
    <m/>
    <n v="0"/>
    <n v="0"/>
    <n v="0"/>
    <m/>
    <m/>
    <m/>
    <n v="0"/>
    <n v="0"/>
    <n v="0"/>
    <n v="0"/>
    <m/>
    <m/>
  </r>
  <r>
    <n v="0"/>
    <s v="CMS S.60.10.000"/>
    <x v="1"/>
    <m/>
    <m/>
    <m/>
    <x v="0"/>
    <m/>
    <m/>
    <x v="0"/>
    <x v="0"/>
    <s v="LINHA DE BY PASS DAS PENEIRAS ALIMENTAÇÃO DO TANQUE TQ-145A-9722"/>
    <s v="SC-010"/>
    <s v="SP 8353 F"/>
    <s v="1450AA-L-70122"/>
    <s v="1450AA-S-58353"/>
    <n v="1"/>
    <s v="PÇ"/>
    <n v="33.5"/>
    <n v="33.5"/>
    <n v="0"/>
    <n v="0"/>
    <n v="0"/>
    <n v="0.9"/>
    <n v="0.1"/>
    <m/>
    <m/>
    <x v="0"/>
    <n v="0"/>
    <m/>
    <n v="0"/>
    <n v="33.5"/>
    <m/>
    <n v="0"/>
    <n v="0"/>
    <n v="0"/>
    <m/>
    <m/>
    <m/>
    <n v="0"/>
    <n v="0"/>
    <n v="0"/>
    <n v="0"/>
    <m/>
    <m/>
  </r>
  <r>
    <n v="0"/>
    <s v="CMS S.60.10.000"/>
    <x v="1"/>
    <m/>
    <m/>
    <m/>
    <x v="0"/>
    <m/>
    <m/>
    <x v="0"/>
    <x v="0"/>
    <s v="LINHA DE BY PASS DAS PENEIRAS ALIMENTAÇÃO DO TANQUE TQ-145A-9722"/>
    <s v="SC-010"/>
    <s v="SP 8353 G"/>
    <s v="1450AA-L-70122"/>
    <s v="1450AA-S-58353"/>
    <n v="1"/>
    <s v="PÇ"/>
    <n v="9"/>
    <n v="9"/>
    <n v="0"/>
    <n v="0"/>
    <n v="0"/>
    <n v="0.9"/>
    <n v="0.1"/>
    <m/>
    <m/>
    <x v="0"/>
    <n v="0"/>
    <m/>
    <n v="0"/>
    <n v="9"/>
    <m/>
    <n v="0"/>
    <n v="0"/>
    <n v="0"/>
    <m/>
    <m/>
    <m/>
    <n v="0"/>
    <n v="0"/>
    <n v="0"/>
    <n v="0"/>
    <m/>
    <m/>
  </r>
  <r>
    <n v="0"/>
    <s v="CMS S.60.10.000"/>
    <x v="1"/>
    <m/>
    <m/>
    <m/>
    <x v="0"/>
    <m/>
    <m/>
    <x v="0"/>
    <x v="0"/>
    <s v="LINHA DE BY PASS DAS PENEIRAS ALIMENTAÇÃO DO TANQUE TQ-145A-9722"/>
    <s v="SC-010"/>
    <s v="SP 8353 H"/>
    <s v="1450AA-L-70122"/>
    <s v="1450AA-S-58353"/>
    <n v="1"/>
    <s v="PÇ"/>
    <n v="24.4"/>
    <n v="24.4"/>
    <n v="0"/>
    <n v="0"/>
    <n v="0"/>
    <n v="0.9"/>
    <n v="0.1"/>
    <m/>
    <m/>
    <x v="0"/>
    <n v="0"/>
    <m/>
    <n v="0"/>
    <n v="24.4"/>
    <m/>
    <n v="0"/>
    <n v="0"/>
    <n v="0"/>
    <m/>
    <m/>
    <m/>
    <n v="0"/>
    <n v="0"/>
    <n v="0"/>
    <n v="0"/>
    <m/>
    <m/>
  </r>
  <r>
    <n v="0"/>
    <s v="CMS S.60.10.000"/>
    <x v="1"/>
    <m/>
    <m/>
    <m/>
    <x v="0"/>
    <m/>
    <m/>
    <x v="0"/>
    <x v="0"/>
    <s v="LINHA DE BY PASS DAS PENEIRAS ALIMENTAÇÃO DO TANQUE TQ-145A-9722"/>
    <s v="SC-010"/>
    <s v="SP 8353 J"/>
    <s v="1450AA-L-70122"/>
    <s v="1450AA-S-58353"/>
    <n v="2"/>
    <s v="PÇ"/>
    <n v="25.4"/>
    <n v="50.8"/>
    <n v="0"/>
    <n v="0"/>
    <n v="0"/>
    <n v="0.9"/>
    <n v="0.1"/>
    <m/>
    <m/>
    <x v="0"/>
    <n v="0"/>
    <m/>
    <n v="0"/>
    <n v="50.8"/>
    <m/>
    <n v="0"/>
    <n v="0"/>
    <n v="0"/>
    <m/>
    <m/>
    <m/>
    <n v="0"/>
    <n v="0"/>
    <n v="0"/>
    <n v="0"/>
    <m/>
    <m/>
  </r>
  <r>
    <n v="0"/>
    <s v="CMS S.60.10.000"/>
    <x v="1"/>
    <m/>
    <m/>
    <m/>
    <x v="0"/>
    <m/>
    <m/>
    <x v="0"/>
    <x v="0"/>
    <s v="LINHA DE BY PASS DAS PENEIRAS ALIMENTAÇÃO DO TANQUE TQ-145A-9722"/>
    <s v="SC-010"/>
    <s v=" 8353 K"/>
    <s v="1450AA-L-70122"/>
    <s v="1450AA-S-58353"/>
    <n v="1"/>
    <s v="PÇ"/>
    <n v="2"/>
    <n v="2"/>
    <n v="0"/>
    <n v="0"/>
    <n v="0"/>
    <n v="0.9"/>
    <n v="0.1"/>
    <m/>
    <m/>
    <x v="0"/>
    <n v="0"/>
    <m/>
    <n v="0"/>
    <n v="2"/>
    <m/>
    <n v="0"/>
    <n v="0"/>
    <n v="0"/>
    <m/>
    <m/>
    <m/>
    <n v="0"/>
    <n v="0"/>
    <n v="0"/>
    <n v="0"/>
    <m/>
    <m/>
  </r>
  <r>
    <n v="0"/>
    <s v="CMS S.60.10.000"/>
    <x v="1"/>
    <m/>
    <m/>
    <m/>
    <x v="0"/>
    <m/>
    <m/>
    <x v="0"/>
    <x v="0"/>
    <s v="LINHA DE BY PASS DAS PENEIRAS ALIMENTAÇÃO DO TANQUE TQ-145A-9722"/>
    <s v="SC-010"/>
    <s v=" 8353 L"/>
    <s v="1450AA-L-70122"/>
    <s v="1450AA-S-58353"/>
    <n v="1"/>
    <s v="PÇ"/>
    <n v="1.6"/>
    <n v="1.6"/>
    <n v="0"/>
    <n v="0"/>
    <n v="0"/>
    <n v="0.9"/>
    <n v="0.1"/>
    <m/>
    <m/>
    <x v="0"/>
    <n v="0"/>
    <m/>
    <n v="0"/>
    <n v="1.6"/>
    <m/>
    <n v="0"/>
    <n v="0"/>
    <n v="0"/>
    <m/>
    <m/>
    <m/>
    <n v="0"/>
    <n v="0"/>
    <n v="0"/>
    <n v="0"/>
    <m/>
    <m/>
  </r>
  <r>
    <n v="0"/>
    <s v="CMS S.60.10.000"/>
    <x v="1"/>
    <m/>
    <m/>
    <m/>
    <x v="0"/>
    <m/>
    <m/>
    <x v="0"/>
    <x v="0"/>
    <s v="LINHA DE BY PASS DAS PENEIRAS ALIMENTAÇÃO DO TANQUE TQ-145A-9722"/>
    <s v="SC-010"/>
    <s v="SP 8353 M"/>
    <s v="1450AA-L-70122"/>
    <s v="1450AA-S-58353"/>
    <n v="48"/>
    <s v="PÇ"/>
    <n v="73.7"/>
    <n v="3537.6000000000004"/>
    <n v="0"/>
    <n v="0"/>
    <n v="0"/>
    <n v="0.9"/>
    <n v="0.1"/>
    <m/>
    <m/>
    <x v="0"/>
    <n v="0"/>
    <m/>
    <n v="0"/>
    <n v="3537.6000000000004"/>
    <m/>
    <n v="0"/>
    <n v="0"/>
    <n v="0"/>
    <m/>
    <m/>
    <m/>
    <n v="0"/>
    <n v="0"/>
    <n v="0"/>
    <n v="0"/>
    <m/>
    <m/>
  </r>
  <r>
    <n v="0"/>
    <s v="CMS S.60.10.000"/>
    <x v="1"/>
    <m/>
    <m/>
    <m/>
    <x v="0"/>
    <m/>
    <m/>
    <x v="0"/>
    <x v="0"/>
    <s v="LINHA DO CIRCUITO ARENOSO LINHA DE DESCARGA DO DISTRIBUIDOR DI-145A-9916"/>
    <s v="SC-011"/>
    <s v="SP 8354 A"/>
    <m/>
    <s v="1450AA-S-58354"/>
    <n v="48"/>
    <s v="PÇ"/>
    <n v="22.8"/>
    <n v="1094.4000000000001"/>
    <n v="0"/>
    <n v="0"/>
    <n v="0"/>
    <n v="0.9"/>
    <n v="0.1"/>
    <m/>
    <m/>
    <x v="0"/>
    <n v="0"/>
    <m/>
    <n v="0"/>
    <n v="1094.4000000000001"/>
    <m/>
    <n v="0"/>
    <n v="0"/>
    <n v="0"/>
    <m/>
    <m/>
    <m/>
    <n v="0"/>
    <n v="0"/>
    <n v="0"/>
    <n v="0"/>
    <m/>
    <m/>
  </r>
  <r>
    <n v="0"/>
    <s v="CMS S.60.10.000"/>
    <x v="1"/>
    <m/>
    <m/>
    <m/>
    <x v="0"/>
    <m/>
    <m/>
    <x v="0"/>
    <x v="0"/>
    <s v="LINHA DO CIRCUITO ARENOSO LINHA DE DESCARGA DO DISTRIBUIDOR DI-145A-9916"/>
    <s v="SC-011"/>
    <s v="SP 8354 B"/>
    <m/>
    <s v="1450AA-S-58354"/>
    <n v="48"/>
    <s v="PÇ"/>
    <n v="18.5"/>
    <n v="888"/>
    <n v="0"/>
    <n v="0"/>
    <n v="0"/>
    <n v="0.9"/>
    <n v="0.1"/>
    <m/>
    <m/>
    <x v="0"/>
    <n v="0"/>
    <m/>
    <n v="0"/>
    <n v="888"/>
    <m/>
    <n v="0"/>
    <n v="0"/>
    <n v="0"/>
    <m/>
    <m/>
    <m/>
    <n v="0"/>
    <n v="0"/>
    <n v="0"/>
    <n v="0"/>
    <m/>
    <m/>
  </r>
  <r>
    <n v="0"/>
    <s v="CMS S.60.10.000"/>
    <x v="1"/>
    <m/>
    <m/>
    <m/>
    <x v="0"/>
    <m/>
    <m/>
    <x v="0"/>
    <x v="0"/>
    <s v="LINHA DO CIRCUITO ARENOSO LINHA DE DESCARGA DO DISTRIBUIDOR DI-145A-9916"/>
    <s v="SC-011"/>
    <s v="SP 8354 C"/>
    <m/>
    <s v="1450AA-S-58354"/>
    <n v="48"/>
    <s v="PÇ"/>
    <n v="17.7"/>
    <n v="849.59999999999991"/>
    <n v="0"/>
    <n v="0"/>
    <n v="0"/>
    <n v="0.9"/>
    <n v="0.1"/>
    <m/>
    <m/>
    <x v="0"/>
    <n v="0"/>
    <m/>
    <n v="0"/>
    <n v="849.59999999999991"/>
    <m/>
    <n v="0"/>
    <n v="0"/>
    <n v="0"/>
    <m/>
    <m/>
    <m/>
    <n v="0"/>
    <n v="0"/>
    <n v="0"/>
    <n v="0"/>
    <m/>
    <m/>
  </r>
  <r>
    <n v="0"/>
    <s v="CMS S.60.10.000"/>
    <x v="1"/>
    <m/>
    <m/>
    <m/>
    <x v="0"/>
    <m/>
    <m/>
    <x v="0"/>
    <x v="0"/>
    <s v="LINHA DO CIRCUITO ARENOSO LINHA DE DESCARGA DO DISTRIBUIDOR DI-145A-9916"/>
    <s v="SC-011"/>
    <s v="SP 8354 D"/>
    <m/>
    <s v="1450AA-S-58354"/>
    <n v="48"/>
    <s v="PÇ"/>
    <n v="4.8"/>
    <n v="230.39999999999998"/>
    <n v="0"/>
    <n v="0"/>
    <n v="0"/>
    <n v="0.9"/>
    <n v="0.1"/>
    <m/>
    <m/>
    <x v="0"/>
    <n v="0"/>
    <m/>
    <n v="0"/>
    <n v="230.39999999999998"/>
    <m/>
    <n v="0"/>
    <n v="0"/>
    <n v="0"/>
    <m/>
    <m/>
    <m/>
    <n v="0"/>
    <n v="0"/>
    <n v="0"/>
    <n v="0"/>
    <m/>
    <m/>
  </r>
  <r>
    <n v="0"/>
    <s v="CMS S.60.10.000"/>
    <x v="1"/>
    <m/>
    <m/>
    <m/>
    <x v="0"/>
    <m/>
    <m/>
    <x v="0"/>
    <x v="0"/>
    <s v="LINHA DO CIRCUITO ARENOSO LINHA DE DESCARGA DO DISTRIBUIDOR DI-145A-9916"/>
    <s v="SC-011"/>
    <s v="SP 8354 E"/>
    <m/>
    <s v="1450AA-S-58354"/>
    <n v="48"/>
    <s v="PÇ"/>
    <n v="13.8"/>
    <n v="662.40000000000009"/>
    <n v="0"/>
    <n v="0"/>
    <n v="0"/>
    <n v="0.9"/>
    <n v="0.1"/>
    <m/>
    <m/>
    <x v="0"/>
    <n v="0"/>
    <m/>
    <n v="0"/>
    <n v="662.40000000000009"/>
    <m/>
    <n v="0"/>
    <n v="0"/>
    <n v="0"/>
    <m/>
    <m/>
    <m/>
    <n v="0"/>
    <n v="0"/>
    <n v="0"/>
    <n v="0"/>
    <m/>
    <m/>
  </r>
  <r>
    <n v="0"/>
    <s v="CMS S.60.10.000"/>
    <x v="1"/>
    <m/>
    <m/>
    <m/>
    <x v="0"/>
    <m/>
    <m/>
    <x v="0"/>
    <x v="0"/>
    <s v="LINHA DO CIRCUITO ARENOSO LINHA DE DESCARGA DO DISTRIBUIDOR DI-145A-9916"/>
    <s v="SC-011"/>
    <s v="SP 8354 F"/>
    <m/>
    <s v="1450AA-S-58354"/>
    <n v="48"/>
    <s v="PÇ"/>
    <n v="9.6999999999999993"/>
    <n v="465.59999999999997"/>
    <n v="0"/>
    <n v="0"/>
    <n v="0"/>
    <n v="0.9"/>
    <n v="0.1"/>
    <m/>
    <m/>
    <x v="0"/>
    <n v="0"/>
    <m/>
    <n v="0"/>
    <n v="465.59999999999997"/>
    <m/>
    <n v="0"/>
    <n v="0"/>
    <n v="0"/>
    <m/>
    <m/>
    <m/>
    <n v="0"/>
    <n v="0"/>
    <n v="0"/>
    <n v="0"/>
    <m/>
    <m/>
  </r>
  <r>
    <n v="0"/>
    <s v="CMS S.60.10.000"/>
    <x v="1"/>
    <m/>
    <m/>
    <m/>
    <x v="0"/>
    <m/>
    <m/>
    <x v="0"/>
    <x v="0"/>
    <s v="LINHA DO CIRCUITO ARENOSO LINHA DE DESCARGA DO DISTRIBUIDOR DI-145A-9916"/>
    <s v="SC-011"/>
    <s v="SP 8354 G"/>
    <m/>
    <s v="1450AA-S-58354"/>
    <n v="1"/>
    <s v="PÇ"/>
    <n v="16.8"/>
    <n v="16.8"/>
    <n v="0"/>
    <n v="0"/>
    <n v="0"/>
    <n v="0.9"/>
    <n v="0.1"/>
    <m/>
    <m/>
    <x v="0"/>
    <n v="0"/>
    <m/>
    <n v="0"/>
    <n v="16.8"/>
    <m/>
    <n v="0"/>
    <n v="0"/>
    <n v="0"/>
    <m/>
    <m/>
    <m/>
    <n v="0"/>
    <n v="0"/>
    <n v="0"/>
    <n v="0"/>
    <m/>
    <m/>
  </r>
  <r>
    <n v="0"/>
    <s v="CMS S.60.10.000"/>
    <x v="1"/>
    <m/>
    <m/>
    <m/>
    <x v="0"/>
    <m/>
    <m/>
    <x v="0"/>
    <x v="0"/>
    <s v="LINHA DO CIRCUITO ARENOSO LINHA DE DESCARGA DO DISTRIBUIDOR DI-145A-9916"/>
    <s v="SC-011"/>
    <s v="SP 8354 H"/>
    <m/>
    <s v="1450AA-S-58354"/>
    <n v="1"/>
    <s v="PÇ"/>
    <n v="8.4"/>
    <n v="8.4"/>
    <n v="0"/>
    <n v="0"/>
    <n v="0"/>
    <n v="0.9"/>
    <n v="0.1"/>
    <m/>
    <m/>
    <x v="0"/>
    <n v="0"/>
    <m/>
    <n v="0"/>
    <n v="8.4"/>
    <m/>
    <n v="0"/>
    <n v="0"/>
    <n v="0"/>
    <m/>
    <m/>
    <m/>
    <n v="0"/>
    <n v="0"/>
    <n v="0"/>
    <n v="0"/>
    <m/>
    <m/>
  </r>
  <r>
    <n v="0"/>
    <s v="CMS S.60.10.000"/>
    <x v="1"/>
    <m/>
    <m/>
    <m/>
    <x v="0"/>
    <m/>
    <m/>
    <x v="0"/>
    <x v="0"/>
    <s v="LINHA DO CIRCUITO ARENOSO LINHA DE DESCARGA DO DISTRIBUIDOR DI-145A-9916"/>
    <s v="SC-011"/>
    <s v="SP 8354 J"/>
    <m/>
    <s v="1450AA-S-58354"/>
    <n v="1"/>
    <s v="PÇ"/>
    <n v="40.200000000000003"/>
    <n v="40.200000000000003"/>
    <n v="0"/>
    <n v="0"/>
    <n v="0"/>
    <n v="0.9"/>
    <n v="0.1"/>
    <m/>
    <m/>
    <x v="0"/>
    <n v="0"/>
    <m/>
    <n v="0"/>
    <n v="40.200000000000003"/>
    <m/>
    <n v="0"/>
    <n v="0"/>
    <n v="0"/>
    <m/>
    <m/>
    <m/>
    <n v="0"/>
    <n v="0"/>
    <n v="0"/>
    <n v="0"/>
    <m/>
    <m/>
  </r>
  <r>
    <n v="0"/>
    <s v="CMS S.60.10.000"/>
    <x v="1"/>
    <m/>
    <m/>
    <m/>
    <x v="0"/>
    <m/>
    <m/>
    <x v="0"/>
    <x v="0"/>
    <s v="LINHA DO CIRCUITO ULTRAFINO LINHA DE DESCARGA DO DISTRIBUIDOR DI 145A-9904"/>
    <s v="SC-026"/>
    <s v="SP8361 A"/>
    <m/>
    <s v="1450AA-S-58361"/>
    <n v="2"/>
    <s v="PÇ"/>
    <n v="28.1"/>
    <n v="56.2"/>
    <n v="0"/>
    <n v="0"/>
    <n v="0"/>
    <n v="0.9"/>
    <n v="0.1"/>
    <m/>
    <m/>
    <x v="0"/>
    <n v="0"/>
    <m/>
    <n v="0"/>
    <n v="56.2"/>
    <m/>
    <n v="0"/>
    <n v="0"/>
    <n v="0"/>
    <m/>
    <m/>
    <m/>
    <n v="0"/>
    <n v="0"/>
    <n v="0"/>
    <n v="0"/>
    <m/>
    <m/>
  </r>
  <r>
    <n v="0"/>
    <s v="CMS S.60.10.000"/>
    <x v="1"/>
    <m/>
    <m/>
    <m/>
    <x v="0"/>
    <m/>
    <m/>
    <x v="0"/>
    <x v="0"/>
    <s v="LINHA DO CIRCUITO ULTRAFINO LINHA DE DESCARGA DO DISTRIBUIDOR DI 145A-9904"/>
    <s v="SC-026"/>
    <s v="SP8361 B"/>
    <m/>
    <s v="1450AA-S-58361"/>
    <n v="1"/>
    <s v="PÇ"/>
    <n v="25.8"/>
    <n v="25.8"/>
    <n v="0"/>
    <n v="0"/>
    <n v="0"/>
    <n v="0.9"/>
    <n v="0.1"/>
    <m/>
    <m/>
    <x v="0"/>
    <n v="0"/>
    <m/>
    <n v="0"/>
    <n v="25.8"/>
    <m/>
    <n v="0"/>
    <n v="0"/>
    <n v="0"/>
    <m/>
    <m/>
    <m/>
    <n v="0"/>
    <n v="0"/>
    <n v="0"/>
    <n v="0"/>
    <m/>
    <m/>
  </r>
  <r>
    <n v="0"/>
    <s v="CMS S.60.10.000"/>
    <x v="1"/>
    <m/>
    <m/>
    <m/>
    <x v="0"/>
    <m/>
    <m/>
    <x v="0"/>
    <x v="0"/>
    <s v="LINHA DO CIRCUITO ULTRAFINO LINHA DE DESCARGA DO DISTRIBUIDOR DI 145A-9904"/>
    <s v="SC-026"/>
    <s v="SP8361 C"/>
    <m/>
    <s v="1450AA-S-58361"/>
    <n v="2"/>
    <s v="PÇ"/>
    <n v="23.3"/>
    <n v="46.6"/>
    <n v="0"/>
    <n v="0"/>
    <n v="0"/>
    <n v="0.9"/>
    <n v="0.1"/>
    <m/>
    <m/>
    <x v="0"/>
    <n v="0"/>
    <m/>
    <n v="0"/>
    <n v="46.6"/>
    <m/>
    <n v="0"/>
    <n v="0"/>
    <n v="0"/>
    <m/>
    <m/>
    <m/>
    <n v="0"/>
    <n v="0"/>
    <n v="0"/>
    <n v="0"/>
    <m/>
    <m/>
  </r>
  <r>
    <n v="0"/>
    <s v="CMS S.60.10.000"/>
    <x v="1"/>
    <m/>
    <m/>
    <m/>
    <x v="0"/>
    <m/>
    <m/>
    <x v="0"/>
    <x v="0"/>
    <s v="LINHA DO CIRCUITO ULTRAFINO LINHA DE DESCARGA DO DISTRIBUIDOR DI 145A-9904"/>
    <s v="SC-026"/>
    <s v="SP8361 D"/>
    <m/>
    <s v="1450AA-S-58361"/>
    <n v="2"/>
    <s v="PÇ"/>
    <n v="21.9"/>
    <n v="43.8"/>
    <n v="0"/>
    <n v="0"/>
    <n v="0"/>
    <n v="0.9"/>
    <n v="0.1"/>
    <m/>
    <m/>
    <x v="0"/>
    <n v="0"/>
    <m/>
    <n v="0"/>
    <n v="43.8"/>
    <m/>
    <n v="0"/>
    <n v="0"/>
    <n v="0"/>
    <m/>
    <m/>
    <m/>
    <n v="0"/>
    <n v="0"/>
    <n v="0"/>
    <n v="0"/>
    <m/>
    <m/>
  </r>
  <r>
    <n v="0"/>
    <s v="CMS S.60.10.000"/>
    <x v="1"/>
    <m/>
    <m/>
    <m/>
    <x v="0"/>
    <m/>
    <m/>
    <x v="0"/>
    <x v="0"/>
    <s v="LINHA DO CIRCUITO ULTRAFINO LINHA DE DESCARGA DO DISTRIBUIDOR DI 145A-9904"/>
    <s v="SC-026"/>
    <s v="SP8361 E"/>
    <m/>
    <s v="1450AA-S-58361"/>
    <n v="12"/>
    <s v="PÇ"/>
    <n v="15.8"/>
    <n v="189.60000000000002"/>
    <n v="0"/>
    <n v="0"/>
    <n v="0"/>
    <n v="0.9"/>
    <n v="0.1"/>
    <m/>
    <m/>
    <x v="0"/>
    <n v="0"/>
    <m/>
    <n v="0"/>
    <n v="189.60000000000002"/>
    <m/>
    <n v="0"/>
    <n v="0"/>
    <n v="0"/>
    <m/>
    <m/>
    <m/>
    <n v="0"/>
    <n v="0"/>
    <n v="0"/>
    <n v="0"/>
    <m/>
    <m/>
  </r>
  <r>
    <n v="0"/>
    <s v="CMS S.60.10.000"/>
    <x v="1"/>
    <m/>
    <m/>
    <m/>
    <x v="0"/>
    <m/>
    <m/>
    <x v="0"/>
    <x v="0"/>
    <s v="LINHA DO CIRCUITO ULTRAFINO LINHA DE DESCARGA DO DISTRIBUIDOR DI 145A-9904"/>
    <s v="SC-026"/>
    <s v="SP8361 F"/>
    <m/>
    <s v="1450AA-S-58361"/>
    <n v="12"/>
    <s v="PÇ"/>
    <n v="15"/>
    <n v="180"/>
    <n v="0"/>
    <n v="0"/>
    <n v="0"/>
    <n v="0.9"/>
    <n v="0.1"/>
    <m/>
    <m/>
    <x v="0"/>
    <n v="0"/>
    <m/>
    <n v="0"/>
    <n v="180"/>
    <m/>
    <n v="0"/>
    <n v="0"/>
    <n v="0"/>
    <m/>
    <m/>
    <m/>
    <n v="0"/>
    <n v="0"/>
    <n v="0"/>
    <n v="0"/>
    <m/>
    <m/>
  </r>
  <r>
    <n v="0"/>
    <s v="CMS S.60.10.000"/>
    <x v="1"/>
    <m/>
    <m/>
    <m/>
    <x v="0"/>
    <m/>
    <m/>
    <x v="0"/>
    <x v="0"/>
    <s v="LINHA DO CIRCUITO ULTRAFINO LINHA DE DESCARGA DO DISTRIBUIDOR DI 145A-9904"/>
    <s v="SC-026"/>
    <s v="SP8361 G"/>
    <m/>
    <s v="1450AA-S-58361"/>
    <n v="2"/>
    <s v="PÇ"/>
    <n v="22.7"/>
    <n v="45.4"/>
    <n v="0"/>
    <n v="0"/>
    <n v="0"/>
    <n v="0.9"/>
    <n v="0.1"/>
    <m/>
    <m/>
    <x v="0"/>
    <n v="0"/>
    <m/>
    <n v="0"/>
    <n v="45.4"/>
    <m/>
    <n v="0"/>
    <n v="0"/>
    <n v="0"/>
    <m/>
    <m/>
    <m/>
    <n v="0"/>
    <n v="0"/>
    <n v="0"/>
    <n v="0"/>
    <m/>
    <m/>
  </r>
  <r>
    <n v="0"/>
    <s v="CMS S.60.10.000"/>
    <x v="1"/>
    <m/>
    <m/>
    <m/>
    <x v="0"/>
    <m/>
    <m/>
    <x v="0"/>
    <x v="0"/>
    <s v="LINHA DO CIRCUITO ULTRAFINO LINHA DE DESCARGA DO DISTRIBUIDOR DI 145A-9904"/>
    <s v="SC-026"/>
    <s v="SP8361 H"/>
    <m/>
    <s v="1450AA-S-58361"/>
    <n v="2"/>
    <s v="PÇ"/>
    <n v="19.3"/>
    <n v="38.6"/>
    <n v="0"/>
    <n v="0"/>
    <n v="0"/>
    <n v="0.9"/>
    <n v="0.1"/>
    <m/>
    <m/>
    <x v="0"/>
    <n v="0"/>
    <m/>
    <n v="0"/>
    <n v="38.6"/>
    <m/>
    <n v="0"/>
    <n v="0"/>
    <n v="0"/>
    <m/>
    <m/>
    <m/>
    <n v="0"/>
    <n v="0"/>
    <n v="0"/>
    <n v="0"/>
    <m/>
    <m/>
  </r>
  <r>
    <n v="0"/>
    <s v="CMS S.60.10.000"/>
    <x v="1"/>
    <m/>
    <m/>
    <m/>
    <x v="0"/>
    <m/>
    <m/>
    <x v="0"/>
    <x v="0"/>
    <s v="LINHA DO CIRCUITO ULTRAFINO LINHA DE DESCARGA DO DISTRIBUIDOR DI 145A-9904"/>
    <s v="SC-026"/>
    <s v="SP8361 J"/>
    <m/>
    <s v="1450AA-S-58361"/>
    <n v="1"/>
    <s v="PÇ"/>
    <n v="10"/>
    <n v="10"/>
    <n v="0"/>
    <n v="0"/>
    <n v="0"/>
    <n v="0.9"/>
    <n v="0.1"/>
    <m/>
    <m/>
    <x v="0"/>
    <n v="0"/>
    <m/>
    <n v="0"/>
    <n v="10"/>
    <m/>
    <n v="0"/>
    <n v="0"/>
    <n v="0"/>
    <m/>
    <m/>
    <m/>
    <n v="0"/>
    <n v="0"/>
    <n v="0"/>
    <n v="0"/>
    <m/>
    <m/>
  </r>
  <r>
    <n v="0"/>
    <s v="CMS S.60.10.000"/>
    <x v="1"/>
    <m/>
    <m/>
    <m/>
    <x v="0"/>
    <m/>
    <m/>
    <x v="0"/>
    <x v="0"/>
    <s v="LINHA DO CIRCUITO ULTRAFINO LINHA DE DESCARGA DO DISTRIBUIDOR DI 145A-9904"/>
    <s v="SC-026"/>
    <s v="8361 K"/>
    <m/>
    <s v="1450AA-S-58361"/>
    <n v="1"/>
    <s v="PÇ"/>
    <n v="12"/>
    <n v="12"/>
    <n v="0"/>
    <n v="0"/>
    <n v="0"/>
    <n v="0.9"/>
    <n v="0.1"/>
    <m/>
    <m/>
    <x v="0"/>
    <n v="0"/>
    <m/>
    <n v="0"/>
    <n v="12"/>
    <m/>
    <n v="0"/>
    <n v="0"/>
    <n v="0"/>
    <m/>
    <m/>
    <m/>
    <n v="0"/>
    <n v="0"/>
    <n v="0"/>
    <n v="0"/>
    <m/>
    <m/>
  </r>
  <r>
    <n v="0"/>
    <s v="CMS S.60.10.000"/>
    <x v="1"/>
    <m/>
    <m/>
    <m/>
    <x v="0"/>
    <m/>
    <m/>
    <x v="0"/>
    <x v="0"/>
    <s v="LINHA DO CIRCUITO ULTRAFINO LINHA DE DESCARGA DO DISTRIBUIDOR DI 145A-9904"/>
    <s v="SC-026"/>
    <s v="8361 L"/>
    <m/>
    <s v="1450AA-S-58361"/>
    <n v="1"/>
    <s v="PÇ"/>
    <n v="12"/>
    <n v="12"/>
    <n v="0"/>
    <n v="0"/>
    <n v="0"/>
    <n v="0.9"/>
    <n v="0.1"/>
    <m/>
    <m/>
    <x v="0"/>
    <n v="0"/>
    <m/>
    <n v="0"/>
    <n v="12"/>
    <m/>
    <n v="0"/>
    <n v="0"/>
    <n v="0"/>
    <m/>
    <m/>
    <m/>
    <n v="0"/>
    <n v="0"/>
    <n v="0"/>
    <n v="0"/>
    <m/>
    <m/>
  </r>
  <r>
    <n v="0"/>
    <s v="CMS S.60.10.000"/>
    <x v="1"/>
    <m/>
    <m/>
    <m/>
    <x v="0"/>
    <m/>
    <m/>
    <x v="0"/>
    <x v="0"/>
    <s v="LINHA DO CIRCUITO ARENOSO LINHA DE DESCARGA DO DISTRIBUIDOR DI 145A-9913"/>
    <s v="SC-026"/>
    <s v="8361 M"/>
    <m/>
    <s v="1450AA-S-58361"/>
    <n v="1"/>
    <s v="PÇ"/>
    <n v="20"/>
    <n v="20"/>
    <n v="0"/>
    <n v="0"/>
    <n v="0"/>
    <n v="0.9"/>
    <n v="0.1"/>
    <m/>
    <m/>
    <x v="0"/>
    <n v="0"/>
    <m/>
    <n v="0"/>
    <n v="20"/>
    <m/>
    <n v="0"/>
    <n v="0"/>
    <n v="0"/>
    <m/>
    <m/>
    <m/>
    <n v="0"/>
    <n v="0"/>
    <n v="0"/>
    <n v="0"/>
    <m/>
    <m/>
  </r>
  <r>
    <n v="0"/>
    <s v="CMS S.60.10.000"/>
    <x v="1"/>
    <m/>
    <m/>
    <m/>
    <x v="0"/>
    <m/>
    <m/>
    <x v="0"/>
    <x v="0"/>
    <s v="LINHA DO CIRCUITO ARENOSO LINHA DE DESCARGA DO DISTRIBUIDOR DI 145A-9913"/>
    <s v="SC-014"/>
    <s v="SP 8364 A"/>
    <s v="1450AA-L-70046"/>
    <s v="1450AA-S-58364"/>
    <n v="1"/>
    <s v="PÇ"/>
    <n v="12"/>
    <n v="12"/>
    <n v="0"/>
    <n v="0"/>
    <n v="0"/>
    <n v="0.9"/>
    <n v="0.1"/>
    <m/>
    <m/>
    <x v="0"/>
    <n v="0"/>
    <m/>
    <n v="0"/>
    <n v="12"/>
    <m/>
    <n v="0"/>
    <n v="0"/>
    <n v="0"/>
    <m/>
    <m/>
    <m/>
    <n v="0"/>
    <n v="0"/>
    <n v="0"/>
    <n v="0"/>
    <m/>
    <m/>
  </r>
  <r>
    <n v="0"/>
    <s v="CMS S.60.10.000"/>
    <x v="1"/>
    <m/>
    <m/>
    <m/>
    <x v="0"/>
    <m/>
    <m/>
    <x v="0"/>
    <x v="0"/>
    <s v="LINHA DO CIRCUITO ARENOSO LINHA DE DESCARGA DO DISTRIBUIDOR DI 145A-9913"/>
    <s v="SC-014"/>
    <s v="SP 8364 B"/>
    <s v="1450AA-L-70046"/>
    <s v="1450AA-S-58364"/>
    <n v="1"/>
    <s v="PÇ"/>
    <n v="14.4"/>
    <n v="14.4"/>
    <n v="0"/>
    <n v="0"/>
    <n v="0"/>
    <n v="0.9"/>
    <n v="0.1"/>
    <m/>
    <m/>
    <x v="0"/>
    <n v="0"/>
    <m/>
    <n v="0"/>
    <n v="14.4"/>
    <m/>
    <n v="0"/>
    <n v="0"/>
    <n v="0"/>
    <m/>
    <m/>
    <m/>
    <n v="0"/>
    <n v="0"/>
    <n v="0"/>
    <n v="0"/>
    <m/>
    <m/>
  </r>
  <r>
    <n v="0"/>
    <s v="CMS S.60.10.000"/>
    <x v="1"/>
    <m/>
    <m/>
    <m/>
    <x v="0"/>
    <m/>
    <m/>
    <x v="0"/>
    <x v="0"/>
    <s v="LINHA DO CIRCUITO ARENOSO LINHA DE DESCARGA DO DISTRIBUIDOR DI 145A-9913"/>
    <s v="SC-014"/>
    <s v="SP 8364 C"/>
    <s v="1450AA-L-70046"/>
    <s v="1450AA-S-58364"/>
    <n v="1"/>
    <s v="PÇ"/>
    <n v="46.2"/>
    <n v="46.2"/>
    <n v="0"/>
    <n v="0"/>
    <n v="0"/>
    <n v="0.9"/>
    <n v="0.1"/>
    <m/>
    <m/>
    <x v="0"/>
    <n v="0"/>
    <m/>
    <n v="0"/>
    <n v="46.2"/>
    <m/>
    <n v="0"/>
    <n v="0"/>
    <n v="0"/>
    <m/>
    <m/>
    <m/>
    <n v="0"/>
    <n v="0"/>
    <n v="0"/>
    <n v="0"/>
    <m/>
    <m/>
  </r>
  <r>
    <n v="0"/>
    <s v="CMS S.60.10.000"/>
    <x v="1"/>
    <m/>
    <m/>
    <m/>
    <x v="0"/>
    <m/>
    <m/>
    <x v="0"/>
    <x v="0"/>
    <s v="LINHA DO CIRCUITO ARENOSO LINHA DE DESCARGA DO DISTRIBUIDOR DI 145A-9913"/>
    <s v="SC-014"/>
    <s v="SP 8364 D"/>
    <s v="1450AA-L-70046"/>
    <s v="1450AA-S-58364"/>
    <n v="1"/>
    <s v="PÇ"/>
    <n v="14"/>
    <n v="14"/>
    <n v="0"/>
    <n v="0"/>
    <n v="0"/>
    <n v="0.9"/>
    <n v="0.1"/>
    <m/>
    <m/>
    <x v="0"/>
    <n v="0"/>
    <m/>
    <n v="0"/>
    <n v="14"/>
    <m/>
    <n v="0"/>
    <n v="0"/>
    <n v="0"/>
    <m/>
    <m/>
    <m/>
    <n v="0"/>
    <n v="0"/>
    <n v="0"/>
    <n v="0"/>
    <m/>
    <m/>
  </r>
  <r>
    <n v="0"/>
    <s v="CMS S.60.10.000"/>
    <x v="1"/>
    <m/>
    <m/>
    <m/>
    <x v="0"/>
    <m/>
    <m/>
    <x v="0"/>
    <x v="0"/>
    <s v="LINHA DO CIRCUITO ARENOSO LINHA DE DESCARGA DO DISTRIBUIDOR DI 145A-9913"/>
    <s v="SC-014"/>
    <s v="SP 8364 E"/>
    <s v="1450AA-L-70046"/>
    <s v="1450AA-S-58364"/>
    <n v="1"/>
    <s v="PÇ"/>
    <n v="2.2000000000000002"/>
    <n v="2.2000000000000002"/>
    <n v="0"/>
    <n v="0"/>
    <n v="0"/>
    <n v="0.9"/>
    <n v="0.1"/>
    <m/>
    <m/>
    <x v="0"/>
    <n v="0"/>
    <m/>
    <n v="0"/>
    <n v="2.2000000000000002"/>
    <m/>
    <n v="0"/>
    <n v="0"/>
    <n v="0"/>
    <m/>
    <m/>
    <m/>
    <n v="0"/>
    <n v="0"/>
    <n v="0"/>
    <n v="0"/>
    <m/>
    <m/>
  </r>
  <r>
    <n v="0"/>
    <s v="CMS S.60.10.000"/>
    <x v="1"/>
    <m/>
    <m/>
    <m/>
    <x v="0"/>
    <m/>
    <m/>
    <x v="0"/>
    <x v="0"/>
    <s v="LINHA DO CIRCUITO ARENOSO LINHA DE DESCARGA DO DISTRIBUIDOR DI 145A-9913"/>
    <s v="SC-014"/>
    <s v="SP 8364 F"/>
    <s v="1450AA-L-70046"/>
    <s v="1450AA-S-58364"/>
    <n v="1"/>
    <s v="PÇ"/>
    <n v="6"/>
    <n v="6"/>
    <n v="0"/>
    <n v="0"/>
    <n v="0"/>
    <n v="0.9"/>
    <n v="0.1"/>
    <m/>
    <m/>
    <x v="0"/>
    <n v="0"/>
    <m/>
    <n v="0"/>
    <n v="6"/>
    <m/>
    <n v="0"/>
    <n v="0"/>
    <n v="0"/>
    <m/>
    <m/>
    <m/>
    <n v="0"/>
    <n v="0"/>
    <n v="0"/>
    <n v="0"/>
    <m/>
    <m/>
  </r>
  <r>
    <n v="0"/>
    <s v="CMS S.60.10.000"/>
    <x v="1"/>
    <m/>
    <m/>
    <m/>
    <x v="0"/>
    <m/>
    <m/>
    <x v="0"/>
    <x v="0"/>
    <s v="LINHA DO CIRCUITO ARENOSO LINHA DE DESCARGA DO DISTRIBUIDOR DI 145A-9913"/>
    <s v="SC-014"/>
    <s v="SP 8364 G"/>
    <s v="1450AA-L-70046"/>
    <s v="1450AA-S-58364"/>
    <n v="2"/>
    <s v="PÇ"/>
    <n v="22.5"/>
    <n v="45"/>
    <n v="0"/>
    <n v="0"/>
    <n v="0"/>
    <n v="0.9"/>
    <n v="0.1"/>
    <m/>
    <m/>
    <x v="0"/>
    <n v="0"/>
    <m/>
    <n v="0"/>
    <n v="45"/>
    <m/>
    <n v="0"/>
    <n v="0"/>
    <n v="0"/>
    <m/>
    <m/>
    <m/>
    <n v="0"/>
    <n v="0"/>
    <n v="0"/>
    <n v="0"/>
    <m/>
    <m/>
  </r>
  <r>
    <n v="0"/>
    <s v="CMS S.60.10.000"/>
    <x v="1"/>
    <m/>
    <m/>
    <m/>
    <x v="0"/>
    <m/>
    <m/>
    <x v="0"/>
    <x v="0"/>
    <s v="LINHA DO CIRCUITO ARENOSO LINHA DE DESCARGA DO DISTRIBUIDOR DI 145A-9913"/>
    <s v="SC-014"/>
    <s v="SP 8364 H"/>
    <s v="1450AA-L-70046"/>
    <s v="1450AA-S-58364"/>
    <n v="2"/>
    <s v="PÇ"/>
    <n v="38.6"/>
    <n v="77.2"/>
    <n v="0"/>
    <n v="0"/>
    <n v="0"/>
    <n v="0.9"/>
    <n v="0.1"/>
    <m/>
    <m/>
    <x v="0"/>
    <n v="0"/>
    <m/>
    <n v="0"/>
    <n v="77.2"/>
    <m/>
    <n v="0"/>
    <n v="0"/>
    <n v="0"/>
    <m/>
    <m/>
    <m/>
    <n v="0"/>
    <n v="0"/>
    <n v="0"/>
    <n v="0"/>
    <m/>
    <m/>
  </r>
  <r>
    <n v="0"/>
    <s v="CMS S.60.10.000"/>
    <x v="1"/>
    <m/>
    <m/>
    <m/>
    <x v="0"/>
    <m/>
    <m/>
    <x v="0"/>
    <x v="0"/>
    <s v="LINHA DO CIRCUITO ARENOSO LINHA DE DESCARGA DO DISTRIBUIDOR DI 145A-9913"/>
    <s v="SC-014"/>
    <s v="SP 8364 J"/>
    <s v="1450AA-L-70046"/>
    <s v="1450AA-S-58364"/>
    <n v="6"/>
    <s v="PÇ"/>
    <n v="0.5"/>
    <n v="3"/>
    <n v="0"/>
    <n v="0"/>
    <n v="0"/>
    <n v="0.9"/>
    <n v="0.1"/>
    <m/>
    <m/>
    <x v="0"/>
    <n v="0"/>
    <m/>
    <n v="0"/>
    <n v="3"/>
    <m/>
    <n v="0"/>
    <n v="0"/>
    <n v="0"/>
    <m/>
    <m/>
    <m/>
    <n v="0"/>
    <n v="0"/>
    <n v="0"/>
    <n v="0"/>
    <m/>
    <m/>
  </r>
  <r>
    <n v="0"/>
    <s v="CMS S.60.10.000"/>
    <x v="1"/>
    <m/>
    <m/>
    <m/>
    <x v="0"/>
    <m/>
    <m/>
    <x v="0"/>
    <x v="0"/>
    <s v="LINHA DO CIRCUITO ARENOSO LINHA DE DESCARGA DO DISTRIBUIDOR DI 145A-9913"/>
    <s v="SC-014"/>
    <s v="SP 8364 K"/>
    <s v="1450AA-L-70046"/>
    <s v="1450AA-S-58364"/>
    <n v="2"/>
    <s v="PÇ"/>
    <n v="0.4"/>
    <n v="0.8"/>
    <n v="0"/>
    <n v="0"/>
    <n v="0"/>
    <n v="0.9"/>
    <n v="0.1"/>
    <m/>
    <m/>
    <x v="0"/>
    <n v="0"/>
    <m/>
    <n v="0"/>
    <n v="0.8"/>
    <m/>
    <n v="0"/>
    <n v="0"/>
    <n v="0"/>
    <m/>
    <m/>
    <m/>
    <n v="0"/>
    <n v="0"/>
    <n v="0"/>
    <n v="0"/>
    <m/>
    <m/>
  </r>
  <r>
    <n v="0"/>
    <s v="CMS S.60.10.000"/>
    <x v="1"/>
    <m/>
    <m/>
    <m/>
    <x v="0"/>
    <m/>
    <m/>
    <x v="0"/>
    <x v="0"/>
    <s v="LINHA DO CIRCUITO ARENOSO LINHA DE DESCARGA DO DISTRIBUIDOR DI 145A-9913"/>
    <s v="SC-014"/>
    <s v="SP 8365 A"/>
    <s v="1450AA-L-70046"/>
    <s v="1450AA-S-58365"/>
    <n v="6"/>
    <s v="PÇ"/>
    <n v="34.5"/>
    <n v="207"/>
    <n v="0"/>
    <n v="0"/>
    <n v="0"/>
    <n v="0.9"/>
    <n v="0.1"/>
    <m/>
    <m/>
    <x v="0"/>
    <n v="0"/>
    <m/>
    <n v="0"/>
    <n v="207"/>
    <m/>
    <n v="0"/>
    <n v="0"/>
    <n v="0"/>
    <m/>
    <m/>
    <m/>
    <n v="0"/>
    <n v="0"/>
    <n v="0"/>
    <n v="0"/>
    <m/>
    <m/>
  </r>
  <r>
    <n v="0"/>
    <s v="CMS S.60.10.000"/>
    <x v="1"/>
    <m/>
    <m/>
    <m/>
    <x v="0"/>
    <m/>
    <m/>
    <x v="0"/>
    <x v="0"/>
    <s v="LINHA DO CIRCUITO ARENOSO LINHA DE DESCARGA DO DISTRIBUIDOR DI 145A-9913"/>
    <s v="SC-014"/>
    <s v="SP 8365 B"/>
    <s v="1450AA-L-70046"/>
    <s v="1450AA-S-58365"/>
    <n v="3"/>
    <s v="PÇ"/>
    <n v="5.3999999999999995"/>
    <n v="16.2"/>
    <n v="0"/>
    <n v="0"/>
    <n v="0"/>
    <n v="0.9"/>
    <n v="0.1"/>
    <m/>
    <m/>
    <x v="0"/>
    <n v="0"/>
    <m/>
    <n v="0"/>
    <n v="16.2"/>
    <m/>
    <n v="0"/>
    <n v="0"/>
    <n v="0"/>
    <m/>
    <m/>
    <m/>
    <n v="0"/>
    <n v="0"/>
    <n v="0"/>
    <n v="0"/>
    <m/>
    <m/>
  </r>
  <r>
    <n v="0"/>
    <s v="CMS S.60.10.000"/>
    <x v="1"/>
    <m/>
    <m/>
    <m/>
    <x v="0"/>
    <m/>
    <m/>
    <x v="0"/>
    <x v="0"/>
    <s v="LINHA DO CIRCUITO ARENOSO LINHA DE DESCARGA DO DISTRIBUIDOR DI 145A-9913"/>
    <s v="SC-014"/>
    <s v="SP 8365 C"/>
    <s v="1450AA-L-70046"/>
    <s v="1450AA-S-58365"/>
    <n v="1"/>
    <s v="PÇ"/>
    <n v="12.100000000000001"/>
    <n v="12.100000000000001"/>
    <n v="0"/>
    <n v="0"/>
    <n v="0"/>
    <n v="0.9"/>
    <n v="0.1"/>
    <m/>
    <m/>
    <x v="0"/>
    <n v="0"/>
    <m/>
    <n v="0"/>
    <n v="12.100000000000001"/>
    <m/>
    <n v="0"/>
    <n v="0"/>
    <n v="0"/>
    <m/>
    <m/>
    <m/>
    <n v="0"/>
    <n v="0"/>
    <n v="0"/>
    <n v="0"/>
    <m/>
    <m/>
  </r>
  <r>
    <n v="0"/>
    <s v="CMS S.60.10.000"/>
    <x v="1"/>
    <m/>
    <m/>
    <m/>
    <x v="0"/>
    <m/>
    <m/>
    <x v="0"/>
    <x v="0"/>
    <s v="LINHA DO CIRCUITO ARENOSO LINHA DE DESCARGA DO DISTRIBUIDOR DI 145A-9913"/>
    <s v="SC-014"/>
    <s v="SP 8365 D"/>
    <s v="1450AA-L-70046"/>
    <s v="1450AA-S-58365"/>
    <n v="2"/>
    <s v="PÇ"/>
    <n v="12.799999999999999"/>
    <n v="25.599999999999998"/>
    <n v="0"/>
    <n v="0"/>
    <n v="0"/>
    <n v="0.9"/>
    <n v="0.1"/>
    <m/>
    <m/>
    <x v="0"/>
    <n v="0"/>
    <m/>
    <n v="0"/>
    <n v="25.599999999999998"/>
    <m/>
    <n v="0"/>
    <n v="0"/>
    <n v="0"/>
    <m/>
    <m/>
    <m/>
    <n v="0"/>
    <n v="0"/>
    <n v="0"/>
    <n v="0"/>
    <m/>
    <m/>
  </r>
  <r>
    <n v="0"/>
    <s v="CMS S.60.10.000"/>
    <x v="1"/>
    <m/>
    <m/>
    <m/>
    <x v="0"/>
    <m/>
    <m/>
    <x v="0"/>
    <x v="0"/>
    <s v="LINHA DO CIRCUITO ARENOSO LINHA DE DESCARGA DO DISTRIBUIDOR DI 145A-9913"/>
    <s v="SC-014"/>
    <s v="SP 8365 E"/>
    <s v="1450AA-L-70046"/>
    <s v="1450AA-S-58365"/>
    <n v="3"/>
    <s v="PÇ"/>
    <n v="4.8"/>
    <n v="14.399999999999999"/>
    <n v="0"/>
    <n v="0"/>
    <n v="0"/>
    <n v="0.9"/>
    <n v="0.1"/>
    <m/>
    <m/>
    <x v="0"/>
    <n v="0"/>
    <m/>
    <n v="0"/>
    <n v="14.399999999999999"/>
    <m/>
    <n v="0"/>
    <n v="0"/>
    <n v="0"/>
    <m/>
    <m/>
    <m/>
    <n v="0"/>
    <n v="0"/>
    <n v="0"/>
    <n v="0"/>
    <m/>
    <m/>
  </r>
  <r>
    <n v="0"/>
    <s v="CMS S.60.10.000"/>
    <x v="1"/>
    <m/>
    <m/>
    <m/>
    <x v="0"/>
    <m/>
    <m/>
    <x v="0"/>
    <x v="0"/>
    <s v="LINHA DO CIRCUITO ARENOSO LINHA DE DESCARGA DO DISTRIBUIDOR DI 145A-9913"/>
    <s v="SC-014"/>
    <s v="SP 8365 F"/>
    <s v="1450AA-L-70046"/>
    <s v="1450AA-S-58365"/>
    <n v="4"/>
    <s v="PÇ"/>
    <n v="3.6999999999999997"/>
    <n v="14.799999999999999"/>
    <n v="0"/>
    <n v="0"/>
    <n v="0"/>
    <n v="0.9"/>
    <n v="0.1"/>
    <m/>
    <m/>
    <x v="0"/>
    <n v="0"/>
    <m/>
    <n v="0"/>
    <n v="14.799999999999999"/>
    <m/>
    <n v="0"/>
    <n v="0"/>
    <n v="0"/>
    <m/>
    <m/>
    <m/>
    <n v="0"/>
    <n v="0"/>
    <n v="0"/>
    <n v="0"/>
    <m/>
    <m/>
  </r>
  <r>
    <n v="0"/>
    <s v="CMS S.60.10.000"/>
    <x v="1"/>
    <m/>
    <m/>
    <m/>
    <x v="0"/>
    <m/>
    <m/>
    <x v="0"/>
    <x v="0"/>
    <s v="LINHA DO CIRCUITO ARENOSO LINHA DE DESCARGA DO DISTRIBUIDOR DI 145A-9913"/>
    <s v="SC-014"/>
    <s v="SP 8365 G"/>
    <s v="1450AA-L-70046"/>
    <s v="1450AA-S-58365"/>
    <n v="1"/>
    <s v="PÇ"/>
    <n v="9.1999999999999993"/>
    <n v="9.1999999999999993"/>
    <n v="0"/>
    <n v="0"/>
    <n v="0"/>
    <n v="0.9"/>
    <n v="0.1"/>
    <m/>
    <m/>
    <x v="0"/>
    <n v="0"/>
    <m/>
    <n v="0"/>
    <n v="9.1999999999999993"/>
    <m/>
    <n v="0"/>
    <n v="0"/>
    <n v="0"/>
    <m/>
    <m/>
    <m/>
    <n v="0"/>
    <n v="0"/>
    <n v="0"/>
    <n v="0"/>
    <m/>
    <m/>
  </r>
  <r>
    <n v="0"/>
    <s v="CMS S.60.10.000"/>
    <x v="1"/>
    <m/>
    <m/>
    <m/>
    <x v="0"/>
    <m/>
    <m/>
    <x v="0"/>
    <x v="0"/>
    <s v="LINHA DO CIRCUITO ARENOSO LINHA DE DESCARGA DO DISTRIBUIDOR DI 145A-9913"/>
    <s v="SC-014"/>
    <s v="SP 8365 H"/>
    <s v="1450AA-L-70046"/>
    <s v="1450AA-S-58365"/>
    <n v="1"/>
    <s v="PÇ"/>
    <n v="12.2"/>
    <n v="12.2"/>
    <n v="0"/>
    <n v="0"/>
    <n v="0"/>
    <n v="0.9"/>
    <n v="0.1"/>
    <m/>
    <m/>
    <x v="0"/>
    <n v="0"/>
    <m/>
    <n v="0"/>
    <n v="12.2"/>
    <m/>
    <n v="0"/>
    <n v="0"/>
    <n v="0"/>
    <m/>
    <m/>
    <m/>
    <n v="0"/>
    <n v="0"/>
    <n v="0"/>
    <n v="0"/>
    <m/>
    <m/>
  </r>
  <r>
    <n v="0"/>
    <s v="CMS S.60.10.000"/>
    <x v="1"/>
    <m/>
    <m/>
    <m/>
    <x v="0"/>
    <m/>
    <m/>
    <x v="0"/>
    <x v="0"/>
    <s v="LINHA DO CIRCUITO ARENOSO LINHA DE DESCARGA DO DISTRIBUIDOR DI 145A-9913"/>
    <s v="SC-014"/>
    <s v="SP 8365 J"/>
    <s v="1450AA-L-70046"/>
    <s v="1450AA-S-58365"/>
    <n v="1"/>
    <s v="PÇ"/>
    <n v="12.2"/>
    <n v="12.2"/>
    <n v="0"/>
    <n v="0"/>
    <n v="0"/>
    <n v="0.9"/>
    <n v="0.1"/>
    <m/>
    <m/>
    <x v="0"/>
    <n v="0"/>
    <m/>
    <n v="0"/>
    <n v="12.2"/>
    <m/>
    <n v="0"/>
    <n v="0"/>
    <n v="0"/>
    <m/>
    <m/>
    <m/>
    <n v="0"/>
    <n v="0"/>
    <n v="0"/>
    <n v="0"/>
    <m/>
    <m/>
  </r>
  <r>
    <n v="0"/>
    <s v="CMS S.60.10.000"/>
    <x v="1"/>
    <m/>
    <m/>
    <m/>
    <x v="0"/>
    <m/>
    <m/>
    <x v="0"/>
    <x v="0"/>
    <s v="LINHA DO CIRCUITO ARENOSO LINHA DE DESCARGA DO DISTRIBUIDOR DI 145A-9913"/>
    <s v="SC-014"/>
    <s v="SP 8365 K"/>
    <s v="1450AA-L-70046"/>
    <s v="1450AA-S-58365"/>
    <n v="1"/>
    <s v="PÇ"/>
    <n v="0.5"/>
    <n v="0.5"/>
    <n v="0"/>
    <n v="0"/>
    <n v="0"/>
    <n v="0.9"/>
    <n v="0.1"/>
    <m/>
    <m/>
    <x v="0"/>
    <n v="0"/>
    <m/>
    <n v="0"/>
    <n v="0.5"/>
    <m/>
    <n v="0"/>
    <n v="0"/>
    <n v="0"/>
    <m/>
    <m/>
    <m/>
    <n v="0"/>
    <n v="0"/>
    <n v="0"/>
    <n v="0"/>
    <m/>
    <m/>
  </r>
  <r>
    <n v="0"/>
    <s v="CMS S.60.10.000"/>
    <x v="1"/>
    <m/>
    <m/>
    <m/>
    <x v="0"/>
    <m/>
    <m/>
    <x v="0"/>
    <x v="0"/>
    <s v="LINHA DO CIRCUITO ARENOSO LINHA DE DESCARGA DO DISTRIBUIDOR DI 145A-9913"/>
    <s v="SC-014"/>
    <s v="SP 8365 L"/>
    <s v="1450AA-L-70046"/>
    <s v="1450AA-S-58365"/>
    <n v="1"/>
    <s v="PÇ"/>
    <n v="0.6"/>
    <n v="0.6"/>
    <n v="0"/>
    <n v="0"/>
    <n v="0"/>
    <n v="0.9"/>
    <n v="0.1"/>
    <m/>
    <m/>
    <x v="0"/>
    <n v="0"/>
    <m/>
    <n v="0"/>
    <n v="0.6"/>
    <m/>
    <n v="0"/>
    <n v="0"/>
    <n v="0"/>
    <m/>
    <m/>
    <m/>
    <n v="0"/>
    <n v="0"/>
    <n v="0"/>
    <n v="0"/>
    <m/>
    <m/>
  </r>
  <r>
    <n v="0"/>
    <s v="CMS S.60.10.000"/>
    <x v="1"/>
    <m/>
    <m/>
    <m/>
    <x v="0"/>
    <m/>
    <m/>
    <x v="0"/>
    <x v="0"/>
    <s v="LINHA DO CIRCUITO ARENOSO LINHA DE DESCARGA DO DISTRIBUIDOR DI 145A-9913"/>
    <s v="SC-014"/>
    <s v="SP 8365 M"/>
    <s v="1450AA-L-70046"/>
    <s v="1450AA-S-58365"/>
    <n v="2"/>
    <s v="PÇ"/>
    <n v="2.6999999999999997"/>
    <n v="5.3999999999999995"/>
    <n v="0"/>
    <n v="0"/>
    <n v="0"/>
    <n v="0.9"/>
    <n v="0.1"/>
    <m/>
    <m/>
    <x v="0"/>
    <n v="0"/>
    <m/>
    <n v="0"/>
    <n v="5.3999999999999995"/>
    <m/>
    <n v="0"/>
    <n v="0"/>
    <n v="0"/>
    <m/>
    <m/>
    <m/>
    <n v="0"/>
    <n v="0"/>
    <n v="0"/>
    <n v="0"/>
    <m/>
    <m/>
  </r>
  <r>
    <n v="0"/>
    <s v="CMS S.60.10.000"/>
    <x v="1"/>
    <m/>
    <m/>
    <m/>
    <x v="0"/>
    <m/>
    <m/>
    <x v="0"/>
    <x v="0"/>
    <s v="LINHA DE UNDERFLOW DAS PENEIRAS DESAGUADORAS"/>
    <s v="SC-026"/>
    <s v="SP 8307 S"/>
    <s v="1450AA-L-70113"/>
    <s v="1450AA-S-58307"/>
    <n v="1"/>
    <s v="PÇ"/>
    <n v="56.9"/>
    <n v="56.9"/>
    <n v="0"/>
    <n v="0"/>
    <n v="0"/>
    <n v="0.9"/>
    <n v="0.1"/>
    <m/>
    <m/>
    <x v="0"/>
    <n v="0"/>
    <m/>
    <n v="0"/>
    <n v="56.9"/>
    <m/>
    <n v="0"/>
    <n v="0"/>
    <n v="0"/>
    <m/>
    <m/>
    <m/>
    <n v="0"/>
    <n v="0"/>
    <n v="0"/>
    <n v="0"/>
    <m/>
    <m/>
  </r>
  <r>
    <n v="0"/>
    <s v="CMS S.60.10.000"/>
    <x v="1"/>
    <m/>
    <m/>
    <m/>
    <x v="0"/>
    <m/>
    <m/>
    <x v="0"/>
    <x v="0"/>
    <s v="LINHA DE BY PASS DAS PENEIRAS ALIMENTAÇÃO DO TANQUE TQ-145A-9703"/>
    <s v="SC-010"/>
    <s v="SP 8313 U"/>
    <s v="1450AA-L-70111"/>
    <s v="1450AA-S-58313"/>
    <n v="6"/>
    <s v="PÇ"/>
    <n v="2.7"/>
    <n v="16.200000000000003"/>
    <n v="0"/>
    <n v="0"/>
    <n v="0"/>
    <n v="0.9"/>
    <n v="0.1"/>
    <m/>
    <m/>
    <x v="0"/>
    <n v="0"/>
    <m/>
    <n v="0"/>
    <n v="16.200000000000003"/>
    <m/>
    <n v="0"/>
    <n v="0"/>
    <n v="0"/>
    <m/>
    <m/>
    <m/>
    <n v="0"/>
    <n v="0"/>
    <n v="0"/>
    <n v="0"/>
    <m/>
    <m/>
  </r>
  <r>
    <n v="0"/>
    <s v="CMS S.60.10.000"/>
    <x v="1"/>
    <m/>
    <m/>
    <m/>
    <x v="0"/>
    <m/>
    <m/>
    <x v="0"/>
    <x v="0"/>
    <s v="LINHA DO CIRCUITO ULTRAFINO, LINHA DE DESCARGA DO DISTRIBUIDOR DI-145A-9907"/>
    <s v="SC-026"/>
    <s v="SP 8355 A"/>
    <m/>
    <s v="1450AA-S-58355"/>
    <n v="8"/>
    <s v="PÇ"/>
    <n v="18.900000000000002"/>
    <n v="151.20000000000002"/>
    <n v="0"/>
    <n v="0"/>
    <n v="0"/>
    <n v="0.9"/>
    <n v="0.1"/>
    <m/>
    <m/>
    <x v="0"/>
    <n v="0"/>
    <m/>
    <n v="0"/>
    <n v="151.20000000000002"/>
    <m/>
    <n v="0"/>
    <n v="0"/>
    <n v="0"/>
    <m/>
    <m/>
    <m/>
    <n v="0"/>
    <n v="0"/>
    <n v="0"/>
    <n v="0"/>
    <m/>
    <m/>
  </r>
  <r>
    <n v="0"/>
    <s v="CMS S.60.10.000"/>
    <x v="1"/>
    <m/>
    <m/>
    <m/>
    <x v="0"/>
    <m/>
    <m/>
    <x v="0"/>
    <x v="0"/>
    <s v="LINHA DO CIRCUITO ULTRAFINO, LINHA DE DESCARGA DO DISTRIBUIDOR DI-145A-9907"/>
    <s v="SC-026"/>
    <s v="SP 8355 B"/>
    <m/>
    <s v="1450AA-S-58355"/>
    <n v="4"/>
    <s v="PÇ"/>
    <n v="3.4"/>
    <n v="13.6"/>
    <n v="0"/>
    <n v="0"/>
    <n v="0"/>
    <n v="0.9"/>
    <n v="0.1"/>
    <m/>
    <m/>
    <x v="0"/>
    <n v="0"/>
    <m/>
    <n v="0"/>
    <n v="13.6"/>
    <m/>
    <n v="0"/>
    <n v="0"/>
    <n v="0"/>
    <m/>
    <m/>
    <m/>
    <n v="0"/>
    <n v="0"/>
    <n v="0"/>
    <n v="0"/>
    <m/>
    <m/>
  </r>
  <r>
    <n v="0"/>
    <s v="CMS S.60.10.000"/>
    <x v="1"/>
    <m/>
    <m/>
    <m/>
    <x v="0"/>
    <m/>
    <m/>
    <x v="0"/>
    <x v="0"/>
    <s v="LINHA DO CIRCUITO ULTRAFINO, LINHA DE DESCARGA DO DISTRIBUIDOR DI-145A-9907"/>
    <s v="SC-026"/>
    <s v="SP 8355 C"/>
    <m/>
    <s v="1450AA-S-58355"/>
    <n v="1"/>
    <s v="PÇ"/>
    <n v="4.3"/>
    <n v="4.3"/>
    <n v="0"/>
    <n v="0"/>
    <n v="0"/>
    <n v="0.9"/>
    <n v="0.1"/>
    <m/>
    <m/>
    <x v="0"/>
    <n v="0"/>
    <m/>
    <n v="0"/>
    <n v="4.3"/>
    <m/>
    <n v="0"/>
    <n v="0"/>
    <n v="0"/>
    <m/>
    <m/>
    <m/>
    <n v="0"/>
    <n v="0"/>
    <n v="0"/>
    <n v="0"/>
    <m/>
    <m/>
  </r>
  <r>
    <n v="0"/>
    <s v="CMS S.60.10.000"/>
    <x v="1"/>
    <m/>
    <m/>
    <m/>
    <x v="0"/>
    <m/>
    <m/>
    <x v="0"/>
    <x v="0"/>
    <s v="LINHA DO CIRCUITO ULTRAFINO, LINHA DE DESCARGA DO DISTRIBUIDOR DI-145A-9907"/>
    <s v="SC-026"/>
    <s v="SP 8355 D"/>
    <m/>
    <s v="1450AA-S-58355"/>
    <n v="1"/>
    <s v="PÇ"/>
    <n v="4"/>
    <n v="4"/>
    <n v="0"/>
    <n v="0"/>
    <n v="0"/>
    <n v="0.9"/>
    <n v="0.1"/>
    <m/>
    <m/>
    <x v="0"/>
    <n v="0"/>
    <m/>
    <n v="0"/>
    <n v="4"/>
    <m/>
    <n v="0"/>
    <n v="0"/>
    <n v="0"/>
    <m/>
    <m/>
    <m/>
    <n v="0"/>
    <n v="0"/>
    <n v="0"/>
    <n v="0"/>
    <m/>
    <m/>
  </r>
  <r>
    <n v="0"/>
    <s v="CMS S.60.10.000"/>
    <x v="1"/>
    <m/>
    <m/>
    <m/>
    <x v="0"/>
    <m/>
    <m/>
    <x v="0"/>
    <x v="0"/>
    <s v="LINHA DE ALIMENTAÇÃO DOS DISTRIBUIDORES DI-145A-9904/9905/9906/9907/9908"/>
    <s v="SC-026"/>
    <s v="SP 8357 A"/>
    <m/>
    <s v="1450AA-S-58357"/>
    <n v="1"/>
    <s v="PÇ"/>
    <n v="5.9"/>
    <n v="5.9"/>
    <n v="0"/>
    <n v="0"/>
    <n v="0"/>
    <n v="0.9"/>
    <n v="0.1"/>
    <m/>
    <m/>
    <x v="0"/>
    <n v="0"/>
    <m/>
    <n v="0"/>
    <n v="5.9"/>
    <m/>
    <n v="0"/>
    <n v="0"/>
    <n v="0"/>
    <m/>
    <m/>
    <m/>
    <n v="0"/>
    <n v="0"/>
    <n v="0"/>
    <n v="0"/>
    <m/>
    <m/>
  </r>
  <r>
    <n v="0"/>
    <s v="CMS S.60.10.000"/>
    <x v="1"/>
    <m/>
    <m/>
    <m/>
    <x v="0"/>
    <m/>
    <m/>
    <x v="0"/>
    <x v="0"/>
    <s v="LINHA DE ALIMENTAÇÃO DOS DISTRIBUIDORES DI-145A-9904/9905/9906/9907/9908"/>
    <s v="SC-026"/>
    <s v="SP 8357 B"/>
    <m/>
    <s v="1450AA-S-58357"/>
    <n v="2"/>
    <s v="PÇ"/>
    <n v="12.899999999999999"/>
    <n v="25.799999999999997"/>
    <n v="0"/>
    <n v="0"/>
    <n v="0"/>
    <n v="0.9"/>
    <n v="0.1"/>
    <m/>
    <m/>
    <x v="0"/>
    <n v="0"/>
    <m/>
    <n v="0"/>
    <n v="25.799999999999997"/>
    <m/>
    <n v="0"/>
    <n v="0"/>
    <n v="0"/>
    <m/>
    <m/>
    <m/>
    <n v="0"/>
    <n v="0"/>
    <n v="0"/>
    <n v="0"/>
    <m/>
    <m/>
  </r>
  <r>
    <n v="0"/>
    <s v="CMS S.60.10.000"/>
    <x v="1"/>
    <m/>
    <m/>
    <m/>
    <x v="0"/>
    <m/>
    <m/>
    <x v="0"/>
    <x v="0"/>
    <s v="LINHA DE ALIMENTAÇÃO DOS DISTRIBUIDORES DI-145A-9904/9905/9906/9907/9908"/>
    <s v="SC-026"/>
    <s v="SP 8357 C"/>
    <m/>
    <s v="1450AA-S-58357"/>
    <n v="1"/>
    <s v="PÇ"/>
    <n v="4.0999999999999996"/>
    <n v="4.0999999999999996"/>
    <n v="0"/>
    <n v="0"/>
    <n v="0"/>
    <n v="0.9"/>
    <n v="0.1"/>
    <m/>
    <m/>
    <x v="0"/>
    <n v="0"/>
    <m/>
    <n v="0"/>
    <n v="4.0999999999999996"/>
    <m/>
    <n v="0"/>
    <n v="0"/>
    <n v="0"/>
    <m/>
    <m/>
    <m/>
    <n v="0"/>
    <n v="0"/>
    <n v="0"/>
    <n v="0"/>
    <m/>
    <m/>
  </r>
  <r>
    <n v="0"/>
    <s v="CMS S.60.10.000"/>
    <x v="1"/>
    <m/>
    <m/>
    <m/>
    <x v="0"/>
    <m/>
    <m/>
    <x v="0"/>
    <x v="0"/>
    <s v="LINHA DE ALIMENTAÇÃO DOS DISTRIBUIDORES DI-145A-9904/9905/9906/9907/9908"/>
    <s v="SC-026"/>
    <s v="SP 8357 D"/>
    <m/>
    <s v="1450AA-S-58357"/>
    <n v="1"/>
    <s v="PÇ"/>
    <n v="17"/>
    <n v="17"/>
    <n v="0"/>
    <n v="0"/>
    <n v="0"/>
    <n v="0.9"/>
    <n v="0.1"/>
    <m/>
    <m/>
    <x v="0"/>
    <n v="0"/>
    <m/>
    <n v="0"/>
    <n v="17"/>
    <m/>
    <n v="0"/>
    <n v="0"/>
    <n v="0"/>
    <m/>
    <m/>
    <m/>
    <n v="0"/>
    <n v="0"/>
    <n v="0"/>
    <n v="0"/>
    <m/>
    <m/>
  </r>
  <r>
    <n v="0"/>
    <s v="CMS S.60.10.000"/>
    <x v="1"/>
    <m/>
    <m/>
    <m/>
    <x v="0"/>
    <m/>
    <m/>
    <x v="0"/>
    <x v="0"/>
    <s v="LINHA DE ALIMENTAÇÃO DOS DISTRIBUIDORES DI-145A-9904/9905/9906/9907/9908"/>
    <s v="SC-026"/>
    <s v="SP 8357 E"/>
    <m/>
    <s v="1450AA-S-58357"/>
    <n v="1"/>
    <s v="PÇ"/>
    <n v="9.5"/>
    <n v="9.5"/>
    <n v="0"/>
    <n v="0"/>
    <n v="0"/>
    <n v="0.9"/>
    <n v="0.1"/>
    <m/>
    <m/>
    <x v="0"/>
    <n v="0"/>
    <m/>
    <n v="0"/>
    <n v="9.5"/>
    <m/>
    <n v="0"/>
    <n v="0"/>
    <n v="0"/>
    <m/>
    <m/>
    <m/>
    <n v="0"/>
    <n v="0"/>
    <n v="0"/>
    <n v="0"/>
    <m/>
    <m/>
  </r>
  <r>
    <n v="0"/>
    <s v="CMS S.60.10.000"/>
    <x v="1"/>
    <m/>
    <m/>
    <m/>
    <x v="0"/>
    <m/>
    <m/>
    <x v="0"/>
    <x v="0"/>
    <s v="LINHA DE ALIMENTAÇÃO DOS DISTRIBUIDORES DI-145A-9904/9905/9906/9907/9908"/>
    <s v="SC-026"/>
    <s v="SP 8357 F"/>
    <m/>
    <s v="1450AA-S-58357"/>
    <n v="2"/>
    <s v="PÇ"/>
    <n v="19.2"/>
    <n v="38.4"/>
    <n v="0"/>
    <n v="0"/>
    <n v="0"/>
    <n v="0.9"/>
    <n v="0.1"/>
    <m/>
    <m/>
    <x v="0"/>
    <n v="0"/>
    <m/>
    <n v="0"/>
    <n v="38.4"/>
    <m/>
    <n v="0"/>
    <n v="0"/>
    <n v="0"/>
    <m/>
    <m/>
    <m/>
    <n v="0"/>
    <n v="0"/>
    <n v="0"/>
    <n v="0"/>
    <m/>
    <m/>
  </r>
  <r>
    <n v="0"/>
    <s v="CMS S.60.10.000"/>
    <x v="1"/>
    <m/>
    <m/>
    <m/>
    <x v="0"/>
    <m/>
    <m/>
    <x v="0"/>
    <x v="0"/>
    <s v="LINHA DE ALIMENTAÇÃO DOS DISTRIBUIDORES DI-145A-9904/9905/9906/9907/9908"/>
    <s v="SC-026"/>
    <s v="SP 8357 G"/>
    <m/>
    <s v="1450AA-S-58357"/>
    <n v="1"/>
    <s v="PÇ"/>
    <n v="26.7"/>
    <n v="26.7"/>
    <n v="0"/>
    <n v="0"/>
    <n v="0"/>
    <n v="0.9"/>
    <n v="0.1"/>
    <m/>
    <m/>
    <x v="0"/>
    <n v="0"/>
    <m/>
    <n v="0"/>
    <n v="26.7"/>
    <m/>
    <n v="0"/>
    <n v="0"/>
    <n v="0"/>
    <m/>
    <m/>
    <m/>
    <n v="0"/>
    <n v="0"/>
    <n v="0"/>
    <n v="0"/>
    <m/>
    <m/>
  </r>
  <r>
    <n v="0"/>
    <s v="CMS S.60.10.000"/>
    <x v="1"/>
    <m/>
    <m/>
    <m/>
    <x v="0"/>
    <m/>
    <m/>
    <x v="0"/>
    <x v="0"/>
    <s v="LINHA DE ALIMENTAÇÃO DOS DISTRIBUIDORES DI-145A-9904/9905/9906/9907/9908"/>
    <s v="SC-026"/>
    <s v="SP 8357 H"/>
    <m/>
    <s v="1450AA-S-58357"/>
    <n v="1"/>
    <s v="PÇ"/>
    <n v="17.5"/>
    <n v="17.5"/>
    <n v="0"/>
    <n v="0"/>
    <n v="0"/>
    <n v="0.9"/>
    <n v="0.1"/>
    <m/>
    <m/>
    <x v="0"/>
    <n v="0"/>
    <m/>
    <n v="0"/>
    <n v="17.5"/>
    <m/>
    <n v="0"/>
    <n v="0"/>
    <n v="0"/>
    <m/>
    <m/>
    <m/>
    <n v="0"/>
    <n v="0"/>
    <n v="0"/>
    <n v="0"/>
    <m/>
    <m/>
  </r>
  <r>
    <n v="0"/>
    <s v="CMS S.60.10.000"/>
    <x v="1"/>
    <m/>
    <m/>
    <m/>
    <x v="0"/>
    <m/>
    <m/>
    <x v="0"/>
    <x v="0"/>
    <s v="LINHA DE ALIMENTAÇÃO DOS DISTRIBUIDORES DI-145A-9904/9905/9906/9907/9908"/>
    <s v="SC-026"/>
    <s v="SP 8357 J"/>
    <m/>
    <s v="1450AA-S-58357"/>
    <n v="1"/>
    <s v="PÇ"/>
    <n v="16.5"/>
    <n v="16.5"/>
    <n v="0"/>
    <n v="0"/>
    <n v="0"/>
    <n v="0.9"/>
    <n v="0.1"/>
    <m/>
    <m/>
    <x v="0"/>
    <n v="0"/>
    <m/>
    <n v="0"/>
    <n v="16.5"/>
    <m/>
    <n v="0"/>
    <n v="0"/>
    <n v="0"/>
    <m/>
    <m/>
    <m/>
    <n v="0"/>
    <n v="0"/>
    <n v="0"/>
    <n v="0"/>
    <m/>
    <m/>
  </r>
  <r>
    <n v="0"/>
    <s v="CMS S.60.10.000"/>
    <x v="1"/>
    <m/>
    <m/>
    <m/>
    <x v="0"/>
    <m/>
    <m/>
    <x v="0"/>
    <x v="0"/>
    <s v="LINHA DE ALIMENTAÇÃO DOS DISTRIBUIDORES DI-145A-9904/9905/9906/9907/9908"/>
    <s v="SC-026"/>
    <s v="SP 8357 K"/>
    <m/>
    <s v="1450AA-S-58357"/>
    <n v="1"/>
    <s v="PÇ"/>
    <n v="9.9"/>
    <n v="9.9"/>
    <n v="0"/>
    <n v="0"/>
    <n v="0"/>
    <n v="0.9"/>
    <n v="0.1"/>
    <m/>
    <m/>
    <x v="0"/>
    <n v="0"/>
    <m/>
    <n v="0"/>
    <n v="9.9"/>
    <m/>
    <n v="0"/>
    <n v="0"/>
    <n v="0"/>
    <m/>
    <m/>
    <m/>
    <n v="0"/>
    <n v="0"/>
    <n v="0"/>
    <n v="0"/>
    <m/>
    <m/>
  </r>
  <r>
    <n v="0"/>
    <s v="CMS S.60.10.000"/>
    <x v="1"/>
    <m/>
    <m/>
    <m/>
    <x v="0"/>
    <m/>
    <m/>
    <x v="0"/>
    <x v="0"/>
    <s v="LINHA DO CIRCUITO ULTRAFINO LINHA DE DESCARGA DO DISTRIBUIDOR DI 145A-9905"/>
    <s v="SC-026"/>
    <s v="SP 8362 A"/>
    <m/>
    <s v="1450AA-S-58362"/>
    <n v="1"/>
    <s v="PÇ"/>
    <n v="9.9"/>
    <n v="9.9"/>
    <n v="0"/>
    <n v="0"/>
    <n v="0"/>
    <n v="0.9"/>
    <n v="0.1"/>
    <m/>
    <m/>
    <x v="0"/>
    <n v="0"/>
    <m/>
    <n v="0"/>
    <n v="9.9"/>
    <m/>
    <n v="0"/>
    <n v="0"/>
    <n v="0"/>
    <m/>
    <m/>
    <m/>
    <n v="0"/>
    <n v="0"/>
    <n v="0"/>
    <n v="0"/>
    <m/>
    <m/>
  </r>
  <r>
    <n v="0"/>
    <s v="CMS S.60.10.000"/>
    <x v="1"/>
    <m/>
    <m/>
    <m/>
    <x v="0"/>
    <m/>
    <m/>
    <x v="0"/>
    <x v="0"/>
    <s v="LINHA DO CIRCUITO ULTRAFINO LINHA DE DESCARGA DO DISTRIBUIDOR DI 145A-9905"/>
    <s v="SC-026"/>
    <s v="SP 8362 B"/>
    <m/>
    <s v="1450AA-S-58362"/>
    <n v="1"/>
    <s v="PÇ"/>
    <n v="34.4"/>
    <n v="34.4"/>
    <n v="0"/>
    <n v="0"/>
    <n v="0"/>
    <n v="0.9"/>
    <n v="0.1"/>
    <m/>
    <m/>
    <x v="0"/>
    <n v="0"/>
    <m/>
    <n v="0"/>
    <n v="34.4"/>
    <m/>
    <n v="0"/>
    <n v="0"/>
    <n v="0"/>
    <m/>
    <m/>
    <m/>
    <n v="0"/>
    <n v="0"/>
    <n v="0"/>
    <n v="0"/>
    <m/>
    <m/>
  </r>
  <r>
    <n v="0"/>
    <s v="CMS S.60.10.000"/>
    <x v="1"/>
    <m/>
    <m/>
    <m/>
    <x v="0"/>
    <m/>
    <m/>
    <x v="0"/>
    <x v="0"/>
    <s v="LINHA DO CIRCUITO ULTRAFINO LINHA DE DESCARGA DO DISTRIBUIDOR DI 145A-9905"/>
    <s v="SC-026"/>
    <s v="SP 8362 C"/>
    <m/>
    <s v="1450AA-S-58362"/>
    <n v="1"/>
    <s v="PÇ"/>
    <n v="22.7"/>
    <n v="22.7"/>
    <n v="0"/>
    <n v="0"/>
    <n v="0"/>
    <n v="0.9"/>
    <n v="0.1"/>
    <m/>
    <m/>
    <x v="0"/>
    <n v="0"/>
    <m/>
    <n v="0"/>
    <n v="22.7"/>
    <m/>
    <n v="0"/>
    <n v="0"/>
    <n v="0"/>
    <m/>
    <m/>
    <m/>
    <n v="0"/>
    <n v="0"/>
    <n v="0"/>
    <n v="0"/>
    <m/>
    <m/>
  </r>
  <r>
    <n v="0"/>
    <s v="CMS S.60.10.000"/>
    <x v="1"/>
    <m/>
    <m/>
    <m/>
    <x v="0"/>
    <m/>
    <m/>
    <x v="0"/>
    <x v="0"/>
    <s v="LINHA DO CIRCUITO ULTRAFINO LINHA DE DESCARGA DO DISTRIBUIDOR DI 145A-9905"/>
    <s v="SC-026"/>
    <s v="SP 8362 D"/>
    <m/>
    <s v="1450AA-S-58362"/>
    <n v="1"/>
    <s v="PÇ"/>
    <n v="3.1"/>
    <n v="3.1"/>
    <n v="0"/>
    <n v="0"/>
    <n v="0"/>
    <n v="0.9"/>
    <n v="0.1"/>
    <m/>
    <m/>
    <x v="0"/>
    <n v="0"/>
    <m/>
    <n v="0"/>
    <n v="3.1"/>
    <m/>
    <n v="0"/>
    <n v="0"/>
    <n v="0"/>
    <m/>
    <m/>
    <m/>
    <n v="0"/>
    <n v="0"/>
    <n v="0"/>
    <n v="0"/>
    <m/>
    <m/>
  </r>
  <r>
    <n v="0"/>
    <s v="CMS S.60.10.000"/>
    <x v="1"/>
    <m/>
    <m/>
    <m/>
    <x v="0"/>
    <m/>
    <m/>
    <x v="0"/>
    <x v="0"/>
    <s v="LINHA DO CIRCUITO ULTRAFINO LINHA DE DESCARGA DO DISTRIBUIDOR DI 145A-9905"/>
    <s v="SC-026"/>
    <s v="SP 8362 E"/>
    <m/>
    <s v="1450AA-S-58362"/>
    <n v="4"/>
    <s v="PÇ"/>
    <n v="38"/>
    <n v="152"/>
    <n v="0"/>
    <n v="0"/>
    <n v="0"/>
    <n v="0.9"/>
    <n v="0.1"/>
    <m/>
    <m/>
    <x v="0"/>
    <n v="0"/>
    <m/>
    <n v="0"/>
    <n v="152"/>
    <m/>
    <n v="0"/>
    <n v="0"/>
    <n v="0"/>
    <m/>
    <m/>
    <m/>
    <n v="0"/>
    <n v="0"/>
    <n v="0"/>
    <n v="0"/>
    <m/>
    <m/>
  </r>
  <r>
    <n v="0"/>
    <s v="CMS S.60.10.000"/>
    <x v="1"/>
    <m/>
    <m/>
    <m/>
    <x v="0"/>
    <m/>
    <m/>
    <x v="0"/>
    <x v="0"/>
    <s v="LINHA DO CIRCUITO ULTRAFINO LINHA DE DESCARGA DO DISTRIBUIDOR DI 145A-9905"/>
    <s v="SC-026"/>
    <s v="SP 8362 F"/>
    <m/>
    <s v="1450AA-S-58362"/>
    <n v="2"/>
    <s v="PÇ"/>
    <n v="41.9"/>
    <n v="83.8"/>
    <n v="0"/>
    <n v="0"/>
    <n v="0"/>
    <n v="0.9"/>
    <n v="0.1"/>
    <m/>
    <m/>
    <x v="0"/>
    <n v="0"/>
    <m/>
    <n v="0"/>
    <n v="83.8"/>
    <m/>
    <n v="0"/>
    <n v="0"/>
    <n v="0"/>
    <m/>
    <m/>
    <m/>
    <n v="0"/>
    <n v="0"/>
    <n v="0"/>
    <n v="0"/>
    <m/>
    <m/>
  </r>
  <r>
    <n v="0"/>
    <s v="CMS S.60.10.000"/>
    <x v="1"/>
    <m/>
    <m/>
    <m/>
    <x v="0"/>
    <m/>
    <m/>
    <x v="0"/>
    <x v="0"/>
    <s v="LINHA DO CIRCUITO ULTRAFINO LINHA DE DESCARGA DO DISTRIBUIDOR DI 145A-9905"/>
    <s v="SC-026"/>
    <s v="SP 8362 L"/>
    <m/>
    <s v="1450AA-S-58362"/>
    <n v="2"/>
    <s v="PÇ"/>
    <n v="13.3"/>
    <n v="26.6"/>
    <n v="0"/>
    <n v="0"/>
    <n v="0"/>
    <n v="0.9"/>
    <n v="0.1"/>
    <m/>
    <m/>
    <x v="0"/>
    <n v="0"/>
    <m/>
    <n v="0"/>
    <n v="26.6"/>
    <m/>
    <n v="0"/>
    <n v="0"/>
    <n v="0"/>
    <m/>
    <m/>
    <m/>
    <n v="0"/>
    <n v="0"/>
    <n v="0"/>
    <n v="0"/>
    <m/>
    <m/>
  </r>
  <r>
    <n v="0"/>
    <s v="CMS S.60.10.000"/>
    <x v="1"/>
    <m/>
    <m/>
    <m/>
    <x v="0"/>
    <m/>
    <m/>
    <x v="0"/>
    <x v="0"/>
    <s v="LINHA DO CIRCUITO ULTRAFINO LINHA DE DESCARGA DO DISTRIBUIDOR DI 145A-9905"/>
    <s v="SC-026"/>
    <s v="SP 8362 M"/>
    <m/>
    <s v="1450AA-S-58362"/>
    <n v="8"/>
    <s v="PÇ"/>
    <n v="14.9"/>
    <n v="119.2"/>
    <n v="0"/>
    <n v="0"/>
    <n v="0"/>
    <n v="0.9"/>
    <n v="0.1"/>
    <m/>
    <m/>
    <x v="0"/>
    <n v="0"/>
    <m/>
    <n v="0"/>
    <n v="119.2"/>
    <m/>
    <n v="0"/>
    <n v="0"/>
    <n v="0"/>
    <m/>
    <m/>
    <m/>
    <n v="0"/>
    <n v="0"/>
    <n v="0"/>
    <n v="0"/>
    <m/>
    <m/>
  </r>
  <r>
    <n v="0"/>
    <s v="CMS S.60.10.000"/>
    <x v="1"/>
    <m/>
    <m/>
    <m/>
    <x v="0"/>
    <m/>
    <m/>
    <x v="0"/>
    <x v="0"/>
    <s v="LINHA DO CIRCUITO ULTRAFINO LINHA DE DESCARGA DO DISTRIBUIDOR DI 145A-9905"/>
    <s v="SC-026"/>
    <s v="SP 8362 N"/>
    <m/>
    <s v="1450AA-S-58362"/>
    <n v="1"/>
    <s v="PÇ"/>
    <n v="11.8"/>
    <n v="11.8"/>
    <n v="0"/>
    <n v="0"/>
    <n v="0"/>
    <n v="0.9"/>
    <n v="0.1"/>
    <m/>
    <m/>
    <x v="0"/>
    <n v="0"/>
    <m/>
    <n v="0"/>
    <n v="11.8"/>
    <m/>
    <n v="0"/>
    <n v="0"/>
    <n v="0"/>
    <m/>
    <m/>
    <m/>
    <n v="0"/>
    <n v="0"/>
    <n v="0"/>
    <n v="0"/>
    <m/>
    <m/>
  </r>
  <r>
    <n v="0"/>
    <s v="CMS S.60.10.000"/>
    <x v="1"/>
    <m/>
    <m/>
    <m/>
    <x v="0"/>
    <m/>
    <m/>
    <x v="0"/>
    <x v="0"/>
    <s v="LINHA DO CIRCUITO ULTRAFINO LINHA DE DESCARGA DO DISTRIBUIDOR DI 145A-9905"/>
    <s v="SC-026"/>
    <s v="SP 8362 P"/>
    <m/>
    <s v="1450AA-S-58362"/>
    <n v="1"/>
    <s v="PÇ"/>
    <n v="63.5"/>
    <n v="63.5"/>
    <n v="0"/>
    <n v="0"/>
    <n v="0"/>
    <n v="0.9"/>
    <n v="0.1"/>
    <m/>
    <m/>
    <x v="0"/>
    <n v="0"/>
    <m/>
    <n v="0"/>
    <n v="63.5"/>
    <m/>
    <n v="0"/>
    <n v="0"/>
    <n v="0"/>
    <m/>
    <m/>
    <m/>
    <n v="0"/>
    <n v="0"/>
    <n v="0"/>
    <n v="0"/>
    <m/>
    <m/>
  </r>
  <r>
    <n v="0"/>
    <s v="CMS S.60.10.000"/>
    <x v="1"/>
    <m/>
    <m/>
    <m/>
    <x v="0"/>
    <m/>
    <m/>
    <x v="0"/>
    <x v="0"/>
    <s v="LINHA DO CIRCUITO ULTRAFINO LINHA DE DESCARGA DO DISTRIBUIDOR DI 145A-9906"/>
    <s v="SC-026"/>
    <s v="SP 8363 A"/>
    <m/>
    <s v="1450AA-S-58363"/>
    <n v="1"/>
    <s v="PÇ"/>
    <n v="11.5"/>
    <n v="11.5"/>
    <n v="0"/>
    <n v="0"/>
    <n v="0"/>
    <n v="0.9"/>
    <n v="0.1"/>
    <m/>
    <m/>
    <x v="0"/>
    <n v="0"/>
    <m/>
    <n v="0"/>
    <n v="11.5"/>
    <m/>
    <n v="0"/>
    <n v="0"/>
    <n v="0"/>
    <m/>
    <m/>
    <m/>
    <n v="0"/>
    <n v="0"/>
    <n v="0"/>
    <n v="0"/>
    <m/>
    <m/>
  </r>
  <r>
    <n v="0"/>
    <s v="CMS S.60.10.000"/>
    <x v="1"/>
    <m/>
    <m/>
    <m/>
    <x v="0"/>
    <m/>
    <m/>
    <x v="0"/>
    <x v="0"/>
    <s v="LINHA DO CIRCUITO ULTRAFINO LINHA DE DESCARGA DO DISTRIBUIDOR DI 145A-9906"/>
    <s v="SC-026"/>
    <s v="SP 8363 B"/>
    <m/>
    <s v="1450AA-S-58363"/>
    <n v="1"/>
    <s v="PÇ"/>
    <n v="9.9"/>
    <n v="9.9"/>
    <n v="0"/>
    <n v="0"/>
    <n v="0"/>
    <n v="0.9"/>
    <n v="0.1"/>
    <m/>
    <m/>
    <x v="0"/>
    <n v="0"/>
    <m/>
    <n v="0"/>
    <n v="9.9"/>
    <m/>
    <n v="0"/>
    <n v="0"/>
    <n v="0"/>
    <m/>
    <m/>
    <m/>
    <n v="0"/>
    <n v="0"/>
    <n v="0"/>
    <n v="0"/>
    <m/>
    <m/>
  </r>
  <r>
    <n v="0"/>
    <s v="CMS S.60.10.000"/>
    <x v="1"/>
    <m/>
    <m/>
    <m/>
    <x v="0"/>
    <m/>
    <m/>
    <x v="0"/>
    <x v="0"/>
    <s v="LINHA DO CIRCUITO ULTRAFINO LINHA DE DESCARGA DO DISTRIBUIDOR DI 145A-9906"/>
    <s v="SC-026"/>
    <s v="SP 8363 C"/>
    <m/>
    <s v="1450AA-S-58363"/>
    <n v="8"/>
    <s v="PÇ"/>
    <n v="7.8"/>
    <n v="62.4"/>
    <n v="0"/>
    <n v="0"/>
    <n v="0"/>
    <n v="0.9"/>
    <n v="0.1"/>
    <m/>
    <m/>
    <x v="0"/>
    <n v="0"/>
    <m/>
    <n v="0"/>
    <n v="62.4"/>
    <m/>
    <n v="0"/>
    <n v="0"/>
    <n v="0"/>
    <m/>
    <m/>
    <m/>
    <n v="0"/>
    <n v="0"/>
    <n v="0"/>
    <n v="0"/>
    <m/>
    <m/>
  </r>
  <r>
    <n v="0"/>
    <s v="CMS S.60.10.000"/>
    <x v="1"/>
    <m/>
    <m/>
    <m/>
    <x v="0"/>
    <m/>
    <m/>
    <x v="0"/>
    <x v="0"/>
    <s v="LINHA DO CIRCUITO ULTRAFINO LINHA DE DESCARGA DO DISTRIBUIDOR DI 145A-9906"/>
    <s v="SC-026"/>
    <s v="SP 8363 D"/>
    <m/>
    <s v="1450AA-S-58363"/>
    <n v="8"/>
    <s v="PÇ"/>
    <n v="10"/>
    <n v="80"/>
    <n v="0"/>
    <n v="0"/>
    <n v="0"/>
    <n v="0.9"/>
    <n v="0.1"/>
    <m/>
    <m/>
    <x v="0"/>
    <n v="0"/>
    <m/>
    <n v="0"/>
    <n v="80"/>
    <m/>
    <n v="0"/>
    <n v="0"/>
    <n v="0"/>
    <m/>
    <m/>
    <m/>
    <n v="0"/>
    <n v="0"/>
    <n v="0"/>
    <n v="0"/>
    <m/>
    <m/>
  </r>
  <r>
    <n v="0"/>
    <s v="CMS S.60.10.000"/>
    <x v="1"/>
    <m/>
    <m/>
    <m/>
    <x v="0"/>
    <m/>
    <m/>
    <x v="0"/>
    <x v="0"/>
    <s v="LINHA DO CIRCUITO ULTRAFINO LINHA DE DESCARGA DO DISTRIBUIDOR DI 145A-9906"/>
    <s v="SC-026"/>
    <s v="SP 8363 E"/>
    <m/>
    <s v="1450AA-S-58363"/>
    <n v="1"/>
    <s v="PÇ"/>
    <n v="12.7"/>
    <n v="12.7"/>
    <n v="0"/>
    <n v="0"/>
    <n v="0"/>
    <n v="0.9"/>
    <n v="0.1"/>
    <m/>
    <m/>
    <x v="0"/>
    <n v="0"/>
    <m/>
    <n v="0"/>
    <n v="12.7"/>
    <m/>
    <n v="0"/>
    <n v="0"/>
    <n v="0"/>
    <m/>
    <m/>
    <m/>
    <n v="0"/>
    <n v="0"/>
    <n v="0"/>
    <n v="0"/>
    <m/>
    <m/>
  </r>
  <r>
    <n v="0"/>
    <s v="CMS S.60.10.000"/>
    <x v="1"/>
    <m/>
    <m/>
    <m/>
    <x v="0"/>
    <m/>
    <m/>
    <x v="0"/>
    <x v="0"/>
    <s v="LINHA DO CIRCUITO ULTRAFINO LINHA DE DESCARGA DO DISTRIBUIDOR DI 145A-9906"/>
    <s v="SC-026"/>
    <s v="SP 8363 F"/>
    <m/>
    <s v="1450AA-S-58363"/>
    <n v="1"/>
    <s v="PÇ"/>
    <n v="11"/>
    <n v="11"/>
    <n v="0"/>
    <n v="0"/>
    <n v="0"/>
    <n v="0.9"/>
    <n v="0.1"/>
    <m/>
    <m/>
    <x v="0"/>
    <n v="0"/>
    <m/>
    <n v="0"/>
    <n v="11"/>
    <m/>
    <n v="0"/>
    <n v="0"/>
    <n v="0"/>
    <m/>
    <m/>
    <m/>
    <n v="0"/>
    <n v="0"/>
    <n v="0"/>
    <n v="0"/>
    <m/>
    <m/>
  </r>
  <r>
    <n v="0"/>
    <s v="CMS S.60.10.000"/>
    <x v="1"/>
    <m/>
    <m/>
    <m/>
    <x v="0"/>
    <m/>
    <m/>
    <x v="0"/>
    <x v="0"/>
    <s v="LINHA DO CIRCUITO ULTRAFINO LINHA DE DESCARGA DO DISTRIBUIDOR DI 145A-9906"/>
    <s v="SC-026"/>
    <s v="SP 8363 G"/>
    <m/>
    <s v="1450AA-S-58363"/>
    <n v="1"/>
    <s v="PÇ"/>
    <n v="0.70000000000000007"/>
    <n v="0.70000000000000007"/>
    <n v="0"/>
    <n v="0"/>
    <n v="0"/>
    <n v="0.9"/>
    <n v="0.1"/>
    <m/>
    <m/>
    <x v="0"/>
    <n v="0"/>
    <m/>
    <n v="0"/>
    <n v="0.70000000000000007"/>
    <m/>
    <n v="0"/>
    <n v="0"/>
    <n v="0"/>
    <m/>
    <m/>
    <m/>
    <n v="0"/>
    <n v="0"/>
    <n v="0"/>
    <n v="0"/>
    <m/>
    <m/>
  </r>
  <r>
    <n v="0"/>
    <s v="CMS S.60.10.000"/>
    <x v="1"/>
    <m/>
    <m/>
    <m/>
    <x v="0"/>
    <m/>
    <m/>
    <x v="0"/>
    <x v="0"/>
    <s v="LINHA DO CIRCUITO ULTRAFINO LINHA DE DESCARGA DO DISTRIBUIDOR DI 145A-9906"/>
    <s v="SC-026"/>
    <s v="SP 8363 K"/>
    <m/>
    <s v="1450AA-S-58363"/>
    <n v="2"/>
    <s v="PÇ"/>
    <n v="10.200000000000001"/>
    <n v="20.400000000000002"/>
    <n v="0"/>
    <n v="0"/>
    <n v="0"/>
    <n v="0.9"/>
    <n v="0.1"/>
    <m/>
    <m/>
    <x v="0"/>
    <n v="0"/>
    <m/>
    <n v="0"/>
    <n v="20.400000000000002"/>
    <m/>
    <n v="0"/>
    <n v="0"/>
    <n v="0"/>
    <m/>
    <m/>
    <m/>
    <n v="0"/>
    <n v="0"/>
    <n v="0"/>
    <n v="0"/>
    <m/>
    <m/>
  </r>
  <r>
    <n v="0"/>
    <s v="CMS S.60.10.000"/>
    <x v="1"/>
    <m/>
    <m/>
    <m/>
    <x v="0"/>
    <m/>
    <m/>
    <x v="0"/>
    <x v="0"/>
    <s v="LINHA DO CIRCUITO ULTRAFINO LINHA DE DESCARGA DO DISTRIBUIDOR DI 145A-9906"/>
    <s v="SC-026"/>
    <s v="SP 8363 L"/>
    <m/>
    <s v="1450AA-S-58363"/>
    <n v="7"/>
    <s v="PÇ"/>
    <n v="85.2"/>
    <n v="596.4"/>
    <n v="0"/>
    <n v="0"/>
    <n v="0"/>
    <n v="0.9"/>
    <n v="0.1"/>
    <m/>
    <m/>
    <x v="0"/>
    <n v="0"/>
    <m/>
    <n v="0"/>
    <n v="596.4"/>
    <m/>
    <n v="0"/>
    <n v="0"/>
    <n v="0"/>
    <m/>
    <m/>
    <m/>
    <n v="0"/>
    <n v="0"/>
    <n v="0"/>
    <n v="0"/>
    <m/>
    <m/>
  </r>
  <r>
    <n v="0"/>
    <s v="CMS S.60.10.000"/>
    <x v="1"/>
    <m/>
    <m/>
    <m/>
    <x v="0"/>
    <m/>
    <m/>
    <x v="0"/>
    <x v="0"/>
    <s v="LINHA DO CIRCUITO ULTRAFINO LINHA DE DESCARGA DO DISTRIBUIDOR DI 145A-9906"/>
    <s v="SC-026"/>
    <s v="SP 8363 M"/>
    <m/>
    <s v="1450AA-S-58363"/>
    <n v="4"/>
    <s v="PÇ"/>
    <n v="3.4"/>
    <n v="13.6"/>
    <n v="0"/>
    <n v="0"/>
    <n v="0"/>
    <n v="0.9"/>
    <n v="0.1"/>
    <m/>
    <m/>
    <x v="0"/>
    <n v="0"/>
    <m/>
    <n v="0"/>
    <n v="13.6"/>
    <m/>
    <n v="0"/>
    <n v="0"/>
    <n v="0"/>
    <m/>
    <m/>
    <m/>
    <n v="0"/>
    <n v="0"/>
    <n v="0"/>
    <n v="0"/>
    <m/>
    <m/>
  </r>
  <r>
    <n v="0"/>
    <s v="CMS S.60.10.000"/>
    <x v="1"/>
    <m/>
    <m/>
    <m/>
    <x v="0"/>
    <m/>
    <m/>
    <x v="0"/>
    <x v="0"/>
    <s v="LINHA DO CIRCUITO ULTRAFINO LINHA DE DESCARGA DO DISTRIBUIDOR DI 145A-9906"/>
    <s v="SC-026"/>
    <s v="SP 8363 N"/>
    <m/>
    <s v="1450AA-S-58363"/>
    <n v="14"/>
    <s v="PÇ"/>
    <n v="44.6"/>
    <n v="624.4"/>
    <n v="0"/>
    <n v="0"/>
    <n v="0"/>
    <n v="0.9"/>
    <n v="0.1"/>
    <m/>
    <m/>
    <x v="0"/>
    <n v="0"/>
    <m/>
    <n v="0"/>
    <n v="624.4"/>
    <m/>
    <n v="0"/>
    <n v="0"/>
    <n v="0"/>
    <m/>
    <m/>
    <m/>
    <n v="0"/>
    <n v="0"/>
    <n v="0"/>
    <n v="0"/>
    <m/>
    <m/>
  </r>
  <r>
    <n v="0"/>
    <s v="CMS S.60.10.000"/>
    <x v="1"/>
    <m/>
    <m/>
    <m/>
    <x v="0"/>
    <m/>
    <m/>
    <x v="0"/>
    <x v="0"/>
    <s v="LINHA DO CIRCUITO ULTRAFINO LINHA DE DESCARGA DO DISTRIBUIDOR DI 145A-9906"/>
    <s v="SC-026"/>
    <s v="SP 8363 P"/>
    <m/>
    <s v="1450AA-S-58363"/>
    <n v="2"/>
    <s v="PÇ"/>
    <n v="7.5"/>
    <n v="15"/>
    <n v="0"/>
    <n v="0"/>
    <n v="0"/>
    <n v="0.9"/>
    <n v="0.1"/>
    <m/>
    <m/>
    <x v="0"/>
    <n v="0"/>
    <m/>
    <n v="0"/>
    <n v="15"/>
    <m/>
    <n v="0"/>
    <n v="0"/>
    <n v="0"/>
    <m/>
    <m/>
    <m/>
    <n v="0"/>
    <n v="0"/>
    <n v="0"/>
    <n v="0"/>
    <m/>
    <m/>
  </r>
  <r>
    <n v="0"/>
    <s v="CMS S.60.10.000"/>
    <x v="1"/>
    <m/>
    <m/>
    <m/>
    <x v="0"/>
    <m/>
    <m/>
    <x v="0"/>
    <x v="0"/>
    <s v="LINHA DO CIRCUITO ULTRAFINO LINHA DE DESCARGA DO DISTRIBUIDOR DI 145A-9906"/>
    <s v="SC-026"/>
    <s v="SP 8363 Q"/>
    <m/>
    <s v="1450AA-S-58363"/>
    <n v="2"/>
    <s v="PÇ"/>
    <n v="5.6000000000000005"/>
    <n v="11.200000000000001"/>
    <n v="0"/>
    <n v="0"/>
    <n v="0"/>
    <n v="0.9"/>
    <n v="0.1"/>
    <m/>
    <m/>
    <x v="0"/>
    <n v="0"/>
    <m/>
    <n v="0"/>
    <n v="11.200000000000001"/>
    <m/>
    <n v="0"/>
    <n v="0"/>
    <n v="0"/>
    <m/>
    <m/>
    <m/>
    <n v="0"/>
    <n v="0"/>
    <n v="0"/>
    <n v="0"/>
    <m/>
    <m/>
  </r>
  <r>
    <n v="0"/>
    <s v="CMS S.60.10.000"/>
    <x v="1"/>
    <m/>
    <m/>
    <m/>
    <x v="0"/>
    <m/>
    <m/>
    <x v="0"/>
    <x v="0"/>
    <s v="LINHA DO CIRCUITO ULTRAFINO LINHA DE DESCARGA DO DISTRIBUIDOR DI 145A-9906"/>
    <s v="SC-026"/>
    <s v="SP 8363 R"/>
    <m/>
    <s v="1450AA-S-58363"/>
    <n v="7"/>
    <s v="PÇ"/>
    <n v="3.6"/>
    <n v="25.2"/>
    <n v="0"/>
    <n v="0"/>
    <n v="0"/>
    <n v="0.9"/>
    <n v="0.1"/>
    <m/>
    <m/>
    <x v="0"/>
    <n v="0"/>
    <m/>
    <n v="0"/>
    <n v="25.2"/>
    <m/>
    <n v="0"/>
    <n v="0"/>
    <n v="0"/>
    <m/>
    <m/>
    <m/>
    <n v="0"/>
    <n v="0"/>
    <n v="0"/>
    <n v="0"/>
    <m/>
    <m/>
  </r>
  <r>
    <n v="0"/>
    <s v="CMS S.60.10.000"/>
    <x v="1"/>
    <m/>
    <m/>
    <m/>
    <x v="0"/>
    <m/>
    <m/>
    <x v="0"/>
    <x v="0"/>
    <s v="LINHA DO CIRCUITO ULTRAFINO LINHA DE DESCARGA DO DISTRIBUIDOR DI 145A-9906"/>
    <s v="SC-026"/>
    <s v="SP 8363 S"/>
    <m/>
    <s v="1450AA-S-58363"/>
    <n v="1"/>
    <s v="PÇ"/>
    <n v="25.5"/>
    <n v="25.5"/>
    <n v="0"/>
    <n v="0"/>
    <n v="0"/>
    <n v="0.9"/>
    <n v="0.1"/>
    <m/>
    <m/>
    <x v="0"/>
    <n v="0"/>
    <m/>
    <n v="0"/>
    <n v="25.5"/>
    <m/>
    <n v="0"/>
    <n v="0"/>
    <n v="0"/>
    <m/>
    <m/>
    <m/>
    <n v="0"/>
    <n v="0"/>
    <n v="0"/>
    <n v="0"/>
    <m/>
    <m/>
  </r>
  <r>
    <n v="0"/>
    <s v="CMS S.60.10.000"/>
    <x v="1"/>
    <m/>
    <m/>
    <m/>
    <x v="0"/>
    <m/>
    <m/>
    <x v="0"/>
    <x v="0"/>
    <s v="LINHA DO CIRCUITO ULTRAFINO LINHA DE DESCARGA DO DISTRIBUIDOR DI 145A-9906"/>
    <s v="SC-026"/>
    <s v="SP 8363 T"/>
    <m/>
    <s v="1450AA-S-58363"/>
    <n v="1"/>
    <s v="PÇ"/>
    <n v="21.5"/>
    <n v="21.5"/>
    <n v="0"/>
    <n v="0"/>
    <n v="0"/>
    <n v="0.9"/>
    <n v="0.1"/>
    <m/>
    <m/>
    <x v="0"/>
    <n v="0"/>
    <m/>
    <n v="0"/>
    <n v="21.5"/>
    <m/>
    <n v="0"/>
    <n v="0"/>
    <n v="0"/>
    <m/>
    <m/>
    <m/>
    <n v="0"/>
    <n v="0"/>
    <n v="0"/>
    <n v="0"/>
    <m/>
    <m/>
  </r>
  <r>
    <n v="0"/>
    <s v="CMS S.60.10.000"/>
    <x v="1"/>
    <m/>
    <m/>
    <m/>
    <x v="0"/>
    <m/>
    <m/>
    <x v="0"/>
    <x v="0"/>
    <s v="LINHA DO CIRCUITO ULTRAFINO LINHA DE DESCARGA DO DISTRIBUIDOR DI 145A-9906"/>
    <s v="SC-026"/>
    <s v="SP 8363 U"/>
    <m/>
    <s v="1450AA-S-58363"/>
    <n v="4"/>
    <s v="PÇ"/>
    <n v="21.4"/>
    <n v="85.6"/>
    <n v="0"/>
    <n v="0"/>
    <n v="0"/>
    <n v="0.9"/>
    <n v="0.1"/>
    <m/>
    <m/>
    <x v="0"/>
    <n v="0"/>
    <m/>
    <n v="0"/>
    <n v="85.6"/>
    <m/>
    <n v="0"/>
    <n v="0"/>
    <n v="0"/>
    <m/>
    <m/>
    <m/>
    <n v="0"/>
    <n v="0"/>
    <n v="0"/>
    <n v="0"/>
    <m/>
    <m/>
  </r>
  <r>
    <n v="0"/>
    <s v="CMS S.60.10.000"/>
    <x v="1"/>
    <m/>
    <m/>
    <m/>
    <x v="0"/>
    <m/>
    <m/>
    <x v="0"/>
    <x v="0"/>
    <s v="LINHA DO CIRCUITO ULTRAFINO LINHA DE DESCARGA DO DISTRIBUIDOR DI 145A-9906"/>
    <s v="SC-026"/>
    <s v="SP 8363 V"/>
    <m/>
    <s v="1450AA-S-58363"/>
    <n v="4"/>
    <s v="PÇ"/>
    <n v="8.1999999999999993"/>
    <n v="32.799999999999997"/>
    <n v="0"/>
    <n v="0"/>
    <n v="0"/>
    <n v="0.9"/>
    <n v="0.1"/>
    <m/>
    <m/>
    <x v="0"/>
    <n v="0"/>
    <m/>
    <n v="0"/>
    <n v="32.799999999999997"/>
    <m/>
    <n v="0"/>
    <n v="0"/>
    <n v="0"/>
    <m/>
    <m/>
    <m/>
    <n v="0"/>
    <n v="0"/>
    <n v="0"/>
    <n v="0"/>
    <m/>
    <m/>
  </r>
  <r>
    <n v="0"/>
    <s v="CMS S.60.10.000"/>
    <x v="1"/>
    <m/>
    <m/>
    <m/>
    <x v="0"/>
    <m/>
    <m/>
    <x v="0"/>
    <x v="0"/>
    <s v="LINHA DO CIRCUITO ULTRAFINO LINHA DE DESCARGA DO DISTRIBUIDOR DI 145A-9906"/>
    <s v="SC-026"/>
    <s v="SP 8363 W"/>
    <m/>
    <s v="1450AA-S-58363"/>
    <n v="2"/>
    <s v="PÇ"/>
    <n v="9.3000000000000007"/>
    <n v="18.600000000000001"/>
    <n v="0"/>
    <n v="0"/>
    <n v="0"/>
    <n v="0.9"/>
    <n v="0.1"/>
    <m/>
    <m/>
    <x v="0"/>
    <n v="0"/>
    <m/>
    <n v="0"/>
    <n v="18.600000000000001"/>
    <m/>
    <n v="0"/>
    <n v="0"/>
    <n v="0"/>
    <m/>
    <m/>
    <m/>
    <n v="0"/>
    <n v="0"/>
    <n v="0"/>
    <n v="0"/>
    <m/>
    <m/>
  </r>
  <r>
    <n v="0"/>
    <s v="CMS S.60.10.000"/>
    <x v="1"/>
    <m/>
    <m/>
    <m/>
    <x v="0"/>
    <m/>
    <m/>
    <x v="0"/>
    <x v="0"/>
    <s v="LINHA DO CIRCUITO ULTRAFINO LINHA DE DESCARGA DO DISTRIBUIDOR DI 145A-9906"/>
    <s v="SC-026"/>
    <s v="SP 8363 X"/>
    <m/>
    <s v="1450AA-S-58363"/>
    <n v="2"/>
    <s v="PÇ"/>
    <n v="16.3"/>
    <n v="32.6"/>
    <n v="0"/>
    <n v="0"/>
    <n v="0"/>
    <n v="0.9"/>
    <n v="0.1"/>
    <m/>
    <m/>
    <x v="0"/>
    <n v="0"/>
    <m/>
    <n v="0"/>
    <n v="32.6"/>
    <m/>
    <n v="0"/>
    <n v="0"/>
    <n v="0"/>
    <m/>
    <m/>
    <m/>
    <n v="0"/>
    <n v="0"/>
    <n v="0"/>
    <n v="0"/>
    <m/>
    <m/>
  </r>
  <r>
    <n v="0"/>
    <s v="CMS S.60.10.000"/>
    <x v="1"/>
    <m/>
    <m/>
    <m/>
    <x v="0"/>
    <m/>
    <m/>
    <x v="0"/>
    <x v="0"/>
    <s v="LINHA DO CIRCUITO ULTRAFINO LINHA DE DESCARGA DO DISTRIBUIDOR DI 145A-9906"/>
    <s v="SC-026"/>
    <s v="SP 8363 Y"/>
    <m/>
    <s v="1450AA-S-58363"/>
    <n v="1"/>
    <s v="PÇ"/>
    <n v="10.5"/>
    <n v="10.5"/>
    <n v="0"/>
    <n v="0"/>
    <n v="0"/>
    <n v="0.9"/>
    <n v="0.1"/>
    <m/>
    <m/>
    <x v="0"/>
    <n v="0"/>
    <m/>
    <n v="0"/>
    <n v="10.5"/>
    <m/>
    <n v="0"/>
    <n v="0"/>
    <n v="0"/>
    <m/>
    <m/>
    <m/>
    <n v="0"/>
    <n v="0"/>
    <n v="0"/>
    <n v="0"/>
    <m/>
    <m/>
  </r>
  <r>
    <n v="0"/>
    <s v="CMS S.60.10.000"/>
    <x v="1"/>
    <m/>
    <m/>
    <m/>
    <x v="0"/>
    <m/>
    <m/>
    <x v="0"/>
    <x v="0"/>
    <s v="LINHA DO CIRCUITO ULTRAFINO LINHA DE DESCARGA DO DISTRIBUIDOR DI 145A-9906"/>
    <s v="SC-026"/>
    <s v="SP 8363 Z"/>
    <m/>
    <s v="1450AA-S-58363"/>
    <n v="4"/>
    <s v="PÇ"/>
    <n v="21.2"/>
    <n v="84.8"/>
    <n v="0"/>
    <n v="0"/>
    <n v="0"/>
    <n v="0.9"/>
    <n v="0.1"/>
    <m/>
    <m/>
    <x v="0"/>
    <n v="0"/>
    <m/>
    <n v="0"/>
    <n v="84.8"/>
    <m/>
    <n v="0"/>
    <n v="0"/>
    <n v="0"/>
    <m/>
    <m/>
    <m/>
    <n v="0"/>
    <n v="0"/>
    <n v="0"/>
    <n v="0"/>
    <m/>
    <m/>
  </r>
  <r>
    <n v="0"/>
    <s v="CMS S.60.10.000"/>
    <x v="1"/>
    <m/>
    <m/>
    <m/>
    <x v="0"/>
    <m/>
    <m/>
    <x v="0"/>
    <x v="0"/>
    <s v="LINHA DO CIRCUITO ULTRAFINO LINHA DE DESCARGA DO DISTRIBUIDOR DI 145A-9906"/>
    <s v="SC-026"/>
    <s v="SP 8363 AA"/>
    <m/>
    <s v="1450AA-S-58363"/>
    <n v="2"/>
    <s v="PÇ"/>
    <n v="1.3"/>
    <n v="2.6"/>
    <n v="0"/>
    <n v="0"/>
    <n v="0"/>
    <n v="0.9"/>
    <n v="0.1"/>
    <m/>
    <m/>
    <x v="0"/>
    <n v="0"/>
    <m/>
    <n v="0"/>
    <n v="2.6"/>
    <m/>
    <n v="0"/>
    <n v="0"/>
    <n v="0"/>
    <m/>
    <m/>
    <m/>
    <n v="0"/>
    <n v="0"/>
    <n v="0"/>
    <n v="0"/>
    <m/>
    <m/>
  </r>
  <r>
    <n v="0"/>
    <s v="CMS S.60.10.000"/>
    <x v="1"/>
    <m/>
    <m/>
    <m/>
    <x v="0"/>
    <m/>
    <m/>
    <x v="0"/>
    <x v="0"/>
    <s v="LINHA DE ALIMENTAÇÃO DOS DISTRIBUIDORES DI-145A-9904/9905/9906/9907/9908"/>
    <s v="SC-026"/>
    <s v="SP 8358 A"/>
    <m/>
    <s v="1450AA-S-58358"/>
    <n v="2"/>
    <s v="PÇ"/>
    <n v="12.1"/>
    <n v="24.2"/>
    <n v="0"/>
    <n v="0"/>
    <n v="0"/>
    <n v="0.9"/>
    <n v="0.1"/>
    <m/>
    <m/>
    <x v="0"/>
    <n v="0"/>
    <m/>
    <n v="0"/>
    <n v="24.2"/>
    <m/>
    <n v="0"/>
    <n v="0"/>
    <n v="0"/>
    <m/>
    <m/>
    <m/>
    <n v="0"/>
    <n v="0"/>
    <n v="0"/>
    <n v="0"/>
    <m/>
    <m/>
  </r>
  <r>
    <n v="0"/>
    <s v="CMS S.60.10.000"/>
    <x v="1"/>
    <m/>
    <m/>
    <m/>
    <x v="0"/>
    <m/>
    <m/>
    <x v="0"/>
    <x v="0"/>
    <s v="LINHA DE ALIMENTAÇÃO DOS DISTRIBUIDORES DI-145A-9904/9905/9906/9907/9908"/>
    <s v="SC-026"/>
    <s v="SP 8358 B"/>
    <m/>
    <s v="1450AA-S-58358"/>
    <n v="2"/>
    <s v="PÇ"/>
    <n v="11.8"/>
    <n v="23.6"/>
    <n v="0"/>
    <n v="0"/>
    <n v="0"/>
    <n v="0.9"/>
    <n v="0.1"/>
    <m/>
    <m/>
    <x v="0"/>
    <n v="0"/>
    <m/>
    <n v="0"/>
    <n v="23.6"/>
    <m/>
    <n v="0"/>
    <n v="0"/>
    <n v="0"/>
    <m/>
    <m/>
    <m/>
    <n v="0"/>
    <n v="0"/>
    <n v="0"/>
    <n v="0"/>
    <m/>
    <m/>
  </r>
  <r>
    <n v="0"/>
    <s v="CMS S.60.10.000"/>
    <x v="1"/>
    <m/>
    <m/>
    <m/>
    <x v="0"/>
    <m/>
    <m/>
    <x v="0"/>
    <x v="0"/>
    <s v="LINHA DE ALIMENTAÇÃO DOS DISTRIBUIDORES DI-145A-9904/9905/9906/9907/9908"/>
    <s v="SC-026"/>
    <s v="SP 8358 C"/>
    <m/>
    <s v="1450AA-S-58358"/>
    <n v="1"/>
    <s v="PÇ"/>
    <n v="12"/>
    <n v="12"/>
    <n v="0"/>
    <n v="0"/>
    <n v="0"/>
    <n v="0.9"/>
    <n v="0.1"/>
    <m/>
    <m/>
    <x v="0"/>
    <n v="0"/>
    <m/>
    <n v="0"/>
    <n v="12"/>
    <m/>
    <n v="0"/>
    <n v="0"/>
    <n v="0"/>
    <m/>
    <m/>
    <m/>
    <n v="0"/>
    <n v="0"/>
    <n v="0"/>
    <n v="0"/>
    <m/>
    <m/>
  </r>
  <r>
    <n v="0"/>
    <s v="CMS S.60.10.000"/>
    <x v="1"/>
    <m/>
    <m/>
    <m/>
    <x v="0"/>
    <m/>
    <m/>
    <x v="0"/>
    <x v="0"/>
    <s v="LINHA DE ALIMENTAÇÃO DOS DISTRIBUIDORES DI-145A-9904/9905/9906/9907/9908"/>
    <s v="SC-026"/>
    <s v="SP 8358 D"/>
    <m/>
    <s v="1450AA-S-58358"/>
    <n v="1"/>
    <s v="PÇ"/>
    <n v="13.3"/>
    <n v="13.3"/>
    <n v="0"/>
    <n v="0"/>
    <n v="0"/>
    <n v="0.9"/>
    <n v="0.1"/>
    <m/>
    <m/>
    <x v="0"/>
    <n v="0"/>
    <m/>
    <n v="0"/>
    <n v="13.3"/>
    <m/>
    <n v="0"/>
    <n v="0"/>
    <n v="0"/>
    <m/>
    <m/>
    <m/>
    <n v="0"/>
    <n v="0"/>
    <n v="0"/>
    <n v="0"/>
    <m/>
    <m/>
  </r>
  <r>
    <n v="0"/>
    <s v="CMS S.60.10.000"/>
    <x v="1"/>
    <m/>
    <m/>
    <m/>
    <x v="0"/>
    <m/>
    <m/>
    <x v="0"/>
    <x v="0"/>
    <s v="LINHA DE ALIMENTAÇÃO DOS DISTRIBUIDORES DI-145A-9904/9905/9906/9907/9908"/>
    <s v="SC-026"/>
    <s v="SP 8358 E"/>
    <m/>
    <s v="1450AA-S-58358"/>
    <n v="1"/>
    <s v="PÇ"/>
    <n v="13.200000000000001"/>
    <n v="13.200000000000001"/>
    <n v="0"/>
    <n v="0"/>
    <n v="0"/>
    <n v="0.9"/>
    <n v="0.1"/>
    <m/>
    <m/>
    <x v="0"/>
    <n v="0"/>
    <m/>
    <n v="0"/>
    <n v="13.200000000000001"/>
    <m/>
    <n v="0"/>
    <n v="0"/>
    <n v="0"/>
    <m/>
    <m/>
    <m/>
    <n v="0"/>
    <n v="0"/>
    <n v="0"/>
    <n v="0"/>
    <m/>
    <m/>
  </r>
  <r>
    <n v="0"/>
    <s v="CMS S.60.10.000"/>
    <x v="1"/>
    <m/>
    <m/>
    <m/>
    <x v="0"/>
    <m/>
    <m/>
    <x v="0"/>
    <x v="0"/>
    <s v="LINHA DE ALIMENTAÇÃO DOS DISTRIBUIDORES DI-145A-9904/9905/9906/9907/9908"/>
    <s v="SC-026"/>
    <s v="SP 8358 F"/>
    <m/>
    <s v="1450AA-S-58358"/>
    <n v="1"/>
    <s v="PÇ"/>
    <n v="16.399999999999999"/>
    <n v="16.399999999999999"/>
    <n v="0"/>
    <n v="0"/>
    <n v="0"/>
    <n v="0.9"/>
    <n v="0.1"/>
    <m/>
    <m/>
    <x v="0"/>
    <n v="0"/>
    <m/>
    <n v="0"/>
    <n v="16.399999999999999"/>
    <m/>
    <n v="0"/>
    <n v="0"/>
    <n v="0"/>
    <m/>
    <m/>
    <m/>
    <n v="0"/>
    <n v="0"/>
    <n v="0"/>
    <n v="0"/>
    <m/>
    <m/>
  </r>
  <r>
    <n v="0"/>
    <s v="CMS S.60.10.000"/>
    <x v="1"/>
    <m/>
    <m/>
    <m/>
    <x v="0"/>
    <m/>
    <m/>
    <x v="0"/>
    <x v="0"/>
    <s v="LINHA DE ALIMENTAÇÃO DOS DISTRIBUIDORES DI-145A-9904/9905/9906/9907/9908"/>
    <s v="SC-026"/>
    <s v="SP 8358 G"/>
    <m/>
    <s v="1450AA-S-58358"/>
    <n v="1"/>
    <s v="PÇ"/>
    <n v="14.799999999999999"/>
    <n v="14.799999999999999"/>
    <n v="0"/>
    <n v="0"/>
    <n v="0"/>
    <n v="0.9"/>
    <n v="0.1"/>
    <m/>
    <m/>
    <x v="0"/>
    <n v="0"/>
    <m/>
    <n v="0"/>
    <n v="14.799999999999999"/>
    <m/>
    <n v="0"/>
    <n v="0"/>
    <n v="0"/>
    <m/>
    <m/>
    <m/>
    <n v="0"/>
    <n v="0"/>
    <n v="0"/>
    <n v="0"/>
    <m/>
    <m/>
  </r>
  <r>
    <n v="0"/>
    <s v="CMS S.60.10.000"/>
    <x v="1"/>
    <m/>
    <m/>
    <m/>
    <x v="0"/>
    <m/>
    <m/>
    <x v="0"/>
    <x v="0"/>
    <s v="LINHA DE ALIMENTAÇÃO DOS DISTRIBUIDORES DI-145A-9904/9905/9906/9907/9908"/>
    <s v="SC-026"/>
    <s v="SP 8358 H"/>
    <m/>
    <s v="1450AA-S-58358"/>
    <n v="4"/>
    <s v="PÇ"/>
    <n v="180.3"/>
    <n v="721.2"/>
    <n v="0"/>
    <n v="0"/>
    <n v="0"/>
    <n v="0.9"/>
    <n v="0.1"/>
    <m/>
    <m/>
    <x v="0"/>
    <n v="0"/>
    <m/>
    <n v="0"/>
    <n v="721.2"/>
    <m/>
    <n v="0"/>
    <n v="0"/>
    <n v="0"/>
    <m/>
    <m/>
    <m/>
    <n v="0"/>
    <n v="0"/>
    <n v="0"/>
    <n v="0"/>
    <m/>
    <m/>
  </r>
  <r>
    <n v="0"/>
    <s v="CMS S.60.10.000"/>
    <x v="1"/>
    <m/>
    <m/>
    <m/>
    <x v="0"/>
    <m/>
    <m/>
    <x v="0"/>
    <x v="0"/>
    <s v="LINHA DE ALIMENTAÇÃO DOS DISTRIBUIDORES DI-145A-9904/9905/9906/9907/9908"/>
    <s v="SC-026"/>
    <s v="SP 8358 J"/>
    <m/>
    <s v="1450AA-S-58358"/>
    <n v="8"/>
    <s v="PÇ"/>
    <n v="69.900000000000006"/>
    <n v="559.20000000000005"/>
    <n v="0"/>
    <n v="0"/>
    <n v="0"/>
    <n v="0.9"/>
    <n v="0.1"/>
    <m/>
    <m/>
    <x v="0"/>
    <n v="0"/>
    <m/>
    <n v="0"/>
    <n v="559.20000000000005"/>
    <m/>
    <n v="0"/>
    <n v="0"/>
    <n v="0"/>
    <m/>
    <m/>
    <m/>
    <n v="0"/>
    <n v="0"/>
    <n v="0"/>
    <n v="0"/>
    <m/>
    <m/>
  </r>
  <r>
    <n v="0"/>
    <s v="CMS S.60.10.000"/>
    <x v="1"/>
    <m/>
    <m/>
    <m/>
    <x v="0"/>
    <m/>
    <m/>
    <x v="0"/>
    <x v="0"/>
    <s v="LINHA DE ALIMENTAÇÃO DOS DISTRIBUIDORES DI-145A-9904/9905/9906/9907/9908"/>
    <s v="SC-026"/>
    <s v="SP 8358 K"/>
    <m/>
    <s v="1450AA-S-58358"/>
    <n v="14"/>
    <s v="PÇ"/>
    <n v="58.9"/>
    <n v="824.6"/>
    <n v="0"/>
    <n v="0"/>
    <n v="0"/>
    <n v="0.9"/>
    <n v="0.1"/>
    <m/>
    <m/>
    <x v="0"/>
    <n v="0"/>
    <m/>
    <n v="0"/>
    <n v="824.6"/>
    <m/>
    <n v="0"/>
    <n v="0"/>
    <n v="0"/>
    <m/>
    <m/>
    <m/>
    <n v="0"/>
    <n v="0"/>
    <n v="0"/>
    <n v="0"/>
    <m/>
    <m/>
  </r>
  <r>
    <n v="0"/>
    <s v="CMS S.60.10.000"/>
    <x v="1"/>
    <m/>
    <m/>
    <m/>
    <x v="0"/>
    <m/>
    <m/>
    <x v="0"/>
    <x v="0"/>
    <s v="LINHA DE ALIMENTAÇÃO DOS DISTRIBUIDORES DI-145A-9904/9905/9906/9907/9908"/>
    <s v="SC-026"/>
    <s v="SP 8358 L"/>
    <m/>
    <s v="1450AA-S-58358"/>
    <n v="2"/>
    <s v="PÇ"/>
    <n v="23.8"/>
    <n v="47.6"/>
    <n v="0"/>
    <n v="0"/>
    <n v="0"/>
    <n v="0.9"/>
    <n v="0.1"/>
    <m/>
    <m/>
    <x v="0"/>
    <n v="0"/>
    <m/>
    <n v="0"/>
    <n v="47.6"/>
    <m/>
    <n v="0"/>
    <n v="0"/>
    <n v="0"/>
    <m/>
    <m/>
    <m/>
    <n v="0"/>
    <n v="0"/>
    <n v="0"/>
    <n v="0"/>
    <m/>
    <m/>
  </r>
  <r>
    <m/>
    <m/>
    <x v="0"/>
    <m/>
    <m/>
    <m/>
    <x v="0"/>
    <m/>
    <m/>
    <x v="0"/>
    <x v="0"/>
    <m/>
    <m/>
    <m/>
    <m/>
    <m/>
    <m/>
    <m/>
    <m/>
    <m/>
    <m/>
    <m/>
    <m/>
    <m/>
    <m/>
    <m/>
    <m/>
    <x v="0"/>
    <m/>
    <m/>
    <m/>
    <m/>
    <m/>
    <m/>
    <m/>
    <m/>
    <m/>
    <m/>
    <m/>
    <m/>
    <m/>
    <m/>
    <m/>
    <m/>
    <m/>
  </r>
  <r>
    <s v="2.4.3.1.6"/>
    <s v="CMS M.60.10.000"/>
    <x v="2"/>
    <n v="1"/>
    <s v="SPOOL"/>
    <n v="16"/>
    <x v="1"/>
    <s v="SIM"/>
    <s v="NÃO"/>
    <x v="1"/>
    <x v="1"/>
    <s v="UNDER DO HIDROCICLONE HC- 145A-9913 PARA DISTRIBUIDOR DI- 145A-9911"/>
    <m/>
    <m/>
    <m/>
    <s v="1450AA-T-70215_FL10"/>
    <n v="1"/>
    <s v="PÇ"/>
    <n v="0.48499999999999999"/>
    <n v="0.48499999999999999"/>
    <n v="3249.8"/>
    <n v="1576.153"/>
    <n v="0"/>
    <n v="0.9"/>
    <n v="0.1"/>
    <n v="1"/>
    <n v="1"/>
    <x v="1"/>
    <n v="0.48499999999999999"/>
    <m/>
    <n v="0.48499999999999999"/>
    <n v="0"/>
    <m/>
    <n v="0.4"/>
    <n v="0.5"/>
    <n v="0.1"/>
    <n v="1"/>
    <n v="1"/>
    <n v="1"/>
    <n v="1576.153"/>
    <n v="0"/>
    <n v="1576.153"/>
    <n v="0"/>
    <m/>
    <m/>
  </r>
  <r>
    <s v="2.4.3.1.6"/>
    <s v="CMS M.60.10.000"/>
    <x v="2"/>
    <n v="3"/>
    <s v="SPOOL"/>
    <n v="16"/>
    <x v="2"/>
    <s v="NÃO"/>
    <s v="NÃO"/>
    <x v="1"/>
    <x v="1"/>
    <s v="UNDER DO HIDROCICLONE HC- 145A-9913 PARA DISTRIBUIDOR DI- 145A-9911"/>
    <m/>
    <m/>
    <m/>
    <s v="1450AA-T-70215_FL09"/>
    <n v="1"/>
    <s v="PÇ"/>
    <n v="0.59"/>
    <n v="0.59"/>
    <n v="3249.8"/>
    <n v="1917.3820000000001"/>
    <n v="0"/>
    <n v="0.9"/>
    <n v="0.1"/>
    <n v="1"/>
    <n v="1"/>
    <x v="1"/>
    <n v="0.59"/>
    <m/>
    <n v="0.59"/>
    <n v="0"/>
    <m/>
    <n v="0.4"/>
    <n v="0.5"/>
    <n v="0.1"/>
    <n v="1"/>
    <n v="1"/>
    <n v="1"/>
    <n v="1917.3820000000001"/>
    <n v="0"/>
    <n v="1917.3820000000001"/>
    <n v="0"/>
    <m/>
    <m/>
  </r>
  <r>
    <s v="2.4.3.1.6"/>
    <s v="CMS M.60.10.000"/>
    <x v="2"/>
    <n v="4"/>
    <s v="SPOOL"/>
    <n v="16"/>
    <x v="1"/>
    <s v="NÃO"/>
    <s v="NÃO"/>
    <x v="1"/>
    <x v="1"/>
    <s v="UNDER DO HIDROCICLONE HC- 145A-9913 PARA DISTRIBUIDOR DI- 145A-9911"/>
    <m/>
    <m/>
    <m/>
    <s v="1450AA-T-70215_FL07"/>
    <n v="1"/>
    <s v="PÇ"/>
    <n v="4"/>
    <n v="4"/>
    <n v="3249.8"/>
    <n v="12999.2"/>
    <n v="0"/>
    <n v="0.9"/>
    <n v="0.1"/>
    <n v="1"/>
    <n v="1"/>
    <x v="1"/>
    <n v="4"/>
    <m/>
    <n v="4"/>
    <n v="0"/>
    <m/>
    <n v="0.4"/>
    <n v="0.5"/>
    <n v="0.1"/>
    <n v="1"/>
    <n v="1"/>
    <n v="1"/>
    <n v="12999.2"/>
    <n v="0"/>
    <n v="12999.2"/>
    <n v="0"/>
    <m/>
    <m/>
  </r>
  <r>
    <s v="2.4.3.1.6"/>
    <s v="CMS M.60.10.000"/>
    <x v="2"/>
    <n v="5"/>
    <s v="CURVA"/>
    <n v="16"/>
    <x v="1"/>
    <s v="NÃO"/>
    <s v="NÃO"/>
    <x v="1"/>
    <x v="1"/>
    <s v="UNDER DO HIDROCICLONE HC- 145A-9913 PARA DISTRIBUIDOR DI- 145A-9911"/>
    <m/>
    <m/>
    <m/>
    <s v="1450AA-T-70215_FL11"/>
    <n v="1"/>
    <s v="PÇ"/>
    <n v="0.59899999999999998"/>
    <n v="0.59899999999999998"/>
    <n v="3249.8"/>
    <n v="1946.6302000000001"/>
    <n v="0"/>
    <n v="0.9"/>
    <n v="0.1"/>
    <n v="1"/>
    <n v="1"/>
    <x v="1"/>
    <n v="0.59899999999999998"/>
    <m/>
    <n v="0.59899999999999998"/>
    <n v="0"/>
    <m/>
    <n v="0.4"/>
    <n v="0.5"/>
    <n v="0.1"/>
    <n v="1"/>
    <n v="1"/>
    <n v="1"/>
    <n v="1946.6302000000001"/>
    <n v="0"/>
    <n v="1946.6302000000001"/>
    <n v="0"/>
    <m/>
    <m/>
  </r>
  <r>
    <s v="2.4.3.1.6"/>
    <s v="CMS M.60.10.000"/>
    <x v="2"/>
    <n v="6"/>
    <s v="SPOOL"/>
    <n v="16"/>
    <x v="2"/>
    <s v="NÃO"/>
    <s v="NÃO"/>
    <x v="1"/>
    <x v="1"/>
    <s v="UNDER DO HIDROCICLONE HC- 145A-9913 PARA DISTRIBUIDOR DI- 145A-9911"/>
    <m/>
    <m/>
    <m/>
    <s v="1450AA-T-70215_FL08"/>
    <n v="1"/>
    <s v="PÇ"/>
    <n v="0.56999999999999995"/>
    <n v="0.56999999999999995"/>
    <n v="3249.8"/>
    <n v="1852.386"/>
    <n v="0"/>
    <n v="0.9"/>
    <n v="0.1"/>
    <n v="1"/>
    <n v="1"/>
    <x v="1"/>
    <n v="0.56999999999999995"/>
    <m/>
    <n v="0.56999999999999995"/>
    <n v="0"/>
    <m/>
    <n v="0.4"/>
    <n v="0.5"/>
    <n v="0.1"/>
    <n v="1"/>
    <n v="1"/>
    <n v="1"/>
    <n v="1852.386"/>
    <n v="0"/>
    <n v="1852.386"/>
    <n v="0"/>
    <m/>
    <m/>
  </r>
  <r>
    <s v="2.4.3.1.6"/>
    <s v="CMS M.60.10.000"/>
    <x v="2"/>
    <n v="1"/>
    <s v="SPOOL"/>
    <n v="16"/>
    <x v="1"/>
    <s v="SIM"/>
    <s v="NÃO"/>
    <x v="2"/>
    <x v="1"/>
    <s v="UNDER DO HIDROCICLONE HC- 145A-9911 PARA DISTRIBUIDOR DI- 145A-9911"/>
    <m/>
    <m/>
    <m/>
    <s v="1450AA-T-70217_FL09"/>
    <n v="1"/>
    <s v="PÇ"/>
    <n v="0.48499999999999999"/>
    <n v="0.48499999999999999"/>
    <n v="3249.8"/>
    <n v="1576.153"/>
    <n v="0"/>
    <n v="0.9"/>
    <n v="0.1"/>
    <n v="1"/>
    <n v="1"/>
    <x v="1"/>
    <n v="0.48499999999999999"/>
    <m/>
    <n v="0.48499999999999999"/>
    <n v="0"/>
    <m/>
    <n v="0.4"/>
    <n v="0.5"/>
    <n v="0.1"/>
    <n v="1"/>
    <n v="1"/>
    <n v="1"/>
    <n v="1576.153"/>
    <n v="0"/>
    <n v="1576.153"/>
    <n v="0"/>
    <m/>
    <m/>
  </r>
  <r>
    <s v="2.4.3.1.6"/>
    <s v="CMS M.60.10.000"/>
    <x v="2"/>
    <n v="3"/>
    <s v="SPOOL"/>
    <n v="16"/>
    <x v="1"/>
    <s v="NÃO"/>
    <s v="NÃO"/>
    <x v="2"/>
    <x v="1"/>
    <s v="UNDER DO HIDROCICLONE HC- 145A-9911 PARA DISTRIBUIDOR DI- 145A-9911"/>
    <m/>
    <m/>
    <m/>
    <s v="1450AA-T-70217_FL07"/>
    <n v="1"/>
    <s v="PÇ"/>
    <n v="0.4"/>
    <n v="0.4"/>
    <n v="3249.8"/>
    <n v="1299.92"/>
    <n v="0"/>
    <n v="0.9"/>
    <n v="0.1"/>
    <n v="1"/>
    <n v="1"/>
    <x v="1"/>
    <n v="0.4"/>
    <m/>
    <n v="0.4"/>
    <n v="0"/>
    <m/>
    <n v="0.4"/>
    <n v="0.5"/>
    <n v="0.1"/>
    <n v="1"/>
    <n v="1"/>
    <n v="1"/>
    <n v="1299.92"/>
    <n v="0"/>
    <n v="1299.92"/>
    <n v="0"/>
    <m/>
    <m/>
  </r>
  <r>
    <s v="2.4.3.1.6"/>
    <s v="CMS M.60.10.000"/>
    <x v="2"/>
    <n v="4"/>
    <s v="CURVA"/>
    <n v="16"/>
    <x v="1"/>
    <s v="NÃO"/>
    <s v="NÃO"/>
    <x v="2"/>
    <x v="1"/>
    <s v="UNDER DO HIDROCICLONE HC- 145A-9911 PARA DISTRIBUIDOR DI- 145A-9911"/>
    <m/>
    <m/>
    <m/>
    <s v="1450AA-T-70217_FL10"/>
    <n v="1"/>
    <s v="PÇ"/>
    <n v="0.59899999999999998"/>
    <n v="0.59899999999999998"/>
    <n v="3249.8"/>
    <n v="1946.6302000000001"/>
    <n v="0"/>
    <n v="0.9"/>
    <n v="0.1"/>
    <n v="1"/>
    <n v="1"/>
    <x v="1"/>
    <n v="0.59899999999999998"/>
    <m/>
    <n v="0.59899999999999998"/>
    <n v="0"/>
    <m/>
    <n v="0.4"/>
    <n v="0.5"/>
    <n v="0.1"/>
    <n v="1"/>
    <n v="1"/>
    <n v="1"/>
    <n v="1946.6302000000001"/>
    <n v="0"/>
    <n v="1946.6302000000001"/>
    <n v="0"/>
    <m/>
    <m/>
  </r>
  <r>
    <s v="2.4.3.1.6"/>
    <s v="CMS M.60.10.000"/>
    <x v="2"/>
    <n v="5"/>
    <s v="SPOOL"/>
    <n v="16"/>
    <x v="2"/>
    <s v="NÃO"/>
    <s v="NÃO"/>
    <x v="2"/>
    <x v="1"/>
    <s v="UNDER DO HIDROCICLONE HC- 145A-9911 PARA DISTRIBUIDOR DI- 145A-9911"/>
    <m/>
    <m/>
    <m/>
    <s v="1450AA-T-70217_FL08"/>
    <n v="1"/>
    <s v="PÇ"/>
    <n v="0.54"/>
    <n v="0.54"/>
    <n v="3249.8"/>
    <n v="1754.8920000000003"/>
    <n v="0"/>
    <n v="0.9"/>
    <n v="0.1"/>
    <n v="1"/>
    <n v="1"/>
    <x v="1"/>
    <n v="0.54"/>
    <m/>
    <n v="0.54"/>
    <n v="0"/>
    <m/>
    <n v="0.4"/>
    <n v="0.5"/>
    <n v="0.1"/>
    <n v="1"/>
    <n v="1"/>
    <n v="1"/>
    <n v="1754.8920000000003"/>
    <n v="0"/>
    <n v="1754.8920000000003"/>
    <n v="0"/>
    <m/>
    <m/>
  </r>
  <r>
    <s v="2.4.3.1.3"/>
    <s v="CMS M.60.10.000"/>
    <x v="2"/>
    <n v="1"/>
    <s v="SPOOL"/>
    <n v="10"/>
    <x v="1"/>
    <s v="NÃO"/>
    <s v="NÃO"/>
    <x v="3"/>
    <x v="2"/>
    <s v="UNDER DO ESPESSADOR ES- 142A-9801 PARA DISTRIBUIDOR DI- 145A-9911"/>
    <m/>
    <m/>
    <m/>
    <s v="1450AA-T-70265_FL08"/>
    <n v="1"/>
    <s v="PÇ"/>
    <n v="1.5"/>
    <n v="1.5"/>
    <n v="2238.89"/>
    <n v="3358.335"/>
    <n v="0"/>
    <n v="0.9"/>
    <n v="0.1"/>
    <n v="1"/>
    <n v="1"/>
    <x v="1"/>
    <n v="1.5"/>
    <m/>
    <n v="1.5"/>
    <n v="0"/>
    <m/>
    <n v="0.4"/>
    <n v="0.5"/>
    <n v="0.1"/>
    <n v="1"/>
    <n v="1"/>
    <n v="1"/>
    <n v="3358.335"/>
    <n v="0"/>
    <n v="3358.335"/>
    <n v="0"/>
    <m/>
    <m/>
  </r>
  <r>
    <s v="2.4.3.1.3"/>
    <s v="CMS M.60.10.000"/>
    <x v="2"/>
    <n v="2"/>
    <s v="SPOOL"/>
    <n v="10"/>
    <x v="1"/>
    <s v="NÃO"/>
    <s v="NÃO"/>
    <x v="3"/>
    <x v="2"/>
    <s v="UNDER DO ESPESSADOR ES- 142A-9801 PARA DISTRIBUIDOR DI- 145A-9911"/>
    <m/>
    <m/>
    <m/>
    <s v="1450AA-T-70265_FL09"/>
    <n v="1"/>
    <s v="PÇ"/>
    <n v="2"/>
    <n v="2"/>
    <n v="2238.89"/>
    <n v="4477.78"/>
    <n v="0"/>
    <n v="0.9"/>
    <n v="0.1"/>
    <n v="1"/>
    <n v="1"/>
    <x v="1"/>
    <n v="2"/>
    <m/>
    <n v="2"/>
    <n v="0"/>
    <m/>
    <n v="0.4"/>
    <n v="0.5"/>
    <n v="0.1"/>
    <n v="1"/>
    <n v="1"/>
    <n v="1"/>
    <n v="4477.78"/>
    <n v="0"/>
    <n v="4477.78"/>
    <n v="0"/>
    <m/>
    <m/>
  </r>
  <r>
    <s v="2.4.3.1.3"/>
    <s v="CMS M.60.10.000"/>
    <x v="2"/>
    <n v="3"/>
    <s v="SPOOL"/>
    <n v="10"/>
    <x v="2"/>
    <s v="NÃO"/>
    <s v="NÃO"/>
    <x v="3"/>
    <x v="2"/>
    <s v="UNDER DO ESPESSADOR ES- 142A-9801 PARA DISTRIBUIDOR DI- 145A-9911"/>
    <m/>
    <m/>
    <m/>
    <s v="1450AA-T-70265_FL10"/>
    <n v="1"/>
    <s v="PÇ"/>
    <n v="0.43"/>
    <n v="0.43"/>
    <n v="2238.89"/>
    <n v="962.72269999999992"/>
    <n v="0"/>
    <n v="0.9"/>
    <n v="0.1"/>
    <n v="1"/>
    <n v="1"/>
    <x v="1"/>
    <n v="0.43"/>
    <m/>
    <n v="0.43"/>
    <n v="0"/>
    <m/>
    <n v="0.4"/>
    <n v="0.5"/>
    <n v="0.1"/>
    <n v="1"/>
    <n v="1"/>
    <n v="1"/>
    <n v="962.72269999999992"/>
    <n v="0"/>
    <n v="962.72269999999992"/>
    <n v="0"/>
    <m/>
    <m/>
  </r>
  <r>
    <s v="2.4.3.1.3"/>
    <s v="CMS M.60.10.000"/>
    <x v="2"/>
    <n v="4"/>
    <s v="SPOOL"/>
    <n v="10"/>
    <x v="2"/>
    <s v="NÃO"/>
    <s v="NÃO"/>
    <x v="3"/>
    <x v="2"/>
    <s v="UNDER DO ESPESSADOR ES- 142A-9801 PARA DISTRIBUIDOR DI- 145A-9911"/>
    <m/>
    <m/>
    <m/>
    <s v="1450AA-T-70265_FL11"/>
    <n v="1"/>
    <s v="PÇ"/>
    <n v="0.94"/>
    <n v="0.94"/>
    <n v="2238.89"/>
    <n v="2104.5565999999999"/>
    <n v="0"/>
    <n v="0.9"/>
    <n v="0.1"/>
    <n v="1"/>
    <n v="1"/>
    <x v="1"/>
    <n v="0.94"/>
    <m/>
    <n v="0.94"/>
    <n v="0"/>
    <m/>
    <n v="0.4"/>
    <n v="0.5"/>
    <n v="0.1"/>
    <n v="1"/>
    <n v="1"/>
    <n v="1"/>
    <n v="2104.5565999999999"/>
    <n v="0"/>
    <n v="2104.5565999999999"/>
    <n v="0"/>
    <m/>
    <m/>
  </r>
  <r>
    <s v="2.4.3.1.3"/>
    <s v="CMS M.60.10.000"/>
    <x v="2"/>
    <n v="5"/>
    <s v="CURVA"/>
    <n v="10"/>
    <x v="1"/>
    <s v="NÃO"/>
    <s v="NÃO"/>
    <x v="3"/>
    <x v="2"/>
    <s v="UNDER DO ESPESSADOR ES- 142A-9801 PARA DISTRIBUIDOR DI- 145A-9911"/>
    <m/>
    <m/>
    <m/>
    <s v="1450AA-T-70265_FL12"/>
    <n v="1"/>
    <s v="PÇ"/>
    <n v="0.35399999999999998"/>
    <n v="0.35399999999999998"/>
    <n v="2238.89"/>
    <n v="792.56705999999997"/>
    <n v="0"/>
    <n v="0.9"/>
    <n v="0.1"/>
    <n v="1"/>
    <n v="1"/>
    <x v="1"/>
    <n v="0.35399999999999998"/>
    <m/>
    <n v="0.35399999999999998"/>
    <n v="0"/>
    <m/>
    <n v="0.4"/>
    <n v="0.5"/>
    <n v="0.1"/>
    <n v="1"/>
    <n v="1"/>
    <n v="1"/>
    <n v="792.56705999999997"/>
    <n v="0"/>
    <n v="792.56705999999997"/>
    <n v="0"/>
    <m/>
    <m/>
  </r>
  <r>
    <s v="2.4.3.1.3"/>
    <s v="CMS M.60.10.000"/>
    <x v="2"/>
    <n v="6"/>
    <s v="CURVA"/>
    <n v="10"/>
    <x v="1"/>
    <s v="NÃO"/>
    <s v="NÃO"/>
    <x v="3"/>
    <x v="2"/>
    <s v="UNDER DO ESPESSADOR ES- 142A-9801 PARA DISTRIBUIDOR DI- 145A-9911"/>
    <m/>
    <m/>
    <m/>
    <s v="1450AA-T-70265_FL13"/>
    <n v="1"/>
    <s v="PÇ"/>
    <n v="0.65100000000000002"/>
    <n v="0.65100000000000002"/>
    <n v="2238.89"/>
    <n v="1457.51739"/>
    <n v="0"/>
    <n v="0.9"/>
    <n v="0.1"/>
    <n v="1"/>
    <n v="1"/>
    <x v="1"/>
    <n v="0.65100000000000002"/>
    <m/>
    <n v="0.65100000000000002"/>
    <n v="0"/>
    <m/>
    <n v="0.4"/>
    <n v="0.5"/>
    <n v="0.1"/>
    <n v="1"/>
    <n v="1"/>
    <n v="1"/>
    <n v="1457.51739"/>
    <n v="0"/>
    <n v="1457.51739"/>
    <n v="0"/>
    <m/>
    <m/>
  </r>
  <r>
    <s v="2.4.3.1.3"/>
    <s v="CMS M.60.10.000"/>
    <x v="2"/>
    <n v="7"/>
    <s v="CURVA"/>
    <n v="10"/>
    <x v="1"/>
    <s v="NÃO"/>
    <s v="NÃO"/>
    <x v="3"/>
    <x v="2"/>
    <s v="UNDER DO ESPESSADOR ES- 142A-9801 PARA DISTRIBUIDOR DI- 145A-9911"/>
    <m/>
    <m/>
    <m/>
    <s v="1450AA-T-70265_FL14"/>
    <n v="1"/>
    <s v="PÇ"/>
    <n v="0.90300000000000002"/>
    <n v="0.90300000000000002"/>
    <n v="2238.89"/>
    <n v="2021.71767"/>
    <n v="0"/>
    <n v="0.9"/>
    <n v="0.1"/>
    <n v="1"/>
    <n v="1"/>
    <x v="1"/>
    <n v="0.90300000000000002"/>
    <m/>
    <n v="0.90300000000000002"/>
    <n v="0"/>
    <m/>
    <n v="0.4"/>
    <n v="0.5"/>
    <n v="0.1"/>
    <n v="1"/>
    <n v="1"/>
    <n v="1"/>
    <n v="2021.71767"/>
    <n v="0"/>
    <n v="2021.71767"/>
    <n v="0"/>
    <m/>
    <m/>
  </r>
  <r>
    <s v="2.4.3.1.3"/>
    <s v="CMS M.60.10.000"/>
    <x v="2"/>
    <n v="8"/>
    <s v="REDUÇÃO"/>
    <s v="12 X 10"/>
    <x v="1"/>
    <s v="NÃO"/>
    <s v="NÃO"/>
    <x v="3"/>
    <x v="2"/>
    <s v="UNDER DO ESPESSADOR ES- 142A-9801 PARA DISTRIBUIDOR DI- 145A-9911"/>
    <m/>
    <m/>
    <m/>
    <s v="1450AA-T-70265_FL15"/>
    <n v="1"/>
    <s v="PÇ"/>
    <n v="0.45300000000000001"/>
    <n v="0.45300000000000001"/>
    <n v="2238.89"/>
    <n v="1014.21717"/>
    <n v="0"/>
    <n v="0.9"/>
    <n v="0.1"/>
    <n v="1"/>
    <n v="1"/>
    <x v="1"/>
    <n v="0.45300000000000001"/>
    <m/>
    <n v="0.45300000000000001"/>
    <n v="0"/>
    <m/>
    <n v="0.4"/>
    <n v="0.5"/>
    <n v="0.1"/>
    <n v="1"/>
    <n v="1"/>
    <n v="1"/>
    <n v="1014.21717"/>
    <n v="0"/>
    <n v="1014.21717"/>
    <n v="0"/>
    <m/>
    <m/>
  </r>
  <r>
    <s v="2.4.3.1.8"/>
    <s v="CMS M.60.10.000"/>
    <x v="2"/>
    <n v="1"/>
    <s v="SPOOL"/>
    <n v="22"/>
    <x v="1"/>
    <s v="SIM"/>
    <s v="NÃO"/>
    <x v="4"/>
    <x v="2"/>
    <s v="DISPOSIÇÃO DE REJEITOS DISTRIBUIDOR DI-145A-9911"/>
    <m/>
    <m/>
    <m/>
    <s v="1450AA-T-70220"/>
    <n v="1"/>
    <s v="PÇ"/>
    <n v="0.92100000000000004"/>
    <n v="0.92100000000000004"/>
    <n v="2788.58"/>
    <n v="2568.2821800000002"/>
    <n v="0"/>
    <n v="0.9"/>
    <n v="0.1"/>
    <n v="1"/>
    <n v="1"/>
    <x v="1"/>
    <n v="0.92100000000000004"/>
    <m/>
    <n v="0.92100000000000004"/>
    <n v="0"/>
    <m/>
    <n v="0.4"/>
    <n v="0.5"/>
    <n v="0.1"/>
    <n v="1"/>
    <n v="1"/>
    <n v="1"/>
    <n v="2568.2821800000002"/>
    <n v="0"/>
    <n v="2568.2821800000002"/>
    <n v="0"/>
    <m/>
    <m/>
  </r>
  <r>
    <s v="2.4.3.1.6"/>
    <s v="CMS M.60.10.000"/>
    <x v="2"/>
    <n v="1"/>
    <s v="SPOOL"/>
    <n v="16"/>
    <x v="1"/>
    <s v="SIM"/>
    <s v="NÃO"/>
    <x v="4"/>
    <x v="2"/>
    <s v="DISPOSIÇÃO DE REJEITOS DISTRIBUIDOR DI-145A-9911"/>
    <m/>
    <m/>
    <m/>
    <s v="1450AA-T-70221"/>
    <n v="7"/>
    <s v="PÇ"/>
    <n v="0.35799999999999998"/>
    <n v="2.5059999999999998"/>
    <n v="3249.8"/>
    <n v="8143.9987999999994"/>
    <n v="0"/>
    <n v="0.9"/>
    <n v="0.1"/>
    <n v="1"/>
    <n v="1"/>
    <x v="1"/>
    <n v="2.5059999999999998"/>
    <m/>
    <n v="2.5059999999999998"/>
    <n v="0"/>
    <m/>
    <n v="0.4"/>
    <n v="0.5"/>
    <n v="0.1"/>
    <n v="1"/>
    <n v="1"/>
    <n v="1"/>
    <n v="8143.9987999999994"/>
    <n v="0"/>
    <n v="8143.9987999999994"/>
    <n v="0"/>
    <m/>
    <m/>
  </r>
  <r>
    <s v="2.4.3.1.5"/>
    <s v="CMS M.60.10.000"/>
    <x v="2"/>
    <n v="1"/>
    <s v="SPOOL"/>
    <n v="14"/>
    <x v="1"/>
    <s v="SIM"/>
    <s v="NÃO"/>
    <x v="4"/>
    <x v="1"/>
    <s v="DISPOSIÇÃO DE REJEITOS LINHA DO CIRCUITO ARENOSO DISTRIBUIDORES DI-145A-9912/9913/9914/9915"/>
    <m/>
    <m/>
    <m/>
    <s v="1450AA-T-70222"/>
    <n v="1"/>
    <s v="PÇ"/>
    <n v="0.90600000000000003"/>
    <n v="0.90600000000000003"/>
    <n v="2725.4"/>
    <n v="2469.2124000000003"/>
    <n v="0"/>
    <n v="0.9"/>
    <n v="0.1"/>
    <n v="1"/>
    <n v="1"/>
    <x v="1"/>
    <n v="0.90600000000000003"/>
    <m/>
    <n v="0.90600000000000003"/>
    <n v="0"/>
    <m/>
    <n v="0.4"/>
    <n v="0.5"/>
    <n v="0.1"/>
    <n v="1"/>
    <n v="1"/>
    <n v="1"/>
    <n v="2469.2124000000003"/>
    <n v="0"/>
    <n v="2469.2124000000003"/>
    <n v="0"/>
    <m/>
    <m/>
  </r>
  <r>
    <s v="2.4.3.1.2"/>
    <s v="CMS M.60.10.000"/>
    <x v="2"/>
    <n v="1"/>
    <s v="SPOOL"/>
    <n v="8"/>
    <x v="1"/>
    <s v="SIM"/>
    <s v="NÃO"/>
    <x v="4"/>
    <x v="1"/>
    <s v="DISPOSIÇÃO DE REJEITOS LINHA DO CIRCUITO ARENOSO DISTRIBUIDORES DI-145A-9912/9913/9914/9915"/>
    <m/>
    <m/>
    <m/>
    <s v="1450AA-T-70223"/>
    <n v="6"/>
    <s v="PÇ"/>
    <n v="0.32300000000000001"/>
    <n v="1.9380000000000002"/>
    <n v="1651.88"/>
    <n v="3201.3434400000006"/>
    <n v="0"/>
    <n v="0.9"/>
    <n v="0.1"/>
    <n v="1"/>
    <n v="1"/>
    <x v="1"/>
    <n v="1.9380000000000002"/>
    <m/>
    <n v="1.9380000000000002"/>
    <n v="0"/>
    <m/>
    <n v="0.4"/>
    <n v="0.5"/>
    <n v="0.1"/>
    <n v="1"/>
    <n v="1"/>
    <n v="1"/>
    <n v="3201.3434400000006"/>
    <n v="0"/>
    <n v="3201.3434400000006"/>
    <n v="0"/>
    <m/>
    <m/>
  </r>
  <r>
    <s v="2.4.3.1.1"/>
    <s v="CMS M.60.10.000"/>
    <x v="2"/>
    <n v="1"/>
    <s v="SPOOL"/>
    <n v="6"/>
    <x v="1"/>
    <s v="SIM"/>
    <s v="NÃO"/>
    <x v="4"/>
    <x v="1"/>
    <s v="DISPOSIÇÃO DE REJEITOS LINHA DO CIRCUITO ULTRAFINO DISTRIBUIDORES DI-145A-9904/9905/9906/9907"/>
    <m/>
    <m/>
    <m/>
    <s v="1450AA-T-70224"/>
    <n v="6"/>
    <s v="PÇ"/>
    <n v="0.32300000000000001"/>
    <n v="1.9380000000000002"/>
    <n v="1169.77"/>
    <n v="2267.0142600000004"/>
    <n v="0"/>
    <n v="0.9"/>
    <n v="0.1"/>
    <n v="1"/>
    <n v="1"/>
    <x v="1"/>
    <n v="1.9380000000000002"/>
    <m/>
    <n v="1.9380000000000002"/>
    <n v="0"/>
    <m/>
    <n v="0.4"/>
    <n v="0.5"/>
    <n v="0.1"/>
    <n v="1"/>
    <n v="1"/>
    <n v="1"/>
    <n v="2267.0142600000004"/>
    <n v="0"/>
    <n v="2267.0142600000004"/>
    <n v="0"/>
    <m/>
    <m/>
  </r>
  <r>
    <s v="2.4.3.1.3"/>
    <s v="CMS M.60.10.000"/>
    <x v="2"/>
    <n v="1"/>
    <s v="SPOOL"/>
    <n v="10"/>
    <x v="1"/>
    <s v="SIM"/>
    <s v="NÃO"/>
    <x v="4"/>
    <x v="1"/>
    <s v="DISPOSIÇÃO DE REJEITOS LINHA DO CIRCUITO ULTRAFINO DISTRIBUIDORES DI-145A-9904/9905/9906/9907"/>
    <m/>
    <m/>
    <m/>
    <s v="1450AA-T-70225"/>
    <n v="1"/>
    <s v="PÇ"/>
    <n v="0.78"/>
    <n v="0.78"/>
    <n v="2238.89"/>
    <n v="1746.3342"/>
    <n v="0"/>
    <n v="0.9"/>
    <n v="0.1"/>
    <n v="1"/>
    <n v="1"/>
    <x v="1"/>
    <n v="0.78"/>
    <m/>
    <n v="0.78"/>
    <n v="0"/>
    <m/>
    <n v="0.4"/>
    <n v="0.5"/>
    <n v="0.1"/>
    <n v="1"/>
    <n v="1"/>
    <n v="1"/>
    <n v="1746.3342"/>
    <n v="0"/>
    <n v="1746.3342"/>
    <n v="0"/>
    <m/>
    <m/>
  </r>
  <r>
    <s v="2.4.3.1.5"/>
    <s v="CMS M.60.10.000"/>
    <x v="2"/>
    <n v="1"/>
    <s v="SPOOL"/>
    <n v="14"/>
    <x v="1"/>
    <s v="SIM"/>
    <s v="NÃO"/>
    <x v="4"/>
    <x v="2"/>
    <s v="DISPOSIÇÃO DE REJEITOS LINHA DO CIRCUITO ARENOSO DISTRIBUIDORES DI-145A-9916"/>
    <m/>
    <m/>
    <m/>
    <s v="1450AA-T-70226"/>
    <n v="1"/>
    <s v="PÇ"/>
    <n v="0.90100000000000002"/>
    <n v="0.90100000000000002"/>
    <n v="2725.4"/>
    <n v="2455.5853999999999"/>
    <n v="0"/>
    <n v="0.9"/>
    <n v="0.1"/>
    <n v="1"/>
    <n v="1"/>
    <x v="1"/>
    <n v="0.90100000000000002"/>
    <m/>
    <n v="0.90100000000000002"/>
    <n v="0"/>
    <m/>
    <n v="0.4"/>
    <n v="0.5"/>
    <n v="0.1"/>
    <n v="1"/>
    <n v="1"/>
    <n v="1"/>
    <n v="2455.5853999999999"/>
    <n v="0"/>
    <n v="2455.5853999999999"/>
    <n v="0"/>
    <m/>
    <m/>
  </r>
  <r>
    <s v="2.4.3.1.4"/>
    <s v="CMS M.60.10.000"/>
    <x v="2"/>
    <n v="1"/>
    <s v="SPOOL"/>
    <n v="12"/>
    <x v="1"/>
    <s v="SIM"/>
    <s v="NÃO"/>
    <x v="4"/>
    <x v="2"/>
    <s v="DISPOSIÇÃO DE REJEITOS LINHA DO CIRCUITO ARENOSO DISTRIBUIDORES DI-145A-9916"/>
    <m/>
    <m/>
    <m/>
    <s v="1450AA-T-70227"/>
    <n v="2"/>
    <s v="PÇ"/>
    <n v="0.35799999999999998"/>
    <n v="0.71599999999999997"/>
    <n v="2576.75"/>
    <n v="1844.953"/>
    <n v="0"/>
    <n v="0.9"/>
    <n v="0.1"/>
    <n v="1"/>
    <n v="1"/>
    <x v="1"/>
    <n v="0.71599999999999997"/>
    <m/>
    <n v="0.71599999999999997"/>
    <n v="0"/>
    <m/>
    <n v="0.4"/>
    <n v="0.5"/>
    <n v="0.1"/>
    <n v="1"/>
    <n v="1"/>
    <n v="1"/>
    <n v="1844.953"/>
    <n v="0"/>
    <n v="1844.953"/>
    <n v="0"/>
    <m/>
    <m/>
  </r>
  <r>
    <s v="2.4.3.1.2"/>
    <s v="CMS M.60.10.000"/>
    <x v="2"/>
    <n v="1"/>
    <s v="SPOOL"/>
    <n v="8"/>
    <x v="1"/>
    <s v="SIM"/>
    <s v="NÃO"/>
    <x v="4"/>
    <x v="3"/>
    <s v="DISPOSIÇÃO DE REJEITOS LINHA DO CIRCUITO ULTRAFINO DISTRIBUIDORES DI-145A-9908"/>
    <m/>
    <m/>
    <m/>
    <s v="1450AA-T-70228"/>
    <n v="2"/>
    <s v="PÇ"/>
    <n v="0.32300000000000001"/>
    <n v="0.64600000000000002"/>
    <n v="1651.88"/>
    <n v="1067.1144800000002"/>
    <n v="0"/>
    <n v="0.9"/>
    <n v="0.1"/>
    <n v="1"/>
    <n v="1"/>
    <x v="1"/>
    <n v="0.64600000000000002"/>
    <m/>
    <n v="0.64600000000000002"/>
    <n v="0"/>
    <m/>
    <n v="0.4"/>
    <n v="0.5"/>
    <n v="0.1"/>
    <n v="1"/>
    <n v="1"/>
    <n v="1"/>
    <n v="1067.1144800000002"/>
    <n v="0"/>
    <n v="1067.1144800000002"/>
    <n v="0"/>
    <m/>
    <m/>
  </r>
  <r>
    <s v="2.4.3.1.3"/>
    <s v="CMS M.60.10.000"/>
    <x v="2"/>
    <n v="1"/>
    <s v="SPOOL"/>
    <n v="10"/>
    <x v="1"/>
    <s v="SIM"/>
    <s v="NÃO"/>
    <x v="4"/>
    <x v="3"/>
    <s v="DISPOSIÇÃO DE REJEITOS LINHA DO CIRCUITO ULTRAFINO DISTRIBUIDORES DI-145A-9908"/>
    <m/>
    <m/>
    <m/>
    <s v="1450AA-T-70229"/>
    <n v="1"/>
    <s v="PÇ"/>
    <n v="0.72199999999999998"/>
    <n v="0.72199999999999998"/>
    <n v="2238.89"/>
    <n v="1616.47858"/>
    <n v="0"/>
    <n v="0.9"/>
    <n v="0.1"/>
    <n v="1"/>
    <n v="1"/>
    <x v="1"/>
    <n v="0.72199999999999998"/>
    <m/>
    <n v="0.72199999999999998"/>
    <n v="0"/>
    <m/>
    <n v="0.4"/>
    <n v="0.5"/>
    <n v="0.1"/>
    <n v="1"/>
    <n v="1"/>
    <n v="1"/>
    <n v="1616.47858"/>
    <n v="0"/>
    <n v="1616.47858"/>
    <n v="0"/>
    <m/>
    <m/>
  </r>
  <r>
    <s v="2.4.3.1.3"/>
    <s v="CMS M.60.10.000"/>
    <x v="2"/>
    <n v="1"/>
    <s v="CURVA"/>
    <n v="10"/>
    <x v="1"/>
    <s v="NÃO"/>
    <s v="SIM"/>
    <x v="5"/>
    <x v="1"/>
    <s v="LINHA DE UNDERFLOW DAS PENEIRAS DESAGUADORAS RETRABALHO DO UNDERFLOW DA PENEIRA PN-143A-9721"/>
    <m/>
    <m/>
    <m/>
    <s v="1450AA-T-70231_FL06"/>
    <n v="1"/>
    <s v="PÇ"/>
    <n v="0.69099999999999995"/>
    <n v="0.69099999999999995"/>
    <n v="2238.89"/>
    <n v="1547.0729899999999"/>
    <n v="0"/>
    <n v="0.9"/>
    <n v="0.1"/>
    <n v="1"/>
    <n v="1"/>
    <x v="1"/>
    <n v="0.69099999999999995"/>
    <m/>
    <n v="0.69099999999999995"/>
    <n v="0"/>
    <m/>
    <n v="0.4"/>
    <n v="0.5"/>
    <n v="0.1"/>
    <n v="1"/>
    <n v="1"/>
    <n v="1"/>
    <n v="1547.0729899999999"/>
    <n v="0"/>
    <n v="1547.0729899999999"/>
    <n v="0"/>
    <m/>
    <m/>
  </r>
  <r>
    <s v="2.4.3.1.3"/>
    <s v="CMS M.60.10.000"/>
    <x v="2"/>
    <n v="2"/>
    <s v="SPOOL"/>
    <n v="10"/>
    <x v="1"/>
    <s v="NÃO"/>
    <s v="SIM"/>
    <x v="5"/>
    <x v="1"/>
    <s v="LINHA DE UNDERFLOW DAS PENEIRAS DESAGUADORAS RETRABALHO DO UNDERFLOW DA PENEIRA PN-143A-9721"/>
    <m/>
    <m/>
    <m/>
    <s v="1450AA-T-70231_FL07"/>
    <n v="1"/>
    <s v="PÇ"/>
    <n v="3.1"/>
    <n v="3.1"/>
    <n v="2238.89"/>
    <n v="6940.5590000000002"/>
    <n v="0"/>
    <n v="0.9"/>
    <n v="0.1"/>
    <n v="1"/>
    <n v="1"/>
    <x v="1"/>
    <n v="3.1"/>
    <m/>
    <n v="3.1"/>
    <n v="0"/>
    <m/>
    <n v="0.4"/>
    <n v="0.5"/>
    <n v="0.1"/>
    <n v="1"/>
    <n v="1"/>
    <n v="1"/>
    <n v="6940.5590000000002"/>
    <n v="0"/>
    <n v="6940.5590000000002"/>
    <n v="0"/>
    <m/>
    <m/>
  </r>
  <r>
    <s v="2.4.3.1.3"/>
    <s v="CMS M.60.10.000"/>
    <x v="2"/>
    <n v="3"/>
    <s v="SPOOL"/>
    <n v="10"/>
    <x v="2"/>
    <s v="NÃO"/>
    <s v="SIM"/>
    <x v="5"/>
    <x v="1"/>
    <s v="LINHA DE UNDERFLOW DAS PENEIRAS DESAGUADORAS RETRABALHO DO UNDERFLOW DA PENEIRA PN-143A-9721"/>
    <m/>
    <m/>
    <m/>
    <s v="1450AA-T-70231_FL08"/>
    <n v="2"/>
    <s v="PÇ"/>
    <n v="0.5"/>
    <n v="1"/>
    <n v="2238.89"/>
    <n v="2238.89"/>
    <n v="0"/>
    <n v="0.9"/>
    <n v="0.1"/>
    <n v="1"/>
    <n v="1"/>
    <x v="1"/>
    <n v="1"/>
    <m/>
    <n v="1"/>
    <n v="0"/>
    <m/>
    <n v="0.4"/>
    <n v="0.5"/>
    <n v="0.1"/>
    <n v="1"/>
    <n v="1"/>
    <n v="1"/>
    <n v="2238.89"/>
    <n v="0"/>
    <n v="2238.89"/>
    <n v="0"/>
    <m/>
    <m/>
  </r>
  <r>
    <s v="2.4.3.1.3"/>
    <s v="CMS M.60.10.000"/>
    <x v="2"/>
    <n v="1"/>
    <s v="SPOOL"/>
    <n v="10"/>
    <x v="1"/>
    <s v="NÃO"/>
    <s v="SIM"/>
    <x v="6"/>
    <x v="1"/>
    <s v="LINHA DE UNDERFLOW DAS PENEIRAS DESAGUADORAS RETRABALHO DO UNDERFLOW DA PENEIRA PN-143A-9722"/>
    <m/>
    <m/>
    <m/>
    <s v="1450AA-T-70233_FL04"/>
    <n v="1"/>
    <s v="PÇ"/>
    <n v="3.1"/>
    <n v="3.1"/>
    <n v="2238.89"/>
    <n v="6940.5590000000002"/>
    <n v="0"/>
    <n v="0.9"/>
    <n v="0.1"/>
    <n v="1"/>
    <n v="1"/>
    <x v="1"/>
    <n v="3.1"/>
    <m/>
    <n v="3.1"/>
    <n v="0"/>
    <m/>
    <n v="0.4"/>
    <n v="0.5"/>
    <n v="0.1"/>
    <n v="1"/>
    <n v="1"/>
    <n v="1"/>
    <n v="6940.5590000000002"/>
    <n v="0"/>
    <n v="6940.5590000000002"/>
    <n v="0"/>
    <m/>
    <m/>
  </r>
  <r>
    <s v="2.4.3.1.3"/>
    <s v="CMS M.60.10.000"/>
    <x v="2"/>
    <n v="2"/>
    <s v="SPOOL"/>
    <n v="10"/>
    <x v="2"/>
    <s v="NÃO"/>
    <s v="SIM"/>
    <x v="6"/>
    <x v="1"/>
    <s v="LINHA DE UNDERFLOW DAS PENEIRAS DESAGUADORAS RETRABALHO DO UNDERFLOW DA PENEIRA PN-143A-9722"/>
    <m/>
    <m/>
    <m/>
    <s v="1450AA-T-70233_FL05"/>
    <n v="1"/>
    <s v="PÇ"/>
    <n v="0.4"/>
    <n v="0.4"/>
    <n v="2238.89"/>
    <n v="895.55600000000004"/>
    <n v="0"/>
    <n v="0.9"/>
    <n v="0.1"/>
    <n v="1"/>
    <n v="1"/>
    <x v="1"/>
    <n v="0.4"/>
    <m/>
    <n v="0.4"/>
    <n v="0"/>
    <m/>
    <n v="0.4"/>
    <n v="0.5"/>
    <n v="0.1"/>
    <n v="1"/>
    <n v="1"/>
    <n v="1"/>
    <n v="895.55600000000004"/>
    <n v="0"/>
    <n v="895.55600000000004"/>
    <n v="0"/>
    <m/>
    <m/>
  </r>
  <r>
    <s v="2.4.3.1.3"/>
    <s v="CMS M.60.10.000"/>
    <x v="2"/>
    <n v="1"/>
    <s v="SPOOL"/>
    <n v="10"/>
    <x v="1"/>
    <s v="NÃO"/>
    <s v="SIM"/>
    <x v="7"/>
    <x v="1"/>
    <s v="LINHA DE UNDERFLOW DAS PENEIRAS DESAGUADORAS RETRABALHO DO UNDERFLOW DA PENEIRA PN-143A-9723"/>
    <m/>
    <m/>
    <m/>
    <s v="1450AA-T-70235_FL04"/>
    <n v="1"/>
    <s v="PÇ"/>
    <n v="3.1"/>
    <n v="3.1"/>
    <n v="2238.89"/>
    <n v="6940.5590000000002"/>
    <n v="0"/>
    <n v="0.9"/>
    <n v="0.1"/>
    <n v="1"/>
    <n v="1"/>
    <x v="1"/>
    <n v="3.1"/>
    <m/>
    <n v="3.1"/>
    <n v="0"/>
    <m/>
    <n v="0.4"/>
    <n v="0.5"/>
    <n v="0.1"/>
    <n v="1"/>
    <n v="1"/>
    <n v="1"/>
    <n v="6940.5590000000002"/>
    <n v="0"/>
    <n v="6940.5590000000002"/>
    <n v="0"/>
    <m/>
    <m/>
  </r>
  <r>
    <s v="2.4.3.1.3"/>
    <s v="CMS M.60.10.000"/>
    <x v="2"/>
    <n v="2"/>
    <s v="SPOOL"/>
    <n v="10"/>
    <x v="2"/>
    <s v="NÃO"/>
    <s v="SIM"/>
    <x v="7"/>
    <x v="1"/>
    <s v="LINHA DE UNDERFLOW DAS PENEIRAS DESAGUADORAS RETRABALHO DO UNDERFLOW DA PENEIRA PN-143A-9723"/>
    <m/>
    <m/>
    <m/>
    <s v="1450AA-T-70235_FL05"/>
    <n v="1"/>
    <s v="PÇ"/>
    <n v="0.45"/>
    <n v="0.45"/>
    <n v="2238.89"/>
    <n v="1007.5005"/>
    <n v="0"/>
    <n v="0.9"/>
    <n v="0.1"/>
    <n v="1"/>
    <n v="1"/>
    <x v="1"/>
    <n v="0.45"/>
    <m/>
    <n v="0.45"/>
    <n v="0"/>
    <m/>
    <n v="0.4"/>
    <n v="0.5"/>
    <n v="0.1"/>
    <n v="1"/>
    <n v="1"/>
    <n v="1"/>
    <n v="1007.5005"/>
    <n v="0"/>
    <n v="1007.5005"/>
    <n v="0"/>
    <m/>
    <m/>
  </r>
  <r>
    <s v="2.4.3.1.3"/>
    <s v="CMS M.60.10.000"/>
    <x v="2"/>
    <n v="1"/>
    <s v="SPOOL"/>
    <n v="10"/>
    <x v="1"/>
    <s v="NÃO"/>
    <s v="SIM"/>
    <x v="8"/>
    <x v="1"/>
    <s v="LINHA DE UNDERFLOW DAS PENEIRAS DESAGUADORAS RETRABALHO DO UNDERFLOW DA PENEIRA PN-143A-9724"/>
    <m/>
    <m/>
    <m/>
    <s v="1450AA-T-70237_FL04"/>
    <n v="1"/>
    <s v="PÇ"/>
    <n v="3.1"/>
    <n v="3.1"/>
    <n v="2238.89"/>
    <n v="6940.5590000000002"/>
    <n v="0"/>
    <n v="0.9"/>
    <n v="0.1"/>
    <n v="1"/>
    <n v="1"/>
    <x v="1"/>
    <n v="3.1"/>
    <m/>
    <n v="3.1"/>
    <n v="0"/>
    <m/>
    <n v="0.4"/>
    <n v="0.5"/>
    <n v="0.1"/>
    <n v="1"/>
    <n v="1"/>
    <n v="1"/>
    <n v="6940.5590000000002"/>
    <n v="0"/>
    <n v="6940.5590000000002"/>
    <n v="0"/>
    <m/>
    <m/>
  </r>
  <r>
    <s v="2.4.3.1.3"/>
    <s v="CMS M.60.10.000"/>
    <x v="2"/>
    <n v="2"/>
    <s v="SPOOL"/>
    <n v="10"/>
    <x v="2"/>
    <s v="NÃO"/>
    <s v="SIM"/>
    <x v="8"/>
    <x v="1"/>
    <s v="LINHA DE UNDERFLOW DAS PENEIRAS DESAGUADORAS RETRABALHO DO UNDERFLOW DA PENEIRA PN-143A-9724"/>
    <m/>
    <m/>
    <m/>
    <s v="1450AA-T-70237_FL05"/>
    <n v="1"/>
    <s v="PÇ"/>
    <n v="0.45"/>
    <n v="0.45"/>
    <n v="2238.89"/>
    <n v="1007.5005"/>
    <n v="0"/>
    <n v="0.9"/>
    <n v="0.1"/>
    <n v="1"/>
    <n v="1"/>
    <x v="1"/>
    <n v="0.45"/>
    <m/>
    <n v="0.45"/>
    <n v="0"/>
    <m/>
    <n v="0.4"/>
    <n v="0.5"/>
    <n v="0.1"/>
    <n v="1"/>
    <n v="1"/>
    <n v="1"/>
    <n v="1007.5005"/>
    <n v="0"/>
    <n v="1007.5005"/>
    <n v="0"/>
    <m/>
    <m/>
  </r>
  <r>
    <s v="2.4.3.1.3"/>
    <s v="CMS M.60.10.000"/>
    <x v="2"/>
    <n v="1"/>
    <s v="CURVA"/>
    <n v="10"/>
    <x v="1"/>
    <s v="NÃO"/>
    <s v="SIM"/>
    <x v="9"/>
    <x v="1"/>
    <s v="LINHA DE UNDERFLOW DAS PENEIRAS DESAGUADORAS RETRABALHO DO UNDERFLOW DA PENEIRA PN-143A-9725"/>
    <m/>
    <m/>
    <m/>
    <s v="1450AA-T-70239_FL06"/>
    <n v="1"/>
    <s v="PÇ"/>
    <n v="0.6"/>
    <n v="0.6"/>
    <n v="2238.89"/>
    <n v="1343.3339999999998"/>
    <n v="0"/>
    <n v="0.9"/>
    <n v="0.1"/>
    <n v="1"/>
    <n v="1"/>
    <x v="1"/>
    <n v="0.6"/>
    <m/>
    <n v="0.6"/>
    <n v="0"/>
    <m/>
    <n v="0.4"/>
    <n v="0.5"/>
    <n v="0.1"/>
    <n v="1"/>
    <n v="1"/>
    <n v="1"/>
    <n v="1343.3339999999998"/>
    <n v="0"/>
    <n v="1343.3339999999998"/>
    <n v="0"/>
    <m/>
    <m/>
  </r>
  <r>
    <s v="2.4.3.1.3"/>
    <s v="CMS M.60.10.000"/>
    <x v="2"/>
    <n v="2"/>
    <s v="SPOOL"/>
    <n v="10"/>
    <x v="1"/>
    <s v="NÃO"/>
    <s v="SIM"/>
    <x v="9"/>
    <x v="1"/>
    <s v="LINHA DE UNDERFLOW DAS PENEIRAS DESAGUADORAS RETRABALHO DO UNDERFLOW DA PENEIRA PN-143A-9725"/>
    <m/>
    <m/>
    <m/>
    <s v="1450AA-T-70239_FL07"/>
    <n v="1"/>
    <s v="PÇ"/>
    <n v="2.2999999999999998"/>
    <n v="2.2999999999999998"/>
    <n v="2238.89"/>
    <n v="5149.4469999999992"/>
    <n v="0"/>
    <n v="0.9"/>
    <n v="0.1"/>
    <n v="1"/>
    <n v="1"/>
    <x v="1"/>
    <n v="2.2999999999999998"/>
    <m/>
    <n v="2.2999999999999998"/>
    <n v="0"/>
    <m/>
    <n v="0.4"/>
    <n v="0.5"/>
    <n v="0.1"/>
    <n v="1"/>
    <n v="1"/>
    <n v="1"/>
    <n v="5149.4469999999992"/>
    <n v="0"/>
    <n v="5149.4469999999992"/>
    <n v="0"/>
    <m/>
    <m/>
  </r>
  <r>
    <s v="2.4.3.1.3"/>
    <s v="CMS M.60.10.000"/>
    <x v="2"/>
    <n v="3"/>
    <s v="SPOOL"/>
    <n v="10"/>
    <x v="2"/>
    <s v="NÃO"/>
    <s v="SIM"/>
    <x v="9"/>
    <x v="1"/>
    <s v="LINHA DE UNDERFLOW DAS PENEIRAS DESAGUADORAS RETRABALHO DO UNDERFLOW DA PENEIRA PN-143A-9725"/>
    <m/>
    <m/>
    <m/>
    <s v="1450AA-T-70239_FL08"/>
    <n v="1"/>
    <s v="PÇ"/>
    <n v="0.3"/>
    <n v="0.3"/>
    <n v="2238.89"/>
    <n v="671.66699999999992"/>
    <n v="0"/>
    <n v="0.9"/>
    <n v="0.1"/>
    <n v="1"/>
    <n v="1"/>
    <x v="1"/>
    <n v="0.3"/>
    <m/>
    <n v="0.3"/>
    <n v="0"/>
    <m/>
    <n v="0.4"/>
    <n v="0.5"/>
    <n v="0.1"/>
    <n v="1"/>
    <n v="1"/>
    <n v="1"/>
    <n v="671.66699999999992"/>
    <n v="0"/>
    <n v="671.66699999999992"/>
    <n v="0"/>
    <m/>
    <m/>
  </r>
  <r>
    <s v="2.4.3.1.3"/>
    <s v="CMS M.60.10.000"/>
    <x v="2"/>
    <n v="4"/>
    <s v="SPOOL"/>
    <n v="10"/>
    <x v="2"/>
    <s v="NÃO"/>
    <s v="SIM"/>
    <x v="9"/>
    <x v="1"/>
    <s v="LINHA DE UNDERFLOW DAS PENEIRAS DESAGUADORAS RETRABALHO DO UNDERFLOW DA PENEIRA PN-143A-9725"/>
    <m/>
    <m/>
    <m/>
    <s v="1450AA-T-70239_FL09"/>
    <n v="1"/>
    <s v="PÇ"/>
    <n v="0.4"/>
    <n v="0.4"/>
    <n v="2238.89"/>
    <n v="895.55600000000004"/>
    <n v="0"/>
    <n v="0.9"/>
    <n v="0.1"/>
    <n v="1"/>
    <n v="1"/>
    <x v="1"/>
    <n v="0.4"/>
    <m/>
    <n v="0.4"/>
    <n v="0"/>
    <m/>
    <n v="0.4"/>
    <n v="0.5"/>
    <n v="0.1"/>
    <n v="1"/>
    <n v="1"/>
    <n v="1"/>
    <n v="895.55600000000004"/>
    <n v="0"/>
    <n v="895.55600000000004"/>
    <n v="0"/>
    <m/>
    <m/>
  </r>
  <r>
    <s v="2.4.3.1.3"/>
    <s v="CMS M.60.10.000"/>
    <x v="2"/>
    <n v="5"/>
    <s v="SPOOL"/>
    <n v="10"/>
    <x v="2"/>
    <s v="NÃO"/>
    <s v="SIM"/>
    <x v="9"/>
    <x v="1"/>
    <s v="LINHA DE UNDERFLOW DAS PENEIRAS DESAGUADORAS RETRABALHO DO UNDERFLOW DA PENEIRA PN-143A-9725"/>
    <m/>
    <m/>
    <m/>
    <s v="1450AA-T-70239_FL10"/>
    <n v="1"/>
    <s v="PÇ"/>
    <n v="0.6"/>
    <n v="0.6"/>
    <n v="2238.89"/>
    <n v="1343.3339999999998"/>
    <n v="0"/>
    <n v="0.9"/>
    <n v="0.1"/>
    <n v="1"/>
    <n v="1"/>
    <x v="1"/>
    <n v="0.6"/>
    <m/>
    <n v="0.6"/>
    <n v="0"/>
    <m/>
    <n v="0.4"/>
    <n v="0.5"/>
    <n v="0.1"/>
    <n v="1"/>
    <n v="1"/>
    <n v="1"/>
    <n v="1343.3339999999998"/>
    <n v="0"/>
    <n v="1343.3339999999998"/>
    <n v="0"/>
    <m/>
    <m/>
  </r>
  <r>
    <s v="2.4.3.1.3"/>
    <s v="CMS M.60.10.000"/>
    <x v="2"/>
    <n v="1"/>
    <s v="CURVA"/>
    <n v="10"/>
    <x v="1"/>
    <s v="NÃO"/>
    <s v="SIM"/>
    <x v="10"/>
    <x v="1"/>
    <s v="LINHA DE UNDERFLOW DAS PENEIRAS DESAGUADORAS RETRABALHO DO UNDERFLOW DA PENEIRA PN-143A-9726"/>
    <m/>
    <m/>
    <m/>
    <s v="1450AA-T-70241_FL06"/>
    <n v="1"/>
    <s v="PÇ"/>
    <n v="0.61699999999999999"/>
    <n v="0.61699999999999999"/>
    <n v="2238.89"/>
    <n v="1381.3951299999999"/>
    <n v="0"/>
    <n v="0.9"/>
    <n v="0.1"/>
    <n v="1"/>
    <n v="1"/>
    <x v="1"/>
    <n v="0.61699999999999999"/>
    <m/>
    <n v="0.61699999999999999"/>
    <n v="0"/>
    <m/>
    <n v="0.4"/>
    <n v="0.5"/>
    <n v="0.1"/>
    <n v="1"/>
    <n v="1"/>
    <n v="1"/>
    <n v="1381.3951299999999"/>
    <n v="0"/>
    <n v="1381.3951299999999"/>
    <n v="0"/>
    <m/>
    <m/>
  </r>
  <r>
    <s v="2.4.3.1.3"/>
    <s v="CMS M.60.10.000"/>
    <x v="2"/>
    <n v="2"/>
    <s v="SPOOL"/>
    <n v="10"/>
    <x v="1"/>
    <s v="NÃO"/>
    <s v="SIM"/>
    <x v="10"/>
    <x v="1"/>
    <s v="LINHA DE UNDERFLOW DAS PENEIRAS DESAGUADORAS RETRABALHO DO UNDERFLOW DA PENEIRA PN-143A-9726"/>
    <m/>
    <m/>
    <m/>
    <s v="1450AA-T-70241_FL07"/>
    <n v="1"/>
    <s v="PÇ"/>
    <n v="1.45"/>
    <n v="1.45"/>
    <n v="2238.89"/>
    <n v="3246.3904999999995"/>
    <n v="0"/>
    <n v="0.9"/>
    <n v="0.1"/>
    <n v="1"/>
    <n v="1"/>
    <x v="1"/>
    <n v="1.45"/>
    <m/>
    <n v="1.45"/>
    <n v="0"/>
    <m/>
    <n v="0.4"/>
    <n v="0.5"/>
    <n v="0.1"/>
    <n v="1"/>
    <n v="1"/>
    <n v="1"/>
    <n v="3246.3904999999995"/>
    <n v="0"/>
    <n v="3246.3904999999995"/>
    <n v="0"/>
    <m/>
    <m/>
  </r>
  <r>
    <s v="2.4.3.1.3"/>
    <s v="CMS M.60.10.000"/>
    <x v="2"/>
    <n v="3"/>
    <s v="SPOOL"/>
    <n v="10"/>
    <x v="2"/>
    <s v="NÃO"/>
    <s v="SIM"/>
    <x v="10"/>
    <x v="1"/>
    <s v="LINHA DE UNDERFLOW DAS PENEIRAS DESAGUADORAS RETRABALHO DO UNDERFLOW DA PENEIRA PN-143A-9726"/>
    <m/>
    <m/>
    <m/>
    <s v="1450AA-T-70241_FL08"/>
    <n v="1"/>
    <s v="PÇ"/>
    <n v="0.3"/>
    <n v="0.3"/>
    <n v="2238.89"/>
    <n v="671.66699999999992"/>
    <n v="0"/>
    <n v="0.9"/>
    <n v="0.1"/>
    <n v="1"/>
    <n v="1"/>
    <x v="1"/>
    <n v="0.3"/>
    <m/>
    <n v="0.3"/>
    <n v="0"/>
    <m/>
    <n v="0.4"/>
    <n v="0.5"/>
    <n v="0.1"/>
    <n v="1"/>
    <n v="1"/>
    <n v="1"/>
    <n v="671.66699999999992"/>
    <n v="0"/>
    <n v="671.66699999999992"/>
    <n v="0"/>
    <m/>
    <m/>
  </r>
  <r>
    <s v="2.4.3.1.3"/>
    <s v="CMS M.60.10.000"/>
    <x v="2"/>
    <n v="4"/>
    <s v="SPOOL"/>
    <n v="10"/>
    <x v="2"/>
    <s v="NÃO"/>
    <s v="SIM"/>
    <x v="10"/>
    <x v="1"/>
    <s v="LINHA DE UNDERFLOW DAS PENEIRAS DESAGUADORAS RETRABALHO DO UNDERFLOW DA PENEIRA PN-143A-9726"/>
    <m/>
    <m/>
    <m/>
    <s v="1450AA-T-70241_FL09"/>
    <n v="1"/>
    <s v="PÇ"/>
    <n v="0.4"/>
    <n v="0.4"/>
    <n v="2238.89"/>
    <n v="895.55600000000004"/>
    <n v="0"/>
    <n v="0.9"/>
    <n v="0.1"/>
    <n v="1"/>
    <n v="1"/>
    <x v="1"/>
    <n v="0.4"/>
    <m/>
    <n v="0.4"/>
    <n v="0"/>
    <m/>
    <n v="0.4"/>
    <n v="0.5"/>
    <n v="0.1"/>
    <n v="1"/>
    <n v="1"/>
    <n v="1"/>
    <n v="895.55600000000004"/>
    <n v="0"/>
    <n v="895.55600000000004"/>
    <n v="0"/>
    <m/>
    <m/>
  </r>
  <r>
    <s v="2.4.3.1.3"/>
    <s v="CMS M.60.10.000"/>
    <x v="2"/>
    <n v="5"/>
    <s v="SPOOL"/>
    <n v="10"/>
    <x v="2"/>
    <s v="NÃO"/>
    <s v="SIM"/>
    <x v="10"/>
    <x v="1"/>
    <s v="LINHA DE UNDERFLOW DAS PENEIRAS DESAGUADORAS RETRABALHO DO UNDERFLOW DA PENEIRA PN-143A-9726"/>
    <m/>
    <m/>
    <m/>
    <s v="1450AA-T-70241_FL10"/>
    <n v="1"/>
    <s v="PÇ"/>
    <n v="1.05"/>
    <n v="1.05"/>
    <n v="2238.89"/>
    <n v="2350.8344999999999"/>
    <n v="0"/>
    <n v="0.9"/>
    <n v="0.1"/>
    <n v="1"/>
    <n v="1"/>
    <x v="1"/>
    <n v="1.05"/>
    <m/>
    <n v="1.05"/>
    <n v="0"/>
    <m/>
    <n v="0.4"/>
    <n v="0.5"/>
    <n v="0.1"/>
    <n v="1"/>
    <n v="1"/>
    <n v="1"/>
    <n v="2350.8344999999999"/>
    <n v="0"/>
    <n v="2350.8344999999999"/>
    <n v="0"/>
    <m/>
    <m/>
  </r>
  <r>
    <s v="2.4.3.1.3"/>
    <s v="CMS M.60.10.000"/>
    <x v="2"/>
    <n v="1"/>
    <s v="CURVA"/>
    <n v="10"/>
    <x v="1"/>
    <s v="NÃO"/>
    <s v="SIM"/>
    <x v="11"/>
    <x v="2"/>
    <s v="LINHA DE UNDERFLOW DAS PENEIRAS DESAGUADORAS RETRABALHO DO UNDERFLOW DA PENEIRA PN-143A-9727"/>
    <m/>
    <m/>
    <m/>
    <s v="1450AA-T-70243_FL06"/>
    <n v="1"/>
    <s v="PÇ"/>
    <n v="0.61699999999999999"/>
    <n v="0.61699999999999999"/>
    <n v="2238.89"/>
    <n v="1381.3951299999999"/>
    <n v="0"/>
    <n v="0.9"/>
    <n v="0.1"/>
    <n v="1"/>
    <n v="1"/>
    <x v="1"/>
    <n v="0.61699999999999999"/>
    <m/>
    <n v="0.61699999999999999"/>
    <n v="0"/>
    <m/>
    <n v="0.4"/>
    <n v="0.5"/>
    <n v="0.1"/>
    <n v="1"/>
    <n v="1"/>
    <n v="1"/>
    <n v="1381.3951299999999"/>
    <n v="0"/>
    <n v="1381.3951299999999"/>
    <n v="0"/>
    <m/>
    <m/>
  </r>
  <r>
    <s v="2.4.3.1.3"/>
    <s v="CMS M.60.10.000"/>
    <x v="2"/>
    <n v="2"/>
    <s v="SPOOL"/>
    <n v="10"/>
    <x v="1"/>
    <s v="NÃO"/>
    <s v="SIM"/>
    <x v="11"/>
    <x v="2"/>
    <s v="LINHA DE UNDERFLOW DAS PENEIRAS DESAGUADORAS RETRABALHO DO UNDERFLOW DA PENEIRA PN-143A-9727"/>
    <m/>
    <m/>
    <m/>
    <s v="1450AA-T-70243_FL07"/>
    <n v="1"/>
    <s v="PÇ"/>
    <n v="1.45"/>
    <n v="1.45"/>
    <n v="2238.89"/>
    <n v="3246.3904999999995"/>
    <n v="0"/>
    <n v="0.9"/>
    <n v="0.1"/>
    <n v="1"/>
    <n v="1"/>
    <x v="1"/>
    <n v="1.45"/>
    <m/>
    <n v="1.45"/>
    <n v="0"/>
    <m/>
    <n v="0.4"/>
    <n v="0.5"/>
    <n v="0.1"/>
    <n v="1"/>
    <n v="1"/>
    <n v="1"/>
    <n v="3246.3904999999995"/>
    <n v="0"/>
    <n v="3246.3904999999995"/>
    <n v="0"/>
    <m/>
    <m/>
  </r>
  <r>
    <s v="2.4.3.1.3"/>
    <s v="CMS M.60.10.000"/>
    <x v="2"/>
    <n v="3"/>
    <s v="SPOOL"/>
    <n v="10"/>
    <x v="2"/>
    <s v="NÃO"/>
    <s v="SIM"/>
    <x v="11"/>
    <x v="2"/>
    <s v="LINHA DE UNDERFLOW DAS PENEIRAS DESAGUADORAS RETRABALHO DO UNDERFLOW DA PENEIRA PN-143A-9727"/>
    <m/>
    <m/>
    <m/>
    <s v="1450AA-T-70243_FL08"/>
    <n v="1"/>
    <s v="PÇ"/>
    <n v="0.3"/>
    <n v="0.3"/>
    <n v="2238.89"/>
    <n v="671.66699999999992"/>
    <n v="0"/>
    <n v="0.9"/>
    <n v="0.1"/>
    <n v="1"/>
    <n v="1"/>
    <x v="1"/>
    <n v="0.3"/>
    <m/>
    <n v="0.3"/>
    <n v="0"/>
    <m/>
    <n v="0.4"/>
    <n v="0.5"/>
    <n v="0.1"/>
    <n v="1"/>
    <n v="1"/>
    <n v="1"/>
    <n v="671.66699999999992"/>
    <n v="0"/>
    <n v="671.66699999999992"/>
    <n v="0"/>
    <m/>
    <m/>
  </r>
  <r>
    <s v="2.4.3.1.3"/>
    <s v="CMS M.60.10.000"/>
    <x v="2"/>
    <n v="4"/>
    <s v="SPOOL"/>
    <n v="10"/>
    <x v="2"/>
    <s v="NÃO"/>
    <s v="SIM"/>
    <x v="11"/>
    <x v="2"/>
    <s v="LINHA DE UNDERFLOW DAS PENEIRAS DESAGUADORAS RETRABALHO DO UNDERFLOW DA PENEIRA PN-143A-9727"/>
    <m/>
    <m/>
    <m/>
    <s v="1450AA-T-70243_FL09"/>
    <n v="1"/>
    <s v="PÇ"/>
    <n v="0.55000000000000004"/>
    <n v="0.55000000000000004"/>
    <n v="2238.89"/>
    <n v="1231.3895"/>
    <n v="0"/>
    <n v="0.9"/>
    <n v="0.1"/>
    <n v="1"/>
    <n v="1"/>
    <x v="1"/>
    <n v="0.55000000000000004"/>
    <m/>
    <n v="0.55000000000000004"/>
    <n v="0"/>
    <m/>
    <n v="0.4"/>
    <n v="0.5"/>
    <n v="0.1"/>
    <n v="1"/>
    <n v="1"/>
    <n v="1"/>
    <n v="1231.3895"/>
    <n v="0"/>
    <n v="1231.3895"/>
    <n v="0"/>
    <m/>
    <m/>
  </r>
  <r>
    <s v="2.4.3.1.3"/>
    <s v="CMS M.60.10.000"/>
    <x v="2"/>
    <n v="5"/>
    <s v="SPOOL"/>
    <n v="10"/>
    <x v="2"/>
    <s v="NÃO"/>
    <s v="SIM"/>
    <x v="11"/>
    <x v="2"/>
    <s v="LINHA DE UNDERFLOW DAS PENEIRAS DESAGUADORAS RETRABALHO DO UNDERFLOW DA PENEIRA PN-143A-9727"/>
    <m/>
    <m/>
    <m/>
    <s v="1450AA-T-70243_FL10"/>
    <n v="1"/>
    <s v="PÇ"/>
    <n v="1.05"/>
    <n v="1.05"/>
    <n v="2238.89"/>
    <n v="2350.8344999999999"/>
    <n v="0"/>
    <n v="0.9"/>
    <n v="0.1"/>
    <n v="1"/>
    <n v="1"/>
    <x v="1"/>
    <n v="1.05"/>
    <m/>
    <n v="1.05"/>
    <n v="0"/>
    <m/>
    <n v="0.4"/>
    <n v="0.5"/>
    <n v="0.1"/>
    <n v="1"/>
    <n v="1"/>
    <n v="1"/>
    <n v="2350.8344999999999"/>
    <n v="0"/>
    <n v="2350.8344999999999"/>
    <n v="0"/>
    <m/>
    <m/>
  </r>
  <r>
    <s v="2.4.3.1.3"/>
    <s v="CMS M.60.10.000"/>
    <x v="2"/>
    <n v="1"/>
    <s v="CURVA"/>
    <n v="10"/>
    <x v="1"/>
    <s v="NÃO"/>
    <s v="SIM"/>
    <x v="12"/>
    <x v="2"/>
    <s v="LINHA DE UNDERFLOW DAS PENEIRAS DESAGUADORAS RETRABALHO DO UNDERFLOW DA PENEIRA PN-143A-9728"/>
    <m/>
    <m/>
    <m/>
    <s v="1450AA-T-70245_FL06"/>
    <n v="1"/>
    <s v="PÇ"/>
    <n v="0.61699999999999999"/>
    <n v="0.61699999999999999"/>
    <n v="2238.89"/>
    <n v="1381.3951299999999"/>
    <n v="0"/>
    <n v="0.9"/>
    <n v="0.1"/>
    <n v="1"/>
    <n v="1"/>
    <x v="1"/>
    <n v="0.61699999999999999"/>
    <m/>
    <n v="0.61699999999999999"/>
    <n v="0"/>
    <m/>
    <n v="0.4"/>
    <n v="0.5"/>
    <n v="0.1"/>
    <n v="1"/>
    <n v="1"/>
    <n v="1"/>
    <n v="1381.3951299999999"/>
    <n v="0"/>
    <n v="1381.3951299999999"/>
    <n v="0"/>
    <m/>
    <m/>
  </r>
  <r>
    <s v="2.4.3.1.3"/>
    <s v="CMS M.60.10.000"/>
    <x v="2"/>
    <n v="2"/>
    <s v="SPOOL"/>
    <n v="10"/>
    <x v="1"/>
    <s v="NÃO"/>
    <s v="SIM"/>
    <x v="12"/>
    <x v="2"/>
    <s v="LINHA DE UNDERFLOW DAS PENEIRAS DESAGUADORAS RETRABALHO DO UNDERFLOW DA PENEIRA PN-143A-9728"/>
    <m/>
    <m/>
    <m/>
    <s v="1450AA-T-70245_FL07"/>
    <n v="1"/>
    <s v="PÇ"/>
    <n v="1.55"/>
    <n v="1.55"/>
    <n v="2238.89"/>
    <n v="3470.2795000000001"/>
    <n v="0"/>
    <n v="0.9"/>
    <n v="0.1"/>
    <n v="1"/>
    <n v="1"/>
    <x v="1"/>
    <n v="1.55"/>
    <m/>
    <n v="1.55"/>
    <n v="0"/>
    <m/>
    <n v="0.4"/>
    <n v="0.5"/>
    <n v="0.1"/>
    <n v="1"/>
    <n v="1"/>
    <n v="1"/>
    <n v="3470.2795000000001"/>
    <n v="0"/>
    <n v="3470.2795000000001"/>
    <n v="0"/>
    <m/>
    <m/>
  </r>
  <r>
    <s v="2.4.3.1.3"/>
    <s v="CMS M.60.10.000"/>
    <x v="2"/>
    <n v="3"/>
    <s v="SPOOL"/>
    <n v="10"/>
    <x v="2"/>
    <s v="NÃO"/>
    <s v="SIM"/>
    <x v="12"/>
    <x v="2"/>
    <s v="LINHA DE UNDERFLOW DAS PENEIRAS DESAGUADORAS RETRABALHO DO UNDERFLOW DA PENEIRA PN-143A-9728"/>
    <m/>
    <m/>
    <m/>
    <s v="1450AA-T-70245_FL08"/>
    <n v="3"/>
    <s v="PÇ"/>
    <n v="0.6"/>
    <n v="1.7999999999999998"/>
    <n v="2238.89"/>
    <n v="4030.0019999999995"/>
    <n v="0"/>
    <n v="0.9"/>
    <n v="0.1"/>
    <n v="1"/>
    <n v="1"/>
    <x v="1"/>
    <n v="1.7999999999999998"/>
    <m/>
    <n v="1.7999999999999998"/>
    <n v="0"/>
    <m/>
    <n v="0.4"/>
    <n v="0.5"/>
    <n v="0.1"/>
    <n v="1"/>
    <n v="1"/>
    <n v="1"/>
    <n v="4030.0019999999995"/>
    <n v="0"/>
    <n v="4030.0019999999995"/>
    <n v="0"/>
    <m/>
    <m/>
  </r>
  <r>
    <s v="2.4.3.1.3"/>
    <s v="CMS M.60.10.000"/>
    <x v="2"/>
    <n v="1"/>
    <s v="CURVA"/>
    <n v="10"/>
    <x v="1"/>
    <s v="NÃO"/>
    <s v="SIM"/>
    <x v="13"/>
    <x v="2"/>
    <s v="LINHA DE UNDERFLOW DAS PENEIRAS DESAGUADORAS RETRABALHO DO UNDERFLOW DA PENEIRA PN-143A-9729"/>
    <m/>
    <m/>
    <m/>
    <s v="1450AA-T-70247_FL06"/>
    <n v="1"/>
    <s v="PÇ"/>
    <n v="0.67300000000000004"/>
    <n v="0.67300000000000004"/>
    <n v="2238.89"/>
    <n v="1506.77297"/>
    <n v="0"/>
    <n v="0.9"/>
    <n v="0.1"/>
    <n v="1"/>
    <n v="1"/>
    <x v="1"/>
    <n v="0.67300000000000004"/>
    <m/>
    <n v="0.67300000000000004"/>
    <n v="0"/>
    <m/>
    <n v="0.4"/>
    <n v="0.5"/>
    <n v="0.1"/>
    <n v="1"/>
    <n v="1"/>
    <n v="1"/>
    <n v="1506.77297"/>
    <n v="0"/>
    <n v="1506.77297"/>
    <n v="0"/>
    <m/>
    <m/>
  </r>
  <r>
    <s v="2.4.3.1.3"/>
    <s v="CMS M.60.10.000"/>
    <x v="2"/>
    <n v="2"/>
    <s v="SPOOL"/>
    <n v="10"/>
    <x v="1"/>
    <s v="NÃO"/>
    <s v="SIM"/>
    <x v="13"/>
    <x v="2"/>
    <s v="LINHA DE UNDERFLOW DAS PENEIRAS DESAGUADORAS RETRABALHO DO UNDERFLOW DA PENEIRA PN-143A-9729"/>
    <m/>
    <m/>
    <m/>
    <s v="1450AA-T-70247_FL07"/>
    <n v="1"/>
    <s v="PÇ"/>
    <n v="2"/>
    <n v="2"/>
    <n v="2238.89"/>
    <n v="4477.78"/>
    <n v="0"/>
    <n v="0.9"/>
    <n v="0.1"/>
    <n v="1"/>
    <n v="1"/>
    <x v="1"/>
    <n v="2"/>
    <m/>
    <n v="2"/>
    <n v="0"/>
    <m/>
    <n v="0.4"/>
    <n v="0.5"/>
    <n v="0.1"/>
    <n v="1"/>
    <n v="1"/>
    <n v="1"/>
    <n v="4477.78"/>
    <n v="0"/>
    <n v="4477.78"/>
    <n v="0"/>
    <m/>
    <m/>
  </r>
  <r>
    <s v="2.4.3.1.3"/>
    <s v="CMS M.60.10.000"/>
    <x v="2"/>
    <n v="3"/>
    <s v="SPOOL"/>
    <n v="10"/>
    <x v="2"/>
    <s v="NÃO"/>
    <s v="SIM"/>
    <x v="13"/>
    <x v="2"/>
    <s v="LINHA DE UNDERFLOW DAS PENEIRAS DESAGUADORAS RETRABALHO DO UNDERFLOW DA PENEIRA PN-143A-9729"/>
    <m/>
    <m/>
    <m/>
    <s v="1450AA-T-70247_FL08"/>
    <n v="1"/>
    <s v="PÇ"/>
    <n v="0.25"/>
    <n v="0.25"/>
    <n v="2238.89"/>
    <n v="559.72249999999997"/>
    <n v="0"/>
    <n v="0.9"/>
    <n v="0.1"/>
    <n v="1"/>
    <n v="1"/>
    <x v="1"/>
    <n v="0.25"/>
    <m/>
    <n v="0.25"/>
    <n v="0"/>
    <m/>
    <n v="0.4"/>
    <n v="0.5"/>
    <n v="0.1"/>
    <n v="1"/>
    <n v="1"/>
    <n v="1"/>
    <n v="559.72249999999997"/>
    <n v="0"/>
    <n v="559.72249999999997"/>
    <n v="0"/>
    <m/>
    <m/>
  </r>
  <r>
    <s v="2.4.3.1.3"/>
    <s v="CMS M.60.10.000"/>
    <x v="2"/>
    <n v="4"/>
    <s v="SPOOL"/>
    <n v="10"/>
    <x v="2"/>
    <s v="NÃO"/>
    <s v="SIM"/>
    <x v="13"/>
    <x v="2"/>
    <s v="LINHA DE UNDERFLOW DAS PENEIRAS DESAGUADORAS RETRABALHO DO UNDERFLOW DA PENEIRA PN-143A-9729"/>
    <m/>
    <m/>
    <m/>
    <s v="1450AA-T-70247_FL09"/>
    <n v="1"/>
    <s v="PÇ"/>
    <n v="0.35"/>
    <n v="0.35"/>
    <n v="2238.89"/>
    <n v="783.61149999999986"/>
    <n v="0"/>
    <n v="0.9"/>
    <n v="0.1"/>
    <n v="1"/>
    <n v="1"/>
    <x v="1"/>
    <n v="0.35"/>
    <m/>
    <n v="0.35"/>
    <n v="0"/>
    <m/>
    <n v="0.4"/>
    <n v="0.5"/>
    <n v="0.1"/>
    <n v="1"/>
    <n v="1"/>
    <n v="1"/>
    <n v="783.61149999999986"/>
    <n v="0"/>
    <n v="783.61149999999986"/>
    <n v="0"/>
    <m/>
    <m/>
  </r>
  <r>
    <s v="2.4.3.1.3"/>
    <s v="CMS M.60.10.000"/>
    <x v="2"/>
    <n v="5"/>
    <s v="SPOOL"/>
    <n v="10"/>
    <x v="2"/>
    <s v="NÃO"/>
    <s v="SIM"/>
    <x v="13"/>
    <x v="2"/>
    <s v="LINHA DE UNDERFLOW DAS PENEIRAS DESAGUADORAS RETRABALHO DO UNDERFLOW DA PENEIRA PN-143A-9729"/>
    <m/>
    <m/>
    <m/>
    <s v="1450AA-T-70247_FL10"/>
    <n v="1"/>
    <s v="PÇ"/>
    <n v="0.6"/>
    <n v="0.6"/>
    <n v="2238.89"/>
    <n v="1343.3339999999998"/>
    <n v="0"/>
    <n v="0.9"/>
    <n v="0.1"/>
    <n v="1"/>
    <n v="1"/>
    <x v="1"/>
    <n v="0.6"/>
    <m/>
    <n v="0.6"/>
    <n v="0"/>
    <m/>
    <n v="0.4"/>
    <n v="0.5"/>
    <n v="0.1"/>
    <n v="1"/>
    <n v="1"/>
    <n v="1"/>
    <n v="1343.3339999999998"/>
    <n v="0"/>
    <n v="1343.3339999999998"/>
    <n v="0"/>
    <m/>
    <m/>
  </r>
  <r>
    <s v="2.4.3.1.3"/>
    <s v="CMS M.60.10.000"/>
    <x v="2"/>
    <n v="1"/>
    <s v="SPOOL"/>
    <n v="10"/>
    <x v="1"/>
    <s v="SIM"/>
    <s v="NÃO"/>
    <x v="14"/>
    <x v="1"/>
    <s v="LINHA DO CIRCUITO ARENOSO LINHA DE UNDERFLOW DAS PENEIRAS DESAGUADORAS"/>
    <m/>
    <m/>
    <m/>
    <s v="1450AA-T-70251_FL22"/>
    <n v="6"/>
    <s v="PÇ"/>
    <n v="0.5"/>
    <n v="3"/>
    <n v="2238.89"/>
    <n v="6716.67"/>
    <n v="0"/>
    <n v="0.9"/>
    <n v="0.1"/>
    <n v="1"/>
    <n v="1"/>
    <x v="1"/>
    <n v="3"/>
    <m/>
    <n v="3"/>
    <n v="0"/>
    <m/>
    <n v="0.4"/>
    <n v="0.5"/>
    <n v="0.1"/>
    <n v="1"/>
    <n v="1"/>
    <n v="1"/>
    <n v="6716.67"/>
    <n v="0"/>
    <n v="6716.67"/>
    <n v="0"/>
    <m/>
    <m/>
  </r>
  <r>
    <s v="2.4.3.1.3"/>
    <s v="CMS M.60.10.000"/>
    <x v="2"/>
    <n v="2"/>
    <s v="SPOOL"/>
    <n v="10"/>
    <x v="1"/>
    <s v="NÃO"/>
    <s v="NÃO"/>
    <x v="14"/>
    <x v="1"/>
    <s v="LINHA DO CIRCUITO ARENOSO LINHA DE UNDERFLOW DAS PENEIRAS DESAGUADORAS"/>
    <m/>
    <m/>
    <m/>
    <s v="1450AA-T-70251_FL41"/>
    <n v="1"/>
    <s v="PÇ"/>
    <n v="2.5"/>
    <n v="2.5"/>
    <n v="2238.89"/>
    <n v="5597.2249999999995"/>
    <n v="0"/>
    <n v="0.9"/>
    <n v="0.1"/>
    <n v="1"/>
    <n v="1"/>
    <x v="1"/>
    <n v="2.5"/>
    <m/>
    <n v="2.5"/>
    <n v="0"/>
    <m/>
    <n v="0.4"/>
    <n v="0.5"/>
    <n v="0.1"/>
    <n v="1"/>
    <n v="1"/>
    <n v="1"/>
    <n v="5597.2249999999995"/>
    <n v="0"/>
    <n v="5597.2249999999995"/>
    <n v="0"/>
    <m/>
    <m/>
  </r>
  <r>
    <s v="2.4.3.1.3"/>
    <s v="CMS M.60.10.000"/>
    <x v="2"/>
    <n v="3"/>
    <s v="DERIVAÇÃO "/>
    <n v="10"/>
    <x v="1"/>
    <s v="NÃO"/>
    <s v="NÃO"/>
    <x v="14"/>
    <x v="1"/>
    <s v="LINHA DO CIRCUITO ARENOSO LINHA DE UNDERFLOW DAS PENEIRAS DESAGUADORAS"/>
    <m/>
    <m/>
    <m/>
    <s v="1450AA-T-70251_FL26"/>
    <n v="1"/>
    <s v="PÇ"/>
    <n v="1.7"/>
    <n v="1.7"/>
    <n v="2238.89"/>
    <n v="3806.1129999999998"/>
    <n v="0"/>
    <n v="0.9"/>
    <n v="0.1"/>
    <n v="1"/>
    <n v="1"/>
    <x v="1"/>
    <n v="1.7"/>
    <m/>
    <n v="1.7"/>
    <n v="0"/>
    <m/>
    <n v="0.4"/>
    <n v="0.5"/>
    <n v="0.1"/>
    <n v="1"/>
    <n v="1"/>
    <n v="1"/>
    <n v="3806.1129999999998"/>
    <n v="0"/>
    <n v="3806.1129999999998"/>
    <n v="0"/>
    <m/>
    <m/>
  </r>
  <r>
    <s v="2.4.3.1.3"/>
    <s v="CMS M.60.10.000"/>
    <x v="2"/>
    <n v="4"/>
    <s v="SPOOL"/>
    <n v="10"/>
    <x v="2"/>
    <s v="NÃO"/>
    <s v="NÃO"/>
    <x v="14"/>
    <x v="1"/>
    <s v="LINHA DO CIRCUITO ARENOSO LINHA DE UNDERFLOW DAS PENEIRAS DESAGUADORAS"/>
    <m/>
    <m/>
    <m/>
    <s v="1450AA-T-70251_FL52"/>
    <n v="2"/>
    <s v="PÇ"/>
    <n v="0.5"/>
    <n v="1"/>
    <n v="2238.89"/>
    <n v="2238.89"/>
    <n v="0"/>
    <n v="0.9"/>
    <n v="0.1"/>
    <n v="1"/>
    <n v="1"/>
    <x v="1"/>
    <n v="1"/>
    <m/>
    <n v="1"/>
    <n v="0"/>
    <m/>
    <n v="0.4"/>
    <n v="0.5"/>
    <n v="0.1"/>
    <n v="1"/>
    <n v="1"/>
    <n v="1"/>
    <n v="2238.89"/>
    <n v="0"/>
    <n v="2238.89"/>
    <n v="0"/>
    <m/>
    <m/>
  </r>
  <r>
    <s v="2.4.3.1.3"/>
    <s v="CMS M.60.10.000"/>
    <x v="2"/>
    <n v="5"/>
    <s v="REDUÇÃO"/>
    <s v="14 X 10"/>
    <x v="1"/>
    <s v="NÃO"/>
    <s v="NÃO"/>
    <x v="14"/>
    <x v="1"/>
    <s v="LINHA DO CIRCUITO ARENOSO LINHA DE UNDERFLOW DAS PENEIRAS DESAGUADORAS"/>
    <m/>
    <m/>
    <m/>
    <s v="1450AA-T-70251_FL23"/>
    <n v="1"/>
    <s v="PÇ"/>
    <n v="0.63"/>
    <n v="0.63"/>
    <n v="2238.89"/>
    <n v="1410.5006999999998"/>
    <n v="0"/>
    <n v="0.9"/>
    <n v="0.1"/>
    <n v="1"/>
    <n v="1"/>
    <x v="1"/>
    <n v="0.63"/>
    <m/>
    <n v="0.63"/>
    <n v="0"/>
    <m/>
    <n v="0.4"/>
    <n v="0.5"/>
    <n v="0.1"/>
    <n v="1"/>
    <n v="1"/>
    <n v="1"/>
    <n v="1410.5006999999998"/>
    <n v="0"/>
    <n v="1410.5006999999998"/>
    <n v="0"/>
    <m/>
    <m/>
  </r>
  <r>
    <s v="2.4.3.1.3"/>
    <s v="CMS M.60.10.000"/>
    <x v="2"/>
    <n v="6"/>
    <s v="DERIVAÇÃO "/>
    <s v="14 X 10"/>
    <x v="1"/>
    <s v="NÃO"/>
    <s v="NÃO"/>
    <x v="14"/>
    <x v="1"/>
    <s v="LINHA DO CIRCUITO ARENOSO LINHA DE UNDERFLOW DAS PENEIRAS DESAGUADORAS"/>
    <m/>
    <m/>
    <m/>
    <s v="1450AA-T-70251_FL27"/>
    <n v="4"/>
    <s v="PÇ"/>
    <n v="1.9"/>
    <n v="7.6"/>
    <n v="2238.89"/>
    <n v="17015.563999999998"/>
    <n v="0"/>
    <n v="0.9"/>
    <n v="0.1"/>
    <n v="1"/>
    <n v="1"/>
    <x v="1"/>
    <n v="7.6"/>
    <m/>
    <n v="7.6"/>
    <n v="0"/>
    <m/>
    <n v="0.4"/>
    <n v="0.5"/>
    <n v="0.1"/>
    <n v="1"/>
    <n v="1"/>
    <n v="1"/>
    <n v="17015.563999999998"/>
    <n v="0"/>
    <n v="17015.563999999998"/>
    <n v="0"/>
    <m/>
    <m/>
  </r>
  <r>
    <s v="2.4.3.1.5"/>
    <s v="CMS M.60.10.000"/>
    <x v="2"/>
    <n v="7"/>
    <s v="SPOOL"/>
    <n v="14"/>
    <x v="2"/>
    <s v="NÃO"/>
    <s v="NÃO"/>
    <x v="14"/>
    <x v="1"/>
    <s v="LINHA DO CIRCUITO ARENOSO LINHA DE UNDERFLOW DAS PENEIRAS DESAGUADORAS"/>
    <m/>
    <m/>
    <m/>
    <s v="1450AA-T-70251_FL55"/>
    <n v="4"/>
    <s v="PÇ"/>
    <n v="0.4"/>
    <n v="1.6"/>
    <n v="2725.4"/>
    <n v="4360.6400000000003"/>
    <n v="0"/>
    <n v="0.9"/>
    <n v="0.1"/>
    <n v="1"/>
    <n v="1"/>
    <x v="1"/>
    <n v="1.6"/>
    <m/>
    <n v="1.6"/>
    <n v="0"/>
    <m/>
    <n v="0.4"/>
    <n v="0.5"/>
    <n v="0.1"/>
    <n v="1"/>
    <n v="1"/>
    <n v="1"/>
    <n v="4360.6400000000003"/>
    <n v="0"/>
    <n v="4360.6400000000003"/>
    <n v="0"/>
    <m/>
    <m/>
  </r>
  <r>
    <s v="2.4.3.1.3"/>
    <s v="CMS M.60.10.000"/>
    <x v="2"/>
    <n v="8"/>
    <s v="DERIVAÇÃO "/>
    <s v="14 X 10"/>
    <x v="1"/>
    <s v="NÃO"/>
    <s v="NÃO"/>
    <x v="14"/>
    <x v="1"/>
    <s v="LINHA DO CIRCUITO ARENOSO LINHA DE UNDERFLOW DAS PENEIRAS DESAGUADORAS"/>
    <m/>
    <m/>
    <m/>
    <s v="1450AA-T-70251_FL29"/>
    <n v="3"/>
    <s v="PÇ"/>
    <n v="1.9"/>
    <n v="5.6999999999999993"/>
    <n v="2238.89"/>
    <n v="12761.672999999997"/>
    <n v="0"/>
    <n v="0.9"/>
    <n v="0.1"/>
    <n v="1"/>
    <n v="1"/>
    <x v="1"/>
    <n v="5.6999999999999993"/>
    <m/>
    <n v="5.6999999999999993"/>
    <n v="0"/>
    <m/>
    <n v="0.4"/>
    <n v="0.5"/>
    <n v="0.1"/>
    <n v="1"/>
    <n v="1"/>
    <n v="1"/>
    <n v="12761.672999999997"/>
    <n v="0"/>
    <n v="12761.672999999997"/>
    <n v="0"/>
    <m/>
    <m/>
  </r>
  <r>
    <s v="2.4.3.1.5"/>
    <s v="CMS M.60.10.000"/>
    <x v="2"/>
    <n v="9"/>
    <s v="SPOOL"/>
    <n v="14"/>
    <x v="1"/>
    <s v="NÃO"/>
    <s v="NÃO"/>
    <x v="14"/>
    <x v="1"/>
    <s v="LINHA DO CIRCUITO ARENOSO LINHA DE UNDERFLOW DAS PENEIRAS DESAGUADORAS"/>
    <m/>
    <m/>
    <m/>
    <s v="1450AA-T-70251_FL42"/>
    <n v="2"/>
    <s v="PÇ"/>
    <n v="1.8"/>
    <n v="3.6"/>
    <n v="2725.4"/>
    <n v="9811.44"/>
    <n v="0"/>
    <n v="0.9"/>
    <n v="0.1"/>
    <n v="1"/>
    <n v="1"/>
    <x v="1"/>
    <n v="3.6"/>
    <m/>
    <n v="3.6"/>
    <n v="0"/>
    <m/>
    <n v="0.4"/>
    <n v="0.5"/>
    <n v="0.1"/>
    <n v="1"/>
    <n v="1"/>
    <n v="1"/>
    <n v="9811.44"/>
    <n v="0"/>
    <n v="9811.44"/>
    <n v="0"/>
    <m/>
    <m/>
  </r>
  <r>
    <s v="2.4.3.1.7"/>
    <s v="CMS M.60.10.000"/>
    <x v="2"/>
    <n v="10"/>
    <s v="SPOOL"/>
    <n v="20"/>
    <x v="2"/>
    <s v="NÃO"/>
    <s v="NÃO"/>
    <x v="14"/>
    <x v="1"/>
    <s v="LINHA DO CIRCUITO ARENOSO LINHA DE UNDERFLOW DAS PENEIRAS DESAGUADORAS"/>
    <m/>
    <m/>
    <m/>
    <s v="1450AA-T-70251_FL62"/>
    <n v="2"/>
    <s v="PÇ"/>
    <n v="0.8"/>
    <n v="1.6"/>
    <n v="3789.72"/>
    <n v="6063.5519999999997"/>
    <n v="0"/>
    <n v="0.9"/>
    <n v="0.1"/>
    <n v="1"/>
    <n v="1"/>
    <x v="1"/>
    <n v="1.6"/>
    <m/>
    <n v="1.6"/>
    <n v="0"/>
    <m/>
    <n v="0.4"/>
    <n v="0.5"/>
    <n v="0.1"/>
    <n v="1"/>
    <n v="1"/>
    <n v="1"/>
    <n v="6063.5519999999997"/>
    <n v="0"/>
    <n v="6063.5519999999997"/>
    <n v="0"/>
    <m/>
    <m/>
  </r>
  <r>
    <s v="2.4.3.1.5"/>
    <s v="CMS M.60.10.000"/>
    <x v="2"/>
    <n v="11"/>
    <s v="SPOOL"/>
    <n v="14"/>
    <x v="1"/>
    <s v="NÃO"/>
    <s v="NÃO"/>
    <x v="14"/>
    <x v="1"/>
    <s v="LINHA DO CIRCUITO ARENOSO LINHA DE UNDERFLOW DAS PENEIRAS DESAGUADORAS"/>
    <m/>
    <m/>
    <m/>
    <s v="1450AA-T-70251_FL43"/>
    <n v="1"/>
    <s v="PÇ"/>
    <n v="2"/>
    <n v="2"/>
    <n v="2725.4"/>
    <n v="5450.8"/>
    <n v="0"/>
    <n v="0.9"/>
    <n v="0.1"/>
    <n v="1"/>
    <n v="1"/>
    <x v="1"/>
    <n v="2"/>
    <m/>
    <n v="2"/>
    <n v="0"/>
    <m/>
    <n v="0.4"/>
    <n v="0.5"/>
    <n v="0.1"/>
    <n v="1"/>
    <n v="1"/>
    <n v="1"/>
    <n v="5450.8"/>
    <n v="0"/>
    <n v="5450.8"/>
    <n v="0"/>
    <m/>
    <m/>
  </r>
  <r>
    <s v="2.4.3.1.5"/>
    <s v="CMS M.60.10.000"/>
    <x v="2"/>
    <n v="12"/>
    <s v="SPOOL"/>
    <n v="14"/>
    <x v="2"/>
    <s v="NÃO"/>
    <s v="NÃO"/>
    <x v="14"/>
    <x v="1"/>
    <s v="LINHA DO CIRCUITO ARENOSO LINHA DE UNDERFLOW DAS PENEIRAS DESAGUADORAS"/>
    <m/>
    <m/>
    <m/>
    <s v="1450AA-T-70251_FL56"/>
    <n v="1"/>
    <s v="PÇ"/>
    <n v="0.5"/>
    <n v="0.5"/>
    <n v="2725.4"/>
    <n v="1362.7"/>
    <n v="0"/>
    <n v="0.9"/>
    <n v="0.1"/>
    <n v="1"/>
    <n v="1"/>
    <x v="1"/>
    <n v="0.5"/>
    <m/>
    <n v="0.5"/>
    <n v="0"/>
    <m/>
    <n v="0.4"/>
    <n v="0.5"/>
    <n v="0.1"/>
    <n v="1"/>
    <n v="1"/>
    <n v="1"/>
    <n v="1362.7"/>
    <n v="0"/>
    <n v="1362.7"/>
    <n v="0"/>
    <m/>
    <m/>
  </r>
  <r>
    <s v="2.4.3.1.3"/>
    <s v="CMS M.60.10.000"/>
    <x v="2"/>
    <n v="13"/>
    <s v="SPOOL"/>
    <n v="10"/>
    <x v="2"/>
    <s v="NÃO"/>
    <s v="NÃO"/>
    <x v="14"/>
    <x v="1"/>
    <s v="LINHA DO CIRCUITO ARENOSO LINHA DE UNDERFLOW DAS PENEIRAS DESAGUADORAS"/>
    <m/>
    <m/>
    <m/>
    <s v="1450AA-T-70251_FL51"/>
    <n v="2"/>
    <s v="PÇ"/>
    <n v="0.4"/>
    <n v="0.8"/>
    <n v="2238.89"/>
    <n v="1791.1120000000001"/>
    <n v="0"/>
    <n v="0.9"/>
    <n v="0.1"/>
    <n v="1"/>
    <n v="1"/>
    <x v="1"/>
    <n v="0.8"/>
    <m/>
    <n v="0.8"/>
    <n v="0"/>
    <m/>
    <n v="0.4"/>
    <n v="0.5"/>
    <n v="0.1"/>
    <n v="1"/>
    <n v="1"/>
    <n v="1"/>
    <n v="1791.1120000000001"/>
    <n v="0"/>
    <n v="1791.1120000000001"/>
    <n v="0"/>
    <m/>
    <m/>
  </r>
  <r>
    <s v="2.4.3.1.3"/>
    <s v="CMS M.60.10.000"/>
    <x v="2"/>
    <n v="14"/>
    <s v="DERIVAÇÃO "/>
    <s v="14 X 10"/>
    <x v="1"/>
    <s v="NÃO"/>
    <s v="NÃO"/>
    <x v="14"/>
    <x v="1"/>
    <s v="LINHA DO CIRCUITO ARENOSO LINHA DE UNDERFLOW DAS PENEIRAS DESAGUADORAS"/>
    <m/>
    <m/>
    <m/>
    <s v="1450AA-T-70251_FL28"/>
    <n v="1"/>
    <s v="PÇ"/>
    <n v="1.9"/>
    <n v="1.9"/>
    <n v="2238.89"/>
    <n v="4253.8909999999996"/>
    <n v="0"/>
    <n v="0.9"/>
    <n v="0.1"/>
    <n v="1"/>
    <n v="1"/>
    <x v="1"/>
    <n v="1.9"/>
    <m/>
    <n v="1.9"/>
    <n v="0"/>
    <m/>
    <n v="0.4"/>
    <n v="0.5"/>
    <n v="0.1"/>
    <n v="1"/>
    <n v="1"/>
    <n v="1"/>
    <n v="4253.8909999999996"/>
    <n v="0"/>
    <n v="4253.8909999999996"/>
    <n v="0"/>
    <m/>
    <m/>
  </r>
  <r>
    <s v="2.4.3.1.5"/>
    <s v="CMS M.60.10.000"/>
    <x v="2"/>
    <n v="15"/>
    <s v="REDUÇÃO"/>
    <s v="20 X 14"/>
    <x v="1"/>
    <s v="NÃO"/>
    <s v="NÃO"/>
    <x v="14"/>
    <x v="1"/>
    <s v="LINHA DO CIRCUITO ARENOSO LINHA DE UNDERFLOW DAS PENEIRAS DESAGUADORAS"/>
    <m/>
    <m/>
    <m/>
    <s v="1450AA-T-70251_FL24"/>
    <n v="1"/>
    <s v="PÇ"/>
    <n v="0.81"/>
    <n v="0.81"/>
    <n v="2725.4"/>
    <n v="2207.5740000000001"/>
    <n v="0"/>
    <n v="0.9"/>
    <n v="0.1"/>
    <n v="1"/>
    <n v="1"/>
    <x v="1"/>
    <n v="0.81"/>
    <m/>
    <n v="0.81"/>
    <n v="0"/>
    <m/>
    <n v="0.4"/>
    <n v="0.5"/>
    <n v="0.1"/>
    <n v="1"/>
    <n v="1"/>
    <n v="1"/>
    <n v="2207.5740000000001"/>
    <n v="0"/>
    <n v="2207.5740000000001"/>
    <n v="0"/>
    <m/>
    <m/>
  </r>
  <r>
    <s v="2.4.3.1.7"/>
    <s v="CMS M.60.10.000"/>
    <x v="2"/>
    <n v="16"/>
    <s v="SPOOL"/>
    <n v="20"/>
    <x v="2"/>
    <s v="NÃO"/>
    <s v="NÃO"/>
    <x v="14"/>
    <x v="1"/>
    <s v="LINHA DO CIRCUITO ARENOSO LINHA DE UNDERFLOW DAS PENEIRAS DESAGUADORAS"/>
    <m/>
    <m/>
    <m/>
    <s v="1450AA-T-70251_FL60"/>
    <n v="2"/>
    <s v="PÇ"/>
    <n v="0.5"/>
    <n v="1"/>
    <n v="3789.72"/>
    <n v="3789.72"/>
    <n v="0"/>
    <n v="0.9"/>
    <n v="0.1"/>
    <n v="1"/>
    <n v="1"/>
    <x v="1"/>
    <n v="1"/>
    <m/>
    <n v="1"/>
    <n v="0"/>
    <m/>
    <n v="0.4"/>
    <n v="0.5"/>
    <n v="0.1"/>
    <n v="1"/>
    <n v="1"/>
    <n v="1"/>
    <n v="3789.72"/>
    <n v="0"/>
    <n v="3789.72"/>
    <n v="0"/>
    <m/>
    <m/>
  </r>
  <r>
    <s v="2.4.3.1.7"/>
    <s v="CMS M.60.10.000"/>
    <x v="2"/>
    <n v="17"/>
    <s v="SPOOL"/>
    <n v="20"/>
    <x v="1"/>
    <s v="NÃO"/>
    <s v="NÃO"/>
    <x v="14"/>
    <x v="1"/>
    <s v="LINHA DO CIRCUITO ARENOSO LINHA DE UNDERFLOW DAS PENEIRAS DESAGUADORAS"/>
    <m/>
    <m/>
    <m/>
    <s v="1450AA-T-70251_FL44"/>
    <n v="3"/>
    <s v="PÇ"/>
    <n v="2"/>
    <n v="6"/>
    <n v="3789.72"/>
    <n v="22738.32"/>
    <n v="0"/>
    <n v="0.9"/>
    <n v="0.1"/>
    <n v="1"/>
    <n v="1"/>
    <x v="1"/>
    <n v="6"/>
    <m/>
    <n v="6"/>
    <n v="0"/>
    <m/>
    <n v="0.4"/>
    <n v="0.5"/>
    <n v="0.1"/>
    <n v="1"/>
    <n v="1"/>
    <n v="1"/>
    <n v="22738.32"/>
    <n v="0"/>
    <n v="22738.32"/>
    <n v="0"/>
    <m/>
    <m/>
  </r>
  <r>
    <s v="2.4.3.1.3"/>
    <s v="CMS M.60.10.000"/>
    <x v="2"/>
    <n v="18"/>
    <s v="DERIVAÇÃO "/>
    <s v="20 X 10"/>
    <x v="1"/>
    <s v="NÃO"/>
    <s v="NÃO"/>
    <x v="14"/>
    <x v="1"/>
    <s v="LINHA DO CIRCUITO ARENOSO LINHA DE UNDERFLOW DAS PENEIRAS DESAGUADORAS"/>
    <m/>
    <m/>
    <m/>
    <s v="1450AA-T-70251_FL31"/>
    <n v="2"/>
    <s v="PÇ"/>
    <n v="1.121"/>
    <n v="2.242"/>
    <n v="2238.89"/>
    <n v="5019.5913799999998"/>
    <n v="0"/>
    <n v="0.9"/>
    <n v="0.1"/>
    <n v="1"/>
    <n v="1"/>
    <x v="1"/>
    <n v="2.242"/>
    <m/>
    <n v="2.242"/>
    <n v="0"/>
    <m/>
    <n v="0.4"/>
    <n v="0.5"/>
    <n v="0.1"/>
    <n v="1"/>
    <n v="1"/>
    <n v="1"/>
    <n v="5019.5913799999998"/>
    <n v="0"/>
    <n v="5019.5913799999998"/>
    <n v="0"/>
    <m/>
    <m/>
  </r>
  <r>
    <s v="2.4.3.1.7"/>
    <s v="CMS M.60.10.000"/>
    <x v="2"/>
    <n v="19"/>
    <s v="SPOOL"/>
    <n v="20"/>
    <x v="2"/>
    <s v="NÃO"/>
    <s v="NÃO"/>
    <x v="14"/>
    <x v="1"/>
    <s v="LINHA DO CIRCUITO ARENOSO LINHA DE UNDERFLOW DAS PENEIRAS DESAGUADORAS"/>
    <m/>
    <m/>
    <m/>
    <s v="1450AA-T-70251_FL59"/>
    <n v="2"/>
    <s v="PÇ"/>
    <n v="0.4"/>
    <n v="0.8"/>
    <n v="3789.72"/>
    <n v="3031.7759999999998"/>
    <n v="0"/>
    <n v="0.9"/>
    <n v="0.1"/>
    <n v="1"/>
    <n v="1"/>
    <x v="1"/>
    <n v="0.8"/>
    <m/>
    <n v="0.8"/>
    <n v="0"/>
    <m/>
    <n v="0.4"/>
    <n v="0.5"/>
    <n v="0.1"/>
    <n v="1"/>
    <n v="1"/>
    <n v="1"/>
    <n v="3031.7759999999998"/>
    <n v="0"/>
    <n v="3031.7759999999998"/>
    <n v="0"/>
    <m/>
    <m/>
  </r>
  <r>
    <s v="2.4.3.1.3"/>
    <s v="CMS M.60.10.000"/>
    <x v="2"/>
    <n v="20"/>
    <s v="DERIVAÇÃO "/>
    <s v="20 X 10"/>
    <x v="1"/>
    <s v="NÃO"/>
    <s v="NÃO"/>
    <x v="14"/>
    <x v="1"/>
    <s v="LINHA DO CIRCUITO ARENOSO LINHA DE UNDERFLOW DAS PENEIRAS DESAGUADORAS"/>
    <m/>
    <m/>
    <m/>
    <s v="1450AA-T-70251_FL30"/>
    <n v="2"/>
    <s v="PÇ"/>
    <n v="1.7"/>
    <n v="3.4"/>
    <n v="2238.89"/>
    <n v="7612.2259999999997"/>
    <n v="0"/>
    <n v="0.9"/>
    <n v="0.1"/>
    <n v="1"/>
    <n v="1"/>
    <x v="1"/>
    <n v="3.4"/>
    <m/>
    <n v="3.4"/>
    <n v="0"/>
    <m/>
    <n v="0.4"/>
    <n v="0.5"/>
    <n v="0.1"/>
    <n v="1"/>
    <n v="1"/>
    <n v="1"/>
    <n v="7612.2259999999997"/>
    <n v="0"/>
    <n v="7612.2259999999997"/>
    <n v="0"/>
    <m/>
    <m/>
  </r>
  <r>
    <s v="2.4.3.1.3"/>
    <s v="CMS M.60.10.000"/>
    <x v="2"/>
    <n v="1"/>
    <s v="DERIVAÇÃO "/>
    <s v="20 X 10"/>
    <x v="1"/>
    <s v="NÃO"/>
    <s v="NÃO"/>
    <x v="14"/>
    <x v="1"/>
    <s v="LINHA DO CIRCUITO ARENOSO LINHA DE UNDERFLOW DAS PENEIRAS DESAGUADORAS"/>
    <m/>
    <m/>
    <m/>
    <s v="1450AA-T-70251_FL31"/>
    <n v="3"/>
    <s v="PÇ"/>
    <n v="1.121"/>
    <n v="3.363"/>
    <n v="2238.89"/>
    <n v="7529.3870699999998"/>
    <n v="0"/>
    <n v="0.9"/>
    <n v="0.1"/>
    <n v="1"/>
    <n v="1"/>
    <x v="1"/>
    <n v="3.363"/>
    <m/>
    <n v="3.363"/>
    <n v="0"/>
    <m/>
    <n v="0.4"/>
    <n v="0.5"/>
    <n v="0.1"/>
    <n v="1"/>
    <n v="1"/>
    <n v="1"/>
    <n v="7529.3870699999998"/>
    <n v="0"/>
    <n v="7529.3870699999998"/>
    <n v="0"/>
    <m/>
    <m/>
  </r>
  <r>
    <s v="2.4.3.1.3"/>
    <s v="CMS M.60.10.000"/>
    <x v="2"/>
    <n v="2"/>
    <s v="SPOOL"/>
    <n v="10"/>
    <x v="2"/>
    <s v="NÃO"/>
    <s v="NÃO"/>
    <x v="14"/>
    <x v="1"/>
    <s v="LINHA DO CIRCUITO ARENOSO LINHA DE UNDERFLOW DAS PENEIRAS DESAGUADORAS"/>
    <m/>
    <m/>
    <m/>
    <s v="1450AA-T-70251_FL53"/>
    <n v="1"/>
    <s v="PÇ"/>
    <n v="0.65"/>
    <n v="0.65"/>
    <n v="2238.89"/>
    <n v="1455.2784999999999"/>
    <n v="0"/>
    <n v="0.9"/>
    <n v="0.1"/>
    <n v="1"/>
    <n v="1"/>
    <x v="1"/>
    <n v="0.65"/>
    <m/>
    <n v="0.65"/>
    <n v="0"/>
    <m/>
    <n v="0.4"/>
    <n v="0.5"/>
    <n v="0.1"/>
    <n v="1"/>
    <n v="1"/>
    <n v="1"/>
    <n v="1455.2784999999999"/>
    <n v="0"/>
    <n v="1455.2784999999999"/>
    <n v="0"/>
    <m/>
    <m/>
  </r>
  <r>
    <s v="2.4.3.1.3"/>
    <s v="CMS M.60.10.000"/>
    <x v="2"/>
    <n v="3"/>
    <s v="DERIVAÇÃO "/>
    <s v="20 X 10"/>
    <x v="1"/>
    <s v="NÃO"/>
    <s v="NÃO"/>
    <x v="14"/>
    <x v="1"/>
    <s v="LINHA DO CIRCUITO ARENOSO LINHA DE UNDERFLOW DAS PENEIRAS DESAGUADORAS"/>
    <m/>
    <m/>
    <m/>
    <s v="1450AA-T-70251_FL30"/>
    <n v="2"/>
    <s v="PÇ"/>
    <n v="1.7"/>
    <n v="3.4"/>
    <n v="2238.89"/>
    <n v="7612.2259999999997"/>
    <n v="0"/>
    <n v="0.9"/>
    <n v="0.1"/>
    <n v="1"/>
    <n v="1"/>
    <x v="1"/>
    <n v="3.4"/>
    <m/>
    <n v="3.4"/>
    <n v="0"/>
    <m/>
    <n v="0.4"/>
    <n v="0.5"/>
    <n v="0.1"/>
    <n v="1"/>
    <n v="1"/>
    <n v="1"/>
    <n v="7612.2259999999997"/>
    <n v="0"/>
    <n v="7612.2259999999997"/>
    <n v="0"/>
    <m/>
    <m/>
  </r>
  <r>
    <s v="2.4.3.1.7"/>
    <s v="CMS M.60.10.000"/>
    <x v="2"/>
    <n v="4"/>
    <s v="SPOOL"/>
    <n v="20"/>
    <x v="1"/>
    <s v="NÃO"/>
    <s v="NÃO"/>
    <x v="14"/>
    <x v="1"/>
    <s v="LINHA DO CIRCUITO ARENOSO LINHA DE UNDERFLOW DAS PENEIRAS DESAGUADORAS"/>
    <m/>
    <m/>
    <m/>
    <s v="1450AA-T-70251_FL44"/>
    <n v="2"/>
    <s v="PÇ"/>
    <n v="2"/>
    <n v="4"/>
    <n v="3789.72"/>
    <n v="15158.88"/>
    <n v="0"/>
    <n v="0.9"/>
    <n v="0.1"/>
    <n v="1"/>
    <n v="1"/>
    <x v="1"/>
    <n v="4"/>
    <m/>
    <n v="4"/>
    <n v="0"/>
    <m/>
    <n v="0.4"/>
    <n v="0.5"/>
    <n v="0.1"/>
    <n v="1"/>
    <n v="1"/>
    <n v="1"/>
    <n v="15158.88"/>
    <n v="0"/>
    <n v="15158.88"/>
    <n v="0"/>
    <m/>
    <m/>
  </r>
  <r>
    <s v="2.4.3.1.7"/>
    <s v="CMS M.60.10.000"/>
    <x v="2"/>
    <n v="5"/>
    <s v="SPOOL"/>
    <n v="20"/>
    <x v="2"/>
    <s v="NÃO"/>
    <s v="NÃO"/>
    <x v="14"/>
    <x v="1"/>
    <s v="LINHA DO CIRCUITO ARENOSO LINHA DE UNDERFLOW DAS PENEIRAS DESAGUADORAS"/>
    <m/>
    <m/>
    <m/>
    <s v="1450AA-T-70251_FL62"/>
    <n v="2"/>
    <s v="PÇ"/>
    <n v="0.8"/>
    <n v="1.6"/>
    <n v="3789.72"/>
    <n v="6063.5519999999997"/>
    <n v="0"/>
    <n v="0.9"/>
    <n v="0.1"/>
    <n v="1"/>
    <n v="1"/>
    <x v="1"/>
    <n v="1.6"/>
    <m/>
    <n v="1.6"/>
    <n v="0"/>
    <m/>
    <n v="0.4"/>
    <n v="0.5"/>
    <n v="0.1"/>
    <n v="1"/>
    <n v="1"/>
    <n v="1"/>
    <n v="6063.5519999999997"/>
    <n v="0"/>
    <n v="6063.5519999999997"/>
    <n v="0"/>
    <m/>
    <m/>
  </r>
  <r>
    <s v="2.4.3.1.3"/>
    <s v="CMS M.60.10.000"/>
    <x v="2"/>
    <n v="6"/>
    <s v="SPOOL"/>
    <n v="10"/>
    <x v="2"/>
    <s v="NÃO"/>
    <s v="NÃO"/>
    <x v="14"/>
    <x v="1"/>
    <s v="LINHA DO CIRCUITO ARENOSO LINHA DE UNDERFLOW DAS PENEIRAS DESAGUADORAS"/>
    <m/>
    <m/>
    <m/>
    <s v="1450AA-T-70251_FL54"/>
    <n v="1"/>
    <s v="PÇ"/>
    <n v="0.85"/>
    <n v="0.85"/>
    <n v="2238.89"/>
    <n v="1903.0564999999999"/>
    <n v="0"/>
    <n v="0.9"/>
    <n v="0.1"/>
    <n v="1"/>
    <n v="1"/>
    <x v="1"/>
    <n v="0.85"/>
    <m/>
    <n v="0.85"/>
    <n v="0"/>
    <m/>
    <n v="0.4"/>
    <n v="0.5"/>
    <n v="0.1"/>
    <n v="1"/>
    <n v="1"/>
    <n v="1"/>
    <n v="1903.0564999999999"/>
    <n v="0"/>
    <n v="1903.0564999999999"/>
    <n v="0"/>
    <m/>
    <m/>
  </r>
  <r>
    <s v="2.4.3.1.7"/>
    <s v="CMS M.60.10.000"/>
    <x v="2"/>
    <n v="7"/>
    <s v="SPOOL"/>
    <n v="20"/>
    <x v="1"/>
    <s v="NÃO"/>
    <s v="NÃO"/>
    <x v="14"/>
    <x v="1"/>
    <s v="LINHA DO CIRCUITO ARENOSO LINHA DE UNDERFLOW DAS PENEIRAS DESAGUADORAS"/>
    <m/>
    <m/>
    <m/>
    <s v="1450AA-T-70251_FL45"/>
    <n v="1"/>
    <s v="PÇ"/>
    <n v="3"/>
    <n v="3"/>
    <n v="3789.72"/>
    <n v="11369.16"/>
    <n v="0"/>
    <n v="0.9"/>
    <n v="0.1"/>
    <n v="1"/>
    <n v="1"/>
    <x v="1"/>
    <n v="3"/>
    <m/>
    <n v="3"/>
    <n v="0"/>
    <m/>
    <n v="0.4"/>
    <n v="0.5"/>
    <n v="0.1"/>
    <n v="1"/>
    <n v="1"/>
    <n v="1"/>
    <n v="11369.16"/>
    <n v="0"/>
    <n v="11369.16"/>
    <n v="0"/>
    <m/>
    <m/>
  </r>
  <r>
    <s v="2.4.3.1.7"/>
    <s v="CMS M.60.10.000"/>
    <x v="2"/>
    <n v="8"/>
    <s v="SPOOL"/>
    <n v="20"/>
    <x v="2"/>
    <s v="NÃO"/>
    <s v="NÃO"/>
    <x v="14"/>
    <x v="1"/>
    <s v="LINHA DO CIRCUITO ARENOSO LINHA DE UNDERFLOW DAS PENEIRAS DESAGUADORAS"/>
    <m/>
    <m/>
    <m/>
    <s v="1450AA-T-70251_FL61"/>
    <n v="1"/>
    <s v="PÇ"/>
    <n v="0.7"/>
    <n v="0.7"/>
    <n v="3789.72"/>
    <n v="2652.8039999999996"/>
    <n v="0"/>
    <n v="0.9"/>
    <n v="0.1"/>
    <n v="1"/>
    <n v="1"/>
    <x v="1"/>
    <n v="0.7"/>
    <m/>
    <n v="0.7"/>
    <n v="0"/>
    <m/>
    <n v="0.4"/>
    <n v="0.5"/>
    <n v="0.1"/>
    <n v="1"/>
    <n v="1"/>
    <n v="1"/>
    <n v="2652.8039999999996"/>
    <n v="0"/>
    <n v="2652.8039999999996"/>
    <n v="0"/>
    <m/>
    <m/>
  </r>
  <r>
    <s v="2.4.3.1.7"/>
    <s v="CMS M.60.10.000"/>
    <x v="2"/>
    <n v="9"/>
    <s v="REDUÇÃO"/>
    <s v="22 X 20"/>
    <x v="1"/>
    <s v="NÃO"/>
    <s v="NÃO"/>
    <x v="14"/>
    <x v="1"/>
    <s v="LINHA DO CIRCUITO ARENOSO LINHA DE UNDERFLOW DAS PENEIRAS DESAGUADORAS"/>
    <m/>
    <m/>
    <m/>
    <s v="1450AA-T-70251_FL25"/>
    <n v="1"/>
    <s v="PÇ"/>
    <n v="1.008"/>
    <n v="1.008"/>
    <n v="3789.72"/>
    <n v="3820.0377599999997"/>
    <n v="0"/>
    <n v="0.9"/>
    <n v="0.1"/>
    <n v="1"/>
    <n v="1"/>
    <x v="1"/>
    <n v="1.008"/>
    <m/>
    <n v="1.008"/>
    <n v="0"/>
    <m/>
    <n v="0.4"/>
    <n v="0.5"/>
    <n v="0.1"/>
    <n v="1"/>
    <n v="1"/>
    <n v="1"/>
    <n v="3820.0377599999997"/>
    <n v="0"/>
    <n v="3820.0377599999997"/>
    <n v="0"/>
    <m/>
    <m/>
  </r>
  <r>
    <s v="2.4.3.1.3"/>
    <s v="CMS M.60.10.000"/>
    <x v="2"/>
    <n v="10"/>
    <s v="DERIVAÇÃO "/>
    <s v="22 X 10"/>
    <x v="1"/>
    <s v="NÃO"/>
    <s v="NÃO"/>
    <x v="14"/>
    <x v="1"/>
    <s v="LINHA DO CIRCUITO ARENOSO LINHA DE UNDERFLOW DAS PENEIRAS DESAGUADORAS"/>
    <m/>
    <m/>
    <m/>
    <s v="1450AA-T-70251_FL33"/>
    <n v="2"/>
    <s v="PÇ"/>
    <n v="1.121"/>
    <n v="2.242"/>
    <n v="2238.89"/>
    <n v="5019.5913799999998"/>
    <n v="0"/>
    <n v="0.9"/>
    <n v="0.1"/>
    <n v="1"/>
    <n v="1"/>
    <x v="1"/>
    <n v="2.242"/>
    <m/>
    <n v="2.242"/>
    <n v="0"/>
    <m/>
    <n v="0.4"/>
    <n v="0.5"/>
    <n v="0.1"/>
    <n v="1"/>
    <n v="1"/>
    <n v="1"/>
    <n v="5019.5913799999998"/>
    <n v="0"/>
    <n v="5019.5913799999998"/>
    <n v="0"/>
    <m/>
    <m/>
  </r>
  <r>
    <s v="2.4.3.1.3"/>
    <s v="CMS M.60.10.000"/>
    <x v="2"/>
    <n v="11"/>
    <s v="SPOOL"/>
    <n v="10"/>
    <x v="2"/>
    <s v="NÃO"/>
    <s v="NÃO"/>
    <x v="14"/>
    <x v="1"/>
    <s v="LINHA DO CIRCUITO ARENOSO LINHA DE UNDERFLOW DAS PENEIRAS DESAGUADORAS"/>
    <m/>
    <m/>
    <m/>
    <s v="1450AA-T-70251_FL50"/>
    <n v="1"/>
    <s v="PÇ"/>
    <n v="0.3"/>
    <n v="0.3"/>
    <n v="2238.89"/>
    <n v="671.66699999999992"/>
    <n v="0"/>
    <n v="0.9"/>
    <n v="0.1"/>
    <n v="1"/>
    <n v="1"/>
    <x v="1"/>
    <n v="0.3"/>
    <m/>
    <n v="0.3"/>
    <n v="0"/>
    <m/>
    <n v="0.4"/>
    <n v="0.5"/>
    <n v="0.1"/>
    <n v="1"/>
    <n v="1"/>
    <n v="1"/>
    <n v="671.66699999999992"/>
    <n v="0"/>
    <n v="671.66699999999992"/>
    <n v="0"/>
    <m/>
    <m/>
  </r>
  <r>
    <s v="2.4.3.1.8"/>
    <s v="CMS M.60.10.000"/>
    <x v="2"/>
    <n v="12"/>
    <s v="SPOOL"/>
    <n v="22"/>
    <x v="1"/>
    <s v="NÃO"/>
    <s v="NÃO"/>
    <x v="14"/>
    <x v="1"/>
    <s v="LINHA DO CIRCUITO ARENOSO LINHA DE UNDERFLOW DAS PENEIRAS DESAGUADORAS"/>
    <m/>
    <m/>
    <m/>
    <s v="1450AA-T-70251_FL47"/>
    <n v="1"/>
    <s v="PÇ"/>
    <n v="4"/>
    <n v="4"/>
    <n v="2788.58"/>
    <n v="11154.32"/>
    <n v="0"/>
    <n v="0.9"/>
    <n v="0.1"/>
    <n v="1"/>
    <n v="1"/>
    <x v="1"/>
    <n v="4"/>
    <m/>
    <n v="4"/>
    <n v="0"/>
    <m/>
    <n v="0.4"/>
    <n v="0.5"/>
    <n v="0.1"/>
    <n v="1"/>
    <n v="1"/>
    <n v="1"/>
    <n v="11154.32"/>
    <n v="0"/>
    <n v="11154.32"/>
    <n v="0"/>
    <m/>
    <m/>
  </r>
  <r>
    <s v="2.4.3.1.8"/>
    <s v="CMS M.60.10.000"/>
    <x v="2"/>
    <n v="13"/>
    <s v="SPOOL"/>
    <n v="22"/>
    <x v="2"/>
    <s v="NÃO"/>
    <s v="NÃO"/>
    <x v="14"/>
    <x v="1"/>
    <s v="LINHA DO CIRCUITO ARENOSO LINHA DE UNDERFLOW DAS PENEIRAS DESAGUADORAS"/>
    <m/>
    <m/>
    <m/>
    <s v="1450AA-T-70251_FL64"/>
    <n v="1"/>
    <s v="PÇ"/>
    <n v="0.7"/>
    <n v="0.7"/>
    <n v="2788.58"/>
    <n v="1952.0059999999999"/>
    <n v="0"/>
    <n v="0.9"/>
    <n v="0.1"/>
    <n v="1"/>
    <n v="1"/>
    <x v="1"/>
    <n v="0.7"/>
    <m/>
    <n v="0.7"/>
    <n v="0"/>
    <m/>
    <n v="0.4"/>
    <n v="0.5"/>
    <n v="0.1"/>
    <n v="1"/>
    <n v="1"/>
    <n v="1"/>
    <n v="1952.0059999999999"/>
    <n v="0"/>
    <n v="1952.0059999999999"/>
    <n v="0"/>
    <m/>
    <m/>
  </r>
  <r>
    <s v="2.4.3.1.3"/>
    <s v="CMS M.60.10.000"/>
    <x v="2"/>
    <n v="14"/>
    <s v="SPOOL"/>
    <n v="10"/>
    <x v="2"/>
    <s v="NÃO"/>
    <s v="NÃO"/>
    <x v="14"/>
    <x v="1"/>
    <s v="LINHA DO CIRCUITO ARENOSO LINHA DE UNDERFLOW DAS PENEIRAS DESAGUADORAS"/>
    <m/>
    <m/>
    <m/>
    <s v="1450AA-T-70251_FL52"/>
    <n v="1"/>
    <s v="PÇ"/>
    <n v="0.5"/>
    <n v="0.5"/>
    <n v="2238.89"/>
    <n v="1119.4449999999999"/>
    <n v="0"/>
    <n v="0.9"/>
    <n v="0.1"/>
    <n v="1"/>
    <n v="1"/>
    <x v="1"/>
    <n v="0.5"/>
    <m/>
    <n v="0.5"/>
    <n v="0"/>
    <m/>
    <n v="0.4"/>
    <n v="0.5"/>
    <n v="0.1"/>
    <n v="1"/>
    <n v="1"/>
    <n v="1"/>
    <n v="1119.4449999999999"/>
    <n v="0"/>
    <n v="1119.4449999999999"/>
    <n v="0"/>
    <m/>
    <m/>
  </r>
  <r>
    <s v="2.4.3.1.8"/>
    <s v="CMS M.60.10.000"/>
    <x v="2"/>
    <n v="15"/>
    <s v="CURVA"/>
    <n v="22"/>
    <x v="1"/>
    <s v="NÃO"/>
    <s v="NÃO"/>
    <x v="14"/>
    <x v="1"/>
    <s v="LINHA DO CIRCUITO ARENOSO LINHA DE UNDERFLOW DAS PENEIRAS DESAGUADORAS"/>
    <m/>
    <m/>
    <m/>
    <s v="1450AA-T-70251_FL36"/>
    <n v="2"/>
    <s v="PÇ"/>
    <n v="0.57999999999999996"/>
    <n v="1.1599999999999999"/>
    <n v="2788.58"/>
    <n v="3234.7527999999998"/>
    <n v="0"/>
    <n v="0.9"/>
    <n v="0.1"/>
    <n v="1"/>
    <n v="1"/>
    <x v="1"/>
    <n v="1.1599999999999999"/>
    <m/>
    <n v="1.1599999999999999"/>
    <n v="0"/>
    <m/>
    <n v="0.4"/>
    <n v="0.5"/>
    <n v="0.1"/>
    <n v="1"/>
    <n v="1"/>
    <n v="1"/>
    <n v="3234.7527999999998"/>
    <n v="0"/>
    <n v="3234.7527999999998"/>
    <n v="0"/>
    <m/>
    <m/>
  </r>
  <r>
    <s v="2.4.3.1.8"/>
    <s v="CMS M.60.10.000"/>
    <x v="2"/>
    <n v="16"/>
    <s v="SPOOL"/>
    <n v="22"/>
    <x v="1"/>
    <s v="NÃO"/>
    <s v="NÃO"/>
    <x v="14"/>
    <x v="1"/>
    <s v="LINHA DO CIRCUITO ARENOSO LINHA DE UNDERFLOW DAS PENEIRAS DESAGUADORAS"/>
    <m/>
    <m/>
    <m/>
    <s v="1450AA-T-70251_FL48"/>
    <n v="1"/>
    <s v="PÇ"/>
    <n v="4.5"/>
    <n v="4.5"/>
    <n v="2788.58"/>
    <n v="12548.61"/>
    <n v="0"/>
    <n v="0.9"/>
    <n v="0.1"/>
    <n v="1"/>
    <n v="1"/>
    <x v="1"/>
    <n v="4.5"/>
    <m/>
    <n v="4.5"/>
    <n v="0"/>
    <m/>
    <n v="0.4"/>
    <n v="0.5"/>
    <n v="0.1"/>
    <n v="1"/>
    <n v="1"/>
    <n v="1"/>
    <n v="12548.61"/>
    <n v="0"/>
    <n v="12548.61"/>
    <n v="0"/>
    <m/>
    <m/>
  </r>
  <r>
    <s v="2.4.3.1.8"/>
    <s v="CMS M.60.10.000"/>
    <x v="2"/>
    <n v="17"/>
    <s v="SPOOL"/>
    <n v="22"/>
    <x v="2"/>
    <s v="NÃO"/>
    <s v="NÃO"/>
    <x v="14"/>
    <x v="1"/>
    <s v="LINHA DO CIRCUITO ARENOSO LINHA DE UNDERFLOW DAS PENEIRAS DESAGUADORAS"/>
    <m/>
    <m/>
    <m/>
    <s v="1450AA-T-70251_FL66"/>
    <n v="1"/>
    <s v="PÇ"/>
    <n v="0.9"/>
    <n v="0.9"/>
    <n v="2788.58"/>
    <n v="2509.7220000000002"/>
    <n v="0"/>
    <n v="0.9"/>
    <n v="0.1"/>
    <n v="1"/>
    <n v="1"/>
    <x v="1"/>
    <n v="0.9"/>
    <m/>
    <n v="0.9"/>
    <n v="0"/>
    <m/>
    <n v="0.4"/>
    <n v="0.5"/>
    <n v="0.1"/>
    <n v="1"/>
    <n v="1"/>
    <n v="1"/>
    <n v="2509.7220000000002"/>
    <n v="0"/>
    <n v="2509.7220000000002"/>
    <n v="0"/>
    <m/>
    <m/>
  </r>
  <r>
    <s v="2.4.3.1.5"/>
    <s v="CMS M.60.10.000"/>
    <x v="2"/>
    <n v="18"/>
    <s v="DERIVAÇÃO "/>
    <s v="22 X 14"/>
    <x v="1"/>
    <s v="NÃO"/>
    <s v="NÃO"/>
    <x v="14"/>
    <x v="1"/>
    <s v="LINHA DO CIRCUITO ARENOSO LINHA DE UNDERFLOW DAS PENEIRAS DESAGUADORAS"/>
    <m/>
    <m/>
    <m/>
    <s v="1450AA-T-70251_FL32"/>
    <n v="2"/>
    <s v="PÇ"/>
    <n v="2.8"/>
    <n v="5.6"/>
    <n v="2725.4"/>
    <n v="15262.24"/>
    <n v="0"/>
    <n v="0.9"/>
    <n v="0.1"/>
    <n v="1"/>
    <n v="1"/>
    <x v="1"/>
    <n v="5.6"/>
    <m/>
    <n v="5.6"/>
    <n v="0"/>
    <m/>
    <n v="0.4"/>
    <n v="0.5"/>
    <n v="0.1"/>
    <n v="1"/>
    <n v="1"/>
    <n v="1"/>
    <n v="15262.24"/>
    <n v="0"/>
    <n v="15262.24"/>
    <n v="0"/>
    <m/>
    <m/>
  </r>
  <r>
    <s v="2.4.3.1.5"/>
    <s v="CMS M.60.10.000"/>
    <x v="2"/>
    <n v="19"/>
    <s v="CURVA"/>
    <n v="14"/>
    <x v="1"/>
    <s v="NÃO"/>
    <s v="NÃO"/>
    <x v="14"/>
    <x v="1"/>
    <s v="LINHA DO CIRCUITO ARENOSO LINHA DE UNDERFLOW DAS PENEIRAS DESAGUADORAS"/>
    <m/>
    <m/>
    <m/>
    <s v="1450AA-T-70251_FL35"/>
    <n v="2"/>
    <s v="PÇ"/>
    <n v="0.55000000000000004"/>
    <n v="1.1000000000000001"/>
    <n v="2725.4"/>
    <n v="2997.9400000000005"/>
    <n v="0"/>
    <n v="0.9"/>
    <n v="0.1"/>
    <n v="1"/>
    <n v="1"/>
    <x v="1"/>
    <n v="1.1000000000000001"/>
    <m/>
    <n v="1.1000000000000001"/>
    <n v="0"/>
    <m/>
    <n v="0.4"/>
    <n v="0.5"/>
    <n v="0.1"/>
    <n v="1"/>
    <n v="1"/>
    <n v="1"/>
    <n v="2997.9400000000005"/>
    <n v="0"/>
    <n v="2997.9400000000005"/>
    <n v="0"/>
    <m/>
    <m/>
  </r>
  <r>
    <s v="2.4.3.1.5"/>
    <s v="CMS M.60.10.000"/>
    <x v="2"/>
    <n v="20"/>
    <s v="SPOOL"/>
    <n v="14"/>
    <x v="2"/>
    <s v="NÃO"/>
    <s v="NÃO"/>
    <x v="14"/>
    <x v="1"/>
    <s v="LINHA DO CIRCUITO ARENOSO LINHA DE UNDERFLOW DAS PENEIRAS DESAGUADORAS"/>
    <m/>
    <m/>
    <m/>
    <s v="1450AA-T-70251_FL57"/>
    <n v="1"/>
    <s v="PÇ"/>
    <n v="0.8"/>
    <n v="0.8"/>
    <n v="2725.4"/>
    <n v="2180.3200000000002"/>
    <n v="0"/>
    <n v="0.9"/>
    <n v="0.1"/>
    <n v="1"/>
    <n v="1"/>
    <x v="1"/>
    <n v="0.8"/>
    <m/>
    <n v="0.8"/>
    <n v="0"/>
    <m/>
    <n v="0.4"/>
    <n v="0.5"/>
    <n v="0.1"/>
    <n v="1"/>
    <n v="1"/>
    <n v="1"/>
    <n v="2180.3200000000002"/>
    <n v="0"/>
    <n v="2180.3200000000002"/>
    <n v="0"/>
    <m/>
    <m/>
  </r>
  <r>
    <s v="2.4.3.1.8"/>
    <s v="CMS M.60.10.000"/>
    <x v="2"/>
    <n v="21"/>
    <s v="SPOOL"/>
    <n v="22"/>
    <x v="1"/>
    <s v="NÃO"/>
    <s v="NÃO"/>
    <x v="14"/>
    <x v="1"/>
    <s v="LINHA DO CIRCUITO ARENOSO LINHA DE UNDERFLOW DAS PENEIRAS DESAGUADORAS"/>
    <m/>
    <m/>
    <m/>
    <s v="1450AA-T-70251_FL46"/>
    <n v="2"/>
    <s v="PÇ"/>
    <n v="2"/>
    <n v="4"/>
    <n v="2788.58"/>
    <n v="11154.32"/>
    <n v="0"/>
    <n v="0.9"/>
    <n v="0.1"/>
    <n v="1"/>
    <n v="1"/>
    <x v="1"/>
    <n v="4"/>
    <m/>
    <n v="4"/>
    <n v="0"/>
    <m/>
    <n v="0.4"/>
    <n v="0.5"/>
    <n v="0.1"/>
    <n v="1"/>
    <n v="1"/>
    <n v="1"/>
    <n v="11154.32"/>
    <n v="0"/>
    <n v="11154.32"/>
    <n v="0"/>
    <m/>
    <m/>
  </r>
  <r>
    <s v="2.4.3.1.8"/>
    <s v="CMS M.60.10.000"/>
    <x v="2"/>
    <n v="22"/>
    <s v="SPOOL"/>
    <n v="22"/>
    <x v="2"/>
    <s v="NÃO"/>
    <s v="NÃO"/>
    <x v="14"/>
    <x v="1"/>
    <s v="LINHA DO CIRCUITO ARENOSO LINHA DE UNDERFLOW DAS PENEIRAS DESAGUADORAS"/>
    <m/>
    <m/>
    <m/>
    <s v="1450AA-T-70251_FL63"/>
    <n v="1"/>
    <s v="PÇ"/>
    <n v="0.5"/>
    <n v="0.5"/>
    <n v="2788.58"/>
    <n v="1394.29"/>
    <n v="0"/>
    <n v="0.9"/>
    <n v="0.1"/>
    <n v="1"/>
    <n v="1"/>
    <x v="1"/>
    <n v="0.5"/>
    <m/>
    <n v="0.5"/>
    <n v="0"/>
    <m/>
    <n v="0.4"/>
    <n v="0.5"/>
    <n v="0.1"/>
    <n v="1"/>
    <n v="1"/>
    <n v="1"/>
    <n v="1394.29"/>
    <n v="0"/>
    <n v="1394.29"/>
    <n v="0"/>
    <m/>
    <m/>
  </r>
  <r>
    <s v="2.4.3.1.5"/>
    <s v="CMS M.60.10.000"/>
    <x v="2"/>
    <n v="23"/>
    <s v="SPOOL"/>
    <n v="14"/>
    <x v="2"/>
    <s v="NÃO"/>
    <s v="NÃO"/>
    <x v="14"/>
    <x v="1"/>
    <s v="LINHA DO CIRCUITO ARENOSO LINHA DE UNDERFLOW DAS PENEIRAS DESAGUADORAS"/>
    <m/>
    <m/>
    <m/>
    <s v="1450AA-T-70251_FL58"/>
    <n v="1"/>
    <s v="PÇ"/>
    <n v="0.95"/>
    <n v="0.95"/>
    <n v="2725.4"/>
    <n v="2589.13"/>
    <n v="0"/>
    <n v="0.9"/>
    <n v="0.1"/>
    <n v="1"/>
    <n v="1"/>
    <x v="1"/>
    <n v="0.95"/>
    <m/>
    <n v="0.95"/>
    <n v="0"/>
    <m/>
    <n v="0.4"/>
    <n v="0.5"/>
    <n v="0.1"/>
    <n v="1"/>
    <n v="1"/>
    <n v="1"/>
    <n v="2589.13"/>
    <n v="0"/>
    <n v="2589.13"/>
    <n v="0"/>
    <m/>
    <m/>
  </r>
  <r>
    <s v="2.4.3.1.8"/>
    <s v="CMS M.60.10.000"/>
    <x v="2"/>
    <n v="24"/>
    <s v="SPOOL"/>
    <n v="22"/>
    <x v="1"/>
    <s v="NÃO"/>
    <s v="NÃO"/>
    <x v="14"/>
    <x v="1"/>
    <s v="LINHA DO CIRCUITO ARENOSO LINHA DE UNDERFLOW DAS PENEIRAS DESAGUADORAS"/>
    <m/>
    <m/>
    <m/>
    <s v="1450AA-T-70251_FL49"/>
    <n v="1"/>
    <s v="PÇ"/>
    <n v="6"/>
    <n v="6"/>
    <n v="2788.58"/>
    <n v="16731.48"/>
    <n v="0"/>
    <n v="0.9"/>
    <n v="0.1"/>
    <n v="1"/>
    <n v="1"/>
    <x v="1"/>
    <n v="6"/>
    <m/>
    <n v="6"/>
    <n v="0"/>
    <m/>
    <n v="0.4"/>
    <n v="0.5"/>
    <n v="0.1"/>
    <n v="1"/>
    <n v="1"/>
    <n v="1"/>
    <n v="16731.48"/>
    <n v="0"/>
    <n v="16731.48"/>
    <n v="0"/>
    <m/>
    <m/>
  </r>
  <r>
    <s v="2.4.3.1.8"/>
    <s v="CMS M.60.10.000"/>
    <x v="2"/>
    <n v="25"/>
    <s v="SPOOL"/>
    <n v="22"/>
    <x v="2"/>
    <s v="NÃO"/>
    <s v="NÃO"/>
    <x v="14"/>
    <x v="1"/>
    <s v="LINHA DO CIRCUITO ARENOSO LINHA DE UNDERFLOW DAS PENEIRAS DESAGUADORAS"/>
    <m/>
    <m/>
    <m/>
    <s v="1450AA-T-70251_FL65"/>
    <n v="1"/>
    <s v="PÇ"/>
    <n v="0.85"/>
    <n v="0.85"/>
    <n v="2788.58"/>
    <n v="2370.2929999999997"/>
    <n v="0"/>
    <n v="0.9"/>
    <n v="0.1"/>
    <n v="1"/>
    <n v="1"/>
    <x v="1"/>
    <n v="0.85"/>
    <m/>
    <n v="0.85"/>
    <n v="0"/>
    <m/>
    <n v="0.4"/>
    <n v="0.5"/>
    <n v="0.1"/>
    <n v="1"/>
    <n v="1"/>
    <n v="1"/>
    <n v="2370.2929999999997"/>
    <n v="0"/>
    <n v="2370.2929999999997"/>
    <n v="0"/>
    <m/>
    <m/>
  </r>
  <r>
    <s v="2.4.3.1.8"/>
    <s v="CMS M.60.10.000"/>
    <x v="2"/>
    <n v="1"/>
    <s v="CURVA"/>
    <n v="22"/>
    <x v="1"/>
    <s v="NÃO"/>
    <s v="NÃO"/>
    <x v="14"/>
    <x v="1"/>
    <s v="LINHA DO CIRCUITO ARENOSO LINHA DE UNDERFLOW DAS PENEIRAS DESAGUADORAS"/>
    <m/>
    <m/>
    <m/>
    <s v="1450AA-T-70251_FL40"/>
    <n v="1"/>
    <s v="PÇ"/>
    <n v="1.738"/>
    <n v="1.738"/>
    <n v="2788.58"/>
    <n v="4846.5520399999996"/>
    <n v="0"/>
    <n v="0.9"/>
    <n v="0.1"/>
    <n v="1"/>
    <n v="1"/>
    <x v="1"/>
    <n v="1.738"/>
    <m/>
    <n v="1.738"/>
    <n v="0"/>
    <m/>
    <n v="0.4"/>
    <n v="0.5"/>
    <n v="0.1"/>
    <n v="1"/>
    <n v="1"/>
    <n v="1"/>
    <n v="4846.5520399999996"/>
    <n v="0"/>
    <n v="4846.5520399999996"/>
    <n v="0"/>
    <m/>
    <m/>
  </r>
  <r>
    <s v="2.4.3.1.8"/>
    <s v="CMS M.60.10.000"/>
    <x v="2"/>
    <n v="2"/>
    <s v="SPOOL"/>
    <n v="22"/>
    <x v="2"/>
    <s v="NÃO"/>
    <s v="NÃO"/>
    <x v="14"/>
    <x v="1"/>
    <s v="LINHA DO CIRCUITO ARENOSO LINHA DE UNDERFLOW DAS PENEIRAS DESAGUADORAS"/>
    <m/>
    <m/>
    <m/>
    <s v="1450AA-T-70251_FL65"/>
    <n v="2"/>
    <s v="PÇ"/>
    <n v="0.85"/>
    <n v="1.7"/>
    <n v="2788.58"/>
    <n v="4740.5859999999993"/>
    <n v="0"/>
    <n v="0.9"/>
    <n v="0.1"/>
    <n v="1"/>
    <n v="1"/>
    <x v="1"/>
    <n v="1.7"/>
    <m/>
    <n v="1.7"/>
    <n v="0"/>
    <m/>
    <n v="0.4"/>
    <n v="0.5"/>
    <n v="0.1"/>
    <n v="1"/>
    <n v="1"/>
    <n v="1"/>
    <n v="4740.5859999999993"/>
    <n v="0"/>
    <n v="4740.5859999999993"/>
    <n v="0"/>
    <m/>
    <m/>
  </r>
  <r>
    <s v="2.4.3.1.8"/>
    <s v="CMS M.60.10.000"/>
    <x v="2"/>
    <n v="3"/>
    <s v="CURVA"/>
    <n v="22"/>
    <x v="1"/>
    <s v="NÃO"/>
    <s v="NÃO"/>
    <x v="14"/>
    <x v="1"/>
    <s v="LINHA DO CIRCUITO ARENOSO LINHA DE UNDERFLOW DAS PENEIRAS DESAGUADORAS"/>
    <m/>
    <m/>
    <m/>
    <s v="1450AA-T-70251_FL37"/>
    <n v="1"/>
    <s v="PÇ"/>
    <n v="1.028"/>
    <n v="1.028"/>
    <n v="2788.58"/>
    <n v="2866.6602400000002"/>
    <n v="0"/>
    <n v="0.9"/>
    <n v="0.1"/>
    <n v="1"/>
    <n v="1"/>
    <x v="1"/>
    <n v="1.028"/>
    <m/>
    <n v="1.028"/>
    <n v="0"/>
    <m/>
    <n v="0.4"/>
    <n v="0.5"/>
    <n v="0.1"/>
    <n v="1"/>
    <n v="1"/>
    <n v="1"/>
    <n v="2866.6602400000002"/>
    <n v="0"/>
    <n v="2866.6602400000002"/>
    <n v="0"/>
    <m/>
    <m/>
  </r>
  <r>
    <s v="2.4.3.1.8"/>
    <s v="CMS M.60.10.000"/>
    <x v="2"/>
    <n v="4"/>
    <s v="SPOOL"/>
    <n v="22"/>
    <x v="1"/>
    <s v="NÃO"/>
    <s v="NÃO"/>
    <x v="14"/>
    <x v="1"/>
    <s v="LINHA DO CIRCUITO ARENOSO LINHA DE UNDERFLOW DAS PENEIRAS DESAGUADORAS"/>
    <m/>
    <m/>
    <m/>
    <s v="1450AA-T-70251_FL49"/>
    <n v="7"/>
    <s v="PÇ"/>
    <n v="6"/>
    <n v="42"/>
    <n v="2788.58"/>
    <n v="117120.36"/>
    <n v="0"/>
    <n v="0.9"/>
    <n v="0.1"/>
    <n v="1"/>
    <n v="1"/>
    <x v="1"/>
    <n v="42"/>
    <m/>
    <n v="42"/>
    <n v="0"/>
    <m/>
    <n v="0.4"/>
    <n v="0.5"/>
    <n v="0.1"/>
    <n v="1"/>
    <n v="1"/>
    <n v="1"/>
    <n v="117120.36"/>
    <n v="0"/>
    <n v="117120.36"/>
    <n v="0"/>
    <m/>
    <m/>
  </r>
  <r>
    <s v="2.4.3.1.8"/>
    <s v="CMS M.60.10.000"/>
    <x v="2"/>
    <n v="5"/>
    <s v="SPOOL"/>
    <n v="22"/>
    <x v="1"/>
    <s v="NÃO"/>
    <s v="NÃO"/>
    <x v="14"/>
    <x v="1"/>
    <s v="LINHA DO CIRCUITO ARENOSO LINHA DE UNDERFLOW DAS PENEIRAS DESAGUADORAS"/>
    <m/>
    <m/>
    <m/>
    <s v="1450AA-T-70251_FL46"/>
    <n v="2"/>
    <s v="PÇ"/>
    <n v="2"/>
    <n v="4"/>
    <n v="2788.58"/>
    <n v="11154.32"/>
    <n v="0"/>
    <n v="0.9"/>
    <n v="0.1"/>
    <n v="1"/>
    <n v="1"/>
    <x v="1"/>
    <n v="4"/>
    <m/>
    <n v="4"/>
    <n v="0"/>
    <m/>
    <n v="0.4"/>
    <n v="0.5"/>
    <n v="0.1"/>
    <n v="1"/>
    <n v="1"/>
    <n v="1"/>
    <n v="11154.32"/>
    <n v="0"/>
    <n v="11154.32"/>
    <n v="0"/>
    <m/>
    <m/>
  </r>
  <r>
    <s v="2.4.3.1.8"/>
    <s v="CMS M.60.10.000"/>
    <x v="2"/>
    <n v="6"/>
    <s v="SPOOL"/>
    <n v="22"/>
    <x v="2"/>
    <s v="NÃO"/>
    <s v="NÃO"/>
    <x v="14"/>
    <x v="1"/>
    <s v="LINHA DO CIRCUITO ARENOSO LINHA DE UNDERFLOW DAS PENEIRAS DESAGUADORAS"/>
    <m/>
    <m/>
    <m/>
    <s v="1450AA-T-70251_FL68"/>
    <n v="1"/>
    <s v="PÇ"/>
    <n v="1.3"/>
    <n v="1.3"/>
    <n v="2788.58"/>
    <n v="3625.154"/>
    <n v="0"/>
    <n v="0.9"/>
    <n v="0.1"/>
    <n v="1"/>
    <n v="1"/>
    <x v="1"/>
    <n v="1.3"/>
    <m/>
    <n v="1.3"/>
    <n v="0"/>
    <m/>
    <n v="0.4"/>
    <n v="0.5"/>
    <n v="0.1"/>
    <n v="1"/>
    <n v="1"/>
    <n v="1"/>
    <n v="3625.154"/>
    <n v="0"/>
    <n v="3625.154"/>
    <n v="0"/>
    <m/>
    <m/>
  </r>
  <r>
    <s v="2.4.3.1.8"/>
    <s v="CMS M.60.10.000"/>
    <x v="2"/>
    <n v="7"/>
    <s v="CURVA"/>
    <n v="22"/>
    <x v="1"/>
    <s v="NÃO"/>
    <s v="NÃO"/>
    <x v="14"/>
    <x v="1"/>
    <s v="LINHA DO CIRCUITO ARENOSO LINHA DE UNDERFLOW DAS PENEIRAS DESAGUADORAS"/>
    <m/>
    <m/>
    <m/>
    <s v="1450AA-T-70251_FL38"/>
    <n v="1"/>
    <s v="PÇ"/>
    <n v="1.165"/>
    <n v="1.165"/>
    <n v="2788.58"/>
    <n v="3248.6957000000002"/>
    <n v="0"/>
    <n v="0.9"/>
    <n v="0.1"/>
    <n v="1"/>
    <n v="1"/>
    <x v="1"/>
    <n v="1.165"/>
    <m/>
    <n v="1.165"/>
    <n v="0"/>
    <m/>
    <n v="0.4"/>
    <n v="0.5"/>
    <n v="0.1"/>
    <n v="1"/>
    <n v="1"/>
    <n v="1"/>
    <n v="3248.6957000000002"/>
    <n v="0"/>
    <n v="3248.6957000000002"/>
    <n v="0"/>
    <m/>
    <m/>
  </r>
  <r>
    <s v="2.4.3.1.8"/>
    <s v="CMS M.60.10.000"/>
    <x v="2"/>
    <n v="8"/>
    <s v="SPOOL"/>
    <n v="22"/>
    <x v="2"/>
    <s v="NÃO"/>
    <s v="NÃO"/>
    <x v="14"/>
    <x v="1"/>
    <s v="LINHA DO CIRCUITO ARENOSO LINHA DE UNDERFLOW DAS PENEIRAS DESAGUADORAS"/>
    <m/>
    <m/>
    <m/>
    <s v="1450AA-T-70251_FL67"/>
    <n v="1"/>
    <s v="PÇ"/>
    <n v="1.1000000000000001"/>
    <n v="1.1000000000000001"/>
    <n v="2788.58"/>
    <n v="3067.4380000000001"/>
    <n v="0"/>
    <n v="0.9"/>
    <n v="0.1"/>
    <n v="1"/>
    <n v="1"/>
    <x v="1"/>
    <n v="1.1000000000000001"/>
    <m/>
    <n v="1.1000000000000001"/>
    <n v="0"/>
    <m/>
    <n v="0.4"/>
    <n v="0.5"/>
    <n v="0.1"/>
    <n v="1"/>
    <n v="1"/>
    <n v="1"/>
    <n v="3067.4380000000001"/>
    <n v="0"/>
    <n v="3067.4380000000001"/>
    <n v="0"/>
    <m/>
    <m/>
  </r>
  <r>
    <s v="2.4.3.1.8"/>
    <s v="CMS M.60.10.000"/>
    <x v="2"/>
    <n v="9"/>
    <s v="CURVA"/>
    <n v="22"/>
    <x v="1"/>
    <s v="NÃO"/>
    <s v="NÃO"/>
    <x v="14"/>
    <x v="1"/>
    <s v="LINHA DO CIRCUITO ARENOSO LINHA DE UNDERFLOW DAS PENEIRAS DESAGUADORAS"/>
    <m/>
    <m/>
    <m/>
    <s v="1450AA-T-70251_FL39"/>
    <n v="1"/>
    <s v="PÇ"/>
    <n v="1.6839999999999999"/>
    <n v="1.6839999999999999"/>
    <n v="2788.58"/>
    <n v="4695.9687199999998"/>
    <n v="0"/>
    <n v="0.9"/>
    <n v="0.1"/>
    <n v="1"/>
    <n v="1"/>
    <x v="1"/>
    <n v="1.6839999999999999"/>
    <m/>
    <n v="1.6839999999999999"/>
    <n v="0"/>
    <m/>
    <n v="0.4"/>
    <n v="0.5"/>
    <n v="0.1"/>
    <n v="1"/>
    <n v="1"/>
    <n v="1"/>
    <n v="4695.9687199999998"/>
    <n v="0"/>
    <n v="4695.9687199999998"/>
    <n v="0"/>
    <m/>
    <m/>
  </r>
  <r>
    <s v="2.4.3.1.8"/>
    <s v="CMS M.60.10.000"/>
    <x v="2"/>
    <n v="10"/>
    <s v="SPOOL"/>
    <n v="22"/>
    <x v="1"/>
    <s v="NÃO"/>
    <s v="NÃO"/>
    <x v="14"/>
    <x v="1"/>
    <s v="LINHA DO CIRCUITO ARENOSO LINHA DE UNDERFLOW DAS PENEIRAS DESAGUADORAS"/>
    <m/>
    <m/>
    <m/>
    <s v="1450AA-T-70251_FL34"/>
    <n v="1"/>
    <s v="PÇ"/>
    <n v="2.4"/>
    <n v="2.4"/>
    <n v="2788.58"/>
    <n v="6692.5919999999996"/>
    <n v="0"/>
    <n v="0.9"/>
    <n v="0.1"/>
    <n v="1"/>
    <n v="1"/>
    <x v="1"/>
    <n v="2.4"/>
    <m/>
    <n v="2.4"/>
    <n v="0"/>
    <m/>
    <n v="0.4"/>
    <n v="0.5"/>
    <n v="0.1"/>
    <n v="1"/>
    <n v="1"/>
    <n v="1"/>
    <n v="6692.5919999999996"/>
    <n v="0"/>
    <n v="6692.5919999999996"/>
    <n v="0"/>
    <m/>
    <m/>
  </r>
  <r>
    <s v="2.4.3.1.6"/>
    <s v="CMS M.60.10.000"/>
    <x v="2"/>
    <n v="1"/>
    <s v="CURVA"/>
    <n v="16"/>
    <x v="1"/>
    <s v="NÃO"/>
    <s v="NÃO"/>
    <x v="15"/>
    <x v="2"/>
    <s v="DISPOSIÇÃO DE REJEITOS LINHA DO CIRCUITO ARENOSO DISTRIBUIDOR DI-145A-9911 PARA DISTRIBUIDOR DI 145A-9912"/>
    <m/>
    <m/>
    <m/>
    <s v="1450AA-T-70254_FL18"/>
    <n v="1"/>
    <s v="PÇ"/>
    <n v="1.2090000000000001"/>
    <n v="1.2090000000000001"/>
    <n v="3249.8"/>
    <n v="3929.0082000000007"/>
    <n v="0"/>
    <n v="0.9"/>
    <n v="0.1"/>
    <n v="1"/>
    <n v="1"/>
    <x v="1"/>
    <n v="1.2090000000000001"/>
    <m/>
    <n v="1.2090000000000001"/>
    <n v="0"/>
    <m/>
    <n v="0.4"/>
    <n v="0.5"/>
    <n v="0.1"/>
    <n v="1"/>
    <n v="1"/>
    <n v="1"/>
    <n v="3929.0082000000007"/>
    <n v="0"/>
    <n v="3929.0082000000007"/>
    <n v="0"/>
    <m/>
    <m/>
  </r>
  <r>
    <s v="2.4.3.1.5"/>
    <s v="CMS M.60.10.000"/>
    <x v="2"/>
    <n v="2"/>
    <s v="REDUÇÃO"/>
    <s v="16 X 14"/>
    <x v="1"/>
    <s v="NÃO"/>
    <s v="NÃO"/>
    <x v="15"/>
    <x v="2"/>
    <s v="DISPOSIÇÃO DE REJEITOS LINHA DO CIRCUITO ARENOSO DISTRIBUIDOR DI-145A-9911 PARA DISTRIBUIDOR DI 145A-9912"/>
    <m/>
    <m/>
    <m/>
    <s v="1450AA-T-70254_FL19"/>
    <n v="1"/>
    <s v="PÇ"/>
    <n v="0.7"/>
    <n v="0.7"/>
    <n v="2725.4"/>
    <n v="1907.78"/>
    <n v="0"/>
    <n v="0.9"/>
    <n v="0.1"/>
    <n v="1"/>
    <n v="1"/>
    <x v="1"/>
    <n v="0.7"/>
    <m/>
    <n v="0.7"/>
    <n v="0"/>
    <m/>
    <n v="0.4"/>
    <n v="0.5"/>
    <n v="0.1"/>
    <n v="1"/>
    <n v="1"/>
    <n v="1"/>
    <n v="1907.78"/>
    <n v="0"/>
    <n v="1907.78"/>
    <n v="0"/>
    <m/>
    <m/>
  </r>
  <r>
    <s v="2.4.3.1.5"/>
    <s v="CMS M.60.10.000"/>
    <x v="2"/>
    <n v="3"/>
    <s v="SPOOL"/>
    <n v="14"/>
    <x v="1"/>
    <s v="NÃO"/>
    <s v="NÃO"/>
    <x v="15"/>
    <x v="2"/>
    <s v="DISPOSIÇÃO DE REJEITOS LINHA DO CIRCUITO ARENOSO DISTRIBUIDOR DI-145A-9911 PARA DISTRIBUIDOR DI 145A-9912"/>
    <m/>
    <m/>
    <m/>
    <s v="1450AA-T-70254_FL08"/>
    <n v="1"/>
    <s v="PÇ"/>
    <n v="0.185"/>
    <n v="0.185"/>
    <n v="2725.4"/>
    <n v="504.19900000000001"/>
    <n v="0"/>
    <n v="0.9"/>
    <n v="0.1"/>
    <n v="1"/>
    <n v="1"/>
    <x v="1"/>
    <n v="0.185"/>
    <m/>
    <n v="0.185"/>
    <n v="0"/>
    <m/>
    <n v="0.4"/>
    <n v="0.5"/>
    <n v="0.1"/>
    <n v="1"/>
    <n v="1"/>
    <n v="1"/>
    <n v="504.19900000000001"/>
    <n v="0"/>
    <n v="504.19900000000001"/>
    <n v="0"/>
    <m/>
    <m/>
  </r>
  <r>
    <s v="2.4.3.1.5"/>
    <s v="CMS M.60.10.000"/>
    <x v="2"/>
    <n v="4"/>
    <s v="CURVA"/>
    <n v="14"/>
    <x v="1"/>
    <s v="NÃO"/>
    <s v="NÃO"/>
    <x v="15"/>
    <x v="2"/>
    <s v="DISPOSIÇÃO DE REJEITOS LINHA DO CIRCUITO ARENOSO DISTRIBUIDOR DI-145A-9911 PARA DISTRIBUIDOR DI 145A-9912"/>
    <m/>
    <m/>
    <m/>
    <s v="1450AA-T-70254_FL15"/>
    <n v="1"/>
    <s v="PÇ"/>
    <n v="0.48799999999999999"/>
    <n v="0.48799999999999999"/>
    <n v="2725.4"/>
    <n v="1329.9952000000001"/>
    <n v="0"/>
    <n v="0.9"/>
    <n v="0.1"/>
    <n v="1"/>
    <n v="1"/>
    <x v="1"/>
    <n v="0.48799999999999999"/>
    <m/>
    <n v="0.48799999999999999"/>
    <n v="0"/>
    <m/>
    <n v="0.4"/>
    <n v="0.5"/>
    <n v="0.1"/>
    <n v="1"/>
    <n v="1"/>
    <n v="1"/>
    <n v="1329.9952000000001"/>
    <n v="0"/>
    <n v="1329.9952000000001"/>
    <n v="0"/>
    <m/>
    <m/>
  </r>
  <r>
    <s v="2.4.3.1.5"/>
    <s v="CMS M.60.10.000"/>
    <x v="2"/>
    <n v="5"/>
    <s v="SPOOL"/>
    <n v="14"/>
    <x v="2"/>
    <s v="NÃO"/>
    <s v="NÃO"/>
    <x v="15"/>
    <x v="2"/>
    <s v="DISPOSIÇÃO DE REJEITOS LINHA DO CIRCUITO ARENOSO DISTRIBUIDOR DI-145A-9911 PARA DISTRIBUIDOR DI 145A-9912"/>
    <m/>
    <m/>
    <m/>
    <s v="1450AA-T-70254_FL13"/>
    <n v="1"/>
    <s v="PÇ"/>
    <n v="0.35499999999999998"/>
    <n v="0.35499999999999998"/>
    <n v="2725.4"/>
    <n v="967.51699999999994"/>
    <n v="0"/>
    <n v="0.9"/>
    <n v="0.1"/>
    <n v="1"/>
    <n v="1"/>
    <x v="1"/>
    <n v="0.35499999999999998"/>
    <m/>
    <n v="0.35499999999999998"/>
    <n v="0"/>
    <m/>
    <n v="0.4"/>
    <n v="0.5"/>
    <n v="0.1"/>
    <n v="1"/>
    <n v="1"/>
    <n v="1"/>
    <n v="967.51699999999994"/>
    <n v="0"/>
    <n v="967.51699999999994"/>
    <n v="0"/>
    <m/>
    <m/>
  </r>
  <r>
    <s v="2.4.3.1.5"/>
    <s v="CMS M.60.10.000"/>
    <x v="2"/>
    <n v="6"/>
    <s v="SPOOL"/>
    <n v="14"/>
    <x v="1"/>
    <s v="NÃO"/>
    <s v="NÃO"/>
    <x v="15"/>
    <x v="2"/>
    <s v="DISPOSIÇÃO DE REJEITOS LINHA DO CIRCUITO ARENOSO DISTRIBUIDOR DI-145A-9911 PARA DISTRIBUIDOR DI 145A-9912"/>
    <m/>
    <m/>
    <m/>
    <s v="1450AA-T-70254_FL11"/>
    <n v="1"/>
    <s v="PÇ"/>
    <n v="3.3"/>
    <n v="3.3"/>
    <n v="2725.4"/>
    <n v="8993.82"/>
    <n v="0"/>
    <n v="0.9"/>
    <n v="0.1"/>
    <n v="1"/>
    <n v="1"/>
    <x v="1"/>
    <n v="3.3"/>
    <m/>
    <n v="3.3"/>
    <n v="0"/>
    <m/>
    <n v="0.4"/>
    <n v="0.5"/>
    <n v="0.1"/>
    <n v="1"/>
    <n v="1"/>
    <n v="1"/>
    <n v="8993.82"/>
    <n v="0"/>
    <n v="8993.82"/>
    <n v="0"/>
    <m/>
    <m/>
  </r>
  <r>
    <s v="2.4.3.1.5"/>
    <s v="CMS M.60.10.000"/>
    <x v="2"/>
    <n v="7"/>
    <s v="CURVA"/>
    <n v="14"/>
    <x v="1"/>
    <s v="NÃO"/>
    <s v="NÃO"/>
    <x v="15"/>
    <x v="2"/>
    <s v="DISPOSIÇÃO DE REJEITOS LINHA DO CIRCUITO ARENOSO DISTRIBUIDOR DI-145A-9911 PARA DISTRIBUIDOR DI 145A-9912"/>
    <m/>
    <m/>
    <m/>
    <s v="1450AA-T-70254_FL14"/>
    <n v="1"/>
    <s v="PÇ"/>
    <n v="0.45400000000000001"/>
    <n v="0.45400000000000001"/>
    <n v="2725.4"/>
    <n v="1237.3316"/>
    <n v="0"/>
    <n v="0.9"/>
    <n v="0.1"/>
    <n v="1"/>
    <n v="1"/>
    <x v="1"/>
    <n v="0.45400000000000001"/>
    <m/>
    <n v="0.45400000000000001"/>
    <n v="0"/>
    <m/>
    <n v="0.4"/>
    <n v="0.5"/>
    <n v="0.1"/>
    <n v="1"/>
    <n v="1"/>
    <n v="1"/>
    <n v="1237.3316"/>
    <n v="0"/>
    <n v="1237.3316"/>
    <n v="0"/>
    <m/>
    <m/>
  </r>
  <r>
    <s v="2.4.3.1.5"/>
    <s v="CMS M.60.10.000"/>
    <x v="2"/>
    <n v="8"/>
    <s v="SPOOL"/>
    <n v="14"/>
    <x v="1"/>
    <s v="NÃO"/>
    <s v="NÃO"/>
    <x v="15"/>
    <x v="2"/>
    <s v="DISPOSIÇÃO DE REJEITOS LINHA DO CIRCUITO ARENOSO DISTRIBUIDOR DI-145A-9911 PARA DISTRIBUIDOR DI 145A-9912"/>
    <m/>
    <m/>
    <m/>
    <s v="1450AA-T-70254_FL10"/>
    <n v="1"/>
    <s v="PÇ"/>
    <n v="2.0710000000000002"/>
    <n v="2.0710000000000002"/>
    <n v="2725.4"/>
    <n v="5644.3034000000007"/>
    <n v="0"/>
    <n v="0.9"/>
    <n v="0.1"/>
    <n v="1"/>
    <n v="1"/>
    <x v="1"/>
    <n v="2.0710000000000002"/>
    <m/>
    <n v="2.0710000000000002"/>
    <n v="0"/>
    <m/>
    <n v="0.4"/>
    <n v="0.5"/>
    <n v="0.1"/>
    <n v="1"/>
    <n v="1"/>
    <n v="1"/>
    <n v="5644.3034000000007"/>
    <n v="0"/>
    <n v="5644.3034000000007"/>
    <n v="0"/>
    <m/>
    <m/>
  </r>
  <r>
    <s v="2.4.3.1.5"/>
    <s v="CMS M.60.10.000"/>
    <x v="2"/>
    <n v="9"/>
    <s v="CURVA"/>
    <n v="14"/>
    <x v="1"/>
    <s v="NÃO"/>
    <s v="NÃO"/>
    <x v="15"/>
    <x v="2"/>
    <s v="DISPOSIÇÃO DE REJEITOS LINHA DO CIRCUITO ARENOSO DISTRIBUIDOR DI-145A-9911 PARA DISTRIBUIDOR DI 145A-9912"/>
    <m/>
    <m/>
    <m/>
    <s v="1450AA-T-70254_FL17"/>
    <n v="1"/>
    <s v="PÇ"/>
    <n v="0.81799999999999995"/>
    <n v="0.81799999999999995"/>
    <n v="2725.4"/>
    <n v="2229.3771999999999"/>
    <n v="0"/>
    <n v="0.9"/>
    <n v="0.1"/>
    <n v="1"/>
    <n v="1"/>
    <x v="1"/>
    <n v="0.81799999999999995"/>
    <m/>
    <n v="0.81799999999999995"/>
    <n v="0"/>
    <m/>
    <n v="0.4"/>
    <n v="0.5"/>
    <n v="0.1"/>
    <n v="1"/>
    <n v="1"/>
    <n v="1"/>
    <n v="2229.3771999999999"/>
    <n v="0"/>
    <n v="2229.3771999999999"/>
    <n v="0"/>
    <m/>
    <m/>
  </r>
  <r>
    <s v="2.4.3.1.5"/>
    <s v="CMS M.60.10.000"/>
    <x v="2"/>
    <n v="10"/>
    <s v="SPOOL"/>
    <n v="14"/>
    <x v="1"/>
    <s v="NÃO"/>
    <s v="NÃO"/>
    <x v="15"/>
    <x v="2"/>
    <s v="DISPOSIÇÃO DE REJEITOS LINHA DO CIRCUITO ARENOSO DISTRIBUIDOR DI-145A-9911 PARA DISTRIBUIDOR DI 145A-9912"/>
    <m/>
    <m/>
    <m/>
    <s v="1450AA-T-70254_FL12"/>
    <n v="1"/>
    <s v="PÇ"/>
    <n v="5.4580000000000002"/>
    <n v="5.4580000000000002"/>
    <n v="2725.4"/>
    <n v="14875.233200000001"/>
    <n v="0"/>
    <n v="0.9"/>
    <n v="0.1"/>
    <n v="1"/>
    <n v="1"/>
    <x v="1"/>
    <n v="5.4580000000000002"/>
    <m/>
    <n v="5.4580000000000002"/>
    <n v="0"/>
    <m/>
    <n v="0.4"/>
    <n v="0.5"/>
    <n v="0.1"/>
    <n v="1"/>
    <n v="1"/>
    <n v="1"/>
    <n v="14875.233200000001"/>
    <n v="0"/>
    <n v="14875.233200000001"/>
    <n v="0"/>
    <m/>
    <m/>
  </r>
  <r>
    <s v="2.4.3.1.5"/>
    <s v="CMS M.60.10.000"/>
    <x v="2"/>
    <n v="11"/>
    <s v="CURVA"/>
    <n v="14"/>
    <x v="1"/>
    <s v="NÃO"/>
    <s v="NÃO"/>
    <x v="15"/>
    <x v="2"/>
    <s v="DISPOSIÇÃO DE REJEITOS LINHA DO CIRCUITO ARENOSO DISTRIBUIDOR DI-145A-9911 PARA DISTRIBUIDOR DI 145A-9912"/>
    <m/>
    <m/>
    <m/>
    <s v="1450AA-T-70254_FL16"/>
    <n v="1"/>
    <s v="PÇ"/>
    <n v="0.61299999999999999"/>
    <n v="0.61299999999999999"/>
    <n v="2725.4"/>
    <n v="1670.6702"/>
    <n v="0"/>
    <n v="0.9"/>
    <n v="0.1"/>
    <n v="1"/>
    <n v="1"/>
    <x v="1"/>
    <n v="0.61299999999999999"/>
    <m/>
    <n v="0.61299999999999999"/>
    <n v="0"/>
    <m/>
    <n v="0.4"/>
    <n v="0.5"/>
    <n v="0.1"/>
    <n v="1"/>
    <n v="1"/>
    <n v="1"/>
    <n v="1670.6702"/>
    <n v="0"/>
    <n v="1670.6702"/>
    <n v="0"/>
    <m/>
    <m/>
  </r>
  <r>
    <s v="2.4.3.1.5"/>
    <s v="CMS M.60.10.000"/>
    <x v="2"/>
    <n v="12"/>
    <s v="SPOOL"/>
    <n v="14"/>
    <x v="1"/>
    <s v="NÃO"/>
    <s v="NÃO"/>
    <x v="15"/>
    <x v="2"/>
    <s v="DISPOSIÇÃO DE REJEITOS LINHA DO CIRCUITO ARENOSO DISTRIBUIDOR DI-145A-9911 PARA DISTRIBUIDOR DI 145A-9912"/>
    <m/>
    <m/>
    <m/>
    <s v="1450AA-T-70254_FL20"/>
    <n v="1"/>
    <s v="PÇ"/>
    <n v="1.5"/>
    <n v="1.5"/>
    <n v="2725.4"/>
    <n v="4088.1000000000004"/>
    <n v="0"/>
    <n v="0.9"/>
    <n v="0.1"/>
    <n v="1"/>
    <n v="1"/>
    <x v="1"/>
    <n v="1.5"/>
    <m/>
    <n v="1.5"/>
    <n v="0"/>
    <m/>
    <n v="0.4"/>
    <n v="0.5"/>
    <n v="0.1"/>
    <n v="1"/>
    <n v="1"/>
    <n v="1"/>
    <n v="4088.1000000000004"/>
    <n v="0"/>
    <n v="4088.1000000000004"/>
    <n v="0"/>
    <m/>
    <m/>
  </r>
  <r>
    <s v="2.4.3.1.5"/>
    <s v="CMS M.60.10.000"/>
    <x v="2"/>
    <n v="13"/>
    <s v="SPOOL"/>
    <n v="14"/>
    <x v="1"/>
    <s v="NÃO"/>
    <s v="NÃO"/>
    <x v="15"/>
    <x v="2"/>
    <s v="DISPOSIÇÃO DE REJEITOS LINHA DO CIRCUITO ARENOSO DISTRIBUIDOR DI-145A-9911 PARA DISTRIBUIDOR DI 145A-9912"/>
    <m/>
    <m/>
    <m/>
    <s v="1450AA-T-70254_FL09"/>
    <n v="1"/>
    <s v="PÇ"/>
    <n v="0.28899999999999998"/>
    <n v="0.28899999999999998"/>
    <n v="2725.4"/>
    <n v="787.64059999999995"/>
    <n v="0"/>
    <n v="0.9"/>
    <n v="0.1"/>
    <n v="1"/>
    <n v="1"/>
    <x v="1"/>
    <n v="0.28899999999999998"/>
    <m/>
    <n v="0.28899999999999998"/>
    <n v="0"/>
    <m/>
    <n v="0.4"/>
    <n v="0.5"/>
    <n v="0.1"/>
    <n v="1"/>
    <n v="1"/>
    <n v="1"/>
    <n v="787.64059999999995"/>
    <n v="0"/>
    <n v="787.64059999999995"/>
    <n v="0"/>
    <m/>
    <m/>
  </r>
  <r>
    <s v="2.4.3.1.6"/>
    <s v="CMS M.60.10.000"/>
    <x v="2"/>
    <n v="1"/>
    <s v="CURVA"/>
    <n v="16"/>
    <x v="1"/>
    <s v="NÃO"/>
    <s v="NÃO"/>
    <x v="16"/>
    <x v="2"/>
    <s v="DISPOSIÇÃO DE REJEITOS LINHA DO CIRCUITO ARENOSO DISTRIBUIDOR DI-145A-9911 PARA DISTRIBUIDOR DI 145A-9913"/>
    <m/>
    <m/>
    <m/>
    <s v="1450AA-T-70256_FL15"/>
    <n v="1"/>
    <s v="PÇ"/>
    <n v="1.2090000000000001"/>
    <n v="1.2090000000000001"/>
    <n v="3249.8"/>
    <n v="3929.0082000000007"/>
    <n v="0"/>
    <n v="0.9"/>
    <n v="0.1"/>
    <n v="1"/>
    <n v="1"/>
    <x v="1"/>
    <n v="1.2090000000000001"/>
    <m/>
    <n v="1.2090000000000001"/>
    <n v="0"/>
    <m/>
    <n v="0.4"/>
    <n v="0.5"/>
    <n v="0.1"/>
    <n v="1"/>
    <n v="1"/>
    <n v="1"/>
    <n v="3929.0082000000007"/>
    <n v="0"/>
    <n v="3929.0082000000007"/>
    <n v="0"/>
    <m/>
    <m/>
  </r>
  <r>
    <s v="2.4.3.1.5"/>
    <s v="CMS M.60.10.000"/>
    <x v="2"/>
    <n v="2"/>
    <s v="REDUÇÃO"/>
    <s v="16 X 14"/>
    <x v="1"/>
    <s v="NÃO"/>
    <s v="NÃO"/>
    <x v="16"/>
    <x v="2"/>
    <s v="DISPOSIÇÃO DE REJEITOS LINHA DO CIRCUITO ARENOSO DISTRIBUIDOR DI-145A-9911 PARA DISTRIBUIDOR DI 145A-9913"/>
    <m/>
    <m/>
    <m/>
    <s v="1450AA-T-70256_FL16"/>
    <n v="1"/>
    <s v="PÇ"/>
    <n v="1"/>
    <n v="1"/>
    <n v="2725.4"/>
    <n v="2725.4"/>
    <n v="0"/>
    <n v="0.9"/>
    <n v="0.1"/>
    <n v="1"/>
    <n v="1"/>
    <x v="1"/>
    <n v="1"/>
    <m/>
    <n v="1"/>
    <n v="0"/>
    <m/>
    <n v="0.4"/>
    <n v="0.5"/>
    <n v="0.1"/>
    <n v="1"/>
    <n v="1"/>
    <n v="1"/>
    <n v="2725.4"/>
    <n v="0"/>
    <n v="2725.4"/>
    <n v="0"/>
    <m/>
    <m/>
  </r>
  <r>
    <s v="2.4.3.1.5"/>
    <s v="CMS M.60.10.000"/>
    <x v="2"/>
    <n v="3"/>
    <s v="SPOOL"/>
    <n v="14"/>
    <x v="2"/>
    <s v="NÃO"/>
    <s v="NÃO"/>
    <x v="16"/>
    <x v="2"/>
    <s v="DISPOSIÇÃO DE REJEITOS LINHA DO CIRCUITO ARENOSO DISTRIBUIDOR DI-145A-9911 PARA DISTRIBUIDOR DI 145A-9913"/>
    <m/>
    <m/>
    <m/>
    <s v="1450AA-T-70256_FL12"/>
    <n v="1"/>
    <s v="PÇ"/>
    <n v="0.375"/>
    <n v="0.375"/>
    <n v="2725.4"/>
    <n v="1022.0250000000001"/>
    <n v="0"/>
    <n v="0.9"/>
    <n v="0.1"/>
    <n v="1"/>
    <n v="1"/>
    <x v="1"/>
    <n v="0.375"/>
    <m/>
    <n v="0.375"/>
    <n v="0"/>
    <m/>
    <n v="0.4"/>
    <n v="0.5"/>
    <n v="0.1"/>
    <n v="1"/>
    <n v="1"/>
    <n v="1"/>
    <n v="1022.0250000000001"/>
    <n v="0"/>
    <n v="1022.0250000000001"/>
    <n v="0"/>
    <m/>
    <m/>
  </r>
  <r>
    <s v="2.4.3.1.5"/>
    <s v="CMS M.60.10.000"/>
    <x v="2"/>
    <n v="4"/>
    <s v="SPOOL"/>
    <n v="14"/>
    <x v="1"/>
    <s v="NÃO"/>
    <s v="NÃO"/>
    <x v="16"/>
    <x v="2"/>
    <s v="DISPOSIÇÃO DE REJEITOS LINHA DO CIRCUITO ARENOSO DISTRIBUIDOR DI-145A-9911 PARA DISTRIBUIDOR DI 145A-9913"/>
    <m/>
    <m/>
    <m/>
    <s v="1450AA-T-70256_FL11"/>
    <n v="1"/>
    <s v="PÇ"/>
    <n v="2.4"/>
    <n v="2.4"/>
    <n v="2725.4"/>
    <n v="6540.96"/>
    <n v="0"/>
    <n v="0.9"/>
    <n v="0.1"/>
    <n v="1"/>
    <n v="1"/>
    <x v="1"/>
    <n v="2.4"/>
    <m/>
    <n v="2.4"/>
    <n v="0"/>
    <m/>
    <n v="0.4"/>
    <n v="0.5"/>
    <n v="0.1"/>
    <n v="1"/>
    <n v="1"/>
    <n v="1"/>
    <n v="6540.96"/>
    <n v="0"/>
    <n v="6540.96"/>
    <n v="0"/>
    <m/>
    <m/>
  </r>
  <r>
    <s v="2.4.3.1.5"/>
    <s v="CMS M.60.10.000"/>
    <x v="2"/>
    <n v="5"/>
    <s v="CURVA"/>
    <n v="14"/>
    <x v="1"/>
    <s v="NÃO"/>
    <s v="NÃO"/>
    <x v="16"/>
    <x v="2"/>
    <s v="DISPOSIÇÃO DE REJEITOS LINHA DO CIRCUITO ARENOSO DISTRIBUIDOR DI-145A-9911 PARA DISTRIBUIDOR DI 145A-9913"/>
    <m/>
    <m/>
    <m/>
    <s v="1450AA-T-70256_FL14"/>
    <n v="1"/>
    <s v="PÇ"/>
    <n v="0.61299999999999999"/>
    <n v="0.61299999999999999"/>
    <n v="2725.4"/>
    <n v="1670.6702"/>
    <n v="0"/>
    <n v="0.9"/>
    <n v="0.1"/>
    <n v="1"/>
    <n v="1"/>
    <x v="1"/>
    <n v="0.61299999999999999"/>
    <m/>
    <n v="0.61299999999999999"/>
    <n v="0"/>
    <m/>
    <n v="0.4"/>
    <n v="0.5"/>
    <n v="0.1"/>
    <n v="1"/>
    <n v="1"/>
    <n v="1"/>
    <n v="1670.6702"/>
    <n v="0"/>
    <n v="1670.6702"/>
    <n v="0"/>
    <m/>
    <m/>
  </r>
  <r>
    <s v="2.4.3.1.5"/>
    <s v="CMS M.60.10.000"/>
    <x v="2"/>
    <n v="6"/>
    <s v="SPOOL"/>
    <n v="14"/>
    <x v="1"/>
    <s v="NÃO"/>
    <s v="NÃO"/>
    <x v="16"/>
    <x v="2"/>
    <s v="DISPOSIÇÃO DE REJEITOS LINHA DO CIRCUITO ARENOSO DISTRIBUIDOR DI-145A-9911 PARA DISTRIBUIDOR DI 145A-9913"/>
    <m/>
    <m/>
    <m/>
    <s v="1450AA-T-70256_FL10"/>
    <n v="1"/>
    <s v="PÇ"/>
    <n v="1.3660000000000001"/>
    <n v="1.3660000000000001"/>
    <n v="2725.4"/>
    <n v="3722.8964000000005"/>
    <n v="0"/>
    <n v="0.9"/>
    <n v="0.1"/>
    <n v="1"/>
    <n v="1"/>
    <x v="1"/>
    <n v="1.3660000000000001"/>
    <m/>
    <n v="1.3660000000000001"/>
    <n v="0"/>
    <m/>
    <n v="0.4"/>
    <n v="0.5"/>
    <n v="0.1"/>
    <n v="1"/>
    <n v="1"/>
    <n v="1"/>
    <n v="3722.8964000000005"/>
    <n v="0"/>
    <n v="3722.8964000000005"/>
    <n v="0"/>
    <m/>
    <m/>
  </r>
  <r>
    <s v="2.4.3.1.5"/>
    <s v="CMS M.60.10.000"/>
    <x v="2"/>
    <n v="7"/>
    <s v="CURVA"/>
    <n v="14"/>
    <x v="1"/>
    <s v="NÃO"/>
    <s v="NÃO"/>
    <x v="16"/>
    <x v="2"/>
    <s v="DISPOSIÇÃO DE REJEITOS LINHA DO CIRCUITO ARENOSO DISTRIBUIDOR DI-145A-9911 PARA DISTRIBUIDOR DI 145A-9913"/>
    <m/>
    <m/>
    <m/>
    <s v="1450AA-T-70256_FL13"/>
    <n v="1"/>
    <s v="PÇ"/>
    <n v="0.52100000000000002"/>
    <n v="0.52100000000000002"/>
    <n v="2725.4"/>
    <n v="1419.9334000000001"/>
    <n v="0"/>
    <n v="0.9"/>
    <n v="0.1"/>
    <n v="1"/>
    <n v="1"/>
    <x v="0"/>
    <n v="0.46890000000000004"/>
    <m/>
    <n v="0.46890000000000004"/>
    <n v="5.209999999999998E-2"/>
    <m/>
    <n v="0.4"/>
    <n v="0.5"/>
    <n v="0.1"/>
    <m/>
    <m/>
    <m/>
    <n v="0"/>
    <n v="0"/>
    <n v="0"/>
    <n v="1419.9334000000001"/>
    <m/>
    <m/>
  </r>
  <r>
    <s v="2.4.3.1.5"/>
    <s v="CMS M.60.10.000"/>
    <x v="2"/>
    <n v="8"/>
    <s v="SPOOL"/>
    <n v="14"/>
    <x v="1"/>
    <s v="NÃO"/>
    <s v="NÃO"/>
    <x v="16"/>
    <x v="2"/>
    <s v="DISPOSIÇÃO DE REJEITOS LINHA DO CIRCUITO ARENOSO DISTRIBUIDOR DI-145A-9911 PARA DISTRIBUIDOR DI 145A-9913"/>
    <m/>
    <m/>
    <m/>
    <s v="1450AA-T-70256_FL09"/>
    <n v="1"/>
    <s v="PÇ"/>
    <n v="1.07"/>
    <n v="1.07"/>
    <n v="2725.4"/>
    <n v="2916.1780000000003"/>
    <n v="0"/>
    <n v="0.9"/>
    <n v="0.1"/>
    <n v="1"/>
    <n v="1"/>
    <x v="0"/>
    <n v="0.96300000000000008"/>
    <m/>
    <n v="0.96300000000000008"/>
    <n v="0.10699999999999998"/>
    <m/>
    <n v="0.4"/>
    <n v="0.5"/>
    <n v="0.1"/>
    <m/>
    <m/>
    <m/>
    <n v="0"/>
    <n v="0"/>
    <n v="0"/>
    <n v="2916.1780000000003"/>
    <m/>
    <m/>
  </r>
  <r>
    <s v="2.4.3.1.5"/>
    <s v="CMS M.60.10.000"/>
    <x v="2"/>
    <n v="9"/>
    <s v="SPOOL"/>
    <n v="14"/>
    <x v="1"/>
    <s v="NÃO"/>
    <s v="NÃO"/>
    <x v="16"/>
    <x v="2"/>
    <s v="DISPOSIÇÃO DE REJEITOS LINHA DO CIRCUITO ARENOSO DISTRIBUIDOR DI-145A-9911 PARA DISTRIBUIDOR DI 145A-9913"/>
    <m/>
    <m/>
    <m/>
    <s v="1450AA-T-70256_FL17"/>
    <n v="1"/>
    <s v="PÇ"/>
    <n v="1.5"/>
    <n v="1.5"/>
    <n v="2725.4"/>
    <n v="4088.1000000000004"/>
    <n v="0"/>
    <n v="0.9"/>
    <n v="0.1"/>
    <n v="1"/>
    <n v="1"/>
    <x v="0"/>
    <n v="1.35"/>
    <m/>
    <n v="1.35"/>
    <n v="0.14999999999999991"/>
    <m/>
    <n v="0.4"/>
    <n v="0.5"/>
    <n v="0.1"/>
    <m/>
    <m/>
    <m/>
    <n v="0"/>
    <n v="0"/>
    <n v="0"/>
    <n v="4088.1000000000004"/>
    <m/>
    <m/>
  </r>
  <r>
    <s v="2.4.3.1.5"/>
    <s v="CMS M.60.10.000"/>
    <x v="2"/>
    <n v="10"/>
    <s v="SPOOL"/>
    <n v="14"/>
    <x v="1"/>
    <s v="NÃO"/>
    <s v="NÃO"/>
    <x v="16"/>
    <x v="2"/>
    <s v="DISPOSIÇÃO DE REJEITOS LINHA DO CIRCUITO ARENOSO DISTRIBUIDOR DI-145A-9911 PARA DISTRIBUIDOR DI 145A-9913"/>
    <m/>
    <m/>
    <m/>
    <s v="1450AA-T-70256_FL08"/>
    <n v="1"/>
    <s v="PÇ"/>
    <n v="0.27100000000000002"/>
    <n v="0.27100000000000002"/>
    <n v="2725.4"/>
    <n v="738.5834000000001"/>
    <n v="0"/>
    <n v="0.9"/>
    <n v="0.1"/>
    <n v="1"/>
    <n v="1"/>
    <x v="0"/>
    <n v="0.24390000000000003"/>
    <m/>
    <n v="0.24390000000000003"/>
    <n v="2.7099999999999985E-2"/>
    <m/>
    <n v="0.4"/>
    <n v="0.5"/>
    <n v="0.1"/>
    <m/>
    <m/>
    <m/>
    <n v="0"/>
    <n v="0"/>
    <n v="0"/>
    <n v="738.5834000000001"/>
    <m/>
    <m/>
  </r>
  <r>
    <s v="2.4.3.1.6"/>
    <s v="CMS M.60.10.000"/>
    <x v="2"/>
    <n v="1"/>
    <s v="CURVA"/>
    <n v="16"/>
    <x v="1"/>
    <s v="NÃO"/>
    <s v="NÃO"/>
    <x v="17"/>
    <x v="1"/>
    <s v="DISPOSIÇÃO DE REJEITOS LINHA DO CIRCUITO ARENOSO DISTRIBUIDOR DI-145A-9911 PARA DISTRIBUIDOR DI 145A-9914"/>
    <m/>
    <m/>
    <m/>
    <s v="1450AA-T-70258_FL17"/>
    <n v="1"/>
    <s v="PÇ"/>
    <n v="1.2090000000000001"/>
    <n v="1.2090000000000001"/>
    <n v="3249.8"/>
    <n v="3929.0082000000007"/>
    <n v="0"/>
    <n v="0.9"/>
    <n v="0.1"/>
    <n v="1"/>
    <n v="1"/>
    <x v="0"/>
    <n v="1.0881000000000001"/>
    <m/>
    <n v="1.0881000000000001"/>
    <n v="0.12090000000000001"/>
    <m/>
    <n v="0.4"/>
    <n v="0.5"/>
    <n v="0.1"/>
    <m/>
    <m/>
    <m/>
    <n v="0"/>
    <n v="0"/>
    <n v="0"/>
    <n v="3929.0082000000007"/>
    <m/>
    <m/>
  </r>
  <r>
    <s v="2.4.3.1.5"/>
    <s v="CMS M.60.10.000"/>
    <x v="2"/>
    <n v="2"/>
    <s v="REDUÇÃO"/>
    <s v="16 X 14"/>
    <x v="1"/>
    <s v="NÃO"/>
    <s v="NÃO"/>
    <x v="17"/>
    <x v="1"/>
    <s v="DISPOSIÇÃO DE REJEITOS LINHA DO CIRCUITO ARENOSO DISTRIBUIDOR DI-145A-9911 PARA DISTRIBUIDOR DI 145A-9914"/>
    <m/>
    <m/>
    <m/>
    <s v="1450AA-T-70258_FL18"/>
    <n v="1"/>
    <s v="PÇ"/>
    <n v="0.7"/>
    <n v="0.7"/>
    <n v="2725.4"/>
    <n v="1907.78"/>
    <n v="0"/>
    <n v="0.9"/>
    <n v="0.1"/>
    <n v="1"/>
    <n v="1"/>
    <x v="0"/>
    <n v="0.63"/>
    <m/>
    <n v="0.63"/>
    <n v="6.9999999999999951E-2"/>
    <m/>
    <n v="0.4"/>
    <n v="0.5"/>
    <n v="0.1"/>
    <m/>
    <m/>
    <m/>
    <n v="0"/>
    <n v="0"/>
    <n v="0"/>
    <n v="1907.78"/>
    <m/>
    <m/>
  </r>
  <r>
    <s v="2.4.3.1.5"/>
    <s v="CMS M.60.10.000"/>
    <x v="2"/>
    <n v="3"/>
    <s v="SPOOL"/>
    <n v="14"/>
    <x v="2"/>
    <s v="NÃO"/>
    <s v="NÃO"/>
    <x v="17"/>
    <x v="1"/>
    <s v="DISPOSIÇÃO DE REJEITOS LINHA DO CIRCUITO ARENOSO DISTRIBUIDOR DI-145A-9911 PARA DISTRIBUIDOR DI 145A-9914"/>
    <m/>
    <m/>
    <m/>
    <s v="1450AA-T-70258_FL12"/>
    <n v="1"/>
    <s v="PÇ"/>
    <n v="0.32"/>
    <n v="0.32"/>
    <n v="2725.4"/>
    <n v="872.12800000000004"/>
    <n v="0"/>
    <n v="0.9"/>
    <n v="0.1"/>
    <n v="1"/>
    <n v="1"/>
    <x v="0"/>
    <n v="0.28800000000000003"/>
    <m/>
    <n v="0.28800000000000003"/>
    <n v="3.1999999999999973E-2"/>
    <m/>
    <n v="0.4"/>
    <n v="0.5"/>
    <n v="0.1"/>
    <m/>
    <m/>
    <m/>
    <n v="0"/>
    <n v="0"/>
    <n v="0"/>
    <n v="872.12800000000004"/>
    <m/>
    <m/>
  </r>
  <r>
    <s v="2.4.3.1.5"/>
    <s v="CMS M.60.10.000"/>
    <x v="2"/>
    <n v="4"/>
    <s v="SPOOL"/>
    <n v="14"/>
    <x v="1"/>
    <s v="NÃO"/>
    <s v="NÃO"/>
    <x v="17"/>
    <x v="1"/>
    <s v="DISPOSIÇÃO DE REJEITOS LINHA DO CIRCUITO ARENOSO DISTRIBUIDOR DI-145A-9911 PARA DISTRIBUIDOR DI 145A-9914"/>
    <m/>
    <m/>
    <m/>
    <s v="1450AA-T-70258_FL09"/>
    <n v="1"/>
    <s v="PÇ"/>
    <n v="1.4"/>
    <n v="1.4"/>
    <n v="2725.4"/>
    <n v="3815.56"/>
    <n v="0"/>
    <n v="0.9"/>
    <n v="0.1"/>
    <n v="1"/>
    <n v="1"/>
    <x v="0"/>
    <n v="1.26"/>
    <m/>
    <n v="1.26"/>
    <n v="0.1399999999999999"/>
    <m/>
    <n v="0.4"/>
    <n v="0.5"/>
    <n v="0.1"/>
    <m/>
    <m/>
    <m/>
    <n v="0"/>
    <n v="0"/>
    <n v="0"/>
    <n v="3815.56"/>
    <m/>
    <m/>
  </r>
  <r>
    <s v="2.4.3.1.5"/>
    <s v="CMS M.60.10.000"/>
    <x v="2"/>
    <n v="5"/>
    <s v="CURVA"/>
    <n v="14"/>
    <x v="1"/>
    <s v="NÃO"/>
    <s v="NÃO"/>
    <x v="17"/>
    <x v="1"/>
    <s v="DISPOSIÇÃO DE REJEITOS LINHA DO CIRCUITO ARENOSO DISTRIBUIDOR DI-145A-9911 PARA DISTRIBUIDOR DI 145A-9914"/>
    <m/>
    <m/>
    <m/>
    <s v="1450AA-T-70258_FL14"/>
    <n v="1"/>
    <s v="PÇ"/>
    <n v="0.34200000000000003"/>
    <n v="0.34200000000000003"/>
    <n v="2725.4"/>
    <n v="932.08680000000015"/>
    <n v="0"/>
    <n v="0.9"/>
    <n v="0.1"/>
    <n v="1"/>
    <n v="1"/>
    <x v="0"/>
    <n v="0.30780000000000002"/>
    <m/>
    <n v="0.30780000000000002"/>
    <n v="3.4200000000000008E-2"/>
    <m/>
    <n v="0.4"/>
    <n v="0.5"/>
    <n v="0.1"/>
    <m/>
    <m/>
    <m/>
    <n v="0"/>
    <n v="0"/>
    <n v="0"/>
    <n v="932.08680000000015"/>
    <m/>
    <m/>
  </r>
  <r>
    <s v="2.4.3.1.5"/>
    <s v="CMS M.60.10.000"/>
    <x v="2"/>
    <n v="6"/>
    <s v="SPOOL"/>
    <n v="14"/>
    <x v="1"/>
    <s v="NÃO"/>
    <s v="NÃO"/>
    <x v="17"/>
    <x v="1"/>
    <s v="DISPOSIÇÃO DE REJEITOS LINHA DO CIRCUITO ARENOSO DISTRIBUIDOR DI-145A-9911 PARA DISTRIBUIDOR DI 145A-9914"/>
    <m/>
    <m/>
    <m/>
    <s v="1450AA-T-70258_FL10"/>
    <n v="1"/>
    <s v="PÇ"/>
    <n v="3.1259999999999999"/>
    <n v="3.1259999999999999"/>
    <n v="2725.4"/>
    <n v="8519.6003999999994"/>
    <n v="0"/>
    <n v="0.9"/>
    <n v="0.1"/>
    <n v="1"/>
    <n v="1"/>
    <x v="0"/>
    <n v="2.8134000000000001"/>
    <m/>
    <n v="2.8134000000000001"/>
    <n v="0.31259999999999977"/>
    <m/>
    <n v="0.4"/>
    <n v="0.5"/>
    <n v="0.1"/>
    <m/>
    <m/>
    <m/>
    <n v="0"/>
    <n v="0"/>
    <n v="0"/>
    <n v="8519.6003999999994"/>
    <m/>
    <m/>
  </r>
  <r>
    <s v="2.4.3.1.5"/>
    <s v="CMS M.60.10.000"/>
    <x v="2"/>
    <n v="7"/>
    <s v="CURVA"/>
    <n v="14"/>
    <x v="1"/>
    <s v="NÃO"/>
    <s v="NÃO"/>
    <x v="17"/>
    <x v="1"/>
    <s v="DISPOSIÇÃO DE REJEITOS LINHA DO CIRCUITO ARENOSO DISTRIBUIDOR DI-145A-9911 PARA DISTRIBUIDOR DI 145A-9914"/>
    <m/>
    <m/>
    <m/>
    <s v="1450AA-T-70258_FL16"/>
    <n v="1"/>
    <s v="PÇ"/>
    <n v="0.76900000000000002"/>
    <n v="0.76900000000000002"/>
    <n v="2725.4"/>
    <n v="2095.8326000000002"/>
    <n v="0"/>
    <n v="0.9"/>
    <n v="0.1"/>
    <n v="1"/>
    <n v="1"/>
    <x v="0"/>
    <n v="0.69210000000000005"/>
    <m/>
    <n v="0.69210000000000005"/>
    <n v="7.6899999999999968E-2"/>
    <m/>
    <n v="0.4"/>
    <n v="0.5"/>
    <n v="0.1"/>
    <m/>
    <m/>
    <m/>
    <n v="0"/>
    <n v="0"/>
    <n v="0"/>
    <n v="2095.8326000000002"/>
    <m/>
    <m/>
  </r>
  <r>
    <s v="2.4.3.1.5"/>
    <s v="CMS M.60.10.000"/>
    <x v="2"/>
    <n v="8"/>
    <s v="SPOOL"/>
    <n v="14"/>
    <x v="1"/>
    <s v="NÃO"/>
    <s v="NÃO"/>
    <x v="17"/>
    <x v="1"/>
    <s v="DISPOSIÇÃO DE REJEITOS LINHA DO CIRCUITO ARENOSO DISTRIBUIDOR DI-145A-9911 PARA DISTRIBUIDOR DI 145A-9914"/>
    <m/>
    <m/>
    <m/>
    <s v="1450AA-T-70258_FL11"/>
    <n v="2"/>
    <s v="PÇ"/>
    <n v="3.4"/>
    <n v="6.8"/>
    <n v="2725.4"/>
    <n v="18532.72"/>
    <n v="0"/>
    <n v="0.9"/>
    <n v="0.1"/>
    <n v="1"/>
    <n v="1"/>
    <x v="0"/>
    <n v="6.12"/>
    <m/>
    <n v="6.12"/>
    <n v="0.67999999999999972"/>
    <m/>
    <n v="0.4"/>
    <n v="0.5"/>
    <n v="0.1"/>
    <m/>
    <m/>
    <m/>
    <n v="0"/>
    <n v="0"/>
    <n v="0"/>
    <n v="18532.72"/>
    <m/>
    <m/>
  </r>
  <r>
    <s v="2.4.3.1.5"/>
    <s v="CMS M.60.10.000"/>
    <x v="2"/>
    <n v="9"/>
    <s v="SPOOL"/>
    <n v="14"/>
    <x v="2"/>
    <s v="NÃO"/>
    <s v="NÃO"/>
    <x v="17"/>
    <x v="1"/>
    <s v="DISPOSIÇÃO DE REJEITOS LINHA DO CIRCUITO ARENOSO DISTRIBUIDOR DI-145A-9911 PARA DISTRIBUIDOR DI 145A-9914"/>
    <m/>
    <m/>
    <m/>
    <s v="1450AA-T-70258_FL13"/>
    <n v="1"/>
    <s v="PÇ"/>
    <n v="0.42"/>
    <n v="0.42"/>
    <n v="2725.4"/>
    <n v="1144.6679999999999"/>
    <n v="0"/>
    <n v="0.9"/>
    <n v="0.1"/>
    <n v="1"/>
    <n v="1"/>
    <x v="0"/>
    <n v="0.378"/>
    <m/>
    <n v="0.378"/>
    <n v="4.1999999999999982E-2"/>
    <m/>
    <n v="0.4"/>
    <n v="0.5"/>
    <n v="0.1"/>
    <m/>
    <m/>
    <m/>
    <n v="0"/>
    <n v="0"/>
    <n v="0"/>
    <n v="1144.6679999999999"/>
    <m/>
    <m/>
  </r>
  <r>
    <s v="2.4.3.1.5"/>
    <s v="CMS M.60.10.000"/>
    <x v="2"/>
    <n v="10"/>
    <s v="CURVA"/>
    <n v="14"/>
    <x v="1"/>
    <s v="NÃO"/>
    <s v="NÃO"/>
    <x v="17"/>
    <x v="1"/>
    <s v="DISPOSIÇÃO DE REJEITOS LINHA DO CIRCUITO ARENOSO DISTRIBUIDOR DI-145A-9911 PARA DISTRIBUIDOR DI 145A-9914"/>
    <m/>
    <m/>
    <m/>
    <s v="1450AA-T-70258_FL15"/>
    <n v="1"/>
    <s v="PÇ"/>
    <n v="0.61299999999999999"/>
    <n v="0.61299999999999999"/>
    <n v="2725.4"/>
    <n v="1670.6702"/>
    <n v="0"/>
    <n v="0.9"/>
    <n v="0.1"/>
    <n v="1"/>
    <n v="1"/>
    <x v="0"/>
    <n v="0.55169999999999997"/>
    <m/>
    <n v="0.55169999999999997"/>
    <n v="6.1300000000000021E-2"/>
    <m/>
    <n v="0.4"/>
    <n v="0.5"/>
    <n v="0.1"/>
    <m/>
    <m/>
    <m/>
    <n v="0"/>
    <n v="0"/>
    <n v="0"/>
    <n v="1670.6702"/>
    <m/>
    <m/>
  </r>
  <r>
    <s v="2.4.3.1.5"/>
    <s v="CMS M.60.10.000"/>
    <x v="2"/>
    <n v="11"/>
    <s v="SPOOL"/>
    <n v="14"/>
    <x v="1"/>
    <s v="NÃO"/>
    <s v="NÃO"/>
    <x v="17"/>
    <x v="1"/>
    <s v="DISPOSIÇÃO DE REJEITOS LINHA DO CIRCUITO ARENOSO DISTRIBUIDOR DI-145A-9911 PARA DISTRIBUIDOR DI 145A-9914"/>
    <m/>
    <m/>
    <m/>
    <s v="1450AA-T-70258_FL19"/>
    <n v="1"/>
    <s v="PÇ"/>
    <n v="1.5"/>
    <n v="1.5"/>
    <n v="2725.4"/>
    <n v="4088.1000000000004"/>
    <n v="0"/>
    <n v="0.9"/>
    <n v="0.1"/>
    <n v="1"/>
    <n v="1"/>
    <x v="0"/>
    <n v="1.35"/>
    <m/>
    <n v="1.35"/>
    <n v="0.14999999999999991"/>
    <m/>
    <n v="0.4"/>
    <n v="0.5"/>
    <n v="0.1"/>
    <m/>
    <m/>
    <m/>
    <n v="0"/>
    <n v="0"/>
    <n v="0"/>
    <n v="4088.1000000000004"/>
    <m/>
    <m/>
  </r>
  <r>
    <s v="2.4.3.1.5"/>
    <s v="CMS M.60.10.000"/>
    <x v="2"/>
    <n v="12"/>
    <s v="SPOOL"/>
    <n v="14"/>
    <x v="1"/>
    <s v="NÃO"/>
    <s v="NÃO"/>
    <x v="17"/>
    <x v="1"/>
    <s v="DISPOSIÇÃO DE REJEITOS LINHA DO CIRCUITO ARENOSO DISTRIBUIDOR DI-145A-9911 PARA DISTRIBUIDOR DI 145A-9914"/>
    <m/>
    <m/>
    <m/>
    <s v="1450AA-T-70258_FL08"/>
    <n v="1"/>
    <s v="PÇ"/>
    <n v="0.27700000000000002"/>
    <n v="0.27700000000000002"/>
    <n v="2725.4"/>
    <n v="754.93580000000009"/>
    <n v="0"/>
    <n v="0.9"/>
    <n v="0.1"/>
    <n v="1"/>
    <n v="1"/>
    <x v="0"/>
    <n v="0.24930000000000002"/>
    <m/>
    <n v="0.24930000000000002"/>
    <n v="2.7700000000000002E-2"/>
    <m/>
    <n v="0.4"/>
    <n v="0.5"/>
    <n v="0.1"/>
    <m/>
    <m/>
    <m/>
    <n v="0"/>
    <n v="0"/>
    <n v="0"/>
    <n v="754.93580000000009"/>
    <m/>
    <m/>
  </r>
  <r>
    <s v="2.4.3.1.6"/>
    <s v="CMS M.60.10.000"/>
    <x v="2"/>
    <n v="1"/>
    <s v="CURVA"/>
    <n v="16"/>
    <x v="1"/>
    <s v="NÃO"/>
    <s v="NÃO"/>
    <x v="18"/>
    <x v="1"/>
    <s v="DISPOSIÇÃO DE REJEITOS LINHA DO CIRCUITO ARENOSO DISTRIBUIDOR DI-145A-9911 PARA DISTRIBUIDOR DI 145A-9915"/>
    <m/>
    <m/>
    <m/>
    <s v="1450AA-T-70260_FL20"/>
    <n v="1"/>
    <s v="PÇ"/>
    <n v="1.2090000000000001"/>
    <n v="1.2090000000000001"/>
    <n v="3249.8"/>
    <n v="3929.0082000000007"/>
    <n v="0"/>
    <n v="0.9"/>
    <n v="0.1"/>
    <n v="1"/>
    <n v="1"/>
    <x v="0"/>
    <n v="1.0881000000000001"/>
    <m/>
    <n v="1.0881000000000001"/>
    <n v="0.12090000000000001"/>
    <m/>
    <n v="0.4"/>
    <n v="0.5"/>
    <n v="0.1"/>
    <m/>
    <m/>
    <m/>
    <n v="0"/>
    <n v="0"/>
    <n v="0"/>
    <n v="3929.0082000000007"/>
    <m/>
    <m/>
  </r>
  <r>
    <s v="2.4.3.1.5"/>
    <s v="CMS M.60.10.000"/>
    <x v="2"/>
    <n v="2"/>
    <s v="REDUÇÃO"/>
    <s v="16 X 14"/>
    <x v="1"/>
    <s v="NÃO"/>
    <s v="NÃO"/>
    <x v="18"/>
    <x v="1"/>
    <s v="DISPOSIÇÃO DE REJEITOS LINHA DO CIRCUITO ARENOSO DISTRIBUIDOR DI-145A-9911 PARA DISTRIBUIDOR DI 145A-9915"/>
    <m/>
    <m/>
    <m/>
    <s v="1450AA-T-70260_FL21"/>
    <n v="1"/>
    <s v="PÇ"/>
    <n v="0.7"/>
    <n v="0.7"/>
    <n v="2725.4"/>
    <n v="1907.78"/>
    <n v="0"/>
    <n v="0.9"/>
    <n v="0.1"/>
    <n v="1"/>
    <n v="1"/>
    <x v="0"/>
    <n v="0.63"/>
    <m/>
    <n v="0.63"/>
    <n v="6.9999999999999951E-2"/>
    <m/>
    <n v="0.4"/>
    <n v="0.5"/>
    <n v="0.1"/>
    <m/>
    <m/>
    <m/>
    <n v="0"/>
    <n v="0"/>
    <n v="0"/>
    <n v="1907.78"/>
    <m/>
    <m/>
  </r>
  <r>
    <s v="2.4.3.1.5"/>
    <s v="CMS M.60.10.000"/>
    <x v="2"/>
    <n v="3"/>
    <s v="SPOOL"/>
    <n v="14"/>
    <x v="1"/>
    <s v="NÃO"/>
    <s v="NÃO"/>
    <x v="18"/>
    <x v="1"/>
    <s v="DISPOSIÇÃO DE REJEITOS LINHA DO CIRCUITO ARENOSO DISTRIBUIDOR DI-145A-9911 PARA DISTRIBUIDOR DI 145A-9915"/>
    <m/>
    <m/>
    <m/>
    <s v="1450AA-T-70260_FL08"/>
    <n v="1"/>
    <s v="PÇ"/>
    <n v="0.185"/>
    <n v="0.185"/>
    <n v="2725.4"/>
    <n v="504.19900000000001"/>
    <n v="0"/>
    <n v="0.9"/>
    <n v="0.1"/>
    <n v="1"/>
    <n v="1"/>
    <x v="0"/>
    <n v="0.16650000000000001"/>
    <m/>
    <n v="0.16650000000000001"/>
    <n v="1.8499999999999989E-2"/>
    <m/>
    <n v="0.4"/>
    <n v="0.5"/>
    <n v="0.1"/>
    <m/>
    <m/>
    <m/>
    <n v="0"/>
    <n v="0"/>
    <n v="0"/>
    <n v="504.19900000000001"/>
    <m/>
    <m/>
  </r>
  <r>
    <s v="2.4.3.1.5"/>
    <s v="CMS M.60.10.000"/>
    <x v="2"/>
    <n v="4"/>
    <s v="CURVA"/>
    <n v="14"/>
    <x v="1"/>
    <s v="NÃO"/>
    <s v="NÃO"/>
    <x v="18"/>
    <x v="1"/>
    <s v="DISPOSIÇÃO DE REJEITOS LINHA DO CIRCUITO ARENOSO DISTRIBUIDOR DI-145A-9911 PARA DISTRIBUIDOR DI 145A-9915"/>
    <m/>
    <m/>
    <m/>
    <s v="1450AA-T-70260_FL17"/>
    <n v="1"/>
    <s v="PÇ"/>
    <n v="0.48799999999999999"/>
    <n v="0.48799999999999999"/>
    <n v="2725.4"/>
    <n v="1329.9952000000001"/>
    <n v="0"/>
    <n v="0.9"/>
    <n v="0.1"/>
    <n v="1"/>
    <n v="1"/>
    <x v="0"/>
    <n v="0.43919999999999998"/>
    <m/>
    <n v="0.43919999999999998"/>
    <n v="4.880000000000001E-2"/>
    <m/>
    <n v="0.4"/>
    <n v="0.5"/>
    <n v="0.1"/>
    <m/>
    <m/>
    <m/>
    <n v="0"/>
    <n v="0"/>
    <n v="0"/>
    <n v="1329.9952000000001"/>
    <m/>
    <m/>
  </r>
  <r>
    <s v="2.4.3.1.5"/>
    <s v="CMS M.60.10.000"/>
    <x v="2"/>
    <n v="5"/>
    <s v="SPOOL"/>
    <n v="14"/>
    <x v="2"/>
    <s v="NÃO"/>
    <s v="NÃO"/>
    <x v="18"/>
    <x v="1"/>
    <s v="DISPOSIÇÃO DE REJEITOS LINHA DO CIRCUITO ARENOSO DISTRIBUIDOR DI-145A-9911 PARA DISTRIBUIDOR DI 145A-9915"/>
    <m/>
    <m/>
    <m/>
    <s v="1450AA-T-70260_FL15"/>
    <n v="1"/>
    <s v="PÇ"/>
    <n v="0.38"/>
    <n v="0.38"/>
    <n v="2725.4"/>
    <n v="1035.652"/>
    <n v="0"/>
    <n v="0.9"/>
    <n v="0.1"/>
    <n v="1"/>
    <n v="1"/>
    <x v="0"/>
    <n v="0.34200000000000003"/>
    <m/>
    <n v="0.34200000000000003"/>
    <n v="3.7999999999999978E-2"/>
    <m/>
    <n v="0.4"/>
    <n v="0.5"/>
    <n v="0.1"/>
    <m/>
    <m/>
    <m/>
    <n v="0"/>
    <n v="0"/>
    <n v="0"/>
    <n v="1035.652"/>
    <m/>
    <m/>
  </r>
  <r>
    <s v="2.4.3.1.5"/>
    <s v="CMS M.60.10.000"/>
    <x v="2"/>
    <n v="6"/>
    <s v="SPOOL"/>
    <n v="14"/>
    <x v="1"/>
    <s v="NÃO"/>
    <s v="NÃO"/>
    <x v="18"/>
    <x v="1"/>
    <s v="DISPOSIÇÃO DE REJEITOS LINHA DO CIRCUITO ARENOSO DISTRIBUIDOR DI-145A-9911 PARA DISTRIBUIDOR DI 145A-9915"/>
    <m/>
    <m/>
    <m/>
    <s v="1450AA-T-70260_FL10"/>
    <n v="1"/>
    <s v="PÇ"/>
    <n v="2.4"/>
    <n v="2.4"/>
    <n v="2725.4"/>
    <n v="6540.96"/>
    <n v="0"/>
    <n v="0.9"/>
    <n v="0.1"/>
    <n v="1"/>
    <n v="1"/>
    <x v="0"/>
    <n v="2.16"/>
    <m/>
    <n v="2.16"/>
    <n v="0.23999999999999977"/>
    <m/>
    <n v="0.4"/>
    <n v="0.5"/>
    <n v="0.1"/>
    <m/>
    <m/>
    <m/>
    <n v="0"/>
    <n v="0"/>
    <n v="0"/>
    <n v="6540.96"/>
    <m/>
    <m/>
  </r>
  <r>
    <s v="2.4.3.1.5"/>
    <s v="CMS M.60.10.000"/>
    <x v="2"/>
    <n v="7"/>
    <s v="CURVA"/>
    <n v="14"/>
    <x v="1"/>
    <s v="NÃO"/>
    <s v="NÃO"/>
    <x v="18"/>
    <x v="1"/>
    <s v="DISPOSIÇÃO DE REJEITOS LINHA DO CIRCUITO ARENOSO DISTRIBUIDOR DI-145A-9911 PARA DISTRIBUIDOR DI 145A-9915"/>
    <m/>
    <m/>
    <m/>
    <s v="1450AA-T-70260_FL16"/>
    <n v="1"/>
    <s v="PÇ"/>
    <n v="0.45400000000000001"/>
    <n v="0.45400000000000001"/>
    <n v="2725.4"/>
    <n v="1237.3316"/>
    <n v="0"/>
    <n v="0.9"/>
    <n v="0.1"/>
    <n v="1"/>
    <n v="1"/>
    <x v="0"/>
    <n v="0.40860000000000002"/>
    <m/>
    <n v="0.40860000000000002"/>
    <n v="4.5399999999999996E-2"/>
    <m/>
    <n v="0.4"/>
    <n v="0.5"/>
    <n v="0.1"/>
    <m/>
    <m/>
    <m/>
    <n v="0"/>
    <n v="0"/>
    <n v="0"/>
    <n v="1237.3316"/>
    <m/>
    <m/>
  </r>
  <r>
    <s v="2.4.3.1.5"/>
    <s v="CMS M.60.10.000"/>
    <x v="2"/>
    <n v="8"/>
    <s v="SPOOL"/>
    <n v="14"/>
    <x v="1"/>
    <s v="NÃO"/>
    <s v="NÃO"/>
    <x v="18"/>
    <x v="1"/>
    <s v="DISPOSIÇÃO DE REJEITOS LINHA DO CIRCUITO ARENOSO DISTRIBUIDOR DI-145A-9911 PARA DISTRIBUIDOR DI 145A-9915"/>
    <m/>
    <m/>
    <m/>
    <s v="1450AA-T-70260_FL11"/>
    <n v="1"/>
    <s v="PÇ"/>
    <n v="3.0339999999999998"/>
    <n v="3.0339999999999998"/>
    <n v="2725.4"/>
    <n v="8268.8636000000006"/>
    <n v="0"/>
    <n v="0.9"/>
    <n v="0.1"/>
    <n v="1"/>
    <n v="1"/>
    <x v="0"/>
    <n v="2.7305999999999999"/>
    <m/>
    <n v="2.7305999999999999"/>
    <n v="0.30339999999999989"/>
    <m/>
    <n v="0.4"/>
    <n v="0.5"/>
    <n v="0.1"/>
    <m/>
    <m/>
    <m/>
    <n v="0"/>
    <n v="0"/>
    <n v="0"/>
    <n v="8268.8636000000006"/>
    <m/>
    <m/>
  </r>
  <r>
    <s v="2.4.3.1.5"/>
    <s v="CMS M.60.10.000"/>
    <x v="2"/>
    <n v="9"/>
    <s v="CURVA"/>
    <n v="14"/>
    <x v="1"/>
    <s v="NÃO"/>
    <s v="NÃO"/>
    <x v="18"/>
    <x v="1"/>
    <s v="DISPOSIÇÃO DE REJEITOS LINHA DO CIRCUITO ARENOSO DISTRIBUIDOR DI-145A-9911 PARA DISTRIBUIDOR DI 145A-9915"/>
    <m/>
    <m/>
    <m/>
    <s v="1450AA-T-70260_FL19"/>
    <n v="1"/>
    <s v="PÇ"/>
    <n v="0.78"/>
    <n v="0.78"/>
    <n v="2725.4"/>
    <n v="2125.8120000000004"/>
    <n v="0"/>
    <n v="0.9"/>
    <n v="0.1"/>
    <n v="1"/>
    <n v="1"/>
    <x v="0"/>
    <n v="0.70200000000000007"/>
    <m/>
    <n v="0.70200000000000007"/>
    <n v="7.7999999999999958E-2"/>
    <m/>
    <n v="0.4"/>
    <n v="0.5"/>
    <n v="0.1"/>
    <m/>
    <m/>
    <m/>
    <n v="0"/>
    <n v="0"/>
    <n v="0"/>
    <n v="2125.8120000000004"/>
    <m/>
    <m/>
  </r>
  <r>
    <s v="2.4.3.1.5"/>
    <s v="CMS M.60.10.000"/>
    <x v="2"/>
    <n v="10"/>
    <s v="SPOOL"/>
    <n v="14"/>
    <x v="1"/>
    <s v="NÃO"/>
    <s v="NÃO"/>
    <x v="18"/>
    <x v="1"/>
    <s v="DISPOSIÇÃO DE REJEITOS LINHA DO CIRCUITO ARENOSO DISTRIBUIDOR DI-145A-9911 PARA DISTRIBUIDOR DI 145A-9915"/>
    <m/>
    <m/>
    <m/>
    <s v="1450AA-T-70260_FL13"/>
    <n v="1"/>
    <s v="PÇ"/>
    <n v="6"/>
    <n v="6"/>
    <n v="2725.4"/>
    <n v="16352.400000000001"/>
    <n v="0"/>
    <n v="0.9"/>
    <n v="0.1"/>
    <n v="1"/>
    <n v="1"/>
    <x v="0"/>
    <n v="5.4"/>
    <m/>
    <n v="5.4"/>
    <n v="0.59999999999999964"/>
    <m/>
    <n v="0.4"/>
    <n v="0.5"/>
    <n v="0.1"/>
    <m/>
    <m/>
    <m/>
    <n v="0"/>
    <n v="0"/>
    <n v="0"/>
    <n v="16352.400000000001"/>
    <m/>
    <m/>
  </r>
  <r>
    <s v="2.4.3.1.5"/>
    <s v="CMS M.60.10.000"/>
    <x v="2"/>
    <n v="11"/>
    <s v="SPOOL"/>
    <n v="14"/>
    <x v="1"/>
    <s v="NÃO"/>
    <s v="NÃO"/>
    <x v="18"/>
    <x v="1"/>
    <s v="DISPOSIÇÃO DE REJEITOS LINHA DO CIRCUITO ARENOSO DISTRIBUIDOR DI-145A-9911 PARA DISTRIBUIDOR DI 145A-9915"/>
    <m/>
    <m/>
    <m/>
    <s v="1450AA-T-70260_FL12"/>
    <n v="1"/>
    <s v="PÇ"/>
    <n v="4.2"/>
    <n v="4.2"/>
    <n v="2725.4"/>
    <n v="11446.68"/>
    <n v="0"/>
    <n v="0.9"/>
    <n v="0.1"/>
    <n v="1"/>
    <n v="1"/>
    <x v="0"/>
    <n v="3.7800000000000002"/>
    <m/>
    <n v="3.7800000000000002"/>
    <n v="0.41999999999999993"/>
    <m/>
    <n v="0.4"/>
    <n v="0.5"/>
    <n v="0.1"/>
    <m/>
    <m/>
    <m/>
    <n v="0"/>
    <n v="0"/>
    <n v="0"/>
    <n v="11446.68"/>
    <m/>
    <m/>
  </r>
  <r>
    <s v="2.4.3.1.5"/>
    <s v="CMS M.60.10.000"/>
    <x v="2"/>
    <n v="12"/>
    <s v="SPOOL"/>
    <n v="14"/>
    <x v="2"/>
    <s v="NÃO"/>
    <s v="NÃO"/>
    <x v="18"/>
    <x v="1"/>
    <s v="DISPOSIÇÃO DE REJEITOS LINHA DO CIRCUITO ARENOSO DISTRIBUIDOR DI-145A-9911 PARA DISTRIBUIDOR DI 145A-9915"/>
    <m/>
    <m/>
    <m/>
    <s v="1450AA-T-70260_FL14"/>
    <n v="1"/>
    <s v="PÇ"/>
    <n v="0.34"/>
    <n v="0.34"/>
    <n v="2725.4"/>
    <n v="926.63600000000008"/>
    <n v="0"/>
    <n v="0.9"/>
    <n v="0.1"/>
    <n v="1"/>
    <n v="1"/>
    <x v="0"/>
    <n v="0.30600000000000005"/>
    <m/>
    <n v="0.30600000000000005"/>
    <n v="3.3999999999999975E-2"/>
    <m/>
    <n v="0.4"/>
    <n v="0.5"/>
    <n v="0.1"/>
    <m/>
    <m/>
    <m/>
    <n v="0"/>
    <n v="0"/>
    <n v="0"/>
    <n v="926.63600000000008"/>
    <m/>
    <m/>
  </r>
  <r>
    <s v="2.4.3.1.5"/>
    <s v="CMS M.60.10.000"/>
    <x v="2"/>
    <n v="13"/>
    <s v="CURVA"/>
    <n v="14"/>
    <x v="1"/>
    <s v="NÃO"/>
    <s v="NÃO"/>
    <x v="18"/>
    <x v="1"/>
    <s v="DISPOSIÇÃO DE REJEITOS LINHA DO CIRCUITO ARENOSO DISTRIBUIDOR DI-145A-9911 PARA DISTRIBUIDOR DI 145A-9915"/>
    <m/>
    <m/>
    <m/>
    <s v="1450AA-T-70260_FL18"/>
    <n v="1"/>
    <s v="PÇ"/>
    <n v="0.61299999999999999"/>
    <n v="0.61299999999999999"/>
    <n v="2725.4"/>
    <n v="1670.6702"/>
    <n v="0"/>
    <n v="0.9"/>
    <n v="0.1"/>
    <n v="1"/>
    <n v="1"/>
    <x v="0"/>
    <n v="0.55169999999999997"/>
    <m/>
    <n v="0.55169999999999997"/>
    <n v="6.1300000000000021E-2"/>
    <m/>
    <n v="0.4"/>
    <n v="0.5"/>
    <n v="0.1"/>
    <m/>
    <m/>
    <m/>
    <n v="0"/>
    <n v="0"/>
    <n v="0"/>
    <n v="1670.6702"/>
    <m/>
    <m/>
  </r>
  <r>
    <s v="2.4.3.1.5"/>
    <s v="CMS M.60.10.000"/>
    <x v="2"/>
    <n v="14"/>
    <s v="SPOOL"/>
    <n v="14"/>
    <x v="1"/>
    <s v="NÃO"/>
    <s v="NÃO"/>
    <x v="18"/>
    <x v="1"/>
    <s v="DISPOSIÇÃO DE REJEITOS LINHA DO CIRCUITO ARENOSO DISTRIBUIDOR DI-145A-9911 PARA DISTRIBUIDOR DI 145A-9915"/>
    <m/>
    <m/>
    <m/>
    <s v="1450AA-T-70260_FL22"/>
    <n v="1"/>
    <s v="PÇ"/>
    <n v="1.5"/>
    <n v="1.5"/>
    <n v="2725.4"/>
    <n v="4088.1000000000004"/>
    <n v="0"/>
    <n v="0.9"/>
    <n v="0.1"/>
    <n v="1"/>
    <n v="1"/>
    <x v="0"/>
    <n v="1.35"/>
    <m/>
    <n v="1.35"/>
    <n v="0.14999999999999991"/>
    <m/>
    <n v="0.4"/>
    <n v="0.5"/>
    <n v="0.1"/>
    <m/>
    <m/>
    <m/>
    <n v="0"/>
    <n v="0"/>
    <n v="0"/>
    <n v="4088.1000000000004"/>
    <m/>
    <m/>
  </r>
  <r>
    <s v="2.4.3.1.5"/>
    <s v="CMS M.60.10.000"/>
    <x v="2"/>
    <n v="15"/>
    <s v="SPOOL"/>
    <n v="14"/>
    <x v="1"/>
    <s v="NÃO"/>
    <s v="NÃO"/>
    <x v="18"/>
    <x v="1"/>
    <s v="DISPOSIÇÃO DE REJEITOS LINHA DO CIRCUITO ARENOSO DISTRIBUIDOR DI-145A-9911 PARA DISTRIBUIDOR DI 145A-9915"/>
    <m/>
    <m/>
    <m/>
    <s v="1450AA-T-70260_FL09"/>
    <n v="1"/>
    <s v="PÇ"/>
    <n v="0.38100000000000001"/>
    <n v="0.38100000000000001"/>
    <n v="2725.4"/>
    <n v="1038.3774000000001"/>
    <n v="0"/>
    <n v="0.9"/>
    <n v="0.1"/>
    <n v="1"/>
    <n v="1"/>
    <x v="0"/>
    <n v="0.34290000000000004"/>
    <m/>
    <n v="0.34290000000000004"/>
    <n v="3.8099999999999967E-2"/>
    <m/>
    <n v="0.4"/>
    <n v="0.5"/>
    <n v="0.1"/>
    <m/>
    <m/>
    <m/>
    <n v="0"/>
    <n v="0"/>
    <n v="0"/>
    <n v="1038.3774000000001"/>
    <m/>
    <m/>
  </r>
  <r>
    <s v="2.4.3.1.6"/>
    <s v="CMS M.60.10.000"/>
    <x v="2"/>
    <n v="1"/>
    <s v="CURVA"/>
    <n v="16"/>
    <x v="1"/>
    <s v="NÃO"/>
    <s v="NÃO"/>
    <x v="19"/>
    <x v="2"/>
    <s v="DISPOSIÇÃO DE REJEITOS LINHA DO CIRCUITO ARENOSO DISTRIBUIDOR DI-145A-9911 PARA DISTRIBUIDOR DI 145A-9916"/>
    <m/>
    <m/>
    <m/>
    <s v="1450AA-T-70264_FL25"/>
    <n v="1"/>
    <s v="PÇ"/>
    <n v="1.2090000000000001"/>
    <n v="1.2090000000000001"/>
    <n v="3249.8"/>
    <n v="3929.0082000000007"/>
    <n v="0"/>
    <n v="0.9"/>
    <n v="0.1"/>
    <n v="1"/>
    <n v="1"/>
    <x v="0"/>
    <n v="1.0881000000000001"/>
    <m/>
    <n v="1.0881000000000001"/>
    <n v="0.12090000000000001"/>
    <m/>
    <n v="0.4"/>
    <n v="0.5"/>
    <n v="0.1"/>
    <m/>
    <m/>
    <m/>
    <n v="0"/>
    <n v="0"/>
    <n v="0"/>
    <n v="3929.0082000000007"/>
    <m/>
    <m/>
  </r>
  <r>
    <s v="2.4.3.1.5"/>
    <s v="CMS M.60.10.000"/>
    <x v="2"/>
    <n v="2"/>
    <s v="REDUÇÃO"/>
    <s v="16 X 14"/>
    <x v="1"/>
    <s v="NÃO"/>
    <s v="NÃO"/>
    <x v="19"/>
    <x v="2"/>
    <s v="DISPOSIÇÃO DE REJEITOS LINHA DO CIRCUITO ARENOSO DISTRIBUIDOR DI-145A-9911 PARA DISTRIBUIDOR DI 145A-9916"/>
    <m/>
    <m/>
    <m/>
    <s v="1450AA-T-70264_FL26"/>
    <n v="1"/>
    <s v="PÇ"/>
    <n v="0.7"/>
    <n v="0.7"/>
    <n v="2725.4"/>
    <n v="1907.78"/>
    <n v="0"/>
    <n v="0.9"/>
    <n v="0.1"/>
    <n v="1"/>
    <n v="1"/>
    <x v="0"/>
    <n v="0.63"/>
    <m/>
    <n v="0.63"/>
    <n v="6.9999999999999951E-2"/>
    <m/>
    <n v="0.4"/>
    <n v="0.5"/>
    <n v="0.1"/>
    <m/>
    <m/>
    <m/>
    <n v="0"/>
    <n v="0"/>
    <n v="0"/>
    <n v="1907.78"/>
    <m/>
    <m/>
  </r>
  <r>
    <s v="2.4.3.1.5"/>
    <s v="CMS M.60.10.000"/>
    <x v="2"/>
    <n v="3"/>
    <s v="SPOOL"/>
    <n v="14"/>
    <x v="2"/>
    <s v="NÃO"/>
    <s v="NÃO"/>
    <x v="19"/>
    <x v="2"/>
    <s v="DISPOSIÇÃO DE REJEITOS LINHA DO CIRCUITO ARENOSO DISTRIBUIDOR DI-145A-9911 PARA DISTRIBUIDOR DI 145A-9916"/>
    <m/>
    <m/>
    <m/>
    <s v="1450AA-T-70264_FL17"/>
    <n v="1"/>
    <s v="PÇ"/>
    <n v="0.375"/>
    <n v="0.375"/>
    <n v="2725.4"/>
    <n v="1022.0250000000001"/>
    <n v="0"/>
    <n v="0.9"/>
    <n v="0.1"/>
    <n v="1"/>
    <n v="1"/>
    <x v="0"/>
    <n v="0.33750000000000002"/>
    <m/>
    <n v="0.33750000000000002"/>
    <n v="3.7499999999999978E-2"/>
    <m/>
    <n v="0.4"/>
    <n v="0.5"/>
    <n v="0.1"/>
    <m/>
    <m/>
    <m/>
    <n v="0"/>
    <n v="0"/>
    <n v="0"/>
    <n v="1022.0250000000001"/>
    <m/>
    <m/>
  </r>
  <r>
    <s v="2.4.3.1.5"/>
    <s v="CMS M.60.10.000"/>
    <x v="2"/>
    <n v="4"/>
    <s v="SPOOL"/>
    <n v="14"/>
    <x v="1"/>
    <s v="NÃO"/>
    <s v="NÃO"/>
    <x v="19"/>
    <x v="2"/>
    <s v="DISPOSIÇÃO DE REJEITOS LINHA DO CIRCUITO ARENOSO DISTRIBUIDOR DI-145A-9911 PARA DISTRIBUIDOR DI 145A-9916"/>
    <m/>
    <m/>
    <m/>
    <s v="1450AA-T-70264_FL11"/>
    <n v="1"/>
    <s v="PÇ"/>
    <n v="2.4"/>
    <n v="2.4"/>
    <n v="2725.4"/>
    <n v="6540.96"/>
    <n v="0"/>
    <n v="0.9"/>
    <n v="0.1"/>
    <n v="1"/>
    <n v="1"/>
    <x v="0"/>
    <n v="2.16"/>
    <m/>
    <n v="2.16"/>
    <n v="0.23999999999999977"/>
    <m/>
    <n v="0.4"/>
    <n v="0.5"/>
    <n v="0.1"/>
    <m/>
    <m/>
    <m/>
    <n v="0"/>
    <n v="0"/>
    <n v="0"/>
    <n v="6540.96"/>
    <m/>
    <m/>
  </r>
  <r>
    <s v="2.4.3.1.5"/>
    <s v="CMS M.60.10.000"/>
    <x v="2"/>
    <n v="5"/>
    <s v="CURVA"/>
    <n v="14"/>
    <x v="1"/>
    <s v="NÃO"/>
    <s v="NÃO"/>
    <x v="19"/>
    <x v="2"/>
    <s v="DISPOSIÇÃO DE REJEITOS LINHA DO CIRCUITO ARENOSO DISTRIBUIDOR DI-145A-9911 PARA DISTRIBUIDOR DI 145A-9916"/>
    <m/>
    <m/>
    <m/>
    <s v="1450AA-T-70264_FL21"/>
    <n v="1"/>
    <s v="PÇ"/>
    <n v="0.45400000000000001"/>
    <n v="0.45400000000000001"/>
    <n v="2725.4"/>
    <n v="1237.3316"/>
    <n v="0"/>
    <n v="0.9"/>
    <n v="0.1"/>
    <n v="1"/>
    <n v="1"/>
    <x v="0"/>
    <n v="0.40860000000000002"/>
    <m/>
    <n v="0.40860000000000002"/>
    <n v="4.5399999999999996E-2"/>
    <m/>
    <n v="0.4"/>
    <n v="0.5"/>
    <n v="0.1"/>
    <m/>
    <m/>
    <m/>
    <n v="0"/>
    <n v="0"/>
    <n v="0"/>
    <n v="1237.3316"/>
    <m/>
    <m/>
  </r>
  <r>
    <s v="2.4.3.1.5"/>
    <s v="CMS M.60.10.000"/>
    <x v="2"/>
    <n v="6"/>
    <s v="SPOOL"/>
    <n v="14"/>
    <x v="1"/>
    <s v="NÃO"/>
    <s v="NÃO"/>
    <x v="19"/>
    <x v="2"/>
    <s v="DISPOSIÇÃO DE REJEITOS LINHA DO CIRCUITO ARENOSO DISTRIBUIDOR DI-145A-9911 PARA DISTRIBUIDOR DI 145A-9916"/>
    <m/>
    <m/>
    <m/>
    <s v="1450AA-T-70264_FL12"/>
    <n v="1"/>
    <s v="PÇ"/>
    <n v="3.448"/>
    <n v="3.448"/>
    <n v="2725.4"/>
    <n v="9397.1792000000005"/>
    <n v="0"/>
    <n v="0.9"/>
    <n v="0.1"/>
    <n v="1"/>
    <n v="1"/>
    <x v="0"/>
    <n v="3.1032000000000002"/>
    <m/>
    <n v="3.1032000000000002"/>
    <n v="0.34479999999999977"/>
    <m/>
    <n v="0.4"/>
    <n v="0.5"/>
    <n v="0.1"/>
    <m/>
    <m/>
    <m/>
    <n v="0"/>
    <n v="0"/>
    <n v="0"/>
    <n v="9397.1792000000005"/>
    <m/>
    <m/>
  </r>
  <r>
    <s v="2.4.3.1.5"/>
    <s v="CMS M.60.10.000"/>
    <x v="2"/>
    <n v="7"/>
    <s v="CURVA"/>
    <n v="14"/>
    <x v="1"/>
    <s v="NÃO"/>
    <s v="NÃO"/>
    <x v="19"/>
    <x v="2"/>
    <s v="DISPOSIÇÃO DE REJEITOS LINHA DO CIRCUITO ARENOSO DISTRIBUIDOR DI-145A-9911 PARA DISTRIBUIDOR DI 145A-9916"/>
    <m/>
    <m/>
    <m/>
    <s v="1450AA-T-70264_FL20"/>
    <n v="1"/>
    <s v="PÇ"/>
    <n v="0.39800000000000002"/>
    <n v="0.39800000000000002"/>
    <n v="2725.4"/>
    <n v="1084.7092"/>
    <n v="0"/>
    <n v="0.9"/>
    <n v="0.1"/>
    <n v="1"/>
    <n v="1"/>
    <x v="0"/>
    <n v="0.35820000000000002"/>
    <m/>
    <n v="0.35820000000000002"/>
    <n v="3.9800000000000002E-2"/>
    <m/>
    <n v="0.4"/>
    <n v="0.5"/>
    <n v="0.1"/>
    <m/>
    <m/>
    <m/>
    <n v="0"/>
    <n v="0"/>
    <n v="0"/>
    <n v="1084.7092"/>
    <m/>
    <m/>
  </r>
  <r>
    <s v="2.4.3.1.5"/>
    <s v="CMS M.60.10.000"/>
    <x v="2"/>
    <n v="8"/>
    <s v="SPOOL"/>
    <n v="14"/>
    <x v="1"/>
    <s v="NÃO"/>
    <s v="NÃO"/>
    <x v="19"/>
    <x v="2"/>
    <s v="DISPOSIÇÃO DE REJEITOS LINHA DO CIRCUITO ARENOSO DISTRIBUIDOR DI-145A-9911 PARA DISTRIBUIDOR DI 145A-9916"/>
    <m/>
    <m/>
    <m/>
    <s v="1450AA-T-70264_FL10"/>
    <n v="1"/>
    <s v="PÇ"/>
    <n v="1.8"/>
    <n v="1.8"/>
    <n v="2725.4"/>
    <n v="4905.72"/>
    <n v="0"/>
    <n v="0.9"/>
    <n v="0.1"/>
    <n v="1"/>
    <n v="1"/>
    <x v="0"/>
    <n v="1.62"/>
    <m/>
    <n v="1.62"/>
    <n v="0.17999999999999994"/>
    <m/>
    <n v="0.4"/>
    <n v="0.5"/>
    <n v="0.1"/>
    <m/>
    <m/>
    <m/>
    <n v="0"/>
    <n v="0"/>
    <n v="0"/>
    <n v="4905.72"/>
    <m/>
    <m/>
  </r>
  <r>
    <s v="2.4.3.1.5"/>
    <s v="CMS M.60.10.000"/>
    <x v="2"/>
    <n v="9"/>
    <s v="CURVA"/>
    <n v="14"/>
    <x v="1"/>
    <s v="NÃO"/>
    <s v="NÃO"/>
    <x v="19"/>
    <x v="2"/>
    <s v="DISPOSIÇÃO DE REJEITOS LINHA DO CIRCUITO ARENOSO DISTRIBUIDOR DI-145A-9911 PARA DISTRIBUIDOR DI 145A-9916"/>
    <m/>
    <m/>
    <m/>
    <s v="1450AA-T-70264_FL23"/>
    <n v="1"/>
    <s v="PÇ"/>
    <n v="0.79"/>
    <n v="0.79"/>
    <n v="2725.4"/>
    <n v="2153.0660000000003"/>
    <n v="0"/>
    <n v="0.9"/>
    <n v="0.1"/>
    <n v="1"/>
    <n v="1"/>
    <x v="0"/>
    <n v="0.71100000000000008"/>
    <m/>
    <n v="0.71100000000000008"/>
    <n v="7.8999999999999959E-2"/>
    <m/>
    <n v="0.4"/>
    <n v="0.5"/>
    <n v="0.1"/>
    <m/>
    <m/>
    <m/>
    <n v="0"/>
    <n v="0"/>
    <n v="0"/>
    <n v="2153.0660000000003"/>
    <m/>
    <m/>
  </r>
  <r>
    <s v="2.4.3.1.5"/>
    <s v="CMS M.60.10.000"/>
    <x v="2"/>
    <n v="10"/>
    <s v="SPOOL"/>
    <n v="14"/>
    <x v="1"/>
    <s v="NÃO"/>
    <s v="NÃO"/>
    <x v="19"/>
    <x v="2"/>
    <s v="DISPOSIÇÃO DE REJEITOS LINHA DO CIRCUITO ARENOSO DISTRIBUIDOR DI-145A-9911 PARA DISTRIBUIDOR DI 145A-9916"/>
    <m/>
    <m/>
    <m/>
    <s v="1450AA-T-70264_FL15"/>
    <n v="5"/>
    <s v="PÇ"/>
    <n v="6"/>
    <n v="30"/>
    <n v="2725.4"/>
    <n v="81762"/>
    <n v="0"/>
    <n v="0.9"/>
    <n v="0.1"/>
    <n v="1"/>
    <n v="1"/>
    <x v="0"/>
    <n v="27"/>
    <m/>
    <n v="27"/>
    <n v="3"/>
    <m/>
    <n v="0.4"/>
    <n v="0.5"/>
    <n v="0.1"/>
    <m/>
    <m/>
    <m/>
    <n v="0"/>
    <n v="0"/>
    <n v="0"/>
    <n v="81762"/>
    <m/>
    <m/>
  </r>
  <r>
    <s v="2.4.3.1.5"/>
    <s v="CMS M.60.10.000"/>
    <x v="2"/>
    <n v="11"/>
    <s v="SPOOL"/>
    <n v="14"/>
    <x v="1"/>
    <s v="NÃO"/>
    <s v="NÃO"/>
    <x v="19"/>
    <x v="2"/>
    <s v="DISPOSIÇÃO DE REJEITOS LINHA DO CIRCUITO ARENOSO DISTRIBUIDOR DI-145A-9911 PARA DISTRIBUIDOR DI 145A-9916"/>
    <m/>
    <m/>
    <m/>
    <s v="1450AA-T-70264_FL13"/>
    <n v="1"/>
    <s v="PÇ"/>
    <n v="3.8"/>
    <n v="3.8"/>
    <n v="2725.4"/>
    <n v="10356.52"/>
    <n v="0"/>
    <n v="0.9"/>
    <n v="0.1"/>
    <n v="1"/>
    <n v="1"/>
    <x v="0"/>
    <n v="3.42"/>
    <m/>
    <n v="3.42"/>
    <n v="0.37999999999999989"/>
    <m/>
    <n v="0.4"/>
    <n v="0.5"/>
    <n v="0.1"/>
    <m/>
    <m/>
    <m/>
    <n v="0"/>
    <n v="0"/>
    <n v="0"/>
    <n v="10356.52"/>
    <m/>
    <m/>
  </r>
  <r>
    <s v="2.4.3.1.5"/>
    <s v="CMS M.60.10.000"/>
    <x v="2"/>
    <n v="12"/>
    <s v="SPOOL"/>
    <n v="14"/>
    <x v="2"/>
    <s v="NÃO"/>
    <s v="NÃO"/>
    <x v="19"/>
    <x v="2"/>
    <s v="DISPOSIÇÃO DE REJEITOS LINHA DO CIRCUITO ARENOSO DISTRIBUIDOR DI-145A-9911 PARA DISTRIBUIDOR DI 145A-9916"/>
    <m/>
    <m/>
    <m/>
    <s v="1450AA-T-70264_FL19"/>
    <n v="1"/>
    <s v="PÇ"/>
    <n v="0.44"/>
    <n v="0.44"/>
    <n v="2725.4"/>
    <n v="1199.1760000000002"/>
    <n v="0"/>
    <n v="0.9"/>
    <n v="0.1"/>
    <n v="1"/>
    <n v="1"/>
    <x v="0"/>
    <n v="0.39600000000000002"/>
    <m/>
    <n v="0.39600000000000002"/>
    <n v="4.3999999999999984E-2"/>
    <m/>
    <n v="0.4"/>
    <n v="0.5"/>
    <n v="0.1"/>
    <m/>
    <m/>
    <m/>
    <n v="0"/>
    <n v="0"/>
    <n v="0"/>
    <n v="1199.1760000000002"/>
    <m/>
    <m/>
  </r>
  <r>
    <s v="2.4.3.1.5"/>
    <s v="CMS M.60.10.000"/>
    <x v="2"/>
    <n v="13"/>
    <s v="CURVA"/>
    <n v="14"/>
    <x v="1"/>
    <s v="NÃO"/>
    <s v="NÃO"/>
    <x v="19"/>
    <x v="2"/>
    <s v="DISPOSIÇÃO DE REJEITOS LINHA DO CIRCUITO ARENOSO DISTRIBUIDOR DI-145A-9911 PARA DISTRIBUIDOR DI 145A-9916"/>
    <m/>
    <m/>
    <m/>
    <s v="1450AA-T-70264_FL22"/>
    <n v="2"/>
    <s v="PÇ"/>
    <n v="0.64"/>
    <n v="1.28"/>
    <n v="2725.4"/>
    <n v="3488.5120000000002"/>
    <n v="0"/>
    <n v="0.9"/>
    <n v="0.1"/>
    <n v="1"/>
    <n v="1"/>
    <x v="0"/>
    <n v="1.1520000000000001"/>
    <m/>
    <n v="1.1520000000000001"/>
    <n v="0.12799999999999989"/>
    <m/>
    <n v="0.4"/>
    <n v="0.5"/>
    <n v="0.1"/>
    <m/>
    <m/>
    <m/>
    <n v="0"/>
    <n v="0"/>
    <n v="0"/>
    <n v="3488.5120000000002"/>
    <m/>
    <m/>
  </r>
  <r>
    <s v="2.4.3.1.5"/>
    <s v="CMS M.60.10.000"/>
    <x v="2"/>
    <n v="14"/>
    <s v="SPOOL"/>
    <n v="14"/>
    <x v="1"/>
    <s v="NÃO"/>
    <s v="NÃO"/>
    <x v="19"/>
    <x v="2"/>
    <s v="DISPOSIÇÃO DE REJEITOS LINHA DO CIRCUITO ARENOSO DISTRIBUIDOR DI-145A-9911 PARA DISTRIBUIDOR DI 145A-9916"/>
    <m/>
    <m/>
    <m/>
    <s v="1450AA-T-70264_FL08"/>
    <n v="1"/>
    <s v="PÇ"/>
    <n v="0.42799999999999999"/>
    <n v="0.42799999999999999"/>
    <n v="2725.4"/>
    <n v="1166.4712"/>
    <n v="0"/>
    <n v="0.9"/>
    <n v="0.1"/>
    <n v="1"/>
    <n v="1"/>
    <x v="0"/>
    <n v="0.38519999999999999"/>
    <m/>
    <n v="0.38519999999999999"/>
    <n v="4.2800000000000005E-2"/>
    <m/>
    <n v="0.4"/>
    <n v="0.5"/>
    <n v="0.1"/>
    <m/>
    <m/>
    <m/>
    <n v="0"/>
    <n v="0"/>
    <n v="0"/>
    <n v="1166.4712"/>
    <m/>
    <m/>
  </r>
  <r>
    <s v="2.4.3.1.5"/>
    <s v="CMS M.60.10.000"/>
    <x v="2"/>
    <n v="15"/>
    <s v="SPOOL"/>
    <n v="14"/>
    <x v="1"/>
    <s v="NÃO"/>
    <s v="NÃO"/>
    <x v="19"/>
    <x v="2"/>
    <s v="DISPOSIÇÃO DE REJEITOS LINHA DO CIRCUITO ARENOSO DISTRIBUIDOR DI-145A-9911 PARA DISTRIBUIDOR DI 145A-9916"/>
    <m/>
    <m/>
    <m/>
    <s v="1450AA-T-70264_FL14"/>
    <n v="1"/>
    <s v="PÇ"/>
    <n v="4.2"/>
    <n v="4.2"/>
    <n v="2725.4"/>
    <n v="11446.68"/>
    <n v="0"/>
    <n v="0.9"/>
    <n v="0.1"/>
    <n v="1"/>
    <n v="1"/>
    <x v="0"/>
    <n v="3.7800000000000002"/>
    <m/>
    <n v="3.7800000000000002"/>
    <n v="0.41999999999999993"/>
    <m/>
    <n v="0.4"/>
    <n v="0.5"/>
    <n v="0.1"/>
    <m/>
    <m/>
    <m/>
    <n v="0"/>
    <n v="0"/>
    <n v="0"/>
    <n v="11446.68"/>
    <m/>
    <m/>
  </r>
  <r>
    <s v="2.4.3.1.5"/>
    <s v="CMS M.60.10.000"/>
    <x v="2"/>
    <n v="16"/>
    <s v="SPOOL"/>
    <n v="14"/>
    <x v="1"/>
    <s v="NÃO"/>
    <s v="NÃO"/>
    <x v="19"/>
    <x v="2"/>
    <s v="DISPOSIÇÃO DE REJEITOS LINHA DO CIRCUITO ARENOSO DISTRIBUIDOR DI-145A-9911 PARA DISTRIBUIDOR DI 145A-9916"/>
    <m/>
    <m/>
    <m/>
    <s v="1450AA-T-70264_FL16"/>
    <n v="1"/>
    <s v="PÇ"/>
    <n v="0.32"/>
    <n v="0.32"/>
    <n v="2725.4"/>
    <n v="872.12800000000004"/>
    <n v="0"/>
    <n v="0.9"/>
    <n v="0.1"/>
    <n v="1"/>
    <n v="1"/>
    <x v="0"/>
    <n v="0.28800000000000003"/>
    <m/>
    <n v="0.28800000000000003"/>
    <n v="3.1999999999999973E-2"/>
    <m/>
    <n v="0.4"/>
    <n v="0.5"/>
    <n v="0.1"/>
    <m/>
    <m/>
    <m/>
    <n v="0"/>
    <n v="0"/>
    <n v="0"/>
    <n v="872.12800000000004"/>
    <m/>
    <m/>
  </r>
  <r>
    <s v="2.4.3.1.5"/>
    <s v="CMS M.60.10.000"/>
    <x v="2"/>
    <n v="17"/>
    <s v="CURVA"/>
    <n v="14"/>
    <x v="1"/>
    <s v="NÃO"/>
    <s v="NÃO"/>
    <x v="19"/>
    <x v="2"/>
    <s v="DISPOSIÇÃO DE REJEITOS LINHA DO CIRCUITO ARENOSO DISTRIBUIDOR DI-145A-9911 PARA DISTRIBUIDOR DI 145A-9916"/>
    <m/>
    <m/>
    <m/>
    <s v="1450AA-T-70264_FL24"/>
    <n v="1"/>
    <s v="PÇ"/>
    <n v="1.927"/>
    <n v="1.927"/>
    <n v="2725.4"/>
    <n v="5251.8458000000001"/>
    <n v="0"/>
    <n v="0.9"/>
    <n v="0.1"/>
    <n v="1"/>
    <n v="1"/>
    <x v="0"/>
    <n v="1.7343000000000002"/>
    <m/>
    <n v="1.7343000000000002"/>
    <n v="0.19269999999999987"/>
    <m/>
    <n v="0.4"/>
    <n v="0.5"/>
    <n v="0.1"/>
    <m/>
    <m/>
    <m/>
    <n v="0"/>
    <n v="0"/>
    <n v="0"/>
    <n v="5251.8458000000001"/>
    <m/>
    <m/>
  </r>
  <r>
    <s v="2.4.3.1.5"/>
    <s v="CMS M.60.10.000"/>
    <x v="2"/>
    <n v="18"/>
    <s v="SPOOL"/>
    <n v="14"/>
    <x v="1"/>
    <s v="NÃO"/>
    <s v="NÃO"/>
    <x v="19"/>
    <x v="2"/>
    <s v="DISPOSIÇÃO DE REJEITOS LINHA DO CIRCUITO ARENOSO DISTRIBUIDOR DI-145A-9911 PARA DISTRIBUIDOR DI 145A-9916"/>
    <m/>
    <m/>
    <m/>
    <s v="1450AA-T-70264_FL09"/>
    <n v="1"/>
    <s v="PÇ"/>
    <n v="0.5"/>
    <n v="0.5"/>
    <n v="2725.4"/>
    <n v="1362.7"/>
    <n v="0"/>
    <n v="0.9"/>
    <n v="0.1"/>
    <n v="1"/>
    <n v="1"/>
    <x v="0"/>
    <n v="0.45"/>
    <m/>
    <n v="0.45"/>
    <n v="4.9999999999999989E-2"/>
    <m/>
    <n v="0.4"/>
    <n v="0.5"/>
    <n v="0.1"/>
    <m/>
    <m/>
    <m/>
    <n v="0"/>
    <n v="0"/>
    <n v="0"/>
    <n v="1362.7"/>
    <m/>
    <m/>
  </r>
  <r>
    <s v="2.4.3.1.5"/>
    <s v="CMS M.60.10.000"/>
    <x v="2"/>
    <n v="19"/>
    <s v="SPOOL"/>
    <n v="14"/>
    <x v="2"/>
    <s v="NÃO"/>
    <s v="NÃO"/>
    <x v="19"/>
    <x v="2"/>
    <s v="DISPOSIÇÃO DE REJEITOS LINHA DO CIRCUITO ARENOSO DISTRIBUIDOR DI-145A-9911 PARA DISTRIBUIDOR DI 145A-9916"/>
    <m/>
    <m/>
    <m/>
    <s v="1450AA-T-70264_FL18"/>
    <n v="1"/>
    <s v="PÇ"/>
    <n v="0.43"/>
    <n v="0.43"/>
    <n v="2725.4"/>
    <n v="1171.922"/>
    <n v="0"/>
    <n v="0.9"/>
    <n v="0.1"/>
    <n v="1"/>
    <n v="1"/>
    <x v="0"/>
    <n v="0.38700000000000001"/>
    <m/>
    <n v="0.38700000000000001"/>
    <n v="4.2999999999999983E-2"/>
    <m/>
    <n v="0.4"/>
    <n v="0.5"/>
    <n v="0.1"/>
    <m/>
    <m/>
    <m/>
    <n v="0"/>
    <n v="0"/>
    <n v="0"/>
    <n v="1171.922"/>
    <m/>
    <m/>
  </r>
  <r>
    <s v="2.4.3.1.5"/>
    <s v="CMS M.60.10.000"/>
    <x v="2"/>
    <n v="20"/>
    <s v="SPOOL"/>
    <n v="14"/>
    <x v="1"/>
    <s v="NÃO"/>
    <s v="NÃO"/>
    <x v="19"/>
    <x v="2"/>
    <s v="DISPOSIÇÃO DE REJEITOS LINHA DO CIRCUITO ARENOSO DISTRIBUIDOR DI-145A-9911 PARA DISTRIBUIDOR DI 145A-9916"/>
    <m/>
    <m/>
    <m/>
    <s v="1450AA-T-70264_FL27"/>
    <n v="1"/>
    <s v="PÇ"/>
    <n v="1.5"/>
    <n v="1.5"/>
    <n v="2725.4"/>
    <n v="4088.1000000000004"/>
    <n v="0"/>
    <n v="0.9"/>
    <n v="0.1"/>
    <n v="1"/>
    <n v="1"/>
    <x v="0"/>
    <n v="1.35"/>
    <m/>
    <n v="1.35"/>
    <n v="0.14999999999999991"/>
    <m/>
    <n v="0.4"/>
    <n v="0.5"/>
    <n v="0.1"/>
    <m/>
    <m/>
    <m/>
    <n v="0"/>
    <n v="0"/>
    <n v="0"/>
    <n v="4088.1000000000004"/>
    <m/>
    <m/>
  </r>
  <r>
    <s v="2.4.3.1.3"/>
    <s v="CMS M.60.10.000"/>
    <x v="2"/>
    <n v="1"/>
    <s v="SPOOL"/>
    <n v="10"/>
    <x v="1"/>
    <s v="NÃO"/>
    <s v="NÃO"/>
    <x v="20"/>
    <x v="2"/>
    <s v="DISPOSIÇÃO DE REJEITOS LINHA DO CIRCUITO ARENOSO UNDER DO ESPESSADOR ES-142A-9801 PARA DISTRIBUIDOR DI-145A-9911"/>
    <m/>
    <m/>
    <m/>
    <s v="1450AA-T-70267_FL14"/>
    <n v="1"/>
    <s v="PÇ"/>
    <n v="0.438"/>
    <n v="0.438"/>
    <n v="2238.89"/>
    <n v="980.6338199999999"/>
    <n v="0"/>
    <n v="0.9"/>
    <n v="0.1"/>
    <n v="1"/>
    <n v="1"/>
    <x v="0"/>
    <n v="0.39419999999999999"/>
    <m/>
    <n v="0.39419999999999999"/>
    <n v="4.3800000000000006E-2"/>
    <m/>
    <n v="0.4"/>
    <n v="0.5"/>
    <n v="0.1"/>
    <m/>
    <m/>
    <m/>
    <n v="0"/>
    <n v="0"/>
    <n v="0"/>
    <n v="980.6338199999999"/>
    <m/>
    <m/>
  </r>
  <r>
    <s v="2.4.3.1.6"/>
    <s v="CMS M.60.10.000"/>
    <x v="2"/>
    <n v="2"/>
    <s v="DERIVAÇÃO "/>
    <s v="22 X 16"/>
    <x v="1"/>
    <s v="NÃO"/>
    <s v="NÃO"/>
    <x v="20"/>
    <x v="2"/>
    <s v="DISPOSIÇÃO DE REJEITOS LINHA DO CIRCUITO ARENOSO UNDER DO ESPESSADOR ES-142A-9801 PARA DISTRIBUIDOR DI-145A-9911"/>
    <m/>
    <m/>
    <m/>
    <s v="1450AA-T-70267_FL15"/>
    <n v="2"/>
    <s v="PÇ"/>
    <n v="1.3129999999999999"/>
    <n v="2.6259999999999999"/>
    <n v="3249.8"/>
    <n v="8533.9748"/>
    <n v="0"/>
    <n v="0.9"/>
    <n v="0.1"/>
    <n v="1"/>
    <n v="1"/>
    <x v="0"/>
    <n v="2.3633999999999999"/>
    <m/>
    <n v="2.3633999999999999"/>
    <n v="0.26259999999999994"/>
    <m/>
    <n v="0.4"/>
    <n v="0.5"/>
    <n v="0.1"/>
    <m/>
    <m/>
    <m/>
    <n v="0"/>
    <n v="0"/>
    <n v="0"/>
    <n v="8533.9748"/>
    <m/>
    <m/>
  </r>
  <r>
    <s v="2.4.3.1.3"/>
    <s v="CMS M.60.10.000"/>
    <x v="2"/>
    <n v="3"/>
    <s v="SPOOL"/>
    <n v="10"/>
    <x v="1"/>
    <s v="NÃO"/>
    <s v="NÃO"/>
    <x v="20"/>
    <x v="2"/>
    <s v="DISPOSIÇÃO DE REJEITOS LINHA DO CIRCUITO ARENOSO UNDER DO ESPESSADOR ES-142A-9801 PARA DISTRIBUIDOR DI-145A-9911"/>
    <m/>
    <m/>
    <m/>
    <s v="1450AA-T-70267_FL16"/>
    <n v="1"/>
    <s v="PÇ"/>
    <n v="0.61399999999999999"/>
    <n v="0.61399999999999999"/>
    <n v="2238.89"/>
    <n v="1374.6784599999999"/>
    <n v="0"/>
    <n v="0.9"/>
    <n v="0.1"/>
    <n v="1"/>
    <n v="1"/>
    <x v="0"/>
    <n v="0.55259999999999998"/>
    <m/>
    <n v="0.55259999999999998"/>
    <n v="6.140000000000001E-2"/>
    <m/>
    <n v="0.4"/>
    <n v="0.5"/>
    <n v="0.1"/>
    <m/>
    <m/>
    <m/>
    <n v="0"/>
    <n v="0"/>
    <n v="0"/>
    <n v="1374.6784599999999"/>
    <m/>
    <m/>
  </r>
  <r>
    <s v="2.4.3.1.3"/>
    <s v="CMS M.60.10.000"/>
    <x v="2"/>
    <n v="4"/>
    <s v="SPOOL"/>
    <n v="10"/>
    <x v="1"/>
    <s v="NÃO"/>
    <s v="NÃO"/>
    <x v="20"/>
    <x v="2"/>
    <s v="DISPOSIÇÃO DE REJEITOS LINHA DO CIRCUITO ARENOSO UNDER DO ESPESSADOR ES-142A-9801 PARA DISTRIBUIDOR DI-145A-9911"/>
    <m/>
    <m/>
    <m/>
    <s v="1450AA-T-70267_FL17"/>
    <n v="1"/>
    <s v="PÇ"/>
    <n v="0.75"/>
    <n v="0.75"/>
    <n v="2238.89"/>
    <n v="1679.1675"/>
    <n v="0"/>
    <n v="0.9"/>
    <n v="0.1"/>
    <n v="1"/>
    <n v="1"/>
    <x v="0"/>
    <n v="0.67500000000000004"/>
    <m/>
    <n v="0.67500000000000004"/>
    <n v="7.4999999999999956E-2"/>
    <m/>
    <n v="0.4"/>
    <n v="0.5"/>
    <n v="0.1"/>
    <m/>
    <m/>
    <m/>
    <n v="0"/>
    <n v="0"/>
    <n v="0"/>
    <n v="1679.1675"/>
    <m/>
    <m/>
  </r>
  <r>
    <s v="2.4.3.1.3"/>
    <s v="CMS M.60.10.000"/>
    <x v="2"/>
    <n v="5"/>
    <s v="SPOOL"/>
    <n v="10"/>
    <x v="1"/>
    <s v="NÃO"/>
    <s v="NÃO"/>
    <x v="20"/>
    <x v="2"/>
    <s v="DISPOSIÇÃO DE REJEITOS LINHA DO CIRCUITO ARENOSO UNDER DO ESPESSADOR ES-142A-9801 PARA DISTRIBUIDOR DI-145A-9911"/>
    <m/>
    <m/>
    <m/>
    <s v="1450AA-T-70267_FL18"/>
    <n v="1"/>
    <s v="PÇ"/>
    <n v="0.76500000000000001"/>
    <n v="0.76500000000000001"/>
    <n v="2238.89"/>
    <n v="1712.7508499999999"/>
    <n v="0"/>
    <n v="0.9"/>
    <n v="0.1"/>
    <n v="1"/>
    <n v="1"/>
    <x v="0"/>
    <n v="0.6885"/>
    <m/>
    <n v="0.6885"/>
    <n v="7.6500000000000012E-2"/>
    <m/>
    <n v="0.4"/>
    <n v="0.5"/>
    <n v="0.1"/>
    <m/>
    <m/>
    <m/>
    <n v="0"/>
    <n v="0"/>
    <n v="0"/>
    <n v="1712.7508499999999"/>
    <m/>
    <m/>
  </r>
  <r>
    <s v="2.4.3.1.3"/>
    <s v="CMS M.60.10.000"/>
    <x v="2"/>
    <n v="6"/>
    <s v="SPOOL"/>
    <n v="10"/>
    <x v="1"/>
    <s v="NÃO"/>
    <s v="NÃO"/>
    <x v="20"/>
    <x v="2"/>
    <s v="DISPOSIÇÃO DE REJEITOS LINHA DO CIRCUITO ARENOSO UNDER DO ESPESSADOR ES-142A-9801 PARA DISTRIBUIDOR DI-145A-9911"/>
    <m/>
    <m/>
    <m/>
    <s v="1450AA-T-70267_FL19"/>
    <n v="1"/>
    <s v="PÇ"/>
    <n v="1.3"/>
    <n v="1.3"/>
    <n v="2238.89"/>
    <n v="2910.5569999999998"/>
    <n v="0"/>
    <n v="0.9"/>
    <n v="0.1"/>
    <n v="1"/>
    <n v="1"/>
    <x v="0"/>
    <n v="1.1700000000000002"/>
    <m/>
    <n v="1.1700000000000002"/>
    <n v="0.12999999999999989"/>
    <m/>
    <n v="0.4"/>
    <n v="0.5"/>
    <n v="0.1"/>
    <m/>
    <m/>
    <m/>
    <n v="0"/>
    <n v="0"/>
    <n v="0"/>
    <n v="2910.5569999999998"/>
    <m/>
    <m/>
  </r>
  <r>
    <s v="2.4.3.1.3"/>
    <s v="CMS M.60.10.000"/>
    <x v="2"/>
    <n v="7"/>
    <s v="SPOOL"/>
    <n v="10"/>
    <x v="1"/>
    <s v="NÃO"/>
    <s v="NÃO"/>
    <x v="20"/>
    <x v="2"/>
    <s v="DISPOSIÇÃO DE REJEITOS LINHA DO CIRCUITO ARENOSO UNDER DO ESPESSADOR ES-142A-9801 PARA DISTRIBUIDOR DI-145A-9911"/>
    <m/>
    <m/>
    <m/>
    <s v="1450AA-T-70267_FL20"/>
    <n v="2"/>
    <s v="PÇ"/>
    <n v="1.5"/>
    <n v="3"/>
    <n v="2238.89"/>
    <n v="6716.67"/>
    <n v="0"/>
    <n v="0.9"/>
    <n v="0.1"/>
    <n v="1"/>
    <n v="1"/>
    <x v="0"/>
    <n v="2.7"/>
    <m/>
    <n v="2.7"/>
    <n v="0.29999999999999982"/>
    <m/>
    <n v="0.4"/>
    <n v="0.5"/>
    <n v="0.1"/>
    <m/>
    <m/>
    <m/>
    <n v="0"/>
    <n v="0"/>
    <n v="0"/>
    <n v="6716.67"/>
    <m/>
    <m/>
  </r>
  <r>
    <s v="2.4.3.1.3"/>
    <s v="CMS M.60.10.000"/>
    <x v="2"/>
    <n v="8"/>
    <s v="SPOOL"/>
    <n v="10"/>
    <x v="1"/>
    <s v="NÃO"/>
    <s v="NÃO"/>
    <x v="20"/>
    <x v="2"/>
    <s v="DISPOSIÇÃO DE REJEITOS LINHA DO CIRCUITO ARENOSO UNDER DO ESPESSADOR ES-142A-9801 PARA DISTRIBUIDOR DI-145A-9911"/>
    <m/>
    <m/>
    <m/>
    <s v="1450AA-T-70267_FL21"/>
    <n v="2"/>
    <s v="PÇ"/>
    <n v="2"/>
    <n v="4"/>
    <n v="2238.89"/>
    <n v="8955.56"/>
    <n v="0"/>
    <n v="0.9"/>
    <n v="0.1"/>
    <n v="1"/>
    <n v="1"/>
    <x v="0"/>
    <n v="3.6"/>
    <m/>
    <n v="3.6"/>
    <n v="0.39999999999999991"/>
    <m/>
    <n v="0.4"/>
    <n v="0.5"/>
    <n v="0.1"/>
    <m/>
    <m/>
    <m/>
    <n v="0"/>
    <n v="0"/>
    <n v="0"/>
    <n v="8955.56"/>
    <m/>
    <m/>
  </r>
  <r>
    <s v="2.4.3.1.3"/>
    <s v="CMS M.60.10.000"/>
    <x v="2"/>
    <n v="9"/>
    <s v="SPOOL"/>
    <n v="10"/>
    <x v="1"/>
    <s v="NÃO"/>
    <s v="NÃO"/>
    <x v="20"/>
    <x v="2"/>
    <s v="DISPOSIÇÃO DE REJEITOS LINHA DO CIRCUITO ARENOSO UNDER DO ESPESSADOR ES-142A-9801 PARA DISTRIBUIDOR DI-145A-9911"/>
    <m/>
    <m/>
    <m/>
    <s v="1450AA-T-70267_FL22"/>
    <n v="1"/>
    <s v="PÇ"/>
    <n v="2.137"/>
    <n v="2.137"/>
    <n v="2238.89"/>
    <n v="4784.5079299999998"/>
    <n v="0"/>
    <n v="0.9"/>
    <n v="0.1"/>
    <n v="1"/>
    <n v="1"/>
    <x v="0"/>
    <n v="1.9233"/>
    <m/>
    <n v="1.9233"/>
    <n v="0.2137"/>
    <m/>
    <n v="0.4"/>
    <n v="0.5"/>
    <n v="0.1"/>
    <m/>
    <m/>
    <m/>
    <n v="0"/>
    <n v="0"/>
    <n v="0"/>
    <n v="4784.5079299999998"/>
    <m/>
    <m/>
  </r>
  <r>
    <s v="2.4.3.1.3"/>
    <s v="CMS M.60.10.000"/>
    <x v="2"/>
    <n v="10"/>
    <s v="SPOOL"/>
    <n v="10"/>
    <x v="1"/>
    <s v="NÃO"/>
    <s v="NÃO"/>
    <x v="20"/>
    <x v="2"/>
    <s v="DISPOSIÇÃO DE REJEITOS LINHA DO CIRCUITO ARENOSO UNDER DO ESPESSADOR ES-142A-9801 PARA DISTRIBUIDOR DI-145A-9911"/>
    <m/>
    <m/>
    <m/>
    <s v="1450AA-T-70267_FL23"/>
    <n v="5"/>
    <s v="PÇ"/>
    <n v="2.5"/>
    <n v="12.5"/>
    <n v="2238.89"/>
    <n v="27986.125"/>
    <n v="0"/>
    <n v="0.9"/>
    <n v="0.1"/>
    <n v="1"/>
    <n v="1"/>
    <x v="0"/>
    <n v="11.25"/>
    <m/>
    <n v="11.25"/>
    <n v="1.25"/>
    <m/>
    <n v="0.4"/>
    <n v="0.5"/>
    <n v="0.1"/>
    <m/>
    <m/>
    <m/>
    <n v="0"/>
    <n v="0"/>
    <n v="0"/>
    <n v="27986.125"/>
    <m/>
    <m/>
  </r>
  <r>
    <s v="2.4.3.1.3"/>
    <s v="CMS M.60.10.000"/>
    <x v="2"/>
    <n v="11"/>
    <s v="SPOOL"/>
    <n v="10"/>
    <x v="1"/>
    <s v="NÃO"/>
    <s v="NÃO"/>
    <x v="20"/>
    <x v="2"/>
    <s v="DISPOSIÇÃO DE REJEITOS LINHA DO CIRCUITO ARENOSO UNDER DO ESPESSADOR ES-142A-9801 PARA DISTRIBUIDOR DI-145A-9911"/>
    <m/>
    <m/>
    <m/>
    <s v="1450AA-T-70267_FL24"/>
    <n v="1"/>
    <s v="PÇ"/>
    <n v="2.6"/>
    <n v="2.6"/>
    <n v="2238.89"/>
    <n v="5821.1139999999996"/>
    <n v="0"/>
    <n v="0.9"/>
    <n v="0.1"/>
    <n v="1"/>
    <n v="1"/>
    <x v="0"/>
    <n v="2.3400000000000003"/>
    <m/>
    <n v="2.3400000000000003"/>
    <n v="0.25999999999999979"/>
    <m/>
    <n v="0.4"/>
    <n v="0.5"/>
    <n v="0.1"/>
    <m/>
    <m/>
    <m/>
    <n v="0"/>
    <n v="0"/>
    <n v="0"/>
    <n v="5821.1139999999996"/>
    <m/>
    <m/>
  </r>
  <r>
    <s v="2.4.3.1.3"/>
    <s v="CMS M.60.10.000"/>
    <x v="2"/>
    <n v="12"/>
    <s v="SPOOL"/>
    <n v="10"/>
    <x v="1"/>
    <s v="NÃO"/>
    <s v="NÃO"/>
    <x v="20"/>
    <x v="2"/>
    <s v="DISPOSIÇÃO DE REJEITOS LINHA DO CIRCUITO ARENOSO UNDER DO ESPESSADOR ES-142A-9801 PARA DISTRIBUIDOR DI-145A-9911"/>
    <m/>
    <m/>
    <m/>
    <s v="1450AA-T-70267_FL25"/>
    <n v="1"/>
    <s v="PÇ"/>
    <n v="3.5"/>
    <n v="3.5"/>
    <n v="2238.89"/>
    <n v="7836.1149999999998"/>
    <n v="0"/>
    <n v="0.9"/>
    <n v="0.1"/>
    <n v="1"/>
    <n v="1"/>
    <x v="0"/>
    <n v="3.15"/>
    <m/>
    <n v="3.15"/>
    <n v="0.35000000000000009"/>
    <m/>
    <n v="0.4"/>
    <n v="0.5"/>
    <n v="0.1"/>
    <m/>
    <m/>
    <m/>
    <n v="0"/>
    <n v="0"/>
    <n v="0"/>
    <n v="7836.1149999999998"/>
    <m/>
    <m/>
  </r>
  <r>
    <s v="2.4.3.1.3"/>
    <s v="CMS M.60.10.000"/>
    <x v="2"/>
    <n v="13"/>
    <s v="SPOOL"/>
    <n v="10"/>
    <x v="1"/>
    <s v="NÃO"/>
    <s v="NÃO"/>
    <x v="20"/>
    <x v="2"/>
    <s v="DISPOSIÇÃO DE REJEITOS LINHA DO CIRCUITO ARENOSO UNDER DO ESPESSADOR ES-142A-9801 PARA DISTRIBUIDOR DI-145A-9911"/>
    <m/>
    <m/>
    <m/>
    <s v="1450AA-T-70267_FL26"/>
    <n v="1"/>
    <s v="PÇ"/>
    <n v="4"/>
    <n v="4"/>
    <n v="2238.89"/>
    <n v="8955.56"/>
    <n v="0"/>
    <n v="0.9"/>
    <n v="0.1"/>
    <n v="1"/>
    <n v="1"/>
    <x v="0"/>
    <n v="3.6"/>
    <m/>
    <n v="3.6"/>
    <n v="0.39999999999999991"/>
    <m/>
    <n v="0.4"/>
    <n v="0.5"/>
    <n v="0.1"/>
    <m/>
    <m/>
    <m/>
    <n v="0"/>
    <n v="0"/>
    <n v="0"/>
    <n v="8955.56"/>
    <m/>
    <m/>
  </r>
  <r>
    <s v="2.4.3.1.3"/>
    <s v="CMS M.60.10.000"/>
    <x v="2"/>
    <n v="14"/>
    <s v="SPOOL"/>
    <n v="10"/>
    <x v="1"/>
    <s v="NÃO"/>
    <s v="NÃO"/>
    <x v="20"/>
    <x v="2"/>
    <s v="DISPOSIÇÃO DE REJEITOS LINHA DO CIRCUITO ARENOSO UNDER DO ESPESSADOR ES-142A-9801 PARA DISTRIBUIDOR DI-145A-9911"/>
    <m/>
    <m/>
    <m/>
    <s v="1450AA-T-70267_FL27"/>
    <n v="1"/>
    <s v="PÇ"/>
    <n v="5"/>
    <n v="5"/>
    <n v="2238.89"/>
    <n v="11194.449999999999"/>
    <n v="0"/>
    <n v="0.9"/>
    <n v="0.1"/>
    <n v="1"/>
    <n v="1"/>
    <x v="0"/>
    <n v="4.5"/>
    <m/>
    <n v="4.5"/>
    <n v="0.5"/>
    <m/>
    <n v="0.4"/>
    <n v="0.5"/>
    <n v="0.1"/>
    <m/>
    <m/>
    <m/>
    <n v="0"/>
    <n v="0"/>
    <n v="0"/>
    <n v="11194.449999999999"/>
    <m/>
    <m/>
  </r>
  <r>
    <s v="2.4.3.1.3"/>
    <s v="CMS M.60.10.000"/>
    <x v="2"/>
    <n v="15"/>
    <s v="SPOOL"/>
    <n v="10"/>
    <x v="1"/>
    <s v="NÃO"/>
    <s v="NÃO"/>
    <x v="20"/>
    <x v="2"/>
    <s v="DISPOSIÇÃO DE REJEITOS LINHA DO CIRCUITO ARENOSO UNDER DO ESPESSADOR ES-142A-9801 PARA DISTRIBUIDOR DI-145A-9911"/>
    <m/>
    <m/>
    <m/>
    <s v="1450AA-T-70267_FL28"/>
    <n v="1"/>
    <s v="PÇ"/>
    <n v="5.5"/>
    <n v="5.5"/>
    <n v="2238.89"/>
    <n v="12313.894999999999"/>
    <n v="0"/>
    <n v="0.9"/>
    <n v="0.1"/>
    <n v="1"/>
    <n v="1"/>
    <x v="0"/>
    <n v="4.95"/>
    <m/>
    <n v="4.95"/>
    <n v="0.54999999999999982"/>
    <m/>
    <n v="0.4"/>
    <n v="0.5"/>
    <n v="0.1"/>
    <m/>
    <m/>
    <m/>
    <n v="0"/>
    <n v="0"/>
    <n v="0"/>
    <n v="12313.894999999999"/>
    <m/>
    <m/>
  </r>
  <r>
    <s v="2.4.3.1.3"/>
    <s v="CMS M.60.10.000"/>
    <x v="2"/>
    <n v="16"/>
    <s v="SPOOL"/>
    <n v="10"/>
    <x v="1"/>
    <s v="NÃO"/>
    <s v="NÃO"/>
    <x v="20"/>
    <x v="2"/>
    <s v="DISPOSIÇÃO DE REJEITOS LINHA DO CIRCUITO ARENOSO UNDER DO ESPESSADOR ES-142A-9801 PARA DISTRIBUIDOR DI-145A-9911"/>
    <m/>
    <m/>
    <m/>
    <s v="1450AA-T-70267_FL29"/>
    <n v="6"/>
    <s v="PÇ"/>
    <n v="6"/>
    <n v="36"/>
    <n v="2238.89"/>
    <n v="80600.039999999994"/>
    <n v="0"/>
    <n v="0.9"/>
    <n v="0.1"/>
    <n v="1"/>
    <n v="1"/>
    <x v="0"/>
    <n v="32.4"/>
    <m/>
    <n v="32.4"/>
    <n v="3.6000000000000014"/>
    <m/>
    <n v="0.4"/>
    <n v="0.5"/>
    <n v="0.1"/>
    <m/>
    <m/>
    <m/>
    <n v="0"/>
    <n v="0"/>
    <n v="0"/>
    <n v="80600.039999999994"/>
    <m/>
    <m/>
  </r>
  <r>
    <s v="2.4.3.1.3"/>
    <s v="CMS M.60.10.000"/>
    <x v="2"/>
    <n v="17"/>
    <s v="SPOOL"/>
    <n v="10"/>
    <x v="1"/>
    <s v="SIM"/>
    <s v="NÃO"/>
    <x v="20"/>
    <x v="2"/>
    <s v="DISPOSIÇÃO DE REJEITOS LINHA DO CIRCUITO ARENOSO UNDER DO ESPESSADOR ES-142A-9801 PARA DISTRIBUIDOR DI-145A-9911"/>
    <m/>
    <m/>
    <m/>
    <s v="1450AA-T-70267_FL30"/>
    <n v="1"/>
    <s v="PÇ"/>
    <n v="0.35499999999999998"/>
    <n v="0.35499999999999998"/>
    <n v="2238.89"/>
    <n v="794.80594999999994"/>
    <n v="0"/>
    <n v="0.9"/>
    <n v="0.1"/>
    <n v="1"/>
    <n v="1"/>
    <x v="0"/>
    <n v="0.31950000000000001"/>
    <m/>
    <n v="0.31950000000000001"/>
    <n v="3.5499999999999976E-2"/>
    <m/>
    <n v="0.4"/>
    <n v="0.5"/>
    <n v="0.1"/>
    <m/>
    <m/>
    <m/>
    <n v="0"/>
    <n v="0"/>
    <n v="0"/>
    <n v="794.80594999999994"/>
    <m/>
    <m/>
  </r>
  <r>
    <s v="2.4.3.1.3"/>
    <s v="CMS M.60.10.000"/>
    <x v="2"/>
    <n v="18"/>
    <s v="SPOOL"/>
    <n v="10"/>
    <x v="2"/>
    <s v="NÃO"/>
    <s v="NÃO"/>
    <x v="20"/>
    <x v="2"/>
    <s v="DISPOSIÇÃO DE REJEITOS LINHA DO CIRCUITO ARENOSO UNDER DO ESPESSADOR ES-142A-9801 PARA DISTRIBUIDOR DI-145A-9911"/>
    <m/>
    <m/>
    <m/>
    <s v="1450AA-T-70267_FL31"/>
    <n v="1"/>
    <s v="PÇ"/>
    <n v="0.27"/>
    <n v="0.27"/>
    <n v="2238.89"/>
    <n v="604.50030000000004"/>
    <n v="0"/>
    <n v="0.9"/>
    <n v="0.1"/>
    <n v="1"/>
    <n v="1"/>
    <x v="0"/>
    <n v="0.24300000000000002"/>
    <m/>
    <n v="0.24300000000000002"/>
    <n v="2.6999999999999996E-2"/>
    <m/>
    <n v="0.4"/>
    <n v="0.5"/>
    <n v="0.1"/>
    <m/>
    <m/>
    <m/>
    <n v="0"/>
    <n v="0"/>
    <n v="0"/>
    <n v="604.50030000000004"/>
    <m/>
    <m/>
  </r>
  <r>
    <s v="2.4.3.1.3"/>
    <s v="CMS M.60.10.000"/>
    <x v="2"/>
    <n v="19"/>
    <s v="SPOOL"/>
    <n v="10"/>
    <x v="2"/>
    <s v="NÃO"/>
    <s v="NÃO"/>
    <x v="20"/>
    <x v="2"/>
    <s v="DISPOSIÇÃO DE REJEITOS LINHA DO CIRCUITO ARENOSO UNDER DO ESPESSADOR ES-142A-9801 PARA DISTRIBUIDOR DI-145A-9911"/>
    <m/>
    <m/>
    <m/>
    <s v="1450AA-T-70267_FL32"/>
    <n v="1"/>
    <s v="PÇ"/>
    <n v="0.38"/>
    <n v="0.38"/>
    <n v="2238.89"/>
    <n v="850.77819999999997"/>
    <n v="0"/>
    <n v="0.9"/>
    <n v="0.1"/>
    <n v="1"/>
    <n v="1"/>
    <x v="0"/>
    <n v="0.34200000000000003"/>
    <m/>
    <n v="0.34200000000000003"/>
    <n v="3.7999999999999978E-2"/>
    <m/>
    <n v="0.4"/>
    <n v="0.5"/>
    <n v="0.1"/>
    <m/>
    <m/>
    <m/>
    <n v="0"/>
    <n v="0"/>
    <n v="0"/>
    <n v="850.77819999999997"/>
    <m/>
    <m/>
  </r>
  <r>
    <s v="2.4.3.1.3"/>
    <s v="CMS M.60.10.000"/>
    <x v="2"/>
    <n v="20"/>
    <s v="SPOOL"/>
    <n v="10"/>
    <x v="2"/>
    <s v="NÃO"/>
    <s v="NÃO"/>
    <x v="20"/>
    <x v="2"/>
    <s v="DISPOSIÇÃO DE REJEITOS LINHA DO CIRCUITO ARENOSO UNDER DO ESPESSADOR ES-142A-9801 PARA DISTRIBUIDOR DI-145A-9911"/>
    <m/>
    <m/>
    <m/>
    <s v="1450AA-T-70267_FL33"/>
    <n v="2"/>
    <s v="PÇ"/>
    <n v="0.39"/>
    <n v="0.78"/>
    <n v="2238.89"/>
    <n v="1746.3342"/>
    <n v="0"/>
    <n v="0.9"/>
    <n v="0.1"/>
    <n v="1"/>
    <n v="1"/>
    <x v="0"/>
    <n v="0.70200000000000007"/>
    <m/>
    <n v="0.70200000000000007"/>
    <n v="7.7999999999999958E-2"/>
    <m/>
    <n v="0.4"/>
    <n v="0.5"/>
    <n v="0.1"/>
    <m/>
    <m/>
    <m/>
    <n v="0"/>
    <n v="0"/>
    <n v="0"/>
    <n v="1746.3342"/>
    <m/>
    <m/>
  </r>
  <r>
    <s v="2.4.3.1.3"/>
    <s v="CMS M.60.10.000"/>
    <x v="2"/>
    <n v="21"/>
    <s v="SPOOL"/>
    <n v="10"/>
    <x v="2"/>
    <s v="NÃO"/>
    <s v="NÃO"/>
    <x v="20"/>
    <x v="2"/>
    <s v="DISPOSIÇÃO DE REJEITOS LINHA DO CIRCUITO ARENOSO UNDER DO ESPESSADOR ES-142A-9801 PARA DISTRIBUIDOR DI-145A-9911"/>
    <m/>
    <m/>
    <m/>
    <s v="1450AA-T-70267_FL34"/>
    <n v="1"/>
    <s v="PÇ"/>
    <n v="0.44"/>
    <n v="0.44"/>
    <n v="2238.89"/>
    <n v="985.11159999999995"/>
    <n v="0"/>
    <n v="0.9"/>
    <n v="0.1"/>
    <n v="1"/>
    <n v="1"/>
    <x v="0"/>
    <n v="0.39600000000000002"/>
    <m/>
    <n v="0.39600000000000002"/>
    <n v="4.3999999999999984E-2"/>
    <m/>
    <n v="0.4"/>
    <n v="0.5"/>
    <n v="0.1"/>
    <m/>
    <m/>
    <m/>
    <n v="0"/>
    <n v="0"/>
    <n v="0"/>
    <n v="985.11159999999995"/>
    <m/>
    <m/>
  </r>
  <r>
    <s v="2.4.3.1.3"/>
    <s v="CMS M.60.10.000"/>
    <x v="2"/>
    <n v="22"/>
    <s v="SPOOL"/>
    <n v="10"/>
    <x v="2"/>
    <s v="NÃO"/>
    <s v="NÃO"/>
    <x v="20"/>
    <x v="2"/>
    <s v="DISPOSIÇÃO DE REJEITOS LINHA DO CIRCUITO ARENOSO UNDER DO ESPESSADOR ES-142A-9801 PARA DISTRIBUIDOR DI-145A-9911"/>
    <m/>
    <m/>
    <m/>
    <s v="1450AA-T-70267_FL35"/>
    <n v="1"/>
    <s v="PÇ"/>
    <n v="0.49"/>
    <n v="0.49"/>
    <n v="2238.89"/>
    <n v="1097.0561"/>
    <n v="0"/>
    <n v="0.9"/>
    <n v="0.1"/>
    <n v="1"/>
    <n v="1"/>
    <x v="0"/>
    <n v="0.441"/>
    <m/>
    <n v="0.441"/>
    <n v="4.8999999999999988E-2"/>
    <m/>
    <n v="0.4"/>
    <n v="0.5"/>
    <n v="0.1"/>
    <m/>
    <m/>
    <m/>
    <n v="0"/>
    <n v="0"/>
    <n v="0"/>
    <n v="1097.0561"/>
    <m/>
    <m/>
  </r>
  <r>
    <s v="2.4.3.1.3"/>
    <s v="CMS M.60.10.000"/>
    <x v="2"/>
    <n v="23"/>
    <s v="SPOOL"/>
    <n v="10"/>
    <x v="2"/>
    <s v="NÃO"/>
    <s v="NÃO"/>
    <x v="20"/>
    <x v="2"/>
    <s v="DISPOSIÇÃO DE REJEITOS LINHA DO CIRCUITO ARENOSO UNDER DO ESPESSADOR ES-142A-9801 PARA DISTRIBUIDOR DI-145A-9911"/>
    <m/>
    <m/>
    <m/>
    <s v="1450AA-T-70267_FL36"/>
    <n v="1"/>
    <s v="PÇ"/>
    <n v="0.54"/>
    <n v="0.54"/>
    <n v="2238.89"/>
    <n v="1209.0006000000001"/>
    <n v="0"/>
    <n v="0.9"/>
    <n v="0.1"/>
    <n v="1"/>
    <n v="1"/>
    <x v="0"/>
    <n v="0.48600000000000004"/>
    <m/>
    <n v="0.48600000000000004"/>
    <n v="5.3999999999999992E-2"/>
    <m/>
    <n v="0.4"/>
    <n v="0.5"/>
    <n v="0.1"/>
    <m/>
    <m/>
    <m/>
    <n v="0"/>
    <n v="0"/>
    <n v="0"/>
    <n v="1209.0006000000001"/>
    <m/>
    <m/>
  </r>
  <r>
    <s v="2.4.3.1.3"/>
    <s v="CMS M.60.10.000"/>
    <x v="2"/>
    <n v="24"/>
    <s v="SPOOL"/>
    <n v="10"/>
    <x v="2"/>
    <s v="NÃO"/>
    <s v="NÃO"/>
    <x v="20"/>
    <x v="2"/>
    <s v="DISPOSIÇÃO DE REJEITOS LINHA DO CIRCUITO ARENOSO UNDER DO ESPESSADOR ES-142A-9801 PARA DISTRIBUIDOR DI-145A-9911"/>
    <m/>
    <m/>
    <m/>
    <s v="1450AA-T-70267_FL37"/>
    <n v="2"/>
    <s v="PÇ"/>
    <n v="0.56999999999999995"/>
    <n v="1.1399999999999999"/>
    <n v="2238.89"/>
    <n v="2552.3345999999997"/>
    <n v="0"/>
    <n v="0.9"/>
    <n v="0.1"/>
    <n v="1"/>
    <n v="1"/>
    <x v="0"/>
    <n v="1.026"/>
    <m/>
    <n v="1.026"/>
    <n v="0.11399999999999988"/>
    <m/>
    <n v="0.4"/>
    <n v="0.5"/>
    <n v="0.1"/>
    <m/>
    <m/>
    <m/>
    <n v="0"/>
    <n v="0"/>
    <n v="0"/>
    <n v="2552.3345999999997"/>
    <m/>
    <m/>
  </r>
  <r>
    <s v="2.4.3.1.3"/>
    <s v="CMS M.60.10.000"/>
    <x v="2"/>
    <n v="25"/>
    <s v="SPOOL"/>
    <n v="10"/>
    <x v="2"/>
    <s v="NÃO"/>
    <s v="NÃO"/>
    <x v="20"/>
    <x v="2"/>
    <s v="DISPOSIÇÃO DE REJEITOS LINHA DO CIRCUITO ARENOSO UNDER DO ESPESSADOR ES-142A-9801 PARA DISTRIBUIDOR DI-145A-9911"/>
    <m/>
    <m/>
    <m/>
    <s v="1450AA-T-70267_FL38"/>
    <n v="1"/>
    <s v="PÇ"/>
    <n v="0.75"/>
    <n v="0.75"/>
    <n v="2238.89"/>
    <n v="1679.1675"/>
    <n v="0"/>
    <n v="0.9"/>
    <n v="0.1"/>
    <n v="1"/>
    <n v="1"/>
    <x v="0"/>
    <n v="0.67500000000000004"/>
    <m/>
    <n v="0.67500000000000004"/>
    <n v="7.4999999999999956E-2"/>
    <m/>
    <n v="0.4"/>
    <n v="0.5"/>
    <n v="0.1"/>
    <m/>
    <m/>
    <m/>
    <n v="0"/>
    <n v="0"/>
    <n v="0"/>
    <n v="1679.1675"/>
    <m/>
    <m/>
  </r>
  <r>
    <s v="2.4.3.1.3"/>
    <s v="CMS M.60.10.000"/>
    <x v="2"/>
    <n v="26"/>
    <s v="SPOOL"/>
    <n v="10"/>
    <x v="2"/>
    <s v="NÃO"/>
    <s v="NÃO"/>
    <x v="20"/>
    <x v="2"/>
    <s v="DISPOSIÇÃO DE REJEITOS LINHA DO CIRCUITO ARENOSO UNDER DO ESPESSADOR ES-142A-9801 PARA DISTRIBUIDOR DI-145A-9911"/>
    <m/>
    <m/>
    <m/>
    <s v="1450AA-T-70267_FL39"/>
    <n v="2"/>
    <s v="PÇ"/>
    <n v="0.76500000000000001"/>
    <n v="1.53"/>
    <n v="2238.89"/>
    <n v="3425.5016999999998"/>
    <n v="0"/>
    <n v="0.9"/>
    <n v="0.1"/>
    <n v="1"/>
    <n v="1"/>
    <x v="0"/>
    <n v="1.377"/>
    <m/>
    <n v="1.377"/>
    <n v="0.15300000000000002"/>
    <m/>
    <n v="0.4"/>
    <n v="0.5"/>
    <n v="0.1"/>
    <m/>
    <m/>
    <m/>
    <n v="0"/>
    <n v="0"/>
    <n v="0"/>
    <n v="3425.5016999999998"/>
    <m/>
    <m/>
  </r>
  <r>
    <s v="2.4.3.1.3"/>
    <s v="CMS M.60.10.000"/>
    <x v="2"/>
    <n v="27"/>
    <s v="SPOOL"/>
    <n v="10"/>
    <x v="2"/>
    <s v="NÃO"/>
    <s v="NÃO"/>
    <x v="20"/>
    <x v="2"/>
    <s v="DISPOSIÇÃO DE REJEITOS LINHA DO CIRCUITO ARENOSO UNDER DO ESPESSADOR ES-142A-9801 PARA DISTRIBUIDOR DI-145A-9911"/>
    <m/>
    <m/>
    <m/>
    <s v="1450AA-T-70267_FL40"/>
    <n v="1"/>
    <s v="PÇ"/>
    <n v="0.99"/>
    <n v="0.99"/>
    <n v="2238.89"/>
    <n v="2216.5011"/>
    <n v="0"/>
    <n v="0.9"/>
    <n v="0.1"/>
    <n v="1"/>
    <n v="1"/>
    <x v="0"/>
    <n v="0.89100000000000001"/>
    <m/>
    <n v="0.89100000000000001"/>
    <n v="9.8999999999999977E-2"/>
    <m/>
    <n v="0.4"/>
    <n v="0.5"/>
    <n v="0.1"/>
    <m/>
    <m/>
    <m/>
    <n v="0"/>
    <n v="0"/>
    <n v="0"/>
    <n v="2216.5011"/>
    <m/>
    <m/>
  </r>
  <r>
    <s v="2.4.3.1.8"/>
    <s v="CMS M.60.10.000"/>
    <x v="2"/>
    <n v="28"/>
    <s v="SPOOL"/>
    <n v="22"/>
    <x v="2"/>
    <s v="NÃO"/>
    <s v="NÃO"/>
    <x v="20"/>
    <x v="2"/>
    <s v="DISPOSIÇÃO DE REJEITOS LINHA DO CIRCUITO ARENOSO UNDER DO ESPESSADOR ES-142A-9801 PARA DISTRIBUIDOR DI-145A-9911"/>
    <m/>
    <m/>
    <m/>
    <s v="1450AA-T-70267_FL41"/>
    <n v="1"/>
    <s v="PÇ"/>
    <n v="0.71499999999999997"/>
    <n v="0.71499999999999997"/>
    <n v="2788.58"/>
    <n v="1993.8346999999999"/>
    <n v="0"/>
    <n v="0.9"/>
    <n v="0.1"/>
    <n v="1"/>
    <n v="1"/>
    <x v="0"/>
    <n v="0.64349999999999996"/>
    <m/>
    <n v="0.64349999999999996"/>
    <n v="7.1500000000000008E-2"/>
    <m/>
    <n v="0.4"/>
    <n v="0.5"/>
    <n v="0.1"/>
    <m/>
    <m/>
    <m/>
    <n v="0"/>
    <n v="0"/>
    <n v="0"/>
    <n v="1993.8346999999999"/>
    <m/>
    <m/>
  </r>
  <r>
    <s v="2.4.3.1.3"/>
    <s v="CMS M.60.10.000"/>
    <x v="2"/>
    <n v="29"/>
    <s v="CURVA"/>
    <n v="10"/>
    <x v="1"/>
    <s v="NÃO"/>
    <s v="NÃO"/>
    <x v="20"/>
    <x v="2"/>
    <s v="DISPOSIÇÃO DE REJEITOS LINHA DO CIRCUITO ARENOSO UNDER DO ESPESSADOR ES-142A-9801 PARA DISTRIBUIDOR DI-145A-9911"/>
    <m/>
    <m/>
    <m/>
    <s v="1450AA-T-70267_FL42"/>
    <n v="1"/>
    <s v="PÇ"/>
    <n v="0.27400000000000002"/>
    <n v="0.27400000000000002"/>
    <n v="2238.89"/>
    <n v="613.45586000000003"/>
    <n v="0"/>
    <n v="0.9"/>
    <n v="0.1"/>
    <n v="1"/>
    <n v="1"/>
    <x v="0"/>
    <n v="0.24660000000000001"/>
    <m/>
    <n v="0.24660000000000001"/>
    <n v="2.7400000000000008E-2"/>
    <m/>
    <n v="0.4"/>
    <n v="0.5"/>
    <n v="0.1"/>
    <m/>
    <m/>
    <m/>
    <n v="0"/>
    <n v="0"/>
    <n v="0"/>
    <n v="613.45586000000003"/>
    <m/>
    <m/>
  </r>
  <r>
    <s v="2.4.3.1.3"/>
    <s v="CMS M.60.10.000"/>
    <x v="2"/>
    <n v="30"/>
    <s v="CURVA"/>
    <n v="10"/>
    <x v="1"/>
    <s v="NÃO"/>
    <s v="NÃO"/>
    <x v="20"/>
    <x v="2"/>
    <s v="DISPOSIÇÃO DE REJEITOS LINHA DO CIRCUITO ARENOSO UNDER DO ESPESSADOR ES-142A-9801 PARA DISTRIBUIDOR DI-145A-9911"/>
    <m/>
    <m/>
    <m/>
    <s v="1450AA-T-70267_FL43"/>
    <n v="3"/>
    <s v="PÇ"/>
    <n v="0.22700000000000001"/>
    <n v="0.68100000000000005"/>
    <n v="2238.89"/>
    <n v="1524.68409"/>
    <n v="0"/>
    <n v="0.9"/>
    <n v="0.1"/>
    <n v="1"/>
    <n v="1"/>
    <x v="0"/>
    <n v="0.61290000000000011"/>
    <m/>
    <n v="0.61290000000000011"/>
    <n v="6.8099999999999938E-2"/>
    <m/>
    <n v="0.4"/>
    <n v="0.5"/>
    <n v="0.1"/>
    <m/>
    <m/>
    <m/>
    <n v="0"/>
    <n v="0"/>
    <n v="0"/>
    <n v="1524.68409"/>
    <m/>
    <m/>
  </r>
  <r>
    <s v="2.4.3.1.3"/>
    <s v="CMS M.60.10.000"/>
    <x v="2"/>
    <n v="31"/>
    <s v="CURVA"/>
    <n v="10"/>
    <x v="1"/>
    <s v="NÃO"/>
    <s v="NÃO"/>
    <x v="20"/>
    <x v="2"/>
    <s v="DISPOSIÇÃO DE REJEITOS LINHA DO CIRCUITO ARENOSO UNDER DO ESPESSADOR ES-142A-9801 PARA DISTRIBUIDOR DI-145A-9911"/>
    <m/>
    <m/>
    <m/>
    <s v="1450AA-T-70267_FL44"/>
    <n v="1"/>
    <s v="PÇ"/>
    <n v="0.35399999999999998"/>
    <n v="0.35399999999999998"/>
    <n v="2238.89"/>
    <n v="792.56705999999997"/>
    <n v="0"/>
    <n v="0.9"/>
    <n v="0.1"/>
    <n v="1"/>
    <n v="1"/>
    <x v="0"/>
    <n v="0.31859999999999999"/>
    <m/>
    <n v="0.31859999999999999"/>
    <n v="3.5399999999999987E-2"/>
    <m/>
    <n v="0.4"/>
    <n v="0.5"/>
    <n v="0.1"/>
    <m/>
    <m/>
    <m/>
    <n v="0"/>
    <n v="0"/>
    <n v="0"/>
    <n v="792.56705999999997"/>
    <m/>
    <m/>
  </r>
  <r>
    <s v="2.4.3.1.3"/>
    <s v="CMS M.60.10.000"/>
    <x v="2"/>
    <n v="32"/>
    <s v="CURVA"/>
    <n v="10"/>
    <x v="1"/>
    <s v="NÃO"/>
    <s v="NÃO"/>
    <x v="20"/>
    <x v="2"/>
    <s v="DISPOSIÇÃO DE REJEITOS LINHA DO CIRCUITO ARENOSO UNDER DO ESPESSADOR ES-142A-9801 PARA DISTRIBUIDOR DI-145A-9911"/>
    <m/>
    <m/>
    <m/>
    <s v="1450AA-T-70267_FL45"/>
    <n v="2"/>
    <s v="PÇ"/>
    <n v="0.44"/>
    <n v="0.88"/>
    <n v="2238.89"/>
    <n v="1970.2231999999999"/>
    <n v="0"/>
    <n v="0.9"/>
    <n v="0.1"/>
    <n v="1"/>
    <n v="1"/>
    <x v="0"/>
    <n v="0.79200000000000004"/>
    <m/>
    <n v="0.79200000000000004"/>
    <n v="8.7999999999999967E-2"/>
    <m/>
    <n v="0.4"/>
    <n v="0.5"/>
    <n v="0.1"/>
    <m/>
    <m/>
    <m/>
    <n v="0"/>
    <n v="0"/>
    <n v="0"/>
    <n v="1970.2231999999999"/>
    <m/>
    <m/>
  </r>
  <r>
    <s v="2.4.3.1.3"/>
    <s v="CMS M.60.10.000"/>
    <x v="2"/>
    <n v="33"/>
    <s v="CURVA"/>
    <n v="10"/>
    <x v="1"/>
    <s v="NÃO"/>
    <s v="NÃO"/>
    <x v="20"/>
    <x v="2"/>
    <s v="DISPOSIÇÃO DE REJEITOS LINHA DO CIRCUITO ARENOSO UNDER DO ESPESSADOR ES-142A-9801 PARA DISTRIBUIDOR DI-145A-9911"/>
    <m/>
    <m/>
    <m/>
    <s v="1450AA-T-70267_FL46"/>
    <n v="4"/>
    <s v="PÇ"/>
    <n v="0.54100000000000004"/>
    <n v="2.1640000000000001"/>
    <n v="2238.89"/>
    <n v="4844.9579599999997"/>
    <n v="0"/>
    <n v="0.9"/>
    <n v="0.1"/>
    <n v="1"/>
    <n v="1"/>
    <x v="0"/>
    <n v="1.9476000000000002"/>
    <m/>
    <n v="1.9476000000000002"/>
    <n v="0.21639999999999993"/>
    <m/>
    <n v="0.4"/>
    <n v="0.5"/>
    <n v="0.1"/>
    <m/>
    <m/>
    <m/>
    <n v="0"/>
    <n v="0"/>
    <n v="0"/>
    <n v="4844.9579599999997"/>
    <m/>
    <m/>
  </r>
  <r>
    <s v="2.4.3.1.3"/>
    <s v="CMS M.60.10.000"/>
    <x v="2"/>
    <n v="34"/>
    <s v="CURVA"/>
    <n v="10"/>
    <x v="1"/>
    <s v="NÃO"/>
    <s v="NÃO"/>
    <x v="20"/>
    <x v="2"/>
    <s v="DISPOSIÇÃO DE REJEITOS LINHA DO CIRCUITO ARENOSO UNDER DO ESPESSADOR ES-142A-9801 PARA DISTRIBUIDOR DI-145A-9911"/>
    <m/>
    <m/>
    <m/>
    <s v="1450AA-T-70267_FL47"/>
    <n v="1"/>
    <s v="PÇ"/>
    <n v="0.59099999999999997"/>
    <n v="0.59099999999999997"/>
    <n v="2238.89"/>
    <n v="1323.1839899999998"/>
    <n v="0"/>
    <n v="0.9"/>
    <n v="0.1"/>
    <n v="1"/>
    <n v="1"/>
    <x v="0"/>
    <n v="0.53190000000000004"/>
    <m/>
    <n v="0.53190000000000004"/>
    <n v="5.909999999999993E-2"/>
    <m/>
    <n v="0.4"/>
    <n v="0.5"/>
    <n v="0.1"/>
    <m/>
    <m/>
    <m/>
    <n v="0"/>
    <n v="0"/>
    <n v="0"/>
    <n v="1323.1839899999998"/>
    <m/>
    <m/>
  </r>
  <r>
    <s v="2.4.3.1.3"/>
    <s v="CMS M.60.10.000"/>
    <x v="2"/>
    <n v="35"/>
    <s v="CURVA"/>
    <n v="10"/>
    <x v="1"/>
    <s v="NÃO"/>
    <s v="NÃO"/>
    <x v="20"/>
    <x v="2"/>
    <s v="DISPOSIÇÃO DE REJEITOS LINHA DO CIRCUITO ARENOSO UNDER DO ESPESSADOR ES-142A-9801 PARA DISTRIBUIDOR DI-145A-9911"/>
    <m/>
    <m/>
    <m/>
    <s v="1450AA-T-70267_FL48"/>
    <n v="2"/>
    <s v="PÇ"/>
    <n v="0.61199999999999999"/>
    <n v="1.224"/>
    <n v="2238.89"/>
    <n v="2740.4013599999998"/>
    <n v="0"/>
    <n v="0.9"/>
    <n v="0.1"/>
    <n v="1"/>
    <n v="1"/>
    <x v="0"/>
    <n v="1.1015999999999999"/>
    <m/>
    <n v="1.1015999999999999"/>
    <n v="0.12240000000000006"/>
    <m/>
    <n v="0.4"/>
    <n v="0.5"/>
    <n v="0.1"/>
    <m/>
    <m/>
    <m/>
    <n v="0"/>
    <n v="0"/>
    <n v="0"/>
    <n v="2740.4013599999998"/>
    <m/>
    <m/>
  </r>
  <r>
    <s v="2.4.3.1.3"/>
    <s v="CMS M.60.10.000"/>
    <x v="2"/>
    <n v="36"/>
    <s v="CURVA"/>
    <n v="10"/>
    <x v="1"/>
    <s v="NÃO"/>
    <s v="NÃO"/>
    <x v="20"/>
    <x v="2"/>
    <s v="DISPOSIÇÃO DE REJEITOS LINHA DO CIRCUITO ARENOSO UNDER DO ESPESSADOR ES-142A-9801 PARA DISTRIBUIDOR DI-145A-9911"/>
    <m/>
    <m/>
    <m/>
    <s v="1450AA-T-70267_FL49"/>
    <n v="2"/>
    <s v="PÇ"/>
    <n v="0.65100000000000002"/>
    <n v="1.302"/>
    <n v="2238.89"/>
    <n v="2915.03478"/>
    <n v="0"/>
    <n v="0.9"/>
    <n v="0.1"/>
    <n v="1"/>
    <n v="1"/>
    <x v="0"/>
    <n v="1.1718000000000002"/>
    <m/>
    <n v="1.1718000000000002"/>
    <n v="0.13019999999999987"/>
    <m/>
    <n v="0.4"/>
    <n v="0.5"/>
    <n v="0.1"/>
    <m/>
    <m/>
    <m/>
    <n v="0"/>
    <n v="0"/>
    <n v="0"/>
    <n v="2915.03478"/>
    <m/>
    <m/>
  </r>
  <r>
    <s v="2.4.3.1.3"/>
    <s v="CMS M.60.10.000"/>
    <x v="2"/>
    <n v="37"/>
    <s v="CURVA"/>
    <n v="10"/>
    <x v="1"/>
    <s v="NÃO"/>
    <s v="NÃO"/>
    <x v="20"/>
    <x v="2"/>
    <s v="DISPOSIÇÃO DE REJEITOS LINHA DO CIRCUITO ARENOSO UNDER DO ESPESSADOR ES-142A-9801 PARA DISTRIBUIDOR DI-145A-9911"/>
    <m/>
    <m/>
    <m/>
    <s v="1450AA-T-70267_FL50"/>
    <n v="1"/>
    <s v="PÇ"/>
    <n v="0.68300000000000005"/>
    <n v="0.68300000000000005"/>
    <n v="2238.89"/>
    <n v="1529.1618700000001"/>
    <n v="0"/>
    <n v="0.9"/>
    <n v="0.1"/>
    <n v="1"/>
    <n v="1"/>
    <x v="0"/>
    <n v="0.61470000000000002"/>
    <m/>
    <n v="0.61470000000000002"/>
    <n v="6.8300000000000027E-2"/>
    <m/>
    <n v="0.4"/>
    <n v="0.5"/>
    <n v="0.1"/>
    <m/>
    <m/>
    <m/>
    <n v="0"/>
    <n v="0"/>
    <n v="0"/>
    <n v="1529.1618700000001"/>
    <m/>
    <m/>
  </r>
  <r>
    <s v="2.4.3.1.3"/>
    <s v="CMS M.60.10.000"/>
    <x v="2"/>
    <n v="38"/>
    <s v="CURVA"/>
    <n v="10"/>
    <x v="1"/>
    <s v="NÃO"/>
    <s v="NÃO"/>
    <x v="20"/>
    <x v="2"/>
    <s v="DISPOSIÇÃO DE REJEITOS LINHA DO CIRCUITO ARENOSO UNDER DO ESPESSADOR ES-142A-9801 PARA DISTRIBUIDOR DI-145A-9911"/>
    <m/>
    <m/>
    <m/>
    <s v="1450AA-T-70267_FL51"/>
    <n v="1"/>
    <s v="PÇ"/>
    <n v="0.79900000000000004"/>
    <n v="0.79900000000000004"/>
    <n v="2238.89"/>
    <n v="1788.87311"/>
    <n v="0"/>
    <n v="0.9"/>
    <n v="0.1"/>
    <n v="1"/>
    <n v="1"/>
    <x v="0"/>
    <n v="0.71910000000000007"/>
    <m/>
    <n v="0.71910000000000007"/>
    <n v="7.9899999999999971E-2"/>
    <m/>
    <n v="0.4"/>
    <n v="0.5"/>
    <n v="0.1"/>
    <m/>
    <m/>
    <m/>
    <n v="0"/>
    <n v="0"/>
    <n v="0"/>
    <n v="1788.87311"/>
    <m/>
    <m/>
  </r>
  <r>
    <s v="2.4.3.1.3"/>
    <s v="CMS M.60.10.000"/>
    <x v="2"/>
    <n v="39"/>
    <s v="CURVA"/>
    <n v="10"/>
    <x v="1"/>
    <s v="NÃO"/>
    <s v="NÃO"/>
    <x v="20"/>
    <x v="2"/>
    <s v="DISPOSIÇÃO DE REJEITOS LINHA DO CIRCUITO ARENOSO UNDER DO ESPESSADOR ES-142A-9801 PARA DISTRIBUIDOR DI-145A-9911"/>
    <m/>
    <m/>
    <m/>
    <s v="1450AA-T-70267_FL52"/>
    <n v="1"/>
    <s v="PÇ"/>
    <n v="0.90300000000000002"/>
    <n v="0.90300000000000002"/>
    <n v="2238.89"/>
    <n v="2021.71767"/>
    <n v="0"/>
    <n v="0.9"/>
    <n v="0.1"/>
    <n v="1"/>
    <n v="1"/>
    <x v="0"/>
    <n v="0.81270000000000009"/>
    <m/>
    <n v="0.81270000000000009"/>
    <n v="9.0299999999999936E-2"/>
    <m/>
    <n v="0.4"/>
    <n v="0.5"/>
    <n v="0.1"/>
    <m/>
    <m/>
    <m/>
    <n v="0"/>
    <n v="0"/>
    <n v="0"/>
    <n v="2021.71767"/>
    <m/>
    <m/>
  </r>
  <r>
    <s v="2.4.3.1.3"/>
    <s v="CMS M.60.10.000"/>
    <x v="2"/>
    <n v="40"/>
    <s v="CURVA"/>
    <n v="10"/>
    <x v="1"/>
    <s v="NÃO"/>
    <s v="NÃO"/>
    <x v="20"/>
    <x v="2"/>
    <s v="DISPOSIÇÃO DE REJEITOS LINHA DO CIRCUITO ARENOSO UNDER DO ESPESSADOR ES-142A-9801 PARA DISTRIBUIDOR DI-145A-9911"/>
    <m/>
    <m/>
    <m/>
    <s v="1450AA-T-70267_FL53"/>
    <n v="1"/>
    <s v="PÇ"/>
    <n v="1.3759999999999999"/>
    <n v="1.3759999999999999"/>
    <n v="2238.89"/>
    <n v="3080.7126399999997"/>
    <n v="0"/>
    <n v="0.9"/>
    <n v="0.1"/>
    <n v="1"/>
    <n v="1"/>
    <x v="0"/>
    <n v="1.2383999999999999"/>
    <m/>
    <n v="1.2383999999999999"/>
    <n v="0.13759999999999994"/>
    <m/>
    <n v="0.4"/>
    <n v="0.5"/>
    <n v="0.1"/>
    <m/>
    <m/>
    <m/>
    <n v="0"/>
    <n v="0"/>
    <n v="0"/>
    <n v="3080.7126399999997"/>
    <m/>
    <m/>
  </r>
  <r>
    <s v="2.4.3.1.3"/>
    <s v="CMS M.60.10.000"/>
    <x v="2"/>
    <n v="41"/>
    <s v="DERIVAÇÃO "/>
    <n v="10"/>
    <x v="1"/>
    <s v="NÃO"/>
    <s v="NÃO"/>
    <x v="20"/>
    <x v="2"/>
    <s v="DISPOSIÇÃO DE REJEITOS LINHA DO CIRCUITO ARENOSO UNDER DO ESPESSADOR ES-142A-9801 PARA DISTRIBUIDOR DI-145A-9911"/>
    <m/>
    <m/>
    <m/>
    <s v="1450AA-T-70267_FL54"/>
    <n v="1"/>
    <s v="PÇ"/>
    <n v="2.0499999999999998"/>
    <n v="2.0499999999999998"/>
    <n v="2238.89"/>
    <n v="4589.7244999999994"/>
    <n v="0"/>
    <n v="0.9"/>
    <n v="0.1"/>
    <n v="1"/>
    <n v="1"/>
    <x v="0"/>
    <n v="1.845"/>
    <m/>
    <n v="1.845"/>
    <n v="0.20499999999999985"/>
    <m/>
    <n v="0.4"/>
    <n v="0.5"/>
    <n v="0.1"/>
    <m/>
    <m/>
    <m/>
    <n v="0"/>
    <n v="0"/>
    <n v="0"/>
    <n v="4589.7244999999994"/>
    <m/>
    <m/>
  </r>
  <r>
    <s v="2.4.3.1.3"/>
    <s v="CMS M.60.10.000"/>
    <x v="2"/>
    <n v="42"/>
    <s v="SPOOL"/>
    <n v="10"/>
    <x v="1"/>
    <s v="NÃO"/>
    <s v="NÃO"/>
    <x v="20"/>
    <x v="2"/>
    <s v="DISPOSIÇÃO DE REJEITOS LINHA DO CIRCUITO ARENOSO UNDER DO ESPESSADOR ES-142A-9801 PARA DISTRIBUIDOR DI-145A-9911"/>
    <m/>
    <m/>
    <m/>
    <s v="1450AA-T-70267_FL55"/>
    <n v="1"/>
    <s v="PÇ"/>
    <n v="1.39"/>
    <n v="1.39"/>
    <n v="2238.89"/>
    <n v="3112.0570999999995"/>
    <n v="0"/>
    <n v="0.9"/>
    <n v="0.1"/>
    <n v="1"/>
    <n v="1"/>
    <x v="0"/>
    <n v="1.2509999999999999"/>
    <m/>
    <n v="1.2509999999999999"/>
    <n v="0.13900000000000001"/>
    <m/>
    <n v="0.4"/>
    <n v="0.5"/>
    <n v="0.1"/>
    <m/>
    <m/>
    <m/>
    <n v="0"/>
    <n v="0"/>
    <n v="0"/>
    <n v="3112.0570999999995"/>
    <m/>
    <m/>
  </r>
  <r>
    <s v="2.4.3.1.3"/>
    <s v="CMS M.60.10.000"/>
    <x v="2"/>
    <n v="43"/>
    <s v="REDUÇÃO"/>
    <s v="12 X 10"/>
    <x v="1"/>
    <s v="NÃO"/>
    <s v="NÃO"/>
    <x v="20"/>
    <x v="2"/>
    <s v="DISPOSIÇÃO DE REJEITOS LINHA DO CIRCUITO ARENOSO UNDER DO ESPESSADOR ES-142A-9801 PARA DISTRIBUIDOR DI-145A-9911"/>
    <m/>
    <m/>
    <m/>
    <s v="1450AA-T-70267_FL56"/>
    <n v="1"/>
    <s v="PÇ"/>
    <n v="0.45300000000000001"/>
    <n v="0.45300000000000001"/>
    <n v="2238.89"/>
    <n v="1014.21717"/>
    <n v="0"/>
    <n v="0.9"/>
    <n v="0.1"/>
    <n v="1"/>
    <n v="1"/>
    <x v="0"/>
    <n v="0.40770000000000001"/>
    <m/>
    <n v="0.40770000000000001"/>
    <n v="4.5300000000000007E-2"/>
    <m/>
    <n v="0.4"/>
    <n v="0.5"/>
    <n v="0.1"/>
    <m/>
    <m/>
    <m/>
    <n v="0"/>
    <n v="0"/>
    <n v="0"/>
    <n v="1014.21717"/>
    <m/>
    <m/>
  </r>
  <r>
    <s v="2.4.3.1.1"/>
    <s v="CMS M.60.10.000"/>
    <x v="2"/>
    <n v="1"/>
    <s v="CURVA"/>
    <n v="6"/>
    <x v="1"/>
    <s v="NÃO"/>
    <s v="NÃO"/>
    <x v="21"/>
    <x v="3"/>
    <s v="DISPOSIÇÃO DE REJEITOS LINHA DO CIRCUITO ULTRAFINO DISTRIBUIDOR DI-145A-9904 PARA A PENEIRA PN-145A-9721"/>
    <m/>
    <m/>
    <m/>
    <s v="1450AA-T-70270_FL13"/>
    <n v="2"/>
    <s v="PÇ"/>
    <n v="0.46500000000000002"/>
    <n v="0.93"/>
    <n v="1169.77"/>
    <n v="1087.8860999999999"/>
    <n v="0"/>
    <n v="0.9"/>
    <n v="0.1"/>
    <n v="1"/>
    <n v="1"/>
    <x v="0"/>
    <n v="0.83700000000000008"/>
    <m/>
    <n v="0.83700000000000008"/>
    <n v="9.2999999999999972E-2"/>
    <m/>
    <n v="0.4"/>
    <n v="0.5"/>
    <n v="0.1"/>
    <m/>
    <m/>
    <m/>
    <n v="0"/>
    <n v="0"/>
    <n v="0"/>
    <n v="1087.8860999999999"/>
    <m/>
    <m/>
  </r>
  <r>
    <s v="2.4.3.1.1"/>
    <s v="CMS M.60.10.000"/>
    <x v="2"/>
    <n v="2"/>
    <s v="SPOOL"/>
    <n v="6"/>
    <x v="1"/>
    <s v="NÃO"/>
    <s v="NÃO"/>
    <x v="21"/>
    <x v="3"/>
    <s v="DISPOSIÇÃO DE REJEITOS LINHA DO CIRCUITO ULTRAFINO DISTRIBUIDOR DI-145A-9904 PARA A PENEIRA PN-145A-9721"/>
    <m/>
    <m/>
    <m/>
    <s v="1450AA-T-70270_FL15"/>
    <n v="1"/>
    <s v="PÇ"/>
    <n v="0.29599999999999999"/>
    <n v="0.29599999999999999"/>
    <n v="1169.77"/>
    <n v="346.25191999999998"/>
    <n v="0"/>
    <n v="0.9"/>
    <n v="0.1"/>
    <n v="1"/>
    <n v="1"/>
    <x v="0"/>
    <n v="0.26639999999999997"/>
    <m/>
    <n v="0.26639999999999997"/>
    <n v="2.9600000000000015E-2"/>
    <m/>
    <n v="0.4"/>
    <n v="0.5"/>
    <n v="0.1"/>
    <m/>
    <m/>
    <m/>
    <n v="0"/>
    <n v="0"/>
    <n v="0"/>
    <n v="346.25191999999998"/>
    <m/>
    <m/>
  </r>
  <r>
    <s v="2.4.3.1.1"/>
    <s v="CMS M.60.10.000"/>
    <x v="2"/>
    <n v="3"/>
    <s v="CURVA"/>
    <n v="6"/>
    <x v="1"/>
    <s v="NÃO"/>
    <s v="NÃO"/>
    <x v="21"/>
    <x v="3"/>
    <s v="DISPOSIÇÃO DE REJEITOS LINHA DO CIRCUITO ULTRAFINO DISTRIBUIDOR DI-145A-9904 PARA A PENEIRA PN-145A-9721"/>
    <m/>
    <m/>
    <m/>
    <s v="1450AA-T-70270_FL14"/>
    <n v="1"/>
    <s v="PÇ"/>
    <n v="0.48"/>
    <n v="0.48"/>
    <n v="1169.77"/>
    <n v="561.4896"/>
    <n v="0"/>
    <n v="0.9"/>
    <n v="0.1"/>
    <n v="1"/>
    <n v="1"/>
    <x v="0"/>
    <n v="0.432"/>
    <m/>
    <n v="0.432"/>
    <n v="4.7999999999999987E-2"/>
    <m/>
    <n v="0.4"/>
    <n v="0.5"/>
    <n v="0.1"/>
    <m/>
    <m/>
    <m/>
    <n v="0"/>
    <n v="0"/>
    <n v="0"/>
    <n v="561.4896"/>
    <m/>
    <m/>
  </r>
  <r>
    <s v="2.4.3.1.1"/>
    <s v="CMS M.60.10.000"/>
    <x v="2"/>
    <n v="4"/>
    <s v="SPOOL"/>
    <n v="6"/>
    <x v="2"/>
    <s v="NÃO"/>
    <s v="NÃO"/>
    <x v="21"/>
    <x v="3"/>
    <s v="DISPOSIÇÃO DE REJEITOS LINHA DO CIRCUITO ULTRAFINO DISTRIBUIDOR DI-145A-9904 PARA A PENEIRA PN-145A-9721"/>
    <m/>
    <m/>
    <m/>
    <s v="1450AA-T-70270_FL19"/>
    <n v="1"/>
    <s v="PÇ"/>
    <n v="0.35"/>
    <n v="0.35"/>
    <n v="1169.77"/>
    <n v="409.41949999999997"/>
    <n v="0"/>
    <n v="0.9"/>
    <n v="0.1"/>
    <n v="1"/>
    <n v="1"/>
    <x v="0"/>
    <n v="0.315"/>
    <m/>
    <n v="0.315"/>
    <n v="3.4999999999999976E-2"/>
    <m/>
    <n v="0.4"/>
    <n v="0.5"/>
    <n v="0.1"/>
    <m/>
    <m/>
    <m/>
    <n v="0"/>
    <n v="0"/>
    <n v="0"/>
    <n v="409.41949999999997"/>
    <m/>
    <m/>
  </r>
  <r>
    <s v="2.4.3.1.1"/>
    <s v="CMS M.60.10.000"/>
    <x v="2"/>
    <n v="5"/>
    <s v="CURVA"/>
    <n v="6"/>
    <x v="1"/>
    <s v="NÃO"/>
    <s v="NÃO"/>
    <x v="21"/>
    <x v="3"/>
    <s v="DISPOSIÇÃO DE REJEITOS LINHA DO CIRCUITO ULTRAFINO DISTRIBUIDOR DI-145A-9904 PARA A PENEIRA PN-145A-9721"/>
    <m/>
    <m/>
    <m/>
    <s v="1450AA-T-70270_FL11"/>
    <n v="1"/>
    <s v="PÇ"/>
    <n v="0.28999999999999998"/>
    <n v="0.28999999999999998"/>
    <n v="1169.77"/>
    <n v="339.23329999999999"/>
    <n v="0"/>
    <n v="0.9"/>
    <n v="0.1"/>
    <n v="1"/>
    <n v="1"/>
    <x v="0"/>
    <n v="0.26100000000000001"/>
    <m/>
    <n v="0.26100000000000001"/>
    <n v="2.899999999999997E-2"/>
    <m/>
    <n v="0.4"/>
    <n v="0.5"/>
    <n v="0.1"/>
    <m/>
    <m/>
    <m/>
    <n v="0"/>
    <n v="0"/>
    <n v="0"/>
    <n v="339.23329999999999"/>
    <m/>
    <m/>
  </r>
  <r>
    <s v="2.4.3.1.1"/>
    <s v="CMS M.60.10.000"/>
    <x v="2"/>
    <n v="6"/>
    <s v="SPOOL"/>
    <n v="6"/>
    <x v="1"/>
    <s v="NÃO"/>
    <s v="NÃO"/>
    <x v="21"/>
    <x v="3"/>
    <s v="DISPOSIÇÃO DE REJEITOS LINHA DO CIRCUITO ULTRAFINO DISTRIBUIDOR DI-145A-9904 PARA A PENEIRA PN-145A-9721"/>
    <m/>
    <m/>
    <m/>
    <s v="1450AA-T-70270_FL16"/>
    <n v="1"/>
    <s v="PÇ"/>
    <n v="0.63100000000000001"/>
    <n v="0.63100000000000001"/>
    <n v="1169.77"/>
    <n v="738.12486999999999"/>
    <n v="0"/>
    <n v="0.9"/>
    <n v="0.1"/>
    <n v="1"/>
    <n v="1"/>
    <x v="0"/>
    <n v="0.56790000000000007"/>
    <m/>
    <n v="0.56790000000000007"/>
    <n v="6.3099999999999934E-2"/>
    <m/>
    <n v="0.4"/>
    <n v="0.5"/>
    <n v="0.1"/>
    <m/>
    <m/>
    <m/>
    <n v="0"/>
    <n v="0"/>
    <n v="0"/>
    <n v="738.12486999999999"/>
    <m/>
    <m/>
  </r>
  <r>
    <s v="2.4.3.1.1"/>
    <s v="CMS M.60.10.000"/>
    <x v="2"/>
    <n v="7"/>
    <s v="CURVA"/>
    <n v="6"/>
    <x v="1"/>
    <s v="NÃO"/>
    <s v="NÃO"/>
    <x v="21"/>
    <x v="3"/>
    <s v="DISPOSIÇÃO DE REJEITOS LINHA DO CIRCUITO ULTRAFINO DISTRIBUIDOR DI-145A-9904 PARA A PENEIRA PN-145A-9721"/>
    <m/>
    <m/>
    <m/>
    <s v="1450AA-T-70270_FL12"/>
    <n v="1"/>
    <s v="PÇ"/>
    <n v="0.315"/>
    <n v="0.315"/>
    <n v="1169.77"/>
    <n v="368.47755000000001"/>
    <n v="0"/>
    <n v="0.9"/>
    <n v="0.1"/>
    <n v="1"/>
    <n v="1"/>
    <x v="0"/>
    <n v="0.28350000000000003"/>
    <m/>
    <n v="0.28350000000000003"/>
    <n v="3.1499999999999972E-2"/>
    <m/>
    <n v="0.4"/>
    <n v="0.5"/>
    <n v="0.1"/>
    <m/>
    <m/>
    <m/>
    <n v="0"/>
    <n v="0"/>
    <n v="0"/>
    <n v="368.47755000000001"/>
    <m/>
    <m/>
  </r>
  <r>
    <s v="2.4.3.1.1"/>
    <s v="CMS M.60.10.000"/>
    <x v="2"/>
    <n v="8"/>
    <s v="SPOOL"/>
    <n v="6"/>
    <x v="1"/>
    <s v="NÃO"/>
    <s v="NÃO"/>
    <x v="21"/>
    <x v="3"/>
    <s v="DISPOSIÇÃO DE REJEITOS LINHA DO CIRCUITO ULTRAFINO DISTRIBUIDOR DI-145A-9904 PARA A PENEIRA PN-145A-9721"/>
    <m/>
    <m/>
    <m/>
    <s v="1450AA-T-70270_FL17"/>
    <n v="1"/>
    <s v="PÇ"/>
    <n v="1.5"/>
    <n v="1.5"/>
    <n v="1169.77"/>
    <n v="1754.655"/>
    <n v="0"/>
    <n v="0.9"/>
    <n v="0.1"/>
    <n v="1"/>
    <n v="1"/>
    <x v="0"/>
    <n v="1.35"/>
    <m/>
    <n v="1.35"/>
    <n v="0.14999999999999991"/>
    <m/>
    <n v="0.4"/>
    <n v="0.5"/>
    <n v="0.1"/>
    <m/>
    <m/>
    <m/>
    <n v="0"/>
    <n v="0"/>
    <n v="0"/>
    <n v="1754.655"/>
    <m/>
    <m/>
  </r>
  <r>
    <s v="2.4.3.1.1"/>
    <s v="CMS M.60.10.000"/>
    <x v="2"/>
    <n v="9"/>
    <s v="SPOOL"/>
    <n v="6"/>
    <x v="1"/>
    <s v="NÃO"/>
    <s v="NÃO"/>
    <x v="21"/>
    <x v="3"/>
    <s v="DISPOSIÇÃO DE REJEITOS LINHA DO CIRCUITO ULTRAFINO DISTRIBUIDOR DI-145A-9904 PARA A PENEIRA PN-145A-9721"/>
    <m/>
    <m/>
    <m/>
    <s v="1450AA-T-70270_FL18"/>
    <n v="1"/>
    <s v="PÇ"/>
    <n v="3"/>
    <n v="3"/>
    <n v="1169.77"/>
    <n v="3509.31"/>
    <n v="0"/>
    <n v="0.9"/>
    <n v="0.1"/>
    <n v="1"/>
    <n v="1"/>
    <x v="0"/>
    <n v="2.7"/>
    <m/>
    <n v="2.7"/>
    <n v="0.29999999999999982"/>
    <m/>
    <n v="0.4"/>
    <n v="0.5"/>
    <n v="0.1"/>
    <m/>
    <m/>
    <m/>
    <n v="0"/>
    <n v="0"/>
    <n v="0"/>
    <n v="3509.31"/>
    <m/>
    <m/>
  </r>
  <r>
    <s v="2.4.3.1.1"/>
    <s v="CMS M.60.10.000"/>
    <x v="2"/>
    <n v="10"/>
    <s v="SPOOL"/>
    <n v="6"/>
    <x v="2"/>
    <s v="NÃO"/>
    <s v="NÃO"/>
    <x v="21"/>
    <x v="3"/>
    <s v="DISPOSIÇÃO DE REJEITOS LINHA DO CIRCUITO ULTRAFINO DISTRIBUIDOR DI-145A-9904 PARA A PENEIRA PN-145A-9721"/>
    <m/>
    <m/>
    <m/>
    <s v="1450AA-T-70270_FL20"/>
    <n v="2"/>
    <s v="PÇ"/>
    <n v="0.45"/>
    <n v="0.9"/>
    <n v="1169.77"/>
    <n v="1052.7930000000001"/>
    <n v="0"/>
    <n v="0.9"/>
    <n v="0.1"/>
    <n v="1"/>
    <n v="1"/>
    <x v="0"/>
    <n v="0.81"/>
    <m/>
    <n v="0.81"/>
    <n v="8.9999999999999969E-2"/>
    <m/>
    <n v="0.4"/>
    <n v="0.5"/>
    <n v="0.1"/>
    <m/>
    <m/>
    <m/>
    <n v="0"/>
    <n v="0"/>
    <n v="0"/>
    <n v="1052.7930000000001"/>
    <m/>
    <m/>
  </r>
  <r>
    <n v="0"/>
    <s v="CMS M.60.10.000"/>
    <x v="2"/>
    <n v="11"/>
    <s v="SPOOL"/>
    <s v="6 X 4"/>
    <x v="1"/>
    <s v="NÃO"/>
    <s v="NÃO"/>
    <x v="21"/>
    <x v="3"/>
    <s v="DISPOSIÇÃO DE REJEITOS LINHA DO CIRCUITO ULTRAFINO DISTRIBUIDOR DI-145A-9904 PARA A PENEIRA PN-145A-9721"/>
    <m/>
    <m/>
    <m/>
    <s v="1450AA-T-70270_FL09"/>
    <n v="1"/>
    <s v="PÇ"/>
    <n v="2.1349999999999998"/>
    <n v="2.1349999999999998"/>
    <n v="0"/>
    <n v="0"/>
    <n v="0"/>
    <n v="0.9"/>
    <n v="0.1"/>
    <n v="1"/>
    <n v="1"/>
    <x v="0"/>
    <n v="1.9214999999999998"/>
    <m/>
    <n v="1.9214999999999998"/>
    <n v="0.21350000000000002"/>
    <m/>
    <n v="0.4"/>
    <n v="0.5"/>
    <n v="0.1"/>
    <m/>
    <m/>
    <m/>
    <n v="0"/>
    <n v="0"/>
    <n v="0"/>
    <n v="0"/>
    <m/>
    <m/>
  </r>
  <r>
    <n v="0"/>
    <s v="CMS M.60.10.000"/>
    <x v="2"/>
    <n v="12"/>
    <s v="FLANGE"/>
    <n v="4"/>
    <x v="1"/>
    <s v="NÃO"/>
    <s v="NÃO"/>
    <x v="21"/>
    <x v="3"/>
    <s v="DISPOSIÇÃO DE REJEITOS LINHA DO CIRCUITO ULTRAFINO DISTRIBUIDOR DI-145A-9904 PARA A PENEIRA PN-145A-9721"/>
    <m/>
    <m/>
    <m/>
    <s v="1450AA-T-70270_FL03"/>
    <n v="2"/>
    <s v="PÇ"/>
    <n v="0"/>
    <n v="0"/>
    <n v="0"/>
    <n v="0"/>
    <n v="0"/>
    <n v="0.9"/>
    <n v="0.1"/>
    <n v="1"/>
    <n v="1"/>
    <x v="0"/>
    <n v="0"/>
    <m/>
    <n v="0"/>
    <n v="0"/>
    <m/>
    <n v="0.4"/>
    <n v="0.5"/>
    <n v="0.1"/>
    <m/>
    <m/>
    <m/>
    <n v="0"/>
    <n v="0"/>
    <n v="0"/>
    <n v="0"/>
    <m/>
    <m/>
  </r>
  <r>
    <s v="2.4.3.1.1"/>
    <s v="CMS M.60.10.000"/>
    <x v="2"/>
    <n v="1"/>
    <s v="SPOOL"/>
    <n v="6"/>
    <x v="1"/>
    <s v="NÃO"/>
    <s v="NÃO"/>
    <x v="22"/>
    <x v="3"/>
    <s v="DISPOSIÇÃO DE REJEITOS LINHA DO CIRCUITO ULTRAFINO DISTRIBUIDOR DI-145A-9904 PARA A PENEIRA PN-145A-9722"/>
    <m/>
    <m/>
    <m/>
    <s v="1450AA-T-70272_FL12"/>
    <n v="1"/>
    <s v="PÇ"/>
    <n v="0.2"/>
    <n v="0.2"/>
    <n v="1169.77"/>
    <n v="233.95400000000001"/>
    <n v="0"/>
    <n v="0.9"/>
    <n v="0.1"/>
    <n v="1"/>
    <n v="1"/>
    <x v="0"/>
    <n v="0.18000000000000002"/>
    <m/>
    <n v="0.18000000000000002"/>
    <n v="1.999999999999999E-2"/>
    <m/>
    <n v="0.4"/>
    <n v="0.5"/>
    <n v="0.1"/>
    <m/>
    <m/>
    <m/>
    <n v="0"/>
    <n v="0"/>
    <n v="0"/>
    <n v="233.95400000000001"/>
    <m/>
    <m/>
  </r>
  <r>
    <s v="2.4.3.1.1"/>
    <s v="CMS M.60.10.000"/>
    <x v="2"/>
    <n v="2"/>
    <s v="CURVA"/>
    <n v="6"/>
    <x v="1"/>
    <s v="NÃO"/>
    <s v="NÃO"/>
    <x v="22"/>
    <x v="3"/>
    <s v="DISPOSIÇÃO DE REJEITOS LINHA DO CIRCUITO ULTRAFINO DISTRIBUIDOR DI-145A-9904 PARA A PENEIRA PN-145A-9722"/>
    <m/>
    <m/>
    <m/>
    <s v="1450AA-T-70272_FL11"/>
    <n v="2"/>
    <s v="PÇ"/>
    <n v="0.46500000000000002"/>
    <n v="0.93"/>
    <n v="1169.77"/>
    <n v="1087.8860999999999"/>
    <n v="0"/>
    <n v="0.9"/>
    <n v="0.1"/>
    <n v="1"/>
    <n v="1"/>
    <x v="0"/>
    <n v="0.83700000000000008"/>
    <m/>
    <n v="0.83700000000000008"/>
    <n v="9.2999999999999972E-2"/>
    <m/>
    <n v="0.4"/>
    <n v="0.5"/>
    <n v="0.1"/>
    <m/>
    <m/>
    <m/>
    <n v="0"/>
    <n v="0"/>
    <n v="0"/>
    <n v="1087.8860999999999"/>
    <m/>
    <m/>
  </r>
  <r>
    <s v="2.4.3.1.1"/>
    <s v="CMS M.60.10.000"/>
    <x v="2"/>
    <n v="3"/>
    <s v="SPOOL"/>
    <n v="6"/>
    <x v="1"/>
    <s v="NÃO"/>
    <s v="NÃO"/>
    <x v="22"/>
    <x v="3"/>
    <s v="DISPOSIÇÃO DE REJEITOS LINHA DO CIRCUITO ULTRAFINO DISTRIBUIDOR DI-145A-9904 PARA A PENEIRA PN-145A-9722"/>
    <m/>
    <m/>
    <m/>
    <s v="1450AA-T-70272_FL13"/>
    <n v="1"/>
    <s v="PÇ"/>
    <n v="1.125"/>
    <n v="1.125"/>
    <n v="1169.77"/>
    <n v="1315.99125"/>
    <n v="0"/>
    <n v="0.9"/>
    <n v="0.1"/>
    <n v="1"/>
    <n v="1"/>
    <x v="0"/>
    <n v="1.0125"/>
    <m/>
    <n v="1.0125"/>
    <n v="0.11250000000000004"/>
    <m/>
    <n v="0.4"/>
    <n v="0.5"/>
    <n v="0.1"/>
    <m/>
    <m/>
    <m/>
    <n v="0"/>
    <n v="0"/>
    <n v="0"/>
    <n v="1315.99125"/>
    <m/>
    <m/>
  </r>
  <r>
    <s v="2.4.3.1.1"/>
    <s v="CMS M.60.10.000"/>
    <x v="2"/>
    <n v="4"/>
    <s v="SPOOL"/>
    <n v="6"/>
    <x v="1"/>
    <s v="NÃO"/>
    <s v="NÃO"/>
    <x v="22"/>
    <x v="3"/>
    <s v="DISPOSIÇÃO DE REJEITOS LINHA DO CIRCUITO ULTRAFINO DISTRIBUIDOR DI-145A-9904 PARA A PENEIRA PN-145A-9722"/>
    <m/>
    <m/>
    <m/>
    <s v="1450AA-T-70272_FL14"/>
    <n v="1"/>
    <s v="PÇ"/>
    <n v="3.2"/>
    <n v="3.2"/>
    <n v="1169.77"/>
    <n v="3743.2640000000001"/>
    <n v="0"/>
    <n v="0.9"/>
    <n v="0.1"/>
    <n v="1"/>
    <n v="1"/>
    <x v="0"/>
    <n v="2.8800000000000003"/>
    <m/>
    <n v="2.8800000000000003"/>
    <n v="0.31999999999999984"/>
    <m/>
    <n v="0.4"/>
    <n v="0.5"/>
    <n v="0.1"/>
    <m/>
    <m/>
    <m/>
    <n v="0"/>
    <n v="0"/>
    <n v="0"/>
    <n v="3743.2640000000001"/>
    <m/>
    <m/>
  </r>
  <r>
    <s v="2.4.3.1.1"/>
    <s v="CMS M.60.10.000"/>
    <x v="2"/>
    <n v="5"/>
    <s v="SPOOL"/>
    <n v="6"/>
    <x v="2"/>
    <s v="NÃO"/>
    <s v="NÃO"/>
    <x v="22"/>
    <x v="3"/>
    <s v="DISPOSIÇÃO DE REJEITOS LINHA DO CIRCUITO ULTRAFINO DISTRIBUIDOR DI-145A-9904 PARA A PENEIRA PN-145A-9722"/>
    <m/>
    <m/>
    <m/>
    <s v="1450AA-T-70272_FL15"/>
    <n v="1"/>
    <s v="PÇ"/>
    <n v="0.42"/>
    <n v="0.42"/>
    <n v="1169.77"/>
    <n v="491.30339999999995"/>
    <n v="0"/>
    <n v="0.9"/>
    <n v="0.1"/>
    <n v="1"/>
    <n v="1"/>
    <x v="0"/>
    <n v="0.378"/>
    <m/>
    <n v="0.378"/>
    <n v="4.1999999999999982E-2"/>
    <m/>
    <n v="0.4"/>
    <n v="0.5"/>
    <n v="0.1"/>
    <m/>
    <m/>
    <m/>
    <n v="0"/>
    <n v="0"/>
    <n v="0"/>
    <n v="491.30339999999995"/>
    <m/>
    <m/>
  </r>
  <r>
    <n v="0"/>
    <s v="CMS M.60.10.000"/>
    <x v="2"/>
    <n v="6"/>
    <s v="SPOOL"/>
    <s v="6 X 4"/>
    <x v="1"/>
    <s v="NÃO"/>
    <s v="NÃO"/>
    <x v="22"/>
    <x v="3"/>
    <s v="DISPOSIÇÃO DE REJEITOS LINHA DO CIRCUITO ULTRAFINO DISTRIBUIDOR DI-145A-9904 PARA A PENEIRA PN-145A-9722"/>
    <m/>
    <m/>
    <m/>
    <s v="1450AA-T-70272_FL09"/>
    <n v="1"/>
    <s v="PÇ"/>
    <n v="2.1349999999999998"/>
    <n v="2.1349999999999998"/>
    <n v="0"/>
    <n v="0"/>
    <n v="0"/>
    <n v="0.9"/>
    <n v="0.1"/>
    <n v="1"/>
    <n v="1"/>
    <x v="0"/>
    <n v="1.9214999999999998"/>
    <m/>
    <n v="1.9214999999999998"/>
    <n v="0.21350000000000002"/>
    <m/>
    <n v="0.4"/>
    <n v="0.5"/>
    <n v="0.1"/>
    <m/>
    <m/>
    <m/>
    <n v="0"/>
    <n v="0"/>
    <n v="0"/>
    <n v="0"/>
    <m/>
    <m/>
  </r>
  <r>
    <n v="0"/>
    <s v="CMS M.60.10.000"/>
    <x v="2"/>
    <n v="7"/>
    <s v="FLANGE"/>
    <n v="4"/>
    <x v="1"/>
    <s v="NÃO"/>
    <s v="NÃO"/>
    <x v="22"/>
    <x v="3"/>
    <s v="DISPOSIÇÃO DE REJEITOS LINHA DO CIRCUITO ULTRAFINO DISTRIBUIDOR DI-145A-9904 PARA A PENEIRA PN-145A-9722"/>
    <m/>
    <m/>
    <m/>
    <s v="1450AA-T-70272_FL03"/>
    <n v="2"/>
    <s v="PÇ"/>
    <n v="0"/>
    <n v="0"/>
    <n v="0"/>
    <n v="0"/>
    <n v="0"/>
    <n v="0.9"/>
    <n v="0.1"/>
    <n v="1"/>
    <n v="1"/>
    <x v="0"/>
    <n v="0"/>
    <m/>
    <n v="0"/>
    <n v="0"/>
    <m/>
    <n v="0.4"/>
    <n v="0.5"/>
    <n v="0.1"/>
    <m/>
    <m/>
    <m/>
    <n v="0"/>
    <n v="0"/>
    <n v="0"/>
    <n v="0"/>
    <m/>
    <m/>
  </r>
  <r>
    <s v="2.4.3.1.1"/>
    <s v="CMS M.60.10.000"/>
    <x v="2"/>
    <n v="1"/>
    <s v="CURVA"/>
    <n v="6"/>
    <x v="1"/>
    <s v="NÃO"/>
    <s v="NÃO"/>
    <x v="23"/>
    <x v="3"/>
    <s v="DISPOSIÇÃO DE REJEITOS LINHA DO CIRCUITO ULTRAFINO DISTRIBUIDOR DI-145A-9904 PARA A PENEIRA PN-145A-9723"/>
    <m/>
    <m/>
    <m/>
    <s v="1450AA-T-70274_FL12"/>
    <n v="2"/>
    <s v="PÇ"/>
    <n v="0.47"/>
    <n v="0.94"/>
    <n v="1169.77"/>
    <n v="1099.5837999999999"/>
    <n v="0"/>
    <n v="0.9"/>
    <n v="0.1"/>
    <n v="1"/>
    <n v="1"/>
    <x v="0"/>
    <n v="0.84599999999999997"/>
    <m/>
    <n v="0.84599999999999997"/>
    <n v="9.3999999999999972E-2"/>
    <m/>
    <n v="0.4"/>
    <n v="0.5"/>
    <n v="0.1"/>
    <m/>
    <m/>
    <m/>
    <n v="0"/>
    <n v="0"/>
    <n v="0"/>
    <n v="1099.5837999999999"/>
    <m/>
    <m/>
  </r>
  <r>
    <s v="2.4.3.1.1"/>
    <s v="CMS M.60.10.000"/>
    <x v="2"/>
    <n v="2"/>
    <s v="SPOOL"/>
    <n v="6"/>
    <x v="1"/>
    <s v="NÃO"/>
    <s v="NÃO"/>
    <x v="23"/>
    <x v="3"/>
    <s v="DISPOSIÇÃO DE REJEITOS LINHA DO CIRCUITO ULTRAFINO DISTRIBUIDOR DI-145A-9904 PARA A PENEIRA PN-145A-9723"/>
    <m/>
    <m/>
    <m/>
    <s v="1450AA-T-70274_FL16"/>
    <n v="1"/>
    <s v="PÇ"/>
    <n v="2.5"/>
    <n v="2.5"/>
    <n v="1169.77"/>
    <n v="2924.4250000000002"/>
    <n v="0"/>
    <n v="0.9"/>
    <n v="0.1"/>
    <n v="1"/>
    <n v="1"/>
    <x v="0"/>
    <n v="2.25"/>
    <m/>
    <n v="2.25"/>
    <n v="0.25"/>
    <m/>
    <n v="0.4"/>
    <n v="0.5"/>
    <n v="0.1"/>
    <m/>
    <m/>
    <m/>
    <n v="0"/>
    <n v="0"/>
    <n v="0"/>
    <n v="2924.4250000000002"/>
    <m/>
    <m/>
  </r>
  <r>
    <s v="2.4.3.1.1"/>
    <s v="CMS M.60.10.000"/>
    <x v="2"/>
    <n v="3"/>
    <s v="SPOOL"/>
    <n v="6"/>
    <x v="2"/>
    <s v="NÃO"/>
    <s v="NÃO"/>
    <x v="23"/>
    <x v="3"/>
    <s v="DISPOSIÇÃO DE REJEITOS LINHA DO CIRCUITO ULTRAFINO DISTRIBUIDOR DI-145A-9904 PARA A PENEIRA PN-145A-9723"/>
    <m/>
    <m/>
    <m/>
    <s v="1450AA-T-70274_FL17"/>
    <n v="2"/>
    <s v="PÇ"/>
    <n v="0.4"/>
    <n v="0.8"/>
    <n v="1169.77"/>
    <n v="935.81600000000003"/>
    <n v="0"/>
    <n v="0.9"/>
    <n v="0.1"/>
    <n v="1"/>
    <n v="1"/>
    <x v="0"/>
    <n v="0.72000000000000008"/>
    <m/>
    <n v="0.72000000000000008"/>
    <n v="7.999999999999996E-2"/>
    <m/>
    <n v="0.4"/>
    <n v="0.5"/>
    <n v="0.1"/>
    <m/>
    <m/>
    <m/>
    <n v="0"/>
    <n v="0"/>
    <n v="0"/>
    <n v="935.81600000000003"/>
    <m/>
    <m/>
  </r>
  <r>
    <s v="2.4.3.1.1"/>
    <s v="CMS M.60.10.000"/>
    <x v="2"/>
    <n v="4"/>
    <s v="SPOOL"/>
    <n v="6"/>
    <x v="1"/>
    <s v="NÃO"/>
    <s v="NÃO"/>
    <x v="23"/>
    <x v="3"/>
    <s v="DISPOSIÇÃO DE REJEITOS LINHA DO CIRCUITO ULTRAFINO DISTRIBUIDOR DI-145A-9904 PARA A PENEIRA PN-145A-9723"/>
    <m/>
    <m/>
    <m/>
    <s v="1450AA-T-70274_FL13"/>
    <n v="1"/>
    <s v="PÇ"/>
    <n v="0.96399999999999997"/>
    <n v="0.96399999999999997"/>
    <n v="1169.77"/>
    <n v="1127.6582799999999"/>
    <n v="0"/>
    <n v="0.9"/>
    <n v="0.1"/>
    <n v="1"/>
    <n v="1"/>
    <x v="0"/>
    <n v="0.86760000000000004"/>
    <m/>
    <n v="0.86760000000000004"/>
    <n v="9.639999999999993E-2"/>
    <m/>
    <n v="0.4"/>
    <n v="0.5"/>
    <n v="0.1"/>
    <m/>
    <m/>
    <m/>
    <n v="0"/>
    <n v="0"/>
    <n v="0"/>
    <n v="1127.6582799999999"/>
    <m/>
    <m/>
  </r>
  <r>
    <s v="2.4.3.1.1"/>
    <s v="CMS M.60.10.000"/>
    <x v="2"/>
    <n v="5"/>
    <s v="CURVA"/>
    <n v="6"/>
    <x v="1"/>
    <s v="NÃO"/>
    <s v="NÃO"/>
    <x v="23"/>
    <x v="3"/>
    <s v="DISPOSIÇÃO DE REJEITOS LINHA DO CIRCUITO ULTRAFINO DISTRIBUIDOR DI-145A-9904 PARA A PENEIRA PN-145A-9723"/>
    <m/>
    <m/>
    <m/>
    <s v="1450AA-T-70274_FL11"/>
    <n v="2"/>
    <s v="PÇ"/>
    <n v="0.435"/>
    <n v="0.87"/>
    <n v="1169.77"/>
    <n v="1017.6999"/>
    <n v="0"/>
    <n v="0.9"/>
    <n v="0.1"/>
    <m/>
    <m/>
    <x v="0"/>
    <n v="0"/>
    <m/>
    <n v="0"/>
    <n v="0.87"/>
    <m/>
    <n v="0.4"/>
    <n v="0.5"/>
    <n v="0.1"/>
    <m/>
    <m/>
    <m/>
    <n v="0"/>
    <n v="0"/>
    <n v="0"/>
    <n v="1017.6999"/>
    <m/>
    <m/>
  </r>
  <r>
    <s v="2.4.3.1.1"/>
    <s v="CMS M.60.10.000"/>
    <x v="2"/>
    <n v="6"/>
    <s v="SPOOL"/>
    <n v="6"/>
    <x v="1"/>
    <s v="NÃO"/>
    <s v="NÃO"/>
    <x v="23"/>
    <x v="3"/>
    <s v="DISPOSIÇÃO DE REJEITOS LINHA DO CIRCUITO ULTRAFINO DISTRIBUIDOR DI-145A-9904 PARA A PENEIRA PN-145A-9723"/>
    <m/>
    <m/>
    <m/>
    <s v="1450AA-T-70274_FL15"/>
    <n v="1"/>
    <s v="PÇ"/>
    <n v="2.3050000000000002"/>
    <n v="2.3050000000000002"/>
    <n v="1169.77"/>
    <n v="2696.3198500000003"/>
    <n v="0"/>
    <n v="0.9"/>
    <n v="0.1"/>
    <m/>
    <m/>
    <x v="0"/>
    <n v="0"/>
    <m/>
    <n v="0"/>
    <n v="2.3050000000000002"/>
    <m/>
    <n v="0.4"/>
    <n v="0.5"/>
    <n v="0.1"/>
    <m/>
    <m/>
    <m/>
    <n v="0"/>
    <n v="0"/>
    <n v="0"/>
    <n v="2696.3198500000003"/>
    <m/>
    <m/>
  </r>
  <r>
    <s v="2.4.3.1.1"/>
    <s v="CMS M.60.10.000"/>
    <x v="2"/>
    <n v="7"/>
    <s v="SPOOL"/>
    <n v="6"/>
    <x v="1"/>
    <s v="NÃO"/>
    <s v="NÃO"/>
    <x v="23"/>
    <x v="3"/>
    <s v="DISPOSIÇÃO DE REJEITOS LINHA DO CIRCUITO ULTRAFINO DISTRIBUIDOR DI-145A-9904 PARA A PENEIRA PN-145A-9723"/>
    <m/>
    <m/>
    <m/>
    <s v="1450AA-T-70274_FL14"/>
    <n v="1"/>
    <s v="PÇ"/>
    <n v="1.5"/>
    <n v="1.5"/>
    <n v="1169.77"/>
    <n v="1754.655"/>
    <n v="0"/>
    <n v="0.9"/>
    <n v="0.1"/>
    <m/>
    <m/>
    <x v="0"/>
    <n v="0"/>
    <m/>
    <n v="0"/>
    <n v="1.5"/>
    <m/>
    <n v="0.4"/>
    <n v="0.5"/>
    <n v="0.1"/>
    <m/>
    <m/>
    <m/>
    <n v="0"/>
    <n v="0"/>
    <n v="0"/>
    <n v="1754.655"/>
    <m/>
    <m/>
  </r>
  <r>
    <n v="0"/>
    <s v="CMS M.60.10.000"/>
    <x v="2"/>
    <n v="8"/>
    <s v="SPOOL"/>
    <s v="6 X 4"/>
    <x v="1"/>
    <s v="NÃO"/>
    <s v="NÃO"/>
    <x v="23"/>
    <x v="3"/>
    <s v="DISPOSIÇÃO DE REJEITOS LINHA DO CIRCUITO ULTRAFINO DISTRIBUIDOR DI-145A-9904 PARA A PENEIRA PN-145A-9723"/>
    <m/>
    <m/>
    <m/>
    <s v="1450AA-T-70274_FL09"/>
    <n v="1"/>
    <s v="PÇ"/>
    <n v="2.1349999999999998"/>
    <n v="2.1349999999999998"/>
    <n v="0"/>
    <n v="0"/>
    <n v="0"/>
    <n v="0.9"/>
    <n v="0.1"/>
    <m/>
    <m/>
    <x v="0"/>
    <n v="0"/>
    <m/>
    <n v="0"/>
    <n v="2.1349999999999998"/>
    <m/>
    <n v="0.4"/>
    <n v="0.5"/>
    <n v="0.1"/>
    <m/>
    <m/>
    <m/>
    <n v="0"/>
    <n v="0"/>
    <n v="0"/>
    <n v="0"/>
    <m/>
    <m/>
  </r>
  <r>
    <n v="0"/>
    <s v="CMS M.60.10.000"/>
    <x v="2"/>
    <n v="9"/>
    <s v="FLANGE"/>
    <n v="4"/>
    <x v="1"/>
    <s v="NÃO"/>
    <s v="NÃO"/>
    <x v="23"/>
    <x v="3"/>
    <s v="DISPOSIÇÃO DE REJEITOS LINHA DO CIRCUITO ULTRAFINO DISTRIBUIDOR DI-145A-9904 PARA A PENEIRA PN-145A-9723"/>
    <m/>
    <m/>
    <m/>
    <s v="1450AA-T-70274_FL03"/>
    <n v="2"/>
    <s v="PÇ"/>
    <n v="0"/>
    <n v="0"/>
    <n v="0"/>
    <n v="0"/>
    <n v="0"/>
    <n v="0.9"/>
    <n v="0.1"/>
    <m/>
    <m/>
    <x v="0"/>
    <n v="0"/>
    <m/>
    <n v="0"/>
    <n v="0"/>
    <m/>
    <n v="0.4"/>
    <n v="0.5"/>
    <n v="0.1"/>
    <m/>
    <m/>
    <m/>
    <n v="0"/>
    <n v="0"/>
    <n v="0"/>
    <n v="0"/>
    <m/>
    <m/>
  </r>
  <r>
    <s v="2.4.3.1.1"/>
    <s v="CMS M.60.10.000"/>
    <x v="2"/>
    <n v="1"/>
    <s v="CURVA"/>
    <n v="6"/>
    <x v="1"/>
    <s v="NÃO"/>
    <s v="NÃO"/>
    <x v="24"/>
    <x v="3"/>
    <s v="DISPOSIÇÃO DE REJEITOS LINHA DO CIRCUITO ULTRAFINO DISTRIBUIDOR DI-145A-9904 PARA A PENEIRA PN-145A-9701"/>
    <m/>
    <m/>
    <m/>
    <s v="1450AA-T-70276_FL16"/>
    <n v="2"/>
    <s v="PÇ"/>
    <n v="0.46500000000000002"/>
    <n v="0.93"/>
    <n v="1169.77"/>
    <n v="1087.8860999999999"/>
    <n v="0"/>
    <n v="0.9"/>
    <n v="0.1"/>
    <m/>
    <m/>
    <x v="0"/>
    <n v="0"/>
    <m/>
    <n v="0"/>
    <n v="0.93"/>
    <m/>
    <n v="0.4"/>
    <n v="0.5"/>
    <n v="0.1"/>
    <m/>
    <m/>
    <m/>
    <n v="0"/>
    <n v="0"/>
    <n v="0"/>
    <n v="1087.8860999999999"/>
    <m/>
    <m/>
  </r>
  <r>
    <s v="2.4.3.1.1"/>
    <s v="CMS M.60.10.000"/>
    <x v="2"/>
    <n v="2"/>
    <s v="SPOOL"/>
    <n v="6"/>
    <x v="1"/>
    <s v="NÃO"/>
    <s v="NÃO"/>
    <x v="24"/>
    <x v="3"/>
    <s v="DISPOSIÇÃO DE REJEITOS LINHA DO CIRCUITO ULTRAFINO DISTRIBUIDOR DI-145A-9904 PARA A PENEIRA PN-145A-9701"/>
    <m/>
    <m/>
    <m/>
    <s v="1450AA-T-70276_FL17"/>
    <n v="1"/>
    <s v="PÇ"/>
    <n v="0.28100000000000003"/>
    <n v="0.28100000000000003"/>
    <n v="1169.77"/>
    <n v="328.70537000000002"/>
    <n v="0"/>
    <n v="0.9"/>
    <n v="0.1"/>
    <m/>
    <m/>
    <x v="0"/>
    <n v="0"/>
    <m/>
    <n v="0"/>
    <n v="0.28100000000000003"/>
    <m/>
    <n v="0.4"/>
    <n v="0.5"/>
    <n v="0.1"/>
    <m/>
    <m/>
    <m/>
    <n v="0"/>
    <n v="0"/>
    <n v="0"/>
    <n v="328.70537000000002"/>
    <m/>
    <m/>
  </r>
  <r>
    <s v="2.4.3.1.1"/>
    <s v="CMS M.60.10.000"/>
    <x v="2"/>
    <n v="3"/>
    <s v="CURVA"/>
    <n v="6"/>
    <x v="1"/>
    <s v="NÃO"/>
    <s v="NÃO"/>
    <x v="24"/>
    <x v="3"/>
    <s v="DISPOSIÇÃO DE REJEITOS LINHA DO CIRCUITO ULTRAFINO DISTRIBUIDOR DI-145A-9904 PARA A PENEIRA PN-145A-9701"/>
    <m/>
    <m/>
    <m/>
    <s v="1450AA-T-70276_FL13"/>
    <n v="1"/>
    <s v="PÇ"/>
    <n v="0.42"/>
    <n v="0.42"/>
    <n v="1169.77"/>
    <n v="491.30339999999995"/>
    <n v="0"/>
    <n v="0.9"/>
    <n v="0.1"/>
    <m/>
    <m/>
    <x v="0"/>
    <n v="0"/>
    <m/>
    <n v="0"/>
    <n v="0.42"/>
    <m/>
    <n v="0.4"/>
    <n v="0.5"/>
    <n v="0.1"/>
    <m/>
    <m/>
    <m/>
    <n v="0"/>
    <n v="0"/>
    <n v="0"/>
    <n v="491.30339999999995"/>
    <m/>
    <m/>
  </r>
  <r>
    <s v="2.4.3.1.1"/>
    <s v="CMS M.60.10.000"/>
    <x v="2"/>
    <n v="4"/>
    <s v="SPOOL"/>
    <n v="6"/>
    <x v="1"/>
    <s v="NÃO"/>
    <s v="NÃO"/>
    <x v="24"/>
    <x v="3"/>
    <s v="DISPOSIÇÃO DE REJEITOS LINHA DO CIRCUITO ULTRAFINO DISTRIBUIDOR DI-145A-9904 PARA A PENEIRA PN-145A-9701"/>
    <m/>
    <m/>
    <m/>
    <s v="1450AA-T-70276_FL19"/>
    <n v="1"/>
    <s v="PÇ"/>
    <n v="1.4"/>
    <n v="1.4"/>
    <n v="1169.77"/>
    <n v="1637.6779999999999"/>
    <n v="0"/>
    <n v="0.9"/>
    <n v="0.1"/>
    <m/>
    <m/>
    <x v="0"/>
    <n v="0"/>
    <m/>
    <n v="0"/>
    <n v="1.4"/>
    <m/>
    <n v="0.4"/>
    <n v="0.5"/>
    <n v="0.1"/>
    <m/>
    <m/>
    <m/>
    <n v="0"/>
    <n v="0"/>
    <n v="0"/>
    <n v="1637.6779999999999"/>
    <m/>
    <m/>
  </r>
  <r>
    <s v="2.4.3.1.1"/>
    <s v="CMS M.60.10.000"/>
    <x v="2"/>
    <n v="5"/>
    <s v="SPOOL"/>
    <n v="6"/>
    <x v="2"/>
    <s v="NÃO"/>
    <s v="NÃO"/>
    <x v="24"/>
    <x v="3"/>
    <s v="DISPOSIÇÃO DE REJEITOS LINHA DO CIRCUITO ULTRAFINO DISTRIBUIDOR DI-145A-9904 PARA A PENEIRA PN-145A-9701"/>
    <m/>
    <m/>
    <m/>
    <s v="1450AA-T-70276_FL23"/>
    <n v="2"/>
    <s v="PÇ"/>
    <n v="0.35"/>
    <n v="0.7"/>
    <n v="1169.77"/>
    <n v="818.83899999999994"/>
    <n v="0"/>
    <n v="0.9"/>
    <n v="0.1"/>
    <m/>
    <m/>
    <x v="0"/>
    <n v="0"/>
    <m/>
    <n v="0"/>
    <n v="0.7"/>
    <m/>
    <n v="0.4"/>
    <n v="0.5"/>
    <n v="0.1"/>
    <m/>
    <m/>
    <m/>
    <n v="0"/>
    <n v="0"/>
    <n v="0"/>
    <n v="818.83899999999994"/>
    <m/>
    <m/>
  </r>
  <r>
    <s v="2.4.3.1.1"/>
    <s v="CMS M.60.10.000"/>
    <x v="2"/>
    <n v="6"/>
    <s v="CURVA"/>
    <n v="6"/>
    <x v="1"/>
    <s v="NÃO"/>
    <s v="NÃO"/>
    <x v="24"/>
    <x v="3"/>
    <s v="DISPOSIÇÃO DE REJEITOS LINHA DO CIRCUITO ULTRAFINO DISTRIBUIDOR DI-145A-9904 PARA A PENEIRA PN-145A-9701"/>
    <m/>
    <m/>
    <m/>
    <s v="1450AA-T-70276_FL12"/>
    <n v="1"/>
    <s v="PÇ"/>
    <n v="0.32500000000000001"/>
    <n v="0.32500000000000001"/>
    <n v="1169.77"/>
    <n v="380.17525000000001"/>
    <n v="0"/>
    <n v="0.9"/>
    <n v="0.1"/>
    <m/>
    <m/>
    <x v="0"/>
    <n v="0"/>
    <m/>
    <n v="0"/>
    <n v="0.32500000000000001"/>
    <m/>
    <n v="0.4"/>
    <n v="0.5"/>
    <n v="0.1"/>
    <m/>
    <m/>
    <m/>
    <n v="0"/>
    <n v="0"/>
    <n v="0"/>
    <n v="380.17525000000001"/>
    <m/>
    <m/>
  </r>
  <r>
    <s v="2.4.3.1.1"/>
    <s v="CMS M.60.10.000"/>
    <x v="2"/>
    <n v="7"/>
    <s v="SPOOL"/>
    <n v="6"/>
    <x v="1"/>
    <s v="NÃO"/>
    <s v="NÃO"/>
    <x v="24"/>
    <x v="3"/>
    <s v="DISPOSIÇÃO DE REJEITOS LINHA DO CIRCUITO ULTRAFINO DISTRIBUIDOR DI-145A-9904 PARA A PENEIRA PN-145A-9701"/>
    <m/>
    <m/>
    <m/>
    <s v="1450AA-T-70276_FL21"/>
    <n v="1"/>
    <s v="PÇ"/>
    <n v="2.02"/>
    <n v="2.02"/>
    <n v="1169.77"/>
    <n v="2362.9353999999998"/>
    <n v="0"/>
    <n v="0.9"/>
    <n v="0.1"/>
    <m/>
    <m/>
    <x v="0"/>
    <n v="0"/>
    <m/>
    <n v="0"/>
    <n v="2.02"/>
    <m/>
    <n v="0.4"/>
    <n v="0.5"/>
    <n v="0.1"/>
    <m/>
    <m/>
    <m/>
    <n v="0"/>
    <n v="0"/>
    <n v="0"/>
    <n v="2362.9353999999998"/>
    <m/>
    <m/>
  </r>
  <r>
    <s v="2.4.3.1.1"/>
    <s v="CMS M.60.10.000"/>
    <x v="2"/>
    <n v="8"/>
    <s v="SPOOL"/>
    <n v="6"/>
    <x v="1"/>
    <s v="NÃO"/>
    <s v="NÃO"/>
    <x v="24"/>
    <x v="3"/>
    <s v="DISPOSIÇÃO DE REJEITOS LINHA DO CIRCUITO ULTRAFINO DISTRIBUIDOR DI-145A-9904 PARA A PENEIRA PN-145A-9701"/>
    <m/>
    <m/>
    <m/>
    <s v="1450AA-T-70276_FL22"/>
    <n v="2"/>
    <s v="PÇ"/>
    <n v="3"/>
    <n v="6"/>
    <n v="1169.77"/>
    <n v="7018.62"/>
    <n v="0"/>
    <n v="0.9"/>
    <n v="0.1"/>
    <m/>
    <m/>
    <x v="0"/>
    <n v="0"/>
    <m/>
    <n v="0"/>
    <n v="6"/>
    <m/>
    <n v="0.4"/>
    <n v="0.5"/>
    <n v="0.1"/>
    <m/>
    <m/>
    <m/>
    <n v="0"/>
    <n v="0"/>
    <n v="0"/>
    <n v="7018.62"/>
    <m/>
    <m/>
  </r>
  <r>
    <s v="2.4.3.1.1"/>
    <s v="CMS M.60.10.000"/>
    <x v="2"/>
    <n v="9"/>
    <s v="SPOOL"/>
    <n v="6"/>
    <x v="2"/>
    <s v="NÃO"/>
    <s v="NÃO"/>
    <x v="24"/>
    <x v="3"/>
    <s v="DISPOSIÇÃO DE REJEITOS LINHA DO CIRCUITO ULTRAFINO DISTRIBUIDOR DI-145A-9904 PARA A PENEIRA PN-145A-9701"/>
    <m/>
    <m/>
    <m/>
    <s v="1450AA-T-70276_FL24"/>
    <n v="1"/>
    <s v="PÇ"/>
    <n v="0.55000000000000004"/>
    <n v="0.55000000000000004"/>
    <n v="1169.77"/>
    <n v="643.37350000000004"/>
    <n v="0"/>
    <n v="0.9"/>
    <n v="0.1"/>
    <m/>
    <m/>
    <x v="0"/>
    <n v="0"/>
    <m/>
    <n v="0"/>
    <n v="0.55000000000000004"/>
    <m/>
    <n v="0.4"/>
    <n v="0.5"/>
    <n v="0.1"/>
    <m/>
    <m/>
    <m/>
    <n v="0"/>
    <n v="0"/>
    <n v="0"/>
    <n v="643.37350000000004"/>
    <m/>
    <m/>
  </r>
  <r>
    <s v="2.4.3.1.1"/>
    <s v="CMS M.60.10.000"/>
    <x v="2"/>
    <n v="10"/>
    <s v="CURVA"/>
    <n v="6"/>
    <x v="1"/>
    <s v="NÃO"/>
    <s v="NÃO"/>
    <x v="24"/>
    <x v="3"/>
    <s v="DISPOSIÇÃO DE REJEITOS LINHA DO CIRCUITO ULTRAFINO DISTRIBUIDOR DI-145A-9904 PARA A PENEIRA PN-145A-9701"/>
    <m/>
    <m/>
    <m/>
    <s v="1450AA-T-70276_FL15"/>
    <n v="1"/>
    <s v="PÇ"/>
    <n v="0.42"/>
    <n v="0.42"/>
    <n v="1169.77"/>
    <n v="491.30339999999995"/>
    <n v="0"/>
    <n v="0.9"/>
    <n v="0.1"/>
    <m/>
    <m/>
    <x v="0"/>
    <n v="0"/>
    <m/>
    <n v="0"/>
    <n v="0.42"/>
    <m/>
    <n v="0.4"/>
    <n v="0.5"/>
    <n v="0.1"/>
    <m/>
    <m/>
    <m/>
    <n v="0"/>
    <n v="0"/>
    <n v="0"/>
    <n v="491.30339999999995"/>
    <m/>
    <m/>
  </r>
  <r>
    <s v="2.4.3.1.1"/>
    <s v="CMS M.60.10.000"/>
    <x v="2"/>
    <n v="11"/>
    <s v="SPOOL"/>
    <n v="6"/>
    <x v="1"/>
    <s v="NÃO"/>
    <s v="NÃO"/>
    <x v="24"/>
    <x v="3"/>
    <s v="DISPOSIÇÃO DE REJEITOS LINHA DO CIRCUITO ULTRAFINO DISTRIBUIDOR DI-145A-9904 PARA A PENEIRA PN-145A-9701"/>
    <m/>
    <m/>
    <m/>
    <s v="1450AA-T-70276_FL20"/>
    <n v="1"/>
    <s v="PÇ"/>
    <n v="1.93"/>
    <n v="1.93"/>
    <n v="1169.77"/>
    <n v="2257.6560999999997"/>
    <n v="0"/>
    <n v="0.9"/>
    <n v="0.1"/>
    <m/>
    <m/>
    <x v="0"/>
    <n v="0"/>
    <m/>
    <n v="0"/>
    <n v="1.93"/>
    <m/>
    <n v="0.4"/>
    <n v="0.5"/>
    <n v="0.1"/>
    <m/>
    <m/>
    <m/>
    <n v="0"/>
    <n v="0"/>
    <n v="0"/>
    <n v="2257.6560999999997"/>
    <m/>
    <m/>
  </r>
  <r>
    <s v="2.4.3.1.1"/>
    <s v="CMS M.60.10.000"/>
    <x v="2"/>
    <n v="12"/>
    <s v="CURVA"/>
    <n v="6"/>
    <x v="1"/>
    <s v="NÃO"/>
    <s v="NÃO"/>
    <x v="24"/>
    <x v="3"/>
    <s v="DISPOSIÇÃO DE REJEITOS LINHA DO CIRCUITO ULTRAFINO DISTRIBUIDOR DI-145A-9904 PARA A PENEIRA PN-145A-9701"/>
    <m/>
    <m/>
    <m/>
    <s v="1450AA-T-70276_FL14"/>
    <n v="1"/>
    <s v="PÇ"/>
    <n v="0.51200000000000001"/>
    <n v="0.51200000000000001"/>
    <n v="1169.77"/>
    <n v="598.92223999999999"/>
    <n v="0"/>
    <n v="0.9"/>
    <n v="0.1"/>
    <m/>
    <m/>
    <x v="0"/>
    <n v="0"/>
    <m/>
    <n v="0"/>
    <n v="0.51200000000000001"/>
    <m/>
    <n v="0.4"/>
    <n v="0.5"/>
    <n v="0.1"/>
    <m/>
    <m/>
    <m/>
    <n v="0"/>
    <n v="0"/>
    <n v="0"/>
    <n v="598.92223999999999"/>
    <m/>
    <m/>
  </r>
  <r>
    <s v="2.4.3.1.1"/>
    <s v="CMS M.60.10.000"/>
    <x v="2"/>
    <n v="13"/>
    <s v="SPOOL"/>
    <n v="6"/>
    <x v="1"/>
    <s v="NÃO"/>
    <s v="NÃO"/>
    <x v="24"/>
    <x v="3"/>
    <s v="DISPOSIÇÃO DE REJEITOS LINHA DO CIRCUITO ULTRAFINO DISTRIBUIDOR DI-145A-9904 PARA A PENEIRA PN-145A-9701"/>
    <m/>
    <m/>
    <m/>
    <s v="1450AA-T-70276_FL18"/>
    <n v="1"/>
    <s v="PÇ"/>
    <n v="1.349"/>
    <n v="1.349"/>
    <n v="1169.77"/>
    <n v="1578.01973"/>
    <n v="0"/>
    <n v="0.9"/>
    <n v="0.1"/>
    <m/>
    <m/>
    <x v="0"/>
    <n v="0"/>
    <m/>
    <n v="0"/>
    <n v="1.349"/>
    <m/>
    <n v="0.4"/>
    <n v="0.5"/>
    <n v="0.1"/>
    <m/>
    <m/>
    <m/>
    <n v="0"/>
    <n v="0"/>
    <n v="0"/>
    <n v="1578.01973"/>
    <m/>
    <m/>
  </r>
  <r>
    <s v="2.4.3.1.1"/>
    <s v="CMS M.60.10.000"/>
    <x v="2"/>
    <n v="14"/>
    <s v="SPOOL"/>
    <n v="6"/>
    <x v="1"/>
    <s v="NÃO"/>
    <s v="NÃO"/>
    <x v="24"/>
    <x v="3"/>
    <s v="DISPOSIÇÃO DE REJEITOS LINHA DO CIRCUITO ULTRAFINO DISTRIBUIDOR DI-145A-9904 PARA A PENEIRA PN-145A-9701"/>
    <m/>
    <m/>
    <m/>
    <s v="1450AA-T-70276_FL11"/>
    <n v="1"/>
    <s v="PÇ"/>
    <n v="0.82"/>
    <n v="0.82"/>
    <n v="1169.77"/>
    <n v="959.21139999999991"/>
    <n v="0"/>
    <n v="0.9"/>
    <n v="0.1"/>
    <m/>
    <m/>
    <x v="0"/>
    <n v="0"/>
    <m/>
    <n v="0"/>
    <n v="0.82"/>
    <m/>
    <n v="0.4"/>
    <n v="0.5"/>
    <n v="0.1"/>
    <m/>
    <m/>
    <m/>
    <n v="0"/>
    <n v="0"/>
    <n v="0"/>
    <n v="959.21139999999991"/>
    <m/>
    <m/>
  </r>
  <r>
    <n v="0"/>
    <s v="CMS M.60.10.000"/>
    <x v="2"/>
    <n v="15"/>
    <s v="SPOOL"/>
    <s v="6 X 4"/>
    <x v="1"/>
    <s v="NÃO"/>
    <s v="NÃO"/>
    <x v="24"/>
    <x v="3"/>
    <s v="DISPOSIÇÃO DE REJEITOS LINHA DO CIRCUITO ULTRAFINO DISTRIBUIDOR DI-145A-9904 PARA A PENEIRA PN-145A-9701"/>
    <m/>
    <m/>
    <m/>
    <s v="1450AA-T-70276_FL09"/>
    <n v="1"/>
    <s v="PÇ"/>
    <n v="2.1349999999999998"/>
    <n v="2.1349999999999998"/>
    <n v="0"/>
    <n v="0"/>
    <n v="0"/>
    <n v="0.9"/>
    <n v="0.1"/>
    <m/>
    <m/>
    <x v="0"/>
    <n v="0"/>
    <m/>
    <n v="0"/>
    <n v="2.1349999999999998"/>
    <m/>
    <n v="0.4"/>
    <n v="0.5"/>
    <n v="0.1"/>
    <m/>
    <m/>
    <m/>
    <n v="0"/>
    <n v="0"/>
    <n v="0"/>
    <n v="0"/>
    <m/>
    <m/>
  </r>
  <r>
    <n v="0"/>
    <s v="CMS M.60.10.000"/>
    <x v="2"/>
    <n v="16"/>
    <s v="FLANGE"/>
    <n v="4"/>
    <x v="1"/>
    <s v="NÃO"/>
    <s v="NÃO"/>
    <x v="24"/>
    <x v="3"/>
    <s v="DISPOSIÇÃO DE REJEITOS LINHA DO CIRCUITO ULTRAFINO DISTRIBUIDOR DI-145A-9904 PARA A PENEIRA PN-145A-9701"/>
    <m/>
    <m/>
    <m/>
    <s v="1450AA-T-70276_FL03"/>
    <n v="2"/>
    <s v="PÇ"/>
    <n v="0"/>
    <n v="0"/>
    <n v="0"/>
    <n v="0"/>
    <n v="0"/>
    <n v="0.9"/>
    <n v="0.1"/>
    <m/>
    <m/>
    <x v="0"/>
    <n v="0"/>
    <m/>
    <n v="0"/>
    <n v="0"/>
    <m/>
    <n v="0.4"/>
    <n v="0.5"/>
    <n v="0.1"/>
    <m/>
    <m/>
    <m/>
    <n v="0"/>
    <n v="0"/>
    <n v="0"/>
    <n v="0"/>
    <m/>
    <m/>
  </r>
  <r>
    <s v="2.4.3.1.1"/>
    <s v="CMS M.60.10.000"/>
    <x v="2"/>
    <n v="1"/>
    <s v="CURVA"/>
    <n v="6"/>
    <x v="1"/>
    <s v="NÃO"/>
    <s v="NÃO"/>
    <x v="25"/>
    <x v="3"/>
    <s v="DISPOSIÇÃO DE REJEITOS LINHA DO CIRCUITO ULTRAFINO DISTRIBUIDOR DI-145A-9904 PARA A PENEIRA PN-145A-9702"/>
    <m/>
    <m/>
    <m/>
    <s v="1450AA-T-70278_FL14"/>
    <n v="2"/>
    <s v="PÇ"/>
    <n v="0.46"/>
    <n v="0.92"/>
    <n v="1169.77"/>
    <n v="1076.1884"/>
    <n v="0"/>
    <n v="0.9"/>
    <n v="0.1"/>
    <m/>
    <m/>
    <x v="0"/>
    <n v="0"/>
    <m/>
    <n v="0"/>
    <n v="0.92"/>
    <m/>
    <n v="0.4"/>
    <n v="0.5"/>
    <n v="0.1"/>
    <m/>
    <m/>
    <m/>
    <n v="0"/>
    <n v="0"/>
    <n v="0"/>
    <n v="1076.1884"/>
    <m/>
    <m/>
  </r>
  <r>
    <s v="2.4.3.1.1"/>
    <s v="CMS M.60.10.000"/>
    <x v="2"/>
    <n v="2"/>
    <s v="SPOOL"/>
    <n v="6"/>
    <x v="1"/>
    <s v="NÃO"/>
    <s v="NÃO"/>
    <x v="25"/>
    <x v="3"/>
    <s v="DISPOSIÇÃO DE REJEITOS LINHA DO CIRCUITO ULTRAFINO DISTRIBUIDOR DI-145A-9904 PARA A PENEIRA PN-145A-9702"/>
    <m/>
    <m/>
    <m/>
    <s v="1450AA-T-70278_FL15"/>
    <n v="1"/>
    <s v="PÇ"/>
    <n v="0.69"/>
    <n v="0.69"/>
    <n v="1169.77"/>
    <n v="807.14129999999989"/>
    <n v="0"/>
    <n v="0.9"/>
    <n v="0.1"/>
    <m/>
    <m/>
    <x v="0"/>
    <n v="0"/>
    <m/>
    <n v="0"/>
    <n v="0.69"/>
    <m/>
    <n v="0.4"/>
    <n v="0.5"/>
    <n v="0.1"/>
    <m/>
    <m/>
    <m/>
    <n v="0"/>
    <n v="0"/>
    <n v="0"/>
    <n v="807.14129999999989"/>
    <m/>
    <m/>
  </r>
  <r>
    <s v="2.4.3.1.1"/>
    <s v="CMS M.60.10.000"/>
    <x v="2"/>
    <n v="3"/>
    <s v="SPOOL"/>
    <n v="6"/>
    <x v="2"/>
    <s v="NÃO"/>
    <s v="NÃO"/>
    <x v="25"/>
    <x v="3"/>
    <s v="DISPOSIÇÃO DE REJEITOS LINHA DO CIRCUITO ULTRAFINO DISTRIBUIDOR DI-145A-9904 PARA A PENEIRA PN-145A-9702"/>
    <m/>
    <m/>
    <m/>
    <s v="1450AA-T-70278_FL19"/>
    <n v="2"/>
    <s v="PÇ"/>
    <n v="0.35"/>
    <n v="0.7"/>
    <n v="1169.77"/>
    <n v="818.83899999999994"/>
    <n v="0"/>
    <n v="0.9"/>
    <n v="0.1"/>
    <m/>
    <m/>
    <x v="0"/>
    <n v="0"/>
    <m/>
    <n v="0"/>
    <n v="0.7"/>
    <m/>
    <n v="0.4"/>
    <n v="0.5"/>
    <n v="0.1"/>
    <m/>
    <m/>
    <m/>
    <n v="0"/>
    <n v="0"/>
    <n v="0"/>
    <n v="818.83899999999994"/>
    <m/>
    <m/>
  </r>
  <r>
    <s v="2.4.3.1.1"/>
    <s v="CMS M.60.10.000"/>
    <x v="2"/>
    <n v="4"/>
    <s v="SPOOL"/>
    <n v="6"/>
    <x v="1"/>
    <s v="NÃO"/>
    <s v="NÃO"/>
    <x v="25"/>
    <x v="3"/>
    <s v="DISPOSIÇÃO DE REJEITOS LINHA DO CIRCUITO ULTRAFINO DISTRIBUIDOR DI-145A-9904 PARA A PENEIRA PN-145A-9702"/>
    <m/>
    <m/>
    <m/>
    <s v="1450AA-T-70278_FL18"/>
    <n v="2"/>
    <s v="PÇ"/>
    <n v="3.2"/>
    <n v="6.4"/>
    <n v="1169.77"/>
    <n v="7486.5280000000002"/>
    <n v="0"/>
    <n v="0.9"/>
    <n v="0.1"/>
    <m/>
    <m/>
    <x v="0"/>
    <n v="0"/>
    <m/>
    <n v="0"/>
    <n v="6.4"/>
    <m/>
    <n v="0.4"/>
    <n v="0.5"/>
    <n v="0.1"/>
    <m/>
    <m/>
    <m/>
    <n v="0"/>
    <n v="0"/>
    <n v="0"/>
    <n v="7486.5280000000002"/>
    <m/>
    <m/>
  </r>
  <r>
    <s v="2.4.3.1.1"/>
    <s v="CMS M.60.10.000"/>
    <x v="2"/>
    <n v="5"/>
    <s v="SPOOL"/>
    <n v="6"/>
    <x v="2"/>
    <s v="NÃO"/>
    <s v="NÃO"/>
    <x v="25"/>
    <x v="3"/>
    <s v="DISPOSIÇÃO DE REJEITOS LINHA DO CIRCUITO ULTRAFINO DISTRIBUIDOR DI-145A-9904 PARA A PENEIRA PN-145A-9702"/>
    <m/>
    <m/>
    <m/>
    <s v="1450AA-T-70278_FL20"/>
    <n v="1"/>
    <s v="PÇ"/>
    <n v="0.4"/>
    <n v="0.4"/>
    <n v="1169.77"/>
    <n v="467.90800000000002"/>
    <n v="0"/>
    <n v="0.9"/>
    <n v="0.1"/>
    <m/>
    <m/>
    <x v="0"/>
    <n v="0"/>
    <m/>
    <n v="0"/>
    <n v="0.4"/>
    <m/>
    <n v="0.4"/>
    <n v="0.5"/>
    <n v="0.1"/>
    <m/>
    <m/>
    <m/>
    <n v="0"/>
    <n v="0"/>
    <n v="0"/>
    <n v="467.90800000000002"/>
    <m/>
    <m/>
  </r>
  <r>
    <s v="2.4.3.1.1"/>
    <s v="CMS M.60.10.000"/>
    <x v="2"/>
    <n v="6"/>
    <s v="CURVA"/>
    <n v="6"/>
    <x v="1"/>
    <s v="NÃO"/>
    <s v="NÃO"/>
    <x v="25"/>
    <x v="3"/>
    <s v="DISPOSIÇÃO DE REJEITOS LINHA DO CIRCUITO ULTRAFINO DISTRIBUIDOR DI-145A-9904 PARA A PENEIRA PN-145A-9702"/>
    <m/>
    <m/>
    <m/>
    <s v="1450AA-T-70278_FL13"/>
    <n v="1"/>
    <s v="PÇ"/>
    <n v="0.42"/>
    <n v="0.42"/>
    <n v="1169.77"/>
    <n v="491.30339999999995"/>
    <n v="0"/>
    <n v="0.9"/>
    <n v="0.1"/>
    <m/>
    <m/>
    <x v="0"/>
    <n v="0"/>
    <m/>
    <n v="0"/>
    <n v="0.42"/>
    <m/>
    <n v="0.4"/>
    <n v="0.5"/>
    <n v="0.1"/>
    <m/>
    <m/>
    <m/>
    <n v="0"/>
    <n v="0"/>
    <n v="0"/>
    <n v="491.30339999999995"/>
    <m/>
    <m/>
  </r>
  <r>
    <s v="2.4.3.1.1"/>
    <s v="CMS M.60.10.000"/>
    <x v="2"/>
    <n v="7"/>
    <s v="SPOOL"/>
    <n v="6"/>
    <x v="1"/>
    <s v="NÃO"/>
    <s v="NÃO"/>
    <x v="25"/>
    <x v="3"/>
    <s v="DISPOSIÇÃO DE REJEITOS LINHA DO CIRCUITO ULTRAFINO DISTRIBUIDOR DI-145A-9904 PARA A PENEIRA PN-145A-9702"/>
    <m/>
    <m/>
    <m/>
    <s v="1450AA-T-70278_FL17"/>
    <n v="1"/>
    <s v="PÇ"/>
    <n v="1.93"/>
    <n v="1.93"/>
    <n v="1169.77"/>
    <n v="2257.6560999999997"/>
    <n v="0"/>
    <n v="0.9"/>
    <n v="0.1"/>
    <m/>
    <m/>
    <x v="0"/>
    <n v="0"/>
    <m/>
    <n v="0"/>
    <n v="1.93"/>
    <m/>
    <n v="0.4"/>
    <n v="0.5"/>
    <n v="0.1"/>
    <m/>
    <m/>
    <m/>
    <n v="0"/>
    <n v="0"/>
    <n v="0"/>
    <n v="2257.6560999999997"/>
    <m/>
    <m/>
  </r>
  <r>
    <s v="2.4.3.1.1"/>
    <s v="CMS M.60.10.000"/>
    <x v="2"/>
    <n v="8"/>
    <s v="CURVA"/>
    <n v="6"/>
    <x v="1"/>
    <s v="NÃO"/>
    <s v="NÃO"/>
    <x v="25"/>
    <x v="3"/>
    <s v="DISPOSIÇÃO DE REJEITOS LINHA DO CIRCUITO ULTRAFINO DISTRIBUIDOR DI-145A-9904 PARA A PENEIRA PN-145A-9702"/>
    <m/>
    <m/>
    <m/>
    <s v="1450AA-T-70278_FL12"/>
    <n v="1"/>
    <s v="PÇ"/>
    <n v="0.51200000000000001"/>
    <n v="0.51200000000000001"/>
    <n v="1169.77"/>
    <n v="598.92223999999999"/>
    <n v="0"/>
    <n v="0.9"/>
    <n v="0.1"/>
    <m/>
    <m/>
    <x v="0"/>
    <n v="0"/>
    <m/>
    <n v="0"/>
    <n v="0.51200000000000001"/>
    <m/>
    <n v="0.4"/>
    <n v="0.5"/>
    <n v="0.1"/>
    <m/>
    <m/>
    <m/>
    <n v="0"/>
    <n v="0"/>
    <n v="0"/>
    <n v="598.92223999999999"/>
    <m/>
    <m/>
  </r>
  <r>
    <s v="2.4.3.1.1"/>
    <s v="CMS M.60.10.000"/>
    <x v="2"/>
    <n v="9"/>
    <s v="SPOOL"/>
    <n v="6"/>
    <x v="1"/>
    <s v="NÃO"/>
    <s v="NÃO"/>
    <x v="25"/>
    <x v="3"/>
    <s v="DISPOSIÇÃO DE REJEITOS LINHA DO CIRCUITO ULTRAFINO DISTRIBUIDOR DI-145A-9904 PARA A PENEIRA PN-145A-9702"/>
    <m/>
    <m/>
    <m/>
    <s v="1450AA-T-70278_FL16"/>
    <n v="1"/>
    <s v="PÇ"/>
    <n v="1.349"/>
    <n v="1.349"/>
    <n v="1169.77"/>
    <n v="1578.01973"/>
    <n v="0"/>
    <n v="0.9"/>
    <n v="0.1"/>
    <m/>
    <m/>
    <x v="0"/>
    <n v="0"/>
    <m/>
    <n v="0"/>
    <n v="1.349"/>
    <m/>
    <n v="0.4"/>
    <n v="0.5"/>
    <n v="0.1"/>
    <m/>
    <m/>
    <m/>
    <n v="0"/>
    <n v="0"/>
    <n v="0"/>
    <n v="1578.01973"/>
    <m/>
    <m/>
  </r>
  <r>
    <s v="2.4.3.1.1"/>
    <s v="CMS M.60.10.000"/>
    <x v="2"/>
    <n v="10"/>
    <s v="SPOOL"/>
    <n v="6"/>
    <x v="1"/>
    <s v="NÃO"/>
    <s v="NÃO"/>
    <x v="25"/>
    <x v="3"/>
    <s v="DISPOSIÇÃO DE REJEITOS LINHA DO CIRCUITO ULTRAFINO DISTRIBUIDOR DI-145A-9904 PARA A PENEIRA PN-145A-9702"/>
    <m/>
    <m/>
    <m/>
    <s v="1450AA-T-70278_FL11"/>
    <n v="1"/>
    <s v="PÇ"/>
    <n v="0.82"/>
    <n v="0.82"/>
    <n v="1169.77"/>
    <n v="959.21139999999991"/>
    <n v="0"/>
    <n v="0.9"/>
    <n v="0.1"/>
    <m/>
    <m/>
    <x v="0"/>
    <n v="0"/>
    <m/>
    <n v="0"/>
    <n v="0.82"/>
    <m/>
    <n v="0.4"/>
    <n v="0.5"/>
    <n v="0.1"/>
    <m/>
    <m/>
    <m/>
    <n v="0"/>
    <n v="0"/>
    <n v="0"/>
    <n v="959.21139999999991"/>
    <m/>
    <m/>
  </r>
  <r>
    <n v="0"/>
    <s v="CMS M.60.10.000"/>
    <x v="2"/>
    <n v="11"/>
    <s v="SPOOL"/>
    <s v="6 X 4"/>
    <x v="1"/>
    <s v="NÃO"/>
    <s v="NÃO"/>
    <x v="25"/>
    <x v="3"/>
    <s v="DISPOSIÇÃO DE REJEITOS LINHA DO CIRCUITO ULTRAFINO DISTRIBUIDOR DI-145A-9904 PARA A PENEIRA PN-145A-9702"/>
    <m/>
    <m/>
    <m/>
    <s v="1450AA-T-70278_FL09"/>
    <n v="1"/>
    <s v="PÇ"/>
    <n v="2.1349999999999998"/>
    <n v="2.1349999999999998"/>
    <n v="0"/>
    <n v="0"/>
    <n v="0"/>
    <n v="0.9"/>
    <n v="0.1"/>
    <m/>
    <m/>
    <x v="0"/>
    <n v="0"/>
    <m/>
    <n v="0"/>
    <n v="2.1349999999999998"/>
    <m/>
    <n v="0.4"/>
    <n v="0.5"/>
    <n v="0.1"/>
    <m/>
    <m/>
    <m/>
    <n v="0"/>
    <n v="0"/>
    <n v="0"/>
    <n v="0"/>
    <m/>
    <m/>
  </r>
  <r>
    <n v="0"/>
    <s v="CMS M.60.10.000"/>
    <x v="2"/>
    <n v="12"/>
    <s v="FLANGE"/>
    <n v="4"/>
    <x v="1"/>
    <s v="NÃO"/>
    <s v="NÃO"/>
    <x v="25"/>
    <x v="3"/>
    <s v="DISPOSIÇÃO DE REJEITOS LINHA DO CIRCUITO ULTRAFINO DISTRIBUIDOR DI-145A-9904 PARA A PENEIRA PN-145A-9702"/>
    <m/>
    <m/>
    <m/>
    <s v="1450AA-T-70278_FL03"/>
    <n v="2"/>
    <s v="PÇ"/>
    <n v="0"/>
    <n v="0"/>
    <n v="0"/>
    <n v="0"/>
    <n v="0"/>
    <n v="0.9"/>
    <n v="0.1"/>
    <m/>
    <m/>
    <x v="0"/>
    <n v="0"/>
    <m/>
    <n v="0"/>
    <n v="0"/>
    <m/>
    <n v="0.4"/>
    <n v="0.5"/>
    <n v="0.1"/>
    <m/>
    <m/>
    <m/>
    <n v="0"/>
    <n v="0"/>
    <n v="0"/>
    <n v="0"/>
    <m/>
    <m/>
  </r>
  <r>
    <s v="2.4.3.1.1"/>
    <s v="CMS M.60.10.000"/>
    <x v="2"/>
    <n v="1"/>
    <s v="CURVA"/>
    <n v="6"/>
    <x v="1"/>
    <s v="NÃO"/>
    <s v="NÃO"/>
    <x v="26"/>
    <x v="3"/>
    <s v="DISPOSIÇÃO DE REJEITOS LINHA DO CIRCUITO ULTRAFINO DISTRIBUIDOR DI-145A-9904 PARA A PENEIRA PN-145A-9703"/>
    <m/>
    <m/>
    <m/>
    <s v="1450AA-T-70280_FL15"/>
    <n v="2"/>
    <s v="PÇ"/>
    <n v="0.46500000000000002"/>
    <n v="0.93"/>
    <n v="1169.77"/>
    <n v="1087.8860999999999"/>
    <n v="0"/>
    <n v="0.9"/>
    <n v="0.1"/>
    <m/>
    <m/>
    <x v="0"/>
    <n v="0"/>
    <m/>
    <n v="0"/>
    <n v="0.93"/>
    <m/>
    <n v="0.4"/>
    <n v="0.5"/>
    <n v="0.1"/>
    <m/>
    <m/>
    <m/>
    <n v="0"/>
    <n v="0"/>
    <n v="0"/>
    <n v="1087.8860999999999"/>
    <m/>
    <m/>
  </r>
  <r>
    <s v="2.4.3.1.1"/>
    <s v="CMS M.60.10.000"/>
    <x v="2"/>
    <n v="2"/>
    <s v="SPOOL"/>
    <n v="6"/>
    <x v="1"/>
    <s v="NÃO"/>
    <s v="NÃO"/>
    <x v="26"/>
    <x v="3"/>
    <s v="DISPOSIÇÃO DE REJEITOS LINHA DO CIRCUITO ULTRAFINO DISTRIBUIDOR DI-145A-9904 PARA A PENEIRA PN-145A-9703"/>
    <m/>
    <m/>
    <m/>
    <s v="1450AA-T-70280_FL17"/>
    <n v="2"/>
    <s v="PÇ"/>
    <n v="1.6220000000000001"/>
    <n v="3.2440000000000002"/>
    <n v="1169.77"/>
    <n v="3794.7338800000002"/>
    <n v="0"/>
    <n v="0.9"/>
    <n v="0.1"/>
    <m/>
    <m/>
    <x v="0"/>
    <n v="0"/>
    <m/>
    <n v="0"/>
    <n v="3.2440000000000002"/>
    <m/>
    <n v="0.4"/>
    <n v="0.5"/>
    <n v="0.1"/>
    <m/>
    <m/>
    <m/>
    <n v="0"/>
    <n v="0"/>
    <n v="0"/>
    <n v="3794.7338800000002"/>
    <m/>
    <m/>
  </r>
  <r>
    <s v="2.4.3.1.1"/>
    <s v="CMS M.60.10.000"/>
    <x v="2"/>
    <n v="3"/>
    <s v="CURVA"/>
    <n v="6"/>
    <x v="1"/>
    <s v="NÃO"/>
    <s v="NÃO"/>
    <x v="26"/>
    <x v="3"/>
    <s v="DISPOSIÇÃO DE REJEITOS LINHA DO CIRCUITO ULTRAFINO DISTRIBUIDOR DI-145A-9904 PARA A PENEIRA PN-145A-9703"/>
    <m/>
    <m/>
    <m/>
    <s v="1450AA-T-70280_FL12"/>
    <n v="1"/>
    <s v="PÇ"/>
    <n v="0.39500000000000002"/>
    <n v="0.39500000000000002"/>
    <n v="1169.77"/>
    <n v="462.05914999999999"/>
    <n v="0"/>
    <n v="0.9"/>
    <n v="0.1"/>
    <m/>
    <m/>
    <x v="0"/>
    <n v="0"/>
    <m/>
    <n v="0"/>
    <n v="0.39500000000000002"/>
    <m/>
    <n v="0.4"/>
    <n v="0.5"/>
    <n v="0.1"/>
    <m/>
    <m/>
    <m/>
    <n v="0"/>
    <n v="0"/>
    <n v="0"/>
    <n v="462.05914999999999"/>
    <m/>
    <m/>
  </r>
  <r>
    <s v="2.4.3.1.1"/>
    <s v="CMS M.60.10.000"/>
    <x v="2"/>
    <n v="4"/>
    <s v="SPOOL"/>
    <n v="6"/>
    <x v="2"/>
    <s v="NÃO"/>
    <s v="NÃO"/>
    <x v="26"/>
    <x v="3"/>
    <s v="DISPOSIÇÃO DE REJEITOS LINHA DO CIRCUITO ULTRAFINO DISTRIBUIDOR DI-145A-9904 PARA A PENEIRA PN-145A-9703"/>
    <m/>
    <m/>
    <m/>
    <s v="1450AA-T-70280_FL21"/>
    <n v="1"/>
    <s v="PÇ"/>
    <n v="0.4"/>
    <n v="0.4"/>
    <n v="1169.77"/>
    <n v="467.90800000000002"/>
    <n v="0"/>
    <n v="0.9"/>
    <n v="0.1"/>
    <m/>
    <m/>
    <x v="0"/>
    <n v="0"/>
    <m/>
    <n v="0"/>
    <n v="0.4"/>
    <m/>
    <n v="0.4"/>
    <n v="0.5"/>
    <n v="0.1"/>
    <m/>
    <m/>
    <m/>
    <n v="0"/>
    <n v="0"/>
    <n v="0"/>
    <n v="467.90800000000002"/>
    <m/>
    <m/>
  </r>
  <r>
    <s v="2.4.3.1.1"/>
    <s v="CMS M.60.10.000"/>
    <x v="2"/>
    <n v="5"/>
    <s v="SPOOL"/>
    <n v="6"/>
    <x v="1"/>
    <s v="NÃO"/>
    <s v="NÃO"/>
    <x v="26"/>
    <x v="3"/>
    <s v="DISPOSIÇÃO DE REJEITOS LINHA DO CIRCUITO ULTRAFINO DISTRIBUIDOR DI-145A-9904 PARA A PENEIRA PN-145A-9703"/>
    <m/>
    <m/>
    <m/>
    <s v="1450AA-T-70280_FL19"/>
    <n v="2"/>
    <s v="PÇ"/>
    <n v="3"/>
    <n v="6"/>
    <n v="1169.77"/>
    <n v="7018.62"/>
    <n v="0"/>
    <n v="0.9"/>
    <n v="0.1"/>
    <m/>
    <m/>
    <x v="0"/>
    <n v="0"/>
    <m/>
    <n v="0"/>
    <n v="6"/>
    <m/>
    <n v="0.4"/>
    <n v="0.5"/>
    <n v="0.1"/>
    <m/>
    <m/>
    <m/>
    <n v="0"/>
    <n v="0"/>
    <n v="0"/>
    <n v="7018.62"/>
    <m/>
    <m/>
  </r>
  <r>
    <s v="2.4.3.1.1"/>
    <s v="CMS M.60.10.000"/>
    <x v="2"/>
    <n v="6"/>
    <s v="SPOOL"/>
    <n v="6"/>
    <x v="2"/>
    <s v="NÃO"/>
    <s v="NÃO"/>
    <x v="26"/>
    <x v="3"/>
    <s v="DISPOSIÇÃO DE REJEITOS LINHA DO CIRCUITO ULTRAFINO DISTRIBUIDOR DI-145A-9904 PARA A PENEIRA PN-145A-9703"/>
    <m/>
    <m/>
    <m/>
    <s v="1450AA-T-70280_FL22"/>
    <n v="1"/>
    <s v="PÇ"/>
    <n v="0.55000000000000004"/>
    <n v="0.55000000000000004"/>
    <n v="1169.77"/>
    <n v="643.37350000000004"/>
    <n v="0"/>
    <n v="0.9"/>
    <n v="0.1"/>
    <m/>
    <m/>
    <x v="0"/>
    <n v="0"/>
    <m/>
    <n v="0"/>
    <n v="0.55000000000000004"/>
    <m/>
    <n v="0.4"/>
    <n v="0.5"/>
    <n v="0.1"/>
    <m/>
    <m/>
    <m/>
    <n v="0"/>
    <n v="0"/>
    <n v="0"/>
    <n v="643.37350000000004"/>
    <m/>
    <m/>
  </r>
  <r>
    <s v="2.4.3.1.1"/>
    <s v="CMS M.60.10.000"/>
    <x v="2"/>
    <n v="7"/>
    <s v="CURVA"/>
    <n v="6"/>
    <x v="1"/>
    <s v="NÃO"/>
    <s v="NÃO"/>
    <x v="26"/>
    <x v="3"/>
    <s v="DISPOSIÇÃO DE REJEITOS LINHA DO CIRCUITO ULTRAFINO DISTRIBUIDOR DI-145A-9904 PARA A PENEIRA PN-145A-9703"/>
    <m/>
    <m/>
    <m/>
    <s v="1450AA-T-70280_FL14"/>
    <n v="1"/>
    <s v="PÇ"/>
    <n v="0.42"/>
    <n v="0.42"/>
    <n v="1169.77"/>
    <n v="491.30339999999995"/>
    <n v="0"/>
    <n v="0.9"/>
    <n v="0.1"/>
    <m/>
    <m/>
    <x v="0"/>
    <n v="0"/>
    <m/>
    <n v="0"/>
    <n v="0.42"/>
    <m/>
    <n v="0.4"/>
    <n v="0.5"/>
    <n v="0.1"/>
    <m/>
    <m/>
    <m/>
    <n v="0"/>
    <n v="0"/>
    <n v="0"/>
    <n v="491.30339999999995"/>
    <m/>
    <m/>
  </r>
  <r>
    <s v="2.4.3.1.1"/>
    <s v="CMS M.60.10.000"/>
    <x v="2"/>
    <n v="8"/>
    <s v="SPOOL"/>
    <n v="6"/>
    <x v="1"/>
    <s v="NÃO"/>
    <s v="NÃO"/>
    <x v="26"/>
    <x v="3"/>
    <s v="DISPOSIÇÃO DE REJEITOS LINHA DO CIRCUITO ULTRAFINO DISTRIBUIDOR DI-145A-9904 PARA A PENEIRA PN-145A-9703"/>
    <m/>
    <m/>
    <m/>
    <s v="1450AA-T-70280_FL18"/>
    <n v="1"/>
    <s v="PÇ"/>
    <n v="1.93"/>
    <n v="1.93"/>
    <n v="1169.77"/>
    <n v="2257.6560999999997"/>
    <n v="0"/>
    <n v="0.9"/>
    <n v="0.1"/>
    <m/>
    <m/>
    <x v="0"/>
    <n v="0"/>
    <m/>
    <n v="0"/>
    <n v="1.93"/>
    <m/>
    <n v="0.4"/>
    <n v="0.5"/>
    <n v="0.1"/>
    <m/>
    <m/>
    <m/>
    <n v="0"/>
    <n v="0"/>
    <n v="0"/>
    <n v="2257.6560999999997"/>
    <m/>
    <m/>
  </r>
  <r>
    <s v="2.4.3.1.1"/>
    <s v="CMS M.60.10.000"/>
    <x v="2"/>
    <n v="9"/>
    <s v="CURVA"/>
    <n v="6"/>
    <x v="1"/>
    <s v="NÃO"/>
    <s v="NÃO"/>
    <x v="26"/>
    <x v="3"/>
    <s v="DISPOSIÇÃO DE REJEITOS LINHA DO CIRCUITO ULTRAFINO DISTRIBUIDOR DI-145A-9904 PARA A PENEIRA PN-145A-9703"/>
    <m/>
    <m/>
    <m/>
    <s v="1450AA-T-70280_FL13"/>
    <n v="1"/>
    <s v="PÇ"/>
    <n v="0.51200000000000001"/>
    <n v="0.51200000000000001"/>
    <n v="1169.77"/>
    <n v="598.92223999999999"/>
    <n v="0"/>
    <n v="0.9"/>
    <n v="0.1"/>
    <m/>
    <m/>
    <x v="0"/>
    <n v="0"/>
    <m/>
    <n v="0"/>
    <n v="0.51200000000000001"/>
    <m/>
    <n v="0.4"/>
    <n v="0.5"/>
    <n v="0.1"/>
    <m/>
    <m/>
    <m/>
    <n v="0"/>
    <n v="0"/>
    <n v="0"/>
    <n v="598.92223999999999"/>
    <m/>
    <m/>
  </r>
  <r>
    <s v="2.4.3.1.1"/>
    <s v="CMS M.60.10.000"/>
    <x v="2"/>
    <n v="10"/>
    <s v="SPOOL"/>
    <n v="6"/>
    <x v="1"/>
    <s v="NÃO"/>
    <s v="NÃO"/>
    <x v="26"/>
    <x v="3"/>
    <s v="DISPOSIÇÃO DE REJEITOS LINHA DO CIRCUITO ULTRAFINO DISTRIBUIDOR DI-145A-9904 PARA A PENEIRA PN-145A-9703"/>
    <m/>
    <m/>
    <m/>
    <s v="1450AA-T-70280_FL16"/>
    <n v="1"/>
    <s v="PÇ"/>
    <n v="1.351"/>
    <n v="1.351"/>
    <n v="1169.77"/>
    <n v="1580.3592699999999"/>
    <n v="0"/>
    <n v="0.9"/>
    <n v="0.1"/>
    <m/>
    <m/>
    <x v="0"/>
    <n v="0"/>
    <m/>
    <n v="0"/>
    <n v="1.351"/>
    <m/>
    <n v="0.4"/>
    <n v="0.5"/>
    <n v="0.1"/>
    <m/>
    <m/>
    <m/>
    <n v="0"/>
    <n v="0"/>
    <n v="0"/>
    <n v="1580.3592699999999"/>
    <m/>
    <m/>
  </r>
  <r>
    <s v="2.4.3.1.1"/>
    <s v="CMS M.60.10.000"/>
    <x v="2"/>
    <n v="11"/>
    <s v="SPOOL"/>
    <n v="6"/>
    <x v="1"/>
    <s v="NÃO"/>
    <s v="NÃO"/>
    <x v="26"/>
    <x v="3"/>
    <s v="DISPOSIÇÃO DE REJEITOS LINHA DO CIRCUITO ULTRAFINO DISTRIBUIDOR DI-145A-9904 PARA A PENEIRA PN-145A-9703"/>
    <m/>
    <m/>
    <m/>
    <s v="1450AA-T-70280_FL11"/>
    <n v="1"/>
    <s v="PÇ"/>
    <n v="0.82"/>
    <n v="0.82"/>
    <n v="1169.77"/>
    <n v="959.21139999999991"/>
    <n v="0"/>
    <n v="0.9"/>
    <n v="0.1"/>
    <m/>
    <m/>
    <x v="0"/>
    <n v="0"/>
    <m/>
    <n v="0"/>
    <n v="0.82"/>
    <m/>
    <n v="0.4"/>
    <n v="0.5"/>
    <n v="0.1"/>
    <m/>
    <m/>
    <m/>
    <n v="0"/>
    <n v="0"/>
    <n v="0"/>
    <n v="959.21139999999991"/>
    <m/>
    <m/>
  </r>
  <r>
    <s v="2.4.3.1.1"/>
    <s v="CMS M.60.10.000"/>
    <x v="2"/>
    <n v="12"/>
    <s v="SPOOL"/>
    <n v="6"/>
    <x v="2"/>
    <s v="NÃO"/>
    <s v="NÃO"/>
    <x v="26"/>
    <x v="3"/>
    <s v="DISPOSIÇÃO DE REJEITOS LINHA DO CIRCUITO ULTRAFINO DISTRIBUIDOR DI-145A-9904 PARA A PENEIRA PN-145A-9703"/>
    <m/>
    <m/>
    <m/>
    <s v="1450AA-T-70280_FL20"/>
    <n v="1"/>
    <s v="PÇ"/>
    <n v="0.35"/>
    <n v="0.35"/>
    <n v="1169.77"/>
    <n v="409.41949999999997"/>
    <n v="0"/>
    <n v="0.9"/>
    <n v="0.1"/>
    <m/>
    <m/>
    <x v="0"/>
    <n v="0"/>
    <m/>
    <n v="0"/>
    <n v="0.35"/>
    <m/>
    <n v="0.4"/>
    <n v="0.5"/>
    <n v="0.1"/>
    <m/>
    <m/>
    <m/>
    <n v="0"/>
    <n v="0"/>
    <n v="0"/>
    <n v="409.41949999999997"/>
    <m/>
    <m/>
  </r>
  <r>
    <n v="0"/>
    <s v="CMS M.60.10.000"/>
    <x v="2"/>
    <n v="13"/>
    <s v="SPOOL"/>
    <s v="6 X 4"/>
    <x v="1"/>
    <s v="NÃO"/>
    <s v="NÃO"/>
    <x v="26"/>
    <x v="3"/>
    <s v="DISPOSIÇÃO DE REJEITOS LINHA DO CIRCUITO ULTRAFINO DISTRIBUIDOR DI-145A-9904 PARA A PENEIRA PN-145A-9703"/>
    <m/>
    <m/>
    <m/>
    <s v="1450AA-T-70280_FL09"/>
    <n v="1"/>
    <s v="PÇ"/>
    <n v="2.1349999999999998"/>
    <n v="2.1349999999999998"/>
    <n v="0"/>
    <n v="0"/>
    <n v="0"/>
    <n v="0.9"/>
    <n v="0.1"/>
    <m/>
    <m/>
    <x v="0"/>
    <n v="0"/>
    <m/>
    <n v="0"/>
    <n v="2.1349999999999998"/>
    <m/>
    <n v="0.4"/>
    <n v="0.5"/>
    <n v="0.1"/>
    <m/>
    <m/>
    <m/>
    <n v="0"/>
    <n v="0"/>
    <n v="0"/>
    <n v="0"/>
    <m/>
    <m/>
  </r>
  <r>
    <n v="0"/>
    <s v="CMS M.60.10.000"/>
    <x v="2"/>
    <n v="14"/>
    <s v="FLANGE"/>
    <n v="4"/>
    <x v="1"/>
    <s v="NÃO"/>
    <s v="NÃO"/>
    <x v="26"/>
    <x v="3"/>
    <s v="DISPOSIÇÃO DE REJEITOS LINHA DO CIRCUITO ULTRAFINO DISTRIBUIDOR DI-145A-9904 PARA A PENEIRA PN-145A-9703"/>
    <m/>
    <m/>
    <m/>
    <s v="1450AA-T-70280_FL03"/>
    <n v="2"/>
    <s v="PÇ"/>
    <n v="0"/>
    <n v="0"/>
    <n v="0"/>
    <n v="0"/>
    <n v="0"/>
    <n v="0.9"/>
    <n v="0.1"/>
    <m/>
    <m/>
    <x v="0"/>
    <n v="0"/>
    <m/>
    <n v="0"/>
    <n v="0"/>
    <m/>
    <n v="0.4"/>
    <n v="0.5"/>
    <n v="0.1"/>
    <m/>
    <m/>
    <m/>
    <n v="0"/>
    <n v="0"/>
    <n v="0"/>
    <n v="0"/>
    <m/>
    <m/>
  </r>
  <r>
    <s v="2.4.3.1.1"/>
    <s v="CMS M.60.10.000"/>
    <x v="2"/>
    <n v="1"/>
    <s v="SPOOL"/>
    <n v="6"/>
    <x v="1"/>
    <s v="NÃO"/>
    <s v="NÃO"/>
    <x v="27"/>
    <x v="3"/>
    <s v="DISPOSIÇÃO DE REJEITOS LINHA DO CIRCUITO ULTRAFINO DISTRIBUIDOR DI-145A-9905 PARA A PENEIRA PN-145A-9724"/>
    <m/>
    <m/>
    <m/>
    <s v="1450AA-T-70283_FL12"/>
    <n v="3"/>
    <s v="PÇ"/>
    <n v="2"/>
    <n v="6"/>
    <n v="1169.77"/>
    <n v="7018.62"/>
    <n v="0"/>
    <n v="0.9"/>
    <n v="0.1"/>
    <m/>
    <m/>
    <x v="0"/>
    <n v="0"/>
    <m/>
    <n v="0"/>
    <n v="6"/>
    <m/>
    <n v="0.4"/>
    <n v="0.5"/>
    <n v="0.1"/>
    <m/>
    <m/>
    <m/>
    <n v="0"/>
    <n v="0"/>
    <n v="0"/>
    <n v="7018.62"/>
    <m/>
    <m/>
  </r>
  <r>
    <s v="2.4.3.1.1"/>
    <s v="CMS M.60.10.000"/>
    <x v="2"/>
    <n v="2"/>
    <s v="SPOOL"/>
    <n v="6"/>
    <x v="1"/>
    <s v="NÃO"/>
    <s v="NÃO"/>
    <x v="27"/>
    <x v="3"/>
    <s v="DISPOSIÇÃO DE REJEITOS LINHA DO CIRCUITO ULTRAFINO DISTRIBUIDOR DI-145A-9905 PARA A PENEIRA PN-145A-9724"/>
    <m/>
    <m/>
    <m/>
    <s v="1450AA-T-70283_FL11"/>
    <n v="1"/>
    <s v="PÇ"/>
    <n v="1.5"/>
    <n v="1.5"/>
    <n v="1169.77"/>
    <n v="1754.655"/>
    <n v="0"/>
    <n v="0.9"/>
    <n v="0.1"/>
    <m/>
    <m/>
    <x v="0"/>
    <n v="0"/>
    <m/>
    <n v="0"/>
    <n v="1.5"/>
    <m/>
    <n v="0.4"/>
    <n v="0.5"/>
    <n v="0.1"/>
    <m/>
    <m/>
    <m/>
    <n v="0"/>
    <n v="0"/>
    <n v="0"/>
    <n v="1754.655"/>
    <m/>
    <m/>
  </r>
  <r>
    <s v="2.4.3.1.1"/>
    <s v="CMS M.60.10.000"/>
    <x v="2"/>
    <n v="3"/>
    <s v="SPOOL"/>
    <n v="6"/>
    <x v="1"/>
    <s v="NÃO"/>
    <s v="NÃO"/>
    <x v="27"/>
    <x v="3"/>
    <s v="DISPOSIÇÃO DE REJEITOS LINHA DO CIRCUITO ULTRAFINO DISTRIBUIDOR DI-145A-9905 PARA A PENEIRA PN-145A-9724"/>
    <m/>
    <m/>
    <m/>
    <s v="1450AA-T-70283_FL10"/>
    <n v="1"/>
    <s v="PÇ"/>
    <n v="0.75"/>
    <n v="0.75"/>
    <n v="1169.77"/>
    <n v="877.32749999999999"/>
    <n v="0"/>
    <n v="0.9"/>
    <n v="0.1"/>
    <m/>
    <m/>
    <x v="0"/>
    <n v="0"/>
    <m/>
    <n v="0"/>
    <n v="0.75"/>
    <m/>
    <n v="0.4"/>
    <n v="0.5"/>
    <n v="0.1"/>
    <m/>
    <m/>
    <m/>
    <n v="0"/>
    <n v="0"/>
    <n v="0"/>
    <n v="877.32749999999999"/>
    <m/>
    <m/>
  </r>
  <r>
    <s v="2.4.3.1.1"/>
    <s v="CMS M.60.10.000"/>
    <x v="2"/>
    <n v="4"/>
    <s v="SPOOL"/>
    <n v="6"/>
    <x v="2"/>
    <s v="NÃO"/>
    <s v="NÃO"/>
    <x v="27"/>
    <x v="3"/>
    <s v="DISPOSIÇÃO DE REJEITOS LINHA DO CIRCUITO ULTRAFINO DISTRIBUIDOR DI-145A-9905 PARA A PENEIRA PN-145A-9724"/>
    <m/>
    <m/>
    <m/>
    <s v="1450AA-T-70283_FL15"/>
    <n v="1"/>
    <s v="PÇ"/>
    <n v="0.52"/>
    <n v="0.52"/>
    <n v="1169.77"/>
    <n v="608.28039999999999"/>
    <n v="0"/>
    <n v="0.9"/>
    <n v="0.1"/>
    <m/>
    <m/>
    <x v="0"/>
    <n v="0"/>
    <m/>
    <n v="0"/>
    <n v="0.52"/>
    <m/>
    <n v="0.4"/>
    <n v="0.5"/>
    <n v="0.1"/>
    <m/>
    <m/>
    <m/>
    <n v="0"/>
    <n v="0"/>
    <n v="0"/>
    <n v="608.28039999999999"/>
    <m/>
    <m/>
  </r>
  <r>
    <s v="2.4.3.1.1"/>
    <s v="CMS M.60.10.000"/>
    <x v="2"/>
    <n v="5"/>
    <s v="SPOOL"/>
    <n v="6"/>
    <x v="2"/>
    <s v="NÃO"/>
    <s v="NÃO"/>
    <x v="27"/>
    <x v="3"/>
    <s v="DISPOSIÇÃO DE REJEITOS LINHA DO CIRCUITO ULTRAFINO DISTRIBUIDOR DI-145A-9905 PARA A PENEIRA PN-145A-9724"/>
    <m/>
    <m/>
    <m/>
    <s v="1450AA-T-70283_FL14"/>
    <n v="1"/>
    <s v="PÇ"/>
    <n v="0.34"/>
    <n v="0.34"/>
    <n v="1169.77"/>
    <n v="397.72180000000003"/>
    <n v="0"/>
    <n v="0.9"/>
    <n v="0.1"/>
    <m/>
    <m/>
    <x v="0"/>
    <n v="0"/>
    <m/>
    <n v="0"/>
    <n v="0.34"/>
    <m/>
    <n v="0.4"/>
    <n v="0.5"/>
    <n v="0.1"/>
    <m/>
    <m/>
    <m/>
    <n v="0"/>
    <n v="0"/>
    <n v="0"/>
    <n v="397.72180000000003"/>
    <m/>
    <m/>
  </r>
  <r>
    <s v="2.4.3.1.1"/>
    <s v="CMS M.60.10.000"/>
    <x v="2"/>
    <n v="6"/>
    <s v="SPOOL"/>
    <n v="6"/>
    <x v="2"/>
    <s v="NÃO"/>
    <s v="NÃO"/>
    <x v="27"/>
    <x v="3"/>
    <s v="DISPOSIÇÃO DE REJEITOS LINHA DO CIRCUITO ULTRAFINO DISTRIBUIDOR DI-145A-9905 PARA A PENEIRA PN-145A-9724"/>
    <m/>
    <m/>
    <m/>
    <s v="1450AA-T-70283_FL13"/>
    <n v="1"/>
    <s v="PÇ"/>
    <n v="0.31"/>
    <n v="0.31"/>
    <n v="1169.77"/>
    <n v="362.62869999999998"/>
    <n v="0"/>
    <n v="0.9"/>
    <n v="0.1"/>
    <m/>
    <m/>
    <x v="0"/>
    <n v="0"/>
    <m/>
    <n v="0"/>
    <n v="0.31"/>
    <m/>
    <n v="0.4"/>
    <n v="0.5"/>
    <n v="0.1"/>
    <m/>
    <m/>
    <m/>
    <n v="0"/>
    <n v="0"/>
    <n v="0"/>
    <n v="362.62869999999998"/>
    <m/>
    <m/>
  </r>
  <r>
    <s v="2.4.3.1.1"/>
    <s v="CMS M.60.10.000"/>
    <x v="2"/>
    <n v="7"/>
    <s v="SPOOL"/>
    <n v="6"/>
    <x v="1"/>
    <s v="NÃO"/>
    <s v="NÃO"/>
    <x v="27"/>
    <x v="3"/>
    <s v="DISPOSIÇÃO DE REJEITOS LINHA DO CIRCUITO ULTRAFINO DISTRIBUIDOR DI-145A-9905 PARA A PENEIRA PN-145A-9724"/>
    <m/>
    <m/>
    <m/>
    <s v="1450AA-T-70283_FL09"/>
    <n v="2"/>
    <s v="PÇ"/>
    <n v="0.3"/>
    <n v="0.6"/>
    <n v="1169.77"/>
    <n v="701.86199999999997"/>
    <n v="0"/>
    <n v="0.9"/>
    <n v="0.1"/>
    <m/>
    <m/>
    <x v="0"/>
    <n v="0"/>
    <m/>
    <n v="0"/>
    <n v="0.6"/>
    <m/>
    <n v="0.4"/>
    <n v="0.5"/>
    <n v="0.1"/>
    <m/>
    <m/>
    <m/>
    <n v="0"/>
    <n v="0"/>
    <n v="0"/>
    <n v="701.86199999999997"/>
    <m/>
    <m/>
  </r>
  <r>
    <s v="2.4.3.1.1"/>
    <s v="CMS M.60.10.000"/>
    <x v="2"/>
    <n v="8"/>
    <s v="CURVA"/>
    <n v="6"/>
    <x v="1"/>
    <s v="NÃO"/>
    <s v="NÃO"/>
    <x v="27"/>
    <x v="3"/>
    <s v="DISPOSIÇÃO DE REJEITOS LINHA DO CIRCUITO ULTRAFINO DISTRIBUIDOR DI-145A-9905 PARA A PENEIRA PN-145A-9724"/>
    <m/>
    <m/>
    <m/>
    <s v="1450AA-T-70283_FL18"/>
    <n v="3"/>
    <s v="PÇ"/>
    <n v="0.46500000000000002"/>
    <n v="1.395"/>
    <n v="1169.77"/>
    <n v="1631.82915"/>
    <n v="0"/>
    <n v="0.9"/>
    <n v="0.1"/>
    <m/>
    <m/>
    <x v="0"/>
    <n v="0"/>
    <m/>
    <n v="0"/>
    <n v="1.395"/>
    <m/>
    <n v="0.4"/>
    <n v="0.5"/>
    <n v="0.1"/>
    <m/>
    <m/>
    <m/>
    <n v="0"/>
    <n v="0"/>
    <n v="0"/>
    <n v="1631.82915"/>
    <m/>
    <m/>
  </r>
  <r>
    <s v="2.4.3.1.1"/>
    <s v="CMS M.60.10.000"/>
    <x v="2"/>
    <n v="9"/>
    <s v="CURVA"/>
    <n v="6"/>
    <x v="1"/>
    <s v="NÃO"/>
    <s v="NÃO"/>
    <x v="27"/>
    <x v="3"/>
    <s v="DISPOSIÇÃO DE REJEITOS LINHA DO CIRCUITO ULTRAFINO DISTRIBUIDOR DI-145A-9905 PARA A PENEIRA PN-145A-9724"/>
    <m/>
    <m/>
    <m/>
    <s v="1450AA-T-70283_FL17"/>
    <n v="1"/>
    <s v="PÇ"/>
    <n v="0.315"/>
    <n v="0.315"/>
    <n v="1169.77"/>
    <n v="368.47755000000001"/>
    <n v="0"/>
    <n v="0.9"/>
    <n v="0.1"/>
    <m/>
    <m/>
    <x v="0"/>
    <n v="0"/>
    <m/>
    <n v="0"/>
    <n v="0.315"/>
    <m/>
    <n v="0.4"/>
    <n v="0.5"/>
    <n v="0.1"/>
    <m/>
    <m/>
    <m/>
    <n v="0"/>
    <n v="0"/>
    <n v="0"/>
    <n v="368.47755000000001"/>
    <m/>
    <m/>
  </r>
  <r>
    <s v="2.4.3.1.1"/>
    <s v="CMS M.60.10.000"/>
    <x v="2"/>
    <n v="10"/>
    <s v="CURVA"/>
    <n v="6"/>
    <x v="1"/>
    <s v="NÃO"/>
    <s v="NÃO"/>
    <x v="27"/>
    <x v="3"/>
    <s v="DISPOSIÇÃO DE REJEITOS LINHA DO CIRCUITO ULTRAFINO DISTRIBUIDOR DI-145A-9905 PARA A PENEIRA PN-145A-9724"/>
    <m/>
    <m/>
    <m/>
    <s v="1450AA-T-70283_FL16"/>
    <n v="1"/>
    <s v="PÇ"/>
    <n v="0.23499999999999999"/>
    <n v="0.23499999999999999"/>
    <n v="1169.77"/>
    <n v="274.89594999999997"/>
    <n v="0"/>
    <n v="0.9"/>
    <n v="0.1"/>
    <m/>
    <m/>
    <x v="0"/>
    <n v="0"/>
    <m/>
    <n v="0"/>
    <n v="0.23499999999999999"/>
    <m/>
    <n v="0.4"/>
    <n v="0.5"/>
    <n v="0.1"/>
    <m/>
    <m/>
    <m/>
    <n v="0"/>
    <n v="0"/>
    <n v="0"/>
    <n v="274.89594999999997"/>
    <m/>
    <m/>
  </r>
  <r>
    <n v="0"/>
    <s v="CMS M.60.10.000"/>
    <x v="2"/>
    <n v="11"/>
    <s v="SPOOL"/>
    <s v="6 X 4"/>
    <x v="1"/>
    <s v="NÃO"/>
    <s v="NÃO"/>
    <x v="27"/>
    <x v="3"/>
    <s v="DISPOSIÇÃO DE REJEITOS LINHA DO CIRCUITO ULTRAFINO DISTRIBUIDOR DI-145A-9905 PARA A PENEIRA PN-145A-9724"/>
    <m/>
    <m/>
    <m/>
    <s v="1450AA-T-70283_FL19"/>
    <n v="1"/>
    <s v="PÇ"/>
    <n v="2.1349999999999998"/>
    <n v="2.1349999999999998"/>
    <n v="0"/>
    <n v="0"/>
    <n v="0"/>
    <n v="0.9"/>
    <n v="0.1"/>
    <m/>
    <m/>
    <x v="0"/>
    <n v="0"/>
    <m/>
    <n v="0"/>
    <n v="2.1349999999999998"/>
    <m/>
    <n v="0.4"/>
    <n v="0.5"/>
    <n v="0.1"/>
    <m/>
    <m/>
    <m/>
    <n v="0"/>
    <n v="0"/>
    <n v="0"/>
    <n v="0"/>
    <m/>
    <m/>
  </r>
  <r>
    <n v="0"/>
    <s v="CMS M.60.10.000"/>
    <x v="2"/>
    <n v="12"/>
    <s v="FLANGE"/>
    <n v="4"/>
    <x v="1"/>
    <s v="NÃO"/>
    <s v="NÃO"/>
    <x v="27"/>
    <x v="3"/>
    <s v="DISPOSIÇÃO DE REJEITOS LINHA DO CIRCUITO ULTRAFINO DISTRIBUIDOR DI-145A-9905 PARA A PENEIRA PN-145A-9724"/>
    <m/>
    <m/>
    <m/>
    <s v="1450AA-T-70283_FL03"/>
    <n v="2"/>
    <s v="PÇ"/>
    <n v="0"/>
    <n v="0"/>
    <n v="0"/>
    <n v="0"/>
    <n v="0"/>
    <n v="0.9"/>
    <n v="0.1"/>
    <m/>
    <m/>
    <x v="0"/>
    <n v="0"/>
    <m/>
    <n v="0"/>
    <n v="0"/>
    <m/>
    <n v="0.4"/>
    <n v="0.5"/>
    <n v="0.1"/>
    <m/>
    <m/>
    <m/>
    <n v="0"/>
    <n v="0"/>
    <n v="0"/>
    <n v="0"/>
    <m/>
    <m/>
  </r>
  <r>
    <s v="2.4.3.1.1"/>
    <s v="CMS M.60.10.000"/>
    <x v="2"/>
    <n v="1"/>
    <s v="SPOOL"/>
    <n v="6"/>
    <x v="1"/>
    <s v="NÃO"/>
    <s v="NÃO"/>
    <x v="28"/>
    <x v="3"/>
    <s v="DISPOSIÇÃO DE REJEITOS LINHA DO CIRCUITO ULTRAFINO DISTRIBUIDOR DI-145A-9905 PARA A PENEIRA PN-145A-9725"/>
    <m/>
    <m/>
    <m/>
    <s v="1450AA-T-70440_FL12"/>
    <n v="1"/>
    <s v="PÇ"/>
    <n v="1.9"/>
    <n v="1.9"/>
    <n v="1169.77"/>
    <n v="2222.5629999999996"/>
    <n v="0"/>
    <n v="0.9"/>
    <n v="0.1"/>
    <m/>
    <m/>
    <x v="0"/>
    <n v="0"/>
    <m/>
    <n v="0"/>
    <n v="1.9"/>
    <m/>
    <n v="0.4"/>
    <n v="0.5"/>
    <n v="0.1"/>
    <m/>
    <m/>
    <m/>
    <n v="0"/>
    <n v="0"/>
    <n v="0"/>
    <n v="2222.5629999999996"/>
    <m/>
    <m/>
  </r>
  <r>
    <s v="2.4.3.1.1"/>
    <s v="CMS M.60.10.000"/>
    <x v="2"/>
    <n v="2"/>
    <s v="SPOOL"/>
    <n v="6"/>
    <x v="1"/>
    <s v="NÃO"/>
    <s v="NÃO"/>
    <x v="28"/>
    <x v="3"/>
    <s v="DISPOSIÇÃO DE REJEITOS LINHA DO CIRCUITO ULTRAFINO DISTRIBUIDOR DI-145A-9905 PARA A PENEIRA PN-145A-9725"/>
    <m/>
    <m/>
    <m/>
    <s v="1450AA-T-70440_FL11"/>
    <n v="1"/>
    <s v="PÇ"/>
    <n v="1.05"/>
    <n v="1.05"/>
    <n v="1169.77"/>
    <n v="1228.2585000000001"/>
    <n v="0"/>
    <n v="0.9"/>
    <n v="0.1"/>
    <m/>
    <m/>
    <x v="0"/>
    <n v="0"/>
    <m/>
    <n v="0"/>
    <n v="1.05"/>
    <m/>
    <n v="0.4"/>
    <n v="0.5"/>
    <n v="0.1"/>
    <m/>
    <m/>
    <m/>
    <n v="0"/>
    <n v="0"/>
    <n v="0"/>
    <n v="1228.2585000000001"/>
    <m/>
    <m/>
  </r>
  <r>
    <s v="2.4.3.1.1"/>
    <s v="CMS M.60.10.000"/>
    <x v="2"/>
    <n v="3"/>
    <s v="SPOOL"/>
    <n v="6"/>
    <x v="1"/>
    <s v="NÃO"/>
    <s v="NÃO"/>
    <x v="28"/>
    <x v="3"/>
    <s v="DISPOSIÇÃO DE REJEITOS LINHA DO CIRCUITO ULTRAFINO DISTRIBUIDOR DI-145A-9905 PARA A PENEIRA PN-145A-9725"/>
    <m/>
    <m/>
    <m/>
    <s v="1450AA-T-70440_FL10"/>
    <n v="1"/>
    <s v="PÇ"/>
    <n v="1"/>
    <n v="1"/>
    <n v="1169.77"/>
    <n v="1169.77"/>
    <n v="0"/>
    <n v="0.9"/>
    <n v="0.1"/>
    <m/>
    <m/>
    <x v="0"/>
    <n v="0"/>
    <m/>
    <n v="0"/>
    <n v="1"/>
    <m/>
    <n v="0.4"/>
    <n v="0.5"/>
    <n v="0.1"/>
    <m/>
    <m/>
    <m/>
    <n v="0"/>
    <n v="0"/>
    <n v="0"/>
    <n v="1169.77"/>
    <m/>
    <m/>
  </r>
  <r>
    <s v="2.4.3.1.1"/>
    <s v="CMS M.60.10.000"/>
    <x v="2"/>
    <n v="4"/>
    <s v="SPOOL"/>
    <n v="6"/>
    <x v="1"/>
    <s v="NÃO"/>
    <s v="NÃO"/>
    <x v="28"/>
    <x v="3"/>
    <s v="DISPOSIÇÃO DE REJEITOS LINHA DO CIRCUITO ULTRAFINO DISTRIBUIDOR DI-145A-9905 PARA A PENEIRA PN-145A-9725"/>
    <m/>
    <m/>
    <m/>
    <s v="1450AA-T-70440_FL09"/>
    <n v="1"/>
    <s v="PÇ"/>
    <n v="0.9"/>
    <n v="0.9"/>
    <n v="1169.77"/>
    <n v="1052.7930000000001"/>
    <n v="0"/>
    <n v="0.9"/>
    <n v="0.1"/>
    <m/>
    <m/>
    <x v="0"/>
    <n v="0"/>
    <m/>
    <n v="0"/>
    <n v="0.9"/>
    <m/>
    <n v="0.4"/>
    <n v="0.5"/>
    <n v="0.1"/>
    <m/>
    <m/>
    <m/>
    <n v="0"/>
    <n v="0"/>
    <n v="0"/>
    <n v="1052.7930000000001"/>
    <m/>
    <m/>
  </r>
  <r>
    <s v="2.4.3.1.1"/>
    <s v="CMS M.60.10.000"/>
    <x v="2"/>
    <n v="5"/>
    <s v="SPOOL"/>
    <n v="6"/>
    <x v="2"/>
    <s v="NÃO"/>
    <s v="NÃO"/>
    <x v="28"/>
    <x v="3"/>
    <s v="DISPOSIÇÃO DE REJEITOS LINHA DO CIRCUITO ULTRAFINO DISTRIBUIDOR DI-145A-9905 PARA A PENEIRA PN-145A-9725"/>
    <m/>
    <m/>
    <m/>
    <s v="1450AA-T-70440_FL14"/>
    <n v="1"/>
    <s v="PÇ"/>
    <n v="0.4"/>
    <n v="0.4"/>
    <n v="1169.77"/>
    <n v="467.90800000000002"/>
    <n v="0"/>
    <n v="0.9"/>
    <n v="0.1"/>
    <m/>
    <m/>
    <x v="0"/>
    <n v="0"/>
    <m/>
    <n v="0"/>
    <n v="0.4"/>
    <m/>
    <n v="0.4"/>
    <n v="0.5"/>
    <n v="0.1"/>
    <m/>
    <m/>
    <m/>
    <n v="0"/>
    <n v="0"/>
    <n v="0"/>
    <n v="467.90800000000002"/>
    <m/>
    <m/>
  </r>
  <r>
    <s v="2.4.3.1.1"/>
    <s v="CMS M.60.10.000"/>
    <x v="2"/>
    <n v="6"/>
    <s v="SPOOL"/>
    <n v="6"/>
    <x v="2"/>
    <s v="NÃO"/>
    <s v="NÃO"/>
    <x v="28"/>
    <x v="3"/>
    <s v="DISPOSIÇÃO DE REJEITOS LINHA DO CIRCUITO ULTRAFINO DISTRIBUIDOR DI-145A-9905 PARA A PENEIRA PN-145A-9725"/>
    <m/>
    <m/>
    <m/>
    <s v="1450AA-T-70440_FL13"/>
    <n v="1"/>
    <s v="PÇ"/>
    <n v="0.37"/>
    <n v="0.37"/>
    <n v="1169.77"/>
    <n v="432.81489999999997"/>
    <n v="0"/>
    <n v="0.9"/>
    <n v="0.1"/>
    <m/>
    <m/>
    <x v="0"/>
    <n v="0"/>
    <m/>
    <n v="0"/>
    <n v="0.37"/>
    <m/>
    <n v="0.4"/>
    <n v="0.5"/>
    <n v="0.1"/>
    <m/>
    <m/>
    <m/>
    <n v="0"/>
    <n v="0"/>
    <n v="0"/>
    <n v="432.81489999999997"/>
    <m/>
    <m/>
  </r>
  <r>
    <s v="2.4.3.1.1"/>
    <s v="CMS M.60.10.000"/>
    <x v="2"/>
    <n v="7"/>
    <s v="CURVA"/>
    <n v="6"/>
    <x v="1"/>
    <s v="NÃO"/>
    <s v="NÃO"/>
    <x v="28"/>
    <x v="3"/>
    <s v="DISPOSIÇÃO DE REJEITOS LINHA DO CIRCUITO ULTRAFINO DISTRIBUIDOR DI-145A-9905 PARA A PENEIRA PN-145A-9725"/>
    <m/>
    <m/>
    <m/>
    <s v="1450AA-T-70440_FL17"/>
    <n v="1"/>
    <s v="PÇ"/>
    <n v="0.46899999999999997"/>
    <n v="0.46899999999999997"/>
    <n v="1169.77"/>
    <n v="548.62212999999997"/>
    <n v="0"/>
    <n v="0.9"/>
    <n v="0.1"/>
    <m/>
    <m/>
    <x v="0"/>
    <n v="0"/>
    <m/>
    <n v="0"/>
    <n v="0.46899999999999997"/>
    <m/>
    <n v="0.4"/>
    <n v="0.5"/>
    <n v="0.1"/>
    <m/>
    <m/>
    <m/>
    <n v="0"/>
    <n v="0"/>
    <n v="0"/>
    <n v="548.62212999999997"/>
    <m/>
    <m/>
  </r>
  <r>
    <s v="2.4.3.1.1"/>
    <s v="CMS M.60.10.000"/>
    <x v="2"/>
    <n v="8"/>
    <s v="CURVA"/>
    <n v="6"/>
    <x v="1"/>
    <s v="NÃO"/>
    <s v="NÃO"/>
    <x v="28"/>
    <x v="3"/>
    <s v="DISPOSIÇÃO DE REJEITOS LINHA DO CIRCUITO ULTRAFINO DISTRIBUIDOR DI-145A-9905 PARA A PENEIRA PN-145A-9725"/>
    <m/>
    <m/>
    <m/>
    <s v="1450AA-T-70440_FL16"/>
    <n v="1"/>
    <s v="PÇ"/>
    <n v="0.36399999999999999"/>
    <n v="0.36399999999999999"/>
    <n v="1169.77"/>
    <n v="425.79627999999997"/>
    <n v="0"/>
    <n v="0.9"/>
    <n v="0.1"/>
    <m/>
    <m/>
    <x v="0"/>
    <n v="0"/>
    <m/>
    <n v="0"/>
    <n v="0.36399999999999999"/>
    <m/>
    <n v="0.4"/>
    <n v="0.5"/>
    <n v="0.1"/>
    <m/>
    <m/>
    <m/>
    <n v="0"/>
    <n v="0"/>
    <n v="0"/>
    <n v="425.79627999999997"/>
    <m/>
    <m/>
  </r>
  <r>
    <s v="2.4.3.1.1"/>
    <s v="CMS M.60.10.000"/>
    <x v="2"/>
    <n v="9"/>
    <s v="CURVA"/>
    <n v="6"/>
    <x v="1"/>
    <s v="NÃO"/>
    <s v="NÃO"/>
    <x v="28"/>
    <x v="3"/>
    <s v="DISPOSIÇÃO DE REJEITOS LINHA DO CIRCUITO ULTRAFINO DISTRIBUIDOR DI-145A-9905 PARA A PENEIRA PN-145A-9725"/>
    <m/>
    <m/>
    <m/>
    <s v="1450AA-T-70440_FL15"/>
    <n v="1"/>
    <s v="PÇ"/>
    <n v="0.188"/>
    <n v="0.188"/>
    <n v="1169.77"/>
    <n v="219.91676000000001"/>
    <n v="0"/>
    <n v="0.9"/>
    <n v="0.1"/>
    <m/>
    <m/>
    <x v="0"/>
    <n v="0"/>
    <m/>
    <n v="0"/>
    <n v="0.188"/>
    <m/>
    <n v="0.4"/>
    <n v="0.5"/>
    <n v="0.1"/>
    <m/>
    <m/>
    <m/>
    <n v="0"/>
    <n v="0"/>
    <n v="0"/>
    <n v="219.91676000000001"/>
    <m/>
    <m/>
  </r>
  <r>
    <n v="0"/>
    <s v="CMS M.60.10.000"/>
    <x v="2"/>
    <n v="10"/>
    <s v="SPOOL"/>
    <s v="6 X 4"/>
    <x v="1"/>
    <s v="NÃO"/>
    <s v="NÃO"/>
    <x v="28"/>
    <x v="3"/>
    <s v="DISPOSIÇÃO DE REJEITOS LINHA DO CIRCUITO ULTRAFINO DISTRIBUIDOR DI-145A-9905 PARA A PENEIRA PN-145A-9725"/>
    <m/>
    <m/>
    <m/>
    <s v="1450AA-T-70440_FL18"/>
    <n v="1"/>
    <s v="PÇ"/>
    <n v="2.1349999999999998"/>
    <n v="2.1349999999999998"/>
    <n v="0"/>
    <n v="0"/>
    <n v="0"/>
    <n v="0.9"/>
    <n v="0.1"/>
    <m/>
    <m/>
    <x v="0"/>
    <n v="0"/>
    <m/>
    <n v="0"/>
    <n v="2.1349999999999998"/>
    <m/>
    <n v="0.4"/>
    <n v="0.5"/>
    <n v="0.1"/>
    <m/>
    <m/>
    <m/>
    <n v="0"/>
    <n v="0"/>
    <n v="0"/>
    <n v="0"/>
    <m/>
    <m/>
  </r>
  <r>
    <n v="0"/>
    <s v="CMS M.60.10.000"/>
    <x v="2"/>
    <n v="11"/>
    <s v="FLANGE"/>
    <n v="4"/>
    <x v="1"/>
    <s v="NÃO"/>
    <s v="NÃO"/>
    <x v="28"/>
    <x v="3"/>
    <s v="DISPOSIÇÃO DE REJEITOS LINHA DO CIRCUITO ULTRAFINO DISTRIBUIDOR DI-145A-9905 PARA A PENEIRA PN-145A-9725"/>
    <m/>
    <m/>
    <m/>
    <s v="1450AA-T-70440_FL03"/>
    <n v="2"/>
    <s v="PÇ"/>
    <n v="0"/>
    <n v="0"/>
    <n v="0"/>
    <n v="0"/>
    <n v="0"/>
    <n v="0.9"/>
    <n v="0.1"/>
    <m/>
    <m/>
    <x v="0"/>
    <n v="0"/>
    <m/>
    <n v="0"/>
    <n v="0"/>
    <m/>
    <n v="0.4"/>
    <n v="0.5"/>
    <n v="0.1"/>
    <m/>
    <m/>
    <m/>
    <n v="0"/>
    <n v="0"/>
    <n v="0"/>
    <n v="0"/>
    <m/>
    <m/>
  </r>
  <r>
    <s v="2.4.3.1.2"/>
    <s v="CMS M.60.10.000"/>
    <x v="2"/>
    <n v="1"/>
    <s v="CURVA"/>
    <n v="8"/>
    <x v="1"/>
    <s v="NÃO"/>
    <s v="NÃO"/>
    <x v="29"/>
    <x v="2"/>
    <s v="DISPOSIÇÃO DE REJEITOS LINHA DO CIRCUITO ARENOSO DISTRIBUIDOR DI-145A-9912 PARA A PENEIRA PN-145A-9701"/>
    <m/>
    <m/>
    <m/>
    <s v="1450AA-T-70378_FL17"/>
    <n v="2"/>
    <s v="PÇ"/>
    <n v="0.61099999999999999"/>
    <n v="1.222"/>
    <n v="1651.88"/>
    <n v="2018.59736"/>
    <n v="0"/>
    <n v="0.9"/>
    <n v="0.1"/>
    <m/>
    <m/>
    <x v="0"/>
    <n v="0"/>
    <m/>
    <n v="0"/>
    <n v="1.222"/>
    <m/>
    <n v="0.4"/>
    <n v="0.5"/>
    <n v="0.1"/>
    <m/>
    <m/>
    <m/>
    <n v="0"/>
    <n v="0"/>
    <n v="0"/>
    <n v="2018.59736"/>
    <m/>
    <m/>
  </r>
  <r>
    <s v="2.4.3.1.2"/>
    <s v="CMS M.60.10.000"/>
    <x v="2"/>
    <n v="2"/>
    <s v="SPOOL"/>
    <n v="8"/>
    <x v="1"/>
    <s v="NÃO"/>
    <s v="NÃO"/>
    <x v="29"/>
    <x v="2"/>
    <s v="DISPOSIÇÃO DE REJEITOS LINHA DO CIRCUITO ARENOSO DISTRIBUIDOR DI-145A-9912 PARA A PENEIRA PN-145A-9701"/>
    <m/>
    <m/>
    <m/>
    <s v="1450AA-T-70378_FL09"/>
    <n v="2"/>
    <s v="PÇ"/>
    <n v="0.81599999999999995"/>
    <n v="1.6319999999999999"/>
    <n v="1651.88"/>
    <n v="2695.86816"/>
    <n v="0"/>
    <n v="0.9"/>
    <n v="0.1"/>
    <m/>
    <m/>
    <x v="0"/>
    <n v="0"/>
    <m/>
    <n v="0"/>
    <n v="1.6319999999999999"/>
    <m/>
    <n v="0.4"/>
    <n v="0.5"/>
    <n v="0.1"/>
    <m/>
    <m/>
    <m/>
    <n v="0"/>
    <n v="0"/>
    <n v="0"/>
    <n v="2695.86816"/>
    <m/>
    <m/>
  </r>
  <r>
    <s v="2.4.3.1.2"/>
    <s v="CMS M.60.10.000"/>
    <x v="2"/>
    <n v="3"/>
    <s v="CURVA"/>
    <n v="8"/>
    <x v="1"/>
    <s v="NÃO"/>
    <s v="NÃO"/>
    <x v="29"/>
    <x v="2"/>
    <s v="DISPOSIÇÃO DE REJEITOS LINHA DO CIRCUITO ARENOSO DISTRIBUIDOR DI-145A-9912 PARA A PENEIRA PN-145A-9701"/>
    <m/>
    <m/>
    <m/>
    <s v="1450AA-T-70378_FL15"/>
    <n v="1"/>
    <s v="PÇ"/>
    <n v="0.32100000000000001"/>
    <n v="0.32100000000000001"/>
    <n v="1651.88"/>
    <n v="530.25348000000008"/>
    <n v="0"/>
    <n v="0.9"/>
    <n v="0.1"/>
    <m/>
    <m/>
    <x v="0"/>
    <n v="0"/>
    <m/>
    <n v="0"/>
    <n v="0.32100000000000001"/>
    <m/>
    <n v="0.4"/>
    <n v="0.5"/>
    <n v="0.1"/>
    <m/>
    <m/>
    <m/>
    <n v="0"/>
    <n v="0"/>
    <n v="0"/>
    <n v="530.25348000000008"/>
    <m/>
    <m/>
  </r>
  <r>
    <s v="2.4.3.1.2"/>
    <s v="CMS M.60.10.000"/>
    <x v="2"/>
    <n v="4"/>
    <s v="SPOOL"/>
    <n v="8"/>
    <x v="2"/>
    <s v="NÃO"/>
    <s v="NÃO"/>
    <x v="29"/>
    <x v="2"/>
    <s v="DISPOSIÇÃO DE REJEITOS LINHA DO CIRCUITO ARENOSO DISTRIBUIDOR DI-145A-9912 PARA A PENEIRA PN-145A-9701"/>
    <m/>
    <m/>
    <m/>
    <s v="1450AA-T-70378_FL14"/>
    <n v="2"/>
    <s v="PÇ"/>
    <n v="0.62"/>
    <n v="1.24"/>
    <n v="1651.88"/>
    <n v="2048.3312000000001"/>
    <n v="0"/>
    <n v="0.9"/>
    <n v="0.1"/>
    <m/>
    <m/>
    <x v="0"/>
    <n v="0"/>
    <m/>
    <n v="0"/>
    <n v="1.24"/>
    <m/>
    <n v="0.4"/>
    <n v="0.5"/>
    <n v="0.1"/>
    <m/>
    <m/>
    <m/>
    <n v="0"/>
    <n v="0"/>
    <n v="0"/>
    <n v="2048.3312000000001"/>
    <m/>
    <m/>
  </r>
  <r>
    <s v="2.4.3.1.2"/>
    <s v="CMS M.60.10.000"/>
    <x v="2"/>
    <n v="5"/>
    <s v="SPOOL"/>
    <n v="8"/>
    <x v="1"/>
    <s v="NÃO"/>
    <s v="NÃO"/>
    <x v="29"/>
    <x v="2"/>
    <s v="DISPOSIÇÃO DE REJEITOS LINHA DO CIRCUITO ARENOSO DISTRIBUIDOR DI-145A-9912 PARA A PENEIRA PN-145A-9701"/>
    <m/>
    <m/>
    <m/>
    <s v="1450AA-T-70378_FL13"/>
    <n v="2"/>
    <s v="PÇ"/>
    <n v="4.8"/>
    <n v="9.6"/>
    <n v="1651.88"/>
    <n v="15858.048000000001"/>
    <n v="0"/>
    <n v="0.9"/>
    <n v="0.1"/>
    <m/>
    <m/>
    <x v="0"/>
    <n v="0"/>
    <m/>
    <n v="0"/>
    <n v="9.6"/>
    <m/>
    <n v="0.4"/>
    <n v="0.5"/>
    <n v="0.1"/>
    <m/>
    <m/>
    <m/>
    <n v="0"/>
    <n v="0"/>
    <n v="0"/>
    <n v="15858.048000000001"/>
    <m/>
    <m/>
  </r>
  <r>
    <s v="2.4.3.1.2"/>
    <s v="CMS M.60.10.000"/>
    <x v="2"/>
    <n v="6"/>
    <s v="SPOOL"/>
    <n v="8"/>
    <x v="1"/>
    <s v="NÃO"/>
    <s v="NÃO"/>
    <x v="29"/>
    <x v="2"/>
    <s v="DISPOSIÇÃO DE REJEITOS LINHA DO CIRCUITO ARENOSO DISTRIBUIDOR DI-145A-9912 PARA A PENEIRA PN-145A-9701"/>
    <m/>
    <m/>
    <m/>
    <s v="1450AA-T-70378_FL11"/>
    <n v="1"/>
    <s v="PÇ"/>
    <n v="1.5"/>
    <n v="1.5"/>
    <n v="1651.88"/>
    <n v="2477.8200000000002"/>
    <n v="0"/>
    <n v="0.9"/>
    <n v="0.1"/>
    <m/>
    <m/>
    <x v="0"/>
    <n v="0"/>
    <m/>
    <n v="0"/>
    <n v="1.5"/>
    <m/>
    <n v="0.4"/>
    <n v="0.5"/>
    <n v="0.1"/>
    <m/>
    <m/>
    <m/>
    <n v="0"/>
    <n v="0"/>
    <n v="0"/>
    <n v="2477.8200000000002"/>
    <m/>
    <m/>
  </r>
  <r>
    <s v="2.4.3.1.2"/>
    <s v="CMS M.60.10.000"/>
    <x v="2"/>
    <n v="7"/>
    <s v="SPOOL"/>
    <n v="8"/>
    <x v="1"/>
    <s v="NÃO"/>
    <s v="NÃO"/>
    <x v="29"/>
    <x v="2"/>
    <s v="DISPOSIÇÃO DE REJEITOS LINHA DO CIRCUITO ARENOSO DISTRIBUIDOR DI-145A-9912 PARA A PENEIRA PN-145A-9701"/>
    <m/>
    <m/>
    <m/>
    <s v="1450AA-T-70378_FL12"/>
    <n v="1"/>
    <s v="PÇ"/>
    <n v="3"/>
    <n v="3"/>
    <n v="1651.88"/>
    <n v="4955.6400000000003"/>
    <n v="0"/>
    <n v="0.9"/>
    <n v="0.1"/>
    <m/>
    <m/>
    <x v="0"/>
    <n v="0"/>
    <m/>
    <n v="0"/>
    <n v="3"/>
    <m/>
    <n v="0.4"/>
    <n v="0.5"/>
    <n v="0.1"/>
    <m/>
    <m/>
    <m/>
    <n v="0"/>
    <n v="0"/>
    <n v="0"/>
    <n v="4955.6400000000003"/>
    <m/>
    <m/>
  </r>
  <r>
    <s v="2.4.3.1.2"/>
    <s v="CMS M.60.10.000"/>
    <x v="2"/>
    <n v="8"/>
    <s v="CURVA"/>
    <n v="8"/>
    <x v="1"/>
    <s v="NÃO"/>
    <s v="NÃO"/>
    <x v="29"/>
    <x v="2"/>
    <s v="DISPOSIÇÃO DE REJEITOS LINHA DO CIRCUITO ARENOSO DISTRIBUIDOR DI-145A-9912 PARA A PENEIRA PN-145A-9701"/>
    <m/>
    <m/>
    <m/>
    <s v="1450AA-T-70378_FL16"/>
    <n v="1"/>
    <s v="PÇ"/>
    <n v="0.54200000000000004"/>
    <n v="0.54200000000000004"/>
    <n v="1651.88"/>
    <n v="895.31896000000017"/>
    <n v="0"/>
    <n v="0.9"/>
    <n v="0.1"/>
    <m/>
    <m/>
    <x v="0"/>
    <n v="0"/>
    <m/>
    <n v="0"/>
    <n v="0.54200000000000004"/>
    <m/>
    <n v="0.4"/>
    <n v="0.5"/>
    <n v="0.1"/>
    <m/>
    <m/>
    <m/>
    <n v="0"/>
    <n v="0"/>
    <n v="0"/>
    <n v="895.31896000000017"/>
    <m/>
    <m/>
  </r>
  <r>
    <s v="2.4.3.1.2"/>
    <s v="CMS M.60.10.000"/>
    <x v="2"/>
    <n v="9"/>
    <s v="CURVA"/>
    <n v="8"/>
    <x v="1"/>
    <s v="NÃO"/>
    <s v="NÃO"/>
    <x v="29"/>
    <x v="2"/>
    <s v="DISPOSIÇÃO DE REJEITOS LINHA DO CIRCUITO ARENOSO DISTRIBUIDOR DI-145A-9912 PARA A PENEIRA PN-145A-9701"/>
    <m/>
    <m/>
    <m/>
    <s v="1450AA-T-70378_FL18"/>
    <n v="1"/>
    <s v="PÇ"/>
    <n v="0.63800000000000001"/>
    <n v="0.63800000000000001"/>
    <n v="1651.88"/>
    <n v="1053.8994400000001"/>
    <n v="0"/>
    <n v="0.9"/>
    <n v="0.1"/>
    <m/>
    <m/>
    <x v="0"/>
    <n v="0"/>
    <m/>
    <n v="0"/>
    <n v="0.63800000000000001"/>
    <m/>
    <n v="0.4"/>
    <n v="0.5"/>
    <n v="0.1"/>
    <m/>
    <m/>
    <m/>
    <n v="0"/>
    <n v="0"/>
    <n v="0"/>
    <n v="1053.8994400000001"/>
    <m/>
    <m/>
  </r>
  <r>
    <s v="2.4.3.1.2"/>
    <s v="CMS M.60.10.000"/>
    <x v="2"/>
    <n v="10"/>
    <s v="SPOOL"/>
    <n v="8"/>
    <x v="1"/>
    <s v="NÃO"/>
    <s v="NÃO"/>
    <x v="29"/>
    <x v="2"/>
    <s v="DISPOSIÇÃO DE REJEITOS LINHA DO CIRCUITO ARENOSO DISTRIBUIDOR DI-145A-9912 PARA A PENEIRA PN-145A-9701"/>
    <m/>
    <m/>
    <m/>
    <s v="1450AA-T-70378_FL10"/>
    <n v="1"/>
    <s v="PÇ"/>
    <n v="1.34"/>
    <n v="1.34"/>
    <n v="1651.88"/>
    <n v="2213.5192000000002"/>
    <n v="0"/>
    <n v="0.9"/>
    <n v="0.1"/>
    <m/>
    <m/>
    <x v="0"/>
    <n v="0"/>
    <m/>
    <n v="0"/>
    <n v="1.34"/>
    <m/>
    <n v="0.4"/>
    <n v="0.5"/>
    <n v="0.1"/>
    <m/>
    <m/>
    <m/>
    <n v="0"/>
    <n v="0"/>
    <n v="0"/>
    <n v="2213.5192000000002"/>
    <m/>
    <m/>
  </r>
  <r>
    <s v="2.4.3.1.2"/>
    <s v="CMS M.60.10.000"/>
    <x v="2"/>
    <n v="11"/>
    <s v="SPOOL"/>
    <n v="8"/>
    <x v="1"/>
    <s v="NÃO"/>
    <s v="NÃO"/>
    <x v="29"/>
    <x v="2"/>
    <s v="DISPOSIÇÃO DE REJEITOS LINHA DO CIRCUITO ARENOSO DISTRIBUIDOR DI-145A-9912 PARA A PENEIRA PN-145A-9701"/>
    <m/>
    <m/>
    <m/>
    <s v="1450AA-T-70378_FL19"/>
    <n v="1"/>
    <s v="PÇ"/>
    <n v="0.96"/>
    <n v="0.96"/>
    <n v="1651.88"/>
    <n v="1585.8048000000001"/>
    <n v="0"/>
    <n v="0.9"/>
    <n v="0.1"/>
    <m/>
    <m/>
    <x v="0"/>
    <n v="0"/>
    <m/>
    <n v="0"/>
    <n v="0.96"/>
    <m/>
    <n v="0.4"/>
    <n v="0.5"/>
    <n v="0.1"/>
    <m/>
    <m/>
    <m/>
    <n v="0"/>
    <n v="0"/>
    <n v="0"/>
    <n v="1585.8048000000001"/>
    <m/>
    <m/>
  </r>
  <r>
    <s v="2.4.3.1.1"/>
    <s v="CMS M.60.10.000"/>
    <x v="2"/>
    <n v="12"/>
    <s v="SPOOL"/>
    <s v="8 X 6"/>
    <x v="1"/>
    <s v="NÃO"/>
    <s v="NÃO"/>
    <x v="29"/>
    <x v="2"/>
    <s v="DISPOSIÇÃO DE REJEITOS LINHA DO CIRCUITO ARENOSO DISTRIBUIDOR DI-145A-9912 PARA A PENEIRA PN-145A-9701"/>
    <m/>
    <m/>
    <m/>
    <s v="1450AA-T-70378_FL20"/>
    <n v="1"/>
    <s v="PÇ"/>
    <n v="2.113"/>
    <n v="2.113"/>
    <n v="1169.77"/>
    <n v="2471.7240099999999"/>
    <n v="0"/>
    <n v="0.9"/>
    <n v="0.1"/>
    <m/>
    <m/>
    <x v="0"/>
    <n v="0"/>
    <m/>
    <n v="0"/>
    <n v="2.113"/>
    <m/>
    <n v="0.4"/>
    <n v="0.5"/>
    <n v="0.1"/>
    <m/>
    <m/>
    <m/>
    <n v="0"/>
    <n v="0"/>
    <n v="0"/>
    <n v="2471.7240099999999"/>
    <m/>
    <m/>
  </r>
  <r>
    <s v="2.4.3.1.2"/>
    <s v="CMS M.60.10.000"/>
    <x v="2"/>
    <n v="13"/>
    <s v="FLANGE"/>
    <n v="8"/>
    <x v="1"/>
    <s v="NÃO"/>
    <s v="NÃO"/>
    <x v="29"/>
    <x v="2"/>
    <s v="DISPOSIÇÃO DE REJEITOS LINHA DO CIRCUITO ARENOSO DISTRIBUIDOR DI-145A-9912 PARA A PENEIRA PN-145A-9701"/>
    <m/>
    <m/>
    <m/>
    <s v="1450AA-T-70378_FL08"/>
    <n v="2"/>
    <s v="PÇ"/>
    <n v="0"/>
    <n v="0"/>
    <n v="1651.88"/>
    <n v="0"/>
    <n v="0"/>
    <n v="0.9"/>
    <n v="0.1"/>
    <m/>
    <m/>
    <x v="0"/>
    <n v="0"/>
    <m/>
    <n v="0"/>
    <n v="0"/>
    <m/>
    <n v="0.4"/>
    <n v="0.5"/>
    <n v="0.1"/>
    <m/>
    <m/>
    <m/>
    <n v="0"/>
    <n v="0"/>
    <n v="0"/>
    <n v="0"/>
    <m/>
    <m/>
  </r>
  <r>
    <s v="2.4.3.1.2"/>
    <s v="CMS M.60.10.000"/>
    <x v="2"/>
    <n v="1"/>
    <s v="CURVA"/>
    <n v="8"/>
    <x v="1"/>
    <s v="NÃO"/>
    <s v="NÃO"/>
    <x v="30"/>
    <x v="2"/>
    <s v="DISPOSIÇÃO DE REJEITOS LINHA DO CIRCUITO ARENOSO DISTRIBUIDOR DI-145A-9912 PARA A PENEIRA PN-145A-9721"/>
    <m/>
    <m/>
    <m/>
    <s v="1450AA-T-70380_FL13"/>
    <n v="3"/>
    <s v="PÇ"/>
    <n v="0.61099999999999999"/>
    <n v="1.833"/>
    <n v="1651.88"/>
    <n v="3027.8960400000001"/>
    <n v="0"/>
    <n v="0.9"/>
    <n v="0.1"/>
    <m/>
    <m/>
    <x v="0"/>
    <n v="0"/>
    <m/>
    <n v="0"/>
    <n v="1.833"/>
    <m/>
    <n v="0.4"/>
    <n v="0.5"/>
    <n v="0.1"/>
    <m/>
    <m/>
    <m/>
    <n v="0"/>
    <n v="0"/>
    <n v="0"/>
    <n v="3027.8960400000001"/>
    <m/>
    <m/>
  </r>
  <r>
    <s v="2.4.3.1.2"/>
    <s v="CMS M.60.10.000"/>
    <x v="2"/>
    <n v="2"/>
    <s v="SPOOL"/>
    <n v="8"/>
    <x v="1"/>
    <s v="NÃO"/>
    <s v="NÃO"/>
    <x v="30"/>
    <x v="2"/>
    <s v="DISPOSIÇÃO DE REJEITOS LINHA DO CIRCUITO ARENOSO DISTRIBUIDOR DI-145A-9912 PARA A PENEIRA PN-145A-9721"/>
    <m/>
    <m/>
    <m/>
    <s v="1450AA-T-70380_FL07"/>
    <n v="1"/>
    <s v="PÇ"/>
    <n v="0.23499999999999999"/>
    <n v="0.23499999999999999"/>
    <n v="1651.88"/>
    <n v="388.1918"/>
    <n v="0"/>
    <n v="0.9"/>
    <n v="0.1"/>
    <m/>
    <m/>
    <x v="0"/>
    <n v="0"/>
    <m/>
    <n v="0"/>
    <n v="0.23499999999999999"/>
    <m/>
    <n v="0.4"/>
    <n v="0.5"/>
    <n v="0.1"/>
    <m/>
    <m/>
    <m/>
    <n v="0"/>
    <n v="0"/>
    <n v="0"/>
    <n v="388.1918"/>
    <m/>
    <m/>
  </r>
  <r>
    <s v="2.4.3.1.2"/>
    <s v="CMS M.60.10.000"/>
    <x v="2"/>
    <n v="3"/>
    <s v="CURVA"/>
    <n v="8"/>
    <x v="1"/>
    <s v="NÃO"/>
    <s v="NÃO"/>
    <x v="30"/>
    <x v="2"/>
    <s v="DISPOSIÇÃO DE REJEITOS LINHA DO CIRCUITO ARENOSO DISTRIBUIDOR DI-145A-9912 PARA A PENEIRA PN-145A-9721"/>
    <m/>
    <m/>
    <m/>
    <s v="1450AA-T-70380_FL12"/>
    <n v="1"/>
    <s v="PÇ"/>
    <n v="0.32100000000000001"/>
    <n v="0.32100000000000001"/>
    <n v="1651.88"/>
    <n v="530.25348000000008"/>
    <n v="0"/>
    <n v="0.9"/>
    <n v="0.1"/>
    <m/>
    <m/>
    <x v="0"/>
    <n v="0"/>
    <m/>
    <n v="0"/>
    <n v="0.32100000000000001"/>
    <m/>
    <n v="0.4"/>
    <n v="0.5"/>
    <n v="0.1"/>
    <m/>
    <m/>
    <m/>
    <n v="0"/>
    <n v="0"/>
    <n v="0"/>
    <n v="530.25348000000008"/>
    <m/>
    <m/>
  </r>
  <r>
    <s v="2.4.3.1.2"/>
    <s v="CMS M.60.10.000"/>
    <x v="2"/>
    <n v="4"/>
    <s v="SPOOL"/>
    <n v="8"/>
    <x v="2"/>
    <s v="NÃO"/>
    <s v="NÃO"/>
    <x v="30"/>
    <x v="2"/>
    <s v="DISPOSIÇÃO DE REJEITOS LINHA DO CIRCUITO ARENOSO DISTRIBUIDOR DI-145A-9912 PARA A PENEIRA PN-145A-9721"/>
    <m/>
    <m/>
    <m/>
    <s v="1450AA-T-70380_FL11"/>
    <n v="1"/>
    <s v="PÇ"/>
    <n v="0.6"/>
    <n v="0.6"/>
    <n v="1651.88"/>
    <n v="991.12800000000004"/>
    <n v="0"/>
    <n v="0.9"/>
    <n v="0.1"/>
    <m/>
    <m/>
    <x v="0"/>
    <n v="0"/>
    <m/>
    <n v="0"/>
    <n v="0.6"/>
    <m/>
    <n v="0.4"/>
    <n v="0.5"/>
    <n v="0.1"/>
    <m/>
    <m/>
    <m/>
    <n v="0"/>
    <n v="0"/>
    <n v="0"/>
    <n v="991.12800000000004"/>
    <m/>
    <m/>
  </r>
  <r>
    <s v="2.4.3.1.2"/>
    <s v="CMS M.60.10.000"/>
    <x v="2"/>
    <n v="5"/>
    <s v="SPOOL"/>
    <n v="8"/>
    <x v="1"/>
    <s v="NÃO"/>
    <s v="NÃO"/>
    <x v="30"/>
    <x v="2"/>
    <s v="DISPOSIÇÃO DE REJEITOS LINHA DO CIRCUITO ARENOSO DISTRIBUIDOR DI-145A-9912 PARA A PENEIRA PN-145A-9721"/>
    <m/>
    <m/>
    <m/>
    <s v="1450AA-T-70380_FL09"/>
    <n v="2"/>
    <s v="PÇ"/>
    <n v="3.7"/>
    <n v="7.4"/>
    <n v="1651.88"/>
    <n v="12223.912000000002"/>
    <n v="0"/>
    <n v="0.9"/>
    <n v="0.1"/>
    <m/>
    <m/>
    <x v="0"/>
    <n v="0"/>
    <m/>
    <n v="0"/>
    <n v="7.4"/>
    <m/>
    <n v="0.4"/>
    <n v="0.5"/>
    <n v="0.1"/>
    <m/>
    <m/>
    <m/>
    <n v="0"/>
    <n v="0"/>
    <n v="0"/>
    <n v="12223.912000000002"/>
    <m/>
    <m/>
  </r>
  <r>
    <s v="2.4.3.1.2"/>
    <s v="CMS M.60.10.000"/>
    <x v="2"/>
    <n v="6"/>
    <s v="SPOOL"/>
    <n v="8"/>
    <x v="1"/>
    <s v="NÃO"/>
    <s v="NÃO"/>
    <x v="30"/>
    <x v="2"/>
    <s v="DISPOSIÇÃO DE REJEITOS LINHA DO CIRCUITO ARENOSO DISTRIBUIDOR DI-145A-9912 PARA A PENEIRA PN-145A-9721"/>
    <m/>
    <m/>
    <m/>
    <s v="1450AA-T-70380_FL06"/>
    <n v="1"/>
    <s v="PÇ"/>
    <n v="0.18099999999999999"/>
    <n v="0.18099999999999999"/>
    <n v="1651.88"/>
    <n v="298.99027999999998"/>
    <n v="0"/>
    <n v="0.9"/>
    <n v="0.1"/>
    <m/>
    <m/>
    <x v="0"/>
    <n v="0"/>
    <m/>
    <n v="0"/>
    <n v="0.18099999999999999"/>
    <m/>
    <n v="0.4"/>
    <n v="0.5"/>
    <n v="0.1"/>
    <m/>
    <m/>
    <m/>
    <n v="0"/>
    <n v="0"/>
    <n v="0"/>
    <n v="298.99027999999998"/>
    <m/>
    <m/>
  </r>
  <r>
    <s v="2.4.3.1.2"/>
    <s v="CMS M.60.10.000"/>
    <x v="2"/>
    <n v="7"/>
    <s v="SPOOL"/>
    <n v="8"/>
    <x v="1"/>
    <s v="NÃO"/>
    <s v="NÃO"/>
    <x v="30"/>
    <x v="2"/>
    <s v="DISPOSIÇÃO DE REJEITOS LINHA DO CIRCUITO ARENOSO DISTRIBUIDOR DI-145A-9912 PARA A PENEIRA PN-145A-9721"/>
    <m/>
    <m/>
    <m/>
    <s v="1450AA-T-70380_FL08"/>
    <n v="1"/>
    <s v="PÇ"/>
    <n v="0.32500000000000001"/>
    <n v="0.32500000000000001"/>
    <n v="1651.88"/>
    <n v="536.8610000000001"/>
    <n v="0"/>
    <n v="0.9"/>
    <n v="0.1"/>
    <m/>
    <m/>
    <x v="0"/>
    <n v="0"/>
    <m/>
    <n v="0"/>
    <n v="0.32500000000000001"/>
    <m/>
    <n v="0.4"/>
    <n v="0.5"/>
    <n v="0.1"/>
    <m/>
    <m/>
    <m/>
    <n v="0"/>
    <n v="0"/>
    <n v="0"/>
    <n v="536.8610000000001"/>
    <m/>
    <m/>
  </r>
  <r>
    <s v="2.4.3.1.2"/>
    <s v="CMS M.60.10.000"/>
    <x v="2"/>
    <n v="8"/>
    <s v="SPOOL"/>
    <n v="8"/>
    <x v="1"/>
    <s v="NÃO"/>
    <s v="NÃO"/>
    <x v="30"/>
    <x v="2"/>
    <s v="DISPOSIÇÃO DE REJEITOS LINHA DO CIRCUITO ARENOSO DISTRIBUIDOR DI-145A-9912 PARA A PENEIRA PN-145A-9721"/>
    <m/>
    <m/>
    <m/>
    <s v="1450AA-T-70380_FL14"/>
    <n v="1"/>
    <s v="PÇ"/>
    <n v="1.01"/>
    <n v="1.01"/>
    <n v="1651.88"/>
    <n v="1668.3988000000002"/>
    <n v="0"/>
    <n v="0.9"/>
    <n v="0.1"/>
    <m/>
    <m/>
    <x v="0"/>
    <n v="0"/>
    <m/>
    <n v="0"/>
    <n v="1.01"/>
    <m/>
    <n v="0.4"/>
    <n v="0.5"/>
    <n v="0.1"/>
    <m/>
    <m/>
    <m/>
    <n v="0"/>
    <n v="0"/>
    <n v="0"/>
    <n v="1668.3988000000002"/>
    <m/>
    <m/>
  </r>
  <r>
    <s v="2.4.3.1.2"/>
    <s v="CMS M.60.10.000"/>
    <x v="2"/>
    <n v="9"/>
    <s v="SPOOL"/>
    <n v="8"/>
    <x v="2"/>
    <s v="NÃO"/>
    <s v="NÃO"/>
    <x v="30"/>
    <x v="2"/>
    <s v="DISPOSIÇÃO DE REJEITOS LINHA DO CIRCUITO ARENOSO DISTRIBUIDOR DI-145A-9912 PARA A PENEIRA PN-145A-9721"/>
    <m/>
    <m/>
    <m/>
    <s v="1450AA-T-70380_FL10"/>
    <n v="1"/>
    <s v="PÇ"/>
    <n v="0.51"/>
    <n v="0.51"/>
    <n v="1651.88"/>
    <n v="842.45880000000011"/>
    <n v="0"/>
    <n v="0.9"/>
    <n v="0.1"/>
    <m/>
    <m/>
    <x v="0"/>
    <n v="0"/>
    <m/>
    <n v="0"/>
    <n v="0.51"/>
    <m/>
    <n v="0.4"/>
    <n v="0.5"/>
    <n v="0.1"/>
    <m/>
    <m/>
    <m/>
    <n v="0"/>
    <n v="0"/>
    <n v="0"/>
    <n v="842.45880000000011"/>
    <m/>
    <m/>
  </r>
  <r>
    <s v="2.4.3.1.2"/>
    <s v="CMS M.60.10.000"/>
    <x v="2"/>
    <n v="1"/>
    <s v="SPOOL"/>
    <n v="8"/>
    <x v="1"/>
    <s v="NÃO"/>
    <s v="NÃO"/>
    <x v="31"/>
    <x v="2"/>
    <s v="DISPOSIÇÃO DE REJEITOS LINHA DO CIRCUITO ARENOSO DISTRIBUIDOR DI-145A-9912 PARA A PENEIRA PN-145A-9702"/>
    <m/>
    <m/>
    <m/>
    <s v="1450AA-T-70382_FL09"/>
    <n v="1"/>
    <s v="PÇ"/>
    <n v="0.33500000000000002"/>
    <n v="0.33500000000000002"/>
    <n v="1651.88"/>
    <n v="553.37980000000005"/>
    <n v="0"/>
    <n v="0.9"/>
    <n v="0.1"/>
    <m/>
    <m/>
    <x v="0"/>
    <n v="0"/>
    <m/>
    <n v="0"/>
    <n v="0.33500000000000002"/>
    <m/>
    <n v="0.4"/>
    <n v="0.5"/>
    <n v="0.1"/>
    <m/>
    <m/>
    <m/>
    <n v="0"/>
    <n v="0"/>
    <n v="0"/>
    <n v="553.37980000000005"/>
    <m/>
    <m/>
  </r>
  <r>
    <s v="2.4.3.1.2"/>
    <s v="CMS M.60.10.000"/>
    <x v="2"/>
    <n v="2"/>
    <s v="CURVA"/>
    <n v="8"/>
    <x v="1"/>
    <s v="NÃO"/>
    <s v="NÃO"/>
    <x v="31"/>
    <x v="2"/>
    <s v="DISPOSIÇÃO DE REJEITOS LINHA DO CIRCUITO ARENOSO DISTRIBUIDOR DI-145A-9912 PARA A PENEIRA PN-145A-9702"/>
    <m/>
    <m/>
    <m/>
    <s v="1450AA-T-70382_FL20"/>
    <n v="2"/>
    <s v="PÇ"/>
    <n v="0.61099999999999999"/>
    <n v="1.222"/>
    <n v="1651.88"/>
    <n v="2018.59736"/>
    <n v="0"/>
    <n v="0.9"/>
    <n v="0.1"/>
    <m/>
    <m/>
    <x v="0"/>
    <n v="0"/>
    <m/>
    <n v="0"/>
    <n v="1.222"/>
    <m/>
    <n v="0.4"/>
    <n v="0.5"/>
    <n v="0.1"/>
    <m/>
    <m/>
    <m/>
    <n v="0"/>
    <n v="0"/>
    <n v="0"/>
    <n v="2018.59736"/>
    <m/>
    <m/>
  </r>
  <r>
    <s v="2.4.3.1.2"/>
    <s v="CMS M.60.10.000"/>
    <x v="2"/>
    <n v="3"/>
    <s v="SPOOL"/>
    <n v="8"/>
    <x v="1"/>
    <s v="NÃO"/>
    <s v="NÃO"/>
    <x v="31"/>
    <x v="2"/>
    <s v="DISPOSIÇÃO DE REJEITOS LINHA DO CIRCUITO ARENOSO DISTRIBUIDOR DI-145A-9912 PARA A PENEIRA PN-145A-9702"/>
    <m/>
    <m/>
    <m/>
    <s v="1450AA-T-70382_FL10"/>
    <n v="1"/>
    <s v="PÇ"/>
    <n v="0.42299999999999999"/>
    <n v="0.42299999999999999"/>
    <n v="1651.88"/>
    <n v="698.74524000000008"/>
    <n v="0"/>
    <n v="0.9"/>
    <n v="0.1"/>
    <m/>
    <m/>
    <x v="0"/>
    <n v="0"/>
    <m/>
    <n v="0"/>
    <n v="0.42299999999999999"/>
    <m/>
    <n v="0.4"/>
    <n v="0.5"/>
    <n v="0.1"/>
    <m/>
    <m/>
    <m/>
    <n v="0"/>
    <n v="0"/>
    <n v="0"/>
    <n v="698.74524000000008"/>
    <m/>
    <m/>
  </r>
  <r>
    <s v="2.4.3.1.2"/>
    <s v="CMS M.60.10.000"/>
    <x v="2"/>
    <n v="4"/>
    <s v="CURVA"/>
    <n v="8"/>
    <x v="1"/>
    <s v="NÃO"/>
    <s v="NÃO"/>
    <x v="31"/>
    <x v="2"/>
    <s v="DISPOSIÇÃO DE REJEITOS LINHA DO CIRCUITO ARENOSO DISTRIBUIDOR DI-145A-9912 PARA A PENEIRA PN-145A-9702"/>
    <m/>
    <m/>
    <m/>
    <s v="1450AA-T-70382_FL18"/>
    <n v="1"/>
    <s v="PÇ"/>
    <n v="0.32100000000000001"/>
    <n v="0.32100000000000001"/>
    <n v="1651.88"/>
    <n v="530.25348000000008"/>
    <n v="0"/>
    <n v="0.9"/>
    <n v="0.1"/>
    <m/>
    <m/>
    <x v="0"/>
    <n v="0"/>
    <m/>
    <n v="0"/>
    <n v="0.32100000000000001"/>
    <m/>
    <n v="0.4"/>
    <n v="0.5"/>
    <n v="0.1"/>
    <m/>
    <m/>
    <m/>
    <n v="0"/>
    <n v="0"/>
    <n v="0"/>
    <n v="530.25348000000008"/>
    <m/>
    <m/>
  </r>
  <r>
    <s v="2.4.3.1.2"/>
    <s v="CMS M.60.10.000"/>
    <x v="2"/>
    <n v="5"/>
    <s v="SPOOL"/>
    <n v="8"/>
    <x v="2"/>
    <s v="NÃO"/>
    <s v="NÃO"/>
    <x v="31"/>
    <x v="2"/>
    <s v="DISPOSIÇÃO DE REJEITOS LINHA DO CIRCUITO ARENOSO DISTRIBUIDOR DI-145A-9912 PARA A PENEIRA PN-145A-9702"/>
    <m/>
    <m/>
    <m/>
    <s v="1450AA-T-70382_FL16"/>
    <n v="1"/>
    <s v="PÇ"/>
    <n v="0.46"/>
    <n v="0.46"/>
    <n v="1651.88"/>
    <n v="759.86480000000006"/>
    <n v="0"/>
    <n v="0.9"/>
    <n v="0.1"/>
    <m/>
    <m/>
    <x v="0"/>
    <n v="0"/>
    <m/>
    <n v="0"/>
    <n v="0.46"/>
    <m/>
    <n v="0.4"/>
    <n v="0.5"/>
    <n v="0.1"/>
    <m/>
    <m/>
    <m/>
    <n v="0"/>
    <n v="0"/>
    <n v="0"/>
    <n v="759.86480000000006"/>
    <m/>
    <m/>
  </r>
  <r>
    <s v="2.4.3.1.2"/>
    <s v="CMS M.60.10.000"/>
    <x v="2"/>
    <n v="6"/>
    <s v="SPOOL"/>
    <n v="8"/>
    <x v="1"/>
    <s v="NÃO"/>
    <s v="NÃO"/>
    <x v="31"/>
    <x v="2"/>
    <s v="DISPOSIÇÃO DE REJEITOS LINHA DO CIRCUITO ARENOSO DISTRIBUIDOR DI-145A-9912 PARA A PENEIRA PN-145A-9702"/>
    <m/>
    <m/>
    <m/>
    <s v="1450AA-T-70382_FL15"/>
    <n v="1"/>
    <s v="PÇ"/>
    <n v="6"/>
    <n v="6"/>
    <n v="1651.88"/>
    <n v="9911.2800000000007"/>
    <n v="0"/>
    <n v="0.9"/>
    <n v="0.1"/>
    <m/>
    <m/>
    <x v="0"/>
    <n v="0"/>
    <m/>
    <n v="0"/>
    <n v="6"/>
    <m/>
    <n v="0.4"/>
    <n v="0.5"/>
    <n v="0.1"/>
    <m/>
    <m/>
    <m/>
    <n v="0"/>
    <n v="0"/>
    <n v="0"/>
    <n v="9911.2800000000007"/>
    <m/>
    <m/>
  </r>
  <r>
    <s v="2.4.3.1.2"/>
    <s v="CMS M.60.10.000"/>
    <x v="2"/>
    <n v="7"/>
    <s v="SPOOL"/>
    <n v="8"/>
    <x v="1"/>
    <s v="NÃO"/>
    <s v="NÃO"/>
    <x v="31"/>
    <x v="2"/>
    <s v="DISPOSIÇÃO DE REJEITOS LINHA DO CIRCUITO ARENOSO DISTRIBUIDOR DI-145A-9912 PARA A PENEIRA PN-145A-9702"/>
    <m/>
    <m/>
    <m/>
    <s v="1450AA-T-70382_FL13"/>
    <n v="1"/>
    <s v="PÇ"/>
    <n v="1.5"/>
    <n v="1.5"/>
    <n v="1651.88"/>
    <n v="2477.8200000000002"/>
    <n v="0"/>
    <n v="0.9"/>
    <n v="0.1"/>
    <m/>
    <m/>
    <x v="0"/>
    <n v="0"/>
    <m/>
    <n v="0"/>
    <n v="1.5"/>
    <m/>
    <n v="0.4"/>
    <n v="0.5"/>
    <n v="0.1"/>
    <m/>
    <m/>
    <m/>
    <n v="0"/>
    <n v="0"/>
    <n v="0"/>
    <n v="2477.8200000000002"/>
    <m/>
    <m/>
  </r>
  <r>
    <s v="2.4.3.1.2"/>
    <s v="CMS M.60.10.000"/>
    <x v="2"/>
    <n v="8"/>
    <s v="SPOOL"/>
    <n v="8"/>
    <x v="1"/>
    <s v="NÃO"/>
    <s v="NÃO"/>
    <x v="31"/>
    <x v="2"/>
    <s v="DISPOSIÇÃO DE REJEITOS LINHA DO CIRCUITO ARENOSO DISTRIBUIDOR DI-145A-9912 PARA A PENEIRA PN-145A-9702"/>
    <m/>
    <m/>
    <m/>
    <s v="1450AA-T-70382_FL14"/>
    <n v="1"/>
    <s v="PÇ"/>
    <n v="3"/>
    <n v="3"/>
    <n v="1651.88"/>
    <n v="4955.6400000000003"/>
    <n v="0"/>
    <n v="0.9"/>
    <n v="0.1"/>
    <m/>
    <m/>
    <x v="0"/>
    <n v="0"/>
    <m/>
    <n v="0"/>
    <n v="3"/>
    <m/>
    <n v="0.4"/>
    <n v="0.5"/>
    <n v="0.1"/>
    <m/>
    <m/>
    <m/>
    <n v="0"/>
    <n v="0"/>
    <n v="0"/>
    <n v="4955.6400000000003"/>
    <m/>
    <m/>
  </r>
  <r>
    <s v="2.4.3.1.2"/>
    <s v="CMS M.60.10.000"/>
    <x v="2"/>
    <n v="9"/>
    <s v="SPOOL"/>
    <n v="8"/>
    <x v="2"/>
    <s v="NÃO"/>
    <s v="NÃO"/>
    <x v="31"/>
    <x v="2"/>
    <s v="DISPOSIÇÃO DE REJEITOS LINHA DO CIRCUITO ARENOSO DISTRIBUIDOR DI-145A-9912 PARA A PENEIRA PN-145A-9702"/>
    <m/>
    <m/>
    <m/>
    <s v="1450AA-T-70382_FL17"/>
    <n v="1"/>
    <s v="PÇ"/>
    <n v="0.65"/>
    <n v="0.65"/>
    <n v="1651.88"/>
    <n v="1073.7220000000002"/>
    <n v="0"/>
    <n v="0.9"/>
    <n v="0.1"/>
    <m/>
    <m/>
    <x v="0"/>
    <n v="0"/>
    <m/>
    <n v="0"/>
    <n v="0.65"/>
    <m/>
    <n v="0.4"/>
    <n v="0.5"/>
    <n v="0.1"/>
    <m/>
    <m/>
    <m/>
    <n v="0"/>
    <n v="0"/>
    <n v="0"/>
    <n v="1073.7220000000002"/>
    <m/>
    <m/>
  </r>
  <r>
    <s v="2.4.3.1.2"/>
    <s v="CMS M.60.10.000"/>
    <x v="2"/>
    <n v="10"/>
    <s v="CURVA"/>
    <n v="8"/>
    <x v="1"/>
    <s v="NÃO"/>
    <s v="NÃO"/>
    <x v="31"/>
    <x v="2"/>
    <s v="DISPOSIÇÃO DE REJEITOS LINHA DO CIRCUITO ARENOSO DISTRIBUIDOR DI-145A-9912 PARA A PENEIRA PN-145A-9702"/>
    <m/>
    <m/>
    <m/>
    <s v="1450AA-T-70382_FL19"/>
    <n v="1"/>
    <s v="PÇ"/>
    <n v="0.54200000000000004"/>
    <n v="0.54200000000000004"/>
    <n v="1651.88"/>
    <n v="895.31896000000017"/>
    <n v="0"/>
    <n v="0.9"/>
    <n v="0.1"/>
    <m/>
    <m/>
    <x v="0"/>
    <n v="0"/>
    <m/>
    <n v="0"/>
    <n v="0.54200000000000004"/>
    <m/>
    <n v="0.4"/>
    <n v="0.5"/>
    <n v="0.1"/>
    <m/>
    <m/>
    <m/>
    <n v="0"/>
    <n v="0"/>
    <n v="0"/>
    <n v="895.31896000000017"/>
    <m/>
    <m/>
  </r>
  <r>
    <s v="2.4.3.1.2"/>
    <s v="CMS M.60.10.000"/>
    <x v="2"/>
    <n v="11"/>
    <s v="SPOOL"/>
    <n v="8"/>
    <x v="1"/>
    <s v="NÃO"/>
    <s v="NÃO"/>
    <x v="31"/>
    <x v="2"/>
    <s v="DISPOSIÇÃO DE REJEITOS LINHA DO CIRCUITO ARENOSO DISTRIBUIDOR DI-145A-9912 PARA A PENEIRA PN-145A-9702"/>
    <m/>
    <m/>
    <m/>
    <s v="1450AA-T-70382_FL11"/>
    <n v="1"/>
    <s v="PÇ"/>
    <n v="0.81599999999999995"/>
    <n v="0.81599999999999995"/>
    <n v="1651.88"/>
    <n v="1347.93408"/>
    <n v="0"/>
    <n v="0.9"/>
    <n v="0.1"/>
    <m/>
    <m/>
    <x v="0"/>
    <n v="0"/>
    <m/>
    <n v="0"/>
    <n v="0.81599999999999995"/>
    <m/>
    <n v="0.4"/>
    <n v="0.5"/>
    <n v="0.1"/>
    <m/>
    <m/>
    <m/>
    <n v="0"/>
    <n v="0"/>
    <n v="0"/>
    <n v="1347.93408"/>
    <m/>
    <m/>
  </r>
  <r>
    <s v="2.4.3.1.2"/>
    <s v="CMS M.60.10.000"/>
    <x v="2"/>
    <n v="12"/>
    <s v="CURVA"/>
    <n v="8"/>
    <x v="1"/>
    <s v="NÃO"/>
    <s v="NÃO"/>
    <x v="31"/>
    <x v="2"/>
    <s v="DISPOSIÇÃO DE REJEITOS LINHA DO CIRCUITO ARENOSO DISTRIBUIDOR DI-145A-9912 PARA A PENEIRA PN-145A-9702"/>
    <m/>
    <m/>
    <m/>
    <s v="1450AA-T-70382_FL21"/>
    <n v="1"/>
    <s v="PÇ"/>
    <n v="0.63800000000000001"/>
    <n v="0.63800000000000001"/>
    <n v="1651.88"/>
    <n v="1053.8994400000001"/>
    <n v="0"/>
    <n v="0.9"/>
    <n v="0.1"/>
    <m/>
    <m/>
    <x v="0"/>
    <n v="0"/>
    <m/>
    <n v="0"/>
    <n v="0.63800000000000001"/>
    <m/>
    <n v="0.4"/>
    <n v="0.5"/>
    <n v="0.1"/>
    <m/>
    <m/>
    <m/>
    <n v="0"/>
    <n v="0"/>
    <n v="0"/>
    <n v="1053.8994400000001"/>
    <m/>
    <m/>
  </r>
  <r>
    <s v="2.4.3.1.2"/>
    <s v="CMS M.60.10.000"/>
    <x v="2"/>
    <n v="13"/>
    <s v="SPOOL"/>
    <n v="8"/>
    <x v="1"/>
    <s v="NÃO"/>
    <s v="NÃO"/>
    <x v="31"/>
    <x v="2"/>
    <s v="DISPOSIÇÃO DE REJEITOS LINHA DO CIRCUITO ARENOSO DISTRIBUIDOR DI-145A-9912 PARA A PENEIRA PN-145A-9702"/>
    <m/>
    <m/>
    <m/>
    <s v="1450AA-T-70382_FL12"/>
    <n v="1"/>
    <s v="PÇ"/>
    <n v="1.34"/>
    <n v="1.34"/>
    <n v="1651.88"/>
    <n v="2213.5192000000002"/>
    <n v="0"/>
    <n v="0.9"/>
    <n v="0.1"/>
    <m/>
    <m/>
    <x v="0"/>
    <n v="0"/>
    <m/>
    <n v="0"/>
    <n v="1.34"/>
    <m/>
    <n v="0.4"/>
    <n v="0.5"/>
    <n v="0.1"/>
    <m/>
    <m/>
    <m/>
    <n v="0"/>
    <n v="0"/>
    <n v="0"/>
    <n v="2213.5192000000002"/>
    <m/>
    <m/>
  </r>
  <r>
    <s v="2.4.3.1.2"/>
    <s v="CMS M.60.10.000"/>
    <x v="2"/>
    <n v="14"/>
    <s v="SPOOL"/>
    <n v="8"/>
    <x v="1"/>
    <s v="NÃO"/>
    <s v="NÃO"/>
    <x v="31"/>
    <x v="2"/>
    <s v="DISPOSIÇÃO DE REJEITOS LINHA DO CIRCUITO ARENOSO DISTRIBUIDOR DI-145A-9912 PARA A PENEIRA PN-145A-9702"/>
    <m/>
    <m/>
    <m/>
    <s v="1450AA-T-70382_FL22"/>
    <n v="1"/>
    <s v="PÇ"/>
    <n v="0.96"/>
    <n v="0.96"/>
    <n v="1651.88"/>
    <n v="1585.8048000000001"/>
    <n v="0"/>
    <n v="0.9"/>
    <n v="0.1"/>
    <m/>
    <m/>
    <x v="0"/>
    <n v="0"/>
    <m/>
    <n v="0"/>
    <n v="0.96"/>
    <m/>
    <n v="0.4"/>
    <n v="0.5"/>
    <n v="0.1"/>
    <m/>
    <m/>
    <m/>
    <n v="0"/>
    <n v="0"/>
    <n v="0"/>
    <n v="1585.8048000000001"/>
    <m/>
    <m/>
  </r>
  <r>
    <s v="2.4.3.1.1"/>
    <s v="CMS M.60.10.000"/>
    <x v="2"/>
    <n v="15"/>
    <s v="SPOOL"/>
    <s v="8 X 6"/>
    <x v="1"/>
    <s v="NÃO"/>
    <s v="NÃO"/>
    <x v="31"/>
    <x v="2"/>
    <s v="DISPOSIÇÃO DE REJEITOS LINHA DO CIRCUITO ARENOSO DISTRIBUIDOR DI-145A-9912 PARA A PENEIRA PN-145A-9702"/>
    <m/>
    <m/>
    <m/>
    <s v="1450AA-T-70382_FL23"/>
    <n v="1"/>
    <s v="PÇ"/>
    <n v="2.113"/>
    <n v="2.113"/>
    <n v="1169.77"/>
    <n v="2471.7240099999999"/>
    <n v="0"/>
    <n v="0.9"/>
    <n v="0.1"/>
    <m/>
    <m/>
    <x v="0"/>
    <n v="0"/>
    <m/>
    <n v="0"/>
    <n v="2.113"/>
    <m/>
    <n v="0.4"/>
    <n v="0.5"/>
    <n v="0.1"/>
    <m/>
    <m/>
    <m/>
    <n v="0"/>
    <n v="0"/>
    <n v="0"/>
    <n v="2471.7240099999999"/>
    <m/>
    <m/>
  </r>
  <r>
    <s v="2.4.3.1.1"/>
    <s v="CMS M.60.10.000"/>
    <x v="2"/>
    <n v="16"/>
    <s v="FLANGE"/>
    <n v="6"/>
    <x v="1"/>
    <s v="NÃO"/>
    <s v="NÃO"/>
    <x v="31"/>
    <x v="2"/>
    <s v="DISPOSIÇÃO DE REJEITOS LINHA DO CIRCUITO ARENOSO DISTRIBUIDOR DI-145A-9912 PARA A PENEIRA PN-145A-9702"/>
    <m/>
    <m/>
    <m/>
    <s v="1450AA-T-70382_FL08"/>
    <n v="2"/>
    <s v="PÇ"/>
    <n v="0"/>
    <n v="0"/>
    <n v="1169.77"/>
    <n v="0"/>
    <n v="0"/>
    <n v="0.9"/>
    <n v="0.1"/>
    <m/>
    <m/>
    <x v="0"/>
    <n v="0"/>
    <m/>
    <n v="0"/>
    <n v="0"/>
    <m/>
    <n v="0.4"/>
    <n v="0.5"/>
    <n v="0.1"/>
    <m/>
    <m/>
    <m/>
    <n v="0"/>
    <n v="0"/>
    <n v="0"/>
    <n v="0"/>
    <m/>
    <m/>
  </r>
  <r>
    <s v="2.4.3.1.2"/>
    <s v="CMS M.60.10.000"/>
    <x v="2"/>
    <n v="1"/>
    <s v="SPOOL"/>
    <n v="8"/>
    <x v="1"/>
    <s v="NÃO"/>
    <s v="NÃO"/>
    <x v="32"/>
    <x v="2"/>
    <s v="DISPOSIÇÃO DE REJEITOS LINHA DO CIRCUITO ARENOSO DISTRIBUIDOR DI-145A-9912 PARA A PENEIRA PN-145A-9722"/>
    <m/>
    <m/>
    <m/>
    <s v="1450AA-T-70384_FL06"/>
    <n v="1"/>
    <s v="PÇ"/>
    <n v="0.14899999999999999"/>
    <n v="0.14899999999999999"/>
    <n v="1651.88"/>
    <n v="246.13012000000001"/>
    <n v="0"/>
    <n v="0.9"/>
    <n v="0.1"/>
    <m/>
    <m/>
    <x v="0"/>
    <n v="0"/>
    <m/>
    <n v="0"/>
    <n v="0.14899999999999999"/>
    <m/>
    <n v="0.4"/>
    <n v="0.5"/>
    <n v="0.1"/>
    <m/>
    <m/>
    <m/>
    <n v="0"/>
    <n v="0"/>
    <n v="0"/>
    <n v="246.13012000000001"/>
    <m/>
    <m/>
  </r>
  <r>
    <s v="2.4.3.1.2"/>
    <s v="CMS M.60.10.000"/>
    <x v="2"/>
    <n v="2"/>
    <s v="CURVA"/>
    <n v="8"/>
    <x v="1"/>
    <s v="NÃO"/>
    <s v="NÃO"/>
    <x v="32"/>
    <x v="2"/>
    <s v="DISPOSIÇÃO DE REJEITOS LINHA DO CIRCUITO ARENOSO DISTRIBUIDOR DI-145A-9912 PARA A PENEIRA PN-145A-9722"/>
    <m/>
    <m/>
    <m/>
    <s v="1450AA-T-70384_FL14"/>
    <n v="1"/>
    <s v="PÇ"/>
    <n v="0.33200000000000002"/>
    <n v="0.33200000000000002"/>
    <n v="1651.88"/>
    <n v="548.42416000000003"/>
    <n v="0"/>
    <n v="0.9"/>
    <n v="0.1"/>
    <m/>
    <m/>
    <x v="0"/>
    <n v="0"/>
    <m/>
    <n v="0"/>
    <n v="0.33200000000000002"/>
    <m/>
    <n v="0.4"/>
    <n v="0.5"/>
    <n v="0.1"/>
    <m/>
    <m/>
    <m/>
    <n v="0"/>
    <n v="0"/>
    <n v="0"/>
    <n v="548.42416000000003"/>
    <m/>
    <m/>
  </r>
  <r>
    <s v="2.4.3.1.2"/>
    <s v="CMS M.60.10.000"/>
    <x v="2"/>
    <n v="3"/>
    <s v="SPOOL"/>
    <n v="8"/>
    <x v="1"/>
    <s v="NÃO"/>
    <s v="NÃO"/>
    <x v="32"/>
    <x v="2"/>
    <s v="DISPOSIÇÃO DE REJEITOS LINHA DO CIRCUITO ARENOSO DISTRIBUIDOR DI-145A-9912 PARA A PENEIRA PN-145A-9722"/>
    <m/>
    <m/>
    <m/>
    <s v="1450AA-T-70384_FL08"/>
    <n v="1"/>
    <s v="PÇ"/>
    <n v="0.30399999999999999"/>
    <n v="0.30399999999999999"/>
    <n v="1651.88"/>
    <n v="502.17152000000004"/>
    <n v="0"/>
    <n v="0.9"/>
    <n v="0.1"/>
    <m/>
    <m/>
    <x v="0"/>
    <n v="0"/>
    <m/>
    <n v="0"/>
    <n v="0.30399999999999999"/>
    <m/>
    <n v="0.4"/>
    <n v="0.5"/>
    <n v="0.1"/>
    <m/>
    <m/>
    <m/>
    <n v="0"/>
    <n v="0"/>
    <n v="0"/>
    <n v="502.17152000000004"/>
    <m/>
    <m/>
  </r>
  <r>
    <s v="2.4.3.1.2"/>
    <s v="CMS M.60.10.000"/>
    <x v="2"/>
    <n v="4"/>
    <s v="CURVA"/>
    <n v="8"/>
    <x v="1"/>
    <s v="NÃO"/>
    <s v="NÃO"/>
    <x v="32"/>
    <x v="2"/>
    <s v="DISPOSIÇÃO DE REJEITOS LINHA DO CIRCUITO ARENOSO DISTRIBUIDOR DI-145A-9912 PARA A PENEIRA PN-145A-9722"/>
    <m/>
    <m/>
    <m/>
    <s v="1450AA-T-70384_FL13"/>
    <n v="1"/>
    <s v="PÇ"/>
    <n v="0.33200000000000002"/>
    <n v="0.33200000000000002"/>
    <n v="1651.88"/>
    <n v="548.42416000000003"/>
    <n v="0"/>
    <n v="0.9"/>
    <n v="0.1"/>
    <m/>
    <m/>
    <x v="0"/>
    <n v="0"/>
    <m/>
    <n v="0"/>
    <n v="0.33200000000000002"/>
    <m/>
    <n v="0.4"/>
    <n v="0.5"/>
    <n v="0.1"/>
    <m/>
    <m/>
    <m/>
    <n v="0"/>
    <n v="0"/>
    <n v="0"/>
    <n v="548.42416000000003"/>
    <m/>
    <m/>
  </r>
  <r>
    <s v="2.4.3.1.2"/>
    <s v="CMS M.60.10.000"/>
    <x v="2"/>
    <n v="5"/>
    <s v="SPOOL"/>
    <n v="8"/>
    <x v="2"/>
    <s v="NÃO"/>
    <s v="NÃO"/>
    <x v="32"/>
    <x v="2"/>
    <s v="DISPOSIÇÃO DE REJEITOS LINHA DO CIRCUITO ARENOSO DISTRIBUIDOR DI-145A-9912 PARA A PENEIRA PN-145A-9722"/>
    <m/>
    <m/>
    <m/>
    <s v="1450AA-T-70384_FL11"/>
    <n v="1"/>
    <s v="PÇ"/>
    <n v="0.34499999999999997"/>
    <n v="0.34499999999999997"/>
    <n v="1651.88"/>
    <n v="569.89859999999999"/>
    <n v="0"/>
    <n v="0.9"/>
    <n v="0.1"/>
    <m/>
    <m/>
    <x v="0"/>
    <n v="0"/>
    <m/>
    <n v="0"/>
    <n v="0.34499999999999997"/>
    <m/>
    <n v="0.4"/>
    <n v="0.5"/>
    <n v="0.1"/>
    <m/>
    <m/>
    <m/>
    <n v="0"/>
    <n v="0"/>
    <n v="0"/>
    <n v="569.89859999999999"/>
    <m/>
    <m/>
  </r>
  <r>
    <s v="2.4.3.1.2"/>
    <s v="CMS M.60.10.000"/>
    <x v="2"/>
    <n v="6"/>
    <s v="SPOOL"/>
    <n v="8"/>
    <x v="1"/>
    <s v="NÃO"/>
    <s v="NÃO"/>
    <x v="32"/>
    <x v="2"/>
    <s v="DISPOSIÇÃO DE REJEITOS LINHA DO CIRCUITO ARENOSO DISTRIBUIDOR DI-145A-9912 PARA A PENEIRA PN-145A-9722"/>
    <m/>
    <m/>
    <m/>
    <s v="1450AA-T-70384_FL10"/>
    <n v="1"/>
    <s v="PÇ"/>
    <n v="3.7"/>
    <n v="3.7"/>
    <n v="1651.88"/>
    <n v="6111.956000000001"/>
    <n v="0"/>
    <n v="0.9"/>
    <n v="0.1"/>
    <m/>
    <m/>
    <x v="0"/>
    <n v="0"/>
    <m/>
    <n v="0"/>
    <n v="3.7"/>
    <m/>
    <n v="0.4"/>
    <n v="0.5"/>
    <n v="0.1"/>
    <m/>
    <m/>
    <m/>
    <n v="0"/>
    <n v="0"/>
    <n v="0"/>
    <n v="6111.956000000001"/>
    <m/>
    <m/>
  </r>
  <r>
    <s v="2.4.3.1.2"/>
    <s v="CMS M.60.10.000"/>
    <x v="2"/>
    <n v="7"/>
    <s v="CURVA"/>
    <n v="8"/>
    <x v="1"/>
    <s v="NÃO"/>
    <s v="NÃO"/>
    <x v="32"/>
    <x v="2"/>
    <s v="DISPOSIÇÃO DE REJEITOS LINHA DO CIRCUITO ARENOSO DISTRIBUIDOR DI-145A-9912 PARA A PENEIRA PN-145A-9722"/>
    <m/>
    <m/>
    <m/>
    <s v="1450AA-T-70384_FL15"/>
    <n v="2"/>
    <s v="PÇ"/>
    <n v="0.61099999999999999"/>
    <n v="1.222"/>
    <n v="1651.88"/>
    <n v="2018.59736"/>
    <n v="0"/>
    <n v="0.9"/>
    <n v="0.1"/>
    <m/>
    <m/>
    <x v="0"/>
    <n v="0"/>
    <m/>
    <n v="0"/>
    <n v="1.222"/>
    <m/>
    <n v="0.4"/>
    <n v="0.5"/>
    <n v="0.1"/>
    <m/>
    <m/>
    <m/>
    <n v="0"/>
    <n v="0"/>
    <n v="0"/>
    <n v="2018.59736"/>
    <m/>
    <m/>
  </r>
  <r>
    <s v="2.4.3.1.2"/>
    <s v="CMS M.60.10.000"/>
    <x v="2"/>
    <n v="8"/>
    <s v="SPOOL"/>
    <n v="8"/>
    <x v="1"/>
    <s v="NÃO"/>
    <s v="NÃO"/>
    <x v="32"/>
    <x v="2"/>
    <s v="DISPOSIÇÃO DE REJEITOS LINHA DO CIRCUITO ARENOSO DISTRIBUIDOR DI-145A-9912 PARA A PENEIRA PN-145A-9722"/>
    <m/>
    <m/>
    <m/>
    <s v="1450AA-T-70384_FL07"/>
    <n v="1"/>
    <s v="PÇ"/>
    <n v="0.19400000000000001"/>
    <n v="0.19400000000000001"/>
    <n v="1651.88"/>
    <n v="320.46472000000006"/>
    <n v="0"/>
    <n v="0.9"/>
    <n v="0.1"/>
    <m/>
    <m/>
    <x v="0"/>
    <n v="0"/>
    <m/>
    <n v="0"/>
    <n v="0.19400000000000001"/>
    <m/>
    <n v="0.4"/>
    <n v="0.5"/>
    <n v="0.1"/>
    <m/>
    <m/>
    <m/>
    <n v="0"/>
    <n v="0"/>
    <n v="0"/>
    <n v="320.46472000000006"/>
    <m/>
    <m/>
  </r>
  <r>
    <s v="2.4.3.1.2"/>
    <s v="CMS M.60.10.000"/>
    <x v="2"/>
    <n v="9"/>
    <s v="SPOOL"/>
    <n v="8"/>
    <x v="1"/>
    <s v="NÃO"/>
    <s v="NÃO"/>
    <x v="32"/>
    <x v="2"/>
    <s v="DISPOSIÇÃO DE REJEITOS LINHA DO CIRCUITO ARENOSO DISTRIBUIDOR DI-145A-9912 PARA A PENEIRA PN-145A-9722"/>
    <m/>
    <m/>
    <m/>
    <s v="1450AA-T-70384_FL09"/>
    <n v="1"/>
    <s v="PÇ"/>
    <n v="0.32500000000000001"/>
    <n v="0.32500000000000001"/>
    <n v="1651.88"/>
    <n v="536.8610000000001"/>
    <n v="0"/>
    <n v="0.9"/>
    <n v="0.1"/>
    <m/>
    <m/>
    <x v="0"/>
    <n v="0"/>
    <m/>
    <n v="0"/>
    <n v="0.32500000000000001"/>
    <m/>
    <n v="0.4"/>
    <n v="0.5"/>
    <n v="0.1"/>
    <m/>
    <m/>
    <m/>
    <n v="0"/>
    <n v="0"/>
    <n v="0"/>
    <n v="536.8610000000001"/>
    <m/>
    <m/>
  </r>
  <r>
    <s v="2.4.3.1.2"/>
    <s v="CMS M.60.10.000"/>
    <x v="2"/>
    <n v="10"/>
    <s v="SPOOL"/>
    <n v="8"/>
    <x v="1"/>
    <s v="NÃO"/>
    <s v="NÃO"/>
    <x v="32"/>
    <x v="2"/>
    <s v="DISPOSIÇÃO DE REJEITOS LINHA DO CIRCUITO ARENOSO DISTRIBUIDOR DI-145A-9912 PARA A PENEIRA PN-145A-9722"/>
    <m/>
    <m/>
    <m/>
    <s v="1450AA-T-70384_FL16"/>
    <n v="1"/>
    <s v="PÇ"/>
    <n v="1.01"/>
    <n v="1.01"/>
    <n v="1651.88"/>
    <n v="1668.3988000000002"/>
    <n v="0"/>
    <n v="0.9"/>
    <n v="0.1"/>
    <m/>
    <m/>
    <x v="0"/>
    <n v="0"/>
    <m/>
    <n v="0"/>
    <n v="1.01"/>
    <m/>
    <n v="0.4"/>
    <n v="0.5"/>
    <n v="0.1"/>
    <m/>
    <m/>
    <m/>
    <n v="0"/>
    <n v="0"/>
    <n v="0"/>
    <n v="1668.3988000000002"/>
    <m/>
    <m/>
  </r>
  <r>
    <s v="2.4.3.1.2"/>
    <s v="CMS M.60.10.000"/>
    <x v="2"/>
    <n v="11"/>
    <s v="SPOOL"/>
    <n v="8"/>
    <x v="2"/>
    <s v="NÃO"/>
    <s v="NÃO"/>
    <x v="32"/>
    <x v="2"/>
    <s v="DISPOSIÇÃO DE REJEITOS LINHA DO CIRCUITO ARENOSO DISTRIBUIDOR DI-145A-9912 PARA A PENEIRA PN-145A-9722"/>
    <m/>
    <m/>
    <m/>
    <s v="1450AA-T-70384_FL12"/>
    <n v="1"/>
    <s v="PÇ"/>
    <n v="0.51"/>
    <n v="0.51"/>
    <n v="1651.88"/>
    <n v="842.45880000000011"/>
    <n v="0"/>
    <n v="0.9"/>
    <n v="0.1"/>
    <m/>
    <m/>
    <x v="0"/>
    <n v="0"/>
    <n v="0"/>
    <n v="0"/>
    <n v="0.51"/>
    <s v="X"/>
    <n v="0.4"/>
    <n v="0.5"/>
    <n v="0.1"/>
    <s v="X"/>
    <s v="X"/>
    <s v="X"/>
    <n v="0"/>
    <n v="0"/>
    <n v="0"/>
    <n v="842.45880000000011"/>
    <s v="X"/>
    <s v="X"/>
  </r>
  <r>
    <s v="2.4.3.1.2"/>
    <s v="CMS M.60.10.000"/>
    <x v="2"/>
    <n v="1"/>
    <s v="SPOOL"/>
    <n v="8"/>
    <x v="1"/>
    <s v="NÃO"/>
    <s v="NÃO"/>
    <x v="33"/>
    <x v="2"/>
    <s v="DISPOSIÇÃO DE REJEITOS LINHA DO CIRCUITO ARENOSO DISTRIBUIDOR DI-145A-9912 PARA A PENEIRA PN-145A-9703"/>
    <m/>
    <m/>
    <m/>
    <s v="1450AA-T-70386_FL09"/>
    <n v="1"/>
    <s v="PÇ"/>
    <n v="0.67600000000000005"/>
    <n v="0.67600000000000005"/>
    <n v="1651.88"/>
    <n v="1116.6708800000001"/>
    <n v="0"/>
    <n v="0.9"/>
    <n v="0.1"/>
    <m/>
    <m/>
    <x v="0"/>
    <m/>
    <m/>
    <m/>
    <m/>
    <m/>
    <m/>
    <m/>
    <m/>
    <m/>
    <m/>
    <m/>
    <m/>
    <m/>
    <m/>
    <m/>
    <m/>
    <m/>
  </r>
  <r>
    <s v="2.4.3.1.2"/>
    <s v="CMS M.60.10.000"/>
    <x v="2"/>
    <n v="2"/>
    <s v="CURVA"/>
    <n v="8"/>
    <x v="1"/>
    <s v="NÃO"/>
    <s v="NÃO"/>
    <x v="33"/>
    <x v="2"/>
    <s v="DISPOSIÇÃO DE REJEITOS LINHA DO CIRCUITO ARENOSO DISTRIBUIDOR DI-145A-9912 PARA A PENEIRA PN-145A-9703"/>
    <m/>
    <m/>
    <m/>
    <s v="1450AA-T-70386_FL19"/>
    <n v="2"/>
    <s v="PÇ"/>
    <n v="0.61099999999999999"/>
    <n v="1.222"/>
    <n v="1651.88"/>
    <n v="2018.59736"/>
    <n v="0"/>
    <n v="0.9"/>
    <n v="0.1"/>
    <m/>
    <m/>
    <x v="0"/>
    <m/>
    <m/>
    <m/>
    <m/>
    <m/>
    <m/>
    <m/>
    <m/>
    <m/>
    <m/>
    <m/>
    <m/>
    <m/>
    <m/>
    <m/>
    <m/>
    <m/>
  </r>
  <r>
    <s v="2.4.3.1.2"/>
    <s v="CMS M.60.10.000"/>
    <x v="2"/>
    <n v="3"/>
    <s v="SPOOL"/>
    <n v="8"/>
    <x v="1"/>
    <s v="NÃO"/>
    <s v="NÃO"/>
    <x v="33"/>
    <x v="2"/>
    <s v="DISPOSIÇÃO DE REJEITOS LINHA DO CIRCUITO ARENOSO DISTRIBUIDOR DI-145A-9912 PARA A PENEIRA PN-145A-9703"/>
    <m/>
    <m/>
    <m/>
    <s v="1450AA-T-70386_FL10"/>
    <n v="2"/>
    <s v="PÇ"/>
    <n v="0.81599999999999995"/>
    <n v="1.6319999999999999"/>
    <n v="1651.88"/>
    <n v="2695.86816"/>
    <n v="0"/>
    <n v="0.9"/>
    <n v="0.1"/>
    <m/>
    <m/>
    <x v="0"/>
    <m/>
    <m/>
    <m/>
    <m/>
    <m/>
    <m/>
    <m/>
    <m/>
    <m/>
    <m/>
    <m/>
    <m/>
    <m/>
    <m/>
    <m/>
    <m/>
    <m/>
  </r>
  <r>
    <s v="2.4.3.1.2"/>
    <s v="CMS M.60.10.000"/>
    <x v="2"/>
    <n v="4"/>
    <s v="CURVA"/>
    <n v="8"/>
    <x v="1"/>
    <s v="NÃO"/>
    <s v="NÃO"/>
    <x v="33"/>
    <x v="2"/>
    <s v="DISPOSIÇÃO DE REJEITOS LINHA DO CIRCUITO ARENOSO DISTRIBUIDOR DI-145A-9912 PARA A PENEIRA PN-145A-9703"/>
    <m/>
    <m/>
    <m/>
    <s v="1450AA-T-70386_FL17"/>
    <n v="1"/>
    <s v="PÇ"/>
    <n v="0.32100000000000001"/>
    <n v="0.32100000000000001"/>
    <n v="1651.88"/>
    <n v="530.25348000000008"/>
    <n v="0"/>
    <n v="0.9"/>
    <n v="0.1"/>
    <m/>
    <m/>
    <x v="0"/>
    <m/>
    <m/>
    <m/>
    <m/>
    <m/>
    <m/>
    <m/>
    <m/>
    <m/>
    <m/>
    <m/>
    <m/>
    <m/>
    <m/>
    <m/>
    <m/>
    <m/>
  </r>
  <r>
    <s v="2.4.3.1.2"/>
    <s v="CMS M.60.10.000"/>
    <x v="2"/>
    <n v="5"/>
    <s v="SPOOL"/>
    <n v="8"/>
    <x v="2"/>
    <s v="NÃO"/>
    <s v="NÃO"/>
    <x v="33"/>
    <x v="2"/>
    <s v="DISPOSIÇÃO DE REJEITOS LINHA DO CIRCUITO ARENOSO DISTRIBUIDOR DI-145A-9912 PARA A PENEIRA PN-145A-9703"/>
    <m/>
    <m/>
    <m/>
    <s v="1450AA-T-70386_FL15"/>
    <n v="1"/>
    <s v="PÇ"/>
    <n v="0.34499999999999997"/>
    <n v="0.34499999999999997"/>
    <n v="1651.88"/>
    <n v="569.89859999999999"/>
    <n v="0"/>
    <n v="0.9"/>
    <n v="0.1"/>
    <m/>
    <m/>
    <x v="0"/>
    <m/>
    <m/>
    <m/>
    <m/>
    <m/>
    <m/>
    <m/>
    <m/>
    <m/>
    <m/>
    <m/>
    <m/>
    <m/>
    <m/>
    <m/>
    <m/>
    <m/>
  </r>
  <r>
    <s v="2.4.3.1.2"/>
    <s v="CMS M.60.10.000"/>
    <x v="2"/>
    <n v="6"/>
    <s v="SPOOL"/>
    <n v="8"/>
    <x v="1"/>
    <s v="NÃO"/>
    <s v="NÃO"/>
    <x v="33"/>
    <x v="2"/>
    <s v="DISPOSIÇÃO DE REJEITOS LINHA DO CIRCUITO ARENOSO DISTRIBUIDOR DI-145A-9912 PARA A PENEIRA PN-145A-9703"/>
    <m/>
    <m/>
    <m/>
    <s v="1450AA-T-70386_FL13"/>
    <n v="1"/>
    <s v="PÇ"/>
    <n v="1.8"/>
    <n v="1.8"/>
    <n v="1651.88"/>
    <n v="2973.3840000000005"/>
    <n v="0"/>
    <n v="0.9"/>
    <n v="0.1"/>
    <m/>
    <m/>
    <x v="0"/>
    <m/>
    <m/>
    <m/>
    <m/>
    <m/>
    <m/>
    <m/>
    <m/>
    <m/>
    <m/>
    <m/>
    <m/>
    <m/>
    <m/>
    <m/>
    <m/>
    <m/>
  </r>
  <r>
    <s v="2.4.3.1.2"/>
    <s v="CMS M.60.10.000"/>
    <x v="2"/>
    <n v="7"/>
    <s v="SPOOL"/>
    <n v="8"/>
    <x v="1"/>
    <s v="NÃO"/>
    <s v="NÃO"/>
    <x v="33"/>
    <x v="2"/>
    <s v="DISPOSIÇÃO DE REJEITOS LINHA DO CIRCUITO ARENOSO DISTRIBUIDOR DI-145A-9912 PARA A PENEIRA PN-145A-9703"/>
    <m/>
    <m/>
    <m/>
    <s v="1450AA-T-70386_FL12"/>
    <n v="1"/>
    <s v="PÇ"/>
    <n v="1.5"/>
    <n v="1.5"/>
    <n v="1651.88"/>
    <n v="2477.8200000000002"/>
    <n v="0"/>
    <n v="0.9"/>
    <n v="0.1"/>
    <m/>
    <m/>
    <x v="0"/>
    <m/>
    <m/>
    <m/>
    <m/>
    <m/>
    <m/>
    <m/>
    <m/>
    <m/>
    <m/>
    <m/>
    <m/>
    <m/>
    <m/>
    <m/>
    <m/>
    <m/>
  </r>
  <r>
    <s v="2.4.3.1.2"/>
    <s v="CMS M.60.10.000"/>
    <x v="2"/>
    <n v="8"/>
    <s v="SPOOL"/>
    <n v="8"/>
    <x v="1"/>
    <s v="NÃO"/>
    <s v="NÃO"/>
    <x v="33"/>
    <x v="2"/>
    <s v="DISPOSIÇÃO DE REJEITOS LINHA DO CIRCUITO ARENOSO DISTRIBUIDOR DI-145A-9912 PARA A PENEIRA PN-145A-9703"/>
    <m/>
    <m/>
    <m/>
    <s v="1450AA-T-70386_FL14"/>
    <n v="1"/>
    <s v="PÇ"/>
    <n v="3"/>
    <n v="3"/>
    <n v="1651.88"/>
    <n v="4955.6400000000003"/>
    <n v="0"/>
    <n v="0.9"/>
    <n v="0.1"/>
    <m/>
    <m/>
    <x v="0"/>
    <m/>
    <m/>
    <m/>
    <m/>
    <m/>
    <m/>
    <m/>
    <m/>
    <m/>
    <m/>
    <m/>
    <m/>
    <m/>
    <m/>
    <m/>
    <m/>
    <m/>
  </r>
  <r>
    <s v="2.4.3.1.2"/>
    <s v="CMS M.60.10.000"/>
    <x v="2"/>
    <n v="9"/>
    <s v="SPOOL"/>
    <n v="8"/>
    <x v="2"/>
    <s v="NÃO"/>
    <s v="NÃO"/>
    <x v="33"/>
    <x v="2"/>
    <s v="DISPOSIÇÃO DE REJEITOS LINHA DO CIRCUITO ARENOSO DISTRIBUIDOR DI-145A-9912 PARA A PENEIRA PN-145A-9703"/>
    <m/>
    <m/>
    <m/>
    <s v="1450AA-T-70386_FL16"/>
    <n v="1"/>
    <s v="PÇ"/>
    <n v="0.65"/>
    <n v="0.65"/>
    <n v="1651.88"/>
    <n v="1073.7220000000002"/>
    <n v="0"/>
    <n v="0.9"/>
    <n v="0.1"/>
    <m/>
    <m/>
    <x v="0"/>
    <m/>
    <m/>
    <m/>
    <m/>
    <m/>
    <m/>
    <m/>
    <m/>
    <m/>
    <m/>
    <m/>
    <m/>
    <m/>
    <m/>
    <m/>
    <m/>
    <m/>
  </r>
  <r>
    <s v="2.4.3.1.2"/>
    <s v="CMS M.60.10.000"/>
    <x v="2"/>
    <n v="10"/>
    <s v="CURVA"/>
    <n v="8"/>
    <x v="1"/>
    <s v="NÃO"/>
    <s v="NÃO"/>
    <x v="33"/>
    <x v="2"/>
    <s v="DISPOSIÇÃO DE REJEITOS LINHA DO CIRCUITO ARENOSO DISTRIBUIDOR DI-145A-9912 PARA A PENEIRA PN-145A-9703"/>
    <m/>
    <m/>
    <m/>
    <s v="1450AA-T-70386_FL18"/>
    <n v="1"/>
    <s v="PÇ"/>
    <n v="0.54200000000000004"/>
    <n v="0.54200000000000004"/>
    <n v="1651.88"/>
    <n v="895.31896000000017"/>
    <n v="0"/>
    <n v="0.9"/>
    <n v="0.1"/>
    <m/>
    <m/>
    <x v="0"/>
    <m/>
    <m/>
    <m/>
    <m/>
    <m/>
    <m/>
    <m/>
    <m/>
    <m/>
    <m/>
    <m/>
    <m/>
    <m/>
    <m/>
    <m/>
    <m/>
    <m/>
  </r>
  <r>
    <s v="2.4.3.1.2"/>
    <s v="CMS M.60.10.000"/>
    <x v="2"/>
    <n v="11"/>
    <s v="CURVA"/>
    <n v="8"/>
    <x v="1"/>
    <s v="NÃO"/>
    <s v="NÃO"/>
    <x v="33"/>
    <x v="2"/>
    <s v="DISPOSIÇÃO DE REJEITOS LINHA DO CIRCUITO ARENOSO DISTRIBUIDOR DI-145A-9912 PARA A PENEIRA PN-145A-9703"/>
    <m/>
    <m/>
    <m/>
    <s v="1450AA-T-70386_FL20"/>
    <n v="1"/>
    <s v="PÇ"/>
    <n v="0.63800000000000001"/>
    <n v="0.63800000000000001"/>
    <n v="1651.88"/>
    <n v="1053.8994400000001"/>
    <n v="0"/>
    <n v="0.9"/>
    <n v="0.1"/>
    <m/>
    <m/>
    <x v="0"/>
    <m/>
    <m/>
    <m/>
    <m/>
    <m/>
    <m/>
    <m/>
    <m/>
    <m/>
    <m/>
    <m/>
    <m/>
    <m/>
    <m/>
    <m/>
    <m/>
    <m/>
  </r>
  <r>
    <s v="2.4.3.1.2"/>
    <s v="CMS M.60.10.000"/>
    <x v="2"/>
    <n v="12"/>
    <s v="SPOOL"/>
    <n v="8"/>
    <x v="1"/>
    <s v="NÃO"/>
    <s v="NÃO"/>
    <x v="33"/>
    <x v="2"/>
    <s v="DISPOSIÇÃO DE REJEITOS LINHA DO CIRCUITO ARENOSO DISTRIBUIDOR DI-145A-9912 PARA A PENEIRA PN-145A-9703"/>
    <m/>
    <m/>
    <m/>
    <s v="1450AA-T-70386_FL11"/>
    <n v="1"/>
    <s v="PÇ"/>
    <n v="1.34"/>
    <n v="1.34"/>
    <n v="1651.88"/>
    <n v="2213.5192000000002"/>
    <n v="0"/>
    <n v="0.9"/>
    <n v="0.1"/>
    <m/>
    <m/>
    <x v="0"/>
    <m/>
    <m/>
    <m/>
    <m/>
    <m/>
    <m/>
    <m/>
    <m/>
    <m/>
    <m/>
    <m/>
    <m/>
    <m/>
    <m/>
    <m/>
    <m/>
    <m/>
  </r>
  <r>
    <s v="2.4.3.1.2"/>
    <s v="CMS M.60.10.000"/>
    <x v="2"/>
    <n v="13"/>
    <s v="SPOOL"/>
    <n v="8"/>
    <x v="1"/>
    <s v="NÃO"/>
    <s v="NÃO"/>
    <x v="33"/>
    <x v="2"/>
    <s v="DISPOSIÇÃO DE REJEITOS LINHA DO CIRCUITO ARENOSO DISTRIBUIDOR DI-145A-9912 PARA A PENEIRA PN-145A-9703"/>
    <m/>
    <m/>
    <m/>
    <s v="1450AA-T-70386_FL21"/>
    <n v="1"/>
    <s v="PÇ"/>
    <n v="0.96"/>
    <n v="0.96"/>
    <n v="1651.88"/>
    <n v="1585.8048000000001"/>
    <n v="0"/>
    <n v="0.9"/>
    <n v="0.1"/>
    <m/>
    <m/>
    <x v="0"/>
    <m/>
    <m/>
    <m/>
    <m/>
    <m/>
    <m/>
    <m/>
    <m/>
    <m/>
    <m/>
    <m/>
    <m/>
    <m/>
    <m/>
    <m/>
    <m/>
    <m/>
  </r>
  <r>
    <s v="2.4.3.1.1"/>
    <s v="CMS M.60.10.000"/>
    <x v="2"/>
    <n v="14"/>
    <s v="SPOOL"/>
    <s v="8 X 6"/>
    <x v="1"/>
    <s v="NÃO"/>
    <s v="NÃO"/>
    <x v="33"/>
    <x v="2"/>
    <s v="DISPOSIÇÃO DE REJEITOS LINHA DO CIRCUITO ARENOSO DISTRIBUIDOR DI-145A-9912 PARA A PENEIRA PN-145A-9703"/>
    <m/>
    <m/>
    <m/>
    <s v="1450AA-T-70386_FL22"/>
    <n v="1"/>
    <s v="PÇ"/>
    <n v="2.113"/>
    <n v="2.113"/>
    <n v="1169.77"/>
    <n v="2471.7240099999999"/>
    <n v="0"/>
    <n v="0.9"/>
    <n v="0.1"/>
    <m/>
    <m/>
    <x v="0"/>
    <m/>
    <m/>
    <m/>
    <m/>
    <m/>
    <m/>
    <m/>
    <m/>
    <m/>
    <m/>
    <m/>
    <m/>
    <m/>
    <m/>
    <m/>
    <m/>
    <m/>
  </r>
  <r>
    <s v="2.4.3.1.1"/>
    <s v="CMS M.60.10.000"/>
    <x v="2"/>
    <n v="15"/>
    <s v="FLANGE"/>
    <n v="6"/>
    <x v="1"/>
    <s v="NÃO"/>
    <s v="NÃO"/>
    <x v="33"/>
    <x v="2"/>
    <s v="DISPOSIÇÃO DE REJEITOS LINHA DO CIRCUITO ARENOSO DISTRIBUIDOR DI-145A-9912 PARA A PENEIRA PN-145A-9703"/>
    <m/>
    <m/>
    <m/>
    <s v="1450AA-T-70386_FL08"/>
    <n v="2"/>
    <s v="PÇ"/>
    <n v="0"/>
    <n v="0"/>
    <n v="1169.77"/>
    <n v="0"/>
    <n v="0"/>
    <n v="0.9"/>
    <n v="0.1"/>
    <m/>
    <m/>
    <x v="0"/>
    <m/>
    <m/>
    <m/>
    <m/>
    <m/>
    <m/>
    <m/>
    <m/>
    <m/>
    <m/>
    <m/>
    <m/>
    <m/>
    <m/>
    <m/>
    <m/>
    <m/>
  </r>
  <r>
    <s v="2.4.3.1.2"/>
    <s v="CMS M.60.10.000"/>
    <x v="2"/>
    <n v="1"/>
    <s v="SPOOL"/>
    <n v="8"/>
    <x v="1"/>
    <s v="NÃO"/>
    <s v="NÃO"/>
    <x v="34"/>
    <x v="2"/>
    <s v="DISPOSIÇÃO DE REJEITOS LINHA DO CIRCUITO ARENOSO DISTRIBUIDOR DI-145A-9912 PARA A PENEIRA PN-145A-9723"/>
    <m/>
    <m/>
    <m/>
    <s v="1450AA-T-70388_FL09"/>
    <n v="1"/>
    <s v="PÇ"/>
    <n v="0.69099999999999995"/>
    <n v="0.69099999999999995"/>
    <n v="1651.88"/>
    <n v="1141.4490800000001"/>
    <n v="0"/>
    <n v="0.9"/>
    <n v="0.1"/>
    <m/>
    <m/>
    <x v="0"/>
    <m/>
    <m/>
    <m/>
    <m/>
    <m/>
    <m/>
    <m/>
    <m/>
    <m/>
    <m/>
    <m/>
    <m/>
    <m/>
    <m/>
    <m/>
    <m/>
    <m/>
  </r>
  <r>
    <s v="2.4.3.1.2"/>
    <s v="CMS M.60.10.000"/>
    <x v="2"/>
    <n v="2"/>
    <s v="CURVA"/>
    <n v="8"/>
    <x v="1"/>
    <s v="NÃO"/>
    <s v="NÃO"/>
    <x v="34"/>
    <x v="2"/>
    <s v="DISPOSIÇÃO DE REJEITOS LINHA DO CIRCUITO ARENOSO DISTRIBUIDOR DI-145A-9912 PARA A PENEIRA PN-145A-9723"/>
    <m/>
    <m/>
    <m/>
    <s v="1450AA-T-70388_FL11"/>
    <n v="3"/>
    <s v="PÇ"/>
    <n v="0.61099999999999999"/>
    <n v="1.833"/>
    <n v="1651.88"/>
    <n v="3027.8960400000001"/>
    <n v="0"/>
    <n v="0.9"/>
    <n v="0.1"/>
    <m/>
    <m/>
    <x v="0"/>
    <m/>
    <m/>
    <m/>
    <m/>
    <m/>
    <m/>
    <m/>
    <m/>
    <m/>
    <m/>
    <m/>
    <m/>
    <m/>
    <m/>
    <m/>
    <m/>
    <m/>
  </r>
  <r>
    <s v="2.4.3.1.2"/>
    <s v="CMS M.60.10.000"/>
    <x v="2"/>
    <n v="3"/>
    <s v="SPOOL"/>
    <n v="8"/>
    <x v="1"/>
    <s v="NÃO"/>
    <s v="NÃO"/>
    <x v="34"/>
    <x v="2"/>
    <s v="DISPOSIÇÃO DE REJEITOS LINHA DO CIRCUITO ARENOSO DISTRIBUIDOR DI-145A-9912 PARA A PENEIRA PN-145A-9723"/>
    <m/>
    <m/>
    <m/>
    <s v="1450AA-T-70388_FL07"/>
    <n v="1"/>
    <s v="PÇ"/>
    <n v="0.25800000000000001"/>
    <n v="0.25800000000000001"/>
    <n v="1651.88"/>
    <n v="426.18504000000001"/>
    <n v="0"/>
    <n v="0.9"/>
    <n v="0.1"/>
    <m/>
    <m/>
    <x v="0"/>
    <m/>
    <m/>
    <m/>
    <m/>
    <m/>
    <m/>
    <m/>
    <m/>
    <m/>
    <m/>
    <m/>
    <m/>
    <m/>
    <m/>
    <m/>
    <m/>
    <m/>
  </r>
  <r>
    <s v="2.4.3.1.2"/>
    <s v="CMS M.60.10.000"/>
    <x v="2"/>
    <n v="4"/>
    <s v="SPOOL"/>
    <n v="8"/>
    <x v="1"/>
    <s v="NÃO"/>
    <s v="NÃO"/>
    <x v="34"/>
    <x v="2"/>
    <s v="DISPOSIÇÃO DE REJEITOS LINHA DO CIRCUITO ARENOSO DISTRIBUIDOR DI-145A-9912 PARA A PENEIRA PN-145A-9723"/>
    <m/>
    <m/>
    <m/>
    <s v="1450AA-T-70388_FL06"/>
    <n v="1"/>
    <s v="PÇ"/>
    <n v="0.19800000000000001"/>
    <n v="0.19800000000000001"/>
    <n v="1651.88"/>
    <n v="327.07224000000002"/>
    <n v="0"/>
    <n v="0.9"/>
    <n v="0.1"/>
    <m/>
    <m/>
    <x v="0"/>
    <m/>
    <m/>
    <m/>
    <m/>
    <m/>
    <m/>
    <m/>
    <m/>
    <m/>
    <m/>
    <m/>
    <m/>
    <m/>
    <m/>
    <m/>
    <m/>
    <m/>
  </r>
  <r>
    <s v="2.4.3.1.2"/>
    <s v="CMS M.60.10.000"/>
    <x v="2"/>
    <n v="5"/>
    <s v="SPOOL"/>
    <n v="8"/>
    <x v="1"/>
    <s v="NÃO"/>
    <s v="NÃO"/>
    <x v="34"/>
    <x v="2"/>
    <s v="DISPOSIÇÃO DE REJEITOS LINHA DO CIRCUITO ARENOSO DISTRIBUIDOR DI-145A-9912 PARA A PENEIRA PN-145A-9723"/>
    <m/>
    <m/>
    <m/>
    <s v="1450AA-T-70388_FL08"/>
    <n v="1"/>
    <s v="PÇ"/>
    <n v="0.32500000000000001"/>
    <n v="0.32500000000000001"/>
    <n v="1651.88"/>
    <n v="536.8610000000001"/>
    <n v="0"/>
    <n v="0.9"/>
    <n v="0.1"/>
    <m/>
    <m/>
    <x v="0"/>
    <m/>
    <m/>
    <m/>
    <m/>
    <m/>
    <m/>
    <m/>
    <m/>
    <m/>
    <m/>
    <m/>
    <m/>
    <m/>
    <m/>
    <m/>
    <m/>
    <m/>
  </r>
  <r>
    <s v="2.4.3.1.2"/>
    <s v="CMS M.60.10.000"/>
    <x v="2"/>
    <n v="6"/>
    <s v="SPOOL"/>
    <n v="8"/>
    <x v="1"/>
    <s v="NÃO"/>
    <s v="NÃO"/>
    <x v="34"/>
    <x v="2"/>
    <s v="DISPOSIÇÃO DE REJEITOS LINHA DO CIRCUITO ARENOSO DISTRIBUIDOR DI-145A-9912 PARA A PENEIRA PN-145A-9723"/>
    <m/>
    <m/>
    <m/>
    <s v="1450AA-T-70388_FL12"/>
    <n v="1"/>
    <s v="PÇ"/>
    <n v="1.01"/>
    <n v="1.01"/>
    <n v="1651.88"/>
    <n v="1668.3988000000002"/>
    <n v="0"/>
    <n v="0.9"/>
    <n v="0.1"/>
    <m/>
    <m/>
    <x v="0"/>
    <m/>
    <m/>
    <m/>
    <m/>
    <m/>
    <m/>
    <m/>
    <m/>
    <m/>
    <m/>
    <m/>
    <m/>
    <m/>
    <m/>
    <m/>
    <m/>
    <m/>
  </r>
  <r>
    <s v="2.4.3.1.2"/>
    <s v="CMS M.60.10.000"/>
    <x v="2"/>
    <n v="7"/>
    <s v="SPOOL"/>
    <n v="8"/>
    <x v="2"/>
    <s v="NÃO"/>
    <s v="NÃO"/>
    <x v="34"/>
    <x v="2"/>
    <s v="DISPOSIÇÃO DE REJEITOS LINHA DO CIRCUITO ARENOSO DISTRIBUIDOR DI-145A-9912 PARA A PENEIRA PN-145A-9723"/>
    <m/>
    <m/>
    <m/>
    <s v="1450AA-T-70388_FL10"/>
    <n v="1"/>
    <s v="PÇ"/>
    <n v="0.51"/>
    <n v="0.51"/>
    <n v="1651.88"/>
    <n v="842.45880000000011"/>
    <n v="0"/>
    <n v="0.9"/>
    <n v="0.1"/>
    <m/>
    <m/>
    <x v="0"/>
    <m/>
    <m/>
    <m/>
    <m/>
    <m/>
    <m/>
    <m/>
    <m/>
    <m/>
    <m/>
    <m/>
    <m/>
    <m/>
    <m/>
    <m/>
    <m/>
    <m/>
  </r>
  <r>
    <s v="2.4.3.1.2"/>
    <s v="CMS M.60.10.000"/>
    <x v="2"/>
    <n v="1"/>
    <s v="CURVA"/>
    <n v="8"/>
    <x v="1"/>
    <s v="NÃO"/>
    <s v="NÃO"/>
    <x v="35"/>
    <x v="2"/>
    <s v="DISPOSIÇÃO DE REJEITOS LINHA DO CIRCUITO ARENOSO DISTRIBUIDOR DI-145A-9913 PARA A PENEIRA PN-145A-9704"/>
    <m/>
    <m/>
    <m/>
    <s v="1450AA-T-70391_FL16"/>
    <n v="2"/>
    <s v="PÇ"/>
    <n v="0.61099999999999999"/>
    <n v="1.222"/>
    <n v="1651.88"/>
    <n v="2018.59736"/>
    <n v="0"/>
    <n v="0.9"/>
    <n v="0.1"/>
    <m/>
    <m/>
    <x v="0"/>
    <m/>
    <m/>
    <m/>
    <m/>
    <m/>
    <m/>
    <m/>
    <m/>
    <m/>
    <m/>
    <m/>
    <m/>
    <m/>
    <m/>
    <m/>
    <m/>
    <m/>
  </r>
  <r>
    <s v="2.4.3.1.2"/>
    <s v="CMS M.60.10.000"/>
    <x v="2"/>
    <n v="2"/>
    <s v="SPOOL"/>
    <n v="8"/>
    <x v="1"/>
    <s v="NÃO"/>
    <s v="NÃO"/>
    <x v="35"/>
    <x v="2"/>
    <s v="DISPOSIÇÃO DE REJEITOS LINHA DO CIRCUITO ARENOSO DISTRIBUIDOR DI-145A-9913 PARA A PENEIRA PN-145A-9704"/>
    <m/>
    <m/>
    <m/>
    <s v="1450AA-T-70391_FL09"/>
    <n v="2"/>
    <s v="PÇ"/>
    <n v="0.81499999999999995"/>
    <n v="1.63"/>
    <n v="1651.88"/>
    <n v="2692.5644000000002"/>
    <n v="0"/>
    <n v="0.9"/>
    <n v="0.1"/>
    <m/>
    <m/>
    <x v="0"/>
    <m/>
    <m/>
    <m/>
    <m/>
    <m/>
    <m/>
    <m/>
    <m/>
    <m/>
    <m/>
    <m/>
    <m/>
    <m/>
    <m/>
    <m/>
    <m/>
    <m/>
  </r>
  <r>
    <s v="2.4.3.1.2"/>
    <s v="CMS M.60.10.000"/>
    <x v="2"/>
    <n v="3"/>
    <s v="CURVA"/>
    <n v="8"/>
    <x v="1"/>
    <s v="NÃO"/>
    <s v="NÃO"/>
    <x v="35"/>
    <x v="2"/>
    <s v="DISPOSIÇÃO DE REJEITOS LINHA DO CIRCUITO ARENOSO DISTRIBUIDOR DI-145A-9913 PARA A PENEIRA PN-145A-9704"/>
    <m/>
    <m/>
    <m/>
    <s v="1450AA-T-70391_FL14"/>
    <n v="1"/>
    <s v="PÇ"/>
    <n v="0.32100000000000001"/>
    <n v="0.32100000000000001"/>
    <n v="1651.88"/>
    <n v="530.25348000000008"/>
    <n v="0"/>
    <n v="0.9"/>
    <n v="0.1"/>
    <m/>
    <m/>
    <x v="0"/>
    <m/>
    <m/>
    <m/>
    <m/>
    <m/>
    <m/>
    <m/>
    <m/>
    <m/>
    <m/>
    <m/>
    <m/>
    <m/>
    <m/>
    <m/>
    <m/>
    <m/>
  </r>
  <r>
    <s v="2.4.3.1.2"/>
    <s v="CMS M.60.10.000"/>
    <x v="2"/>
    <n v="4"/>
    <s v="SPOOL"/>
    <n v="8"/>
    <x v="2"/>
    <s v="NÃO"/>
    <s v="NÃO"/>
    <x v="35"/>
    <x v="2"/>
    <s v="DISPOSIÇÃO DE REJEITOS LINHA DO CIRCUITO ARENOSO DISTRIBUIDOR DI-145A-9913 PARA A PENEIRA PN-145A-9704"/>
    <m/>
    <m/>
    <m/>
    <s v="1450AA-T-70391_FL12"/>
    <n v="2"/>
    <s v="PÇ"/>
    <n v="0.45"/>
    <n v="0.9"/>
    <n v="1651.88"/>
    <n v="1486.6920000000002"/>
    <n v="0"/>
    <n v="0.9"/>
    <n v="0.1"/>
    <m/>
    <m/>
    <x v="0"/>
    <m/>
    <m/>
    <m/>
    <m/>
    <m/>
    <m/>
    <m/>
    <m/>
    <m/>
    <m/>
    <m/>
    <m/>
    <m/>
    <m/>
    <m/>
    <m/>
    <m/>
  </r>
  <r>
    <s v="2.4.3.1.2"/>
    <s v="CMS M.60.10.000"/>
    <x v="2"/>
    <n v="5"/>
    <s v="SPOOL"/>
    <n v="8"/>
    <x v="1"/>
    <s v="NÃO"/>
    <s v="NÃO"/>
    <x v="35"/>
    <x v="2"/>
    <s v="DISPOSIÇÃO DE REJEITOS LINHA DO CIRCUITO ARENOSO DISTRIBUIDOR DI-145A-9913 PARA A PENEIRA PN-145A-9704"/>
    <m/>
    <m/>
    <m/>
    <s v="1450AA-T-70391_FL11"/>
    <n v="1"/>
    <s v="PÇ"/>
    <n v="3.5"/>
    <n v="3.5"/>
    <n v="1651.88"/>
    <n v="5781.58"/>
    <n v="0"/>
    <n v="0.9"/>
    <n v="0.1"/>
    <m/>
    <m/>
    <x v="0"/>
    <m/>
    <m/>
    <m/>
    <m/>
    <m/>
    <m/>
    <m/>
    <m/>
    <m/>
    <m/>
    <m/>
    <m/>
    <m/>
    <m/>
    <m/>
    <m/>
    <m/>
  </r>
  <r>
    <s v="2.4.3.1.2"/>
    <s v="CMS M.60.10.000"/>
    <x v="2"/>
    <n v="6"/>
    <s v="SPOOL"/>
    <n v="8"/>
    <x v="1"/>
    <s v="NÃO"/>
    <s v="NÃO"/>
    <x v="35"/>
    <x v="2"/>
    <s v="DISPOSIÇÃO DE REJEITOS LINHA DO CIRCUITO ARENOSO DISTRIBUIDOR DI-145A-9913 PARA A PENEIRA PN-145A-9704"/>
    <m/>
    <m/>
    <m/>
    <s v="1450AA-T-70391_FL10"/>
    <n v="1"/>
    <s v="PÇ"/>
    <n v="1.5"/>
    <n v="1.5"/>
    <n v="1651.88"/>
    <n v="2477.8200000000002"/>
    <n v="0"/>
    <n v="0.9"/>
    <n v="0.1"/>
    <m/>
    <m/>
    <x v="0"/>
    <m/>
    <m/>
    <m/>
    <m/>
    <m/>
    <m/>
    <m/>
    <m/>
    <m/>
    <m/>
    <m/>
    <m/>
    <m/>
    <m/>
    <m/>
    <m/>
    <m/>
  </r>
  <r>
    <s v="2.4.3.1.2"/>
    <s v="CMS M.60.10.000"/>
    <x v="2"/>
    <n v="7"/>
    <s v="SPOOL"/>
    <n v="8"/>
    <x v="2"/>
    <s v="NÃO"/>
    <s v="NÃO"/>
    <x v="35"/>
    <x v="2"/>
    <s v="DISPOSIÇÃO DE REJEITOS LINHA DO CIRCUITO ARENOSO DISTRIBUIDOR DI-145A-9913 PARA A PENEIRA PN-145A-9704"/>
    <m/>
    <m/>
    <m/>
    <s v="1450AA-T-70391_FL13"/>
    <n v="2"/>
    <s v="PÇ"/>
    <n v="0.97499999999999998"/>
    <n v="1.95"/>
    <n v="1651.88"/>
    <n v="3221.1660000000002"/>
    <n v="0"/>
    <n v="0.9"/>
    <n v="0.1"/>
    <m/>
    <m/>
    <x v="0"/>
    <m/>
    <m/>
    <m/>
    <m/>
    <m/>
    <m/>
    <m/>
    <m/>
    <m/>
    <m/>
    <m/>
    <m/>
    <m/>
    <m/>
    <m/>
    <m/>
    <m/>
  </r>
  <r>
    <s v="2.4.3.1.2"/>
    <s v="CMS M.60.10.000"/>
    <x v="2"/>
    <n v="8"/>
    <s v="CURVA"/>
    <n v="8"/>
    <x v="1"/>
    <s v="NÃO"/>
    <s v="NÃO"/>
    <x v="35"/>
    <x v="2"/>
    <s v="DISPOSIÇÃO DE REJEITOS LINHA DO CIRCUITO ARENOSO DISTRIBUIDOR DI-145A-9913 PARA A PENEIRA PN-145A-9704"/>
    <m/>
    <m/>
    <m/>
    <s v="1450AA-T-70391_FL15"/>
    <n v="1"/>
    <s v="PÇ"/>
    <n v="0.54200000000000004"/>
    <n v="0.54200000000000004"/>
    <n v="1651.88"/>
    <n v="895.31896000000017"/>
    <n v="0"/>
    <n v="0.9"/>
    <n v="0.1"/>
    <m/>
    <m/>
    <x v="0"/>
    <m/>
    <m/>
    <m/>
    <m/>
    <m/>
    <m/>
    <m/>
    <m/>
    <m/>
    <m/>
    <m/>
    <m/>
    <m/>
    <m/>
    <m/>
    <m/>
    <m/>
  </r>
  <r>
    <s v="2.4.3.1.2"/>
    <s v="CMS M.60.10.000"/>
    <x v="2"/>
    <n v="9"/>
    <s v="CURVA"/>
    <n v="8"/>
    <x v="1"/>
    <s v="NÃO"/>
    <s v="NÃO"/>
    <x v="35"/>
    <x v="2"/>
    <s v="DISPOSIÇÃO DE REJEITOS LINHA DO CIRCUITO ARENOSO DISTRIBUIDOR DI-145A-9913 PARA A PENEIRA PN-145A-9704"/>
    <m/>
    <m/>
    <m/>
    <s v="1450AA-T-70391_FL17"/>
    <n v="1"/>
    <s v="PÇ"/>
    <n v="0.65300000000000002"/>
    <n v="0.65300000000000002"/>
    <n v="1651.88"/>
    <n v="1078.6776400000001"/>
    <n v="0"/>
    <n v="0.9"/>
    <n v="0.1"/>
    <m/>
    <m/>
    <x v="0"/>
    <m/>
    <m/>
    <m/>
    <m/>
    <m/>
    <m/>
    <m/>
    <m/>
    <m/>
    <m/>
    <m/>
    <m/>
    <m/>
    <m/>
    <m/>
    <m/>
    <m/>
  </r>
  <r>
    <s v="2.4.3.1.2"/>
    <s v="CMS M.60.10.000"/>
    <x v="2"/>
    <n v="10"/>
    <s v="SPOOL"/>
    <n v="8"/>
    <x v="1"/>
    <s v="NÃO"/>
    <s v="NÃO"/>
    <x v="35"/>
    <x v="2"/>
    <s v="DISPOSIÇÃO DE REJEITOS LINHA DO CIRCUITO ARENOSO DISTRIBUIDOR DI-145A-9913 PARA A PENEIRA PN-145A-9704"/>
    <m/>
    <m/>
    <m/>
    <s v="1450AA-T-70391_FL18"/>
    <n v="1"/>
    <s v="PÇ"/>
    <n v="0.96"/>
    <n v="0.96"/>
    <n v="1651.88"/>
    <n v="1585.8048000000001"/>
    <n v="0"/>
    <n v="0.9"/>
    <n v="0.1"/>
    <m/>
    <m/>
    <x v="0"/>
    <m/>
    <m/>
    <m/>
    <m/>
    <m/>
    <m/>
    <m/>
    <m/>
    <m/>
    <m/>
    <m/>
    <m/>
    <m/>
    <m/>
    <m/>
    <m/>
    <m/>
  </r>
  <r>
    <s v="2.4.3.1.1"/>
    <s v="CMS M.60.10.000"/>
    <x v="2"/>
    <n v="11"/>
    <s v="SPOOL"/>
    <s v="8 X 6"/>
    <x v="1"/>
    <s v="NÃO"/>
    <s v="NÃO"/>
    <x v="35"/>
    <x v="2"/>
    <s v="DISPOSIÇÃO DE REJEITOS LINHA DO CIRCUITO ARENOSO DISTRIBUIDOR DI-145A-9913 PARA A PENEIRA PN-145A-9704"/>
    <m/>
    <m/>
    <m/>
    <s v="1450AA-T-70391_FL19"/>
    <n v="1"/>
    <s v="PÇ"/>
    <n v="2.113"/>
    <n v="2.113"/>
    <n v="1169.77"/>
    <n v="2471.7240099999999"/>
    <n v="0"/>
    <n v="0.9"/>
    <n v="0.1"/>
    <m/>
    <m/>
    <x v="0"/>
    <m/>
    <m/>
    <m/>
    <m/>
    <m/>
    <m/>
    <m/>
    <m/>
    <m/>
    <m/>
    <m/>
    <m/>
    <m/>
    <m/>
    <m/>
    <m/>
    <m/>
  </r>
  <r>
    <s v="2.4.3.1.1"/>
    <s v="CMS M.60.10.000"/>
    <x v="2"/>
    <n v="12"/>
    <s v="FLANGE"/>
    <n v="6"/>
    <x v="1"/>
    <s v="NÃO"/>
    <s v="NÃO"/>
    <x v="35"/>
    <x v="2"/>
    <s v="DISPOSIÇÃO DE REJEITOS LINHA DO CIRCUITO ARENOSO DISTRIBUIDOR DI-145A-9913 PARA A PENEIRA PN-145A-9704"/>
    <m/>
    <m/>
    <m/>
    <s v="1450AA-T-70391_FL08"/>
    <n v="2"/>
    <s v="PÇ"/>
    <n v="0"/>
    <n v="0"/>
    <n v="1169.77"/>
    <n v="0"/>
    <n v="0"/>
    <n v="0.9"/>
    <n v="0.1"/>
    <m/>
    <m/>
    <x v="0"/>
    <m/>
    <m/>
    <m/>
    <m/>
    <m/>
    <m/>
    <m/>
    <m/>
    <m/>
    <m/>
    <m/>
    <m/>
    <m/>
    <m/>
    <m/>
    <m/>
    <m/>
  </r>
  <r>
    <s v="2.4.3.1.2"/>
    <s v="CMS M.60.10.000"/>
    <x v="2"/>
    <n v="1"/>
    <s v="CURVA"/>
    <n v="8"/>
    <x v="1"/>
    <s v="NÃO"/>
    <s v="NÃO"/>
    <x v="36"/>
    <x v="2"/>
    <s v="DISPOSIÇÃO DE REJEITOS LINHA DO CIRCUITO ARENOSO DISTRIBUIDOR DI-145A-9913 PARA A PENEIRA PN-145A-9724"/>
    <m/>
    <m/>
    <m/>
    <s v="1450AA-T-70393_FL13"/>
    <n v="3"/>
    <s v="PÇ"/>
    <n v="0.61099999999999999"/>
    <n v="1.833"/>
    <n v="1651.88"/>
    <n v="3027.8960400000001"/>
    <n v="0"/>
    <n v="0.9"/>
    <n v="0.1"/>
    <m/>
    <m/>
    <x v="0"/>
    <m/>
    <m/>
    <m/>
    <m/>
    <m/>
    <m/>
    <m/>
    <m/>
    <m/>
    <m/>
    <m/>
    <m/>
    <m/>
    <m/>
    <m/>
    <m/>
    <m/>
  </r>
  <r>
    <s v="2.4.3.1.2"/>
    <s v="CMS M.60.10.000"/>
    <x v="2"/>
    <n v="2"/>
    <s v="SPOOL"/>
    <n v="8"/>
    <x v="1"/>
    <s v="NÃO"/>
    <s v="NÃO"/>
    <x v="36"/>
    <x v="2"/>
    <s v="DISPOSIÇÃO DE REJEITOS LINHA DO CIRCUITO ARENOSO DISTRIBUIDOR DI-145A-9913 PARA A PENEIRA PN-145A-9724"/>
    <m/>
    <m/>
    <m/>
    <s v="1450AA-T-70393_FL06"/>
    <n v="1"/>
    <s v="PÇ"/>
    <n v="0.23499999999999999"/>
    <n v="0.23499999999999999"/>
    <n v="1651.88"/>
    <n v="388.1918"/>
    <n v="0"/>
    <n v="0.9"/>
    <n v="0.1"/>
    <m/>
    <m/>
    <x v="0"/>
    <m/>
    <m/>
    <m/>
    <m/>
    <m/>
    <m/>
    <m/>
    <m/>
    <m/>
    <m/>
    <m/>
    <m/>
    <m/>
    <m/>
    <m/>
    <m/>
    <m/>
  </r>
  <r>
    <s v="2.4.3.1.2"/>
    <s v="CMS M.60.10.000"/>
    <x v="2"/>
    <n v="3"/>
    <s v="CURVA"/>
    <n v="8"/>
    <x v="1"/>
    <s v="NÃO"/>
    <s v="NÃO"/>
    <x v="36"/>
    <x v="2"/>
    <s v="DISPOSIÇÃO DE REJEITOS LINHA DO CIRCUITO ARENOSO DISTRIBUIDOR DI-145A-9913 PARA A PENEIRA PN-145A-9724"/>
    <m/>
    <m/>
    <m/>
    <s v="1450AA-T-70393_FL12"/>
    <n v="1"/>
    <s v="PÇ"/>
    <n v="0.32100000000000001"/>
    <n v="0.32100000000000001"/>
    <n v="1651.88"/>
    <n v="530.25348000000008"/>
    <n v="0"/>
    <n v="0.9"/>
    <n v="0.1"/>
    <m/>
    <m/>
    <x v="0"/>
    <m/>
    <m/>
    <m/>
    <m/>
    <m/>
    <m/>
    <m/>
    <m/>
    <m/>
    <m/>
    <m/>
    <m/>
    <m/>
    <m/>
    <m/>
    <m/>
    <m/>
  </r>
  <r>
    <s v="2.4.3.1.2"/>
    <s v="CMS M.60.10.000"/>
    <x v="2"/>
    <n v="4"/>
    <s v="SPOOL"/>
    <n v="8"/>
    <x v="2"/>
    <s v="NÃO"/>
    <s v="NÃO"/>
    <x v="36"/>
    <x v="2"/>
    <s v="DISPOSIÇÃO DE REJEITOS LINHA DO CIRCUITO ARENOSO DISTRIBUIDOR DI-145A-9913 PARA A PENEIRA PN-145A-9724"/>
    <m/>
    <m/>
    <m/>
    <s v="1450AA-T-70393_FL10"/>
    <n v="1"/>
    <s v="PÇ"/>
    <n v="0.37"/>
    <n v="0.37"/>
    <n v="1651.88"/>
    <n v="611.19560000000001"/>
    <n v="0"/>
    <n v="0.9"/>
    <n v="0.1"/>
    <m/>
    <m/>
    <x v="0"/>
    <m/>
    <m/>
    <m/>
    <m/>
    <m/>
    <m/>
    <m/>
    <m/>
    <m/>
    <m/>
    <m/>
    <m/>
    <m/>
    <m/>
    <m/>
    <m/>
    <m/>
  </r>
  <r>
    <s v="2.4.3.1.2"/>
    <s v="CMS M.60.10.000"/>
    <x v="2"/>
    <n v="5"/>
    <s v="SPOOL"/>
    <n v="8"/>
    <x v="1"/>
    <s v="NÃO"/>
    <s v="NÃO"/>
    <x v="36"/>
    <x v="2"/>
    <s v="DISPOSIÇÃO DE REJEITOS LINHA DO CIRCUITO ARENOSO DISTRIBUIDOR DI-145A-9913 PARA A PENEIRA PN-145A-9724"/>
    <m/>
    <m/>
    <m/>
    <s v="1450AA-T-70393_FL09"/>
    <n v="1"/>
    <s v="PÇ"/>
    <n v="1.3"/>
    <n v="1.3"/>
    <n v="1651.88"/>
    <n v="2147.4440000000004"/>
    <n v="0"/>
    <n v="0.9"/>
    <n v="0.1"/>
    <m/>
    <m/>
    <x v="0"/>
    <m/>
    <m/>
    <m/>
    <m/>
    <m/>
    <m/>
    <m/>
    <m/>
    <m/>
    <m/>
    <m/>
    <m/>
    <m/>
    <m/>
    <m/>
    <m/>
    <m/>
  </r>
  <r>
    <s v="2.4.3.1.2"/>
    <s v="CMS M.60.10.000"/>
    <x v="2"/>
    <n v="6"/>
    <s v="SPOOL"/>
    <n v="8"/>
    <x v="1"/>
    <s v="NÃO"/>
    <s v="NÃO"/>
    <x v="36"/>
    <x v="2"/>
    <s v="DISPOSIÇÃO DE REJEITOS LINHA DO CIRCUITO ARENOSO DISTRIBUIDOR DI-145A-9913 PARA A PENEIRA PN-145A-9724"/>
    <m/>
    <m/>
    <m/>
    <s v="1450AA-T-70393_FL08"/>
    <n v="1"/>
    <s v="PÇ"/>
    <n v="0.73199999999999998"/>
    <n v="0.73199999999999998"/>
    <n v="1651.88"/>
    <n v="1209.17616"/>
    <n v="0"/>
    <n v="0.9"/>
    <n v="0.1"/>
    <m/>
    <m/>
    <x v="0"/>
    <m/>
    <m/>
    <m/>
    <m/>
    <m/>
    <m/>
    <m/>
    <m/>
    <m/>
    <m/>
    <m/>
    <m/>
    <m/>
    <m/>
    <m/>
    <m/>
    <m/>
  </r>
  <r>
    <s v="2.4.3.1.2"/>
    <s v="CMS M.60.10.000"/>
    <x v="2"/>
    <n v="7"/>
    <s v="SPOOL"/>
    <n v="8"/>
    <x v="1"/>
    <s v="NÃO"/>
    <s v="NÃO"/>
    <x v="36"/>
    <x v="2"/>
    <s v="DISPOSIÇÃO DE REJEITOS LINHA DO CIRCUITO ARENOSO DISTRIBUIDOR DI-145A-9913 PARA A PENEIRA PN-145A-9724"/>
    <m/>
    <m/>
    <m/>
    <s v="1450AA-T-70393_FL07"/>
    <n v="1"/>
    <s v="PÇ"/>
    <n v="0.32500000000000001"/>
    <n v="0.32500000000000001"/>
    <n v="1651.88"/>
    <n v="536.8610000000001"/>
    <n v="0"/>
    <n v="0.9"/>
    <n v="0.1"/>
    <m/>
    <m/>
    <x v="0"/>
    <m/>
    <m/>
    <m/>
    <m/>
    <m/>
    <m/>
    <m/>
    <m/>
    <m/>
    <m/>
    <m/>
    <m/>
    <m/>
    <m/>
    <m/>
    <m/>
    <m/>
  </r>
  <r>
    <s v="2.4.3.1.2"/>
    <s v="CMS M.60.10.000"/>
    <x v="2"/>
    <n v="8"/>
    <s v="SPOOL"/>
    <n v="8"/>
    <x v="1"/>
    <s v="NÃO"/>
    <s v="NÃO"/>
    <x v="36"/>
    <x v="2"/>
    <s v="DISPOSIÇÃO DE REJEITOS LINHA DO CIRCUITO ARENOSO DISTRIBUIDOR DI-145A-9913 PARA A PENEIRA PN-145A-9724"/>
    <m/>
    <m/>
    <m/>
    <s v="1450AA-T-70393_FL14"/>
    <n v="1"/>
    <s v="PÇ"/>
    <n v="1.01"/>
    <n v="1.01"/>
    <n v="1651.88"/>
    <n v="1668.3988000000002"/>
    <n v="0"/>
    <n v="0.9"/>
    <n v="0.1"/>
    <m/>
    <m/>
    <x v="0"/>
    <m/>
    <m/>
    <m/>
    <m/>
    <m/>
    <m/>
    <m/>
    <m/>
    <m/>
    <m/>
    <m/>
    <m/>
    <m/>
    <m/>
    <m/>
    <m/>
    <m/>
  </r>
  <r>
    <s v="2.4.3.1.2"/>
    <s v="CMS M.60.10.000"/>
    <x v="2"/>
    <n v="9"/>
    <s v="SPOOL"/>
    <n v="8"/>
    <x v="2"/>
    <s v="NÃO"/>
    <s v="NÃO"/>
    <x v="36"/>
    <x v="2"/>
    <s v="DISPOSIÇÃO DE REJEITOS LINHA DO CIRCUITO ARENOSO DISTRIBUIDOR DI-145A-9913 PARA A PENEIRA PN-145A-9724"/>
    <m/>
    <m/>
    <m/>
    <s v="1450AA-T-70393_FL11"/>
    <n v="1"/>
    <s v="PÇ"/>
    <n v="0.51"/>
    <n v="0.51"/>
    <n v="1651.88"/>
    <n v="842.45880000000011"/>
    <n v="0"/>
    <n v="0.9"/>
    <n v="0.1"/>
    <m/>
    <m/>
    <x v="0"/>
    <m/>
    <m/>
    <m/>
    <m/>
    <m/>
    <m/>
    <m/>
    <m/>
    <m/>
    <m/>
    <m/>
    <m/>
    <m/>
    <m/>
    <m/>
    <m/>
    <m/>
  </r>
  <r>
    <s v="2.4.3.1.2"/>
    <s v="CMS M.60.10.000"/>
    <x v="2"/>
    <n v="1"/>
    <s v="SPOOL"/>
    <n v="8"/>
    <x v="1"/>
    <s v="NÃO"/>
    <s v="NÃO"/>
    <x v="37"/>
    <x v="2"/>
    <s v="DISPOSIÇÃO DE REJEITOS LINHA DO CIRCUITO ARENOSO DISTRIBUIDOR DI-145A-9913 PARA A PENEIRA PN-145A-9705"/>
    <m/>
    <m/>
    <m/>
    <s v="1450AA-T-70395_FL09"/>
    <n v="1"/>
    <s v="PÇ"/>
    <n v="0.33500000000000002"/>
    <n v="0.33500000000000002"/>
    <n v="1651.88"/>
    <n v="553.37980000000005"/>
    <n v="0"/>
    <n v="0.9"/>
    <n v="0.1"/>
    <m/>
    <m/>
    <x v="0"/>
    <m/>
    <m/>
    <m/>
    <m/>
    <m/>
    <m/>
    <m/>
    <m/>
    <m/>
    <m/>
    <m/>
    <m/>
    <m/>
    <m/>
    <m/>
    <m/>
    <m/>
  </r>
  <r>
    <s v="2.4.3.1.2"/>
    <s v="CMS M.60.10.000"/>
    <x v="2"/>
    <n v="2"/>
    <s v="CURVA"/>
    <n v="8"/>
    <x v="1"/>
    <s v="NÃO"/>
    <s v="NÃO"/>
    <x v="37"/>
    <x v="2"/>
    <s v="DISPOSIÇÃO DE REJEITOS LINHA DO CIRCUITO ARENOSO DISTRIBUIDOR DI-145A-9913 PARA A PENEIRA PN-145A-9705"/>
    <m/>
    <m/>
    <m/>
    <s v="1450AA-T-70395_FL17"/>
    <n v="2"/>
    <s v="PÇ"/>
    <n v="0.61099999999999999"/>
    <n v="1.222"/>
    <n v="1651.88"/>
    <n v="2018.59736"/>
    <n v="0"/>
    <n v="0.9"/>
    <n v="0.1"/>
    <m/>
    <m/>
    <x v="0"/>
    <m/>
    <m/>
    <m/>
    <m/>
    <m/>
    <m/>
    <m/>
    <m/>
    <m/>
    <m/>
    <m/>
    <m/>
    <m/>
    <m/>
    <m/>
    <m/>
    <m/>
  </r>
  <r>
    <s v="2.4.3.1.2"/>
    <s v="CMS M.60.10.000"/>
    <x v="2"/>
    <n v="3"/>
    <s v="SPOOL"/>
    <n v="8"/>
    <x v="1"/>
    <s v="NÃO"/>
    <s v="NÃO"/>
    <x v="37"/>
    <x v="2"/>
    <s v="DISPOSIÇÃO DE REJEITOS LINHA DO CIRCUITO ARENOSO DISTRIBUIDOR DI-145A-9913 PARA A PENEIRA PN-145A-9705"/>
    <m/>
    <m/>
    <m/>
    <s v="1450AA-T-70395_FL13"/>
    <n v="2"/>
    <s v="PÇ"/>
    <n v="1.5"/>
    <n v="3"/>
    <n v="1651.88"/>
    <n v="4955.6400000000003"/>
    <n v="0"/>
    <n v="0.9"/>
    <n v="0.1"/>
    <m/>
    <m/>
    <x v="0"/>
    <m/>
    <m/>
    <m/>
    <m/>
    <m/>
    <m/>
    <m/>
    <m/>
    <m/>
    <m/>
    <m/>
    <m/>
    <m/>
    <m/>
    <m/>
    <m/>
    <m/>
  </r>
  <r>
    <s v="2.4.3.1.2"/>
    <s v="CMS M.60.10.000"/>
    <x v="2"/>
    <n v="4"/>
    <s v="SPOOL"/>
    <n v="8"/>
    <x v="2"/>
    <s v="NÃO"/>
    <s v="NÃO"/>
    <x v="37"/>
    <x v="2"/>
    <s v="DISPOSIÇÃO DE REJEITOS LINHA DO CIRCUITO ARENOSO DISTRIBUIDOR DI-145A-9913 PARA A PENEIRA PN-145A-9705"/>
    <m/>
    <m/>
    <m/>
    <s v="1450AA-T-70395_FL15"/>
    <n v="1"/>
    <s v="PÇ"/>
    <n v="0.67"/>
    <n v="0.67"/>
    <n v="1651.88"/>
    <n v="1106.7596000000001"/>
    <n v="0"/>
    <n v="0.9"/>
    <n v="0.1"/>
    <m/>
    <m/>
    <x v="0"/>
    <m/>
    <m/>
    <m/>
    <m/>
    <m/>
    <m/>
    <m/>
    <m/>
    <m/>
    <m/>
    <m/>
    <m/>
    <m/>
    <m/>
    <m/>
    <m/>
    <m/>
  </r>
  <r>
    <s v="2.4.3.1.2"/>
    <s v="CMS M.60.10.000"/>
    <x v="2"/>
    <n v="5"/>
    <s v="SPOOL"/>
    <n v="8"/>
    <x v="1"/>
    <s v="NÃO"/>
    <s v="NÃO"/>
    <x v="37"/>
    <x v="2"/>
    <s v="DISPOSIÇÃO DE REJEITOS LINHA DO CIRCUITO ARENOSO DISTRIBUIDOR DI-145A-9913 PARA A PENEIRA PN-145A-9705"/>
    <m/>
    <m/>
    <m/>
    <s v="1450AA-T-70395_FL14"/>
    <n v="1"/>
    <s v="PÇ"/>
    <n v="3.5"/>
    <n v="3.5"/>
    <n v="1651.88"/>
    <n v="5781.58"/>
    <n v="0"/>
    <n v="0.9"/>
    <n v="0.1"/>
    <m/>
    <m/>
    <x v="0"/>
    <m/>
    <m/>
    <m/>
    <m/>
    <m/>
    <m/>
    <m/>
    <m/>
    <m/>
    <m/>
    <m/>
    <m/>
    <m/>
    <m/>
    <m/>
    <m/>
    <m/>
  </r>
  <r>
    <s v="2.4.3.1.2"/>
    <s v="CMS M.60.10.000"/>
    <x v="2"/>
    <n v="6"/>
    <s v="SPOOL"/>
    <n v="8"/>
    <x v="2"/>
    <s v="NÃO"/>
    <s v="NÃO"/>
    <x v="37"/>
    <x v="2"/>
    <s v="DISPOSIÇÃO DE REJEITOS LINHA DO CIRCUITO ARENOSO DISTRIBUIDOR DI-145A-9913 PARA A PENEIRA PN-145A-9705"/>
    <m/>
    <m/>
    <m/>
    <s v="1450AA-T-70395_FL11"/>
    <n v="2"/>
    <s v="PÇ"/>
    <n v="0.56000000000000005"/>
    <n v="1.1200000000000001"/>
    <n v="1651.88"/>
    <n v="1850.1056000000003"/>
    <n v="0"/>
    <n v="0.9"/>
    <n v="0.1"/>
    <m/>
    <m/>
    <x v="0"/>
    <m/>
    <m/>
    <m/>
    <m/>
    <m/>
    <m/>
    <m/>
    <m/>
    <m/>
    <m/>
    <m/>
    <m/>
    <m/>
    <m/>
    <m/>
    <m/>
    <m/>
  </r>
  <r>
    <s v="2.4.3.1.2"/>
    <s v="CMS M.60.10.000"/>
    <x v="2"/>
    <n v="7"/>
    <s v="CURVA"/>
    <n v="8"/>
    <x v="1"/>
    <s v="NÃO"/>
    <s v="NÃO"/>
    <x v="37"/>
    <x v="2"/>
    <s v="DISPOSIÇÃO DE REJEITOS LINHA DO CIRCUITO ARENOSO DISTRIBUIDOR DI-145A-9913 PARA A PENEIRA PN-145A-9705"/>
    <m/>
    <m/>
    <m/>
    <s v="1450AA-T-70395_FL16"/>
    <n v="1"/>
    <s v="PÇ"/>
    <n v="0.54200000000000004"/>
    <n v="0.54200000000000004"/>
    <n v="1651.88"/>
    <n v="895.31896000000017"/>
    <n v="0"/>
    <n v="0.9"/>
    <n v="0.1"/>
    <m/>
    <m/>
    <x v="0"/>
    <m/>
    <m/>
    <m/>
    <m/>
    <m/>
    <m/>
    <m/>
    <m/>
    <m/>
    <m/>
    <m/>
    <m/>
    <m/>
    <m/>
    <m/>
    <m/>
    <m/>
  </r>
  <r>
    <s v="2.4.3.1.2"/>
    <s v="CMS M.60.10.000"/>
    <x v="2"/>
    <n v="8"/>
    <s v="SPOOL"/>
    <n v="8"/>
    <x v="2"/>
    <s v="NÃO"/>
    <s v="NÃO"/>
    <x v="37"/>
    <x v="2"/>
    <s v="DISPOSIÇÃO DE REJEITOS LINHA DO CIRCUITO ARENOSO DISTRIBUIDOR DI-145A-9913 PARA A PENEIRA PN-145A-9705"/>
    <m/>
    <m/>
    <m/>
    <s v="1450AA-T-70395_FL12"/>
    <n v="1"/>
    <s v="PÇ"/>
    <n v="0.97499999999999998"/>
    <n v="0.97499999999999998"/>
    <n v="1651.88"/>
    <n v="1610.5830000000001"/>
    <n v="0"/>
    <n v="0.9"/>
    <n v="0.1"/>
    <m/>
    <m/>
    <x v="0"/>
    <m/>
    <m/>
    <m/>
    <m/>
    <m/>
    <m/>
    <m/>
    <m/>
    <m/>
    <m/>
    <m/>
    <m/>
    <m/>
    <m/>
    <m/>
    <m/>
    <m/>
  </r>
  <r>
    <s v="2.4.3.1.2"/>
    <s v="CMS M.60.10.000"/>
    <x v="2"/>
    <n v="9"/>
    <s v="CURVA"/>
    <n v="8"/>
    <x v="1"/>
    <s v="NÃO"/>
    <s v="NÃO"/>
    <x v="37"/>
    <x v="2"/>
    <s v="DISPOSIÇÃO DE REJEITOS LINHA DO CIRCUITO ARENOSO DISTRIBUIDOR DI-145A-9913 PARA A PENEIRA PN-145A-9705"/>
    <m/>
    <m/>
    <m/>
    <s v="1450AA-T-70395_FL18"/>
    <n v="1"/>
    <s v="PÇ"/>
    <n v="0.65300000000000002"/>
    <n v="0.65300000000000002"/>
    <n v="1651.88"/>
    <n v="1078.6776400000001"/>
    <n v="0"/>
    <n v="0.9"/>
    <n v="0.1"/>
    <m/>
    <m/>
    <x v="0"/>
    <m/>
    <m/>
    <m/>
    <m/>
    <m/>
    <m/>
    <m/>
    <m/>
    <m/>
    <m/>
    <m/>
    <m/>
    <m/>
    <m/>
    <m/>
    <m/>
    <m/>
  </r>
  <r>
    <s v="2.4.3.1.2"/>
    <s v="CMS M.60.10.000"/>
    <x v="2"/>
    <n v="10"/>
    <s v="SPOOL"/>
    <n v="8"/>
    <x v="1"/>
    <s v="NÃO"/>
    <s v="NÃO"/>
    <x v="37"/>
    <x v="2"/>
    <s v="DISPOSIÇÃO DE REJEITOS LINHA DO CIRCUITO ARENOSO DISTRIBUIDOR DI-145A-9913 PARA A PENEIRA PN-145A-9705"/>
    <m/>
    <m/>
    <m/>
    <s v="1450AA-T-70395_FL10"/>
    <n v="1"/>
    <s v="PÇ"/>
    <n v="0.8"/>
    <n v="0.8"/>
    <n v="1651.88"/>
    <n v="1321.5040000000001"/>
    <n v="0"/>
    <n v="0.9"/>
    <n v="0.1"/>
    <m/>
    <m/>
    <x v="0"/>
    <m/>
    <m/>
    <m/>
    <m/>
    <m/>
    <m/>
    <m/>
    <m/>
    <m/>
    <m/>
    <m/>
    <m/>
    <m/>
    <m/>
    <m/>
    <m/>
    <m/>
  </r>
  <r>
    <s v="2.4.3.1.2"/>
    <s v="CMS M.60.10.000"/>
    <x v="2"/>
    <n v="11"/>
    <s v="SPOOL"/>
    <n v="8"/>
    <x v="1"/>
    <s v="NÃO"/>
    <s v="NÃO"/>
    <x v="37"/>
    <x v="2"/>
    <s v="DISPOSIÇÃO DE REJEITOS LINHA DO CIRCUITO ARENOSO DISTRIBUIDOR DI-145A-9913 PARA A PENEIRA PN-145A-9705"/>
    <m/>
    <m/>
    <m/>
    <s v="1450AA-T-70395_FL19"/>
    <n v="1"/>
    <s v="PÇ"/>
    <n v="0.96"/>
    <n v="0.96"/>
    <n v="1651.88"/>
    <n v="1585.8048000000001"/>
    <n v="0"/>
    <n v="0.9"/>
    <n v="0.1"/>
    <m/>
    <m/>
    <x v="0"/>
    <m/>
    <m/>
    <m/>
    <m/>
    <m/>
    <m/>
    <m/>
    <m/>
    <m/>
    <m/>
    <m/>
    <m/>
    <m/>
    <m/>
    <m/>
    <m/>
    <m/>
  </r>
  <r>
    <s v="2.4.3.1.1"/>
    <s v="CMS M.60.10.000"/>
    <x v="2"/>
    <n v="12"/>
    <s v="SPOOL"/>
    <s v="8 X 6"/>
    <x v="1"/>
    <s v="NÃO"/>
    <s v="NÃO"/>
    <x v="37"/>
    <x v="2"/>
    <s v="DISPOSIÇÃO DE REJEITOS LINHA DO CIRCUITO ARENOSO DISTRIBUIDOR DI-145A-9913 PARA A PENEIRA PN-145A-9705"/>
    <m/>
    <m/>
    <m/>
    <s v="1450AA-T-70395_FL20"/>
    <n v="1"/>
    <s v="PÇ"/>
    <n v="2.113"/>
    <n v="2.113"/>
    <n v="1169.77"/>
    <n v="2471.7240099999999"/>
    <n v="0"/>
    <n v="0.9"/>
    <n v="0.1"/>
    <m/>
    <m/>
    <x v="0"/>
    <m/>
    <m/>
    <m/>
    <m/>
    <m/>
    <m/>
    <m/>
    <m/>
    <m/>
    <m/>
    <m/>
    <m/>
    <m/>
    <m/>
    <m/>
    <m/>
    <m/>
  </r>
  <r>
    <s v="2.4.3.1.1"/>
    <s v="CMS M.60.10.000"/>
    <x v="2"/>
    <n v="13"/>
    <s v="FLANGE"/>
    <n v="6"/>
    <x v="1"/>
    <s v="NÃO"/>
    <s v="NÃO"/>
    <x v="37"/>
    <x v="2"/>
    <s v="DISPOSIÇÃO DE REJEITOS LINHA DO CIRCUITO ARENOSO DISTRIBUIDOR DI-145A-9913 PARA A PENEIRA PN-145A-9705"/>
    <m/>
    <m/>
    <m/>
    <s v="1450AA-T-70395_FL08"/>
    <n v="2"/>
    <s v="PÇ"/>
    <n v="0"/>
    <n v="0"/>
    <n v="1169.77"/>
    <n v="0"/>
    <n v="0"/>
    <n v="0.9"/>
    <n v="0.1"/>
    <m/>
    <m/>
    <x v="0"/>
    <m/>
    <m/>
    <m/>
    <m/>
    <m/>
    <m/>
    <m/>
    <m/>
    <m/>
    <m/>
    <m/>
    <m/>
    <m/>
    <m/>
    <m/>
    <m/>
    <m/>
  </r>
  <r>
    <s v="2.4.3.1.2"/>
    <s v="CMS M.60.10.000"/>
    <x v="2"/>
    <n v="1"/>
    <s v="SPOOL"/>
    <n v="8"/>
    <x v="1"/>
    <s v="NÃO"/>
    <s v="NÃO"/>
    <x v="38"/>
    <x v="2"/>
    <s v="DISPOSIÇÃO DE REJEITOS LINHA DO CIRCUITO ARENOSO DISTRIBUIDOR DI-145A-9913 PARA A PENEIRA PN-145A-9725"/>
    <m/>
    <m/>
    <m/>
    <s v="1450AA-T-70397_FL06"/>
    <n v="1"/>
    <s v="PÇ"/>
    <n v="0.14899999999999999"/>
    <n v="0.14899999999999999"/>
    <n v="1651.88"/>
    <n v="246.13012000000001"/>
    <n v="0"/>
    <n v="0.9"/>
    <n v="0.1"/>
    <m/>
    <m/>
    <x v="0"/>
    <m/>
    <m/>
    <m/>
    <m/>
    <m/>
    <m/>
    <m/>
    <m/>
    <m/>
    <m/>
    <m/>
    <m/>
    <m/>
    <m/>
    <m/>
    <m/>
    <m/>
  </r>
  <r>
    <s v="2.4.3.1.2"/>
    <s v="CMS M.60.10.000"/>
    <x v="2"/>
    <n v="2"/>
    <s v="CURVA"/>
    <n v="8"/>
    <x v="1"/>
    <s v="NÃO"/>
    <s v="NÃO"/>
    <x v="38"/>
    <x v="2"/>
    <s v="DISPOSIÇÃO DE REJEITOS LINHA DO CIRCUITO ARENOSO DISTRIBUIDOR DI-145A-9913 PARA A PENEIRA PN-145A-9725"/>
    <m/>
    <m/>
    <m/>
    <s v="1450AA-T-70397_FL10"/>
    <n v="2"/>
    <s v="PÇ"/>
    <n v="0.33200000000000002"/>
    <n v="0.66400000000000003"/>
    <n v="1651.88"/>
    <n v="1096.8483200000001"/>
    <n v="0"/>
    <n v="0.9"/>
    <n v="0.1"/>
    <m/>
    <m/>
    <x v="0"/>
    <m/>
    <m/>
    <m/>
    <m/>
    <m/>
    <m/>
    <m/>
    <m/>
    <m/>
    <m/>
    <m/>
    <m/>
    <m/>
    <m/>
    <m/>
    <m/>
    <m/>
  </r>
  <r>
    <s v="2.4.3.1.2"/>
    <s v="CMS M.60.10.000"/>
    <x v="2"/>
    <n v="3"/>
    <s v="SPOOL"/>
    <n v="8"/>
    <x v="1"/>
    <s v="NÃO"/>
    <s v="NÃO"/>
    <x v="38"/>
    <x v="2"/>
    <s v="DISPOSIÇÃO DE REJEITOS LINHA DO CIRCUITO ARENOSO DISTRIBUIDOR DI-145A-9913 PARA A PENEIRA PN-145A-9725"/>
    <m/>
    <m/>
    <m/>
    <s v="1450AA-T-70397_FL08"/>
    <n v="1"/>
    <s v="PÇ"/>
    <n v="0.93"/>
    <n v="0.93"/>
    <n v="1651.88"/>
    <n v="1536.2484000000002"/>
    <n v="0"/>
    <n v="0.9"/>
    <n v="0.1"/>
    <m/>
    <m/>
    <x v="0"/>
    <m/>
    <m/>
    <m/>
    <m/>
    <m/>
    <m/>
    <m/>
    <m/>
    <m/>
    <m/>
    <m/>
    <m/>
    <m/>
    <m/>
    <m/>
    <m/>
    <m/>
  </r>
  <r>
    <s v="2.4.3.1.2"/>
    <s v="CMS M.60.10.000"/>
    <x v="2"/>
    <n v="4"/>
    <s v="CURVA"/>
    <n v="8"/>
    <x v="1"/>
    <s v="NÃO"/>
    <s v="NÃO"/>
    <x v="38"/>
    <x v="2"/>
    <s v="DISPOSIÇÃO DE REJEITOS LINHA DO CIRCUITO ARENOSO DISTRIBUIDOR DI-145A-9913 PARA A PENEIRA PN-145A-9725"/>
    <m/>
    <m/>
    <m/>
    <s v="1450AA-T-70397_FL11"/>
    <n v="1"/>
    <s v="PÇ"/>
    <n v="0.61099999999999999"/>
    <n v="0.61099999999999999"/>
    <n v="1651.88"/>
    <n v="1009.29868"/>
    <n v="0"/>
    <n v="0.9"/>
    <n v="0.1"/>
    <m/>
    <m/>
    <x v="0"/>
    <m/>
    <m/>
    <m/>
    <m/>
    <m/>
    <m/>
    <m/>
    <m/>
    <m/>
    <m/>
    <m/>
    <m/>
    <m/>
    <m/>
    <m/>
    <m/>
    <m/>
  </r>
  <r>
    <s v="2.4.3.1.2"/>
    <s v="CMS M.60.10.000"/>
    <x v="2"/>
    <n v="5"/>
    <s v="SPOOL"/>
    <n v="8"/>
    <x v="1"/>
    <s v="NÃO"/>
    <s v="NÃO"/>
    <x v="38"/>
    <x v="2"/>
    <s v="DISPOSIÇÃO DE REJEITOS LINHA DO CIRCUITO ARENOSO DISTRIBUIDOR DI-145A-9913 PARA A PENEIRA PN-145A-9725"/>
    <m/>
    <m/>
    <m/>
    <s v="1450AA-T-70397_FL07"/>
    <n v="1"/>
    <s v="PÇ"/>
    <n v="0.32500000000000001"/>
    <n v="0.32500000000000001"/>
    <n v="1651.88"/>
    <n v="536.8610000000001"/>
    <n v="0"/>
    <n v="0.9"/>
    <n v="0.1"/>
    <m/>
    <m/>
    <x v="0"/>
    <m/>
    <m/>
    <m/>
    <m/>
    <m/>
    <m/>
    <m/>
    <m/>
    <m/>
    <m/>
    <m/>
    <m/>
    <m/>
    <m/>
    <m/>
    <m/>
    <m/>
  </r>
  <r>
    <s v="2.4.3.1.2"/>
    <s v="CMS M.60.10.000"/>
    <x v="2"/>
    <n v="6"/>
    <s v="SPOOL"/>
    <n v="8"/>
    <x v="1"/>
    <s v="NÃO"/>
    <s v="NÃO"/>
    <x v="38"/>
    <x v="2"/>
    <s v="DISPOSIÇÃO DE REJEITOS LINHA DO CIRCUITO ARENOSO DISTRIBUIDOR DI-145A-9913 PARA A PENEIRA PN-145A-9725"/>
    <m/>
    <m/>
    <m/>
    <s v="1450AA-T-70397_FL12"/>
    <n v="1"/>
    <s v="PÇ"/>
    <n v="1.01"/>
    <n v="1.01"/>
    <n v="1651.88"/>
    <n v="1668.3988000000002"/>
    <n v="0"/>
    <n v="0.9"/>
    <n v="0.1"/>
    <m/>
    <m/>
    <x v="0"/>
    <m/>
    <m/>
    <m/>
    <m/>
    <m/>
    <m/>
    <m/>
    <m/>
    <m/>
    <m/>
    <m/>
    <m/>
    <m/>
    <m/>
    <m/>
    <m/>
    <m/>
  </r>
  <r>
    <s v="2.4.3.1.2"/>
    <s v="CMS M.60.10.000"/>
    <x v="2"/>
    <n v="7"/>
    <s v="SPOOL"/>
    <n v="8"/>
    <x v="2"/>
    <s v="NÃO"/>
    <s v="NÃO"/>
    <x v="38"/>
    <x v="2"/>
    <s v="DISPOSIÇÃO DE REJEITOS LINHA DO CIRCUITO ARENOSO DISTRIBUIDOR DI-145A-9913 PARA A PENEIRA PN-145A-9725"/>
    <m/>
    <m/>
    <m/>
    <s v="1450AA-T-70397_FL09"/>
    <n v="1"/>
    <s v="PÇ"/>
    <n v="0.51"/>
    <n v="0.51"/>
    <n v="1651.88"/>
    <n v="842.45880000000011"/>
    <n v="0"/>
    <n v="0.9"/>
    <n v="0.1"/>
    <m/>
    <m/>
    <x v="0"/>
    <m/>
    <m/>
    <m/>
    <m/>
    <m/>
    <m/>
    <m/>
    <m/>
    <m/>
    <m/>
    <m/>
    <m/>
    <m/>
    <m/>
    <m/>
    <m/>
    <m/>
  </r>
  <r>
    <s v="2.4.3.1.2"/>
    <s v="CMS M.60.10.000"/>
    <x v="2"/>
    <n v="1"/>
    <s v="CURVA"/>
    <n v="8"/>
    <x v="1"/>
    <s v="NÃO"/>
    <s v="NÃO"/>
    <x v="39"/>
    <x v="2"/>
    <s v="DISPOSIÇÃO DE REJEITOS LINHA DO CIRCUITO ARENOSO DISTRIBUIDOR DI-145A-9913 PARA A PENEIRA PN-145A-9706"/>
    <m/>
    <m/>
    <m/>
    <s v="1450AA-T-70399_FL17"/>
    <n v="2"/>
    <s v="PÇ"/>
    <n v="0.61099999999999999"/>
    <n v="1.222"/>
    <n v="1651.88"/>
    <n v="2018.59736"/>
    <n v="0"/>
    <n v="0.9"/>
    <n v="0.1"/>
    <m/>
    <m/>
    <x v="0"/>
    <m/>
    <m/>
    <m/>
    <m/>
    <m/>
    <m/>
    <m/>
    <m/>
    <m/>
    <m/>
    <m/>
    <m/>
    <m/>
    <m/>
    <m/>
    <m/>
    <m/>
  </r>
  <r>
    <s v="2.4.3.1.2"/>
    <s v="CMS M.60.10.000"/>
    <x v="2"/>
    <n v="2"/>
    <s v="SPOOL"/>
    <n v="8"/>
    <x v="1"/>
    <s v="NÃO"/>
    <s v="NÃO"/>
    <x v="39"/>
    <x v="2"/>
    <s v="DISPOSIÇÃO DE REJEITOS LINHA DO CIRCUITO ARENOSO DISTRIBUIDOR DI-145A-9913 PARA A PENEIRA PN-145A-9706"/>
    <m/>
    <m/>
    <m/>
    <s v="1450AA-T-70399_FL09"/>
    <n v="2"/>
    <s v="PÇ"/>
    <n v="0.81499999999999995"/>
    <n v="1.63"/>
    <n v="1651.88"/>
    <n v="2692.5644000000002"/>
    <n v="0"/>
    <n v="0.9"/>
    <n v="0.1"/>
    <m/>
    <m/>
    <x v="0"/>
    <m/>
    <m/>
    <m/>
    <m/>
    <m/>
    <m/>
    <m/>
    <m/>
    <m/>
    <m/>
    <m/>
    <m/>
    <m/>
    <m/>
    <m/>
    <m/>
    <m/>
  </r>
  <r>
    <s v="2.4.3.1.2"/>
    <s v="CMS M.60.10.000"/>
    <x v="2"/>
    <n v="3"/>
    <s v="CURVA"/>
    <n v="8"/>
    <x v="1"/>
    <s v="NÃO"/>
    <s v="NÃO"/>
    <x v="39"/>
    <x v="2"/>
    <s v="DISPOSIÇÃO DE REJEITOS LINHA DO CIRCUITO ARENOSO DISTRIBUIDOR DI-145A-9913 PARA A PENEIRA PN-145A-9706"/>
    <m/>
    <m/>
    <m/>
    <s v="1450AA-T-70399_FL15"/>
    <n v="1"/>
    <s v="PÇ"/>
    <n v="0.32100000000000001"/>
    <n v="0.32100000000000001"/>
    <n v="1651.88"/>
    <n v="530.25348000000008"/>
    <n v="0"/>
    <n v="0.9"/>
    <n v="0.1"/>
    <m/>
    <m/>
    <x v="0"/>
    <m/>
    <m/>
    <m/>
    <m/>
    <m/>
    <m/>
    <m/>
    <m/>
    <m/>
    <m/>
    <m/>
    <m/>
    <m/>
    <m/>
    <m/>
    <m/>
    <m/>
  </r>
  <r>
    <s v="2.4.3.1.2"/>
    <s v="CMS M.60.10.000"/>
    <x v="2"/>
    <n v="4"/>
    <s v="SPOOL"/>
    <n v="8"/>
    <x v="2"/>
    <s v="NÃO"/>
    <s v="NÃO"/>
    <x v="39"/>
    <x v="2"/>
    <s v="DISPOSIÇÃO DE REJEITOS LINHA DO CIRCUITO ARENOSO DISTRIBUIDOR DI-145A-9913 PARA A PENEIRA PN-145A-9706"/>
    <m/>
    <m/>
    <m/>
    <s v="1450AA-T-70399_FL13"/>
    <n v="1"/>
    <s v="PÇ"/>
    <n v="0.35"/>
    <n v="0.35"/>
    <n v="1651.88"/>
    <n v="578.15800000000002"/>
    <n v="0"/>
    <n v="0.9"/>
    <n v="0.1"/>
    <m/>
    <m/>
    <x v="0"/>
    <m/>
    <m/>
    <m/>
    <m/>
    <m/>
    <m/>
    <m/>
    <m/>
    <m/>
    <m/>
    <m/>
    <m/>
    <m/>
    <m/>
    <m/>
    <m/>
    <m/>
  </r>
  <r>
    <s v="2.4.3.1.2"/>
    <s v="CMS M.60.10.000"/>
    <x v="2"/>
    <n v="5"/>
    <s v="SPOOL"/>
    <n v="8"/>
    <x v="1"/>
    <s v="NÃO"/>
    <s v="NÃO"/>
    <x v="39"/>
    <x v="2"/>
    <s v="DISPOSIÇÃO DE REJEITOS LINHA DO CIRCUITO ARENOSO DISTRIBUIDOR DI-145A-9913 PARA A PENEIRA PN-145A-9706"/>
    <m/>
    <m/>
    <m/>
    <s v="1450AA-T-70399_FL12"/>
    <n v="2"/>
    <s v="PÇ"/>
    <n v="3.5"/>
    <n v="7"/>
    <n v="1651.88"/>
    <n v="11563.16"/>
    <n v="0"/>
    <n v="0.9"/>
    <n v="0.1"/>
    <m/>
    <m/>
    <x v="0"/>
    <m/>
    <m/>
    <m/>
    <m/>
    <m/>
    <m/>
    <m/>
    <m/>
    <m/>
    <m/>
    <m/>
    <m/>
    <m/>
    <m/>
    <m/>
    <m/>
    <m/>
  </r>
  <r>
    <s v="2.4.3.1.2"/>
    <s v="CMS M.60.10.000"/>
    <x v="2"/>
    <n v="6"/>
    <s v="SPOOL"/>
    <n v="8"/>
    <x v="1"/>
    <s v="NÃO"/>
    <s v="NÃO"/>
    <x v="39"/>
    <x v="2"/>
    <s v="DISPOSIÇÃO DE REJEITOS LINHA DO CIRCUITO ARENOSO DISTRIBUIDOR DI-145A-9913 PARA A PENEIRA PN-145A-9706"/>
    <m/>
    <m/>
    <m/>
    <s v="1450AA-T-70399_FL11"/>
    <n v="1"/>
    <s v="PÇ"/>
    <n v="1.5"/>
    <n v="1.5"/>
    <n v="1651.88"/>
    <n v="2477.8200000000002"/>
    <n v="0"/>
    <n v="0.9"/>
    <n v="0.1"/>
    <m/>
    <m/>
    <x v="0"/>
    <m/>
    <m/>
    <m/>
    <m/>
    <m/>
    <m/>
    <m/>
    <m/>
    <m/>
    <m/>
    <m/>
    <m/>
    <m/>
    <m/>
    <m/>
    <m/>
    <m/>
  </r>
  <r>
    <s v="2.4.3.1.2"/>
    <s v="CMS M.60.10.000"/>
    <x v="2"/>
    <n v="7"/>
    <s v="SPOOL"/>
    <n v="8"/>
    <x v="2"/>
    <s v="NÃO"/>
    <s v="NÃO"/>
    <x v="39"/>
    <x v="2"/>
    <s v="DISPOSIÇÃO DE REJEITOS LINHA DO CIRCUITO ARENOSO DISTRIBUIDOR DI-145A-9913 PARA A PENEIRA PN-145A-9706"/>
    <m/>
    <m/>
    <m/>
    <s v="1450AA-T-70399_FL14"/>
    <n v="1"/>
    <s v="PÇ"/>
    <n v="0.67500000000000004"/>
    <n v="0.67500000000000004"/>
    <n v="1651.88"/>
    <n v="1115.0190000000002"/>
    <n v="0"/>
    <n v="0.9"/>
    <n v="0.1"/>
    <m/>
    <m/>
    <x v="0"/>
    <m/>
    <m/>
    <m/>
    <m/>
    <m/>
    <m/>
    <m/>
    <m/>
    <m/>
    <m/>
    <m/>
    <m/>
    <m/>
    <m/>
    <m/>
    <m/>
    <m/>
  </r>
  <r>
    <s v="2.4.3.1.2"/>
    <s v="CMS M.60.10.000"/>
    <x v="2"/>
    <n v="8"/>
    <s v="CURVA"/>
    <n v="8"/>
    <x v="1"/>
    <s v="NÃO"/>
    <s v="NÃO"/>
    <x v="39"/>
    <x v="2"/>
    <s v="DISPOSIÇÃO DE REJEITOS LINHA DO CIRCUITO ARENOSO DISTRIBUIDOR DI-145A-9913 PARA A PENEIRA PN-145A-9706"/>
    <m/>
    <m/>
    <m/>
    <s v="1450AA-T-70399_FL16"/>
    <n v="1"/>
    <s v="PÇ"/>
    <n v="0.54200000000000004"/>
    <n v="0.54200000000000004"/>
    <n v="1651.88"/>
    <n v="895.31896000000017"/>
    <n v="0"/>
    <n v="0.9"/>
    <n v="0.1"/>
    <m/>
    <m/>
    <x v="0"/>
    <m/>
    <m/>
    <m/>
    <m/>
    <m/>
    <m/>
    <m/>
    <m/>
    <m/>
    <m/>
    <m/>
    <m/>
    <m/>
    <m/>
    <m/>
    <m/>
    <m/>
  </r>
  <r>
    <s v="2.4.3.1.2"/>
    <s v="CMS M.60.10.000"/>
    <x v="2"/>
    <n v="9"/>
    <s v="CURVA"/>
    <n v="8"/>
    <x v="1"/>
    <s v="NÃO"/>
    <s v="NÃO"/>
    <x v="39"/>
    <x v="2"/>
    <s v="DISPOSIÇÃO DE REJEITOS LINHA DO CIRCUITO ARENOSO DISTRIBUIDOR DI-145A-9913 PARA A PENEIRA PN-145A-9706"/>
    <m/>
    <m/>
    <m/>
    <s v="1450AA-T-70399_FL18"/>
    <n v="1"/>
    <s v="PÇ"/>
    <n v="0.63800000000000001"/>
    <n v="0.63800000000000001"/>
    <n v="1651.88"/>
    <n v="1053.8994400000001"/>
    <n v="0"/>
    <n v="0.9"/>
    <n v="0.1"/>
    <m/>
    <m/>
    <x v="0"/>
    <m/>
    <m/>
    <m/>
    <m/>
    <m/>
    <m/>
    <m/>
    <m/>
    <m/>
    <m/>
    <m/>
    <m/>
    <m/>
    <m/>
    <m/>
    <m/>
    <m/>
  </r>
  <r>
    <s v="2.4.3.1.2"/>
    <s v="CMS M.60.10.000"/>
    <x v="2"/>
    <n v="10"/>
    <s v="SPOOL"/>
    <n v="8"/>
    <x v="1"/>
    <s v="NÃO"/>
    <s v="NÃO"/>
    <x v="39"/>
    <x v="2"/>
    <s v="DISPOSIÇÃO DE REJEITOS LINHA DO CIRCUITO ARENOSO DISTRIBUIDOR DI-145A-9913 PARA A PENEIRA PN-145A-9706"/>
    <m/>
    <m/>
    <m/>
    <s v="1450AA-T-70399_FL10"/>
    <n v="1"/>
    <s v="PÇ"/>
    <n v="1.34"/>
    <n v="1.34"/>
    <n v="1651.88"/>
    <n v="2213.5192000000002"/>
    <n v="0"/>
    <n v="0.9"/>
    <n v="0.1"/>
    <m/>
    <m/>
    <x v="0"/>
    <m/>
    <m/>
    <m/>
    <m/>
    <m/>
    <m/>
    <m/>
    <m/>
    <m/>
    <m/>
    <m/>
    <m/>
    <m/>
    <m/>
    <m/>
    <m/>
    <m/>
  </r>
  <r>
    <s v="2.4.3.1.2"/>
    <s v="CMS M.60.10.000"/>
    <x v="2"/>
    <n v="11"/>
    <s v="SPOOL"/>
    <n v="8"/>
    <x v="1"/>
    <s v="NÃO"/>
    <s v="NÃO"/>
    <x v="39"/>
    <x v="2"/>
    <s v="DISPOSIÇÃO DE REJEITOS LINHA DO CIRCUITO ARENOSO DISTRIBUIDOR DI-145A-9913 PARA A PENEIRA PN-145A-9706"/>
    <m/>
    <m/>
    <m/>
    <s v="1450AA-T-70399_FL19"/>
    <n v="1"/>
    <s v="PÇ"/>
    <n v="0.96"/>
    <n v="0.96"/>
    <n v="1651.88"/>
    <n v="1585.8048000000001"/>
    <n v="0"/>
    <n v="0.9"/>
    <n v="0.1"/>
    <m/>
    <m/>
    <x v="0"/>
    <m/>
    <m/>
    <m/>
    <m/>
    <m/>
    <m/>
    <m/>
    <m/>
    <m/>
    <m/>
    <m/>
    <m/>
    <m/>
    <m/>
    <m/>
    <m/>
    <m/>
  </r>
  <r>
    <s v="2.4.3.1.1"/>
    <s v="CMS M.60.10.000"/>
    <x v="2"/>
    <n v="12"/>
    <s v="SPOOL"/>
    <s v="8 X 6"/>
    <x v="1"/>
    <s v="NÃO"/>
    <s v="NÃO"/>
    <x v="39"/>
    <x v="2"/>
    <s v="DISPOSIÇÃO DE REJEITOS LINHA DO CIRCUITO ARENOSO DISTRIBUIDOR DI-145A-9913 PARA A PENEIRA PN-145A-9706"/>
    <m/>
    <m/>
    <m/>
    <s v="1450AA-T-70399_FL20"/>
    <n v="1"/>
    <s v="PÇ"/>
    <n v="2.113"/>
    <n v="2.113"/>
    <n v="1169.77"/>
    <n v="2471.7240099999999"/>
    <n v="0"/>
    <n v="0.9"/>
    <n v="0.1"/>
    <m/>
    <m/>
    <x v="0"/>
    <m/>
    <m/>
    <m/>
    <m/>
    <m/>
    <m/>
    <m/>
    <m/>
    <m/>
    <m/>
    <m/>
    <m/>
    <m/>
    <m/>
    <m/>
    <m/>
    <m/>
  </r>
  <r>
    <s v="2.4.3.1.1"/>
    <s v="CMS M.60.10.000"/>
    <x v="2"/>
    <n v="13"/>
    <s v="FLANGE"/>
    <n v="6"/>
    <x v="1"/>
    <s v="NÃO"/>
    <s v="NÃO"/>
    <x v="39"/>
    <x v="2"/>
    <s v="DISPOSIÇÃO DE REJEITOS LINHA DO CIRCUITO ARENOSO DISTRIBUIDOR DI-145A-9913 PARA A PENEIRA PN-145A-9706"/>
    <m/>
    <m/>
    <m/>
    <s v="1450AA-T-70399_FL08"/>
    <n v="2"/>
    <s v="PÇ"/>
    <n v="0"/>
    <n v="0"/>
    <n v="1169.77"/>
    <n v="0"/>
    <n v="0"/>
    <n v="0.9"/>
    <n v="0.1"/>
    <m/>
    <m/>
    <x v="0"/>
    <m/>
    <m/>
    <m/>
    <m/>
    <m/>
    <m/>
    <m/>
    <m/>
    <m/>
    <m/>
    <m/>
    <m/>
    <m/>
    <m/>
    <m/>
    <m/>
    <m/>
  </r>
  <r>
    <s v="2.4.3.1.2"/>
    <s v="CMS M.60.10.000"/>
    <x v="2"/>
    <n v="1"/>
    <s v="CURVA"/>
    <n v="8"/>
    <x v="1"/>
    <s v="NÃO"/>
    <s v="NÃO"/>
    <x v="40"/>
    <x v="2"/>
    <s v="DISPOSIÇÃO DE REJEITOS LINHA DO CIRCUITO ARENOSO DISTRIBUIDOR DI-145A-9913 PARA A PENEIRA PN-145A-9726"/>
    <m/>
    <m/>
    <m/>
    <s v="1450AA-T-70401_FL13"/>
    <n v="3"/>
    <s v="PÇ"/>
    <n v="0.61099999999999999"/>
    <n v="1.833"/>
    <n v="1651.88"/>
    <n v="3027.8960400000001"/>
    <n v="0"/>
    <n v="0.9"/>
    <n v="0.1"/>
    <m/>
    <m/>
    <x v="0"/>
    <m/>
    <m/>
    <m/>
    <m/>
    <m/>
    <m/>
    <m/>
    <m/>
    <m/>
    <m/>
    <m/>
    <m/>
    <m/>
    <m/>
    <m/>
    <m/>
    <m/>
  </r>
  <r>
    <s v="2.4.3.1.2"/>
    <s v="CMS M.60.10.000"/>
    <x v="2"/>
    <n v="2"/>
    <s v="SPOOL"/>
    <n v="8"/>
    <x v="1"/>
    <s v="NÃO"/>
    <s v="NÃO"/>
    <x v="40"/>
    <x v="2"/>
    <s v="DISPOSIÇÃO DE REJEITOS LINHA DO CIRCUITO ARENOSO DISTRIBUIDOR DI-145A-9913 PARA A PENEIRA PN-145A-9726"/>
    <m/>
    <m/>
    <m/>
    <s v="1450AA-T-70401_FL06"/>
    <n v="1"/>
    <s v="PÇ"/>
    <n v="0.23499999999999999"/>
    <n v="0.23499999999999999"/>
    <n v="1651.88"/>
    <n v="388.1918"/>
    <n v="0"/>
    <n v="0.9"/>
    <n v="0.1"/>
    <m/>
    <m/>
    <x v="0"/>
    <m/>
    <m/>
    <m/>
    <m/>
    <m/>
    <m/>
    <m/>
    <m/>
    <m/>
    <m/>
    <m/>
    <m/>
    <m/>
    <m/>
    <m/>
    <m/>
    <m/>
  </r>
  <r>
    <s v="2.4.3.1.2"/>
    <s v="CMS M.60.10.000"/>
    <x v="2"/>
    <n v="3"/>
    <s v="CURVA"/>
    <n v="8"/>
    <x v="1"/>
    <s v="NÃO"/>
    <s v="NÃO"/>
    <x v="40"/>
    <x v="2"/>
    <s v="DISPOSIÇÃO DE REJEITOS LINHA DO CIRCUITO ARENOSO DISTRIBUIDOR DI-145A-9913 PARA A PENEIRA PN-145A-9726"/>
    <m/>
    <m/>
    <m/>
    <s v="1450AA-T-70401_FL12"/>
    <n v="1"/>
    <s v="PÇ"/>
    <n v="0.32100000000000001"/>
    <n v="0.32100000000000001"/>
    <n v="1651.88"/>
    <n v="530.25348000000008"/>
    <n v="0"/>
    <n v="0.9"/>
    <n v="0.1"/>
    <m/>
    <m/>
    <x v="0"/>
    <m/>
    <m/>
    <m/>
    <m/>
    <m/>
    <m/>
    <m/>
    <m/>
    <m/>
    <m/>
    <m/>
    <m/>
    <m/>
    <m/>
    <m/>
    <m/>
    <m/>
  </r>
  <r>
    <s v="2.4.3.1.2"/>
    <s v="CMS M.60.10.000"/>
    <x v="2"/>
    <n v="4"/>
    <s v="SPOOL"/>
    <n v="8"/>
    <x v="2"/>
    <s v="NÃO"/>
    <s v="NÃO"/>
    <x v="40"/>
    <x v="2"/>
    <s v="DISPOSIÇÃO DE REJEITOS LINHA DO CIRCUITO ARENOSO DISTRIBUIDOR DI-145A-9913 PARA A PENEIRA PN-145A-9726"/>
    <m/>
    <m/>
    <m/>
    <s v="1450AA-T-70401_FL10"/>
    <n v="1"/>
    <s v="PÇ"/>
    <n v="0.49"/>
    <n v="0.49"/>
    <n v="1651.88"/>
    <n v="809.4212"/>
    <n v="0"/>
    <n v="0.9"/>
    <n v="0.1"/>
    <m/>
    <m/>
    <x v="0"/>
    <m/>
    <m/>
    <m/>
    <m/>
    <m/>
    <m/>
    <m/>
    <m/>
    <m/>
    <m/>
    <m/>
    <m/>
    <m/>
    <m/>
    <m/>
    <m/>
    <m/>
  </r>
  <r>
    <s v="2.4.3.1.2"/>
    <s v="CMS M.60.10.000"/>
    <x v="2"/>
    <n v="5"/>
    <s v="SPOOL"/>
    <n v="8"/>
    <x v="1"/>
    <s v="NÃO"/>
    <s v="NÃO"/>
    <x v="40"/>
    <x v="2"/>
    <s v="DISPOSIÇÃO DE REJEITOS LINHA DO CIRCUITO ARENOSO DISTRIBUIDOR DI-145A-9913 PARA A PENEIRA PN-145A-9726"/>
    <m/>
    <m/>
    <m/>
    <s v="1450AA-T-70401_FL09"/>
    <n v="1"/>
    <s v="PÇ"/>
    <n v="4.8"/>
    <n v="4.8"/>
    <n v="1651.88"/>
    <n v="7929.0240000000003"/>
    <n v="0"/>
    <n v="0.9"/>
    <n v="0.1"/>
    <m/>
    <m/>
    <x v="0"/>
    <m/>
    <m/>
    <m/>
    <m/>
    <m/>
    <m/>
    <m/>
    <m/>
    <m/>
    <m/>
    <m/>
    <m/>
    <m/>
    <m/>
    <m/>
    <m/>
    <m/>
  </r>
  <r>
    <s v="2.4.3.1.2"/>
    <s v="CMS M.60.10.000"/>
    <x v="2"/>
    <n v="6"/>
    <s v="SPOOL"/>
    <n v="8"/>
    <x v="1"/>
    <s v="NÃO"/>
    <s v="NÃO"/>
    <x v="40"/>
    <x v="2"/>
    <s v="DISPOSIÇÃO DE REJEITOS LINHA DO CIRCUITO ARENOSO DISTRIBUIDOR DI-145A-9913 PARA A PENEIRA PN-145A-9726"/>
    <m/>
    <m/>
    <m/>
    <s v="1450AA-T-70401_FL08"/>
    <n v="1"/>
    <s v="PÇ"/>
    <n v="0.41799999999999998"/>
    <n v="0.41799999999999998"/>
    <n v="1651.88"/>
    <n v="690.48584000000005"/>
    <n v="0"/>
    <n v="0.9"/>
    <n v="0.1"/>
    <m/>
    <m/>
    <x v="0"/>
    <m/>
    <m/>
    <m/>
    <m/>
    <m/>
    <m/>
    <m/>
    <m/>
    <m/>
    <m/>
    <m/>
    <m/>
    <m/>
    <m/>
    <m/>
    <m/>
    <m/>
  </r>
  <r>
    <s v="2.4.3.1.2"/>
    <s v="CMS M.60.10.000"/>
    <x v="2"/>
    <n v="7"/>
    <s v="SPOOL"/>
    <n v="8"/>
    <x v="1"/>
    <s v="NÃO"/>
    <s v="NÃO"/>
    <x v="40"/>
    <x v="2"/>
    <s v="DISPOSIÇÃO DE REJEITOS LINHA DO CIRCUITO ARENOSO DISTRIBUIDOR DI-145A-9913 PARA A PENEIRA PN-145A-9726"/>
    <m/>
    <m/>
    <m/>
    <s v="1450AA-T-70401_FL07"/>
    <n v="1"/>
    <s v="PÇ"/>
    <n v="0.32500000000000001"/>
    <n v="0.32500000000000001"/>
    <n v="1651.88"/>
    <n v="536.8610000000001"/>
    <n v="0"/>
    <n v="0.9"/>
    <n v="0.1"/>
    <m/>
    <m/>
    <x v="0"/>
    <m/>
    <m/>
    <m/>
    <m/>
    <m/>
    <m/>
    <m/>
    <m/>
    <m/>
    <m/>
    <m/>
    <m/>
    <m/>
    <m/>
    <m/>
    <m/>
    <m/>
  </r>
  <r>
    <s v="2.4.3.1.2"/>
    <s v="CMS M.60.10.000"/>
    <x v="2"/>
    <n v="8"/>
    <s v="SPOOL"/>
    <n v="8"/>
    <x v="1"/>
    <s v="NÃO"/>
    <s v="NÃO"/>
    <x v="40"/>
    <x v="2"/>
    <s v="DISPOSIÇÃO DE REJEITOS LINHA DO CIRCUITO ARENOSO DISTRIBUIDOR DI-145A-9913 PARA A PENEIRA PN-145A-9726"/>
    <m/>
    <m/>
    <m/>
    <s v="1450AA-T-70401_FL14"/>
    <n v="1"/>
    <s v="PÇ"/>
    <n v="1.01"/>
    <n v="1.01"/>
    <n v="1651.88"/>
    <n v="1668.3988000000002"/>
    <n v="0"/>
    <n v="0.9"/>
    <n v="0.1"/>
    <m/>
    <m/>
    <x v="0"/>
    <m/>
    <m/>
    <m/>
    <m/>
    <m/>
    <m/>
    <m/>
    <m/>
    <m/>
    <m/>
    <m/>
    <m/>
    <m/>
    <m/>
    <m/>
    <m/>
    <m/>
  </r>
  <r>
    <s v="2.4.3.1.2"/>
    <s v="CMS M.60.10.000"/>
    <x v="2"/>
    <n v="9"/>
    <s v="SPOOL"/>
    <n v="8"/>
    <x v="2"/>
    <s v="NÃO"/>
    <s v="NÃO"/>
    <x v="40"/>
    <x v="2"/>
    <s v="DISPOSIÇÃO DE REJEITOS LINHA DO CIRCUITO ARENOSO DISTRIBUIDOR DI-145A-9913 PARA A PENEIRA PN-145A-9726"/>
    <m/>
    <m/>
    <m/>
    <s v="1450AA-T-70401_FL11"/>
    <n v="1"/>
    <s v="PÇ"/>
    <n v="0.51"/>
    <n v="0.51"/>
    <n v="1651.88"/>
    <n v="842.45880000000011"/>
    <n v="0"/>
    <n v="0.9"/>
    <n v="0.1"/>
    <m/>
    <m/>
    <x v="0"/>
    <m/>
    <m/>
    <m/>
    <m/>
    <m/>
    <m/>
    <m/>
    <m/>
    <m/>
    <m/>
    <m/>
    <m/>
    <m/>
    <m/>
    <m/>
    <m/>
    <m/>
  </r>
  <r>
    <s v="2.4.3.1.2"/>
    <s v="CMS M.60.10.000"/>
    <x v="2"/>
    <n v="1"/>
    <s v="CURVA"/>
    <n v="8"/>
    <x v="1"/>
    <s v="NÃO"/>
    <s v="NÃO"/>
    <x v="41"/>
    <x v="1"/>
    <s v="DISPOSIÇÃO DE REJEITOS LINHA DO CIRCUITO ARENOSO DISTRIBUIDOR DI-145A-9914 PARA A PENEIRA PN-145A-9707"/>
    <m/>
    <m/>
    <m/>
    <s v="1450AA-T-70404_FL8"/>
    <n v="2"/>
    <s v="PÇ"/>
    <n v="0.61099999999999999"/>
    <n v="1.222"/>
    <n v="1651.88"/>
    <n v="2018.59736"/>
    <n v="0"/>
    <n v="0.9"/>
    <n v="0.1"/>
    <m/>
    <m/>
    <x v="0"/>
    <m/>
    <m/>
    <m/>
    <m/>
    <m/>
    <m/>
    <m/>
    <m/>
    <m/>
    <m/>
    <m/>
    <m/>
    <m/>
    <m/>
    <m/>
    <m/>
    <m/>
  </r>
  <r>
    <s v="2.4.3.1.2"/>
    <s v="CMS M.60.10.000"/>
    <x v="2"/>
    <n v="2"/>
    <s v="SPOOL"/>
    <n v="8"/>
    <x v="1"/>
    <s v="NÃO"/>
    <s v="NÃO"/>
    <x v="41"/>
    <x v="1"/>
    <s v="DISPOSIÇÃO DE REJEITOS LINHA DO CIRCUITO ARENOSO DISTRIBUIDOR DI-145A-9914 PARA A PENEIRA PN-145A-9707"/>
    <m/>
    <m/>
    <m/>
    <s v="1450AA-T-70404_FL10"/>
    <n v="2"/>
    <s v="PÇ"/>
    <n v="0.81499999999999995"/>
    <n v="1.63"/>
    <n v="1651.88"/>
    <n v="2692.5644000000002"/>
    <n v="0"/>
    <n v="0.9"/>
    <n v="0.1"/>
    <m/>
    <m/>
    <x v="0"/>
    <m/>
    <m/>
    <m/>
    <m/>
    <m/>
    <m/>
    <m/>
    <m/>
    <m/>
    <m/>
    <m/>
    <m/>
    <m/>
    <m/>
    <m/>
    <m/>
    <m/>
  </r>
  <r>
    <s v="2.4.3.1.2"/>
    <s v="CMS M.60.10.000"/>
    <x v="2"/>
    <n v="3"/>
    <s v="CURVA"/>
    <n v="8"/>
    <x v="1"/>
    <s v="NÃO"/>
    <s v="NÃO"/>
    <x v="41"/>
    <x v="1"/>
    <s v="DISPOSIÇÃO DE REJEITOS LINHA DO CIRCUITO ARENOSO DISTRIBUIDOR DI-145A-9914 PARA A PENEIRA PN-145A-9707"/>
    <m/>
    <m/>
    <m/>
    <s v="1450AA-T-70404_FL16"/>
    <n v="1"/>
    <s v="PÇ"/>
    <n v="0.32100000000000001"/>
    <n v="0.32100000000000001"/>
    <n v="1651.88"/>
    <n v="530.25348000000008"/>
    <n v="0"/>
    <n v="0.9"/>
    <n v="0.1"/>
    <m/>
    <m/>
    <x v="0"/>
    <m/>
    <m/>
    <m/>
    <m/>
    <m/>
    <m/>
    <m/>
    <m/>
    <m/>
    <m/>
    <m/>
    <m/>
    <m/>
    <m/>
    <m/>
    <m/>
    <m/>
  </r>
  <r>
    <s v="2.4.3.1.2"/>
    <s v="CMS M.60.10.000"/>
    <x v="2"/>
    <n v="4"/>
    <s v="SPOOL"/>
    <n v="8"/>
    <x v="2"/>
    <s v="NÃO"/>
    <s v="NÃO"/>
    <x v="41"/>
    <x v="1"/>
    <s v="DISPOSIÇÃO DE REJEITOS LINHA DO CIRCUITO ARENOSO DISTRIBUIDOR DI-145A-9914 PARA A PENEIRA PN-145A-9707"/>
    <m/>
    <m/>
    <m/>
    <s v="1450AA-T-70404_FL14"/>
    <n v="1"/>
    <s v="PÇ"/>
    <n v="0.39"/>
    <n v="0.39"/>
    <n v="1651.88"/>
    <n v="644.23320000000001"/>
    <n v="0"/>
    <n v="0.9"/>
    <n v="0.1"/>
    <m/>
    <m/>
    <x v="0"/>
    <m/>
    <m/>
    <m/>
    <m/>
    <m/>
    <m/>
    <m/>
    <m/>
    <m/>
    <m/>
    <m/>
    <m/>
    <m/>
    <m/>
    <m/>
    <m/>
    <m/>
  </r>
  <r>
    <s v="2.4.3.1.2"/>
    <s v="CMS M.60.10.000"/>
    <x v="2"/>
    <n v="5"/>
    <s v="SPOOL"/>
    <n v="8"/>
    <x v="1"/>
    <s v="NÃO"/>
    <s v="NÃO"/>
    <x v="41"/>
    <x v="1"/>
    <s v="DISPOSIÇÃO DE REJEITOS LINHA DO CIRCUITO ARENOSO DISTRIBUIDOR DI-145A-9914 PARA A PENEIRA PN-145A-9707"/>
    <m/>
    <m/>
    <m/>
    <s v="1450AA-T-70404_FL09"/>
    <n v="1"/>
    <s v="PÇ"/>
    <n v="0.7"/>
    <n v="0.7"/>
    <n v="1651.88"/>
    <n v="1156.316"/>
    <n v="0"/>
    <n v="0.9"/>
    <n v="0.1"/>
    <m/>
    <m/>
    <x v="0"/>
    <m/>
    <m/>
    <m/>
    <m/>
    <m/>
    <m/>
    <m/>
    <m/>
    <m/>
    <m/>
    <m/>
    <m/>
    <m/>
    <m/>
    <m/>
    <m/>
    <m/>
  </r>
  <r>
    <s v="2.4.3.1.2"/>
    <s v="CMS M.60.10.000"/>
    <x v="2"/>
    <n v="6"/>
    <s v="SPOOL"/>
    <n v="8"/>
    <x v="1"/>
    <s v="NÃO"/>
    <s v="NÃO"/>
    <x v="41"/>
    <x v="1"/>
    <s v="DISPOSIÇÃO DE REJEITOS LINHA DO CIRCUITO ARENOSO DISTRIBUIDOR DI-145A-9914 PARA A PENEIRA PN-145A-9707"/>
    <m/>
    <m/>
    <m/>
    <s v="1450AA-T-70404_FL12"/>
    <n v="1"/>
    <s v="PÇ"/>
    <n v="1.5"/>
    <n v="1.5"/>
    <n v="1651.88"/>
    <n v="2477.8200000000002"/>
    <n v="0"/>
    <n v="0.9"/>
    <n v="0.1"/>
    <m/>
    <m/>
    <x v="0"/>
    <m/>
    <m/>
    <m/>
    <m/>
    <m/>
    <m/>
    <m/>
    <m/>
    <m/>
    <m/>
    <m/>
    <m/>
    <m/>
    <m/>
    <m/>
    <m/>
    <m/>
  </r>
  <r>
    <s v="2.4.3.1.2"/>
    <s v="CMS M.60.10.000"/>
    <x v="2"/>
    <n v="7"/>
    <s v="SPOOL"/>
    <n v="8"/>
    <x v="1"/>
    <s v="NÃO"/>
    <s v="NÃO"/>
    <x v="41"/>
    <x v="1"/>
    <s v="DISPOSIÇÃO DE REJEITOS LINHA DO CIRCUITO ARENOSO DISTRIBUIDOR DI-145A-9914 PARA A PENEIRA PN-145A-9707"/>
    <m/>
    <m/>
    <m/>
    <s v="1450AA-T-70404_FL13"/>
    <n v="1"/>
    <s v="PÇ"/>
    <n v="4"/>
    <n v="4"/>
    <n v="1651.88"/>
    <n v="6607.52"/>
    <n v="0"/>
    <n v="0.9"/>
    <n v="0.1"/>
    <m/>
    <m/>
    <x v="0"/>
    <m/>
    <m/>
    <m/>
    <m/>
    <m/>
    <m/>
    <m/>
    <m/>
    <m/>
    <m/>
    <m/>
    <m/>
    <m/>
    <m/>
    <m/>
    <m/>
    <m/>
  </r>
  <r>
    <s v="2.4.3.1.2"/>
    <s v="CMS M.60.10.000"/>
    <x v="2"/>
    <n v="8"/>
    <s v="SPOOL"/>
    <n v="8"/>
    <x v="2"/>
    <s v="NÃO"/>
    <s v="NÃO"/>
    <x v="41"/>
    <x v="1"/>
    <s v="DISPOSIÇÃO DE REJEITOS LINHA DO CIRCUITO ARENOSO DISTRIBUIDOR DI-145A-9914 PARA A PENEIRA PN-145A-9707"/>
    <m/>
    <m/>
    <m/>
    <s v="1450AA-T-70404_FL15"/>
    <n v="1"/>
    <s v="PÇ"/>
    <n v="0.42"/>
    <n v="0.42"/>
    <n v="1651.88"/>
    <n v="693.78960000000006"/>
    <n v="0"/>
    <n v="0.9"/>
    <n v="0.1"/>
    <m/>
    <m/>
    <x v="0"/>
    <m/>
    <m/>
    <m/>
    <m/>
    <m/>
    <m/>
    <m/>
    <m/>
    <m/>
    <m/>
    <m/>
    <m/>
    <m/>
    <m/>
    <m/>
    <m/>
    <m/>
  </r>
  <r>
    <s v="2.4.3.1.2"/>
    <s v="CMS M.60.10.000"/>
    <x v="2"/>
    <n v="9"/>
    <s v="CURVA"/>
    <n v="8"/>
    <x v="1"/>
    <s v="NÃO"/>
    <s v="NÃO"/>
    <x v="41"/>
    <x v="1"/>
    <s v="DISPOSIÇÃO DE REJEITOS LINHA DO CIRCUITO ARENOSO DISTRIBUIDOR DI-145A-9914 PARA A PENEIRA PN-145A-9707"/>
    <m/>
    <m/>
    <m/>
    <s v="1450AA-T-70404_FL17"/>
    <n v="1"/>
    <s v="PÇ"/>
    <n v="0.54200000000000004"/>
    <n v="0.54200000000000004"/>
    <n v="1651.88"/>
    <n v="895.31896000000017"/>
    <n v="0"/>
    <n v="0.9"/>
    <n v="0.1"/>
    <m/>
    <m/>
    <x v="0"/>
    <m/>
    <m/>
    <m/>
    <m/>
    <m/>
    <m/>
    <m/>
    <m/>
    <m/>
    <m/>
    <m/>
    <m/>
    <m/>
    <m/>
    <m/>
    <m/>
    <m/>
  </r>
  <r>
    <s v="2.4.3.1.2"/>
    <s v="CMS M.60.10.000"/>
    <x v="2"/>
    <n v="10"/>
    <s v="CURVA"/>
    <n v="8"/>
    <x v="1"/>
    <s v="NÃO"/>
    <s v="NÃO"/>
    <x v="41"/>
    <x v="1"/>
    <s v="DISPOSIÇÃO DE REJEITOS LINHA DO CIRCUITO ARENOSO DISTRIBUIDOR DI-145A-9914 PARA A PENEIRA PN-145A-9707"/>
    <m/>
    <m/>
    <m/>
    <s v="1450AA-T-70404_FL19"/>
    <n v="1"/>
    <s v="PÇ"/>
    <n v="0.63800000000000001"/>
    <n v="0.63800000000000001"/>
    <n v="1651.88"/>
    <n v="1053.8994400000001"/>
    <n v="0"/>
    <n v="0.9"/>
    <n v="0.1"/>
    <m/>
    <m/>
    <x v="0"/>
    <m/>
    <m/>
    <m/>
    <m/>
    <m/>
    <m/>
    <m/>
    <m/>
    <m/>
    <m/>
    <m/>
    <m/>
    <m/>
    <m/>
    <m/>
    <m/>
    <m/>
  </r>
  <r>
    <s v="2.4.3.1.2"/>
    <s v="CMS M.60.10.000"/>
    <x v="2"/>
    <n v="11"/>
    <s v="SPOOL"/>
    <n v="8"/>
    <x v="1"/>
    <s v="NÃO"/>
    <s v="NÃO"/>
    <x v="41"/>
    <x v="1"/>
    <s v="DISPOSIÇÃO DE REJEITOS LINHA DO CIRCUITO ARENOSO DISTRIBUIDOR DI-145A-9914 PARA A PENEIRA PN-145A-9707"/>
    <m/>
    <m/>
    <m/>
    <s v="1450AA-T-70404_FL11"/>
    <n v="1"/>
    <s v="PÇ"/>
    <n v="1.34"/>
    <n v="1.34"/>
    <n v="1651.88"/>
    <n v="2213.5192000000002"/>
    <n v="0"/>
    <n v="0.9"/>
    <n v="0.1"/>
    <m/>
    <m/>
    <x v="0"/>
    <m/>
    <m/>
    <m/>
    <m/>
    <m/>
    <m/>
    <m/>
    <m/>
    <m/>
    <m/>
    <m/>
    <m/>
    <m/>
    <m/>
    <m/>
    <m/>
    <m/>
  </r>
  <r>
    <s v="2.4.3.1.2"/>
    <s v="CMS M.60.10.000"/>
    <x v="2"/>
    <n v="12"/>
    <s v="SPOOL"/>
    <n v="8"/>
    <x v="1"/>
    <s v="NÃO"/>
    <s v="NÃO"/>
    <x v="41"/>
    <x v="1"/>
    <s v="DISPOSIÇÃO DE REJEITOS LINHA DO CIRCUITO ARENOSO DISTRIBUIDOR DI-145A-9914 PARA A PENEIRA PN-145A-9707"/>
    <m/>
    <m/>
    <m/>
    <s v="1450AA-T-70404_FL20"/>
    <n v="1"/>
    <s v="PÇ"/>
    <n v="0.96"/>
    <n v="0.96"/>
    <n v="1651.88"/>
    <n v="1585.8048000000001"/>
    <n v="0"/>
    <n v="0.9"/>
    <n v="0.1"/>
    <m/>
    <m/>
    <x v="0"/>
    <m/>
    <m/>
    <m/>
    <m/>
    <m/>
    <m/>
    <m/>
    <m/>
    <m/>
    <m/>
    <m/>
    <m/>
    <m/>
    <m/>
    <m/>
    <m/>
    <m/>
  </r>
  <r>
    <s v="2.4.3.1.1"/>
    <s v="CMS M.60.10.000"/>
    <x v="2"/>
    <n v="13"/>
    <s v="SPOOL"/>
    <s v="8 X 6"/>
    <x v="1"/>
    <s v="NÃO"/>
    <s v="NÃO"/>
    <x v="41"/>
    <x v="1"/>
    <s v="DISPOSIÇÃO DE REJEITOS LINHA DO CIRCUITO ARENOSO DISTRIBUIDOR DI-145A-9914 PARA A PENEIRA PN-145A-9707"/>
    <m/>
    <m/>
    <m/>
    <s v="1450AA-T-70404_FL21"/>
    <n v="1"/>
    <s v="PÇ"/>
    <n v="2.113"/>
    <n v="2.113"/>
    <n v="1169.77"/>
    <n v="2471.7240099999999"/>
    <n v="0"/>
    <n v="0.9"/>
    <n v="0.1"/>
    <m/>
    <m/>
    <x v="0"/>
    <m/>
    <m/>
    <m/>
    <m/>
    <m/>
    <m/>
    <m/>
    <m/>
    <m/>
    <m/>
    <m/>
    <m/>
    <m/>
    <m/>
    <m/>
    <m/>
    <m/>
  </r>
  <r>
    <s v="2.4.3.1.1"/>
    <s v="CMS M.60.10.000"/>
    <x v="2"/>
    <n v="14"/>
    <s v="FLANGE"/>
    <n v="6"/>
    <x v="1"/>
    <s v="NÃO"/>
    <s v="NÃO"/>
    <x v="41"/>
    <x v="1"/>
    <s v="DISPOSIÇÃO DE REJEITOS LINHA DO CIRCUITO ARENOSO DISTRIBUIDOR DI-145A-9914 PARA A PENEIRA PN-145A-9707"/>
    <m/>
    <m/>
    <m/>
    <s v="1450AA-T-70404_FL08"/>
    <n v="2"/>
    <s v="PÇ"/>
    <n v="0"/>
    <n v="0"/>
    <n v="1169.77"/>
    <n v="0"/>
    <n v="0"/>
    <n v="0.9"/>
    <n v="0.1"/>
    <m/>
    <m/>
    <x v="0"/>
    <m/>
    <m/>
    <m/>
    <m/>
    <m/>
    <m/>
    <m/>
    <m/>
    <m/>
    <m/>
    <m/>
    <m/>
    <m/>
    <m/>
    <m/>
    <m/>
    <m/>
  </r>
  <r>
    <s v="2.4.3.1.2"/>
    <s v="CMS M.60.10.000"/>
    <x v="2"/>
    <n v="1"/>
    <s v="CURVA"/>
    <n v="8"/>
    <x v="1"/>
    <s v="NÃO"/>
    <s v="NÃO"/>
    <x v="42"/>
    <x v="1"/>
    <s v="DISPOSIÇÃO DE REJEITOS LINHA DO CIRCUITO ARENOSO DISTRIBUIDOR DI-145A-9914 PARA A PENEIRA PN-145A-9727"/>
    <m/>
    <m/>
    <m/>
    <s v="1450AA-T-70406_FL13"/>
    <n v="3"/>
    <s v="PÇ"/>
    <n v="0.61099999999999999"/>
    <n v="1.833"/>
    <n v="1651.88"/>
    <n v="3027.8960400000001"/>
    <n v="0"/>
    <n v="0.9"/>
    <n v="0.1"/>
    <m/>
    <m/>
    <x v="0"/>
    <m/>
    <m/>
    <m/>
    <m/>
    <m/>
    <m/>
    <m/>
    <m/>
    <m/>
    <m/>
    <m/>
    <m/>
    <m/>
    <m/>
    <m/>
    <m/>
    <m/>
  </r>
  <r>
    <s v="2.4.3.1.2"/>
    <s v="CMS M.60.10.000"/>
    <x v="2"/>
    <n v="2"/>
    <s v="SPOOL"/>
    <n v="8"/>
    <x v="1"/>
    <s v="NÃO"/>
    <s v="NÃO"/>
    <x v="42"/>
    <x v="1"/>
    <s v="DISPOSIÇÃO DE REJEITOS LINHA DO CIRCUITO ARENOSO DISTRIBUIDOR DI-145A-9914 PARA A PENEIRA PN-145A-9727"/>
    <m/>
    <m/>
    <m/>
    <s v="1450AA-T-70406_FL06"/>
    <n v="1"/>
    <s v="PÇ"/>
    <n v="0.23499999999999999"/>
    <n v="0.23499999999999999"/>
    <n v="1651.88"/>
    <n v="388.1918"/>
    <n v="0"/>
    <n v="0.9"/>
    <n v="0.1"/>
    <m/>
    <m/>
    <x v="0"/>
    <m/>
    <m/>
    <m/>
    <m/>
    <m/>
    <m/>
    <m/>
    <m/>
    <m/>
    <m/>
    <m/>
    <m/>
    <m/>
    <m/>
    <m/>
    <m/>
    <m/>
  </r>
  <r>
    <s v="2.4.3.1.2"/>
    <s v="CMS M.60.10.000"/>
    <x v="2"/>
    <n v="3"/>
    <s v="CURVA"/>
    <n v="8"/>
    <x v="1"/>
    <s v="NÃO"/>
    <s v="NÃO"/>
    <x v="42"/>
    <x v="1"/>
    <s v="DISPOSIÇÃO DE REJEITOS LINHA DO CIRCUITO ARENOSO DISTRIBUIDOR DI-145A-9914 PARA A PENEIRA PN-145A-9727"/>
    <m/>
    <m/>
    <m/>
    <s v="1450AA-T-70406_FL12"/>
    <n v="1"/>
    <s v="PÇ"/>
    <n v="0.32100000000000001"/>
    <n v="0.32100000000000001"/>
    <n v="1651.88"/>
    <n v="530.25348000000008"/>
    <n v="0"/>
    <n v="0.9"/>
    <n v="0.1"/>
    <m/>
    <m/>
    <x v="0"/>
    <m/>
    <m/>
    <m/>
    <m/>
    <m/>
    <m/>
    <m/>
    <m/>
    <m/>
    <m/>
    <m/>
    <m/>
    <m/>
    <m/>
    <m/>
    <m/>
    <m/>
  </r>
  <r>
    <s v="2.4.3.1.2"/>
    <s v="CMS M.60.10.000"/>
    <x v="2"/>
    <n v="4"/>
    <s v="SPOOL"/>
    <n v="8"/>
    <x v="1"/>
    <s v="NÃO"/>
    <s v="NÃO"/>
    <x v="42"/>
    <x v="1"/>
    <s v="DISPOSIÇÃO DE REJEITOS LINHA DO CIRCUITO ARENOSO DISTRIBUIDOR DI-145A-9914 PARA A PENEIRA PN-145A-9727"/>
    <m/>
    <m/>
    <m/>
    <s v="1450AA-T-70406_FL08"/>
    <n v="1"/>
    <s v="PÇ"/>
    <n v="0.37"/>
    <n v="0.37"/>
    <n v="1651.88"/>
    <n v="611.19560000000001"/>
    <n v="0"/>
    <n v="0.9"/>
    <n v="0.1"/>
    <m/>
    <m/>
    <x v="0"/>
    <m/>
    <m/>
    <m/>
    <m/>
    <m/>
    <m/>
    <m/>
    <m/>
    <m/>
    <m/>
    <m/>
    <m/>
    <m/>
    <m/>
    <m/>
    <m/>
    <m/>
  </r>
  <r>
    <s v="2.4.3.1.2"/>
    <s v="CMS M.60.10.000"/>
    <x v="2"/>
    <n v="5"/>
    <s v="SPOOL"/>
    <n v="8"/>
    <x v="2"/>
    <s v="NÃO"/>
    <s v="NÃO"/>
    <x v="42"/>
    <x v="1"/>
    <s v="DISPOSIÇÃO DE REJEITOS LINHA DO CIRCUITO ARENOSO DISTRIBUIDOR DI-145A-9914 PARA A PENEIRA PN-145A-9727"/>
    <m/>
    <m/>
    <m/>
    <s v="1450AA-T-70406_FL10"/>
    <n v="1"/>
    <s v="PÇ"/>
    <n v="0.34"/>
    <n v="0.34"/>
    <n v="1651.88"/>
    <n v="561.63920000000007"/>
    <n v="0"/>
    <n v="0.9"/>
    <n v="0.1"/>
    <m/>
    <m/>
    <x v="0"/>
    <m/>
    <m/>
    <m/>
    <m/>
    <m/>
    <m/>
    <m/>
    <m/>
    <m/>
    <m/>
    <m/>
    <m/>
    <m/>
    <m/>
    <m/>
    <m/>
    <m/>
  </r>
  <r>
    <s v="2.4.3.1.2"/>
    <s v="CMS M.60.10.000"/>
    <x v="2"/>
    <n v="6"/>
    <s v="SPOOL"/>
    <n v="8"/>
    <x v="1"/>
    <s v="NÃO"/>
    <s v="NÃO"/>
    <x v="42"/>
    <x v="1"/>
    <s v="DISPOSIÇÃO DE REJEITOS LINHA DO CIRCUITO ARENOSO DISTRIBUIDOR DI-145A-9914 PARA A PENEIRA PN-145A-9727"/>
    <m/>
    <m/>
    <m/>
    <s v="1450AA-T-70406_FL09"/>
    <n v="1"/>
    <s v="PÇ"/>
    <n v="0.6"/>
    <n v="0.6"/>
    <n v="1651.88"/>
    <n v="991.12800000000004"/>
    <n v="0"/>
    <n v="0.9"/>
    <n v="0.1"/>
    <m/>
    <m/>
    <x v="0"/>
    <m/>
    <m/>
    <m/>
    <m/>
    <m/>
    <m/>
    <m/>
    <m/>
    <m/>
    <m/>
    <m/>
    <m/>
    <m/>
    <m/>
    <m/>
    <m/>
    <m/>
  </r>
  <r>
    <s v="2.4.3.1.2"/>
    <s v="CMS M.60.10.000"/>
    <x v="2"/>
    <n v="7"/>
    <s v="SPOOL"/>
    <n v="8"/>
    <x v="1"/>
    <s v="NÃO"/>
    <s v="NÃO"/>
    <x v="42"/>
    <x v="1"/>
    <s v="DISPOSIÇÃO DE REJEITOS LINHA DO CIRCUITO ARENOSO DISTRIBUIDOR DI-145A-9914 PARA A PENEIRA PN-145A-9727"/>
    <m/>
    <m/>
    <m/>
    <s v="1450AA-T-70406_FL07"/>
    <n v="1"/>
    <s v="PÇ"/>
    <n v="0.32500000000000001"/>
    <n v="0.32500000000000001"/>
    <n v="1651.88"/>
    <n v="536.8610000000001"/>
    <n v="0"/>
    <n v="0.9"/>
    <n v="0.1"/>
    <m/>
    <m/>
    <x v="0"/>
    <m/>
    <m/>
    <m/>
    <m/>
    <m/>
    <m/>
    <m/>
    <m/>
    <m/>
    <m/>
    <m/>
    <m/>
    <m/>
    <m/>
    <m/>
    <m/>
    <m/>
  </r>
  <r>
    <s v="2.4.3.1.2"/>
    <s v="CMS M.60.10.000"/>
    <x v="2"/>
    <n v="8"/>
    <s v="SPOOL"/>
    <n v="8"/>
    <x v="1"/>
    <s v="NÃO"/>
    <s v="NÃO"/>
    <x v="42"/>
    <x v="1"/>
    <s v="DISPOSIÇÃO DE REJEITOS LINHA DO CIRCUITO ARENOSO DISTRIBUIDOR DI-145A-9914 PARA A PENEIRA PN-145A-9727"/>
    <m/>
    <m/>
    <m/>
    <s v="1450AA-T-70406_FL14"/>
    <n v="1"/>
    <s v="PÇ"/>
    <n v="1.01"/>
    <n v="1.01"/>
    <n v="1651.88"/>
    <n v="1668.3988000000002"/>
    <n v="0"/>
    <n v="0.9"/>
    <n v="0.1"/>
    <m/>
    <m/>
    <x v="0"/>
    <m/>
    <m/>
    <m/>
    <m/>
    <m/>
    <m/>
    <m/>
    <m/>
    <m/>
    <m/>
    <m/>
    <m/>
    <m/>
    <m/>
    <m/>
    <m/>
    <m/>
  </r>
  <r>
    <s v="2.4.3.1.2"/>
    <s v="CMS M.60.10.000"/>
    <x v="2"/>
    <n v="9"/>
    <s v="SPOOL"/>
    <n v="8"/>
    <x v="2"/>
    <s v="NÃO"/>
    <s v="NÃO"/>
    <x v="42"/>
    <x v="1"/>
    <s v="DISPOSIÇÃO DE REJEITOS LINHA DO CIRCUITO ARENOSO DISTRIBUIDOR DI-145A-9914 PARA A PENEIRA PN-145A-9727"/>
    <m/>
    <m/>
    <m/>
    <s v="1450AA-T-70406_FL11"/>
    <n v="1"/>
    <s v="PÇ"/>
    <n v="0.51"/>
    <n v="0.51"/>
    <n v="1651.88"/>
    <n v="842.45880000000011"/>
    <n v="0"/>
    <n v="0.9"/>
    <n v="0.1"/>
    <m/>
    <m/>
    <x v="0"/>
    <m/>
    <m/>
    <m/>
    <m/>
    <m/>
    <m/>
    <m/>
    <m/>
    <m/>
    <m/>
    <m/>
    <m/>
    <m/>
    <m/>
    <m/>
    <m/>
    <m/>
  </r>
  <r>
    <s v="2.4.3.1.2"/>
    <s v="CMS M.60.10.000"/>
    <x v="2"/>
    <n v="1"/>
    <s v="SPOOL"/>
    <n v="8"/>
    <x v="1"/>
    <s v="NÃO"/>
    <s v="NÃO"/>
    <x v="43"/>
    <x v="1"/>
    <s v="DISPOSIÇÃO DE REJEITOS LINHA DO CIRCUITO ARENOSO DISTRIBUIDOR DI-145A-9914 PARA A PENEIRA PN-145A-9708"/>
    <m/>
    <m/>
    <m/>
    <s v="1450AA-T-70408_FL09"/>
    <n v="1"/>
    <s v="PÇ"/>
    <n v="0.33500000000000002"/>
    <n v="0.33500000000000002"/>
    <n v="1651.88"/>
    <n v="553.37980000000005"/>
    <n v="0"/>
    <n v="0.9"/>
    <n v="0.1"/>
    <m/>
    <m/>
    <x v="0"/>
    <m/>
    <m/>
    <m/>
    <m/>
    <m/>
    <m/>
    <m/>
    <m/>
    <m/>
    <m/>
    <m/>
    <m/>
    <m/>
    <m/>
    <m/>
    <m/>
    <m/>
  </r>
  <r>
    <s v="2.4.3.1.2"/>
    <s v="CMS M.60.10.000"/>
    <x v="2"/>
    <n v="2"/>
    <s v="CURVA"/>
    <n v="8"/>
    <x v="1"/>
    <s v="NÃO"/>
    <s v="NÃO"/>
    <x v="43"/>
    <x v="1"/>
    <s v="DISPOSIÇÃO DE REJEITOS LINHA DO CIRCUITO ARENOSO DISTRIBUIDOR DI-145A-9914 PARA A PENEIRA PN-145A-9708"/>
    <m/>
    <m/>
    <m/>
    <s v="1450AA-T-70408_FL19"/>
    <n v="2"/>
    <s v="PÇ"/>
    <n v="0.61099999999999999"/>
    <n v="1.222"/>
    <n v="1651.88"/>
    <n v="2018.59736"/>
    <n v="0"/>
    <n v="0.9"/>
    <n v="0.1"/>
    <m/>
    <m/>
    <x v="0"/>
    <m/>
    <m/>
    <m/>
    <m/>
    <m/>
    <m/>
    <m/>
    <m/>
    <m/>
    <m/>
    <m/>
    <m/>
    <m/>
    <m/>
    <m/>
    <m/>
    <m/>
  </r>
  <r>
    <s v="2.4.3.1.2"/>
    <s v="CMS M.60.10.000"/>
    <x v="2"/>
    <n v="3"/>
    <s v="SPOOL"/>
    <n v="8"/>
    <x v="1"/>
    <s v="NÃO"/>
    <s v="NÃO"/>
    <x v="43"/>
    <x v="1"/>
    <s v="DISPOSIÇÃO DE REJEITOS LINHA DO CIRCUITO ARENOSO DISTRIBUIDOR DI-145A-9914 PARA A PENEIRA PN-145A-9708"/>
    <m/>
    <m/>
    <m/>
    <s v="1450AA-T-70408_FL10"/>
    <n v="1"/>
    <s v="PÇ"/>
    <n v="0.42299999999999999"/>
    <n v="0.42299999999999999"/>
    <n v="1651.88"/>
    <n v="698.74524000000008"/>
    <n v="0"/>
    <n v="0.9"/>
    <n v="0.1"/>
    <m/>
    <m/>
    <x v="0"/>
    <m/>
    <m/>
    <m/>
    <m/>
    <m/>
    <m/>
    <m/>
    <m/>
    <m/>
    <m/>
    <m/>
    <m/>
    <m/>
    <m/>
    <m/>
    <m/>
    <m/>
  </r>
  <r>
    <s v="2.4.3.1.2"/>
    <s v="CMS M.60.10.000"/>
    <x v="2"/>
    <n v="4"/>
    <s v="CURVA"/>
    <n v="8"/>
    <x v="1"/>
    <s v="NÃO"/>
    <s v="NÃO"/>
    <x v="43"/>
    <x v="1"/>
    <s v="DISPOSIÇÃO DE REJEITOS LINHA DO CIRCUITO ARENOSO DISTRIBUIDOR DI-145A-9914 PARA A PENEIRA PN-145A-9708"/>
    <m/>
    <m/>
    <m/>
    <s v="1450AA-T-70408_FL17"/>
    <n v="1"/>
    <s v="PÇ"/>
    <n v="0.32100000000000001"/>
    <n v="0.32100000000000001"/>
    <n v="1651.88"/>
    <n v="530.25348000000008"/>
    <n v="0"/>
    <n v="0.9"/>
    <n v="0.1"/>
    <m/>
    <m/>
    <x v="0"/>
    <m/>
    <m/>
    <m/>
    <m/>
    <m/>
    <m/>
    <m/>
    <m/>
    <m/>
    <m/>
    <m/>
    <m/>
    <m/>
    <m/>
    <m/>
    <m/>
    <m/>
  </r>
  <r>
    <s v="2.4.3.1.2"/>
    <s v="CMS M.60.10.000"/>
    <x v="2"/>
    <n v="5"/>
    <s v="SPOOL"/>
    <n v="8"/>
    <x v="2"/>
    <s v="NÃO"/>
    <s v="NÃO"/>
    <x v="43"/>
    <x v="1"/>
    <s v="DISPOSIÇÃO DE REJEITOS LINHA DO CIRCUITO ARENOSO DISTRIBUIDOR DI-145A-9914 PARA A PENEIRA PN-145A-9708"/>
    <m/>
    <m/>
    <m/>
    <s v="1450AA-T-70408_FL15"/>
    <n v="1"/>
    <s v="PÇ"/>
    <n v="0.39500000000000002"/>
    <n v="0.39500000000000002"/>
    <n v="1651.88"/>
    <n v="652.49260000000004"/>
    <n v="0"/>
    <n v="0.9"/>
    <n v="0.1"/>
    <m/>
    <m/>
    <x v="0"/>
    <m/>
    <m/>
    <m/>
    <m/>
    <m/>
    <m/>
    <m/>
    <m/>
    <m/>
    <m/>
    <m/>
    <m/>
    <m/>
    <m/>
    <m/>
    <m/>
    <m/>
  </r>
  <r>
    <s v="2.4.3.1.2"/>
    <s v="CMS M.60.10.000"/>
    <x v="2"/>
    <n v="6"/>
    <s v="SPOOL"/>
    <n v="8"/>
    <x v="1"/>
    <s v="NÃO"/>
    <s v="NÃO"/>
    <x v="43"/>
    <x v="1"/>
    <s v="DISPOSIÇÃO DE REJEITOS LINHA DO CIRCUITO ARENOSO DISTRIBUIDOR DI-145A-9914 PARA A PENEIRA PN-145A-9708"/>
    <m/>
    <m/>
    <m/>
    <s v="1450AA-T-70408_FL13"/>
    <n v="2"/>
    <s v="PÇ"/>
    <n v="1.5"/>
    <n v="3"/>
    <n v="1651.88"/>
    <n v="4955.6400000000003"/>
    <n v="0"/>
    <n v="0.9"/>
    <n v="0.1"/>
    <m/>
    <m/>
    <x v="0"/>
    <m/>
    <m/>
    <m/>
    <m/>
    <m/>
    <m/>
    <m/>
    <m/>
    <m/>
    <m/>
    <m/>
    <m/>
    <m/>
    <m/>
    <m/>
    <m/>
    <m/>
  </r>
  <r>
    <s v="2.4.3.1.2"/>
    <s v="CMS M.60.10.000"/>
    <x v="2"/>
    <n v="7"/>
    <s v="SPOOL"/>
    <n v="8"/>
    <x v="1"/>
    <s v="NÃO"/>
    <s v="NÃO"/>
    <x v="43"/>
    <x v="1"/>
    <s v="DISPOSIÇÃO DE REJEITOS LINHA DO CIRCUITO ARENOSO DISTRIBUIDOR DI-145A-9914 PARA A PENEIRA PN-145A-9708"/>
    <m/>
    <m/>
    <m/>
    <s v="1450AA-T-70408_FL14"/>
    <n v="1"/>
    <s v="PÇ"/>
    <n v="3.5"/>
    <n v="3.5"/>
    <n v="1651.88"/>
    <n v="5781.58"/>
    <n v="0"/>
    <n v="0.9"/>
    <n v="0.1"/>
    <m/>
    <m/>
    <x v="0"/>
    <m/>
    <m/>
    <m/>
    <m/>
    <m/>
    <m/>
    <m/>
    <m/>
    <m/>
    <m/>
    <m/>
    <m/>
    <m/>
    <m/>
    <m/>
    <m/>
    <m/>
  </r>
  <r>
    <s v="2.4.3.1.2"/>
    <s v="CMS M.60.10.000"/>
    <x v="2"/>
    <n v="8"/>
    <s v="SPOOL"/>
    <n v="8"/>
    <x v="2"/>
    <s v="NÃO"/>
    <s v="NÃO"/>
    <x v="43"/>
    <x v="1"/>
    <s v="DISPOSIÇÃO DE REJEITOS LINHA DO CIRCUITO ARENOSO DISTRIBUIDOR DI-145A-9914 PARA A PENEIRA PN-145A-9708"/>
    <m/>
    <m/>
    <m/>
    <s v="1450AA-T-70408_FL16"/>
    <n v="1"/>
    <s v="PÇ"/>
    <n v="0.54500000000000004"/>
    <n v="0.54500000000000004"/>
    <n v="1651.88"/>
    <n v="900.27460000000008"/>
    <n v="0"/>
    <n v="0.9"/>
    <n v="0.1"/>
    <m/>
    <m/>
    <x v="0"/>
    <m/>
    <m/>
    <m/>
    <m/>
    <m/>
    <m/>
    <m/>
    <m/>
    <m/>
    <m/>
    <m/>
    <m/>
    <m/>
    <m/>
    <m/>
    <m/>
    <m/>
  </r>
  <r>
    <s v="2.4.3.1.2"/>
    <s v="CMS M.60.10.000"/>
    <x v="2"/>
    <n v="9"/>
    <s v="CURVA"/>
    <n v="8"/>
    <x v="1"/>
    <s v="NÃO"/>
    <s v="NÃO"/>
    <x v="43"/>
    <x v="1"/>
    <s v="DISPOSIÇÃO DE REJEITOS LINHA DO CIRCUITO ARENOSO DISTRIBUIDOR DI-145A-9914 PARA A PENEIRA PN-145A-9708"/>
    <m/>
    <m/>
    <m/>
    <s v="1450AA-T-70408_FL18"/>
    <n v="1"/>
    <s v="PÇ"/>
    <n v="0.54200000000000004"/>
    <n v="0.54200000000000004"/>
    <n v="1651.88"/>
    <n v="895.31896000000017"/>
    <n v="0"/>
    <n v="0.9"/>
    <n v="0.1"/>
    <m/>
    <m/>
    <x v="0"/>
    <m/>
    <m/>
    <m/>
    <m/>
    <m/>
    <m/>
    <m/>
    <m/>
    <m/>
    <m/>
    <m/>
    <m/>
    <m/>
    <m/>
    <m/>
    <m/>
    <m/>
  </r>
  <r>
    <s v="2.4.3.1.2"/>
    <s v="CMS M.60.10.000"/>
    <x v="2"/>
    <n v="10"/>
    <s v="SPOOL"/>
    <n v="8"/>
    <x v="1"/>
    <s v="NÃO"/>
    <s v="NÃO"/>
    <x v="43"/>
    <x v="1"/>
    <s v="DISPOSIÇÃO DE REJEITOS LINHA DO CIRCUITO ARENOSO DISTRIBUIDOR DI-145A-9914 PARA A PENEIRA PN-145A-9708"/>
    <m/>
    <m/>
    <m/>
    <s v="1450AA-T-70408_FL11"/>
    <n v="1"/>
    <s v="PÇ"/>
    <n v="0.81599999999999995"/>
    <n v="0.81599999999999995"/>
    <n v="1651.88"/>
    <n v="1347.93408"/>
    <n v="0"/>
    <n v="0.9"/>
    <n v="0.1"/>
    <m/>
    <m/>
    <x v="0"/>
    <m/>
    <m/>
    <m/>
    <m/>
    <m/>
    <m/>
    <m/>
    <m/>
    <m/>
    <m/>
    <m/>
    <m/>
    <m/>
    <m/>
    <m/>
    <m/>
    <m/>
  </r>
  <r>
    <s v="2.4.3.1.2"/>
    <s v="CMS M.60.10.000"/>
    <x v="2"/>
    <n v="11"/>
    <s v="CURVA"/>
    <n v="8"/>
    <x v="1"/>
    <s v="NÃO"/>
    <s v="NÃO"/>
    <x v="43"/>
    <x v="1"/>
    <s v="DISPOSIÇÃO DE REJEITOS LINHA DO CIRCUITO ARENOSO DISTRIBUIDOR DI-145A-9914 PARA A PENEIRA PN-145A-9708"/>
    <m/>
    <m/>
    <m/>
    <s v="1450AA-T-70408_FL20"/>
    <n v="1"/>
    <s v="PÇ"/>
    <n v="0.63800000000000001"/>
    <n v="0.63800000000000001"/>
    <n v="1651.88"/>
    <n v="1053.8994400000001"/>
    <n v="0"/>
    <n v="0.9"/>
    <n v="0.1"/>
    <m/>
    <m/>
    <x v="0"/>
    <m/>
    <m/>
    <m/>
    <m/>
    <m/>
    <m/>
    <m/>
    <m/>
    <m/>
    <m/>
    <m/>
    <m/>
    <m/>
    <m/>
    <m/>
    <m/>
    <m/>
  </r>
  <r>
    <s v="2.4.3.1.2"/>
    <s v="CMS M.60.10.000"/>
    <x v="2"/>
    <n v="12"/>
    <s v="SPOOL"/>
    <n v="8"/>
    <x v="1"/>
    <s v="NÃO"/>
    <s v="NÃO"/>
    <x v="43"/>
    <x v="1"/>
    <s v="DISPOSIÇÃO DE REJEITOS LINHA DO CIRCUITO ARENOSO DISTRIBUIDOR DI-145A-9914 PARA A PENEIRA PN-145A-9708"/>
    <m/>
    <m/>
    <m/>
    <s v="1450AA-T-70408_FL12"/>
    <n v="1"/>
    <s v="PÇ"/>
    <n v="1.34"/>
    <n v="1.34"/>
    <n v="1651.88"/>
    <n v="2213.5192000000002"/>
    <n v="0"/>
    <n v="0.9"/>
    <n v="0.1"/>
    <m/>
    <m/>
    <x v="0"/>
    <m/>
    <m/>
    <m/>
    <m/>
    <m/>
    <m/>
    <m/>
    <m/>
    <m/>
    <m/>
    <m/>
    <m/>
    <m/>
    <m/>
    <m/>
    <m/>
    <m/>
  </r>
  <r>
    <s v="2.4.3.1.2"/>
    <s v="CMS M.60.10.000"/>
    <x v="2"/>
    <n v="13"/>
    <s v="SPOOL"/>
    <n v="8"/>
    <x v="1"/>
    <s v="NÃO"/>
    <s v="NÃO"/>
    <x v="43"/>
    <x v="1"/>
    <s v="DISPOSIÇÃO DE REJEITOS LINHA DO CIRCUITO ARENOSO DISTRIBUIDOR DI-145A-9914 PARA A PENEIRA PN-145A-9708"/>
    <m/>
    <m/>
    <m/>
    <s v="1450AA-T-70408_FL21"/>
    <n v="1"/>
    <s v="PÇ"/>
    <n v="0.96"/>
    <n v="0.96"/>
    <n v="1651.88"/>
    <n v="1585.8048000000001"/>
    <n v="0"/>
    <n v="0.9"/>
    <n v="0.1"/>
    <m/>
    <m/>
    <x v="0"/>
    <m/>
    <m/>
    <m/>
    <m/>
    <m/>
    <m/>
    <m/>
    <m/>
    <m/>
    <m/>
    <m/>
    <m/>
    <m/>
    <m/>
    <m/>
    <m/>
    <m/>
  </r>
  <r>
    <s v="2.4.3.1.1"/>
    <s v="CMS M.60.10.000"/>
    <x v="2"/>
    <n v="14"/>
    <s v="SPOOL"/>
    <s v="8 X 6"/>
    <x v="1"/>
    <s v="NÃO"/>
    <s v="NÃO"/>
    <x v="43"/>
    <x v="1"/>
    <s v="DISPOSIÇÃO DE REJEITOS LINHA DO CIRCUITO ARENOSO DISTRIBUIDOR DI-145A-9914 PARA A PENEIRA PN-145A-9708"/>
    <m/>
    <m/>
    <m/>
    <s v="1450AA-T-70408_FL22"/>
    <n v="1"/>
    <s v="PÇ"/>
    <n v="2.113"/>
    <n v="2.113"/>
    <n v="1169.77"/>
    <n v="2471.7240099999999"/>
    <n v="0"/>
    <n v="0.9"/>
    <n v="0.1"/>
    <m/>
    <m/>
    <x v="0"/>
    <m/>
    <m/>
    <m/>
    <m/>
    <m/>
    <m/>
    <m/>
    <m/>
    <m/>
    <m/>
    <m/>
    <m/>
    <m/>
    <m/>
    <m/>
    <m/>
    <m/>
  </r>
  <r>
    <s v="2.4.3.1.1"/>
    <s v="CMS M.60.10.000"/>
    <x v="2"/>
    <n v="15"/>
    <s v="FLANGE"/>
    <n v="6"/>
    <x v="1"/>
    <s v="NÃO"/>
    <s v="NÃO"/>
    <x v="43"/>
    <x v="1"/>
    <s v="DISPOSIÇÃO DE REJEITOS LINHA DO CIRCUITO ARENOSO DISTRIBUIDOR DI-145A-9914 PARA A PENEIRA PN-145A-9708"/>
    <m/>
    <m/>
    <m/>
    <s v="1450AA-T-70408_FL08"/>
    <n v="2"/>
    <s v="PÇ"/>
    <n v="0"/>
    <n v="0"/>
    <n v="1169.77"/>
    <n v="0"/>
    <n v="0"/>
    <n v="0.9"/>
    <n v="0.1"/>
    <m/>
    <m/>
    <x v="0"/>
    <m/>
    <m/>
    <m/>
    <m/>
    <m/>
    <m/>
    <m/>
    <m/>
    <m/>
    <m/>
    <m/>
    <m/>
    <m/>
    <m/>
    <m/>
    <m/>
    <m/>
  </r>
  <r>
    <s v="2.4.3.1.2"/>
    <s v="CMS M.60.10.000"/>
    <x v="2"/>
    <n v="1"/>
    <s v="SPOOL"/>
    <n v="8"/>
    <x v="1"/>
    <s v="NÃO"/>
    <s v="NÃO"/>
    <x v="44"/>
    <x v="1"/>
    <s v="DISPOSIÇÃO DE REJEITOS LINHA DO CIRCUITO ARENOSO DISTRIBUIDOR DI-145A-9914 PARA A PENEIRA PN-145A-9728"/>
    <m/>
    <m/>
    <m/>
    <s v="1450AA-T-70410_FL06"/>
    <n v="1"/>
    <s v="PÇ"/>
    <n v="0.15"/>
    <n v="0.15"/>
    <n v="1651.88"/>
    <n v="247.78200000000001"/>
    <n v="0"/>
    <n v="0.9"/>
    <n v="0.1"/>
    <m/>
    <m/>
    <x v="0"/>
    <m/>
    <m/>
    <m/>
    <m/>
    <m/>
    <m/>
    <m/>
    <m/>
    <m/>
    <m/>
    <m/>
    <m/>
    <m/>
    <m/>
    <m/>
    <m/>
    <m/>
  </r>
  <r>
    <s v="2.4.3.1.2"/>
    <s v="CMS M.60.10.000"/>
    <x v="2"/>
    <n v="2"/>
    <s v="CURVA"/>
    <n v="8"/>
    <x v="1"/>
    <s v="NÃO"/>
    <s v="NÃO"/>
    <x v="44"/>
    <x v="1"/>
    <s v="DISPOSIÇÃO DE REJEITOS LINHA DO CIRCUITO ARENOSO DISTRIBUIDOR DI-145A-9914 PARA A PENEIRA PN-145A-9728"/>
    <m/>
    <m/>
    <m/>
    <s v="1450AA-T-70410_FL14"/>
    <n v="1"/>
    <s v="PÇ"/>
    <n v="0.33200000000000002"/>
    <n v="0.33200000000000002"/>
    <n v="1651.88"/>
    <n v="548.42416000000003"/>
    <n v="0"/>
    <n v="0.9"/>
    <n v="0.1"/>
    <m/>
    <m/>
    <x v="0"/>
    <m/>
    <m/>
    <m/>
    <m/>
    <m/>
    <m/>
    <m/>
    <m/>
    <m/>
    <m/>
    <m/>
    <m/>
    <m/>
    <m/>
    <m/>
    <m/>
    <m/>
  </r>
  <r>
    <s v="2.4.3.1.2"/>
    <s v="CMS M.60.10.000"/>
    <x v="2"/>
    <n v="3"/>
    <s v="SPOOL"/>
    <n v="8"/>
    <x v="1"/>
    <s v="NÃO"/>
    <s v="NÃO"/>
    <x v="44"/>
    <x v="1"/>
    <s v="DISPOSIÇÃO DE REJEITOS LINHA DO CIRCUITO ARENOSO DISTRIBUIDOR DI-145A-9914 PARA A PENEIRA PN-145A-9728"/>
    <m/>
    <m/>
    <m/>
    <s v="1450AA-T-70410_FL08"/>
    <n v="1"/>
    <s v="PÇ"/>
    <n v="0.30499999999999999"/>
    <n v="0.30499999999999999"/>
    <n v="1651.88"/>
    <n v="503.82340000000005"/>
    <n v="0"/>
    <n v="0.9"/>
    <n v="0.1"/>
    <m/>
    <m/>
    <x v="0"/>
    <m/>
    <m/>
    <m/>
    <m/>
    <m/>
    <m/>
    <m/>
    <m/>
    <m/>
    <m/>
    <m/>
    <m/>
    <m/>
    <m/>
    <m/>
    <m/>
    <m/>
  </r>
  <r>
    <s v="2.4.3.1.2"/>
    <s v="CMS M.60.10.000"/>
    <x v="2"/>
    <n v="4"/>
    <s v="CURVA"/>
    <n v="8"/>
    <x v="1"/>
    <s v="NÃO"/>
    <s v="NÃO"/>
    <x v="44"/>
    <x v="1"/>
    <s v="DISPOSIÇÃO DE REJEITOS LINHA DO CIRCUITO ARENOSO DISTRIBUIDOR DI-145A-9914 PARA A PENEIRA PN-145A-9728"/>
    <m/>
    <m/>
    <m/>
    <s v="1450AA-T-70410_FL13"/>
    <n v="1"/>
    <s v="PÇ"/>
    <n v="0.32100000000000001"/>
    <n v="0.32100000000000001"/>
    <n v="1651.88"/>
    <n v="530.25348000000008"/>
    <n v="0"/>
    <n v="0.9"/>
    <n v="0.1"/>
    <m/>
    <m/>
    <x v="0"/>
    <m/>
    <m/>
    <m/>
    <m/>
    <m/>
    <m/>
    <m/>
    <m/>
    <m/>
    <m/>
    <m/>
    <m/>
    <m/>
    <m/>
    <m/>
    <m/>
    <m/>
  </r>
  <r>
    <s v="2.4.3.1.2"/>
    <s v="CMS M.60.10.000"/>
    <x v="2"/>
    <n v="5"/>
    <s v="SPOOL"/>
    <n v="8"/>
    <x v="2"/>
    <s v="NÃO"/>
    <s v="NÃO"/>
    <x v="44"/>
    <x v="1"/>
    <s v="DISPOSIÇÃO DE REJEITOS LINHA DO CIRCUITO ARENOSO DISTRIBUIDOR DI-145A-9914 PARA A PENEIRA PN-145A-9728"/>
    <m/>
    <m/>
    <m/>
    <s v="1450AA-T-70410_FL11"/>
    <n v="1"/>
    <s v="PÇ"/>
    <n v="0.44500000000000001"/>
    <n v="0.44500000000000001"/>
    <n v="1651.88"/>
    <n v="735.08660000000009"/>
    <n v="0"/>
    <n v="0.9"/>
    <n v="0.1"/>
    <m/>
    <m/>
    <x v="0"/>
    <m/>
    <m/>
    <m/>
    <m/>
    <m/>
    <m/>
    <m/>
    <m/>
    <m/>
    <m/>
    <m/>
    <m/>
    <m/>
    <m/>
    <m/>
    <m/>
    <m/>
  </r>
  <r>
    <s v="2.4.3.1.2"/>
    <s v="CMS M.60.10.000"/>
    <x v="2"/>
    <n v="6"/>
    <s v="SPOOL"/>
    <n v="8"/>
    <x v="1"/>
    <s v="NÃO"/>
    <s v="NÃO"/>
    <x v="44"/>
    <x v="1"/>
    <s v="DISPOSIÇÃO DE REJEITOS LINHA DO CIRCUITO ARENOSO DISTRIBUIDOR DI-145A-9914 PARA A PENEIRA PN-145A-9728"/>
    <m/>
    <m/>
    <m/>
    <s v="1450AA-T-70410_FL10"/>
    <n v="1"/>
    <s v="PÇ"/>
    <n v="2.7"/>
    <n v="2.7"/>
    <n v="1651.88"/>
    <n v="4460.0760000000009"/>
    <n v="0"/>
    <n v="0.9"/>
    <n v="0.1"/>
    <m/>
    <m/>
    <x v="0"/>
    <m/>
    <m/>
    <m/>
    <m/>
    <m/>
    <m/>
    <m/>
    <m/>
    <m/>
    <m/>
    <m/>
    <m/>
    <m/>
    <m/>
    <m/>
    <m/>
    <m/>
  </r>
  <r>
    <s v="2.4.3.1.2"/>
    <s v="CMS M.60.10.000"/>
    <x v="2"/>
    <n v="7"/>
    <s v="CURVA"/>
    <n v="8"/>
    <x v="1"/>
    <s v="NÃO"/>
    <s v="NÃO"/>
    <x v="44"/>
    <x v="1"/>
    <s v="DISPOSIÇÃO DE REJEITOS LINHA DO CIRCUITO ARENOSO DISTRIBUIDOR DI-145A-9914 PARA A PENEIRA PN-145A-9728"/>
    <m/>
    <m/>
    <m/>
    <s v="1450AA-T-70410_FL15"/>
    <n v="2"/>
    <s v="PÇ"/>
    <n v="0.61099999999999999"/>
    <n v="1.222"/>
    <n v="1651.88"/>
    <n v="2018.59736"/>
    <n v="0"/>
    <n v="0.9"/>
    <n v="0.1"/>
    <m/>
    <m/>
    <x v="0"/>
    <m/>
    <m/>
    <m/>
    <m/>
    <m/>
    <m/>
    <m/>
    <m/>
    <m/>
    <m/>
    <m/>
    <m/>
    <m/>
    <m/>
    <m/>
    <m/>
    <m/>
  </r>
  <r>
    <s v="2.4.3.1.2"/>
    <s v="CMS M.60.10.000"/>
    <x v="2"/>
    <n v="8"/>
    <s v="SPOOL"/>
    <n v="8"/>
    <x v="1"/>
    <s v="NÃO"/>
    <s v="NÃO"/>
    <x v="44"/>
    <x v="1"/>
    <s v="DISPOSIÇÃO DE REJEITOS LINHA DO CIRCUITO ARENOSO DISTRIBUIDOR DI-145A-9914 PARA A PENEIRA PN-145A-9728"/>
    <m/>
    <m/>
    <m/>
    <s v="1450AA-T-70410_FL07"/>
    <n v="1"/>
    <s v="PÇ"/>
    <n v="0.27300000000000002"/>
    <n v="0.27300000000000002"/>
    <n v="1651.88"/>
    <n v="450.96324000000004"/>
    <n v="0"/>
    <n v="0.9"/>
    <n v="0.1"/>
    <m/>
    <m/>
    <x v="0"/>
    <m/>
    <m/>
    <m/>
    <m/>
    <m/>
    <m/>
    <m/>
    <m/>
    <m/>
    <m/>
    <m/>
    <m/>
    <m/>
    <m/>
    <m/>
    <m/>
    <m/>
  </r>
  <r>
    <s v="2.4.3.1.2"/>
    <s v="CMS M.60.10.000"/>
    <x v="2"/>
    <n v="9"/>
    <s v="SPOOL"/>
    <n v="8"/>
    <x v="1"/>
    <s v="NÃO"/>
    <s v="NÃO"/>
    <x v="44"/>
    <x v="1"/>
    <s v="DISPOSIÇÃO DE REJEITOS LINHA DO CIRCUITO ARENOSO DISTRIBUIDOR DI-145A-9914 PARA A PENEIRA PN-145A-9728"/>
    <m/>
    <m/>
    <m/>
    <s v="1450AA-T-70410_FL09"/>
    <n v="1"/>
    <s v="PÇ"/>
    <n v="0.32500000000000001"/>
    <n v="0.32500000000000001"/>
    <n v="1651.88"/>
    <n v="536.8610000000001"/>
    <n v="0"/>
    <n v="0.9"/>
    <n v="0.1"/>
    <m/>
    <m/>
    <x v="0"/>
    <m/>
    <m/>
    <m/>
    <m/>
    <m/>
    <m/>
    <m/>
    <m/>
    <m/>
    <m/>
    <m/>
    <m/>
    <m/>
    <m/>
    <m/>
    <m/>
    <m/>
  </r>
  <r>
    <s v="2.4.3.1.2"/>
    <s v="CMS M.60.10.000"/>
    <x v="2"/>
    <n v="10"/>
    <s v="SPOOL"/>
    <n v="8"/>
    <x v="1"/>
    <s v="NÃO"/>
    <s v="NÃO"/>
    <x v="44"/>
    <x v="1"/>
    <s v="DISPOSIÇÃO DE REJEITOS LINHA DO CIRCUITO ARENOSO DISTRIBUIDOR DI-145A-9914 PARA A PENEIRA PN-145A-9728"/>
    <m/>
    <m/>
    <m/>
    <s v="1450AA-T-70410_FL16"/>
    <n v="1"/>
    <s v="PÇ"/>
    <n v="1.01"/>
    <n v="1.01"/>
    <n v="1651.88"/>
    <n v="1668.3988000000002"/>
    <n v="0"/>
    <n v="0.9"/>
    <n v="0.1"/>
    <m/>
    <m/>
    <x v="0"/>
    <m/>
    <m/>
    <m/>
    <m/>
    <m/>
    <m/>
    <m/>
    <m/>
    <m/>
    <m/>
    <m/>
    <m/>
    <m/>
    <m/>
    <m/>
    <m/>
    <m/>
  </r>
  <r>
    <s v="2.4.3.1.2"/>
    <s v="CMS M.60.10.000"/>
    <x v="2"/>
    <n v="11"/>
    <s v="SPOOL"/>
    <n v="8"/>
    <x v="2"/>
    <s v="NÃO"/>
    <s v="NÃO"/>
    <x v="44"/>
    <x v="1"/>
    <s v="DISPOSIÇÃO DE REJEITOS LINHA DO CIRCUITO ARENOSO DISTRIBUIDOR DI-145A-9914 PARA A PENEIRA PN-145A-9728"/>
    <m/>
    <m/>
    <m/>
    <s v="1450AA-T-70410_FL12"/>
    <n v="1"/>
    <s v="PÇ"/>
    <n v="0.51"/>
    <n v="0.51"/>
    <n v="1651.88"/>
    <n v="842.45880000000011"/>
    <n v="0"/>
    <n v="0.9"/>
    <n v="0.1"/>
    <m/>
    <m/>
    <x v="0"/>
    <m/>
    <m/>
    <m/>
    <m/>
    <m/>
    <m/>
    <m/>
    <m/>
    <m/>
    <m/>
    <m/>
    <m/>
    <m/>
    <m/>
    <m/>
    <m/>
    <m/>
  </r>
  <r>
    <s v="2.4.3.1.2"/>
    <s v="CMS M.60.10.000"/>
    <x v="2"/>
    <n v="1"/>
    <s v="CURVA"/>
    <n v="8"/>
    <x v="1"/>
    <s v="NÃO"/>
    <s v="NÃO"/>
    <x v="45"/>
    <x v="1"/>
    <s v="DISPOSIÇÃO DE REJEITOS LINHA DO CIRCUITO ARENOSO DISTRIBUIDOR DI-145A-9914 PARA A PENEIRA PN-145A-9709"/>
    <m/>
    <m/>
    <m/>
    <s v="1450AA-T-70412_FL21"/>
    <n v="4"/>
    <s v="PÇ"/>
    <n v="0.61099999999999999"/>
    <n v="2.444"/>
    <n v="1651.88"/>
    <n v="4037.19472"/>
    <n v="0"/>
    <n v="0.9"/>
    <n v="0.1"/>
    <m/>
    <m/>
    <x v="0"/>
    <m/>
    <m/>
    <m/>
    <m/>
    <m/>
    <m/>
    <m/>
    <m/>
    <m/>
    <m/>
    <m/>
    <m/>
    <m/>
    <m/>
    <m/>
    <m/>
    <m/>
  </r>
  <r>
    <s v="2.4.3.1.2"/>
    <s v="CMS M.60.10.000"/>
    <x v="2"/>
    <n v="2"/>
    <s v="SPOOL"/>
    <n v="8"/>
    <x v="1"/>
    <s v="NÃO"/>
    <s v="NÃO"/>
    <x v="45"/>
    <x v="1"/>
    <s v="DISPOSIÇÃO DE REJEITOS LINHA DO CIRCUITO ARENOSO DISTRIBUIDOR DI-145A-9914 PARA A PENEIRA PN-145A-9709"/>
    <m/>
    <m/>
    <m/>
    <s v="1450AA-T-70412_FL10"/>
    <n v="2"/>
    <s v="PÇ"/>
    <n v="0.81499999999999995"/>
    <n v="1.63"/>
    <n v="1651.88"/>
    <n v="2692.5644000000002"/>
    <n v="0"/>
    <n v="0.9"/>
    <n v="0.1"/>
    <m/>
    <m/>
    <x v="0"/>
    <m/>
    <m/>
    <m/>
    <m/>
    <m/>
    <m/>
    <m/>
    <m/>
    <m/>
    <m/>
    <m/>
    <m/>
    <m/>
    <m/>
    <m/>
    <m/>
    <m/>
  </r>
  <r>
    <s v="2.4.3.1.2"/>
    <s v="CMS M.60.10.000"/>
    <x v="2"/>
    <n v="3"/>
    <s v="CURVA"/>
    <n v="8"/>
    <x v="1"/>
    <s v="NÃO"/>
    <s v="NÃO"/>
    <x v="45"/>
    <x v="1"/>
    <s v="DISPOSIÇÃO DE REJEITOS LINHA DO CIRCUITO ARENOSO DISTRIBUIDOR DI-145A-9914 PARA A PENEIRA PN-145A-9709"/>
    <m/>
    <m/>
    <m/>
    <s v="1450AA-T-70412_FL19"/>
    <n v="1"/>
    <s v="PÇ"/>
    <n v="0.32100000000000001"/>
    <n v="0.32100000000000001"/>
    <n v="1651.88"/>
    <n v="530.25348000000008"/>
    <n v="0"/>
    <n v="0.9"/>
    <n v="0.1"/>
    <m/>
    <m/>
    <x v="0"/>
    <m/>
    <m/>
    <m/>
    <m/>
    <m/>
    <m/>
    <m/>
    <m/>
    <m/>
    <m/>
    <m/>
    <m/>
    <m/>
    <m/>
    <m/>
    <m/>
    <m/>
  </r>
  <r>
    <s v="2.4.3.1.2"/>
    <s v="CMS M.60.10.000"/>
    <x v="2"/>
    <n v="4"/>
    <s v="SPOOL"/>
    <n v="8"/>
    <x v="2"/>
    <s v="NÃO"/>
    <s v="NÃO"/>
    <x v="45"/>
    <x v="1"/>
    <s v="DISPOSIÇÃO DE REJEITOS LINHA DO CIRCUITO ARENOSO DISTRIBUIDOR DI-145A-9914 PARA A PENEIRA PN-145A-9709"/>
    <m/>
    <m/>
    <m/>
    <s v="1450AA-T-70412_FL17"/>
    <n v="1"/>
    <s v="PÇ"/>
    <n v="0.48"/>
    <n v="0.48"/>
    <n v="1651.88"/>
    <n v="792.90240000000006"/>
    <n v="0"/>
    <n v="0.9"/>
    <n v="0.1"/>
    <m/>
    <m/>
    <x v="0"/>
    <m/>
    <m/>
    <m/>
    <m/>
    <m/>
    <m/>
    <m/>
    <m/>
    <m/>
    <m/>
    <m/>
    <m/>
    <m/>
    <m/>
    <m/>
    <m/>
    <m/>
  </r>
  <r>
    <s v="2.4.3.1.2"/>
    <s v="CMS M.60.10.000"/>
    <x v="2"/>
    <n v="5"/>
    <s v="SPOOL"/>
    <n v="8"/>
    <x v="1"/>
    <s v="NÃO"/>
    <s v="NÃO"/>
    <x v="45"/>
    <x v="1"/>
    <s v="DISPOSIÇÃO DE REJEITOS LINHA DO CIRCUITO ARENOSO DISTRIBUIDOR DI-145A-9914 PARA A PENEIRA PN-145A-9709"/>
    <m/>
    <m/>
    <m/>
    <s v="1450AA-T-70412_FL13"/>
    <n v="1"/>
    <s v="PÇ"/>
    <n v="2"/>
    <n v="2"/>
    <n v="1651.88"/>
    <n v="3303.76"/>
    <n v="0"/>
    <n v="0.9"/>
    <n v="0.1"/>
    <m/>
    <m/>
    <x v="0"/>
    <m/>
    <m/>
    <m/>
    <m/>
    <m/>
    <m/>
    <m/>
    <m/>
    <m/>
    <m/>
    <m/>
    <m/>
    <m/>
    <m/>
    <m/>
    <m/>
    <m/>
  </r>
  <r>
    <s v="2.4.3.1.2"/>
    <s v="CMS M.60.10.000"/>
    <x v="2"/>
    <n v="6"/>
    <s v="SPOOL"/>
    <n v="8"/>
    <x v="1"/>
    <s v="NÃO"/>
    <s v="NÃO"/>
    <x v="45"/>
    <x v="1"/>
    <s v="DISPOSIÇÃO DE REJEITOS LINHA DO CIRCUITO ARENOSO DISTRIBUIDOR DI-145A-9914 PARA A PENEIRA PN-145A-9709"/>
    <m/>
    <m/>
    <m/>
    <s v="1450AA-T-70412_FL09"/>
    <n v="1"/>
    <s v="PÇ"/>
    <n v="0.39500000000000002"/>
    <n v="0.39500000000000002"/>
    <n v="1651.88"/>
    <n v="652.49260000000004"/>
    <n v="0"/>
    <n v="0.9"/>
    <n v="0.1"/>
    <m/>
    <m/>
    <x v="0"/>
    <m/>
    <m/>
    <m/>
    <m/>
    <m/>
    <m/>
    <m/>
    <m/>
    <m/>
    <m/>
    <m/>
    <m/>
    <m/>
    <m/>
    <m/>
    <m/>
    <m/>
  </r>
  <r>
    <s v="2.4.3.1.2"/>
    <s v="CMS M.60.10.000"/>
    <x v="2"/>
    <n v="7"/>
    <s v="SPOOL"/>
    <n v="8"/>
    <x v="2"/>
    <s v="NÃO"/>
    <s v="NÃO"/>
    <x v="45"/>
    <x v="1"/>
    <s v="DISPOSIÇÃO DE REJEITOS LINHA DO CIRCUITO ARENOSO DISTRIBUIDOR DI-145A-9914 PARA A PENEIRA PN-145A-9709"/>
    <m/>
    <m/>
    <m/>
    <s v="1450AA-T-70412_FL16"/>
    <n v="1"/>
    <s v="PÇ"/>
    <n v="0.42"/>
    <n v="0.42"/>
    <n v="1651.88"/>
    <n v="693.78960000000006"/>
    <n v="0"/>
    <n v="0.9"/>
    <n v="0.1"/>
    <m/>
    <m/>
    <x v="0"/>
    <m/>
    <m/>
    <m/>
    <m/>
    <m/>
    <m/>
    <m/>
    <m/>
    <m/>
    <m/>
    <m/>
    <m/>
    <m/>
    <m/>
    <m/>
    <m/>
    <m/>
  </r>
  <r>
    <s v="2.4.3.1.2"/>
    <s v="CMS M.60.10.000"/>
    <x v="2"/>
    <n v="8"/>
    <s v="SPOOL"/>
    <n v="8"/>
    <x v="1"/>
    <s v="NÃO"/>
    <s v="NÃO"/>
    <x v="45"/>
    <x v="1"/>
    <s v="DISPOSIÇÃO DE REJEITOS LINHA DO CIRCUITO ARENOSO DISTRIBUIDOR DI-145A-9914 PARA A PENEIRA PN-145A-9709"/>
    <m/>
    <m/>
    <m/>
    <s v="1450AA-T-70412_FL14"/>
    <n v="1"/>
    <s v="PÇ"/>
    <n v="2.2999999999999998"/>
    <n v="2.2999999999999998"/>
    <n v="1651.88"/>
    <n v="3799.3240000000001"/>
    <n v="0"/>
    <n v="0.9"/>
    <n v="0.1"/>
    <m/>
    <m/>
    <x v="0"/>
    <m/>
    <m/>
    <m/>
    <m/>
    <m/>
    <m/>
    <m/>
    <m/>
    <m/>
    <m/>
    <m/>
    <m/>
    <m/>
    <m/>
    <m/>
    <m/>
    <m/>
  </r>
  <r>
    <s v="2.4.3.1.2"/>
    <s v="CMS M.60.10.000"/>
    <x v="2"/>
    <n v="9"/>
    <s v="SPOOL"/>
    <n v="8"/>
    <x v="1"/>
    <s v="NÃO"/>
    <s v="NÃO"/>
    <x v="45"/>
    <x v="1"/>
    <s v="DISPOSIÇÃO DE REJEITOS LINHA DO CIRCUITO ARENOSO DISTRIBUIDOR DI-145A-9914 PARA A PENEIRA PN-145A-9709"/>
    <m/>
    <m/>
    <m/>
    <s v="1450AA-T-70412_FL11"/>
    <n v="1"/>
    <s v="PÇ"/>
    <n v="1"/>
    <n v="1"/>
    <n v="1651.88"/>
    <n v="1651.88"/>
    <n v="0"/>
    <n v="0.9"/>
    <n v="0.1"/>
    <m/>
    <m/>
    <x v="0"/>
    <m/>
    <m/>
    <m/>
    <m/>
    <m/>
    <m/>
    <m/>
    <m/>
    <m/>
    <m/>
    <m/>
    <m/>
    <m/>
    <m/>
    <m/>
    <m/>
    <m/>
  </r>
  <r>
    <s v="2.4.3.1.2"/>
    <s v="CMS M.60.10.000"/>
    <x v="2"/>
    <n v="10"/>
    <s v="SPOOL"/>
    <n v="8"/>
    <x v="1"/>
    <s v="NÃO"/>
    <s v="NÃO"/>
    <x v="45"/>
    <x v="1"/>
    <s v="DISPOSIÇÃO DE REJEITOS LINHA DO CIRCUITO ARENOSO DISTRIBUIDOR DI-145A-9914 PARA A PENEIRA PN-145A-9709"/>
    <m/>
    <m/>
    <m/>
    <s v="1450AA-T-70412_FL15"/>
    <n v="1"/>
    <s v="PÇ"/>
    <n v="3"/>
    <n v="3"/>
    <n v="1651.88"/>
    <n v="4955.6400000000003"/>
    <n v="0"/>
    <n v="0.9"/>
    <n v="0.1"/>
    <m/>
    <m/>
    <x v="0"/>
    <m/>
    <m/>
    <m/>
    <m/>
    <m/>
    <m/>
    <m/>
    <m/>
    <m/>
    <m/>
    <m/>
    <m/>
    <m/>
    <m/>
    <m/>
    <m/>
    <m/>
  </r>
  <r>
    <s v="2.4.3.1.2"/>
    <s v="CMS M.60.10.000"/>
    <x v="2"/>
    <n v="11"/>
    <s v="SPOOL"/>
    <n v="8"/>
    <x v="2"/>
    <s v="NÃO"/>
    <s v="NÃO"/>
    <x v="45"/>
    <x v="1"/>
    <s v="DISPOSIÇÃO DE REJEITOS LINHA DO CIRCUITO ARENOSO DISTRIBUIDOR DI-145A-9914 PARA A PENEIRA PN-145A-9709"/>
    <m/>
    <m/>
    <m/>
    <s v="1450AA-T-70412_FL18"/>
    <n v="1"/>
    <s v="PÇ"/>
    <n v="0.56499999999999995"/>
    <n v="0.56499999999999995"/>
    <n v="1651.88"/>
    <n v="933.31219999999996"/>
    <n v="0"/>
    <n v="0.9"/>
    <n v="0.1"/>
    <m/>
    <m/>
    <x v="0"/>
    <m/>
    <m/>
    <m/>
    <m/>
    <m/>
    <m/>
    <m/>
    <m/>
    <m/>
    <m/>
    <m/>
    <m/>
    <m/>
    <m/>
    <m/>
    <m/>
    <m/>
  </r>
  <r>
    <s v="2.4.3.1.2"/>
    <s v="CMS M.60.10.000"/>
    <x v="2"/>
    <n v="12"/>
    <s v="CURVA"/>
    <n v="8"/>
    <x v="1"/>
    <s v="NÃO"/>
    <s v="NÃO"/>
    <x v="45"/>
    <x v="1"/>
    <s v="DISPOSIÇÃO DE REJEITOS LINHA DO CIRCUITO ARENOSO DISTRIBUIDOR DI-145A-9914 PARA A PENEIRA PN-145A-9709"/>
    <m/>
    <m/>
    <m/>
    <s v="1450AA-T-70412_FL20"/>
    <n v="1"/>
    <s v="PÇ"/>
    <n v="0.54200000000000004"/>
    <n v="0.54200000000000004"/>
    <n v="1651.88"/>
    <n v="895.31896000000017"/>
    <n v="0"/>
    <n v="0.9"/>
    <n v="0.1"/>
    <m/>
    <m/>
    <x v="0"/>
    <m/>
    <m/>
    <m/>
    <m/>
    <m/>
    <m/>
    <m/>
    <m/>
    <m/>
    <m/>
    <m/>
    <m/>
    <m/>
    <m/>
    <m/>
    <m/>
    <m/>
  </r>
  <r>
    <s v="2.4.3.1.2"/>
    <s v="CMS M.60.10.000"/>
    <x v="2"/>
    <n v="13"/>
    <s v="CURVA"/>
    <n v="8"/>
    <x v="1"/>
    <s v="NÃO"/>
    <s v="NÃO"/>
    <x v="45"/>
    <x v="1"/>
    <s v="DISPOSIÇÃO DE REJEITOS LINHA DO CIRCUITO ARENOSO DISTRIBUIDOR DI-145A-9914 PARA A PENEIRA PN-145A-9709"/>
    <m/>
    <m/>
    <m/>
    <s v="1450AA-T-70412_FL22"/>
    <n v="1"/>
    <s v="PÇ"/>
    <n v="0.63800000000000001"/>
    <n v="0.63800000000000001"/>
    <n v="1651.88"/>
    <n v="1053.8994400000001"/>
    <n v="0"/>
    <n v="0.9"/>
    <n v="0.1"/>
    <m/>
    <m/>
    <x v="0"/>
    <m/>
    <m/>
    <m/>
    <m/>
    <m/>
    <m/>
    <m/>
    <m/>
    <m/>
    <m/>
    <m/>
    <m/>
    <m/>
    <m/>
    <m/>
    <m/>
    <m/>
  </r>
  <r>
    <s v="2.4.3.1.2"/>
    <s v="CMS M.60.10.000"/>
    <x v="2"/>
    <n v="14"/>
    <s v="SPOOL"/>
    <n v="8"/>
    <x v="1"/>
    <s v="NÃO"/>
    <s v="NÃO"/>
    <x v="45"/>
    <x v="1"/>
    <s v="DISPOSIÇÃO DE REJEITOS LINHA DO CIRCUITO ARENOSO DISTRIBUIDOR DI-145A-9914 PARA A PENEIRA PN-145A-9709"/>
    <m/>
    <m/>
    <m/>
    <s v="1450AA-T-70412_FL12"/>
    <n v="1"/>
    <s v="PÇ"/>
    <n v="1.34"/>
    <n v="1.34"/>
    <n v="1651.88"/>
    <n v="2213.5192000000002"/>
    <n v="0"/>
    <n v="0.9"/>
    <n v="0.1"/>
    <m/>
    <m/>
    <x v="0"/>
    <m/>
    <m/>
    <m/>
    <m/>
    <m/>
    <m/>
    <m/>
    <m/>
    <m/>
    <m/>
    <m/>
    <m/>
    <m/>
    <m/>
    <m/>
    <m/>
    <m/>
  </r>
  <r>
    <s v="2.4.3.1.2"/>
    <s v="CMS M.60.10.000"/>
    <x v="2"/>
    <n v="15"/>
    <s v="SPOOL"/>
    <n v="8"/>
    <x v="1"/>
    <s v="NÃO"/>
    <s v="NÃO"/>
    <x v="45"/>
    <x v="1"/>
    <s v="DISPOSIÇÃO DE REJEITOS LINHA DO CIRCUITO ARENOSO DISTRIBUIDOR DI-145A-9914 PARA A PENEIRA PN-145A-9709"/>
    <m/>
    <m/>
    <m/>
    <s v="1450AA-T-70412_FL23"/>
    <n v="1"/>
    <s v="PÇ"/>
    <n v="0.96"/>
    <n v="0.96"/>
    <n v="1651.88"/>
    <n v="1585.8048000000001"/>
    <n v="0"/>
    <n v="0.9"/>
    <n v="0.1"/>
    <m/>
    <m/>
    <x v="0"/>
    <m/>
    <m/>
    <m/>
    <m/>
    <m/>
    <m/>
    <m/>
    <m/>
    <m/>
    <m/>
    <m/>
    <m/>
    <m/>
    <m/>
    <m/>
    <m/>
    <m/>
  </r>
  <r>
    <s v="2.4.3.1.1"/>
    <s v="CMS M.60.10.000"/>
    <x v="2"/>
    <n v="16"/>
    <s v="SPOOL"/>
    <s v="8 X 6"/>
    <x v="1"/>
    <s v="NÃO"/>
    <s v="NÃO"/>
    <x v="45"/>
    <x v="1"/>
    <s v="DISPOSIÇÃO DE REJEITOS LINHA DO CIRCUITO ARENOSO DISTRIBUIDOR DI-145A-9914 PARA A PENEIRA PN-145A-9709"/>
    <m/>
    <m/>
    <m/>
    <s v="1450AA-T-70412_FL24"/>
    <n v="1"/>
    <s v="PÇ"/>
    <n v="2.113"/>
    <n v="2.113"/>
    <n v="1169.77"/>
    <n v="2471.7240099999999"/>
    <n v="0"/>
    <n v="0.9"/>
    <n v="0.1"/>
    <m/>
    <m/>
    <x v="0"/>
    <m/>
    <m/>
    <m/>
    <m/>
    <m/>
    <m/>
    <m/>
    <m/>
    <m/>
    <m/>
    <m/>
    <m/>
    <m/>
    <m/>
    <m/>
    <m/>
    <m/>
  </r>
  <r>
    <s v="2.4.3.1.2"/>
    <s v="CMS M.60.10.000"/>
    <x v="2"/>
    <n v="17"/>
    <s v="FLANGE"/>
    <n v="8"/>
    <x v="1"/>
    <s v="NÃO"/>
    <s v="NÃO"/>
    <x v="45"/>
    <x v="1"/>
    <s v="DISPOSIÇÃO DE REJEITOS LINHA DO CIRCUITO ARENOSO DISTRIBUIDOR DI-145A-9914 PARA A PENEIRA PN-145A-9709"/>
    <m/>
    <m/>
    <m/>
    <s v="1450AA-T-70412_FL08"/>
    <n v="2"/>
    <s v="PÇ"/>
    <n v="0"/>
    <n v="0"/>
    <n v="1651.88"/>
    <n v="0"/>
    <n v="0"/>
    <n v="0.9"/>
    <n v="0.1"/>
    <m/>
    <m/>
    <x v="0"/>
    <m/>
    <m/>
    <m/>
    <m/>
    <m/>
    <m/>
    <m/>
    <m/>
    <m/>
    <m/>
    <m/>
    <m/>
    <m/>
    <m/>
    <m/>
    <m/>
    <m/>
  </r>
  <r>
    <s v="2.4.3.1.2"/>
    <s v="CMS M.60.10.000"/>
    <x v="2"/>
    <n v="1"/>
    <s v="CURVA"/>
    <n v="8"/>
    <x v="1"/>
    <s v="NÃO"/>
    <s v="NÃO"/>
    <x v="46"/>
    <x v="1"/>
    <s v="DISPOSIÇÃO DE REJEITOS LINHA DO CIRCUITO ARENOSO DISTRIBUIDOR DI-145A-9914 PARA A PENEIRA PN-145A-9729"/>
    <m/>
    <m/>
    <m/>
    <s v="1450AA-T-70414_FL14"/>
    <n v="3"/>
    <s v="PÇ"/>
    <n v="0.61099999999999999"/>
    <n v="1.833"/>
    <n v="1651.88"/>
    <n v="3027.8960400000001"/>
    <n v="0"/>
    <n v="0.9"/>
    <n v="0.1"/>
    <m/>
    <m/>
    <x v="0"/>
    <m/>
    <m/>
    <m/>
    <m/>
    <m/>
    <m/>
    <m/>
    <m/>
    <m/>
    <m/>
    <m/>
    <m/>
    <m/>
    <m/>
    <m/>
    <m/>
    <m/>
  </r>
  <r>
    <s v="2.4.3.1.2"/>
    <s v="CMS M.60.10.000"/>
    <x v="2"/>
    <n v="2"/>
    <s v="SPOOL"/>
    <n v="8"/>
    <x v="1"/>
    <s v="NÃO"/>
    <s v="NÃO"/>
    <x v="46"/>
    <x v="1"/>
    <s v="DISPOSIÇÃO DE REJEITOS LINHA DO CIRCUITO ARENOSO DISTRIBUIDOR DI-145A-9914 PARA A PENEIRA PN-145A-9729"/>
    <m/>
    <m/>
    <m/>
    <s v="1450AA-T-70414_FL06"/>
    <n v="1"/>
    <s v="PÇ"/>
    <n v="0.23499999999999999"/>
    <n v="0.23499999999999999"/>
    <n v="1651.88"/>
    <n v="388.1918"/>
    <n v="0"/>
    <n v="0.9"/>
    <n v="0.1"/>
    <m/>
    <m/>
    <x v="0"/>
    <m/>
    <m/>
    <m/>
    <m/>
    <m/>
    <m/>
    <m/>
    <m/>
    <m/>
    <m/>
    <m/>
    <m/>
    <m/>
    <m/>
    <m/>
    <m/>
    <m/>
  </r>
  <r>
    <s v="2.4.3.1.2"/>
    <s v="CMS M.60.10.000"/>
    <x v="2"/>
    <n v="3"/>
    <s v="CURVA"/>
    <n v="8"/>
    <x v="1"/>
    <s v="NÃO"/>
    <s v="NÃO"/>
    <x v="46"/>
    <x v="1"/>
    <s v="DISPOSIÇÃO DE REJEITOS LINHA DO CIRCUITO ARENOSO DISTRIBUIDOR DI-145A-9914 PARA A PENEIRA PN-145A-9729"/>
    <m/>
    <m/>
    <m/>
    <s v="1450AA-T-70414_FL13"/>
    <n v="1"/>
    <s v="PÇ"/>
    <n v="0.32100000000000001"/>
    <n v="0.32100000000000001"/>
    <n v="1651.88"/>
    <n v="530.25348000000008"/>
    <n v="0"/>
    <n v="0.9"/>
    <n v="0.1"/>
    <m/>
    <m/>
    <x v="0"/>
    <m/>
    <m/>
    <m/>
    <m/>
    <m/>
    <m/>
    <m/>
    <m/>
    <m/>
    <m/>
    <m/>
    <m/>
    <m/>
    <m/>
    <m/>
    <m/>
    <m/>
  </r>
  <r>
    <s v="2.4.3.1.2"/>
    <s v="CMS M.60.10.000"/>
    <x v="2"/>
    <n v="4"/>
    <s v="SPOOL"/>
    <n v="8"/>
    <x v="2"/>
    <s v="NÃO"/>
    <s v="NÃO"/>
    <x v="46"/>
    <x v="1"/>
    <s v="DISPOSIÇÃO DE REJEITOS LINHA DO CIRCUITO ARENOSO DISTRIBUIDOR DI-145A-9914 PARA A PENEIRA PN-145A-9729"/>
    <m/>
    <m/>
    <m/>
    <s v="1450AA-T-70414_FL11"/>
    <n v="1"/>
    <s v="PÇ"/>
    <n v="0.49"/>
    <n v="0.49"/>
    <n v="1651.88"/>
    <n v="809.4212"/>
    <n v="0"/>
    <n v="0.9"/>
    <n v="0.1"/>
    <m/>
    <m/>
    <x v="0"/>
    <m/>
    <m/>
    <m/>
    <m/>
    <m/>
    <m/>
    <m/>
    <m/>
    <m/>
    <m/>
    <m/>
    <m/>
    <m/>
    <m/>
    <m/>
    <m/>
    <m/>
  </r>
  <r>
    <s v="2.4.3.1.2"/>
    <s v="CMS M.60.10.000"/>
    <x v="2"/>
    <n v="5"/>
    <s v="SPOOL"/>
    <n v="8"/>
    <x v="1"/>
    <s v="NÃO"/>
    <s v="NÃO"/>
    <x v="46"/>
    <x v="1"/>
    <s v="DISPOSIÇÃO DE REJEITOS LINHA DO CIRCUITO ARENOSO DISTRIBUIDOR DI-145A-9914 PARA A PENEIRA PN-145A-9729"/>
    <m/>
    <m/>
    <m/>
    <s v="1450AA-T-70414_FL08"/>
    <n v="1"/>
    <s v="PÇ"/>
    <n v="2.7"/>
    <n v="2.7"/>
    <n v="1651.88"/>
    <n v="4460.0760000000009"/>
    <n v="0"/>
    <n v="0.9"/>
    <n v="0.1"/>
    <m/>
    <m/>
    <x v="0"/>
    <m/>
    <m/>
    <m/>
    <m/>
    <m/>
    <m/>
    <m/>
    <m/>
    <m/>
    <m/>
    <m/>
    <m/>
    <m/>
    <m/>
    <m/>
    <m/>
    <m/>
  </r>
  <r>
    <s v="2.4.3.1.2"/>
    <s v="CMS M.60.10.000"/>
    <x v="2"/>
    <n v="6"/>
    <s v="SPOOL"/>
    <n v="8"/>
    <x v="1"/>
    <s v="NÃO"/>
    <s v="NÃO"/>
    <x v="46"/>
    <x v="1"/>
    <s v="DISPOSIÇÃO DE REJEITOS LINHA DO CIRCUITO ARENOSO DISTRIBUIDOR DI-145A-9914 PARA A PENEIRA PN-145A-9729"/>
    <m/>
    <m/>
    <m/>
    <s v="1450AA-T-70414_FL07"/>
    <n v="1"/>
    <s v="PÇ"/>
    <n v="0.26"/>
    <n v="0.26"/>
    <n v="1651.88"/>
    <n v="429.48880000000003"/>
    <n v="0"/>
    <n v="0.9"/>
    <n v="0.1"/>
    <m/>
    <m/>
    <x v="0"/>
    <m/>
    <m/>
    <m/>
    <m/>
    <m/>
    <m/>
    <m/>
    <m/>
    <m/>
    <m/>
    <m/>
    <m/>
    <m/>
    <m/>
    <m/>
    <m/>
    <m/>
  </r>
  <r>
    <s v="2.4.3.1.2"/>
    <s v="CMS M.60.10.000"/>
    <x v="2"/>
    <n v="7"/>
    <s v="SPOOL"/>
    <n v="8"/>
    <x v="2"/>
    <s v="NÃO"/>
    <s v="NÃO"/>
    <x v="46"/>
    <x v="1"/>
    <s v="DISPOSIÇÃO DE REJEITOS LINHA DO CIRCUITO ARENOSO DISTRIBUIDOR DI-145A-9914 PARA A PENEIRA PN-145A-9729"/>
    <m/>
    <m/>
    <m/>
    <s v="1450AA-T-70414_FL10"/>
    <n v="1"/>
    <s v="PÇ"/>
    <n v="0.33"/>
    <n v="0.33"/>
    <n v="1651.88"/>
    <n v="545.12040000000002"/>
    <n v="0"/>
    <n v="0.9"/>
    <n v="0.1"/>
    <m/>
    <m/>
    <x v="0"/>
    <m/>
    <m/>
    <m/>
    <m/>
    <m/>
    <m/>
    <m/>
    <m/>
    <m/>
    <m/>
    <m/>
    <m/>
    <m/>
    <m/>
    <m/>
    <m/>
    <m/>
  </r>
  <r>
    <s v="2.4.3.1.2"/>
    <s v="CMS M.60.10.000"/>
    <x v="2"/>
    <n v="8"/>
    <s v="SPOOL"/>
    <n v="8"/>
    <x v="1"/>
    <s v="NÃO"/>
    <s v="NÃO"/>
    <x v="46"/>
    <x v="1"/>
    <s v="DISPOSIÇÃO DE REJEITOS LINHA DO CIRCUITO ARENOSO DISTRIBUIDOR DI-145A-9914 PARA A PENEIRA PN-145A-9729"/>
    <m/>
    <m/>
    <m/>
    <s v="1450AA-T-70414_FL09"/>
    <n v="1"/>
    <s v="PÇ"/>
    <n v="4"/>
    <n v="4"/>
    <n v="1651.88"/>
    <n v="6607.52"/>
    <n v="0"/>
    <n v="0.9"/>
    <n v="0.1"/>
    <m/>
    <m/>
    <x v="0"/>
    <m/>
    <m/>
    <m/>
    <m/>
    <m/>
    <m/>
    <m/>
    <m/>
    <m/>
    <m/>
    <m/>
    <m/>
    <m/>
    <m/>
    <m/>
    <m/>
    <m/>
  </r>
  <r>
    <s v="2.4.3.1.2"/>
    <s v="CMS M.60.10.000"/>
    <x v="2"/>
    <n v="9"/>
    <s v="SPOOL"/>
    <n v="8"/>
    <x v="1"/>
    <s v="NÃO"/>
    <s v="NÃO"/>
    <x v="46"/>
    <x v="1"/>
    <s v="DISPOSIÇÃO DE REJEITOS LINHA DO CIRCUITO ARENOSO DISTRIBUIDOR DI-145A-9914 PARA A PENEIRA PN-145A-9729"/>
    <m/>
    <m/>
    <m/>
    <s v="1450AA-T-70414_FL15"/>
    <n v="1"/>
    <s v="PÇ"/>
    <n v="1.01"/>
    <n v="1.01"/>
    <n v="1651.88"/>
    <n v="1668.3988000000002"/>
    <n v="0"/>
    <n v="0.9"/>
    <n v="0.1"/>
    <m/>
    <m/>
    <x v="0"/>
    <m/>
    <m/>
    <m/>
    <m/>
    <m/>
    <m/>
    <m/>
    <m/>
    <m/>
    <m/>
    <m/>
    <m/>
    <m/>
    <m/>
    <m/>
    <m/>
    <m/>
  </r>
  <r>
    <s v="2.4.3.1.2"/>
    <s v="CMS M.60.10.000"/>
    <x v="2"/>
    <n v="10"/>
    <s v="SPOOL"/>
    <n v="8"/>
    <x v="2"/>
    <s v="NÃO"/>
    <s v="NÃO"/>
    <x v="46"/>
    <x v="1"/>
    <s v="DISPOSIÇÃO DE REJEITOS LINHA DO CIRCUITO ARENOSO DISTRIBUIDOR DI-145A-9914 PARA A PENEIRA PN-145A-9729"/>
    <m/>
    <m/>
    <m/>
    <s v="1450AA-T-70414_FL12"/>
    <n v="1"/>
    <s v="PÇ"/>
    <n v="0.51"/>
    <n v="0.51"/>
    <n v="1651.88"/>
    <n v="842.45880000000011"/>
    <n v="0"/>
    <n v="0.9"/>
    <n v="0.1"/>
    <m/>
    <m/>
    <x v="0"/>
    <m/>
    <m/>
    <m/>
    <m/>
    <m/>
    <m/>
    <m/>
    <m/>
    <m/>
    <m/>
    <m/>
    <m/>
    <m/>
    <m/>
    <m/>
    <m/>
    <m/>
  </r>
  <r>
    <s v="2.4.3.1.2"/>
    <s v="CMS M.60.10.000"/>
    <x v="2"/>
    <n v="1"/>
    <s v="SPOOL"/>
    <n v="8"/>
    <x v="1"/>
    <s v="NÃO"/>
    <s v="NÃO"/>
    <x v="47"/>
    <x v="1"/>
    <s v="DISPOSIÇÃO DE REJEITOS LINHA DO CIRCUITO ARENOSO DISTRIBUIDOR DI-145A-9915 PARA A PENEIRA PN-145A-9710"/>
    <m/>
    <m/>
    <m/>
    <s v="1450AA-T-70417_FL09"/>
    <n v="1"/>
    <s v="PÇ"/>
    <n v="0.15"/>
    <n v="0.15"/>
    <n v="1651.88"/>
    <n v="247.78200000000001"/>
    <n v="0"/>
    <n v="0.9"/>
    <n v="0.1"/>
    <m/>
    <m/>
    <x v="0"/>
    <m/>
    <m/>
    <m/>
    <m/>
    <m/>
    <m/>
    <m/>
    <m/>
    <m/>
    <m/>
    <m/>
    <m/>
    <m/>
    <m/>
    <m/>
    <m/>
    <m/>
  </r>
  <r>
    <s v="2.4.3.1.2"/>
    <s v="CMS M.60.10.000"/>
    <x v="2"/>
    <n v="2"/>
    <s v="SPOOL"/>
    <n v="8"/>
    <x v="1"/>
    <s v="NÃO"/>
    <s v="NÃO"/>
    <x v="47"/>
    <x v="1"/>
    <s v="DISPOSIÇÃO DE REJEITOS LINHA DO CIRCUITO ARENOSO DISTRIBUIDOR DI-145A-9915 PARA A PENEIRA PN-145A-9710"/>
    <m/>
    <m/>
    <m/>
    <s v="1450AA-T-70417_FL10"/>
    <n v="1"/>
    <s v="PÇ"/>
    <n v="1"/>
    <n v="1"/>
    <n v="1651.88"/>
    <n v="1651.88"/>
    <n v="0"/>
    <n v="0.9"/>
    <n v="0.1"/>
    <m/>
    <m/>
    <x v="0"/>
    <m/>
    <m/>
    <m/>
    <m/>
    <m/>
    <m/>
    <m/>
    <m/>
    <m/>
    <m/>
    <m/>
    <m/>
    <m/>
    <m/>
    <m/>
    <m/>
    <m/>
  </r>
  <r>
    <s v="2.4.3.1.2"/>
    <s v="CMS M.60.10.000"/>
    <x v="2"/>
    <n v="3"/>
    <s v="SPOOL"/>
    <n v="8"/>
    <x v="1"/>
    <s v="NÃO"/>
    <s v="NÃO"/>
    <x v="47"/>
    <x v="1"/>
    <s v="DISPOSIÇÃO DE REJEITOS LINHA DO CIRCUITO ARENOSO DISTRIBUIDOR DI-145A-9915 PARA A PENEIRA PN-145A-9710"/>
    <m/>
    <m/>
    <m/>
    <s v="1450AA-T-70417_FL11"/>
    <n v="1"/>
    <s v="PÇ"/>
    <n v="1.1459999999999999"/>
    <n v="1.1459999999999999"/>
    <n v="1651.88"/>
    <n v="1893.05448"/>
    <n v="0"/>
    <n v="0.9"/>
    <n v="0.1"/>
    <m/>
    <m/>
    <x v="0"/>
    <m/>
    <m/>
    <m/>
    <m/>
    <m/>
    <m/>
    <m/>
    <m/>
    <m/>
    <m/>
    <m/>
    <m/>
    <m/>
    <m/>
    <m/>
    <m/>
    <m/>
  </r>
  <r>
    <s v="2.4.3.1.2"/>
    <s v="CMS M.60.10.000"/>
    <x v="2"/>
    <n v="4"/>
    <s v="SPOOL"/>
    <n v="8"/>
    <x v="1"/>
    <s v="NÃO"/>
    <s v="NÃO"/>
    <x v="47"/>
    <x v="1"/>
    <s v="DISPOSIÇÃO DE REJEITOS LINHA DO CIRCUITO ARENOSO DISTRIBUIDOR DI-145A-9915 PARA A PENEIRA PN-145A-9710"/>
    <m/>
    <m/>
    <m/>
    <s v="1450AA-T-70417_FL12"/>
    <n v="1"/>
    <s v="PÇ"/>
    <n v="1.23"/>
    <n v="1.23"/>
    <n v="1651.88"/>
    <n v="2031.8124"/>
    <n v="0"/>
    <n v="0.9"/>
    <n v="0.1"/>
    <m/>
    <m/>
    <x v="0"/>
    <m/>
    <m/>
    <m/>
    <m/>
    <m/>
    <m/>
    <m/>
    <m/>
    <m/>
    <m/>
    <m/>
    <m/>
    <m/>
    <m/>
    <m/>
    <m/>
    <m/>
  </r>
  <r>
    <s v="2.4.3.1.2"/>
    <s v="CMS M.60.10.000"/>
    <x v="2"/>
    <n v="5"/>
    <s v="SPOOL"/>
    <n v="8"/>
    <x v="1"/>
    <s v="NÃO"/>
    <s v="NÃO"/>
    <x v="47"/>
    <x v="1"/>
    <s v="DISPOSIÇÃO DE REJEITOS LINHA DO CIRCUITO ARENOSO DISTRIBUIDOR DI-145A-9915 PARA A PENEIRA PN-145A-9710"/>
    <m/>
    <m/>
    <m/>
    <s v="1450AA-T-70417_FL13"/>
    <n v="1"/>
    <s v="PÇ"/>
    <n v="1.3340000000000001"/>
    <n v="1.3340000000000001"/>
    <n v="1651.88"/>
    <n v="2203.6079200000004"/>
    <n v="0"/>
    <n v="0.9"/>
    <n v="0.1"/>
    <m/>
    <m/>
    <x v="0"/>
    <m/>
    <m/>
    <m/>
    <m/>
    <m/>
    <m/>
    <m/>
    <m/>
    <m/>
    <m/>
    <m/>
    <m/>
    <m/>
    <m/>
    <m/>
    <m/>
    <m/>
  </r>
  <r>
    <s v="2.4.3.1.2"/>
    <s v="CMS M.60.10.000"/>
    <x v="2"/>
    <n v="6"/>
    <s v="SPOOL"/>
    <n v="8"/>
    <x v="1"/>
    <s v="NÃO"/>
    <s v="NÃO"/>
    <x v="47"/>
    <x v="1"/>
    <s v="DISPOSIÇÃO DE REJEITOS LINHA DO CIRCUITO ARENOSO DISTRIBUIDOR DI-145A-9915 PARA A PENEIRA PN-145A-9710"/>
    <m/>
    <m/>
    <m/>
    <s v="1450AA-T-70417_FL14"/>
    <n v="1"/>
    <s v="PÇ"/>
    <n v="2.7"/>
    <n v="2.7"/>
    <n v="1651.88"/>
    <n v="4460.0760000000009"/>
    <n v="0"/>
    <n v="0.9"/>
    <n v="0.1"/>
    <m/>
    <m/>
    <x v="0"/>
    <m/>
    <m/>
    <m/>
    <m/>
    <m/>
    <m/>
    <m/>
    <m/>
    <m/>
    <m/>
    <m/>
    <m/>
    <m/>
    <m/>
    <m/>
    <m/>
    <m/>
  </r>
  <r>
    <s v="2.4.3.1.2"/>
    <s v="CMS M.60.10.000"/>
    <x v="2"/>
    <n v="7"/>
    <s v="SPOOL"/>
    <n v="8"/>
    <x v="1"/>
    <s v="NÃO"/>
    <s v="NÃO"/>
    <x v="47"/>
    <x v="1"/>
    <s v="DISPOSIÇÃO DE REJEITOS LINHA DO CIRCUITO ARENOSO DISTRIBUIDOR DI-145A-9915 PARA A PENEIRA PN-145A-9710"/>
    <m/>
    <m/>
    <m/>
    <s v="1450AA-T-70417_FL15"/>
    <n v="1"/>
    <s v="PÇ"/>
    <n v="3"/>
    <n v="3"/>
    <n v="1651.88"/>
    <n v="4955.6400000000003"/>
    <n v="0"/>
    <n v="0.9"/>
    <n v="0.1"/>
    <m/>
    <m/>
    <x v="0"/>
    <m/>
    <m/>
    <m/>
    <m/>
    <m/>
    <m/>
    <m/>
    <m/>
    <m/>
    <m/>
    <m/>
    <m/>
    <m/>
    <m/>
    <m/>
    <m/>
    <m/>
  </r>
  <r>
    <s v="2.4.3.1.2"/>
    <s v="CMS M.60.10.000"/>
    <x v="2"/>
    <n v="8"/>
    <s v="SPOOL"/>
    <n v="8"/>
    <x v="1"/>
    <s v="NÃO"/>
    <s v="NÃO"/>
    <x v="47"/>
    <x v="1"/>
    <s v="DISPOSIÇÃO DE REJEITOS LINHA DO CIRCUITO ARENOSO DISTRIBUIDOR DI-145A-9915 PARA A PENEIRA PN-145A-9710"/>
    <m/>
    <m/>
    <m/>
    <s v="1450AA-T-70417_FL16"/>
    <n v="1"/>
    <s v="PÇ"/>
    <n v="3.7"/>
    <n v="3.7"/>
    <n v="1651.88"/>
    <n v="6111.956000000001"/>
    <n v="0"/>
    <n v="0.9"/>
    <n v="0.1"/>
    <m/>
    <m/>
    <x v="0"/>
    <m/>
    <m/>
    <m/>
    <m/>
    <m/>
    <m/>
    <m/>
    <m/>
    <m/>
    <m/>
    <m/>
    <m/>
    <m/>
    <m/>
    <m/>
    <m/>
    <m/>
  </r>
  <r>
    <s v="2.4.3.1.2"/>
    <s v="CMS M.60.10.000"/>
    <x v="2"/>
    <n v="9"/>
    <s v="SPOOL"/>
    <n v="8"/>
    <x v="2"/>
    <s v="NÃO"/>
    <s v="NÃO"/>
    <x v="47"/>
    <x v="1"/>
    <s v="DISPOSIÇÃO DE REJEITOS LINHA DO CIRCUITO ARENOSO DISTRIBUIDOR DI-145A-9915 PARA A PENEIRA PN-145A-9710"/>
    <m/>
    <m/>
    <m/>
    <s v="1450AA-T-70417_FL17"/>
    <n v="1"/>
    <s v="PÇ"/>
    <n v="0.55000000000000004"/>
    <n v="0.55000000000000004"/>
    <n v="1651.88"/>
    <n v="908.53400000000011"/>
    <n v="0"/>
    <n v="0.9"/>
    <n v="0.1"/>
    <m/>
    <m/>
    <x v="0"/>
    <m/>
    <m/>
    <m/>
    <m/>
    <m/>
    <m/>
    <m/>
    <m/>
    <m/>
    <m/>
    <m/>
    <m/>
    <m/>
    <m/>
    <m/>
    <m/>
    <m/>
  </r>
  <r>
    <s v="2.4.3.1.2"/>
    <s v="CMS M.60.10.000"/>
    <x v="2"/>
    <n v="10"/>
    <s v="SPOOL"/>
    <n v="8"/>
    <x v="2"/>
    <s v="NÃO"/>
    <s v="NÃO"/>
    <x v="47"/>
    <x v="1"/>
    <s v="DISPOSIÇÃO DE REJEITOS LINHA DO CIRCUITO ARENOSO DISTRIBUIDOR DI-145A-9915 PARA A PENEIRA PN-145A-9710"/>
    <m/>
    <m/>
    <m/>
    <s v="1450AA-T-70417_FL18"/>
    <n v="1"/>
    <s v="PÇ"/>
    <n v="0.6"/>
    <n v="0.6"/>
    <n v="1651.88"/>
    <n v="991.12800000000004"/>
    <n v="0"/>
    <n v="0.9"/>
    <n v="0.1"/>
    <m/>
    <m/>
    <x v="0"/>
    <m/>
    <m/>
    <m/>
    <m/>
    <m/>
    <m/>
    <m/>
    <m/>
    <m/>
    <m/>
    <m/>
    <m/>
    <m/>
    <m/>
    <m/>
    <m/>
    <m/>
  </r>
  <r>
    <s v="2.4.3.1.2"/>
    <s v="CMS M.60.10.000"/>
    <x v="2"/>
    <n v="11"/>
    <s v="CURVA"/>
    <n v="8"/>
    <x v="1"/>
    <s v="NÃO"/>
    <s v="NÃO"/>
    <x v="47"/>
    <x v="1"/>
    <s v="DISPOSIÇÃO DE REJEITOS LINHA DO CIRCUITO ARENOSO DISTRIBUIDOR DI-145A-9915 PARA A PENEIRA PN-145A-9710"/>
    <m/>
    <m/>
    <m/>
    <s v="1450AA-T-70417_FL19"/>
    <n v="1"/>
    <s v="PÇ"/>
    <n v="0.32100000000000001"/>
    <n v="0.32100000000000001"/>
    <n v="1651.88"/>
    <n v="530.25348000000008"/>
    <n v="0"/>
    <n v="0.9"/>
    <n v="0.1"/>
    <m/>
    <m/>
    <x v="0"/>
    <m/>
    <m/>
    <m/>
    <m/>
    <m/>
    <m/>
    <m/>
    <m/>
    <m/>
    <m/>
    <m/>
    <m/>
    <m/>
    <m/>
    <m/>
    <m/>
    <m/>
  </r>
  <r>
    <s v="2.4.3.1.2"/>
    <s v="CMS M.60.10.000"/>
    <x v="2"/>
    <n v="12"/>
    <s v="CURVA"/>
    <n v="8"/>
    <x v="1"/>
    <s v="NÃO"/>
    <s v="NÃO"/>
    <x v="47"/>
    <x v="1"/>
    <s v="DISPOSIÇÃO DE REJEITOS LINHA DO CIRCUITO ARENOSO DISTRIBUIDOR DI-145A-9915 PARA A PENEIRA PN-145A-9710"/>
    <m/>
    <m/>
    <m/>
    <s v="1450AA-T-70417_FL20"/>
    <n v="1"/>
    <s v="PÇ"/>
    <n v="0.438"/>
    <n v="0.438"/>
    <n v="1651.88"/>
    <n v="723.52344000000005"/>
    <n v="0"/>
    <n v="0.9"/>
    <n v="0.1"/>
    <m/>
    <m/>
    <x v="0"/>
    <m/>
    <m/>
    <m/>
    <m/>
    <m/>
    <m/>
    <m/>
    <m/>
    <m/>
    <m/>
    <m/>
    <m/>
    <m/>
    <m/>
    <m/>
    <m/>
    <m/>
  </r>
  <r>
    <s v="2.4.3.1.2"/>
    <s v="CMS M.60.10.000"/>
    <x v="2"/>
    <n v="13"/>
    <s v="CURVA"/>
    <n v="8"/>
    <x v="1"/>
    <s v="NÃO"/>
    <s v="NÃO"/>
    <x v="47"/>
    <x v="1"/>
    <s v="DISPOSIÇÃO DE REJEITOS LINHA DO CIRCUITO ARENOSO DISTRIBUIDOR DI-145A-9915 PARA A PENEIRA PN-145A-9710"/>
    <m/>
    <m/>
    <m/>
    <s v="1450AA-T-70417_FL21"/>
    <n v="1"/>
    <s v="PÇ"/>
    <n v="0.54200000000000004"/>
    <n v="0.54200000000000004"/>
    <n v="1651.88"/>
    <n v="895.31896000000017"/>
    <n v="0"/>
    <n v="0.9"/>
    <n v="0.1"/>
    <m/>
    <m/>
    <x v="0"/>
    <m/>
    <m/>
    <m/>
    <m/>
    <m/>
    <m/>
    <m/>
    <m/>
    <m/>
    <m/>
    <m/>
    <m/>
    <m/>
    <m/>
    <m/>
    <m/>
    <m/>
  </r>
  <r>
    <s v="2.4.3.1.2"/>
    <s v="CMS M.60.10.000"/>
    <x v="2"/>
    <n v="14"/>
    <s v="CURVA"/>
    <n v="8"/>
    <x v="1"/>
    <s v="NÃO"/>
    <s v="NÃO"/>
    <x v="47"/>
    <x v="1"/>
    <s v="DISPOSIÇÃO DE REJEITOS LINHA DO CIRCUITO ARENOSO DISTRIBUIDOR DI-145A-9915 PARA A PENEIRA PN-145A-9710"/>
    <m/>
    <m/>
    <m/>
    <s v="1450AA-T-70417_FL22"/>
    <n v="1"/>
    <s v="PÇ"/>
    <n v="0.61099999999999999"/>
    <n v="0.61099999999999999"/>
    <n v="1651.88"/>
    <n v="1009.29868"/>
    <n v="0"/>
    <n v="0.9"/>
    <n v="0.1"/>
    <m/>
    <m/>
    <x v="0"/>
    <m/>
    <m/>
    <m/>
    <m/>
    <m/>
    <m/>
    <m/>
    <m/>
    <m/>
    <m/>
    <m/>
    <m/>
    <m/>
    <m/>
    <m/>
    <m/>
    <m/>
  </r>
  <r>
    <s v="2.4.3.1.2"/>
    <s v="CMS M.60.10.000"/>
    <x v="2"/>
    <n v="15"/>
    <s v="CURVA"/>
    <n v="8"/>
    <x v="1"/>
    <s v="NÃO"/>
    <s v="NÃO"/>
    <x v="47"/>
    <x v="1"/>
    <s v="DISPOSIÇÃO DE REJEITOS LINHA DO CIRCUITO ARENOSO DISTRIBUIDOR DI-145A-9915 PARA A PENEIRA PN-145A-9710"/>
    <m/>
    <m/>
    <m/>
    <s v="1450AA-T-70417_FL23"/>
    <n v="1"/>
    <s v="PÇ"/>
    <n v="0.63800000000000001"/>
    <n v="0.63800000000000001"/>
    <n v="1651.88"/>
    <n v="1053.8994400000001"/>
    <n v="0"/>
    <n v="0.9"/>
    <n v="0.1"/>
    <m/>
    <m/>
    <x v="0"/>
    <m/>
    <m/>
    <m/>
    <m/>
    <m/>
    <m/>
    <m/>
    <m/>
    <m/>
    <m/>
    <m/>
    <m/>
    <m/>
    <m/>
    <m/>
    <m/>
    <m/>
  </r>
  <r>
    <s v="2.4.3.1.2"/>
    <s v="CMS M.60.10.000"/>
    <x v="2"/>
    <n v="16"/>
    <s v="SPOOL"/>
    <n v="8"/>
    <x v="1"/>
    <s v="NÃO"/>
    <s v="NÃO"/>
    <x v="47"/>
    <x v="1"/>
    <s v="DISPOSIÇÃO DE REJEITOS LINHA DO CIRCUITO ARENOSO DISTRIBUIDOR DI-145A-9915 PARA A PENEIRA PN-145A-9710"/>
    <m/>
    <m/>
    <m/>
    <s v="1450AA-T-70417_FL24"/>
    <n v="1"/>
    <s v="PÇ"/>
    <n v="0.96"/>
    <n v="0.96"/>
    <n v="1651.88"/>
    <n v="1585.8048000000001"/>
    <n v="0"/>
    <n v="0.9"/>
    <n v="0.1"/>
    <m/>
    <m/>
    <x v="0"/>
    <m/>
    <m/>
    <m/>
    <m/>
    <m/>
    <m/>
    <m/>
    <m/>
    <m/>
    <m/>
    <m/>
    <m/>
    <m/>
    <m/>
    <m/>
    <m/>
    <m/>
  </r>
  <r>
    <s v="2.4.3.1.1"/>
    <s v="CMS M.60.10.000"/>
    <x v="2"/>
    <n v="17"/>
    <s v="SPOOL"/>
    <s v="8 X 6"/>
    <x v="1"/>
    <s v="NÃO"/>
    <s v="NÃO"/>
    <x v="47"/>
    <x v="1"/>
    <s v="DISPOSIÇÃO DE REJEITOS LINHA DO CIRCUITO ARENOSO DISTRIBUIDOR DI-145A-9915 PARA A PENEIRA PN-145A-9710"/>
    <m/>
    <m/>
    <m/>
    <s v="1450AA-T-70417_FL25"/>
    <n v="1"/>
    <s v="PÇ"/>
    <n v="1.883"/>
    <n v="1.883"/>
    <n v="1169.77"/>
    <n v="2202.6769100000001"/>
    <n v="0"/>
    <n v="0.9"/>
    <n v="0.1"/>
    <m/>
    <m/>
    <x v="0"/>
    <m/>
    <m/>
    <m/>
    <m/>
    <m/>
    <m/>
    <m/>
    <m/>
    <m/>
    <m/>
    <m/>
    <m/>
    <m/>
    <m/>
    <m/>
    <m/>
    <m/>
  </r>
  <r>
    <s v="2.4.3.1.1"/>
    <s v="CMS M.60.10.000"/>
    <x v="2"/>
    <n v="18"/>
    <s v="FLANGE"/>
    <n v="6"/>
    <x v="1"/>
    <s v="NÃO"/>
    <s v="NÃO"/>
    <x v="47"/>
    <x v="1"/>
    <s v="DISPOSIÇÃO DE REJEITOS LINHA DO CIRCUITO ARENOSO DISTRIBUIDOR DI-145A-9915 PARA A PENEIRA PN-145A-9710"/>
    <m/>
    <m/>
    <m/>
    <s v="1450AA-T-70417_FL08"/>
    <n v="2"/>
    <s v="PÇ"/>
    <n v="0"/>
    <n v="0"/>
    <n v="1169.77"/>
    <n v="0"/>
    <n v="0"/>
    <n v="0.9"/>
    <n v="0.1"/>
    <m/>
    <m/>
    <x v="0"/>
    <m/>
    <m/>
    <m/>
    <m/>
    <m/>
    <m/>
    <m/>
    <m/>
    <m/>
    <m/>
    <m/>
    <m/>
    <m/>
    <m/>
    <m/>
    <m/>
    <m/>
  </r>
  <r>
    <s v="2.4.3.1.2"/>
    <s v="CMS M.60.10.000"/>
    <x v="2"/>
    <n v="1"/>
    <s v="SPOOL"/>
    <n v="8"/>
    <x v="1"/>
    <s v="NÃO"/>
    <s v="NÃO"/>
    <x v="48"/>
    <x v="1"/>
    <s v="DISPOSIÇÃO DE REJEITOS LINHA DO CIRCUITO ARENOSO DISTRIBUIDOR DI-145A-9915 PARA A PENEIRA PN-145A-9733"/>
    <m/>
    <m/>
    <m/>
    <s v="1450AA-T-70419_FL06"/>
    <n v="1"/>
    <s v="PÇ"/>
    <n v="0.23499999999999999"/>
    <n v="0.23499999999999999"/>
    <n v="1651.88"/>
    <n v="388.1918"/>
    <n v="0"/>
    <n v="0.9"/>
    <n v="0.1"/>
    <m/>
    <m/>
    <x v="0"/>
    <m/>
    <m/>
    <m/>
    <m/>
    <m/>
    <m/>
    <m/>
    <m/>
    <m/>
    <m/>
    <m/>
    <m/>
    <m/>
    <m/>
    <m/>
    <m/>
    <m/>
  </r>
  <r>
    <s v="2.4.3.1.2"/>
    <s v="CMS M.60.10.000"/>
    <x v="2"/>
    <n v="2"/>
    <s v="SPOOL"/>
    <n v="8"/>
    <x v="1"/>
    <s v="NÃO"/>
    <s v="NÃO"/>
    <x v="48"/>
    <x v="1"/>
    <s v="DISPOSIÇÃO DE REJEITOS LINHA DO CIRCUITO ARENOSO DISTRIBUIDOR DI-145A-9915 PARA A PENEIRA PN-145A-9733"/>
    <m/>
    <m/>
    <m/>
    <s v="1450AA-T-70419_FL07"/>
    <n v="1"/>
    <s v="PÇ"/>
    <n v="0.69099999999999995"/>
    <n v="0.69099999999999995"/>
    <n v="1651.88"/>
    <n v="1141.4490800000001"/>
    <n v="0"/>
    <n v="0.9"/>
    <n v="0.1"/>
    <m/>
    <m/>
    <x v="0"/>
    <m/>
    <m/>
    <m/>
    <m/>
    <m/>
    <m/>
    <m/>
    <m/>
    <m/>
    <m/>
    <m/>
    <m/>
    <m/>
    <m/>
    <m/>
    <m/>
    <m/>
  </r>
  <r>
    <s v="2.4.3.1.2"/>
    <s v="CMS M.60.10.000"/>
    <x v="2"/>
    <n v="3"/>
    <s v="SPOOL"/>
    <n v="8"/>
    <x v="1"/>
    <s v="NÃO"/>
    <s v="NÃO"/>
    <x v="48"/>
    <x v="1"/>
    <s v="DISPOSIÇÃO DE REJEITOS LINHA DO CIRCUITO ARENOSO DISTRIBUIDOR DI-145A-9915 PARA A PENEIRA PN-145A-9733"/>
    <m/>
    <m/>
    <m/>
    <s v="1450AA-T-70419_FL08"/>
    <n v="2"/>
    <s v="PÇ"/>
    <n v="4.5"/>
    <n v="9"/>
    <n v="1651.88"/>
    <n v="14866.920000000002"/>
    <n v="0"/>
    <n v="0.9"/>
    <n v="0.1"/>
    <m/>
    <m/>
    <x v="0"/>
    <m/>
    <m/>
    <m/>
    <m/>
    <m/>
    <m/>
    <m/>
    <m/>
    <m/>
    <m/>
    <m/>
    <m/>
    <m/>
    <m/>
    <m/>
    <m/>
    <m/>
  </r>
  <r>
    <s v="2.4.3.1.2"/>
    <s v="CMS M.60.10.000"/>
    <x v="2"/>
    <n v="4"/>
    <s v="SPOOL"/>
    <n v="8"/>
    <x v="2"/>
    <s v="NÃO"/>
    <s v="NÃO"/>
    <x v="48"/>
    <x v="1"/>
    <s v="DISPOSIÇÃO DE REJEITOS LINHA DO CIRCUITO ARENOSO DISTRIBUIDOR DI-145A-9915 PARA A PENEIRA PN-145A-9733"/>
    <m/>
    <m/>
    <m/>
    <s v="1450AA-T-70419_FL09"/>
    <n v="1"/>
    <s v="PÇ"/>
    <n v="0.44"/>
    <n v="0.44"/>
    <n v="1651.88"/>
    <n v="726.82720000000006"/>
    <n v="0"/>
    <n v="0.9"/>
    <n v="0.1"/>
    <m/>
    <m/>
    <x v="0"/>
    <m/>
    <m/>
    <m/>
    <m/>
    <m/>
    <m/>
    <m/>
    <m/>
    <m/>
    <m/>
    <m/>
    <m/>
    <m/>
    <m/>
    <m/>
    <m/>
    <m/>
  </r>
  <r>
    <s v="2.4.3.1.2"/>
    <s v="CMS M.60.10.000"/>
    <x v="2"/>
    <n v="5"/>
    <s v="SPOOL"/>
    <n v="8"/>
    <x v="2"/>
    <s v="NÃO"/>
    <s v="NÃO"/>
    <x v="48"/>
    <x v="1"/>
    <s v="DISPOSIÇÃO DE REJEITOS LINHA DO CIRCUITO ARENOSO DISTRIBUIDOR DI-145A-9915 PARA A PENEIRA PN-145A-9733"/>
    <m/>
    <m/>
    <m/>
    <s v="1450AA-T-70419_FL10"/>
    <n v="1"/>
    <s v="PÇ"/>
    <n v="0.51"/>
    <n v="0.51"/>
    <n v="1651.88"/>
    <n v="842.45880000000011"/>
    <n v="0"/>
    <n v="0.9"/>
    <n v="0.1"/>
    <m/>
    <m/>
    <x v="0"/>
    <m/>
    <m/>
    <m/>
    <m/>
    <m/>
    <m/>
    <m/>
    <m/>
    <m/>
    <m/>
    <m/>
    <m/>
    <m/>
    <m/>
    <m/>
    <m/>
    <m/>
  </r>
  <r>
    <s v="2.4.3.1.2"/>
    <s v="CMS M.60.10.000"/>
    <x v="2"/>
    <n v="6"/>
    <s v="CURVA"/>
    <n v="8"/>
    <x v="1"/>
    <s v="NÃO"/>
    <s v="NÃO"/>
    <x v="48"/>
    <x v="1"/>
    <s v="DISPOSIÇÃO DE REJEITOS LINHA DO CIRCUITO ARENOSO DISTRIBUIDOR DI-145A-9915 PARA A PENEIRA PN-145A-9733"/>
    <m/>
    <m/>
    <m/>
    <s v="1450AA-T-70419_FL11"/>
    <n v="1"/>
    <s v="PÇ"/>
    <n v="0.32100000000000001"/>
    <n v="0.32100000000000001"/>
    <n v="1651.88"/>
    <n v="530.25348000000008"/>
    <n v="0"/>
    <n v="0.9"/>
    <n v="0.1"/>
    <m/>
    <m/>
    <x v="0"/>
    <m/>
    <m/>
    <m/>
    <m/>
    <m/>
    <m/>
    <m/>
    <m/>
    <m/>
    <m/>
    <m/>
    <m/>
    <m/>
    <m/>
    <m/>
    <m/>
    <m/>
  </r>
  <r>
    <s v="2.4.3.1.2"/>
    <s v="CMS M.60.10.000"/>
    <x v="2"/>
    <n v="7"/>
    <s v="CURVA"/>
    <n v="8"/>
    <x v="1"/>
    <s v="NÃO"/>
    <s v="NÃO"/>
    <x v="48"/>
    <x v="1"/>
    <s v="DISPOSIÇÃO DE REJEITOS LINHA DO CIRCUITO ARENOSO DISTRIBUIDOR DI-145A-9915 PARA A PENEIRA PN-145A-9733"/>
    <m/>
    <m/>
    <m/>
    <s v="1450AA-T-70419_FL12"/>
    <n v="1"/>
    <s v="PÇ"/>
    <n v="0.61099999999999999"/>
    <n v="0.61099999999999999"/>
    <n v="1651.88"/>
    <n v="1009.29868"/>
    <n v="0"/>
    <n v="0.9"/>
    <n v="0.1"/>
    <m/>
    <m/>
    <x v="0"/>
    <m/>
    <m/>
    <m/>
    <m/>
    <m/>
    <m/>
    <m/>
    <m/>
    <m/>
    <m/>
    <m/>
    <m/>
    <m/>
    <m/>
    <m/>
    <m/>
    <m/>
  </r>
  <r>
    <s v="2.4.3.1.2"/>
    <s v="CMS M.60.10.000"/>
    <x v="2"/>
    <n v="8"/>
    <s v="SPOOL"/>
    <n v="8"/>
    <x v="1"/>
    <s v="NÃO"/>
    <s v="NÃO"/>
    <x v="48"/>
    <x v="1"/>
    <s v="DISPOSIÇÃO DE REJEITOS LINHA DO CIRCUITO ARENOSO DISTRIBUIDOR DI-145A-9915 PARA A PENEIRA PN-145A-9733"/>
    <m/>
    <m/>
    <m/>
    <s v="1450AA-T-70419_FL13"/>
    <n v="1"/>
    <s v="PÇ"/>
    <n v="1.01"/>
    <n v="1.01"/>
    <n v="1651.88"/>
    <n v="1668.3988000000002"/>
    <n v="0"/>
    <n v="0.9"/>
    <n v="0.1"/>
    <m/>
    <m/>
    <x v="0"/>
    <m/>
    <m/>
    <m/>
    <m/>
    <m/>
    <m/>
    <m/>
    <m/>
    <m/>
    <m/>
    <m/>
    <m/>
    <m/>
    <m/>
    <m/>
    <m/>
    <m/>
  </r>
  <r>
    <s v="2.4.3.1.2"/>
    <s v="CMS M.60.10.000"/>
    <x v="2"/>
    <n v="1"/>
    <s v="SPOOL"/>
    <n v="8"/>
    <x v="1"/>
    <s v="NÃO"/>
    <s v="NÃO"/>
    <x v="49"/>
    <x v="1"/>
    <s v="DISPOSIÇÃO DE REJEITOS LINHA DO CIRCUITO ARENOSO DISTRIBUIDOR DI-145A-9915 PARA A PENEIRA PN-145A-9711"/>
    <m/>
    <m/>
    <m/>
    <s v="1450AA-T-70421_FL09"/>
    <n v="1"/>
    <s v="PÇ"/>
    <n v="0.73599999999999999"/>
    <n v="0.73599999999999999"/>
    <n v="1651.88"/>
    <n v="1215.78368"/>
    <n v="0"/>
    <n v="0.9"/>
    <n v="0.1"/>
    <m/>
    <m/>
    <x v="0"/>
    <m/>
    <m/>
    <m/>
    <m/>
    <m/>
    <m/>
    <m/>
    <m/>
    <m/>
    <m/>
    <m/>
    <m/>
    <m/>
    <m/>
    <m/>
    <m/>
    <m/>
  </r>
  <r>
    <s v="2.4.3.1.2"/>
    <s v="CMS M.60.10.000"/>
    <x v="2"/>
    <n v="2"/>
    <s v="SPOOL"/>
    <n v="8"/>
    <x v="1"/>
    <s v="NÃO"/>
    <s v="NÃO"/>
    <x v="49"/>
    <x v="1"/>
    <s v="DISPOSIÇÃO DE REJEITOS LINHA DO CIRCUITO ARENOSO DISTRIBUIDOR DI-145A-9915 PARA A PENEIRA PN-145A-9711"/>
    <m/>
    <m/>
    <m/>
    <s v="1450AA-T-70421_FL10"/>
    <n v="1"/>
    <s v="PÇ"/>
    <n v="1"/>
    <n v="1"/>
    <n v="1651.88"/>
    <n v="1651.88"/>
    <n v="0"/>
    <n v="0.9"/>
    <n v="0.1"/>
    <m/>
    <m/>
    <x v="0"/>
    <m/>
    <m/>
    <m/>
    <m/>
    <m/>
    <m/>
    <m/>
    <m/>
    <m/>
    <m/>
    <m/>
    <m/>
    <m/>
    <m/>
    <m/>
    <m/>
    <m/>
  </r>
  <r>
    <s v="2.4.3.1.2"/>
    <s v="CMS M.60.10.000"/>
    <x v="2"/>
    <n v="3"/>
    <s v="SPOOL"/>
    <n v="8"/>
    <x v="1"/>
    <s v="NÃO"/>
    <s v="NÃO"/>
    <x v="49"/>
    <x v="1"/>
    <s v="DISPOSIÇÃO DE REJEITOS LINHA DO CIRCUITO ARENOSO DISTRIBUIDOR DI-145A-9915 PARA A PENEIRA PN-145A-9711"/>
    <m/>
    <m/>
    <m/>
    <s v="1450AA-T-70421_FL11"/>
    <n v="1"/>
    <s v="PÇ"/>
    <n v="1.1459999999999999"/>
    <n v="1.1459999999999999"/>
    <n v="1651.88"/>
    <n v="1893.05448"/>
    <n v="0"/>
    <n v="0.9"/>
    <n v="0.1"/>
    <m/>
    <m/>
    <x v="0"/>
    <m/>
    <m/>
    <m/>
    <m/>
    <m/>
    <m/>
    <m/>
    <m/>
    <m/>
    <m/>
    <m/>
    <m/>
    <m/>
    <m/>
    <m/>
    <m/>
    <m/>
  </r>
  <r>
    <s v="2.4.3.1.2"/>
    <s v="CMS M.60.10.000"/>
    <x v="2"/>
    <n v="4"/>
    <s v="SPOOL"/>
    <n v="8"/>
    <x v="1"/>
    <s v="NÃO"/>
    <s v="NÃO"/>
    <x v="49"/>
    <x v="1"/>
    <s v="DISPOSIÇÃO DE REJEITOS LINHA DO CIRCUITO ARENOSO DISTRIBUIDOR DI-145A-9915 PARA A PENEIRA PN-145A-9711"/>
    <m/>
    <m/>
    <m/>
    <s v="1450AA-T-70421_FL12"/>
    <n v="1"/>
    <s v="PÇ"/>
    <n v="1.3340000000000001"/>
    <n v="1.3340000000000001"/>
    <n v="1651.88"/>
    <n v="2203.6079200000004"/>
    <n v="0"/>
    <n v="0.9"/>
    <n v="0.1"/>
    <m/>
    <m/>
    <x v="0"/>
    <m/>
    <m/>
    <m/>
    <m/>
    <m/>
    <m/>
    <m/>
    <m/>
    <m/>
    <m/>
    <m/>
    <m/>
    <m/>
    <m/>
    <m/>
    <m/>
    <m/>
  </r>
  <r>
    <s v="2.4.3.1.2"/>
    <s v="CMS M.60.10.000"/>
    <x v="2"/>
    <n v="5"/>
    <s v="SPOOL"/>
    <n v="8"/>
    <x v="1"/>
    <s v="NÃO"/>
    <s v="NÃO"/>
    <x v="49"/>
    <x v="1"/>
    <s v="DISPOSIÇÃO DE REJEITOS LINHA DO CIRCUITO ARENOSO DISTRIBUIDOR DI-145A-9915 PARA A PENEIRA PN-145A-9711"/>
    <m/>
    <m/>
    <m/>
    <s v="1450AA-T-70421_FL13"/>
    <n v="1"/>
    <s v="PÇ"/>
    <n v="3"/>
    <n v="3"/>
    <n v="1651.88"/>
    <n v="4955.6400000000003"/>
    <n v="0"/>
    <n v="0.9"/>
    <n v="0.1"/>
    <m/>
    <m/>
    <x v="0"/>
    <m/>
    <m/>
    <m/>
    <m/>
    <m/>
    <m/>
    <m/>
    <m/>
    <m/>
    <m/>
    <m/>
    <m/>
    <m/>
    <m/>
    <m/>
    <m/>
    <m/>
  </r>
  <r>
    <s v="2.4.3.1.2"/>
    <s v="CMS M.60.10.000"/>
    <x v="2"/>
    <n v="6"/>
    <s v="SPOOL"/>
    <n v="8"/>
    <x v="1"/>
    <s v="NÃO"/>
    <s v="NÃO"/>
    <x v="49"/>
    <x v="1"/>
    <s v="DISPOSIÇÃO DE REJEITOS LINHA DO CIRCUITO ARENOSO DISTRIBUIDOR DI-145A-9915 PARA A PENEIRA PN-145A-9711"/>
    <m/>
    <m/>
    <m/>
    <s v="1450AA-T-70421_FL14"/>
    <n v="1"/>
    <s v="PÇ"/>
    <n v="5"/>
    <n v="5"/>
    <n v="1651.88"/>
    <n v="8259.4000000000015"/>
    <n v="0"/>
    <n v="0.9"/>
    <n v="0.1"/>
    <m/>
    <m/>
    <x v="0"/>
    <m/>
    <m/>
    <m/>
    <m/>
    <m/>
    <m/>
    <m/>
    <m/>
    <m/>
    <m/>
    <m/>
    <m/>
    <m/>
    <m/>
    <m/>
    <m/>
    <m/>
  </r>
  <r>
    <s v="2.4.3.1.2"/>
    <s v="CMS M.60.10.000"/>
    <x v="2"/>
    <n v="7"/>
    <s v="SPOOL"/>
    <n v="8"/>
    <x v="1"/>
    <s v="NÃO"/>
    <s v="NÃO"/>
    <x v="49"/>
    <x v="1"/>
    <s v="DISPOSIÇÃO DE REJEITOS LINHA DO CIRCUITO ARENOSO DISTRIBUIDOR DI-145A-9915 PARA A PENEIRA PN-145A-9711"/>
    <m/>
    <m/>
    <m/>
    <s v="1450AA-T-70421_FL15"/>
    <n v="1"/>
    <s v="PÇ"/>
    <n v="6"/>
    <n v="6"/>
    <n v="1651.88"/>
    <n v="9911.2800000000007"/>
    <n v="0"/>
    <n v="0.9"/>
    <n v="0.1"/>
    <m/>
    <m/>
    <x v="0"/>
    <m/>
    <m/>
    <m/>
    <m/>
    <m/>
    <m/>
    <m/>
    <m/>
    <m/>
    <m/>
    <m/>
    <m/>
    <m/>
    <m/>
    <m/>
    <m/>
    <m/>
  </r>
  <r>
    <s v="2.4.3.1.2"/>
    <s v="CMS M.60.10.000"/>
    <x v="2"/>
    <n v="8"/>
    <s v="SPOOL"/>
    <n v="8"/>
    <x v="2"/>
    <s v="NÃO"/>
    <s v="NÃO"/>
    <x v="49"/>
    <x v="1"/>
    <s v="DISPOSIÇÃO DE REJEITOS LINHA DO CIRCUITO ARENOSO DISTRIBUIDOR DI-145A-9915 PARA A PENEIRA PN-145A-9711"/>
    <m/>
    <m/>
    <m/>
    <s v="1450AA-T-70421_FL16"/>
    <n v="1"/>
    <s v="PÇ"/>
    <n v="0.32"/>
    <n v="0.32"/>
    <n v="1651.88"/>
    <n v="528.60160000000008"/>
    <n v="0"/>
    <n v="0.9"/>
    <n v="0.1"/>
    <m/>
    <m/>
    <x v="0"/>
    <m/>
    <m/>
    <m/>
    <m/>
    <m/>
    <m/>
    <m/>
    <m/>
    <m/>
    <m/>
    <m/>
    <m/>
    <m/>
    <m/>
    <m/>
    <m/>
    <m/>
  </r>
  <r>
    <s v="2.4.3.1.2"/>
    <s v="CMS M.60.10.000"/>
    <x v="2"/>
    <n v="9"/>
    <s v="SPOOL"/>
    <n v="8"/>
    <x v="2"/>
    <s v="NÃO"/>
    <s v="NÃO"/>
    <x v="49"/>
    <x v="1"/>
    <s v="DISPOSIÇÃO DE REJEITOS LINHA DO CIRCUITO ARENOSO DISTRIBUIDOR DI-145A-9915 PARA A PENEIRA PN-145A-9711"/>
    <m/>
    <m/>
    <m/>
    <s v="1450AA-T-70421_FL17"/>
    <n v="1"/>
    <s v="PÇ"/>
    <n v="0.61"/>
    <n v="0.61"/>
    <n v="1651.88"/>
    <n v="1007.6468000000001"/>
    <n v="0"/>
    <n v="0.9"/>
    <n v="0.1"/>
    <m/>
    <m/>
    <x v="0"/>
    <m/>
    <m/>
    <m/>
    <m/>
    <m/>
    <m/>
    <m/>
    <m/>
    <m/>
    <m/>
    <m/>
    <m/>
    <m/>
    <m/>
    <m/>
    <m/>
    <m/>
  </r>
  <r>
    <s v="2.4.3.1.2"/>
    <s v="CMS M.60.10.000"/>
    <x v="2"/>
    <n v="10"/>
    <s v="CURVA"/>
    <n v="8"/>
    <x v="1"/>
    <s v="NÃO"/>
    <s v="NÃO"/>
    <x v="49"/>
    <x v="1"/>
    <s v="DISPOSIÇÃO DE REJEITOS LINHA DO CIRCUITO ARENOSO DISTRIBUIDOR DI-145A-9915 PARA A PENEIRA PN-145A-9711"/>
    <m/>
    <m/>
    <m/>
    <s v="1450AA-T-70421_FL18"/>
    <n v="1"/>
    <s v="PÇ"/>
    <n v="0.32100000000000001"/>
    <n v="0.32100000000000001"/>
    <n v="1651.88"/>
    <n v="530.25348000000008"/>
    <n v="0"/>
    <n v="0.9"/>
    <n v="0.1"/>
    <m/>
    <m/>
    <x v="0"/>
    <m/>
    <m/>
    <m/>
    <m/>
    <m/>
    <m/>
    <m/>
    <m/>
    <m/>
    <m/>
    <m/>
    <m/>
    <m/>
    <m/>
    <m/>
    <m/>
    <m/>
  </r>
  <r>
    <s v="2.4.3.1.2"/>
    <s v="CMS M.60.10.000"/>
    <x v="2"/>
    <n v="11"/>
    <s v="CURVA"/>
    <n v="8"/>
    <x v="1"/>
    <s v="NÃO"/>
    <s v="NÃO"/>
    <x v="49"/>
    <x v="1"/>
    <s v="DISPOSIÇÃO DE REJEITOS LINHA DO CIRCUITO ARENOSO DISTRIBUIDOR DI-145A-9915 PARA A PENEIRA PN-145A-9711"/>
    <m/>
    <m/>
    <m/>
    <s v="1450AA-T-70421_FL19"/>
    <n v="1"/>
    <s v="PÇ"/>
    <n v="0.438"/>
    <n v="0.438"/>
    <n v="1651.88"/>
    <n v="723.52344000000005"/>
    <n v="0"/>
    <n v="0.9"/>
    <n v="0.1"/>
    <m/>
    <m/>
    <x v="0"/>
    <m/>
    <m/>
    <m/>
    <m/>
    <m/>
    <m/>
    <m/>
    <m/>
    <m/>
    <m/>
    <m/>
    <m/>
    <m/>
    <m/>
    <m/>
    <m/>
    <m/>
  </r>
  <r>
    <s v="2.4.3.1.2"/>
    <s v="CMS M.60.10.000"/>
    <x v="2"/>
    <n v="12"/>
    <s v="CURVA"/>
    <n v="8"/>
    <x v="1"/>
    <s v="NÃO"/>
    <s v="NÃO"/>
    <x v="49"/>
    <x v="1"/>
    <s v="DISPOSIÇÃO DE REJEITOS LINHA DO CIRCUITO ARENOSO DISTRIBUIDOR DI-145A-9915 PARA A PENEIRA PN-145A-9711"/>
    <m/>
    <m/>
    <m/>
    <s v="1450AA-T-70421_FL20"/>
    <n v="1"/>
    <s v="PÇ"/>
    <n v="0.54200000000000004"/>
    <n v="0.54200000000000004"/>
    <n v="1651.88"/>
    <n v="895.31896000000017"/>
    <n v="0"/>
    <n v="0.9"/>
    <n v="0.1"/>
    <m/>
    <m/>
    <x v="0"/>
    <m/>
    <m/>
    <m/>
    <m/>
    <m/>
    <m/>
    <m/>
    <m/>
    <m/>
    <m/>
    <m/>
    <m/>
    <m/>
    <m/>
    <m/>
    <m/>
    <m/>
  </r>
  <r>
    <s v="2.4.3.1.2"/>
    <s v="CMS M.60.10.000"/>
    <x v="2"/>
    <n v="13"/>
    <s v="CURVA"/>
    <n v="8"/>
    <x v="1"/>
    <s v="NÃO"/>
    <s v="NÃO"/>
    <x v="49"/>
    <x v="1"/>
    <s v="DISPOSIÇÃO DE REJEITOS LINHA DO CIRCUITO ARENOSO DISTRIBUIDOR DI-145A-9915 PARA A PENEIRA PN-145A-9711"/>
    <m/>
    <m/>
    <m/>
    <s v="1450AA-T-70421_FL21"/>
    <n v="1"/>
    <s v="PÇ"/>
    <n v="0.61099999999999999"/>
    <n v="0.61099999999999999"/>
    <n v="1651.88"/>
    <n v="1009.29868"/>
    <n v="0"/>
    <n v="0.9"/>
    <n v="0.1"/>
    <m/>
    <m/>
    <x v="0"/>
    <m/>
    <m/>
    <m/>
    <m/>
    <m/>
    <m/>
    <m/>
    <m/>
    <m/>
    <m/>
    <m/>
    <m/>
    <m/>
    <m/>
    <m/>
    <m/>
    <m/>
  </r>
  <r>
    <s v="2.4.3.1.2"/>
    <s v="CMS M.60.10.000"/>
    <x v="2"/>
    <n v="14"/>
    <s v="CURVA"/>
    <n v="8"/>
    <x v="1"/>
    <s v="NÃO"/>
    <s v="NÃO"/>
    <x v="49"/>
    <x v="1"/>
    <s v="DISPOSIÇÃO DE REJEITOS LINHA DO CIRCUITO ARENOSO DISTRIBUIDOR DI-145A-9915 PARA A PENEIRA PN-145A-9711"/>
    <m/>
    <m/>
    <m/>
    <s v="1450AA-T-70421_FL22"/>
    <n v="1"/>
    <s v="PÇ"/>
    <n v="0.63800000000000001"/>
    <n v="0.63800000000000001"/>
    <n v="1651.88"/>
    <n v="1053.8994400000001"/>
    <n v="0"/>
    <n v="0.9"/>
    <n v="0.1"/>
    <m/>
    <m/>
    <x v="0"/>
    <m/>
    <m/>
    <m/>
    <m/>
    <m/>
    <m/>
    <m/>
    <m/>
    <m/>
    <m/>
    <m/>
    <m/>
    <m/>
    <m/>
    <m/>
    <m/>
    <m/>
  </r>
  <r>
    <s v="2.4.3.1.2"/>
    <s v="CMS M.60.10.000"/>
    <x v="2"/>
    <n v="15"/>
    <s v="SPOOL"/>
    <n v="8"/>
    <x v="1"/>
    <s v="NÃO"/>
    <s v="NÃO"/>
    <x v="49"/>
    <x v="1"/>
    <s v="DISPOSIÇÃO DE REJEITOS LINHA DO CIRCUITO ARENOSO DISTRIBUIDOR DI-145A-9915 PARA A PENEIRA PN-145A-9711"/>
    <m/>
    <m/>
    <m/>
    <s v="1450AA-T-70421_FL23"/>
    <n v="1"/>
    <s v="PÇ"/>
    <n v="0.96"/>
    <n v="0.96"/>
    <n v="1651.88"/>
    <n v="1585.8048000000001"/>
    <n v="0"/>
    <n v="0.9"/>
    <n v="0.1"/>
    <m/>
    <m/>
    <x v="0"/>
    <m/>
    <m/>
    <m/>
    <m/>
    <m/>
    <m/>
    <m/>
    <m/>
    <m/>
    <m/>
    <m/>
    <m/>
    <m/>
    <m/>
    <m/>
    <m/>
    <m/>
  </r>
  <r>
    <s v="2.4.3.1.2"/>
    <s v="CMS M.60.10.000"/>
    <x v="2"/>
    <n v="16"/>
    <s v="SPOOL"/>
    <n v="8"/>
    <x v="1"/>
    <s v="NÃO"/>
    <s v="NÃO"/>
    <x v="49"/>
    <x v="1"/>
    <s v="DISPOSIÇÃO DE REJEITOS LINHA DO CIRCUITO ARENOSO DISTRIBUIDOR DI-145A-9915 PARA A PENEIRA PN-145A-9711"/>
    <m/>
    <m/>
    <m/>
    <s v="1450AA-T-70421_FL24"/>
    <n v="1"/>
    <s v="PÇ"/>
    <n v="1.883"/>
    <n v="1.883"/>
    <n v="1651.88"/>
    <n v="3110.4900400000001"/>
    <n v="0"/>
    <n v="0.9"/>
    <n v="0.1"/>
    <m/>
    <m/>
    <x v="0"/>
    <m/>
    <m/>
    <m/>
    <m/>
    <m/>
    <m/>
    <m/>
    <m/>
    <m/>
    <m/>
    <m/>
    <m/>
    <m/>
    <m/>
    <m/>
    <m/>
    <m/>
  </r>
  <r>
    <s v="2.4.3.1.2"/>
    <s v="CMS M.60.10.000"/>
    <x v="2"/>
    <n v="17"/>
    <s v="FLANGE"/>
    <n v="8"/>
    <x v="1"/>
    <s v="NÃO"/>
    <s v="NÃO"/>
    <x v="49"/>
    <x v="1"/>
    <s v="DISPOSIÇÃO DE REJEITOS LINHA DO CIRCUITO ARENOSO DISTRIBUIDOR DI-145A-9915 PARA A PENEIRA PN-145A-9711"/>
    <m/>
    <m/>
    <m/>
    <s v="1450AA-T-70421_FL08"/>
    <n v="2"/>
    <s v="PÇ"/>
    <n v="0"/>
    <n v="0"/>
    <n v="1651.88"/>
    <n v="0"/>
    <n v="0"/>
    <n v="0.9"/>
    <n v="0.1"/>
    <m/>
    <m/>
    <x v="0"/>
    <m/>
    <m/>
    <m/>
    <m/>
    <m/>
    <m/>
    <m/>
    <m/>
    <m/>
    <m/>
    <m/>
    <m/>
    <m/>
    <m/>
    <m/>
    <m/>
    <m/>
  </r>
  <r>
    <s v="2.4.3.1.2"/>
    <s v="CMS M.60.10.000"/>
    <x v="2"/>
    <n v="1"/>
    <s v="SPOOL"/>
    <n v="8"/>
    <x v="1"/>
    <s v="NÃO"/>
    <s v="NÃO"/>
    <x v="50"/>
    <x v="1"/>
    <s v="DISPOSIÇÃO DE REJEITOS LINHA DO CIRCUITO ARENOSO DISTRIBUIDOR DI-145A-9915 PARA A PENEIRA PN-145A-9734"/>
    <m/>
    <m/>
    <m/>
    <s v="1450AA-T-70423_FL06"/>
    <n v="1"/>
    <s v="PÇ"/>
    <n v="0.15"/>
    <n v="0.15"/>
    <n v="1651.88"/>
    <n v="247.78200000000001"/>
    <n v="0"/>
    <n v="0.9"/>
    <n v="0.1"/>
    <m/>
    <m/>
    <x v="0"/>
    <m/>
    <m/>
    <m/>
    <m/>
    <m/>
    <m/>
    <m/>
    <m/>
    <m/>
    <m/>
    <m/>
    <m/>
    <m/>
    <m/>
    <m/>
    <m/>
    <m/>
  </r>
  <r>
    <s v="2.4.3.1.2"/>
    <s v="CMS M.60.10.000"/>
    <x v="2"/>
    <n v="2"/>
    <s v="SPOOL"/>
    <n v="8"/>
    <x v="1"/>
    <s v="NÃO"/>
    <s v="NÃO"/>
    <x v="50"/>
    <x v="1"/>
    <s v="DISPOSIÇÃO DE REJEITOS LINHA DO CIRCUITO ARENOSO DISTRIBUIDOR DI-145A-9915 PARA A PENEIRA PN-145A-9734"/>
    <m/>
    <m/>
    <m/>
    <s v="1450AA-T-70423_FL07"/>
    <n v="1"/>
    <s v="PÇ"/>
    <n v="0.30499999999999999"/>
    <n v="0.30499999999999999"/>
    <n v="1651.88"/>
    <n v="503.82340000000005"/>
    <n v="0"/>
    <n v="0.9"/>
    <n v="0.1"/>
    <m/>
    <m/>
    <x v="0"/>
    <m/>
    <m/>
    <m/>
    <m/>
    <m/>
    <m/>
    <m/>
    <m/>
    <m/>
    <m/>
    <m/>
    <m/>
    <m/>
    <m/>
    <m/>
    <m/>
    <m/>
  </r>
  <r>
    <s v="2.4.3.1.2"/>
    <s v="CMS M.60.10.000"/>
    <x v="2"/>
    <n v="3"/>
    <s v="SPOOL"/>
    <n v="8"/>
    <x v="1"/>
    <s v="NÃO"/>
    <s v="NÃO"/>
    <x v="50"/>
    <x v="1"/>
    <s v="DISPOSIÇÃO DE REJEITOS LINHA DO CIRCUITO ARENOSO DISTRIBUIDOR DI-145A-9915 PARA A PENEIRA PN-145A-9734"/>
    <m/>
    <m/>
    <m/>
    <s v="1450AA-T-70423_FL08"/>
    <n v="1"/>
    <s v="PÇ"/>
    <n v="1.2"/>
    <n v="1.2"/>
    <n v="1651.88"/>
    <n v="1982.2560000000001"/>
    <n v="0"/>
    <n v="0.9"/>
    <n v="0.1"/>
    <m/>
    <m/>
    <x v="0"/>
    <m/>
    <m/>
    <m/>
    <m/>
    <m/>
    <m/>
    <m/>
    <m/>
    <m/>
    <m/>
    <m/>
    <m/>
    <m/>
    <m/>
    <m/>
    <m/>
    <m/>
  </r>
  <r>
    <s v="2.4.3.1.2"/>
    <s v="CMS M.60.10.000"/>
    <x v="2"/>
    <n v="4"/>
    <s v="SPOOL"/>
    <n v="8"/>
    <x v="1"/>
    <s v="NÃO"/>
    <s v="NÃO"/>
    <x v="50"/>
    <x v="1"/>
    <s v="DISPOSIÇÃO DE REJEITOS LINHA DO CIRCUITO ARENOSO DISTRIBUIDOR DI-145A-9915 PARA A PENEIRA PN-145A-9734"/>
    <m/>
    <m/>
    <m/>
    <s v="1450AA-T-70423_FL09"/>
    <n v="2"/>
    <s v="PÇ"/>
    <n v="6"/>
    <n v="12"/>
    <n v="1651.88"/>
    <n v="19822.560000000001"/>
    <n v="0"/>
    <n v="0.9"/>
    <n v="0.1"/>
    <m/>
    <m/>
    <x v="0"/>
    <m/>
    <m/>
    <m/>
    <m/>
    <m/>
    <m/>
    <m/>
    <m/>
    <m/>
    <m/>
    <m/>
    <m/>
    <m/>
    <m/>
    <m/>
    <m/>
    <m/>
  </r>
  <r>
    <s v="2.4.3.1.2"/>
    <s v="CMS M.60.10.000"/>
    <x v="2"/>
    <n v="5"/>
    <s v="SPOOL"/>
    <n v="8"/>
    <x v="2"/>
    <s v="NÃO"/>
    <s v="NÃO"/>
    <x v="50"/>
    <x v="1"/>
    <s v="DISPOSIÇÃO DE REJEITOS LINHA DO CIRCUITO ARENOSO DISTRIBUIDOR DI-145A-9915 PARA A PENEIRA PN-145A-9734"/>
    <m/>
    <m/>
    <m/>
    <s v="1450AA-T-70423_FL10"/>
    <n v="1"/>
    <s v="PÇ"/>
    <n v="0.36"/>
    <n v="0.36"/>
    <n v="1651.88"/>
    <n v="594.67680000000007"/>
    <n v="0"/>
    <n v="0.9"/>
    <n v="0.1"/>
    <m/>
    <m/>
    <x v="0"/>
    <m/>
    <m/>
    <m/>
    <m/>
    <m/>
    <m/>
    <m/>
    <m/>
    <m/>
    <m/>
    <m/>
    <m/>
    <m/>
    <m/>
    <m/>
    <m/>
    <m/>
  </r>
  <r>
    <s v="2.4.3.1.2"/>
    <s v="CMS M.60.10.000"/>
    <x v="2"/>
    <n v="6"/>
    <s v="SPOOL"/>
    <n v="8"/>
    <x v="2"/>
    <s v="NÃO"/>
    <s v="NÃO"/>
    <x v="50"/>
    <x v="1"/>
    <s v="DISPOSIÇÃO DE REJEITOS LINHA DO CIRCUITO ARENOSO DISTRIBUIDOR DI-145A-9915 PARA A PENEIRA PN-145A-9734"/>
    <m/>
    <m/>
    <m/>
    <s v="1450AA-T-70423_FL11"/>
    <n v="1"/>
    <s v="PÇ"/>
    <n v="0.51"/>
    <n v="0.51"/>
    <n v="1651.88"/>
    <n v="842.45880000000011"/>
    <n v="0"/>
    <n v="0.9"/>
    <n v="0.1"/>
    <m/>
    <m/>
    <x v="0"/>
    <m/>
    <m/>
    <m/>
    <m/>
    <m/>
    <m/>
    <m/>
    <m/>
    <m/>
    <m/>
    <m/>
    <m/>
    <m/>
    <m/>
    <m/>
    <m/>
    <m/>
  </r>
  <r>
    <s v="2.4.3.1.2"/>
    <s v="CMS M.60.10.000"/>
    <x v="2"/>
    <n v="7"/>
    <s v="CURVA"/>
    <n v="8"/>
    <x v="1"/>
    <s v="NÃO"/>
    <s v="NÃO"/>
    <x v="50"/>
    <x v="1"/>
    <s v="DISPOSIÇÃO DE REJEITOS LINHA DO CIRCUITO ARENOSO DISTRIBUIDOR DI-145A-9915 PARA A PENEIRA PN-145A-9734"/>
    <m/>
    <m/>
    <m/>
    <s v="1450AA-T-70423_FL12"/>
    <n v="1"/>
    <s v="PÇ"/>
    <n v="0.32100000000000001"/>
    <n v="0.32100000000000001"/>
    <n v="1651.88"/>
    <n v="530.25348000000008"/>
    <n v="0"/>
    <n v="0.9"/>
    <n v="0.1"/>
    <m/>
    <m/>
    <x v="0"/>
    <m/>
    <m/>
    <m/>
    <m/>
    <m/>
    <m/>
    <m/>
    <m/>
    <m/>
    <m/>
    <m/>
    <m/>
    <m/>
    <m/>
    <m/>
    <m/>
    <m/>
  </r>
  <r>
    <s v="2.4.3.1.2"/>
    <s v="CMS M.60.10.000"/>
    <x v="2"/>
    <n v="8"/>
    <s v="CURVA"/>
    <n v="8"/>
    <x v="1"/>
    <s v="NÃO"/>
    <s v="NÃO"/>
    <x v="50"/>
    <x v="1"/>
    <s v="DISPOSIÇÃO DE REJEITOS LINHA DO CIRCUITO ARENOSO DISTRIBUIDOR DI-145A-9915 PARA A PENEIRA PN-145A-9734"/>
    <m/>
    <m/>
    <m/>
    <s v="1450AA-T-70423_FL13"/>
    <n v="1"/>
    <s v="PÇ"/>
    <n v="0.33200000000000002"/>
    <n v="0.33200000000000002"/>
    <n v="1651.88"/>
    <n v="548.42416000000003"/>
    <n v="0"/>
    <n v="0.9"/>
    <n v="0.1"/>
    <m/>
    <m/>
    <x v="0"/>
    <m/>
    <m/>
    <m/>
    <m/>
    <m/>
    <m/>
    <m/>
    <m/>
    <m/>
    <m/>
    <m/>
    <m/>
    <m/>
    <m/>
    <m/>
    <m/>
    <m/>
  </r>
  <r>
    <s v="2.4.3.1.2"/>
    <s v="CMS M.60.10.000"/>
    <x v="2"/>
    <n v="9"/>
    <s v="SPOOL"/>
    <n v="8"/>
    <x v="1"/>
    <s v="NÃO"/>
    <s v="NÃO"/>
    <x v="50"/>
    <x v="1"/>
    <s v="DISPOSIÇÃO DE REJEITOS LINHA DO CIRCUITO ARENOSO DISTRIBUIDOR DI-145A-9915 PARA A PENEIRA PN-145A-9734"/>
    <m/>
    <m/>
    <m/>
    <s v="1450AA-T-70423_FL14"/>
    <n v="1"/>
    <s v="PÇ"/>
    <n v="1.01"/>
    <n v="1.01"/>
    <n v="1651.88"/>
    <n v="1668.3988000000002"/>
    <n v="0"/>
    <n v="0.9"/>
    <n v="0.1"/>
    <m/>
    <m/>
    <x v="0"/>
    <m/>
    <m/>
    <m/>
    <m/>
    <m/>
    <m/>
    <m/>
    <m/>
    <m/>
    <m/>
    <m/>
    <m/>
    <m/>
    <m/>
    <m/>
    <m/>
    <m/>
  </r>
  <r>
    <s v="2.4.3.1.2"/>
    <s v="CMS M.60.10.000"/>
    <x v="2"/>
    <n v="1"/>
    <s v="SPOOL"/>
    <n v="8"/>
    <x v="1"/>
    <s v="NÃO"/>
    <s v="NÃO"/>
    <x v="51"/>
    <x v="1"/>
    <s v="DISPOSIÇÃO DE REJEITOS LINHA DO CIRCUITO ARENOSO DISTRIBUIDOR DI-145A-9915 PARA A PENEIRA PN-145A-9712"/>
    <m/>
    <m/>
    <m/>
    <s v="1450AA-T-70425_FL09"/>
    <n v="1"/>
    <s v="PÇ"/>
    <n v="0.81499999999999995"/>
    <n v="0.81499999999999995"/>
    <n v="1651.88"/>
    <n v="1346.2822000000001"/>
    <n v="0"/>
    <n v="0.9"/>
    <n v="0.1"/>
    <m/>
    <m/>
    <x v="0"/>
    <m/>
    <m/>
    <m/>
    <m/>
    <m/>
    <m/>
    <m/>
    <m/>
    <m/>
    <m/>
    <m/>
    <m/>
    <m/>
    <m/>
    <m/>
    <m/>
    <m/>
  </r>
  <r>
    <s v="2.4.3.1.2"/>
    <s v="CMS M.60.10.000"/>
    <x v="2"/>
    <n v="2"/>
    <s v="SPOOL"/>
    <n v="8"/>
    <x v="1"/>
    <s v="NÃO"/>
    <s v="NÃO"/>
    <x v="51"/>
    <x v="1"/>
    <s v="DISPOSIÇÃO DE REJEITOS LINHA DO CIRCUITO ARENOSO DISTRIBUIDOR DI-145A-9915 PARA A PENEIRA PN-145A-9712"/>
    <m/>
    <m/>
    <m/>
    <s v="1450AA-T-70425_FL10"/>
    <n v="1"/>
    <s v="PÇ"/>
    <n v="1"/>
    <n v="1"/>
    <n v="1651.88"/>
    <n v="1651.88"/>
    <n v="0"/>
    <n v="0.9"/>
    <n v="0.1"/>
    <m/>
    <m/>
    <x v="0"/>
    <m/>
    <m/>
    <m/>
    <m/>
    <m/>
    <m/>
    <m/>
    <m/>
    <m/>
    <m/>
    <m/>
    <m/>
    <m/>
    <m/>
    <m/>
    <m/>
    <m/>
  </r>
  <r>
    <s v="2.4.3.1.2"/>
    <s v="CMS M.60.10.000"/>
    <x v="2"/>
    <n v="3"/>
    <s v="SPOOL"/>
    <n v="8"/>
    <x v="1"/>
    <s v="NÃO"/>
    <s v="NÃO"/>
    <x v="51"/>
    <x v="1"/>
    <s v="DISPOSIÇÃO DE REJEITOS LINHA DO CIRCUITO ARENOSO DISTRIBUIDOR DI-145A-9915 PARA A PENEIRA PN-145A-9712"/>
    <m/>
    <m/>
    <m/>
    <s v="1450AA-T-70425_FL11"/>
    <n v="1"/>
    <s v="PÇ"/>
    <n v="1.1459999999999999"/>
    <n v="1.1459999999999999"/>
    <n v="1651.88"/>
    <n v="1893.05448"/>
    <n v="0"/>
    <n v="0.9"/>
    <n v="0.1"/>
    <m/>
    <m/>
    <x v="0"/>
    <m/>
    <m/>
    <m/>
    <m/>
    <m/>
    <m/>
    <m/>
    <m/>
    <m/>
    <m/>
    <m/>
    <m/>
    <m/>
    <m/>
    <m/>
    <m/>
    <m/>
  </r>
  <r>
    <s v="2.4.3.1.2"/>
    <s v="CMS M.60.10.000"/>
    <x v="2"/>
    <n v="4"/>
    <s v="SPOOL"/>
    <n v="8"/>
    <x v="1"/>
    <s v="NÃO"/>
    <s v="NÃO"/>
    <x v="51"/>
    <x v="1"/>
    <s v="DISPOSIÇÃO DE REJEITOS LINHA DO CIRCUITO ARENOSO DISTRIBUIDOR DI-145A-9915 PARA A PENEIRA PN-145A-9712"/>
    <m/>
    <m/>
    <m/>
    <s v="1450AA-T-70425_FL12"/>
    <n v="1"/>
    <s v="PÇ"/>
    <n v="1.3340000000000001"/>
    <n v="1.3340000000000001"/>
    <n v="1651.88"/>
    <n v="2203.6079200000004"/>
    <n v="0"/>
    <n v="0.9"/>
    <n v="0.1"/>
    <m/>
    <m/>
    <x v="0"/>
    <m/>
    <m/>
    <m/>
    <m/>
    <m/>
    <m/>
    <m/>
    <m/>
    <m/>
    <m/>
    <m/>
    <m/>
    <m/>
    <m/>
    <m/>
    <m/>
    <m/>
  </r>
  <r>
    <s v="2.4.3.1.2"/>
    <s v="CMS M.60.10.000"/>
    <x v="2"/>
    <n v="5"/>
    <s v="SPOOL"/>
    <n v="8"/>
    <x v="1"/>
    <s v="NÃO"/>
    <s v="NÃO"/>
    <x v="51"/>
    <x v="1"/>
    <s v="DISPOSIÇÃO DE REJEITOS LINHA DO CIRCUITO ARENOSO DISTRIBUIDOR DI-145A-9915 PARA A PENEIRA PN-145A-9712"/>
    <m/>
    <m/>
    <m/>
    <s v="1450AA-T-70425_FL13"/>
    <n v="1"/>
    <s v="PÇ"/>
    <n v="3"/>
    <n v="3"/>
    <n v="1651.88"/>
    <n v="4955.6400000000003"/>
    <n v="0"/>
    <n v="0.9"/>
    <n v="0.1"/>
    <m/>
    <m/>
    <x v="0"/>
    <m/>
    <m/>
    <m/>
    <m/>
    <m/>
    <m/>
    <m/>
    <m/>
    <m/>
    <m/>
    <m/>
    <m/>
    <m/>
    <m/>
    <m/>
    <m/>
    <m/>
  </r>
  <r>
    <s v="2.4.3.1.2"/>
    <s v="CMS M.60.10.000"/>
    <x v="2"/>
    <n v="6"/>
    <s v="SPOOL"/>
    <n v="8"/>
    <x v="1"/>
    <s v="NÃO"/>
    <s v="NÃO"/>
    <x v="51"/>
    <x v="1"/>
    <s v="DISPOSIÇÃO DE REJEITOS LINHA DO CIRCUITO ARENOSO DISTRIBUIDOR DI-145A-9915 PARA A PENEIRA PN-145A-9712"/>
    <m/>
    <m/>
    <m/>
    <s v="1450AA-T-70425_FL14"/>
    <n v="1"/>
    <s v="PÇ"/>
    <n v="3.7"/>
    <n v="3.7"/>
    <n v="1651.88"/>
    <n v="6111.956000000001"/>
    <n v="0"/>
    <n v="0.9"/>
    <n v="0.1"/>
    <m/>
    <m/>
    <x v="0"/>
    <m/>
    <m/>
    <m/>
    <m/>
    <m/>
    <m/>
    <m/>
    <m/>
    <m/>
    <m/>
    <m/>
    <m/>
    <m/>
    <m/>
    <m/>
    <m/>
    <m/>
  </r>
  <r>
    <s v="2.4.3.1.2"/>
    <s v="CMS M.60.10.000"/>
    <x v="2"/>
    <n v="7"/>
    <s v="SPOOL"/>
    <n v="8"/>
    <x v="1"/>
    <s v="NÃO"/>
    <s v="NÃO"/>
    <x v="51"/>
    <x v="1"/>
    <s v="DISPOSIÇÃO DE REJEITOS LINHA DO CIRCUITO ARENOSO DISTRIBUIDOR DI-145A-9915 PARA A PENEIRA PN-145A-9712"/>
    <m/>
    <m/>
    <m/>
    <s v="1450AA-T-70425_FL15"/>
    <n v="2"/>
    <s v="PÇ"/>
    <n v="6"/>
    <n v="12"/>
    <n v="1651.88"/>
    <n v="19822.560000000001"/>
    <n v="0"/>
    <n v="0.9"/>
    <n v="0.1"/>
    <m/>
    <m/>
    <x v="0"/>
    <m/>
    <m/>
    <m/>
    <m/>
    <m/>
    <m/>
    <m/>
    <m/>
    <m/>
    <m/>
    <m/>
    <m/>
    <m/>
    <m/>
    <m/>
    <m/>
    <m/>
  </r>
  <r>
    <s v="2.4.3.1.2"/>
    <s v="CMS M.60.10.000"/>
    <x v="2"/>
    <n v="8"/>
    <s v="SPOOL"/>
    <n v="8"/>
    <x v="2"/>
    <s v="NÃO"/>
    <s v="NÃO"/>
    <x v="51"/>
    <x v="1"/>
    <s v="DISPOSIÇÃO DE REJEITOS LINHA DO CIRCUITO ARENOSO DISTRIBUIDOR DI-145A-9915 PARA A PENEIRA PN-145A-9712"/>
    <m/>
    <m/>
    <m/>
    <s v="1450AA-T-70425_FL16"/>
    <n v="1"/>
    <s v="PÇ"/>
    <n v="0.48499999999999999"/>
    <n v="0.48499999999999999"/>
    <n v="1651.88"/>
    <n v="801.16180000000008"/>
    <n v="0"/>
    <n v="0.9"/>
    <n v="0.1"/>
    <m/>
    <m/>
    <x v="0"/>
    <m/>
    <m/>
    <m/>
    <m/>
    <m/>
    <m/>
    <m/>
    <m/>
    <m/>
    <m/>
    <m/>
    <m/>
    <m/>
    <m/>
    <m/>
    <m/>
    <m/>
  </r>
  <r>
    <s v="2.4.3.1.2"/>
    <s v="CMS M.60.10.000"/>
    <x v="2"/>
    <n v="9"/>
    <s v="SPOOL"/>
    <n v="8"/>
    <x v="2"/>
    <s v="NÃO"/>
    <s v="NÃO"/>
    <x v="51"/>
    <x v="1"/>
    <s v="DISPOSIÇÃO DE REJEITOS LINHA DO CIRCUITO ARENOSO DISTRIBUIDOR DI-145A-9915 PARA A PENEIRA PN-145A-9712"/>
    <m/>
    <m/>
    <m/>
    <s v="1450AA-T-70425_FL17"/>
    <n v="1"/>
    <s v="PÇ"/>
    <n v="0.495"/>
    <n v="0.495"/>
    <n v="1651.88"/>
    <n v="817.68060000000003"/>
    <n v="0"/>
    <n v="0.9"/>
    <n v="0.1"/>
    <m/>
    <m/>
    <x v="0"/>
    <m/>
    <m/>
    <m/>
    <m/>
    <m/>
    <m/>
    <m/>
    <m/>
    <m/>
    <m/>
    <m/>
    <m/>
    <m/>
    <m/>
    <m/>
    <m/>
    <m/>
  </r>
  <r>
    <s v="2.4.3.1.2"/>
    <s v="CMS M.60.10.000"/>
    <x v="2"/>
    <n v="10"/>
    <s v="CURVA"/>
    <n v="8"/>
    <x v="1"/>
    <s v="NÃO"/>
    <s v="NÃO"/>
    <x v="51"/>
    <x v="1"/>
    <s v="DISPOSIÇÃO DE REJEITOS LINHA DO CIRCUITO ARENOSO DISTRIBUIDOR DI-145A-9915 PARA A PENEIRA PN-145A-9712"/>
    <m/>
    <m/>
    <m/>
    <s v="1450AA-T-70425_FL18"/>
    <n v="1"/>
    <s v="PÇ"/>
    <n v="0.32100000000000001"/>
    <n v="0.32100000000000001"/>
    <n v="1651.88"/>
    <n v="530.25348000000008"/>
    <n v="0"/>
    <n v="0.9"/>
    <n v="0.1"/>
    <m/>
    <m/>
    <x v="0"/>
    <m/>
    <m/>
    <m/>
    <m/>
    <m/>
    <m/>
    <m/>
    <m/>
    <m/>
    <m/>
    <m/>
    <m/>
    <m/>
    <m/>
    <m/>
    <m/>
    <m/>
  </r>
  <r>
    <s v="2.4.3.1.2"/>
    <s v="CMS M.60.10.000"/>
    <x v="2"/>
    <n v="11"/>
    <s v="CURVA"/>
    <n v="8"/>
    <x v="1"/>
    <s v="NÃO"/>
    <s v="NÃO"/>
    <x v="51"/>
    <x v="1"/>
    <s v="DISPOSIÇÃO DE REJEITOS LINHA DO CIRCUITO ARENOSO DISTRIBUIDOR DI-145A-9915 PARA A PENEIRA PN-145A-9712"/>
    <m/>
    <m/>
    <m/>
    <s v="1450AA-T-70425_FL19"/>
    <n v="1"/>
    <s v="PÇ"/>
    <n v="0.54200000000000004"/>
    <n v="0.54200000000000004"/>
    <n v="1651.88"/>
    <n v="895.31896000000017"/>
    <n v="0"/>
    <n v="0.9"/>
    <n v="0.1"/>
    <m/>
    <m/>
    <x v="0"/>
    <m/>
    <m/>
    <m/>
    <m/>
    <m/>
    <m/>
    <m/>
    <m/>
    <m/>
    <m/>
    <m/>
    <m/>
    <m/>
    <m/>
    <m/>
    <m/>
    <m/>
  </r>
  <r>
    <s v="2.4.3.1.2"/>
    <s v="CMS M.60.10.000"/>
    <x v="2"/>
    <n v="12"/>
    <s v="CURVA"/>
    <n v="8"/>
    <x v="1"/>
    <s v="NÃO"/>
    <s v="NÃO"/>
    <x v="51"/>
    <x v="1"/>
    <s v="DISPOSIÇÃO DE REJEITOS LINHA DO CIRCUITO ARENOSO DISTRIBUIDOR DI-145A-9915 PARA A PENEIRA PN-145A-9712"/>
    <m/>
    <m/>
    <m/>
    <s v="1450AA-T-70425_FL20"/>
    <n v="2"/>
    <s v="PÇ"/>
    <n v="0.61099999999999999"/>
    <n v="1.222"/>
    <n v="1651.88"/>
    <n v="2018.59736"/>
    <n v="0"/>
    <n v="0.9"/>
    <n v="0.1"/>
    <m/>
    <m/>
    <x v="0"/>
    <m/>
    <m/>
    <m/>
    <m/>
    <m/>
    <m/>
    <m/>
    <m/>
    <m/>
    <m/>
    <m/>
    <m/>
    <m/>
    <m/>
    <m/>
    <m/>
    <m/>
  </r>
  <r>
    <s v="2.4.3.1.2"/>
    <s v="CMS M.60.10.000"/>
    <x v="2"/>
    <n v="13"/>
    <s v="CURVA"/>
    <n v="8"/>
    <x v="1"/>
    <s v="NÃO"/>
    <s v="NÃO"/>
    <x v="51"/>
    <x v="1"/>
    <s v="DISPOSIÇÃO DE REJEITOS LINHA DO CIRCUITO ARENOSO DISTRIBUIDOR DI-145A-9915 PARA A PENEIRA PN-145A-9712"/>
    <m/>
    <m/>
    <m/>
    <s v="1450AA-T-70425_FL21"/>
    <n v="1"/>
    <s v="PÇ"/>
    <n v="0.63800000000000001"/>
    <n v="0.63800000000000001"/>
    <n v="1651.88"/>
    <n v="1053.8994400000001"/>
    <n v="0"/>
    <n v="0.9"/>
    <n v="0.1"/>
    <m/>
    <m/>
    <x v="0"/>
    <m/>
    <m/>
    <m/>
    <m/>
    <m/>
    <m/>
    <m/>
    <m/>
    <m/>
    <m/>
    <m/>
    <m/>
    <m/>
    <m/>
    <m/>
    <m/>
    <m/>
  </r>
  <r>
    <s v="2.4.3.1.2"/>
    <s v="CMS M.60.10.000"/>
    <x v="2"/>
    <n v="14"/>
    <s v="SPOOL"/>
    <n v="8"/>
    <x v="1"/>
    <s v="NÃO"/>
    <s v="NÃO"/>
    <x v="51"/>
    <x v="1"/>
    <s v="DISPOSIÇÃO DE REJEITOS LINHA DO CIRCUITO ARENOSO DISTRIBUIDOR DI-145A-9915 PARA A PENEIRA PN-145A-9712"/>
    <m/>
    <m/>
    <m/>
    <s v="1450AA-T-70425_FL22"/>
    <n v="1"/>
    <s v="PÇ"/>
    <n v="0.96"/>
    <n v="0.96"/>
    <n v="1651.88"/>
    <n v="1585.8048000000001"/>
    <n v="0"/>
    <n v="0.9"/>
    <n v="0.1"/>
    <m/>
    <m/>
    <x v="0"/>
    <m/>
    <m/>
    <m/>
    <m/>
    <m/>
    <m/>
    <m/>
    <m/>
    <m/>
    <m/>
    <m/>
    <m/>
    <m/>
    <m/>
    <m/>
    <m/>
    <m/>
  </r>
  <r>
    <s v="2.4.3.1.1"/>
    <s v="CMS M.60.10.000"/>
    <x v="2"/>
    <n v="15"/>
    <s v="SPOOL"/>
    <s v="8 X 6"/>
    <x v="1"/>
    <s v="NÃO"/>
    <s v="NÃO"/>
    <x v="51"/>
    <x v="1"/>
    <s v="DISPOSIÇÃO DE REJEITOS LINHA DO CIRCUITO ARENOSO DISTRIBUIDOR DI-145A-9915 PARA A PENEIRA PN-145A-9712"/>
    <m/>
    <m/>
    <m/>
    <s v="1450AA-T-70425_FL23"/>
    <n v="1"/>
    <s v="PÇ"/>
    <n v="1.883"/>
    <n v="1.883"/>
    <n v="1169.77"/>
    <n v="2202.6769100000001"/>
    <n v="0"/>
    <n v="0.9"/>
    <n v="0.1"/>
    <m/>
    <m/>
    <x v="0"/>
    <m/>
    <m/>
    <m/>
    <m/>
    <m/>
    <m/>
    <m/>
    <m/>
    <m/>
    <m/>
    <m/>
    <m/>
    <m/>
    <m/>
    <m/>
    <m/>
    <m/>
  </r>
  <r>
    <s v="2.4.3.1.1"/>
    <s v="CMS M.60.10.000"/>
    <x v="2"/>
    <n v="16"/>
    <s v="FLANGE"/>
    <n v="6"/>
    <x v="1"/>
    <s v="NÃO"/>
    <s v="NÃO"/>
    <x v="51"/>
    <x v="1"/>
    <s v="DISPOSIÇÃO DE REJEITOS LINHA DO CIRCUITO ARENOSO DISTRIBUIDOR DI-145A-9915 PARA A PENEIRA PN-145A-9712"/>
    <m/>
    <m/>
    <m/>
    <s v="1450AA-T-70425_FL08"/>
    <n v="2"/>
    <s v="PÇ"/>
    <n v="0"/>
    <n v="0"/>
    <n v="1169.77"/>
    <n v="0"/>
    <n v="0"/>
    <n v="0.9"/>
    <n v="0.1"/>
    <m/>
    <m/>
    <x v="0"/>
    <m/>
    <m/>
    <m/>
    <m/>
    <m/>
    <m/>
    <m/>
    <m/>
    <m/>
    <m/>
    <m/>
    <m/>
    <m/>
    <m/>
    <m/>
    <m/>
    <m/>
  </r>
  <r>
    <s v="2.4.3.1.2"/>
    <s v="CMS M.60.10.000"/>
    <x v="2"/>
    <n v="1"/>
    <s v="SPOOL"/>
    <n v="8"/>
    <x v="1"/>
    <s v="NÃO"/>
    <s v="NÃO"/>
    <x v="52"/>
    <x v="1"/>
    <s v="DISPOSIÇÃO DE REJEITOS LINHA DO CIRCUITO ARENOSO DISTRIBUIDOR DI-145A-9915 PARA A PENEIRA PN-145A-9735"/>
    <m/>
    <m/>
    <m/>
    <s v="1450AA-T-70427_FL06"/>
    <n v="1"/>
    <s v="PÇ"/>
    <n v="0.23499999999999999"/>
    <n v="0.23499999999999999"/>
    <n v="1651.88"/>
    <n v="388.1918"/>
    <n v="0"/>
    <n v="0.9"/>
    <n v="0.1"/>
    <m/>
    <m/>
    <x v="0"/>
    <m/>
    <m/>
    <m/>
    <m/>
    <m/>
    <m/>
    <m/>
    <m/>
    <m/>
    <m/>
    <m/>
    <m/>
    <m/>
    <m/>
    <m/>
    <m/>
    <m/>
  </r>
  <r>
    <s v="2.4.3.1.2"/>
    <s v="CMS M.60.10.000"/>
    <x v="2"/>
    <n v="2"/>
    <s v="SPOOL"/>
    <n v="8"/>
    <x v="1"/>
    <s v="NÃO"/>
    <s v="NÃO"/>
    <x v="52"/>
    <x v="1"/>
    <s v="DISPOSIÇÃO DE REJEITOS LINHA DO CIRCUITO ARENOSO DISTRIBUIDOR DI-145A-9915 PARA A PENEIRA PN-145A-9735"/>
    <m/>
    <m/>
    <m/>
    <s v="1450AA-T-70427_FL07"/>
    <n v="3"/>
    <s v="PÇ"/>
    <n v="6"/>
    <n v="18"/>
    <n v="1651.88"/>
    <n v="29733.840000000004"/>
    <n v="0"/>
    <n v="0.9"/>
    <n v="0.1"/>
    <m/>
    <m/>
    <x v="0"/>
    <m/>
    <m/>
    <m/>
    <m/>
    <m/>
    <m/>
    <m/>
    <m/>
    <m/>
    <m/>
    <m/>
    <m/>
    <m/>
    <m/>
    <m/>
    <m/>
    <m/>
  </r>
  <r>
    <s v="2.4.3.1.2"/>
    <s v="CMS M.60.10.000"/>
    <x v="2"/>
    <n v="3"/>
    <s v="SPOOL"/>
    <n v="8"/>
    <x v="2"/>
    <s v="NÃO"/>
    <s v="NÃO"/>
    <x v="52"/>
    <x v="1"/>
    <s v="DISPOSIÇÃO DE REJEITOS LINHA DO CIRCUITO ARENOSO DISTRIBUIDOR DI-145A-9915 PARA A PENEIRA PN-145A-9735"/>
    <m/>
    <m/>
    <m/>
    <s v="1450AA-T-70427_FL08"/>
    <n v="1"/>
    <s v="PÇ"/>
    <n v="0.41"/>
    <n v="0.41"/>
    <n v="1651.88"/>
    <n v="677.27080000000001"/>
    <n v="0"/>
    <n v="0.9"/>
    <n v="0.1"/>
    <m/>
    <m/>
    <x v="0"/>
    <m/>
    <m/>
    <m/>
    <m/>
    <m/>
    <m/>
    <m/>
    <m/>
    <m/>
    <m/>
    <m/>
    <m/>
    <m/>
    <m/>
    <m/>
    <m/>
    <m/>
  </r>
  <r>
    <s v="2.4.3.1.2"/>
    <s v="CMS M.60.10.000"/>
    <x v="2"/>
    <n v="4"/>
    <s v="SPOOL"/>
    <n v="8"/>
    <x v="2"/>
    <s v="NÃO"/>
    <s v="NÃO"/>
    <x v="52"/>
    <x v="1"/>
    <s v="DISPOSIÇÃO DE REJEITOS LINHA DO CIRCUITO ARENOSO DISTRIBUIDOR DI-145A-9915 PARA A PENEIRA PN-145A-9735"/>
    <m/>
    <m/>
    <m/>
    <s v="1450AA-T-70427_FL09"/>
    <n v="1"/>
    <s v="PÇ"/>
    <n v="0.51500000000000001"/>
    <n v="0.51500000000000001"/>
    <n v="1651.88"/>
    <n v="850.71820000000002"/>
    <n v="0"/>
    <n v="0.9"/>
    <n v="0.1"/>
    <m/>
    <m/>
    <x v="0"/>
    <m/>
    <m/>
    <m/>
    <m/>
    <m/>
    <m/>
    <m/>
    <m/>
    <m/>
    <m/>
    <m/>
    <m/>
    <m/>
    <m/>
    <m/>
    <m/>
    <m/>
  </r>
  <r>
    <s v="2.4.3.1.2"/>
    <s v="CMS M.60.10.000"/>
    <x v="2"/>
    <n v="5"/>
    <s v="CURVA"/>
    <n v="8"/>
    <x v="1"/>
    <s v="NÃO"/>
    <s v="NÃO"/>
    <x v="52"/>
    <x v="1"/>
    <s v="DISPOSIÇÃO DE REJEITOS LINHA DO CIRCUITO ARENOSO DISTRIBUIDOR DI-145A-9915 PARA A PENEIRA PN-145A-9735"/>
    <m/>
    <m/>
    <m/>
    <s v="1450AA-T-70427_FL10"/>
    <n v="1"/>
    <s v="PÇ"/>
    <n v="0.32100000000000001"/>
    <n v="0.32100000000000001"/>
    <n v="1651.88"/>
    <n v="530.25348000000008"/>
    <n v="0"/>
    <n v="0.9"/>
    <n v="0.1"/>
    <m/>
    <m/>
    <x v="0"/>
    <m/>
    <m/>
    <m/>
    <m/>
    <m/>
    <m/>
    <m/>
    <m/>
    <m/>
    <m/>
    <m/>
    <m/>
    <m/>
    <m/>
    <m/>
    <m/>
    <m/>
  </r>
  <r>
    <s v="2.4.3.1.2"/>
    <s v="CMS M.60.10.000"/>
    <x v="2"/>
    <n v="6"/>
    <s v="CURVA"/>
    <n v="8"/>
    <x v="1"/>
    <s v="NÃO"/>
    <s v="NÃO"/>
    <x v="52"/>
    <x v="1"/>
    <s v="DISPOSIÇÃO DE REJEITOS LINHA DO CIRCUITO ARENOSO DISTRIBUIDOR DI-145A-9915 PARA A PENEIRA PN-145A-9735"/>
    <m/>
    <m/>
    <m/>
    <s v="1450AA-T-70427_FL11"/>
    <n v="1"/>
    <s v="PÇ"/>
    <n v="0.61099999999999999"/>
    <n v="0.61099999999999999"/>
    <n v="1651.88"/>
    <n v="1009.29868"/>
    <n v="0"/>
    <n v="0.9"/>
    <n v="0.1"/>
    <m/>
    <m/>
    <x v="0"/>
    <m/>
    <m/>
    <m/>
    <m/>
    <m/>
    <m/>
    <m/>
    <m/>
    <m/>
    <m/>
    <m/>
    <m/>
    <m/>
    <m/>
    <m/>
    <m/>
    <m/>
  </r>
  <r>
    <s v="2.4.3.1.2"/>
    <s v="CMS M.60.10.000"/>
    <x v="2"/>
    <n v="7"/>
    <s v="SPOOL"/>
    <n v="8"/>
    <x v="1"/>
    <s v="NÃO"/>
    <s v="NÃO"/>
    <x v="52"/>
    <x v="1"/>
    <s v="DISPOSIÇÃO DE REJEITOS LINHA DO CIRCUITO ARENOSO DISTRIBUIDOR DI-145A-9915 PARA A PENEIRA PN-145A-9735"/>
    <m/>
    <m/>
    <m/>
    <s v="1450AA-T-70427_FL12"/>
    <n v="1"/>
    <s v="PÇ"/>
    <n v="1.01"/>
    <n v="1.01"/>
    <n v="1651.88"/>
    <n v="1668.3988000000002"/>
    <n v="0"/>
    <n v="0.9"/>
    <n v="0.1"/>
    <m/>
    <m/>
    <x v="0"/>
    <m/>
    <m/>
    <m/>
    <m/>
    <m/>
    <m/>
    <m/>
    <m/>
    <m/>
    <m/>
    <m/>
    <m/>
    <m/>
    <m/>
    <m/>
    <m/>
    <m/>
  </r>
  <r>
    <s v="2.4.3.1.4"/>
    <s v="CMS M.60.10.000"/>
    <x v="2"/>
    <n v="1"/>
    <s v="SPOOL"/>
    <n v="12"/>
    <x v="1"/>
    <s v="NÃO"/>
    <s v="NÃO"/>
    <x v="53"/>
    <x v="2"/>
    <s v="DISPOSIÇÃO DE REJEITOS LINHA DO CIRCUITO ARENOSO DISTRIBUIDOR DI-145A-9916 PARA A PENEIRA PN-145A-9717"/>
    <m/>
    <m/>
    <m/>
    <s v="1450AA-T-70430_FL09"/>
    <n v="1"/>
    <s v="PÇ"/>
    <n v="0.34"/>
    <n v="0.34"/>
    <n v="2576.75"/>
    <n v="876.09500000000003"/>
    <n v="0"/>
    <n v="0.9"/>
    <n v="0.1"/>
    <m/>
    <m/>
    <x v="0"/>
    <m/>
    <m/>
    <m/>
    <m/>
    <m/>
    <m/>
    <m/>
    <m/>
    <m/>
    <m/>
    <m/>
    <m/>
    <m/>
    <m/>
    <m/>
    <m/>
    <m/>
  </r>
  <r>
    <s v="2.4.3.1.4"/>
    <s v="CMS M.60.10.000"/>
    <x v="2"/>
    <n v="2"/>
    <s v="CURVA"/>
    <n v="12"/>
    <x v="1"/>
    <s v="NÃO"/>
    <s v="NÃO"/>
    <x v="53"/>
    <x v="2"/>
    <s v="DISPOSIÇÃO DE REJEITOS LINHA DO CIRCUITO ARENOSO DISTRIBUIDOR DI-145A-9916 PARA A PENEIRA PN-145A-9717"/>
    <m/>
    <m/>
    <m/>
    <s v="1450AA-T-70430_FL12"/>
    <n v="2"/>
    <s v="PÇ"/>
    <n v="0.47899999999999998"/>
    <n v="0.95799999999999996"/>
    <n v="2576.75"/>
    <n v="2468.5264999999999"/>
    <n v="0"/>
    <n v="0.9"/>
    <n v="0.1"/>
    <m/>
    <m/>
    <x v="0"/>
    <m/>
    <m/>
    <m/>
    <m/>
    <m/>
    <m/>
    <m/>
    <m/>
    <m/>
    <m/>
    <m/>
    <m/>
    <m/>
    <m/>
    <m/>
    <m/>
    <m/>
  </r>
  <r>
    <s v="2.4.3.1.4"/>
    <s v="CMS M.60.10.000"/>
    <x v="2"/>
    <n v="3"/>
    <s v="SPOOL"/>
    <n v="12"/>
    <x v="2"/>
    <s v="NÃO"/>
    <s v="NÃO"/>
    <x v="53"/>
    <x v="2"/>
    <s v="DISPOSIÇÃO DE REJEITOS LINHA DO CIRCUITO ARENOSO DISTRIBUIDOR DI-145A-9916 PARA A PENEIRA PN-145A-9717"/>
    <m/>
    <m/>
    <m/>
    <s v="1450AA-T-70430_FL11"/>
    <n v="1"/>
    <s v="PÇ"/>
    <n v="0.61499999999999999"/>
    <n v="0.61499999999999999"/>
    <n v="2576.75"/>
    <n v="1584.7012500000001"/>
    <n v="0"/>
    <n v="0.9"/>
    <n v="0.1"/>
    <m/>
    <m/>
    <x v="0"/>
    <m/>
    <m/>
    <m/>
    <m/>
    <m/>
    <m/>
    <m/>
    <m/>
    <m/>
    <m/>
    <m/>
    <m/>
    <m/>
    <m/>
    <m/>
    <m/>
    <m/>
  </r>
  <r>
    <s v="2.4.3.1.4"/>
    <s v="CMS M.60.10.000"/>
    <x v="2"/>
    <n v="4"/>
    <s v="SPOOL"/>
    <n v="12"/>
    <x v="2"/>
    <s v="NÃO"/>
    <s v="NÃO"/>
    <x v="53"/>
    <x v="2"/>
    <s v="DISPOSIÇÃO DE REJEITOS LINHA DO CIRCUITO ARENOSO DISTRIBUIDOR DI-145A-9916 PARA A PENEIRA PN-145A-9717"/>
    <m/>
    <m/>
    <m/>
    <s v="1450AA-T-70430_FL10"/>
    <n v="1"/>
    <s v="PÇ"/>
    <n v="0.53"/>
    <n v="0.53"/>
    <n v="2576.75"/>
    <n v="1365.6775"/>
    <n v="0"/>
    <n v="0.9"/>
    <n v="0.1"/>
    <m/>
    <m/>
    <x v="0"/>
    <m/>
    <m/>
    <m/>
    <m/>
    <m/>
    <m/>
    <m/>
    <m/>
    <m/>
    <m/>
    <m/>
    <m/>
    <m/>
    <m/>
    <m/>
    <m/>
    <m/>
  </r>
  <r>
    <s v="2.4.3.1.2"/>
    <s v="CMS M.60.10.000"/>
    <x v="2"/>
    <n v="5"/>
    <s v="SPOOL"/>
    <s v="12 X 8"/>
    <x v="1"/>
    <s v="NÃO"/>
    <s v="NÃO"/>
    <x v="53"/>
    <x v="2"/>
    <s v="DISPOSIÇÃO DE REJEITOS LINHA DO CIRCUITO ARENOSO DISTRIBUIDOR DI-145A-9916 PARA A PENEIRA PN-145A-9717"/>
    <m/>
    <m/>
    <m/>
    <s v="1450AA-T-70430_FL13"/>
    <n v="1"/>
    <s v="PÇ"/>
    <n v="3.0649999999999999"/>
    <n v="3.0649999999999999"/>
    <n v="1651.88"/>
    <n v="5063.0122000000001"/>
    <n v="0"/>
    <n v="0.9"/>
    <n v="0.1"/>
    <m/>
    <m/>
    <x v="0"/>
    <m/>
    <m/>
    <m/>
    <m/>
    <m/>
    <m/>
    <m/>
    <m/>
    <m/>
    <m/>
    <m/>
    <m/>
    <m/>
    <m/>
    <m/>
    <m/>
    <m/>
  </r>
  <r>
    <s v="2.4.3.1.2"/>
    <s v="CMS M.60.10.000"/>
    <x v="2"/>
    <n v="6"/>
    <s v="FLANGE"/>
    <n v="8"/>
    <x v="1"/>
    <s v="NÃO"/>
    <s v="NÃO"/>
    <x v="53"/>
    <x v="2"/>
    <s v="DISPOSIÇÃO DE REJEITOS LINHA DO CIRCUITO ARENOSO DISTRIBUIDOR DI-145A-9916 PARA A PENEIRA PN-145A-9717"/>
    <m/>
    <m/>
    <m/>
    <s v="1450AA-T-70430_FL03"/>
    <n v="2"/>
    <s v="PÇ"/>
    <n v="0"/>
    <n v="0"/>
    <n v="1651.88"/>
    <n v="0"/>
    <n v="0"/>
    <n v="0.9"/>
    <n v="0.1"/>
    <m/>
    <m/>
    <x v="0"/>
    <m/>
    <m/>
    <m/>
    <m/>
    <m/>
    <m/>
    <m/>
    <m/>
    <m/>
    <m/>
    <m/>
    <m/>
    <m/>
    <m/>
    <m/>
    <m/>
    <m/>
  </r>
  <r>
    <s v="2.4.3.1.4"/>
    <s v="CMS M.60.10.000"/>
    <x v="2"/>
    <n v="1"/>
    <s v="CURVA"/>
    <n v="12"/>
    <x v="1"/>
    <s v="NÃO"/>
    <s v="NÃO"/>
    <x v="54"/>
    <x v="2"/>
    <s v="DISPOSIÇÃO DE REJEITOS LINHA DO CIRCUITO ARENOSO DISTRIBUIDOR DI-145A-9916 PARA A PENEIRA PN-145A-9716"/>
    <m/>
    <m/>
    <m/>
    <s v="1450AA-T-70432_FL13"/>
    <n v="2"/>
    <s v="PÇ"/>
    <n v="0.88"/>
    <n v="1.76"/>
    <n v="2576.75"/>
    <n v="4535.08"/>
    <n v="0"/>
    <n v="0.9"/>
    <n v="0.1"/>
    <m/>
    <m/>
    <x v="0"/>
    <m/>
    <m/>
    <m/>
    <m/>
    <m/>
    <m/>
    <m/>
    <m/>
    <m/>
    <m/>
    <m/>
    <m/>
    <m/>
    <m/>
    <m/>
    <m/>
    <m/>
  </r>
  <r>
    <s v="2.4.3.1.4"/>
    <s v="CMS M.60.10.000"/>
    <x v="2"/>
    <n v="2"/>
    <s v="SPOOL"/>
    <n v="12"/>
    <x v="1"/>
    <s v="NÃO"/>
    <s v="NÃO"/>
    <x v="54"/>
    <x v="2"/>
    <s v="DISPOSIÇÃO DE REJEITOS LINHA DO CIRCUITO ARENOSO DISTRIBUIDOR DI-145A-9916 PARA A PENEIRA PN-145A-9716"/>
    <m/>
    <m/>
    <m/>
    <s v="1450AA-T-70432_FL09"/>
    <n v="1"/>
    <s v="PÇ"/>
    <n v="0.29099999999999998"/>
    <n v="0.29099999999999998"/>
    <n v="2576.75"/>
    <n v="749.83425"/>
    <n v="0"/>
    <n v="0.9"/>
    <n v="0.1"/>
    <m/>
    <m/>
    <x v="0"/>
    <m/>
    <m/>
    <m/>
    <m/>
    <m/>
    <m/>
    <m/>
    <m/>
    <m/>
    <m/>
    <m/>
    <m/>
    <m/>
    <m/>
    <m/>
    <m/>
    <m/>
  </r>
  <r>
    <s v="2.4.3.1.4"/>
    <s v="CMS M.60.10.000"/>
    <x v="2"/>
    <n v="3"/>
    <s v="SPOOL"/>
    <n v="12"/>
    <x v="2"/>
    <s v="NÃO"/>
    <s v="NÃO"/>
    <x v="54"/>
    <x v="2"/>
    <s v="DISPOSIÇÃO DE REJEITOS LINHA DO CIRCUITO ARENOSO DISTRIBUIDOR DI-145A-9916 PARA A PENEIRA PN-145A-9716"/>
    <m/>
    <m/>
    <m/>
    <s v="1450AA-T-70432_FL11"/>
    <n v="1"/>
    <s v="PÇ"/>
    <n v="0.33"/>
    <n v="0.33"/>
    <n v="2576.75"/>
    <n v="850.32749999999999"/>
    <n v="0"/>
    <n v="0.9"/>
    <n v="0.1"/>
    <m/>
    <m/>
    <x v="0"/>
    <m/>
    <m/>
    <m/>
    <m/>
    <m/>
    <m/>
    <m/>
    <m/>
    <m/>
    <m/>
    <m/>
    <m/>
    <m/>
    <m/>
    <m/>
    <m/>
    <m/>
  </r>
  <r>
    <s v="2.4.3.1.4"/>
    <s v="CMS M.60.10.000"/>
    <x v="2"/>
    <n v="4"/>
    <s v="SPOOL"/>
    <n v="12"/>
    <x v="1"/>
    <s v="NÃO"/>
    <s v="NÃO"/>
    <x v="54"/>
    <x v="2"/>
    <s v="DISPOSIÇÃO DE REJEITOS LINHA DO CIRCUITO ARENOSO DISTRIBUIDOR DI-145A-9916 PARA A PENEIRA PN-145A-9716"/>
    <m/>
    <m/>
    <m/>
    <s v="1450AA-T-70432_FL10"/>
    <n v="1"/>
    <s v="PÇ"/>
    <n v="2"/>
    <n v="2"/>
    <n v="2576.75"/>
    <n v="5153.5"/>
    <n v="0"/>
    <n v="0.9"/>
    <n v="0.1"/>
    <m/>
    <m/>
    <x v="0"/>
    <m/>
    <m/>
    <m/>
    <m/>
    <m/>
    <m/>
    <m/>
    <m/>
    <m/>
    <m/>
    <m/>
    <m/>
    <m/>
    <m/>
    <m/>
    <m/>
    <m/>
  </r>
  <r>
    <s v="2.4.3.1.4"/>
    <s v="CMS M.60.10.000"/>
    <x v="2"/>
    <n v="5"/>
    <s v="SPOOL"/>
    <n v="12"/>
    <x v="2"/>
    <s v="NÃO"/>
    <s v="NÃO"/>
    <x v="54"/>
    <x v="2"/>
    <s v="DISPOSIÇÃO DE REJEITOS LINHA DO CIRCUITO ARENOSO DISTRIBUIDOR DI-145A-9916 PARA A PENEIRA PN-145A-9716"/>
    <m/>
    <m/>
    <m/>
    <s v="1450AA-T-70432_FL12"/>
    <n v="1"/>
    <s v="PÇ"/>
    <n v="0.57999999999999996"/>
    <n v="0.57999999999999996"/>
    <n v="2576.75"/>
    <n v="1494.5149999999999"/>
    <n v="0"/>
    <n v="0.9"/>
    <n v="0.1"/>
    <m/>
    <m/>
    <x v="0"/>
    <m/>
    <m/>
    <m/>
    <m/>
    <m/>
    <m/>
    <m/>
    <m/>
    <m/>
    <m/>
    <m/>
    <m/>
    <m/>
    <m/>
    <m/>
    <m/>
    <m/>
  </r>
  <r>
    <s v="2.4.3.1.2"/>
    <s v="CMS M.60.10.000"/>
    <x v="2"/>
    <n v="6"/>
    <s v="SPOOL"/>
    <s v="12 X 8"/>
    <x v="1"/>
    <s v="NÃO"/>
    <s v="NÃO"/>
    <x v="54"/>
    <x v="2"/>
    <s v="DISPOSIÇÃO DE REJEITOS LINHA DO CIRCUITO ARENOSO DISTRIBUIDOR DI-145A-9916 PARA A PENEIRA PN-145A-9716"/>
    <m/>
    <m/>
    <m/>
    <s v="1450AA-T-70432_FL14"/>
    <n v="1"/>
    <s v="PÇ"/>
    <n v="3.0649999999999999"/>
    <n v="3.0649999999999999"/>
    <n v="1651.88"/>
    <n v="5063.0122000000001"/>
    <n v="0"/>
    <n v="0.9"/>
    <n v="0.1"/>
    <m/>
    <m/>
    <x v="0"/>
    <m/>
    <m/>
    <m/>
    <m/>
    <m/>
    <m/>
    <m/>
    <m/>
    <m/>
    <m/>
    <m/>
    <m/>
    <m/>
    <m/>
    <m/>
    <m/>
    <m/>
  </r>
  <r>
    <s v="2.4.3.1.2"/>
    <s v="CMS M.60.10.000"/>
    <x v="2"/>
    <n v="7"/>
    <s v="FLANGE"/>
    <n v="8"/>
    <x v="1"/>
    <s v="NÃO"/>
    <s v="NÃO"/>
    <x v="54"/>
    <x v="2"/>
    <s v="DISPOSIÇÃO DE REJEITOS LINHA DO CIRCUITO ARENOSO DISTRIBUIDOR DI-145A-9916 PARA A PENEIRA PN-145A-9716"/>
    <m/>
    <m/>
    <m/>
    <s v="1450AA-T-70432_FL03"/>
    <n v="2"/>
    <s v="PÇ"/>
    <n v="0"/>
    <n v="0"/>
    <n v="1651.88"/>
    <n v="0"/>
    <n v="0"/>
    <n v="0.9"/>
    <n v="0.1"/>
    <m/>
    <m/>
    <x v="0"/>
    <m/>
    <m/>
    <m/>
    <m/>
    <m/>
    <m/>
    <m/>
    <m/>
    <m/>
    <m/>
    <m/>
    <m/>
    <m/>
    <m/>
    <m/>
    <m/>
    <m/>
  </r>
  <r>
    <n v="0"/>
    <s v="CMS M.60.10.000"/>
    <x v="2"/>
    <n v="1"/>
    <s v="SPOOL"/>
    <n v="18"/>
    <x v="1"/>
    <s v="SIM"/>
    <s v="NÃO"/>
    <x v="4"/>
    <x v="3"/>
    <s v="DISPOSIÇÃO DE REJEITOS LINHA DO CIRCUITO ULTRAFINO DISTRIBUIDOR DI-145A-9903 "/>
    <m/>
    <m/>
    <m/>
    <s v="-"/>
    <n v="1"/>
    <s v="PÇ"/>
    <n v="0.89300000000000002"/>
    <n v="0.89300000000000002"/>
    <n v="0"/>
    <n v="0"/>
    <n v="0"/>
    <n v="0.9"/>
    <n v="0.1"/>
    <m/>
    <m/>
    <x v="0"/>
    <m/>
    <m/>
    <m/>
    <m/>
    <m/>
    <m/>
    <m/>
    <m/>
    <m/>
    <m/>
    <m/>
    <m/>
    <m/>
    <m/>
    <m/>
    <m/>
    <m/>
  </r>
  <r>
    <s v="2.4.3.1.5"/>
    <s v="CMS M.60.10.000"/>
    <x v="2"/>
    <n v="1"/>
    <s v="SPOOL"/>
    <n v="14"/>
    <x v="1"/>
    <s v="SIM"/>
    <s v="NÃO"/>
    <x v="4"/>
    <x v="3"/>
    <s v="DISPOSIÇÃO DE REJEITOS LINHA DO CIRCUITO ULTRAFINO DISTRIBUIDOR DI-145A-9903 "/>
    <m/>
    <m/>
    <m/>
    <s v="-"/>
    <n v="6"/>
    <s v="PÇ"/>
    <n v="0.36099999999999999"/>
    <n v="2.1659999999999999"/>
    <n v="2725.4"/>
    <n v="5903.2164000000002"/>
    <n v="0"/>
    <n v="0.9"/>
    <n v="0.1"/>
    <m/>
    <m/>
    <x v="0"/>
    <m/>
    <m/>
    <m/>
    <m/>
    <m/>
    <m/>
    <m/>
    <m/>
    <m/>
    <m/>
    <m/>
    <m/>
    <m/>
    <m/>
    <m/>
    <m/>
    <m/>
  </r>
  <r>
    <s v="2.4.3.1.3"/>
    <s v="CMS M.60.10.000"/>
    <x v="2"/>
    <n v="1"/>
    <s v="SPOOL"/>
    <n v="10"/>
    <x v="1"/>
    <s v="NÃO"/>
    <s v="NÃO"/>
    <x v="55"/>
    <x v="3"/>
    <s v="DISPOSIÇÃO DE REJEITOS LINHA DO CIRCUITO ULTRAFINO UNDER DO ES-145A-9901 PARA DISTRIBUIDOR DI-145A-9903"/>
    <m/>
    <m/>
    <m/>
    <s v="1450AA-T-70437_FL15"/>
    <n v="1"/>
    <s v="PÇ"/>
    <n v="4"/>
    <n v="4"/>
    <n v="2238.89"/>
    <n v="8955.56"/>
    <n v="0"/>
    <n v="0.9"/>
    <n v="0.1"/>
    <m/>
    <m/>
    <x v="0"/>
    <m/>
    <m/>
    <m/>
    <m/>
    <m/>
    <m/>
    <m/>
    <m/>
    <m/>
    <m/>
    <m/>
    <m/>
    <m/>
    <m/>
    <m/>
    <m/>
    <m/>
  </r>
  <r>
    <s v="2.4.3.1.3"/>
    <s v="CMS M.60.10.000"/>
    <x v="2"/>
    <n v="2"/>
    <s v="SPOOL"/>
    <n v="10"/>
    <x v="1"/>
    <s v="NÃO"/>
    <s v="NÃO"/>
    <x v="55"/>
    <x v="3"/>
    <s v="DISPOSIÇÃO DE REJEITOS LINHA DO CIRCUITO ULTRAFINO UNDER DO ES-145A-9901 PARA DISTRIBUIDOR DI-145A-9903"/>
    <m/>
    <m/>
    <m/>
    <s v="1450AA-T-70437_FL08"/>
    <n v="1"/>
    <s v="PÇ"/>
    <n v="1.5"/>
    <n v="1.5"/>
    <n v="2238.89"/>
    <n v="3358.335"/>
    <n v="0"/>
    <n v="0.9"/>
    <n v="0.1"/>
    <m/>
    <m/>
    <x v="0"/>
    <m/>
    <m/>
    <m/>
    <m/>
    <m/>
    <m/>
    <m/>
    <m/>
    <m/>
    <m/>
    <m/>
    <m/>
    <m/>
    <m/>
    <m/>
    <m/>
    <m/>
  </r>
  <r>
    <s v="2.4.3.1.3"/>
    <s v="CMS M.60.10.000"/>
    <x v="2"/>
    <n v="3"/>
    <s v="SPOOL"/>
    <n v="10"/>
    <x v="1"/>
    <s v="NÃO"/>
    <s v="NÃO"/>
    <x v="55"/>
    <x v="3"/>
    <s v="DISPOSIÇÃO DE REJEITOS LINHA DO CIRCUITO ULTRAFINO UNDER DO ES-145A-9901 PARA DISTRIBUIDOR DI-145A-9903"/>
    <m/>
    <m/>
    <m/>
    <s v="1450AA-T-70437_FL12"/>
    <n v="3"/>
    <s v="PÇ"/>
    <n v="2.5"/>
    <n v="7.5"/>
    <n v="2238.89"/>
    <n v="16791.674999999999"/>
    <n v="0"/>
    <n v="0.9"/>
    <n v="0.1"/>
    <m/>
    <m/>
    <x v="0"/>
    <m/>
    <m/>
    <m/>
    <m/>
    <m/>
    <m/>
    <m/>
    <m/>
    <m/>
    <m/>
    <m/>
    <m/>
    <m/>
    <m/>
    <m/>
    <m/>
    <m/>
  </r>
  <r>
    <s v="2.4.3.1.3"/>
    <s v="CMS M.60.10.000"/>
    <x v="2"/>
    <n v="4"/>
    <s v="SPOOL"/>
    <n v="10"/>
    <x v="1"/>
    <s v="NÃO"/>
    <s v="NÃO"/>
    <x v="55"/>
    <x v="3"/>
    <s v="DISPOSIÇÃO DE REJEITOS LINHA DO CIRCUITO ULTRAFINO UNDER DO ES-145A-9901 PARA DISTRIBUIDOR DI-145A-9903"/>
    <m/>
    <m/>
    <m/>
    <s v="1450AA-T-70437_FL17"/>
    <n v="4"/>
    <s v="PÇ"/>
    <n v="6"/>
    <n v="24"/>
    <n v="2238.89"/>
    <n v="53733.36"/>
    <n v="0"/>
    <n v="0.9"/>
    <n v="0.1"/>
    <m/>
    <m/>
    <x v="0"/>
    <m/>
    <m/>
    <m/>
    <m/>
    <m/>
    <m/>
    <m/>
    <m/>
    <m/>
    <m/>
    <m/>
    <m/>
    <m/>
    <m/>
    <m/>
    <m/>
    <m/>
  </r>
  <r>
    <s v="2.4.3.1.3"/>
    <s v="CMS M.60.10.000"/>
    <x v="2"/>
    <n v="5"/>
    <s v="SPOOL"/>
    <n v="10"/>
    <x v="1"/>
    <s v="NÃO"/>
    <s v="NÃO"/>
    <x v="55"/>
    <x v="3"/>
    <s v="DISPOSIÇÃO DE REJEITOS LINHA DO CIRCUITO ULTRAFINO UNDER DO ES-145A-9901 PARA DISTRIBUIDOR DI-145A-9903"/>
    <m/>
    <m/>
    <m/>
    <s v="1450AA-T-70437_FL14"/>
    <n v="1"/>
    <s v="PÇ"/>
    <n v="3.5"/>
    <n v="3.5"/>
    <n v="2238.89"/>
    <n v="7836.1149999999998"/>
    <n v="0"/>
    <n v="0.9"/>
    <n v="0.1"/>
    <m/>
    <m/>
    <x v="0"/>
    <m/>
    <m/>
    <m/>
    <m/>
    <m/>
    <m/>
    <m/>
    <m/>
    <m/>
    <m/>
    <m/>
    <m/>
    <m/>
    <m/>
    <m/>
    <m/>
    <m/>
  </r>
  <r>
    <s v="2.4.3.1.3"/>
    <s v="CMS M.60.10.000"/>
    <x v="2"/>
    <n v="6"/>
    <s v="SPOOL"/>
    <n v="10"/>
    <x v="2"/>
    <s v="NÃO"/>
    <s v="NÃO"/>
    <x v="55"/>
    <x v="3"/>
    <s v="DISPOSIÇÃO DE REJEITOS LINHA DO CIRCUITO ULTRAFINO UNDER DO ES-145A-9901 PARA DISTRIBUIDOR DI-145A-9903"/>
    <m/>
    <m/>
    <m/>
    <s v="1450AA-T-70437_FL28"/>
    <n v="1"/>
    <s v="PÇ"/>
    <n v="0.97"/>
    <n v="0.97"/>
    <n v="2238.89"/>
    <n v="2171.7232999999997"/>
    <n v="0"/>
    <n v="0.9"/>
    <n v="0.1"/>
    <m/>
    <m/>
    <x v="0"/>
    <m/>
    <m/>
    <m/>
    <m/>
    <m/>
    <m/>
    <m/>
    <m/>
    <m/>
    <m/>
    <m/>
    <m/>
    <m/>
    <m/>
    <m/>
    <m/>
    <m/>
  </r>
  <r>
    <s v="2.4.3.1.3"/>
    <s v="CMS M.60.10.000"/>
    <x v="2"/>
    <n v="7"/>
    <s v="SPOOL"/>
    <n v="10"/>
    <x v="2"/>
    <s v="NÃO"/>
    <s v="NÃO"/>
    <x v="55"/>
    <x v="3"/>
    <s v="DISPOSIÇÃO DE REJEITOS LINHA DO CIRCUITO ULTRAFINO UNDER DO ES-145A-9901 PARA DISTRIBUIDOR DI-145A-9903"/>
    <m/>
    <m/>
    <m/>
    <s v="1450AA-T-70437_FL23"/>
    <n v="1"/>
    <s v="PÇ"/>
    <n v="0.66500000000000004"/>
    <n v="0.66500000000000004"/>
    <n v="2238.89"/>
    <n v="1488.86185"/>
    <n v="0"/>
    <n v="0.9"/>
    <n v="0.1"/>
    <m/>
    <m/>
    <x v="0"/>
    <m/>
    <m/>
    <m/>
    <m/>
    <m/>
    <m/>
    <m/>
    <m/>
    <m/>
    <m/>
    <m/>
    <m/>
    <m/>
    <m/>
    <m/>
    <m/>
    <m/>
  </r>
  <r>
    <s v="2.4.3.1.3"/>
    <s v="CMS M.60.10.000"/>
    <x v="2"/>
    <n v="8"/>
    <s v="SPOOL"/>
    <n v="10"/>
    <x v="2"/>
    <s v="NÃO"/>
    <s v="NÃO"/>
    <x v="55"/>
    <x v="3"/>
    <s v="DISPOSIÇÃO DE REJEITOS LINHA DO CIRCUITO ULTRAFINO UNDER DO ES-145A-9901 PARA DISTRIBUIDOR DI-145A-9903"/>
    <m/>
    <m/>
    <m/>
    <s v="1450AA-T-70437_FL26"/>
    <n v="1"/>
    <s v="PÇ"/>
    <n v="0.9"/>
    <n v="0.9"/>
    <n v="2238.89"/>
    <n v="2015.001"/>
    <n v="0"/>
    <n v="0.9"/>
    <n v="0.1"/>
    <m/>
    <m/>
    <x v="0"/>
    <m/>
    <m/>
    <m/>
    <m/>
    <m/>
    <m/>
    <m/>
    <m/>
    <m/>
    <m/>
    <m/>
    <m/>
    <m/>
    <m/>
    <m/>
    <m/>
    <m/>
  </r>
  <r>
    <s v="2.4.3.1.3"/>
    <s v="CMS M.60.10.000"/>
    <x v="2"/>
    <n v="9"/>
    <s v="SPOOL"/>
    <n v="10"/>
    <x v="2"/>
    <s v="NÃO"/>
    <s v="NÃO"/>
    <x v="55"/>
    <x v="3"/>
    <s v="DISPOSIÇÃO DE REJEITOS LINHA DO CIRCUITO ULTRAFINO UNDER DO ES-145A-9901 PARA DISTRIBUIDOR DI-145A-9903"/>
    <m/>
    <m/>
    <m/>
    <s v="1450AA-T-70437_FL25"/>
    <n v="1"/>
    <s v="PÇ"/>
    <n v="0.82"/>
    <n v="0.82"/>
    <n v="2238.89"/>
    <n v="1835.8897999999997"/>
    <n v="0"/>
    <n v="0.9"/>
    <n v="0.1"/>
    <m/>
    <m/>
    <x v="0"/>
    <m/>
    <m/>
    <m/>
    <m/>
    <m/>
    <m/>
    <m/>
    <m/>
    <m/>
    <m/>
    <m/>
    <m/>
    <m/>
    <m/>
    <m/>
    <m/>
    <m/>
  </r>
  <r>
    <s v="2.4.3.1.3"/>
    <s v="CMS M.60.10.000"/>
    <x v="2"/>
    <n v="10"/>
    <s v="SPOOL"/>
    <n v="10"/>
    <x v="2"/>
    <s v="NÃO"/>
    <s v="NÃO"/>
    <x v="55"/>
    <x v="3"/>
    <s v="DISPOSIÇÃO DE REJEITOS LINHA DO CIRCUITO ULTRAFINO UNDER DO ES-145A-9901 PARA DISTRIBUIDOR DI-145A-9903"/>
    <m/>
    <m/>
    <m/>
    <s v="1450AA-T-70437_FL21"/>
    <n v="1"/>
    <s v="PÇ"/>
    <n v="0.6"/>
    <n v="0.6"/>
    <n v="2238.89"/>
    <n v="1343.3339999999998"/>
    <n v="0"/>
    <n v="0.9"/>
    <n v="0.1"/>
    <m/>
    <m/>
    <x v="0"/>
    <m/>
    <m/>
    <m/>
    <m/>
    <m/>
    <m/>
    <m/>
    <m/>
    <m/>
    <m/>
    <m/>
    <m/>
    <m/>
    <m/>
    <m/>
    <m/>
    <m/>
  </r>
  <r>
    <s v="2.4.3.1.3"/>
    <s v="CMS M.60.10.000"/>
    <x v="2"/>
    <n v="11"/>
    <s v="SPOOL"/>
    <n v="10"/>
    <x v="2"/>
    <s v="NÃO"/>
    <s v="NÃO"/>
    <x v="55"/>
    <x v="3"/>
    <s v="DISPOSIÇÃO DE REJEITOS LINHA DO CIRCUITO ULTRAFINO UNDER DO ES-145A-9901 PARA DISTRIBUIDOR DI-145A-9903"/>
    <m/>
    <m/>
    <m/>
    <s v="1450AA-T-70437_FL22"/>
    <n v="1"/>
    <s v="PÇ"/>
    <n v="0.62"/>
    <n v="0.62"/>
    <n v="2238.89"/>
    <n v="1388.1117999999999"/>
    <n v="0"/>
    <n v="0.9"/>
    <n v="0.1"/>
    <m/>
    <m/>
    <x v="0"/>
    <m/>
    <m/>
    <m/>
    <m/>
    <m/>
    <m/>
    <m/>
    <m/>
    <m/>
    <m/>
    <m/>
    <m/>
    <m/>
    <m/>
    <m/>
    <m/>
    <m/>
  </r>
  <r>
    <s v="2.4.3.1.3"/>
    <s v="CMS M.60.10.000"/>
    <x v="2"/>
    <n v="12"/>
    <s v="CURVA"/>
    <n v="10"/>
    <x v="1"/>
    <s v="NÃO"/>
    <s v="NÃO"/>
    <x v="55"/>
    <x v="3"/>
    <s v="DISPOSIÇÃO DE REJEITOS LINHA DO CIRCUITO ULTRAFINO UNDER DO ES-145A-9901 PARA DISTRIBUIDOR DI-145A-9903"/>
    <m/>
    <m/>
    <m/>
    <s v="1450AA-T-70437_FL34"/>
    <n v="1"/>
    <s v="PÇ"/>
    <n v="0.69799999999999995"/>
    <n v="0.69799999999999995"/>
    <n v="2238.89"/>
    <n v="1562.7452199999998"/>
    <n v="0"/>
    <n v="0.9"/>
    <n v="0.1"/>
    <m/>
    <m/>
    <x v="0"/>
    <m/>
    <m/>
    <m/>
    <m/>
    <m/>
    <m/>
    <m/>
    <m/>
    <m/>
    <m/>
    <m/>
    <m/>
    <m/>
    <m/>
    <m/>
    <m/>
    <m/>
  </r>
  <r>
    <s v="2.4.3.1.3"/>
    <s v="CMS M.60.10.000"/>
    <x v="2"/>
    <n v="13"/>
    <s v="CURVA"/>
    <n v="10"/>
    <x v="1"/>
    <s v="NÃO"/>
    <s v="NÃO"/>
    <x v="55"/>
    <x v="3"/>
    <s v="DISPOSIÇÃO DE REJEITOS LINHA DO CIRCUITO ULTRAFINO UNDER DO ES-145A-9901 PARA DISTRIBUIDOR DI-145A-9903"/>
    <m/>
    <m/>
    <m/>
    <s v="1450AA-T-70437_FL41"/>
    <n v="2"/>
    <s v="PÇ"/>
    <n v="1.4059999999999999"/>
    <n v="2.8119999999999998"/>
    <n v="2238.89"/>
    <n v="6295.758679999999"/>
    <n v="0"/>
    <n v="0.9"/>
    <n v="0.1"/>
    <m/>
    <m/>
    <x v="0"/>
    <m/>
    <m/>
    <m/>
    <m/>
    <m/>
    <m/>
    <m/>
    <m/>
    <m/>
    <m/>
    <m/>
    <m/>
    <m/>
    <m/>
    <m/>
    <m/>
    <m/>
  </r>
  <r>
    <s v="2.4.3.1.3"/>
    <s v="CMS M.60.10.000"/>
    <x v="2"/>
    <n v="14"/>
    <s v="CURVA"/>
    <n v="10"/>
    <x v="1"/>
    <s v="NÃO"/>
    <s v="NÃO"/>
    <x v="55"/>
    <x v="3"/>
    <s v="DISPOSIÇÃO DE REJEITOS LINHA DO CIRCUITO ULTRAFINO UNDER DO ES-145A-9901 PARA DISTRIBUIDOR DI-145A-9903"/>
    <m/>
    <m/>
    <m/>
    <s v="1450AA-T-70437_FL36"/>
    <n v="1"/>
    <s v="PÇ"/>
    <n v="0.92700000000000005"/>
    <n v="0.92700000000000005"/>
    <n v="2238.89"/>
    <n v="2075.4510300000002"/>
    <n v="0"/>
    <n v="0.9"/>
    <n v="0.1"/>
    <m/>
    <m/>
    <x v="0"/>
    <m/>
    <m/>
    <m/>
    <m/>
    <m/>
    <m/>
    <m/>
    <m/>
    <m/>
    <m/>
    <m/>
    <m/>
    <m/>
    <m/>
    <m/>
    <m/>
    <m/>
  </r>
  <r>
    <s v="2.4.3.1.3"/>
    <s v="CMS M.60.10.000"/>
    <x v="2"/>
    <n v="15"/>
    <s v="CURVA"/>
    <n v="10"/>
    <x v="1"/>
    <s v="NÃO"/>
    <s v="NÃO"/>
    <x v="55"/>
    <x v="3"/>
    <s v="DISPOSIÇÃO DE REJEITOS LINHA DO CIRCUITO ULTRAFINO UNDER DO ES-145A-9901 PARA DISTRIBUIDOR DI-145A-9903"/>
    <m/>
    <m/>
    <m/>
    <s v="1450AA-T-70437_FL39"/>
    <n v="1"/>
    <s v="PÇ"/>
    <n v="1.36"/>
    <n v="1.36"/>
    <n v="2238.89"/>
    <n v="3044.8904000000002"/>
    <n v="0"/>
    <n v="0.9"/>
    <n v="0.1"/>
    <m/>
    <m/>
    <x v="0"/>
    <m/>
    <m/>
    <m/>
    <m/>
    <m/>
    <m/>
    <m/>
    <m/>
    <m/>
    <m/>
    <m/>
    <m/>
    <m/>
    <m/>
    <m/>
    <m/>
    <m/>
  </r>
  <r>
    <s v="2.4.3.1.3"/>
    <s v="CMS M.60.10.000"/>
    <x v="2"/>
    <n v="16"/>
    <s v="CURVA"/>
    <n v="10"/>
    <x v="1"/>
    <s v="NÃO"/>
    <s v="NÃO"/>
    <x v="55"/>
    <x v="3"/>
    <s v="DISPOSIÇÃO DE REJEITOS LINHA DO CIRCUITO ULTRAFINO UNDER DO ES-145A-9901 PARA DISTRIBUIDOR DI-145A-9903"/>
    <m/>
    <m/>
    <m/>
    <s v="1450AA-T-70437_FL35"/>
    <n v="1"/>
    <s v="PÇ"/>
    <n v="0.77500000000000002"/>
    <n v="0.77500000000000002"/>
    <n v="2238.89"/>
    <n v="1735.13975"/>
    <n v="0"/>
    <n v="0.9"/>
    <n v="0.1"/>
    <m/>
    <m/>
    <x v="0"/>
    <m/>
    <m/>
    <m/>
    <m/>
    <m/>
    <m/>
    <m/>
    <m/>
    <m/>
    <m/>
    <m/>
    <m/>
    <m/>
    <m/>
    <m/>
    <m/>
    <m/>
  </r>
  <r>
    <s v="2.4.3.1.3"/>
    <s v="CMS M.60.10.000"/>
    <x v="2"/>
    <n v="17"/>
    <s v="CURVA"/>
    <n v="10"/>
    <x v="1"/>
    <s v="NÃO"/>
    <s v="NÃO"/>
    <x v="55"/>
    <x v="3"/>
    <s v="DISPOSIÇÃO DE REJEITOS LINHA DO CIRCUITO ULTRAFINO UNDER DO ES-145A-9901 PARA DISTRIBUIDOR DI-145A-9903"/>
    <m/>
    <m/>
    <m/>
    <s v="1450AA-T-70437_FL37"/>
    <n v="1"/>
    <s v="PÇ"/>
    <n v="1.2190000000000001"/>
    <n v="1.2190000000000001"/>
    <n v="2238.89"/>
    <n v="2729.2069099999999"/>
    <n v="0"/>
    <n v="0.9"/>
    <n v="0.1"/>
    <m/>
    <m/>
    <x v="0"/>
    <m/>
    <m/>
    <m/>
    <m/>
    <m/>
    <m/>
    <m/>
    <m/>
    <m/>
    <m/>
    <m/>
    <m/>
    <m/>
    <m/>
    <m/>
    <m/>
    <m/>
  </r>
  <r>
    <s v="2.4.3.1.3"/>
    <s v="CMS M.60.10.000"/>
    <x v="2"/>
    <n v="18"/>
    <s v="CURVA"/>
    <n v="10"/>
    <x v="1"/>
    <s v="NÃO"/>
    <s v="NÃO"/>
    <x v="55"/>
    <x v="3"/>
    <s v="DISPOSIÇÃO DE REJEITOS LINHA DO CIRCUITO ULTRAFINO UNDER DO ES-145A-9901 PARA DISTRIBUIDOR DI-145A-9903"/>
    <m/>
    <m/>
    <m/>
    <s v="1450AA-T-70437_FL40"/>
    <n v="1"/>
    <s v="PÇ"/>
    <n v="1.3759999999999999"/>
    <n v="1.3759999999999999"/>
    <n v="2238.89"/>
    <n v="3080.7126399999997"/>
    <n v="0"/>
    <n v="0.9"/>
    <n v="0.1"/>
    <m/>
    <m/>
    <x v="0"/>
    <m/>
    <m/>
    <m/>
    <m/>
    <m/>
    <m/>
    <m/>
    <m/>
    <m/>
    <m/>
    <m/>
    <m/>
    <m/>
    <m/>
    <m/>
    <m/>
    <m/>
  </r>
  <r>
    <s v="2.4.3.1.1"/>
    <s v="CMS M.60.10.000"/>
    <x v="2"/>
    <n v="1"/>
    <s v="SPOOL"/>
    <n v="6"/>
    <x v="1"/>
    <s v="NÃO"/>
    <s v="NÃO"/>
    <x v="56"/>
    <x v="3"/>
    <s v="DISPOSIÇÃO DE REJEITOS LINHA DO CIRCUITO ULTRAFINO DISTRIBUIDOR DI-145A-9905 PARA A PENEIRA PN-145A-9726"/>
    <m/>
    <m/>
    <m/>
    <s v="1450AA-T-70442_FL11"/>
    <n v="1"/>
    <s v="PÇ"/>
    <n v="2.5"/>
    <n v="2.5"/>
    <n v="1169.77"/>
    <n v="2924.4250000000002"/>
    <n v="0"/>
    <n v="0.9"/>
    <n v="0.1"/>
    <m/>
    <m/>
    <x v="0"/>
    <m/>
    <m/>
    <m/>
    <m/>
    <m/>
    <m/>
    <m/>
    <m/>
    <m/>
    <m/>
    <m/>
    <m/>
    <m/>
    <m/>
    <m/>
    <m/>
    <m/>
  </r>
  <r>
    <s v="2.4.3.1.1"/>
    <s v="CMS M.60.10.000"/>
    <x v="2"/>
    <n v="2"/>
    <s v="SPOOL"/>
    <n v="6"/>
    <x v="1"/>
    <s v="NÃO"/>
    <s v="NÃO"/>
    <x v="56"/>
    <x v="3"/>
    <s v="DISPOSIÇÃO DE REJEITOS LINHA DO CIRCUITO ULTRAFINO DISTRIBUIDOR DI-145A-9905 PARA A PENEIRA PN-145A-9726"/>
    <m/>
    <m/>
    <m/>
    <s v="1450AA-T-70442_FL10"/>
    <n v="1"/>
    <s v="PÇ"/>
    <n v="2"/>
    <n v="2"/>
    <n v="1169.77"/>
    <n v="2339.54"/>
    <n v="0"/>
    <n v="0.9"/>
    <n v="0.1"/>
    <m/>
    <m/>
    <x v="0"/>
    <m/>
    <m/>
    <m/>
    <m/>
    <m/>
    <m/>
    <m/>
    <m/>
    <m/>
    <m/>
    <m/>
    <m/>
    <m/>
    <m/>
    <m/>
    <m/>
    <m/>
  </r>
  <r>
    <s v="2.4.3.1.1"/>
    <s v="CMS M.60.10.000"/>
    <x v="2"/>
    <n v="3"/>
    <s v="SPOOL"/>
    <n v="6"/>
    <x v="1"/>
    <s v="NÃO"/>
    <s v="NÃO"/>
    <x v="56"/>
    <x v="3"/>
    <s v="DISPOSIÇÃO DE REJEITOS LINHA DO CIRCUITO ULTRAFINO DISTRIBUIDOR DI-145A-9905 PARA A PENEIRA PN-145A-9726"/>
    <m/>
    <m/>
    <m/>
    <s v="1450AA-T-70442_FL09"/>
    <n v="2"/>
    <s v="PÇ"/>
    <n v="0.75"/>
    <n v="1.5"/>
    <n v="1169.77"/>
    <n v="1754.655"/>
    <n v="0"/>
    <n v="0.9"/>
    <n v="0.1"/>
    <m/>
    <m/>
    <x v="0"/>
    <m/>
    <m/>
    <m/>
    <m/>
    <m/>
    <m/>
    <m/>
    <m/>
    <m/>
    <m/>
    <m/>
    <m/>
    <m/>
    <m/>
    <m/>
    <m/>
    <m/>
  </r>
  <r>
    <s v="2.4.3.1.1"/>
    <s v="CMS M.60.10.000"/>
    <x v="2"/>
    <n v="4"/>
    <s v="SPOOL"/>
    <n v="6"/>
    <x v="2"/>
    <s v="NÃO"/>
    <s v="NÃO"/>
    <x v="56"/>
    <x v="3"/>
    <s v="DISPOSIÇÃO DE REJEITOS LINHA DO CIRCUITO ULTRAFINO DISTRIBUIDOR DI-145A-9905 PARA A PENEIRA PN-145A-9726"/>
    <m/>
    <m/>
    <m/>
    <s v="1450AA-T-70442_FL14"/>
    <n v="1"/>
    <s v="PÇ"/>
    <n v="0.54"/>
    <n v="0.54"/>
    <n v="1169.77"/>
    <n v="631.67579999999998"/>
    <n v="0"/>
    <n v="0.9"/>
    <n v="0.1"/>
    <m/>
    <m/>
    <x v="0"/>
    <m/>
    <m/>
    <m/>
    <m/>
    <m/>
    <m/>
    <m/>
    <m/>
    <m/>
    <m/>
    <m/>
    <m/>
    <m/>
    <m/>
    <m/>
    <m/>
    <m/>
  </r>
  <r>
    <s v="2.4.3.1.1"/>
    <s v="CMS M.60.10.000"/>
    <x v="2"/>
    <n v="5"/>
    <s v="SPOOL"/>
    <n v="6"/>
    <x v="2"/>
    <s v="NÃO"/>
    <s v="NÃO"/>
    <x v="56"/>
    <x v="3"/>
    <s v="DISPOSIÇÃO DE REJEITOS LINHA DO CIRCUITO ULTRAFINO DISTRIBUIDOR DI-145A-9905 PARA A PENEIRA PN-145A-9726"/>
    <m/>
    <m/>
    <m/>
    <s v="1450AA-T-70442_FL13"/>
    <n v="1"/>
    <s v="PÇ"/>
    <n v="0.36"/>
    <n v="0.36"/>
    <n v="1169.77"/>
    <n v="421.11719999999997"/>
    <n v="0"/>
    <n v="0.9"/>
    <n v="0.1"/>
    <m/>
    <m/>
    <x v="0"/>
    <m/>
    <m/>
    <m/>
    <m/>
    <m/>
    <m/>
    <m/>
    <m/>
    <m/>
    <m/>
    <m/>
    <m/>
    <m/>
    <m/>
    <m/>
    <m/>
    <m/>
  </r>
  <r>
    <s v="2.4.3.1.1"/>
    <s v="CMS M.60.10.000"/>
    <x v="2"/>
    <n v="6"/>
    <s v="SPOOL"/>
    <n v="6"/>
    <x v="2"/>
    <s v="NÃO"/>
    <s v="NÃO"/>
    <x v="56"/>
    <x v="3"/>
    <s v="DISPOSIÇÃO DE REJEITOS LINHA DO CIRCUITO ULTRAFINO DISTRIBUIDOR DI-145A-9905 PARA A PENEIRA PN-145A-9726"/>
    <m/>
    <m/>
    <m/>
    <s v="1450AA-T-70442_FL12"/>
    <n v="1"/>
    <s v="PÇ"/>
    <n v="0.34"/>
    <n v="0.34"/>
    <n v="1169.77"/>
    <n v="397.72180000000003"/>
    <n v="0"/>
    <n v="0.9"/>
    <n v="0.1"/>
    <m/>
    <m/>
    <x v="0"/>
    <m/>
    <m/>
    <m/>
    <m/>
    <m/>
    <m/>
    <m/>
    <m/>
    <m/>
    <m/>
    <m/>
    <m/>
    <m/>
    <m/>
    <m/>
    <m/>
    <m/>
  </r>
  <r>
    <s v="2.4.3.1.1"/>
    <s v="CMS M.60.10.000"/>
    <x v="2"/>
    <n v="7"/>
    <s v="CURVA"/>
    <n v="6"/>
    <x v="1"/>
    <s v="NÃO"/>
    <s v="NÃO"/>
    <x v="56"/>
    <x v="3"/>
    <s v="DISPOSIÇÃO DE REJEITOS LINHA DO CIRCUITO ULTRAFINO DISTRIBUIDOR DI-145A-9905 PARA A PENEIRA PN-145A-9726"/>
    <m/>
    <m/>
    <m/>
    <s v="1450AA-T-70442_FL16"/>
    <n v="2"/>
    <s v="PÇ"/>
    <n v="0.46500000000000002"/>
    <n v="0.93"/>
    <n v="1169.77"/>
    <n v="1087.8860999999999"/>
    <n v="0"/>
    <n v="0.9"/>
    <n v="0.1"/>
    <m/>
    <m/>
    <x v="0"/>
    <m/>
    <m/>
    <m/>
    <m/>
    <m/>
    <m/>
    <m/>
    <m/>
    <m/>
    <m/>
    <m/>
    <m/>
    <m/>
    <m/>
    <m/>
    <m/>
    <m/>
  </r>
  <r>
    <s v="2.4.3.1.1"/>
    <s v="CMS M.60.10.000"/>
    <x v="2"/>
    <n v="8"/>
    <s v="CURVA"/>
    <n v="6"/>
    <x v="1"/>
    <s v="NÃO"/>
    <s v="NÃO"/>
    <x v="56"/>
    <x v="3"/>
    <s v="DISPOSIÇÃO DE REJEITOS LINHA DO CIRCUITO ULTRAFINO DISTRIBUIDOR DI-145A-9905 PARA A PENEIRA PN-145A-9726"/>
    <m/>
    <m/>
    <m/>
    <s v="1450AA-T-70442_FL15"/>
    <n v="1"/>
    <s v="PÇ"/>
    <n v="0.32500000000000001"/>
    <n v="0.32500000000000001"/>
    <n v="1169.77"/>
    <n v="380.17525000000001"/>
    <n v="0"/>
    <n v="0.9"/>
    <n v="0.1"/>
    <m/>
    <m/>
    <x v="0"/>
    <m/>
    <m/>
    <m/>
    <m/>
    <m/>
    <m/>
    <m/>
    <m/>
    <m/>
    <m/>
    <m/>
    <m/>
    <m/>
    <m/>
    <m/>
    <m/>
    <m/>
  </r>
  <r>
    <n v="0"/>
    <s v="CMS M.60.10.000"/>
    <x v="2"/>
    <n v="9"/>
    <s v="SPOOL"/>
    <s v="6 X 4"/>
    <x v="1"/>
    <s v="NÃO"/>
    <s v="NÃO"/>
    <x v="56"/>
    <x v="3"/>
    <s v="DISPOSIÇÃO DE REJEITOS LINHA DO CIRCUITO ULTRAFINO DISTRIBUIDOR DI-145A-9905 PARA A PENEIRA PN-145A-9726"/>
    <m/>
    <m/>
    <m/>
    <s v="1450AA-T-70442_FL17"/>
    <n v="1"/>
    <s v="PÇ"/>
    <n v="2.1349999999999998"/>
    <n v="2.1349999999999998"/>
    <n v="0"/>
    <n v="0"/>
    <n v="0"/>
    <n v="0.9"/>
    <n v="0.1"/>
    <m/>
    <m/>
    <x v="0"/>
    <m/>
    <m/>
    <m/>
    <m/>
    <m/>
    <m/>
    <m/>
    <m/>
    <m/>
    <m/>
    <m/>
    <m/>
    <m/>
    <m/>
    <m/>
    <m/>
    <m/>
  </r>
  <r>
    <n v="0"/>
    <s v="CMS M.60.10.000"/>
    <x v="2"/>
    <n v="10"/>
    <s v="FLANGE"/>
    <n v="4"/>
    <x v="1"/>
    <s v="NÃO"/>
    <s v="NÃO"/>
    <x v="56"/>
    <x v="3"/>
    <s v="DISPOSIÇÃO DE REJEITOS LINHA DO CIRCUITO ULTRAFINO DISTRIBUIDOR DI-145A-9905 PARA A PENEIRA PN-145A-9726"/>
    <m/>
    <m/>
    <m/>
    <s v="1450AA-T-70442_FL03"/>
    <n v="2"/>
    <s v="PÇ"/>
    <n v="0"/>
    <n v="0"/>
    <n v="0"/>
    <n v="0"/>
    <n v="0"/>
    <n v="0.9"/>
    <n v="0.1"/>
    <m/>
    <m/>
    <x v="0"/>
    <m/>
    <m/>
    <m/>
    <m/>
    <m/>
    <m/>
    <m/>
    <m/>
    <m/>
    <m/>
    <m/>
    <m/>
    <m/>
    <m/>
    <m/>
    <m/>
    <m/>
  </r>
  <r>
    <s v="2.4.3.1.1"/>
    <s v="CMS M.60.10.000"/>
    <x v="2"/>
    <n v="1"/>
    <s v="SPOOL"/>
    <n v="6"/>
    <x v="1"/>
    <s v="NÃO"/>
    <s v="NÃO"/>
    <x v="57"/>
    <x v="3"/>
    <s v="DISPOSIÇÃO DE REJEITOS LINHA DO CIRCUITO ULTRAFINO DISTRIBUIDOR DI-145A-9905 PARA A PENEIRA PN-145A-9704"/>
    <m/>
    <m/>
    <m/>
    <s v="1450AA-T-70444_FL16"/>
    <n v="1"/>
    <s v="PÇ"/>
    <n v="2.5"/>
    <n v="2.5"/>
    <n v="1169.77"/>
    <n v="2924.4250000000002"/>
    <n v="0"/>
    <n v="0.9"/>
    <n v="0.1"/>
    <m/>
    <m/>
    <x v="0"/>
    <m/>
    <m/>
    <m/>
    <m/>
    <m/>
    <m/>
    <m/>
    <m/>
    <m/>
    <m/>
    <m/>
    <m/>
    <m/>
    <m/>
    <m/>
    <m/>
    <m/>
  </r>
  <r>
    <s v="2.4.3.1.1"/>
    <s v="CMS M.60.10.000"/>
    <x v="2"/>
    <n v="2"/>
    <s v="SPOOL"/>
    <n v="6"/>
    <x v="1"/>
    <s v="NÃO"/>
    <s v="NÃO"/>
    <x v="57"/>
    <x v="3"/>
    <s v="DISPOSIÇÃO DE REJEITOS LINHA DO CIRCUITO ULTRAFINO DISTRIBUIDOR DI-145A-9905 PARA A PENEIRA PN-145A-9704"/>
    <m/>
    <m/>
    <m/>
    <s v="1450AA-T-70444_FL15"/>
    <n v="1"/>
    <s v="PÇ"/>
    <n v="2.2000000000000002"/>
    <n v="2.2000000000000002"/>
    <n v="1169.77"/>
    <n v="2573.4940000000001"/>
    <n v="0"/>
    <n v="0.9"/>
    <n v="0.1"/>
    <m/>
    <m/>
    <x v="0"/>
    <m/>
    <m/>
    <m/>
    <m/>
    <m/>
    <m/>
    <m/>
    <m/>
    <m/>
    <m/>
    <m/>
    <m/>
    <m/>
    <m/>
    <m/>
    <m/>
    <m/>
  </r>
  <r>
    <s v="2.4.3.1.1"/>
    <s v="CMS M.60.10.000"/>
    <x v="2"/>
    <n v="3"/>
    <s v="SPOOL"/>
    <n v="6"/>
    <x v="1"/>
    <s v="NÃO"/>
    <s v="NÃO"/>
    <x v="57"/>
    <x v="3"/>
    <s v="DISPOSIÇÃO DE REJEITOS LINHA DO CIRCUITO ULTRAFINO DISTRIBUIDOR DI-145A-9905 PARA A PENEIRA PN-145A-9704"/>
    <m/>
    <m/>
    <m/>
    <s v="1450AA-T-70444_FL14"/>
    <n v="1"/>
    <s v="PÇ"/>
    <n v="2"/>
    <n v="2"/>
    <n v="1169.77"/>
    <n v="2339.54"/>
    <n v="0"/>
    <n v="0.9"/>
    <n v="0.1"/>
    <m/>
    <m/>
    <x v="0"/>
    <m/>
    <m/>
    <m/>
    <m/>
    <m/>
    <m/>
    <m/>
    <m/>
    <m/>
    <m/>
    <m/>
    <m/>
    <m/>
    <m/>
    <m/>
    <m/>
    <m/>
  </r>
  <r>
    <s v="2.4.3.1.1"/>
    <s v="CMS M.60.10.000"/>
    <x v="2"/>
    <n v="4"/>
    <s v="SPOOL"/>
    <n v="6"/>
    <x v="1"/>
    <s v="NÃO"/>
    <s v="NÃO"/>
    <x v="57"/>
    <x v="3"/>
    <s v="DISPOSIÇÃO DE REJEITOS LINHA DO CIRCUITO ULTRAFINO DISTRIBUIDOR DI-145A-9905 PARA A PENEIRA PN-145A-9704"/>
    <m/>
    <m/>
    <m/>
    <s v="1450AA-T-70444_FL13"/>
    <n v="1"/>
    <s v="PÇ"/>
    <n v="1.6"/>
    <n v="1.6"/>
    <n v="1169.77"/>
    <n v="1871.6320000000001"/>
    <n v="0"/>
    <n v="0.9"/>
    <n v="0.1"/>
    <m/>
    <m/>
    <x v="0"/>
    <m/>
    <m/>
    <m/>
    <m/>
    <m/>
    <m/>
    <m/>
    <m/>
    <m/>
    <m/>
    <m/>
    <m/>
    <m/>
    <m/>
    <m/>
    <m/>
    <m/>
  </r>
  <r>
    <s v="2.4.3.1.1"/>
    <s v="CMS M.60.10.000"/>
    <x v="2"/>
    <n v="5"/>
    <s v="SPOOL"/>
    <n v="6"/>
    <x v="1"/>
    <s v="NÃO"/>
    <s v="NÃO"/>
    <x v="57"/>
    <x v="3"/>
    <s v="DISPOSIÇÃO DE REJEITOS LINHA DO CIRCUITO ULTRAFINO DISTRIBUIDOR DI-145A-9905 PARA A PENEIRA PN-145A-9704"/>
    <m/>
    <m/>
    <m/>
    <s v="1450AA-T-70444_FL12"/>
    <n v="1"/>
    <s v="PÇ"/>
    <n v="1.1000000000000001"/>
    <n v="1.1000000000000001"/>
    <n v="1169.77"/>
    <n v="1286.7470000000001"/>
    <n v="0"/>
    <n v="0.9"/>
    <n v="0.1"/>
    <m/>
    <m/>
    <x v="0"/>
    <m/>
    <m/>
    <m/>
    <m/>
    <m/>
    <m/>
    <m/>
    <m/>
    <m/>
    <m/>
    <m/>
    <m/>
    <m/>
    <m/>
    <m/>
    <m/>
    <m/>
  </r>
  <r>
    <s v="2.4.3.1.1"/>
    <s v="CMS M.60.10.000"/>
    <x v="2"/>
    <n v="6"/>
    <s v="SPOOL"/>
    <n v="6"/>
    <x v="1"/>
    <s v="NÃO"/>
    <s v="NÃO"/>
    <x v="57"/>
    <x v="3"/>
    <s v="DISPOSIÇÃO DE REJEITOS LINHA DO CIRCUITO ULTRAFINO DISTRIBUIDOR DI-145A-9905 PARA A PENEIRA PN-145A-9704"/>
    <m/>
    <m/>
    <m/>
    <s v="1450AA-T-70444_FL11"/>
    <n v="1"/>
    <s v="PÇ"/>
    <n v="1"/>
    <n v="1"/>
    <n v="1169.77"/>
    <n v="1169.77"/>
    <n v="0"/>
    <n v="0.9"/>
    <n v="0.1"/>
    <m/>
    <m/>
    <x v="0"/>
    <m/>
    <m/>
    <m/>
    <m/>
    <m/>
    <m/>
    <m/>
    <m/>
    <m/>
    <m/>
    <m/>
    <m/>
    <m/>
    <m/>
    <m/>
    <m/>
    <m/>
  </r>
  <r>
    <s v="2.4.3.1.1"/>
    <s v="CMS M.60.10.000"/>
    <x v="2"/>
    <n v="7"/>
    <s v="SPOOL"/>
    <n v="6"/>
    <x v="1"/>
    <s v="NÃO"/>
    <s v="NÃO"/>
    <x v="57"/>
    <x v="3"/>
    <s v="DISPOSIÇÃO DE REJEITOS LINHA DO CIRCUITO ULTRAFINO DISTRIBUIDOR DI-145A-9905 PARA A PENEIRA PN-145A-9704"/>
    <m/>
    <m/>
    <m/>
    <s v="1450AA-T-70444_FL10"/>
    <n v="1"/>
    <s v="PÇ"/>
    <n v="0.89"/>
    <n v="0.89"/>
    <n v="1169.77"/>
    <n v="1041.0953"/>
    <n v="0"/>
    <n v="0.9"/>
    <n v="0.1"/>
    <m/>
    <m/>
    <x v="0"/>
    <m/>
    <m/>
    <m/>
    <m/>
    <m/>
    <m/>
    <m/>
    <m/>
    <m/>
    <m/>
    <m/>
    <m/>
    <m/>
    <m/>
    <m/>
    <m/>
    <m/>
  </r>
  <r>
    <s v="2.4.3.1.1"/>
    <s v="CMS M.60.10.000"/>
    <x v="2"/>
    <n v="8"/>
    <s v="SPOOL"/>
    <n v="6"/>
    <x v="1"/>
    <s v="NÃO"/>
    <s v="NÃO"/>
    <x v="57"/>
    <x v="3"/>
    <s v="DISPOSIÇÃO DE REJEITOS LINHA DO CIRCUITO ULTRAFINO DISTRIBUIDOR DI-145A-9905 PARA A PENEIRA PN-145A-9704"/>
    <m/>
    <m/>
    <m/>
    <s v="1450AA-T-70444_FL09"/>
    <n v="1"/>
    <s v="PÇ"/>
    <n v="0.75"/>
    <n v="0.75"/>
    <n v="1169.77"/>
    <n v="877.32749999999999"/>
    <n v="0"/>
    <n v="0.9"/>
    <n v="0.1"/>
    <m/>
    <m/>
    <x v="0"/>
    <m/>
    <m/>
    <m/>
    <m/>
    <m/>
    <m/>
    <m/>
    <m/>
    <m/>
    <m/>
    <m/>
    <m/>
    <m/>
    <m/>
    <m/>
    <m/>
    <m/>
  </r>
  <r>
    <s v="2.4.3.1.1"/>
    <s v="CMS M.60.10.000"/>
    <x v="2"/>
    <n v="9"/>
    <s v="SPOOL"/>
    <n v="6"/>
    <x v="2"/>
    <s v="NÃO"/>
    <s v="NÃO"/>
    <x v="57"/>
    <x v="3"/>
    <s v="DISPOSIÇÃO DE REJEITOS LINHA DO CIRCUITO ULTRAFINO DISTRIBUIDOR DI-145A-9905 PARA A PENEIRA PN-145A-9704"/>
    <m/>
    <m/>
    <m/>
    <s v="1450AA-T-70444_FL20"/>
    <n v="3"/>
    <s v="PÇ"/>
    <n v="0.44"/>
    <n v="1.32"/>
    <n v="1169.77"/>
    <n v="1544.0964000000001"/>
    <n v="0"/>
    <n v="0.9"/>
    <n v="0.1"/>
    <m/>
    <m/>
    <x v="0"/>
    <m/>
    <m/>
    <m/>
    <m/>
    <m/>
    <m/>
    <m/>
    <m/>
    <m/>
    <m/>
    <m/>
    <m/>
    <m/>
    <m/>
    <m/>
    <m/>
    <m/>
  </r>
  <r>
    <s v="2.4.3.1.1"/>
    <s v="CMS M.60.10.000"/>
    <x v="2"/>
    <n v="10"/>
    <s v="SPOOL"/>
    <n v="6"/>
    <x v="2"/>
    <s v="NÃO"/>
    <s v="NÃO"/>
    <x v="57"/>
    <x v="3"/>
    <s v="DISPOSIÇÃO DE REJEITOS LINHA DO CIRCUITO ULTRAFINO DISTRIBUIDOR DI-145A-9905 PARA A PENEIRA PN-145A-9704"/>
    <m/>
    <m/>
    <m/>
    <s v="1450AA-T-70444_FL19"/>
    <n v="1"/>
    <s v="PÇ"/>
    <n v="0.41"/>
    <n v="0.41"/>
    <n v="1169.77"/>
    <n v="479.60569999999996"/>
    <n v="0"/>
    <n v="0.9"/>
    <n v="0.1"/>
    <m/>
    <m/>
    <x v="0"/>
    <m/>
    <m/>
    <m/>
    <m/>
    <m/>
    <m/>
    <m/>
    <m/>
    <m/>
    <m/>
    <m/>
    <m/>
    <m/>
    <m/>
    <m/>
    <m/>
    <m/>
  </r>
  <r>
    <s v="2.4.3.1.1"/>
    <s v="CMS M.60.10.000"/>
    <x v="2"/>
    <n v="11"/>
    <s v="SPOOL"/>
    <n v="6"/>
    <x v="2"/>
    <s v="NÃO"/>
    <s v="NÃO"/>
    <x v="57"/>
    <x v="3"/>
    <s v="DISPOSIÇÃO DE REJEITOS LINHA DO CIRCUITO ULTRAFINO DISTRIBUIDOR DI-145A-9905 PARA A PENEIRA PN-145A-9704"/>
    <m/>
    <m/>
    <m/>
    <s v="1450AA-T-70444_FL18"/>
    <n v="1"/>
    <s v="PÇ"/>
    <n v="0.39"/>
    <n v="0.39"/>
    <n v="1169.77"/>
    <n v="456.21030000000002"/>
    <n v="0"/>
    <n v="0.9"/>
    <n v="0.1"/>
    <m/>
    <m/>
    <x v="0"/>
    <m/>
    <m/>
    <m/>
    <m/>
    <m/>
    <m/>
    <m/>
    <m/>
    <m/>
    <m/>
    <m/>
    <m/>
    <m/>
    <m/>
    <m/>
    <m/>
    <m/>
  </r>
  <r>
    <s v="2.4.3.1.1"/>
    <s v="CMS M.60.10.000"/>
    <x v="2"/>
    <n v="12"/>
    <s v="SPOOL"/>
    <n v="6"/>
    <x v="2"/>
    <s v="NÃO"/>
    <s v="NÃO"/>
    <x v="57"/>
    <x v="3"/>
    <s v="DISPOSIÇÃO DE REJEITOS LINHA DO CIRCUITO ULTRAFINO DISTRIBUIDOR DI-145A-9905 PARA A PENEIRA PN-145A-9704"/>
    <m/>
    <m/>
    <m/>
    <s v="1450AA-T-70444_FL17"/>
    <n v="1"/>
    <s v="PÇ"/>
    <n v="0.33"/>
    <n v="0.33"/>
    <n v="1169.77"/>
    <n v="386.02410000000003"/>
    <n v="0"/>
    <n v="0.9"/>
    <n v="0.1"/>
    <m/>
    <m/>
    <x v="0"/>
    <m/>
    <m/>
    <m/>
    <m/>
    <m/>
    <m/>
    <m/>
    <m/>
    <m/>
    <m/>
    <m/>
    <m/>
    <m/>
    <m/>
    <m/>
    <m/>
    <m/>
  </r>
  <r>
    <s v="2.4.3.1.1"/>
    <s v="CMS M.60.10.000"/>
    <x v="2"/>
    <n v="13"/>
    <s v="CURVA"/>
    <n v="6"/>
    <x v="1"/>
    <s v="NÃO"/>
    <s v="NÃO"/>
    <x v="57"/>
    <x v="3"/>
    <s v="DISPOSIÇÃO DE REJEITOS LINHA DO CIRCUITO ULTRAFINO DISTRIBUIDOR DI-145A-9905 PARA A PENEIRA PN-145A-9704"/>
    <m/>
    <m/>
    <m/>
    <s v="1450AA-T-70444_FL26"/>
    <n v="1"/>
    <s v="PÇ"/>
    <n v="0.48"/>
    <n v="0.48"/>
    <n v="1169.77"/>
    <n v="561.4896"/>
    <n v="0"/>
    <n v="0.9"/>
    <n v="0.1"/>
    <m/>
    <m/>
    <x v="0"/>
    <m/>
    <m/>
    <m/>
    <m/>
    <m/>
    <m/>
    <m/>
    <m/>
    <m/>
    <m/>
    <m/>
    <m/>
    <m/>
    <m/>
    <m/>
    <m/>
    <m/>
  </r>
  <r>
    <s v="2.4.3.1.1"/>
    <s v="CMS M.60.10.000"/>
    <x v="2"/>
    <n v="14"/>
    <s v="CURVA"/>
    <n v="6"/>
    <x v="1"/>
    <s v="NÃO"/>
    <s v="NÃO"/>
    <x v="57"/>
    <x v="3"/>
    <s v="DISPOSIÇÃO DE REJEITOS LINHA DO CIRCUITO ULTRAFINO DISTRIBUIDOR DI-145A-9905 PARA A PENEIRA PN-145A-9704"/>
    <m/>
    <m/>
    <m/>
    <s v="1450AA-T-70444_FL25"/>
    <n v="2"/>
    <s v="PÇ"/>
    <n v="0.46500000000000002"/>
    <n v="0.93"/>
    <n v="1169.77"/>
    <n v="1087.8860999999999"/>
    <n v="0"/>
    <n v="0.9"/>
    <n v="0.1"/>
    <m/>
    <m/>
    <x v="0"/>
    <m/>
    <m/>
    <m/>
    <m/>
    <m/>
    <m/>
    <m/>
    <m/>
    <m/>
    <m/>
    <m/>
    <m/>
    <m/>
    <m/>
    <m/>
    <m/>
    <m/>
  </r>
  <r>
    <s v="2.4.3.1.1"/>
    <s v="CMS M.60.10.000"/>
    <x v="2"/>
    <n v="15"/>
    <s v="CURVA"/>
    <n v="6"/>
    <x v="1"/>
    <s v="NÃO"/>
    <s v="NÃO"/>
    <x v="57"/>
    <x v="3"/>
    <s v="DISPOSIÇÃO DE REJEITOS LINHA DO CIRCUITO ULTRAFINO DISTRIBUIDOR DI-145A-9905 PARA A PENEIRA PN-145A-9704"/>
    <m/>
    <m/>
    <m/>
    <s v="1450AA-T-70444_FL24"/>
    <n v="1"/>
    <s v="PÇ"/>
    <n v="0.41899999999999998"/>
    <n v="0.41899999999999998"/>
    <n v="1169.77"/>
    <n v="490.13362999999998"/>
    <n v="0"/>
    <n v="0.9"/>
    <n v="0.1"/>
    <m/>
    <m/>
    <x v="0"/>
    <m/>
    <m/>
    <m/>
    <m/>
    <m/>
    <m/>
    <m/>
    <m/>
    <m/>
    <m/>
    <m/>
    <m/>
    <m/>
    <m/>
    <m/>
    <m/>
    <m/>
  </r>
  <r>
    <s v="2.4.3.1.1"/>
    <s v="CMS M.60.10.000"/>
    <x v="2"/>
    <n v="16"/>
    <s v="CURVA"/>
    <n v="6"/>
    <x v="1"/>
    <s v="NÃO"/>
    <s v="NÃO"/>
    <x v="57"/>
    <x v="3"/>
    <s v="DISPOSIÇÃO DE REJEITOS LINHA DO CIRCUITO ULTRAFINO DISTRIBUIDOR DI-145A-9905 PARA A PENEIRA PN-145A-9704"/>
    <m/>
    <m/>
    <m/>
    <s v="1450AA-T-70444_FL23"/>
    <n v="1"/>
    <s v="PÇ"/>
    <n v="0.51"/>
    <n v="0.51"/>
    <n v="1169.77"/>
    <n v="596.58270000000005"/>
    <n v="0"/>
    <n v="0.9"/>
    <n v="0.1"/>
    <m/>
    <m/>
    <x v="0"/>
    <m/>
    <m/>
    <m/>
    <m/>
    <m/>
    <m/>
    <m/>
    <m/>
    <m/>
    <m/>
    <m/>
    <m/>
    <m/>
    <m/>
    <m/>
    <m/>
    <m/>
  </r>
  <r>
    <s v="2.4.3.1.1"/>
    <s v="CMS M.60.10.000"/>
    <x v="2"/>
    <n v="17"/>
    <s v="CURVA"/>
    <n v="6"/>
    <x v="1"/>
    <s v="NÃO"/>
    <s v="NÃO"/>
    <x v="57"/>
    <x v="3"/>
    <s v="DISPOSIÇÃO DE REJEITOS LINHA DO CIRCUITO ULTRAFINO DISTRIBUIDOR DI-145A-9905 PARA A PENEIRA PN-145A-9704"/>
    <m/>
    <m/>
    <m/>
    <s v="1450AA-T-70444_FL22"/>
    <n v="1"/>
    <s v="PÇ"/>
    <n v="0.316"/>
    <n v="0.316"/>
    <n v="1169.77"/>
    <n v="369.64731999999998"/>
    <n v="0"/>
    <n v="0.9"/>
    <n v="0.1"/>
    <m/>
    <m/>
    <x v="0"/>
    <m/>
    <m/>
    <m/>
    <m/>
    <m/>
    <m/>
    <m/>
    <m/>
    <m/>
    <m/>
    <m/>
    <m/>
    <m/>
    <m/>
    <m/>
    <m/>
    <m/>
  </r>
  <r>
    <s v="2.4.3.1.1"/>
    <s v="CMS M.60.10.000"/>
    <x v="2"/>
    <n v="18"/>
    <s v="CURVA"/>
    <n v="6"/>
    <x v="1"/>
    <s v="NÃO"/>
    <s v="NÃO"/>
    <x v="57"/>
    <x v="3"/>
    <s v="DISPOSIÇÃO DE REJEITOS LINHA DO CIRCUITO ULTRAFINO DISTRIBUIDOR DI-145A-9905 PARA A PENEIRA PN-145A-9704"/>
    <m/>
    <m/>
    <m/>
    <s v="1450AA-T-70444_FL21"/>
    <n v="1"/>
    <s v="PÇ"/>
    <n v="0.23699999999999999"/>
    <n v="0.23699999999999999"/>
    <n v="1169.77"/>
    <n v="277.23548999999997"/>
    <n v="0"/>
    <n v="0.9"/>
    <n v="0.1"/>
    <m/>
    <m/>
    <x v="0"/>
    <m/>
    <m/>
    <m/>
    <m/>
    <m/>
    <m/>
    <m/>
    <m/>
    <m/>
    <m/>
    <m/>
    <m/>
    <m/>
    <m/>
    <m/>
    <m/>
    <m/>
  </r>
  <r>
    <s v="2.4.3.1.1"/>
    <s v="CMS M.60.10.000"/>
    <x v="2"/>
    <n v="19"/>
    <s v="SPOOL"/>
    <n v="6"/>
    <x v="1"/>
    <s v="NÃO"/>
    <s v="NÃO"/>
    <x v="57"/>
    <x v="3"/>
    <s v="DISPOSIÇÃO DE REJEITOS LINHA DO CIRCUITO ULTRAFINO DISTRIBUIDOR DI-145A-9905 PARA A PENEIRA PN-145A-9704"/>
    <m/>
    <m/>
    <m/>
    <s v="1450AA-T-70444_FL27"/>
    <n v="1"/>
    <s v="PÇ"/>
    <n v="0.75"/>
    <n v="0.75"/>
    <n v="1169.77"/>
    <n v="877.32749999999999"/>
    <n v="0"/>
    <n v="0.9"/>
    <n v="0.1"/>
    <m/>
    <m/>
    <x v="0"/>
    <m/>
    <m/>
    <m/>
    <m/>
    <m/>
    <m/>
    <m/>
    <m/>
    <m/>
    <m/>
    <m/>
    <m/>
    <m/>
    <m/>
    <m/>
    <m/>
    <m/>
  </r>
  <r>
    <n v="0"/>
    <s v="CMS M.60.10.000"/>
    <x v="2"/>
    <n v="20"/>
    <s v="SPOOL"/>
    <s v="6 X 4"/>
    <x v="1"/>
    <s v="NÃO"/>
    <s v="NÃO"/>
    <x v="57"/>
    <x v="3"/>
    <s v="DISPOSIÇÃO DE REJEITOS LINHA DO CIRCUITO ULTRAFINO DISTRIBUIDOR DI-145A-9905 PARA A PENEIRA PN-145A-9704"/>
    <m/>
    <m/>
    <m/>
    <s v="1450AA-T-70444_FL28"/>
    <n v="1"/>
    <s v="PÇ"/>
    <n v="2.1349999999999998"/>
    <n v="2.1349999999999998"/>
    <n v="0"/>
    <n v="0"/>
    <n v="0"/>
    <n v="0.9"/>
    <n v="0.1"/>
    <m/>
    <m/>
    <x v="0"/>
    <m/>
    <m/>
    <m/>
    <m/>
    <m/>
    <m/>
    <m/>
    <m/>
    <m/>
    <m/>
    <m/>
    <m/>
    <m/>
    <m/>
    <m/>
    <m/>
    <m/>
  </r>
  <r>
    <n v="0"/>
    <s v="CMS M.60.10.000"/>
    <x v="2"/>
    <n v="21"/>
    <s v="FLANGE"/>
    <n v="4"/>
    <x v="1"/>
    <s v="NÃO"/>
    <s v="NÃO"/>
    <x v="57"/>
    <x v="3"/>
    <s v="DISPOSIÇÃO DE REJEITOS LINHA DO CIRCUITO ULTRAFINO DISTRIBUIDOR DI-145A-9905 PARA A PENEIRA PN-145A-9704"/>
    <m/>
    <m/>
    <m/>
    <s v="1450AA-T-70444_FL03"/>
    <n v="2"/>
    <s v="PÇ"/>
    <n v="0"/>
    <n v="0"/>
    <n v="0"/>
    <n v="0"/>
    <n v="0"/>
    <n v="0.9"/>
    <n v="0.1"/>
    <m/>
    <m/>
    <x v="0"/>
    <m/>
    <m/>
    <m/>
    <m/>
    <m/>
    <m/>
    <m/>
    <m/>
    <m/>
    <m/>
    <m/>
    <m/>
    <m/>
    <m/>
    <m/>
    <m/>
    <m/>
  </r>
  <r>
    <s v="2.4.3.1.1"/>
    <s v="CMS M.60.10.000"/>
    <x v="2"/>
    <n v="1"/>
    <s v="SPOOL"/>
    <n v="6"/>
    <x v="1"/>
    <s v="NÃO"/>
    <s v="NÃO"/>
    <x v="58"/>
    <x v="3"/>
    <s v="DISPOSIÇÃO DE REJEITOS LINHA DO CIRCUITO ULTRAFINO DISTRIBUIDOR DI-145A-9905 PARA A PENEIRA PN-145A-9705"/>
    <m/>
    <m/>
    <m/>
    <s v="1450AA-T-70446_FL14"/>
    <n v="1"/>
    <s v="PÇ"/>
    <n v="2.5"/>
    <n v="2.5"/>
    <n v="1169.77"/>
    <n v="2924.4250000000002"/>
    <n v="0"/>
    <n v="0.9"/>
    <n v="0.1"/>
    <m/>
    <m/>
    <x v="0"/>
    <m/>
    <m/>
    <m/>
    <m/>
    <m/>
    <m/>
    <m/>
    <m/>
    <m/>
    <m/>
    <m/>
    <m/>
    <m/>
    <m/>
    <m/>
    <m/>
    <m/>
  </r>
  <r>
    <s v="2.4.3.1.1"/>
    <s v="CMS M.60.10.000"/>
    <x v="2"/>
    <n v="2"/>
    <s v="SPOOL"/>
    <n v="6"/>
    <x v="1"/>
    <s v="NÃO"/>
    <s v="NÃO"/>
    <x v="58"/>
    <x v="3"/>
    <s v="DISPOSIÇÃO DE REJEITOS LINHA DO CIRCUITO ULTRAFINO DISTRIBUIDOR DI-145A-9905 PARA A PENEIRA PN-145A-9705"/>
    <m/>
    <m/>
    <m/>
    <s v="1450AA-T-70446_FL13"/>
    <n v="1"/>
    <s v="PÇ"/>
    <n v="2"/>
    <n v="2"/>
    <n v="1169.77"/>
    <n v="2339.54"/>
    <n v="0"/>
    <n v="0.9"/>
    <n v="0.1"/>
    <m/>
    <m/>
    <x v="0"/>
    <m/>
    <m/>
    <m/>
    <m/>
    <m/>
    <m/>
    <m/>
    <m/>
    <m/>
    <m/>
    <m/>
    <m/>
    <m/>
    <m/>
    <m/>
    <m/>
    <m/>
  </r>
  <r>
    <s v="2.4.3.1.1"/>
    <s v="CMS M.60.10.000"/>
    <x v="2"/>
    <n v="3"/>
    <s v="SPOOL"/>
    <n v="6"/>
    <x v="1"/>
    <s v="NÃO"/>
    <s v="NÃO"/>
    <x v="58"/>
    <x v="3"/>
    <s v="DISPOSIÇÃO DE REJEITOS LINHA DO CIRCUITO ULTRAFINO DISTRIBUIDOR DI-145A-9905 PARA A PENEIRA PN-145A-9705"/>
    <m/>
    <m/>
    <m/>
    <s v="1450AA-T-70446_FL12"/>
    <n v="1"/>
    <s v="PÇ"/>
    <n v="1.669"/>
    <n v="1.669"/>
    <n v="1169.77"/>
    <n v="1952.3461299999999"/>
    <n v="0"/>
    <n v="0.9"/>
    <n v="0.1"/>
    <m/>
    <m/>
    <x v="0"/>
    <m/>
    <m/>
    <m/>
    <m/>
    <m/>
    <m/>
    <m/>
    <m/>
    <m/>
    <m/>
    <m/>
    <m/>
    <m/>
    <m/>
    <m/>
    <m/>
    <m/>
  </r>
  <r>
    <s v="2.4.3.1.1"/>
    <s v="CMS M.60.10.000"/>
    <x v="2"/>
    <n v="4"/>
    <s v="SPOOL"/>
    <n v="6"/>
    <x v="1"/>
    <s v="NÃO"/>
    <s v="NÃO"/>
    <x v="58"/>
    <x v="3"/>
    <s v="DISPOSIÇÃO DE REJEITOS LINHA DO CIRCUITO ULTRAFINO DISTRIBUIDOR DI-145A-9905 PARA A PENEIRA PN-145A-9705"/>
    <m/>
    <m/>
    <m/>
    <s v="1450AA-T-70446_FL11"/>
    <n v="1"/>
    <s v="PÇ"/>
    <n v="1.6"/>
    <n v="1.6"/>
    <n v="1169.77"/>
    <n v="1871.6320000000001"/>
    <n v="0"/>
    <n v="0.9"/>
    <n v="0.1"/>
    <m/>
    <m/>
    <x v="0"/>
    <m/>
    <m/>
    <m/>
    <m/>
    <m/>
    <m/>
    <m/>
    <m/>
    <m/>
    <m/>
    <m/>
    <m/>
    <m/>
    <m/>
    <m/>
    <m/>
    <m/>
  </r>
  <r>
    <s v="2.4.3.1.1"/>
    <s v="CMS M.60.10.000"/>
    <x v="2"/>
    <n v="5"/>
    <s v="SPOOL"/>
    <n v="6"/>
    <x v="1"/>
    <s v="NÃO"/>
    <s v="NÃO"/>
    <x v="58"/>
    <x v="3"/>
    <s v="DISPOSIÇÃO DE REJEITOS LINHA DO CIRCUITO ULTRAFINO DISTRIBUIDOR DI-145A-9905 PARA A PENEIRA PN-145A-9705"/>
    <m/>
    <m/>
    <m/>
    <s v="1450AA-T-70446_FL10"/>
    <n v="1"/>
    <s v="PÇ"/>
    <n v="1.3"/>
    <n v="1.3"/>
    <n v="1169.77"/>
    <n v="1520.701"/>
    <n v="0"/>
    <n v="0.9"/>
    <n v="0.1"/>
    <m/>
    <m/>
    <x v="0"/>
    <m/>
    <m/>
    <m/>
    <m/>
    <m/>
    <m/>
    <m/>
    <m/>
    <m/>
    <m/>
    <m/>
    <m/>
    <m/>
    <m/>
    <m/>
    <m/>
    <m/>
  </r>
  <r>
    <s v="2.4.3.1.1"/>
    <s v="CMS M.60.10.000"/>
    <x v="2"/>
    <n v="6"/>
    <s v="SPOOL"/>
    <n v="6"/>
    <x v="1"/>
    <s v="NÃO"/>
    <s v="NÃO"/>
    <x v="58"/>
    <x v="3"/>
    <s v="DISPOSIÇÃO DE REJEITOS LINHA DO CIRCUITO ULTRAFINO DISTRIBUIDOR DI-145A-9905 PARA A PENEIRA PN-145A-9705"/>
    <m/>
    <m/>
    <m/>
    <s v="1450AA-T-70446_FL09"/>
    <n v="1"/>
    <s v="PÇ"/>
    <n v="1"/>
    <n v="1"/>
    <n v="1169.77"/>
    <n v="1169.77"/>
    <n v="0"/>
    <n v="0.9"/>
    <n v="0.1"/>
    <m/>
    <m/>
    <x v="0"/>
    <m/>
    <m/>
    <m/>
    <m/>
    <m/>
    <m/>
    <m/>
    <m/>
    <m/>
    <m/>
    <m/>
    <m/>
    <m/>
    <m/>
    <m/>
    <m/>
    <m/>
  </r>
  <r>
    <s v="2.4.3.1.1"/>
    <s v="CMS M.60.10.000"/>
    <x v="2"/>
    <n v="7"/>
    <s v="SPOOL"/>
    <n v="6"/>
    <x v="2"/>
    <s v="NÃO"/>
    <s v="NÃO"/>
    <x v="58"/>
    <x v="3"/>
    <s v="DISPOSIÇÃO DE REJEITOS LINHA DO CIRCUITO ULTRAFINO DISTRIBUIDOR DI-145A-9905 PARA A PENEIRA PN-145A-9705"/>
    <m/>
    <m/>
    <m/>
    <s v="1450AA-T-70446_FL18"/>
    <n v="1"/>
    <s v="PÇ"/>
    <n v="0.52"/>
    <n v="0.52"/>
    <n v="1169.77"/>
    <n v="608.28039999999999"/>
    <n v="0"/>
    <n v="0.9"/>
    <n v="0.1"/>
    <m/>
    <m/>
    <x v="0"/>
    <m/>
    <m/>
    <m/>
    <m/>
    <m/>
    <m/>
    <m/>
    <m/>
    <m/>
    <m/>
    <m/>
    <m/>
    <m/>
    <m/>
    <m/>
    <m/>
    <m/>
  </r>
  <r>
    <s v="2.4.3.1.1"/>
    <s v="CMS M.60.10.000"/>
    <x v="2"/>
    <n v="8"/>
    <s v="SPOOL"/>
    <n v="6"/>
    <x v="2"/>
    <s v="NÃO"/>
    <s v="NÃO"/>
    <x v="58"/>
    <x v="3"/>
    <s v="DISPOSIÇÃO DE REJEITOS LINHA DO CIRCUITO ULTRAFINO DISTRIBUIDOR DI-145A-9905 PARA A PENEIRA PN-145A-9705"/>
    <m/>
    <m/>
    <m/>
    <s v="1450AA-T-70446_FL17"/>
    <n v="1"/>
    <s v="PÇ"/>
    <n v="0.48"/>
    <n v="0.48"/>
    <n v="1169.77"/>
    <n v="561.4896"/>
    <n v="0"/>
    <n v="0.9"/>
    <n v="0.1"/>
    <m/>
    <m/>
    <x v="0"/>
    <m/>
    <m/>
    <m/>
    <m/>
    <m/>
    <m/>
    <m/>
    <m/>
    <m/>
    <m/>
    <m/>
    <m/>
    <m/>
    <m/>
    <m/>
    <m/>
    <m/>
  </r>
  <r>
    <s v="2.4.3.1.1"/>
    <s v="CMS M.60.10.000"/>
    <x v="2"/>
    <n v="9"/>
    <s v="SPOOL"/>
    <n v="6"/>
    <x v="2"/>
    <s v="NÃO"/>
    <s v="NÃO"/>
    <x v="58"/>
    <x v="3"/>
    <s v="DISPOSIÇÃO DE REJEITOS LINHA DO CIRCUITO ULTRAFINO DISTRIBUIDOR DI-145A-9905 PARA A PENEIRA PN-145A-9705"/>
    <m/>
    <m/>
    <m/>
    <s v="1450AA-T-70446_FL16"/>
    <n v="1"/>
    <s v="PÇ"/>
    <n v="0.42"/>
    <n v="0.42"/>
    <n v="1169.77"/>
    <n v="491.30339999999995"/>
    <n v="0"/>
    <n v="0.9"/>
    <n v="0.1"/>
    <m/>
    <m/>
    <x v="0"/>
    <m/>
    <m/>
    <m/>
    <m/>
    <m/>
    <m/>
    <m/>
    <m/>
    <m/>
    <m/>
    <m/>
    <m/>
    <m/>
    <m/>
    <m/>
    <m/>
    <m/>
  </r>
  <r>
    <s v="2.4.3.1.1"/>
    <s v="CMS M.60.10.000"/>
    <x v="2"/>
    <n v="10"/>
    <s v="SPOOL"/>
    <n v="6"/>
    <x v="2"/>
    <s v="NÃO"/>
    <s v="NÃO"/>
    <x v="58"/>
    <x v="3"/>
    <s v="DISPOSIÇÃO DE REJEITOS LINHA DO CIRCUITO ULTRAFINO DISTRIBUIDOR DI-145A-9905 PARA A PENEIRA PN-145A-9705"/>
    <m/>
    <m/>
    <m/>
    <s v="1450AA-T-70446_FL15"/>
    <n v="2"/>
    <s v="PÇ"/>
    <n v="0.33"/>
    <n v="0.66"/>
    <n v="1169.77"/>
    <n v="772.04820000000007"/>
    <n v="0"/>
    <n v="0.9"/>
    <n v="0.1"/>
    <m/>
    <m/>
    <x v="0"/>
    <m/>
    <m/>
    <m/>
    <m/>
    <m/>
    <m/>
    <m/>
    <m/>
    <m/>
    <m/>
    <m/>
    <m/>
    <m/>
    <m/>
    <m/>
    <m/>
    <m/>
  </r>
  <r>
    <s v="2.4.3.1.1"/>
    <s v="CMS M.60.10.000"/>
    <x v="2"/>
    <n v="11"/>
    <s v="CURVA"/>
    <n v="6"/>
    <x v="1"/>
    <s v="NÃO"/>
    <s v="NÃO"/>
    <x v="58"/>
    <x v="3"/>
    <s v="DISPOSIÇÃO DE REJEITOS LINHA DO CIRCUITO ULTRAFINO DISTRIBUIDOR DI-145A-9905 PARA A PENEIRA PN-145A-9705"/>
    <m/>
    <m/>
    <m/>
    <s v="1450AA-T-70446_FL21"/>
    <n v="2"/>
    <s v="PÇ"/>
    <n v="0.46899999999999997"/>
    <n v="0.93799999999999994"/>
    <n v="1169.77"/>
    <n v="1097.2442599999999"/>
    <n v="0"/>
    <n v="0.9"/>
    <n v="0.1"/>
    <m/>
    <m/>
    <x v="0"/>
    <m/>
    <m/>
    <m/>
    <m/>
    <m/>
    <m/>
    <m/>
    <m/>
    <m/>
    <m/>
    <m/>
    <m/>
    <m/>
    <m/>
    <m/>
    <m/>
    <m/>
  </r>
  <r>
    <s v="2.4.3.1.1"/>
    <s v="CMS M.60.10.000"/>
    <x v="2"/>
    <n v="12"/>
    <s v="CURVA"/>
    <n v="6"/>
    <x v="1"/>
    <s v="NÃO"/>
    <s v="NÃO"/>
    <x v="58"/>
    <x v="3"/>
    <s v="DISPOSIÇÃO DE REJEITOS LINHA DO CIRCUITO ULTRAFINO DISTRIBUIDOR DI-145A-9905 PARA A PENEIRA PN-145A-9705"/>
    <m/>
    <m/>
    <m/>
    <s v="1450AA-T-70446_FL20"/>
    <n v="1"/>
    <s v="PÇ"/>
    <n v="0.41899999999999998"/>
    <n v="0.41899999999999998"/>
    <n v="1169.77"/>
    <n v="490.13362999999998"/>
    <n v="0"/>
    <n v="0.9"/>
    <n v="0.1"/>
    <m/>
    <m/>
    <x v="0"/>
    <m/>
    <m/>
    <m/>
    <m/>
    <m/>
    <m/>
    <m/>
    <m/>
    <m/>
    <m/>
    <m/>
    <m/>
    <m/>
    <m/>
    <m/>
    <m/>
    <m/>
  </r>
  <r>
    <s v="2.4.3.1.1"/>
    <s v="CMS M.60.10.000"/>
    <x v="2"/>
    <n v="13"/>
    <s v="CURVA"/>
    <n v="6"/>
    <x v="1"/>
    <s v="NÃO"/>
    <s v="NÃO"/>
    <x v="58"/>
    <x v="3"/>
    <s v="DISPOSIÇÃO DE REJEITOS LINHA DO CIRCUITO ULTRAFINO DISTRIBUIDOR DI-145A-9905 PARA A PENEIRA PN-145A-9705"/>
    <m/>
    <m/>
    <m/>
    <s v="1450AA-T-70446_FL19"/>
    <n v="1"/>
    <s v="PÇ"/>
    <n v="0.51"/>
    <n v="0.51"/>
    <n v="1169.77"/>
    <n v="596.58270000000005"/>
    <n v="0"/>
    <n v="0.9"/>
    <n v="0.1"/>
    <m/>
    <m/>
    <x v="0"/>
    <m/>
    <m/>
    <m/>
    <m/>
    <m/>
    <m/>
    <m/>
    <m/>
    <m/>
    <m/>
    <m/>
    <m/>
    <m/>
    <m/>
    <m/>
    <m/>
    <m/>
  </r>
  <r>
    <s v="2.4.3.1.1"/>
    <s v="CMS M.60.10.000"/>
    <x v="2"/>
    <n v="14"/>
    <s v="SPOOL"/>
    <n v="6"/>
    <x v="1"/>
    <s v="NÃO"/>
    <s v="NÃO"/>
    <x v="58"/>
    <x v="3"/>
    <s v="DISPOSIÇÃO DE REJEITOS LINHA DO CIRCUITO ULTRAFINO DISTRIBUIDOR DI-145A-9905 PARA A PENEIRA PN-145A-9705"/>
    <m/>
    <m/>
    <m/>
    <s v="1450AA-T-70446_FL22"/>
    <n v="1"/>
    <s v="PÇ"/>
    <n v="0.75"/>
    <n v="0.75"/>
    <n v="1169.77"/>
    <n v="877.32749999999999"/>
    <n v="0"/>
    <n v="0.9"/>
    <n v="0.1"/>
    <m/>
    <m/>
    <x v="0"/>
    <m/>
    <m/>
    <m/>
    <m/>
    <m/>
    <m/>
    <m/>
    <m/>
    <m/>
    <m/>
    <m/>
    <m/>
    <m/>
    <m/>
    <m/>
    <m/>
    <m/>
  </r>
  <r>
    <n v="0"/>
    <s v="CMS M.60.10.000"/>
    <x v="2"/>
    <n v="15"/>
    <s v="SPOOL"/>
    <s v="6 X 4"/>
    <x v="1"/>
    <s v="NÃO"/>
    <s v="NÃO"/>
    <x v="58"/>
    <x v="3"/>
    <s v="DISPOSIÇÃO DE REJEITOS LINHA DO CIRCUITO ULTRAFINO DISTRIBUIDOR DI-145A-9905 PARA A PENEIRA PN-145A-9705"/>
    <m/>
    <m/>
    <m/>
    <s v="1450AA-T-70446_FL23"/>
    <n v="1"/>
    <s v="PÇ"/>
    <n v="2.1349999999999998"/>
    <n v="2.1349999999999998"/>
    <n v="0"/>
    <n v="0"/>
    <n v="0"/>
    <n v="0.9"/>
    <n v="0.1"/>
    <m/>
    <m/>
    <x v="0"/>
    <m/>
    <m/>
    <m/>
    <m/>
    <m/>
    <m/>
    <m/>
    <m/>
    <m/>
    <m/>
    <m/>
    <m/>
    <m/>
    <m/>
    <m/>
    <m/>
    <m/>
  </r>
  <r>
    <n v="0"/>
    <s v="CMS M.60.10.000"/>
    <x v="2"/>
    <n v="16"/>
    <s v="FLANGE"/>
    <n v="4"/>
    <x v="1"/>
    <s v="NÃO"/>
    <s v="NÃO"/>
    <x v="58"/>
    <x v="3"/>
    <s v="DISPOSIÇÃO DE REJEITOS LINHA DO CIRCUITO ULTRAFINO DISTRIBUIDOR DI-145A-9905 PARA A PENEIRA PN-145A-9705"/>
    <m/>
    <m/>
    <m/>
    <s v="1450AA-T-70446_FL03"/>
    <n v="2"/>
    <s v="PÇ"/>
    <n v="0"/>
    <n v="0"/>
    <n v="0"/>
    <n v="0"/>
    <n v="0"/>
    <n v="0.9"/>
    <n v="0.1"/>
    <m/>
    <m/>
    <x v="0"/>
    <m/>
    <m/>
    <m/>
    <m/>
    <m/>
    <m/>
    <m/>
    <m/>
    <m/>
    <m/>
    <m/>
    <m/>
    <m/>
    <m/>
    <m/>
    <m/>
    <m/>
  </r>
  <r>
    <s v="2.4.3.1.1"/>
    <s v="CMS M.60.10.000"/>
    <x v="2"/>
    <n v="1"/>
    <s v="SPOOL"/>
    <n v="6"/>
    <x v="1"/>
    <s v="NÃO"/>
    <s v="NÃO"/>
    <x v="59"/>
    <x v="3"/>
    <s v="DISPOSIÇÃO DE REJEITOS LINHA DO CIRCUITO ULTRAFINO DISTRIBUIDOR DI-145A-9906 PARA A PENEIRA PN-145A-9727"/>
    <m/>
    <m/>
    <m/>
    <s v="1450AA-T-70451_FL15"/>
    <n v="1"/>
    <s v="PÇ"/>
    <n v="0.25"/>
    <n v="0.25"/>
    <n v="1169.77"/>
    <n v="292.4425"/>
    <n v="0"/>
    <n v="0.9"/>
    <n v="0.1"/>
    <m/>
    <m/>
    <x v="0"/>
    <m/>
    <m/>
    <m/>
    <m/>
    <m/>
    <m/>
    <m/>
    <m/>
    <m/>
    <m/>
    <m/>
    <m/>
    <m/>
    <m/>
    <m/>
    <m/>
    <m/>
  </r>
  <r>
    <s v="2.4.3.1.1"/>
    <s v="CMS M.60.10.000"/>
    <x v="2"/>
    <n v="2"/>
    <s v="CURVA"/>
    <n v="6"/>
    <x v="1"/>
    <s v="NÃO"/>
    <s v="NÃO"/>
    <x v="59"/>
    <x v="3"/>
    <s v="DISPOSIÇÃO DE REJEITOS LINHA DO CIRCUITO ULTRAFINO DISTRIBUIDOR DI-145A-9906 PARA A PENEIRA PN-145A-9727"/>
    <m/>
    <m/>
    <m/>
    <s v="1450AA-T-70451_FL14"/>
    <n v="1"/>
    <s v="PÇ"/>
    <n v="0.46500000000000002"/>
    <n v="0.46500000000000002"/>
    <n v="1169.77"/>
    <n v="543.94304999999997"/>
    <n v="0"/>
    <n v="0.9"/>
    <n v="0.1"/>
    <m/>
    <m/>
    <x v="0"/>
    <m/>
    <m/>
    <m/>
    <m/>
    <m/>
    <m/>
    <m/>
    <m/>
    <m/>
    <m/>
    <m/>
    <m/>
    <m/>
    <m/>
    <m/>
    <m/>
    <m/>
  </r>
  <r>
    <s v="2.4.3.1.1"/>
    <s v="CMS M.60.10.000"/>
    <x v="2"/>
    <n v="3"/>
    <s v="SPOOL"/>
    <n v="6"/>
    <x v="2"/>
    <s v="NÃO"/>
    <s v="NÃO"/>
    <x v="59"/>
    <x v="3"/>
    <s v="DISPOSIÇÃO DE REJEITOS LINHA DO CIRCUITO ULTRAFINO DISTRIBUIDOR DI-145A-9906 PARA A PENEIRA PN-145A-9727"/>
    <m/>
    <m/>
    <m/>
    <s v="1450AA-T-70451_FL22"/>
    <n v="1"/>
    <s v="PÇ"/>
    <n v="0.42"/>
    <n v="0.42"/>
    <n v="1169.77"/>
    <n v="491.30339999999995"/>
    <n v="0"/>
    <n v="0.9"/>
    <n v="0.1"/>
    <m/>
    <m/>
    <x v="0"/>
    <m/>
    <m/>
    <m/>
    <m/>
    <m/>
    <m/>
    <m/>
    <m/>
    <m/>
    <m/>
    <m/>
    <m/>
    <m/>
    <m/>
    <m/>
    <m/>
    <m/>
  </r>
  <r>
    <s v="2.4.3.1.1"/>
    <s v="CMS M.60.10.000"/>
    <x v="2"/>
    <n v="4"/>
    <s v="CURVA"/>
    <n v="6"/>
    <x v="1"/>
    <s v="NÃO"/>
    <s v="NÃO"/>
    <x v="59"/>
    <x v="3"/>
    <s v="DISPOSIÇÃO DE REJEITOS LINHA DO CIRCUITO ULTRAFINO DISTRIBUIDOR DI-145A-9906 PARA A PENEIRA PN-145A-9727"/>
    <m/>
    <m/>
    <m/>
    <s v="1450AA-T-70451_FL13"/>
    <n v="1"/>
    <s v="PÇ"/>
    <n v="0.48"/>
    <n v="0.48"/>
    <n v="1169.77"/>
    <n v="561.4896"/>
    <n v="0"/>
    <n v="0.9"/>
    <n v="0.1"/>
    <m/>
    <m/>
    <x v="0"/>
    <m/>
    <m/>
    <m/>
    <m/>
    <m/>
    <m/>
    <m/>
    <m/>
    <m/>
    <m/>
    <m/>
    <m/>
    <m/>
    <m/>
    <m/>
    <m/>
    <m/>
  </r>
  <r>
    <s v="2.4.3.1.1"/>
    <s v="CMS M.60.10.000"/>
    <x v="2"/>
    <n v="5"/>
    <s v="CURVA"/>
    <n v="6"/>
    <x v="1"/>
    <s v="NÃO"/>
    <s v="NÃO"/>
    <x v="59"/>
    <x v="3"/>
    <s v="DISPOSIÇÃO DE REJEITOS LINHA DO CIRCUITO ULTRAFINO DISTRIBUIDOR DI-145A-9906 PARA A PENEIRA PN-145A-9727"/>
    <m/>
    <m/>
    <m/>
    <s v="1450AA-T-70451_FL12"/>
    <n v="1"/>
    <s v="PÇ"/>
    <n v="0.154"/>
    <n v="0.154"/>
    <n v="1169.77"/>
    <n v="180.14457999999999"/>
    <n v="0"/>
    <n v="0.9"/>
    <n v="0.1"/>
    <m/>
    <m/>
    <x v="0"/>
    <m/>
    <m/>
    <m/>
    <m/>
    <m/>
    <m/>
    <m/>
    <m/>
    <m/>
    <m/>
    <m/>
    <m/>
    <m/>
    <m/>
    <m/>
    <m/>
    <m/>
  </r>
  <r>
    <s v="2.4.3.1.1"/>
    <s v="CMS M.60.10.000"/>
    <x v="2"/>
    <n v="6"/>
    <s v="SPOOL"/>
    <n v="6"/>
    <x v="1"/>
    <s v="NÃO"/>
    <s v="NÃO"/>
    <x v="59"/>
    <x v="3"/>
    <s v="DISPOSIÇÃO DE REJEITOS LINHA DO CIRCUITO ULTRAFINO DISTRIBUIDOR DI-145A-9906 PARA A PENEIRA PN-145A-9727"/>
    <m/>
    <m/>
    <m/>
    <s v="1450AA-T-70451_FL16"/>
    <n v="1"/>
    <s v="PÇ"/>
    <n v="3"/>
    <n v="3"/>
    <n v="1169.77"/>
    <n v="3509.31"/>
    <n v="0"/>
    <n v="0.9"/>
    <n v="0.1"/>
    <m/>
    <m/>
    <x v="0"/>
    <m/>
    <m/>
    <m/>
    <m/>
    <m/>
    <m/>
    <m/>
    <m/>
    <m/>
    <m/>
    <m/>
    <m/>
    <m/>
    <m/>
    <m/>
    <m/>
    <m/>
  </r>
  <r>
    <s v="2.4.3.1.1"/>
    <s v="CMS M.60.10.000"/>
    <x v="2"/>
    <n v="7"/>
    <s v="SPOOL"/>
    <n v="6"/>
    <x v="2"/>
    <s v="NÃO"/>
    <s v="NÃO"/>
    <x v="59"/>
    <x v="3"/>
    <s v="DISPOSIÇÃO DE REJEITOS LINHA DO CIRCUITO ULTRAFINO DISTRIBUIDOR DI-145A-9906 PARA A PENEIRA PN-145A-9727"/>
    <m/>
    <m/>
    <m/>
    <s v="1450AA-T-70451_FL19"/>
    <n v="1"/>
    <s v="PÇ"/>
    <n v="0.92"/>
    <n v="0.92"/>
    <n v="1169.77"/>
    <n v="1076.1884"/>
    <n v="0"/>
    <n v="0.9"/>
    <n v="0.1"/>
    <m/>
    <m/>
    <x v="0"/>
    <m/>
    <m/>
    <m/>
    <m/>
    <m/>
    <m/>
    <m/>
    <m/>
    <m/>
    <m/>
    <m/>
    <m/>
    <m/>
    <m/>
    <m/>
    <m/>
    <m/>
  </r>
  <r>
    <s v="2.4.3.1.1"/>
    <s v="CMS M.60.10.000"/>
    <x v="2"/>
    <n v="8"/>
    <s v="CURVA"/>
    <n v="6"/>
    <x v="1"/>
    <s v="NÃO"/>
    <s v="NÃO"/>
    <x v="59"/>
    <x v="3"/>
    <s v="DISPOSIÇÃO DE REJEITOS LINHA DO CIRCUITO ULTRAFINO DISTRIBUIDOR DI-145A-9906 PARA A PENEIRA PN-145A-9727"/>
    <m/>
    <m/>
    <m/>
    <s v="1450AA-T-70451_FL11"/>
    <n v="1"/>
    <s v="PÇ"/>
    <n v="0.315"/>
    <n v="0.315"/>
    <n v="1169.77"/>
    <n v="368.47755000000001"/>
    <n v="0"/>
    <n v="0.9"/>
    <n v="0.1"/>
    <m/>
    <m/>
    <x v="0"/>
    <m/>
    <m/>
    <m/>
    <m/>
    <m/>
    <m/>
    <m/>
    <m/>
    <m/>
    <m/>
    <m/>
    <m/>
    <m/>
    <m/>
    <m/>
    <m/>
    <m/>
  </r>
  <r>
    <s v="2.4.3.1.1"/>
    <s v="CMS M.60.10.000"/>
    <x v="2"/>
    <n v="9"/>
    <s v="SPOOL"/>
    <n v="6"/>
    <x v="1"/>
    <s v="NÃO"/>
    <s v="NÃO"/>
    <x v="59"/>
    <x v="3"/>
    <s v="DISPOSIÇÃO DE REJEITOS LINHA DO CIRCUITO ULTRAFINO DISTRIBUIDOR DI-145A-9906 PARA A PENEIRA PN-145A-9727"/>
    <m/>
    <m/>
    <m/>
    <s v="1450AA-T-70451_FL17"/>
    <n v="1"/>
    <s v="PÇ"/>
    <n v="1.2"/>
    <n v="1.2"/>
    <n v="1169.77"/>
    <n v="1403.7239999999999"/>
    <n v="0"/>
    <n v="0.9"/>
    <n v="0.1"/>
    <m/>
    <m/>
    <x v="0"/>
    <m/>
    <m/>
    <m/>
    <m/>
    <m/>
    <m/>
    <m/>
    <m/>
    <m/>
    <m/>
    <m/>
    <m/>
    <m/>
    <m/>
    <m/>
    <m/>
    <m/>
  </r>
  <r>
    <s v="2.4.3.1.1"/>
    <s v="CMS M.60.10.000"/>
    <x v="2"/>
    <n v="10"/>
    <s v="SPOOL"/>
    <n v="6"/>
    <x v="2"/>
    <s v="NÃO"/>
    <s v="NÃO"/>
    <x v="59"/>
    <x v="3"/>
    <s v="DISPOSIÇÃO DE REJEITOS LINHA DO CIRCUITO ULTRAFINO DISTRIBUIDOR DI-145A-9906 PARA A PENEIRA PN-145A-9727"/>
    <m/>
    <m/>
    <m/>
    <s v="1450AA-T-70451_FL20"/>
    <n v="1"/>
    <s v="PÇ"/>
    <n v="0.65"/>
    <n v="0.65"/>
    <n v="1169.77"/>
    <n v="760.35050000000001"/>
    <n v="0"/>
    <n v="0.9"/>
    <n v="0.1"/>
    <m/>
    <m/>
    <x v="0"/>
    <m/>
    <m/>
    <m/>
    <m/>
    <m/>
    <m/>
    <m/>
    <m/>
    <m/>
    <m/>
    <m/>
    <m/>
    <m/>
    <m/>
    <m/>
    <m/>
    <m/>
  </r>
  <r>
    <s v="2.4.3.1.1"/>
    <s v="CMS M.60.10.000"/>
    <x v="2"/>
    <n v="11"/>
    <s v="SPOOL"/>
    <n v="6"/>
    <x v="1"/>
    <s v="NÃO"/>
    <s v="NÃO"/>
    <x v="59"/>
    <x v="3"/>
    <s v="DISPOSIÇÃO DE REJEITOS LINHA DO CIRCUITO ULTRAFINO DISTRIBUIDOR DI-145A-9906 PARA A PENEIRA PN-145A-9727"/>
    <m/>
    <m/>
    <m/>
    <s v="1450AA-T-70451_FL18"/>
    <n v="1"/>
    <s v="PÇ"/>
    <n v="1.5"/>
    <n v="1.5"/>
    <n v="1169.77"/>
    <n v="1754.655"/>
    <n v="0"/>
    <n v="0.9"/>
    <n v="0.1"/>
    <m/>
    <m/>
    <x v="0"/>
    <m/>
    <m/>
    <m/>
    <m/>
    <m/>
    <m/>
    <m/>
    <m/>
    <m/>
    <m/>
    <m/>
    <m/>
    <m/>
    <m/>
    <m/>
    <m/>
    <m/>
  </r>
  <r>
    <s v="2.4.3.1.1"/>
    <s v="CMS M.60.10.000"/>
    <x v="2"/>
    <n v="12"/>
    <s v="SPOOL"/>
    <n v="6"/>
    <x v="2"/>
    <s v="NÃO"/>
    <s v="NÃO"/>
    <x v="59"/>
    <x v="3"/>
    <s v="DISPOSIÇÃO DE REJEITOS LINHA DO CIRCUITO ULTRAFINO DISTRIBUIDOR DI-145A-9906 PARA A PENEIRA PN-145A-9727"/>
    <m/>
    <m/>
    <m/>
    <s v="1450AA-T-70451_FL21"/>
    <n v="1"/>
    <s v="PÇ"/>
    <n v="0.51"/>
    <n v="0.51"/>
    <n v="1169.77"/>
    <n v="596.58270000000005"/>
    <n v="0"/>
    <n v="0.9"/>
    <n v="0.1"/>
    <m/>
    <m/>
    <x v="0"/>
    <m/>
    <m/>
    <m/>
    <m/>
    <m/>
    <m/>
    <m/>
    <m/>
    <m/>
    <m/>
    <m/>
    <m/>
    <m/>
    <m/>
    <m/>
    <m/>
    <m/>
  </r>
  <r>
    <n v="0"/>
    <s v="CMS M.60.10.000"/>
    <x v="2"/>
    <n v="13"/>
    <s v="SPOOL"/>
    <s v="6 X 4"/>
    <x v="1"/>
    <s v="NÃO"/>
    <s v="NÃO"/>
    <x v="59"/>
    <x v="3"/>
    <s v="DISPOSIÇÃO DE REJEITOS LINHA DO CIRCUITO ULTRAFINO DISTRIBUIDOR DI-145A-9906 PARA A PENEIRA PN-145A-9727"/>
    <m/>
    <m/>
    <m/>
    <s v="1450AA-T-70451_FL09"/>
    <n v="1"/>
    <s v="PÇ"/>
    <n v="2.1349999999999998"/>
    <n v="2.1349999999999998"/>
    <n v="0"/>
    <n v="0"/>
    <n v="0"/>
    <n v="0.9"/>
    <n v="0.1"/>
    <m/>
    <m/>
    <x v="0"/>
    <m/>
    <m/>
    <m/>
    <m/>
    <m/>
    <m/>
    <m/>
    <m/>
    <m/>
    <m/>
    <m/>
    <m/>
    <m/>
    <m/>
    <m/>
    <m/>
    <m/>
  </r>
  <r>
    <n v="0"/>
    <s v="CMS M.60.10.000"/>
    <x v="2"/>
    <n v="14"/>
    <s v="FLANGE"/>
    <n v="4"/>
    <x v="1"/>
    <s v="NÃO"/>
    <s v="NÃO"/>
    <x v="59"/>
    <x v="3"/>
    <s v="DISPOSIÇÃO DE REJEITOS LINHA DO CIRCUITO ULTRAFINO DISTRIBUIDOR DI-145A-9906 PARA A PENEIRA PN-145A-9727"/>
    <m/>
    <m/>
    <m/>
    <s v="1450AA-T-70451_FL03"/>
    <n v="1"/>
    <s v="PÇ"/>
    <n v="0"/>
    <n v="0"/>
    <n v="0"/>
    <n v="0"/>
    <n v="0"/>
    <n v="0.9"/>
    <n v="0.1"/>
    <m/>
    <m/>
    <x v="0"/>
    <m/>
    <m/>
    <m/>
    <m/>
    <m/>
    <m/>
    <m/>
    <m/>
    <m/>
    <m/>
    <m/>
    <m/>
    <m/>
    <m/>
    <m/>
    <m/>
    <m/>
  </r>
  <r>
    <s v="2.4.3.1.1"/>
    <s v="CMS M.60.10.000"/>
    <x v="2"/>
    <n v="1"/>
    <s v="SPOOL"/>
    <n v="6"/>
    <x v="1"/>
    <s v="NÃO"/>
    <s v="NÃO"/>
    <x v="60"/>
    <x v="3"/>
    <s v="DISPOSIÇÃO DE REJEITOS LINHA DO CIRCUITO ULTRAFINO DISTRIBUIDOR DI-145A-9906 PARA A PENEIRA PN-145A-9728"/>
    <m/>
    <m/>
    <m/>
    <s v="1450AA-T-70453_FL16"/>
    <n v="1"/>
    <s v="PÇ"/>
    <n v="0.25"/>
    <n v="0.25"/>
    <n v="1169.77"/>
    <n v="292.4425"/>
    <n v="0"/>
    <n v="0.9"/>
    <n v="0.1"/>
    <m/>
    <m/>
    <x v="0"/>
    <m/>
    <m/>
    <m/>
    <m/>
    <m/>
    <m/>
    <m/>
    <m/>
    <m/>
    <m/>
    <m/>
    <m/>
    <m/>
    <m/>
    <m/>
    <m/>
    <m/>
  </r>
  <r>
    <s v="2.4.3.1.1"/>
    <s v="CMS M.60.10.000"/>
    <x v="2"/>
    <n v="2"/>
    <s v="CURVA"/>
    <n v="6"/>
    <x v="1"/>
    <s v="NÃO"/>
    <s v="NÃO"/>
    <x v="60"/>
    <x v="3"/>
    <s v="DISPOSIÇÃO DE REJEITOS LINHA DO CIRCUITO ULTRAFINO DISTRIBUIDOR DI-145A-9906 PARA A PENEIRA PN-145A-9728"/>
    <m/>
    <m/>
    <m/>
    <s v="1450AA-T-70453_FL15"/>
    <n v="1"/>
    <s v="PÇ"/>
    <n v="0.46500000000000002"/>
    <n v="0.46500000000000002"/>
    <n v="1169.77"/>
    <n v="543.94304999999997"/>
    <n v="0"/>
    <n v="0.9"/>
    <n v="0.1"/>
    <m/>
    <m/>
    <x v="0"/>
    <m/>
    <m/>
    <m/>
    <m/>
    <m/>
    <m/>
    <m/>
    <m/>
    <m/>
    <m/>
    <m/>
    <m/>
    <m/>
    <m/>
    <m/>
    <m/>
    <m/>
  </r>
  <r>
    <s v="2.4.3.1.1"/>
    <s v="CMS M.60.10.000"/>
    <x v="2"/>
    <n v="3"/>
    <s v="SPOOL"/>
    <n v="6"/>
    <x v="2"/>
    <s v="NÃO"/>
    <s v="NÃO"/>
    <x v="60"/>
    <x v="3"/>
    <s v="DISPOSIÇÃO DE REJEITOS LINHA DO CIRCUITO ULTRAFINO DISTRIBUIDOR DI-145A-9906 PARA A PENEIRA PN-145A-9728"/>
    <m/>
    <m/>
    <m/>
    <s v="1450AA-T-70453_FL21"/>
    <n v="1"/>
    <s v="PÇ"/>
    <n v="0.86"/>
    <n v="0.86"/>
    <n v="1169.77"/>
    <n v="1006.0022"/>
    <n v="0"/>
    <n v="0.9"/>
    <n v="0.1"/>
    <m/>
    <m/>
    <x v="0"/>
    <m/>
    <m/>
    <m/>
    <m/>
    <m/>
    <m/>
    <m/>
    <m/>
    <m/>
    <m/>
    <m/>
    <m/>
    <m/>
    <m/>
    <m/>
    <m/>
    <m/>
  </r>
  <r>
    <s v="2.4.3.1.1"/>
    <s v="CMS M.60.10.000"/>
    <x v="2"/>
    <n v="4"/>
    <s v="CURVA"/>
    <n v="6"/>
    <x v="1"/>
    <s v="NÃO"/>
    <s v="NÃO"/>
    <x v="60"/>
    <x v="3"/>
    <s v="DISPOSIÇÃO DE REJEITOS LINHA DO CIRCUITO ULTRAFINO DISTRIBUIDOR DI-145A-9906 PARA A PENEIRA PN-145A-9728"/>
    <m/>
    <m/>
    <m/>
    <s v="1450AA-T-70453_FL11"/>
    <n v="1"/>
    <s v="PÇ"/>
    <n v="0.48"/>
    <n v="0.48"/>
    <n v="1169.77"/>
    <n v="561.4896"/>
    <n v="0"/>
    <n v="0.9"/>
    <n v="0.1"/>
    <m/>
    <m/>
    <x v="0"/>
    <m/>
    <m/>
    <m/>
    <m/>
    <m/>
    <m/>
    <m/>
    <m/>
    <m/>
    <m/>
    <m/>
    <m/>
    <m/>
    <m/>
    <m/>
    <m/>
    <m/>
  </r>
  <r>
    <s v="2.4.3.1.1"/>
    <s v="CMS M.60.10.000"/>
    <x v="2"/>
    <n v="5"/>
    <s v="SPOOL"/>
    <n v="6"/>
    <x v="2"/>
    <s v="NÃO"/>
    <s v="NÃO"/>
    <x v="60"/>
    <x v="3"/>
    <s v="DISPOSIÇÃO DE REJEITOS LINHA DO CIRCUITO ULTRAFINO DISTRIBUIDOR DI-145A-9906 PARA A PENEIRA PN-145A-9728"/>
    <m/>
    <m/>
    <m/>
    <s v="1450AA-T-70453_FL19"/>
    <n v="3"/>
    <s v="PÇ"/>
    <n v="0.5"/>
    <n v="1.5"/>
    <n v="1169.77"/>
    <n v="1754.655"/>
    <n v="0"/>
    <n v="0.9"/>
    <n v="0.1"/>
    <m/>
    <m/>
    <x v="0"/>
    <m/>
    <m/>
    <m/>
    <m/>
    <m/>
    <m/>
    <m/>
    <m/>
    <m/>
    <m/>
    <m/>
    <m/>
    <m/>
    <m/>
    <m/>
    <m/>
    <m/>
  </r>
  <r>
    <s v="2.4.3.1.1"/>
    <s v="CMS M.60.10.000"/>
    <x v="2"/>
    <n v="6"/>
    <s v="CURVA"/>
    <n v="6"/>
    <x v="1"/>
    <s v="NÃO"/>
    <s v="NÃO"/>
    <x v="60"/>
    <x v="3"/>
    <s v="DISPOSIÇÃO DE REJEITOS LINHA DO CIRCUITO ULTRAFINO DISTRIBUIDOR DI-145A-9906 PARA A PENEIRA PN-145A-9728"/>
    <m/>
    <m/>
    <m/>
    <s v="1450AA-T-70453_FL14"/>
    <n v="1"/>
    <s v="PÇ"/>
    <n v="0.223"/>
    <n v="0.223"/>
    <n v="1169.77"/>
    <n v="260.85870999999997"/>
    <n v="0"/>
    <n v="0.9"/>
    <n v="0.1"/>
    <m/>
    <m/>
    <x v="0"/>
    <m/>
    <m/>
    <m/>
    <m/>
    <m/>
    <m/>
    <m/>
    <m/>
    <m/>
    <m/>
    <m/>
    <m/>
    <m/>
    <m/>
    <m/>
    <m/>
    <m/>
  </r>
  <r>
    <s v="2.4.3.1.1"/>
    <s v="CMS M.60.10.000"/>
    <x v="2"/>
    <n v="7"/>
    <s v="SPOOL"/>
    <n v="6"/>
    <x v="1"/>
    <s v="NÃO"/>
    <s v="NÃO"/>
    <x v="60"/>
    <x v="3"/>
    <s v="DISPOSIÇÃO DE REJEITOS LINHA DO CIRCUITO ULTRAFINO DISTRIBUIDOR DI-145A-9906 PARA A PENEIRA PN-145A-9728"/>
    <m/>
    <m/>
    <m/>
    <s v="1450AA-T-70453_FL17"/>
    <n v="1"/>
    <s v="PÇ"/>
    <n v="2.5"/>
    <n v="2.5"/>
    <n v="1169.77"/>
    <n v="2924.4250000000002"/>
    <n v="0"/>
    <n v="0.9"/>
    <n v="0.1"/>
    <m/>
    <m/>
    <x v="0"/>
    <m/>
    <m/>
    <m/>
    <m/>
    <m/>
    <m/>
    <m/>
    <m/>
    <m/>
    <m/>
    <m/>
    <m/>
    <m/>
    <m/>
    <m/>
    <m/>
    <m/>
  </r>
  <r>
    <s v="2.4.3.1.1"/>
    <s v="CMS M.60.10.000"/>
    <x v="2"/>
    <n v="8"/>
    <s v="CURVA"/>
    <n v="6"/>
    <x v="1"/>
    <s v="NÃO"/>
    <s v="NÃO"/>
    <x v="60"/>
    <x v="3"/>
    <s v="DISPOSIÇÃO DE REJEITOS LINHA DO CIRCUITO ULTRAFINO DISTRIBUIDOR DI-145A-9906 PARA A PENEIRA PN-145A-9728"/>
    <m/>
    <m/>
    <m/>
    <s v="1450AA-T-70453_FL13"/>
    <n v="1"/>
    <s v="PÇ"/>
    <n v="0.42"/>
    <n v="0.42"/>
    <n v="1169.77"/>
    <n v="491.30339999999995"/>
    <n v="0"/>
    <n v="0.9"/>
    <n v="0.1"/>
    <m/>
    <m/>
    <x v="0"/>
    <m/>
    <m/>
    <m/>
    <m/>
    <m/>
    <m/>
    <m/>
    <m/>
    <m/>
    <m/>
    <m/>
    <m/>
    <m/>
    <m/>
    <m/>
    <m/>
    <m/>
  </r>
  <r>
    <s v="2.4.3.1.1"/>
    <s v="CMS M.60.10.000"/>
    <x v="2"/>
    <n v="9"/>
    <s v="SPOOL"/>
    <n v="6"/>
    <x v="2"/>
    <s v="NÃO"/>
    <s v="NÃO"/>
    <x v="60"/>
    <x v="3"/>
    <s v="DISPOSIÇÃO DE REJEITOS LINHA DO CIRCUITO ULTRAFINO DISTRIBUIDOR DI-145A-9906 PARA A PENEIRA PN-145A-9728"/>
    <m/>
    <m/>
    <m/>
    <s v="1450AA-T-70453_FL20"/>
    <n v="1"/>
    <s v="PÇ"/>
    <n v="0.4"/>
    <n v="0.4"/>
    <n v="1169.77"/>
    <n v="467.90800000000002"/>
    <n v="0"/>
    <n v="0.9"/>
    <n v="0.1"/>
    <m/>
    <m/>
    <x v="0"/>
    <m/>
    <m/>
    <m/>
    <m/>
    <m/>
    <m/>
    <m/>
    <m/>
    <m/>
    <m/>
    <m/>
    <m/>
    <m/>
    <m/>
    <m/>
    <m/>
    <m/>
  </r>
  <r>
    <s v="2.4.3.1.1"/>
    <s v="CMS M.60.10.000"/>
    <x v="2"/>
    <n v="10"/>
    <s v="CURVA"/>
    <n v="6"/>
    <x v="1"/>
    <s v="NÃO"/>
    <s v="NÃO"/>
    <x v="60"/>
    <x v="3"/>
    <s v="DISPOSIÇÃO DE REJEITOS LINHA DO CIRCUITO ULTRAFINO DISTRIBUIDOR DI-145A-9906 PARA A PENEIRA PN-145A-9728"/>
    <m/>
    <m/>
    <m/>
    <s v="1450AA-T-70453_FL12"/>
    <n v="1"/>
    <s v="PÇ"/>
    <n v="0.47"/>
    <n v="0.47"/>
    <n v="1169.77"/>
    <n v="549.79189999999994"/>
    <n v="0"/>
    <n v="0.9"/>
    <n v="0.1"/>
    <m/>
    <m/>
    <x v="0"/>
    <m/>
    <m/>
    <m/>
    <m/>
    <m/>
    <m/>
    <m/>
    <m/>
    <m/>
    <m/>
    <m/>
    <m/>
    <m/>
    <m/>
    <m/>
    <m/>
    <m/>
  </r>
  <r>
    <s v="2.4.3.1.1"/>
    <s v="CMS M.60.10.000"/>
    <x v="2"/>
    <n v="11"/>
    <s v="SPOOL"/>
    <n v="6"/>
    <x v="1"/>
    <s v="NÃO"/>
    <s v="NÃO"/>
    <x v="60"/>
    <x v="3"/>
    <s v="DISPOSIÇÃO DE REJEITOS LINHA DO CIRCUITO ULTRAFINO DISTRIBUIDOR DI-145A-9906 PARA A PENEIRA PN-145A-9728"/>
    <m/>
    <m/>
    <m/>
    <s v="1450AA-T-70453_FL18"/>
    <n v="1"/>
    <s v="PÇ"/>
    <n v="1.7"/>
    <n v="1.7"/>
    <n v="1169.77"/>
    <n v="1988.6089999999999"/>
    <n v="0"/>
    <n v="0.9"/>
    <n v="0.1"/>
    <m/>
    <m/>
    <x v="0"/>
    <m/>
    <m/>
    <m/>
    <m/>
    <m/>
    <m/>
    <m/>
    <m/>
    <m/>
    <m/>
    <m/>
    <m/>
    <m/>
    <m/>
    <m/>
    <m/>
    <m/>
  </r>
  <r>
    <n v="0"/>
    <s v="CMS M.60.10.000"/>
    <x v="2"/>
    <n v="12"/>
    <s v="SPOOL"/>
    <s v="6 X 4"/>
    <x v="1"/>
    <s v="NÃO"/>
    <s v="NÃO"/>
    <x v="60"/>
    <x v="3"/>
    <s v="DISPOSIÇÃO DE REJEITOS LINHA DO CIRCUITO ULTRAFINO DISTRIBUIDOR DI-145A-9906 PARA A PENEIRA PN-145A-9728"/>
    <m/>
    <m/>
    <m/>
    <s v="1450AA-T-70453_FL09"/>
    <n v="1"/>
    <s v="PÇ"/>
    <n v="2.1349999999999998"/>
    <n v="2.1349999999999998"/>
    <n v="0"/>
    <n v="0"/>
    <n v="0"/>
    <n v="0.9"/>
    <n v="0.1"/>
    <m/>
    <m/>
    <x v="0"/>
    <m/>
    <m/>
    <m/>
    <m/>
    <m/>
    <m/>
    <m/>
    <m/>
    <m/>
    <m/>
    <m/>
    <m/>
    <m/>
    <m/>
    <m/>
    <m/>
    <m/>
  </r>
  <r>
    <n v="0"/>
    <s v="CMS M.60.10.000"/>
    <x v="2"/>
    <n v="13"/>
    <s v="FLANGE"/>
    <n v="4"/>
    <x v="1"/>
    <s v="NÃO"/>
    <s v="NÃO"/>
    <x v="60"/>
    <x v="3"/>
    <s v="DISPOSIÇÃO DE REJEITOS LINHA DO CIRCUITO ULTRAFINO DISTRIBUIDOR DI-145A-9906 PARA A PENEIRA PN-145A-9728"/>
    <m/>
    <m/>
    <m/>
    <s v="1450AA-T-70453_FL03"/>
    <n v="2"/>
    <s v="PÇ"/>
    <n v="0"/>
    <n v="0"/>
    <n v="0"/>
    <n v="0"/>
    <n v="0"/>
    <n v="0.9"/>
    <n v="0.1"/>
    <m/>
    <m/>
    <x v="0"/>
    <m/>
    <m/>
    <m/>
    <m/>
    <m/>
    <m/>
    <m/>
    <m/>
    <m/>
    <m/>
    <m/>
    <m/>
    <m/>
    <m/>
    <m/>
    <m/>
    <m/>
  </r>
  <r>
    <s v="2.4.3.1.1"/>
    <s v="CMS M.60.10.000"/>
    <x v="2"/>
    <n v="1"/>
    <s v="CURVA"/>
    <n v="6"/>
    <x v="1"/>
    <s v="NÃO"/>
    <s v="NÃO"/>
    <x v="61"/>
    <x v="3"/>
    <s v="DISPOSIÇÃO DE REJEITOS LINHA DO CIRCUITO ULTRAFINO DISTRIBUIDOR DI-145A-9906 PARA A PENEIRA PN-145A-9729"/>
    <m/>
    <m/>
    <m/>
    <s v="1450AA-T-70455_FL11"/>
    <n v="2"/>
    <s v="PÇ"/>
    <n v="0.46500000000000002"/>
    <n v="0.93"/>
    <n v="1169.77"/>
    <n v="1087.8860999999999"/>
    <n v="0"/>
    <n v="0.9"/>
    <n v="0.1"/>
    <m/>
    <m/>
    <x v="0"/>
    <m/>
    <m/>
    <m/>
    <m/>
    <m/>
    <m/>
    <m/>
    <m/>
    <m/>
    <m/>
    <m/>
    <m/>
    <m/>
    <m/>
    <m/>
    <m/>
    <m/>
  </r>
  <r>
    <s v="2.4.3.1.1"/>
    <s v="CMS M.60.10.000"/>
    <x v="2"/>
    <n v="2"/>
    <s v="SPOOL"/>
    <n v="6"/>
    <x v="2"/>
    <s v="NÃO"/>
    <s v="NÃO"/>
    <x v="61"/>
    <x v="3"/>
    <s v="DISPOSIÇÃO DE REJEITOS LINHA DO CIRCUITO ULTRAFINO DISTRIBUIDOR DI-145A-9906 PARA A PENEIRA PN-145A-9729"/>
    <m/>
    <m/>
    <m/>
    <s v="1450AA-T-70455_FL14"/>
    <n v="1"/>
    <s v="PÇ"/>
    <n v="0.94"/>
    <n v="0.94"/>
    <n v="1169.77"/>
    <n v="1099.5837999999999"/>
    <n v="0"/>
    <n v="0.9"/>
    <n v="0.1"/>
    <m/>
    <m/>
    <x v="0"/>
    <m/>
    <m/>
    <m/>
    <m/>
    <m/>
    <m/>
    <m/>
    <m/>
    <m/>
    <m/>
    <m/>
    <m/>
    <m/>
    <m/>
    <m/>
    <m/>
    <m/>
  </r>
  <r>
    <s v="2.4.3.1.1"/>
    <s v="CMS M.60.10.000"/>
    <x v="2"/>
    <n v="3"/>
    <s v="SPOOL"/>
    <n v="6"/>
    <x v="1"/>
    <s v="NÃO"/>
    <s v="NÃO"/>
    <x v="61"/>
    <x v="3"/>
    <s v="DISPOSIÇÃO DE REJEITOS LINHA DO CIRCUITO ULTRAFINO DISTRIBUIDOR DI-145A-9906 PARA A PENEIRA PN-145A-9729"/>
    <m/>
    <m/>
    <m/>
    <s v="1450AA-T-70455_FL12"/>
    <n v="1"/>
    <s v="PÇ"/>
    <n v="2.5"/>
    <n v="2.5"/>
    <n v="1169.77"/>
    <n v="2924.4250000000002"/>
    <n v="0"/>
    <n v="0.9"/>
    <n v="0.1"/>
    <m/>
    <m/>
    <x v="0"/>
    <m/>
    <m/>
    <m/>
    <m/>
    <m/>
    <m/>
    <m/>
    <m/>
    <m/>
    <m/>
    <m/>
    <m/>
    <m/>
    <m/>
    <m/>
    <m/>
    <m/>
  </r>
  <r>
    <s v="2.4.3.1.1"/>
    <s v="CMS M.60.10.000"/>
    <x v="2"/>
    <n v="4"/>
    <s v="SPOOL"/>
    <n v="6"/>
    <x v="2"/>
    <s v="NÃO"/>
    <s v="NÃO"/>
    <x v="61"/>
    <x v="3"/>
    <s v="DISPOSIÇÃO DE REJEITOS LINHA DO CIRCUITO ULTRAFINO DISTRIBUIDOR DI-145A-9906 PARA A PENEIRA PN-145A-9729"/>
    <m/>
    <m/>
    <m/>
    <s v="1450AA-T-70455_FL13"/>
    <n v="1"/>
    <s v="PÇ"/>
    <n v="0.6"/>
    <n v="0.6"/>
    <n v="1169.77"/>
    <n v="701.86199999999997"/>
    <n v="0"/>
    <n v="0.9"/>
    <n v="0.1"/>
    <m/>
    <m/>
    <x v="0"/>
    <m/>
    <m/>
    <m/>
    <m/>
    <m/>
    <m/>
    <m/>
    <m/>
    <m/>
    <m/>
    <m/>
    <m/>
    <m/>
    <m/>
    <m/>
    <m/>
    <m/>
  </r>
  <r>
    <n v="0"/>
    <s v="CMS M.60.10.000"/>
    <x v="2"/>
    <n v="5"/>
    <s v="SPOOL"/>
    <s v="6 X 4"/>
    <x v="1"/>
    <s v="NÃO"/>
    <s v="NÃO"/>
    <x v="61"/>
    <x v="3"/>
    <s v="DISPOSIÇÃO DE REJEITOS LINHA DO CIRCUITO ULTRAFINO DISTRIBUIDOR DI-145A-9906 PARA A PENEIRA PN-145A-9729"/>
    <m/>
    <m/>
    <m/>
    <s v="1450AA-T-70455_FL09"/>
    <n v="1"/>
    <s v="PÇ"/>
    <n v="2.1349999999999998"/>
    <n v="2.1349999999999998"/>
    <n v="0"/>
    <n v="0"/>
    <n v="0"/>
    <n v="0.9"/>
    <n v="0.1"/>
    <m/>
    <m/>
    <x v="0"/>
    <m/>
    <m/>
    <m/>
    <m/>
    <m/>
    <m/>
    <m/>
    <m/>
    <m/>
    <m/>
    <m/>
    <m/>
    <m/>
    <m/>
    <m/>
    <m/>
    <m/>
  </r>
  <r>
    <n v="0"/>
    <s v="CMS M.60.10.000"/>
    <x v="2"/>
    <n v="6"/>
    <s v="FLANGE"/>
    <n v="4"/>
    <x v="1"/>
    <s v="NÃO"/>
    <s v="NÃO"/>
    <x v="61"/>
    <x v="3"/>
    <s v="DISPOSIÇÃO DE REJEITOS LINHA DO CIRCUITO ULTRAFINO DISTRIBUIDOR DI-145A-9906 PARA A PENEIRA PN-145A-9729"/>
    <m/>
    <m/>
    <m/>
    <s v="1450AA-T-70455_FL03"/>
    <n v="2"/>
    <s v="PÇ"/>
    <n v="0"/>
    <n v="0"/>
    <n v="0"/>
    <n v="0"/>
    <n v="0"/>
    <n v="0.9"/>
    <n v="0.1"/>
    <m/>
    <m/>
    <x v="0"/>
    <m/>
    <m/>
    <m/>
    <m/>
    <m/>
    <m/>
    <m/>
    <m/>
    <m/>
    <m/>
    <m/>
    <m/>
    <m/>
    <m/>
    <m/>
    <m/>
    <m/>
  </r>
  <r>
    <s v="2.4.3.1.1"/>
    <s v="CMS M.60.10.000"/>
    <x v="2"/>
    <n v="1"/>
    <s v="CURVA"/>
    <n v="6"/>
    <x v="1"/>
    <s v="NÃO"/>
    <s v="NÃO"/>
    <x v="62"/>
    <x v="3"/>
    <s v="DISPOSIÇÃO DE REJEITOS LINHA DO CIRCUITO ULTRAFINO DISTRIBUIDOR DI-145A-9906 PARA A PENEIRA PN-145A-9707"/>
    <m/>
    <m/>
    <m/>
    <s v="1450AA-T-70457_FL16"/>
    <n v="2"/>
    <s v="PÇ"/>
    <n v="0.46500000000000002"/>
    <n v="0.93"/>
    <n v="1169.77"/>
    <n v="1087.8860999999999"/>
    <n v="0"/>
    <n v="0.9"/>
    <n v="0.1"/>
    <m/>
    <m/>
    <x v="0"/>
    <m/>
    <m/>
    <m/>
    <m/>
    <m/>
    <m/>
    <m/>
    <m/>
    <m/>
    <m/>
    <m/>
    <m/>
    <m/>
    <m/>
    <m/>
    <m/>
    <m/>
  </r>
  <r>
    <s v="2.4.3.1.1"/>
    <s v="CMS M.60.10.000"/>
    <x v="2"/>
    <n v="2"/>
    <s v="SPOOL"/>
    <n v="6"/>
    <x v="2"/>
    <s v="NÃO"/>
    <s v="NÃO"/>
    <x v="62"/>
    <x v="3"/>
    <s v="DISPOSIÇÃO DE REJEITOS LINHA DO CIRCUITO ULTRAFINO DISTRIBUIDOR DI-145A-9906 PARA A PENEIRA PN-145A-9707"/>
    <m/>
    <m/>
    <m/>
    <s v="1450AA-T-70457_FL22"/>
    <n v="2"/>
    <s v="PÇ"/>
    <n v="0.4"/>
    <n v="0.8"/>
    <n v="1169.77"/>
    <n v="935.81600000000003"/>
    <n v="0"/>
    <n v="0.9"/>
    <n v="0.1"/>
    <m/>
    <m/>
    <x v="0"/>
    <m/>
    <m/>
    <m/>
    <m/>
    <m/>
    <m/>
    <m/>
    <m/>
    <m/>
    <m/>
    <m/>
    <m/>
    <m/>
    <m/>
    <m/>
    <m/>
    <m/>
  </r>
  <r>
    <s v="2.4.3.1.1"/>
    <s v="CMS M.60.10.000"/>
    <x v="2"/>
    <n v="3"/>
    <s v="CURVA"/>
    <n v="6"/>
    <x v="1"/>
    <s v="NÃO"/>
    <s v="NÃO"/>
    <x v="62"/>
    <x v="3"/>
    <s v="DISPOSIÇÃO DE REJEITOS LINHA DO CIRCUITO ULTRAFINO DISTRIBUIDOR DI-145A-9906 PARA A PENEIRA PN-145A-9707"/>
    <m/>
    <m/>
    <m/>
    <s v="1450AA-T-70457_FL13"/>
    <n v="1"/>
    <s v="PÇ"/>
    <n v="0.42"/>
    <n v="0.42"/>
    <n v="1169.77"/>
    <n v="491.30339999999995"/>
    <n v="0"/>
    <n v="0.9"/>
    <n v="0.1"/>
    <m/>
    <m/>
    <x v="0"/>
    <m/>
    <m/>
    <m/>
    <m/>
    <m/>
    <m/>
    <m/>
    <m/>
    <m/>
    <m/>
    <m/>
    <m/>
    <m/>
    <m/>
    <m/>
    <m/>
    <m/>
  </r>
  <r>
    <s v="2.4.3.1.1"/>
    <s v="CMS M.60.10.000"/>
    <x v="2"/>
    <n v="4"/>
    <s v="SPOOL"/>
    <n v="6"/>
    <x v="1"/>
    <s v="NÃO"/>
    <s v="NÃO"/>
    <x v="62"/>
    <x v="3"/>
    <s v="DISPOSIÇÃO DE REJEITOS LINHA DO CIRCUITO ULTRAFINO DISTRIBUIDOR DI-145A-9906 PARA A PENEIRA PN-145A-9707"/>
    <m/>
    <m/>
    <m/>
    <s v="1450AA-T-70457_FL17"/>
    <n v="4"/>
    <s v="PÇ"/>
    <n v="2.5"/>
    <n v="10"/>
    <n v="1169.77"/>
    <n v="11697.7"/>
    <n v="0"/>
    <n v="0.9"/>
    <n v="0.1"/>
    <m/>
    <m/>
    <x v="0"/>
    <m/>
    <m/>
    <m/>
    <m/>
    <m/>
    <m/>
    <m/>
    <m/>
    <m/>
    <m/>
    <m/>
    <m/>
    <m/>
    <m/>
    <m/>
    <m/>
    <m/>
  </r>
  <r>
    <s v="2.4.3.1.1"/>
    <s v="CMS M.60.10.000"/>
    <x v="2"/>
    <n v="5"/>
    <s v="SPOOL"/>
    <n v="6"/>
    <x v="2"/>
    <s v="NÃO"/>
    <s v="NÃO"/>
    <x v="62"/>
    <x v="3"/>
    <s v="DISPOSIÇÃO DE REJEITOS LINHA DO CIRCUITO ULTRAFINO DISTRIBUIDOR DI-145A-9906 PARA A PENEIRA PN-145A-9707"/>
    <m/>
    <m/>
    <m/>
    <s v="1450AA-T-70457_FL21"/>
    <n v="2"/>
    <s v="PÇ"/>
    <n v="0.3"/>
    <n v="0.6"/>
    <n v="1169.77"/>
    <n v="701.86199999999997"/>
    <n v="0"/>
    <n v="0.9"/>
    <n v="0.1"/>
    <m/>
    <m/>
    <x v="0"/>
    <m/>
    <m/>
    <m/>
    <m/>
    <m/>
    <m/>
    <m/>
    <m/>
    <m/>
    <m/>
    <m/>
    <m/>
    <m/>
    <m/>
    <m/>
    <m/>
    <m/>
  </r>
  <r>
    <s v="2.4.3.1.1"/>
    <s v="CMS M.60.10.000"/>
    <x v="2"/>
    <n v="6"/>
    <s v="CURVA"/>
    <n v="6"/>
    <x v="1"/>
    <s v="NÃO"/>
    <s v="NÃO"/>
    <x v="62"/>
    <x v="3"/>
    <s v="DISPOSIÇÃO DE REJEITOS LINHA DO CIRCUITO ULTRAFINO DISTRIBUIDOR DI-145A-9906 PARA A PENEIRA PN-145A-9707"/>
    <m/>
    <m/>
    <m/>
    <s v="1450AA-T-70457_FL12"/>
    <n v="1"/>
    <s v="PÇ"/>
    <n v="0.32500000000000001"/>
    <n v="0.32500000000000001"/>
    <n v="1169.77"/>
    <n v="380.17525000000001"/>
    <n v="0"/>
    <n v="0.9"/>
    <n v="0.1"/>
    <m/>
    <m/>
    <x v="0"/>
    <m/>
    <m/>
    <m/>
    <m/>
    <m/>
    <m/>
    <m/>
    <m/>
    <m/>
    <m/>
    <m/>
    <m/>
    <m/>
    <m/>
    <m/>
    <m/>
    <m/>
  </r>
  <r>
    <s v="2.4.3.1.1"/>
    <s v="CMS M.60.10.000"/>
    <x v="2"/>
    <n v="7"/>
    <s v="SPOOL"/>
    <n v="6"/>
    <x v="1"/>
    <s v="NÃO"/>
    <s v="NÃO"/>
    <x v="62"/>
    <x v="3"/>
    <s v="DISPOSIÇÃO DE REJEITOS LINHA DO CIRCUITO ULTRAFINO DISTRIBUIDOR DI-145A-9906 PARA A PENEIRA PN-145A-9707"/>
    <m/>
    <m/>
    <m/>
    <s v="1450AA-T-70457_FL19"/>
    <n v="2"/>
    <s v="PÇ"/>
    <n v="1.5"/>
    <n v="3"/>
    <n v="1169.77"/>
    <n v="3509.31"/>
    <n v="0"/>
    <n v="0.9"/>
    <n v="0.1"/>
    <m/>
    <m/>
    <x v="0"/>
    <m/>
    <m/>
    <m/>
    <m/>
    <m/>
    <m/>
    <m/>
    <m/>
    <m/>
    <m/>
    <m/>
    <m/>
    <m/>
    <m/>
    <m/>
    <m/>
    <m/>
  </r>
  <r>
    <s v="2.4.3.1.1"/>
    <s v="CMS M.60.10.000"/>
    <x v="2"/>
    <n v="8"/>
    <s v="SPOOL"/>
    <n v="6"/>
    <x v="2"/>
    <s v="NÃO"/>
    <s v="NÃO"/>
    <x v="62"/>
    <x v="3"/>
    <s v="DISPOSIÇÃO DE REJEITOS LINHA DO CIRCUITO ULTRAFINO DISTRIBUIDOR DI-145A-9906 PARA A PENEIRA PN-145A-9707"/>
    <m/>
    <m/>
    <m/>
    <s v="1450AA-T-70457_FL24"/>
    <n v="1"/>
    <s v="PÇ"/>
    <n v="0.62"/>
    <n v="0.62"/>
    <n v="1169.77"/>
    <n v="725.25739999999996"/>
    <n v="0"/>
    <n v="0.9"/>
    <n v="0.1"/>
    <m/>
    <m/>
    <x v="0"/>
    <m/>
    <m/>
    <m/>
    <m/>
    <m/>
    <m/>
    <m/>
    <m/>
    <m/>
    <m/>
    <m/>
    <m/>
    <m/>
    <m/>
    <m/>
    <m/>
    <m/>
  </r>
  <r>
    <s v="2.4.3.1.1"/>
    <s v="CMS M.60.10.000"/>
    <x v="2"/>
    <n v="9"/>
    <s v="SPOOL"/>
    <n v="6"/>
    <x v="1"/>
    <s v="NÃO"/>
    <s v="NÃO"/>
    <x v="62"/>
    <x v="3"/>
    <s v="DISPOSIÇÃO DE REJEITOS LINHA DO CIRCUITO ULTRAFINO DISTRIBUIDOR DI-145A-9906 PARA A PENEIRA PN-145A-9707"/>
    <m/>
    <m/>
    <m/>
    <s v="1450AA-T-70457_FL18"/>
    <n v="1"/>
    <s v="PÇ"/>
    <n v="2"/>
    <n v="2"/>
    <n v="1169.77"/>
    <n v="2339.54"/>
    <n v="0"/>
    <n v="0.9"/>
    <n v="0.1"/>
    <m/>
    <m/>
    <x v="0"/>
    <m/>
    <m/>
    <m/>
    <m/>
    <m/>
    <m/>
    <m/>
    <m/>
    <m/>
    <m/>
    <m/>
    <m/>
    <m/>
    <m/>
    <m/>
    <m/>
    <m/>
  </r>
  <r>
    <s v="2.4.3.1.1"/>
    <s v="CMS M.60.10.000"/>
    <x v="2"/>
    <n v="10"/>
    <s v="SPOOL"/>
    <n v="6"/>
    <x v="2"/>
    <s v="NÃO"/>
    <s v="NÃO"/>
    <x v="62"/>
    <x v="3"/>
    <s v="DISPOSIÇÃO DE REJEITOS LINHA DO CIRCUITO ULTRAFINO DISTRIBUIDOR DI-145A-9906 PARA A PENEIRA PN-145A-9707"/>
    <m/>
    <m/>
    <m/>
    <s v="1450AA-T-70457_FL25"/>
    <n v="1"/>
    <s v="PÇ"/>
    <n v="0.68"/>
    <n v="0.68"/>
    <n v="1169.77"/>
    <n v="795.44360000000006"/>
    <n v="0"/>
    <n v="0.9"/>
    <n v="0.1"/>
    <m/>
    <m/>
    <x v="0"/>
    <m/>
    <m/>
    <m/>
    <m/>
    <m/>
    <m/>
    <m/>
    <m/>
    <m/>
    <m/>
    <m/>
    <m/>
    <m/>
    <m/>
    <m/>
    <m/>
    <m/>
  </r>
  <r>
    <s v="2.4.3.1.1"/>
    <s v="CMS M.60.10.000"/>
    <x v="2"/>
    <n v="11"/>
    <s v="CURVA"/>
    <n v="6"/>
    <x v="1"/>
    <s v="NÃO"/>
    <s v="NÃO"/>
    <x v="62"/>
    <x v="3"/>
    <s v="DISPOSIÇÃO DE REJEITOS LINHA DO CIRCUITO ULTRAFINO DISTRIBUIDOR DI-145A-9906 PARA A PENEIRA PN-145A-9707"/>
    <m/>
    <m/>
    <m/>
    <s v="1450AA-T-70457_FL15"/>
    <n v="1"/>
    <s v="PÇ"/>
    <n v="0.42"/>
    <n v="0.42"/>
    <n v="1169.77"/>
    <n v="491.30339999999995"/>
    <n v="0"/>
    <n v="0.9"/>
    <n v="0.1"/>
    <m/>
    <m/>
    <x v="0"/>
    <m/>
    <m/>
    <m/>
    <m/>
    <m/>
    <m/>
    <m/>
    <m/>
    <m/>
    <m/>
    <m/>
    <m/>
    <m/>
    <m/>
    <m/>
    <m/>
    <m/>
  </r>
  <r>
    <s v="2.4.3.1.1"/>
    <s v="CMS M.60.10.000"/>
    <x v="2"/>
    <n v="12"/>
    <s v="SPOOL"/>
    <n v="6"/>
    <x v="2"/>
    <s v="NÃO"/>
    <s v="NÃO"/>
    <x v="62"/>
    <x v="3"/>
    <s v="DISPOSIÇÃO DE REJEITOS LINHA DO CIRCUITO ULTRAFINO DISTRIBUIDOR DI-145A-9906 PARA A PENEIRA PN-145A-9707"/>
    <m/>
    <m/>
    <m/>
    <s v="1450AA-T-70457_FL23"/>
    <n v="1"/>
    <s v="PÇ"/>
    <n v="0.53"/>
    <n v="0.53"/>
    <n v="1169.77"/>
    <n v="619.97810000000004"/>
    <n v="0"/>
    <n v="0.9"/>
    <n v="0.1"/>
    <m/>
    <m/>
    <x v="0"/>
    <m/>
    <m/>
    <m/>
    <m/>
    <m/>
    <m/>
    <m/>
    <m/>
    <m/>
    <m/>
    <m/>
    <m/>
    <m/>
    <m/>
    <m/>
    <m/>
    <m/>
  </r>
  <r>
    <s v="2.4.3.1.1"/>
    <s v="CMS M.60.10.000"/>
    <x v="2"/>
    <n v="13"/>
    <s v="CURVA"/>
    <n v="6"/>
    <x v="1"/>
    <s v="NÃO"/>
    <s v="NÃO"/>
    <x v="62"/>
    <x v="3"/>
    <s v="DISPOSIÇÃO DE REJEITOS LINHA DO CIRCUITO ULTRAFINO DISTRIBUIDOR DI-145A-9906 PARA A PENEIRA PN-145A-9707"/>
    <m/>
    <m/>
    <m/>
    <s v="1450AA-T-70457_FL14"/>
    <n v="1"/>
    <s v="PÇ"/>
    <n v="0.51200000000000001"/>
    <n v="0.51200000000000001"/>
    <n v="1169.77"/>
    <n v="598.92223999999999"/>
    <n v="0"/>
    <n v="0.9"/>
    <n v="0.1"/>
    <m/>
    <m/>
    <x v="0"/>
    <m/>
    <m/>
    <m/>
    <m/>
    <m/>
    <m/>
    <m/>
    <m/>
    <m/>
    <m/>
    <m/>
    <m/>
    <m/>
    <m/>
    <m/>
    <m/>
    <m/>
  </r>
  <r>
    <s v="2.4.3.1.1"/>
    <s v="CMS M.60.10.000"/>
    <x v="2"/>
    <n v="14"/>
    <s v="SPOOL"/>
    <n v="6"/>
    <x v="1"/>
    <s v="NÃO"/>
    <s v="NÃO"/>
    <x v="62"/>
    <x v="3"/>
    <s v="DISPOSIÇÃO DE REJEITOS LINHA DO CIRCUITO ULTRAFINO DISTRIBUIDOR DI-145A-9906 PARA A PENEIRA PN-145A-9707"/>
    <m/>
    <m/>
    <m/>
    <s v="1450AA-T-70457_FL20"/>
    <n v="1"/>
    <s v="PÇ"/>
    <n v="1.2"/>
    <n v="1.2"/>
    <n v="1169.77"/>
    <n v="1403.7239999999999"/>
    <n v="0"/>
    <n v="0.9"/>
    <n v="0.1"/>
    <m/>
    <m/>
    <x v="0"/>
    <m/>
    <m/>
    <m/>
    <m/>
    <m/>
    <m/>
    <m/>
    <m/>
    <m/>
    <m/>
    <m/>
    <m/>
    <m/>
    <m/>
    <m/>
    <m/>
    <m/>
  </r>
  <r>
    <s v="2.4.3.1.1"/>
    <s v="CMS M.60.10.000"/>
    <x v="2"/>
    <n v="15"/>
    <s v="SPOOL"/>
    <n v="6"/>
    <x v="1"/>
    <s v="NÃO"/>
    <s v="NÃO"/>
    <x v="62"/>
    <x v="3"/>
    <s v="DISPOSIÇÃO DE REJEITOS LINHA DO CIRCUITO ULTRAFINO DISTRIBUIDOR DI-145A-9906 PARA A PENEIRA PN-145A-9707"/>
    <m/>
    <m/>
    <m/>
    <s v="1450AA-T-70457_FL11"/>
    <n v="1"/>
    <s v="PÇ"/>
    <n v="0.75"/>
    <n v="0.75"/>
    <n v="1169.77"/>
    <n v="877.32749999999999"/>
    <n v="0"/>
    <n v="0.9"/>
    <n v="0.1"/>
    <m/>
    <m/>
    <x v="0"/>
    <m/>
    <m/>
    <m/>
    <m/>
    <m/>
    <m/>
    <m/>
    <m/>
    <m/>
    <m/>
    <m/>
    <m/>
    <m/>
    <m/>
    <m/>
    <m/>
    <m/>
  </r>
  <r>
    <s v="2.4.3.1.1"/>
    <s v="CMS M.60.10.000"/>
    <x v="2"/>
    <n v="16"/>
    <s v="SPOOL"/>
    <n v="6"/>
    <x v="1"/>
    <s v="NÃO"/>
    <s v="NÃO"/>
    <x v="62"/>
    <x v="3"/>
    <s v="DISPOSIÇÃO DE REJEITOS LINHA DO CIRCUITO ULTRAFINO DISTRIBUIDOR DI-145A-9906 PARA A PENEIRA PN-145A-9707"/>
    <m/>
    <m/>
    <m/>
    <s v="1450AA-T-70457_FL09"/>
    <n v="1"/>
    <s v="PÇ"/>
    <n v="2.1349999999999998"/>
    <n v="2.1349999999999998"/>
    <n v="1169.77"/>
    <n v="2497.4589499999997"/>
    <n v="0"/>
    <n v="0.9"/>
    <n v="0.1"/>
    <m/>
    <m/>
    <x v="0"/>
    <m/>
    <m/>
    <m/>
    <m/>
    <m/>
    <m/>
    <m/>
    <m/>
    <m/>
    <m/>
    <m/>
    <m/>
    <m/>
    <m/>
    <m/>
    <m/>
    <m/>
  </r>
  <r>
    <s v="2.4.3.1.1"/>
    <s v="CMS M.60.10.000"/>
    <x v="2"/>
    <n v="17"/>
    <s v="FLANGE"/>
    <n v="6"/>
    <x v="1"/>
    <s v="NÃO"/>
    <s v="NÃO"/>
    <x v="62"/>
    <x v="3"/>
    <s v="DISPOSIÇÃO DE REJEITOS LINHA DO CIRCUITO ULTRAFINO DISTRIBUIDOR DI-145A-9906 PARA A PENEIRA PN-145A-9707"/>
    <m/>
    <m/>
    <m/>
    <s v="1450AA-T-70457_FL03"/>
    <n v="2"/>
    <s v="PÇ"/>
    <n v="0"/>
    <n v="0"/>
    <n v="1169.77"/>
    <n v="0"/>
    <n v="0"/>
    <n v="0.9"/>
    <n v="0.1"/>
    <m/>
    <m/>
    <x v="0"/>
    <m/>
    <m/>
    <m/>
    <m/>
    <m/>
    <m/>
    <m/>
    <m/>
    <m/>
    <m/>
    <m/>
    <m/>
    <m/>
    <m/>
    <m/>
    <m/>
    <m/>
  </r>
  <r>
    <s v="2.4.3.1.1"/>
    <s v="CMS M.60.10.000"/>
    <x v="2"/>
    <n v="1"/>
    <s v="CURVA"/>
    <n v="6"/>
    <x v="1"/>
    <s v="NÃO"/>
    <s v="NÃO"/>
    <x v="63"/>
    <x v="3"/>
    <s v="DISPOSIÇÃO DE REJEITOS LINHA DO CIRCUITO ULTRAFINO DISTRIBUIDOR DI-145A-9906 PARA A PENEIRA PN-145A-9708"/>
    <m/>
    <m/>
    <m/>
    <s v="1450AA-T-70459_FL15"/>
    <n v="2"/>
    <s v="PÇ"/>
    <n v="0.46500000000000002"/>
    <n v="0.93"/>
    <n v="1169.77"/>
    <n v="1087.8860999999999"/>
    <n v="0"/>
    <n v="0.9"/>
    <n v="0.1"/>
    <m/>
    <m/>
    <x v="0"/>
    <m/>
    <m/>
    <m/>
    <m/>
    <m/>
    <m/>
    <m/>
    <m/>
    <m/>
    <m/>
    <m/>
    <m/>
    <m/>
    <m/>
    <m/>
    <m/>
    <m/>
  </r>
  <r>
    <s v="2.4.3.1.1"/>
    <s v="CMS M.60.10.000"/>
    <x v="2"/>
    <n v="2"/>
    <s v="CURVA"/>
    <n v="6"/>
    <x v="1"/>
    <s v="NÃO"/>
    <s v="NÃO"/>
    <x v="63"/>
    <x v="3"/>
    <s v="DISPOSIÇÃO DE REJEITOS LINHA DO CIRCUITO ULTRAFINO DISTRIBUIDOR DI-145A-9906 PARA A PENEIRA PN-145A-9708"/>
    <m/>
    <m/>
    <m/>
    <s v="1450AA-T-70459_FL17"/>
    <n v="1"/>
    <s v="PÇ"/>
    <n v="0.48"/>
    <n v="0.48"/>
    <n v="1169.77"/>
    <n v="561.4896"/>
    <n v="0"/>
    <n v="0.9"/>
    <n v="0.1"/>
    <m/>
    <m/>
    <x v="0"/>
    <m/>
    <m/>
    <m/>
    <m/>
    <m/>
    <m/>
    <m/>
    <m/>
    <m/>
    <m/>
    <m/>
    <m/>
    <m/>
    <m/>
    <m/>
    <m/>
    <m/>
  </r>
  <r>
    <s v="2.4.3.1.1"/>
    <s v="CMS M.60.10.000"/>
    <x v="2"/>
    <n v="3"/>
    <s v="SPOOL"/>
    <n v="6"/>
    <x v="2"/>
    <s v="NÃO"/>
    <s v="NÃO"/>
    <x v="63"/>
    <x v="3"/>
    <s v="DISPOSIÇÃO DE REJEITOS LINHA DO CIRCUITO ULTRAFINO DISTRIBUIDOR DI-145A-9906 PARA A PENEIRA PN-145A-9708"/>
    <m/>
    <m/>
    <m/>
    <s v="1450AA-T-70459_FL23"/>
    <n v="1"/>
    <s v="PÇ"/>
    <n v="0.83"/>
    <n v="0.83"/>
    <n v="1169.77"/>
    <n v="970.90909999999997"/>
    <n v="0"/>
    <n v="0.9"/>
    <n v="0.1"/>
    <m/>
    <m/>
    <x v="0"/>
    <m/>
    <m/>
    <m/>
    <m/>
    <m/>
    <m/>
    <m/>
    <m/>
    <m/>
    <m/>
    <m/>
    <m/>
    <m/>
    <m/>
    <m/>
    <m/>
    <m/>
  </r>
  <r>
    <s v="2.4.3.1.1"/>
    <s v="CMS M.60.10.000"/>
    <x v="2"/>
    <n v="4"/>
    <s v="CURVA"/>
    <n v="6"/>
    <x v="1"/>
    <s v="NÃO"/>
    <s v="NÃO"/>
    <x v="63"/>
    <x v="3"/>
    <s v="DISPOSIÇÃO DE REJEITOS LINHA DO CIRCUITO ULTRAFINO DISTRIBUIDOR DI-145A-9906 PARA A PENEIRA PN-145A-9708"/>
    <m/>
    <m/>
    <m/>
    <s v="1450AA-T-70459_FL14"/>
    <n v="1"/>
    <s v="PÇ"/>
    <n v="0.23300000000000001"/>
    <n v="0.23300000000000001"/>
    <n v="1169.77"/>
    <n v="272.55641000000003"/>
    <n v="0"/>
    <n v="0.9"/>
    <n v="0.1"/>
    <m/>
    <m/>
    <x v="0"/>
    <m/>
    <m/>
    <m/>
    <m/>
    <m/>
    <m/>
    <m/>
    <m/>
    <m/>
    <m/>
    <m/>
    <m/>
    <m/>
    <m/>
    <m/>
    <m/>
    <m/>
  </r>
  <r>
    <s v="2.4.3.1.1"/>
    <s v="CMS M.60.10.000"/>
    <x v="2"/>
    <n v="5"/>
    <s v="SPOOL"/>
    <n v="6"/>
    <x v="1"/>
    <s v="NÃO"/>
    <s v="NÃO"/>
    <x v="63"/>
    <x v="3"/>
    <s v="DISPOSIÇÃO DE REJEITOS LINHA DO CIRCUITO ULTRAFINO DISTRIBUIDOR DI-145A-9906 PARA A PENEIRA PN-145A-9708"/>
    <m/>
    <m/>
    <m/>
    <s v="1450AA-T-70459_FL18"/>
    <n v="2"/>
    <s v="PÇ"/>
    <n v="2"/>
    <n v="4"/>
    <n v="1169.77"/>
    <n v="4679.08"/>
    <n v="0"/>
    <n v="0.9"/>
    <n v="0.1"/>
    <m/>
    <m/>
    <x v="0"/>
    <m/>
    <m/>
    <m/>
    <m/>
    <m/>
    <m/>
    <m/>
    <m/>
    <m/>
    <m/>
    <m/>
    <m/>
    <m/>
    <m/>
    <m/>
    <m/>
    <m/>
  </r>
  <r>
    <s v="2.4.3.1.1"/>
    <s v="CMS M.60.10.000"/>
    <x v="2"/>
    <n v="6"/>
    <s v="SPOOL"/>
    <n v="6"/>
    <x v="2"/>
    <s v="NÃO"/>
    <s v="NÃO"/>
    <x v="63"/>
    <x v="3"/>
    <s v="DISPOSIÇÃO DE REJEITOS LINHA DO CIRCUITO ULTRAFINO DISTRIBUIDOR DI-145A-9906 PARA A PENEIRA PN-145A-9708"/>
    <m/>
    <m/>
    <m/>
    <s v="1450AA-T-70459_FL24"/>
    <n v="3"/>
    <s v="PÇ"/>
    <n v="0.56000000000000005"/>
    <n v="1.6800000000000002"/>
    <n v="1169.77"/>
    <n v="1965.2136000000003"/>
    <n v="0"/>
    <n v="0.9"/>
    <n v="0.1"/>
    <m/>
    <m/>
    <x v="0"/>
    <m/>
    <m/>
    <m/>
    <m/>
    <m/>
    <m/>
    <m/>
    <m/>
    <m/>
    <m/>
    <m/>
    <m/>
    <m/>
    <m/>
    <m/>
    <m/>
    <m/>
  </r>
  <r>
    <s v="2.4.3.1.1"/>
    <s v="CMS M.60.10.000"/>
    <x v="2"/>
    <n v="7"/>
    <s v="CURVA"/>
    <n v="6"/>
    <x v="1"/>
    <s v="NÃO"/>
    <s v="NÃO"/>
    <x v="63"/>
    <x v="3"/>
    <s v="DISPOSIÇÃO DE REJEITOS LINHA DO CIRCUITO ULTRAFINO DISTRIBUIDOR DI-145A-9906 PARA A PENEIRA PN-145A-9708"/>
    <m/>
    <m/>
    <m/>
    <s v="1450AA-T-70459_FL16"/>
    <n v="1"/>
    <s v="PÇ"/>
    <n v="0.32500000000000001"/>
    <n v="0.32500000000000001"/>
    <n v="1169.77"/>
    <n v="380.17525000000001"/>
    <n v="0"/>
    <n v="0.9"/>
    <n v="0.1"/>
    <m/>
    <m/>
    <x v="0"/>
    <m/>
    <m/>
    <m/>
    <m/>
    <m/>
    <m/>
    <m/>
    <m/>
    <m/>
    <m/>
    <m/>
    <m/>
    <m/>
    <m/>
    <m/>
    <m/>
    <m/>
  </r>
  <r>
    <s v="2.4.3.1.1"/>
    <s v="CMS M.60.10.000"/>
    <x v="2"/>
    <n v="8"/>
    <s v="SPOOL"/>
    <n v="6"/>
    <x v="1"/>
    <s v="NÃO"/>
    <s v="NÃO"/>
    <x v="63"/>
    <x v="3"/>
    <s v="DISPOSIÇÃO DE REJEITOS LINHA DO CIRCUITO ULTRAFINO DISTRIBUIDOR DI-145A-9906 PARA A PENEIRA PN-145A-9708"/>
    <m/>
    <m/>
    <m/>
    <s v="1450AA-T-70459_FL19"/>
    <n v="1"/>
    <s v="PÇ"/>
    <n v="0.8"/>
    <n v="0.8"/>
    <n v="1169.77"/>
    <n v="935.81600000000003"/>
    <n v="0"/>
    <n v="0.9"/>
    <n v="0.1"/>
    <m/>
    <m/>
    <x v="0"/>
    <m/>
    <m/>
    <m/>
    <m/>
    <m/>
    <m/>
    <m/>
    <m/>
    <m/>
    <m/>
    <m/>
    <m/>
    <m/>
    <m/>
    <m/>
    <m/>
    <m/>
  </r>
  <r>
    <s v="2.4.3.1.1"/>
    <s v="CMS M.60.10.000"/>
    <x v="2"/>
    <n v="9"/>
    <s v="SPOOL"/>
    <n v="6"/>
    <x v="1"/>
    <s v="NÃO"/>
    <s v="NÃO"/>
    <x v="63"/>
    <x v="3"/>
    <s v="DISPOSIÇÃO DE REJEITOS LINHA DO CIRCUITO ULTRAFINO DISTRIBUIDOR DI-145A-9906 PARA A PENEIRA PN-145A-9708"/>
    <m/>
    <m/>
    <m/>
    <s v="1450AA-T-70459_FL20"/>
    <n v="1"/>
    <s v="PÇ"/>
    <n v="2.5"/>
    <n v="2.5"/>
    <n v="1169.77"/>
    <n v="2924.4250000000002"/>
    <n v="0"/>
    <n v="0.9"/>
    <n v="0.1"/>
    <m/>
    <m/>
    <x v="0"/>
    <m/>
    <m/>
    <m/>
    <m/>
    <m/>
    <m/>
    <m/>
    <m/>
    <m/>
    <m/>
    <m/>
    <m/>
    <m/>
    <m/>
    <m/>
    <m/>
    <m/>
  </r>
  <r>
    <s v="2.4.3.1.1"/>
    <s v="CMS M.60.10.000"/>
    <x v="2"/>
    <n v="10"/>
    <s v="SPOOL"/>
    <n v="6"/>
    <x v="2"/>
    <s v="NÃO"/>
    <s v="NÃO"/>
    <x v="63"/>
    <x v="3"/>
    <s v="DISPOSIÇÃO DE REJEITOS LINHA DO CIRCUITO ULTRAFINO DISTRIBUIDOR DI-145A-9906 PARA A PENEIRA PN-145A-9708"/>
    <m/>
    <m/>
    <m/>
    <s v="1450AA-T-70459_FL25"/>
    <n v="1"/>
    <s v="PÇ"/>
    <n v="0.71"/>
    <n v="0.71"/>
    <n v="1169.77"/>
    <n v="830.5367"/>
    <n v="0"/>
    <n v="0.9"/>
    <n v="0.1"/>
    <m/>
    <m/>
    <x v="0"/>
    <m/>
    <m/>
    <m/>
    <m/>
    <m/>
    <m/>
    <m/>
    <m/>
    <m/>
    <m/>
    <m/>
    <m/>
    <m/>
    <m/>
    <m/>
    <m/>
    <m/>
  </r>
  <r>
    <s v="2.4.3.1.1"/>
    <s v="CMS M.60.10.000"/>
    <x v="2"/>
    <n v="11"/>
    <s v="CURVA"/>
    <n v="6"/>
    <x v="1"/>
    <s v="NÃO"/>
    <s v="NÃO"/>
    <x v="63"/>
    <x v="3"/>
    <s v="DISPOSIÇÃO DE REJEITOS LINHA DO CIRCUITO ULTRAFINO DISTRIBUIDOR DI-145A-9906 PARA A PENEIRA PN-145A-9708"/>
    <m/>
    <m/>
    <m/>
    <s v="1450AA-T-70459_FL12"/>
    <n v="1"/>
    <s v="PÇ"/>
    <n v="0.42"/>
    <n v="0.42"/>
    <n v="1169.77"/>
    <n v="491.30339999999995"/>
    <n v="0"/>
    <n v="0.9"/>
    <n v="0.1"/>
    <m/>
    <m/>
    <x v="0"/>
    <m/>
    <m/>
    <m/>
    <m/>
    <m/>
    <m/>
    <m/>
    <m/>
    <m/>
    <m/>
    <m/>
    <m/>
    <m/>
    <m/>
    <m/>
    <m/>
    <m/>
  </r>
  <r>
    <s v="2.4.3.1.1"/>
    <s v="CMS M.60.10.000"/>
    <x v="2"/>
    <n v="12"/>
    <s v="SPOOL"/>
    <n v="6"/>
    <x v="1"/>
    <s v="NÃO"/>
    <s v="NÃO"/>
    <x v="63"/>
    <x v="3"/>
    <s v="DISPOSIÇÃO DE REJEITOS LINHA DO CIRCUITO ULTRAFINO DISTRIBUIDOR DI-145A-9906 PARA A PENEIRA PN-145A-9708"/>
    <m/>
    <m/>
    <m/>
    <s v="1450AA-T-70459_FL21"/>
    <n v="1"/>
    <s v="PÇ"/>
    <n v="1.5"/>
    <n v="1.5"/>
    <n v="1169.77"/>
    <n v="1754.655"/>
    <n v="0"/>
    <n v="0.9"/>
    <n v="0.1"/>
    <m/>
    <m/>
    <x v="0"/>
    <m/>
    <m/>
    <m/>
    <m/>
    <m/>
    <m/>
    <m/>
    <m/>
    <m/>
    <m/>
    <m/>
    <m/>
    <m/>
    <m/>
    <m/>
    <m/>
    <m/>
  </r>
  <r>
    <s v="2.4.3.1.1"/>
    <s v="CMS M.60.10.000"/>
    <x v="2"/>
    <n v="13"/>
    <s v="CURVA"/>
    <n v="6"/>
    <x v="1"/>
    <s v="NÃO"/>
    <s v="NÃO"/>
    <x v="63"/>
    <x v="3"/>
    <s v="DISPOSIÇÃO DE REJEITOS LINHA DO CIRCUITO ULTRAFINO DISTRIBUIDOR DI-145A-9906 PARA A PENEIRA PN-145A-9708"/>
    <m/>
    <m/>
    <m/>
    <s v="1450AA-T-70459_FL13"/>
    <n v="1"/>
    <s v="PÇ"/>
    <n v="0.51200000000000001"/>
    <n v="0.51200000000000001"/>
    <n v="1169.77"/>
    <n v="598.92223999999999"/>
    <n v="0"/>
    <n v="0.9"/>
    <n v="0.1"/>
    <m/>
    <m/>
    <x v="0"/>
    <m/>
    <m/>
    <m/>
    <m/>
    <m/>
    <m/>
    <m/>
    <m/>
    <m/>
    <m/>
    <m/>
    <m/>
    <m/>
    <m/>
    <m/>
    <m/>
    <m/>
  </r>
  <r>
    <s v="2.4.3.1.1"/>
    <s v="CMS M.60.10.000"/>
    <x v="2"/>
    <n v="14"/>
    <s v="SPOOL"/>
    <n v="6"/>
    <x v="1"/>
    <s v="NÃO"/>
    <s v="NÃO"/>
    <x v="63"/>
    <x v="3"/>
    <s v="DISPOSIÇÃO DE REJEITOS LINHA DO CIRCUITO ULTRAFINO DISTRIBUIDOR DI-145A-9906 PARA A PENEIRA PN-145A-9708"/>
    <m/>
    <m/>
    <m/>
    <s v="1450AA-T-70459_FL22"/>
    <n v="1"/>
    <s v="PÇ"/>
    <n v="1.2"/>
    <n v="1.2"/>
    <n v="1169.77"/>
    <n v="1403.7239999999999"/>
    <n v="0"/>
    <n v="0.9"/>
    <n v="0.1"/>
    <m/>
    <m/>
    <x v="0"/>
    <m/>
    <m/>
    <m/>
    <m/>
    <m/>
    <m/>
    <m/>
    <m/>
    <m/>
    <m/>
    <m/>
    <m/>
    <m/>
    <m/>
    <m/>
    <m/>
    <m/>
  </r>
  <r>
    <s v="2.4.3.1.1"/>
    <s v="CMS M.60.10.000"/>
    <x v="2"/>
    <n v="15"/>
    <s v="SPOOL"/>
    <n v="6"/>
    <x v="2"/>
    <s v="NÃO"/>
    <s v="NÃO"/>
    <x v="63"/>
    <x v="3"/>
    <s v="DISPOSIÇÃO DE REJEITOS LINHA DO CIRCUITO ULTRAFINO DISTRIBUIDOR DI-145A-9906 PARA A PENEIRA PN-145A-9708"/>
    <m/>
    <m/>
    <m/>
    <s v="1450AA-T-70459_FL26"/>
    <n v="2"/>
    <s v="PÇ"/>
    <n v="0.36"/>
    <n v="0.72"/>
    <n v="1169.77"/>
    <n v="842.23439999999994"/>
    <n v="0"/>
    <n v="0.9"/>
    <n v="0.1"/>
    <m/>
    <m/>
    <x v="0"/>
    <m/>
    <m/>
    <m/>
    <m/>
    <m/>
    <m/>
    <m/>
    <m/>
    <m/>
    <m/>
    <m/>
    <m/>
    <m/>
    <m/>
    <m/>
    <m/>
    <m/>
  </r>
  <r>
    <s v="2.4.3.1.1"/>
    <s v="CMS M.60.10.000"/>
    <x v="2"/>
    <n v="16"/>
    <s v="SPOOL"/>
    <n v="6"/>
    <x v="1"/>
    <s v="NÃO"/>
    <s v="NÃO"/>
    <x v="63"/>
    <x v="3"/>
    <s v="DISPOSIÇÃO DE REJEITOS LINHA DO CIRCUITO ULTRAFINO DISTRIBUIDOR DI-145A-9906 PARA A PENEIRA PN-145A-9708"/>
    <m/>
    <m/>
    <m/>
    <s v="1450AA-T-70459_FL11"/>
    <n v="1"/>
    <s v="PÇ"/>
    <n v="0.75"/>
    <n v="0.75"/>
    <n v="1169.77"/>
    <n v="877.32749999999999"/>
    <n v="0"/>
    <n v="0.9"/>
    <n v="0.1"/>
    <m/>
    <m/>
    <x v="0"/>
    <m/>
    <m/>
    <m/>
    <m/>
    <m/>
    <m/>
    <m/>
    <m/>
    <m/>
    <m/>
    <m/>
    <m/>
    <m/>
    <m/>
    <m/>
    <m/>
    <m/>
  </r>
  <r>
    <n v="0"/>
    <s v="CMS M.60.10.000"/>
    <x v="2"/>
    <n v="17"/>
    <s v="SPOOL"/>
    <s v="6 X 4"/>
    <x v="1"/>
    <s v="NÃO"/>
    <s v="NÃO"/>
    <x v="63"/>
    <x v="3"/>
    <s v="DISPOSIÇÃO DE REJEITOS LINHA DO CIRCUITO ULTRAFINO DISTRIBUIDOR DI-145A-9906 PARA A PENEIRA PN-145A-9708"/>
    <m/>
    <m/>
    <m/>
    <s v="1450AA-T-70459_FL09"/>
    <n v="1"/>
    <s v="PÇ"/>
    <n v="2.1349999999999998"/>
    <n v="2.1349999999999998"/>
    <n v="0"/>
    <n v="0"/>
    <n v="0"/>
    <n v="0.9"/>
    <n v="0.1"/>
    <m/>
    <m/>
    <x v="0"/>
    <m/>
    <m/>
    <m/>
    <m/>
    <m/>
    <m/>
    <m/>
    <m/>
    <m/>
    <m/>
    <m/>
    <m/>
    <m/>
    <m/>
    <m/>
    <m/>
    <m/>
  </r>
  <r>
    <n v="0"/>
    <s v="CMS M.60.10.000"/>
    <x v="2"/>
    <n v="18"/>
    <s v="FLANGE"/>
    <n v="4"/>
    <x v="1"/>
    <s v="NÃO"/>
    <s v="NÃO"/>
    <x v="63"/>
    <x v="3"/>
    <s v="DISPOSIÇÃO DE REJEITOS LINHA DO CIRCUITO ULTRAFINO DISTRIBUIDOR DI-145A-9906 PARA A PENEIRA PN-145A-9708"/>
    <m/>
    <m/>
    <m/>
    <s v="1450AA-T-70459_FL03"/>
    <n v="2"/>
    <s v="PÇ"/>
    <n v="0"/>
    <n v="0"/>
    <n v="0"/>
    <n v="0"/>
    <n v="0"/>
    <n v="0.9"/>
    <n v="0.1"/>
    <m/>
    <m/>
    <x v="0"/>
    <m/>
    <m/>
    <m/>
    <m/>
    <m/>
    <m/>
    <m/>
    <m/>
    <m/>
    <m/>
    <m/>
    <m/>
    <m/>
    <m/>
    <m/>
    <m/>
    <m/>
  </r>
  <r>
    <s v="2.4.3.1.1"/>
    <s v="CMS M.60.10.000"/>
    <x v="2"/>
    <n v="1"/>
    <s v="SPOOL"/>
    <n v="6"/>
    <x v="1"/>
    <s v="NÃO"/>
    <s v="NÃO"/>
    <x v="64"/>
    <x v="3"/>
    <s v="DISPOSIÇÃO DE REJEITOS LINHA DO CIRCUITO ULTRAFINO DISTRIBUIDOR DI-145A-9906 PARA A PENEIRA PN-145A-9709"/>
    <m/>
    <m/>
    <m/>
    <s v="1450AA-T-70461_FL15"/>
    <n v="1"/>
    <s v="PÇ"/>
    <n v="3"/>
    <n v="3"/>
    <n v="1169.77"/>
    <n v="3509.31"/>
    <n v="0"/>
    <n v="0.9"/>
    <n v="0.1"/>
    <m/>
    <m/>
    <x v="0"/>
    <m/>
    <m/>
    <m/>
    <m/>
    <m/>
    <m/>
    <m/>
    <m/>
    <m/>
    <m/>
    <m/>
    <m/>
    <m/>
    <m/>
    <m/>
    <m/>
    <m/>
  </r>
  <r>
    <s v="2.4.3.1.1"/>
    <s v="CMS M.60.10.000"/>
    <x v="2"/>
    <n v="2"/>
    <s v="SPOOL"/>
    <n v="6"/>
    <x v="1"/>
    <s v="NÃO"/>
    <s v="NÃO"/>
    <x v="64"/>
    <x v="3"/>
    <s v="DISPOSIÇÃO DE REJEITOS LINHA DO CIRCUITO ULTRAFINO DISTRIBUIDOR DI-145A-9906 PARA A PENEIRA PN-145A-9709"/>
    <m/>
    <m/>
    <m/>
    <s v="1450AA-T-70461_FL16"/>
    <n v="1"/>
    <s v="PÇ"/>
    <n v="2.5"/>
    <n v="2.5"/>
    <n v="1169.77"/>
    <n v="2924.4250000000002"/>
    <n v="0"/>
    <n v="0.9"/>
    <n v="0.1"/>
    <m/>
    <m/>
    <x v="0"/>
    <m/>
    <m/>
    <m/>
    <m/>
    <m/>
    <m/>
    <m/>
    <m/>
    <m/>
    <m/>
    <m/>
    <m/>
    <m/>
    <m/>
    <m/>
    <m/>
    <m/>
  </r>
  <r>
    <s v="2.4.3.1.1"/>
    <s v="CMS M.60.10.000"/>
    <x v="2"/>
    <n v="3"/>
    <s v="SPOOL"/>
    <n v="6"/>
    <x v="1"/>
    <s v="NÃO"/>
    <s v="NÃO"/>
    <x v="64"/>
    <x v="3"/>
    <s v="DISPOSIÇÃO DE REJEITOS LINHA DO CIRCUITO ULTRAFINO DISTRIBUIDOR DI-145A-9906 PARA A PENEIRA PN-145A-9709"/>
    <m/>
    <m/>
    <m/>
    <s v="1450AA-T-70461_FL17"/>
    <n v="1"/>
    <s v="PÇ"/>
    <n v="1.5"/>
    <n v="1.5"/>
    <n v="1169.77"/>
    <n v="1754.655"/>
    <n v="0"/>
    <n v="0.9"/>
    <n v="0.1"/>
    <m/>
    <m/>
    <x v="0"/>
    <m/>
    <m/>
    <m/>
    <m/>
    <m/>
    <m/>
    <m/>
    <m/>
    <m/>
    <m/>
    <m/>
    <m/>
    <m/>
    <m/>
    <m/>
    <m/>
    <m/>
  </r>
  <r>
    <s v="2.4.3.1.1"/>
    <s v="CMS M.60.10.000"/>
    <x v="2"/>
    <n v="4"/>
    <s v="SPOOL"/>
    <n v="6"/>
    <x v="1"/>
    <s v="NÃO"/>
    <s v="NÃO"/>
    <x v="64"/>
    <x v="3"/>
    <s v="DISPOSIÇÃO DE REJEITOS LINHA DO CIRCUITO ULTRAFINO DISTRIBUIDOR DI-145A-9906 PARA A PENEIRA PN-145A-9709"/>
    <m/>
    <m/>
    <m/>
    <s v="1450AA-T-70461_FL18"/>
    <n v="1"/>
    <s v="PÇ"/>
    <n v="1.2"/>
    <n v="1.2"/>
    <n v="1169.77"/>
    <n v="1403.7239999999999"/>
    <n v="0"/>
    <n v="0.9"/>
    <n v="0.1"/>
    <m/>
    <m/>
    <x v="0"/>
    <m/>
    <m/>
    <m/>
    <m/>
    <m/>
    <m/>
    <m/>
    <m/>
    <m/>
    <m/>
    <m/>
    <m/>
    <m/>
    <m/>
    <m/>
    <m/>
    <m/>
  </r>
  <r>
    <s v="2.4.3.1.1"/>
    <s v="CMS M.60.10.000"/>
    <x v="2"/>
    <n v="5"/>
    <s v="SPOOL"/>
    <n v="6"/>
    <x v="2"/>
    <s v="NÃO"/>
    <s v="NÃO"/>
    <x v="64"/>
    <x v="3"/>
    <s v="DISPOSIÇÃO DE REJEITOS LINHA DO CIRCUITO ULTRAFINO DISTRIBUIDOR DI-145A-9906 PARA A PENEIRA PN-145A-9709"/>
    <m/>
    <m/>
    <m/>
    <s v="1450AA-T-70461_FL19"/>
    <n v="1"/>
    <s v="PÇ"/>
    <n v="1.06"/>
    <n v="1.06"/>
    <n v="1169.77"/>
    <n v="1239.9562000000001"/>
    <n v="0"/>
    <n v="0.9"/>
    <n v="0.1"/>
    <m/>
    <m/>
    <x v="0"/>
    <m/>
    <m/>
    <m/>
    <m/>
    <m/>
    <m/>
    <m/>
    <m/>
    <m/>
    <m/>
    <m/>
    <m/>
    <m/>
    <m/>
    <m/>
    <m/>
    <m/>
  </r>
  <r>
    <s v="2.4.3.1.1"/>
    <s v="CMS M.60.10.000"/>
    <x v="2"/>
    <n v="6"/>
    <s v="SPOOL"/>
    <n v="6"/>
    <x v="2"/>
    <s v="NÃO"/>
    <s v="NÃO"/>
    <x v="64"/>
    <x v="3"/>
    <s v="DISPOSIÇÃO DE REJEITOS LINHA DO CIRCUITO ULTRAFINO DISTRIBUIDOR DI-145A-9906 PARA A PENEIRA PN-145A-9709"/>
    <m/>
    <m/>
    <m/>
    <s v="1450AA-T-70461_FL20"/>
    <n v="2"/>
    <s v="PÇ"/>
    <n v="0.53"/>
    <n v="1.06"/>
    <n v="1169.77"/>
    <n v="1239.9562000000001"/>
    <n v="0"/>
    <n v="0.9"/>
    <n v="0.1"/>
    <m/>
    <m/>
    <x v="0"/>
    <m/>
    <m/>
    <m/>
    <m/>
    <m/>
    <m/>
    <m/>
    <m/>
    <m/>
    <m/>
    <m/>
    <m/>
    <m/>
    <m/>
    <m/>
    <m/>
    <m/>
  </r>
  <r>
    <s v="2.4.3.1.1"/>
    <s v="CMS M.60.10.000"/>
    <x v="2"/>
    <n v="7"/>
    <s v="SPOOL"/>
    <n v="6"/>
    <x v="2"/>
    <s v="NÃO"/>
    <s v="NÃO"/>
    <x v="64"/>
    <x v="3"/>
    <s v="DISPOSIÇÃO DE REJEITOS LINHA DO CIRCUITO ULTRAFINO DISTRIBUIDOR DI-145A-9906 PARA A PENEIRA PN-145A-9709"/>
    <m/>
    <m/>
    <m/>
    <s v="1450AA-T-70461_FL21"/>
    <n v="2"/>
    <s v="PÇ"/>
    <n v="0.36"/>
    <n v="0.72"/>
    <n v="1169.77"/>
    <n v="842.23439999999994"/>
    <n v="0"/>
    <n v="0.9"/>
    <n v="0.1"/>
    <m/>
    <m/>
    <x v="0"/>
    <m/>
    <m/>
    <m/>
    <m/>
    <m/>
    <m/>
    <m/>
    <m/>
    <m/>
    <m/>
    <m/>
    <m/>
    <m/>
    <m/>
    <m/>
    <m/>
    <m/>
  </r>
  <r>
    <s v="2.4.3.1.1"/>
    <s v="CMS M.60.10.000"/>
    <x v="2"/>
    <n v="8"/>
    <s v="CURVA"/>
    <n v="6"/>
    <x v="1"/>
    <s v="NÃO"/>
    <s v="NÃO"/>
    <x v="64"/>
    <x v="3"/>
    <s v="DISPOSIÇÃO DE REJEITOS LINHA DO CIRCUITO ULTRAFINO DISTRIBUIDOR DI-145A-9906 PARA A PENEIRA PN-145A-9709"/>
    <m/>
    <m/>
    <m/>
    <s v="1450AA-T-70461_FL14"/>
    <n v="2"/>
    <s v="PÇ"/>
    <n v="0.46500000000000002"/>
    <n v="0.93"/>
    <n v="1169.77"/>
    <n v="1087.8860999999999"/>
    <n v="0"/>
    <n v="0.9"/>
    <n v="0.1"/>
    <m/>
    <m/>
    <x v="0"/>
    <m/>
    <m/>
    <m/>
    <m/>
    <m/>
    <m/>
    <m/>
    <m/>
    <m/>
    <m/>
    <m/>
    <m/>
    <m/>
    <m/>
    <m/>
    <m/>
    <m/>
  </r>
  <r>
    <s v="2.4.3.1.1"/>
    <s v="CMS M.60.10.000"/>
    <x v="2"/>
    <n v="9"/>
    <s v="CURVA"/>
    <n v="6"/>
    <x v="1"/>
    <s v="NÃO"/>
    <s v="NÃO"/>
    <x v="64"/>
    <x v="3"/>
    <s v="DISPOSIÇÃO DE REJEITOS LINHA DO CIRCUITO ULTRAFINO DISTRIBUIDOR DI-145A-9906 PARA A PENEIRA PN-145A-9709"/>
    <m/>
    <m/>
    <m/>
    <s v="1450AA-T-70461_FL12"/>
    <n v="1"/>
    <s v="PÇ"/>
    <n v="0.42"/>
    <n v="0.42"/>
    <n v="1169.77"/>
    <n v="491.30339999999995"/>
    <n v="0"/>
    <n v="0.9"/>
    <n v="0.1"/>
    <m/>
    <m/>
    <x v="0"/>
    <m/>
    <m/>
    <m/>
    <m/>
    <m/>
    <m/>
    <m/>
    <m/>
    <m/>
    <m/>
    <m/>
    <m/>
    <m/>
    <m/>
    <m/>
    <m/>
    <m/>
  </r>
  <r>
    <s v="2.4.3.1.1"/>
    <s v="CMS M.60.10.000"/>
    <x v="2"/>
    <n v="10"/>
    <s v="CURVA"/>
    <n v="6"/>
    <x v="1"/>
    <s v="NÃO"/>
    <s v="NÃO"/>
    <x v="64"/>
    <x v="3"/>
    <s v="DISPOSIÇÃO DE REJEITOS LINHA DO CIRCUITO ULTRAFINO DISTRIBUIDOR DI-145A-9906 PARA A PENEIRA PN-145A-9709"/>
    <m/>
    <m/>
    <m/>
    <s v="1450AA-T-70461_FL13"/>
    <n v="1"/>
    <s v="PÇ"/>
    <n v="0.51200000000000001"/>
    <n v="0.51200000000000001"/>
    <n v="1169.77"/>
    <n v="598.92223999999999"/>
    <n v="0"/>
    <n v="0.9"/>
    <n v="0.1"/>
    <m/>
    <m/>
    <x v="0"/>
    <m/>
    <m/>
    <m/>
    <m/>
    <m/>
    <m/>
    <m/>
    <m/>
    <m/>
    <m/>
    <m/>
    <m/>
    <m/>
    <m/>
    <m/>
    <m/>
    <m/>
  </r>
  <r>
    <s v="2.4.3.1.1"/>
    <s v="CMS M.60.10.000"/>
    <x v="2"/>
    <n v="11"/>
    <s v="SPOOL"/>
    <n v="6"/>
    <x v="1"/>
    <s v="NÃO"/>
    <s v="NÃO"/>
    <x v="64"/>
    <x v="3"/>
    <s v="DISPOSIÇÃO DE REJEITOS LINHA DO CIRCUITO ULTRAFINO DISTRIBUIDOR DI-145A-9906 PARA A PENEIRA PN-145A-9709"/>
    <m/>
    <m/>
    <m/>
    <s v="1450AA-T-70461_FL11"/>
    <n v="1"/>
    <s v="PÇ"/>
    <n v="0.75"/>
    <n v="0.75"/>
    <n v="1169.77"/>
    <n v="877.32749999999999"/>
    <n v="0"/>
    <n v="0.9"/>
    <n v="0.1"/>
    <m/>
    <m/>
    <x v="0"/>
    <m/>
    <m/>
    <m/>
    <m/>
    <m/>
    <m/>
    <m/>
    <m/>
    <m/>
    <m/>
    <m/>
    <m/>
    <m/>
    <m/>
    <m/>
    <m/>
    <m/>
  </r>
  <r>
    <n v="0"/>
    <s v="CMS M.60.10.000"/>
    <x v="2"/>
    <n v="12"/>
    <s v="SPOOL"/>
    <s v="6 X 4"/>
    <x v="1"/>
    <s v="NÃO"/>
    <s v="NÃO"/>
    <x v="64"/>
    <x v="3"/>
    <s v="DISPOSIÇÃO DE REJEITOS LINHA DO CIRCUITO ULTRAFINO DISTRIBUIDOR DI-145A-9906 PARA A PENEIRA PN-145A-9709"/>
    <m/>
    <m/>
    <m/>
    <s v="1450AA-T-70461_FL09"/>
    <n v="1"/>
    <s v="PÇ"/>
    <n v="2.1349999999999998"/>
    <n v="2.1349999999999998"/>
    <n v="0"/>
    <n v="0"/>
    <n v="0"/>
    <n v="0.9"/>
    <n v="0.1"/>
    <m/>
    <m/>
    <x v="0"/>
    <m/>
    <m/>
    <m/>
    <m/>
    <m/>
    <m/>
    <m/>
    <m/>
    <m/>
    <m/>
    <m/>
    <m/>
    <m/>
    <m/>
    <m/>
    <m/>
    <m/>
  </r>
  <r>
    <n v="0"/>
    <s v="CMS M.60.10.000"/>
    <x v="2"/>
    <n v="13"/>
    <s v="FLANGE"/>
    <n v="4"/>
    <x v="1"/>
    <s v="NÃO"/>
    <s v="NÃO"/>
    <x v="64"/>
    <x v="3"/>
    <s v="DISPOSIÇÃO DE REJEITOS LINHA DO CIRCUITO ULTRAFINO DISTRIBUIDOR DI-145A-9906 PARA A PENEIRA PN-145A-9709"/>
    <m/>
    <m/>
    <m/>
    <s v="1450AA-T-70461_FL03"/>
    <n v="2"/>
    <s v="PÇ"/>
    <n v="0"/>
    <n v="0"/>
    <n v="0"/>
    <n v="0"/>
    <n v="0"/>
    <n v="0.9"/>
    <n v="0.1"/>
    <m/>
    <m/>
    <x v="0"/>
    <m/>
    <m/>
    <m/>
    <m/>
    <m/>
    <m/>
    <m/>
    <m/>
    <m/>
    <m/>
    <m/>
    <m/>
    <m/>
    <m/>
    <m/>
    <m/>
    <m/>
  </r>
  <r>
    <s v="2.4.3.1.1"/>
    <s v="CMS M.60.10.000"/>
    <x v="2"/>
    <n v="1"/>
    <s v="SPOOL"/>
    <n v="6"/>
    <x v="1"/>
    <s v="NÃO"/>
    <s v="NÃO"/>
    <x v="65"/>
    <x v="3"/>
    <s v="DISPOSIÇÃO DE REJEITOS LINHA DO CIRCUITO ULTRAFINO DISTRIBUIDOR DI-145A-9907 PARA A PENEIRA PN-145A-9733"/>
    <m/>
    <m/>
    <m/>
    <s v="1450AA-T-70464_FL12"/>
    <n v="1"/>
    <s v="PÇ"/>
    <n v="0.28799999999999998"/>
    <n v="0.28799999999999998"/>
    <n v="1169.77"/>
    <n v="336.89375999999999"/>
    <n v="0"/>
    <n v="0.9"/>
    <n v="0.1"/>
    <m/>
    <m/>
    <x v="0"/>
    <m/>
    <m/>
    <m/>
    <m/>
    <m/>
    <m/>
    <m/>
    <m/>
    <m/>
    <m/>
    <m/>
    <m/>
    <m/>
    <m/>
    <m/>
    <m/>
    <m/>
  </r>
  <r>
    <s v="2.4.3.1.1"/>
    <s v="CMS M.60.10.000"/>
    <x v="2"/>
    <n v="2"/>
    <s v="CURVA"/>
    <n v="6"/>
    <x v="1"/>
    <s v="NÃO"/>
    <s v="NÃO"/>
    <x v="65"/>
    <x v="3"/>
    <s v="DISPOSIÇÃO DE REJEITOS LINHA DO CIRCUITO ULTRAFINO DISTRIBUIDOR DI-145A-9907 PARA A PENEIRA PN-145A-9733"/>
    <m/>
    <m/>
    <m/>
    <s v="1450AA-T-70464_FL11"/>
    <n v="2"/>
    <s v="PÇ"/>
    <n v="0.46500000000000002"/>
    <n v="0.93"/>
    <n v="1169.77"/>
    <n v="1087.8860999999999"/>
    <n v="0"/>
    <n v="0.9"/>
    <n v="0.1"/>
    <m/>
    <m/>
    <x v="0"/>
    <m/>
    <m/>
    <m/>
    <m/>
    <m/>
    <m/>
    <m/>
    <m/>
    <m/>
    <m/>
    <m/>
    <m/>
    <m/>
    <m/>
    <m/>
    <m/>
    <m/>
  </r>
  <r>
    <s v="2.4.3.1.1"/>
    <s v="CMS M.60.10.000"/>
    <x v="2"/>
    <n v="3"/>
    <s v="SPOOL"/>
    <n v="6"/>
    <x v="1"/>
    <s v="NÃO"/>
    <s v="NÃO"/>
    <x v="65"/>
    <x v="3"/>
    <s v="DISPOSIÇÃO DE REJEITOS LINHA DO CIRCUITO ULTRAFINO DISTRIBUIDOR DI-145A-9907 PARA A PENEIRA PN-145A-9733"/>
    <m/>
    <m/>
    <m/>
    <s v="1450AA-T-70464_FL13"/>
    <n v="1"/>
    <s v="PÇ"/>
    <n v="1"/>
    <n v="1"/>
    <n v="1169.77"/>
    <n v="1169.77"/>
    <n v="0"/>
    <n v="0.9"/>
    <n v="0.1"/>
    <m/>
    <m/>
    <x v="0"/>
    <m/>
    <m/>
    <m/>
    <m/>
    <m/>
    <m/>
    <m/>
    <m/>
    <m/>
    <m/>
    <m/>
    <m/>
    <m/>
    <m/>
    <m/>
    <m/>
    <m/>
  </r>
  <r>
    <s v="2.4.3.1.1"/>
    <s v="CMS M.60.10.000"/>
    <x v="2"/>
    <n v="4"/>
    <s v="SPOOL"/>
    <n v="6"/>
    <x v="2"/>
    <s v="NÃO"/>
    <s v="NÃO"/>
    <x v="65"/>
    <x v="3"/>
    <s v="DISPOSIÇÃO DE REJEITOS LINHA DO CIRCUITO ULTRAFINO DISTRIBUIDOR DI-145A-9907 PARA A PENEIRA PN-145A-9733"/>
    <m/>
    <m/>
    <m/>
    <s v="1450AA-T-70464_FL16"/>
    <n v="1"/>
    <s v="PÇ"/>
    <n v="0.5"/>
    <n v="0.5"/>
    <n v="1169.77"/>
    <n v="584.88499999999999"/>
    <n v="0"/>
    <n v="0.9"/>
    <n v="0.1"/>
    <m/>
    <m/>
    <x v="0"/>
    <m/>
    <m/>
    <m/>
    <m/>
    <m/>
    <m/>
    <m/>
    <m/>
    <m/>
    <m/>
    <m/>
    <m/>
    <m/>
    <m/>
    <m/>
    <m/>
    <m/>
  </r>
  <r>
    <s v="2.4.3.1.1"/>
    <s v="CMS M.60.10.000"/>
    <x v="2"/>
    <n v="5"/>
    <s v="SPOOL"/>
    <n v="6"/>
    <x v="1"/>
    <s v="NÃO"/>
    <s v="NÃO"/>
    <x v="65"/>
    <x v="3"/>
    <s v="DISPOSIÇÃO DE REJEITOS LINHA DO CIRCUITO ULTRAFINO DISTRIBUIDOR DI-145A-9907 PARA A PENEIRA PN-145A-9733"/>
    <m/>
    <m/>
    <m/>
    <s v="1450AA-T-70464_FL14"/>
    <n v="1"/>
    <s v="PÇ"/>
    <n v="2.2999999999999998"/>
    <n v="2.2999999999999998"/>
    <n v="1169.77"/>
    <n v="2690.4709999999995"/>
    <n v="0"/>
    <n v="0.9"/>
    <n v="0.1"/>
    <m/>
    <m/>
    <x v="0"/>
    <m/>
    <m/>
    <m/>
    <m/>
    <m/>
    <m/>
    <m/>
    <m/>
    <m/>
    <m/>
    <m/>
    <m/>
    <m/>
    <m/>
    <m/>
    <m/>
    <m/>
  </r>
  <r>
    <s v="2.4.3.1.1"/>
    <s v="CMS M.60.10.000"/>
    <x v="2"/>
    <n v="6"/>
    <s v="SPOOL"/>
    <n v="6"/>
    <x v="2"/>
    <s v="NÃO"/>
    <s v="NÃO"/>
    <x v="65"/>
    <x v="3"/>
    <s v="DISPOSIÇÃO DE REJEITOS LINHA DO CIRCUITO ULTRAFINO DISTRIBUIDOR DI-145A-9907 PARA A PENEIRA PN-145A-9733"/>
    <m/>
    <m/>
    <m/>
    <s v="1450AA-T-70464_FL15"/>
    <n v="1"/>
    <s v="PÇ"/>
    <n v="0.45"/>
    <n v="0.45"/>
    <n v="1169.77"/>
    <n v="526.39650000000006"/>
    <n v="0"/>
    <n v="0.9"/>
    <n v="0.1"/>
    <m/>
    <m/>
    <x v="0"/>
    <m/>
    <m/>
    <m/>
    <m/>
    <m/>
    <m/>
    <m/>
    <m/>
    <m/>
    <m/>
    <m/>
    <m/>
    <m/>
    <m/>
    <m/>
    <m/>
    <m/>
  </r>
  <r>
    <n v="0"/>
    <s v="CMS M.60.10.000"/>
    <x v="2"/>
    <n v="7"/>
    <s v="SPOOL"/>
    <s v="6 X 4"/>
    <x v="1"/>
    <s v="NÃO"/>
    <s v="NÃO"/>
    <x v="65"/>
    <x v="3"/>
    <s v="DISPOSIÇÃO DE REJEITOS LINHA DO CIRCUITO ULTRAFINO DISTRIBUIDOR DI-145A-9907 PARA A PENEIRA PN-145A-9733"/>
    <m/>
    <m/>
    <m/>
    <s v="1450AA-T-70464_FL09"/>
    <n v="1"/>
    <s v="PÇ"/>
    <n v="2.1349999999999998"/>
    <n v="2.1349999999999998"/>
    <n v="0"/>
    <n v="0"/>
    <n v="0"/>
    <n v="0.9"/>
    <n v="0.1"/>
    <m/>
    <m/>
    <x v="0"/>
    <m/>
    <m/>
    <m/>
    <m/>
    <m/>
    <m/>
    <m/>
    <m/>
    <m/>
    <m/>
    <m/>
    <m/>
    <m/>
    <m/>
    <m/>
    <m/>
    <m/>
  </r>
  <r>
    <n v="0"/>
    <s v="CMS M.60.10.000"/>
    <x v="2"/>
    <n v="8"/>
    <s v="FLANGE"/>
    <n v="4"/>
    <x v="1"/>
    <s v="NÃO"/>
    <s v="NÃO"/>
    <x v="65"/>
    <x v="3"/>
    <s v="DISPOSIÇÃO DE REJEITOS LINHA DO CIRCUITO ULTRAFINO DISTRIBUIDOR DI-145A-9907 PARA A PENEIRA PN-145A-9733"/>
    <m/>
    <m/>
    <m/>
    <s v="1450AA-T-70464_FL03"/>
    <n v="2"/>
    <s v="PÇ"/>
    <n v="0"/>
    <n v="0"/>
    <n v="0"/>
    <n v="0"/>
    <n v="0"/>
    <n v="0.9"/>
    <n v="0.1"/>
    <m/>
    <m/>
    <x v="0"/>
    <m/>
    <m/>
    <m/>
    <m/>
    <m/>
    <m/>
    <m/>
    <m/>
    <m/>
    <m/>
    <m/>
    <m/>
    <m/>
    <m/>
    <m/>
    <m/>
    <m/>
  </r>
  <r>
    <s v="2.4.3.1.1"/>
    <s v="CMS M.60.10.000"/>
    <x v="2"/>
    <n v="1"/>
    <s v="SPOOL"/>
    <n v="6"/>
    <x v="1"/>
    <s v="NÃO"/>
    <s v="NÃO"/>
    <x v="66"/>
    <x v="3"/>
    <s v="DISPOSIÇÃO DE REJEITOS LINHA DO CIRCUITO ULTRAFINO DISTRIBUIDOR DI-145A-9907 PARA A PENEIRA PN-145A-9734"/>
    <m/>
    <m/>
    <m/>
    <s v="1450AA-T-70466_FL14"/>
    <n v="1"/>
    <s v="PÇ"/>
    <n v="0.2"/>
    <n v="0.2"/>
    <n v="1169.77"/>
    <n v="233.95400000000001"/>
    <n v="0"/>
    <n v="0.9"/>
    <n v="0.1"/>
    <m/>
    <m/>
    <x v="0"/>
    <m/>
    <m/>
    <m/>
    <m/>
    <m/>
    <m/>
    <m/>
    <m/>
    <m/>
    <m/>
    <m/>
    <m/>
    <m/>
    <m/>
    <m/>
    <m/>
    <m/>
  </r>
  <r>
    <s v="2.4.3.1.1"/>
    <s v="CMS M.60.10.000"/>
    <x v="2"/>
    <n v="2"/>
    <s v="CURVA"/>
    <n v="6"/>
    <x v="1"/>
    <s v="NÃO"/>
    <s v="NÃO"/>
    <x v="66"/>
    <x v="3"/>
    <s v="DISPOSIÇÃO DE REJEITOS LINHA DO CIRCUITO ULTRAFINO DISTRIBUIDOR DI-145A-9907 PARA A PENEIRA PN-145A-9734"/>
    <m/>
    <m/>
    <m/>
    <s v="1450AA-T-70466_FL12"/>
    <n v="1"/>
    <s v="PÇ"/>
    <n v="0.46500000000000002"/>
    <n v="0.46500000000000002"/>
    <n v="1169.77"/>
    <n v="543.94304999999997"/>
    <n v="0"/>
    <n v="0.9"/>
    <n v="0.1"/>
    <m/>
    <m/>
    <x v="0"/>
    <m/>
    <m/>
    <m/>
    <m/>
    <m/>
    <m/>
    <m/>
    <m/>
    <m/>
    <m/>
    <m/>
    <m/>
    <m/>
    <m/>
    <m/>
    <m/>
    <m/>
  </r>
  <r>
    <s v="2.4.3.1.1"/>
    <s v="CMS M.60.10.000"/>
    <x v="2"/>
    <n v="3"/>
    <s v="SPOOL"/>
    <n v="6"/>
    <x v="1"/>
    <s v="NÃO"/>
    <s v="NÃO"/>
    <x v="66"/>
    <x v="3"/>
    <s v="DISPOSIÇÃO DE REJEITOS LINHA DO CIRCUITO ULTRAFINO DISTRIBUIDOR DI-145A-9907 PARA A PENEIRA PN-145A-9734"/>
    <m/>
    <m/>
    <m/>
    <s v="1450AA-T-70466_FL15"/>
    <n v="1"/>
    <s v="PÇ"/>
    <n v="1.5"/>
    <n v="1.5"/>
    <n v="1169.77"/>
    <n v="1754.655"/>
    <n v="0"/>
    <n v="0.9"/>
    <n v="0.1"/>
    <m/>
    <m/>
    <x v="0"/>
    <m/>
    <m/>
    <m/>
    <m/>
    <m/>
    <m/>
    <m/>
    <m/>
    <m/>
    <m/>
    <m/>
    <m/>
    <m/>
    <m/>
    <m/>
    <m/>
    <m/>
  </r>
  <r>
    <s v="2.4.3.1.1"/>
    <s v="CMS M.60.10.000"/>
    <x v="2"/>
    <n v="4"/>
    <s v="SPOOL"/>
    <n v="6"/>
    <x v="2"/>
    <s v="NÃO"/>
    <s v="NÃO"/>
    <x v="66"/>
    <x v="3"/>
    <s v="DISPOSIÇÃO DE REJEITOS LINHA DO CIRCUITO ULTRAFINO DISTRIBUIDOR DI-145A-9907 PARA A PENEIRA PN-145A-9734"/>
    <m/>
    <m/>
    <m/>
    <s v="1450AA-T-70466_FL18"/>
    <n v="2"/>
    <s v="PÇ"/>
    <n v="0.45"/>
    <n v="0.9"/>
    <n v="1169.77"/>
    <n v="1052.7930000000001"/>
    <n v="0"/>
    <n v="0.9"/>
    <n v="0.1"/>
    <m/>
    <m/>
    <x v="0"/>
    <m/>
    <m/>
    <m/>
    <m/>
    <m/>
    <m/>
    <m/>
    <m/>
    <m/>
    <m/>
    <m/>
    <m/>
    <m/>
    <m/>
    <m/>
    <m/>
    <m/>
  </r>
  <r>
    <s v="2.4.3.1.1"/>
    <s v="CMS M.60.10.000"/>
    <x v="2"/>
    <n v="5"/>
    <s v="CURVA"/>
    <n v="6"/>
    <x v="1"/>
    <s v="NÃO"/>
    <s v="NÃO"/>
    <x v="66"/>
    <x v="3"/>
    <s v="DISPOSIÇÃO DE REJEITOS LINHA DO CIRCUITO ULTRAFINO DISTRIBUIDOR DI-145A-9907 PARA A PENEIRA PN-145A-9734"/>
    <m/>
    <m/>
    <m/>
    <s v="1450AA-T-70466_FL11"/>
    <n v="1"/>
    <s v="PÇ"/>
    <n v="0.35"/>
    <n v="0.35"/>
    <n v="1169.77"/>
    <n v="409.41949999999997"/>
    <n v="0"/>
    <n v="0.9"/>
    <n v="0.1"/>
    <m/>
    <m/>
    <x v="0"/>
    <m/>
    <m/>
    <m/>
    <m/>
    <m/>
    <m/>
    <m/>
    <m/>
    <m/>
    <m/>
    <m/>
    <m/>
    <m/>
    <m/>
    <m/>
    <m/>
    <m/>
  </r>
  <r>
    <s v="2.4.3.1.1"/>
    <s v="CMS M.60.10.000"/>
    <x v="2"/>
    <n v="6"/>
    <s v="SPOOL"/>
    <n v="6"/>
    <x v="1"/>
    <s v="NÃO"/>
    <s v="NÃO"/>
    <x v="66"/>
    <x v="3"/>
    <s v="DISPOSIÇÃO DE REJEITOS LINHA DO CIRCUITO ULTRAFINO DISTRIBUIDOR DI-145A-9907 PARA A PENEIRA PN-145A-9734"/>
    <m/>
    <m/>
    <m/>
    <s v="1450AA-T-70466_FL17"/>
    <n v="1"/>
    <s v="PÇ"/>
    <n v="2.5"/>
    <n v="2.5"/>
    <n v="1169.77"/>
    <n v="2924.4250000000002"/>
    <n v="0"/>
    <n v="0.9"/>
    <n v="0.1"/>
    <m/>
    <m/>
    <x v="0"/>
    <m/>
    <m/>
    <m/>
    <m/>
    <m/>
    <m/>
    <m/>
    <m/>
    <m/>
    <m/>
    <m/>
    <m/>
    <m/>
    <m/>
    <m/>
    <m/>
    <m/>
  </r>
  <r>
    <s v="2.4.3.1.1"/>
    <s v="CMS M.60.10.000"/>
    <x v="2"/>
    <n v="7"/>
    <s v="CURVA"/>
    <n v="6"/>
    <x v="1"/>
    <s v="NÃO"/>
    <s v="NÃO"/>
    <x v="66"/>
    <x v="3"/>
    <s v="DISPOSIÇÃO DE REJEITOS LINHA DO CIRCUITO ULTRAFINO DISTRIBUIDOR DI-145A-9907 PARA A PENEIRA PN-145A-9734"/>
    <m/>
    <m/>
    <m/>
    <s v="1450AA-T-70466_FL13"/>
    <n v="1"/>
    <s v="PÇ"/>
    <n v="0.48"/>
    <n v="0.48"/>
    <n v="1169.77"/>
    <n v="561.4896"/>
    <n v="0"/>
    <n v="0.9"/>
    <n v="0.1"/>
    <m/>
    <m/>
    <x v="0"/>
    <m/>
    <m/>
    <m/>
    <m/>
    <m/>
    <m/>
    <m/>
    <m/>
    <m/>
    <m/>
    <m/>
    <m/>
    <m/>
    <m/>
    <m/>
    <m/>
    <m/>
  </r>
  <r>
    <s v="2.4.3.1.1"/>
    <s v="CMS M.60.10.000"/>
    <x v="2"/>
    <n v="8"/>
    <s v="SPOOL"/>
    <n v="6"/>
    <x v="1"/>
    <s v="NÃO"/>
    <s v="NÃO"/>
    <x v="66"/>
    <x v="3"/>
    <s v="DISPOSIÇÃO DE REJEITOS LINHA DO CIRCUITO ULTRAFINO DISTRIBUIDOR DI-145A-9907 PARA A PENEIRA PN-145A-9734"/>
    <m/>
    <m/>
    <m/>
    <s v="1450AA-T-70466_FL16"/>
    <n v="1"/>
    <s v="PÇ"/>
    <n v="2"/>
    <n v="2"/>
    <n v="1169.77"/>
    <n v="2339.54"/>
    <n v="0"/>
    <n v="0.9"/>
    <n v="0.1"/>
    <m/>
    <m/>
    <x v="0"/>
    <m/>
    <m/>
    <m/>
    <m/>
    <m/>
    <m/>
    <m/>
    <m/>
    <m/>
    <m/>
    <m/>
    <m/>
    <m/>
    <m/>
    <m/>
    <m/>
    <m/>
  </r>
  <r>
    <s v="2.4.3.1.1"/>
    <s v="CMS M.60.10.000"/>
    <x v="2"/>
    <n v="9"/>
    <s v="SPOOL"/>
    <n v="6"/>
    <x v="2"/>
    <s v="NÃO"/>
    <s v="NÃO"/>
    <x v="66"/>
    <x v="3"/>
    <s v="DISPOSIÇÃO DE REJEITOS LINHA DO CIRCUITO ULTRAFINO DISTRIBUIDOR DI-145A-9907 PARA A PENEIRA PN-145A-9734"/>
    <m/>
    <m/>
    <m/>
    <s v="1450AA-T-70466_FL19"/>
    <n v="1"/>
    <s v="PÇ"/>
    <n v="0.67500000000000004"/>
    <n v="0.67500000000000004"/>
    <n v="1169.77"/>
    <n v="789.59475000000009"/>
    <n v="0"/>
    <n v="0.9"/>
    <n v="0.1"/>
    <m/>
    <m/>
    <x v="0"/>
    <m/>
    <m/>
    <m/>
    <m/>
    <m/>
    <m/>
    <m/>
    <m/>
    <m/>
    <m/>
    <m/>
    <m/>
    <m/>
    <m/>
    <m/>
    <m/>
    <m/>
  </r>
  <r>
    <n v="0"/>
    <s v="CMS M.60.10.000"/>
    <x v="2"/>
    <n v="10"/>
    <s v="SPOOL"/>
    <s v="6 X 4"/>
    <x v="1"/>
    <s v="NÃO"/>
    <s v="NÃO"/>
    <x v="66"/>
    <x v="3"/>
    <s v="DISPOSIÇÃO DE REJEITOS LINHA DO CIRCUITO ULTRAFINO DISTRIBUIDOR DI-145A-9907 PARA A PENEIRA PN-145A-9734"/>
    <m/>
    <m/>
    <m/>
    <s v="1450AA-T-70466_FL09"/>
    <n v="1"/>
    <s v="PÇ"/>
    <n v="2.1349999999999998"/>
    <n v="2.1349999999999998"/>
    <n v="0"/>
    <n v="0"/>
    <n v="0"/>
    <n v="0.9"/>
    <n v="0.1"/>
    <m/>
    <m/>
    <x v="0"/>
    <m/>
    <m/>
    <m/>
    <m/>
    <m/>
    <m/>
    <m/>
    <m/>
    <m/>
    <m/>
    <m/>
    <m/>
    <m/>
    <m/>
    <m/>
    <m/>
    <m/>
  </r>
  <r>
    <n v="0"/>
    <s v="CMS M.60.10.000"/>
    <x v="2"/>
    <n v="11"/>
    <s v="FLANGE"/>
    <n v="4"/>
    <x v="1"/>
    <s v="NÃO"/>
    <s v="NÃO"/>
    <x v="66"/>
    <x v="3"/>
    <s v="DISPOSIÇÃO DE REJEITOS LINHA DO CIRCUITO ULTRAFINO DISTRIBUIDOR DI-145A-9907 PARA A PENEIRA PN-145A-9734"/>
    <m/>
    <m/>
    <m/>
    <s v="1450AA-T-70466_FL03"/>
    <n v="2"/>
    <s v="PÇ"/>
    <n v="0"/>
    <n v="0"/>
    <n v="0"/>
    <n v="0"/>
    <n v="0"/>
    <n v="0.9"/>
    <n v="0.1"/>
    <m/>
    <m/>
    <x v="0"/>
    <m/>
    <m/>
    <m/>
    <m/>
    <m/>
    <m/>
    <m/>
    <m/>
    <m/>
    <m/>
    <m/>
    <m/>
    <m/>
    <m/>
    <m/>
    <m/>
    <m/>
  </r>
  <r>
    <s v="2.4.3.1.1"/>
    <s v="CMS M.60.10.000"/>
    <x v="2"/>
    <n v="1"/>
    <s v="CURVA"/>
    <n v="6"/>
    <x v="1"/>
    <s v="NÃO"/>
    <s v="NÃO"/>
    <x v="67"/>
    <x v="3"/>
    <s v="DISPOSIÇÃO DE REJEITOS LINHA DO CIRCUITO ULTRAFINO DISTRIBUIDOR DI-145A-9907 PARA A PENEIRA PN-145A-9735"/>
    <m/>
    <m/>
    <m/>
    <s v="1450AA-T-70468_FL12"/>
    <n v="2"/>
    <s v="PÇ"/>
    <n v="0.46500000000000002"/>
    <n v="0.93"/>
    <n v="1169.77"/>
    <n v="1087.8860999999999"/>
    <n v="0"/>
    <n v="0.9"/>
    <n v="0.1"/>
    <m/>
    <m/>
    <x v="0"/>
    <m/>
    <m/>
    <m/>
    <m/>
    <m/>
    <m/>
    <m/>
    <m/>
    <m/>
    <m/>
    <m/>
    <m/>
    <m/>
    <m/>
    <m/>
    <m/>
    <m/>
  </r>
  <r>
    <s v="2.4.3.1.1"/>
    <s v="CMS M.60.10.000"/>
    <x v="2"/>
    <n v="2"/>
    <s v="SPOOL"/>
    <n v="6"/>
    <x v="1"/>
    <s v="NÃO"/>
    <s v="NÃO"/>
    <x v="67"/>
    <x v="3"/>
    <s v="DISPOSIÇÃO DE REJEITOS LINHA DO CIRCUITO ULTRAFINO DISTRIBUIDOR DI-145A-9907 PARA A PENEIRA PN-145A-9735"/>
    <m/>
    <m/>
    <m/>
    <s v="1450AA-T-70468_FL15"/>
    <n v="1"/>
    <s v="PÇ"/>
    <n v="2.5"/>
    <n v="2.5"/>
    <n v="1169.77"/>
    <n v="2924.4250000000002"/>
    <n v="0"/>
    <n v="0.9"/>
    <n v="0.1"/>
    <m/>
    <m/>
    <x v="0"/>
    <m/>
    <m/>
    <m/>
    <m/>
    <m/>
    <m/>
    <m/>
    <m/>
    <m/>
    <m/>
    <m/>
    <m/>
    <m/>
    <m/>
    <m/>
    <m/>
    <m/>
  </r>
  <r>
    <s v="2.4.3.1.1"/>
    <s v="CMS M.60.10.000"/>
    <x v="2"/>
    <n v="3"/>
    <s v="SPOOL"/>
    <n v="6"/>
    <x v="1"/>
    <s v="NÃO"/>
    <s v="NÃO"/>
    <x v="67"/>
    <x v="3"/>
    <s v="DISPOSIÇÃO DE REJEITOS LINHA DO CIRCUITO ULTRAFINO DISTRIBUIDOR DI-145A-9907 PARA A PENEIRA PN-145A-9735"/>
    <m/>
    <m/>
    <m/>
    <s v="1450AA-T-70468_FL14"/>
    <n v="3"/>
    <s v="PÇ"/>
    <n v="2"/>
    <n v="6"/>
    <n v="1169.77"/>
    <n v="7018.62"/>
    <n v="0"/>
    <n v="0.9"/>
    <n v="0.1"/>
    <m/>
    <m/>
    <x v="0"/>
    <m/>
    <m/>
    <m/>
    <m/>
    <m/>
    <m/>
    <m/>
    <m/>
    <m/>
    <m/>
    <m/>
    <m/>
    <m/>
    <m/>
    <m/>
    <m/>
    <m/>
  </r>
  <r>
    <s v="2.4.3.1.1"/>
    <s v="CMS M.60.10.000"/>
    <x v="2"/>
    <n v="4"/>
    <s v="SPOOL"/>
    <n v="6"/>
    <x v="2"/>
    <s v="NÃO"/>
    <s v="NÃO"/>
    <x v="67"/>
    <x v="3"/>
    <s v="DISPOSIÇÃO DE REJEITOS LINHA DO CIRCUITO ULTRAFINO DISTRIBUIDOR DI-145A-9907 PARA A PENEIRA PN-145A-9735"/>
    <m/>
    <m/>
    <m/>
    <s v="1450AA-T-70468_FL17"/>
    <n v="2"/>
    <s v="PÇ"/>
    <n v="0.8"/>
    <n v="1.6"/>
    <n v="1169.77"/>
    <n v="1871.6320000000001"/>
    <n v="0"/>
    <n v="0.9"/>
    <n v="0.1"/>
    <m/>
    <m/>
    <x v="0"/>
    <m/>
    <m/>
    <m/>
    <m/>
    <m/>
    <m/>
    <m/>
    <m/>
    <m/>
    <m/>
    <m/>
    <m/>
    <m/>
    <m/>
    <m/>
    <m/>
    <m/>
  </r>
  <r>
    <s v="2.4.3.1.1"/>
    <s v="CMS M.60.10.000"/>
    <x v="2"/>
    <n v="5"/>
    <s v="CURVA"/>
    <n v="6"/>
    <x v="1"/>
    <s v="NÃO"/>
    <s v="NÃO"/>
    <x v="67"/>
    <x v="3"/>
    <s v="DISPOSIÇÃO DE REJEITOS LINHA DO CIRCUITO ULTRAFINO DISTRIBUIDOR DI-145A-9907 PARA A PENEIRA PN-145A-9735"/>
    <m/>
    <m/>
    <m/>
    <s v="1450AA-T-70468_FL11"/>
    <n v="1"/>
    <s v="PÇ"/>
    <n v="0.32500000000000001"/>
    <n v="0.32500000000000001"/>
    <n v="1169.77"/>
    <n v="380.17525000000001"/>
    <n v="0"/>
    <n v="0.9"/>
    <n v="0.1"/>
    <m/>
    <m/>
    <x v="0"/>
    <m/>
    <m/>
    <m/>
    <m/>
    <m/>
    <m/>
    <m/>
    <m/>
    <m/>
    <m/>
    <m/>
    <m/>
    <m/>
    <m/>
    <m/>
    <m/>
    <m/>
  </r>
  <r>
    <s v="2.4.3.1.1"/>
    <s v="CMS M.60.10.000"/>
    <x v="2"/>
    <n v="6"/>
    <s v="SPOOL"/>
    <n v="6"/>
    <x v="2"/>
    <s v="NÃO"/>
    <s v="NÃO"/>
    <x v="67"/>
    <x v="3"/>
    <s v="DISPOSIÇÃO DE REJEITOS LINHA DO CIRCUITO ULTRAFINO DISTRIBUIDOR DI-145A-9907 PARA A PENEIRA PN-145A-9735"/>
    <m/>
    <m/>
    <m/>
    <s v="1450AA-T-70468_FL16"/>
    <n v="1"/>
    <s v="PÇ"/>
    <n v="0.55000000000000004"/>
    <n v="0.55000000000000004"/>
    <n v="1169.77"/>
    <n v="643.37350000000004"/>
    <n v="0"/>
    <n v="0.9"/>
    <n v="0.1"/>
    <m/>
    <m/>
    <x v="0"/>
    <m/>
    <m/>
    <m/>
    <m/>
    <m/>
    <m/>
    <m/>
    <m/>
    <m/>
    <m/>
    <m/>
    <m/>
    <m/>
    <m/>
    <m/>
    <m/>
    <m/>
  </r>
  <r>
    <s v="2.4.3.1.1"/>
    <s v="CMS M.60.10.000"/>
    <x v="2"/>
    <n v="7"/>
    <s v="SPOOL"/>
    <n v="6"/>
    <x v="1"/>
    <s v="NÃO"/>
    <s v="NÃO"/>
    <x v="67"/>
    <x v="3"/>
    <s v="DISPOSIÇÃO DE REJEITOS LINHA DO CIRCUITO ULTRAFINO DISTRIBUIDOR DI-145A-9907 PARA A PENEIRA PN-145A-9735"/>
    <m/>
    <m/>
    <m/>
    <s v="1450AA-T-70468_FL13"/>
    <n v="1"/>
    <s v="PÇ"/>
    <n v="1.5"/>
    <n v="1.5"/>
    <n v="1169.77"/>
    <n v="1754.655"/>
    <n v="0"/>
    <n v="0.9"/>
    <n v="0.1"/>
    <m/>
    <m/>
    <x v="0"/>
    <m/>
    <m/>
    <m/>
    <m/>
    <m/>
    <m/>
    <m/>
    <m/>
    <m/>
    <m/>
    <m/>
    <m/>
    <m/>
    <m/>
    <m/>
    <m/>
    <m/>
  </r>
  <r>
    <n v="0"/>
    <s v="CMS M.60.10.000"/>
    <x v="2"/>
    <n v="8"/>
    <s v="SPOOL"/>
    <s v="6 X 4"/>
    <x v="1"/>
    <s v="NÃO"/>
    <s v="NÃO"/>
    <x v="67"/>
    <x v="3"/>
    <s v="DISPOSIÇÃO DE REJEITOS LINHA DO CIRCUITO ULTRAFINO DISTRIBUIDOR DI-145A-9907 PARA A PENEIRA PN-145A-9735"/>
    <m/>
    <m/>
    <m/>
    <s v="1450AA-T-70468_FL09"/>
    <n v="1"/>
    <s v="PÇ"/>
    <n v="2.1150000000000002"/>
    <n v="2.1150000000000002"/>
    <n v="0"/>
    <n v="0"/>
    <n v="0"/>
    <n v="0.9"/>
    <n v="0.1"/>
    <m/>
    <m/>
    <x v="0"/>
    <m/>
    <m/>
    <m/>
    <m/>
    <m/>
    <m/>
    <m/>
    <m/>
    <m/>
    <m/>
    <m/>
    <m/>
    <m/>
    <m/>
    <m/>
    <m/>
    <m/>
  </r>
  <r>
    <n v="0"/>
    <s v="CMS M.60.10.000"/>
    <x v="2"/>
    <n v="9"/>
    <s v="FLANGE"/>
    <n v="4"/>
    <x v="1"/>
    <s v="NÃO"/>
    <s v="NÃO"/>
    <x v="67"/>
    <x v="3"/>
    <s v="DISPOSIÇÃO DE REJEITOS LINHA DO CIRCUITO ULTRAFINO DISTRIBUIDOR DI-145A-9907 PARA A PENEIRA PN-145A-9735"/>
    <m/>
    <m/>
    <m/>
    <s v="1450AA-T-70468_FL03"/>
    <n v="2"/>
    <s v="PÇ"/>
    <n v="0"/>
    <n v="0"/>
    <n v="0"/>
    <n v="0"/>
    <n v="0"/>
    <n v="0.9"/>
    <n v="0.1"/>
    <m/>
    <m/>
    <x v="0"/>
    <m/>
    <m/>
    <m/>
    <m/>
    <m/>
    <m/>
    <m/>
    <m/>
    <m/>
    <m/>
    <m/>
    <m/>
    <m/>
    <m/>
    <m/>
    <m/>
    <m/>
  </r>
  <r>
    <s v="2.4.3.1.1"/>
    <s v="CMS M.60.10.000"/>
    <x v="2"/>
    <n v="1"/>
    <s v="SPOOL"/>
    <n v="6"/>
    <x v="1"/>
    <s v="NÃO"/>
    <s v="NÃO"/>
    <x v="68"/>
    <x v="3"/>
    <s v="DISPOSIÇÃO DE REJEITOS LINHA DO CIRCUITO ULTRAFINO DISTRIBUIDOR DI-145A-9907 PARA A PENEIRA PN-145A-9710"/>
    <m/>
    <m/>
    <m/>
    <s v="1450AA-T-70470_FL18"/>
    <n v="2"/>
    <s v="PÇ"/>
    <n v="2.5"/>
    <n v="5"/>
    <n v="1169.77"/>
    <n v="5848.85"/>
    <n v="0"/>
    <n v="0.9"/>
    <n v="0.1"/>
    <m/>
    <m/>
    <x v="0"/>
    <m/>
    <m/>
    <m/>
    <m/>
    <m/>
    <m/>
    <m/>
    <m/>
    <m/>
    <m/>
    <m/>
    <m/>
    <m/>
    <m/>
    <m/>
    <m/>
    <m/>
  </r>
  <r>
    <s v="2.4.3.1.1"/>
    <s v="CMS M.60.10.000"/>
    <x v="2"/>
    <n v="2"/>
    <s v="SPOOL"/>
    <n v="6"/>
    <x v="1"/>
    <s v="NÃO"/>
    <s v="NÃO"/>
    <x v="68"/>
    <x v="3"/>
    <s v="DISPOSIÇÃO DE REJEITOS LINHA DO CIRCUITO ULTRAFINO DISTRIBUIDOR DI-145A-9907 PARA A PENEIRA PN-145A-9710"/>
    <m/>
    <m/>
    <m/>
    <s v="1450AA-T-70470_FL17"/>
    <n v="2"/>
    <s v="PÇ"/>
    <n v="1.5"/>
    <n v="3"/>
    <n v="1169.77"/>
    <n v="3509.31"/>
    <n v="0"/>
    <n v="0.9"/>
    <n v="0.1"/>
    <m/>
    <m/>
    <x v="0"/>
    <m/>
    <m/>
    <m/>
    <m/>
    <m/>
    <m/>
    <m/>
    <m/>
    <m/>
    <m/>
    <m/>
    <m/>
    <m/>
    <m/>
    <m/>
    <m/>
    <m/>
  </r>
  <r>
    <s v="2.4.3.1.1"/>
    <s v="CMS M.60.10.000"/>
    <x v="2"/>
    <n v="3"/>
    <s v="SPOOL"/>
    <n v="6"/>
    <x v="1"/>
    <s v="NÃO"/>
    <s v="NÃO"/>
    <x v="68"/>
    <x v="3"/>
    <s v="DISPOSIÇÃO DE REJEITOS LINHA DO CIRCUITO ULTRAFINO DISTRIBUIDOR DI-145A-9907 PARA A PENEIRA PN-145A-9710"/>
    <m/>
    <m/>
    <m/>
    <s v="1450AA-T-70470_FL16"/>
    <n v="1"/>
    <s v="PÇ"/>
    <n v="0.87"/>
    <n v="0.87"/>
    <n v="1169.77"/>
    <n v="1017.6999"/>
    <n v="0"/>
    <n v="0.9"/>
    <n v="0.1"/>
    <m/>
    <m/>
    <x v="0"/>
    <m/>
    <m/>
    <m/>
    <m/>
    <m/>
    <m/>
    <m/>
    <m/>
    <m/>
    <m/>
    <m/>
    <m/>
    <m/>
    <m/>
    <m/>
    <m/>
    <m/>
  </r>
  <r>
    <s v="2.4.3.1.1"/>
    <s v="CMS M.60.10.000"/>
    <x v="2"/>
    <n v="4"/>
    <s v="SPOOL"/>
    <n v="6"/>
    <x v="1"/>
    <s v="NÃO"/>
    <s v="NÃO"/>
    <x v="68"/>
    <x v="3"/>
    <s v="DISPOSIÇÃO DE REJEITOS LINHA DO CIRCUITO ULTRAFINO DISTRIBUIDOR DI-145A-9907 PARA A PENEIRA PN-145A-9710"/>
    <m/>
    <m/>
    <m/>
    <s v="1450AA-T-70470_FL15"/>
    <n v="1"/>
    <s v="PÇ"/>
    <n v="0.2"/>
    <n v="0.2"/>
    <n v="1169.77"/>
    <n v="233.95400000000001"/>
    <n v="0"/>
    <n v="0.9"/>
    <n v="0.1"/>
    <m/>
    <m/>
    <x v="0"/>
    <m/>
    <m/>
    <m/>
    <m/>
    <m/>
    <m/>
    <m/>
    <m/>
    <m/>
    <m/>
    <m/>
    <m/>
    <m/>
    <m/>
    <m/>
    <m/>
    <m/>
  </r>
  <r>
    <s v="2.4.3.1.1"/>
    <s v="CMS M.60.10.000"/>
    <x v="2"/>
    <n v="5"/>
    <s v="SPOOL"/>
    <n v="6"/>
    <x v="2"/>
    <s v="NÃO"/>
    <s v="NÃO"/>
    <x v="68"/>
    <x v="3"/>
    <s v="DISPOSIÇÃO DE REJEITOS LINHA DO CIRCUITO ULTRAFINO DISTRIBUIDOR DI-145A-9907 PARA A PENEIRA PN-145A-9710"/>
    <m/>
    <m/>
    <m/>
    <s v="1450AA-T-70470_FL22"/>
    <n v="1"/>
    <s v="PÇ"/>
    <n v="0.65"/>
    <n v="0.65"/>
    <n v="1169.77"/>
    <n v="760.35050000000001"/>
    <n v="0"/>
    <n v="0.9"/>
    <n v="0.1"/>
    <m/>
    <m/>
    <x v="0"/>
    <m/>
    <m/>
    <m/>
    <m/>
    <m/>
    <m/>
    <m/>
    <m/>
    <m/>
    <m/>
    <m/>
    <m/>
    <m/>
    <m/>
    <m/>
    <m/>
    <m/>
  </r>
  <r>
    <s v="2.4.3.1.1"/>
    <s v="CMS M.60.10.000"/>
    <x v="2"/>
    <n v="6"/>
    <s v="SPOOL"/>
    <n v="6"/>
    <x v="2"/>
    <s v="NÃO"/>
    <s v="NÃO"/>
    <x v="68"/>
    <x v="3"/>
    <s v="DISPOSIÇÃO DE REJEITOS LINHA DO CIRCUITO ULTRAFINO DISTRIBUIDOR DI-145A-9907 PARA A PENEIRA PN-145A-9710"/>
    <m/>
    <m/>
    <m/>
    <s v="1450AA-T-70470_FL21"/>
    <n v="1"/>
    <s v="PÇ"/>
    <n v="0.6"/>
    <n v="0.6"/>
    <n v="1169.77"/>
    <n v="701.86199999999997"/>
    <n v="0"/>
    <n v="0.9"/>
    <n v="0.1"/>
    <m/>
    <m/>
    <x v="0"/>
    <m/>
    <m/>
    <m/>
    <m/>
    <m/>
    <m/>
    <m/>
    <m/>
    <m/>
    <m/>
    <m/>
    <m/>
    <m/>
    <m/>
    <m/>
    <m/>
    <m/>
  </r>
  <r>
    <s v="2.4.3.1.1"/>
    <s v="CMS M.60.10.000"/>
    <x v="2"/>
    <n v="7"/>
    <s v="SPOOL"/>
    <n v="6"/>
    <x v="2"/>
    <s v="NÃO"/>
    <s v="NÃO"/>
    <x v="68"/>
    <x v="3"/>
    <s v="DISPOSIÇÃO DE REJEITOS LINHA DO CIRCUITO ULTRAFINO DISTRIBUIDOR DI-145A-9907 PARA A PENEIRA PN-145A-9710"/>
    <m/>
    <m/>
    <m/>
    <s v="1450AA-T-70470_FL20"/>
    <n v="1"/>
    <s v="PÇ"/>
    <n v="0.4"/>
    <n v="0.4"/>
    <n v="1169.77"/>
    <n v="467.90800000000002"/>
    <n v="0"/>
    <n v="0.9"/>
    <n v="0.1"/>
    <m/>
    <m/>
    <x v="0"/>
    <m/>
    <m/>
    <m/>
    <m/>
    <m/>
    <m/>
    <m/>
    <m/>
    <m/>
    <m/>
    <m/>
    <m/>
    <m/>
    <m/>
    <m/>
    <m/>
    <m/>
  </r>
  <r>
    <s v="2.4.3.1.1"/>
    <s v="CMS M.60.10.000"/>
    <x v="2"/>
    <n v="8"/>
    <s v="SPOOL"/>
    <n v="6"/>
    <x v="2"/>
    <s v="NÃO"/>
    <s v="NÃO"/>
    <x v="68"/>
    <x v="3"/>
    <s v="DISPOSIÇÃO DE REJEITOS LINHA DO CIRCUITO ULTRAFINO DISTRIBUIDOR DI-145A-9907 PARA A PENEIRA PN-145A-9710"/>
    <m/>
    <m/>
    <m/>
    <s v="1450AA-T-70470_FL19"/>
    <n v="1"/>
    <s v="PÇ"/>
    <n v="0.3"/>
    <n v="0.3"/>
    <n v="1169.77"/>
    <n v="350.93099999999998"/>
    <n v="0"/>
    <n v="0.9"/>
    <n v="0.1"/>
    <m/>
    <m/>
    <x v="0"/>
    <m/>
    <m/>
    <m/>
    <m/>
    <m/>
    <m/>
    <m/>
    <m/>
    <m/>
    <m/>
    <m/>
    <m/>
    <m/>
    <m/>
    <m/>
    <m/>
    <m/>
  </r>
  <r>
    <s v="2.4.3.1.1"/>
    <s v="CMS M.60.10.000"/>
    <x v="2"/>
    <n v="9"/>
    <s v="CURVA"/>
    <n v="6"/>
    <x v="1"/>
    <s v="NÃO"/>
    <s v="NÃO"/>
    <x v="68"/>
    <x v="3"/>
    <s v="DISPOSIÇÃO DE REJEITOS LINHA DO CIRCUITO ULTRAFINO DISTRIBUIDOR DI-145A-9907 PARA A PENEIRA PN-145A-9710"/>
    <m/>
    <m/>
    <m/>
    <s v="1450AA-T-70470_FL14"/>
    <n v="2"/>
    <s v="PÇ"/>
    <n v="0.46500000000000002"/>
    <n v="0.93"/>
    <n v="1169.77"/>
    <n v="1087.8860999999999"/>
    <n v="0"/>
    <n v="0.9"/>
    <n v="0.1"/>
    <m/>
    <m/>
    <x v="0"/>
    <m/>
    <m/>
    <m/>
    <m/>
    <m/>
    <m/>
    <m/>
    <m/>
    <m/>
    <m/>
    <m/>
    <m/>
    <m/>
    <m/>
    <m/>
    <m/>
    <m/>
  </r>
  <r>
    <s v="2.4.3.1.1"/>
    <s v="CMS M.60.10.000"/>
    <x v="2"/>
    <n v="10"/>
    <s v="CURVA"/>
    <n v="6"/>
    <x v="1"/>
    <s v="NÃO"/>
    <s v="NÃO"/>
    <x v="68"/>
    <x v="3"/>
    <s v="DISPOSIÇÃO DE REJEITOS LINHA DO CIRCUITO ULTRAFINO DISTRIBUIDOR DI-145A-9907 PARA A PENEIRA PN-145A-9710"/>
    <m/>
    <m/>
    <m/>
    <s v="1450AA-T-70470_FL13"/>
    <n v="1"/>
    <s v="PÇ"/>
    <n v="0.42"/>
    <n v="0.42"/>
    <n v="1169.77"/>
    <n v="491.30339999999995"/>
    <n v="0"/>
    <n v="0.9"/>
    <n v="0.1"/>
    <m/>
    <m/>
    <x v="0"/>
    <m/>
    <m/>
    <m/>
    <m/>
    <m/>
    <m/>
    <m/>
    <m/>
    <m/>
    <m/>
    <m/>
    <m/>
    <m/>
    <m/>
    <m/>
    <m/>
    <m/>
  </r>
  <r>
    <s v="2.4.3.1.1"/>
    <s v="CMS M.60.10.000"/>
    <x v="2"/>
    <n v="11"/>
    <s v="CURVA"/>
    <n v="6"/>
    <x v="1"/>
    <s v="NÃO"/>
    <s v="NÃO"/>
    <x v="68"/>
    <x v="3"/>
    <s v="DISPOSIÇÃO DE REJEITOS LINHA DO CIRCUITO ULTRAFINO DISTRIBUIDOR DI-145A-9907 PARA A PENEIRA PN-145A-9710"/>
    <m/>
    <m/>
    <m/>
    <s v="1450AA-T-70470_FL12"/>
    <n v="1"/>
    <s v="PÇ"/>
    <n v="0.42"/>
    <n v="0.42"/>
    <n v="1169.77"/>
    <n v="491.30339999999995"/>
    <n v="0"/>
    <n v="0.9"/>
    <n v="0.1"/>
    <m/>
    <m/>
    <x v="0"/>
    <m/>
    <m/>
    <m/>
    <m/>
    <m/>
    <m/>
    <m/>
    <m/>
    <m/>
    <m/>
    <m/>
    <m/>
    <m/>
    <m/>
    <m/>
    <m/>
    <m/>
  </r>
  <r>
    <s v="2.4.3.1.1"/>
    <s v="CMS M.60.10.000"/>
    <x v="2"/>
    <n v="12"/>
    <s v="SPOOL"/>
    <n v="6"/>
    <x v="1"/>
    <s v="NÃO"/>
    <s v="NÃO"/>
    <x v="68"/>
    <x v="3"/>
    <s v="DISPOSIÇÃO DE REJEITOS LINHA DO CIRCUITO ULTRAFINO DISTRIBUIDOR DI-145A-9907 PARA A PENEIRA PN-145A-9710"/>
    <m/>
    <m/>
    <m/>
    <s v="1450AA-T-70470_FL11"/>
    <n v="1"/>
    <s v="PÇ"/>
    <n v="0.75"/>
    <n v="0.75"/>
    <n v="1169.77"/>
    <n v="877.32749999999999"/>
    <n v="0"/>
    <n v="0.9"/>
    <n v="0.1"/>
    <m/>
    <m/>
    <x v="0"/>
    <m/>
    <m/>
    <m/>
    <m/>
    <m/>
    <m/>
    <m/>
    <m/>
    <m/>
    <m/>
    <m/>
    <m/>
    <m/>
    <m/>
    <m/>
    <m/>
    <m/>
  </r>
  <r>
    <n v="0"/>
    <s v="CMS M.60.10.000"/>
    <x v="2"/>
    <n v="13"/>
    <s v="SPOOL"/>
    <s v="6 X 4"/>
    <x v="1"/>
    <s v="NÃO"/>
    <s v="NÃO"/>
    <x v="68"/>
    <x v="3"/>
    <s v="DISPOSIÇÃO DE REJEITOS LINHA DO CIRCUITO ULTRAFINO DISTRIBUIDOR DI-145A-9907 PARA A PENEIRA PN-145A-9710"/>
    <m/>
    <m/>
    <m/>
    <s v="1450AA-T-70470_FL09"/>
    <n v="1"/>
    <s v="PÇ"/>
    <n v="2.1349999999999998"/>
    <n v="2.1349999999999998"/>
    <n v="0"/>
    <n v="0"/>
    <n v="0"/>
    <n v="0.9"/>
    <n v="0.1"/>
    <m/>
    <m/>
    <x v="0"/>
    <m/>
    <m/>
    <m/>
    <m/>
    <m/>
    <m/>
    <m/>
    <m/>
    <m/>
    <m/>
    <m/>
    <m/>
    <m/>
    <m/>
    <m/>
    <m/>
    <m/>
  </r>
  <r>
    <n v="0"/>
    <s v="CMS M.60.10.000"/>
    <x v="2"/>
    <n v="14"/>
    <s v="FLANGE"/>
    <n v="4"/>
    <x v="1"/>
    <s v="NÃO"/>
    <s v="NÃO"/>
    <x v="68"/>
    <x v="3"/>
    <s v="DISPOSIÇÃO DE REJEITOS LINHA DO CIRCUITO ULTRAFINO DISTRIBUIDOR DI-145A-9907 PARA A PENEIRA PN-145A-9710"/>
    <m/>
    <m/>
    <m/>
    <s v="1450AA-T-70470_FL03"/>
    <n v="2"/>
    <s v="PÇ"/>
    <n v="0"/>
    <n v="0"/>
    <n v="0"/>
    <n v="0"/>
    <n v="0"/>
    <n v="0.9"/>
    <n v="0.1"/>
    <m/>
    <m/>
    <x v="0"/>
    <m/>
    <m/>
    <m/>
    <m/>
    <m/>
    <m/>
    <m/>
    <m/>
    <m/>
    <m/>
    <m/>
    <m/>
    <m/>
    <m/>
    <m/>
    <m/>
    <m/>
  </r>
  <r>
    <s v="2.4.3.1.1"/>
    <s v="CMS M.60.10.000"/>
    <x v="2"/>
    <n v="1"/>
    <s v="SPOOL"/>
    <n v="6"/>
    <x v="1"/>
    <s v="NÃO"/>
    <s v="NÃO"/>
    <x v="69"/>
    <x v="3"/>
    <s v="DISPOSIÇÃO DE REJEITOS LINHA DO CIRCUITO ULTRAFINO DISTRIBUIDOR DI-145A-9907 PARA A PENEIRA PN-145A-9711"/>
    <m/>
    <m/>
    <m/>
    <s v="1450AA-T-70472_FL20"/>
    <n v="2"/>
    <s v="PÇ"/>
    <n v="2.5"/>
    <n v="5"/>
    <n v="1169.77"/>
    <n v="5848.85"/>
    <n v="0"/>
    <n v="0.9"/>
    <n v="0.1"/>
    <m/>
    <m/>
    <x v="0"/>
    <m/>
    <m/>
    <m/>
    <m/>
    <m/>
    <m/>
    <m/>
    <m/>
    <m/>
    <m/>
    <m/>
    <m/>
    <m/>
    <m/>
    <m/>
    <m/>
    <m/>
  </r>
  <r>
    <s v="2.4.3.1.1"/>
    <s v="CMS M.60.10.000"/>
    <x v="2"/>
    <n v="2"/>
    <s v="SPOOL"/>
    <n v="6"/>
    <x v="1"/>
    <s v="NÃO"/>
    <s v="NÃO"/>
    <x v="69"/>
    <x v="3"/>
    <s v="DISPOSIÇÃO DE REJEITOS LINHA DO CIRCUITO ULTRAFINO DISTRIBUIDOR DI-145A-9907 PARA A PENEIRA PN-145A-9711"/>
    <m/>
    <m/>
    <m/>
    <s v="1450AA-T-70472_FL19"/>
    <n v="2"/>
    <s v="PÇ"/>
    <n v="1.5"/>
    <n v="3"/>
    <n v="1169.77"/>
    <n v="3509.31"/>
    <n v="0"/>
    <n v="0.9"/>
    <n v="0.1"/>
    <m/>
    <m/>
    <x v="0"/>
    <m/>
    <m/>
    <m/>
    <m/>
    <m/>
    <m/>
    <m/>
    <m/>
    <m/>
    <m/>
    <m/>
    <m/>
    <m/>
    <m/>
    <m/>
    <m/>
    <m/>
  </r>
  <r>
    <s v="2.4.3.1.1"/>
    <s v="CMS M.60.10.000"/>
    <x v="2"/>
    <n v="3"/>
    <s v="SPOOL"/>
    <n v="6"/>
    <x v="1"/>
    <s v="NÃO"/>
    <s v="NÃO"/>
    <x v="69"/>
    <x v="3"/>
    <s v="DISPOSIÇÃO DE REJEITOS LINHA DO CIRCUITO ULTRAFINO DISTRIBUIDOR DI-145A-9907 PARA A PENEIRA PN-145A-9711"/>
    <m/>
    <m/>
    <m/>
    <s v="1450AA-T-70472_FL18"/>
    <n v="1"/>
    <s v="PÇ"/>
    <n v="1.2"/>
    <n v="1.2"/>
    <n v="1169.77"/>
    <n v="1403.7239999999999"/>
    <n v="0"/>
    <n v="0.9"/>
    <n v="0.1"/>
    <m/>
    <m/>
    <x v="0"/>
    <m/>
    <m/>
    <m/>
    <m/>
    <m/>
    <m/>
    <m/>
    <m/>
    <m/>
    <m/>
    <m/>
    <m/>
    <m/>
    <m/>
    <m/>
    <m/>
    <m/>
  </r>
  <r>
    <s v="2.4.3.1.1"/>
    <s v="CMS M.60.10.000"/>
    <x v="2"/>
    <n v="4"/>
    <s v="SPOOL"/>
    <n v="6"/>
    <x v="1"/>
    <s v="NÃO"/>
    <s v="NÃO"/>
    <x v="69"/>
    <x v="3"/>
    <s v="DISPOSIÇÃO DE REJEITOS LINHA DO CIRCUITO ULTRAFINO DISTRIBUIDOR DI-145A-9907 PARA A PENEIRA PN-145A-9711"/>
    <m/>
    <m/>
    <m/>
    <s v="1450AA-T-70472_FL17"/>
    <n v="1"/>
    <s v="PÇ"/>
    <n v="0.8"/>
    <n v="0.8"/>
    <n v="1169.77"/>
    <n v="935.81600000000003"/>
    <n v="0"/>
    <n v="0.9"/>
    <n v="0.1"/>
    <m/>
    <m/>
    <x v="0"/>
    <m/>
    <m/>
    <m/>
    <m/>
    <m/>
    <m/>
    <m/>
    <m/>
    <m/>
    <m/>
    <m/>
    <m/>
    <m/>
    <m/>
    <m/>
    <m/>
    <m/>
  </r>
  <r>
    <s v="2.4.3.1.1"/>
    <s v="CMS M.60.10.000"/>
    <x v="2"/>
    <n v="7"/>
    <s v="SPOOL"/>
    <n v="6"/>
    <x v="1"/>
    <s v="NÃO"/>
    <s v="NÃO"/>
    <x v="69"/>
    <x v="3"/>
    <s v="DISPOSIÇÃO DE REJEITOS LINHA DO CIRCUITO ULTRAFINO DISTRIBUIDOR DI-145A-9907 PARA A PENEIRA PN-145A-9711"/>
    <m/>
    <m/>
    <m/>
    <s v="1450AA-T-70472_FL16"/>
    <n v="1"/>
    <s v="PÇ"/>
    <n v="0.2"/>
    <n v="0.2"/>
    <n v="1169.77"/>
    <n v="233.95400000000001"/>
    <n v="0"/>
    <n v="0.9"/>
    <n v="0.1"/>
    <m/>
    <m/>
    <x v="0"/>
    <m/>
    <m/>
    <m/>
    <m/>
    <m/>
    <m/>
    <m/>
    <m/>
    <m/>
    <m/>
    <m/>
    <m/>
    <m/>
    <m/>
    <m/>
    <m/>
    <m/>
  </r>
  <r>
    <s v="2.4.3.1.1"/>
    <s v="CMS M.60.10.000"/>
    <x v="2"/>
    <n v="6"/>
    <s v="SPOOL"/>
    <n v="6"/>
    <x v="2"/>
    <s v="NÃO"/>
    <s v="NÃO"/>
    <x v="69"/>
    <x v="3"/>
    <s v="DISPOSIÇÃO DE REJEITOS LINHA DO CIRCUITO ULTRAFINO DISTRIBUIDOR DI-145A-9907 PARA A PENEIRA PN-145A-9711"/>
    <m/>
    <m/>
    <m/>
    <s v="1450AA-T-70472_FL23"/>
    <n v="2"/>
    <s v="PÇ"/>
    <n v="0.6"/>
    <n v="1.2"/>
    <n v="1169.77"/>
    <n v="1403.7239999999999"/>
    <n v="0"/>
    <n v="0.9"/>
    <n v="0.1"/>
    <m/>
    <m/>
    <x v="0"/>
    <m/>
    <m/>
    <m/>
    <m/>
    <m/>
    <m/>
    <m/>
    <m/>
    <m/>
    <m/>
    <m/>
    <m/>
    <m/>
    <m/>
    <m/>
    <m/>
    <m/>
  </r>
  <r>
    <s v="2.4.3.1.1"/>
    <s v="CMS M.60.10.000"/>
    <x v="2"/>
    <n v="7"/>
    <s v="SPOOL"/>
    <n v="6"/>
    <x v="2"/>
    <s v="NÃO"/>
    <s v="NÃO"/>
    <x v="69"/>
    <x v="3"/>
    <s v="DISPOSIÇÃO DE REJEITOS LINHA DO CIRCUITO ULTRAFINO DISTRIBUIDOR DI-145A-9907 PARA A PENEIRA PN-145A-9711"/>
    <m/>
    <m/>
    <m/>
    <s v="1450AA-T-70472_FL22"/>
    <n v="2"/>
    <s v="PÇ"/>
    <n v="0.47499999999999998"/>
    <n v="0.95"/>
    <n v="1169.77"/>
    <n v="1111.2814999999998"/>
    <n v="0"/>
    <n v="0.9"/>
    <n v="0.1"/>
    <m/>
    <m/>
    <x v="0"/>
    <m/>
    <m/>
    <m/>
    <m/>
    <m/>
    <m/>
    <m/>
    <m/>
    <m/>
    <m/>
    <m/>
    <m/>
    <m/>
    <m/>
    <m/>
    <m/>
    <m/>
  </r>
  <r>
    <s v="2.4.3.1.1"/>
    <s v="CMS M.60.10.000"/>
    <x v="2"/>
    <n v="8"/>
    <s v="SPOOL"/>
    <n v="6"/>
    <x v="2"/>
    <s v="NÃO"/>
    <s v="NÃO"/>
    <x v="69"/>
    <x v="3"/>
    <s v="DISPOSIÇÃO DE REJEITOS LINHA DO CIRCUITO ULTRAFINO DISTRIBUIDOR DI-145A-9907 PARA A PENEIRA PN-145A-9711"/>
    <m/>
    <m/>
    <m/>
    <s v="1450AA-T-70472_FL21"/>
    <n v="1"/>
    <s v="PÇ"/>
    <n v="0.4"/>
    <n v="0.4"/>
    <n v="1169.77"/>
    <n v="467.90800000000002"/>
    <n v="0"/>
    <n v="0.9"/>
    <n v="0.1"/>
    <m/>
    <m/>
    <x v="0"/>
    <m/>
    <m/>
    <m/>
    <m/>
    <m/>
    <m/>
    <m/>
    <m/>
    <m/>
    <m/>
    <m/>
    <m/>
    <m/>
    <m/>
    <m/>
    <m/>
    <m/>
  </r>
  <r>
    <s v="2.4.3.1.1"/>
    <s v="CMS M.60.10.000"/>
    <x v="2"/>
    <n v="9"/>
    <s v="CURVA"/>
    <n v="6"/>
    <x v="1"/>
    <s v="NÃO"/>
    <s v="NÃO"/>
    <x v="69"/>
    <x v="3"/>
    <s v="DISPOSIÇÃO DE REJEITOS LINHA DO CIRCUITO ULTRAFINO DISTRIBUIDOR DI-145A-9907 PARA A PENEIRA PN-145A-9711"/>
    <m/>
    <m/>
    <m/>
    <s v="1450AA-T-70472_FL15"/>
    <n v="2"/>
    <s v="PÇ"/>
    <n v="0.46500000000000002"/>
    <n v="0.93"/>
    <n v="1169.77"/>
    <n v="1087.8860999999999"/>
    <n v="0"/>
    <n v="0.9"/>
    <n v="0.1"/>
    <m/>
    <m/>
    <x v="0"/>
    <m/>
    <m/>
    <m/>
    <m/>
    <m/>
    <m/>
    <m/>
    <m/>
    <m/>
    <m/>
    <m/>
    <m/>
    <m/>
    <m/>
    <m/>
    <m/>
    <m/>
  </r>
  <r>
    <s v="2.4.3.1.1"/>
    <s v="CMS M.60.10.000"/>
    <x v="2"/>
    <n v="10"/>
    <s v="CURVA"/>
    <n v="6"/>
    <x v="1"/>
    <s v="NÃO"/>
    <s v="NÃO"/>
    <x v="69"/>
    <x v="3"/>
    <s v="DISPOSIÇÃO DE REJEITOS LINHA DO CIRCUITO ULTRAFINO DISTRIBUIDOR DI-145A-9907 PARA A PENEIRA PN-145A-9711"/>
    <m/>
    <m/>
    <m/>
    <s v="1450AA-T-70472_FL14"/>
    <n v="1"/>
    <s v="PÇ"/>
    <n v="0.42"/>
    <n v="0.42"/>
    <n v="1169.77"/>
    <n v="491.30339999999995"/>
    <n v="0"/>
    <n v="0.9"/>
    <n v="0.1"/>
    <m/>
    <m/>
    <x v="0"/>
    <m/>
    <m/>
    <m/>
    <m/>
    <m/>
    <m/>
    <m/>
    <m/>
    <m/>
    <m/>
    <m/>
    <m/>
    <m/>
    <m/>
    <m/>
    <m/>
    <m/>
  </r>
  <r>
    <s v="2.4.3.1.1"/>
    <s v="CMS M.60.10.000"/>
    <x v="2"/>
    <n v="11"/>
    <s v="CURVA"/>
    <n v="6"/>
    <x v="1"/>
    <s v="NÃO"/>
    <s v="NÃO"/>
    <x v="69"/>
    <x v="3"/>
    <s v="DISPOSIÇÃO DE REJEITOS LINHA DO CIRCUITO ULTRAFINO DISTRIBUIDOR DI-145A-9907 PARA A PENEIRA PN-145A-9711"/>
    <m/>
    <m/>
    <m/>
    <s v="1450AA-T-70472_FL13"/>
    <n v="1"/>
    <s v="PÇ"/>
    <n v="0.42"/>
    <n v="0.42"/>
    <n v="1169.77"/>
    <n v="491.30339999999995"/>
    <n v="0"/>
    <n v="0.9"/>
    <n v="0.1"/>
    <m/>
    <m/>
    <x v="0"/>
    <m/>
    <m/>
    <m/>
    <m/>
    <m/>
    <m/>
    <m/>
    <m/>
    <m/>
    <m/>
    <m/>
    <m/>
    <m/>
    <m/>
    <m/>
    <m/>
    <m/>
  </r>
  <r>
    <s v="2.4.3.1.1"/>
    <s v="CMS M.60.10.000"/>
    <x v="2"/>
    <n v="12"/>
    <s v="CURVA"/>
    <n v="6"/>
    <x v="1"/>
    <s v="NÃO"/>
    <s v="NÃO"/>
    <x v="69"/>
    <x v="3"/>
    <s v="DISPOSIÇÃO DE REJEITOS LINHA DO CIRCUITO ULTRAFINO DISTRIBUIDOR DI-145A-9907 PARA A PENEIRA PN-145A-9711"/>
    <m/>
    <m/>
    <m/>
    <s v="1450AA-T-70472_FL12"/>
    <n v="1"/>
    <s v="PÇ"/>
    <n v="0.35"/>
    <n v="0.35"/>
    <n v="1169.77"/>
    <n v="409.41949999999997"/>
    <n v="0"/>
    <n v="0.9"/>
    <n v="0.1"/>
    <m/>
    <m/>
    <x v="0"/>
    <m/>
    <m/>
    <m/>
    <m/>
    <m/>
    <m/>
    <m/>
    <m/>
    <m/>
    <m/>
    <m/>
    <m/>
    <m/>
    <m/>
    <m/>
    <m/>
    <m/>
  </r>
  <r>
    <s v="2.4.3.1.1"/>
    <s v="CMS M.60.10.000"/>
    <x v="2"/>
    <n v="13"/>
    <s v="SPOOL"/>
    <n v="6"/>
    <x v="1"/>
    <s v="NÃO"/>
    <s v="NÃO"/>
    <x v="69"/>
    <x v="3"/>
    <s v="DISPOSIÇÃO DE REJEITOS LINHA DO CIRCUITO ULTRAFINO DISTRIBUIDOR DI-145A-9907 PARA A PENEIRA PN-145A-9711"/>
    <m/>
    <m/>
    <m/>
    <s v="1450AA-T-70472_FL11"/>
    <n v="1"/>
    <s v="PÇ"/>
    <n v="0.75"/>
    <n v="0.75"/>
    <n v="1169.77"/>
    <n v="877.32749999999999"/>
    <n v="0"/>
    <n v="0.9"/>
    <n v="0.1"/>
    <m/>
    <m/>
    <x v="0"/>
    <m/>
    <m/>
    <m/>
    <m/>
    <m/>
    <m/>
    <m/>
    <m/>
    <m/>
    <m/>
    <m/>
    <m/>
    <m/>
    <m/>
    <m/>
    <m/>
    <m/>
  </r>
  <r>
    <n v="0"/>
    <s v="CMS M.60.10.000"/>
    <x v="2"/>
    <n v="14"/>
    <s v="SPOOL"/>
    <s v="6 X 4"/>
    <x v="1"/>
    <s v="NÃO"/>
    <s v="NÃO"/>
    <x v="69"/>
    <x v="3"/>
    <s v="DISPOSIÇÃO DE REJEITOS LINHA DO CIRCUITO ULTRAFINO DISTRIBUIDOR DI-145A-9907 PARA A PENEIRA PN-145A-9711"/>
    <m/>
    <m/>
    <m/>
    <s v="1450AA-T-70472_FL09"/>
    <n v="1"/>
    <s v="PÇ"/>
    <n v="2.1349999999999998"/>
    <n v="2.1349999999999998"/>
    <n v="0"/>
    <n v="0"/>
    <n v="0"/>
    <n v="0.9"/>
    <n v="0.1"/>
    <m/>
    <m/>
    <x v="0"/>
    <m/>
    <m/>
    <m/>
    <m/>
    <m/>
    <m/>
    <m/>
    <m/>
    <m/>
    <m/>
    <m/>
    <m/>
    <m/>
    <m/>
    <m/>
    <m/>
    <m/>
  </r>
  <r>
    <n v="0"/>
    <s v="CMS M.60.10.000"/>
    <x v="2"/>
    <n v="15"/>
    <s v="FLANGE"/>
    <n v="4"/>
    <x v="1"/>
    <s v="NÃO"/>
    <s v="NÃO"/>
    <x v="69"/>
    <x v="3"/>
    <s v="DISPOSIÇÃO DE REJEITOS LINHA DO CIRCUITO ULTRAFINO DISTRIBUIDOR DI-145A-9907 PARA A PENEIRA PN-145A-9711"/>
    <m/>
    <m/>
    <m/>
    <s v="1450AA-T-70472_FL03"/>
    <n v="2"/>
    <s v="PÇ"/>
    <n v="0"/>
    <n v="0"/>
    <n v="0"/>
    <n v="0"/>
    <n v="0"/>
    <n v="0.9"/>
    <n v="0.1"/>
    <m/>
    <m/>
    <x v="0"/>
    <m/>
    <m/>
    <m/>
    <m/>
    <m/>
    <m/>
    <m/>
    <m/>
    <m/>
    <m/>
    <m/>
    <m/>
    <m/>
    <m/>
    <m/>
    <m/>
    <m/>
  </r>
  <r>
    <s v="2.4.3.1.1"/>
    <s v="CMS M.60.10.000"/>
    <x v="2"/>
    <n v="1"/>
    <s v="CURVA"/>
    <n v="6"/>
    <x v="1"/>
    <s v="NÃO"/>
    <s v="NÃO"/>
    <x v="70"/>
    <x v="3"/>
    <s v="DISPOSIÇÃO DE REJEITOS LINHA DO CIRCUITO ULTRAFINO DISTRIBUIDOR DI-145A-9907 PARA A PENEIRA PN-145A-9712"/>
    <m/>
    <m/>
    <m/>
    <s v="1450AA-T-70474_FL15"/>
    <n v="2"/>
    <s v="PÇ"/>
    <n v="0.46500000000000002"/>
    <n v="0.93"/>
    <n v="1169.77"/>
    <n v="1087.8860999999999"/>
    <n v="0"/>
    <n v="0.9"/>
    <n v="0.1"/>
    <m/>
    <m/>
    <x v="0"/>
    <m/>
    <m/>
    <m/>
    <m/>
    <m/>
    <m/>
    <m/>
    <m/>
    <m/>
    <m/>
    <m/>
    <m/>
    <m/>
    <m/>
    <m/>
    <m/>
    <m/>
  </r>
  <r>
    <s v="2.4.3.1.1"/>
    <s v="CMS M.60.10.000"/>
    <x v="2"/>
    <n v="2"/>
    <s v="SPOOL"/>
    <n v="6"/>
    <x v="1"/>
    <s v="NÃO"/>
    <s v="NÃO"/>
    <x v="70"/>
    <x v="3"/>
    <s v="DISPOSIÇÃO DE REJEITOS LINHA DO CIRCUITO ULTRAFINO DISTRIBUIDOR DI-145A-9907 PARA A PENEIRA PN-145A-9712"/>
    <m/>
    <m/>
    <m/>
    <s v="1450AA-T-70474_FL20"/>
    <n v="2"/>
    <s v="PÇ"/>
    <n v="2.8"/>
    <n v="5.6"/>
    <n v="1169.77"/>
    <n v="6550.7119999999995"/>
    <n v="0"/>
    <n v="0.9"/>
    <n v="0.1"/>
    <m/>
    <m/>
    <x v="0"/>
    <m/>
    <m/>
    <m/>
    <m/>
    <m/>
    <m/>
    <m/>
    <m/>
    <m/>
    <m/>
    <m/>
    <m/>
    <m/>
    <m/>
    <m/>
    <m/>
    <m/>
  </r>
  <r>
    <s v="2.4.3.1.1"/>
    <s v="CMS M.60.10.000"/>
    <x v="2"/>
    <n v="3"/>
    <s v="SPOOL"/>
    <n v="6"/>
    <x v="2"/>
    <s v="NÃO"/>
    <s v="NÃO"/>
    <x v="70"/>
    <x v="3"/>
    <s v="DISPOSIÇÃO DE REJEITOS LINHA DO CIRCUITO ULTRAFINO DISTRIBUIDOR DI-145A-9907 PARA A PENEIRA PN-145A-9712"/>
    <m/>
    <m/>
    <m/>
    <s v="1450AA-T-70474_FL24"/>
    <n v="1"/>
    <s v="PÇ"/>
    <n v="0.85"/>
    <n v="0.85"/>
    <n v="1169.77"/>
    <n v="994.30449999999996"/>
    <n v="0"/>
    <n v="0.9"/>
    <n v="0.1"/>
    <m/>
    <m/>
    <x v="0"/>
    <m/>
    <m/>
    <m/>
    <m/>
    <m/>
    <m/>
    <m/>
    <m/>
    <m/>
    <m/>
    <m/>
    <m/>
    <m/>
    <m/>
    <m/>
    <m/>
    <m/>
  </r>
  <r>
    <s v="2.4.3.1.1"/>
    <s v="CMS M.60.10.000"/>
    <x v="2"/>
    <n v="4"/>
    <s v="SPOOL"/>
    <n v="6"/>
    <x v="1"/>
    <s v="NÃO"/>
    <s v="NÃO"/>
    <x v="70"/>
    <x v="3"/>
    <s v="DISPOSIÇÃO DE REJEITOS LINHA DO CIRCUITO ULTRAFINO DISTRIBUIDOR DI-145A-9907 PARA A PENEIRA PN-145A-9712"/>
    <m/>
    <m/>
    <m/>
    <s v="1450AA-T-70474_FL12"/>
    <n v="1"/>
    <s v="PÇ"/>
    <n v="0.35"/>
    <n v="0.35"/>
    <n v="1169.77"/>
    <n v="409.41949999999997"/>
    <n v="0"/>
    <n v="0.9"/>
    <n v="0.1"/>
    <m/>
    <m/>
    <x v="0"/>
    <m/>
    <m/>
    <m/>
    <m/>
    <m/>
    <m/>
    <m/>
    <m/>
    <m/>
    <m/>
    <m/>
    <m/>
    <m/>
    <m/>
    <m/>
    <m/>
    <m/>
  </r>
  <r>
    <s v="2.4.3.1.1"/>
    <s v="CMS M.60.10.000"/>
    <x v="2"/>
    <n v="5"/>
    <s v="SPOOL"/>
    <n v="6"/>
    <x v="1"/>
    <s v="NÃO"/>
    <s v="NÃO"/>
    <x v="70"/>
    <x v="3"/>
    <s v="DISPOSIÇÃO DE REJEITOS LINHA DO CIRCUITO ULTRAFINO DISTRIBUIDOR DI-145A-9907 PARA A PENEIRA PN-145A-9712"/>
    <m/>
    <m/>
    <m/>
    <s v="1450AA-T-70474_FL16"/>
    <n v="1"/>
    <s v="PÇ"/>
    <n v="1.2"/>
    <n v="1.2"/>
    <n v="1169.77"/>
    <n v="1403.7239999999999"/>
    <n v="0"/>
    <n v="0.9"/>
    <n v="0.1"/>
    <m/>
    <m/>
    <x v="0"/>
    <m/>
    <m/>
    <m/>
    <m/>
    <m/>
    <m/>
    <m/>
    <m/>
    <m/>
    <m/>
    <m/>
    <m/>
    <m/>
    <m/>
    <m/>
    <m/>
    <m/>
  </r>
  <r>
    <s v="2.4.3.1.1"/>
    <s v="CMS M.60.10.000"/>
    <x v="2"/>
    <n v="6"/>
    <s v="SPOOL"/>
    <n v="6"/>
    <x v="2"/>
    <s v="NÃO"/>
    <s v="NÃO"/>
    <x v="70"/>
    <x v="3"/>
    <s v="DISPOSIÇÃO DE REJEITOS LINHA DO CIRCUITO ULTRAFINO DISTRIBUIDOR DI-145A-9907 PARA A PENEIRA PN-145A-9712"/>
    <m/>
    <m/>
    <m/>
    <s v="1450AA-T-70474_FL22"/>
    <n v="2"/>
    <s v="PÇ"/>
    <n v="0.6"/>
    <n v="1.2"/>
    <n v="1169.77"/>
    <n v="1403.7239999999999"/>
    <n v="0"/>
    <n v="0.9"/>
    <n v="0.1"/>
    <m/>
    <m/>
    <x v="0"/>
    <m/>
    <m/>
    <m/>
    <m/>
    <m/>
    <m/>
    <m/>
    <m/>
    <m/>
    <m/>
    <m/>
    <m/>
    <m/>
    <m/>
    <m/>
    <m/>
    <m/>
  </r>
  <r>
    <s v="2.4.3.1.1"/>
    <s v="CMS M.60.10.000"/>
    <x v="2"/>
    <n v="7"/>
    <s v="SPOOL"/>
    <n v="6"/>
    <x v="1"/>
    <s v="NÃO"/>
    <s v="NÃO"/>
    <x v="70"/>
    <x v="3"/>
    <s v="DISPOSIÇÃO DE REJEITOS LINHA DO CIRCUITO ULTRAFINO DISTRIBUIDOR DI-145A-9907 PARA A PENEIRA PN-145A-9712"/>
    <m/>
    <m/>
    <m/>
    <s v="1450AA-T-70474_FL19"/>
    <n v="1"/>
    <s v="PÇ"/>
    <n v="2.5"/>
    <n v="2.5"/>
    <n v="1169.77"/>
    <n v="2924.4250000000002"/>
    <n v="0"/>
    <n v="0.9"/>
    <n v="0.1"/>
    <m/>
    <m/>
    <x v="0"/>
    <m/>
    <m/>
    <m/>
    <m/>
    <m/>
    <m/>
    <m/>
    <m/>
    <m/>
    <m/>
    <m/>
    <m/>
    <m/>
    <m/>
    <m/>
    <m/>
    <m/>
  </r>
  <r>
    <s v="2.4.3.1.1"/>
    <s v="CMS M.60.10.000"/>
    <x v="2"/>
    <n v="8"/>
    <s v="SPOOL"/>
    <n v="6"/>
    <x v="1"/>
    <s v="NÃO"/>
    <s v="NÃO"/>
    <x v="70"/>
    <x v="3"/>
    <s v="DISPOSIÇÃO DE REJEITOS LINHA DO CIRCUITO ULTRAFINO DISTRIBUIDOR DI-145A-9907 PARA A PENEIRA PN-145A-9712"/>
    <m/>
    <m/>
    <m/>
    <s v="1450AA-T-70474_FL18"/>
    <n v="1"/>
    <s v="PÇ"/>
    <n v="2"/>
    <n v="2"/>
    <n v="1169.77"/>
    <n v="2339.54"/>
    <n v="0"/>
    <n v="0.9"/>
    <n v="0.1"/>
    <m/>
    <m/>
    <x v="0"/>
    <m/>
    <m/>
    <m/>
    <m/>
    <m/>
    <m/>
    <m/>
    <m/>
    <m/>
    <m/>
    <m/>
    <m/>
    <m/>
    <m/>
    <m/>
    <m/>
    <m/>
  </r>
  <r>
    <s v="2.4.3.1.1"/>
    <s v="CMS M.60.10.000"/>
    <x v="2"/>
    <n v="9"/>
    <s v="SPOOL"/>
    <n v="6"/>
    <x v="2"/>
    <s v="NÃO"/>
    <s v="NÃO"/>
    <x v="70"/>
    <x v="3"/>
    <s v="DISPOSIÇÃO DE REJEITOS LINHA DO CIRCUITO ULTRAFINO DISTRIBUIDOR DI-145A-9907 PARA A PENEIRA PN-145A-9712"/>
    <m/>
    <m/>
    <m/>
    <s v="1450AA-T-70474_FL23"/>
    <n v="1"/>
    <s v="PÇ"/>
    <n v="0.7"/>
    <n v="0.7"/>
    <n v="1169.77"/>
    <n v="818.83899999999994"/>
    <n v="0"/>
    <n v="0.9"/>
    <n v="0.1"/>
    <m/>
    <m/>
    <x v="0"/>
    <m/>
    <m/>
    <m/>
    <m/>
    <m/>
    <m/>
    <m/>
    <m/>
    <m/>
    <m/>
    <m/>
    <m/>
    <m/>
    <m/>
    <m/>
    <m/>
    <m/>
  </r>
  <r>
    <s v="2.4.3.1.1"/>
    <s v="CMS M.60.10.000"/>
    <x v="2"/>
    <n v="10"/>
    <s v="CURVA"/>
    <n v="6"/>
    <x v="1"/>
    <s v="NÃO"/>
    <s v="NÃO"/>
    <x v="70"/>
    <x v="3"/>
    <s v="DISPOSIÇÃO DE REJEITOS LINHA DO CIRCUITO ULTRAFINO DISTRIBUIDOR DI-145A-9907 PARA A PENEIRA PN-145A-9712"/>
    <m/>
    <m/>
    <m/>
    <s v="1450AA-T-70474_FL14"/>
    <n v="1"/>
    <s v="PÇ"/>
    <n v="0.42"/>
    <n v="0.42"/>
    <n v="1169.77"/>
    <n v="491.30339999999995"/>
    <n v="0"/>
    <n v="0.9"/>
    <n v="0.1"/>
    <m/>
    <m/>
    <x v="0"/>
    <m/>
    <m/>
    <m/>
    <m/>
    <m/>
    <m/>
    <m/>
    <m/>
    <m/>
    <m/>
    <m/>
    <m/>
    <m/>
    <m/>
    <m/>
    <m/>
    <m/>
  </r>
  <r>
    <s v="2.4.3.1.1"/>
    <s v="CMS M.60.10.000"/>
    <x v="2"/>
    <n v="11"/>
    <s v="SPOOL"/>
    <n v="6"/>
    <x v="1"/>
    <s v="NÃO"/>
    <s v="NÃO"/>
    <x v="70"/>
    <x v="3"/>
    <s v="DISPOSIÇÃO DE REJEITOS LINHA DO CIRCUITO ULTRAFINO DISTRIBUIDOR DI-145A-9907 PARA A PENEIRA PN-145A-9712"/>
    <m/>
    <m/>
    <m/>
    <s v="1450AA-T-70474_FL17"/>
    <n v="2"/>
    <s v="PÇ"/>
    <n v="1.5"/>
    <n v="3"/>
    <n v="1169.77"/>
    <n v="3509.31"/>
    <n v="0"/>
    <n v="0.9"/>
    <n v="0.1"/>
    <m/>
    <m/>
    <x v="0"/>
    <m/>
    <m/>
    <m/>
    <m/>
    <m/>
    <m/>
    <m/>
    <m/>
    <m/>
    <m/>
    <m/>
    <m/>
    <m/>
    <m/>
    <m/>
    <m/>
    <m/>
  </r>
  <r>
    <s v="2.4.3.1.1"/>
    <s v="CMS M.60.10.000"/>
    <x v="2"/>
    <n v="12"/>
    <s v="CURVA"/>
    <n v="6"/>
    <x v="1"/>
    <s v="NÃO"/>
    <s v="NÃO"/>
    <x v="70"/>
    <x v="3"/>
    <s v="DISPOSIÇÃO DE REJEITOS LINHA DO CIRCUITO ULTRAFINO DISTRIBUIDOR DI-145A-9907 PARA A PENEIRA PN-145A-9712"/>
    <m/>
    <m/>
    <m/>
    <s v="1450AA-T-70474_FL13"/>
    <n v="1"/>
    <s v="PÇ"/>
    <n v="0.42"/>
    <n v="0.42"/>
    <n v="1169.77"/>
    <n v="491.30339999999995"/>
    <n v="0"/>
    <n v="0.9"/>
    <n v="0.1"/>
    <m/>
    <m/>
    <x v="0"/>
    <m/>
    <m/>
    <m/>
    <m/>
    <m/>
    <m/>
    <m/>
    <m/>
    <m/>
    <m/>
    <m/>
    <m/>
    <m/>
    <m/>
    <m/>
    <m/>
    <m/>
  </r>
  <r>
    <s v="2.4.3.1.1"/>
    <s v="CMS M.60.10.000"/>
    <x v="2"/>
    <n v="13"/>
    <s v="SPOOL"/>
    <n v="6"/>
    <x v="2"/>
    <s v="NÃO"/>
    <s v="NÃO"/>
    <x v="70"/>
    <x v="3"/>
    <s v="DISPOSIÇÃO DE REJEITOS LINHA DO CIRCUITO ULTRAFINO DISTRIBUIDOR DI-145A-9907 PARA A PENEIRA PN-145A-9712"/>
    <m/>
    <m/>
    <m/>
    <s v="1450AA-T-70474_FL21"/>
    <n v="1"/>
    <s v="PÇ"/>
    <n v="0.4"/>
    <n v="0.4"/>
    <n v="1169.77"/>
    <n v="467.90800000000002"/>
    <n v="0"/>
    <n v="0.9"/>
    <n v="0.1"/>
    <m/>
    <m/>
    <x v="0"/>
    <m/>
    <m/>
    <m/>
    <m/>
    <m/>
    <m/>
    <m/>
    <m/>
    <m/>
    <m/>
    <m/>
    <m/>
    <m/>
    <m/>
    <m/>
    <m/>
    <m/>
  </r>
  <r>
    <s v="2.4.3.1.1"/>
    <s v="CMS M.60.10.000"/>
    <x v="2"/>
    <n v="14"/>
    <s v="SPOOL"/>
    <n v="6"/>
    <x v="1"/>
    <s v="NÃO"/>
    <s v="NÃO"/>
    <x v="70"/>
    <x v="3"/>
    <s v="DISPOSIÇÃO DE REJEITOS LINHA DO CIRCUITO ULTRAFINO DISTRIBUIDOR DI-145A-9907 PARA A PENEIRA PN-145A-9712"/>
    <m/>
    <m/>
    <m/>
    <s v="1450AA-T-70474_FL11"/>
    <n v="1"/>
    <s v="PÇ"/>
    <n v="0.75"/>
    <n v="0.75"/>
    <n v="1169.77"/>
    <n v="877.32749999999999"/>
    <n v="0"/>
    <n v="0.9"/>
    <n v="0.1"/>
    <m/>
    <m/>
    <x v="0"/>
    <m/>
    <m/>
    <m/>
    <m/>
    <m/>
    <m/>
    <m/>
    <m/>
    <m/>
    <m/>
    <m/>
    <m/>
    <m/>
    <m/>
    <m/>
    <m/>
    <m/>
  </r>
  <r>
    <n v="0"/>
    <s v="CMS M.60.10.000"/>
    <x v="2"/>
    <n v="15"/>
    <s v="SPOOL"/>
    <s v="6 X 4"/>
    <x v="1"/>
    <s v="NÃO"/>
    <s v="NÃO"/>
    <x v="70"/>
    <x v="3"/>
    <s v="DISPOSIÇÃO DE REJEITOS LINHA DO CIRCUITO ULTRAFINO DISTRIBUIDOR DI-145A-9907 PARA A PENEIRA PN-145A-9712"/>
    <m/>
    <m/>
    <m/>
    <s v="1450AA-T-70474_FL09"/>
    <n v="1"/>
    <s v="PÇ"/>
    <n v="2.1349999999999998"/>
    <n v="2.1349999999999998"/>
    <n v="0"/>
    <n v="0"/>
    <n v="0"/>
    <n v="0.9"/>
    <n v="0.1"/>
    <m/>
    <m/>
    <x v="0"/>
    <m/>
    <m/>
    <m/>
    <m/>
    <m/>
    <m/>
    <m/>
    <m/>
    <m/>
    <m/>
    <m/>
    <m/>
    <m/>
    <m/>
    <m/>
    <m/>
    <m/>
  </r>
  <r>
    <n v="0"/>
    <s v="CMS M.60.10.000"/>
    <x v="2"/>
    <n v="16"/>
    <s v="FLANGE"/>
    <n v="4"/>
    <x v="1"/>
    <s v="NÃO"/>
    <s v="NÃO"/>
    <x v="70"/>
    <x v="3"/>
    <s v="DISPOSIÇÃO DE REJEITOS LINHA DO CIRCUITO ULTRAFINO DISTRIBUIDOR DI-145A-9907 PARA A PENEIRA PN-145A-9712"/>
    <m/>
    <m/>
    <m/>
    <s v="1450AA-T-70474_FL03"/>
    <n v="2"/>
    <s v="PÇ"/>
    <n v="0"/>
    <n v="0"/>
    <n v="0"/>
    <n v="0"/>
    <n v="0"/>
    <n v="0.9"/>
    <n v="0.1"/>
    <m/>
    <m/>
    <x v="0"/>
    <m/>
    <m/>
    <m/>
    <m/>
    <m/>
    <m/>
    <m/>
    <m/>
    <m/>
    <m/>
    <m/>
    <m/>
    <m/>
    <m/>
    <m/>
    <m/>
    <m/>
  </r>
  <r>
    <s v="2.4.3.1.5"/>
    <s v="CMS M.60.10.000"/>
    <x v="2"/>
    <n v="1"/>
    <s v="SPOOL"/>
    <n v="14"/>
    <x v="2"/>
    <s v="NÃO"/>
    <s v="NÃO"/>
    <x v="71"/>
    <x v="3"/>
    <s v="DISPOSIÇÃO DE REJEITOS LINHA DO CIRCUITO ULTRAFINO DISTRIBUIDOR DI-145A-9903 PARA DISTRIBUIDOR DI-145A-9904"/>
    <m/>
    <m/>
    <m/>
    <s v="1450AA-T-70482_FL15"/>
    <n v="1"/>
    <s v="PÇ"/>
    <n v="0.64"/>
    <n v="0.64"/>
    <n v="2725.4"/>
    <n v="1744.2560000000001"/>
    <n v="0"/>
    <n v="0.9"/>
    <n v="0.1"/>
    <m/>
    <m/>
    <x v="0"/>
    <m/>
    <m/>
    <m/>
    <m/>
    <m/>
    <m/>
    <m/>
    <m/>
    <m/>
    <m/>
    <m/>
    <m/>
    <m/>
    <m/>
    <m/>
    <m/>
    <m/>
  </r>
  <r>
    <s v="2.4.3.1.5"/>
    <s v="CMS M.60.10.000"/>
    <x v="2"/>
    <n v="2"/>
    <s v="CURVA"/>
    <n v="14"/>
    <x v="1"/>
    <s v="NÃO"/>
    <s v="NÃO"/>
    <x v="71"/>
    <x v="3"/>
    <s v="DISPOSIÇÃO DE REJEITOS LINHA DO CIRCUITO ULTRAFINO DISTRIBUIDOR DI-145A-9903 PARA DISTRIBUIDOR DI-145A-9904"/>
    <m/>
    <m/>
    <m/>
    <s v="1450AA-T-70482_FL21"/>
    <n v="1"/>
    <s v="PÇ"/>
    <n v="0.94499999999999995"/>
    <n v="0.94499999999999995"/>
    <n v="2725.4"/>
    <n v="2575.5030000000002"/>
    <n v="0"/>
    <n v="0.9"/>
    <n v="0.1"/>
    <m/>
    <m/>
    <x v="0"/>
    <m/>
    <m/>
    <m/>
    <m/>
    <m/>
    <m/>
    <m/>
    <m/>
    <m/>
    <m/>
    <m/>
    <m/>
    <m/>
    <m/>
    <m/>
    <m/>
    <m/>
  </r>
  <r>
    <s v="2.4.3.1.3"/>
    <s v="CMS M.60.10.000"/>
    <x v="2"/>
    <n v="3"/>
    <s v="REDUÇÃO"/>
    <s v="14 X 10"/>
    <x v="1"/>
    <s v="NÃO"/>
    <s v="NÃO"/>
    <x v="71"/>
    <x v="3"/>
    <s v="DISPOSIÇÃO DE REJEITOS LINHA DO CIRCUITO ULTRAFINO DISTRIBUIDOR DI-145A-9903 PARA DISTRIBUIDOR DI-145A-9904"/>
    <m/>
    <m/>
    <m/>
    <s v="1450AA-T-70482_FL22"/>
    <n v="1"/>
    <s v="PÇ"/>
    <n v="0.63"/>
    <n v="0.63"/>
    <n v="2238.89"/>
    <n v="1410.5006999999998"/>
    <n v="0"/>
    <n v="0.9"/>
    <n v="0.1"/>
    <m/>
    <m/>
    <x v="0"/>
    <m/>
    <m/>
    <m/>
    <m/>
    <m/>
    <m/>
    <m/>
    <m/>
    <m/>
    <m/>
    <m/>
    <m/>
    <m/>
    <m/>
    <m/>
    <m/>
    <m/>
  </r>
  <r>
    <s v="2.4.3.1.3"/>
    <s v="CMS M.60.10.000"/>
    <x v="2"/>
    <n v="4"/>
    <s v="CURVA"/>
    <n v="10"/>
    <x v="1"/>
    <s v="NÃO"/>
    <s v="NÃO"/>
    <x v="71"/>
    <x v="3"/>
    <s v="DISPOSIÇÃO DE REJEITOS LINHA DO CIRCUITO ULTRAFINO DISTRIBUIDOR DI-145A-9903 PARA DISTRIBUIDOR DI-145A-9904"/>
    <m/>
    <m/>
    <m/>
    <s v="1450AA-T-70482_FL20"/>
    <n v="1"/>
    <s v="PÇ"/>
    <n v="0.77"/>
    <n v="0.77"/>
    <n v="2238.89"/>
    <n v="1723.9452999999999"/>
    <n v="0"/>
    <n v="0.9"/>
    <n v="0.1"/>
    <m/>
    <m/>
    <x v="0"/>
    <m/>
    <m/>
    <m/>
    <m/>
    <m/>
    <m/>
    <m/>
    <m/>
    <m/>
    <m/>
    <m/>
    <m/>
    <m/>
    <m/>
    <m/>
    <m/>
    <m/>
  </r>
  <r>
    <s v="2.4.3.1.3"/>
    <s v="CMS M.60.10.000"/>
    <x v="2"/>
    <n v="5"/>
    <s v="CURVA"/>
    <n v="10"/>
    <x v="1"/>
    <s v="NÃO"/>
    <s v="NÃO"/>
    <x v="71"/>
    <x v="3"/>
    <s v="DISPOSIÇÃO DE REJEITOS LINHA DO CIRCUITO ULTRAFINO DISTRIBUIDOR DI-145A-9903 PARA DISTRIBUIDOR DI-145A-9904"/>
    <m/>
    <m/>
    <m/>
    <s v="1450AA-T-70482_FL19"/>
    <n v="1"/>
    <s v="PÇ"/>
    <n v="1.35"/>
    <n v="1.35"/>
    <n v="2238.89"/>
    <n v="3022.5014999999999"/>
    <n v="0"/>
    <n v="0.9"/>
    <n v="0.1"/>
    <m/>
    <m/>
    <x v="0"/>
    <m/>
    <m/>
    <m/>
    <m/>
    <m/>
    <m/>
    <m/>
    <m/>
    <m/>
    <m/>
    <m/>
    <m/>
    <m/>
    <m/>
    <m/>
    <m/>
    <m/>
  </r>
  <r>
    <s v="2.4.3.1.3"/>
    <s v="CMS M.60.10.000"/>
    <x v="2"/>
    <n v="6"/>
    <s v="SPOOL"/>
    <n v="10"/>
    <x v="1"/>
    <s v="NÃO"/>
    <s v="NÃO"/>
    <x v="71"/>
    <x v="3"/>
    <s v="DISPOSIÇÃO DE REJEITOS LINHA DO CIRCUITO ULTRAFINO DISTRIBUIDOR DI-145A-9903 PARA DISTRIBUIDOR DI-145A-9904"/>
    <m/>
    <m/>
    <m/>
    <s v="1450AA-T-70482_FL10"/>
    <n v="1"/>
    <s v="PÇ"/>
    <n v="5"/>
    <n v="5"/>
    <n v="2238.89"/>
    <n v="11194.449999999999"/>
    <n v="0"/>
    <n v="0.9"/>
    <n v="0.1"/>
    <m/>
    <m/>
    <x v="0"/>
    <m/>
    <m/>
    <m/>
    <m/>
    <m/>
    <m/>
    <m/>
    <m/>
    <m/>
    <m/>
    <m/>
    <m/>
    <m/>
    <m/>
    <m/>
    <m/>
    <m/>
  </r>
  <r>
    <s v="2.4.3.1.5"/>
    <s v="CMS M.60.10.000"/>
    <x v="2"/>
    <n v="7"/>
    <s v="SPOOL"/>
    <n v="14"/>
    <x v="2"/>
    <s v="NÃO"/>
    <s v="NÃO"/>
    <x v="71"/>
    <x v="3"/>
    <s v="DISPOSIÇÃO DE REJEITOS LINHA DO CIRCUITO ULTRAFINO DISTRIBUIDOR DI-145A-9903 PARA DISTRIBUIDOR DI-145A-9904"/>
    <m/>
    <m/>
    <m/>
    <s v="1450AA-T-70482_FL12"/>
    <n v="1"/>
    <s v="PÇ"/>
    <n v="0.43"/>
    <n v="0.43"/>
    <n v="2725.4"/>
    <n v="1171.922"/>
    <n v="0"/>
    <n v="0.9"/>
    <n v="0.1"/>
    <m/>
    <m/>
    <x v="0"/>
    <m/>
    <m/>
    <m/>
    <m/>
    <m/>
    <m/>
    <m/>
    <m/>
    <m/>
    <m/>
    <m/>
    <m/>
    <m/>
    <m/>
    <m/>
    <m/>
    <m/>
  </r>
  <r>
    <s v="2.4.3.1.3"/>
    <s v="CMS M.60.10.000"/>
    <x v="2"/>
    <n v="8"/>
    <s v="CURVA"/>
    <n v="10"/>
    <x v="1"/>
    <s v="NÃO"/>
    <s v="NÃO"/>
    <x v="71"/>
    <x v="3"/>
    <s v="DISPOSIÇÃO DE REJEITOS LINHA DO CIRCUITO ULTRAFINO DISTRIBUIDOR DI-145A-9903 PARA DISTRIBUIDOR DI-145A-9904"/>
    <m/>
    <m/>
    <m/>
    <s v="1450AA-T-70482_FL17"/>
    <n v="1"/>
    <s v="PÇ"/>
    <n v="0.8"/>
    <n v="0.8"/>
    <n v="2238.89"/>
    <n v="1791.1120000000001"/>
    <n v="0"/>
    <n v="0.9"/>
    <n v="0.1"/>
    <m/>
    <m/>
    <x v="0"/>
    <m/>
    <m/>
    <m/>
    <m/>
    <m/>
    <m/>
    <m/>
    <m/>
    <m/>
    <m/>
    <m/>
    <m/>
    <m/>
    <m/>
    <m/>
    <m/>
    <m/>
  </r>
  <r>
    <s v="2.4.3.1.3"/>
    <s v="CMS M.60.10.000"/>
    <x v="2"/>
    <n v="9"/>
    <s v="SPOOL"/>
    <n v="10"/>
    <x v="2"/>
    <s v="NÃO"/>
    <s v="NÃO"/>
    <x v="71"/>
    <x v="3"/>
    <s v="DISPOSIÇÃO DE REJEITOS LINHA DO CIRCUITO ULTRAFINO DISTRIBUIDOR DI-145A-9903 PARA DISTRIBUIDOR DI-145A-9904"/>
    <m/>
    <m/>
    <m/>
    <s v="1450AA-T-70482_FL14"/>
    <n v="1"/>
    <s v="PÇ"/>
    <n v="1.37"/>
    <n v="1.37"/>
    <n v="2238.89"/>
    <n v="3067.2793000000001"/>
    <n v="0"/>
    <n v="0.9"/>
    <n v="0.1"/>
    <m/>
    <m/>
    <x v="0"/>
    <m/>
    <m/>
    <m/>
    <m/>
    <m/>
    <m/>
    <m/>
    <m/>
    <m/>
    <m/>
    <m/>
    <m/>
    <m/>
    <m/>
    <m/>
    <m/>
    <m/>
  </r>
  <r>
    <s v="2.4.3.1.3"/>
    <s v="CMS M.60.10.000"/>
    <x v="2"/>
    <n v="10"/>
    <s v="CURVA"/>
    <n v="10"/>
    <x v="1"/>
    <s v="NÃO"/>
    <s v="NÃO"/>
    <x v="71"/>
    <x v="3"/>
    <s v="DISPOSIÇÃO DE REJEITOS LINHA DO CIRCUITO ULTRAFINO DISTRIBUIDOR DI-145A-9903 PARA DISTRIBUIDOR DI-145A-9904"/>
    <m/>
    <m/>
    <m/>
    <s v="1450AA-T-70482_FL16"/>
    <n v="1"/>
    <s v="PÇ"/>
    <n v="0.69799999999999995"/>
    <n v="0.69799999999999995"/>
    <n v="2238.89"/>
    <n v="1562.7452199999998"/>
    <n v="0"/>
    <n v="0.9"/>
    <n v="0.1"/>
    <m/>
    <m/>
    <x v="0"/>
    <m/>
    <m/>
    <m/>
    <m/>
    <m/>
    <m/>
    <m/>
    <m/>
    <m/>
    <m/>
    <m/>
    <m/>
    <m/>
    <m/>
    <m/>
    <m/>
    <m/>
  </r>
  <r>
    <s v="2.4.3.1.3"/>
    <s v="CMS M.60.10.000"/>
    <x v="2"/>
    <n v="11"/>
    <s v="SPOOL"/>
    <n v="10"/>
    <x v="1"/>
    <s v="NÃO"/>
    <s v="NÃO"/>
    <x v="71"/>
    <x v="3"/>
    <s v="DISPOSIÇÃO DE REJEITOS LINHA DO CIRCUITO ULTRAFINO DISTRIBUIDOR DI-145A-9903 PARA DISTRIBUIDOR DI-145A-9904"/>
    <m/>
    <m/>
    <m/>
    <s v="1450AA-T-70482_FL11"/>
    <n v="2"/>
    <s v="PÇ"/>
    <n v="6"/>
    <n v="12"/>
    <n v="2238.89"/>
    <n v="26866.68"/>
    <n v="0"/>
    <n v="0.9"/>
    <n v="0.1"/>
    <m/>
    <m/>
    <x v="0"/>
    <m/>
    <m/>
    <m/>
    <m/>
    <m/>
    <m/>
    <m/>
    <m/>
    <m/>
    <m/>
    <m/>
    <m/>
    <m/>
    <m/>
    <m/>
    <m/>
    <m/>
  </r>
  <r>
    <s v="2.4.3.1.3"/>
    <s v="CMS M.60.10.000"/>
    <x v="2"/>
    <n v="12"/>
    <s v="SPOOL"/>
    <n v="10"/>
    <x v="1"/>
    <s v="NÃO"/>
    <s v="NÃO"/>
    <x v="71"/>
    <x v="3"/>
    <s v="DISPOSIÇÃO DE REJEITOS LINHA DO CIRCUITO ULTRAFINO DISTRIBUIDOR DI-145A-9903 PARA DISTRIBUIDOR DI-145A-9904"/>
    <m/>
    <m/>
    <m/>
    <s v="1450AA-T-70482_FL09"/>
    <n v="1"/>
    <s v="PÇ"/>
    <n v="1.5"/>
    <n v="1.5"/>
    <n v="2238.89"/>
    <n v="3358.335"/>
    <n v="0"/>
    <n v="0.9"/>
    <n v="0.1"/>
    <m/>
    <m/>
    <x v="0"/>
    <m/>
    <m/>
    <m/>
    <m/>
    <m/>
    <m/>
    <m/>
    <m/>
    <m/>
    <m/>
    <m/>
    <m/>
    <m/>
    <m/>
    <m/>
    <m/>
    <m/>
  </r>
  <r>
    <s v="2.4.3.1.5"/>
    <s v="CMS M.60.10.000"/>
    <x v="2"/>
    <n v="13"/>
    <s v="SPOOL"/>
    <n v="14"/>
    <x v="2"/>
    <s v="NÃO"/>
    <s v="NÃO"/>
    <x v="71"/>
    <x v="3"/>
    <s v="DISPOSIÇÃO DE REJEITOS LINHA DO CIRCUITO ULTRAFINO DISTRIBUIDOR DI-145A-9903 PARA DISTRIBUIDOR DI-145A-9904"/>
    <m/>
    <m/>
    <m/>
    <s v="1450AA-T-70482_FL13"/>
    <n v="1"/>
    <s v="PÇ"/>
    <n v="0.9"/>
    <n v="0.9"/>
    <n v="2725.4"/>
    <n v="2452.86"/>
    <n v="0"/>
    <n v="0.9"/>
    <n v="0.1"/>
    <m/>
    <m/>
    <x v="0"/>
    <m/>
    <m/>
    <m/>
    <m/>
    <m/>
    <m/>
    <m/>
    <m/>
    <m/>
    <m/>
    <m/>
    <m/>
    <m/>
    <m/>
    <m/>
    <m/>
    <m/>
  </r>
  <r>
    <s v="2.4.3.1.3"/>
    <s v="CMS M.60.10.000"/>
    <x v="2"/>
    <n v="14"/>
    <s v="CURVA"/>
    <n v="10"/>
    <x v="1"/>
    <s v="NÃO"/>
    <s v="NÃO"/>
    <x v="71"/>
    <x v="3"/>
    <s v="DISPOSIÇÃO DE REJEITOS LINHA DO CIRCUITO ULTRAFINO DISTRIBUIDOR DI-145A-9903 PARA DISTRIBUIDOR DI-145A-9904"/>
    <m/>
    <m/>
    <m/>
    <s v="1450AA-T-70482_FL18"/>
    <n v="1"/>
    <s v="PÇ"/>
    <n v="0.93600000000000005"/>
    <n v="0.93600000000000005"/>
    <n v="2238.89"/>
    <n v="2095.60104"/>
    <n v="0"/>
    <n v="0.9"/>
    <n v="0.1"/>
    <m/>
    <m/>
    <x v="0"/>
    <m/>
    <m/>
    <m/>
    <m/>
    <m/>
    <m/>
    <m/>
    <m/>
    <m/>
    <m/>
    <m/>
    <m/>
    <m/>
    <m/>
    <m/>
    <m/>
    <m/>
  </r>
  <r>
    <s v="2.4.3.1.3"/>
    <s v="CMS M.60.10.000"/>
    <x v="2"/>
    <n v="15"/>
    <s v="SPOOL"/>
    <n v="10"/>
    <x v="1"/>
    <s v="NÃO"/>
    <s v="NÃO"/>
    <x v="71"/>
    <x v="3"/>
    <s v="DISPOSIÇÃO DE REJEITOS LINHA DO CIRCUITO ULTRAFINO DISTRIBUIDOR DI-145A-9903 PARA DISTRIBUIDOR DI-145A-9904"/>
    <m/>
    <m/>
    <m/>
    <s v="1450AA-T-70482_FL23"/>
    <n v="1"/>
    <s v="PÇ"/>
    <n v="1.5"/>
    <n v="1.5"/>
    <n v="2238.89"/>
    <n v="3358.335"/>
    <n v="0"/>
    <n v="0.9"/>
    <n v="0.1"/>
    <m/>
    <m/>
    <x v="0"/>
    <m/>
    <m/>
    <m/>
    <m/>
    <m/>
    <m/>
    <m/>
    <m/>
    <m/>
    <m/>
    <m/>
    <m/>
    <m/>
    <m/>
    <m/>
    <m/>
    <m/>
  </r>
  <r>
    <s v="2.4.3.1.5"/>
    <s v="CMS M.60.10.000"/>
    <x v="2"/>
    <n v="1"/>
    <s v="CURVA"/>
    <n v="14"/>
    <x v="1"/>
    <s v="NÃO"/>
    <s v="NÃO"/>
    <x v="72"/>
    <x v="3"/>
    <s v="DISPOSIÇÃO DE REJEITOS LINHA DO CIRCUITO ULTRAFINO DISTRIBUIDOR DI-145A-9903 PARA DISTRIBUIDOR DI-145A-9905"/>
    <m/>
    <m/>
    <m/>
    <s v="1450AA-T-70484_FL14"/>
    <n v="1"/>
    <s v="PÇ"/>
    <n v="0.94499999999999995"/>
    <n v="0.94499999999999995"/>
    <n v="2725.4"/>
    <n v="2575.5030000000002"/>
    <n v="0"/>
    <n v="0.9"/>
    <n v="0.1"/>
    <m/>
    <m/>
    <x v="0"/>
    <m/>
    <m/>
    <m/>
    <m/>
    <m/>
    <m/>
    <m/>
    <m/>
    <m/>
    <m/>
    <m/>
    <m/>
    <m/>
    <m/>
    <m/>
    <m/>
    <m/>
  </r>
  <r>
    <s v="2.4.3.1.3"/>
    <s v="CMS M.60.10.000"/>
    <x v="2"/>
    <n v="2"/>
    <s v="REDUÇÃO"/>
    <s v="14 X 10"/>
    <x v="1"/>
    <s v="NÃO"/>
    <s v="NÃO"/>
    <x v="72"/>
    <x v="3"/>
    <s v="DISPOSIÇÃO DE REJEITOS LINHA DO CIRCUITO ULTRAFINO DISTRIBUIDOR DI-145A-9903 PARA DISTRIBUIDOR DI-145A-9905"/>
    <m/>
    <m/>
    <m/>
    <s v="1450AA-T-70484_FL15"/>
    <n v="1"/>
    <s v="PÇ"/>
    <n v="0.63"/>
    <n v="0.63"/>
    <n v="2238.89"/>
    <n v="1410.5006999999998"/>
    <n v="0"/>
    <n v="0.9"/>
    <n v="0.1"/>
    <m/>
    <m/>
    <x v="0"/>
    <m/>
    <m/>
    <m/>
    <m/>
    <m/>
    <m/>
    <m/>
    <m/>
    <m/>
    <m/>
    <m/>
    <m/>
    <m/>
    <m/>
    <m/>
    <m/>
    <m/>
  </r>
  <r>
    <s v="2.4.3.1.3"/>
    <s v="CMS M.60.10.000"/>
    <x v="2"/>
    <n v="3"/>
    <s v="SPOOL"/>
    <n v="10"/>
    <x v="1"/>
    <s v="NÃO"/>
    <s v="NÃO"/>
    <x v="72"/>
    <x v="3"/>
    <s v="DISPOSIÇÃO DE REJEITOS LINHA DO CIRCUITO ULTRAFINO DISTRIBUIDOR DI-145A-9903 PARA DISTRIBUIDOR DI-145A-9905"/>
    <m/>
    <m/>
    <m/>
    <s v="1450AA-T-70484_FL08"/>
    <n v="1"/>
    <s v="PÇ"/>
    <n v="0.3"/>
    <n v="0.3"/>
    <n v="2238.89"/>
    <n v="671.66699999999992"/>
    <n v="0"/>
    <n v="0.9"/>
    <n v="0.1"/>
    <m/>
    <m/>
    <x v="0"/>
    <m/>
    <m/>
    <m/>
    <m/>
    <m/>
    <m/>
    <m/>
    <m/>
    <m/>
    <m/>
    <m/>
    <m/>
    <m/>
    <m/>
    <m/>
    <m/>
    <m/>
  </r>
  <r>
    <s v="2.4.3.1.3"/>
    <s v="CMS M.60.10.000"/>
    <x v="2"/>
    <n v="4"/>
    <s v="CURVA"/>
    <n v="10"/>
    <x v="1"/>
    <s v="NÃO"/>
    <s v="NÃO"/>
    <x v="72"/>
    <x v="3"/>
    <s v="DISPOSIÇÃO DE REJEITOS LINHA DO CIRCUITO ULTRAFINO DISTRIBUIDOR DI-145A-9903 PARA DISTRIBUIDOR DI-145A-9905"/>
    <m/>
    <m/>
    <m/>
    <s v="1450AA-T-70484_FL13"/>
    <n v="1"/>
    <s v="PÇ"/>
    <n v="0.77"/>
    <n v="0.77"/>
    <n v="2238.89"/>
    <n v="1723.9452999999999"/>
    <n v="0"/>
    <n v="0.9"/>
    <n v="0.1"/>
    <m/>
    <m/>
    <x v="0"/>
    <m/>
    <m/>
    <m/>
    <m/>
    <m/>
    <m/>
    <m/>
    <m/>
    <m/>
    <m/>
    <m/>
    <m/>
    <m/>
    <m/>
    <m/>
    <m/>
    <m/>
  </r>
  <r>
    <s v="2.4.3.1.3"/>
    <s v="CMS M.60.10.000"/>
    <x v="2"/>
    <n v="5"/>
    <s v="CURVA"/>
    <n v="10"/>
    <x v="1"/>
    <s v="NÃO"/>
    <s v="NÃO"/>
    <x v="72"/>
    <x v="3"/>
    <s v="DISPOSIÇÃO DE REJEITOS LINHA DO CIRCUITO ULTRAFINO DISTRIBUIDOR DI-145A-9903 PARA DISTRIBUIDOR DI-145A-9905"/>
    <m/>
    <m/>
    <m/>
    <s v="1450AA-T-70484_FL12"/>
    <n v="3"/>
    <s v="PÇ"/>
    <n v="1.35"/>
    <n v="4.0500000000000007"/>
    <n v="2238.89"/>
    <n v="9067.5045000000009"/>
    <n v="0"/>
    <n v="0.9"/>
    <n v="0.1"/>
    <m/>
    <m/>
    <x v="0"/>
    <m/>
    <m/>
    <m/>
    <m/>
    <m/>
    <m/>
    <m/>
    <m/>
    <m/>
    <m/>
    <m/>
    <m/>
    <m/>
    <m/>
    <m/>
    <m/>
    <m/>
  </r>
  <r>
    <s v="2.4.3.1.3"/>
    <s v="CMS M.60.10.000"/>
    <x v="2"/>
    <n v="6"/>
    <s v="SPOOL"/>
    <n v="10"/>
    <x v="1"/>
    <s v="NÃO"/>
    <s v="NÃO"/>
    <x v="72"/>
    <x v="3"/>
    <s v="DISPOSIÇÃO DE REJEITOS LINHA DO CIRCUITO ULTRAFINO DISTRIBUIDOR DI-145A-9903 PARA DISTRIBUIDOR DI-145A-9905"/>
    <m/>
    <m/>
    <m/>
    <s v="1450AA-T-70484_FL10"/>
    <n v="1"/>
    <s v="PÇ"/>
    <n v="4.5"/>
    <n v="4.5"/>
    <n v="2238.89"/>
    <n v="10075.004999999999"/>
    <n v="0"/>
    <n v="0.9"/>
    <n v="0.1"/>
    <m/>
    <m/>
    <x v="0"/>
    <m/>
    <m/>
    <m/>
    <m/>
    <m/>
    <m/>
    <m/>
    <m/>
    <m/>
    <m/>
    <m/>
    <m/>
    <m/>
    <m/>
    <m/>
    <m/>
    <m/>
  </r>
  <r>
    <s v="2.4.3.1.3"/>
    <s v="CMS M.60.10.000"/>
    <x v="2"/>
    <n v="7"/>
    <s v="SPOOL"/>
    <n v="10"/>
    <x v="2"/>
    <s v="NÃO"/>
    <s v="NÃO"/>
    <x v="72"/>
    <x v="3"/>
    <s v="DISPOSIÇÃO DE REJEITOS LINHA DO CIRCUITO ULTRAFINO DISTRIBUIDOR DI-145A-9903 PARA DISTRIBUIDOR DI-145A-9905"/>
    <m/>
    <m/>
    <m/>
    <s v="1450AA-T-70484_FL11"/>
    <n v="2"/>
    <s v="PÇ"/>
    <n v="0.43"/>
    <n v="0.86"/>
    <n v="2238.89"/>
    <n v="1925.4453999999998"/>
    <n v="0"/>
    <n v="0.9"/>
    <n v="0.1"/>
    <m/>
    <m/>
    <x v="0"/>
    <m/>
    <m/>
    <m/>
    <m/>
    <m/>
    <m/>
    <m/>
    <m/>
    <m/>
    <m/>
    <m/>
    <m/>
    <m/>
    <m/>
    <m/>
    <m/>
    <m/>
  </r>
  <r>
    <s v="2.4.3.1.3"/>
    <s v="CMS M.60.10.000"/>
    <x v="2"/>
    <n v="8"/>
    <s v="SPOOL"/>
    <n v="10"/>
    <x v="1"/>
    <s v="NÃO"/>
    <s v="NÃO"/>
    <x v="72"/>
    <x v="3"/>
    <s v="DISPOSIÇÃO DE REJEITOS LINHA DO CIRCUITO ULTRAFINO DISTRIBUIDOR DI-145A-9903 PARA DISTRIBUIDOR DI-145A-9905"/>
    <m/>
    <m/>
    <m/>
    <s v="1450AA-T-70484_FL09"/>
    <n v="1"/>
    <s v="PÇ"/>
    <n v="1"/>
    <n v="1"/>
    <n v="2238.89"/>
    <n v="2238.89"/>
    <n v="0"/>
    <n v="0.9"/>
    <n v="0.1"/>
    <m/>
    <m/>
    <x v="0"/>
    <m/>
    <m/>
    <m/>
    <m/>
    <m/>
    <m/>
    <m/>
    <m/>
    <m/>
    <m/>
    <m/>
    <m/>
    <m/>
    <m/>
    <m/>
    <m/>
    <m/>
  </r>
  <r>
    <s v="2.4.3.1.3"/>
    <s v="CMS M.60.10.000"/>
    <x v="2"/>
    <n v="9"/>
    <s v="SPOOL"/>
    <n v="10"/>
    <x v="1"/>
    <s v="NÃO"/>
    <s v="NÃO"/>
    <x v="72"/>
    <x v="3"/>
    <s v="DISPOSIÇÃO DE REJEITOS LINHA DO CIRCUITO ULTRAFINO DISTRIBUIDOR DI-145A-9903 PARA DISTRIBUIDOR DI-145A-9905"/>
    <m/>
    <m/>
    <m/>
    <s v="1450AA-T-70484_FL16"/>
    <n v="1"/>
    <s v="PÇ"/>
    <n v="1.5"/>
    <n v="1.5"/>
    <n v="2238.89"/>
    <n v="3358.335"/>
    <n v="0"/>
    <n v="0.9"/>
    <n v="0.1"/>
    <m/>
    <m/>
    <x v="0"/>
    <m/>
    <m/>
    <m/>
    <m/>
    <m/>
    <m/>
    <m/>
    <m/>
    <m/>
    <m/>
    <m/>
    <m/>
    <m/>
    <m/>
    <m/>
    <m/>
    <m/>
  </r>
  <r>
    <s v="2.4.3.1.5"/>
    <s v="CMS M.60.10.000"/>
    <x v="2"/>
    <n v="1"/>
    <s v="SPOOL"/>
    <n v="14"/>
    <x v="1"/>
    <s v="NÃO"/>
    <s v="NÃO"/>
    <x v="73"/>
    <x v="3"/>
    <s v="DISPOSIÇÃO DE REJEITOS LINHA DO CIRCUITO ULTRAFINO DISTRIBUIDOR DI-145A-9903 PARA DISTRIBUIDOR DI-145A-9906"/>
    <m/>
    <m/>
    <m/>
    <s v="1450AA-T-70486_FL20"/>
    <n v="1"/>
    <s v="PÇ"/>
    <n v="0.52"/>
    <n v="0.52"/>
    <n v="2725.4"/>
    <n v="1417.2080000000001"/>
    <n v="0"/>
    <n v="0.9"/>
    <n v="0.1"/>
    <m/>
    <m/>
    <x v="0"/>
    <m/>
    <m/>
    <m/>
    <m/>
    <m/>
    <m/>
    <m/>
    <m/>
    <m/>
    <m/>
    <m/>
    <m/>
    <m/>
    <m/>
    <m/>
    <m/>
    <m/>
  </r>
  <r>
    <s v="2.4.3.1.5"/>
    <s v="CMS M.60.10.000"/>
    <x v="2"/>
    <n v="2"/>
    <s v="CURVA"/>
    <n v="14"/>
    <x v="1"/>
    <s v="NÃO"/>
    <s v="NÃO"/>
    <x v="73"/>
    <x v="3"/>
    <s v="DISPOSIÇÃO DE REJEITOS LINHA DO CIRCUITO ULTRAFINO DISTRIBUIDOR DI-145A-9903 PARA DISTRIBUIDOR DI-145A-9906"/>
    <m/>
    <m/>
    <m/>
    <s v="1450AA-T-70486_FL22"/>
    <n v="1"/>
    <s v="PÇ"/>
    <n v="0.94499999999999995"/>
    <n v="0.94499999999999995"/>
    <n v="2725.4"/>
    <n v="2575.5030000000002"/>
    <n v="0"/>
    <n v="0.9"/>
    <n v="0.1"/>
    <m/>
    <m/>
    <x v="0"/>
    <m/>
    <m/>
    <m/>
    <m/>
    <m/>
    <m/>
    <m/>
    <m/>
    <m/>
    <m/>
    <m/>
    <m/>
    <m/>
    <m/>
    <m/>
    <m/>
    <m/>
  </r>
  <r>
    <s v="2.4.3.1.3"/>
    <s v="CMS M.60.10.000"/>
    <x v="2"/>
    <n v="3"/>
    <s v="REDUÇÃO"/>
    <s v="14 X 10"/>
    <x v="1"/>
    <s v="NÃO"/>
    <s v="NÃO"/>
    <x v="73"/>
    <x v="3"/>
    <s v="DISPOSIÇÃO DE REJEITOS LINHA DO CIRCUITO ULTRAFINO DISTRIBUIDOR DI-145A-9903 PARA DISTRIBUIDOR DI-145A-9906"/>
    <m/>
    <m/>
    <m/>
    <s v="1450AA-T-70486_FL23"/>
    <n v="1"/>
    <s v="PÇ"/>
    <n v="0.63"/>
    <n v="0.63"/>
    <n v="2238.89"/>
    <n v="1410.5006999999998"/>
    <n v="0"/>
    <n v="0.9"/>
    <n v="0.1"/>
    <m/>
    <m/>
    <x v="0"/>
    <m/>
    <m/>
    <m/>
    <m/>
    <m/>
    <m/>
    <m/>
    <m/>
    <m/>
    <m/>
    <m/>
    <m/>
    <m/>
    <m/>
    <m/>
    <m/>
    <m/>
  </r>
  <r>
    <s v="2.4.3.1.3"/>
    <s v="CMS M.60.10.000"/>
    <x v="2"/>
    <n v="4"/>
    <s v="SPOOL"/>
    <n v="10"/>
    <x v="2"/>
    <s v="NÃO"/>
    <s v="NÃO"/>
    <x v="73"/>
    <x v="3"/>
    <s v="DISPOSIÇÃO DE REJEITOS LINHA DO CIRCUITO ULTRAFINO DISTRIBUIDOR DI-145A-9903 PARA DISTRIBUIDOR DI-145A-9906"/>
    <m/>
    <m/>
    <m/>
    <s v="1450AA-T-70486_FL16"/>
    <n v="1"/>
    <s v="PÇ"/>
    <n v="0.57999999999999996"/>
    <n v="0.57999999999999996"/>
    <n v="2238.89"/>
    <n v="1298.5561999999998"/>
    <n v="0"/>
    <n v="0.9"/>
    <n v="0.1"/>
    <m/>
    <m/>
    <x v="0"/>
    <m/>
    <m/>
    <m/>
    <m/>
    <m/>
    <m/>
    <m/>
    <m/>
    <m/>
    <m/>
    <m/>
    <m/>
    <m/>
    <m/>
    <m/>
    <m/>
    <m/>
  </r>
  <r>
    <s v="2.4.3.1.3"/>
    <s v="CMS M.60.10.000"/>
    <x v="2"/>
    <n v="5"/>
    <s v="CURVA"/>
    <n v="10"/>
    <x v="1"/>
    <s v="NÃO"/>
    <s v="NÃO"/>
    <x v="73"/>
    <x v="3"/>
    <s v="DISPOSIÇÃO DE REJEITOS LINHA DO CIRCUITO ULTRAFINO DISTRIBUIDOR DI-145A-9903 PARA DISTRIBUIDOR DI-145A-9906"/>
    <m/>
    <m/>
    <m/>
    <s v="1450AA-T-70486_FL21"/>
    <n v="1"/>
    <s v="PÇ"/>
    <n v="0.621"/>
    <n v="0.621"/>
    <n v="2238.89"/>
    <n v="1390.35069"/>
    <n v="0"/>
    <n v="0.9"/>
    <n v="0.1"/>
    <m/>
    <m/>
    <x v="0"/>
    <m/>
    <m/>
    <m/>
    <m/>
    <m/>
    <m/>
    <m/>
    <m/>
    <m/>
    <m/>
    <m/>
    <m/>
    <m/>
    <m/>
    <m/>
    <m/>
    <m/>
  </r>
  <r>
    <s v="2.4.3.1.3"/>
    <s v="CMS M.60.10.000"/>
    <x v="2"/>
    <n v="6"/>
    <s v="SPOOL"/>
    <n v="10"/>
    <x v="1"/>
    <s v="NÃO"/>
    <s v="NÃO"/>
    <x v="73"/>
    <x v="3"/>
    <s v="DISPOSIÇÃO DE REJEITOS LINHA DO CIRCUITO ULTRAFINO DISTRIBUIDOR DI-145A-9903 PARA DISTRIBUIDOR DI-145A-9906"/>
    <m/>
    <m/>
    <m/>
    <s v="1450AA-T-70486_FL08"/>
    <n v="1"/>
    <s v="PÇ"/>
    <n v="3.5"/>
    <n v="3.5"/>
    <n v="2238.89"/>
    <n v="7836.1149999999998"/>
    <n v="0"/>
    <n v="0.9"/>
    <n v="0.1"/>
    <m/>
    <m/>
    <x v="0"/>
    <m/>
    <m/>
    <m/>
    <m/>
    <m/>
    <m/>
    <m/>
    <m/>
    <m/>
    <m/>
    <m/>
    <m/>
    <m/>
    <m/>
    <m/>
    <m/>
    <m/>
  </r>
  <r>
    <s v="2.4.3.1.3"/>
    <s v="CMS M.60.10.000"/>
    <x v="2"/>
    <n v="7"/>
    <s v="SPOOL"/>
    <n v="10"/>
    <x v="2"/>
    <s v="NÃO"/>
    <s v="NÃO"/>
    <x v="73"/>
    <x v="3"/>
    <s v="DISPOSIÇÃO DE REJEITOS LINHA DO CIRCUITO ULTRAFINO DISTRIBUIDOR DI-145A-9903 PARA DISTRIBUIDOR DI-145A-9906"/>
    <m/>
    <m/>
    <m/>
    <s v="1450AA-T-70486_FL25"/>
    <n v="1"/>
    <s v="PÇ"/>
    <n v="0.65"/>
    <n v="0.65"/>
    <n v="2238.89"/>
    <n v="1455.2784999999999"/>
    <n v="0"/>
    <n v="0.9"/>
    <n v="0.1"/>
    <m/>
    <m/>
    <x v="0"/>
    <m/>
    <m/>
    <m/>
    <m/>
    <m/>
    <m/>
    <m/>
    <m/>
    <m/>
    <m/>
    <m/>
    <m/>
    <m/>
    <m/>
    <m/>
    <m/>
    <m/>
  </r>
  <r>
    <s v="2.4.3.1.3"/>
    <s v="CMS M.60.10.000"/>
    <x v="2"/>
    <n v="8"/>
    <s v="CURVA"/>
    <n v="10"/>
    <x v="1"/>
    <s v="NÃO"/>
    <s v="NÃO"/>
    <x v="73"/>
    <x v="3"/>
    <s v="DISPOSIÇÃO DE REJEITOS LINHA DO CIRCUITO ULTRAFINO DISTRIBUIDOR DI-145A-9903 PARA DISTRIBUIDOR DI-145A-9906"/>
    <m/>
    <m/>
    <m/>
    <s v="1450AA-T-70486_FL19"/>
    <n v="1"/>
    <s v="PÇ"/>
    <n v="1.35"/>
    <n v="1.35"/>
    <n v="2238.89"/>
    <n v="3022.5014999999999"/>
    <n v="0"/>
    <n v="0.9"/>
    <n v="0.1"/>
    <m/>
    <m/>
    <x v="0"/>
    <m/>
    <m/>
    <m/>
    <m/>
    <m/>
    <m/>
    <m/>
    <m/>
    <m/>
    <m/>
    <m/>
    <m/>
    <m/>
    <m/>
    <m/>
    <m/>
    <m/>
  </r>
  <r>
    <s v="2.4.3.1.3"/>
    <s v="CMS M.60.10.000"/>
    <x v="2"/>
    <n v="9"/>
    <s v="SPOOL"/>
    <n v="10"/>
    <x v="1"/>
    <s v="NÃO"/>
    <s v="NÃO"/>
    <x v="73"/>
    <x v="3"/>
    <s v="DISPOSIÇÃO DE REJEITOS LINHA DO CIRCUITO ULTRAFINO DISTRIBUIDOR DI-145A-9903 PARA DISTRIBUIDOR DI-145A-9906"/>
    <m/>
    <m/>
    <m/>
    <s v="1450AA-T-70486_FL12"/>
    <n v="1"/>
    <s v="PÇ"/>
    <n v="3"/>
    <n v="3"/>
    <n v="2238.89"/>
    <n v="6716.67"/>
    <n v="0"/>
    <n v="0.9"/>
    <n v="0.1"/>
    <m/>
    <m/>
    <x v="0"/>
    <m/>
    <m/>
    <m/>
    <m/>
    <m/>
    <m/>
    <m/>
    <m/>
    <m/>
    <m/>
    <m/>
    <m/>
    <m/>
    <m/>
    <m/>
    <m/>
    <m/>
  </r>
  <r>
    <s v="2.4.3.1.3"/>
    <s v="CMS M.60.10.000"/>
    <x v="2"/>
    <n v="10"/>
    <s v="SPOOL"/>
    <n v="10"/>
    <x v="2"/>
    <s v="NÃO"/>
    <s v="NÃO"/>
    <x v="73"/>
    <x v="3"/>
    <s v="DISPOSIÇÃO DE REJEITOS LINHA DO CIRCUITO ULTRAFINO DISTRIBUIDOR DI-145A-9903 PARA DISTRIBUIDOR DI-145A-9906"/>
    <m/>
    <m/>
    <m/>
    <s v="1450AA-T-70486_FL15"/>
    <n v="2"/>
    <s v="PÇ"/>
    <n v="0.75"/>
    <n v="1.5"/>
    <n v="2238.89"/>
    <n v="3358.335"/>
    <n v="0"/>
    <n v="0.9"/>
    <n v="0.1"/>
    <m/>
    <m/>
    <x v="0"/>
    <m/>
    <m/>
    <m/>
    <m/>
    <m/>
    <m/>
    <m/>
    <m/>
    <m/>
    <m/>
    <m/>
    <m/>
    <m/>
    <m/>
    <m/>
    <m/>
    <m/>
  </r>
  <r>
    <s v="2.4.3.1.3"/>
    <s v="CMS M.60.10.000"/>
    <x v="2"/>
    <n v="11"/>
    <s v="CURVA"/>
    <n v="10"/>
    <x v="1"/>
    <s v="NÃO"/>
    <s v="NÃO"/>
    <x v="73"/>
    <x v="3"/>
    <s v="DISPOSIÇÃO DE REJEITOS LINHA DO CIRCUITO ULTRAFINO DISTRIBUIDOR DI-145A-9903 PARA DISTRIBUIDOR DI-145A-9906"/>
    <m/>
    <m/>
    <m/>
    <s v="1450AA-T-70486_FL17"/>
    <n v="1"/>
    <s v="PÇ"/>
    <n v="0.46500000000000002"/>
    <n v="0.46500000000000002"/>
    <n v="2238.89"/>
    <n v="1041.08385"/>
    <n v="0"/>
    <n v="0.9"/>
    <n v="0.1"/>
    <m/>
    <m/>
    <x v="0"/>
    <m/>
    <m/>
    <m/>
    <m/>
    <m/>
    <m/>
    <m/>
    <m/>
    <m/>
    <m/>
    <m/>
    <m/>
    <m/>
    <m/>
    <m/>
    <m/>
    <m/>
  </r>
  <r>
    <s v="2.4.3.1.3"/>
    <s v="CMS M.60.10.000"/>
    <x v="2"/>
    <n v="12"/>
    <s v="SPOOL"/>
    <n v="10"/>
    <x v="1"/>
    <s v="NÃO"/>
    <s v="NÃO"/>
    <x v="73"/>
    <x v="3"/>
    <s v="DISPOSIÇÃO DE REJEITOS LINHA DO CIRCUITO ULTRAFINO DISTRIBUIDOR DI-145A-9903 PARA DISTRIBUIDOR DI-145A-9906"/>
    <m/>
    <m/>
    <m/>
    <s v="1450AA-T-70486_FL13"/>
    <n v="2"/>
    <s v="PÇ"/>
    <n v="6"/>
    <n v="12"/>
    <n v="2238.89"/>
    <n v="26866.68"/>
    <n v="0"/>
    <n v="0.9"/>
    <n v="0.1"/>
    <m/>
    <m/>
    <x v="0"/>
    <m/>
    <m/>
    <m/>
    <m/>
    <m/>
    <m/>
    <m/>
    <m/>
    <m/>
    <m/>
    <m/>
    <m/>
    <m/>
    <m/>
    <m/>
    <m/>
    <m/>
  </r>
  <r>
    <s v="2.4.3.1.3"/>
    <s v="CMS M.60.10.000"/>
    <x v="2"/>
    <n v="13"/>
    <s v="SPOOL"/>
    <n v="10"/>
    <x v="1"/>
    <s v="NÃO"/>
    <s v="NÃO"/>
    <x v="73"/>
    <x v="3"/>
    <s v="DISPOSIÇÃO DE REJEITOS LINHA DO CIRCUITO ULTRAFINO DISTRIBUIDOR DI-145A-9903 PARA DISTRIBUIDOR DI-145A-9906"/>
    <m/>
    <m/>
    <m/>
    <s v="1450AA-T-70486_FL09"/>
    <n v="1"/>
    <s v="PÇ"/>
    <n v="0.9"/>
    <n v="0.9"/>
    <n v="2238.89"/>
    <n v="2015.001"/>
    <n v="0"/>
    <n v="0.9"/>
    <n v="0.1"/>
    <m/>
    <m/>
    <x v="0"/>
    <m/>
    <m/>
    <m/>
    <m/>
    <m/>
    <m/>
    <m/>
    <m/>
    <m/>
    <m/>
    <m/>
    <m/>
    <m/>
    <m/>
    <m/>
    <m/>
    <m/>
  </r>
  <r>
    <s v="2.4.3.1.3"/>
    <s v="CMS M.60.10.000"/>
    <x v="2"/>
    <n v="14"/>
    <s v="CURVA"/>
    <n v="10"/>
    <x v="1"/>
    <s v="NÃO"/>
    <s v="NÃO"/>
    <x v="73"/>
    <x v="3"/>
    <s v="DISPOSIÇÃO DE REJEITOS LINHA DO CIRCUITO ULTRAFINO DISTRIBUIDOR DI-145A-9903 PARA DISTRIBUIDOR DI-145A-9906"/>
    <m/>
    <m/>
    <m/>
    <s v="1450AA-T-70486_FL18"/>
    <n v="2"/>
    <s v="PÇ"/>
    <n v="0.69799999999999995"/>
    <n v="1.3959999999999999"/>
    <n v="2238.89"/>
    <n v="3125.4904399999996"/>
    <n v="0"/>
    <n v="0.9"/>
    <n v="0.1"/>
    <m/>
    <m/>
    <x v="0"/>
    <m/>
    <m/>
    <m/>
    <m/>
    <m/>
    <m/>
    <m/>
    <m/>
    <m/>
    <m/>
    <m/>
    <m/>
    <m/>
    <m/>
    <m/>
    <m/>
    <m/>
  </r>
  <r>
    <s v="2.4.3.1.3"/>
    <s v="CMS M.60.10.000"/>
    <x v="2"/>
    <n v="15"/>
    <s v="SPOOL"/>
    <n v="10"/>
    <x v="1"/>
    <s v="NÃO"/>
    <s v="NÃO"/>
    <x v="73"/>
    <x v="3"/>
    <s v="DISPOSIÇÃO DE REJEITOS LINHA DO CIRCUITO ULTRAFINO DISTRIBUIDOR DI-145A-9903 PARA DISTRIBUIDOR DI-145A-9906"/>
    <m/>
    <m/>
    <m/>
    <s v="1450AA-T-70486_FL10"/>
    <n v="1"/>
    <s v="PÇ"/>
    <n v="1.5"/>
    <n v="1.5"/>
    <n v="2238.89"/>
    <n v="3358.335"/>
    <n v="0"/>
    <n v="0.9"/>
    <n v="0.1"/>
    <m/>
    <m/>
    <x v="0"/>
    <m/>
    <m/>
    <m/>
    <m/>
    <m/>
    <m/>
    <m/>
    <m/>
    <m/>
    <m/>
    <m/>
    <m/>
    <m/>
    <m/>
    <m/>
    <m/>
    <m/>
  </r>
  <r>
    <s v="2.4.3.1.3"/>
    <s v="CMS M.60.10.000"/>
    <x v="2"/>
    <n v="16"/>
    <s v="SPOOL"/>
    <n v="10"/>
    <x v="1"/>
    <s v="NÃO"/>
    <s v="NÃO"/>
    <x v="73"/>
    <x v="3"/>
    <s v="DISPOSIÇÃO DE REJEITOS LINHA DO CIRCUITO ULTRAFINO DISTRIBUIDOR DI-145A-9903 PARA DISTRIBUIDOR DI-145A-9906"/>
    <m/>
    <m/>
    <m/>
    <s v="1450AA-T-70486_FL11"/>
    <n v="1"/>
    <s v="PÇ"/>
    <n v="2"/>
    <n v="2"/>
    <n v="2238.89"/>
    <n v="4477.78"/>
    <n v="0"/>
    <n v="0.9"/>
    <n v="0.1"/>
    <m/>
    <m/>
    <x v="0"/>
    <m/>
    <m/>
    <m/>
    <m/>
    <m/>
    <m/>
    <m/>
    <m/>
    <m/>
    <m/>
    <m/>
    <m/>
    <m/>
    <m/>
    <m/>
    <m/>
    <m/>
  </r>
  <r>
    <s v="2.4.3.1.3"/>
    <s v="CMS M.60.10.000"/>
    <x v="2"/>
    <n v="17"/>
    <s v="SPOOL"/>
    <n v="10"/>
    <x v="2"/>
    <s v="NÃO"/>
    <s v="NÃO"/>
    <x v="73"/>
    <x v="3"/>
    <s v="DISPOSIÇÃO DE REJEITOS LINHA DO CIRCUITO ULTRAFINO DISTRIBUIDOR DI-145A-9903 PARA DISTRIBUIDOR DI-145A-9906"/>
    <m/>
    <m/>
    <m/>
    <s v="1450AA-T-70486_FL14"/>
    <n v="1"/>
    <s v="PÇ"/>
    <n v="0.43"/>
    <n v="0.43"/>
    <n v="2238.89"/>
    <n v="962.72269999999992"/>
    <n v="0"/>
    <n v="0.9"/>
    <n v="0.1"/>
    <m/>
    <m/>
    <x v="0"/>
    <m/>
    <m/>
    <m/>
    <m/>
    <m/>
    <m/>
    <m/>
    <m/>
    <m/>
    <m/>
    <m/>
    <m/>
    <m/>
    <m/>
    <m/>
    <m/>
    <m/>
  </r>
  <r>
    <s v="2.4.3.1.3"/>
    <s v="CMS M.60.10.000"/>
    <x v="2"/>
    <n v="18"/>
    <s v="SPOOL"/>
    <n v="10"/>
    <x v="1"/>
    <s v="NÃO"/>
    <s v="NÃO"/>
    <x v="73"/>
    <x v="3"/>
    <s v="DISPOSIÇÃO DE REJEITOS LINHA DO CIRCUITO ULTRAFINO DISTRIBUIDOR DI-145A-9903 PARA DISTRIBUIDOR DI-145A-9906"/>
    <m/>
    <m/>
    <m/>
    <s v="1450AA-T-70486_FL24"/>
    <n v="1"/>
    <s v="PÇ"/>
    <n v="1.5"/>
    <n v="1.5"/>
    <n v="2238.89"/>
    <n v="3358.335"/>
    <n v="0"/>
    <n v="0.9"/>
    <n v="0.1"/>
    <m/>
    <m/>
    <x v="0"/>
    <m/>
    <m/>
    <m/>
    <m/>
    <m/>
    <m/>
    <m/>
    <m/>
    <m/>
    <m/>
    <m/>
    <m/>
    <m/>
    <m/>
    <m/>
    <m/>
    <m/>
  </r>
  <r>
    <s v="2.4.3.1.5"/>
    <s v="CMS M.60.10.000"/>
    <x v="2"/>
    <n v="1"/>
    <s v="CURVA"/>
    <n v="14"/>
    <x v="1"/>
    <s v="NÃO"/>
    <s v="NÃO"/>
    <x v="74"/>
    <x v="3"/>
    <s v="DISPOSIÇÃO DE REJEITOS LINHA DO CIRCUITO ULTRAFINO DISTRIBUIDOR DI-145A-9903 PARA DISTRIBUIDOR DI-145A-9907"/>
    <m/>
    <m/>
    <m/>
    <s v="1450AA-T-70488_FL21"/>
    <n v="1"/>
    <s v="PÇ"/>
    <n v="0.94499999999999995"/>
    <n v="0.94499999999999995"/>
    <n v="2725.4"/>
    <n v="2575.5030000000002"/>
    <n v="0"/>
    <n v="0.9"/>
    <n v="0.1"/>
    <m/>
    <m/>
    <x v="0"/>
    <m/>
    <m/>
    <m/>
    <m/>
    <m/>
    <m/>
    <m/>
    <m/>
    <m/>
    <m/>
    <m/>
    <m/>
    <m/>
    <m/>
    <m/>
    <m/>
    <m/>
  </r>
  <r>
    <s v="2.4.3.1.3"/>
    <s v="CMS M.60.10.000"/>
    <x v="2"/>
    <n v="2"/>
    <s v="REDUÇÃO"/>
    <s v="14 X 10"/>
    <x v="1"/>
    <s v="NÃO"/>
    <s v="NÃO"/>
    <x v="74"/>
    <x v="3"/>
    <s v="DISPOSIÇÃO DE REJEITOS LINHA DO CIRCUITO ULTRAFINO DISTRIBUIDOR DI-145A-9903 PARA DISTRIBUIDOR DI-145A-9907"/>
    <m/>
    <m/>
    <m/>
    <s v="1450AA-T-70488_FL22"/>
    <n v="1"/>
    <s v="PÇ"/>
    <n v="0.63"/>
    <n v="0.63"/>
    <n v="2238.89"/>
    <n v="1410.5006999999998"/>
    <n v="0"/>
    <n v="0.9"/>
    <n v="0.1"/>
    <m/>
    <m/>
    <x v="0"/>
    <m/>
    <m/>
    <m/>
    <m/>
    <m/>
    <m/>
    <m/>
    <m/>
    <m/>
    <m/>
    <m/>
    <m/>
    <m/>
    <m/>
    <m/>
    <m/>
    <m/>
  </r>
  <r>
    <s v="2.4.3.1.3"/>
    <s v="CMS M.60.10.000"/>
    <x v="2"/>
    <n v="3"/>
    <s v="CURVA"/>
    <n v="10"/>
    <x v="1"/>
    <s v="NÃO"/>
    <s v="NÃO"/>
    <x v="74"/>
    <x v="3"/>
    <s v="DISPOSIÇÃO DE REJEITOS LINHA DO CIRCUITO ULTRAFINO DISTRIBUIDOR DI-145A-9903 PARA DISTRIBUIDOR DI-145A-9907"/>
    <m/>
    <m/>
    <m/>
    <s v="1450AA-T-70488_FL20"/>
    <n v="1"/>
    <s v="PÇ"/>
    <n v="0.4"/>
    <n v="0.4"/>
    <n v="2238.89"/>
    <n v="895.55600000000004"/>
    <n v="0"/>
    <n v="0.9"/>
    <n v="0.1"/>
    <m/>
    <m/>
    <x v="0"/>
    <m/>
    <m/>
    <m/>
    <m/>
    <m/>
    <m/>
    <m/>
    <m/>
    <m/>
    <m/>
    <m/>
    <m/>
    <m/>
    <m/>
    <m/>
    <m/>
    <m/>
  </r>
  <r>
    <s v="2.4.3.1.3"/>
    <s v="CMS M.60.10.000"/>
    <x v="2"/>
    <n v="4"/>
    <s v="SPOOL"/>
    <n v="10"/>
    <x v="2"/>
    <s v="NÃO"/>
    <s v="NÃO"/>
    <x v="74"/>
    <x v="3"/>
    <s v="DISPOSIÇÃO DE REJEITOS LINHA DO CIRCUITO ULTRAFINO DISTRIBUIDOR DI-145A-9903 PARA DISTRIBUIDOR DI-145A-9907"/>
    <m/>
    <m/>
    <m/>
    <s v="1450AA-T-70488_FL14"/>
    <n v="1"/>
    <s v="PÇ"/>
    <n v="0.9"/>
    <n v="0.9"/>
    <n v="2238.89"/>
    <n v="2015.001"/>
    <n v="0"/>
    <n v="0.9"/>
    <n v="0.1"/>
    <m/>
    <m/>
    <x v="0"/>
    <m/>
    <m/>
    <m/>
    <m/>
    <m/>
    <m/>
    <m/>
    <m/>
    <m/>
    <m/>
    <m/>
    <m/>
    <m/>
    <m/>
    <m/>
    <m/>
    <m/>
  </r>
  <r>
    <s v="2.4.3.1.3"/>
    <s v="CMS M.60.10.000"/>
    <x v="2"/>
    <n v="5"/>
    <s v="CURVA"/>
    <n v="10"/>
    <x v="1"/>
    <s v="NÃO"/>
    <s v="NÃO"/>
    <x v="74"/>
    <x v="3"/>
    <s v="DISPOSIÇÃO DE REJEITOS LINHA DO CIRCUITO ULTRAFINO DISTRIBUIDOR DI-145A-9903 PARA DISTRIBUIDOR DI-145A-9907"/>
    <m/>
    <m/>
    <m/>
    <s v="1450AA-T-70488_FL18"/>
    <n v="1"/>
    <s v="PÇ"/>
    <n v="0.78"/>
    <n v="0.78"/>
    <n v="2238.89"/>
    <n v="1746.3342"/>
    <n v="0"/>
    <n v="0.9"/>
    <n v="0.1"/>
    <m/>
    <m/>
    <x v="0"/>
    <m/>
    <m/>
    <m/>
    <m/>
    <m/>
    <m/>
    <m/>
    <m/>
    <m/>
    <m/>
    <m/>
    <m/>
    <m/>
    <m/>
    <m/>
    <m/>
    <m/>
  </r>
  <r>
    <s v="2.4.3.1.3"/>
    <s v="CMS M.60.10.000"/>
    <x v="2"/>
    <n v="6"/>
    <s v="SPOOL"/>
    <n v="10"/>
    <x v="1"/>
    <s v="NÃO"/>
    <s v="NÃO"/>
    <x v="74"/>
    <x v="3"/>
    <s v="DISPOSIÇÃO DE REJEITOS LINHA DO CIRCUITO ULTRAFINO DISTRIBUIDOR DI-145A-9903 PARA DISTRIBUIDOR DI-145A-9907"/>
    <m/>
    <m/>
    <m/>
    <s v="1450AA-T-70488_FL10"/>
    <n v="1"/>
    <s v="PÇ"/>
    <n v="3.5"/>
    <n v="3.5"/>
    <n v="2238.89"/>
    <n v="7836.1149999999998"/>
    <n v="0"/>
    <n v="0.9"/>
    <n v="0.1"/>
    <m/>
    <m/>
    <x v="0"/>
    <m/>
    <m/>
    <m/>
    <m/>
    <m/>
    <m/>
    <m/>
    <m/>
    <m/>
    <m/>
    <m/>
    <m/>
    <m/>
    <m/>
    <m/>
    <m/>
    <m/>
  </r>
  <r>
    <s v="2.4.3.1.3"/>
    <s v="CMS M.60.10.000"/>
    <x v="2"/>
    <n v="7"/>
    <s v="SPOOL"/>
    <n v="10"/>
    <x v="2"/>
    <s v="NÃO"/>
    <s v="NÃO"/>
    <x v="74"/>
    <x v="3"/>
    <s v="DISPOSIÇÃO DE REJEITOS LINHA DO CIRCUITO ULTRAFINO DISTRIBUIDOR DI-145A-9903 PARA DISTRIBUIDOR DI-145A-9907"/>
    <m/>
    <m/>
    <m/>
    <s v="1450AA-T-70488_FL15"/>
    <n v="1"/>
    <s v="PÇ"/>
    <n v="1"/>
    <n v="1"/>
    <n v="2238.89"/>
    <n v="2238.89"/>
    <n v="0"/>
    <n v="0.9"/>
    <n v="0.1"/>
    <m/>
    <m/>
    <x v="0"/>
    <m/>
    <m/>
    <m/>
    <m/>
    <m/>
    <m/>
    <m/>
    <m/>
    <m/>
    <m/>
    <m/>
    <m/>
    <m/>
    <m/>
    <m/>
    <m/>
    <m/>
  </r>
  <r>
    <s v="2.4.3.1.3"/>
    <s v="CMS M.60.10.000"/>
    <x v="2"/>
    <n v="8"/>
    <s v="CURVA"/>
    <n v="10"/>
    <x v="1"/>
    <s v="NÃO"/>
    <s v="NÃO"/>
    <x v="74"/>
    <x v="3"/>
    <s v="DISPOSIÇÃO DE REJEITOS LINHA DO CIRCUITO ULTRAFINO DISTRIBUIDOR DI-145A-9903 PARA DISTRIBUIDOR DI-145A-9907"/>
    <m/>
    <m/>
    <m/>
    <s v="1450AA-T-70488_FL19"/>
    <n v="1"/>
    <s v="PÇ"/>
    <n v="1.35"/>
    <n v="1.35"/>
    <n v="2238.89"/>
    <n v="3022.5014999999999"/>
    <n v="0"/>
    <n v="0.9"/>
    <n v="0.1"/>
    <m/>
    <m/>
    <x v="0"/>
    <m/>
    <m/>
    <m/>
    <m/>
    <m/>
    <m/>
    <m/>
    <m/>
    <m/>
    <m/>
    <m/>
    <m/>
    <m/>
    <m/>
    <m/>
    <m/>
    <m/>
  </r>
  <r>
    <s v="2.4.3.1.3"/>
    <s v="CMS M.60.10.000"/>
    <x v="2"/>
    <n v="9"/>
    <s v="SPOOL"/>
    <n v="10"/>
    <x v="1"/>
    <s v="NÃO"/>
    <s v="NÃO"/>
    <x v="74"/>
    <x v="3"/>
    <s v="DISPOSIÇÃO DE REJEITOS LINHA DO CIRCUITO ULTRAFINO DISTRIBUIDOR DI-145A-9903 PARA DISTRIBUIDOR DI-145A-9907"/>
    <m/>
    <m/>
    <m/>
    <s v="1450AA-T-70488_FL09"/>
    <n v="1"/>
    <s v="PÇ"/>
    <n v="3"/>
    <n v="3"/>
    <n v="2238.89"/>
    <n v="6716.67"/>
    <n v="0"/>
    <n v="0.9"/>
    <n v="0.1"/>
    <m/>
    <m/>
    <x v="0"/>
    <m/>
    <m/>
    <m/>
    <m/>
    <m/>
    <m/>
    <m/>
    <m/>
    <m/>
    <m/>
    <m/>
    <m/>
    <m/>
    <m/>
    <m/>
    <m/>
    <m/>
  </r>
  <r>
    <s v="2.4.3.1.3"/>
    <s v="CMS M.60.10.000"/>
    <x v="2"/>
    <n v="10"/>
    <s v="SPOOL"/>
    <n v="10"/>
    <x v="2"/>
    <s v="NÃO"/>
    <s v="NÃO"/>
    <x v="74"/>
    <x v="3"/>
    <s v="DISPOSIÇÃO DE REJEITOS LINHA DO CIRCUITO ULTRAFINO DISTRIBUIDOR DI-145A-9903 PARA DISTRIBUIDOR DI-145A-9907"/>
    <m/>
    <m/>
    <m/>
    <s v="1450AA-T-70488_FL13"/>
    <n v="2"/>
    <s v="PÇ"/>
    <n v="0.75"/>
    <n v="1.5"/>
    <n v="2238.89"/>
    <n v="3358.335"/>
    <n v="0"/>
    <n v="0.9"/>
    <n v="0.1"/>
    <m/>
    <m/>
    <x v="0"/>
    <m/>
    <m/>
    <m/>
    <m/>
    <m/>
    <m/>
    <m/>
    <m/>
    <m/>
    <m/>
    <m/>
    <m/>
    <m/>
    <m/>
    <m/>
    <m/>
    <m/>
  </r>
  <r>
    <s v="2.4.3.1.3"/>
    <s v="CMS M.60.10.000"/>
    <x v="2"/>
    <n v="11"/>
    <s v="CURVA"/>
    <n v="10"/>
    <x v="1"/>
    <s v="NÃO"/>
    <s v="NÃO"/>
    <x v="74"/>
    <x v="3"/>
    <s v="DISPOSIÇÃO DE REJEITOS LINHA DO CIRCUITO ULTRAFINO DISTRIBUIDOR DI-145A-9903 PARA DISTRIBUIDOR DI-145A-9907"/>
    <m/>
    <m/>
    <m/>
    <s v="1450AA-T-70488_FL16"/>
    <n v="1"/>
    <s v="PÇ"/>
    <n v="0.46500000000000002"/>
    <n v="0.46500000000000002"/>
    <n v="2238.89"/>
    <n v="1041.08385"/>
    <n v="0"/>
    <n v="0.9"/>
    <n v="0.1"/>
    <m/>
    <m/>
    <x v="0"/>
    <m/>
    <m/>
    <m/>
    <m/>
    <m/>
    <m/>
    <m/>
    <m/>
    <m/>
    <m/>
    <m/>
    <m/>
    <m/>
    <m/>
    <m/>
    <m/>
    <m/>
  </r>
  <r>
    <s v="2.4.3.1.3"/>
    <s v="CMS M.60.10.000"/>
    <x v="2"/>
    <n v="12"/>
    <s v="SPOOL"/>
    <n v="10"/>
    <x v="1"/>
    <s v="NÃO"/>
    <s v="NÃO"/>
    <x v="74"/>
    <x v="3"/>
    <s v="DISPOSIÇÃO DE REJEITOS LINHA DO CIRCUITO ULTRAFINO DISTRIBUIDOR DI-145A-9903 PARA DISTRIBUIDOR DI-145A-9907"/>
    <m/>
    <m/>
    <m/>
    <s v="1450AA-T-70488_FL11"/>
    <n v="2"/>
    <s v="PÇ"/>
    <n v="4.5"/>
    <n v="9"/>
    <n v="2238.89"/>
    <n v="20150.009999999998"/>
    <n v="0"/>
    <n v="0.9"/>
    <n v="0.1"/>
    <m/>
    <m/>
    <x v="0"/>
    <m/>
    <m/>
    <m/>
    <m/>
    <m/>
    <m/>
    <m/>
    <m/>
    <m/>
    <m/>
    <m/>
    <m/>
    <m/>
    <m/>
    <m/>
    <m/>
    <m/>
  </r>
  <r>
    <s v="2.4.3.1.3"/>
    <s v="CMS M.60.10.000"/>
    <x v="2"/>
    <n v="13"/>
    <s v="CURVA"/>
    <n v="10"/>
    <x v="1"/>
    <s v="NÃO"/>
    <s v="NÃO"/>
    <x v="74"/>
    <x v="3"/>
    <s v="DISPOSIÇÃO DE REJEITOS LINHA DO CIRCUITO ULTRAFINO DISTRIBUIDOR DI-145A-9903 PARA DISTRIBUIDOR DI-145A-9907"/>
    <m/>
    <m/>
    <m/>
    <s v="1450AA-T-70488_FL17"/>
    <n v="2"/>
    <s v="PÇ"/>
    <n v="0.69799999999999995"/>
    <n v="1.3959999999999999"/>
    <n v="2238.89"/>
    <n v="3125.4904399999996"/>
    <n v="0"/>
    <n v="0.9"/>
    <n v="0.1"/>
    <m/>
    <m/>
    <x v="0"/>
    <m/>
    <m/>
    <m/>
    <m/>
    <m/>
    <m/>
    <m/>
    <m/>
    <m/>
    <m/>
    <m/>
    <m/>
    <m/>
    <m/>
    <m/>
    <m/>
    <m/>
  </r>
  <r>
    <s v="2.4.3.1.3"/>
    <s v="CMS M.60.10.000"/>
    <x v="2"/>
    <n v="14"/>
    <s v="SPOOL"/>
    <n v="10"/>
    <x v="1"/>
    <s v="NÃO"/>
    <s v="NÃO"/>
    <x v="74"/>
    <x v="3"/>
    <s v="DISPOSIÇÃO DE REJEITOS LINHA DO CIRCUITO ULTRAFINO DISTRIBUIDOR DI-145A-9903 PARA DISTRIBUIDOR DI-145A-9907"/>
    <m/>
    <m/>
    <m/>
    <s v="1450AA-T-70488_FL08"/>
    <n v="1"/>
    <s v="PÇ"/>
    <n v="1.5"/>
    <n v="1.5"/>
    <n v="2238.89"/>
    <n v="3358.335"/>
    <n v="0"/>
    <n v="0.9"/>
    <n v="0.1"/>
    <m/>
    <m/>
    <x v="0"/>
    <m/>
    <m/>
    <m/>
    <m/>
    <m/>
    <m/>
    <m/>
    <m/>
    <m/>
    <m/>
    <m/>
    <m/>
    <m/>
    <m/>
    <m/>
    <m/>
    <m/>
  </r>
  <r>
    <s v="2.4.3.1.3"/>
    <s v="CMS M.60.10.000"/>
    <x v="2"/>
    <n v="15"/>
    <s v="SPOOL"/>
    <n v="10"/>
    <x v="2"/>
    <s v="NÃO"/>
    <s v="NÃO"/>
    <x v="74"/>
    <x v="3"/>
    <s v="DISPOSIÇÃO DE REJEITOS LINHA DO CIRCUITO ULTRAFINO DISTRIBUIDOR DI-145A-9903 PARA DISTRIBUIDOR DI-145A-9907"/>
    <m/>
    <m/>
    <m/>
    <s v="1450AA-T-70488_FL12"/>
    <n v="1"/>
    <s v="PÇ"/>
    <n v="0.43"/>
    <n v="0.43"/>
    <n v="2238.89"/>
    <n v="962.72269999999992"/>
    <n v="0"/>
    <n v="0.9"/>
    <n v="0.1"/>
    <m/>
    <m/>
    <x v="0"/>
    <m/>
    <m/>
    <m/>
    <m/>
    <m/>
    <m/>
    <m/>
    <m/>
    <m/>
    <m/>
    <m/>
    <m/>
    <m/>
    <m/>
    <m/>
    <m/>
    <m/>
  </r>
  <r>
    <s v="2.4.3.1.3"/>
    <s v="CMS M.60.10.000"/>
    <x v="2"/>
    <n v="16"/>
    <s v="SPOOL"/>
    <n v="10"/>
    <x v="1"/>
    <s v="NÃO"/>
    <s v="NÃO"/>
    <x v="74"/>
    <x v="3"/>
    <s v="DISPOSIÇÃO DE REJEITOS LINHA DO CIRCUITO ULTRAFINO DISTRIBUIDOR DI-145A-9903 PARA DISTRIBUIDOR DI-145A-9907"/>
    <m/>
    <m/>
    <m/>
    <s v="1450AA-T-70488_FL23"/>
    <n v="1"/>
    <s v="PÇ"/>
    <n v="1.5"/>
    <n v="1.5"/>
    <n v="2238.89"/>
    <n v="3358.335"/>
    <n v="0"/>
    <n v="0.9"/>
    <n v="0.1"/>
    <m/>
    <m/>
    <x v="0"/>
    <m/>
    <m/>
    <m/>
    <m/>
    <m/>
    <m/>
    <m/>
    <m/>
    <m/>
    <m/>
    <m/>
    <m/>
    <m/>
    <m/>
    <m/>
    <m/>
    <m/>
  </r>
  <r>
    <s v="2.4.3.1.5"/>
    <s v="CMS M.60.10.000"/>
    <x v="2"/>
    <n v="1"/>
    <s v="CURVA"/>
    <n v="14"/>
    <x v="1"/>
    <s v="NÃO"/>
    <s v="NÃO"/>
    <x v="75"/>
    <x v="3"/>
    <s v="DISPOSIÇÃO DE REJEITOS LINHA DO CIRCUITO ULTRAFINO DISTRIBUIDOR DI-145A-9903 PARA DISTRIBUIDOR DI-145A-9908"/>
    <m/>
    <m/>
    <m/>
    <s v="1450AA-T-70490_FL22"/>
    <n v="1"/>
    <s v="PÇ"/>
    <n v="0.94499999999999995"/>
    <n v="0.94499999999999995"/>
    <n v="2725.4"/>
    <n v="2575.5030000000002"/>
    <n v="0"/>
    <n v="0.9"/>
    <n v="0.1"/>
    <m/>
    <m/>
    <x v="0"/>
    <m/>
    <m/>
    <m/>
    <m/>
    <m/>
    <m/>
    <m/>
    <m/>
    <m/>
    <m/>
    <m/>
    <m/>
    <m/>
    <m/>
    <m/>
    <m/>
    <m/>
  </r>
  <r>
    <s v="2.4.3.1.3"/>
    <s v="CMS M.60.10.000"/>
    <x v="2"/>
    <n v="2"/>
    <s v="REDUÇÃO"/>
    <s v="14 X 10"/>
    <x v="1"/>
    <s v="NÃO"/>
    <s v="NÃO"/>
    <x v="75"/>
    <x v="3"/>
    <s v="DISPOSIÇÃO DE REJEITOS LINHA DO CIRCUITO ULTRAFINO DISTRIBUIDOR DI-145A-9903 PARA DISTRIBUIDOR DI-145A-9908"/>
    <m/>
    <m/>
    <m/>
    <s v="1450AA-T-70490_FL23"/>
    <n v="1"/>
    <s v="PÇ"/>
    <n v="0.63"/>
    <n v="0.63"/>
    <n v="2238.89"/>
    <n v="1410.5006999999998"/>
    <n v="0"/>
    <n v="0.9"/>
    <n v="0.1"/>
    <m/>
    <m/>
    <x v="0"/>
    <m/>
    <m/>
    <m/>
    <m/>
    <m/>
    <m/>
    <m/>
    <m/>
    <m/>
    <m/>
    <m/>
    <m/>
    <m/>
    <m/>
    <m/>
    <m/>
    <m/>
  </r>
  <r>
    <s v="2.4.3.1.3"/>
    <s v="CMS M.60.10.000"/>
    <x v="2"/>
    <n v="3"/>
    <s v="SPOOL"/>
    <n v="10"/>
    <x v="1"/>
    <s v="NÃO"/>
    <s v="NÃO"/>
    <x v="75"/>
    <x v="3"/>
    <s v="DISPOSIÇÃO DE REJEITOS LINHA DO CIRCUITO ULTRAFINO DISTRIBUIDOR DI-145A-9903 PARA DISTRIBUIDOR DI-145A-9908"/>
    <m/>
    <m/>
    <m/>
    <s v="1450AA-T-70490_FL11"/>
    <n v="1"/>
    <s v="PÇ"/>
    <n v="0.33500000000000002"/>
    <n v="0.33500000000000002"/>
    <n v="2238.89"/>
    <n v="750.02814999999998"/>
    <n v="0"/>
    <n v="0.9"/>
    <n v="0.1"/>
    <m/>
    <m/>
    <x v="0"/>
    <m/>
    <m/>
    <m/>
    <m/>
    <m/>
    <m/>
    <m/>
    <m/>
    <m/>
    <m/>
    <m/>
    <m/>
    <m/>
    <m/>
    <m/>
    <m/>
    <m/>
  </r>
  <r>
    <s v="2.4.3.1.3"/>
    <s v="CMS M.60.10.000"/>
    <x v="2"/>
    <n v="4"/>
    <s v="CURVA"/>
    <n v="10"/>
    <x v="1"/>
    <s v="NÃO"/>
    <s v="NÃO"/>
    <x v="75"/>
    <x v="3"/>
    <s v="DISPOSIÇÃO DE REJEITOS LINHA DO CIRCUITO ULTRAFINO DISTRIBUIDOR DI-145A-9903 PARA DISTRIBUIDOR DI-145A-9908"/>
    <m/>
    <m/>
    <m/>
    <s v="1450AA-T-70490_FL15"/>
    <n v="1"/>
    <s v="PÇ"/>
    <n v="0.33"/>
    <n v="0.33"/>
    <n v="2238.89"/>
    <n v="738.83370000000002"/>
    <n v="0"/>
    <n v="0.9"/>
    <n v="0.1"/>
    <m/>
    <m/>
    <x v="0"/>
    <m/>
    <m/>
    <m/>
    <m/>
    <m/>
    <m/>
    <m/>
    <m/>
    <m/>
    <m/>
    <m/>
    <m/>
    <m/>
    <m/>
    <m/>
    <m/>
    <m/>
  </r>
  <r>
    <s v="2.4.3.1.3"/>
    <s v="CMS M.60.10.000"/>
    <x v="2"/>
    <n v="5"/>
    <s v="SPOOL"/>
    <n v="10"/>
    <x v="2"/>
    <s v="NÃO"/>
    <s v="NÃO"/>
    <x v="75"/>
    <x v="3"/>
    <s v="DISPOSIÇÃO DE REJEITOS LINHA DO CIRCUITO ULTRAFINO DISTRIBUIDOR DI-145A-9903 PARA DISTRIBUIDOR DI-145A-9908"/>
    <m/>
    <m/>
    <m/>
    <s v="1450AA-T-70490_FL18"/>
    <n v="3"/>
    <s v="PÇ"/>
    <n v="0.9"/>
    <n v="2.7"/>
    <n v="2238.89"/>
    <n v="6045.0029999999997"/>
    <n v="0"/>
    <n v="0.9"/>
    <n v="0.1"/>
    <m/>
    <m/>
    <x v="0"/>
    <m/>
    <m/>
    <m/>
    <m/>
    <m/>
    <m/>
    <m/>
    <m/>
    <m/>
    <m/>
    <m/>
    <m/>
    <m/>
    <m/>
    <m/>
    <m/>
    <m/>
  </r>
  <r>
    <s v="2.4.3.1.3"/>
    <s v="CMS M.60.10.000"/>
    <x v="2"/>
    <n v="6"/>
    <s v="CURVA"/>
    <n v="10"/>
    <x v="1"/>
    <s v="NÃO"/>
    <s v="NÃO"/>
    <x v="75"/>
    <x v="3"/>
    <s v="DISPOSIÇÃO DE REJEITOS LINHA DO CIRCUITO ULTRAFINO DISTRIBUIDOR DI-145A-9903 PARA DISTRIBUIDOR DI-145A-9908"/>
    <m/>
    <m/>
    <m/>
    <s v="1450AA-T-70490_FL19"/>
    <n v="2"/>
    <s v="PÇ"/>
    <n v="0.46500000000000002"/>
    <n v="0.93"/>
    <n v="2238.89"/>
    <n v="2082.1677"/>
    <n v="0"/>
    <n v="0.9"/>
    <n v="0.1"/>
    <m/>
    <m/>
    <x v="0"/>
    <m/>
    <m/>
    <m/>
    <m/>
    <m/>
    <m/>
    <m/>
    <m/>
    <m/>
    <m/>
    <m/>
    <m/>
    <m/>
    <m/>
    <m/>
    <m/>
    <m/>
  </r>
  <r>
    <s v="2.4.3.1.3"/>
    <s v="CMS M.60.10.000"/>
    <x v="2"/>
    <n v="7"/>
    <s v="SPOOL"/>
    <n v="10"/>
    <x v="1"/>
    <s v="NÃO"/>
    <s v="NÃO"/>
    <x v="75"/>
    <x v="3"/>
    <s v="DISPOSIÇÃO DE REJEITOS LINHA DO CIRCUITO ULTRAFINO DISTRIBUIDOR DI-145A-9903 PARA DISTRIBUIDOR DI-145A-9908"/>
    <m/>
    <m/>
    <m/>
    <s v="1450AA-T-70490_FL12"/>
    <n v="2"/>
    <s v="PÇ"/>
    <n v="3"/>
    <n v="6"/>
    <n v="2238.89"/>
    <n v="13433.34"/>
    <n v="0"/>
    <n v="0.9"/>
    <n v="0.1"/>
    <m/>
    <m/>
    <x v="0"/>
    <m/>
    <m/>
    <m/>
    <m/>
    <m/>
    <m/>
    <m/>
    <m/>
    <m/>
    <m/>
    <m/>
    <m/>
    <m/>
    <m/>
    <m/>
    <m/>
    <m/>
  </r>
  <r>
    <s v="2.4.3.1.3"/>
    <s v="CMS M.60.10.000"/>
    <x v="2"/>
    <n v="8"/>
    <s v="CURVA"/>
    <n v="10"/>
    <x v="1"/>
    <s v="NÃO"/>
    <s v="NÃO"/>
    <x v="75"/>
    <x v="3"/>
    <s v="DISPOSIÇÃO DE REJEITOS LINHA DO CIRCUITO ULTRAFINO DISTRIBUIDOR DI-145A-9903 PARA DISTRIBUIDOR DI-145A-9908"/>
    <m/>
    <m/>
    <m/>
    <s v="1450AA-T-70490_FL21"/>
    <n v="3"/>
    <s v="PÇ"/>
    <n v="1.35"/>
    <n v="4.0500000000000007"/>
    <n v="2238.89"/>
    <n v="9067.5045000000009"/>
    <n v="0"/>
    <n v="0.9"/>
    <n v="0.1"/>
    <m/>
    <m/>
    <x v="0"/>
    <m/>
    <m/>
    <m/>
    <m/>
    <m/>
    <m/>
    <m/>
    <m/>
    <m/>
    <m/>
    <m/>
    <m/>
    <m/>
    <m/>
    <m/>
    <m/>
    <m/>
  </r>
  <r>
    <s v="2.4.3.1.3"/>
    <s v="CMS M.60.10.000"/>
    <x v="2"/>
    <n v="9"/>
    <s v="SPOOL"/>
    <n v="10"/>
    <x v="2"/>
    <s v="NÃO"/>
    <s v="NÃO"/>
    <x v="75"/>
    <x v="3"/>
    <s v="DISPOSIÇÃO DE REJEITOS LINHA DO CIRCUITO ULTRAFINO DISTRIBUIDOR DI-145A-9903 PARA DISTRIBUIDOR DI-145A-9908"/>
    <m/>
    <m/>
    <m/>
    <s v="1450AA-T-70490_FL16"/>
    <n v="1"/>
    <s v="PÇ"/>
    <n v="0.75"/>
    <n v="0.75"/>
    <n v="2238.89"/>
    <n v="1679.1675"/>
    <n v="0"/>
    <n v="0.9"/>
    <n v="0.1"/>
    <m/>
    <m/>
    <x v="0"/>
    <m/>
    <m/>
    <m/>
    <m/>
    <m/>
    <m/>
    <m/>
    <m/>
    <m/>
    <m/>
    <m/>
    <m/>
    <m/>
    <m/>
    <m/>
    <m/>
    <m/>
  </r>
  <r>
    <s v="2.4.3.1.3"/>
    <s v="CMS M.60.10.000"/>
    <x v="2"/>
    <n v="10"/>
    <s v="SPOOL"/>
    <n v="10"/>
    <x v="1"/>
    <s v="NÃO"/>
    <s v="NÃO"/>
    <x v="75"/>
    <x v="3"/>
    <s v="DISPOSIÇÃO DE REJEITOS LINHA DO CIRCUITO ULTRAFINO DISTRIBUIDOR DI-145A-9903 PARA DISTRIBUIDOR DI-145A-9908"/>
    <m/>
    <m/>
    <m/>
    <s v="1450AA-T-70490_FL13"/>
    <n v="2"/>
    <s v="PÇ"/>
    <n v="5.5"/>
    <n v="11"/>
    <n v="2238.89"/>
    <n v="24627.789999999997"/>
    <n v="0"/>
    <n v="0.9"/>
    <n v="0.1"/>
    <m/>
    <m/>
    <x v="0"/>
    <m/>
    <m/>
    <m/>
    <m/>
    <m/>
    <m/>
    <m/>
    <m/>
    <m/>
    <m/>
    <m/>
    <m/>
    <m/>
    <m/>
    <m/>
    <m/>
    <m/>
  </r>
  <r>
    <s v="2.4.3.1.3"/>
    <s v="CMS M.60.10.000"/>
    <x v="2"/>
    <n v="11"/>
    <s v="SPOOL"/>
    <n v="10"/>
    <x v="1"/>
    <s v="NÃO"/>
    <s v="NÃO"/>
    <x v="75"/>
    <x v="3"/>
    <s v="DISPOSIÇÃO DE REJEITOS LINHA DO CIRCUITO ULTRAFINO DISTRIBUIDOR DI-145A-9903 PARA DISTRIBUIDOR DI-145A-9908"/>
    <m/>
    <m/>
    <m/>
    <s v="1450AA-T-70490_FL10"/>
    <n v="1"/>
    <s v="PÇ"/>
    <n v="1.5"/>
    <n v="1.5"/>
    <n v="2238.89"/>
    <n v="3358.335"/>
    <n v="0"/>
    <n v="0.9"/>
    <n v="0.1"/>
    <m/>
    <m/>
    <x v="0"/>
    <m/>
    <m/>
    <m/>
    <m/>
    <m/>
    <m/>
    <m/>
    <m/>
    <m/>
    <m/>
    <m/>
    <m/>
    <m/>
    <m/>
    <m/>
    <m/>
    <m/>
  </r>
  <r>
    <s v="2.4.3.1.3"/>
    <s v="CMS M.60.10.000"/>
    <x v="2"/>
    <n v="12"/>
    <s v="CURVA"/>
    <n v="10"/>
    <x v="1"/>
    <s v="NÃO"/>
    <s v="NÃO"/>
    <x v="75"/>
    <x v="3"/>
    <s v="DISPOSIÇÃO DE REJEITOS LINHA DO CIRCUITO ULTRAFINO DISTRIBUIDOR DI-145A-9903 PARA DISTRIBUIDOR DI-145A-9908"/>
    <m/>
    <m/>
    <m/>
    <s v="1450AA-T-70490_FL20"/>
    <n v="2"/>
    <s v="PÇ"/>
    <n v="0.69799999999999995"/>
    <n v="1.3959999999999999"/>
    <n v="2238.89"/>
    <n v="3125.4904399999996"/>
    <n v="0"/>
    <n v="0.9"/>
    <n v="0.1"/>
    <m/>
    <m/>
    <x v="0"/>
    <m/>
    <m/>
    <m/>
    <m/>
    <m/>
    <m/>
    <m/>
    <m/>
    <m/>
    <m/>
    <m/>
    <m/>
    <m/>
    <m/>
    <m/>
    <m/>
    <m/>
  </r>
  <r>
    <s v="2.4.3.1.3"/>
    <s v="CMS M.60.10.000"/>
    <x v="2"/>
    <n v="13"/>
    <s v="SPOOL"/>
    <n v="10"/>
    <x v="1"/>
    <s v="NÃO"/>
    <s v="NÃO"/>
    <x v="75"/>
    <x v="3"/>
    <s v="DISPOSIÇÃO DE REJEITOS LINHA DO CIRCUITO ULTRAFINO DISTRIBUIDOR DI-145A-9903 PARA DISTRIBUIDOR DI-145A-9908"/>
    <m/>
    <m/>
    <m/>
    <s v="1450AA-T-70490_FL09"/>
    <n v="2"/>
    <s v="PÇ"/>
    <n v="1"/>
    <n v="2"/>
    <n v="2238.89"/>
    <n v="4477.78"/>
    <n v="0"/>
    <n v="0.9"/>
    <n v="0.1"/>
    <m/>
    <m/>
    <x v="0"/>
    <m/>
    <m/>
    <m/>
    <m/>
    <m/>
    <m/>
    <m/>
    <m/>
    <m/>
    <m/>
    <m/>
    <m/>
    <m/>
    <m/>
    <m/>
    <m/>
    <m/>
  </r>
  <r>
    <s v="2.4.3.1.3"/>
    <s v="CMS M.60.10.000"/>
    <x v="2"/>
    <n v="14"/>
    <s v="SPOOL"/>
    <n v="10"/>
    <x v="1"/>
    <s v="NÃO"/>
    <s v="NÃO"/>
    <x v="75"/>
    <x v="3"/>
    <s v="DISPOSIÇÃO DE REJEITOS LINHA DO CIRCUITO ULTRAFINO DISTRIBUIDOR DI-145A-9903 PARA DISTRIBUIDOR DI-145A-9908"/>
    <m/>
    <m/>
    <m/>
    <s v="1450AA-T-70490_FL14"/>
    <n v="3"/>
    <s v="PÇ"/>
    <n v="6"/>
    <n v="18"/>
    <n v="2238.89"/>
    <n v="40300.019999999997"/>
    <n v="0"/>
    <n v="0.9"/>
    <n v="0.1"/>
    <m/>
    <m/>
    <x v="0"/>
    <m/>
    <m/>
    <m/>
    <m/>
    <m/>
    <m/>
    <m/>
    <m/>
    <m/>
    <m/>
    <m/>
    <m/>
    <m/>
    <m/>
    <m/>
    <m/>
    <m/>
  </r>
  <r>
    <s v="2.4.3.1.3"/>
    <s v="CMS M.60.10.000"/>
    <x v="2"/>
    <n v="15"/>
    <s v="SPOOL"/>
    <n v="10"/>
    <x v="2"/>
    <s v="NÃO"/>
    <s v="NÃO"/>
    <x v="75"/>
    <x v="3"/>
    <s v="DISPOSIÇÃO DE REJEITOS LINHA DO CIRCUITO ULTRAFINO DISTRIBUIDOR DI-145A-9903 PARA DISTRIBUIDOR DI-145A-9908"/>
    <m/>
    <m/>
    <m/>
    <s v="1450AA-T-70490_FL17"/>
    <n v="1"/>
    <s v="PÇ"/>
    <n v="0.8"/>
    <n v="0.8"/>
    <n v="2238.89"/>
    <n v="1791.1120000000001"/>
    <n v="0"/>
    <n v="0.9"/>
    <n v="0.1"/>
    <m/>
    <m/>
    <x v="0"/>
    <m/>
    <m/>
    <m/>
    <m/>
    <m/>
    <m/>
    <m/>
    <m/>
    <m/>
    <m/>
    <m/>
    <m/>
    <m/>
    <m/>
    <m/>
    <m/>
    <m/>
  </r>
  <r>
    <s v="2.4.3.1.3"/>
    <s v="CMS M.60.10.000"/>
    <x v="2"/>
    <n v="16"/>
    <s v="SPOOL"/>
    <n v="10"/>
    <x v="1"/>
    <s v="NÃO"/>
    <s v="NÃO"/>
    <x v="75"/>
    <x v="3"/>
    <s v="DISPOSIÇÃO DE REJEITOS LINHA DO CIRCUITO ULTRAFINO DISTRIBUIDOR DI-145A-9903 PARA DISTRIBUIDOR DI-145A-9908"/>
    <m/>
    <m/>
    <m/>
    <s v="1450AA-T-70490_FL08"/>
    <n v="1"/>
    <s v="PÇ"/>
    <n v="0.8"/>
    <n v="0.8"/>
    <n v="2238.89"/>
    <n v="1791.1120000000001"/>
    <n v="0"/>
    <n v="0.9"/>
    <n v="0.1"/>
    <m/>
    <m/>
    <x v="0"/>
    <m/>
    <m/>
    <m/>
    <m/>
    <m/>
    <m/>
    <m/>
    <m/>
    <m/>
    <m/>
    <m/>
    <m/>
    <m/>
    <m/>
    <m/>
    <m/>
    <m/>
  </r>
  <r>
    <s v="2.4.3.1.3"/>
    <s v="CMS M.60.10.000"/>
    <x v="2"/>
    <n v="17"/>
    <s v="SPOOL"/>
    <n v="10"/>
    <x v="1"/>
    <s v="NÃO"/>
    <s v="NÃO"/>
    <x v="75"/>
    <x v="3"/>
    <s v="DISPOSIÇÃO DE REJEITOS LINHA DO CIRCUITO ULTRAFINO DISTRIBUIDOR DI-145A-9903 PARA DISTRIBUIDOR DI-145A-9908"/>
    <m/>
    <m/>
    <m/>
    <s v="1450AA-T-70490_FL24"/>
    <n v="1"/>
    <s v="PÇ"/>
    <n v="1.5"/>
    <n v="1.5"/>
    <n v="2238.89"/>
    <n v="3358.335"/>
    <n v="0"/>
    <n v="0.9"/>
    <n v="0.1"/>
    <m/>
    <m/>
    <x v="0"/>
    <m/>
    <m/>
    <m/>
    <m/>
    <m/>
    <m/>
    <m/>
    <m/>
    <m/>
    <m/>
    <m/>
    <m/>
    <m/>
    <m/>
    <m/>
    <m/>
    <m/>
  </r>
  <r>
    <s v="2.4.3.1.2"/>
    <s v="CMS M.60.10.000"/>
    <x v="2"/>
    <n v="1"/>
    <s v="CURVA"/>
    <n v="8"/>
    <x v="1"/>
    <s v="NÃO"/>
    <s v="NÃO"/>
    <x v="76"/>
    <x v="3"/>
    <s v="DISPOSIÇÃO DE REJEITOS LINHA DO CIRCUITO ULTRAFINO DISTRIBUIDOR DI-145A-9908 PARA A PENEIRA PN-145A-9716"/>
    <m/>
    <m/>
    <m/>
    <s v="1450AA-T-70493_FL19"/>
    <n v="1"/>
    <s v="PÇ"/>
    <n v="0.57999999999999996"/>
    <n v="0.57999999999999996"/>
    <n v="1651.88"/>
    <n v="958.09040000000005"/>
    <n v="0"/>
    <n v="0.9"/>
    <n v="0.1"/>
    <m/>
    <m/>
    <x v="0"/>
    <m/>
    <m/>
    <m/>
    <m/>
    <m/>
    <m/>
    <m/>
    <m/>
    <m/>
    <m/>
    <m/>
    <m/>
    <m/>
    <m/>
    <m/>
    <m/>
    <m/>
  </r>
  <r>
    <s v="2.4.3.1.2"/>
    <s v="CMS M.60.10.000"/>
    <x v="2"/>
    <n v="2"/>
    <s v="SPOOL"/>
    <n v="8"/>
    <x v="1"/>
    <s v="NÃO"/>
    <s v="NÃO"/>
    <x v="76"/>
    <x v="3"/>
    <s v="DISPOSIÇÃO DE REJEITOS LINHA DO CIRCUITO ULTRAFINO DISTRIBUIDOR DI-145A-9908 PARA A PENEIRA PN-145A-9716"/>
    <m/>
    <m/>
    <m/>
    <s v="1450AA-T-70493_FL12"/>
    <n v="1"/>
    <s v="PÇ"/>
    <n v="1.5"/>
    <n v="1.5"/>
    <n v="1651.88"/>
    <n v="2477.8200000000002"/>
    <n v="0"/>
    <n v="0.9"/>
    <n v="0.1"/>
    <m/>
    <m/>
    <x v="0"/>
    <m/>
    <m/>
    <m/>
    <m/>
    <m/>
    <m/>
    <m/>
    <m/>
    <m/>
    <m/>
    <m/>
    <m/>
    <m/>
    <m/>
    <m/>
    <m/>
    <m/>
  </r>
  <r>
    <s v="2.4.3.1.2"/>
    <s v="CMS M.60.10.000"/>
    <x v="2"/>
    <n v="3"/>
    <s v="SPOOL"/>
    <n v="8"/>
    <x v="2"/>
    <s v="NÃO"/>
    <s v="NÃO"/>
    <x v="76"/>
    <x v="3"/>
    <s v="DISPOSIÇÃO DE REJEITOS LINHA DO CIRCUITO ULTRAFINO DISTRIBUIDOR DI-145A-9908 PARA A PENEIRA PN-145A-9716"/>
    <m/>
    <m/>
    <m/>
    <s v="1450AA-T-70493_FL15"/>
    <n v="1"/>
    <s v="PÇ"/>
    <n v="0.54"/>
    <n v="0.54"/>
    <n v="1651.88"/>
    <n v="892.01520000000016"/>
    <n v="0"/>
    <n v="0.9"/>
    <n v="0.1"/>
    <m/>
    <m/>
    <x v="0"/>
    <m/>
    <m/>
    <m/>
    <m/>
    <m/>
    <m/>
    <m/>
    <m/>
    <m/>
    <m/>
    <m/>
    <m/>
    <m/>
    <m/>
    <m/>
    <m/>
    <m/>
  </r>
  <r>
    <s v="2.4.3.1.2"/>
    <s v="CMS M.60.10.000"/>
    <x v="2"/>
    <n v="4"/>
    <s v="CURVA"/>
    <n v="8"/>
    <x v="1"/>
    <s v="NÃO"/>
    <s v="NÃO"/>
    <x v="76"/>
    <x v="3"/>
    <s v="DISPOSIÇÃO DE REJEITOS LINHA DO CIRCUITO ULTRAFINO DISTRIBUIDOR DI-145A-9908 PARA A PENEIRA PN-145A-9716"/>
    <m/>
    <m/>
    <m/>
    <s v="1450AA-T-70493_FL17"/>
    <n v="1"/>
    <s v="PÇ"/>
    <n v="0.47"/>
    <n v="0.47"/>
    <n v="1651.88"/>
    <n v="776.3836"/>
    <n v="0"/>
    <n v="0.9"/>
    <n v="0.1"/>
    <m/>
    <m/>
    <x v="0"/>
    <m/>
    <m/>
    <m/>
    <m/>
    <m/>
    <m/>
    <m/>
    <m/>
    <m/>
    <m/>
    <m/>
    <m/>
    <m/>
    <m/>
    <m/>
    <m/>
    <m/>
  </r>
  <r>
    <s v="2.4.3.1.2"/>
    <s v="CMS M.60.10.000"/>
    <x v="2"/>
    <n v="5"/>
    <s v="SPOOL"/>
    <n v="8"/>
    <x v="1"/>
    <s v="NÃO"/>
    <s v="NÃO"/>
    <x v="76"/>
    <x v="3"/>
    <s v="DISPOSIÇÃO DE REJEITOS LINHA DO CIRCUITO ULTRAFINO DISTRIBUIDOR DI-145A-9908 PARA A PENEIRA PN-145A-9716"/>
    <m/>
    <m/>
    <m/>
    <s v="1450AA-T-70493_FL13"/>
    <n v="1"/>
    <s v="PÇ"/>
    <n v="3"/>
    <n v="3"/>
    <n v="1651.88"/>
    <n v="4955.6400000000003"/>
    <n v="0"/>
    <n v="0.9"/>
    <n v="0.1"/>
    <m/>
    <m/>
    <x v="0"/>
    <m/>
    <m/>
    <m/>
    <m/>
    <m/>
    <m/>
    <m/>
    <m/>
    <m/>
    <m/>
    <m/>
    <m/>
    <m/>
    <m/>
    <m/>
    <m/>
    <m/>
  </r>
  <r>
    <s v="2.4.3.1.2"/>
    <s v="CMS M.60.10.000"/>
    <x v="2"/>
    <n v="6"/>
    <s v="SPOOL"/>
    <n v="8"/>
    <x v="2"/>
    <s v="NÃO"/>
    <s v="NÃO"/>
    <x v="76"/>
    <x v="3"/>
    <s v="DISPOSIÇÃO DE REJEITOS LINHA DO CIRCUITO ULTRAFINO DISTRIBUIDOR DI-145A-9908 PARA A PENEIRA PN-145A-9716"/>
    <m/>
    <m/>
    <m/>
    <s v="1450AA-T-70493_FL16"/>
    <n v="1"/>
    <s v="PÇ"/>
    <n v="0.8"/>
    <n v="0.8"/>
    <n v="1651.88"/>
    <n v="1321.5040000000001"/>
    <n v="0"/>
    <n v="0.9"/>
    <n v="0.1"/>
    <m/>
    <m/>
    <x v="0"/>
    <m/>
    <m/>
    <m/>
    <m/>
    <m/>
    <m/>
    <m/>
    <m/>
    <m/>
    <m/>
    <m/>
    <m/>
    <m/>
    <m/>
    <m/>
    <m/>
    <m/>
  </r>
  <r>
    <s v="2.4.3.1.2"/>
    <s v="CMS M.60.10.000"/>
    <x v="2"/>
    <n v="7"/>
    <s v="CURVA"/>
    <n v="8"/>
    <x v="1"/>
    <s v="NÃO"/>
    <s v="NÃO"/>
    <x v="76"/>
    <x v="3"/>
    <s v="DISPOSIÇÃO DE REJEITOS LINHA DO CIRCUITO ULTRAFINO DISTRIBUIDOR DI-145A-9908 PARA A PENEIRA PN-145A-9716"/>
    <m/>
    <m/>
    <m/>
    <s v="1450AA-T-70493_FL20"/>
    <n v="1"/>
    <s v="PÇ"/>
    <n v="0.61099999999999999"/>
    <n v="0.61099999999999999"/>
    <n v="1651.88"/>
    <n v="1009.29868"/>
    <n v="0"/>
    <n v="0.9"/>
    <n v="0.1"/>
    <m/>
    <m/>
    <x v="0"/>
    <m/>
    <m/>
    <m/>
    <m/>
    <m/>
    <m/>
    <m/>
    <m/>
    <m/>
    <m/>
    <m/>
    <m/>
    <m/>
    <m/>
    <m/>
    <m/>
    <m/>
  </r>
  <r>
    <s v="2.4.3.1.2"/>
    <s v="CMS M.60.10.000"/>
    <x v="2"/>
    <n v="8"/>
    <s v="SPOOL"/>
    <n v="8"/>
    <x v="1"/>
    <s v="NÃO"/>
    <s v="NÃO"/>
    <x v="76"/>
    <x v="3"/>
    <s v="DISPOSIÇÃO DE REJEITOS LINHA DO CIRCUITO ULTRAFINO DISTRIBUIDOR DI-145A-9908 PARA A PENEIRA PN-145A-9716"/>
    <m/>
    <m/>
    <m/>
    <s v="1450AA-T-70493_FL11"/>
    <n v="1"/>
    <s v="PÇ"/>
    <n v="1.19"/>
    <n v="1.19"/>
    <n v="1651.88"/>
    <n v="1965.7372"/>
    <n v="0"/>
    <n v="0.9"/>
    <n v="0.1"/>
    <m/>
    <m/>
    <x v="0"/>
    <m/>
    <m/>
    <m/>
    <m/>
    <m/>
    <m/>
    <m/>
    <m/>
    <m/>
    <m/>
    <m/>
    <m/>
    <m/>
    <m/>
    <m/>
    <m/>
    <m/>
  </r>
  <r>
    <s v="2.4.3.1.2"/>
    <s v="CMS M.60.10.000"/>
    <x v="2"/>
    <n v="9"/>
    <s v="CURVA"/>
    <n v="8"/>
    <x v="1"/>
    <s v="NÃO"/>
    <s v="NÃO"/>
    <x v="76"/>
    <x v="3"/>
    <s v="DISPOSIÇÃO DE REJEITOS LINHA DO CIRCUITO ULTRAFINO DISTRIBUIDOR DI-145A-9908 PARA A PENEIRA PN-145A-9716"/>
    <m/>
    <m/>
    <m/>
    <s v="1450AA-T-70493_FL18"/>
    <n v="1"/>
    <s v="PÇ"/>
    <n v="0.54200000000000004"/>
    <n v="0.54200000000000004"/>
    <n v="1651.88"/>
    <n v="895.31896000000017"/>
    <n v="0"/>
    <n v="0.9"/>
    <n v="0.1"/>
    <m/>
    <m/>
    <x v="0"/>
    <m/>
    <m/>
    <m/>
    <m/>
    <m/>
    <m/>
    <m/>
    <m/>
    <m/>
    <m/>
    <m/>
    <m/>
    <m/>
    <m/>
    <m/>
    <m/>
    <m/>
  </r>
  <r>
    <s v="2.4.3.1.2"/>
    <s v="CMS M.60.10.000"/>
    <x v="2"/>
    <n v="10"/>
    <s v="SPOOL"/>
    <n v="8"/>
    <x v="2"/>
    <s v="NÃO"/>
    <s v="NÃO"/>
    <x v="76"/>
    <x v="3"/>
    <s v="DISPOSIÇÃO DE REJEITOS LINHA DO CIRCUITO ULTRAFINO DISTRIBUIDOR DI-145A-9908 PARA A PENEIRA PN-145A-9716"/>
    <m/>
    <m/>
    <m/>
    <s v="1450AA-T-70493_FL14"/>
    <n v="1"/>
    <s v="PÇ"/>
    <n v="0.37"/>
    <n v="0.37"/>
    <n v="1651.88"/>
    <n v="611.19560000000001"/>
    <n v="0"/>
    <n v="0.9"/>
    <n v="0.1"/>
    <m/>
    <m/>
    <x v="0"/>
    <m/>
    <m/>
    <m/>
    <m/>
    <m/>
    <m/>
    <m/>
    <m/>
    <m/>
    <m/>
    <m/>
    <m/>
    <m/>
    <m/>
    <m/>
    <m/>
    <m/>
  </r>
  <r>
    <s v="2.4.3.1.1"/>
    <s v="CMS M.60.10.000"/>
    <x v="2"/>
    <n v="11"/>
    <s v="SPOOL"/>
    <s v="8 X 6"/>
    <x v="1"/>
    <s v="NÃO"/>
    <s v="NÃO"/>
    <x v="76"/>
    <x v="3"/>
    <s v="DISPOSIÇÃO DE REJEITOS LINHA DO CIRCUITO ULTRAFINO DISTRIBUIDOR DI-145A-9908 PARA A PENEIRA PN-145A-9716"/>
    <m/>
    <m/>
    <m/>
    <s v="1450AA-T-70493_FL09"/>
    <n v="1"/>
    <s v="PÇ"/>
    <n v="2.2999999999999998"/>
    <n v="2.2999999999999998"/>
    <n v="1169.77"/>
    <n v="2690.4709999999995"/>
    <n v="0"/>
    <n v="0.9"/>
    <n v="0.1"/>
    <m/>
    <m/>
    <x v="0"/>
    <m/>
    <m/>
    <m/>
    <m/>
    <m/>
    <m/>
    <m/>
    <m/>
    <m/>
    <m/>
    <m/>
    <m/>
    <m/>
    <m/>
    <m/>
    <m/>
    <m/>
  </r>
  <r>
    <s v="2.4.3.1.1"/>
    <s v="CMS M.60.10.000"/>
    <x v="2"/>
    <n v="12"/>
    <s v="FLANGE"/>
    <n v="6"/>
    <x v="1"/>
    <s v="NÃO"/>
    <s v="NÃO"/>
    <x v="76"/>
    <x v="3"/>
    <s v="DISPOSIÇÃO DE REJEITOS LINHA DO CIRCUITO ULTRAFINO DISTRIBUIDOR DI-145A-9908 PARA A PENEIRA PN-145A-9716"/>
    <m/>
    <m/>
    <m/>
    <s v="1450AA-T-70493_FL08"/>
    <n v="2"/>
    <s v="PÇ"/>
    <n v="0"/>
    <n v="0"/>
    <n v="1169.77"/>
    <n v="0"/>
    <n v="0"/>
    <n v="0.9"/>
    <n v="0.1"/>
    <m/>
    <m/>
    <x v="0"/>
    <m/>
    <m/>
    <m/>
    <m/>
    <m/>
    <m/>
    <m/>
    <m/>
    <m/>
    <m/>
    <m/>
    <m/>
    <m/>
    <m/>
    <m/>
    <m/>
    <m/>
  </r>
  <r>
    <s v="2.4.3.1.2"/>
    <s v="CMS M.60.10.000"/>
    <x v="2"/>
    <n v="1"/>
    <s v="CURVA"/>
    <n v="8"/>
    <x v="1"/>
    <s v="NÃO"/>
    <s v="NÃO"/>
    <x v="77"/>
    <x v="3"/>
    <s v="DISPOSIÇÃO DE REJEITOS LINHA DO CIRCUITO ULTRAFINO DISTRIBUIDOR DI-145A-9908 PARA A PENEIRA PN-145A-9717"/>
    <m/>
    <m/>
    <m/>
    <s v="1450AA-T-70495_FL19"/>
    <n v="1"/>
    <s v="PÇ"/>
    <n v="0.57999999999999996"/>
    <n v="0.57999999999999996"/>
    <n v="1651.88"/>
    <n v="958.09040000000005"/>
    <n v="0"/>
    <n v="0.9"/>
    <n v="0.1"/>
    <m/>
    <m/>
    <x v="0"/>
    <m/>
    <m/>
    <m/>
    <m/>
    <m/>
    <m/>
    <m/>
    <m/>
    <m/>
    <m/>
    <m/>
    <m/>
    <m/>
    <m/>
    <m/>
    <m/>
    <m/>
  </r>
  <r>
    <s v="2.4.3.1.2"/>
    <s v="CMS M.60.10.000"/>
    <x v="2"/>
    <n v="2"/>
    <s v="SPOOL"/>
    <n v="8"/>
    <x v="1"/>
    <s v="NÃO"/>
    <s v="NÃO"/>
    <x v="77"/>
    <x v="3"/>
    <s v="DISPOSIÇÃO DE REJEITOS LINHA DO CIRCUITO ULTRAFINO DISTRIBUIDOR DI-145A-9908 PARA A PENEIRA PN-145A-9717"/>
    <m/>
    <m/>
    <m/>
    <s v="1450AA-T-70495_FL11"/>
    <n v="1"/>
    <s v="PÇ"/>
    <n v="0.8"/>
    <n v="0.8"/>
    <n v="1651.88"/>
    <n v="1321.5040000000001"/>
    <n v="0"/>
    <n v="0.9"/>
    <n v="0.1"/>
    <m/>
    <m/>
    <x v="0"/>
    <m/>
    <m/>
    <m/>
    <m/>
    <m/>
    <m/>
    <m/>
    <m/>
    <m/>
    <m/>
    <m/>
    <m/>
    <m/>
    <m/>
    <m/>
    <m/>
    <m/>
  </r>
  <r>
    <s v="2.4.3.1.2"/>
    <s v="CMS M.60.10.000"/>
    <x v="2"/>
    <n v="3"/>
    <s v="SPOOL"/>
    <n v="8"/>
    <x v="2"/>
    <s v="NÃO"/>
    <s v="NÃO"/>
    <x v="77"/>
    <x v="3"/>
    <s v="DISPOSIÇÃO DE REJEITOS LINHA DO CIRCUITO ULTRAFINO DISTRIBUIDOR DI-145A-9908 PARA A PENEIRA PN-145A-9717"/>
    <m/>
    <m/>
    <m/>
    <s v="1450AA-T-70495_FL15"/>
    <n v="1"/>
    <s v="PÇ"/>
    <n v="0.57999999999999996"/>
    <n v="0.57999999999999996"/>
    <n v="1651.88"/>
    <n v="958.09040000000005"/>
    <n v="0"/>
    <n v="0.9"/>
    <n v="0.1"/>
    <m/>
    <m/>
    <x v="0"/>
    <m/>
    <m/>
    <m/>
    <m/>
    <m/>
    <m/>
    <m/>
    <m/>
    <m/>
    <m/>
    <m/>
    <m/>
    <m/>
    <m/>
    <m/>
    <m/>
    <m/>
  </r>
  <r>
    <s v="2.4.3.1.2"/>
    <s v="CMS M.60.10.000"/>
    <x v="2"/>
    <n v="4"/>
    <s v="CURVA"/>
    <n v="8"/>
    <x v="1"/>
    <s v="NÃO"/>
    <s v="NÃO"/>
    <x v="77"/>
    <x v="3"/>
    <s v="DISPOSIÇÃO DE REJEITOS LINHA DO CIRCUITO ULTRAFINO DISTRIBUIDOR DI-145A-9908 PARA A PENEIRA PN-145A-9717"/>
    <m/>
    <m/>
    <m/>
    <s v="1450AA-T-70495_FL17"/>
    <n v="1"/>
    <s v="PÇ"/>
    <n v="0.505"/>
    <n v="0.505"/>
    <n v="1651.88"/>
    <n v="834.19940000000008"/>
    <n v="0"/>
    <n v="0.9"/>
    <n v="0.1"/>
    <m/>
    <m/>
    <x v="0"/>
    <m/>
    <m/>
    <m/>
    <m/>
    <m/>
    <m/>
    <m/>
    <m/>
    <m/>
    <m/>
    <m/>
    <m/>
    <m/>
    <m/>
    <m/>
    <m/>
    <m/>
  </r>
  <r>
    <s v="2.4.3.1.2"/>
    <s v="CMS M.60.10.000"/>
    <x v="2"/>
    <n v="5"/>
    <s v="SPOOL"/>
    <n v="8"/>
    <x v="1"/>
    <s v="NÃO"/>
    <s v="NÃO"/>
    <x v="77"/>
    <x v="3"/>
    <s v="DISPOSIÇÃO DE REJEITOS LINHA DO CIRCUITO ULTRAFINO DISTRIBUIDOR DI-145A-9908 PARA A PENEIRA PN-145A-9717"/>
    <m/>
    <m/>
    <m/>
    <s v="1450AA-T-70495_FL13"/>
    <n v="1"/>
    <s v="PÇ"/>
    <n v="3.5"/>
    <n v="3.5"/>
    <n v="1651.88"/>
    <n v="5781.58"/>
    <n v="0"/>
    <n v="0.9"/>
    <n v="0.1"/>
    <m/>
    <m/>
    <x v="0"/>
    <m/>
    <m/>
    <m/>
    <m/>
    <m/>
    <m/>
    <m/>
    <m/>
    <m/>
    <m/>
    <m/>
    <m/>
    <m/>
    <m/>
    <m/>
    <m/>
    <m/>
  </r>
  <r>
    <s v="2.4.3.1.2"/>
    <s v="CMS M.60.10.000"/>
    <x v="2"/>
    <n v="6"/>
    <s v="SPOOL"/>
    <n v="8"/>
    <x v="2"/>
    <s v="NÃO"/>
    <s v="NÃO"/>
    <x v="77"/>
    <x v="3"/>
    <s v="DISPOSIÇÃO DE REJEITOS LINHA DO CIRCUITO ULTRAFINO DISTRIBUIDOR DI-145A-9908 PARA A PENEIRA PN-145A-9717"/>
    <m/>
    <m/>
    <m/>
    <s v="1450AA-T-70495_FL16"/>
    <n v="1"/>
    <s v="PÇ"/>
    <n v="0.78"/>
    <n v="0.78"/>
    <n v="1651.88"/>
    <n v="1288.4664"/>
    <n v="0"/>
    <n v="0.9"/>
    <n v="0.1"/>
    <m/>
    <m/>
    <x v="0"/>
    <m/>
    <m/>
    <m/>
    <m/>
    <m/>
    <m/>
    <m/>
    <m/>
    <m/>
    <m/>
    <m/>
    <m/>
    <m/>
    <m/>
    <m/>
    <m/>
    <m/>
  </r>
  <r>
    <s v="2.4.3.1.2"/>
    <s v="CMS M.60.10.000"/>
    <x v="2"/>
    <n v="7"/>
    <s v="CURVA"/>
    <n v="8"/>
    <x v="1"/>
    <s v="NÃO"/>
    <s v="NÃO"/>
    <x v="77"/>
    <x v="3"/>
    <s v="DISPOSIÇÃO DE REJEITOS LINHA DO CIRCUITO ULTRAFINO DISTRIBUIDOR DI-145A-9908 PARA A PENEIRA PN-145A-9717"/>
    <m/>
    <m/>
    <m/>
    <s v="1450AA-T-70495_FL20"/>
    <n v="1"/>
    <s v="PÇ"/>
    <n v="0.61099999999999999"/>
    <n v="0.61099999999999999"/>
    <n v="1651.88"/>
    <n v="1009.29868"/>
    <n v="0"/>
    <n v="0.9"/>
    <n v="0.1"/>
    <m/>
    <m/>
    <x v="0"/>
    <m/>
    <m/>
    <m/>
    <m/>
    <m/>
    <m/>
    <m/>
    <m/>
    <m/>
    <m/>
    <m/>
    <m/>
    <m/>
    <m/>
    <m/>
    <m/>
    <m/>
  </r>
  <r>
    <s v="2.4.3.1.2"/>
    <s v="CMS M.60.10.000"/>
    <x v="2"/>
    <n v="8"/>
    <s v="SPOOL"/>
    <n v="8"/>
    <x v="1"/>
    <s v="NÃO"/>
    <s v="NÃO"/>
    <x v="77"/>
    <x v="3"/>
    <s v="DISPOSIÇÃO DE REJEITOS LINHA DO CIRCUITO ULTRAFINO DISTRIBUIDOR DI-145A-9908 PARA A PENEIRA PN-145A-9717"/>
    <m/>
    <m/>
    <m/>
    <s v="1450AA-T-70495_FL12"/>
    <n v="1"/>
    <s v="PÇ"/>
    <n v="1.17"/>
    <n v="1.17"/>
    <n v="1651.88"/>
    <n v="1932.6995999999999"/>
    <n v="0"/>
    <n v="0.9"/>
    <n v="0.1"/>
    <m/>
    <m/>
    <x v="0"/>
    <m/>
    <m/>
    <m/>
    <m/>
    <m/>
    <m/>
    <m/>
    <m/>
    <m/>
    <m/>
    <m/>
    <m/>
    <m/>
    <m/>
    <m/>
    <m/>
    <m/>
  </r>
  <r>
    <s v="2.4.3.1.2"/>
    <s v="CMS M.60.10.000"/>
    <x v="2"/>
    <n v="9"/>
    <s v="CURVA"/>
    <n v="8"/>
    <x v="1"/>
    <s v="NÃO"/>
    <s v="NÃO"/>
    <x v="77"/>
    <x v="3"/>
    <s v="DISPOSIÇÃO DE REJEITOS LINHA DO CIRCUITO ULTRAFINO DISTRIBUIDOR DI-145A-9908 PARA A PENEIRA PN-145A-9717"/>
    <m/>
    <m/>
    <m/>
    <s v="1450AA-T-70495_FL18"/>
    <n v="1"/>
    <s v="PÇ"/>
    <n v="0.54200000000000004"/>
    <n v="0.54200000000000004"/>
    <n v="1651.88"/>
    <n v="895.31896000000017"/>
    <n v="0"/>
    <n v="0.9"/>
    <n v="0.1"/>
    <m/>
    <m/>
    <x v="0"/>
    <m/>
    <m/>
    <m/>
    <m/>
    <m/>
    <m/>
    <m/>
    <m/>
    <m/>
    <m/>
    <m/>
    <m/>
    <m/>
    <m/>
    <m/>
    <m/>
    <m/>
  </r>
  <r>
    <s v="2.4.3.1.2"/>
    <s v="CMS M.60.10.000"/>
    <x v="2"/>
    <n v="9"/>
    <s v="CURVA"/>
    <n v="8"/>
    <x v="1"/>
    <s v="NÃO"/>
    <s v="NÃO"/>
    <x v="77"/>
    <x v="3"/>
    <s v="DISPOSIÇÃO DE REJEITOS LINHA DO CIRCUITO ULTRAFINO DISTRIBUIDOR DI-145A-9908 PARA A PENEIRA PN-145A-9717"/>
    <m/>
    <m/>
    <m/>
    <s v="1450AA-T-70495_FL18"/>
    <n v="1"/>
    <s v="PÇ"/>
    <n v="0.54200000000000004"/>
    <n v="0.54200000000000004"/>
    <n v="1651.88"/>
    <n v="895.31896000000017"/>
    <n v="0"/>
    <n v="0.9"/>
    <n v="0.1"/>
    <m/>
    <m/>
    <x v="0"/>
    <m/>
    <m/>
    <m/>
    <m/>
    <m/>
    <m/>
    <m/>
    <m/>
    <m/>
    <m/>
    <m/>
    <m/>
    <m/>
    <m/>
    <m/>
    <m/>
    <m/>
  </r>
  <r>
    <s v="2.4.3.1.1"/>
    <s v="CMS M.60.10.000"/>
    <x v="2"/>
    <n v="11"/>
    <s v="SPOOL"/>
    <s v="8 X 6"/>
    <x v="1"/>
    <s v="NÃO"/>
    <s v="NÃO"/>
    <x v="77"/>
    <x v="3"/>
    <s v="DISPOSIÇÃO DE REJEITOS LINHA DO CIRCUITO ULTRAFINO DISTRIBUIDOR DI-145A-9908 PARA A PENEIRA PN-145A-9717"/>
    <m/>
    <m/>
    <m/>
    <s v="1450AA-T-70495_FL09"/>
    <n v="1"/>
    <s v="PÇ"/>
    <n v="2.2999999999999998"/>
    <n v="2.2999999999999998"/>
    <n v="1169.77"/>
    <n v="2690.4709999999995"/>
    <n v="0"/>
    <n v="0.9"/>
    <n v="0.1"/>
    <m/>
    <m/>
    <x v="0"/>
    <m/>
    <m/>
    <m/>
    <m/>
    <m/>
    <m/>
    <m/>
    <m/>
    <m/>
    <m/>
    <m/>
    <m/>
    <m/>
    <m/>
    <m/>
    <m/>
    <m/>
  </r>
  <r>
    <s v="2.4.3.1.1"/>
    <s v="CMS M.60.10.000"/>
    <x v="2"/>
    <n v="12"/>
    <s v="FLANGE"/>
    <n v="6"/>
    <x v="1"/>
    <s v="NÃO"/>
    <s v="NÃO"/>
    <x v="77"/>
    <x v="3"/>
    <s v="DISPOSIÇÃO DE REJEITOS LINHA DO CIRCUITO ULTRAFINO DISTRIBUIDOR DI-145A-9908 PARA A PENEIRA PN-145A-9717"/>
    <m/>
    <m/>
    <m/>
    <s v="1450AA-T-70495_FL08"/>
    <n v="2"/>
    <s v="PÇ"/>
    <n v="0"/>
    <n v="0"/>
    <n v="1169.77"/>
    <n v="0"/>
    <n v="0"/>
    <n v="0.9"/>
    <n v="0.1"/>
    <m/>
    <m/>
    <x v="0"/>
    <m/>
    <m/>
    <m/>
    <m/>
    <m/>
    <m/>
    <m/>
    <m/>
    <m/>
    <m/>
    <m/>
    <m/>
    <m/>
    <m/>
    <m/>
    <m/>
    <m/>
  </r>
  <r>
    <s v="2.4.3.1.3"/>
    <s v="CMS M.60.10.000"/>
    <x v="2"/>
    <n v="1"/>
    <s v="SPOOL"/>
    <n v="10"/>
    <x v="1"/>
    <s v="NÃO"/>
    <s v="NÃO"/>
    <x v="78"/>
    <x v="1"/>
    <s v="DISPOSIÇÃO DE REJEITOS LINHA DE BYPASS DAS PENEIRAS LINHA DO SEPARADOR MAGNÉTICO SM-143A-9601 P/ TANQUE TQ-142A-9701 ( BYPASS DAS PENEIRAS PN-143A-9701/9721 )"/>
    <m/>
    <m/>
    <m/>
    <s v="1450AA-T-70500_FL11"/>
    <n v="1"/>
    <s v="PÇ"/>
    <n v="1"/>
    <n v="1"/>
    <n v="2238.89"/>
    <n v="2238.89"/>
    <n v="0"/>
    <n v="0.9"/>
    <n v="0.1"/>
    <m/>
    <m/>
    <x v="0"/>
    <m/>
    <m/>
    <m/>
    <m/>
    <m/>
    <m/>
    <m/>
    <m/>
    <m/>
    <m/>
    <m/>
    <m/>
    <m/>
    <m/>
    <m/>
    <m/>
    <m/>
  </r>
  <r>
    <s v="2.4.3.1.3"/>
    <s v="CMS M.60.10.000"/>
    <x v="2"/>
    <n v="2"/>
    <s v="SPOOL"/>
    <n v="10"/>
    <x v="1"/>
    <s v="NÃO"/>
    <s v="NÃO"/>
    <x v="78"/>
    <x v="1"/>
    <s v="DISPOSIÇÃO DE REJEITOS LINHA DE BYPASS DAS PENEIRAS LINHA DO SEPARADOR MAGNÉTICO SM-143A-9601 P/ TANQUE TQ-142A-9701 ( BYPASS DAS PENEIRAS PN-143A-9701/9721 )"/>
    <m/>
    <m/>
    <m/>
    <s v="1450AA-T-70500_FL12"/>
    <n v="1"/>
    <s v="PÇ"/>
    <n v="1.49"/>
    <n v="1.49"/>
    <n v="2238.89"/>
    <n v="3335.9460999999997"/>
    <n v="0"/>
    <n v="0.9"/>
    <n v="0.1"/>
    <m/>
    <m/>
    <x v="0"/>
    <m/>
    <m/>
    <m/>
    <m/>
    <m/>
    <m/>
    <m/>
    <m/>
    <m/>
    <m/>
    <m/>
    <m/>
    <m/>
    <m/>
    <m/>
    <m/>
    <m/>
  </r>
  <r>
    <s v="2.4.3.1.3"/>
    <s v="CMS M.60.10.000"/>
    <x v="2"/>
    <n v="3"/>
    <s v="SPOOL"/>
    <n v="10"/>
    <x v="1"/>
    <s v="NÃO"/>
    <s v="NÃO"/>
    <x v="78"/>
    <x v="1"/>
    <s v="DISPOSIÇÃO DE REJEITOS LINHA DE BYPASS DAS PENEIRAS LINHA DO SEPARADOR MAGNÉTICO SM-143A-9601 P/ TANQUE TQ-142A-9701 ( BYPASS DAS PENEIRAS PN-143A-9701/9721 )"/>
    <m/>
    <m/>
    <m/>
    <s v="1450AA-T-70500_FL13"/>
    <n v="1"/>
    <s v="PÇ"/>
    <n v="6"/>
    <n v="6"/>
    <n v="2238.89"/>
    <n v="13433.34"/>
    <n v="0"/>
    <n v="0.9"/>
    <n v="0.1"/>
    <m/>
    <m/>
    <x v="0"/>
    <m/>
    <m/>
    <m/>
    <m/>
    <m/>
    <m/>
    <m/>
    <m/>
    <m/>
    <m/>
    <m/>
    <m/>
    <m/>
    <m/>
    <m/>
    <m/>
    <m/>
  </r>
  <r>
    <s v="2.4.3.1.3"/>
    <s v="CMS M.60.10.000"/>
    <x v="2"/>
    <n v="4"/>
    <s v="SPOOL"/>
    <n v="10"/>
    <x v="1"/>
    <s v="NÃO"/>
    <s v="NÃO"/>
    <x v="78"/>
    <x v="1"/>
    <s v="DISPOSIÇÃO DE REJEITOS LINHA DE BYPASS DAS PENEIRAS LINHA DO SEPARADOR MAGNÉTICO SM-143A-9601 P/ TANQUE TQ-142A-9701 ( BYPASS DAS PENEIRAS PN-143A-9701/9721 )"/>
    <m/>
    <m/>
    <m/>
    <s v="1450AA-T-70500_FL14"/>
    <n v="1"/>
    <s v="PÇ"/>
    <n v="3"/>
    <n v="3"/>
    <n v="2238.89"/>
    <n v="6716.67"/>
    <n v="0"/>
    <n v="0.9"/>
    <n v="0.1"/>
    <m/>
    <m/>
    <x v="0"/>
    <m/>
    <m/>
    <m/>
    <m/>
    <m/>
    <m/>
    <m/>
    <m/>
    <m/>
    <m/>
    <m/>
    <m/>
    <m/>
    <m/>
    <m/>
    <m/>
    <m/>
  </r>
  <r>
    <s v="2.4.3.1.3"/>
    <s v="CMS M.60.10.000"/>
    <x v="2"/>
    <n v="5"/>
    <s v="SPOOL"/>
    <n v="10"/>
    <x v="1"/>
    <s v="NÃO"/>
    <s v="NÃO"/>
    <x v="78"/>
    <x v="1"/>
    <s v="DISPOSIÇÃO DE REJEITOS LINHA DE BYPASS DAS PENEIRAS LINHA DO SEPARADOR MAGNÉTICO SM-143A-9601 P/ TANQUE TQ-142A-9701 ( BYPASS DAS PENEIRAS PN-143A-9701/9721 )"/>
    <m/>
    <m/>
    <m/>
    <s v="1450AA-T-70500_FL16"/>
    <n v="1"/>
    <s v="PÇ"/>
    <n v="2.8"/>
    <n v="2.8"/>
    <n v="2238.89"/>
    <n v="6268.8919999999989"/>
    <n v="0"/>
    <n v="0.9"/>
    <n v="0.1"/>
    <m/>
    <m/>
    <x v="0"/>
    <m/>
    <m/>
    <m/>
    <m/>
    <m/>
    <m/>
    <m/>
    <m/>
    <m/>
    <m/>
    <m/>
    <m/>
    <m/>
    <m/>
    <m/>
    <m/>
    <m/>
  </r>
  <r>
    <s v="2.4.3.1.3"/>
    <s v="CMS M.60.10.000"/>
    <x v="2"/>
    <n v="6"/>
    <s v="SPOOL"/>
    <n v="10"/>
    <x v="1"/>
    <s v="NÃO"/>
    <s v="NÃO"/>
    <x v="78"/>
    <x v="1"/>
    <s v="DISPOSIÇÃO DE REJEITOS LINHA DE BYPASS DAS PENEIRAS LINHA DO SEPARADOR MAGNÉTICO SM-143A-9601 P/ TANQUE TQ-142A-9701 ( BYPASS DAS PENEIRAS PN-143A-9701/9721 )"/>
    <m/>
    <m/>
    <m/>
    <s v="1450AA-T-70500_FL17"/>
    <n v="1"/>
    <s v="PÇ"/>
    <n v="2.5"/>
    <n v="2.5"/>
    <n v="2238.89"/>
    <n v="5597.2249999999995"/>
    <n v="0"/>
    <n v="0.9"/>
    <n v="0.1"/>
    <m/>
    <m/>
    <x v="0"/>
    <m/>
    <m/>
    <m/>
    <m/>
    <m/>
    <m/>
    <m/>
    <m/>
    <m/>
    <m/>
    <m/>
    <m/>
    <m/>
    <m/>
    <m/>
    <m/>
    <m/>
  </r>
  <r>
    <s v="2.4.3.1.3"/>
    <s v="CMS M.60.10.000"/>
    <x v="2"/>
    <n v="7"/>
    <s v="SPOOL"/>
    <n v="10"/>
    <x v="2"/>
    <s v="NÃO"/>
    <s v="NÃO"/>
    <x v="78"/>
    <x v="1"/>
    <s v="DISPOSIÇÃO DE REJEITOS LINHA DE BYPASS DAS PENEIRAS LINHA DO SEPARADOR MAGNÉTICO SM-143A-9601 P/ TANQUE TQ-142A-9701 ( BYPASS DAS PENEIRAS PN-143A-9701/9721 )"/>
    <m/>
    <m/>
    <m/>
    <s v="1450AA-T-70500_FL19"/>
    <n v="1"/>
    <s v="PÇ"/>
    <n v="0.4"/>
    <n v="0.4"/>
    <n v="2238.89"/>
    <n v="895.55600000000004"/>
    <n v="0"/>
    <n v="0.9"/>
    <n v="0.1"/>
    <m/>
    <m/>
    <x v="0"/>
    <m/>
    <m/>
    <m/>
    <m/>
    <m/>
    <m/>
    <m/>
    <m/>
    <m/>
    <m/>
    <m/>
    <m/>
    <m/>
    <m/>
    <m/>
    <m/>
    <m/>
  </r>
  <r>
    <s v="2.4.3.1.3"/>
    <s v="CMS M.60.10.000"/>
    <x v="2"/>
    <n v="8"/>
    <s v="SPOOL"/>
    <n v="10"/>
    <x v="2"/>
    <s v="NÃO"/>
    <s v="NÃO"/>
    <x v="78"/>
    <x v="1"/>
    <s v="DISPOSIÇÃO DE REJEITOS LINHA DE BYPASS DAS PENEIRAS LINHA DO SEPARADOR MAGNÉTICO SM-143A-9601 P/ TANQUE TQ-142A-9701 ( BYPASS DAS PENEIRAS PN-143A-9701/9721 )"/>
    <m/>
    <m/>
    <m/>
    <s v="1450AA-T-70500_FL18"/>
    <n v="1"/>
    <s v="PÇ"/>
    <n v="0.45"/>
    <n v="0.45"/>
    <n v="2238.89"/>
    <n v="1007.5005"/>
    <n v="0"/>
    <n v="0.9"/>
    <n v="0.1"/>
    <m/>
    <m/>
    <x v="0"/>
    <m/>
    <m/>
    <m/>
    <m/>
    <m/>
    <m/>
    <m/>
    <m/>
    <m/>
    <m/>
    <m/>
    <m/>
    <m/>
    <m/>
    <m/>
    <m/>
    <m/>
  </r>
  <r>
    <s v="2.4.3.1.3"/>
    <s v="CMS M.60.10.000"/>
    <x v="2"/>
    <n v="9"/>
    <s v="CURVA"/>
    <n v="10"/>
    <x v="1"/>
    <s v="NÃO"/>
    <s v="NÃO"/>
    <x v="78"/>
    <x v="1"/>
    <s v="DISPOSIÇÃO DE REJEITOS LINHA DE BYPASS DAS PENEIRAS LINHA DO SEPARADOR MAGNÉTICO SM-143A-9601 P/ TANQUE TQ-142A-9701 ( BYPASS DAS PENEIRAS PN-143A-9701/9721 )"/>
    <m/>
    <m/>
    <m/>
    <s v="1450AA-T-70500_FL07"/>
    <n v="1"/>
    <s v="PÇ"/>
    <n v="0.67500000000000004"/>
    <n v="0.67500000000000004"/>
    <n v="2238.89"/>
    <n v="1511.2507499999999"/>
    <n v="0"/>
    <n v="0.9"/>
    <n v="0.1"/>
    <m/>
    <m/>
    <x v="0"/>
    <m/>
    <m/>
    <m/>
    <m/>
    <m/>
    <m/>
    <m/>
    <m/>
    <m/>
    <m/>
    <m/>
    <m/>
    <m/>
    <m/>
    <m/>
    <m/>
    <m/>
  </r>
  <r>
    <s v="2.4.3.1.3"/>
    <s v="CMS M.60.10.000"/>
    <x v="2"/>
    <n v="10"/>
    <s v="CURVA"/>
    <n v="10"/>
    <x v="1"/>
    <s v="NÃO"/>
    <s v="NÃO"/>
    <x v="78"/>
    <x v="1"/>
    <s v="DISPOSIÇÃO DE REJEITOS LINHA DE BYPASS DAS PENEIRAS LINHA DO SEPARADOR MAGNÉTICO SM-143A-9601 P/ TANQUE TQ-142A-9701 ( BYPASS DAS PENEIRAS PN-143A-9701/9721 )"/>
    <m/>
    <m/>
    <m/>
    <s v="1450AA-T-70500_FL06"/>
    <n v="1"/>
    <s v="PÇ"/>
    <n v="0.432"/>
    <n v="0.432"/>
    <n v="2238.89"/>
    <n v="967.20047999999997"/>
    <n v="0"/>
    <n v="0.9"/>
    <n v="0.1"/>
    <m/>
    <m/>
    <x v="0"/>
    <m/>
    <m/>
    <m/>
    <m/>
    <m/>
    <m/>
    <m/>
    <m/>
    <m/>
    <m/>
    <m/>
    <m/>
    <m/>
    <m/>
    <m/>
    <m/>
    <m/>
  </r>
  <r>
    <s v="2.4.3.1.3"/>
    <s v="CMS M.60.10.000"/>
    <x v="2"/>
    <n v="11"/>
    <s v="CURVA"/>
    <n v="10"/>
    <x v="1"/>
    <s v="NÃO"/>
    <s v="NÃO"/>
    <x v="78"/>
    <x v="1"/>
    <s v="DISPOSIÇÃO DE REJEITOS LINHA DE BYPASS DAS PENEIRAS LINHA DO SEPARADOR MAGNÉTICO SM-143A-9601 P/ TANQUE TQ-142A-9701 ( BYPASS DAS PENEIRAS PN-143A-9701/9721 )"/>
    <m/>
    <m/>
    <m/>
    <s v="1450AA-T-70500_FL08"/>
    <n v="1"/>
    <s v="PÇ"/>
    <n v="1.264"/>
    <n v="1.264"/>
    <n v="2238.89"/>
    <n v="2829.95696"/>
    <n v="0"/>
    <n v="0.9"/>
    <n v="0.1"/>
    <m/>
    <m/>
    <x v="0"/>
    <m/>
    <m/>
    <m/>
    <m/>
    <m/>
    <m/>
    <m/>
    <m/>
    <m/>
    <m/>
    <m/>
    <m/>
    <m/>
    <m/>
    <m/>
    <m/>
    <m/>
  </r>
  <r>
    <s v="2.4.3.1.3"/>
    <s v="CMS M.60.10.000"/>
    <x v="2"/>
    <n v="12"/>
    <s v="SPOOL"/>
    <n v="10"/>
    <x v="1"/>
    <s v="NÃO"/>
    <s v="NÃO"/>
    <x v="78"/>
    <x v="1"/>
    <s v="DISPOSIÇÃO DE REJEITOS LINHA DE BYPASS DAS PENEIRAS LINHA DO SEPARADOR MAGNÉTICO SM-143A-9601 P/ TANQUE TQ-142A-9701 ( BYPASS DAS PENEIRAS PN-143A-9701/9721 )"/>
    <m/>
    <m/>
    <m/>
    <s v="1450AA-T-70500_FL10"/>
    <n v="1"/>
    <s v="PÇ"/>
    <n v="1.302"/>
    <n v="1.302"/>
    <n v="2238.89"/>
    <n v="2915.03478"/>
    <n v="0"/>
    <n v="0.9"/>
    <n v="0.1"/>
    <m/>
    <m/>
    <x v="0"/>
    <m/>
    <m/>
    <m/>
    <m/>
    <m/>
    <m/>
    <m/>
    <m/>
    <m/>
    <m/>
    <m/>
    <m/>
    <m/>
    <m/>
    <m/>
    <m/>
    <m/>
  </r>
  <r>
    <s v="2.4.3.1.3"/>
    <s v="CMS M.60.10.000"/>
    <x v="2"/>
    <n v="13"/>
    <s v="SPOOL"/>
    <n v="10"/>
    <x v="1"/>
    <s v="NÃO"/>
    <s v="NÃO"/>
    <x v="78"/>
    <x v="1"/>
    <s v="DISPOSIÇÃO DE REJEITOS LINHA DE BYPASS DAS PENEIRAS LINHA DO SEPARADOR MAGNÉTICO SM-143A-9601 P/ TANQUE TQ-142A-9701 ( BYPASS DAS PENEIRAS PN-143A-9701/9721 )"/>
    <m/>
    <m/>
    <m/>
    <s v="1450AA-T-70500_FL09"/>
    <n v="1"/>
    <s v="PÇ"/>
    <n v="1.302"/>
    <n v="1.302"/>
    <n v="2238.89"/>
    <n v="2915.03478"/>
    <n v="0"/>
    <n v="0.9"/>
    <n v="0.1"/>
    <m/>
    <m/>
    <x v="0"/>
    <m/>
    <m/>
    <m/>
    <m/>
    <m/>
    <m/>
    <m/>
    <m/>
    <m/>
    <m/>
    <m/>
    <m/>
    <m/>
    <m/>
    <m/>
    <m/>
    <m/>
  </r>
  <r>
    <s v="2.4.3.1.3"/>
    <s v="CMS M.60.10.000"/>
    <x v="2"/>
    <n v="14"/>
    <s v="SPOOL"/>
    <n v="10"/>
    <x v="2"/>
    <s v="NÃO"/>
    <s v="NÃO"/>
    <x v="78"/>
    <x v="1"/>
    <s v="DISPOSIÇÃO DE REJEITOS LINHA DE BYPASS DAS PENEIRAS LINHA DO SEPARADOR MAGNÉTICO SM-143A-9601 P/ TANQUE TQ-142A-9701 ( BYPASS DAS PENEIRAS PN-143A-9701/9721 )"/>
    <m/>
    <m/>
    <m/>
    <s v="1450AA-T-70500_FL15"/>
    <n v="1"/>
    <s v="PÇ"/>
    <n v="0.35"/>
    <n v="0.35"/>
    <n v="2238.89"/>
    <n v="783.61149999999986"/>
    <n v="0"/>
    <n v="0.9"/>
    <n v="0.1"/>
    <m/>
    <m/>
    <x v="0"/>
    <m/>
    <m/>
    <m/>
    <m/>
    <m/>
    <m/>
    <m/>
    <m/>
    <m/>
    <m/>
    <m/>
    <m/>
    <m/>
    <m/>
    <m/>
    <m/>
    <m/>
  </r>
  <r>
    <s v="2.4.3.1.3"/>
    <s v="CMS M.60.10.000"/>
    <x v="2"/>
    <n v="1"/>
    <s v="SPOOL"/>
    <n v="10"/>
    <x v="1"/>
    <s v="NÃO"/>
    <s v="NÃO"/>
    <x v="79"/>
    <x v="1"/>
    <s v="DISPOSIÇÃO DE REJEITOS LINHA DE BYPASS DAS PENEIRAS LINHA DO SEPARADOR MAGNÉTICO SM-143A-9602 P/ TANQUE TQ-142A-9701 ( BYPASS DAS PENEIRAS PN-143A-9702/9722 )"/>
    <m/>
    <m/>
    <m/>
    <s v="1450AA-T-70502_FL11"/>
    <n v="1"/>
    <s v="PÇ"/>
    <n v="1.5"/>
    <n v="1.5"/>
    <n v="2238.89"/>
    <n v="3358.335"/>
    <n v="0"/>
    <n v="0.9"/>
    <n v="0.1"/>
    <m/>
    <m/>
    <x v="0"/>
    <m/>
    <m/>
    <m/>
    <m/>
    <m/>
    <m/>
    <m/>
    <m/>
    <m/>
    <m/>
    <m/>
    <m/>
    <m/>
    <m/>
    <m/>
    <m/>
    <m/>
  </r>
  <r>
    <s v="2.4.3.1.3"/>
    <s v="CMS M.60.10.000"/>
    <x v="2"/>
    <n v="2"/>
    <s v="SPOOL"/>
    <n v="10"/>
    <x v="1"/>
    <s v="NÃO"/>
    <s v="NÃO"/>
    <x v="79"/>
    <x v="1"/>
    <s v="DISPOSIÇÃO DE REJEITOS LINHA DE BYPASS DAS PENEIRAS LINHA DO SEPARADOR MAGNÉTICO SM-143A-9602 P/ TANQUE TQ-142A-9701 ( BYPASS DAS PENEIRAS PN-143A-9702/9722 )"/>
    <m/>
    <m/>
    <m/>
    <s v="1450AA-T-70502_FL12"/>
    <n v="1"/>
    <s v="PÇ"/>
    <n v="2.0150000000000001"/>
    <n v="2.0150000000000001"/>
    <n v="2238.89"/>
    <n v="4511.3633499999996"/>
    <n v="0"/>
    <n v="0.9"/>
    <n v="0.1"/>
    <m/>
    <m/>
    <x v="0"/>
    <m/>
    <m/>
    <m/>
    <m/>
    <m/>
    <m/>
    <m/>
    <m/>
    <m/>
    <m/>
    <m/>
    <m/>
    <m/>
    <m/>
    <m/>
    <m/>
    <m/>
  </r>
  <r>
    <s v="2.4.3.1.3"/>
    <s v="CMS M.60.10.000"/>
    <x v="2"/>
    <n v="3"/>
    <s v="SPOOL"/>
    <n v="10"/>
    <x v="1"/>
    <s v="NÃO"/>
    <s v="NÃO"/>
    <x v="79"/>
    <x v="1"/>
    <s v="DISPOSIÇÃO DE REJEITOS LINHA DE BYPASS DAS PENEIRAS LINHA DO SEPARADOR MAGNÉTICO SM-143A-9602 P/ TANQUE TQ-142A-9701 ( BYPASS DAS PENEIRAS PN-143A-9702/9722 )"/>
    <m/>
    <m/>
    <m/>
    <s v="1450AA-T-70502_FL16"/>
    <n v="1"/>
    <s v="PÇ"/>
    <n v="6"/>
    <n v="6"/>
    <n v="2238.89"/>
    <n v="13433.34"/>
    <n v="0"/>
    <n v="0.9"/>
    <n v="0.1"/>
    <m/>
    <m/>
    <x v="0"/>
    <m/>
    <m/>
    <m/>
    <m/>
    <m/>
    <m/>
    <m/>
    <m/>
    <m/>
    <m/>
    <m/>
    <m/>
    <m/>
    <m/>
    <m/>
    <m/>
    <m/>
  </r>
  <r>
    <s v="2.4.3.1.3"/>
    <s v="CMS M.60.10.000"/>
    <x v="2"/>
    <n v="4"/>
    <s v="SPOOL"/>
    <n v="10"/>
    <x v="1"/>
    <s v="NÃO"/>
    <s v="NÃO"/>
    <x v="79"/>
    <x v="1"/>
    <s v="DISPOSIÇÃO DE REJEITOS LINHA DE BYPASS DAS PENEIRAS LINHA DO SEPARADOR MAGNÉTICO SM-143A-9602 P/ TANQUE TQ-142A-9701 ( BYPASS DAS PENEIRAS PN-143A-9702/9722 )"/>
    <m/>
    <m/>
    <m/>
    <s v="1450AA-T-70502_FL15"/>
    <n v="1"/>
    <s v="PÇ"/>
    <n v="3"/>
    <n v="3"/>
    <n v="2238.89"/>
    <n v="6716.67"/>
    <n v="0"/>
    <n v="0.9"/>
    <n v="0.1"/>
    <m/>
    <m/>
    <x v="0"/>
    <m/>
    <m/>
    <m/>
    <m/>
    <m/>
    <m/>
    <m/>
    <m/>
    <m/>
    <m/>
    <m/>
    <m/>
    <m/>
    <m/>
    <m/>
    <m/>
    <m/>
  </r>
  <r>
    <s v="2.4.3.1.3"/>
    <s v="CMS M.60.10.000"/>
    <x v="2"/>
    <n v="5"/>
    <s v="SPOOL"/>
    <n v="10"/>
    <x v="1"/>
    <s v="NÃO"/>
    <s v="NÃO"/>
    <x v="79"/>
    <x v="1"/>
    <s v="DISPOSIÇÃO DE REJEITOS LINHA DE BYPASS DAS PENEIRAS LINHA DO SEPARADOR MAGNÉTICO SM-143A-9602 P/ TANQUE TQ-142A-9701 ( BYPASS DAS PENEIRAS PN-143A-9702/9722 )"/>
    <m/>
    <m/>
    <m/>
    <s v="1450AA-T-70502_FL14"/>
    <n v="1"/>
    <s v="PÇ"/>
    <n v="2.8"/>
    <n v="2.8"/>
    <n v="2238.89"/>
    <n v="6268.8919999999989"/>
    <n v="0"/>
    <n v="0.9"/>
    <n v="0.1"/>
    <m/>
    <m/>
    <x v="0"/>
    <m/>
    <m/>
    <m/>
    <m/>
    <m/>
    <m/>
    <m/>
    <m/>
    <m/>
    <m/>
    <m/>
    <m/>
    <m/>
    <m/>
    <m/>
    <m/>
    <m/>
  </r>
  <r>
    <s v="2.4.3.1.3"/>
    <s v="CMS M.60.10.000"/>
    <x v="2"/>
    <n v="6"/>
    <s v="SPOOL"/>
    <n v="10"/>
    <x v="1"/>
    <s v="NÃO"/>
    <s v="NÃO"/>
    <x v="79"/>
    <x v="1"/>
    <s v="DISPOSIÇÃO DE REJEITOS LINHA DE BYPASS DAS PENEIRAS LINHA DO SEPARADOR MAGNÉTICO SM-143A-9602 P/ TANQUE TQ-142A-9701 ( BYPASS DAS PENEIRAS PN-143A-9702/9722 )"/>
    <m/>
    <m/>
    <m/>
    <s v="1450AA-T-70502_FL13"/>
    <n v="1"/>
    <s v="PÇ"/>
    <n v="2.5"/>
    <n v="2.5"/>
    <n v="2238.89"/>
    <n v="5597.2249999999995"/>
    <n v="0"/>
    <n v="0.9"/>
    <n v="0.1"/>
    <m/>
    <m/>
    <x v="0"/>
    <m/>
    <m/>
    <m/>
    <m/>
    <m/>
    <m/>
    <m/>
    <m/>
    <m/>
    <m/>
    <m/>
    <m/>
    <m/>
    <m/>
    <m/>
    <m/>
    <m/>
  </r>
  <r>
    <s v="2.4.3.1.3"/>
    <s v="CMS M.60.10.000"/>
    <x v="2"/>
    <n v="7"/>
    <s v="SPOOL"/>
    <n v="10"/>
    <x v="2"/>
    <s v="NÃO"/>
    <s v="NÃO"/>
    <x v="79"/>
    <x v="1"/>
    <s v="DISPOSIÇÃO DE REJEITOS LINHA DE BYPASS DAS PENEIRAS LINHA DO SEPARADOR MAGNÉTICO SM-143A-9602 P/ TANQUE TQ-142A-9701 ( BYPASS DAS PENEIRAS PN-143A-9702/9722 )"/>
    <m/>
    <m/>
    <m/>
    <s v="1450AA-T-70502_FL17"/>
    <n v="1"/>
    <s v="PÇ"/>
    <n v="0.32"/>
    <n v="0.32"/>
    <n v="2238.89"/>
    <n v="716.44479999999999"/>
    <n v="0"/>
    <n v="0.9"/>
    <n v="0.1"/>
    <m/>
    <m/>
    <x v="0"/>
    <m/>
    <m/>
    <m/>
    <m/>
    <m/>
    <m/>
    <m/>
    <m/>
    <m/>
    <m/>
    <m/>
    <m/>
    <m/>
    <m/>
    <m/>
    <m/>
    <m/>
  </r>
  <r>
    <s v="2.4.3.1.3"/>
    <s v="CMS M.60.10.000"/>
    <x v="2"/>
    <n v="8"/>
    <s v="SPOOL"/>
    <n v="10"/>
    <x v="2"/>
    <s v="NÃO"/>
    <s v="NÃO"/>
    <x v="79"/>
    <x v="1"/>
    <s v="DISPOSIÇÃO DE REJEITOS LINHA DE BYPASS DAS PENEIRAS LINHA DO SEPARADOR MAGNÉTICO SM-143A-9602 P/ TANQUE TQ-142A-9701 ( BYPASS DAS PENEIRAS PN-143A-9702/9722 )"/>
    <m/>
    <m/>
    <m/>
    <s v="1450AA-T-70502_FL18"/>
    <n v="2"/>
    <s v="PÇ"/>
    <n v="0.48"/>
    <n v="0.96"/>
    <n v="2238.89"/>
    <n v="2149.3343999999997"/>
    <n v="0"/>
    <n v="0.9"/>
    <n v="0.1"/>
    <m/>
    <m/>
    <x v="0"/>
    <m/>
    <m/>
    <m/>
    <m/>
    <m/>
    <m/>
    <m/>
    <m/>
    <m/>
    <m/>
    <m/>
    <m/>
    <m/>
    <m/>
    <m/>
    <m/>
    <m/>
  </r>
  <r>
    <s v="2.4.3.1.3"/>
    <s v="CMS M.60.10.000"/>
    <x v="2"/>
    <n v="9"/>
    <s v="CURVA"/>
    <n v="10"/>
    <x v="1"/>
    <s v="NÃO"/>
    <s v="NÃO"/>
    <x v="79"/>
    <x v="1"/>
    <s v="DISPOSIÇÃO DE REJEITOS LINHA DE BYPASS DAS PENEIRAS LINHA DO SEPARADOR MAGNÉTICO SM-143A-9602 P/ TANQUE TQ-142A-9701 ( BYPASS DAS PENEIRAS PN-143A-9702/9722 )"/>
    <m/>
    <m/>
    <m/>
    <s v="1450AA-T-70502_FL07"/>
    <n v="1"/>
    <s v="PÇ"/>
    <n v="0.67500000000000004"/>
    <n v="0.67500000000000004"/>
    <n v="2238.89"/>
    <n v="1511.2507499999999"/>
    <n v="0"/>
    <n v="0.9"/>
    <n v="0.1"/>
    <m/>
    <m/>
    <x v="0"/>
    <m/>
    <m/>
    <m/>
    <m/>
    <m/>
    <m/>
    <m/>
    <m/>
    <m/>
    <m/>
    <m/>
    <m/>
    <m/>
    <m/>
    <m/>
    <m/>
    <m/>
  </r>
  <r>
    <s v="2.4.3.1.3"/>
    <s v="CMS M.60.10.000"/>
    <x v="2"/>
    <n v="10"/>
    <s v="CURVA"/>
    <n v="10"/>
    <x v="1"/>
    <s v="NÃO"/>
    <s v="NÃO"/>
    <x v="79"/>
    <x v="1"/>
    <s v="DISPOSIÇÃO DE REJEITOS LINHA DE BYPASS DAS PENEIRAS LINHA DO SEPARADOR MAGNÉTICO SM-143A-9602 P/ TANQUE TQ-142A-9701 ( BYPASS DAS PENEIRAS PN-143A-9702/9722 )"/>
    <m/>
    <m/>
    <m/>
    <s v="1450AA-T-70502_FL06"/>
    <n v="1"/>
    <s v="PÇ"/>
    <n v="0.432"/>
    <n v="0.432"/>
    <n v="2238.89"/>
    <n v="967.20047999999997"/>
    <n v="0"/>
    <n v="0.9"/>
    <n v="0.1"/>
    <m/>
    <m/>
    <x v="0"/>
    <m/>
    <m/>
    <m/>
    <m/>
    <m/>
    <m/>
    <m/>
    <m/>
    <m/>
    <m/>
    <m/>
    <m/>
    <m/>
    <m/>
    <m/>
    <m/>
    <m/>
  </r>
  <r>
    <s v="2.4.3.1.3"/>
    <s v="CMS M.60.10.000"/>
    <x v="2"/>
    <n v="11"/>
    <s v="CURVA"/>
    <n v="10"/>
    <x v="1"/>
    <s v="NÃO"/>
    <s v="NÃO"/>
    <x v="79"/>
    <x v="1"/>
    <s v="DISPOSIÇÃO DE REJEITOS LINHA DE BYPASS DAS PENEIRAS LINHA DO SEPARADOR MAGNÉTICO SM-143A-9602 P/ TANQUE TQ-142A-9701 ( BYPASS DAS PENEIRAS PN-143A-9702/9722 )"/>
    <m/>
    <m/>
    <m/>
    <s v="1450AA-T-70502_FL08"/>
    <n v="1"/>
    <s v="PÇ"/>
    <n v="1.264"/>
    <n v="1.264"/>
    <n v="2238.89"/>
    <n v="2829.95696"/>
    <n v="0"/>
    <n v="0.9"/>
    <n v="0.1"/>
    <m/>
    <m/>
    <x v="0"/>
    <m/>
    <m/>
    <m/>
    <m/>
    <m/>
    <m/>
    <m/>
    <m/>
    <m/>
    <m/>
    <m/>
    <m/>
    <m/>
    <m/>
    <m/>
    <m/>
    <m/>
  </r>
  <r>
    <s v="2.4.3.1.3"/>
    <s v="CMS M.60.10.000"/>
    <x v="2"/>
    <n v="12"/>
    <s v="SPOOL"/>
    <n v="10"/>
    <x v="1"/>
    <s v="NÃO"/>
    <s v="NÃO"/>
    <x v="79"/>
    <x v="1"/>
    <s v="DISPOSIÇÃO DE REJEITOS LINHA DE BYPASS DAS PENEIRAS LINHA DO SEPARADOR MAGNÉTICO SM-143A-9602 P/ TANQUE TQ-142A-9701 ( BYPASS DAS PENEIRAS PN-143A-9702/9722 )"/>
    <m/>
    <m/>
    <m/>
    <s v="1450AA-T-70502_FL10"/>
    <n v="1"/>
    <s v="PÇ"/>
    <n v="1.2949999999999999"/>
    <n v="1.2949999999999999"/>
    <n v="2238.89"/>
    <n v="2899.3625499999998"/>
    <n v="0"/>
    <n v="0.9"/>
    <n v="0.1"/>
    <m/>
    <m/>
    <x v="0"/>
    <m/>
    <m/>
    <m/>
    <m/>
    <m/>
    <m/>
    <m/>
    <m/>
    <m/>
    <m/>
    <m/>
    <m/>
    <m/>
    <m/>
    <m/>
    <m/>
    <m/>
  </r>
  <r>
    <s v="2.4.3.1.3"/>
    <s v="CMS M.60.10.000"/>
    <x v="2"/>
    <n v="13"/>
    <s v="SPOOL"/>
    <n v="10"/>
    <x v="1"/>
    <s v="NÃO"/>
    <s v="NÃO"/>
    <x v="79"/>
    <x v="1"/>
    <s v="DISPOSIÇÃO DE REJEITOS LINHA DE BYPASS DAS PENEIRAS LINHA DO SEPARADOR MAGNÉTICO SM-143A-9602 P/ TANQUE TQ-142A-9701 ( BYPASS DAS PENEIRAS PN-143A-9702/9722 )"/>
    <m/>
    <m/>
    <m/>
    <s v="1450AA-T-70502_FL09"/>
    <n v="1"/>
    <s v="PÇ"/>
    <n v="1.2849999999999999"/>
    <n v="1.2849999999999999"/>
    <n v="2238.89"/>
    <n v="2876.9736499999995"/>
    <n v="0"/>
    <n v="0.9"/>
    <n v="0.1"/>
    <m/>
    <m/>
    <x v="0"/>
    <m/>
    <m/>
    <m/>
    <m/>
    <m/>
    <m/>
    <m/>
    <m/>
    <m/>
    <m/>
    <m/>
    <m/>
    <m/>
    <m/>
    <m/>
    <m/>
    <m/>
  </r>
  <r>
    <s v="2.4.3.1.3"/>
    <s v="CMS M.60.10.000"/>
    <x v="2"/>
    <n v="1"/>
    <s v="SPOOL"/>
    <n v="10"/>
    <x v="1"/>
    <s v="NÃO"/>
    <s v="NÃO"/>
    <x v="80"/>
    <x v="1"/>
    <s v="DISPOSIÇÃO DE REJEITOS LINHA DE BYPASS DAS PENEIRAS LINHA DO SEPARADOR MAGNÉTICO SM-143A-9603 P/ TANQUE TQ-142A-9701 ( BYPASS DAS PENEIRAS PN-143A-9703/9723 )"/>
    <m/>
    <m/>
    <m/>
    <s v="1450AA-T-70504_FL12"/>
    <n v="1"/>
    <s v="PÇ"/>
    <n v="1.27"/>
    <n v="1.27"/>
    <n v="2238.89"/>
    <n v="2843.3903"/>
    <n v="0"/>
    <n v="0.9"/>
    <n v="0.1"/>
    <m/>
    <m/>
    <x v="0"/>
    <m/>
    <m/>
    <m/>
    <m/>
    <m/>
    <m/>
    <m/>
    <m/>
    <m/>
    <m/>
    <m/>
    <m/>
    <m/>
    <m/>
    <m/>
    <m/>
    <m/>
  </r>
  <r>
    <s v="2.4.3.1.3"/>
    <s v="CMS M.60.10.000"/>
    <x v="2"/>
    <n v="2"/>
    <s v="SPOOL"/>
    <n v="10"/>
    <x v="1"/>
    <s v="NÃO"/>
    <s v="NÃO"/>
    <x v="80"/>
    <x v="1"/>
    <s v="DISPOSIÇÃO DE REJEITOS LINHA DE BYPASS DAS PENEIRAS LINHA DO SEPARADOR MAGNÉTICO SM-143A-9603 P/ TANQUE TQ-142A-9701 ( BYPASS DAS PENEIRAS PN-143A-9703/9723 )"/>
    <m/>
    <m/>
    <m/>
    <s v="1450AA-T-70504_FL13"/>
    <n v="1"/>
    <s v="PÇ"/>
    <n v="3.14"/>
    <n v="3.14"/>
    <n v="2238.89"/>
    <n v="7030.1145999999999"/>
    <n v="0"/>
    <n v="0.9"/>
    <n v="0.1"/>
    <m/>
    <m/>
    <x v="0"/>
    <m/>
    <m/>
    <m/>
    <m/>
    <m/>
    <m/>
    <m/>
    <m/>
    <m/>
    <m/>
    <m/>
    <m/>
    <m/>
    <m/>
    <m/>
    <m/>
    <m/>
  </r>
  <r>
    <s v="2.4.3.1.3"/>
    <s v="CMS M.60.10.000"/>
    <x v="2"/>
    <n v="3"/>
    <s v="SPOOL"/>
    <n v="10"/>
    <x v="1"/>
    <s v="NÃO"/>
    <s v="NÃO"/>
    <x v="80"/>
    <x v="1"/>
    <s v="DISPOSIÇÃO DE REJEITOS LINHA DE BYPASS DAS PENEIRAS LINHA DO SEPARADOR MAGNÉTICO SM-143A-9603 P/ TANQUE TQ-142A-9701 ( BYPASS DAS PENEIRAS PN-143A-9703/9723 )"/>
    <m/>
    <m/>
    <m/>
    <s v="1450AA-T-70504_FL14"/>
    <n v="1"/>
    <s v="PÇ"/>
    <n v="3.5"/>
    <n v="3.5"/>
    <n v="2238.89"/>
    <n v="7836.1149999999998"/>
    <n v="0"/>
    <n v="0.9"/>
    <n v="0.1"/>
    <m/>
    <m/>
    <x v="0"/>
    <m/>
    <m/>
    <m/>
    <m/>
    <m/>
    <m/>
    <m/>
    <m/>
    <m/>
    <m/>
    <m/>
    <m/>
    <m/>
    <m/>
    <m/>
    <m/>
    <m/>
  </r>
  <r>
    <s v="2.4.3.1.3"/>
    <s v="CMS M.60.10.000"/>
    <x v="2"/>
    <n v="4"/>
    <s v="SPOOL"/>
    <n v="10"/>
    <x v="1"/>
    <s v="NÃO"/>
    <s v="NÃO"/>
    <x v="80"/>
    <x v="1"/>
    <s v="DISPOSIÇÃO DE REJEITOS LINHA DE BYPASS DAS PENEIRAS LINHA DO SEPARADOR MAGNÉTICO SM-143A-9603 P/ TANQUE TQ-142A-9701 ( BYPASS DAS PENEIRAS PN-143A-9703/9723 )"/>
    <m/>
    <m/>
    <m/>
    <s v="1450AA-T-70504_FL15"/>
    <n v="2"/>
    <s v="PÇ"/>
    <n v="6"/>
    <n v="12"/>
    <n v="2238.89"/>
    <n v="26866.68"/>
    <n v="0"/>
    <n v="0.9"/>
    <n v="0.1"/>
    <m/>
    <m/>
    <x v="0"/>
    <m/>
    <m/>
    <m/>
    <m/>
    <m/>
    <m/>
    <m/>
    <m/>
    <m/>
    <m/>
    <m/>
    <m/>
    <m/>
    <m/>
    <m/>
    <m/>
    <m/>
  </r>
  <r>
    <s v="2.4.3.1.3"/>
    <s v="CMS M.60.10.000"/>
    <x v="2"/>
    <n v="5"/>
    <s v="SPOOL"/>
    <n v="10"/>
    <x v="1"/>
    <s v="NÃO"/>
    <s v="NÃO"/>
    <x v="80"/>
    <x v="1"/>
    <s v="DISPOSIÇÃO DE REJEITOS LINHA DE BYPASS DAS PENEIRAS LINHA DO SEPARADOR MAGNÉTICO SM-143A-9603 P/ TANQUE TQ-142A-9701 ( BYPASS DAS PENEIRAS PN-143A-9703/9723 )"/>
    <m/>
    <m/>
    <m/>
    <s v="1450AA-T-70504_FL16"/>
    <n v="1"/>
    <s v="PÇ"/>
    <n v="2.9"/>
    <n v="2.9"/>
    <n v="2238.89"/>
    <n v="6492.780999999999"/>
    <n v="0"/>
    <n v="0.9"/>
    <n v="0.1"/>
    <m/>
    <m/>
    <x v="0"/>
    <m/>
    <m/>
    <m/>
    <m/>
    <m/>
    <m/>
    <m/>
    <m/>
    <m/>
    <m/>
    <m/>
    <m/>
    <m/>
    <m/>
    <m/>
    <m/>
    <m/>
  </r>
  <r>
    <s v="2.4.3.1.3"/>
    <s v="CMS M.60.10.000"/>
    <x v="2"/>
    <n v="6"/>
    <s v="SPOOL"/>
    <n v="10"/>
    <x v="1"/>
    <s v="NÃO"/>
    <s v="NÃO"/>
    <x v="80"/>
    <x v="1"/>
    <s v="DISPOSIÇÃO DE REJEITOS LINHA DE BYPASS DAS PENEIRAS LINHA DO SEPARADOR MAGNÉTICO SM-143A-9603 P/ TANQUE TQ-142A-9701 ( BYPASS DAS PENEIRAS PN-143A-9703/9723 )"/>
    <m/>
    <m/>
    <m/>
    <s v="1450AA-T-70504_FL17"/>
    <n v="1"/>
    <s v="PÇ"/>
    <n v="1.3"/>
    <n v="1.3"/>
    <n v="2238.89"/>
    <n v="2910.5569999999998"/>
    <n v="0"/>
    <n v="0.9"/>
    <n v="0.1"/>
    <m/>
    <m/>
    <x v="0"/>
    <m/>
    <m/>
    <m/>
    <m/>
    <m/>
    <m/>
    <m/>
    <m/>
    <m/>
    <m/>
    <m/>
    <m/>
    <m/>
    <m/>
    <m/>
    <m/>
    <m/>
  </r>
  <r>
    <s v="2.4.3.1.3"/>
    <s v="CMS M.60.10.000"/>
    <x v="2"/>
    <n v="7"/>
    <s v="SPOOL"/>
    <n v="10"/>
    <x v="1"/>
    <s v="NÃO"/>
    <s v="NÃO"/>
    <x v="80"/>
    <x v="1"/>
    <s v="DISPOSIÇÃO DE REJEITOS LINHA DE BYPASS DAS PENEIRAS LINHA DO SEPARADOR MAGNÉTICO SM-143A-9603 P/ TANQUE TQ-142A-9701 ( BYPASS DAS PENEIRAS PN-143A-9703/9723 )"/>
    <m/>
    <m/>
    <m/>
    <s v="1450AA-T-70504_FL18"/>
    <n v="1"/>
    <s v="PÇ"/>
    <n v="0.5"/>
    <n v="0.5"/>
    <n v="2238.89"/>
    <n v="1119.4449999999999"/>
    <n v="0"/>
    <n v="0.9"/>
    <n v="0.1"/>
    <m/>
    <m/>
    <x v="0"/>
    <m/>
    <m/>
    <m/>
    <m/>
    <m/>
    <m/>
    <m/>
    <m/>
    <m/>
    <m/>
    <m/>
    <m/>
    <m/>
    <m/>
    <m/>
    <m/>
    <m/>
  </r>
  <r>
    <s v="2.4.3.1.3"/>
    <s v="CMS M.60.10.000"/>
    <x v="2"/>
    <n v="8"/>
    <s v="SPOOL"/>
    <n v="10"/>
    <x v="1"/>
    <s v="NÃO"/>
    <s v="NÃO"/>
    <x v="80"/>
    <x v="1"/>
    <s v="DISPOSIÇÃO DE REJEITOS LINHA DE BYPASS DAS PENEIRAS LINHA DO SEPARADOR MAGNÉTICO SM-143A-9603 P/ TANQUE TQ-142A-9701 ( BYPASS DAS PENEIRAS PN-143A-9703/9723 )"/>
    <m/>
    <m/>
    <m/>
    <s v="1450AA-T-70504_FL19"/>
    <n v="1"/>
    <s v="PÇ"/>
    <n v="0.7"/>
    <n v="0.7"/>
    <n v="2238.89"/>
    <n v="1567.2229999999997"/>
    <n v="0"/>
    <n v="0.9"/>
    <n v="0.1"/>
    <m/>
    <m/>
    <x v="0"/>
    <m/>
    <m/>
    <m/>
    <m/>
    <m/>
    <m/>
    <m/>
    <m/>
    <m/>
    <m/>
    <m/>
    <m/>
    <m/>
    <m/>
    <m/>
    <m/>
    <m/>
  </r>
  <r>
    <s v="2.4.3.1.3"/>
    <s v="CMS M.60.10.000"/>
    <x v="2"/>
    <n v="9"/>
    <s v="SPOOL"/>
    <n v="10"/>
    <x v="2"/>
    <s v="NÃO"/>
    <s v="NÃO"/>
    <x v="80"/>
    <x v="1"/>
    <s v="DISPOSIÇÃO DE REJEITOS LINHA DE BYPASS DAS PENEIRAS LINHA DO SEPARADOR MAGNÉTICO SM-143A-9603 P/ TANQUE TQ-142A-9701 ( BYPASS DAS PENEIRAS PN-143A-9703/9723 )"/>
    <m/>
    <m/>
    <m/>
    <s v="1450AA-T-70504_FL21"/>
    <n v="1"/>
    <s v="PÇ"/>
    <n v="0.53"/>
    <n v="0.53"/>
    <n v="2238.89"/>
    <n v="1186.6116999999999"/>
    <n v="0"/>
    <n v="0.9"/>
    <n v="0.1"/>
    <m/>
    <m/>
    <x v="0"/>
    <m/>
    <m/>
    <m/>
    <m/>
    <m/>
    <m/>
    <m/>
    <m/>
    <m/>
    <m/>
    <m/>
    <m/>
    <m/>
    <m/>
    <m/>
    <m/>
    <m/>
  </r>
  <r>
    <s v="2.4.3.1.3"/>
    <s v="CMS M.60.10.000"/>
    <x v="2"/>
    <n v="10"/>
    <s v="SPOOL"/>
    <n v="10"/>
    <x v="2"/>
    <s v="NÃO"/>
    <s v="NÃO"/>
    <x v="80"/>
    <x v="1"/>
    <s v="DISPOSIÇÃO DE REJEITOS LINHA DE BYPASS DAS PENEIRAS LINHA DO SEPARADOR MAGNÉTICO SM-143A-9603 P/ TANQUE TQ-142A-9701 ( BYPASS DAS PENEIRAS PN-143A-9703/9723 )"/>
    <m/>
    <m/>
    <m/>
    <s v="1450AA-T-70504_FL20"/>
    <n v="1"/>
    <s v="PÇ"/>
    <n v="0.41"/>
    <n v="0.41"/>
    <n v="2238.89"/>
    <n v="917.94489999999985"/>
    <n v="0"/>
    <n v="0.9"/>
    <n v="0.1"/>
    <m/>
    <m/>
    <x v="0"/>
    <m/>
    <m/>
    <m/>
    <m/>
    <m/>
    <m/>
    <m/>
    <m/>
    <m/>
    <m/>
    <m/>
    <m/>
    <m/>
    <m/>
    <m/>
    <m/>
    <m/>
  </r>
  <r>
    <s v="2.4.3.1.3"/>
    <s v="CMS M.60.10.000"/>
    <x v="2"/>
    <n v="11"/>
    <s v="SPOOL"/>
    <n v="10"/>
    <x v="2"/>
    <s v="NÃO"/>
    <s v="NÃO"/>
    <x v="80"/>
    <x v="1"/>
    <s v="DISPOSIÇÃO DE REJEITOS LINHA DE BYPASS DAS PENEIRAS LINHA DO SEPARADOR MAGNÉTICO SM-143A-9603 P/ TANQUE TQ-142A-9701 ( BYPASS DAS PENEIRAS PN-143A-9703/9723 )"/>
    <m/>
    <m/>
    <m/>
    <s v="1450AA-T-70504_FL22"/>
    <n v="1"/>
    <s v="PÇ"/>
    <n v="0.35"/>
    <n v="0.35"/>
    <n v="2238.89"/>
    <n v="783.61149999999986"/>
    <n v="0"/>
    <n v="0.9"/>
    <n v="0.1"/>
    <m/>
    <m/>
    <x v="0"/>
    <m/>
    <m/>
    <m/>
    <m/>
    <m/>
    <m/>
    <m/>
    <m/>
    <m/>
    <m/>
    <m/>
    <m/>
    <m/>
    <m/>
    <m/>
    <m/>
    <m/>
  </r>
  <r>
    <s v="2.4.3.1.3"/>
    <s v="CMS M.60.10.000"/>
    <x v="2"/>
    <n v="12"/>
    <s v="CURVA"/>
    <n v="10"/>
    <x v="1"/>
    <s v="NÃO"/>
    <s v="NÃO"/>
    <x v="80"/>
    <x v="1"/>
    <s v="DISPOSIÇÃO DE REJEITOS LINHA DE BYPASS DAS PENEIRAS LINHA DO SEPARADOR MAGNÉTICO SM-143A-9603 P/ TANQUE TQ-142A-9701 ( BYPASS DAS PENEIRAS PN-143A-9703/9723 )"/>
    <m/>
    <m/>
    <m/>
    <s v="1450AA-T-70504_FL06"/>
    <n v="1"/>
    <s v="PÇ"/>
    <n v="1.06"/>
    <n v="1.06"/>
    <n v="2238.89"/>
    <n v="2373.2233999999999"/>
    <n v="0"/>
    <n v="0.9"/>
    <n v="0.1"/>
    <m/>
    <m/>
    <x v="0"/>
    <m/>
    <m/>
    <m/>
    <m/>
    <m/>
    <m/>
    <m/>
    <m/>
    <m/>
    <m/>
    <m/>
    <m/>
    <m/>
    <m/>
    <m/>
    <m/>
    <m/>
  </r>
  <r>
    <s v="2.4.3.1.3"/>
    <s v="CMS M.60.10.000"/>
    <x v="2"/>
    <n v="13"/>
    <s v="CURVA"/>
    <n v="10"/>
    <x v="1"/>
    <s v="NÃO"/>
    <s v="NÃO"/>
    <x v="80"/>
    <x v="1"/>
    <s v="DISPOSIÇÃO DE REJEITOS LINHA DE BYPASS DAS PENEIRAS LINHA DO SEPARADOR MAGNÉTICO SM-143A-9603 P/ TANQUE TQ-142A-9701 ( BYPASS DAS PENEIRAS PN-143A-9703/9723 )"/>
    <m/>
    <m/>
    <m/>
    <s v="1450AA-T-70504_FL09"/>
    <n v="1"/>
    <s v="PÇ"/>
    <n v="0.432"/>
    <n v="0.432"/>
    <n v="2238.89"/>
    <n v="967.20047999999997"/>
    <n v="0"/>
    <n v="0.9"/>
    <n v="0.1"/>
    <m/>
    <m/>
    <x v="0"/>
    <m/>
    <m/>
    <m/>
    <m/>
    <m/>
    <m/>
    <m/>
    <m/>
    <m/>
    <m/>
    <m/>
    <m/>
    <m/>
    <m/>
    <m/>
    <m/>
    <m/>
  </r>
  <r>
    <s v="2.4.3.1.3"/>
    <s v="CMS M.60.10.000"/>
    <x v="2"/>
    <n v="14"/>
    <s v="CURVA"/>
    <n v="10"/>
    <x v="1"/>
    <s v="NÃO"/>
    <s v="NÃO"/>
    <x v="80"/>
    <x v="1"/>
    <s v="DISPOSIÇÃO DE REJEITOS LINHA DE BYPASS DAS PENEIRAS LINHA DO SEPARADOR MAGNÉTICO SM-143A-9603 P/ TANQUE TQ-142A-9701 ( BYPASS DAS PENEIRAS PN-143A-9703/9723 )"/>
    <m/>
    <m/>
    <m/>
    <s v="1450AA-T-70504_FL08"/>
    <n v="1"/>
    <s v="PÇ"/>
    <n v="0.85699999999999998"/>
    <n v="0.85699999999999998"/>
    <n v="2238.89"/>
    <n v="1918.7287299999998"/>
    <n v="0"/>
    <n v="0.9"/>
    <n v="0.1"/>
    <m/>
    <m/>
    <x v="0"/>
    <m/>
    <m/>
    <m/>
    <m/>
    <m/>
    <m/>
    <m/>
    <m/>
    <m/>
    <m/>
    <m/>
    <m/>
    <m/>
    <m/>
    <m/>
    <m/>
    <m/>
  </r>
  <r>
    <s v="2.4.3.1.3"/>
    <s v="CMS M.60.10.000"/>
    <x v="2"/>
    <n v="15"/>
    <s v="CURVA"/>
    <n v="10"/>
    <x v="1"/>
    <s v="NÃO"/>
    <s v="NÃO"/>
    <x v="80"/>
    <x v="1"/>
    <s v="DISPOSIÇÃO DE REJEITOS LINHA DE BYPASS DAS PENEIRAS LINHA DO SEPARADOR MAGNÉTICO SM-143A-9603 P/ TANQUE TQ-142A-9701 ( BYPASS DAS PENEIRAS PN-143A-9703/9723 )"/>
    <m/>
    <m/>
    <m/>
    <s v="1450AA-T-70504_FL07"/>
    <n v="1"/>
    <s v="PÇ"/>
    <n v="1.1299999999999999"/>
    <n v="1.1299999999999999"/>
    <n v="2238.89"/>
    <n v="2529.9456999999998"/>
    <n v="0"/>
    <n v="0.9"/>
    <n v="0.1"/>
    <m/>
    <m/>
    <x v="0"/>
    <m/>
    <m/>
    <m/>
    <m/>
    <m/>
    <m/>
    <m/>
    <m/>
    <m/>
    <m/>
    <m/>
    <m/>
    <m/>
    <m/>
    <m/>
    <m/>
    <m/>
  </r>
  <r>
    <s v="2.4.3.1.3"/>
    <s v="CMS M.60.10.000"/>
    <x v="2"/>
    <n v="16"/>
    <s v="SPOOL"/>
    <n v="10"/>
    <x v="1"/>
    <s v="NÃO"/>
    <s v="NÃO"/>
    <x v="80"/>
    <x v="1"/>
    <s v="DISPOSIÇÃO DE REJEITOS LINHA DE BYPASS DAS PENEIRAS LINHA DO SEPARADOR MAGNÉTICO SM-143A-9603 P/ TANQUE TQ-142A-9701 ( BYPASS DAS PENEIRAS PN-143A-9703/9723 )"/>
    <m/>
    <m/>
    <m/>
    <s v="1450AA-T-70504_FL10"/>
    <n v="1"/>
    <s v="PÇ"/>
    <n v="1.22"/>
    <n v="1.22"/>
    <n v="2238.89"/>
    <n v="2731.4458"/>
    <n v="0"/>
    <n v="0.9"/>
    <n v="0.1"/>
    <m/>
    <m/>
    <x v="0"/>
    <m/>
    <m/>
    <m/>
    <m/>
    <m/>
    <m/>
    <m/>
    <m/>
    <m/>
    <m/>
    <m/>
    <m/>
    <m/>
    <m/>
    <m/>
    <m/>
    <m/>
  </r>
  <r>
    <s v="2.4.3.1.3"/>
    <s v="CMS M.60.10.000"/>
    <x v="2"/>
    <n v="17"/>
    <s v="SPOOL"/>
    <n v="10"/>
    <x v="1"/>
    <s v="NÃO"/>
    <s v="NÃO"/>
    <x v="80"/>
    <x v="1"/>
    <s v="DISPOSIÇÃO DE REJEITOS LINHA DE BYPASS DAS PENEIRAS LINHA DO SEPARADOR MAGNÉTICO SM-143A-9603 P/ TANQUE TQ-142A-9701 ( BYPASS DAS PENEIRAS PN-143A-9703/9723 )"/>
    <m/>
    <m/>
    <m/>
    <s v="1450AA-T-70504_FL11"/>
    <n v="2"/>
    <s v="PÇ"/>
    <n v="1.22"/>
    <n v="2.44"/>
    <n v="2238.89"/>
    <n v="5462.8915999999999"/>
    <n v="0"/>
    <n v="0.9"/>
    <n v="0.1"/>
    <m/>
    <m/>
    <x v="0"/>
    <m/>
    <m/>
    <m/>
    <m/>
    <m/>
    <m/>
    <m/>
    <m/>
    <m/>
    <m/>
    <m/>
    <m/>
    <m/>
    <m/>
    <m/>
    <m/>
    <m/>
  </r>
  <r>
    <s v="2.4.3.1.3"/>
    <s v="CMS M.60.10.000"/>
    <x v="2"/>
    <n v="1"/>
    <s v="SPOOL"/>
    <n v="10"/>
    <x v="1"/>
    <s v="NÃO"/>
    <s v="NÃO"/>
    <x v="81"/>
    <x v="1"/>
    <s v="DISPOSIÇÃO DE REJEITOS LINHA DE BYPASS DAS PENEIRAS LINHA DO SEPARADOR MAGNÉTICO SM-143A-9604 P/ TANQUE TQ-142A-9702 ( BYPASS DAS PENEIRAS PN-143A-9704/9724 )"/>
    <m/>
    <m/>
    <m/>
    <s v="1450AA-T-70506_FL06"/>
    <n v="1"/>
    <s v="PÇ"/>
    <n v="0.69499999999999995"/>
    <n v="0.69499999999999995"/>
    <n v="2238.89"/>
    <n v="1556.0285499999998"/>
    <n v="0"/>
    <n v="0.9"/>
    <n v="0.1"/>
    <m/>
    <m/>
    <x v="0"/>
    <m/>
    <m/>
    <m/>
    <m/>
    <m/>
    <m/>
    <m/>
    <m/>
    <m/>
    <m/>
    <m/>
    <m/>
    <m/>
    <m/>
    <m/>
    <m/>
    <m/>
  </r>
  <r>
    <s v="2.4.3.1.3"/>
    <s v="CMS M.60.10.000"/>
    <x v="2"/>
    <n v="2"/>
    <s v="SPOOL"/>
    <n v="10"/>
    <x v="1"/>
    <s v="NÃO"/>
    <s v="NÃO"/>
    <x v="81"/>
    <x v="1"/>
    <s v="DISPOSIÇÃO DE REJEITOS LINHA DE BYPASS DAS PENEIRAS LINHA DO SEPARADOR MAGNÉTICO SM-143A-9604 P/ TANQUE TQ-142A-9702 ( BYPASS DAS PENEIRAS PN-143A-9704/9724 )"/>
    <m/>
    <m/>
    <m/>
    <s v="1450AA-T-70506_FL07"/>
    <n v="1"/>
    <s v="PÇ"/>
    <n v="2.6779999999999999"/>
    <n v="2.6779999999999999"/>
    <n v="2238.89"/>
    <n v="5995.7474199999997"/>
    <n v="0"/>
    <n v="0.9"/>
    <n v="0.1"/>
    <m/>
    <m/>
    <x v="0"/>
    <m/>
    <m/>
    <m/>
    <m/>
    <m/>
    <m/>
    <m/>
    <m/>
    <m/>
    <m/>
    <m/>
    <m/>
    <m/>
    <m/>
    <m/>
    <m/>
    <m/>
  </r>
  <r>
    <s v="2.4.3.1.3"/>
    <s v="CMS M.60.10.000"/>
    <x v="2"/>
    <n v="3"/>
    <s v="SPOOL"/>
    <n v="10"/>
    <x v="1"/>
    <s v="NÃO"/>
    <s v="NÃO"/>
    <x v="81"/>
    <x v="1"/>
    <s v="DISPOSIÇÃO DE REJEITOS LINHA DE BYPASS DAS PENEIRAS LINHA DO SEPARADOR MAGNÉTICO SM-143A-9604 P/ TANQUE TQ-142A-9702 ( BYPASS DAS PENEIRAS PN-143A-9704/9724 )"/>
    <m/>
    <m/>
    <m/>
    <s v="1450AA-T-70506_FL08"/>
    <n v="3"/>
    <s v="PÇ"/>
    <n v="5.5"/>
    <n v="16.5"/>
    <n v="2238.89"/>
    <n v="36941.684999999998"/>
    <n v="0"/>
    <n v="0.9"/>
    <n v="0.1"/>
    <m/>
    <m/>
    <x v="0"/>
    <m/>
    <m/>
    <m/>
    <m/>
    <m/>
    <m/>
    <m/>
    <m/>
    <m/>
    <m/>
    <m/>
    <m/>
    <m/>
    <m/>
    <m/>
    <m/>
    <m/>
  </r>
  <r>
    <s v="2.4.3.1.3"/>
    <s v="CMS M.60.10.000"/>
    <x v="2"/>
    <n v="4"/>
    <s v="SPOOL"/>
    <n v="10"/>
    <x v="1"/>
    <s v="NÃO"/>
    <s v="NÃO"/>
    <x v="81"/>
    <x v="1"/>
    <s v="DISPOSIÇÃO DE REJEITOS LINHA DE BYPASS DAS PENEIRAS LINHA DO SEPARADOR MAGNÉTICO SM-143A-9604 P/ TANQUE TQ-142A-9702 ( BYPASS DAS PENEIRAS PN-143A-9704/9724 )"/>
    <m/>
    <m/>
    <m/>
    <s v="1450AA-T-70506_FL09"/>
    <n v="1"/>
    <s v="PÇ"/>
    <n v="6"/>
    <n v="6"/>
    <n v="2238.89"/>
    <n v="13433.34"/>
    <n v="0"/>
    <n v="0.9"/>
    <n v="0.1"/>
    <m/>
    <m/>
    <x v="0"/>
    <m/>
    <m/>
    <m/>
    <m/>
    <m/>
    <m/>
    <m/>
    <m/>
    <m/>
    <m/>
    <m/>
    <m/>
    <m/>
    <m/>
    <m/>
    <m/>
    <m/>
  </r>
  <r>
    <s v="2.4.3.1.3"/>
    <s v="CMS M.60.10.000"/>
    <x v="2"/>
    <n v="5"/>
    <s v="SPOOL"/>
    <n v="10"/>
    <x v="2"/>
    <s v="NÃO"/>
    <s v="NÃO"/>
    <x v="81"/>
    <x v="1"/>
    <s v="DISPOSIÇÃO DE REJEITOS LINHA DE BYPASS DAS PENEIRAS LINHA DO SEPARADOR MAGNÉTICO SM-143A-9604 P/ TANQUE TQ-142A-9702 ( BYPASS DAS PENEIRAS PN-143A-9704/9724 )"/>
    <m/>
    <m/>
    <m/>
    <s v="1450AA-T-70506_FL12"/>
    <n v="1"/>
    <s v="PÇ"/>
    <n v="0.65"/>
    <n v="0.65"/>
    <n v="2238.89"/>
    <n v="1455.2784999999999"/>
    <n v="0"/>
    <n v="0.9"/>
    <n v="0.1"/>
    <m/>
    <m/>
    <x v="0"/>
    <m/>
    <m/>
    <m/>
    <m/>
    <m/>
    <m/>
    <m/>
    <m/>
    <m/>
    <m/>
    <m/>
    <m/>
    <m/>
    <m/>
    <m/>
    <m/>
    <m/>
  </r>
  <r>
    <s v="2.4.3.1.3"/>
    <s v="CMS M.60.10.000"/>
    <x v="2"/>
    <n v="6"/>
    <s v="SPOOL"/>
    <n v="10"/>
    <x v="2"/>
    <s v="NÃO"/>
    <s v="NÃO"/>
    <x v="81"/>
    <x v="1"/>
    <s v="DISPOSIÇÃO DE REJEITOS LINHA DE BYPASS DAS PENEIRAS LINHA DO SEPARADOR MAGNÉTICO SM-143A-9604 P/ TANQUE TQ-142A-9702 ( BYPASS DAS PENEIRAS PN-143A-9704/9724 )"/>
    <m/>
    <m/>
    <m/>
    <s v="1450AA-T-70506_FL10"/>
    <n v="1"/>
    <s v="PÇ"/>
    <n v="0.4"/>
    <n v="0.4"/>
    <n v="2238.89"/>
    <n v="895.55600000000004"/>
    <n v="0"/>
    <n v="0.9"/>
    <n v="0.1"/>
    <m/>
    <m/>
    <x v="0"/>
    <m/>
    <m/>
    <m/>
    <m/>
    <m/>
    <m/>
    <m/>
    <m/>
    <m/>
    <m/>
    <m/>
    <m/>
    <m/>
    <m/>
    <m/>
    <m/>
    <m/>
  </r>
  <r>
    <s v="2.4.3.1.3"/>
    <s v="CMS M.60.10.000"/>
    <x v="2"/>
    <n v="7"/>
    <s v="SPOOL"/>
    <n v="10"/>
    <x v="2"/>
    <s v="NÃO"/>
    <s v="NÃO"/>
    <x v="81"/>
    <x v="1"/>
    <s v="DISPOSIÇÃO DE REJEITOS LINHA DE BYPASS DAS PENEIRAS LINHA DO SEPARADOR MAGNÉTICO SM-143A-9604 P/ TANQUE TQ-142A-9702 ( BYPASS DAS PENEIRAS PN-143A-9704/9724 )"/>
    <m/>
    <m/>
    <m/>
    <s v="1450AA-T-70506_FL11"/>
    <n v="1"/>
    <s v="PÇ"/>
    <n v="0.5"/>
    <n v="0.5"/>
    <n v="2238.89"/>
    <n v="1119.4449999999999"/>
    <n v="0"/>
    <n v="0.9"/>
    <n v="0.1"/>
    <m/>
    <m/>
    <x v="0"/>
    <m/>
    <m/>
    <m/>
    <m/>
    <m/>
    <m/>
    <m/>
    <m/>
    <m/>
    <m/>
    <m/>
    <m/>
    <m/>
    <m/>
    <m/>
    <m/>
    <m/>
  </r>
  <r>
    <s v="2.4.3.1.3"/>
    <s v="CMS M.60.10.000"/>
    <x v="2"/>
    <n v="8"/>
    <s v="CURVA"/>
    <n v="10"/>
    <x v="1"/>
    <s v="NÃO"/>
    <s v="NÃO"/>
    <x v="81"/>
    <x v="1"/>
    <s v="DISPOSIÇÃO DE REJEITOS LINHA DE BYPASS DAS PENEIRAS LINHA DO SEPARADOR MAGNÉTICO SM-143A-9604 P/ TANQUE TQ-142A-9702 ( BYPASS DAS PENEIRAS PN-143A-9704/9724 )"/>
    <m/>
    <m/>
    <m/>
    <s v="1450AA-T-70506_FL14"/>
    <n v="1"/>
    <s v="PÇ"/>
    <n v="0.96299999999999997"/>
    <n v="0.96299999999999997"/>
    <n v="2238.89"/>
    <n v="2156.05107"/>
    <n v="0"/>
    <n v="0.9"/>
    <n v="0.1"/>
    <m/>
    <m/>
    <x v="0"/>
    <m/>
    <m/>
    <m/>
    <m/>
    <m/>
    <m/>
    <m/>
    <m/>
    <m/>
    <m/>
    <m/>
    <m/>
    <m/>
    <m/>
    <m/>
    <m/>
    <m/>
  </r>
  <r>
    <s v="2.4.3.1.3"/>
    <s v="CMS M.60.10.000"/>
    <x v="2"/>
    <n v="9"/>
    <s v="CURVA"/>
    <n v="10"/>
    <x v="1"/>
    <s v="NÃO"/>
    <s v="NÃO"/>
    <x v="81"/>
    <x v="1"/>
    <s v="DISPOSIÇÃO DE REJEITOS LINHA DE BYPASS DAS PENEIRAS LINHA DO SEPARADOR MAGNÉTICO SM-143A-9604 P/ TANQUE TQ-142A-9702 ( BYPASS DAS PENEIRAS PN-143A-9704/9724 )"/>
    <m/>
    <m/>
    <m/>
    <s v="1450AA-T-70506_FL13"/>
    <n v="1"/>
    <s v="PÇ"/>
    <n v="0.60299999999999998"/>
    <n v="0.60299999999999998"/>
    <n v="2238.89"/>
    <n v="1350.0506699999999"/>
    <n v="0"/>
    <n v="0.9"/>
    <n v="0.1"/>
    <m/>
    <m/>
    <x v="0"/>
    <m/>
    <m/>
    <m/>
    <m/>
    <m/>
    <m/>
    <m/>
    <m/>
    <m/>
    <m/>
    <m/>
    <m/>
    <m/>
    <m/>
    <m/>
    <m/>
    <m/>
  </r>
  <r>
    <s v="2.4.3.1.3"/>
    <s v="CMS M.60.10.000"/>
    <x v="2"/>
    <n v="10"/>
    <s v="CURVA"/>
    <n v="10"/>
    <x v="1"/>
    <s v="NÃO"/>
    <s v="NÃO"/>
    <x v="81"/>
    <x v="1"/>
    <s v="DISPOSIÇÃO DE REJEITOS LINHA DE BYPASS DAS PENEIRAS LINHA DO SEPARADOR MAGNÉTICO SM-143A-9604 P/ TANQUE TQ-142A-9702 ( BYPASS DAS PENEIRAS PN-143A-9704/9724 )"/>
    <m/>
    <m/>
    <m/>
    <s v="1450AA-T-70506_FL15"/>
    <n v="1"/>
    <s v="PÇ"/>
    <n v="1.264"/>
    <n v="1.264"/>
    <n v="2238.89"/>
    <n v="2829.95696"/>
    <n v="0"/>
    <n v="0.9"/>
    <n v="0.1"/>
    <m/>
    <m/>
    <x v="0"/>
    <m/>
    <m/>
    <m/>
    <m/>
    <m/>
    <m/>
    <m/>
    <m/>
    <m/>
    <m/>
    <m/>
    <m/>
    <m/>
    <m/>
    <m/>
    <m/>
    <m/>
  </r>
  <r>
    <s v="2.4.3.1.3"/>
    <s v="CMS M.60.10.000"/>
    <x v="2"/>
    <n v="11"/>
    <s v="SPOOL"/>
    <n v="10"/>
    <x v="1"/>
    <s v="NÃO"/>
    <s v="NÃO"/>
    <x v="81"/>
    <x v="1"/>
    <s v="DISPOSIÇÃO DE REJEITOS LINHA DE BYPASS DAS PENEIRAS LINHA DO SEPARADOR MAGNÉTICO SM-143A-9604 P/ TANQUE TQ-142A-9702 ( BYPASS DAS PENEIRAS PN-143A-9704/9724 )"/>
    <m/>
    <m/>
    <m/>
    <s v="1450AA-T-70506_FL18"/>
    <n v="1"/>
    <s v="PÇ"/>
    <n v="1.2070000000000001"/>
    <n v="1.2070000000000001"/>
    <n v="2238.89"/>
    <n v="2702.3402299999998"/>
    <n v="0"/>
    <n v="0.9"/>
    <n v="0.1"/>
    <m/>
    <m/>
    <x v="0"/>
    <m/>
    <m/>
    <m/>
    <m/>
    <m/>
    <m/>
    <m/>
    <m/>
    <m/>
    <m/>
    <m/>
    <m/>
    <m/>
    <m/>
    <m/>
    <m/>
    <m/>
  </r>
  <r>
    <s v="2.4.3.1.3"/>
    <s v="CMS M.60.10.000"/>
    <x v="2"/>
    <n v="12"/>
    <s v="SPOOL"/>
    <n v="10"/>
    <x v="1"/>
    <s v="NÃO"/>
    <s v="NÃO"/>
    <x v="81"/>
    <x v="1"/>
    <s v="DISPOSIÇÃO DE REJEITOS LINHA DE BYPASS DAS PENEIRAS LINHA DO SEPARADOR MAGNÉTICO SM-143A-9604 P/ TANQUE TQ-142A-9702 ( BYPASS DAS PENEIRAS PN-143A-9704/9724 )"/>
    <m/>
    <m/>
    <m/>
    <s v="1450AA-T-70506_FL16"/>
    <n v="1"/>
    <s v="PÇ"/>
    <n v="1.22"/>
    <n v="1.22"/>
    <n v="2238.89"/>
    <n v="2731.4458"/>
    <n v="0"/>
    <n v="0.9"/>
    <n v="0.1"/>
    <m/>
    <m/>
    <x v="0"/>
    <m/>
    <m/>
    <m/>
    <m/>
    <m/>
    <m/>
    <m/>
    <m/>
    <m/>
    <m/>
    <m/>
    <m/>
    <m/>
    <m/>
    <m/>
    <m/>
    <m/>
  </r>
  <r>
    <s v="2.4.3.1.3"/>
    <s v="CMS M.60.10.000"/>
    <x v="2"/>
    <n v="13"/>
    <s v="SPOOL"/>
    <n v="10"/>
    <x v="1"/>
    <s v="NÃO"/>
    <s v="NÃO"/>
    <x v="81"/>
    <x v="1"/>
    <s v="DISPOSIÇÃO DE REJEITOS LINHA DE BYPASS DAS PENEIRAS LINHA DO SEPARADOR MAGNÉTICO SM-143A-9604 P/ TANQUE TQ-142A-9702 ( BYPASS DAS PENEIRAS PN-143A-9704/9724 )"/>
    <m/>
    <m/>
    <m/>
    <s v="1450AA-T-70506_FL17"/>
    <n v="1"/>
    <s v="PÇ"/>
    <n v="1.22"/>
    <n v="1.22"/>
    <n v="2238.89"/>
    <n v="2731.4458"/>
    <n v="0"/>
    <n v="0.9"/>
    <n v="0.1"/>
    <m/>
    <m/>
    <x v="0"/>
    <m/>
    <m/>
    <m/>
    <m/>
    <m/>
    <m/>
    <m/>
    <m/>
    <m/>
    <m/>
    <m/>
    <m/>
    <m/>
    <m/>
    <m/>
    <m/>
    <m/>
  </r>
  <r>
    <s v="2.4.3.1.3"/>
    <s v="CMS M.60.10.000"/>
    <x v="2"/>
    <n v="1"/>
    <s v="SPOOL"/>
    <n v="10"/>
    <x v="1"/>
    <s v="NÃO"/>
    <s v="NÃO"/>
    <x v="82"/>
    <x v="1"/>
    <s v="DISPOSIÇÃO DE REJEITOS LINHA DE BYPASS DAS PENEIRAS LINHA DO SEPARADOR MAGNÉTICO SM-143A-9605 P/ TANQUE TQ-142A-9702 ( BYPASS DAS PENEIRAS PN-143A-9705/9725 )"/>
    <m/>
    <m/>
    <m/>
    <s v="1450AA-T-70508_FL06"/>
    <n v="1"/>
    <s v="PÇ"/>
    <n v="1.46"/>
    <n v="1.46"/>
    <n v="2238.89"/>
    <n v="3268.7793999999999"/>
    <n v="0"/>
    <n v="0.9"/>
    <n v="0.1"/>
    <m/>
    <m/>
    <x v="0"/>
    <m/>
    <m/>
    <m/>
    <m/>
    <m/>
    <m/>
    <m/>
    <m/>
    <m/>
    <m/>
    <m/>
    <m/>
    <m/>
    <m/>
    <m/>
    <m/>
    <m/>
  </r>
  <r>
    <s v="2.4.3.1.3"/>
    <s v="CMS M.60.10.000"/>
    <x v="2"/>
    <n v="2"/>
    <s v="CURVA"/>
    <n v="10"/>
    <x v="1"/>
    <s v="NÃO"/>
    <s v="NÃO"/>
    <x v="82"/>
    <x v="1"/>
    <s v="DISPOSIÇÃO DE REJEITOS LINHA DE BYPASS DAS PENEIRAS LINHA DO SEPARADOR MAGNÉTICO SM-143A-9605 P/ TANQUE TQ-142A-9702 ( BYPASS DAS PENEIRAS PN-143A-9705/9725 )"/>
    <m/>
    <m/>
    <m/>
    <s v="1450AA-T-70508_FL12"/>
    <n v="1"/>
    <s v="PÇ"/>
    <n v="1.218"/>
    <n v="1.218"/>
    <n v="2238.89"/>
    <n v="2726.9680199999998"/>
    <n v="0"/>
    <n v="0.9"/>
    <n v="0.1"/>
    <m/>
    <m/>
    <x v="0"/>
    <m/>
    <m/>
    <m/>
    <m/>
    <m/>
    <m/>
    <m/>
    <m/>
    <m/>
    <m/>
    <m/>
    <m/>
    <m/>
    <m/>
    <m/>
    <m/>
    <m/>
  </r>
  <r>
    <s v="2.4.3.1.3"/>
    <s v="CMS M.60.10.000"/>
    <x v="2"/>
    <n v="3"/>
    <s v="SPOOL"/>
    <n v="10"/>
    <x v="1"/>
    <s v="NÃO"/>
    <s v="NÃO"/>
    <x v="82"/>
    <x v="1"/>
    <s v="DISPOSIÇÃO DE REJEITOS LINHA DE BYPASS DAS PENEIRAS LINHA DO SEPARADOR MAGNÉTICO SM-143A-9605 P/ TANQUE TQ-142A-9702 ( BYPASS DAS PENEIRAS PN-143A-9705/9725 )"/>
    <m/>
    <m/>
    <m/>
    <s v="1450AA-T-70508_FL07"/>
    <n v="1"/>
    <s v="PÇ"/>
    <n v="2.69"/>
    <n v="2.69"/>
    <n v="2238.89"/>
    <n v="6022.6140999999998"/>
    <n v="0"/>
    <n v="0.9"/>
    <n v="0.1"/>
    <m/>
    <m/>
    <x v="0"/>
    <m/>
    <m/>
    <m/>
    <m/>
    <m/>
    <m/>
    <m/>
    <m/>
    <m/>
    <m/>
    <m/>
    <m/>
    <m/>
    <m/>
    <m/>
    <m/>
    <m/>
  </r>
  <r>
    <s v="2.4.3.1.3"/>
    <s v="CMS M.60.10.000"/>
    <x v="2"/>
    <n v="4"/>
    <s v="SPOOL"/>
    <n v="10"/>
    <x v="1"/>
    <s v="NÃO"/>
    <s v="NÃO"/>
    <x v="82"/>
    <x v="1"/>
    <s v="DISPOSIÇÃO DE REJEITOS LINHA DE BYPASS DAS PENEIRAS LINHA DO SEPARADOR MAGNÉTICO SM-143A-9605 P/ TANQUE TQ-142A-9702 ( BYPASS DAS PENEIRAS PN-143A-9705/9725 )"/>
    <m/>
    <m/>
    <m/>
    <s v="1450AA-T-70508_FL14"/>
    <n v="1"/>
    <s v="PÇ"/>
    <n v="1.2170000000000001"/>
    <n v="1.2170000000000001"/>
    <n v="2238.89"/>
    <n v="2724.7291300000002"/>
    <n v="0"/>
    <n v="0.9"/>
    <n v="0.1"/>
    <m/>
    <m/>
    <x v="0"/>
    <m/>
    <m/>
    <m/>
    <m/>
    <m/>
    <m/>
    <m/>
    <m/>
    <m/>
    <m/>
    <m/>
    <m/>
    <m/>
    <m/>
    <m/>
    <m/>
    <m/>
  </r>
  <r>
    <s v="2.4.3.1.3"/>
    <s v="CMS M.60.10.000"/>
    <x v="2"/>
    <n v="5"/>
    <s v="SPOOL"/>
    <n v="10"/>
    <x v="1"/>
    <s v="NÃO"/>
    <s v="NÃO"/>
    <x v="82"/>
    <x v="1"/>
    <s v="DISPOSIÇÃO DE REJEITOS LINHA DE BYPASS DAS PENEIRAS LINHA DO SEPARADOR MAGNÉTICO SM-143A-9605 P/ TANQUE TQ-142A-9702 ( BYPASS DAS PENEIRAS PN-143A-9705/9725 )"/>
    <m/>
    <m/>
    <m/>
    <s v="1450AA-T-70508_FL09"/>
    <n v="1"/>
    <s v="PÇ"/>
    <n v="6"/>
    <n v="6"/>
    <n v="2238.89"/>
    <n v="13433.34"/>
    <n v="0"/>
    <n v="0.9"/>
    <n v="0.1"/>
    <m/>
    <m/>
    <x v="0"/>
    <m/>
    <m/>
    <m/>
    <m/>
    <m/>
    <m/>
    <m/>
    <m/>
    <m/>
    <m/>
    <m/>
    <m/>
    <m/>
    <m/>
    <m/>
    <m/>
    <m/>
  </r>
  <r>
    <s v="2.4.3.1.3"/>
    <s v="CMS M.60.10.000"/>
    <x v="2"/>
    <n v="6"/>
    <s v="SPOOL"/>
    <n v="10"/>
    <x v="1"/>
    <s v="NÃO"/>
    <s v="NÃO"/>
    <x v="82"/>
    <x v="1"/>
    <s v="DISPOSIÇÃO DE REJEITOS LINHA DE BYPASS DAS PENEIRAS LINHA DO SEPARADOR MAGNÉTICO SM-143A-9605 P/ TANQUE TQ-142A-9702 ( BYPASS DAS PENEIRAS PN-143A-9705/9725 )"/>
    <m/>
    <m/>
    <m/>
    <s v="1450AA-T-70508_FL08"/>
    <n v="2"/>
    <s v="PÇ"/>
    <n v="5.5"/>
    <n v="11"/>
    <n v="2238.89"/>
    <n v="24627.789999999997"/>
    <n v="0"/>
    <n v="0.9"/>
    <n v="0.1"/>
    <m/>
    <m/>
    <x v="0"/>
    <m/>
    <m/>
    <m/>
    <m/>
    <m/>
    <m/>
    <m/>
    <m/>
    <m/>
    <m/>
    <m/>
    <m/>
    <m/>
    <m/>
    <m/>
    <m/>
    <m/>
  </r>
  <r>
    <s v="2.4.3.1.3"/>
    <s v="CMS M.60.10.000"/>
    <x v="2"/>
    <n v="7"/>
    <s v="SPOOL"/>
    <n v="10"/>
    <x v="2"/>
    <s v="NÃO"/>
    <s v="NÃO"/>
    <x v="82"/>
    <x v="1"/>
    <s v="DISPOSIÇÃO DE REJEITOS LINHA DE BYPASS DAS PENEIRAS LINHA DO SEPARADOR MAGNÉTICO SM-143A-9605 P/ TANQUE TQ-142A-9702 ( BYPASS DAS PENEIRAS PN-143A-9705/9725 )"/>
    <m/>
    <m/>
    <m/>
    <s v="1450AA-T-70508_FL10"/>
    <n v="1"/>
    <s v="PÇ"/>
    <n v="0.46"/>
    <n v="0.46"/>
    <n v="2238.89"/>
    <n v="1029.8894"/>
    <n v="0"/>
    <n v="0.9"/>
    <n v="0.1"/>
    <m/>
    <m/>
    <x v="0"/>
    <m/>
    <m/>
    <m/>
    <m/>
    <m/>
    <m/>
    <m/>
    <m/>
    <m/>
    <m/>
    <m/>
    <m/>
    <m/>
    <m/>
    <m/>
    <m/>
    <m/>
  </r>
  <r>
    <s v="2.4.3.1.3"/>
    <s v="CMS M.60.10.000"/>
    <x v="2"/>
    <n v="8"/>
    <s v="SPOOL"/>
    <n v="10"/>
    <x v="2"/>
    <s v="NÃO"/>
    <s v="NÃO"/>
    <x v="82"/>
    <x v="1"/>
    <s v="DISPOSIÇÃO DE REJEITOS LINHA DE BYPASS DAS PENEIRAS LINHA DO SEPARADOR MAGNÉTICO SM-143A-9605 P/ TANQUE TQ-142A-9702 ( BYPASS DAS PENEIRAS PN-143A-9705/9725 )"/>
    <m/>
    <m/>
    <m/>
    <s v="1450AA-T-70508_FL11"/>
    <n v="1"/>
    <s v="PÇ"/>
    <n v="0.47"/>
    <n v="0.47"/>
    <n v="2238.89"/>
    <n v="1052.2782999999999"/>
    <n v="0"/>
    <n v="0.9"/>
    <n v="0.1"/>
    <m/>
    <m/>
    <x v="0"/>
    <m/>
    <m/>
    <m/>
    <m/>
    <m/>
    <m/>
    <m/>
    <m/>
    <m/>
    <m/>
    <m/>
    <m/>
    <m/>
    <m/>
    <m/>
    <m/>
    <m/>
  </r>
  <r>
    <s v="2.4.3.1.3"/>
    <s v="CMS M.60.10.000"/>
    <x v="2"/>
    <n v="9"/>
    <s v="SPOOL"/>
    <n v="10"/>
    <x v="1"/>
    <s v="NÃO"/>
    <s v="NÃO"/>
    <x v="82"/>
    <x v="1"/>
    <s v="DISPOSIÇÃO DE REJEITOS LINHA DE BYPASS DAS PENEIRAS LINHA DO SEPARADOR MAGNÉTICO SM-143A-9605 P/ TANQUE TQ-142A-9702 ( BYPASS DAS PENEIRAS PN-143A-9705/9725 )"/>
    <m/>
    <m/>
    <m/>
    <s v="1450AA-T-70508_FL15"/>
    <n v="1"/>
    <s v="PÇ"/>
    <n v="1.2170000000000001"/>
    <n v="1.2170000000000001"/>
    <n v="2238.89"/>
    <n v="2724.7291300000002"/>
    <n v="0"/>
    <n v="0.9"/>
    <n v="0.1"/>
    <m/>
    <m/>
    <x v="0"/>
    <m/>
    <m/>
    <m/>
    <m/>
    <m/>
    <m/>
    <m/>
    <m/>
    <m/>
    <m/>
    <m/>
    <m/>
    <m/>
    <m/>
    <m/>
    <m/>
    <m/>
  </r>
  <r>
    <s v="2.4.3.1.3"/>
    <s v="CMS M.60.10.000"/>
    <x v="2"/>
    <n v="10"/>
    <s v="CURVA"/>
    <n v="10"/>
    <x v="1"/>
    <s v="NÃO"/>
    <s v="NÃO"/>
    <x v="82"/>
    <x v="1"/>
    <s v="DISPOSIÇÃO DE REJEITOS LINHA DE BYPASS DAS PENEIRAS LINHA DO SEPARADOR MAGNÉTICO SM-143A-9605 P/ TANQUE TQ-142A-9702 ( BYPASS DAS PENEIRAS PN-143A-9705/9725 )"/>
    <m/>
    <m/>
    <m/>
    <s v="1450AA-T-70508_FL13"/>
    <n v="1"/>
    <s v="PÇ"/>
    <n v="1.264"/>
    <n v="1.264"/>
    <n v="2238.89"/>
    <n v="2829.95696"/>
    <n v="0"/>
    <n v="0.9"/>
    <n v="0.1"/>
    <m/>
    <m/>
    <x v="0"/>
    <m/>
    <m/>
    <m/>
    <m/>
    <m/>
    <m/>
    <m/>
    <m/>
    <m/>
    <m/>
    <m/>
    <m/>
    <m/>
    <m/>
    <m/>
    <m/>
    <m/>
  </r>
  <r>
    <s v="2.4.3.1.3"/>
    <s v="CMS M.60.10.000"/>
    <x v="2"/>
    <n v="1"/>
    <s v="SPOOL"/>
    <n v="10"/>
    <x v="1"/>
    <s v="NÃO"/>
    <s v="NÃO"/>
    <x v="83"/>
    <x v="1"/>
    <s v="DISPOSIÇÃO DE REJEITOS LINHA DE BYPASS DAS PENEIRAS LINHA DO SEPARADOR MAGNÉTICO SM-143A-9606 P/ TANQUE TQ-142A-9702 ( BYPASS DAS PENEIRAS PN-143A-9706/9726 )"/>
    <m/>
    <m/>
    <m/>
    <s v="1450AA-T-70510_FL06"/>
    <n v="1"/>
    <s v="PÇ"/>
    <n v="0.83"/>
    <n v="0.83"/>
    <n v="2238.89"/>
    <n v="1858.2786999999998"/>
    <n v="0"/>
    <n v="0.9"/>
    <n v="0.1"/>
    <m/>
    <m/>
    <x v="0"/>
    <m/>
    <m/>
    <m/>
    <m/>
    <m/>
    <m/>
    <m/>
    <m/>
    <m/>
    <m/>
    <m/>
    <m/>
    <m/>
    <m/>
    <m/>
    <m/>
    <m/>
  </r>
  <r>
    <s v="2.4.3.1.3"/>
    <s v="CMS M.60.10.000"/>
    <x v="2"/>
    <n v="2"/>
    <s v="CURVA"/>
    <n v="10"/>
    <x v="1"/>
    <s v="NÃO"/>
    <s v="NÃO"/>
    <x v="83"/>
    <x v="1"/>
    <s v="DISPOSIÇÃO DE REJEITOS LINHA DE BYPASS DAS PENEIRAS LINHA DO SEPARADOR MAGNÉTICO SM-143A-9606 P/ TANQUE TQ-142A-9702 ( BYPASS DAS PENEIRAS PN-143A-9706/9726 )"/>
    <m/>
    <m/>
    <m/>
    <s v="1450AA-T-70510_FL14"/>
    <n v="1"/>
    <s v="PÇ"/>
    <n v="1.0609999999999999"/>
    <n v="1.0609999999999999"/>
    <n v="2238.89"/>
    <n v="2375.4622899999999"/>
    <n v="0"/>
    <n v="0.9"/>
    <n v="0.1"/>
    <m/>
    <m/>
    <x v="0"/>
    <m/>
    <m/>
    <m/>
    <m/>
    <m/>
    <m/>
    <m/>
    <m/>
    <m/>
    <m/>
    <m/>
    <m/>
    <m/>
    <m/>
    <m/>
    <m/>
    <m/>
  </r>
  <r>
    <s v="2.4.3.1.3"/>
    <s v="CMS M.60.10.000"/>
    <x v="2"/>
    <n v="3"/>
    <s v="SPOOL"/>
    <n v="10"/>
    <x v="1"/>
    <s v="NÃO"/>
    <s v="NÃO"/>
    <x v="83"/>
    <x v="1"/>
    <s v="DISPOSIÇÃO DE REJEITOS LINHA DE BYPASS DAS PENEIRAS LINHA DO SEPARADOR MAGNÉTICO SM-143A-9606 P/ TANQUE TQ-142A-9702 ( BYPASS DAS PENEIRAS PN-143A-9706/9726 )"/>
    <m/>
    <m/>
    <m/>
    <s v="1450AA-T-70510_FL07"/>
    <n v="1"/>
    <s v="PÇ"/>
    <n v="3"/>
    <n v="3"/>
    <n v="2238.89"/>
    <n v="6716.67"/>
    <n v="0"/>
    <n v="0.9"/>
    <n v="0.1"/>
    <m/>
    <m/>
    <x v="0"/>
    <m/>
    <m/>
    <m/>
    <m/>
    <m/>
    <m/>
    <m/>
    <m/>
    <m/>
    <m/>
    <m/>
    <m/>
    <m/>
    <m/>
    <m/>
    <m/>
    <m/>
  </r>
  <r>
    <s v="2.4.3.1.3"/>
    <s v="CMS M.60.10.000"/>
    <x v="2"/>
    <n v="4"/>
    <s v="SPOOL"/>
    <n v="10"/>
    <x v="1"/>
    <s v="NÃO"/>
    <s v="NÃO"/>
    <x v="83"/>
    <x v="1"/>
    <s v="DISPOSIÇÃO DE REJEITOS LINHA DE BYPASS DAS PENEIRAS LINHA DO SEPARADOR MAGNÉTICO SM-143A-9606 P/ TANQUE TQ-142A-9702 ( BYPASS DAS PENEIRAS PN-143A-9706/9726 )"/>
    <m/>
    <m/>
    <m/>
    <s v="1450AA-T-70510_FL16"/>
    <n v="1"/>
    <s v="PÇ"/>
    <n v="1.2170000000000001"/>
    <n v="1.2170000000000001"/>
    <n v="2238.89"/>
    <n v="2724.7291300000002"/>
    <n v="0"/>
    <n v="0.9"/>
    <n v="0.1"/>
    <m/>
    <m/>
    <x v="0"/>
    <m/>
    <m/>
    <m/>
    <m/>
    <m/>
    <m/>
    <m/>
    <m/>
    <m/>
    <m/>
    <m/>
    <m/>
    <m/>
    <m/>
    <m/>
    <m/>
    <m/>
  </r>
  <r>
    <s v="2.4.3.1.3"/>
    <s v="CMS M.60.10.000"/>
    <x v="2"/>
    <n v="5"/>
    <s v="SPOOL"/>
    <n v="10"/>
    <x v="1"/>
    <s v="NÃO"/>
    <s v="NÃO"/>
    <x v="83"/>
    <x v="1"/>
    <s v="DISPOSIÇÃO DE REJEITOS LINHA DE BYPASS DAS PENEIRAS LINHA DO SEPARADOR MAGNÉTICO SM-143A-9606 P/ TANQUE TQ-142A-9702 ( BYPASS DAS PENEIRAS PN-143A-9706/9726 )"/>
    <m/>
    <m/>
    <m/>
    <s v="1450AA-T-70510_FL08"/>
    <n v="1"/>
    <s v="PÇ"/>
    <n v="3.5"/>
    <n v="3.5"/>
    <n v="2238.89"/>
    <n v="7836.1149999999998"/>
    <n v="0"/>
    <n v="0.9"/>
    <n v="0.1"/>
    <m/>
    <m/>
    <x v="0"/>
    <m/>
    <m/>
    <m/>
    <m/>
    <m/>
    <m/>
    <m/>
    <m/>
    <m/>
    <m/>
    <m/>
    <m/>
    <m/>
    <m/>
    <m/>
    <m/>
    <m/>
  </r>
  <r>
    <s v="2.4.3.1.3"/>
    <s v="CMS M.60.10.000"/>
    <x v="2"/>
    <n v="6"/>
    <s v="CURVA"/>
    <n v="10"/>
    <x v="1"/>
    <s v="NÃO"/>
    <s v="NÃO"/>
    <x v="83"/>
    <x v="1"/>
    <s v="DISPOSIÇÃO DE REJEITOS LINHA DE BYPASS DAS PENEIRAS LINHA DO SEPARADOR MAGNÉTICO SM-143A-9606 P/ TANQUE TQ-142A-9702 ( BYPASS DAS PENEIRAS PN-143A-9706/9726 )"/>
    <m/>
    <m/>
    <m/>
    <s v="1450AA-T-70510_FL13"/>
    <n v="1"/>
    <s v="PÇ"/>
    <n v="0.432"/>
    <n v="0.432"/>
    <n v="2238.89"/>
    <n v="967.20047999999997"/>
    <n v="0"/>
    <n v="0.9"/>
    <n v="0.1"/>
    <m/>
    <m/>
    <x v="0"/>
    <m/>
    <m/>
    <m/>
    <m/>
    <m/>
    <m/>
    <m/>
    <m/>
    <m/>
    <m/>
    <m/>
    <m/>
    <m/>
    <m/>
    <m/>
    <m/>
    <m/>
  </r>
  <r>
    <s v="2.4.3.1.3"/>
    <s v="CMS M.60.10.000"/>
    <x v="2"/>
    <n v="7"/>
    <s v="SPOOL"/>
    <n v="10"/>
    <x v="1"/>
    <s v="NÃO"/>
    <s v="NÃO"/>
    <x v="83"/>
    <x v="1"/>
    <s v="DISPOSIÇÃO DE REJEITOS LINHA DE BYPASS DAS PENEIRAS LINHA DO SEPARADOR MAGNÉTICO SM-143A-9606 P/ TANQUE TQ-142A-9702 ( BYPASS DAS PENEIRAS PN-143A-9706/9726 )"/>
    <m/>
    <m/>
    <m/>
    <s v="1450AA-T-70510_FL10"/>
    <n v="1"/>
    <s v="PÇ"/>
    <n v="6"/>
    <n v="6"/>
    <n v="2238.89"/>
    <n v="13433.34"/>
    <n v="0"/>
    <n v="0.9"/>
    <n v="0.1"/>
    <m/>
    <m/>
    <x v="0"/>
    <m/>
    <m/>
    <m/>
    <m/>
    <m/>
    <m/>
    <m/>
    <m/>
    <m/>
    <m/>
    <m/>
    <m/>
    <m/>
    <m/>
    <m/>
    <m/>
    <m/>
  </r>
  <r>
    <s v="2.4.3.1.3"/>
    <s v="CMS M.60.10.000"/>
    <x v="2"/>
    <n v="8"/>
    <s v="SPOOL"/>
    <n v="10"/>
    <x v="1"/>
    <s v="NÃO"/>
    <s v="NÃO"/>
    <x v="83"/>
    <x v="1"/>
    <s v="DISPOSIÇÃO DE REJEITOS LINHA DE BYPASS DAS PENEIRAS LINHA DO SEPARADOR MAGNÉTICO SM-143A-9606 P/ TANQUE TQ-142A-9702 ( BYPASS DAS PENEIRAS PN-143A-9706/9726 )"/>
    <m/>
    <m/>
    <m/>
    <s v="1450AA-T-70510_FL09"/>
    <n v="2"/>
    <s v="PÇ"/>
    <n v="5.5"/>
    <n v="11"/>
    <n v="2238.89"/>
    <n v="24627.789999999997"/>
    <n v="0"/>
    <n v="0.9"/>
    <n v="0.1"/>
    <m/>
    <m/>
    <x v="0"/>
    <m/>
    <m/>
    <m/>
    <m/>
    <m/>
    <m/>
    <m/>
    <m/>
    <m/>
    <m/>
    <m/>
    <m/>
    <m/>
    <m/>
    <m/>
    <m/>
    <m/>
  </r>
  <r>
    <s v="2.4.3.1.3"/>
    <s v="CMS M.60.10.000"/>
    <x v="2"/>
    <n v="9"/>
    <s v="SPOOL"/>
    <n v="10"/>
    <x v="2"/>
    <s v="NÃO"/>
    <s v="NÃO"/>
    <x v="83"/>
    <x v="1"/>
    <s v="DISPOSIÇÃO DE REJEITOS LINHA DE BYPASS DAS PENEIRAS LINHA DO SEPARADOR MAGNÉTICO SM-143A-9606 P/ TANQUE TQ-142A-9702 ( BYPASS DAS PENEIRAS PN-143A-9706/9726 )"/>
    <m/>
    <m/>
    <m/>
    <s v="1450AA-T-70510_FL11"/>
    <n v="1"/>
    <s v="PÇ"/>
    <n v="0.39"/>
    <n v="0.39"/>
    <n v="2238.89"/>
    <n v="873.1671"/>
    <n v="0"/>
    <n v="0.9"/>
    <n v="0.1"/>
    <m/>
    <m/>
    <x v="0"/>
    <m/>
    <m/>
    <m/>
    <m/>
    <m/>
    <m/>
    <m/>
    <m/>
    <m/>
    <m/>
    <m/>
    <m/>
    <m/>
    <m/>
    <m/>
    <m/>
    <m/>
  </r>
  <r>
    <s v="2.4.3.1.3"/>
    <s v="CMS M.60.10.000"/>
    <x v="2"/>
    <n v="10"/>
    <s v="SPOOL"/>
    <n v="10"/>
    <x v="1"/>
    <s v="NÃO"/>
    <s v="NÃO"/>
    <x v="83"/>
    <x v="1"/>
    <s v="DISPOSIÇÃO DE REJEITOS LINHA DE BYPASS DAS PENEIRAS LINHA DO SEPARADOR MAGNÉTICO SM-143A-9606 P/ TANQUE TQ-142A-9702 ( BYPASS DAS PENEIRAS PN-143A-9706/9726 )"/>
    <m/>
    <m/>
    <m/>
    <s v="1450AA-T-70510_FL17"/>
    <n v="1"/>
    <s v="PÇ"/>
    <n v="1.2170000000000001"/>
    <n v="1.2170000000000001"/>
    <n v="2238.89"/>
    <n v="2724.7291300000002"/>
    <n v="0"/>
    <n v="0.9"/>
    <n v="0.1"/>
    <m/>
    <m/>
    <x v="0"/>
    <m/>
    <m/>
    <m/>
    <m/>
    <m/>
    <m/>
    <m/>
    <m/>
    <m/>
    <m/>
    <m/>
    <m/>
    <m/>
    <m/>
    <m/>
    <m/>
    <m/>
  </r>
  <r>
    <s v="2.4.3.1.3"/>
    <s v="CMS M.60.10.000"/>
    <x v="2"/>
    <n v="11"/>
    <s v="SPOOL"/>
    <n v="10"/>
    <x v="2"/>
    <s v="NÃO"/>
    <s v="NÃO"/>
    <x v="83"/>
    <x v="1"/>
    <s v="DISPOSIÇÃO DE REJEITOS LINHA DE BYPASS DAS PENEIRAS LINHA DO SEPARADOR MAGNÉTICO SM-143A-9606 P/ TANQUE TQ-142A-9702 ( BYPASS DAS PENEIRAS PN-143A-9706/9726 )"/>
    <m/>
    <m/>
    <m/>
    <s v="1450AA-T-70510_FL12"/>
    <n v="1"/>
    <s v="PÇ"/>
    <n v="0.85"/>
    <n v="0.85"/>
    <n v="2238.89"/>
    <n v="1903.0564999999999"/>
    <n v="0"/>
    <n v="0.9"/>
    <n v="0.1"/>
    <m/>
    <m/>
    <x v="0"/>
    <m/>
    <m/>
    <m/>
    <m/>
    <m/>
    <m/>
    <m/>
    <m/>
    <m/>
    <m/>
    <m/>
    <m/>
    <m/>
    <m/>
    <m/>
    <m/>
    <m/>
  </r>
  <r>
    <s v="2.4.3.1.3"/>
    <s v="CMS M.60.10.000"/>
    <x v="2"/>
    <n v="12"/>
    <s v="CURVA"/>
    <n v="10"/>
    <x v="1"/>
    <s v="NÃO"/>
    <s v="NÃO"/>
    <x v="83"/>
    <x v="1"/>
    <s v="DISPOSIÇÃO DE REJEITOS LINHA DE BYPASS DAS PENEIRAS LINHA DO SEPARADOR MAGNÉTICO SM-143A-9606 P/ TANQUE TQ-142A-9702 ( BYPASS DAS PENEIRAS PN-143A-9706/9726 )"/>
    <m/>
    <m/>
    <m/>
    <s v="1450AA-T-70510_FL15"/>
    <n v="1"/>
    <s v="PÇ"/>
    <n v="1.264"/>
    <n v="1.264"/>
    <n v="2238.89"/>
    <n v="2829.95696"/>
    <n v="0"/>
    <n v="0.9"/>
    <n v="0.1"/>
    <m/>
    <m/>
    <x v="0"/>
    <m/>
    <m/>
    <m/>
    <m/>
    <m/>
    <m/>
    <m/>
    <m/>
    <m/>
    <m/>
    <m/>
    <m/>
    <m/>
    <m/>
    <m/>
    <m/>
    <m/>
  </r>
  <r>
    <s v="2.4.3.1.3"/>
    <s v="CMS M.60.10.000"/>
    <x v="2"/>
    <n v="1"/>
    <s v="SPOOL"/>
    <n v="10"/>
    <x v="1"/>
    <s v="NÃO"/>
    <s v="NÃO"/>
    <x v="84"/>
    <x v="2"/>
    <s v="DISPOSIÇÃO DE REJEITOS LINHA DE BYPASS DAS PENEIRAS LINHA DO SEPARADOR MAGNÉTICO SM-143A-9707 P/ TANQUE TQ-142A-9703 ( BYPASS DAS PENEIRAS PN-143A-9707/9727 )"/>
    <m/>
    <m/>
    <m/>
    <s v="1450AA-T-70512_FL13"/>
    <n v="1"/>
    <s v="PÇ"/>
    <n v="2.2799999999999998"/>
    <n v="2.2799999999999998"/>
    <n v="2238.89"/>
    <n v="5104.6691999999994"/>
    <n v="0"/>
    <n v="0.9"/>
    <n v="0.1"/>
    <m/>
    <m/>
    <x v="0"/>
    <m/>
    <m/>
    <m/>
    <m/>
    <m/>
    <m/>
    <m/>
    <m/>
    <m/>
    <m/>
    <m/>
    <m/>
    <m/>
    <m/>
    <m/>
    <m/>
    <m/>
  </r>
  <r>
    <s v="2.4.3.1.3"/>
    <s v="CMS M.60.10.000"/>
    <x v="2"/>
    <n v="2"/>
    <s v="SPOOL"/>
    <n v="10"/>
    <x v="1"/>
    <s v="NÃO"/>
    <s v="NÃO"/>
    <x v="84"/>
    <x v="2"/>
    <s v="DISPOSIÇÃO DE REJEITOS LINHA DE BYPASS DAS PENEIRAS LINHA DO SEPARADOR MAGNÉTICO SM-143A-9707 P/ TANQUE TQ-142A-9703 ( BYPASS DAS PENEIRAS PN-143A-9707/9727 )"/>
    <m/>
    <m/>
    <m/>
    <s v="1450AA-T-70512_FL12"/>
    <n v="1"/>
    <s v="PÇ"/>
    <n v="2.0150000000000001"/>
    <n v="2.0150000000000001"/>
    <n v="2238.89"/>
    <n v="4511.3633499999996"/>
    <n v="0"/>
    <n v="0.9"/>
    <n v="0.1"/>
    <m/>
    <m/>
    <x v="0"/>
    <m/>
    <m/>
    <m/>
    <m/>
    <m/>
    <m/>
    <m/>
    <m/>
    <m/>
    <m/>
    <m/>
    <m/>
    <m/>
    <m/>
    <m/>
    <m/>
    <m/>
  </r>
  <r>
    <s v="2.4.3.1.3"/>
    <s v="CMS M.60.10.000"/>
    <x v="2"/>
    <n v="3"/>
    <s v="SPOOL"/>
    <n v="10"/>
    <x v="1"/>
    <s v="NÃO"/>
    <s v="NÃO"/>
    <x v="84"/>
    <x v="2"/>
    <s v="DISPOSIÇÃO DE REJEITOS LINHA DE BYPASS DAS PENEIRAS LINHA DO SEPARADOR MAGNÉTICO SM-143A-9707 P/ TANQUE TQ-142A-9703 ( BYPASS DAS PENEIRAS PN-143A-9707/9727 )"/>
    <m/>
    <m/>
    <m/>
    <s v="1450AA-T-70512_FL15"/>
    <n v="2"/>
    <s v="PÇ"/>
    <n v="6"/>
    <n v="12"/>
    <n v="2238.89"/>
    <n v="26866.68"/>
    <n v="0"/>
    <n v="0.9"/>
    <n v="0.1"/>
    <m/>
    <m/>
    <x v="0"/>
    <m/>
    <m/>
    <m/>
    <m/>
    <m/>
    <m/>
    <m/>
    <m/>
    <m/>
    <m/>
    <m/>
    <m/>
    <m/>
    <m/>
    <m/>
    <m/>
    <m/>
  </r>
  <r>
    <s v="2.4.3.1.3"/>
    <s v="CMS M.60.10.000"/>
    <x v="2"/>
    <n v="4"/>
    <s v="SPOOL"/>
    <n v="10"/>
    <x v="1"/>
    <s v="NÃO"/>
    <s v="NÃO"/>
    <x v="84"/>
    <x v="2"/>
    <s v="DISPOSIÇÃO DE REJEITOS LINHA DE BYPASS DAS PENEIRAS LINHA DO SEPARADOR MAGNÉTICO SM-143A-9707 P/ TANQUE TQ-142A-9703 ( BYPASS DAS PENEIRAS PN-143A-9707/9727 )"/>
    <m/>
    <m/>
    <m/>
    <s v="1450AA-T-70512_FL14"/>
    <n v="1"/>
    <s v="PÇ"/>
    <n v="4"/>
    <n v="4"/>
    <n v="2238.89"/>
    <n v="8955.56"/>
    <n v="0"/>
    <n v="0.9"/>
    <n v="0.1"/>
    <m/>
    <m/>
    <x v="0"/>
    <m/>
    <m/>
    <m/>
    <m/>
    <m/>
    <m/>
    <m/>
    <m/>
    <m/>
    <m/>
    <m/>
    <m/>
    <m/>
    <m/>
    <m/>
    <m/>
    <m/>
  </r>
  <r>
    <s v="2.4.3.1.3"/>
    <s v="CMS M.60.10.000"/>
    <x v="2"/>
    <n v="5"/>
    <s v="SPOOL"/>
    <n v="10"/>
    <x v="1"/>
    <s v="NÃO"/>
    <s v="NÃO"/>
    <x v="84"/>
    <x v="2"/>
    <s v="DISPOSIÇÃO DE REJEITOS LINHA DE BYPASS DAS PENEIRAS LINHA DO SEPARADOR MAGNÉTICO SM-143A-9707 P/ TANQUE TQ-142A-9703 ( BYPASS DAS PENEIRAS PN-143A-9707/9727 )"/>
    <m/>
    <m/>
    <m/>
    <s v="1450AA-T-70512_FL16"/>
    <n v="1"/>
    <s v="PÇ"/>
    <n v="3"/>
    <n v="3"/>
    <n v="2238.89"/>
    <n v="6716.67"/>
    <n v="0"/>
    <n v="0.9"/>
    <n v="0.1"/>
    <m/>
    <m/>
    <x v="0"/>
    <m/>
    <m/>
    <m/>
    <m/>
    <m/>
    <m/>
    <m/>
    <m/>
    <m/>
    <m/>
    <m/>
    <m/>
    <m/>
    <m/>
    <m/>
    <m/>
    <m/>
  </r>
  <r>
    <s v="2.4.3.1.3"/>
    <s v="CMS M.60.10.000"/>
    <x v="2"/>
    <n v="6"/>
    <s v="SPOOL"/>
    <n v="10"/>
    <x v="1"/>
    <s v="NÃO"/>
    <s v="NÃO"/>
    <x v="84"/>
    <x v="2"/>
    <s v="DISPOSIÇÃO DE REJEITOS LINHA DE BYPASS DAS PENEIRAS LINHA DO SEPARADOR MAGNÉTICO SM-143A-9707 P/ TANQUE TQ-142A-9703 ( BYPASS DAS PENEIRAS PN-143A-9707/9727 )"/>
    <m/>
    <m/>
    <m/>
    <s v="1450AA-T-70512_FL17"/>
    <n v="1"/>
    <s v="PÇ"/>
    <n v="5.5"/>
    <n v="5.5"/>
    <n v="2238.89"/>
    <n v="12313.894999999999"/>
    <n v="0"/>
    <n v="0.9"/>
    <n v="0.1"/>
    <m/>
    <m/>
    <x v="0"/>
    <m/>
    <m/>
    <m/>
    <m/>
    <m/>
    <m/>
    <m/>
    <m/>
    <m/>
    <m/>
    <m/>
    <m/>
    <m/>
    <m/>
    <m/>
    <m/>
    <m/>
  </r>
  <r>
    <s v="2.4.3.1.3"/>
    <s v="CMS M.60.10.000"/>
    <x v="2"/>
    <n v="7"/>
    <s v="SPOOL"/>
    <n v="10"/>
    <x v="2"/>
    <s v="NÃO"/>
    <s v="NÃO"/>
    <x v="84"/>
    <x v="2"/>
    <s v="DISPOSIÇÃO DE REJEITOS LINHA DE BYPASS DAS PENEIRAS LINHA DO SEPARADOR MAGNÉTICO SM-143A-9707 P/ TANQUE TQ-142A-9703 ( BYPASS DAS PENEIRAS PN-143A-9707/9727 )"/>
    <m/>
    <m/>
    <m/>
    <s v="1450AA-T-70512_FL18"/>
    <n v="3"/>
    <s v="PÇ"/>
    <n v="0.6"/>
    <n v="1.7999999999999998"/>
    <n v="2238.89"/>
    <n v="4030.0019999999995"/>
    <n v="0"/>
    <n v="0.9"/>
    <n v="0.1"/>
    <m/>
    <m/>
    <x v="0"/>
    <m/>
    <m/>
    <m/>
    <m/>
    <m/>
    <m/>
    <m/>
    <m/>
    <m/>
    <m/>
    <m/>
    <m/>
    <m/>
    <m/>
    <m/>
    <m/>
    <m/>
  </r>
  <r>
    <s v="2.4.3.1.3"/>
    <s v="CMS M.60.10.000"/>
    <x v="2"/>
    <n v="8"/>
    <s v="SPOOL"/>
    <n v="10"/>
    <x v="2"/>
    <s v="NÃO"/>
    <s v="NÃO"/>
    <x v="84"/>
    <x v="2"/>
    <s v="DISPOSIÇÃO DE REJEITOS LINHA DE BYPASS DAS PENEIRAS LINHA DO SEPARADOR MAGNÉTICO SM-143A-9707 P/ TANQUE TQ-142A-9703 ( BYPASS DAS PENEIRAS PN-143A-9707/9727 )"/>
    <m/>
    <m/>
    <m/>
    <s v="1450AA-T-70512_FL19"/>
    <n v="2"/>
    <s v="PÇ"/>
    <n v="0.48"/>
    <n v="0.96"/>
    <n v="2238.89"/>
    <n v="2149.3343999999997"/>
    <n v="0"/>
    <n v="0.9"/>
    <n v="0.1"/>
    <m/>
    <m/>
    <x v="0"/>
    <m/>
    <m/>
    <m/>
    <m/>
    <m/>
    <m/>
    <m/>
    <m/>
    <m/>
    <m/>
    <m/>
    <m/>
    <m/>
    <m/>
    <m/>
    <m/>
    <m/>
  </r>
  <r>
    <s v="2.4.3.1.3"/>
    <s v="CMS M.60.10.000"/>
    <x v="2"/>
    <n v="9"/>
    <s v="CURVA"/>
    <n v="10"/>
    <x v="1"/>
    <s v="NÃO"/>
    <s v="NÃO"/>
    <x v="84"/>
    <x v="2"/>
    <s v="DISPOSIÇÃO DE REJEITOS LINHA DE BYPASS DAS PENEIRAS LINHA DO SEPARADOR MAGNÉTICO SM-143A-9707 P/ TANQUE TQ-142A-9703 ( BYPASS DAS PENEIRAS PN-143A-9707/9727 )"/>
    <m/>
    <m/>
    <m/>
    <s v="1450AA-T-70512_FL06"/>
    <n v="1"/>
    <s v="PÇ"/>
    <n v="0.28699999999999998"/>
    <n v="0.28699999999999998"/>
    <n v="2238.89"/>
    <n v="642.56142999999986"/>
    <n v="0"/>
    <n v="0.9"/>
    <n v="0.1"/>
    <m/>
    <m/>
    <x v="0"/>
    <m/>
    <m/>
    <m/>
    <m/>
    <m/>
    <m/>
    <m/>
    <m/>
    <m/>
    <m/>
    <m/>
    <m/>
    <m/>
    <m/>
    <m/>
    <m/>
    <m/>
  </r>
  <r>
    <s v="2.4.3.1.3"/>
    <s v="CMS M.60.10.000"/>
    <x v="2"/>
    <n v="10"/>
    <s v="CURVA"/>
    <n v="10"/>
    <x v="1"/>
    <s v="NÃO"/>
    <s v="NÃO"/>
    <x v="84"/>
    <x v="2"/>
    <s v="DISPOSIÇÃO DE REJEITOS LINHA DE BYPASS DAS PENEIRAS LINHA DO SEPARADOR MAGNÉTICO SM-143A-9707 P/ TANQUE TQ-142A-9703 ( BYPASS DAS PENEIRAS PN-143A-9707/9727 )"/>
    <m/>
    <m/>
    <m/>
    <s v="1450AA-T-70512_FL07"/>
    <n v="1"/>
    <s v="PÇ"/>
    <n v="1.169"/>
    <n v="1.169"/>
    <n v="2238.89"/>
    <n v="2617.2624099999998"/>
    <n v="0"/>
    <n v="0.9"/>
    <n v="0.1"/>
    <m/>
    <m/>
    <x v="0"/>
    <m/>
    <m/>
    <m/>
    <m/>
    <m/>
    <m/>
    <m/>
    <m/>
    <m/>
    <m/>
    <m/>
    <m/>
    <m/>
    <m/>
    <m/>
    <m/>
    <m/>
  </r>
  <r>
    <s v="2.4.3.1.3"/>
    <s v="CMS M.60.10.000"/>
    <x v="2"/>
    <n v="11"/>
    <s v="SPOOL"/>
    <n v="10"/>
    <x v="1"/>
    <s v="NÃO"/>
    <s v="NÃO"/>
    <x v="84"/>
    <x v="2"/>
    <s v="DISPOSIÇÃO DE REJEITOS LINHA DE BYPASS DAS PENEIRAS LINHA DO SEPARADOR MAGNÉTICO SM-143A-9707 P/ TANQUE TQ-142A-9703 ( BYPASS DAS PENEIRAS PN-143A-9707/9727 )"/>
    <m/>
    <m/>
    <m/>
    <s v="1450AA-T-70512_FL08"/>
    <n v="1"/>
    <s v="PÇ"/>
    <n v="1.29"/>
    <n v="1.29"/>
    <n v="2238.89"/>
    <n v="2888.1680999999999"/>
    <n v="0"/>
    <n v="0.9"/>
    <n v="0.1"/>
    <m/>
    <m/>
    <x v="0"/>
    <m/>
    <m/>
    <m/>
    <m/>
    <m/>
    <m/>
    <m/>
    <m/>
    <m/>
    <m/>
    <m/>
    <m/>
    <m/>
    <m/>
    <m/>
    <m/>
    <m/>
  </r>
  <r>
    <s v="2.4.3.1.3"/>
    <s v="CMS M.60.10.000"/>
    <x v="2"/>
    <n v="12"/>
    <s v="SPOOL"/>
    <n v="10"/>
    <x v="1"/>
    <s v="NÃO"/>
    <s v="NÃO"/>
    <x v="84"/>
    <x v="2"/>
    <s v="DISPOSIÇÃO DE REJEITOS LINHA DE BYPASS DAS PENEIRAS LINHA DO SEPARADOR MAGNÉTICO SM-143A-9707 P/ TANQUE TQ-142A-9703 ( BYPASS DAS PENEIRAS PN-143A-9707/9727 )"/>
    <m/>
    <m/>
    <m/>
    <s v="1450AA-T-70512_FL09"/>
    <n v="1"/>
    <s v="PÇ"/>
    <n v="1.29"/>
    <n v="1.29"/>
    <n v="2238.89"/>
    <n v="2888.1680999999999"/>
    <n v="0"/>
    <n v="0.9"/>
    <n v="0.1"/>
    <m/>
    <m/>
    <x v="0"/>
    <m/>
    <m/>
    <m/>
    <m/>
    <m/>
    <m/>
    <m/>
    <m/>
    <m/>
    <m/>
    <m/>
    <m/>
    <m/>
    <m/>
    <m/>
    <m/>
    <m/>
  </r>
  <r>
    <s v="2.4.3.1.3"/>
    <s v="CMS M.60.10.000"/>
    <x v="2"/>
    <n v="13"/>
    <s v="SPOOL"/>
    <n v="10"/>
    <x v="1"/>
    <s v="NÃO"/>
    <s v="NÃO"/>
    <x v="84"/>
    <x v="2"/>
    <s v="DISPOSIÇÃO DE REJEITOS LINHA DE BYPASS DAS PENEIRAS LINHA DO SEPARADOR MAGNÉTICO SM-143A-9707 P/ TANQUE TQ-142A-9703 ( BYPASS DAS PENEIRAS PN-143A-9707/9727 )"/>
    <m/>
    <m/>
    <m/>
    <s v="1450AA-T-70512_FL10"/>
    <n v="1"/>
    <s v="PÇ"/>
    <n v="1.29"/>
    <n v="1.29"/>
    <n v="2238.89"/>
    <n v="2888.1680999999999"/>
    <n v="0"/>
    <n v="0.9"/>
    <n v="0.1"/>
    <m/>
    <m/>
    <x v="0"/>
    <m/>
    <m/>
    <m/>
    <m/>
    <m/>
    <m/>
    <m/>
    <m/>
    <m/>
    <m/>
    <m/>
    <m/>
    <m/>
    <m/>
    <m/>
    <m/>
    <m/>
  </r>
  <r>
    <s v="2.4.3.1.3"/>
    <s v="CMS M.60.10.000"/>
    <x v="2"/>
    <n v="14"/>
    <s v="SPOOL"/>
    <n v="10"/>
    <x v="1"/>
    <s v="NÃO"/>
    <s v="NÃO"/>
    <x v="84"/>
    <x v="2"/>
    <s v="DISPOSIÇÃO DE REJEITOS LINHA DE BYPASS DAS PENEIRAS LINHA DO SEPARADOR MAGNÉTICO SM-143A-9707 P/ TANQUE TQ-142A-9703 ( BYPASS DAS PENEIRAS PN-143A-9707/9727 )"/>
    <m/>
    <m/>
    <m/>
    <s v="1450AA-T-70512_FL11"/>
    <n v="1"/>
    <s v="PÇ"/>
    <n v="1.29"/>
    <n v="1.29"/>
    <n v="2238.89"/>
    <n v="2888.1680999999999"/>
    <n v="0"/>
    <n v="0.9"/>
    <n v="0.1"/>
    <m/>
    <m/>
    <x v="0"/>
    <m/>
    <m/>
    <m/>
    <m/>
    <m/>
    <m/>
    <m/>
    <m/>
    <m/>
    <m/>
    <m/>
    <m/>
    <m/>
    <m/>
    <m/>
    <m/>
    <m/>
  </r>
  <r>
    <s v="2.4.3.1.3"/>
    <s v="CMS M.60.10.000"/>
    <x v="2"/>
    <n v="1"/>
    <s v="SPOOL"/>
    <n v="10"/>
    <x v="1"/>
    <s v="NÃO"/>
    <s v="NÃO"/>
    <x v="85"/>
    <x v="2"/>
    <s v="DISPOSIÇÃO DE REJEITOS LINHA DE BYPASS DAS PENEIRAS LINHA DO SEPARADOR MAGNÉTICO SM-143A-9708 P/ TANQUE TQ-142A-9703 ( BYPASS DAS PENEIRAS PN-143A-9708/9728 )"/>
    <m/>
    <m/>
    <m/>
    <s v="1450AA-T-70514_FL18"/>
    <n v="1"/>
    <s v="PÇ"/>
    <n v="0.62"/>
    <n v="0.62"/>
    <n v="2238.89"/>
    <n v="1388.1117999999999"/>
    <n v="0"/>
    <n v="0.9"/>
    <n v="0.1"/>
    <m/>
    <m/>
    <x v="0"/>
    <m/>
    <m/>
    <m/>
    <m/>
    <m/>
    <m/>
    <m/>
    <m/>
    <m/>
    <m/>
    <m/>
    <m/>
    <m/>
    <m/>
    <m/>
    <m/>
    <m/>
  </r>
  <r>
    <s v="2.4.3.1.3"/>
    <s v="CMS M.60.10.000"/>
    <x v="2"/>
    <n v="2"/>
    <s v="SPOOL"/>
    <n v="10"/>
    <x v="1"/>
    <s v="NÃO"/>
    <s v="NÃO"/>
    <x v="85"/>
    <x v="2"/>
    <s v="DISPOSIÇÃO DE REJEITOS LINHA DE BYPASS DAS PENEIRAS LINHA DO SEPARADOR MAGNÉTICO SM-143A-9708 P/ TANQUE TQ-142A-9703 ( BYPASS DAS PENEIRAS PN-143A-9708/9728 )"/>
    <m/>
    <m/>
    <m/>
    <s v="1450AA-T-70514_FL14"/>
    <n v="1"/>
    <s v="PÇ"/>
    <n v="3.1"/>
    <n v="3.1"/>
    <n v="2238.89"/>
    <n v="6940.5590000000002"/>
    <n v="0"/>
    <n v="0.9"/>
    <n v="0.1"/>
    <m/>
    <m/>
    <x v="0"/>
    <m/>
    <m/>
    <m/>
    <m/>
    <m/>
    <m/>
    <m/>
    <m/>
    <m/>
    <m/>
    <m/>
    <m/>
    <m/>
    <m/>
    <m/>
    <m/>
    <m/>
  </r>
  <r>
    <s v="2.4.3.1.3"/>
    <s v="CMS M.60.10.000"/>
    <x v="2"/>
    <n v="3"/>
    <s v="SPOOL"/>
    <n v="10"/>
    <x v="1"/>
    <s v="NÃO"/>
    <s v="NÃO"/>
    <x v="85"/>
    <x v="2"/>
    <s v="DISPOSIÇÃO DE REJEITOS LINHA DE BYPASS DAS PENEIRAS LINHA DO SEPARADOR MAGNÉTICO SM-143A-9708 P/ TANQUE TQ-142A-9703 ( BYPASS DAS PENEIRAS PN-143A-9708/9728 )"/>
    <m/>
    <m/>
    <m/>
    <s v="1450AA-T-70514_FL17"/>
    <n v="1"/>
    <s v="PÇ"/>
    <n v="0.55000000000000004"/>
    <n v="0.55000000000000004"/>
    <n v="2238.89"/>
    <n v="1231.3895"/>
    <n v="0"/>
    <n v="0.9"/>
    <n v="0.1"/>
    <m/>
    <m/>
    <x v="0"/>
    <m/>
    <m/>
    <m/>
    <m/>
    <m/>
    <m/>
    <m/>
    <m/>
    <m/>
    <m/>
    <m/>
    <m/>
    <m/>
    <m/>
    <m/>
    <m/>
    <m/>
  </r>
  <r>
    <s v="2.4.3.1.3"/>
    <s v="CMS M.60.10.000"/>
    <x v="2"/>
    <n v="4"/>
    <s v="SPOOL"/>
    <n v="10"/>
    <x v="1"/>
    <s v="NÃO"/>
    <s v="NÃO"/>
    <x v="85"/>
    <x v="2"/>
    <s v="DISPOSIÇÃO DE REJEITOS LINHA DE BYPASS DAS PENEIRAS LINHA DO SEPARADOR MAGNÉTICO SM-143A-9708 P/ TANQUE TQ-142A-9703 ( BYPASS DAS PENEIRAS PN-143A-9708/9728 )"/>
    <m/>
    <m/>
    <m/>
    <s v="1450AA-T-70514_FL13"/>
    <n v="3"/>
    <s v="PÇ"/>
    <n v="6"/>
    <n v="18"/>
    <n v="2238.89"/>
    <n v="40300.019999999997"/>
    <n v="0"/>
    <n v="0.9"/>
    <n v="0.1"/>
    <m/>
    <m/>
    <x v="0"/>
    <m/>
    <m/>
    <m/>
    <m/>
    <m/>
    <m/>
    <m/>
    <m/>
    <m/>
    <m/>
    <m/>
    <m/>
    <m/>
    <m/>
    <m/>
    <m/>
    <m/>
  </r>
  <r>
    <s v="2.4.3.1.3"/>
    <s v="CMS M.60.10.000"/>
    <x v="2"/>
    <n v="5"/>
    <s v="SPOOL"/>
    <n v="10"/>
    <x v="1"/>
    <s v="NÃO"/>
    <s v="NÃO"/>
    <x v="85"/>
    <x v="2"/>
    <s v="DISPOSIÇÃO DE REJEITOS LINHA DE BYPASS DAS PENEIRAS LINHA DO SEPARADOR MAGNÉTICO SM-143A-9708 P/ TANQUE TQ-142A-9703 ( BYPASS DAS PENEIRAS PN-143A-9708/9728 )"/>
    <m/>
    <m/>
    <m/>
    <s v="1450AA-T-70514_FL16"/>
    <n v="1"/>
    <s v="PÇ"/>
    <n v="1"/>
    <n v="1"/>
    <n v="2238.89"/>
    <n v="2238.89"/>
    <n v="0"/>
    <n v="0.9"/>
    <n v="0.1"/>
    <m/>
    <m/>
    <x v="0"/>
    <m/>
    <m/>
    <m/>
    <m/>
    <m/>
    <m/>
    <m/>
    <m/>
    <m/>
    <m/>
    <m/>
    <m/>
    <m/>
    <m/>
    <m/>
    <m/>
    <m/>
  </r>
  <r>
    <s v="2.4.3.1.3"/>
    <s v="CMS M.60.10.000"/>
    <x v="2"/>
    <n v="6"/>
    <s v="SPOOL"/>
    <n v="10"/>
    <x v="1"/>
    <s v="NÃO"/>
    <s v="NÃO"/>
    <x v="85"/>
    <x v="2"/>
    <s v="DISPOSIÇÃO DE REJEITOS LINHA DE BYPASS DAS PENEIRAS LINHA DO SEPARADOR MAGNÉTICO SM-143A-9708 P/ TANQUE TQ-142A-9703 ( BYPASS DAS PENEIRAS PN-143A-9708/9728 )"/>
    <m/>
    <m/>
    <m/>
    <s v="1450AA-T-70514_FL15"/>
    <n v="1"/>
    <s v="PÇ"/>
    <n v="1.9"/>
    <n v="1.9"/>
    <n v="2238.89"/>
    <n v="4253.8909999999996"/>
    <n v="0"/>
    <n v="0.9"/>
    <n v="0.1"/>
    <m/>
    <m/>
    <x v="0"/>
    <m/>
    <m/>
    <m/>
    <m/>
    <m/>
    <m/>
    <m/>
    <m/>
    <m/>
    <m/>
    <m/>
    <m/>
    <m/>
    <m/>
    <m/>
    <m/>
    <m/>
  </r>
  <r>
    <s v="2.4.3.1.3"/>
    <s v="CMS M.60.10.000"/>
    <x v="2"/>
    <n v="7"/>
    <s v="SPOOL"/>
    <n v="10"/>
    <x v="2"/>
    <s v="NÃO"/>
    <s v="NÃO"/>
    <x v="85"/>
    <x v="2"/>
    <s v="DISPOSIÇÃO DE REJEITOS LINHA DE BYPASS DAS PENEIRAS LINHA DO SEPARADOR MAGNÉTICO SM-143A-9708 P/ TANQUE TQ-142A-9703 ( BYPASS DAS PENEIRAS PN-143A-9708/9728 )"/>
    <m/>
    <m/>
    <m/>
    <s v="1450AA-T-70514_FL19"/>
    <n v="1"/>
    <s v="PÇ"/>
    <n v="0.85"/>
    <n v="0.85"/>
    <n v="2238.89"/>
    <n v="1903.0564999999999"/>
    <n v="0"/>
    <n v="0.9"/>
    <n v="0.1"/>
    <m/>
    <m/>
    <x v="0"/>
    <m/>
    <m/>
    <m/>
    <m/>
    <m/>
    <m/>
    <m/>
    <m/>
    <m/>
    <m/>
    <m/>
    <m/>
    <m/>
    <m/>
    <m/>
    <m/>
    <m/>
  </r>
  <r>
    <s v="2.4.3.1.3"/>
    <s v="CMS M.60.10.000"/>
    <x v="2"/>
    <n v="8"/>
    <s v="SPOOL"/>
    <n v="10"/>
    <x v="2"/>
    <s v="NÃO"/>
    <s v="NÃO"/>
    <x v="85"/>
    <x v="2"/>
    <s v="DISPOSIÇÃO DE REJEITOS LINHA DE BYPASS DAS PENEIRAS LINHA DO SEPARADOR MAGNÉTICO SM-143A-9708 P/ TANQUE TQ-142A-9703 ( BYPASS DAS PENEIRAS PN-143A-9708/9728 )"/>
    <m/>
    <m/>
    <m/>
    <s v="1450AA-T-70514_FL20"/>
    <n v="1"/>
    <s v="PÇ"/>
    <n v="0.48"/>
    <n v="0.48"/>
    <n v="2238.89"/>
    <n v="1074.6671999999999"/>
    <n v="0"/>
    <n v="0.9"/>
    <n v="0.1"/>
    <m/>
    <m/>
    <x v="0"/>
    <m/>
    <m/>
    <m/>
    <m/>
    <m/>
    <m/>
    <m/>
    <m/>
    <m/>
    <m/>
    <m/>
    <m/>
    <m/>
    <m/>
    <m/>
    <m/>
    <m/>
  </r>
  <r>
    <s v="2.4.3.1.3"/>
    <s v="CMS M.60.10.000"/>
    <x v="2"/>
    <n v="9"/>
    <s v="SPOOL"/>
    <n v="10"/>
    <x v="2"/>
    <s v="NÃO"/>
    <s v="NÃO"/>
    <x v="85"/>
    <x v="2"/>
    <s v="DISPOSIÇÃO DE REJEITOS LINHA DE BYPASS DAS PENEIRAS LINHA DO SEPARADOR MAGNÉTICO SM-143A-9708 P/ TANQUE TQ-142A-9703 ( BYPASS DAS PENEIRAS PN-143A-9708/9728 )"/>
    <m/>
    <m/>
    <m/>
    <s v="1450AA-T-70514_FL21"/>
    <n v="1"/>
    <s v="PÇ"/>
    <n v="0.65"/>
    <n v="0.65"/>
    <n v="2238.89"/>
    <n v="1455.2784999999999"/>
    <n v="0"/>
    <n v="0.9"/>
    <n v="0.1"/>
    <m/>
    <m/>
    <x v="0"/>
    <m/>
    <m/>
    <m/>
    <m/>
    <m/>
    <m/>
    <m/>
    <m/>
    <m/>
    <m/>
    <m/>
    <m/>
    <m/>
    <m/>
    <m/>
    <m/>
    <m/>
  </r>
  <r>
    <s v="2.4.3.1.3"/>
    <s v="CMS M.60.10.000"/>
    <x v="2"/>
    <n v="10"/>
    <s v="CURVA"/>
    <n v="10"/>
    <x v="1"/>
    <s v="NÃO"/>
    <s v="NÃO"/>
    <x v="85"/>
    <x v="2"/>
    <s v="DISPOSIÇÃO DE REJEITOS LINHA DE BYPASS DAS PENEIRAS LINHA DO SEPARADOR MAGNÉTICO SM-143A-9708 P/ TANQUE TQ-142A-9703 ( BYPASS DAS PENEIRAS PN-143A-9708/9728 )"/>
    <m/>
    <m/>
    <m/>
    <s v="1450AA-T-70514_FL06"/>
    <n v="1"/>
    <s v="PÇ"/>
    <n v="1.002"/>
    <n v="1.002"/>
    <n v="2238.89"/>
    <n v="2243.36778"/>
    <n v="0"/>
    <n v="0.9"/>
    <n v="0.1"/>
    <m/>
    <m/>
    <x v="0"/>
    <m/>
    <m/>
    <m/>
    <m/>
    <m/>
    <m/>
    <m/>
    <m/>
    <m/>
    <m/>
    <m/>
    <m/>
    <m/>
    <m/>
    <m/>
    <m/>
    <m/>
  </r>
  <r>
    <s v="2.4.3.1.3"/>
    <s v="CMS M.60.10.000"/>
    <x v="2"/>
    <n v="11"/>
    <s v="CURVA"/>
    <n v="10"/>
    <x v="1"/>
    <s v="NÃO"/>
    <s v="NÃO"/>
    <x v="85"/>
    <x v="2"/>
    <s v="DISPOSIÇÃO DE REJEITOS LINHA DE BYPASS DAS PENEIRAS LINHA DO SEPARADOR MAGNÉTICO SM-143A-9708 P/ TANQUE TQ-142A-9703 ( BYPASS DAS PENEIRAS PN-143A-9708/9728 )"/>
    <m/>
    <m/>
    <m/>
    <s v="1450AA-T-70514_FL07"/>
    <n v="1"/>
    <s v="PÇ"/>
    <n v="0.96299999999999997"/>
    <n v="0.96299999999999997"/>
    <n v="2238.89"/>
    <n v="2156.05107"/>
    <n v="0"/>
    <n v="0.9"/>
    <n v="0.1"/>
    <m/>
    <m/>
    <x v="0"/>
    <m/>
    <m/>
    <m/>
    <m/>
    <m/>
    <m/>
    <m/>
    <m/>
    <m/>
    <m/>
    <m/>
    <m/>
    <m/>
    <m/>
    <m/>
    <m/>
    <m/>
  </r>
  <r>
    <s v="2.4.3.1.3"/>
    <s v="CMS M.60.10.000"/>
    <x v="2"/>
    <n v="12"/>
    <s v="CURVA"/>
    <n v="10"/>
    <x v="1"/>
    <s v="NÃO"/>
    <s v="NÃO"/>
    <x v="85"/>
    <x v="2"/>
    <s v="DISPOSIÇÃO DE REJEITOS LINHA DE BYPASS DAS PENEIRAS LINHA DO SEPARADOR MAGNÉTICO SM-143A-9708 P/ TANQUE TQ-142A-9703 ( BYPASS DAS PENEIRAS PN-143A-9708/9728 )"/>
    <m/>
    <m/>
    <m/>
    <s v="1450AA-T-70514_FL08"/>
    <n v="1"/>
    <s v="PÇ"/>
    <n v="1.1040000000000001"/>
    <n v="1.1040000000000001"/>
    <n v="2238.89"/>
    <n v="2471.7345599999999"/>
    <n v="0"/>
    <n v="0.9"/>
    <n v="0.1"/>
    <m/>
    <m/>
    <x v="0"/>
    <m/>
    <m/>
    <m/>
    <m/>
    <m/>
    <m/>
    <m/>
    <m/>
    <m/>
    <m/>
    <m/>
    <m/>
    <m/>
    <m/>
    <m/>
    <m/>
    <m/>
  </r>
  <r>
    <s v="2.4.3.1.3"/>
    <s v="CMS M.60.10.000"/>
    <x v="2"/>
    <n v="13"/>
    <s v="CURVA"/>
    <n v="10"/>
    <x v="1"/>
    <s v="NÃO"/>
    <s v="NÃO"/>
    <x v="85"/>
    <x v="2"/>
    <s v="DISPOSIÇÃO DE REJEITOS LINHA DE BYPASS DAS PENEIRAS LINHA DO SEPARADOR MAGNÉTICO SM-143A-9708 P/ TANQUE TQ-142A-9703 ( BYPASS DAS PENEIRAS PN-143A-9708/9728 )"/>
    <m/>
    <m/>
    <m/>
    <s v="1450AA-T-70514_FL09"/>
    <n v="1"/>
    <s v="PÇ"/>
    <n v="1.169"/>
    <n v="1.169"/>
    <n v="2238.89"/>
    <n v="2617.2624099999998"/>
    <n v="0"/>
    <n v="0.9"/>
    <n v="0.1"/>
    <m/>
    <m/>
    <x v="0"/>
    <m/>
    <m/>
    <m/>
    <m/>
    <m/>
    <m/>
    <m/>
    <m/>
    <m/>
    <m/>
    <m/>
    <m/>
    <m/>
    <m/>
    <m/>
    <m/>
    <m/>
  </r>
  <r>
    <s v="2.4.3.1.3"/>
    <s v="CMS M.60.10.000"/>
    <x v="2"/>
    <n v="14"/>
    <s v="CURVA"/>
    <n v="10"/>
    <x v="1"/>
    <s v="NÃO"/>
    <s v="NÃO"/>
    <x v="85"/>
    <x v="2"/>
    <s v="DISPOSIÇÃO DE REJEITOS LINHA DE BYPASS DAS PENEIRAS LINHA DO SEPARADOR MAGNÉTICO SM-143A-9708 P/ TANQUE TQ-142A-9703 ( BYPASS DAS PENEIRAS PN-143A-9708/9728 )"/>
    <m/>
    <m/>
    <m/>
    <s v="1450AA-T-70514_FL10"/>
    <n v="1"/>
    <s v="PÇ"/>
    <n v="1.1299999999999999"/>
    <n v="1.1299999999999999"/>
    <n v="2238.89"/>
    <n v="2529.9456999999998"/>
    <n v="0"/>
    <n v="0.9"/>
    <n v="0.1"/>
    <m/>
    <m/>
    <x v="0"/>
    <m/>
    <m/>
    <m/>
    <m/>
    <m/>
    <m/>
    <m/>
    <m/>
    <m/>
    <m/>
    <m/>
    <m/>
    <m/>
    <m/>
    <m/>
    <m/>
    <m/>
  </r>
  <r>
    <s v="2.4.3.1.3"/>
    <s v="CMS M.60.10.000"/>
    <x v="2"/>
    <n v="15"/>
    <s v="SPOOL"/>
    <n v="10"/>
    <x v="1"/>
    <s v="NÃO"/>
    <s v="NÃO"/>
    <x v="85"/>
    <x v="2"/>
    <s v="DISPOSIÇÃO DE REJEITOS LINHA DE BYPASS DAS PENEIRAS LINHA DO SEPARADOR MAGNÉTICO SM-143A-9708 P/ TANQUE TQ-142A-9703 ( BYPASS DAS PENEIRAS PN-143A-9708/9728 )"/>
    <m/>
    <m/>
    <m/>
    <s v="1450AA-T-70514_FL12"/>
    <n v="1"/>
    <s v="PÇ"/>
    <n v="1.202"/>
    <n v="1.202"/>
    <n v="2238.89"/>
    <n v="2691.1457799999998"/>
    <n v="0"/>
    <n v="0.9"/>
    <n v="0.1"/>
    <m/>
    <m/>
    <x v="0"/>
    <m/>
    <m/>
    <m/>
    <m/>
    <m/>
    <m/>
    <m/>
    <m/>
    <m/>
    <m/>
    <m/>
    <m/>
    <m/>
    <m/>
    <m/>
    <m/>
    <m/>
  </r>
  <r>
    <s v="2.4.3.1.3"/>
    <s v="CMS M.60.10.000"/>
    <x v="2"/>
    <n v="16"/>
    <s v="SPOOL"/>
    <n v="10"/>
    <x v="1"/>
    <s v="NÃO"/>
    <s v="NÃO"/>
    <x v="85"/>
    <x v="2"/>
    <s v="DISPOSIÇÃO DE REJEITOS LINHA DE BYPASS DAS PENEIRAS LINHA DO SEPARADOR MAGNÉTICO SM-143A-9708 P/ TANQUE TQ-142A-9703 ( BYPASS DAS PENEIRAS PN-143A-9708/9728 )"/>
    <m/>
    <m/>
    <m/>
    <s v="1450AA-T-70514_FL11"/>
    <n v="1"/>
    <s v="PÇ"/>
    <n v="1.202"/>
    <n v="1.202"/>
    <n v="2238.89"/>
    <n v="2691.1457799999998"/>
    <n v="0"/>
    <n v="0.9"/>
    <n v="0.1"/>
    <m/>
    <m/>
    <x v="0"/>
    <m/>
    <m/>
    <m/>
    <m/>
    <m/>
    <m/>
    <m/>
    <m/>
    <m/>
    <m/>
    <m/>
    <m/>
    <m/>
    <m/>
    <m/>
    <m/>
    <m/>
  </r>
  <r>
    <s v="2.4.3.1.3"/>
    <s v="CMS M.60.10.000"/>
    <x v="2"/>
    <n v="1"/>
    <s v="SPOOL"/>
    <n v="10"/>
    <x v="1"/>
    <s v="NÃO"/>
    <s v="NÃO"/>
    <x v="86"/>
    <x v="2"/>
    <s v="DISPOSIÇÃO DE REJEITOS LINHA DE BYPASS DAS PENEIRAS LINHA DO SEPARADOR MAGNÉTICO SM-143A-9609 P/ TANQUE TQ-142A-9703 ( BYPASS DAS PENEIRAS PN-143A-9709/9729 )"/>
    <m/>
    <m/>
    <m/>
    <s v="1450AA-T-70516_FL13"/>
    <n v="1"/>
    <s v="PÇ"/>
    <n v="1.29"/>
    <n v="1.29"/>
    <n v="2238.89"/>
    <n v="2888.1680999999999"/>
    <n v="0"/>
    <n v="0.9"/>
    <n v="0.1"/>
    <m/>
    <m/>
    <x v="0"/>
    <m/>
    <m/>
    <m/>
    <m/>
    <m/>
    <m/>
    <m/>
    <m/>
    <m/>
    <m/>
    <m/>
    <m/>
    <m/>
    <m/>
    <m/>
    <m/>
    <m/>
  </r>
  <r>
    <s v="2.4.3.1.3"/>
    <s v="CMS M.60.10.000"/>
    <x v="2"/>
    <n v="2"/>
    <s v="SPOOL"/>
    <n v="10"/>
    <x v="1"/>
    <s v="NÃO"/>
    <s v="NÃO"/>
    <x v="86"/>
    <x v="2"/>
    <s v="DISPOSIÇÃO DE REJEITOS LINHA DE BYPASS DAS PENEIRAS LINHA DO SEPARADOR MAGNÉTICO SM-143A-9609 P/ TANQUE TQ-142A-9703 ( BYPASS DAS PENEIRAS PN-143A-9709/9729 )"/>
    <m/>
    <m/>
    <m/>
    <s v="1450AA-T-70516_FL14"/>
    <n v="1"/>
    <s v="PÇ"/>
    <n v="0.39"/>
    <n v="0.39"/>
    <n v="2238.89"/>
    <n v="873.1671"/>
    <n v="0"/>
    <n v="0.9"/>
    <n v="0.1"/>
    <m/>
    <m/>
    <x v="0"/>
    <m/>
    <m/>
    <m/>
    <m/>
    <m/>
    <m/>
    <m/>
    <m/>
    <m/>
    <m/>
    <m/>
    <m/>
    <m/>
    <m/>
    <m/>
    <m/>
    <m/>
  </r>
  <r>
    <s v="2.4.3.1.3"/>
    <s v="CMS M.60.10.000"/>
    <x v="2"/>
    <n v="3"/>
    <s v="SPOOL"/>
    <n v="10"/>
    <x v="1"/>
    <s v="NÃO"/>
    <s v="NÃO"/>
    <x v="86"/>
    <x v="2"/>
    <s v="DISPOSIÇÃO DE REJEITOS LINHA DE BYPASS DAS PENEIRAS LINHA DO SEPARADOR MAGNÉTICO SM-143A-9609 P/ TANQUE TQ-142A-9703 ( BYPASS DAS PENEIRAS PN-143A-9709/9729 )"/>
    <m/>
    <m/>
    <m/>
    <s v="1450AA-T-70516_FL15"/>
    <n v="1"/>
    <s v="PÇ"/>
    <n v="1"/>
    <n v="1"/>
    <n v="2238.89"/>
    <n v="2238.89"/>
    <n v="0"/>
    <n v="0.9"/>
    <n v="0.1"/>
    <m/>
    <m/>
    <x v="0"/>
    <m/>
    <m/>
    <m/>
    <m/>
    <m/>
    <m/>
    <m/>
    <m/>
    <m/>
    <m/>
    <m/>
    <m/>
    <m/>
    <m/>
    <m/>
    <m/>
    <m/>
  </r>
  <r>
    <s v="2.4.3.1.3"/>
    <s v="CMS M.60.10.000"/>
    <x v="2"/>
    <n v="4"/>
    <s v="SPOOL"/>
    <n v="10"/>
    <x v="1"/>
    <s v="NÃO"/>
    <s v="NÃO"/>
    <x v="86"/>
    <x v="2"/>
    <s v="DISPOSIÇÃO DE REJEITOS LINHA DE BYPASS DAS PENEIRAS LINHA DO SEPARADOR MAGNÉTICO SM-143A-9609 P/ TANQUE TQ-142A-9703 ( BYPASS DAS PENEIRAS PN-143A-9709/9729 )"/>
    <m/>
    <m/>
    <m/>
    <s v="1450AA-T-70516_FL16"/>
    <n v="1"/>
    <s v="PÇ"/>
    <n v="0.78"/>
    <n v="0.78"/>
    <n v="2238.89"/>
    <n v="1746.3342"/>
    <n v="0"/>
    <n v="0.9"/>
    <n v="0.1"/>
    <m/>
    <m/>
    <x v="0"/>
    <m/>
    <m/>
    <m/>
    <m/>
    <m/>
    <m/>
    <m/>
    <m/>
    <m/>
    <m/>
    <m/>
    <m/>
    <m/>
    <m/>
    <m/>
    <m/>
    <m/>
  </r>
  <r>
    <s v="2.4.3.1.3"/>
    <s v="CMS M.60.10.000"/>
    <x v="2"/>
    <n v="5"/>
    <s v="SPOOL"/>
    <n v="10"/>
    <x v="1"/>
    <s v="NÃO"/>
    <s v="NÃO"/>
    <x v="86"/>
    <x v="2"/>
    <s v="DISPOSIÇÃO DE REJEITOS LINHA DE BYPASS DAS PENEIRAS LINHA DO SEPARADOR MAGNÉTICO SM-143A-9609 P/ TANQUE TQ-142A-9703 ( BYPASS DAS PENEIRAS PN-143A-9709/9729 )"/>
    <m/>
    <m/>
    <m/>
    <s v="1450AA-T-70516_FL17"/>
    <n v="2"/>
    <s v="PÇ"/>
    <n v="6"/>
    <n v="12"/>
    <n v="2238.89"/>
    <n v="26866.68"/>
    <n v="0"/>
    <n v="0.9"/>
    <n v="0.1"/>
    <m/>
    <m/>
    <x v="0"/>
    <m/>
    <m/>
    <m/>
    <m/>
    <m/>
    <m/>
    <m/>
    <m/>
    <m/>
    <m/>
    <m/>
    <m/>
    <m/>
    <m/>
    <m/>
    <m/>
    <m/>
  </r>
  <r>
    <s v="2.4.3.1.3"/>
    <s v="CMS M.60.10.000"/>
    <x v="2"/>
    <n v="6"/>
    <s v="SPOOL"/>
    <n v="10"/>
    <x v="1"/>
    <s v="NÃO"/>
    <s v="NÃO"/>
    <x v="86"/>
    <x v="2"/>
    <s v="DISPOSIÇÃO DE REJEITOS LINHA DE BYPASS DAS PENEIRAS LINHA DO SEPARADOR MAGNÉTICO SM-143A-9609 P/ TANQUE TQ-142A-9703 ( BYPASS DAS PENEIRAS PN-143A-9709/9729 )"/>
    <m/>
    <m/>
    <m/>
    <s v="1450AA-T-70516_FL18"/>
    <n v="1"/>
    <s v="PÇ"/>
    <n v="3.5"/>
    <n v="3.5"/>
    <n v="2238.89"/>
    <n v="7836.1149999999998"/>
    <n v="0"/>
    <n v="0.9"/>
    <n v="0.1"/>
    <m/>
    <m/>
    <x v="0"/>
    <m/>
    <m/>
    <m/>
    <m/>
    <m/>
    <m/>
    <m/>
    <m/>
    <m/>
    <m/>
    <m/>
    <m/>
    <m/>
    <m/>
    <m/>
    <m/>
    <m/>
  </r>
  <r>
    <s v="2.4.3.1.3"/>
    <s v="CMS M.60.10.000"/>
    <x v="2"/>
    <n v="7"/>
    <s v="SPOOL"/>
    <n v="10"/>
    <x v="1"/>
    <s v="NÃO"/>
    <s v="NÃO"/>
    <x v="86"/>
    <x v="2"/>
    <s v="DISPOSIÇÃO DE REJEITOS LINHA DE BYPASS DAS PENEIRAS LINHA DO SEPARADOR MAGNÉTICO SM-143A-9609 P/ TANQUE TQ-142A-9703 ( BYPASS DAS PENEIRAS PN-143A-9709/9729 )"/>
    <m/>
    <m/>
    <m/>
    <s v="1450AA-T-70516_FL19"/>
    <n v="1"/>
    <s v="PÇ"/>
    <n v="2.786"/>
    <n v="2.786"/>
    <n v="2238.89"/>
    <n v="6237.5475399999996"/>
    <n v="0"/>
    <n v="0.9"/>
    <n v="0.1"/>
    <m/>
    <m/>
    <x v="0"/>
    <m/>
    <m/>
    <m/>
    <m/>
    <m/>
    <m/>
    <m/>
    <m/>
    <m/>
    <m/>
    <m/>
    <m/>
    <m/>
    <m/>
    <m/>
    <m/>
    <m/>
  </r>
  <r>
    <s v="2.4.3.1.3"/>
    <s v="CMS M.60.10.000"/>
    <x v="2"/>
    <n v="8"/>
    <s v="SPOOL"/>
    <n v="10"/>
    <x v="1"/>
    <s v="NÃO"/>
    <s v="NÃO"/>
    <x v="86"/>
    <x v="2"/>
    <s v="DISPOSIÇÃO DE REJEITOS LINHA DE BYPASS DAS PENEIRAS LINHA DO SEPARADOR MAGNÉTICO SM-143A-9609 P/ TANQUE TQ-142A-9703 ( BYPASS DAS PENEIRAS PN-143A-9709/9729 )"/>
    <m/>
    <m/>
    <m/>
    <s v="1450AA-T-70516_FL20"/>
    <n v="1"/>
    <s v="PÇ"/>
    <n v="5.5"/>
    <n v="5.5"/>
    <n v="2238.89"/>
    <n v="12313.894999999999"/>
    <n v="0"/>
    <n v="0.9"/>
    <n v="0.1"/>
    <m/>
    <m/>
    <x v="0"/>
    <m/>
    <m/>
    <m/>
    <m/>
    <m/>
    <m/>
    <m/>
    <m/>
    <m/>
    <m/>
    <m/>
    <m/>
    <m/>
    <m/>
    <m/>
    <m/>
    <m/>
  </r>
  <r>
    <s v="2.4.3.1.3"/>
    <s v="CMS M.60.10.000"/>
    <x v="2"/>
    <n v="9"/>
    <s v="SPOOL"/>
    <n v="10"/>
    <x v="2"/>
    <s v="NÃO"/>
    <s v="NÃO"/>
    <x v="86"/>
    <x v="2"/>
    <s v="DISPOSIÇÃO DE REJEITOS LINHA DE BYPASS DAS PENEIRAS LINHA DO SEPARADOR MAGNÉTICO SM-143A-9609 P/ TANQUE TQ-142A-9703 ( BYPASS DAS PENEIRAS PN-143A-9709/9729 )"/>
    <m/>
    <m/>
    <m/>
    <s v="1450AA-T-70516_FL21"/>
    <n v="1"/>
    <s v="PÇ"/>
    <n v="0.63"/>
    <n v="0.63"/>
    <n v="2238.89"/>
    <n v="1410.5006999999998"/>
    <n v="0"/>
    <n v="0.9"/>
    <n v="0.1"/>
    <m/>
    <m/>
    <x v="0"/>
    <m/>
    <m/>
    <m/>
    <m/>
    <m/>
    <m/>
    <m/>
    <m/>
    <m/>
    <m/>
    <m/>
    <m/>
    <m/>
    <m/>
    <m/>
    <m/>
    <m/>
  </r>
  <r>
    <s v="2.4.3.1.3"/>
    <s v="CMS M.60.10.000"/>
    <x v="2"/>
    <n v="10"/>
    <s v="SPOOL"/>
    <n v="10"/>
    <x v="2"/>
    <s v="NÃO"/>
    <s v="NÃO"/>
    <x v="86"/>
    <x v="2"/>
    <s v="DISPOSIÇÃO DE REJEITOS LINHA DE BYPASS DAS PENEIRAS LINHA DO SEPARADOR MAGNÉTICO SM-143A-9609 P/ TANQUE TQ-142A-9703 ( BYPASS DAS PENEIRAS PN-143A-9709/9729 )"/>
    <m/>
    <m/>
    <m/>
    <s v="1450AA-T-70516_FL22"/>
    <n v="1"/>
    <s v="PÇ"/>
    <n v="0.47"/>
    <n v="0.47"/>
    <n v="2238.89"/>
    <n v="1052.2782999999999"/>
    <n v="0"/>
    <n v="0.9"/>
    <n v="0.1"/>
    <m/>
    <m/>
    <x v="0"/>
    <m/>
    <m/>
    <m/>
    <m/>
    <m/>
    <m/>
    <m/>
    <m/>
    <m/>
    <m/>
    <m/>
    <m/>
    <m/>
    <m/>
    <m/>
    <m/>
    <m/>
  </r>
  <r>
    <s v="2.4.3.1.3"/>
    <s v="CMS M.60.10.000"/>
    <x v="2"/>
    <n v="11"/>
    <s v="SPOOL"/>
    <n v="10"/>
    <x v="2"/>
    <s v="NÃO"/>
    <s v="NÃO"/>
    <x v="86"/>
    <x v="2"/>
    <s v="DISPOSIÇÃO DE REJEITOS LINHA DE BYPASS DAS PENEIRAS LINHA DO SEPARADOR MAGNÉTICO SM-143A-9609 P/ TANQUE TQ-142A-9703 ( BYPASS DAS PENEIRAS PN-143A-9709/9729 )"/>
    <m/>
    <m/>
    <m/>
    <s v="1450AA-T-70516_FL23"/>
    <n v="1"/>
    <s v="PÇ"/>
    <n v="0.56999999999999995"/>
    <n v="0.56999999999999995"/>
    <n v="2238.89"/>
    <n v="1276.1672999999998"/>
    <n v="0"/>
    <n v="0.9"/>
    <n v="0.1"/>
    <m/>
    <m/>
    <x v="0"/>
    <m/>
    <m/>
    <m/>
    <m/>
    <m/>
    <m/>
    <m/>
    <m/>
    <m/>
    <m/>
    <m/>
    <m/>
    <m/>
    <m/>
    <m/>
    <m/>
    <m/>
  </r>
  <r>
    <s v="2.4.3.1.3"/>
    <s v="CMS M.60.10.000"/>
    <x v="2"/>
    <n v="12"/>
    <s v="CURVA"/>
    <n v="10"/>
    <x v="1"/>
    <s v="NÃO"/>
    <s v="NÃO"/>
    <x v="86"/>
    <x v="2"/>
    <s v="DISPOSIÇÃO DE REJEITOS LINHA DE BYPASS DAS PENEIRAS LINHA DO SEPARADOR MAGNÉTICO SM-143A-9609 P/ TANQUE TQ-142A-9703 ( BYPASS DAS PENEIRAS PN-143A-9709/9729 )"/>
    <m/>
    <m/>
    <m/>
    <s v="1450AA-T-70516_FL06"/>
    <n v="1"/>
    <s v="PÇ"/>
    <n v="1.264"/>
    <n v="1.264"/>
    <n v="2238.89"/>
    <n v="2829.95696"/>
    <n v="0"/>
    <n v="0.9"/>
    <n v="0.1"/>
    <m/>
    <m/>
    <x v="0"/>
    <m/>
    <m/>
    <m/>
    <m/>
    <m/>
    <m/>
    <m/>
    <m/>
    <m/>
    <m/>
    <m/>
    <m/>
    <m/>
    <m/>
    <m/>
    <m/>
    <m/>
  </r>
  <r>
    <s v="2.4.3.1.3"/>
    <s v="CMS M.60.10.000"/>
    <x v="2"/>
    <n v="13"/>
    <s v="CURVA"/>
    <n v="10"/>
    <x v="1"/>
    <s v="NÃO"/>
    <s v="NÃO"/>
    <x v="86"/>
    <x v="2"/>
    <s v="DISPOSIÇÃO DE REJEITOS LINHA DE BYPASS DAS PENEIRAS LINHA DO SEPARADOR MAGNÉTICO SM-143A-9609 P/ TANQUE TQ-142A-9703 ( BYPASS DAS PENEIRAS PN-143A-9709/9729 )"/>
    <m/>
    <m/>
    <m/>
    <s v="1450AA-T-70516_FL07"/>
    <n v="1"/>
    <s v="PÇ"/>
    <n v="0.77300000000000002"/>
    <n v="0.77300000000000002"/>
    <n v="2238.89"/>
    <n v="1730.6619699999999"/>
    <n v="0"/>
    <n v="0.9"/>
    <n v="0.1"/>
    <m/>
    <m/>
    <x v="0"/>
    <m/>
    <m/>
    <m/>
    <m/>
    <m/>
    <m/>
    <m/>
    <m/>
    <m/>
    <m/>
    <m/>
    <m/>
    <m/>
    <m/>
    <m/>
    <m/>
    <m/>
  </r>
  <r>
    <s v="2.4.3.1.3"/>
    <s v="CMS M.60.10.000"/>
    <x v="2"/>
    <n v="14"/>
    <s v="CURVA"/>
    <n v="10"/>
    <x v="1"/>
    <s v="NÃO"/>
    <s v="NÃO"/>
    <x v="86"/>
    <x v="2"/>
    <s v="DISPOSIÇÃO DE REJEITOS LINHA DE BYPASS DAS PENEIRAS LINHA DO SEPARADOR MAGNÉTICO SM-143A-9609 P/ TANQUE TQ-142A-9703 ( BYPASS DAS PENEIRAS PN-143A-9709/9729 )"/>
    <m/>
    <m/>
    <m/>
    <s v="1450AA-T-70516_FL08"/>
    <n v="1"/>
    <s v="PÇ"/>
    <n v="1.0609999999999999"/>
    <n v="1.0609999999999999"/>
    <n v="2238.89"/>
    <n v="2375.4622899999999"/>
    <n v="0"/>
    <n v="0.9"/>
    <n v="0.1"/>
    <m/>
    <m/>
    <x v="0"/>
    <m/>
    <m/>
    <m/>
    <m/>
    <m/>
    <m/>
    <m/>
    <m/>
    <m/>
    <m/>
    <m/>
    <m/>
    <m/>
    <m/>
    <m/>
    <m/>
    <m/>
  </r>
  <r>
    <s v="2.4.3.1.3"/>
    <s v="CMS M.60.10.000"/>
    <x v="2"/>
    <n v="15"/>
    <s v="CURVA"/>
    <n v="10"/>
    <x v="1"/>
    <s v="NÃO"/>
    <s v="NÃO"/>
    <x v="86"/>
    <x v="2"/>
    <s v="DISPOSIÇÃO DE REJEITOS LINHA DE BYPASS DAS PENEIRAS LINHA DO SEPARADOR MAGNÉTICO SM-143A-9609 P/ TANQUE TQ-142A-9703 ( BYPASS DAS PENEIRAS PN-143A-9709/9729 )"/>
    <m/>
    <m/>
    <m/>
    <s v="1450AA-T-70516_FL09"/>
    <n v="1"/>
    <s v="PÇ"/>
    <n v="1.002"/>
    <n v="1.002"/>
    <n v="2238.89"/>
    <n v="2243.36778"/>
    <n v="0"/>
    <n v="0.9"/>
    <n v="0.1"/>
    <m/>
    <m/>
    <x v="0"/>
    <m/>
    <m/>
    <m/>
    <m/>
    <m/>
    <m/>
    <m/>
    <m/>
    <m/>
    <m/>
    <m/>
    <m/>
    <m/>
    <m/>
    <m/>
    <m/>
    <m/>
  </r>
  <r>
    <s v="2.4.3.1.3"/>
    <s v="CMS M.60.10.000"/>
    <x v="2"/>
    <n v="16"/>
    <s v="SPOOL"/>
    <n v="10"/>
    <x v="1"/>
    <s v="NÃO"/>
    <s v="NÃO"/>
    <x v="86"/>
    <x v="2"/>
    <s v="DISPOSIÇÃO DE REJEITOS LINHA DE BYPASS DAS PENEIRAS LINHA DO SEPARADOR MAGNÉTICO SM-143A-9609 P/ TANQUE TQ-142A-9703 ( BYPASS DAS PENEIRAS PN-143A-9709/9729 )"/>
    <m/>
    <m/>
    <m/>
    <s v="1450AA-T-70516_FL10"/>
    <n v="1"/>
    <s v="PÇ"/>
    <n v="1.22"/>
    <n v="1.22"/>
    <n v="2238.89"/>
    <n v="2731.4458"/>
    <n v="0"/>
    <n v="0.9"/>
    <n v="0.1"/>
    <m/>
    <m/>
    <x v="0"/>
    <m/>
    <m/>
    <m/>
    <m/>
    <m/>
    <m/>
    <m/>
    <m/>
    <m/>
    <m/>
    <m/>
    <m/>
    <m/>
    <m/>
    <m/>
    <m/>
    <m/>
  </r>
  <r>
    <s v="2.4.3.1.3"/>
    <s v="CMS M.60.10.000"/>
    <x v="2"/>
    <n v="17"/>
    <s v="SPOOL"/>
    <n v="10"/>
    <x v="1"/>
    <s v="NÃO"/>
    <s v="NÃO"/>
    <x v="86"/>
    <x v="2"/>
    <s v="DISPOSIÇÃO DE REJEITOS LINHA DE BYPASS DAS PENEIRAS LINHA DO SEPARADOR MAGNÉTICO SM-143A-9609 P/ TANQUE TQ-142A-9703 ( BYPASS DAS PENEIRAS PN-143A-9709/9729 )"/>
    <m/>
    <m/>
    <m/>
    <s v="1450AA-T-70516_FL11"/>
    <n v="1"/>
    <s v="PÇ"/>
    <n v="1.22"/>
    <n v="1.22"/>
    <n v="2238.89"/>
    <n v="2731.4458"/>
    <n v="0"/>
    <n v="0.9"/>
    <n v="0.1"/>
    <m/>
    <m/>
    <x v="0"/>
    <m/>
    <m/>
    <m/>
    <m/>
    <m/>
    <m/>
    <m/>
    <m/>
    <m/>
    <m/>
    <m/>
    <m/>
    <m/>
    <m/>
    <m/>
    <m/>
    <m/>
  </r>
  <r>
    <s v="2.4.3.1.3"/>
    <s v="CMS M.60.10.000"/>
    <x v="2"/>
    <n v="18"/>
    <s v="SPOOL"/>
    <n v="10"/>
    <x v="1"/>
    <s v="NÃO"/>
    <s v="NÃO"/>
    <x v="86"/>
    <x v="2"/>
    <s v="DISPOSIÇÃO DE REJEITOS LINHA DE BYPASS DAS PENEIRAS LINHA DO SEPARADOR MAGNÉTICO SM-143A-9609 P/ TANQUE TQ-142A-9703 ( BYPASS DAS PENEIRAS PN-143A-9709/9729 )"/>
    <m/>
    <m/>
    <m/>
    <s v="1450AA-T-70516_FL12"/>
    <n v="1"/>
    <s v="PÇ"/>
    <n v="1.22"/>
    <n v="1.22"/>
    <n v="2238.89"/>
    <n v="2731.4458"/>
    <n v="0"/>
    <n v="0.9"/>
    <n v="0.1"/>
    <m/>
    <m/>
    <x v="0"/>
    <m/>
    <m/>
    <m/>
    <m/>
    <m/>
    <m/>
    <m/>
    <m/>
    <m/>
    <m/>
    <m/>
    <m/>
    <m/>
    <m/>
    <m/>
    <m/>
    <m/>
  </r>
  <r>
    <s v="2.4.3.1.3"/>
    <s v="CMS M.60.10.000"/>
    <x v="2"/>
    <n v="1"/>
    <s v="SPOOL"/>
    <n v="10"/>
    <x v="1"/>
    <s v="NÃO"/>
    <s v="NÃO"/>
    <x v="87"/>
    <x v="2"/>
    <s v="DISPOSIÇÃO DE REJEITOS LINHA DE BYPASS DAS PENEIRAS LINHA DO SEPARADOR MAGNÉTICO SM-143A-9613 P/ TANQUE TQ-142A-9704 ( BYPASS DAS PENEIRAS PN-143A-9710/9733 )"/>
    <m/>
    <m/>
    <m/>
    <s v="1450AA-T-70518_FL15"/>
    <n v="2"/>
    <s v="PÇ"/>
    <n v="6"/>
    <n v="12"/>
    <n v="2238.89"/>
    <n v="26866.68"/>
    <n v="0"/>
    <n v="0.9"/>
    <n v="0.1"/>
    <m/>
    <m/>
    <x v="0"/>
    <m/>
    <m/>
    <m/>
    <m/>
    <m/>
    <m/>
    <m/>
    <m/>
    <m/>
    <m/>
    <m/>
    <m/>
    <m/>
    <m/>
    <m/>
    <m/>
    <m/>
  </r>
  <r>
    <s v="2.4.3.1.3"/>
    <s v="CMS M.60.10.000"/>
    <x v="2"/>
    <n v="2"/>
    <s v="SPOOL"/>
    <n v="10"/>
    <x v="1"/>
    <s v="NÃO"/>
    <s v="NÃO"/>
    <x v="87"/>
    <x v="2"/>
    <s v="DISPOSIÇÃO DE REJEITOS LINHA DE BYPASS DAS PENEIRAS LINHA DO SEPARADOR MAGNÉTICO SM-143A-9613 P/ TANQUE TQ-142A-9704 ( BYPASS DAS PENEIRAS PN-143A-9710/9733 )"/>
    <m/>
    <m/>
    <m/>
    <s v="1450AA-T-70518_FL14"/>
    <n v="1"/>
    <s v="PÇ"/>
    <n v="5"/>
    <n v="5"/>
    <n v="2238.89"/>
    <n v="11194.449999999999"/>
    <n v="0"/>
    <n v="0.9"/>
    <n v="0.1"/>
    <m/>
    <m/>
    <x v="0"/>
    <m/>
    <m/>
    <m/>
    <m/>
    <m/>
    <m/>
    <m/>
    <m/>
    <m/>
    <m/>
    <m/>
    <m/>
    <m/>
    <m/>
    <m/>
    <m/>
    <m/>
  </r>
  <r>
    <s v="2.4.3.1.3"/>
    <s v="CMS M.60.10.000"/>
    <x v="2"/>
    <n v="3"/>
    <s v="SPOOL"/>
    <n v="10"/>
    <x v="1"/>
    <s v="NÃO"/>
    <s v="NÃO"/>
    <x v="87"/>
    <x v="2"/>
    <s v="DISPOSIÇÃO DE REJEITOS LINHA DE BYPASS DAS PENEIRAS LINHA DO SEPARADOR MAGNÉTICO SM-143A-9613 P/ TANQUE TQ-142A-9704 ( BYPASS DAS PENEIRAS PN-143A-9710/9733 )"/>
    <m/>
    <m/>
    <m/>
    <s v="1450AA-T-70518_FL13"/>
    <n v="1"/>
    <s v="PÇ"/>
    <n v="3.8"/>
    <n v="3.8"/>
    <n v="2238.89"/>
    <n v="8507.7819999999992"/>
    <n v="0"/>
    <n v="0.9"/>
    <n v="0.1"/>
    <m/>
    <m/>
    <x v="0"/>
    <m/>
    <m/>
    <m/>
    <m/>
    <m/>
    <m/>
    <m/>
    <m/>
    <m/>
    <m/>
    <m/>
    <m/>
    <m/>
    <m/>
    <m/>
    <m/>
    <m/>
  </r>
  <r>
    <s v="2.4.3.1.3"/>
    <s v="CMS M.60.10.000"/>
    <x v="2"/>
    <n v="4"/>
    <s v="SPOOL"/>
    <n v="10"/>
    <x v="1"/>
    <s v="NÃO"/>
    <s v="NÃO"/>
    <x v="87"/>
    <x v="2"/>
    <s v="DISPOSIÇÃO DE REJEITOS LINHA DE BYPASS DAS PENEIRAS LINHA DO SEPARADOR MAGNÉTICO SM-143A-9613 P/ TANQUE TQ-142A-9704 ( BYPASS DAS PENEIRAS PN-143A-9710/9733 )"/>
    <m/>
    <m/>
    <m/>
    <s v="1450AA-T-70518_FL12"/>
    <n v="1"/>
    <s v="PÇ"/>
    <n v="3"/>
    <n v="3"/>
    <n v="2238.89"/>
    <n v="6716.67"/>
    <n v="0"/>
    <n v="0.9"/>
    <n v="0.1"/>
    <m/>
    <m/>
    <x v="0"/>
    <m/>
    <m/>
    <m/>
    <m/>
    <m/>
    <m/>
    <m/>
    <m/>
    <m/>
    <m/>
    <m/>
    <m/>
    <m/>
    <m/>
    <m/>
    <m/>
    <m/>
  </r>
  <r>
    <s v="2.4.3.1.3"/>
    <s v="CMS M.60.10.000"/>
    <x v="2"/>
    <n v="5"/>
    <s v="SPOOL"/>
    <n v="10"/>
    <x v="1"/>
    <s v="NÃO"/>
    <s v="NÃO"/>
    <x v="87"/>
    <x v="2"/>
    <s v="DISPOSIÇÃO DE REJEITOS LINHA DE BYPASS DAS PENEIRAS LINHA DO SEPARADOR MAGNÉTICO SM-143A-9613 P/ TANQUE TQ-142A-9704 ( BYPASS DAS PENEIRAS PN-143A-9710/9733 )"/>
    <m/>
    <m/>
    <m/>
    <s v="1450AA-T-70518_FL11"/>
    <n v="1"/>
    <s v="PÇ"/>
    <n v="2.827"/>
    <n v="2.827"/>
    <n v="2238.89"/>
    <n v="6329.3420299999998"/>
    <n v="0"/>
    <n v="0.9"/>
    <n v="0.1"/>
    <m/>
    <m/>
    <x v="0"/>
    <m/>
    <m/>
    <m/>
    <m/>
    <m/>
    <m/>
    <m/>
    <m/>
    <m/>
    <m/>
    <m/>
    <m/>
    <m/>
    <m/>
    <m/>
    <m/>
    <m/>
  </r>
  <r>
    <s v="2.4.3.1.3"/>
    <s v="CMS M.60.10.000"/>
    <x v="2"/>
    <n v="6"/>
    <s v="SPOOL"/>
    <n v="10"/>
    <x v="1"/>
    <s v="NÃO"/>
    <s v="NÃO"/>
    <x v="87"/>
    <x v="2"/>
    <s v="DISPOSIÇÃO DE REJEITOS LINHA DE BYPASS DAS PENEIRAS LINHA DO SEPARADOR MAGNÉTICO SM-143A-9613 P/ TANQUE TQ-142A-9704 ( BYPASS DAS PENEIRAS PN-143A-9710/9733 )"/>
    <m/>
    <m/>
    <m/>
    <s v="1450AA-T-70518_FL10"/>
    <n v="1"/>
    <s v="PÇ"/>
    <n v="1.6"/>
    <n v="1.6"/>
    <n v="2238.89"/>
    <n v="3582.2240000000002"/>
    <n v="0"/>
    <n v="0.9"/>
    <n v="0.1"/>
    <m/>
    <m/>
    <x v="0"/>
    <m/>
    <m/>
    <m/>
    <m/>
    <m/>
    <m/>
    <m/>
    <m/>
    <m/>
    <m/>
    <m/>
    <m/>
    <m/>
    <m/>
    <m/>
    <m/>
    <m/>
  </r>
  <r>
    <s v="2.4.3.1.3"/>
    <s v="CMS M.60.10.000"/>
    <x v="2"/>
    <n v="7"/>
    <s v="SPOOL"/>
    <n v="10"/>
    <x v="1"/>
    <s v="NÃO"/>
    <s v="NÃO"/>
    <x v="87"/>
    <x v="2"/>
    <s v="DISPOSIÇÃO DE REJEITOS LINHA DE BYPASS DAS PENEIRAS LINHA DO SEPARADOR MAGNÉTICO SM-143A-9613 P/ TANQUE TQ-142A-9704 ( BYPASS DAS PENEIRAS PN-143A-9710/9733 )"/>
    <m/>
    <m/>
    <m/>
    <s v="1450AA-T-70518_FL09"/>
    <n v="1"/>
    <s v="PÇ"/>
    <n v="1.5"/>
    <n v="1.5"/>
    <n v="2238.89"/>
    <n v="3358.335"/>
    <n v="0"/>
    <n v="0.9"/>
    <n v="0.1"/>
    <m/>
    <m/>
    <x v="0"/>
    <m/>
    <m/>
    <m/>
    <m/>
    <m/>
    <m/>
    <m/>
    <m/>
    <m/>
    <m/>
    <m/>
    <m/>
    <m/>
    <m/>
    <m/>
    <m/>
    <m/>
  </r>
  <r>
    <s v="2.4.3.1.3"/>
    <s v="CMS M.60.10.000"/>
    <x v="2"/>
    <n v="8"/>
    <s v="SPOOL"/>
    <n v="10"/>
    <x v="1"/>
    <s v="NÃO"/>
    <s v="NÃO"/>
    <x v="87"/>
    <x v="2"/>
    <s v="DISPOSIÇÃO DE REJEITOS LINHA DE BYPASS DAS PENEIRAS LINHA DO SEPARADOR MAGNÉTICO SM-143A-9613 P/ TANQUE TQ-142A-9704 ( BYPASS DAS PENEIRAS PN-143A-9710/9733 )"/>
    <m/>
    <m/>
    <m/>
    <s v="1450AA-T-70518_FL08"/>
    <n v="1"/>
    <s v="PÇ"/>
    <n v="1.325"/>
    <n v="1.325"/>
    <n v="2238.89"/>
    <n v="2966.5292499999996"/>
    <n v="0"/>
    <n v="0.9"/>
    <n v="0.1"/>
    <m/>
    <m/>
    <x v="0"/>
    <m/>
    <m/>
    <m/>
    <m/>
    <m/>
    <m/>
    <m/>
    <m/>
    <m/>
    <m/>
    <m/>
    <m/>
    <m/>
    <m/>
    <m/>
    <m/>
    <m/>
  </r>
  <r>
    <s v="2.4.3.1.3"/>
    <s v="CMS M.60.10.000"/>
    <x v="2"/>
    <n v="9"/>
    <s v="SPOOL"/>
    <n v="10"/>
    <x v="1"/>
    <s v="NÃO"/>
    <s v="NÃO"/>
    <x v="87"/>
    <x v="2"/>
    <s v="DISPOSIÇÃO DE REJEITOS LINHA DE BYPASS DAS PENEIRAS LINHA DO SEPARADOR MAGNÉTICO SM-143A-9613 P/ TANQUE TQ-142A-9704 ( BYPASS DAS PENEIRAS PN-143A-9710/9733 )"/>
    <m/>
    <m/>
    <m/>
    <s v="1450AA-T-70518_FL07"/>
    <n v="2"/>
    <s v="PÇ"/>
    <n v="1.2"/>
    <n v="2.4"/>
    <n v="2238.89"/>
    <n v="5373.3359999999993"/>
    <n v="0"/>
    <n v="0.9"/>
    <n v="0.1"/>
    <m/>
    <m/>
    <x v="0"/>
    <m/>
    <m/>
    <m/>
    <m/>
    <m/>
    <m/>
    <m/>
    <m/>
    <m/>
    <m/>
    <m/>
    <m/>
    <m/>
    <m/>
    <m/>
    <m/>
    <m/>
  </r>
  <r>
    <s v="2.4.3.1.3"/>
    <s v="CMS M.60.10.000"/>
    <x v="2"/>
    <n v="10"/>
    <s v="SPOOL"/>
    <n v="10"/>
    <x v="1"/>
    <s v="NÃO"/>
    <s v="NÃO"/>
    <x v="87"/>
    <x v="2"/>
    <s v="DISPOSIÇÃO DE REJEITOS LINHA DE BYPASS DAS PENEIRAS LINHA DO SEPARADOR MAGNÉTICO SM-143A-9613 P/ TANQUE TQ-142A-9704 ( BYPASS DAS PENEIRAS PN-143A-9710/9733 )"/>
    <m/>
    <m/>
    <m/>
    <s v="1450AA-T-70518_FL06"/>
    <n v="1"/>
    <s v="PÇ"/>
    <n v="0.62"/>
    <n v="0.62"/>
    <n v="2238.89"/>
    <n v="1388.1117999999999"/>
    <n v="0"/>
    <n v="0.9"/>
    <n v="0.1"/>
    <m/>
    <m/>
    <x v="0"/>
    <m/>
    <m/>
    <m/>
    <m/>
    <m/>
    <m/>
    <m/>
    <m/>
    <m/>
    <m/>
    <m/>
    <m/>
    <m/>
    <m/>
    <m/>
    <m/>
    <m/>
  </r>
  <r>
    <s v="2.4.3.1.3"/>
    <s v="CMS M.60.10.000"/>
    <x v="2"/>
    <n v="11"/>
    <s v="SPOOL"/>
    <n v="10"/>
    <x v="2"/>
    <s v="NÃO"/>
    <s v="NÃO"/>
    <x v="87"/>
    <x v="2"/>
    <s v="DISPOSIÇÃO DE REJEITOS LINHA DE BYPASS DAS PENEIRAS LINHA DO SEPARADOR MAGNÉTICO SM-143A-9613 P/ TANQUE TQ-142A-9704 ( BYPASS DAS PENEIRAS PN-143A-9710/9733 )"/>
    <m/>
    <m/>
    <m/>
    <s v="1450AA-T-70518_FL18"/>
    <n v="1"/>
    <s v="PÇ"/>
    <n v="0.68"/>
    <n v="0.68"/>
    <n v="2238.89"/>
    <n v="1522.4452000000001"/>
    <n v="0"/>
    <n v="0.9"/>
    <n v="0.1"/>
    <m/>
    <m/>
    <x v="0"/>
    <m/>
    <m/>
    <m/>
    <m/>
    <m/>
    <m/>
    <m/>
    <m/>
    <m/>
    <m/>
    <m/>
    <m/>
    <m/>
    <m/>
    <m/>
    <m/>
    <m/>
  </r>
  <r>
    <s v="2.4.3.1.3"/>
    <s v="CMS M.60.10.000"/>
    <x v="2"/>
    <n v="12"/>
    <s v="SPOOL"/>
    <n v="10"/>
    <x v="2"/>
    <s v="NÃO"/>
    <s v="NÃO"/>
    <x v="87"/>
    <x v="2"/>
    <s v="DISPOSIÇÃO DE REJEITOS LINHA DE BYPASS DAS PENEIRAS LINHA DO SEPARADOR MAGNÉTICO SM-143A-9613 P/ TANQUE TQ-142A-9704 ( BYPASS DAS PENEIRAS PN-143A-9710/9733 )"/>
    <m/>
    <m/>
    <m/>
    <s v="1450AA-T-70518_FL17"/>
    <n v="1"/>
    <s v="PÇ"/>
    <n v="0.4"/>
    <n v="0.4"/>
    <n v="2238.89"/>
    <n v="895.55600000000004"/>
    <n v="0"/>
    <n v="0.9"/>
    <n v="0.1"/>
    <m/>
    <m/>
    <x v="0"/>
    <m/>
    <m/>
    <m/>
    <m/>
    <m/>
    <m/>
    <m/>
    <m/>
    <m/>
    <m/>
    <m/>
    <m/>
    <m/>
    <m/>
    <m/>
    <m/>
    <m/>
  </r>
  <r>
    <s v="2.4.3.1.3"/>
    <s v="CMS M.60.10.000"/>
    <x v="2"/>
    <n v="13"/>
    <s v="SPOOL"/>
    <n v="10"/>
    <x v="2"/>
    <s v="NÃO"/>
    <s v="NÃO"/>
    <x v="87"/>
    <x v="2"/>
    <s v="DISPOSIÇÃO DE REJEITOS LINHA DE BYPASS DAS PENEIRAS LINHA DO SEPARADOR MAGNÉTICO SM-143A-9613 P/ TANQUE TQ-142A-9704 ( BYPASS DAS PENEIRAS PN-143A-9710/9733 )"/>
    <m/>
    <m/>
    <m/>
    <s v="1450AA-T-70518_FL16"/>
    <n v="1"/>
    <s v="PÇ"/>
    <n v="0.32"/>
    <n v="0.32"/>
    <n v="2238.89"/>
    <n v="716.44479999999999"/>
    <n v="0"/>
    <n v="0.9"/>
    <n v="0.1"/>
    <m/>
    <m/>
    <x v="0"/>
    <m/>
    <m/>
    <m/>
    <m/>
    <m/>
    <m/>
    <m/>
    <m/>
    <m/>
    <m/>
    <m/>
    <m/>
    <m/>
    <m/>
    <m/>
    <m/>
    <m/>
  </r>
  <r>
    <s v="2.4.3.1.3"/>
    <s v="CMS M.60.10.000"/>
    <x v="2"/>
    <n v="14"/>
    <s v="CURVA"/>
    <n v="10"/>
    <x v="1"/>
    <s v="NÃO"/>
    <s v="NÃO"/>
    <x v="87"/>
    <x v="2"/>
    <s v="DISPOSIÇÃO DE REJEITOS LINHA DE BYPASS DAS PENEIRAS LINHA DO SEPARADOR MAGNÉTICO SM-143A-9613 P/ TANQUE TQ-142A-9704 ( BYPASS DAS PENEIRAS PN-143A-9710/9733 )"/>
    <m/>
    <m/>
    <m/>
    <s v="1450AA-T-70518_FL24"/>
    <n v="1"/>
    <s v="PÇ"/>
    <n v="1.264"/>
    <n v="1.264"/>
    <n v="2238.89"/>
    <n v="2829.95696"/>
    <n v="0"/>
    <n v="0.9"/>
    <n v="0.1"/>
    <m/>
    <m/>
    <x v="0"/>
    <m/>
    <m/>
    <m/>
    <m/>
    <m/>
    <m/>
    <m/>
    <m/>
    <m/>
    <m/>
    <m/>
    <m/>
    <m/>
    <m/>
    <m/>
    <m/>
    <m/>
  </r>
  <r>
    <s v="2.4.3.1.3"/>
    <s v="CMS M.60.10.000"/>
    <x v="2"/>
    <n v="15"/>
    <s v="CURVA"/>
    <n v="10"/>
    <x v="1"/>
    <s v="NÃO"/>
    <s v="NÃO"/>
    <x v="87"/>
    <x v="2"/>
    <s v="DISPOSIÇÃO DE REJEITOS LINHA DE BYPASS DAS PENEIRAS LINHA DO SEPARADOR MAGNÉTICO SM-143A-9613 P/ TANQUE TQ-142A-9704 ( BYPASS DAS PENEIRAS PN-143A-9710/9733 )"/>
    <m/>
    <m/>
    <m/>
    <s v="1450AA-T-70518_FL23"/>
    <n v="1"/>
    <s v="PÇ"/>
    <n v="1.129"/>
    <n v="1.129"/>
    <n v="2238.89"/>
    <n v="2527.7068099999997"/>
    <n v="0"/>
    <n v="0.9"/>
    <n v="0.1"/>
    <m/>
    <m/>
    <x v="0"/>
    <m/>
    <m/>
    <m/>
    <m/>
    <m/>
    <m/>
    <m/>
    <m/>
    <m/>
    <m/>
    <m/>
    <m/>
    <m/>
    <m/>
    <m/>
    <m/>
    <m/>
  </r>
  <r>
    <s v="2.4.3.1.3"/>
    <s v="CMS M.60.10.000"/>
    <x v="2"/>
    <n v="16"/>
    <s v="CURVA"/>
    <n v="10"/>
    <x v="1"/>
    <s v="NÃO"/>
    <s v="NÃO"/>
    <x v="87"/>
    <x v="2"/>
    <s v="DISPOSIÇÃO DE REJEITOS LINHA DE BYPASS DAS PENEIRAS LINHA DO SEPARADOR MAGNÉTICO SM-143A-9613 P/ TANQUE TQ-142A-9704 ( BYPASS DAS PENEIRAS PN-143A-9710/9733 )"/>
    <m/>
    <m/>
    <m/>
    <s v="1450AA-T-70518_FL22"/>
    <n v="1"/>
    <s v="PÇ"/>
    <n v="0.63700000000000001"/>
    <n v="0.63700000000000001"/>
    <n v="2238.89"/>
    <n v="1426.17293"/>
    <n v="0"/>
    <n v="0.9"/>
    <n v="0.1"/>
    <m/>
    <m/>
    <x v="0"/>
    <m/>
    <m/>
    <m/>
    <m/>
    <m/>
    <m/>
    <m/>
    <m/>
    <m/>
    <m/>
    <m/>
    <m/>
    <m/>
    <m/>
    <m/>
    <m/>
    <m/>
  </r>
  <r>
    <s v="2.4.3.1.3"/>
    <s v="CMS M.60.10.000"/>
    <x v="2"/>
    <n v="17"/>
    <s v="CURVA"/>
    <n v="10"/>
    <x v="1"/>
    <s v="NÃO"/>
    <s v="NÃO"/>
    <x v="87"/>
    <x v="2"/>
    <s v="DISPOSIÇÃO DE REJEITOS LINHA DE BYPASS DAS PENEIRAS LINHA DO SEPARADOR MAGNÉTICO SM-143A-9613 P/ TANQUE TQ-142A-9704 ( BYPASS DAS PENEIRAS PN-143A-9710/9733 )"/>
    <m/>
    <m/>
    <m/>
    <s v="1450AA-T-70518_FL21"/>
    <n v="1"/>
    <s v="PÇ"/>
    <n v="0.53500000000000003"/>
    <n v="0.53500000000000003"/>
    <n v="2238.89"/>
    <n v="1197.8061499999999"/>
    <n v="0"/>
    <n v="0.9"/>
    <n v="0.1"/>
    <m/>
    <m/>
    <x v="0"/>
    <m/>
    <m/>
    <m/>
    <m/>
    <m/>
    <m/>
    <m/>
    <m/>
    <m/>
    <m/>
    <m/>
    <m/>
    <m/>
    <m/>
    <m/>
    <m/>
    <m/>
  </r>
  <r>
    <s v="2.4.3.1.3"/>
    <s v="CMS M.60.10.000"/>
    <x v="2"/>
    <n v="18"/>
    <s v="CURVA"/>
    <n v="10"/>
    <x v="1"/>
    <s v="NÃO"/>
    <s v="NÃO"/>
    <x v="87"/>
    <x v="2"/>
    <s v="DISPOSIÇÃO DE REJEITOS LINHA DE BYPASS DAS PENEIRAS LINHA DO SEPARADOR MAGNÉTICO SM-143A-9613 P/ TANQUE TQ-142A-9704 ( BYPASS DAS PENEIRAS PN-143A-9710/9733 )"/>
    <m/>
    <m/>
    <m/>
    <s v="1450AA-T-70518_FL20"/>
    <n v="2"/>
    <s v="PÇ"/>
    <n v="0.46400000000000002"/>
    <n v="0.92800000000000005"/>
    <n v="2238.89"/>
    <n v="2077.6899199999998"/>
    <n v="0"/>
    <n v="0.9"/>
    <n v="0.1"/>
    <m/>
    <m/>
    <x v="0"/>
    <m/>
    <m/>
    <m/>
    <m/>
    <m/>
    <m/>
    <m/>
    <m/>
    <m/>
    <m/>
    <m/>
    <m/>
    <m/>
    <m/>
    <m/>
    <m/>
    <m/>
  </r>
  <r>
    <s v="2.4.3.1.3"/>
    <s v="CMS M.60.10.000"/>
    <x v="2"/>
    <n v="19"/>
    <s v="CURVA"/>
    <n v="10"/>
    <x v="1"/>
    <s v="NÃO"/>
    <s v="NÃO"/>
    <x v="87"/>
    <x v="2"/>
    <s v="DISPOSIÇÃO DE REJEITOS LINHA DE BYPASS DAS PENEIRAS LINHA DO SEPARADOR MAGNÉTICO SM-143A-9613 P/ TANQUE TQ-142A-9704 ( BYPASS DAS PENEIRAS PN-143A-9710/9733 )"/>
    <m/>
    <m/>
    <m/>
    <s v="1450AA-T-70518_FL19"/>
    <n v="1"/>
    <s v="PÇ"/>
    <n v="0.41099999999999998"/>
    <n v="0.41099999999999998"/>
    <n v="2238.89"/>
    <n v="920.18378999999993"/>
    <n v="0"/>
    <n v="0.9"/>
    <n v="0.1"/>
    <m/>
    <m/>
    <x v="0"/>
    <m/>
    <m/>
    <m/>
    <m/>
    <m/>
    <m/>
    <m/>
    <m/>
    <m/>
    <m/>
    <m/>
    <m/>
    <m/>
    <m/>
    <m/>
    <m/>
    <m/>
  </r>
  <r>
    <s v="2.4.3.1.3"/>
    <s v="CMS M.60.10.000"/>
    <x v="2"/>
    <n v="20"/>
    <s v="SPOOL"/>
    <n v="10"/>
    <x v="1"/>
    <s v="NÃO"/>
    <s v="NÃO"/>
    <x v="87"/>
    <x v="2"/>
    <s v="DISPOSIÇÃO DE REJEITOS LINHA DE BYPASS DAS PENEIRAS LINHA DO SEPARADOR MAGNÉTICO SM-143A-9613 P/ TANQUE TQ-142A-9704 ( BYPASS DAS PENEIRAS PN-143A-9710/9733 )"/>
    <m/>
    <m/>
    <m/>
    <s v="1450AA-T-70518_FL26"/>
    <n v="1"/>
    <s v="PÇ"/>
    <n v="1.22"/>
    <n v="1.22"/>
    <n v="2238.89"/>
    <n v="2731.4458"/>
    <n v="0"/>
    <n v="0.9"/>
    <n v="0.1"/>
    <m/>
    <m/>
    <x v="0"/>
    <m/>
    <m/>
    <m/>
    <m/>
    <m/>
    <m/>
    <m/>
    <m/>
    <m/>
    <m/>
    <m/>
    <m/>
    <m/>
    <m/>
    <m/>
    <m/>
    <m/>
  </r>
  <r>
    <s v="2.4.3.1.3"/>
    <s v="CMS M.60.10.000"/>
    <x v="2"/>
    <n v="21"/>
    <s v="SPOOL"/>
    <n v="10"/>
    <x v="1"/>
    <s v="NÃO"/>
    <s v="NÃO"/>
    <x v="87"/>
    <x v="2"/>
    <s v="DISPOSIÇÃO DE REJEITOS LINHA DE BYPASS DAS PENEIRAS LINHA DO SEPARADOR MAGNÉTICO SM-143A-9613 P/ TANQUE TQ-142A-9704 ( BYPASS DAS PENEIRAS PN-143A-9710/9733 )"/>
    <m/>
    <m/>
    <m/>
    <s v="1450AA-T-70518_FL25"/>
    <n v="1"/>
    <s v="PÇ"/>
    <n v="1.22"/>
    <n v="1.22"/>
    <n v="2238.89"/>
    <n v="2731.4458"/>
    <n v="0"/>
    <n v="0.9"/>
    <n v="0.1"/>
    <m/>
    <m/>
    <x v="0"/>
    <m/>
    <m/>
    <m/>
    <m/>
    <m/>
    <m/>
    <m/>
    <m/>
    <m/>
    <m/>
    <m/>
    <m/>
    <m/>
    <m/>
    <m/>
    <m/>
    <m/>
  </r>
  <r>
    <s v="2.4.3.1.3"/>
    <s v="CMS M.60.10.000"/>
    <x v="2"/>
    <n v="1"/>
    <s v="SPOOL"/>
    <n v="10"/>
    <x v="1"/>
    <s v="NÃO"/>
    <s v="NÃO"/>
    <x v="88"/>
    <x v="2"/>
    <s v="DISPOSIÇÃO DE REJEITOS LINHA DE BYPASS DAS PENEIRAS LINHA DO SEPARADOR MAGNÉTICO SM-143A-9614 P/ TANQUE TQ-142A-9704 ( BYPASS DAS PENEIRAS PN-143A-9711/9734 )"/>
    <m/>
    <m/>
    <m/>
    <s v="1450AA-T-70520_FL12"/>
    <n v="4"/>
    <s v="PÇ"/>
    <n v="6"/>
    <n v="24"/>
    <n v="2238.89"/>
    <n v="53733.36"/>
    <n v="0"/>
    <n v="0.9"/>
    <n v="0.1"/>
    <m/>
    <m/>
    <x v="0"/>
    <m/>
    <m/>
    <m/>
    <m/>
    <m/>
    <m/>
    <m/>
    <m/>
    <m/>
    <m/>
    <m/>
    <m/>
    <m/>
    <m/>
    <m/>
    <m/>
    <m/>
  </r>
  <r>
    <s v="2.4.3.1.3"/>
    <s v="CMS M.60.10.000"/>
    <x v="2"/>
    <n v="2"/>
    <s v="SPOOL"/>
    <n v="10"/>
    <x v="1"/>
    <s v="NÃO"/>
    <s v="NÃO"/>
    <x v="88"/>
    <x v="2"/>
    <s v="DISPOSIÇÃO DE REJEITOS LINHA DE BYPASS DAS PENEIRAS LINHA DO SEPARADOR MAGNÉTICO SM-143A-9614 P/ TANQUE TQ-142A-9704 ( BYPASS DAS PENEIRAS PN-143A-9711/9734 )"/>
    <m/>
    <m/>
    <m/>
    <s v="1450AA-T-70520_FL11"/>
    <n v="1"/>
    <s v="PÇ"/>
    <n v="4.9050000000000002"/>
    <n v="4.9050000000000002"/>
    <n v="2238.89"/>
    <n v="10981.755450000001"/>
    <n v="0"/>
    <n v="0.9"/>
    <n v="0.1"/>
    <m/>
    <m/>
    <x v="0"/>
    <m/>
    <m/>
    <m/>
    <m/>
    <m/>
    <m/>
    <m/>
    <m/>
    <m/>
    <m/>
    <m/>
    <m/>
    <m/>
    <m/>
    <m/>
    <m/>
    <m/>
  </r>
  <r>
    <s v="2.4.3.1.3"/>
    <s v="CMS M.60.10.000"/>
    <x v="2"/>
    <n v="3"/>
    <s v="SPOOL"/>
    <n v="10"/>
    <x v="1"/>
    <s v="NÃO"/>
    <s v="NÃO"/>
    <x v="88"/>
    <x v="2"/>
    <s v="DISPOSIÇÃO DE REJEITOS LINHA DE BYPASS DAS PENEIRAS LINHA DO SEPARADOR MAGNÉTICO SM-143A-9614 P/ TANQUE TQ-142A-9704 ( BYPASS DAS PENEIRAS PN-143A-9711/9734 )"/>
    <m/>
    <m/>
    <m/>
    <s v="1450AA-T-70520_FL10"/>
    <n v="1"/>
    <s v="PÇ"/>
    <n v="2"/>
    <n v="2"/>
    <n v="2238.89"/>
    <n v="4477.78"/>
    <n v="0"/>
    <n v="0.9"/>
    <n v="0.1"/>
    <m/>
    <m/>
    <x v="0"/>
    <m/>
    <m/>
    <m/>
    <m/>
    <m/>
    <m/>
    <m/>
    <m/>
    <m/>
    <m/>
    <m/>
    <m/>
    <m/>
    <m/>
    <m/>
    <m/>
    <m/>
  </r>
  <r>
    <s v="2.4.3.1.3"/>
    <s v="CMS M.60.10.000"/>
    <x v="2"/>
    <n v="4"/>
    <s v="SPOOL"/>
    <n v="10"/>
    <x v="1"/>
    <s v="NÃO"/>
    <s v="NÃO"/>
    <x v="88"/>
    <x v="2"/>
    <s v="DISPOSIÇÃO DE REJEITOS LINHA DE BYPASS DAS PENEIRAS LINHA DO SEPARADOR MAGNÉTICO SM-143A-9614 P/ TANQUE TQ-142A-9704 ( BYPASS DAS PENEIRAS PN-143A-9711/9734 )"/>
    <m/>
    <m/>
    <m/>
    <s v="1450AA-T-70520_FL09"/>
    <n v="1"/>
    <s v="PÇ"/>
    <n v="1.9850000000000001"/>
    <n v="1.9850000000000001"/>
    <n v="2238.89"/>
    <n v="4444.1966499999999"/>
    <n v="0"/>
    <n v="0.9"/>
    <n v="0.1"/>
    <m/>
    <m/>
    <x v="0"/>
    <m/>
    <m/>
    <m/>
    <m/>
    <m/>
    <m/>
    <m/>
    <m/>
    <m/>
    <m/>
    <m/>
    <m/>
    <m/>
    <m/>
    <m/>
    <m/>
    <m/>
  </r>
  <r>
    <s v="2.4.3.1.3"/>
    <s v="CMS M.60.10.000"/>
    <x v="2"/>
    <n v="5"/>
    <s v="SPOOL"/>
    <n v="10"/>
    <x v="1"/>
    <s v="NÃO"/>
    <s v="NÃO"/>
    <x v="88"/>
    <x v="2"/>
    <s v="DISPOSIÇÃO DE REJEITOS LINHA DE BYPASS DAS PENEIRAS LINHA DO SEPARADOR MAGNÉTICO SM-143A-9614 P/ TANQUE TQ-142A-9704 ( BYPASS DAS PENEIRAS PN-143A-9711/9734 )"/>
    <m/>
    <m/>
    <m/>
    <s v="1450AA-T-70520_FL08"/>
    <n v="1"/>
    <s v="PÇ"/>
    <n v="1"/>
    <n v="1"/>
    <n v="2238.89"/>
    <n v="2238.89"/>
    <n v="0"/>
    <n v="0.9"/>
    <n v="0.1"/>
    <m/>
    <m/>
    <x v="0"/>
    <m/>
    <m/>
    <m/>
    <m/>
    <m/>
    <m/>
    <m/>
    <m/>
    <m/>
    <m/>
    <m/>
    <m/>
    <m/>
    <m/>
    <m/>
    <m/>
    <m/>
  </r>
  <r>
    <s v="2.4.3.1.3"/>
    <s v="CMS M.60.10.000"/>
    <x v="2"/>
    <n v="6"/>
    <s v="SPOOL"/>
    <n v="10"/>
    <x v="1"/>
    <s v="NÃO"/>
    <s v="NÃO"/>
    <x v="88"/>
    <x v="2"/>
    <s v="DISPOSIÇÃO DE REJEITOS LINHA DE BYPASS DAS PENEIRAS LINHA DO SEPARADOR MAGNÉTICO SM-143A-9614 P/ TANQUE TQ-142A-9704 ( BYPASS DAS PENEIRAS PN-143A-9711/9734 )"/>
    <m/>
    <m/>
    <m/>
    <s v="1450AA-T-70520_FL07"/>
    <n v="1"/>
    <s v="PÇ"/>
    <n v="0.89"/>
    <n v="0.89"/>
    <n v="2238.89"/>
    <n v="1992.6120999999998"/>
    <n v="0"/>
    <n v="0.9"/>
    <n v="0.1"/>
    <m/>
    <m/>
    <x v="0"/>
    <m/>
    <m/>
    <m/>
    <m/>
    <m/>
    <m/>
    <m/>
    <m/>
    <m/>
    <m/>
    <m/>
    <m/>
    <m/>
    <m/>
    <m/>
    <m/>
    <m/>
  </r>
  <r>
    <s v="2.4.3.1.3"/>
    <s v="CMS M.60.10.000"/>
    <x v="2"/>
    <n v="7"/>
    <s v="SPOOL"/>
    <n v="10"/>
    <x v="1"/>
    <s v="NÃO"/>
    <s v="NÃO"/>
    <x v="88"/>
    <x v="2"/>
    <s v="DISPOSIÇÃO DE REJEITOS LINHA DE BYPASS DAS PENEIRAS LINHA DO SEPARADOR MAGNÉTICO SM-143A-9614 P/ TANQUE TQ-142A-9704 ( BYPASS DAS PENEIRAS PN-143A-9711/9734 )"/>
    <m/>
    <m/>
    <m/>
    <s v="1450AA-T-70520_FL06"/>
    <n v="1"/>
    <s v="PÇ"/>
    <n v="0.83099999999999996"/>
    <n v="0.83099999999999996"/>
    <n v="2238.89"/>
    <n v="1860.5175899999997"/>
    <n v="0"/>
    <n v="0.9"/>
    <n v="0.1"/>
    <m/>
    <m/>
    <x v="0"/>
    <m/>
    <m/>
    <m/>
    <m/>
    <m/>
    <m/>
    <m/>
    <m/>
    <m/>
    <m/>
    <m/>
    <m/>
    <m/>
    <m/>
    <m/>
    <m/>
    <m/>
  </r>
  <r>
    <s v="2.4.3.1.3"/>
    <s v="CMS M.60.10.000"/>
    <x v="2"/>
    <n v="8"/>
    <s v="SPOOL"/>
    <n v="10"/>
    <x v="2"/>
    <s v="NÃO"/>
    <s v="NÃO"/>
    <x v="88"/>
    <x v="2"/>
    <s v="DISPOSIÇÃO DE REJEITOS LINHA DE BYPASS DAS PENEIRAS LINHA DO SEPARADOR MAGNÉTICO SM-143A-9614 P/ TANQUE TQ-142A-9704 ( BYPASS DAS PENEIRAS PN-143A-9711/9734 )"/>
    <m/>
    <m/>
    <m/>
    <s v="1450AA-T-70520_FL16"/>
    <n v="1"/>
    <s v="PÇ"/>
    <n v="0.68"/>
    <n v="0.68"/>
    <n v="2238.89"/>
    <n v="1522.4452000000001"/>
    <n v="0"/>
    <n v="0.9"/>
    <n v="0.1"/>
    <m/>
    <m/>
    <x v="0"/>
    <m/>
    <m/>
    <m/>
    <m/>
    <m/>
    <m/>
    <m/>
    <m/>
    <m/>
    <m/>
    <m/>
    <m/>
    <m/>
    <m/>
    <m/>
    <m/>
    <m/>
  </r>
  <r>
    <s v="2.4.3.1.3"/>
    <s v="CMS M.60.10.000"/>
    <x v="2"/>
    <n v="9"/>
    <s v="SPOOL"/>
    <n v="10"/>
    <x v="2"/>
    <s v="NÃO"/>
    <s v="NÃO"/>
    <x v="88"/>
    <x v="2"/>
    <s v="DISPOSIÇÃO DE REJEITOS LINHA DE BYPASS DAS PENEIRAS LINHA DO SEPARADOR MAGNÉTICO SM-143A-9614 P/ TANQUE TQ-142A-9704 ( BYPASS DAS PENEIRAS PN-143A-9711/9734 )"/>
    <m/>
    <m/>
    <m/>
    <s v="1450AA-T-70520_FL15"/>
    <n v="1"/>
    <s v="PÇ"/>
    <n v="0.6"/>
    <n v="0.6"/>
    <n v="2238.89"/>
    <n v="1343.3339999999998"/>
    <n v="0"/>
    <n v="0.9"/>
    <n v="0.1"/>
    <m/>
    <m/>
    <x v="0"/>
    <m/>
    <m/>
    <m/>
    <m/>
    <m/>
    <m/>
    <m/>
    <m/>
    <m/>
    <m/>
    <m/>
    <m/>
    <m/>
    <m/>
    <m/>
    <m/>
    <m/>
  </r>
  <r>
    <s v="2.4.3.1.3"/>
    <s v="CMS M.60.10.000"/>
    <x v="2"/>
    <n v="10"/>
    <s v="SPOOL"/>
    <n v="10"/>
    <x v="2"/>
    <s v="NÃO"/>
    <s v="NÃO"/>
    <x v="88"/>
    <x v="2"/>
    <s v="DISPOSIÇÃO DE REJEITOS LINHA DE BYPASS DAS PENEIRAS LINHA DO SEPARADOR MAGNÉTICO SM-143A-9614 P/ TANQUE TQ-142A-9704 ( BYPASS DAS PENEIRAS PN-143A-9711/9734 )"/>
    <m/>
    <m/>
    <m/>
    <s v="1450AA-T-70520_FL14"/>
    <n v="1"/>
    <s v="PÇ"/>
    <n v="0.52"/>
    <n v="0.52"/>
    <n v="2238.89"/>
    <n v="1164.2228"/>
    <n v="0"/>
    <n v="0.9"/>
    <n v="0.1"/>
    <m/>
    <m/>
    <x v="0"/>
    <m/>
    <m/>
    <m/>
    <m/>
    <m/>
    <m/>
    <m/>
    <m/>
    <m/>
    <m/>
    <m/>
    <m/>
    <m/>
    <m/>
    <m/>
    <m/>
    <m/>
  </r>
  <r>
    <s v="2.4.3.1.3"/>
    <s v="CMS M.60.10.000"/>
    <x v="2"/>
    <n v="11"/>
    <s v="SPOOL"/>
    <n v="10"/>
    <x v="2"/>
    <s v="NÃO"/>
    <s v="NÃO"/>
    <x v="88"/>
    <x v="2"/>
    <s v="DISPOSIÇÃO DE REJEITOS LINHA DE BYPASS DAS PENEIRAS LINHA DO SEPARADOR MAGNÉTICO SM-143A-9614 P/ TANQUE TQ-142A-9704 ( BYPASS DAS PENEIRAS PN-143A-9711/9734 )"/>
    <m/>
    <m/>
    <m/>
    <s v="1450AA-T-70520_FL13"/>
    <n v="1"/>
    <s v="PÇ"/>
    <n v="0.4"/>
    <n v="0.4"/>
    <n v="2238.89"/>
    <n v="895.55600000000004"/>
    <n v="0"/>
    <n v="0.9"/>
    <n v="0.1"/>
    <m/>
    <m/>
    <x v="0"/>
    <m/>
    <m/>
    <m/>
    <m/>
    <m/>
    <m/>
    <m/>
    <m/>
    <m/>
    <m/>
    <m/>
    <m/>
    <m/>
    <m/>
    <m/>
    <m/>
    <m/>
  </r>
  <r>
    <s v="2.4.3.1.3"/>
    <s v="CMS M.60.10.000"/>
    <x v="2"/>
    <n v="12"/>
    <s v="CURVA"/>
    <n v="10"/>
    <x v="1"/>
    <s v="NÃO"/>
    <s v="NÃO"/>
    <x v="88"/>
    <x v="2"/>
    <s v="DISPOSIÇÃO DE REJEITOS LINHA DE BYPASS DAS PENEIRAS LINHA DO SEPARADOR MAGNÉTICO SM-143A-9614 P/ TANQUE TQ-142A-9704 ( BYPASS DAS PENEIRAS PN-143A-9711/9734 )"/>
    <m/>
    <m/>
    <m/>
    <s v="1450AA-T-70520_FL20"/>
    <n v="1"/>
    <s v="PÇ"/>
    <n v="1.129"/>
    <n v="1.129"/>
    <n v="2238.89"/>
    <n v="2527.7068099999997"/>
    <n v="0"/>
    <n v="0.9"/>
    <n v="0.1"/>
    <m/>
    <m/>
    <x v="0"/>
    <m/>
    <m/>
    <m/>
    <m/>
    <m/>
    <m/>
    <m/>
    <m/>
    <m/>
    <m/>
    <m/>
    <m/>
    <m/>
    <m/>
    <m/>
    <m/>
    <m/>
  </r>
  <r>
    <s v="2.4.3.1.3"/>
    <s v="CMS M.60.10.000"/>
    <x v="2"/>
    <n v="13"/>
    <s v="CURVA"/>
    <n v="10"/>
    <x v="1"/>
    <s v="NÃO"/>
    <s v="NÃO"/>
    <x v="88"/>
    <x v="2"/>
    <s v="DISPOSIÇÃO DE REJEITOS LINHA DE BYPASS DAS PENEIRAS LINHA DO SEPARADOR MAGNÉTICO SM-143A-9614 P/ TANQUE TQ-142A-9704 ( BYPASS DAS PENEIRAS PN-143A-9711/9734 )"/>
    <m/>
    <m/>
    <m/>
    <s v="1450AA-T-70520_FL19"/>
    <n v="1"/>
    <s v="PÇ"/>
    <n v="1.044"/>
    <n v="1.044"/>
    <n v="2238.89"/>
    <n v="2337.4011599999999"/>
    <n v="0"/>
    <n v="0.9"/>
    <n v="0.1"/>
    <m/>
    <m/>
    <x v="0"/>
    <m/>
    <m/>
    <m/>
    <m/>
    <m/>
    <m/>
    <m/>
    <m/>
    <m/>
    <m/>
    <m/>
    <m/>
    <m/>
    <m/>
    <m/>
    <m/>
    <m/>
  </r>
  <r>
    <s v="2.4.3.1.3"/>
    <s v="CMS M.60.10.000"/>
    <x v="2"/>
    <n v="14"/>
    <s v="CURVA"/>
    <n v="10"/>
    <x v="1"/>
    <s v="NÃO"/>
    <s v="NÃO"/>
    <x v="88"/>
    <x v="2"/>
    <s v="DISPOSIÇÃO DE REJEITOS LINHA DE BYPASS DAS PENEIRAS LINHA DO SEPARADOR MAGNÉTICO SM-143A-9614 P/ TANQUE TQ-142A-9704 ( BYPASS DAS PENEIRAS PN-143A-9711/9734 )"/>
    <m/>
    <m/>
    <m/>
    <s v="1450AA-T-70520_FL18"/>
    <n v="1"/>
    <s v="PÇ"/>
    <n v="0.96299999999999997"/>
    <n v="0.96299999999999997"/>
    <n v="2238.89"/>
    <n v="2156.05107"/>
    <n v="0"/>
    <n v="0.9"/>
    <n v="0.1"/>
    <m/>
    <m/>
    <x v="0"/>
    <m/>
    <m/>
    <m/>
    <m/>
    <m/>
    <m/>
    <m/>
    <m/>
    <m/>
    <m/>
    <m/>
    <m/>
    <m/>
    <m/>
    <m/>
    <m/>
    <m/>
  </r>
  <r>
    <s v="2.4.3.1.3"/>
    <s v="CMS M.60.10.000"/>
    <x v="2"/>
    <n v="15"/>
    <s v="CURVA"/>
    <n v="10"/>
    <x v="1"/>
    <s v="NÃO"/>
    <s v="NÃO"/>
    <x v="88"/>
    <x v="2"/>
    <s v="DISPOSIÇÃO DE REJEITOS LINHA DE BYPASS DAS PENEIRAS LINHA DO SEPARADOR MAGNÉTICO SM-143A-9614 P/ TANQUE TQ-142A-9704 ( BYPASS DAS PENEIRAS PN-143A-9711/9734 )"/>
    <m/>
    <m/>
    <m/>
    <s v="1450AA-T-70520_FL17"/>
    <n v="1"/>
    <s v="PÇ"/>
    <n v="0.22700000000000001"/>
    <n v="0.22700000000000001"/>
    <n v="2238.89"/>
    <n v="508.22802999999999"/>
    <n v="0"/>
    <n v="0.9"/>
    <n v="0.1"/>
    <m/>
    <m/>
    <x v="0"/>
    <m/>
    <m/>
    <m/>
    <m/>
    <m/>
    <m/>
    <m/>
    <m/>
    <m/>
    <m/>
    <m/>
    <m/>
    <m/>
    <m/>
    <m/>
    <m/>
    <m/>
  </r>
  <r>
    <s v="2.4.3.1.3"/>
    <s v="CMS M.60.10.000"/>
    <x v="2"/>
    <n v="16"/>
    <s v="SPOOL"/>
    <n v="10"/>
    <x v="1"/>
    <s v="NÃO"/>
    <s v="NÃO"/>
    <x v="88"/>
    <x v="2"/>
    <s v="DISPOSIÇÃO DE REJEITOS LINHA DE BYPASS DAS PENEIRAS LINHA DO SEPARADOR MAGNÉTICO SM-143A-9614 P/ TANQUE TQ-142A-9704 ( BYPASS DAS PENEIRAS PN-143A-9711/9734 )"/>
    <m/>
    <m/>
    <m/>
    <s v="1450AA-T-70520_FL23"/>
    <n v="1"/>
    <s v="PÇ"/>
    <n v="1.22"/>
    <n v="1.22"/>
    <n v="2238.89"/>
    <n v="2731.4458"/>
    <n v="0"/>
    <n v="0.9"/>
    <n v="0.1"/>
    <m/>
    <m/>
    <x v="0"/>
    <m/>
    <m/>
    <m/>
    <m/>
    <m/>
    <m/>
    <m/>
    <m/>
    <m/>
    <m/>
    <m/>
    <m/>
    <m/>
    <m/>
    <m/>
    <m/>
    <m/>
  </r>
  <r>
    <s v="2.4.3.1.3"/>
    <s v="CMS M.60.10.000"/>
    <x v="2"/>
    <n v="17"/>
    <s v="SPOOL"/>
    <n v="10"/>
    <x v="1"/>
    <s v="NÃO"/>
    <s v="NÃO"/>
    <x v="88"/>
    <x v="2"/>
    <s v="DISPOSIÇÃO DE REJEITOS LINHA DE BYPASS DAS PENEIRAS LINHA DO SEPARADOR MAGNÉTICO SM-143A-9614 P/ TANQUE TQ-142A-9704 ( BYPASS DAS PENEIRAS PN-143A-9711/9734 )"/>
    <m/>
    <m/>
    <m/>
    <s v="1450AA-T-70520_FL22"/>
    <n v="1"/>
    <s v="PÇ"/>
    <n v="1.2230000000000001"/>
    <n v="1.2230000000000001"/>
    <n v="2238.89"/>
    <n v="2738.1624700000002"/>
    <n v="0"/>
    <n v="0.9"/>
    <n v="0.1"/>
    <m/>
    <m/>
    <x v="0"/>
    <m/>
    <m/>
    <m/>
    <m/>
    <m/>
    <m/>
    <m/>
    <m/>
    <m/>
    <m/>
    <m/>
    <m/>
    <m/>
    <m/>
    <m/>
    <m/>
    <m/>
  </r>
  <r>
    <s v="2.4.3.1.3"/>
    <s v="CMS M.60.10.000"/>
    <x v="2"/>
    <n v="18"/>
    <s v="SPOOL"/>
    <n v="10"/>
    <x v="1"/>
    <s v="NÃO"/>
    <s v="NÃO"/>
    <x v="88"/>
    <x v="2"/>
    <s v="DISPOSIÇÃO DE REJEITOS LINHA DE BYPASS DAS PENEIRAS LINHA DO SEPARADOR MAGNÉTICO SM-143A-9614 P/ TANQUE TQ-142A-9704 ( BYPASS DAS PENEIRAS PN-143A-9711/9734 )"/>
    <m/>
    <m/>
    <m/>
    <s v="1450AA-T-70520_FL21"/>
    <n v="1"/>
    <s v="PÇ"/>
    <n v="1.22"/>
    <n v="1.22"/>
    <n v="2238.89"/>
    <n v="2731.4458"/>
    <n v="0"/>
    <n v="0.9"/>
    <n v="0.1"/>
    <m/>
    <m/>
    <x v="0"/>
    <m/>
    <m/>
    <m/>
    <m/>
    <m/>
    <m/>
    <m/>
    <m/>
    <m/>
    <m/>
    <m/>
    <m/>
    <m/>
    <m/>
    <m/>
    <m/>
    <m/>
  </r>
  <r>
    <s v="2.4.3.1.3"/>
    <s v="CMS M.60.10.000"/>
    <x v="2"/>
    <n v="1"/>
    <s v="SPOOL"/>
    <n v="10"/>
    <x v="1"/>
    <s v="NÃO"/>
    <s v="NÃO"/>
    <x v="89"/>
    <x v="2"/>
    <s v="DISPOSIÇÃO DE REJEITOS LINHA DE BYPASS DAS PENEIRAS LINHA DO SEPARADOR MAGNÉTICO SM-143A-9615 P/ TANQUE TQ-142A-9704 ( BYPASS DAS PENEIRAS PN-143A-9712/9735 )"/>
    <m/>
    <m/>
    <m/>
    <s v="1450AA-T-70522_FL14"/>
    <n v="1"/>
    <s v="PÇ"/>
    <n v="5.5"/>
    <n v="5.5"/>
    <n v="2238.89"/>
    <n v="12313.894999999999"/>
    <n v="0"/>
    <n v="0.9"/>
    <n v="0.1"/>
    <m/>
    <m/>
    <x v="0"/>
    <m/>
    <m/>
    <m/>
    <m/>
    <m/>
    <m/>
    <m/>
    <m/>
    <m/>
    <m/>
    <m/>
    <m/>
    <m/>
    <m/>
    <m/>
    <m/>
    <m/>
  </r>
  <r>
    <s v="2.4.3.1.3"/>
    <s v="CMS M.60.10.000"/>
    <x v="2"/>
    <n v="2"/>
    <s v="SPOOL"/>
    <n v="10"/>
    <x v="1"/>
    <s v="NÃO"/>
    <s v="NÃO"/>
    <x v="89"/>
    <x v="2"/>
    <s v="DISPOSIÇÃO DE REJEITOS LINHA DE BYPASS DAS PENEIRAS LINHA DO SEPARADOR MAGNÉTICO SM-143A-9615 P/ TANQUE TQ-142A-9704 ( BYPASS DAS PENEIRAS PN-143A-9712/9735 )"/>
    <m/>
    <m/>
    <m/>
    <s v="1450AA-T-70522_FL13"/>
    <n v="2"/>
    <s v="PÇ"/>
    <n v="5"/>
    <n v="10"/>
    <n v="2238.89"/>
    <n v="22388.899999999998"/>
    <n v="0"/>
    <n v="0.9"/>
    <n v="0.1"/>
    <m/>
    <m/>
    <x v="0"/>
    <m/>
    <m/>
    <m/>
    <m/>
    <m/>
    <m/>
    <m/>
    <m/>
    <m/>
    <m/>
    <m/>
    <m/>
    <m/>
    <m/>
    <m/>
    <m/>
    <m/>
  </r>
  <r>
    <s v="2.4.3.1.3"/>
    <s v="CMS M.60.10.000"/>
    <x v="2"/>
    <n v="3"/>
    <s v="SPOOL"/>
    <n v="10"/>
    <x v="1"/>
    <s v="NÃO"/>
    <s v="NÃO"/>
    <x v="89"/>
    <x v="2"/>
    <s v="DISPOSIÇÃO DE REJEITOS LINHA DE BYPASS DAS PENEIRAS LINHA DO SEPARADOR MAGNÉTICO SM-143A-9615 P/ TANQUE TQ-142A-9704 ( BYPASS DAS PENEIRAS PN-143A-9712/9735 )"/>
    <m/>
    <m/>
    <m/>
    <s v="1450AA-T-70522_FL12"/>
    <n v="1"/>
    <s v="PÇ"/>
    <n v="4.71"/>
    <n v="4.71"/>
    <n v="2238.89"/>
    <n v="10545.171899999999"/>
    <n v="0"/>
    <n v="0.9"/>
    <n v="0.1"/>
    <m/>
    <m/>
    <x v="0"/>
    <m/>
    <m/>
    <m/>
    <m/>
    <m/>
    <m/>
    <m/>
    <m/>
    <m/>
    <m/>
    <m/>
    <m/>
    <m/>
    <m/>
    <m/>
    <m/>
    <m/>
  </r>
  <r>
    <s v="2.4.3.1.3"/>
    <s v="CMS M.60.10.000"/>
    <x v="2"/>
    <n v="4"/>
    <s v="SPOOL"/>
    <n v="10"/>
    <x v="1"/>
    <s v="NÃO"/>
    <s v="NÃO"/>
    <x v="89"/>
    <x v="2"/>
    <s v="DISPOSIÇÃO DE REJEITOS LINHA DE BYPASS DAS PENEIRAS LINHA DO SEPARADOR MAGNÉTICO SM-143A-9615 P/ TANQUE TQ-142A-9704 ( BYPASS DAS PENEIRAS PN-143A-9712/9735 )"/>
    <m/>
    <m/>
    <m/>
    <s v="1450AA-T-70522_FL11"/>
    <n v="1"/>
    <s v="PÇ"/>
    <n v="4"/>
    <n v="4"/>
    <n v="2238.89"/>
    <n v="8955.56"/>
    <n v="0"/>
    <n v="0.9"/>
    <n v="0.1"/>
    <m/>
    <m/>
    <x v="0"/>
    <m/>
    <m/>
    <m/>
    <m/>
    <m/>
    <m/>
    <m/>
    <m/>
    <m/>
    <m/>
    <m/>
    <m/>
    <m/>
    <m/>
    <m/>
    <m/>
    <m/>
  </r>
  <r>
    <s v="2.4.3.1.3"/>
    <s v="CMS M.60.10.000"/>
    <x v="2"/>
    <n v="5"/>
    <s v="SPOOL"/>
    <n v="10"/>
    <x v="1"/>
    <s v="NÃO"/>
    <s v="NÃO"/>
    <x v="89"/>
    <x v="2"/>
    <s v="DISPOSIÇÃO DE REJEITOS LINHA DE BYPASS DAS PENEIRAS LINHA DO SEPARADOR MAGNÉTICO SM-143A-9615 P/ TANQUE TQ-142A-9704 ( BYPASS DAS PENEIRAS PN-143A-9712/9735 )"/>
    <m/>
    <m/>
    <m/>
    <s v="1450AA-T-70522_FL10"/>
    <n v="1"/>
    <s v="PÇ"/>
    <n v="3.4"/>
    <n v="3.4"/>
    <n v="2238.89"/>
    <n v="7612.2259999999997"/>
    <n v="0"/>
    <n v="0.9"/>
    <n v="0.1"/>
    <m/>
    <m/>
    <x v="0"/>
    <m/>
    <m/>
    <m/>
    <m/>
    <m/>
    <m/>
    <m/>
    <m/>
    <m/>
    <m/>
    <m/>
    <m/>
    <m/>
    <m/>
    <m/>
    <m/>
    <m/>
  </r>
  <r>
    <s v="2.4.3.1.3"/>
    <s v="CMS M.60.10.000"/>
    <x v="2"/>
    <n v="6"/>
    <s v="SPOOL"/>
    <n v="10"/>
    <x v="1"/>
    <s v="NÃO"/>
    <s v="NÃO"/>
    <x v="89"/>
    <x v="2"/>
    <s v="DISPOSIÇÃO DE REJEITOS LINHA DE BYPASS DAS PENEIRAS LINHA DO SEPARADOR MAGNÉTICO SM-143A-9615 P/ TANQUE TQ-142A-9704 ( BYPASS DAS PENEIRAS PN-143A-9712/9735 )"/>
    <m/>
    <m/>
    <m/>
    <s v="1450AA-T-70522_FL09"/>
    <n v="1"/>
    <s v="PÇ"/>
    <n v="2.028"/>
    <n v="2.028"/>
    <n v="2238.89"/>
    <n v="4540.4689199999993"/>
    <n v="0"/>
    <n v="0.9"/>
    <n v="0.1"/>
    <m/>
    <m/>
    <x v="0"/>
    <m/>
    <m/>
    <m/>
    <m/>
    <m/>
    <m/>
    <m/>
    <m/>
    <m/>
    <m/>
    <m/>
    <m/>
    <m/>
    <m/>
    <m/>
    <m/>
    <m/>
  </r>
  <r>
    <s v="2.4.3.1.3"/>
    <s v="CMS M.60.10.000"/>
    <x v="2"/>
    <n v="7"/>
    <s v="SPOOL"/>
    <n v="10"/>
    <x v="1"/>
    <s v="NÃO"/>
    <s v="NÃO"/>
    <x v="89"/>
    <x v="2"/>
    <s v="DISPOSIÇÃO DE REJEITOS LINHA DE BYPASS DAS PENEIRAS LINHA DO SEPARADOR MAGNÉTICO SM-143A-9615 P/ TANQUE TQ-142A-9704 ( BYPASS DAS PENEIRAS PN-143A-9712/9735 )"/>
    <m/>
    <m/>
    <m/>
    <s v="1450AA-T-70522_FL08"/>
    <n v="1"/>
    <s v="PÇ"/>
    <n v="1.758"/>
    <n v="1.758"/>
    <n v="2238.89"/>
    <n v="3935.9686199999996"/>
    <n v="0"/>
    <n v="0.9"/>
    <n v="0.1"/>
    <m/>
    <m/>
    <x v="0"/>
    <m/>
    <m/>
    <m/>
    <m/>
    <m/>
    <m/>
    <m/>
    <m/>
    <m/>
    <m/>
    <m/>
    <m/>
    <m/>
    <m/>
    <m/>
    <m/>
    <m/>
  </r>
  <r>
    <s v="2.4.3.1.3"/>
    <s v="CMS M.60.10.000"/>
    <x v="2"/>
    <n v="8"/>
    <s v="SPOOL"/>
    <n v="10"/>
    <x v="1"/>
    <s v="NÃO"/>
    <s v="NÃO"/>
    <x v="89"/>
    <x v="2"/>
    <s v="DISPOSIÇÃO DE REJEITOS LINHA DE BYPASS DAS PENEIRAS LINHA DO SEPARADOR MAGNÉTICO SM-143A-9615 P/ TANQUE TQ-142A-9704 ( BYPASS DAS PENEIRAS PN-143A-9712/9735 )"/>
    <m/>
    <m/>
    <m/>
    <s v="1450AA-T-70522_FL07"/>
    <n v="2"/>
    <s v="PÇ"/>
    <n v="1.5"/>
    <n v="3"/>
    <n v="2238.89"/>
    <n v="6716.67"/>
    <n v="0"/>
    <n v="0.9"/>
    <n v="0.1"/>
    <m/>
    <m/>
    <x v="0"/>
    <m/>
    <m/>
    <m/>
    <m/>
    <m/>
    <m/>
    <m/>
    <m/>
    <m/>
    <m/>
    <m/>
    <m/>
    <m/>
    <m/>
    <m/>
    <m/>
    <m/>
  </r>
  <r>
    <s v="2.4.3.1.3"/>
    <s v="CMS M.60.10.000"/>
    <x v="2"/>
    <n v="9"/>
    <s v="SPOOL"/>
    <n v="10"/>
    <x v="1"/>
    <s v="NÃO"/>
    <s v="NÃO"/>
    <x v="89"/>
    <x v="2"/>
    <s v="DISPOSIÇÃO DE REJEITOS LINHA DE BYPASS DAS PENEIRAS LINHA DO SEPARADOR MAGNÉTICO SM-143A-9615 P/ TANQUE TQ-142A-9704 ( BYPASS DAS PENEIRAS PN-143A-9712/9735 )"/>
    <m/>
    <m/>
    <m/>
    <s v="1450AA-T-70522_FL06"/>
    <n v="1"/>
    <s v="PÇ"/>
    <n v="1.1839999999999999"/>
    <n v="1.1839999999999999"/>
    <n v="2238.89"/>
    <n v="2650.8457599999997"/>
    <n v="0"/>
    <n v="0.9"/>
    <n v="0.1"/>
    <m/>
    <m/>
    <x v="0"/>
    <m/>
    <m/>
    <m/>
    <m/>
    <m/>
    <m/>
    <m/>
    <m/>
    <m/>
    <m/>
    <m/>
    <m/>
    <m/>
    <m/>
    <m/>
    <m/>
    <m/>
  </r>
  <r>
    <s v="2.4.3.1.3"/>
    <s v="CMS M.60.10.000"/>
    <x v="2"/>
    <n v="10"/>
    <s v="SPOOL"/>
    <n v="10"/>
    <x v="2"/>
    <s v="NÃO"/>
    <s v="NÃO"/>
    <x v="89"/>
    <x v="2"/>
    <s v="DISPOSIÇÃO DE REJEITOS LINHA DE BYPASS DAS PENEIRAS LINHA DO SEPARADOR MAGNÉTICO SM-143A-9615 P/ TANQUE TQ-142A-9704 ( BYPASS DAS PENEIRAS PN-143A-9712/9735 )"/>
    <m/>
    <m/>
    <m/>
    <s v="1450AA-T-70522_FL19"/>
    <n v="1"/>
    <s v="PÇ"/>
    <n v="0.69"/>
    <n v="0.69"/>
    <n v="2238.89"/>
    <n v="1544.8340999999998"/>
    <n v="0"/>
    <n v="0.9"/>
    <n v="0.1"/>
    <m/>
    <m/>
    <x v="0"/>
    <m/>
    <m/>
    <m/>
    <m/>
    <m/>
    <m/>
    <m/>
    <m/>
    <m/>
    <m/>
    <m/>
    <m/>
    <m/>
    <m/>
    <m/>
    <m/>
    <m/>
  </r>
  <r>
    <s v="2.4.3.1.3"/>
    <s v="CMS M.60.10.000"/>
    <x v="2"/>
    <n v="11"/>
    <s v="SPOOL"/>
    <n v="10"/>
    <x v="2"/>
    <s v="NÃO"/>
    <s v="NÃO"/>
    <x v="89"/>
    <x v="2"/>
    <s v="DISPOSIÇÃO DE REJEITOS LINHA DE BYPASS DAS PENEIRAS LINHA DO SEPARADOR MAGNÉTICO SM-143A-9615 P/ TANQUE TQ-142A-9704 ( BYPASS DAS PENEIRAS PN-143A-9712/9735 )"/>
    <m/>
    <m/>
    <m/>
    <s v="1450AA-T-70522_FL18"/>
    <n v="1"/>
    <s v="PÇ"/>
    <n v="0.51"/>
    <n v="0.51"/>
    <n v="2238.89"/>
    <n v="1141.8338999999999"/>
    <n v="0"/>
    <n v="0.9"/>
    <n v="0.1"/>
    <m/>
    <m/>
    <x v="0"/>
    <m/>
    <m/>
    <m/>
    <m/>
    <m/>
    <m/>
    <m/>
    <m/>
    <m/>
    <m/>
    <m/>
    <m/>
    <m/>
    <m/>
    <m/>
    <m/>
    <m/>
  </r>
  <r>
    <s v="2.4.3.1.3"/>
    <s v="CMS M.60.10.000"/>
    <x v="2"/>
    <n v="12"/>
    <s v="SPOOL"/>
    <n v="10"/>
    <x v="2"/>
    <s v="NÃO"/>
    <s v="NÃO"/>
    <x v="89"/>
    <x v="2"/>
    <s v="DISPOSIÇÃO DE REJEITOS LINHA DE BYPASS DAS PENEIRAS LINHA DO SEPARADOR MAGNÉTICO SM-143A-9615 P/ TANQUE TQ-142A-9704 ( BYPASS DAS PENEIRAS PN-143A-9712/9735 )"/>
    <m/>
    <m/>
    <m/>
    <s v="1450AA-T-70522_FL17"/>
    <n v="1"/>
    <s v="PÇ"/>
    <n v="0.48"/>
    <n v="0.48"/>
    <n v="2238.89"/>
    <n v="1074.6671999999999"/>
    <n v="0"/>
    <n v="0.9"/>
    <n v="0.1"/>
    <m/>
    <m/>
    <x v="0"/>
    <m/>
    <m/>
    <m/>
    <m/>
    <m/>
    <m/>
    <m/>
    <m/>
    <m/>
    <m/>
    <m/>
    <m/>
    <m/>
    <m/>
    <m/>
    <m/>
    <m/>
  </r>
  <r>
    <s v="2.4.3.1.3"/>
    <s v="CMS M.60.10.000"/>
    <x v="2"/>
    <n v="13"/>
    <s v="SPOOL"/>
    <n v="10"/>
    <x v="2"/>
    <s v="NÃO"/>
    <s v="NÃO"/>
    <x v="89"/>
    <x v="2"/>
    <s v="DISPOSIÇÃO DE REJEITOS LINHA DE BYPASS DAS PENEIRAS LINHA DO SEPARADOR MAGNÉTICO SM-143A-9615 P/ TANQUE TQ-142A-9704 ( BYPASS DAS PENEIRAS PN-143A-9712/9735 )"/>
    <m/>
    <m/>
    <m/>
    <s v="1450AA-T-70522_FL16"/>
    <n v="1"/>
    <s v="PÇ"/>
    <n v="0.44"/>
    <n v="0.44"/>
    <n v="2238.89"/>
    <n v="985.11159999999995"/>
    <n v="0"/>
    <n v="0.9"/>
    <n v="0.1"/>
    <m/>
    <m/>
    <x v="0"/>
    <m/>
    <m/>
    <m/>
    <m/>
    <m/>
    <m/>
    <m/>
    <m/>
    <m/>
    <m/>
    <m/>
    <m/>
    <m/>
    <m/>
    <m/>
    <m/>
    <m/>
  </r>
  <r>
    <s v="2.4.3.1.3"/>
    <s v="CMS M.60.10.000"/>
    <x v="2"/>
    <n v="14"/>
    <s v="SPOOL"/>
    <n v="10"/>
    <x v="2"/>
    <s v="NÃO"/>
    <s v="NÃO"/>
    <x v="89"/>
    <x v="2"/>
    <s v="DISPOSIÇÃO DE REJEITOS LINHA DE BYPASS DAS PENEIRAS LINHA DO SEPARADOR MAGNÉTICO SM-143A-9615 P/ TANQUE TQ-142A-9704 ( BYPASS DAS PENEIRAS PN-143A-9712/9735 )"/>
    <m/>
    <m/>
    <m/>
    <s v="1450AA-T-70522_FL15"/>
    <n v="1"/>
    <s v="PÇ"/>
    <n v="0.39"/>
    <n v="0.39"/>
    <n v="2238.89"/>
    <n v="873.1671"/>
    <n v="0"/>
    <n v="0.9"/>
    <n v="0.1"/>
    <m/>
    <m/>
    <x v="0"/>
    <m/>
    <m/>
    <m/>
    <m/>
    <m/>
    <m/>
    <m/>
    <m/>
    <m/>
    <m/>
    <m/>
    <m/>
    <m/>
    <m/>
    <m/>
    <m/>
    <m/>
  </r>
  <r>
    <s v="2.4.3.1.3"/>
    <s v="CMS M.60.10.000"/>
    <x v="2"/>
    <n v="15"/>
    <s v="CURVA"/>
    <n v="10"/>
    <x v="1"/>
    <s v="NÃO"/>
    <s v="NÃO"/>
    <x v="89"/>
    <x v="2"/>
    <s v="DISPOSIÇÃO DE REJEITOS LINHA DE BYPASS DAS PENEIRAS LINHA DO SEPARADOR MAGNÉTICO SM-143A-9615 P/ TANQUE TQ-142A-9704 ( BYPASS DAS PENEIRAS PN-143A-9712/9735 )"/>
    <m/>
    <m/>
    <m/>
    <s v="1450AA-T-70522_FL22"/>
    <n v="1"/>
    <s v="PÇ"/>
    <n v="0.58899999999999997"/>
    <n v="0.58899999999999997"/>
    <n v="2238.89"/>
    <n v="1318.7062099999998"/>
    <n v="0"/>
    <n v="0.9"/>
    <n v="0.1"/>
    <m/>
    <m/>
    <x v="0"/>
    <m/>
    <m/>
    <m/>
    <m/>
    <m/>
    <m/>
    <m/>
    <m/>
    <m/>
    <m/>
    <m/>
    <m/>
    <m/>
    <m/>
    <m/>
    <m/>
    <m/>
  </r>
  <r>
    <s v="2.4.3.1.3"/>
    <s v="CMS M.60.10.000"/>
    <x v="2"/>
    <n v="16"/>
    <s v="CURVA"/>
    <n v="10"/>
    <x v="1"/>
    <s v="NÃO"/>
    <s v="NÃO"/>
    <x v="89"/>
    <x v="2"/>
    <s v="DISPOSIÇÃO DE REJEITOS LINHA DE BYPASS DAS PENEIRAS LINHA DO SEPARADOR MAGNÉTICO SM-143A-9615 P/ TANQUE TQ-142A-9704 ( BYPASS DAS PENEIRAS PN-143A-9712/9735 )"/>
    <m/>
    <m/>
    <m/>
    <s v="1450AA-T-70522_FL21"/>
    <n v="3"/>
    <s v="PÇ"/>
    <n v="0.22700000000000001"/>
    <n v="0.68100000000000005"/>
    <n v="2238.89"/>
    <n v="1524.68409"/>
    <n v="0"/>
    <n v="0.9"/>
    <n v="0.1"/>
    <m/>
    <m/>
    <x v="0"/>
    <m/>
    <m/>
    <m/>
    <m/>
    <m/>
    <m/>
    <m/>
    <m/>
    <m/>
    <m/>
    <m/>
    <m/>
    <m/>
    <m/>
    <m/>
    <m/>
    <m/>
  </r>
  <r>
    <s v="2.4.3.1.3"/>
    <s v="CMS M.60.10.000"/>
    <x v="2"/>
    <n v="17"/>
    <s v="CURVA"/>
    <n v="10"/>
    <x v="1"/>
    <s v="NÃO"/>
    <s v="NÃO"/>
    <x v="89"/>
    <x v="2"/>
    <s v="DISPOSIÇÃO DE REJEITOS LINHA DE BYPASS DAS PENEIRAS LINHA DO SEPARADOR MAGNÉTICO SM-143A-9615 P/ TANQUE TQ-142A-9704 ( BYPASS DAS PENEIRAS PN-143A-9712/9735 )"/>
    <m/>
    <m/>
    <m/>
    <s v="1450AA-T-70522_FL20"/>
    <n v="1"/>
    <s v="PÇ"/>
    <n v="0.33400000000000002"/>
    <n v="0.33400000000000002"/>
    <n v="2238.89"/>
    <n v="747.78926000000001"/>
    <n v="0"/>
    <n v="0.9"/>
    <n v="0.1"/>
    <m/>
    <m/>
    <x v="0"/>
    <m/>
    <m/>
    <m/>
    <m/>
    <m/>
    <m/>
    <m/>
    <m/>
    <m/>
    <m/>
    <m/>
    <m/>
    <m/>
    <m/>
    <m/>
    <m/>
    <m/>
  </r>
  <r>
    <s v="2.4.3.1.3"/>
    <s v="CMS M.60.10.000"/>
    <x v="2"/>
    <n v="18"/>
    <s v="SPOOL"/>
    <n v="10"/>
    <x v="1"/>
    <s v="NÃO"/>
    <s v="NÃO"/>
    <x v="89"/>
    <x v="2"/>
    <s v="DISPOSIÇÃO DE REJEITOS LINHA DE BYPASS DAS PENEIRAS LINHA DO SEPARADOR MAGNÉTICO SM-143A-9615 P/ TANQUE TQ-142A-9704 ( BYPASS DAS PENEIRAS PN-143A-9712/9735 )"/>
    <m/>
    <m/>
    <m/>
    <s v="1450AA-T-70522_FL25"/>
    <n v="1"/>
    <s v="PÇ"/>
    <n v="1.226"/>
    <n v="1.226"/>
    <n v="2238.89"/>
    <n v="2744.87914"/>
    <n v="0"/>
    <n v="0.9"/>
    <n v="0.1"/>
    <m/>
    <m/>
    <x v="0"/>
    <m/>
    <m/>
    <m/>
    <m/>
    <m/>
    <m/>
    <m/>
    <m/>
    <m/>
    <m/>
    <m/>
    <m/>
    <m/>
    <m/>
    <m/>
    <m/>
    <m/>
  </r>
  <r>
    <s v="2.4.3.1.3"/>
    <s v="CMS M.60.10.000"/>
    <x v="2"/>
    <n v="19"/>
    <s v="SPOOL"/>
    <n v="10"/>
    <x v="1"/>
    <s v="NÃO"/>
    <s v="NÃO"/>
    <x v="89"/>
    <x v="2"/>
    <s v="DISPOSIÇÃO DE REJEITOS LINHA DE BYPASS DAS PENEIRAS LINHA DO SEPARADOR MAGNÉTICO SM-143A-9615 P/ TANQUE TQ-142A-9704 ( BYPASS DAS PENEIRAS PN-143A-9712/9735 )"/>
    <m/>
    <m/>
    <m/>
    <s v="1450AA-T-70522_FL24"/>
    <n v="1"/>
    <s v="PÇ"/>
    <n v="1.29"/>
    <n v="1.29"/>
    <n v="2238.89"/>
    <n v="2888.1680999999999"/>
    <n v="0"/>
    <n v="0.9"/>
    <n v="0.1"/>
    <m/>
    <m/>
    <x v="0"/>
    <m/>
    <m/>
    <m/>
    <m/>
    <m/>
    <m/>
    <m/>
    <m/>
    <m/>
    <m/>
    <m/>
    <m/>
    <m/>
    <m/>
    <m/>
    <m/>
    <m/>
  </r>
  <r>
    <s v="2.4.3.1.3"/>
    <s v="CMS M.60.10.000"/>
    <x v="2"/>
    <n v="20"/>
    <s v="SPOOL"/>
    <n v="10"/>
    <x v="1"/>
    <s v="NÃO"/>
    <s v="NÃO"/>
    <x v="89"/>
    <x v="2"/>
    <s v="DISPOSIÇÃO DE REJEITOS LINHA DE BYPASS DAS PENEIRAS LINHA DO SEPARADOR MAGNÉTICO SM-143A-9615 P/ TANQUE TQ-142A-9704 ( BYPASS DAS PENEIRAS PN-143A-9712/9735 )"/>
    <m/>
    <m/>
    <m/>
    <s v="1450AA-T-70522_FL23"/>
    <n v="2"/>
    <s v="PÇ"/>
    <n v="1.2170000000000001"/>
    <n v="2.4340000000000002"/>
    <n v="2238.89"/>
    <n v="5449.4582600000003"/>
    <n v="0"/>
    <n v="0.9"/>
    <n v="0.1"/>
    <m/>
    <m/>
    <x v="0"/>
    <m/>
    <m/>
    <m/>
    <m/>
    <m/>
    <m/>
    <m/>
    <m/>
    <m/>
    <m/>
    <m/>
    <m/>
    <m/>
    <m/>
    <m/>
    <m/>
    <m/>
  </r>
  <r>
    <s v="2.4.3.1.3"/>
    <s v="CMS M.60.10.000"/>
    <x v="2"/>
    <n v="1"/>
    <s v="SPOOL"/>
    <n v="10"/>
    <x v="1"/>
    <s v="NÃO"/>
    <s v="NÃO"/>
    <x v="90"/>
    <x v="2"/>
    <s v="DISPOSIÇÃO DE REJEITOS LINHA DE BYPASS DAS PENEIRAS LINHA DO SEPARADOR MAGNÉTICO SM-143A-9616/17/18 P/ TANQUE TQ-142A-9722 ( BYPASS DAS PENEIRAS PN-143A-9716/9717 )"/>
    <m/>
    <m/>
    <m/>
    <s v="1450AA-T-70524_FL13"/>
    <n v="1"/>
    <s v="PÇ"/>
    <n v="2"/>
    <n v="2"/>
    <n v="2238.89"/>
    <n v="4477.78"/>
    <n v="0"/>
    <n v="0.9"/>
    <n v="0.1"/>
    <m/>
    <m/>
    <x v="0"/>
    <m/>
    <m/>
    <m/>
    <m/>
    <m/>
    <m/>
    <m/>
    <m/>
    <m/>
    <m/>
    <m/>
    <m/>
    <m/>
    <m/>
    <m/>
    <m/>
    <m/>
  </r>
  <r>
    <s v="2.4.3.1.3"/>
    <s v="CMS M.60.10.000"/>
    <x v="2"/>
    <n v="2"/>
    <s v="SPOOL"/>
    <n v="10"/>
    <x v="1"/>
    <s v="NÃO"/>
    <s v="NÃO"/>
    <x v="90"/>
    <x v="2"/>
    <s v="DISPOSIÇÃO DE REJEITOS LINHA DE BYPASS DAS PENEIRAS LINHA DO SEPARADOR MAGNÉTICO SM-143A-9616/17/18 P/ TANQUE TQ-142A-9722 ( BYPASS DAS PENEIRAS PN-143A-9716/9717 )"/>
    <m/>
    <m/>
    <m/>
    <s v="1450AA-T-70524_FL14"/>
    <n v="1"/>
    <s v="PÇ"/>
    <n v="0.7"/>
    <n v="0.7"/>
    <n v="2238.89"/>
    <n v="1567.2229999999997"/>
    <n v="0"/>
    <n v="0.9"/>
    <n v="0.1"/>
    <m/>
    <m/>
    <x v="0"/>
    <m/>
    <m/>
    <m/>
    <m/>
    <m/>
    <m/>
    <m/>
    <m/>
    <m/>
    <m/>
    <m/>
    <m/>
    <m/>
    <m/>
    <m/>
    <m/>
    <m/>
  </r>
  <r>
    <s v="2.4.3.1.3"/>
    <s v="CMS M.60.10.000"/>
    <x v="2"/>
    <n v="3"/>
    <s v="SPOOL"/>
    <n v="10"/>
    <x v="1"/>
    <s v="NÃO"/>
    <s v="NÃO"/>
    <x v="90"/>
    <x v="2"/>
    <s v="DISPOSIÇÃO DE REJEITOS LINHA DE BYPASS DAS PENEIRAS LINHA DO SEPARADOR MAGNÉTICO SM-143A-9616/17/18 P/ TANQUE TQ-142A-9722 ( BYPASS DAS PENEIRAS PN-143A-9716/9717 )"/>
    <m/>
    <m/>
    <m/>
    <s v="1450AA-T-70524_FL15"/>
    <n v="1"/>
    <s v="PÇ"/>
    <n v="1"/>
    <n v="1"/>
    <n v="2238.89"/>
    <n v="2238.89"/>
    <n v="0"/>
    <n v="0.9"/>
    <n v="0.1"/>
    <m/>
    <m/>
    <x v="0"/>
    <m/>
    <m/>
    <m/>
    <m/>
    <m/>
    <m/>
    <m/>
    <m/>
    <m/>
    <m/>
    <m/>
    <m/>
    <m/>
    <m/>
    <m/>
    <m/>
    <m/>
  </r>
  <r>
    <s v="2.4.3.1.3"/>
    <s v="CMS M.60.10.000"/>
    <x v="2"/>
    <n v="4"/>
    <s v="SPOOL"/>
    <n v="10"/>
    <x v="1"/>
    <s v="NÃO"/>
    <s v="NÃO"/>
    <x v="90"/>
    <x v="2"/>
    <s v="DISPOSIÇÃO DE REJEITOS LINHA DE BYPASS DAS PENEIRAS LINHA DO SEPARADOR MAGNÉTICO SM-143A-9616/17/18 P/ TANQUE TQ-142A-9722 ( BYPASS DAS PENEIRAS PN-143A-9716/9717 )"/>
    <m/>
    <m/>
    <m/>
    <s v="1450AA-T-70524_FL16"/>
    <n v="1"/>
    <s v="PÇ"/>
    <n v="0.5"/>
    <n v="0.5"/>
    <n v="2238.89"/>
    <n v="1119.4449999999999"/>
    <n v="0"/>
    <n v="0.9"/>
    <n v="0.1"/>
    <m/>
    <m/>
    <x v="0"/>
    <m/>
    <m/>
    <m/>
    <m/>
    <m/>
    <m/>
    <m/>
    <m/>
    <m/>
    <m/>
    <m/>
    <m/>
    <m/>
    <m/>
    <m/>
    <m/>
    <m/>
  </r>
  <r>
    <s v="2.4.3.1.3"/>
    <s v="CMS M.60.10.000"/>
    <x v="2"/>
    <n v="5"/>
    <s v="SPOOL"/>
    <n v="10"/>
    <x v="2"/>
    <s v="NÃO"/>
    <s v="NÃO"/>
    <x v="90"/>
    <x v="2"/>
    <s v="DISPOSIÇÃO DE REJEITOS LINHA DE BYPASS DAS PENEIRAS LINHA DO SEPARADOR MAGNÉTICO SM-143A-9616/17/18 P/ TANQUE TQ-142A-9722 ( BYPASS DAS PENEIRAS PN-143A-9716/9717 )"/>
    <m/>
    <m/>
    <m/>
    <s v="1450AA-T-70524_FL17"/>
    <n v="1"/>
    <s v="PÇ"/>
    <n v="0.4"/>
    <n v="0.4"/>
    <n v="2238.89"/>
    <n v="895.55600000000004"/>
    <n v="0"/>
    <n v="0.9"/>
    <n v="0.1"/>
    <m/>
    <m/>
    <x v="0"/>
    <m/>
    <m/>
    <m/>
    <m/>
    <m/>
    <m/>
    <m/>
    <m/>
    <m/>
    <m/>
    <m/>
    <m/>
    <m/>
    <m/>
    <m/>
    <m/>
    <m/>
  </r>
  <r>
    <s v="2.4.3.1.3"/>
    <s v="CMS M.60.10.000"/>
    <x v="2"/>
    <n v="6"/>
    <s v="SPOOL"/>
    <n v="10"/>
    <x v="2"/>
    <s v="NÃO"/>
    <s v="NÃO"/>
    <x v="90"/>
    <x v="2"/>
    <s v="DISPOSIÇÃO DE REJEITOS LINHA DE BYPASS DAS PENEIRAS LINHA DO SEPARADOR MAGNÉTICO SM-143A-9616/17/18 P/ TANQUE TQ-142A-9722 ( BYPASS DAS PENEIRAS PN-143A-9716/9717 )"/>
    <m/>
    <m/>
    <m/>
    <s v="1450AA-T-70524_FL18"/>
    <n v="2"/>
    <s v="PÇ"/>
    <n v="0.46"/>
    <n v="0.92"/>
    <n v="2238.89"/>
    <n v="2059.7788"/>
    <n v="0"/>
    <n v="0.9"/>
    <n v="0.1"/>
    <m/>
    <m/>
    <x v="0"/>
    <m/>
    <m/>
    <m/>
    <m/>
    <m/>
    <m/>
    <m/>
    <m/>
    <m/>
    <m/>
    <m/>
    <m/>
    <m/>
    <m/>
    <m/>
    <m/>
    <m/>
  </r>
  <r>
    <s v="2.4.3.1.3"/>
    <s v="CMS M.60.10.000"/>
    <x v="2"/>
    <n v="7"/>
    <s v="CURVA"/>
    <n v="10"/>
    <x v="1"/>
    <s v="NÃO"/>
    <s v="NÃO"/>
    <x v="90"/>
    <x v="2"/>
    <s v="DISPOSIÇÃO DE REJEITOS LINHA DE BYPASS DAS PENEIRAS LINHA DO SEPARADOR MAGNÉTICO SM-143A-9616/17/18 P/ TANQUE TQ-142A-9722 ( BYPASS DAS PENEIRAS PN-143A-9716/9717 )"/>
    <m/>
    <m/>
    <m/>
    <s v="1450AA-T-70524_FL19"/>
    <n v="1"/>
    <s v="PÇ"/>
    <n v="0.53500000000000003"/>
    <n v="0.53500000000000003"/>
    <n v="2238.89"/>
    <n v="1197.8061499999999"/>
    <n v="0"/>
    <n v="0.9"/>
    <n v="0.1"/>
    <m/>
    <m/>
    <x v="0"/>
    <m/>
    <m/>
    <m/>
    <m/>
    <m/>
    <m/>
    <m/>
    <m/>
    <m/>
    <m/>
    <m/>
    <m/>
    <m/>
    <m/>
    <m/>
    <m/>
    <m/>
  </r>
  <r>
    <s v="2.4.3.1.3"/>
    <s v="CMS M.60.10.000"/>
    <x v="2"/>
    <n v="8"/>
    <s v="CURVA"/>
    <n v="10"/>
    <x v="1"/>
    <s v="NÃO"/>
    <s v="NÃO"/>
    <x v="90"/>
    <x v="2"/>
    <s v="DISPOSIÇÃO DE REJEITOS LINHA DE BYPASS DAS PENEIRAS LINHA DO SEPARADOR MAGNÉTICO SM-143A-9616/17/18 P/ TANQUE TQ-142A-9722 ( BYPASS DAS PENEIRAS PN-143A-9716/9717 )"/>
    <m/>
    <m/>
    <m/>
    <s v="1450AA-T-70524_FL20"/>
    <n v="1"/>
    <s v="PÇ"/>
    <n v="0.52700000000000002"/>
    <n v="0.52700000000000002"/>
    <n v="2238.89"/>
    <n v="1179.8950299999999"/>
    <n v="0"/>
    <n v="0.9"/>
    <n v="0.1"/>
    <m/>
    <m/>
    <x v="0"/>
    <m/>
    <m/>
    <m/>
    <m/>
    <m/>
    <m/>
    <m/>
    <m/>
    <m/>
    <m/>
    <m/>
    <m/>
    <m/>
    <m/>
    <m/>
    <m/>
    <m/>
  </r>
  <r>
    <s v="2.4.3.1.3"/>
    <s v="CMS M.60.10.000"/>
    <x v="2"/>
    <n v="9"/>
    <s v="REDUÇÃO"/>
    <s v="12 X 10"/>
    <x v="1"/>
    <s v="NÃO"/>
    <s v="NÃO"/>
    <x v="90"/>
    <x v="2"/>
    <s v="DISPOSIÇÃO DE REJEITOS LINHA DE BYPASS DAS PENEIRAS LINHA DO SEPARADOR MAGNÉTICO SM-143A-9616/17/18 P/ TANQUE TQ-142A-9722 ( BYPASS DAS PENEIRAS PN-143A-9716/9717 )"/>
    <m/>
    <m/>
    <m/>
    <s v="1450AA-T-70524_FL21"/>
    <n v="1"/>
    <s v="PÇ"/>
    <n v="0.46"/>
    <n v="0.46"/>
    <n v="2238.89"/>
    <n v="1029.8894"/>
    <n v="0"/>
    <n v="0.9"/>
    <n v="0.1"/>
    <m/>
    <m/>
    <x v="0"/>
    <m/>
    <m/>
    <m/>
    <m/>
    <m/>
    <m/>
    <m/>
    <m/>
    <m/>
    <m/>
    <m/>
    <m/>
    <m/>
    <m/>
    <m/>
    <m/>
    <m/>
  </r>
  <r>
    <s v="2.4.3.1.4"/>
    <s v="CMS M.60.10.000"/>
    <x v="2"/>
    <n v="10"/>
    <s v="REDUÇÃO"/>
    <s v="18 X 12"/>
    <x v="1"/>
    <s v="NÃO"/>
    <s v="NÃO"/>
    <x v="90"/>
    <x v="2"/>
    <s v="DISPOSIÇÃO DE REJEITOS LINHA DE BYPASS DAS PENEIRAS LINHA DO SEPARADOR MAGNÉTICO SM-143A-9616/17/18 P/ TANQUE TQ-142A-9722 ( BYPASS DAS PENEIRAS PN-143A-9716/9717 )"/>
    <m/>
    <m/>
    <m/>
    <s v="1450AA-T-70524_FL22"/>
    <n v="1"/>
    <s v="PÇ"/>
    <n v="0.78100000000000003"/>
    <n v="0.78100000000000003"/>
    <n v="2576.75"/>
    <n v="2012.4417500000002"/>
    <n v="0"/>
    <n v="0.9"/>
    <n v="0.1"/>
    <m/>
    <m/>
    <x v="0"/>
    <m/>
    <m/>
    <m/>
    <m/>
    <m/>
    <m/>
    <m/>
    <m/>
    <m/>
    <m/>
    <m/>
    <m/>
    <m/>
    <m/>
    <m/>
    <m/>
    <m/>
  </r>
  <r>
    <s v="2.4.3.1.3"/>
    <s v="CMS M.60.10.000"/>
    <x v="2"/>
    <n v="11"/>
    <s v="DERIVAÇÃO"/>
    <s v="18 X 10"/>
    <x v="1"/>
    <s v="NÃO"/>
    <s v="NÃO"/>
    <x v="90"/>
    <x v="2"/>
    <s v="DISPOSIÇÃO DE REJEITOS LINHA DE BYPASS DAS PENEIRAS LINHA DO SEPARADOR MAGNÉTICO SM-143A-9616/17/18 P/ TANQUE TQ-142A-9722 ( BYPASS DAS PENEIRAS PN-143A-9716/9717 )"/>
    <m/>
    <m/>
    <m/>
    <s v="1450AA-T-70524_FL23"/>
    <n v="2"/>
    <s v="PÇ"/>
    <n v="2.1760000000000002"/>
    <n v="4.3520000000000003"/>
    <n v="2238.89"/>
    <n v="9743.6492799999996"/>
    <n v="0"/>
    <n v="0.9"/>
    <n v="0.1"/>
    <m/>
    <m/>
    <x v="0"/>
    <m/>
    <m/>
    <m/>
    <m/>
    <m/>
    <m/>
    <m/>
    <m/>
    <m/>
    <m/>
    <m/>
    <m/>
    <m/>
    <m/>
    <m/>
    <m/>
    <m/>
  </r>
  <r>
    <n v="0"/>
    <s v="CMS M.60.10.000"/>
    <x v="2"/>
    <n v="12"/>
    <s v="SPOOL"/>
    <n v="18"/>
    <x v="1"/>
    <s v="NÃO"/>
    <s v="NÃO"/>
    <x v="90"/>
    <x v="2"/>
    <s v="DISPOSIÇÃO DE REJEITOS LINHA DE BYPASS DAS PENEIRAS LINHA DO SEPARADOR MAGNÉTICO SM-143A-9616/17/18 P/ TANQUE TQ-142A-9722 ( BYPASS DAS PENEIRAS PN-143A-9716/9717 )"/>
    <m/>
    <m/>
    <m/>
    <s v="1450AA-T-70524_FL24"/>
    <n v="2"/>
    <s v="PÇ"/>
    <n v="6"/>
    <n v="12"/>
    <n v="0"/>
    <n v="0"/>
    <n v="0"/>
    <n v="0.9"/>
    <n v="0.1"/>
    <m/>
    <m/>
    <x v="0"/>
    <m/>
    <m/>
    <m/>
    <m/>
    <m/>
    <m/>
    <m/>
    <m/>
    <m/>
    <m/>
    <m/>
    <m/>
    <m/>
    <m/>
    <m/>
    <m/>
    <m/>
  </r>
  <r>
    <n v="0"/>
    <s v="CMS M.60.10.000"/>
    <x v="2"/>
    <n v="13"/>
    <s v="SPOOL"/>
    <n v="18"/>
    <x v="1"/>
    <s v="NÃO"/>
    <s v="NÃO"/>
    <x v="90"/>
    <x v="2"/>
    <s v="DISPOSIÇÃO DE REJEITOS LINHA DE BYPASS DAS PENEIRAS LINHA DO SEPARADOR MAGNÉTICO SM-143A-9616/17/18 P/ TANQUE TQ-142A-9722 ( BYPASS DAS PENEIRAS PN-143A-9716/9717 )"/>
    <m/>
    <m/>
    <m/>
    <s v="1450AA-T-70524_FL25"/>
    <n v="1"/>
    <s v="PÇ"/>
    <n v="3.3"/>
    <n v="3.3"/>
    <n v="0"/>
    <n v="0"/>
    <n v="0"/>
    <n v="0.9"/>
    <n v="0.1"/>
    <m/>
    <m/>
    <x v="0"/>
    <m/>
    <m/>
    <m/>
    <m/>
    <m/>
    <m/>
    <m/>
    <m/>
    <m/>
    <m/>
    <m/>
    <m/>
    <m/>
    <m/>
    <m/>
    <m/>
    <m/>
  </r>
  <r>
    <n v="0"/>
    <s v="CMS M.60.10.000"/>
    <x v="2"/>
    <n v="14"/>
    <s v="SPOOL"/>
    <n v="18"/>
    <x v="1"/>
    <s v="NÃO"/>
    <s v="NÃO"/>
    <x v="90"/>
    <x v="2"/>
    <s v="DISPOSIÇÃO DE REJEITOS LINHA DE BYPASS DAS PENEIRAS LINHA DO SEPARADOR MAGNÉTICO SM-143A-9616/17/18 P/ TANQUE TQ-142A-9722 ( BYPASS DAS PENEIRAS PN-143A-9716/9717 )"/>
    <m/>
    <m/>
    <m/>
    <s v="1450AA-T-70524_FL26"/>
    <n v="1"/>
    <s v="PÇ"/>
    <n v="1.395"/>
    <n v="1.395"/>
    <n v="0"/>
    <n v="0"/>
    <n v="0"/>
    <n v="0.9"/>
    <n v="0.1"/>
    <m/>
    <m/>
    <x v="0"/>
    <m/>
    <m/>
    <m/>
    <m/>
    <m/>
    <m/>
    <m/>
    <m/>
    <m/>
    <m/>
    <m/>
    <m/>
    <m/>
    <m/>
    <m/>
    <m/>
    <m/>
  </r>
  <r>
    <n v="0"/>
    <s v="CMS M.60.10.000"/>
    <x v="2"/>
    <n v="15"/>
    <s v="SPOOL"/>
    <n v="18"/>
    <x v="1"/>
    <s v="NÃO"/>
    <s v="NÃO"/>
    <x v="90"/>
    <x v="2"/>
    <s v="DISPOSIÇÃO DE REJEITOS LINHA DE BYPASS DAS PENEIRAS LINHA DO SEPARADOR MAGNÉTICO SM-143A-9616/17/18 P/ TANQUE TQ-142A-9722 ( BYPASS DAS PENEIRAS PN-143A-9716/9717 )"/>
    <m/>
    <m/>
    <m/>
    <s v="1450AA-T-70524_FL27"/>
    <n v="2"/>
    <s v="PÇ"/>
    <n v="4"/>
    <n v="8"/>
    <n v="0"/>
    <n v="0"/>
    <n v="0"/>
    <n v="0.9"/>
    <n v="0.1"/>
    <m/>
    <m/>
    <x v="0"/>
    <m/>
    <m/>
    <m/>
    <m/>
    <m/>
    <m/>
    <m/>
    <m/>
    <m/>
    <m/>
    <m/>
    <m/>
    <m/>
    <m/>
    <m/>
    <m/>
    <m/>
  </r>
  <r>
    <n v="0"/>
    <s v="CMS M.60.10.000"/>
    <x v="2"/>
    <n v="16"/>
    <s v="SPOOL"/>
    <n v="18"/>
    <x v="1"/>
    <s v="NÃO"/>
    <s v="NÃO"/>
    <x v="90"/>
    <x v="2"/>
    <s v="DISPOSIÇÃO DE REJEITOS LINHA DE BYPASS DAS PENEIRAS LINHA DO SEPARADOR MAGNÉTICO SM-143A-9616/17/18 P/ TANQUE TQ-142A-9722 ( BYPASS DAS PENEIRAS PN-143A-9716/9717 )"/>
    <m/>
    <m/>
    <m/>
    <s v="1450AA-T-70524_FL28"/>
    <n v="1"/>
    <s v="PÇ"/>
    <n v="0.66500000000000004"/>
    <n v="0.66500000000000004"/>
    <n v="0"/>
    <n v="0"/>
    <n v="0"/>
    <n v="0.9"/>
    <n v="0.1"/>
    <m/>
    <m/>
    <x v="0"/>
    <m/>
    <m/>
    <m/>
    <m/>
    <m/>
    <m/>
    <m/>
    <m/>
    <m/>
    <m/>
    <m/>
    <m/>
    <m/>
    <m/>
    <m/>
    <m/>
    <m/>
  </r>
  <r>
    <n v="0"/>
    <s v="CMS M.60.10.000"/>
    <x v="2"/>
    <n v="17"/>
    <s v="SPOOL"/>
    <n v="18"/>
    <x v="2"/>
    <s v="NÃO"/>
    <s v="NÃO"/>
    <x v="90"/>
    <x v="2"/>
    <s v="DISPOSIÇÃO DE REJEITOS LINHA DE BYPASS DAS PENEIRAS LINHA DO SEPARADOR MAGNÉTICO SM-143A-9616/17/18 P/ TANQUE TQ-142A-9722 ( BYPASS DAS PENEIRAS PN-143A-9716/9717 )"/>
    <m/>
    <m/>
    <m/>
    <s v="1450AA-T-70524_FL29"/>
    <n v="2"/>
    <s v="PÇ"/>
    <n v="0.55000000000000004"/>
    <n v="1.1000000000000001"/>
    <n v="0"/>
    <n v="0"/>
    <n v="0"/>
    <n v="0.9"/>
    <n v="0.1"/>
    <m/>
    <m/>
    <x v="0"/>
    <m/>
    <m/>
    <m/>
    <m/>
    <m/>
    <m/>
    <m/>
    <m/>
    <m/>
    <m/>
    <m/>
    <m/>
    <m/>
    <m/>
    <m/>
    <m/>
    <m/>
  </r>
  <r>
    <n v="0"/>
    <s v="CMS M.60.10.000"/>
    <x v="2"/>
    <n v="18"/>
    <s v="SPOOL"/>
    <n v="18"/>
    <x v="2"/>
    <s v="NÃO"/>
    <s v="NÃO"/>
    <x v="90"/>
    <x v="2"/>
    <s v="DISPOSIÇÃO DE REJEITOS LINHA DE BYPASS DAS PENEIRAS LINHA DO SEPARADOR MAGNÉTICO SM-143A-9616/17/18 P/ TANQUE TQ-142A-9722 ( BYPASS DAS PENEIRAS PN-143A-9716/9717 )"/>
    <m/>
    <m/>
    <m/>
    <s v="1450AA-T-70524_FL30"/>
    <n v="2"/>
    <s v="PÇ"/>
    <n v="0.46"/>
    <n v="0.92"/>
    <n v="0"/>
    <n v="0"/>
    <n v="0"/>
    <n v="0.9"/>
    <n v="0.1"/>
    <m/>
    <m/>
    <x v="0"/>
    <m/>
    <m/>
    <m/>
    <m/>
    <m/>
    <m/>
    <m/>
    <m/>
    <m/>
    <m/>
    <m/>
    <m/>
    <m/>
    <m/>
    <m/>
    <m/>
    <m/>
  </r>
  <r>
    <n v="0"/>
    <s v="CMS M.60.10.000"/>
    <x v="2"/>
    <n v="19"/>
    <s v="CURVA"/>
    <n v="18"/>
    <x v="1"/>
    <s v="NÃO"/>
    <s v="NÃO"/>
    <x v="90"/>
    <x v="2"/>
    <s v="DISPOSIÇÃO DE REJEITOS LINHA DE BYPASS DAS PENEIRAS LINHA DO SEPARADOR MAGNÉTICO SM-143A-9616/17/18 P/ TANQUE TQ-142A-9722 ( BYPASS DAS PENEIRAS PN-143A-9716/9717 )"/>
    <m/>
    <m/>
    <m/>
    <s v="1450AA-T-70524_FL31"/>
    <n v="1"/>
    <s v="PÇ"/>
    <n v="2.3889999999999998"/>
    <n v="2.3889999999999998"/>
    <n v="0"/>
    <n v="0"/>
    <n v="0"/>
    <n v="0.9"/>
    <n v="0.1"/>
    <m/>
    <m/>
    <x v="0"/>
    <m/>
    <m/>
    <m/>
    <m/>
    <m/>
    <m/>
    <m/>
    <m/>
    <m/>
    <m/>
    <m/>
    <m/>
    <m/>
    <m/>
    <m/>
    <m/>
    <m/>
  </r>
  <r>
    <n v="0"/>
    <s v="CMS M.60.10.000"/>
    <x v="2"/>
    <n v="20"/>
    <s v="CURVA"/>
    <n v="18"/>
    <x v="1"/>
    <s v="NÃO"/>
    <s v="NÃO"/>
    <x v="90"/>
    <x v="2"/>
    <s v="DISPOSIÇÃO DE REJEITOS LINHA DE BYPASS DAS PENEIRAS LINHA DO SEPARADOR MAGNÉTICO SM-143A-9616/17/18 P/ TANQUE TQ-142A-9722 ( BYPASS DAS PENEIRAS PN-143A-9716/9717 )"/>
    <m/>
    <m/>
    <m/>
    <s v="1450AA-T-70524_FL32"/>
    <n v="1"/>
    <s v="PÇ"/>
    <n v="1.2350000000000001"/>
    <n v="1.2350000000000001"/>
    <n v="0"/>
    <n v="0"/>
    <n v="0"/>
    <n v="0.9"/>
    <n v="0.1"/>
    <m/>
    <m/>
    <x v="0"/>
    <m/>
    <m/>
    <m/>
    <m/>
    <m/>
    <m/>
    <m/>
    <m/>
    <m/>
    <m/>
    <m/>
    <m/>
    <m/>
    <m/>
    <m/>
    <m/>
    <m/>
  </r>
  <r>
    <n v="0"/>
    <s v="CMS M.60.10.000"/>
    <x v="2"/>
    <n v="21"/>
    <s v="CURVA"/>
    <n v="18"/>
    <x v="1"/>
    <s v="NÃO"/>
    <s v="NÃO"/>
    <x v="90"/>
    <x v="2"/>
    <s v="DISPOSIÇÃO DE REJEITOS LINHA DE BYPASS DAS PENEIRAS LINHA DO SEPARADOR MAGNÉTICO SM-143A-9616/17/18 P/ TANQUE TQ-142A-9722 ( BYPASS DAS PENEIRAS PN-143A-9716/9717 )"/>
    <m/>
    <m/>
    <m/>
    <s v="1450AA-T-70524_FL33"/>
    <n v="1"/>
    <s v="PÇ"/>
    <n v="1.591"/>
    <n v="1.591"/>
    <n v="0"/>
    <n v="0"/>
    <n v="0"/>
    <n v="0.9"/>
    <n v="0.1"/>
    <m/>
    <m/>
    <x v="0"/>
    <m/>
    <m/>
    <m/>
    <m/>
    <m/>
    <m/>
    <m/>
    <m/>
    <m/>
    <m/>
    <m/>
    <m/>
    <m/>
    <m/>
    <m/>
    <m/>
    <m/>
  </r>
  <r>
    <n v="0"/>
    <s v="CMS M.60.10.000"/>
    <x v="2"/>
    <n v="22"/>
    <s v="SPOOL"/>
    <n v="18"/>
    <x v="1"/>
    <s v="NÃO"/>
    <s v="NÃO"/>
    <x v="90"/>
    <x v="2"/>
    <s v="DISPOSIÇÃO DE REJEITOS LINHA DE BYPASS DAS PENEIRAS LINHA DO SEPARADOR MAGNÉTICO SM-143A-9616/17/18 P/ TANQUE TQ-142A-9722 ( BYPASS DAS PENEIRAS PN-143A-9716/9717 )"/>
    <m/>
    <m/>
    <m/>
    <s v="1450AA-T-70524_FL34"/>
    <n v="1"/>
    <s v="PÇ"/>
    <n v="1.8859999999999999"/>
    <n v="1.8859999999999999"/>
    <n v="0"/>
    <n v="0"/>
    <n v="0"/>
    <n v="0.9"/>
    <n v="0.1"/>
    <m/>
    <m/>
    <x v="0"/>
    <m/>
    <m/>
    <m/>
    <m/>
    <m/>
    <m/>
    <m/>
    <m/>
    <m/>
    <m/>
    <m/>
    <m/>
    <m/>
    <m/>
    <m/>
    <m/>
    <m/>
  </r>
  <r>
    <n v="0"/>
    <s v="CMS M.60.10.000"/>
    <x v="2"/>
    <n v="23"/>
    <s v="SPOOL"/>
    <n v="18"/>
    <x v="1"/>
    <s v="NÃO"/>
    <s v="NÃO"/>
    <x v="90"/>
    <x v="2"/>
    <s v="DISPOSIÇÃO DE REJEITOS LINHA DE BYPASS DAS PENEIRAS LINHA DO SEPARADOR MAGNÉTICO SM-143A-9616/17/18 P/ TANQUE TQ-142A-9722 ( BYPASS DAS PENEIRAS PN-143A-9716/9717 )"/>
    <m/>
    <m/>
    <m/>
    <s v="1450AA-T-70524_FL35"/>
    <n v="1"/>
    <s v="PÇ"/>
    <n v="1.8859999999999999"/>
    <n v="1.8859999999999999"/>
    <n v="0"/>
    <n v="0"/>
    <n v="0"/>
    <n v="0.9"/>
    <n v="0.1"/>
    <m/>
    <m/>
    <x v="0"/>
    <m/>
    <m/>
    <m/>
    <m/>
    <m/>
    <m/>
    <m/>
    <m/>
    <m/>
    <m/>
    <m/>
    <m/>
    <m/>
    <m/>
    <m/>
    <m/>
    <m/>
  </r>
  <r>
    <s v="2.4.3.1.3"/>
    <s v="CMS M.60.10.000"/>
    <x v="2"/>
    <n v="1"/>
    <s v="SPOOL"/>
    <n v="10"/>
    <x v="1"/>
    <s v="NÃO"/>
    <s v="NÃO"/>
    <x v="55"/>
    <x v="3"/>
    <s v="DISPOSIÇÃO DE REJEITOS LINHA DO CIRCUITO ULTRAFINO UNDER DO ES-145A-9901 PARA DISTRIBUIDOR DI-145A-9903"/>
    <m/>
    <m/>
    <m/>
    <s v="1450AA-T-70437_FL15"/>
    <n v="1"/>
    <s v="PÇ"/>
    <n v="4"/>
    <n v="4"/>
    <n v="2238.89"/>
    <n v="8955.56"/>
    <n v="0"/>
    <n v="0.9"/>
    <n v="0.1"/>
    <m/>
    <m/>
    <x v="0"/>
    <m/>
    <m/>
    <m/>
    <m/>
    <m/>
    <m/>
    <m/>
    <m/>
    <m/>
    <m/>
    <m/>
    <m/>
    <m/>
    <m/>
    <m/>
    <m/>
    <m/>
  </r>
  <r>
    <s v="2.4.3.1.3"/>
    <s v="CMS M.60.10.000"/>
    <x v="2"/>
    <n v="2"/>
    <s v="SPOOL"/>
    <n v="10"/>
    <x v="1"/>
    <s v="NÃO"/>
    <s v="NÃO"/>
    <x v="55"/>
    <x v="3"/>
    <s v="DISPOSIÇÃO DE REJEITOS LINHA DO CIRCUITO ULTRAFINO UNDER DO ES-145A-9901 PARA DISTRIBUIDOR DI-145A-9903"/>
    <m/>
    <m/>
    <m/>
    <s v="1450AA-T-70437_FL17"/>
    <n v="3"/>
    <s v="PÇ"/>
    <n v="6"/>
    <n v="18"/>
    <n v="2238.89"/>
    <n v="40300.019999999997"/>
    <n v="0"/>
    <n v="0.9"/>
    <n v="0.1"/>
    <m/>
    <m/>
    <x v="0"/>
    <m/>
    <m/>
    <m/>
    <m/>
    <m/>
    <m/>
    <m/>
    <m/>
    <m/>
    <m/>
    <m/>
    <m/>
    <m/>
    <m/>
    <m/>
    <m/>
    <m/>
  </r>
  <r>
    <s v="2.4.3.1.3"/>
    <s v="CMS M.60.10.000"/>
    <x v="2"/>
    <n v="3"/>
    <s v="SPOOL"/>
    <n v="10"/>
    <x v="1"/>
    <s v="NÃO"/>
    <s v="NÃO"/>
    <x v="55"/>
    <x v="3"/>
    <s v="DISPOSIÇÃO DE REJEITOS LINHA DO CIRCUITO ULTRAFINO UNDER DO ES-145A-9901 PARA DISTRIBUIDOR DI-145A-9903"/>
    <m/>
    <m/>
    <m/>
    <s v="1450AA-T-70437_FL14"/>
    <n v="2"/>
    <s v="PÇ"/>
    <n v="3.5"/>
    <n v="7"/>
    <n v="2238.89"/>
    <n v="15672.23"/>
    <n v="0"/>
    <n v="0.9"/>
    <n v="0.1"/>
    <m/>
    <m/>
    <x v="0"/>
    <m/>
    <m/>
    <m/>
    <m/>
    <m/>
    <m/>
    <m/>
    <m/>
    <m/>
    <m/>
    <m/>
    <m/>
    <m/>
    <m/>
    <m/>
    <m/>
    <m/>
  </r>
  <r>
    <s v="2.4.3.1.3"/>
    <s v="CMS M.60.10.000"/>
    <x v="2"/>
    <n v="4"/>
    <s v="SPOOL"/>
    <n v="10"/>
    <x v="1"/>
    <s v="NÃO"/>
    <s v="NÃO"/>
    <x v="55"/>
    <x v="3"/>
    <s v="DISPOSIÇÃO DE REJEITOS LINHA DO CIRCUITO ULTRAFINO UNDER DO ES-145A-9901 PARA DISTRIBUIDOR DI-145A-9903"/>
    <m/>
    <m/>
    <m/>
    <s v="1450AA-T-70437_FL10"/>
    <n v="1"/>
    <s v="PÇ"/>
    <n v="2.2850000000000001"/>
    <n v="2.2850000000000001"/>
    <n v="2238.89"/>
    <n v="5115.8636500000002"/>
    <n v="0"/>
    <n v="0.9"/>
    <n v="0.1"/>
    <m/>
    <m/>
    <x v="0"/>
    <m/>
    <m/>
    <m/>
    <m/>
    <m/>
    <m/>
    <m/>
    <m/>
    <m/>
    <m/>
    <m/>
    <m/>
    <m/>
    <m/>
    <m/>
    <m/>
    <m/>
  </r>
  <r>
    <s v="2.4.3.1.3"/>
    <s v="CMS M.60.10.000"/>
    <x v="2"/>
    <n v="5"/>
    <s v="SPOOL"/>
    <n v="10"/>
    <x v="1"/>
    <s v="NÃO"/>
    <s v="NÃO"/>
    <x v="55"/>
    <x v="3"/>
    <s v="DISPOSIÇÃO DE REJEITOS LINHA DO CIRCUITO ULTRAFINO UNDER DO ES-145A-9901 PARA DISTRIBUIDOR DI-145A-9903"/>
    <m/>
    <m/>
    <m/>
    <s v="1450AA-T-70437_FL07"/>
    <n v="1"/>
    <s v="PÇ"/>
    <n v="1.2450000000000001"/>
    <n v="1.2450000000000001"/>
    <n v="2238.89"/>
    <n v="2787.4180500000002"/>
    <n v="0"/>
    <n v="0.9"/>
    <n v="0.1"/>
    <m/>
    <m/>
    <x v="0"/>
    <m/>
    <m/>
    <m/>
    <m/>
    <m/>
    <m/>
    <m/>
    <m/>
    <m/>
    <m/>
    <m/>
    <m/>
    <m/>
    <m/>
    <m/>
    <m/>
    <m/>
  </r>
  <r>
    <s v="2.4.3.1.3"/>
    <s v="CMS M.60.10.000"/>
    <x v="2"/>
    <n v="6"/>
    <s v="SPOOL"/>
    <n v="10"/>
    <x v="2"/>
    <s v="NÃO"/>
    <s v="NÃO"/>
    <x v="55"/>
    <x v="3"/>
    <s v="DISPOSIÇÃO DE REJEITOS LINHA DO CIRCUITO ULTRAFINO UNDER DO ES-145A-9901 PARA DISTRIBUIDOR DI-145A-9903"/>
    <m/>
    <m/>
    <m/>
    <s v="1450AA-T-70437_FL27"/>
    <n v="1"/>
    <s v="PÇ"/>
    <n v="0.92"/>
    <n v="0.92"/>
    <n v="2238.89"/>
    <n v="2059.7788"/>
    <n v="0"/>
    <n v="0.9"/>
    <n v="0.1"/>
    <m/>
    <m/>
    <x v="0"/>
    <m/>
    <m/>
    <m/>
    <m/>
    <m/>
    <m/>
    <m/>
    <m/>
    <m/>
    <m/>
    <m/>
    <m/>
    <m/>
    <m/>
    <m/>
    <m/>
    <m/>
  </r>
  <r>
    <s v="2.4.3.1.3"/>
    <s v="CMS M.60.10.000"/>
    <x v="2"/>
    <n v="7"/>
    <s v="CURVA"/>
    <n v="10"/>
    <x v="1"/>
    <s v="NÃO"/>
    <s v="NÃO"/>
    <x v="55"/>
    <x v="3"/>
    <s v="DISPOSIÇÃO DE REJEITOS LINHA DO CIRCUITO ULTRAFINO UNDER DO ES-145A-9901 PARA DISTRIBUIDOR DI-145A-9903"/>
    <m/>
    <m/>
    <m/>
    <s v="1450AA-T-70437_FL30"/>
    <n v="2"/>
    <s v="PÇ"/>
    <n v="0.46300000000000002"/>
    <n v="0.92600000000000005"/>
    <n v="2238.89"/>
    <n v="2073.2121400000001"/>
    <n v="0"/>
    <n v="0.9"/>
    <n v="0.1"/>
    <m/>
    <m/>
    <x v="0"/>
    <m/>
    <m/>
    <m/>
    <m/>
    <m/>
    <m/>
    <m/>
    <m/>
    <m/>
    <m/>
    <m/>
    <m/>
    <m/>
    <m/>
    <m/>
    <m/>
    <m/>
  </r>
  <r>
    <s v="2.4.3.1.3"/>
    <s v="CMS M.60.10.000"/>
    <x v="2"/>
    <n v="8"/>
    <s v="CURVA"/>
    <n v="10"/>
    <x v="1"/>
    <s v="NÃO"/>
    <s v="NÃO"/>
    <x v="55"/>
    <x v="3"/>
    <s v="DISPOSIÇÃO DE REJEITOS LINHA DO CIRCUITO ULTRAFINO UNDER DO ES-145A-9901 PARA DISTRIBUIDOR DI-145A-9903"/>
    <m/>
    <m/>
    <m/>
    <s v="1450AA-T-70437_FL29"/>
    <n v="2"/>
    <s v="PÇ"/>
    <n v="0.38600000000000001"/>
    <n v="0.77200000000000002"/>
    <n v="2238.89"/>
    <n v="1728.42308"/>
    <n v="0"/>
    <n v="0.9"/>
    <n v="0.1"/>
    <m/>
    <m/>
    <x v="0"/>
    <m/>
    <m/>
    <m/>
    <m/>
    <m/>
    <m/>
    <m/>
    <m/>
    <m/>
    <m/>
    <m/>
    <m/>
    <m/>
    <m/>
    <m/>
    <m/>
    <m/>
  </r>
  <r>
    <s v="2.4.3.1.3"/>
    <s v="CMS M.60.10.000"/>
    <x v="2"/>
    <n v="1"/>
    <s v="SPOOL"/>
    <n v="10"/>
    <x v="1"/>
    <s v="NÃO"/>
    <s v="NÃO"/>
    <x v="91"/>
    <x v="3"/>
    <s v="DISPOSIÇÃO DE REJEITOS LINHA DO CIRCUITO ULTRAFINO UNDER DO ES-145A-9901 PARA DISTRIBUIDOR DI-145A-9903"/>
    <m/>
    <m/>
    <m/>
    <s v="1450AA-T-70437_FL16"/>
    <n v="2"/>
    <s v="PÇ"/>
    <n v="5.5"/>
    <n v="11"/>
    <n v="2238.89"/>
    <n v="24627.789999999997"/>
    <n v="0"/>
    <n v="0.9"/>
    <n v="0.1"/>
    <m/>
    <m/>
    <x v="0"/>
    <m/>
    <m/>
    <m/>
    <m/>
    <m/>
    <m/>
    <m/>
    <m/>
    <m/>
    <m/>
    <m/>
    <m/>
    <m/>
    <m/>
    <m/>
    <m/>
    <m/>
  </r>
  <r>
    <s v="2.4.3.1.3"/>
    <s v="CMS M.60.10.000"/>
    <x v="2"/>
    <n v="2"/>
    <s v="SPOOL"/>
    <n v="10"/>
    <x v="1"/>
    <s v="NÃO"/>
    <s v="NÃO"/>
    <x v="91"/>
    <x v="3"/>
    <s v="DISPOSIÇÃO DE REJEITOS LINHA DO CIRCUITO ULTRAFINO UNDER DO ES-145A-9901 PARA DISTRIBUIDOR DI-145A-9903"/>
    <m/>
    <m/>
    <m/>
    <s v="1450AA-T-70437_FL12"/>
    <n v="2"/>
    <s v="PÇ"/>
    <n v="2.5"/>
    <n v="5"/>
    <n v="2238.89"/>
    <n v="11194.449999999999"/>
    <n v="0"/>
    <n v="0.9"/>
    <n v="0.1"/>
    <m/>
    <m/>
    <x v="0"/>
    <m/>
    <m/>
    <m/>
    <m/>
    <m/>
    <m/>
    <m/>
    <m/>
    <m/>
    <m/>
    <m/>
    <m/>
    <m/>
    <m/>
    <m/>
    <m/>
    <m/>
  </r>
  <r>
    <s v="2.4.3.1.3"/>
    <s v="CMS M.60.10.000"/>
    <x v="2"/>
    <n v="3"/>
    <s v="SPOOL"/>
    <n v="10"/>
    <x v="1"/>
    <s v="NÃO"/>
    <s v="NÃO"/>
    <x v="91"/>
    <x v="3"/>
    <s v="DISPOSIÇÃO DE REJEITOS LINHA DO CIRCUITO ULTRAFINO UNDER DO ES-145A-9901 PARA DISTRIBUIDOR DI-145A-9903"/>
    <m/>
    <m/>
    <m/>
    <s v="1450AA-T-70437_FL15"/>
    <n v="1"/>
    <s v="PÇ"/>
    <n v="4"/>
    <n v="4"/>
    <n v="2238.89"/>
    <n v="8955.56"/>
    <n v="0"/>
    <n v="0.9"/>
    <n v="0.1"/>
    <m/>
    <m/>
    <x v="0"/>
    <m/>
    <m/>
    <m/>
    <m/>
    <m/>
    <m/>
    <m/>
    <m/>
    <m/>
    <m/>
    <m/>
    <m/>
    <m/>
    <m/>
    <m/>
    <m/>
    <m/>
  </r>
  <r>
    <s v="2.4.3.1.3"/>
    <s v="CMS M.60.10.000"/>
    <x v="2"/>
    <n v="4"/>
    <s v="SPOOL"/>
    <n v="10"/>
    <x v="1"/>
    <s v="NÃO"/>
    <s v="NÃO"/>
    <x v="91"/>
    <x v="3"/>
    <s v="DISPOSIÇÃO DE REJEITOS LINHA DO CIRCUITO ULTRAFINO UNDER DO ES-145A-9901 PARA DISTRIBUIDOR DI-145A-9903"/>
    <m/>
    <m/>
    <m/>
    <s v="1450AA-T-70437_FL09"/>
    <n v="1"/>
    <s v="PÇ"/>
    <n v="2"/>
    <n v="2"/>
    <n v="2238.89"/>
    <n v="4477.78"/>
    <n v="0"/>
    <n v="0.9"/>
    <n v="0.1"/>
    <m/>
    <m/>
    <x v="0"/>
    <m/>
    <m/>
    <m/>
    <m/>
    <m/>
    <m/>
    <m/>
    <m/>
    <m/>
    <m/>
    <m/>
    <m/>
    <m/>
    <m/>
    <m/>
    <m/>
    <m/>
  </r>
  <r>
    <s v="2.4.3.1.3"/>
    <s v="CMS M.60.10.000"/>
    <x v="2"/>
    <n v="5"/>
    <s v="SPOOL"/>
    <n v="10"/>
    <x v="1"/>
    <s v="NÃO"/>
    <s v="NÃO"/>
    <x v="91"/>
    <x v="3"/>
    <s v="DISPOSIÇÃO DE REJEITOS LINHA DO CIRCUITO ULTRAFINO UNDER DO ES-145A-9901 PARA DISTRIBUIDOR DI-145A-9903"/>
    <m/>
    <m/>
    <m/>
    <s v="1450AA-T-70437_FL13"/>
    <n v="1"/>
    <s v="PÇ"/>
    <n v="2.8"/>
    <n v="2.8"/>
    <n v="2238.89"/>
    <n v="6268.8919999999989"/>
    <n v="0"/>
    <n v="0.9"/>
    <n v="0.1"/>
    <m/>
    <m/>
    <x v="0"/>
    <m/>
    <m/>
    <m/>
    <m/>
    <m/>
    <m/>
    <m/>
    <m/>
    <m/>
    <m/>
    <m/>
    <m/>
    <m/>
    <m/>
    <m/>
    <m/>
    <m/>
  </r>
  <r>
    <s v="2.4.3.1.3"/>
    <s v="CMS M.60.10.000"/>
    <x v="2"/>
    <n v="6"/>
    <s v="SPOOL"/>
    <n v="10"/>
    <x v="1"/>
    <s v="NÃO"/>
    <s v="NÃO"/>
    <x v="91"/>
    <x v="3"/>
    <s v="DISPOSIÇÃO DE REJEITOS LINHA DO CIRCUITO ULTRAFINO UNDER DO ES-145A-9901 PARA DISTRIBUIDOR DI-145A-9903"/>
    <m/>
    <m/>
    <m/>
    <s v="1450AA-T-70437_FL06"/>
    <n v="1"/>
    <s v="PÇ"/>
    <n v="1"/>
    <n v="1"/>
    <n v="2238.89"/>
    <n v="2238.89"/>
    <n v="0"/>
    <n v="0.9"/>
    <n v="0.1"/>
    <m/>
    <m/>
    <x v="0"/>
    <m/>
    <m/>
    <m/>
    <m/>
    <m/>
    <m/>
    <m/>
    <m/>
    <m/>
    <m/>
    <m/>
    <m/>
    <m/>
    <m/>
    <m/>
    <m/>
    <m/>
  </r>
  <r>
    <s v="2.4.3.1.3"/>
    <s v="CMS M.60.10.000"/>
    <x v="2"/>
    <n v="7"/>
    <s v="SPOOL"/>
    <n v="10"/>
    <x v="1"/>
    <s v="NÃO"/>
    <s v="NÃO"/>
    <x v="91"/>
    <x v="3"/>
    <s v="DISPOSIÇÃO DE REJEITOS LINHA DO CIRCUITO ULTRAFINO UNDER DO ES-145A-9901 PARA DISTRIBUIDOR DI-145A-9903"/>
    <m/>
    <m/>
    <m/>
    <s v="1450AA-T-70437_FL10"/>
    <n v="1"/>
    <s v="PÇ"/>
    <n v="2.2850000000000001"/>
    <n v="2.2850000000000001"/>
    <n v="2238.89"/>
    <n v="5115.8636500000002"/>
    <n v="0"/>
    <n v="0.9"/>
    <n v="0.1"/>
    <m/>
    <m/>
    <x v="0"/>
    <m/>
    <m/>
    <m/>
    <m/>
    <m/>
    <m/>
    <m/>
    <m/>
    <m/>
    <m/>
    <m/>
    <m/>
    <m/>
    <m/>
    <m/>
    <m/>
    <m/>
  </r>
  <r>
    <s v="2.4.3.1.3"/>
    <s v="CMS M.60.10.000"/>
    <x v="2"/>
    <n v="8"/>
    <s v="SPOOL"/>
    <n v="10"/>
    <x v="1"/>
    <s v="NÃO"/>
    <s v="NÃO"/>
    <x v="91"/>
    <x v="3"/>
    <s v="DISPOSIÇÃO DE REJEITOS LINHA DO CIRCUITO ULTRAFINO UNDER DO ES-145A-9901 PARA DISTRIBUIDOR DI-145A-9903"/>
    <m/>
    <m/>
    <m/>
    <s v="1450AA-T-70437_FL11"/>
    <n v="1"/>
    <s v="PÇ"/>
    <n v="2.2999999999999998"/>
    <n v="2.2999999999999998"/>
    <n v="2238.89"/>
    <n v="5149.4469999999992"/>
    <n v="0"/>
    <n v="0.9"/>
    <n v="0.1"/>
    <m/>
    <m/>
    <x v="0"/>
    <m/>
    <m/>
    <m/>
    <m/>
    <m/>
    <m/>
    <m/>
    <m/>
    <m/>
    <m/>
    <m/>
    <m/>
    <m/>
    <m/>
    <m/>
    <m/>
    <m/>
  </r>
  <r>
    <s v="2.4.3.1.3"/>
    <s v="CMS M.60.10.000"/>
    <x v="2"/>
    <n v="9"/>
    <s v="SPOOL"/>
    <n v="10"/>
    <x v="2"/>
    <s v="NÃO"/>
    <s v="NÃO"/>
    <x v="91"/>
    <x v="3"/>
    <s v="DISPOSIÇÃO DE REJEITOS LINHA DO CIRCUITO ULTRAFINO UNDER DO ES-145A-9901 PARA DISTRIBUIDOR DI-145A-9903"/>
    <m/>
    <m/>
    <m/>
    <s v="1450AA-T-70437_FL24"/>
    <n v="1"/>
    <s v="PÇ"/>
    <n v="0.76"/>
    <n v="0.76"/>
    <n v="2238.89"/>
    <n v="1701.5563999999999"/>
    <n v="0"/>
    <n v="0.9"/>
    <n v="0.1"/>
    <m/>
    <m/>
    <x v="0"/>
    <m/>
    <m/>
    <m/>
    <m/>
    <m/>
    <m/>
    <m/>
    <m/>
    <m/>
    <m/>
    <m/>
    <m/>
    <m/>
    <m/>
    <m/>
    <m/>
    <m/>
  </r>
  <r>
    <s v="2.4.3.1.3"/>
    <s v="CMS M.60.10.000"/>
    <x v="2"/>
    <n v="10"/>
    <s v="SPOOL"/>
    <n v="10"/>
    <x v="2"/>
    <s v="NÃO"/>
    <s v="NÃO"/>
    <x v="91"/>
    <x v="3"/>
    <s v="DISPOSIÇÃO DE REJEITOS LINHA DO CIRCUITO ULTRAFINO UNDER DO ES-145A-9901 PARA DISTRIBUIDOR DI-145A-9903"/>
    <m/>
    <m/>
    <m/>
    <s v="1450AA-T-70437_FL20"/>
    <n v="1"/>
    <s v="PÇ"/>
    <n v="0.49"/>
    <n v="0.49"/>
    <n v="2238.89"/>
    <n v="1097.0561"/>
    <n v="0"/>
    <n v="0.9"/>
    <n v="0.1"/>
    <m/>
    <m/>
    <x v="0"/>
    <m/>
    <m/>
    <m/>
    <m/>
    <m/>
    <m/>
    <m/>
    <m/>
    <m/>
    <m/>
    <m/>
    <m/>
    <m/>
    <m/>
    <m/>
    <m/>
    <m/>
  </r>
  <r>
    <s v="2.4.3.1.3"/>
    <s v="CMS M.60.10.000"/>
    <x v="2"/>
    <n v="11"/>
    <s v="SPOOL"/>
    <n v="10"/>
    <x v="2"/>
    <s v="NÃO"/>
    <s v="NÃO"/>
    <x v="91"/>
    <x v="3"/>
    <s v="DISPOSIÇÃO DE REJEITOS LINHA DO CIRCUITO ULTRAFINO UNDER DO ES-145A-9901 PARA DISTRIBUIDOR DI-145A-9903"/>
    <m/>
    <m/>
    <m/>
    <s v="1450AA-T-70437_FL18"/>
    <n v="1"/>
    <s v="PÇ"/>
    <n v="0.31"/>
    <n v="0.31"/>
    <n v="2238.89"/>
    <n v="694.05589999999995"/>
    <n v="0"/>
    <n v="0.9"/>
    <n v="0.1"/>
    <m/>
    <m/>
    <x v="0"/>
    <m/>
    <m/>
    <m/>
    <m/>
    <m/>
    <m/>
    <m/>
    <m/>
    <m/>
    <m/>
    <m/>
    <m/>
    <m/>
    <m/>
    <m/>
    <m/>
    <m/>
  </r>
  <r>
    <s v="2.4.3.1.3"/>
    <s v="CMS M.60.10.000"/>
    <x v="2"/>
    <n v="12"/>
    <s v="SPOOL"/>
    <n v="10"/>
    <x v="2"/>
    <s v="NÃO"/>
    <s v="NÃO"/>
    <x v="91"/>
    <x v="3"/>
    <s v="DISPOSIÇÃO DE REJEITOS LINHA DO CIRCUITO ULTRAFINO UNDER DO ES-145A-9901 PARA DISTRIBUIDOR DI-145A-9903"/>
    <m/>
    <m/>
    <m/>
    <s v="1450AA-T-70437_FL19"/>
    <n v="1"/>
    <s v="PÇ"/>
    <n v="0.47"/>
    <n v="0.47"/>
    <n v="2238.89"/>
    <n v="1052.2782999999999"/>
    <n v="0"/>
    <n v="0.9"/>
    <n v="0.1"/>
    <m/>
    <m/>
    <x v="0"/>
    <m/>
    <m/>
    <m/>
    <m/>
    <m/>
    <m/>
    <m/>
    <m/>
    <m/>
    <m/>
    <m/>
    <m/>
    <m/>
    <m/>
    <m/>
    <m/>
    <m/>
  </r>
  <r>
    <s v="2.4.3.1.3"/>
    <s v="CMS M.60.10.000"/>
    <x v="2"/>
    <n v="13"/>
    <s v="CURVA"/>
    <n v="10"/>
    <x v="1"/>
    <s v="NÃO"/>
    <s v="NÃO"/>
    <x v="91"/>
    <x v="3"/>
    <s v="DISPOSIÇÃO DE REJEITOS LINHA DO CIRCUITO ULTRAFINO UNDER DO ES-145A-9901 PARA DISTRIBUIDOR DI-145A-9903"/>
    <m/>
    <m/>
    <m/>
    <s v="1450AA-T-70437_FL32"/>
    <n v="1"/>
    <s v="PÇ"/>
    <n v="0.54100000000000004"/>
    <n v="0.54100000000000004"/>
    <n v="2238.89"/>
    <n v="1211.2394899999999"/>
    <n v="0"/>
    <n v="0.9"/>
    <n v="0.1"/>
    <m/>
    <m/>
    <x v="0"/>
    <m/>
    <m/>
    <m/>
    <m/>
    <m/>
    <m/>
    <m/>
    <m/>
    <m/>
    <m/>
    <m/>
    <m/>
    <m/>
    <m/>
    <m/>
    <m/>
    <m/>
  </r>
  <r>
    <s v="2.4.3.1.3"/>
    <s v="CMS M.60.10.000"/>
    <x v="2"/>
    <n v="14"/>
    <s v="CURVA"/>
    <n v="10"/>
    <x v="1"/>
    <s v="NÃO"/>
    <s v="NÃO"/>
    <x v="91"/>
    <x v="3"/>
    <s v="DISPOSIÇÃO DE REJEITOS LINHA DO CIRCUITO ULTRAFINO UNDER DO ES-145A-9901 PARA DISTRIBUIDOR DI-145A-9903"/>
    <m/>
    <m/>
    <m/>
    <s v="1450AA-T-70437_FL31"/>
    <n v="1"/>
    <s v="PÇ"/>
    <n v="0.52600000000000002"/>
    <n v="0.52600000000000002"/>
    <n v="2238.89"/>
    <n v="1177.6561400000001"/>
    <n v="0"/>
    <n v="0.9"/>
    <n v="0.1"/>
    <m/>
    <m/>
    <x v="0"/>
    <m/>
    <m/>
    <m/>
    <m/>
    <m/>
    <m/>
    <m/>
    <m/>
    <m/>
    <m/>
    <m/>
    <m/>
    <m/>
    <m/>
    <m/>
    <m/>
    <m/>
  </r>
  <r>
    <s v="2.4.3.1.3"/>
    <s v="CMS M.60.10.000"/>
    <x v="2"/>
    <n v="15"/>
    <s v="CURVA"/>
    <n v="10"/>
    <x v="1"/>
    <s v="NÃO"/>
    <s v="NÃO"/>
    <x v="91"/>
    <x v="3"/>
    <s v="DISPOSIÇÃO DE REJEITOS LINHA DO CIRCUITO ULTRAFINO UNDER DO ES-145A-9901 PARA DISTRIBUIDOR DI-145A-9903"/>
    <m/>
    <m/>
    <m/>
    <s v="1450AA-T-70437_FL33"/>
    <n v="1"/>
    <s v="PÇ"/>
    <n v="0.60599999999999998"/>
    <n v="0.60599999999999998"/>
    <n v="2238.89"/>
    <n v="1356.7673399999999"/>
    <n v="0"/>
    <n v="0.9"/>
    <n v="0.1"/>
    <m/>
    <m/>
    <x v="0"/>
    <m/>
    <m/>
    <m/>
    <m/>
    <m/>
    <m/>
    <m/>
    <m/>
    <m/>
    <m/>
    <m/>
    <m/>
    <m/>
    <m/>
    <m/>
    <m/>
    <m/>
  </r>
  <r>
    <s v="2.4.3.1.3"/>
    <s v="CMS M.60.10.000"/>
    <x v="2"/>
    <n v="16"/>
    <s v="CURVA"/>
    <n v="10"/>
    <x v="1"/>
    <s v="NÃO"/>
    <s v="NÃO"/>
    <x v="91"/>
    <x v="3"/>
    <s v="DISPOSIÇÃO DE REJEITOS LINHA DO CIRCUITO ULTRAFINO UNDER DO ES-145A-9901 PARA DISTRIBUIDOR DI-145A-9903"/>
    <m/>
    <m/>
    <m/>
    <s v="1450AA-T-70437_FL34"/>
    <n v="2"/>
    <s v="PÇ"/>
    <n v="0.69799999999999995"/>
    <n v="1.3959999999999999"/>
    <n v="2238.89"/>
    <n v="3125.4904399999996"/>
    <n v="0"/>
    <n v="0.9"/>
    <n v="0.1"/>
    <m/>
    <m/>
    <x v="0"/>
    <m/>
    <m/>
    <m/>
    <m/>
    <m/>
    <m/>
    <m/>
    <m/>
    <m/>
    <m/>
    <m/>
    <m/>
    <m/>
    <m/>
    <m/>
    <m/>
    <m/>
  </r>
  <r>
    <s v="2.4.3.1.3"/>
    <s v="CMS M.60.10.000"/>
    <x v="2"/>
    <n v="17"/>
    <s v="CURVA"/>
    <n v="10"/>
    <x v="1"/>
    <s v="NÃO"/>
    <s v="NÃO"/>
    <x v="91"/>
    <x v="3"/>
    <s v="DISPOSIÇÃO DE REJEITOS LINHA DO CIRCUITO ULTRAFINO UNDER DO ES-145A-9901 PARA DISTRIBUIDOR DI-145A-9903"/>
    <m/>
    <m/>
    <m/>
    <s v="1450AA-T-70437_FL38"/>
    <n v="2"/>
    <s v="PÇ"/>
    <n v="1.25"/>
    <n v="2.5"/>
    <n v="2238.89"/>
    <n v="5597.2249999999995"/>
    <n v="0"/>
    <n v="0.9"/>
    <n v="0.1"/>
    <m/>
    <m/>
    <x v="0"/>
    <m/>
    <m/>
    <m/>
    <m/>
    <m/>
    <m/>
    <m/>
    <m/>
    <m/>
    <m/>
    <m/>
    <m/>
    <m/>
    <m/>
    <m/>
    <m/>
    <m/>
  </r>
  <r>
    <s v="2.4.3.1.3"/>
    <s v="CMS M.60.10.000"/>
    <x v="2"/>
    <n v="18"/>
    <s v="DERIVAÇÃO"/>
    <n v="10"/>
    <x v="1"/>
    <s v="NÃO"/>
    <s v="NÃO"/>
    <x v="91"/>
    <x v="3"/>
    <s v="DISPOSIÇÃO DE REJEITOS LINHA DO CIRCUITO ULTRAFINO UNDER DO ES-145A-9901 PARA DISTRIBUIDOR DI-145A-9903"/>
    <m/>
    <m/>
    <m/>
    <s v="1450AA-T-70437_FL42"/>
    <n v="1"/>
    <s v="PÇ"/>
    <n v="1.518"/>
    <n v="1.518"/>
    <n v="2238.89"/>
    <n v="3398.6350199999997"/>
    <n v="0"/>
    <n v="0.9"/>
    <n v="0.1"/>
    <m/>
    <m/>
    <x v="0"/>
    <m/>
    <m/>
    <m/>
    <m/>
    <m/>
    <m/>
    <m/>
    <m/>
    <m/>
    <m/>
    <m/>
    <m/>
    <m/>
    <m/>
    <m/>
    <m/>
    <m/>
  </r>
  <r>
    <s v="2.4.3.1.3"/>
    <s v="CMS M.60.10.000"/>
    <x v="2"/>
    <n v="19"/>
    <s v="SPOOL"/>
    <n v="10"/>
    <x v="1"/>
    <s v="NÃO"/>
    <s v="NÃO"/>
    <x v="91"/>
    <x v="3"/>
    <s v="DISPOSIÇÃO DE REJEITOS LINHA DO CIRCUITO ULTRAFINO UNDER DO ES-145A-9901 PARA DISTRIBUIDOR DI-145A-9903"/>
    <m/>
    <m/>
    <m/>
    <s v="1450AA-T-70437_FL43"/>
    <n v="1"/>
    <s v="PÇ"/>
    <n v="1.38"/>
    <n v="1.38"/>
    <n v="2238.89"/>
    <n v="3089.6681999999996"/>
    <n v="0"/>
    <n v="0.9"/>
    <n v="0.1"/>
    <m/>
    <m/>
    <x v="0"/>
    <m/>
    <m/>
    <m/>
    <m/>
    <m/>
    <m/>
    <m/>
    <m/>
    <m/>
    <m/>
    <m/>
    <m/>
    <m/>
    <m/>
    <m/>
    <m/>
    <m/>
  </r>
  <r>
    <s v="2.4.3.1.3"/>
    <s v="CMS M.60.10.000"/>
    <x v="2"/>
    <n v="1"/>
    <s v="SPOOL"/>
    <n v="10"/>
    <x v="1"/>
    <s v="NÃO"/>
    <s v="NÃO"/>
    <x v="92"/>
    <x v="3"/>
    <s v="DISPOSIÇÃO DE REJEITOS LINHA DO CIRCUITO ULTRAFINO UNDER DO ES-145A-9901 PARA DISTRIBUIDOR DI-145A-9903"/>
    <m/>
    <m/>
    <m/>
    <s v="1450AA-T-70439_FL19"/>
    <n v="3"/>
    <s v="PÇ"/>
    <n v="6"/>
    <n v="18"/>
    <n v="2238.89"/>
    <n v="40300.019999999997"/>
    <n v="0"/>
    <n v="0.9"/>
    <n v="0.1"/>
    <m/>
    <m/>
    <x v="0"/>
    <m/>
    <m/>
    <m/>
    <m/>
    <m/>
    <m/>
    <m/>
    <m/>
    <m/>
    <m/>
    <m/>
    <m/>
    <m/>
    <m/>
    <m/>
    <m/>
    <m/>
  </r>
  <r>
    <s v="2.4.3.1.3"/>
    <s v="CMS M.60.10.000"/>
    <x v="2"/>
    <n v="2"/>
    <s v="SPOOL"/>
    <n v="10"/>
    <x v="1"/>
    <s v="NÃO"/>
    <s v="NÃO"/>
    <x v="92"/>
    <x v="3"/>
    <s v="DISPOSIÇÃO DE REJEITOS LINHA DO CIRCUITO ULTRAFINO UNDER DO ES-145A-9901 PARA DISTRIBUIDOR DI-145A-9903"/>
    <m/>
    <m/>
    <m/>
    <s v="1450AA-T-70439_FL17"/>
    <n v="1"/>
    <s v="PÇ"/>
    <n v="4.5"/>
    <n v="4.5"/>
    <n v="2238.89"/>
    <n v="10075.004999999999"/>
    <n v="0"/>
    <n v="0.9"/>
    <n v="0.1"/>
    <m/>
    <m/>
    <x v="0"/>
    <m/>
    <m/>
    <m/>
    <m/>
    <m/>
    <m/>
    <m/>
    <m/>
    <m/>
    <m/>
    <m/>
    <m/>
    <m/>
    <m/>
    <m/>
    <m/>
    <m/>
  </r>
  <r>
    <s v="2.4.3.1.3"/>
    <s v="CMS M.60.10.000"/>
    <x v="2"/>
    <n v="3"/>
    <s v="SPOOL"/>
    <n v="10"/>
    <x v="1"/>
    <s v="NÃO"/>
    <s v="NÃO"/>
    <x v="92"/>
    <x v="3"/>
    <s v="DISPOSIÇÃO DE REJEITOS LINHA DO CIRCUITO ULTRAFINO UNDER DO ES-145A-9901 PARA DISTRIBUIDOR DI-145A-9903"/>
    <m/>
    <m/>
    <m/>
    <s v="1450AA-T-70439_FL15"/>
    <n v="2"/>
    <s v="PÇ"/>
    <n v="3.5"/>
    <n v="7"/>
    <n v="2238.89"/>
    <n v="15672.23"/>
    <n v="0"/>
    <n v="0.9"/>
    <n v="0.1"/>
    <m/>
    <m/>
    <x v="0"/>
    <m/>
    <m/>
    <m/>
    <m/>
    <m/>
    <m/>
    <m/>
    <m/>
    <m/>
    <m/>
    <m/>
    <m/>
    <m/>
    <m/>
    <m/>
    <m/>
    <m/>
  </r>
  <r>
    <s v="2.4.3.1.3"/>
    <s v="CMS M.60.10.000"/>
    <x v="2"/>
    <n v="4"/>
    <s v="SPOOL"/>
    <n v="10"/>
    <x v="1"/>
    <s v="NÃO"/>
    <s v="NÃO"/>
    <x v="92"/>
    <x v="3"/>
    <s v="DISPOSIÇÃO DE REJEITOS LINHA DO CIRCUITO ULTRAFINO UNDER DO ES-145A-9901 PARA DISTRIBUIDOR DI-145A-9903"/>
    <m/>
    <m/>
    <m/>
    <s v="1450AA-T-70439_FL11"/>
    <n v="1"/>
    <s v="PÇ"/>
    <n v="2.2999999999999998"/>
    <n v="2.2999999999999998"/>
    <n v="2238.89"/>
    <n v="5149.4469999999992"/>
    <n v="0"/>
    <n v="0.9"/>
    <n v="0.1"/>
    <m/>
    <m/>
    <x v="0"/>
    <m/>
    <m/>
    <m/>
    <m/>
    <m/>
    <m/>
    <m/>
    <m/>
    <m/>
    <m/>
    <m/>
    <m/>
    <m/>
    <m/>
    <m/>
    <m/>
    <m/>
  </r>
  <r>
    <s v="2.4.3.1.3"/>
    <s v="CMS M.60.10.000"/>
    <x v="2"/>
    <n v="5"/>
    <s v="SPOOL"/>
    <n v="10"/>
    <x v="1"/>
    <s v="NÃO"/>
    <s v="NÃO"/>
    <x v="92"/>
    <x v="3"/>
    <s v="DISPOSIÇÃO DE REJEITOS LINHA DO CIRCUITO ULTRAFINO UNDER DO ES-145A-9901 PARA DISTRIBUIDOR DI-145A-9903"/>
    <m/>
    <m/>
    <m/>
    <s v="1450AA-T-70439_FL08"/>
    <n v="1"/>
    <s v="PÇ"/>
    <n v="1.3"/>
    <n v="1.3"/>
    <n v="2238.89"/>
    <n v="2910.5569999999998"/>
    <n v="0"/>
    <n v="0.9"/>
    <n v="0.1"/>
    <m/>
    <m/>
    <x v="0"/>
    <m/>
    <m/>
    <m/>
    <m/>
    <m/>
    <m/>
    <m/>
    <m/>
    <m/>
    <m/>
    <m/>
    <m/>
    <m/>
    <m/>
    <m/>
    <m/>
    <m/>
  </r>
  <r>
    <s v="2.4.3.1.3"/>
    <s v="CMS M.60.10.000"/>
    <x v="2"/>
    <n v="6"/>
    <s v="SPOOL"/>
    <n v="10"/>
    <x v="2"/>
    <s v="NÃO"/>
    <s v="NÃO"/>
    <x v="92"/>
    <x v="3"/>
    <s v="DISPOSIÇÃO DE REJEITOS LINHA DO CIRCUITO ULTRAFINO UNDER DO ES-145A-9901 PARA DISTRIBUIDOR DI-145A-9903"/>
    <m/>
    <m/>
    <m/>
    <s v="1450AA-T-70439_FL24"/>
    <n v="1"/>
    <s v="PÇ"/>
    <n v="0.6"/>
    <n v="0.6"/>
    <n v="2238.89"/>
    <n v="1343.3339999999998"/>
    <n v="0"/>
    <n v="0.9"/>
    <n v="0.1"/>
    <m/>
    <m/>
    <x v="0"/>
    <m/>
    <m/>
    <m/>
    <m/>
    <m/>
    <m/>
    <m/>
    <m/>
    <m/>
    <m/>
    <m/>
    <m/>
    <m/>
    <m/>
    <m/>
    <m/>
    <m/>
  </r>
  <r>
    <s v="2.4.3.1.3"/>
    <s v="CMS M.60.10.000"/>
    <x v="2"/>
    <n v="7"/>
    <s v="CURVA"/>
    <n v="10"/>
    <x v="1"/>
    <s v="NÃO"/>
    <s v="NÃO"/>
    <x v="92"/>
    <x v="3"/>
    <s v="DISPOSIÇÃO DE REJEITOS LINHA DO CIRCUITO ULTRAFINO UNDER DO ES-145A-9901 PARA DISTRIBUIDOR DI-145A-9903"/>
    <m/>
    <m/>
    <m/>
    <s v="1450AA-T-70439_FL31"/>
    <n v="2"/>
    <s v="PÇ"/>
    <n v="0.46300000000000002"/>
    <n v="0.92600000000000005"/>
    <n v="2238.89"/>
    <n v="2073.2121400000001"/>
    <n v="0"/>
    <n v="0.9"/>
    <n v="0.1"/>
    <m/>
    <m/>
    <x v="0"/>
    <m/>
    <m/>
    <m/>
    <m/>
    <m/>
    <m/>
    <m/>
    <m/>
    <m/>
    <m/>
    <m/>
    <m/>
    <m/>
    <m/>
    <m/>
    <m/>
    <m/>
  </r>
  <r>
    <s v="2.4.3.1.3"/>
    <s v="CMS M.60.10.000"/>
    <x v="2"/>
    <n v="8"/>
    <s v="CURVA"/>
    <n v="10"/>
    <x v="1"/>
    <s v="NÃO"/>
    <s v="NÃO"/>
    <x v="92"/>
    <x v="3"/>
    <s v="DISPOSIÇÃO DE REJEITOS LINHA DO CIRCUITO ULTRAFINO UNDER DO ES-145A-9901 PARA DISTRIBUIDOR DI-145A-9903"/>
    <m/>
    <m/>
    <m/>
    <s v="1450AA-T-70439_FL30"/>
    <n v="2"/>
    <s v="PÇ"/>
    <n v="0.38600000000000001"/>
    <n v="0.77200000000000002"/>
    <n v="2238.89"/>
    <n v="1728.42308"/>
    <n v="0"/>
    <n v="0.9"/>
    <n v="0.1"/>
    <m/>
    <m/>
    <x v="0"/>
    <m/>
    <m/>
    <m/>
    <m/>
    <m/>
    <m/>
    <m/>
    <m/>
    <m/>
    <m/>
    <m/>
    <m/>
    <m/>
    <m/>
    <m/>
    <m/>
    <m/>
  </r>
  <r>
    <s v="2.4.3.1.3"/>
    <s v="CMS M.60.10.000"/>
    <x v="2"/>
    <n v="1"/>
    <s v="SPOOL"/>
    <n v="10"/>
    <x v="1"/>
    <s v="NÃO"/>
    <s v="NÃO"/>
    <x v="93"/>
    <x v="3"/>
    <s v="DISPOSIÇÃO DE REJEITOS LINHA DO CIRCUITO ULTRAFINO UNDER DO ES-145A-9901 PARA DISTRIBUIDOR DI-145A-9903"/>
    <m/>
    <m/>
    <m/>
    <s v="1450AA-T-70439_FL18"/>
    <n v="2"/>
    <s v="PÇ"/>
    <n v="5.5"/>
    <n v="11"/>
    <n v="2238.89"/>
    <n v="24627.789999999997"/>
    <n v="0"/>
    <n v="0.9"/>
    <n v="0.1"/>
    <m/>
    <m/>
    <x v="0"/>
    <m/>
    <m/>
    <m/>
    <m/>
    <m/>
    <m/>
    <m/>
    <m/>
    <m/>
    <m/>
    <m/>
    <m/>
    <m/>
    <m/>
    <m/>
    <m/>
    <m/>
  </r>
  <r>
    <s v="2.4.3.1.3"/>
    <s v="CMS M.60.10.000"/>
    <x v="2"/>
    <n v="2"/>
    <s v="SPOOL"/>
    <n v="10"/>
    <x v="1"/>
    <s v="NÃO"/>
    <s v="NÃO"/>
    <x v="93"/>
    <x v="3"/>
    <s v="DISPOSIÇÃO DE REJEITOS LINHA DO CIRCUITO ULTRAFINO UNDER DO ES-145A-9901 PARA DISTRIBUIDOR DI-145A-9903"/>
    <m/>
    <m/>
    <m/>
    <s v="1450AA-T-70439_FL12"/>
    <n v="1"/>
    <s v="PÇ"/>
    <n v="2.5"/>
    <n v="2.5"/>
    <n v="2238.89"/>
    <n v="5597.2249999999995"/>
    <n v="0"/>
    <n v="0.9"/>
    <n v="0.1"/>
    <m/>
    <m/>
    <x v="0"/>
    <m/>
    <m/>
    <m/>
    <m/>
    <m/>
    <m/>
    <m/>
    <m/>
    <m/>
    <m/>
    <m/>
    <m/>
    <m/>
    <m/>
    <m/>
    <m/>
    <m/>
  </r>
  <r>
    <s v="2.4.3.1.3"/>
    <s v="CMS M.60.10.000"/>
    <x v="2"/>
    <n v="3"/>
    <s v="SPOOL"/>
    <n v="10"/>
    <x v="1"/>
    <s v="NÃO"/>
    <s v="NÃO"/>
    <x v="93"/>
    <x v="3"/>
    <s v="DISPOSIÇÃO DE REJEITOS LINHA DO CIRCUITO ULTRAFINO UNDER DO ES-145A-9901 PARA DISTRIBUIDOR DI-145A-9903"/>
    <m/>
    <m/>
    <m/>
    <s v="1450AA-T-70439_FL15"/>
    <n v="2"/>
    <s v="PÇ"/>
    <n v="3.5"/>
    <n v="7"/>
    <n v="2238.89"/>
    <n v="15672.23"/>
    <n v="0"/>
    <n v="0.9"/>
    <n v="0.1"/>
    <m/>
    <m/>
    <x v="0"/>
    <m/>
    <m/>
    <m/>
    <m/>
    <m/>
    <m/>
    <m/>
    <m/>
    <m/>
    <m/>
    <m/>
    <m/>
    <m/>
    <m/>
    <m/>
    <m/>
    <m/>
  </r>
  <r>
    <s v="2.4.3.1.3"/>
    <s v="CMS M.60.10.000"/>
    <x v="2"/>
    <n v="4"/>
    <s v="SPOOL"/>
    <n v="10"/>
    <x v="1"/>
    <s v="NÃO"/>
    <s v="NÃO"/>
    <x v="93"/>
    <x v="3"/>
    <s v="DISPOSIÇÃO DE REJEITOS LINHA DO CIRCUITO ULTRAFINO UNDER DO ES-145A-9901 PARA DISTRIBUIDOR DI-145A-9903"/>
    <m/>
    <m/>
    <m/>
    <s v="1450AA-T-70439_FL07"/>
    <n v="1"/>
    <s v="PÇ"/>
    <n v="0.7"/>
    <n v="0.7"/>
    <n v="2238.89"/>
    <n v="1567.2229999999997"/>
    <n v="0"/>
    <n v="0.9"/>
    <n v="0.1"/>
    <m/>
    <m/>
    <x v="0"/>
    <m/>
    <m/>
    <m/>
    <m/>
    <m/>
    <m/>
    <m/>
    <m/>
    <m/>
    <m/>
    <m/>
    <m/>
    <m/>
    <m/>
    <m/>
    <m/>
    <m/>
  </r>
  <r>
    <s v="2.4.3.1.3"/>
    <s v="CMS M.60.10.000"/>
    <x v="2"/>
    <n v="5"/>
    <s v="SPOOL"/>
    <n v="10"/>
    <x v="1"/>
    <s v="NÃO"/>
    <s v="NÃO"/>
    <x v="93"/>
    <x v="3"/>
    <s v="DISPOSIÇÃO DE REJEITOS LINHA DO CIRCUITO ULTRAFINO UNDER DO ES-145A-9901 PARA DISTRIBUIDOR DI-145A-9903"/>
    <m/>
    <m/>
    <m/>
    <s v="1450AA-T-70439_FL06"/>
    <n v="1"/>
    <s v="PÇ"/>
    <n v="0.46"/>
    <n v="0.46"/>
    <n v="2238.89"/>
    <n v="1029.8894"/>
    <n v="0"/>
    <n v="0.9"/>
    <n v="0.1"/>
    <m/>
    <m/>
    <x v="0"/>
    <m/>
    <m/>
    <m/>
    <m/>
    <m/>
    <m/>
    <m/>
    <m/>
    <m/>
    <m/>
    <m/>
    <m/>
    <m/>
    <m/>
    <m/>
    <m/>
    <m/>
  </r>
  <r>
    <s v="2.4.3.1.3"/>
    <s v="CMS M.60.10.000"/>
    <x v="2"/>
    <n v="6"/>
    <s v="SPOOL"/>
    <n v="10"/>
    <x v="1"/>
    <s v="NÃO"/>
    <s v="NÃO"/>
    <x v="93"/>
    <x v="3"/>
    <s v="DISPOSIÇÃO DE REJEITOS LINHA DO CIRCUITO ULTRAFINO UNDER DO ES-145A-9901 PARA DISTRIBUIDOR DI-145A-9903"/>
    <m/>
    <m/>
    <m/>
    <s v="1450AA-T-70439_FL13"/>
    <n v="1"/>
    <s v="PÇ"/>
    <n v="2.8570000000000002"/>
    <n v="2.8570000000000002"/>
    <n v="2238.89"/>
    <n v="6396.5087300000005"/>
    <n v="0"/>
    <n v="0.9"/>
    <n v="0.1"/>
    <m/>
    <m/>
    <x v="0"/>
    <m/>
    <m/>
    <m/>
    <m/>
    <m/>
    <m/>
    <m/>
    <m/>
    <m/>
    <m/>
    <m/>
    <m/>
    <m/>
    <m/>
    <m/>
    <m/>
    <m/>
  </r>
  <r>
    <s v="2.4.3.1.3"/>
    <s v="CMS M.60.10.000"/>
    <x v="2"/>
    <n v="7"/>
    <s v="SPOOL"/>
    <n v="10"/>
    <x v="1"/>
    <s v="NÃO"/>
    <s v="NÃO"/>
    <x v="93"/>
    <x v="3"/>
    <s v="DISPOSIÇÃO DE REJEITOS LINHA DO CIRCUITO ULTRAFINO UNDER DO ES-145A-9901 PARA DISTRIBUIDOR DI-145A-9903"/>
    <m/>
    <m/>
    <m/>
    <s v="1450AA-T-70439_FL08"/>
    <n v="1"/>
    <s v="PÇ"/>
    <n v="1.3"/>
    <n v="1.3"/>
    <n v="2238.89"/>
    <n v="2910.5569999999998"/>
    <n v="0"/>
    <n v="0.9"/>
    <n v="0.1"/>
    <m/>
    <m/>
    <x v="0"/>
    <m/>
    <m/>
    <m/>
    <m/>
    <m/>
    <m/>
    <m/>
    <m/>
    <m/>
    <m/>
    <m/>
    <m/>
    <m/>
    <m/>
    <m/>
    <m/>
    <m/>
  </r>
  <r>
    <s v="2.4.3.1.3"/>
    <s v="CMS M.60.10.000"/>
    <x v="2"/>
    <n v="8"/>
    <s v="SPOOL"/>
    <n v="10"/>
    <x v="1"/>
    <s v="NÃO"/>
    <s v="NÃO"/>
    <x v="93"/>
    <x v="3"/>
    <s v="DISPOSIÇÃO DE REJEITOS LINHA DO CIRCUITO ULTRAFINO UNDER DO ES-145A-9901 PARA DISTRIBUIDOR DI-145A-9903"/>
    <m/>
    <m/>
    <m/>
    <s v="1450AA-T-70439_FL10"/>
    <n v="1"/>
    <s v="PÇ"/>
    <n v="2.2850000000000001"/>
    <n v="2.2850000000000001"/>
    <n v="2238.89"/>
    <n v="5115.8636500000002"/>
    <n v="0"/>
    <n v="0.9"/>
    <n v="0.1"/>
    <m/>
    <m/>
    <x v="0"/>
    <m/>
    <m/>
    <m/>
    <m/>
    <m/>
    <m/>
    <m/>
    <m/>
    <m/>
    <m/>
    <m/>
    <m/>
    <m/>
    <m/>
    <m/>
    <m/>
    <m/>
  </r>
  <r>
    <s v="2.4.3.1.3"/>
    <s v="CMS M.60.10.000"/>
    <x v="2"/>
    <n v="9"/>
    <s v="SPOOL"/>
    <n v="10"/>
    <x v="1"/>
    <s v="NÃO"/>
    <s v="NÃO"/>
    <x v="93"/>
    <x v="3"/>
    <s v="DISPOSIÇÃO DE REJEITOS LINHA DO CIRCUITO ULTRAFINO UNDER DO ES-145A-9901 PARA DISTRIBUIDOR DI-145A-9903"/>
    <m/>
    <m/>
    <m/>
    <s v="1450AA-T-70439_FL11"/>
    <n v="1"/>
    <s v="PÇ"/>
    <n v="2.2999999999999998"/>
    <n v="2.2999999999999998"/>
    <n v="2238.89"/>
    <n v="5149.4469999999992"/>
    <n v="0"/>
    <n v="0.9"/>
    <n v="0.1"/>
    <m/>
    <m/>
    <x v="0"/>
    <m/>
    <m/>
    <m/>
    <m/>
    <m/>
    <m/>
    <m/>
    <m/>
    <m/>
    <m/>
    <m/>
    <m/>
    <m/>
    <m/>
    <m/>
    <m/>
    <m/>
  </r>
  <r>
    <s v="2.4.3.1.3"/>
    <s v="CMS M.60.10.000"/>
    <x v="2"/>
    <n v="10"/>
    <s v="SPOOL"/>
    <n v="10"/>
    <x v="2"/>
    <s v="NÃO"/>
    <s v="NÃO"/>
    <x v="93"/>
    <x v="3"/>
    <s v="DISPOSIÇÃO DE REJEITOS LINHA DO CIRCUITO ULTRAFINO UNDER DO ES-145A-9901 PARA DISTRIBUIDOR DI-145A-9903"/>
    <m/>
    <m/>
    <m/>
    <s v="1450AA-T-70439_FL25"/>
    <n v="1"/>
    <s v="PÇ"/>
    <n v="0.62"/>
    <n v="0.62"/>
    <n v="2238.89"/>
    <n v="1388.1117999999999"/>
    <n v="0"/>
    <n v="0.9"/>
    <n v="0.1"/>
    <m/>
    <m/>
    <x v="0"/>
    <m/>
    <m/>
    <m/>
    <m/>
    <m/>
    <m/>
    <m/>
    <m/>
    <m/>
    <m/>
    <m/>
    <m/>
    <m/>
    <m/>
    <m/>
    <m/>
    <m/>
  </r>
  <r>
    <s v="2.4.3.1.3"/>
    <s v="CMS M.60.10.000"/>
    <x v="2"/>
    <n v="11"/>
    <s v="SPOOL"/>
    <n v="10"/>
    <x v="2"/>
    <s v="NÃO"/>
    <s v="NÃO"/>
    <x v="93"/>
    <x v="3"/>
    <s v="DISPOSIÇÃO DE REJEITOS LINHA DO CIRCUITO ULTRAFINO UNDER DO ES-145A-9901 PARA DISTRIBUIDOR DI-145A-9903"/>
    <m/>
    <m/>
    <m/>
    <s v="1450AA-T-70439_FL22"/>
    <n v="1"/>
    <s v="PÇ"/>
    <n v="0.44"/>
    <n v="0.44"/>
    <n v="2238.89"/>
    <n v="985.11159999999995"/>
    <n v="0"/>
    <n v="0.9"/>
    <n v="0.1"/>
    <m/>
    <m/>
    <x v="0"/>
    <m/>
    <m/>
    <m/>
    <m/>
    <m/>
    <m/>
    <m/>
    <m/>
    <m/>
    <m/>
    <m/>
    <m/>
    <m/>
    <m/>
    <m/>
    <m/>
    <m/>
  </r>
  <r>
    <s v="2.4.3.1.3"/>
    <s v="CMS M.60.10.000"/>
    <x v="2"/>
    <n v="12"/>
    <s v="SPOOL"/>
    <n v="10"/>
    <x v="2"/>
    <s v="NÃO"/>
    <s v="NÃO"/>
    <x v="93"/>
    <x v="3"/>
    <s v="DISPOSIÇÃO DE REJEITOS LINHA DO CIRCUITO ULTRAFINO UNDER DO ES-145A-9901 PARA DISTRIBUIDOR DI-145A-9903"/>
    <m/>
    <m/>
    <m/>
    <s v="1450AA-T-70439_FL20"/>
    <n v="1"/>
    <s v="PÇ"/>
    <n v="0.28999999999999998"/>
    <n v="0.28999999999999998"/>
    <n v="2238.89"/>
    <n v="649.27809999999988"/>
    <n v="0"/>
    <n v="0.9"/>
    <n v="0.1"/>
    <m/>
    <m/>
    <x v="0"/>
    <m/>
    <m/>
    <m/>
    <m/>
    <m/>
    <m/>
    <m/>
    <m/>
    <m/>
    <m/>
    <m/>
    <m/>
    <m/>
    <m/>
    <m/>
    <m/>
    <m/>
  </r>
  <r>
    <s v="2.4.3.1.3"/>
    <s v="CMS M.60.10.000"/>
    <x v="2"/>
    <n v="13"/>
    <s v="SPOOL"/>
    <n v="10"/>
    <x v="2"/>
    <s v="NÃO"/>
    <s v="NÃO"/>
    <x v="93"/>
    <x v="3"/>
    <s v="DISPOSIÇÃO DE REJEITOS LINHA DO CIRCUITO ULTRAFINO UNDER DO ES-145A-9901 PARA DISTRIBUIDOR DI-145A-9903"/>
    <m/>
    <m/>
    <m/>
    <s v="1450AA-T-70439_FL23"/>
    <n v="1"/>
    <s v="PÇ"/>
    <n v="0.47"/>
    <n v="0.47"/>
    <n v="2238.89"/>
    <n v="1052.2782999999999"/>
    <n v="0"/>
    <n v="0.9"/>
    <n v="0.1"/>
    <m/>
    <m/>
    <x v="0"/>
    <m/>
    <m/>
    <m/>
    <m/>
    <m/>
    <m/>
    <m/>
    <m/>
    <m/>
    <m/>
    <m/>
    <m/>
    <m/>
    <m/>
    <m/>
    <m/>
    <m/>
  </r>
  <r>
    <s v="2.4.3.1.3"/>
    <s v="CMS M.60.10.000"/>
    <x v="2"/>
    <n v="14"/>
    <s v="CURVA"/>
    <n v="10"/>
    <x v="1"/>
    <s v="NÃO"/>
    <s v="NÃO"/>
    <x v="93"/>
    <x v="3"/>
    <s v="DISPOSIÇÃO DE REJEITOS LINHA DO CIRCUITO ULTRAFINO UNDER DO ES-145A-9901 PARA DISTRIBUIDOR DI-145A-9903"/>
    <m/>
    <m/>
    <m/>
    <s v="1450AA-T-70439_FL32"/>
    <n v="2"/>
    <s v="PÇ"/>
    <n v="0.54100000000000004"/>
    <n v="1.0820000000000001"/>
    <n v="2238.89"/>
    <n v="2422.4789799999999"/>
    <n v="0"/>
    <n v="0.9"/>
    <n v="0.1"/>
    <m/>
    <m/>
    <x v="0"/>
    <m/>
    <m/>
    <m/>
    <m/>
    <m/>
    <m/>
    <m/>
    <m/>
    <m/>
    <m/>
    <m/>
    <m/>
    <m/>
    <m/>
    <m/>
    <m/>
    <m/>
  </r>
  <r>
    <s v="2.4.3.1.3"/>
    <s v="CMS M.60.10.000"/>
    <x v="2"/>
    <n v="15"/>
    <s v="CURVA"/>
    <n v="10"/>
    <x v="1"/>
    <s v="NÃO"/>
    <s v="NÃO"/>
    <x v="93"/>
    <x v="3"/>
    <s v="DISPOSIÇÃO DE REJEITOS LINHA DO CIRCUITO ULTRAFINO UNDER DO ES-145A-9901 PARA DISTRIBUIDOR DI-145A-9903"/>
    <m/>
    <m/>
    <m/>
    <s v="1450AA-T-70439_FL36"/>
    <n v="1"/>
    <s v="PÇ"/>
    <n v="0.85799999999999998"/>
    <n v="0.85799999999999998"/>
    <n v="2238.89"/>
    <n v="1920.9676199999999"/>
    <n v="0"/>
    <n v="0.9"/>
    <n v="0.1"/>
    <m/>
    <m/>
    <x v="0"/>
    <m/>
    <m/>
    <m/>
    <m/>
    <m/>
    <m/>
    <m/>
    <m/>
    <m/>
    <m/>
    <m/>
    <m/>
    <m/>
    <m/>
    <m/>
    <m/>
    <m/>
  </r>
  <r>
    <s v="2.4.3.1.3"/>
    <s v="CMS M.60.10.000"/>
    <x v="2"/>
    <n v="16"/>
    <s v="CURVA"/>
    <n v="10"/>
    <x v="1"/>
    <s v="NÃO"/>
    <s v="NÃO"/>
    <x v="93"/>
    <x v="3"/>
    <s v="DISPOSIÇÃO DE REJEITOS LINHA DO CIRCUITO ULTRAFINO UNDER DO ES-145A-9901 PARA DISTRIBUIDOR DI-145A-9903"/>
    <m/>
    <m/>
    <m/>
    <s v="1450AA-T-70439_FL33"/>
    <n v="1"/>
    <s v="PÇ"/>
    <n v="0.6"/>
    <n v="0.6"/>
    <n v="2238.89"/>
    <n v="1343.3339999999998"/>
    <n v="0"/>
    <n v="0.9"/>
    <n v="0.1"/>
    <m/>
    <m/>
    <x v="0"/>
    <m/>
    <m/>
    <m/>
    <m/>
    <m/>
    <m/>
    <m/>
    <m/>
    <m/>
    <m/>
    <m/>
    <m/>
    <m/>
    <m/>
    <m/>
    <m/>
    <m/>
  </r>
  <r>
    <s v="2.4.3.1.3"/>
    <s v="CMS M.60.10.000"/>
    <x v="2"/>
    <n v="17"/>
    <s v="CURVA"/>
    <n v="10"/>
    <x v="1"/>
    <s v="NÃO"/>
    <s v="NÃO"/>
    <x v="93"/>
    <x v="3"/>
    <s v="DISPOSIÇÃO DE REJEITOS LINHA DO CIRCUITO ULTRAFINO UNDER DO ES-145A-9901 PARA DISTRIBUIDOR DI-145A-9903"/>
    <m/>
    <m/>
    <m/>
    <s v="1450AA-T-70439_FL34"/>
    <n v="2"/>
    <s v="PÇ"/>
    <n v="0.69799999999999995"/>
    <n v="1.3959999999999999"/>
    <n v="2238.89"/>
    <n v="3125.4904399999996"/>
    <n v="0"/>
    <n v="0.9"/>
    <n v="0.1"/>
    <m/>
    <m/>
    <x v="0"/>
    <m/>
    <m/>
    <m/>
    <m/>
    <m/>
    <m/>
    <m/>
    <m/>
    <m/>
    <m/>
    <m/>
    <m/>
    <m/>
    <m/>
    <m/>
    <m/>
    <m/>
  </r>
  <r>
    <s v="2.4.3.1.3"/>
    <s v="CMS M.60.10.000"/>
    <x v="2"/>
    <n v="18"/>
    <s v="CURVA"/>
    <n v="10"/>
    <x v="1"/>
    <s v="NÃO"/>
    <s v="NÃO"/>
    <x v="93"/>
    <x v="3"/>
    <s v="DISPOSIÇÃO DE REJEITOS LINHA DO CIRCUITO ULTRAFINO UNDER DO ES-145A-9901 PARA DISTRIBUIDOR DI-145A-9903"/>
    <m/>
    <m/>
    <m/>
    <s v="1450AA-T-70439_FL39"/>
    <n v="1"/>
    <s v="PÇ"/>
    <n v="1.25"/>
    <n v="1.25"/>
    <n v="2238.89"/>
    <n v="2798.6124999999997"/>
    <n v="0"/>
    <n v="0.9"/>
    <n v="0.1"/>
    <m/>
    <m/>
    <x v="0"/>
    <m/>
    <m/>
    <m/>
    <m/>
    <m/>
    <m/>
    <m/>
    <m/>
    <m/>
    <m/>
    <m/>
    <m/>
    <m/>
    <m/>
    <m/>
    <m/>
    <m/>
  </r>
  <r>
    <s v="2.4.3.1.3"/>
    <s v="CMS M.60.10.000"/>
    <x v="2"/>
    <n v="19"/>
    <s v="DERIVAÇÃO"/>
    <n v="10"/>
    <x v="1"/>
    <s v="NÃO"/>
    <s v="NÃO"/>
    <x v="93"/>
    <x v="3"/>
    <s v="DISPOSIÇÃO DE REJEITOS LINHA DO CIRCUITO ULTRAFINO UNDER DO ES-145A-9901 PARA DISTRIBUIDOR DI-145A-9903"/>
    <m/>
    <m/>
    <m/>
    <s v="1450AA-T-70439_FL43"/>
    <n v="1"/>
    <s v="PÇ"/>
    <n v="1.518"/>
    <n v="1.518"/>
    <n v="2238.89"/>
    <n v="3398.6350199999997"/>
    <n v="0"/>
    <n v="0.9"/>
    <n v="0.1"/>
    <m/>
    <m/>
    <x v="0"/>
    <m/>
    <m/>
    <m/>
    <m/>
    <m/>
    <m/>
    <m/>
    <m/>
    <m/>
    <m/>
    <m/>
    <m/>
    <m/>
    <m/>
    <m/>
    <m/>
    <m/>
  </r>
  <r>
    <s v="2.4.3.1.3"/>
    <s v="CMS M.60.10.000"/>
    <x v="2"/>
    <n v="20"/>
    <s v="SPOOL"/>
    <n v="10"/>
    <x v="1"/>
    <s v="NÃO"/>
    <s v="NÃO"/>
    <x v="93"/>
    <x v="3"/>
    <s v="DISPOSIÇÃO DE REJEITOS LINHA DO CIRCUITO ULTRAFINO UNDER DO ES-145A-9901 PARA DISTRIBUIDOR DI-145A-9903"/>
    <m/>
    <m/>
    <m/>
    <s v="1450AA-T-70439_FL44"/>
    <n v="1"/>
    <s v="PÇ"/>
    <n v="1.38"/>
    <n v="1.38"/>
    <n v="2238.89"/>
    <n v="3089.6681999999996"/>
    <n v="0"/>
    <n v="0.9"/>
    <n v="0.1"/>
    <m/>
    <m/>
    <x v="0"/>
    <m/>
    <m/>
    <m/>
    <m/>
    <m/>
    <m/>
    <m/>
    <m/>
    <m/>
    <m/>
    <m/>
    <m/>
    <m/>
    <m/>
    <m/>
    <m/>
    <m/>
  </r>
  <r>
    <s v="2.4.3.1.3"/>
    <s v="CMS M.60.10.000"/>
    <x v="2"/>
    <n v="22"/>
    <s v="CURVA"/>
    <n v="10"/>
    <x v="1"/>
    <s v="NÃO"/>
    <s v="NÃO"/>
    <x v="93"/>
    <x v="3"/>
    <s v="DISPOSIÇÃO DE REJEITOS LINHA DO CIRCUITO ULTRAFINO UNDER DO ES-145A-9901 PARA DISTRIBUIDOR DI-145A-9903"/>
    <m/>
    <m/>
    <m/>
    <s v="1450AA-T-70439_FL45"/>
    <n v="1"/>
    <s v="PÇ"/>
    <n v="0.72499999999999998"/>
    <n v="0.72499999999999998"/>
    <n v="2238.89"/>
    <n v="1623.1952499999998"/>
    <n v="0"/>
    <n v="0.9"/>
    <n v="0.1"/>
    <m/>
    <m/>
    <x v="0"/>
    <m/>
    <m/>
    <m/>
    <m/>
    <m/>
    <m/>
    <m/>
    <m/>
    <m/>
    <m/>
    <m/>
    <m/>
    <m/>
    <m/>
    <m/>
    <m/>
    <m/>
  </r>
  <r>
    <s v="2.4.3.1.3"/>
    <s v="CMS M.60.10.000"/>
    <x v="2"/>
    <n v="1"/>
    <s v="SPOOL"/>
    <n v="10"/>
    <x v="1"/>
    <s v="NÃO"/>
    <s v="NÃO"/>
    <x v="92"/>
    <x v="3"/>
    <s v="DISPOSIÇÃO DE REJEITOS LINHA DO CIRCUITO ULTRAFINO UNDER DO ES-145A-9901 PARA DISTRIBUIDOR DI-145A-9903"/>
    <m/>
    <m/>
    <m/>
    <s v="1450AA-T-70439_FL14"/>
    <n v="1"/>
    <s v="PÇ"/>
    <n v="3"/>
    <n v="3"/>
    <n v="2238.89"/>
    <n v="6716.67"/>
    <n v="0"/>
    <n v="0.9"/>
    <n v="0.1"/>
    <m/>
    <m/>
    <x v="0"/>
    <m/>
    <m/>
    <m/>
    <m/>
    <m/>
    <m/>
    <m/>
    <m/>
    <m/>
    <m/>
    <m/>
    <m/>
    <m/>
    <m/>
    <m/>
    <m/>
    <m/>
  </r>
  <r>
    <s v="2.4.3.1.3"/>
    <s v="CMS M.60.10.000"/>
    <x v="2"/>
    <n v="2"/>
    <s v="SPOOL"/>
    <n v="10"/>
    <x v="1"/>
    <s v="NÃO"/>
    <s v="NÃO"/>
    <x v="92"/>
    <x v="3"/>
    <s v="DISPOSIÇÃO DE REJEITOS LINHA DO CIRCUITO ULTRAFINO UNDER DO ES-145A-9901 PARA DISTRIBUIDOR DI-145A-9903"/>
    <m/>
    <m/>
    <m/>
    <s v="1450AA-T-70439_FL09"/>
    <n v="1"/>
    <s v="PÇ"/>
    <n v="1.5"/>
    <n v="1.5"/>
    <n v="2238.89"/>
    <n v="3358.335"/>
    <n v="0"/>
    <n v="0.9"/>
    <n v="0.1"/>
    <m/>
    <m/>
    <x v="0"/>
    <m/>
    <m/>
    <m/>
    <m/>
    <m/>
    <m/>
    <m/>
    <m/>
    <m/>
    <m/>
    <m/>
    <m/>
    <m/>
    <m/>
    <m/>
    <m/>
    <m/>
  </r>
  <r>
    <s v="2.4.3.1.3"/>
    <s v="CMS M.60.10.000"/>
    <x v="2"/>
    <n v="3"/>
    <s v="SPOOL"/>
    <n v="10"/>
    <x v="1"/>
    <s v="NÃO"/>
    <s v="NÃO"/>
    <x v="92"/>
    <x v="3"/>
    <s v="DISPOSIÇÃO DE REJEITOS LINHA DO CIRCUITO ULTRAFINO UNDER DO ES-145A-9901 PARA DISTRIBUIDOR DI-145A-9903"/>
    <m/>
    <m/>
    <m/>
    <s v="1450AA-T-70439_FL19"/>
    <n v="5"/>
    <s v="PÇ"/>
    <n v="6"/>
    <n v="30"/>
    <n v="2238.89"/>
    <n v="67166.7"/>
    <n v="0"/>
    <n v="0.9"/>
    <n v="0.1"/>
    <m/>
    <m/>
    <x v="0"/>
    <m/>
    <m/>
    <m/>
    <m/>
    <m/>
    <m/>
    <m/>
    <m/>
    <m/>
    <m/>
    <m/>
    <m/>
    <m/>
    <m/>
    <m/>
    <m/>
    <m/>
  </r>
  <r>
    <s v="2.4.3.1.3"/>
    <s v="CMS M.60.10.000"/>
    <x v="2"/>
    <n v="4"/>
    <s v="SPOOL"/>
    <n v="10"/>
    <x v="1"/>
    <s v="NÃO"/>
    <s v="NÃO"/>
    <x v="92"/>
    <x v="3"/>
    <s v="DISPOSIÇÃO DE REJEITOS LINHA DO CIRCUITO ULTRAFINO UNDER DO ES-145A-9901 PARA DISTRIBUIDOR DI-145A-9903"/>
    <m/>
    <m/>
    <m/>
    <s v="1450AA-T-70439_FL16"/>
    <n v="1"/>
    <s v="PÇ"/>
    <n v="4"/>
    <n v="4"/>
    <n v="2238.89"/>
    <n v="8955.56"/>
    <n v="0"/>
    <n v="0.9"/>
    <n v="0.1"/>
    <m/>
    <m/>
    <x v="0"/>
    <m/>
    <m/>
    <m/>
    <m/>
    <m/>
    <m/>
    <m/>
    <m/>
    <m/>
    <m/>
    <m/>
    <m/>
    <m/>
    <m/>
    <m/>
    <m/>
    <m/>
  </r>
  <r>
    <s v="2.4.3.1.3"/>
    <s v="CMS M.60.10.000"/>
    <x v="2"/>
    <n v="5"/>
    <s v="SPOOL"/>
    <n v="10"/>
    <x v="1"/>
    <s v="NÃO"/>
    <s v="NÃO"/>
    <x v="92"/>
    <x v="3"/>
    <s v="DISPOSIÇÃO DE REJEITOS LINHA DO CIRCUITO ULTRAFINO UNDER DO ES-145A-9901 PARA DISTRIBUIDOR DI-145A-9903"/>
    <m/>
    <m/>
    <m/>
    <s v="1450AA-T-70439_FL12"/>
    <n v="1"/>
    <s v="PÇ"/>
    <n v="2.5"/>
    <n v="2.5"/>
    <n v="2238.89"/>
    <n v="5597.2249999999995"/>
    <n v="0"/>
    <n v="0.9"/>
    <n v="0.1"/>
    <m/>
    <m/>
    <x v="0"/>
    <m/>
    <m/>
    <m/>
    <m/>
    <m/>
    <m/>
    <m/>
    <m/>
    <m/>
    <m/>
    <m/>
    <m/>
    <m/>
    <m/>
    <m/>
    <m/>
    <m/>
  </r>
  <r>
    <s v="2.4.3.1.3"/>
    <s v="CMS M.60.10.000"/>
    <x v="2"/>
    <n v="6"/>
    <s v="SPOOL"/>
    <n v="10"/>
    <x v="2"/>
    <s v="NÃO"/>
    <s v="NÃO"/>
    <x v="92"/>
    <x v="3"/>
    <s v="DISPOSIÇÃO DE REJEITOS LINHA DO CIRCUITO ULTRAFINO UNDER DO ES-145A-9901 PARA DISTRIBUIDOR DI-145A-9903"/>
    <m/>
    <m/>
    <m/>
    <s v="1450AA-T-70439_FL29"/>
    <n v="1"/>
    <s v="PÇ"/>
    <n v="1.2350000000000001"/>
    <n v="1.2350000000000001"/>
    <n v="2238.89"/>
    <n v="2765.0291499999998"/>
    <n v="0"/>
    <n v="0.9"/>
    <n v="0.1"/>
    <m/>
    <m/>
    <x v="0"/>
    <m/>
    <m/>
    <m/>
    <m/>
    <m/>
    <m/>
    <m/>
    <m/>
    <m/>
    <m/>
    <m/>
    <m/>
    <m/>
    <m/>
    <m/>
    <m/>
    <m/>
  </r>
  <r>
    <s v="2.4.3.1.3"/>
    <s v="CMS M.60.10.000"/>
    <x v="2"/>
    <n v="7"/>
    <s v="SPOOL"/>
    <n v="10"/>
    <x v="2"/>
    <s v="NÃO"/>
    <s v="NÃO"/>
    <x v="92"/>
    <x v="3"/>
    <s v="DISPOSIÇÃO DE REJEITOS LINHA DO CIRCUITO ULTRAFINO UNDER DO ES-145A-9901 PARA DISTRIBUIDOR DI-145A-9903"/>
    <m/>
    <m/>
    <m/>
    <s v="1450AA-T-70439_FL27"/>
    <n v="1"/>
    <s v="PÇ"/>
    <n v="0.91"/>
    <n v="0.91"/>
    <n v="2238.89"/>
    <n v="2037.3898999999999"/>
    <n v="0"/>
    <n v="0.9"/>
    <n v="0.1"/>
    <m/>
    <m/>
    <x v="0"/>
    <m/>
    <m/>
    <m/>
    <m/>
    <m/>
    <m/>
    <m/>
    <m/>
    <m/>
    <m/>
    <m/>
    <m/>
    <m/>
    <m/>
    <m/>
    <m/>
    <m/>
  </r>
  <r>
    <s v="2.4.3.1.3"/>
    <s v="CMS M.60.10.000"/>
    <x v="2"/>
    <n v="8"/>
    <s v="SPOOL"/>
    <n v="10"/>
    <x v="2"/>
    <s v="NÃO"/>
    <s v="NÃO"/>
    <x v="92"/>
    <x v="3"/>
    <s v="DISPOSIÇÃO DE REJEITOS LINHA DO CIRCUITO ULTRAFINO UNDER DO ES-145A-9901 PARA DISTRIBUIDOR DI-145A-9903"/>
    <m/>
    <m/>
    <m/>
    <s v="1450AA-T-70439_FL26"/>
    <n v="1"/>
    <s v="PÇ"/>
    <n v="0.8"/>
    <n v="0.8"/>
    <n v="2238.89"/>
    <n v="1791.1120000000001"/>
    <n v="0"/>
    <n v="0.9"/>
    <n v="0.1"/>
    <m/>
    <m/>
    <x v="0"/>
    <m/>
    <m/>
    <m/>
    <m/>
    <m/>
    <m/>
    <m/>
    <m/>
    <m/>
    <m/>
    <m/>
    <m/>
    <m/>
    <m/>
    <m/>
    <m/>
    <m/>
  </r>
  <r>
    <s v="2.4.3.1.3"/>
    <s v="CMS M.60.10.000"/>
    <x v="2"/>
    <n v="9"/>
    <s v="SPOOL"/>
    <n v="10"/>
    <x v="2"/>
    <s v="NÃO"/>
    <s v="NÃO"/>
    <x v="92"/>
    <x v="3"/>
    <s v="DISPOSIÇÃO DE REJEITOS LINHA DO CIRCUITO ULTRAFINO UNDER DO ES-145A-9901 PARA DISTRIBUIDOR DI-145A-9903"/>
    <m/>
    <m/>
    <m/>
    <s v="1450AA-T-70439_FL21"/>
    <n v="1"/>
    <s v="PÇ"/>
    <n v="0.42"/>
    <n v="0.42"/>
    <n v="2238.89"/>
    <n v="940.33379999999988"/>
    <n v="0"/>
    <n v="0.9"/>
    <n v="0.1"/>
    <m/>
    <m/>
    <x v="0"/>
    <m/>
    <m/>
    <m/>
    <m/>
    <m/>
    <m/>
    <m/>
    <m/>
    <m/>
    <m/>
    <m/>
    <m/>
    <m/>
    <m/>
    <m/>
    <m/>
    <m/>
  </r>
  <r>
    <s v="2.4.3.1.3"/>
    <s v="CMS M.60.10.000"/>
    <x v="2"/>
    <n v="10"/>
    <s v="SPOOL"/>
    <n v="10"/>
    <x v="2"/>
    <s v="NÃO"/>
    <s v="NÃO"/>
    <x v="92"/>
    <x v="3"/>
    <s v="DISPOSIÇÃO DE REJEITOS LINHA DO CIRCUITO ULTRAFINO UNDER DO ES-145A-9901 PARA DISTRIBUIDOR DI-145A-9903"/>
    <m/>
    <m/>
    <m/>
    <s v="1450AA-T-70439_FL28"/>
    <n v="1"/>
    <s v="PÇ"/>
    <n v="1.0549999999999999"/>
    <n v="1.0549999999999999"/>
    <n v="2238.89"/>
    <n v="2362.0289499999999"/>
    <n v="0"/>
    <n v="0.9"/>
    <n v="0.1"/>
    <m/>
    <m/>
    <x v="0"/>
    <m/>
    <m/>
    <m/>
    <m/>
    <m/>
    <m/>
    <m/>
    <m/>
    <m/>
    <m/>
    <m/>
    <m/>
    <m/>
    <m/>
    <m/>
    <m/>
    <m/>
  </r>
  <r>
    <s v="2.4.3.1.3"/>
    <s v="CMS M.60.10.000"/>
    <x v="2"/>
    <n v="11"/>
    <s v="CURVA"/>
    <n v="10"/>
    <x v="1"/>
    <s v="NÃO"/>
    <s v="NÃO"/>
    <x v="92"/>
    <x v="3"/>
    <s v="DISPOSIÇÃO DE REJEITOS LINHA DO CIRCUITO ULTRAFINO UNDER DO ES-145A-9901 PARA DISTRIBUIDOR DI-145A-9903"/>
    <m/>
    <m/>
    <m/>
    <s v="1450AA-T-70439_FL42"/>
    <n v="3"/>
    <s v="PÇ"/>
    <n v="1.4059999999999999"/>
    <n v="4.218"/>
    <n v="2238.89"/>
    <n v="9443.6380199999985"/>
    <n v="0"/>
    <n v="0.9"/>
    <n v="0.1"/>
    <m/>
    <m/>
    <x v="0"/>
    <m/>
    <m/>
    <m/>
    <m/>
    <m/>
    <m/>
    <m/>
    <m/>
    <m/>
    <m/>
    <m/>
    <m/>
    <m/>
    <m/>
    <m/>
    <m/>
    <m/>
  </r>
  <r>
    <s v="2.4.3.1.3"/>
    <s v="CMS M.60.10.000"/>
    <x v="2"/>
    <n v="12"/>
    <s v="CURVA"/>
    <n v="10"/>
    <x v="1"/>
    <s v="NÃO"/>
    <s v="NÃO"/>
    <x v="92"/>
    <x v="3"/>
    <s v="DISPOSIÇÃO DE REJEITOS LINHA DO CIRCUITO ULTRAFINO UNDER DO ES-145A-9901 PARA DISTRIBUIDOR DI-145A-9903"/>
    <m/>
    <m/>
    <m/>
    <s v="1450AA-T-70439_FL37"/>
    <n v="1"/>
    <s v="PÇ"/>
    <n v="0.92800000000000005"/>
    <n v="0.92800000000000005"/>
    <n v="2238.89"/>
    <n v="2077.6899199999998"/>
    <n v="0"/>
    <n v="0.9"/>
    <n v="0.1"/>
    <m/>
    <m/>
    <x v="0"/>
    <m/>
    <m/>
    <m/>
    <m/>
    <m/>
    <m/>
    <m/>
    <m/>
    <m/>
    <m/>
    <m/>
    <m/>
    <m/>
    <m/>
    <m/>
    <m/>
    <m/>
  </r>
  <r>
    <s v="2.4.3.1.3"/>
    <s v="CMS M.60.10.000"/>
    <x v="2"/>
    <n v="13"/>
    <s v="CURVA"/>
    <n v="10"/>
    <x v="1"/>
    <s v="NÃO"/>
    <s v="NÃO"/>
    <x v="92"/>
    <x v="3"/>
    <s v="DISPOSIÇÃO DE REJEITOS LINHA DO CIRCUITO ULTRAFINO UNDER DO ES-145A-9901 PARA DISTRIBUIDOR DI-145A-9903"/>
    <m/>
    <m/>
    <m/>
    <s v="1450AA-T-70439_FL40"/>
    <n v="1"/>
    <s v="PÇ"/>
    <n v="1.36"/>
    <n v="1.36"/>
    <n v="2238.89"/>
    <n v="3044.8904000000002"/>
    <n v="0"/>
    <n v="0.9"/>
    <n v="0.1"/>
    <m/>
    <m/>
    <x v="0"/>
    <m/>
    <m/>
    <m/>
    <m/>
    <m/>
    <m/>
    <m/>
    <m/>
    <m/>
    <m/>
    <m/>
    <m/>
    <m/>
    <m/>
    <m/>
    <m/>
    <m/>
  </r>
  <r>
    <s v="2.4.3.1.3"/>
    <s v="CMS M.60.10.000"/>
    <x v="2"/>
    <n v="14"/>
    <s v="CURVA"/>
    <n v="10"/>
    <x v="1"/>
    <s v="NÃO"/>
    <s v="NÃO"/>
    <x v="92"/>
    <x v="3"/>
    <s v="DISPOSIÇÃO DE REJEITOS LINHA DO CIRCUITO ULTRAFINO UNDER DO ES-145A-9901 PARA DISTRIBUIDOR DI-145A-9903"/>
    <m/>
    <m/>
    <m/>
    <s v="1450AA-T-70439_FL35"/>
    <n v="1"/>
    <s v="PÇ"/>
    <n v="0.71399999999999997"/>
    <n v="0.71399999999999997"/>
    <n v="2238.89"/>
    <n v="1598.5674599999998"/>
    <n v="0"/>
    <n v="0.9"/>
    <n v="0.1"/>
    <m/>
    <m/>
    <x v="0"/>
    <m/>
    <m/>
    <m/>
    <m/>
    <m/>
    <m/>
    <m/>
    <m/>
    <m/>
    <m/>
    <m/>
    <m/>
    <m/>
    <m/>
    <m/>
    <m/>
    <m/>
  </r>
  <r>
    <s v="2.4.3.1.3"/>
    <s v="CMS M.60.10.000"/>
    <x v="2"/>
    <n v="15"/>
    <s v="CURVA"/>
    <n v="10"/>
    <x v="1"/>
    <s v="NÃO"/>
    <s v="NÃO"/>
    <x v="92"/>
    <x v="3"/>
    <s v="DISPOSIÇÃO DE REJEITOS LINHA DO CIRCUITO ULTRAFINO UNDER DO ES-145A-9901 PARA DISTRIBUIDOR DI-145A-9903"/>
    <m/>
    <m/>
    <m/>
    <s v="1450AA-T-70439_FL38"/>
    <n v="1"/>
    <s v="PÇ"/>
    <n v="1.1779999999999999"/>
    <n v="1.1779999999999999"/>
    <n v="2238.89"/>
    <n v="2637.4124199999997"/>
    <n v="0"/>
    <n v="0.9"/>
    <n v="0.1"/>
    <m/>
    <m/>
    <x v="0"/>
    <m/>
    <m/>
    <m/>
    <m/>
    <m/>
    <m/>
    <m/>
    <m/>
    <m/>
    <m/>
    <m/>
    <m/>
    <m/>
    <m/>
    <m/>
    <m/>
    <m/>
  </r>
  <r>
    <s v="2.4.3.1.3"/>
    <s v="CMS M.60.10.000"/>
    <x v="2"/>
    <n v="16"/>
    <s v="CURVA"/>
    <n v="10"/>
    <x v="1"/>
    <s v="NÃO"/>
    <s v="NÃO"/>
    <x v="92"/>
    <x v="3"/>
    <s v="DISPOSIÇÃO DE REJEITOS LINHA DO CIRCUITO ULTRAFINO UNDER DO ES-145A-9901 PARA DISTRIBUIDOR DI-145A-9903"/>
    <m/>
    <m/>
    <m/>
    <s v="1450AA-T-70439_FL41"/>
    <n v="1"/>
    <s v="PÇ"/>
    <n v="1.3759999999999999"/>
    <n v="1.3759999999999999"/>
    <n v="2238.89"/>
    <n v="3080.7126399999997"/>
    <n v="0"/>
    <n v="0.9"/>
    <n v="0.1"/>
    <m/>
    <m/>
    <x v="0"/>
    <m/>
    <m/>
    <m/>
    <m/>
    <m/>
    <m/>
    <m/>
    <m/>
    <m/>
    <m/>
    <m/>
    <m/>
    <m/>
    <m/>
    <m/>
    <m/>
    <m/>
  </r>
  <r>
    <s v="2.4.3.1.3"/>
    <s v="CMS M.60.10.000"/>
    <x v="2"/>
    <n v="17"/>
    <s v="SPOOL"/>
    <n v="10"/>
    <x v="1"/>
    <s v="NÃO"/>
    <s v="NÃO"/>
    <x v="92"/>
    <x v="3"/>
    <s v="DISPOSIÇÃO DE REJEITOS LINHA DO CIRCUITO ULTRAFINO UNDER DO ES-145A-9901 PARA DISTRIBUIDOR DI-145A-9903"/>
    <m/>
    <m/>
    <m/>
    <s v="1450AA-T-70439_FL24"/>
    <n v="1"/>
    <s v="PÇ"/>
    <n v="0.6"/>
    <n v="0.6"/>
    <n v="2238.89"/>
    <n v="1343.3339999999998"/>
    <n v="0"/>
    <n v="0.9"/>
    <n v="0.1"/>
    <m/>
    <m/>
    <x v="0"/>
    <m/>
    <m/>
    <m/>
    <m/>
    <m/>
    <m/>
    <m/>
    <m/>
    <m/>
    <m/>
    <m/>
    <m/>
    <m/>
    <m/>
    <m/>
    <m/>
    <m/>
  </r>
  <r>
    <s v="2.4.3.1.6"/>
    <s v="CMS M.60.10.000"/>
    <x v="2"/>
    <n v="1"/>
    <s v="CURVA"/>
    <n v="16"/>
    <x v="1"/>
    <s v="NÃO"/>
    <s v="NÃO"/>
    <x v="94"/>
    <x v="2"/>
    <s v="LINHA DO CIRCUITO ARENOSO DISTRIBUIDOR DI-145A-9911 PARA DISTRIBUIDOR DI 145A-9916"/>
    <m/>
    <m/>
    <m/>
    <s v="1450AA-T-70262_FL23"/>
    <n v="1"/>
    <s v="PÇ"/>
    <n v="1.2090000000000001"/>
    <n v="1.2090000000000001"/>
    <n v="3249.8"/>
    <n v="3929.0082000000007"/>
    <n v="0"/>
    <n v="0.9"/>
    <n v="0.1"/>
    <m/>
    <m/>
    <x v="0"/>
    <m/>
    <m/>
    <m/>
    <m/>
    <m/>
    <m/>
    <m/>
    <m/>
    <m/>
    <m/>
    <m/>
    <m/>
    <m/>
    <m/>
    <m/>
    <m/>
    <m/>
  </r>
  <r>
    <s v="2.4.3.1.5"/>
    <s v="CMS M.60.10.000"/>
    <x v="2"/>
    <n v="2"/>
    <s v="REDUÇÃO"/>
    <s v="16 X 14"/>
    <x v="1"/>
    <s v="NÃO"/>
    <s v="NÃO"/>
    <x v="94"/>
    <x v="2"/>
    <s v="LINHA DO CIRCUITO ARENOSO DISTRIBUIDOR DI-145A-9911 PARA DISTRIBUIDOR DI 145A-9916"/>
    <m/>
    <m/>
    <m/>
    <s v="1450AA-T-70262_FL24"/>
    <n v="1"/>
    <s v="PÇ"/>
    <n v="0.7"/>
    <n v="0.7"/>
    <n v="2725.4"/>
    <n v="1907.78"/>
    <n v="0"/>
    <n v="0.9"/>
    <n v="0.1"/>
    <m/>
    <m/>
    <x v="0"/>
    <m/>
    <m/>
    <m/>
    <m/>
    <m/>
    <m/>
    <m/>
    <m/>
    <m/>
    <m/>
    <m/>
    <m/>
    <m/>
    <m/>
    <m/>
    <m/>
    <m/>
  </r>
  <r>
    <s v="2.4.3.1.5"/>
    <s v="CMS M.60.10.000"/>
    <x v="2"/>
    <n v="3"/>
    <s v="SPOOL"/>
    <n v="14"/>
    <x v="2"/>
    <s v="NÃO"/>
    <s v="NÃO"/>
    <x v="94"/>
    <x v="2"/>
    <s v="LINHA DO CIRCUITO ARENOSO DISTRIBUIDOR DI-145A-9911 PARA DISTRIBUIDOR DI 145A-9916"/>
    <m/>
    <m/>
    <m/>
    <s v="1450AA-T-70262_FL15"/>
    <n v="1"/>
    <s v="PÇ"/>
    <n v="0.35"/>
    <n v="0.35"/>
    <n v="2725.4"/>
    <n v="953.89"/>
    <n v="0"/>
    <n v="0.9"/>
    <n v="0.1"/>
    <m/>
    <m/>
    <x v="0"/>
    <m/>
    <m/>
    <m/>
    <m/>
    <m/>
    <m/>
    <m/>
    <m/>
    <m/>
    <m/>
    <m/>
    <m/>
    <m/>
    <m/>
    <m/>
    <m/>
    <m/>
  </r>
  <r>
    <s v="2.4.3.1.5"/>
    <s v="CMS M.60.10.000"/>
    <x v="2"/>
    <n v="4"/>
    <s v="SPOOL"/>
    <n v="14"/>
    <x v="1"/>
    <s v="NÃO"/>
    <s v="NÃO"/>
    <x v="94"/>
    <x v="2"/>
    <s v="LINHA DO CIRCUITO ARENOSO DISTRIBUIDOR DI-145A-9911 PARA DISTRIBUIDOR DI 145A-9916"/>
    <m/>
    <m/>
    <m/>
    <s v="1450AA-T-70262_FL10"/>
    <n v="1"/>
    <s v="PÇ"/>
    <n v="2.4"/>
    <n v="2.4"/>
    <n v="2725.4"/>
    <n v="6540.96"/>
    <n v="0"/>
    <n v="0.9"/>
    <n v="0.1"/>
    <m/>
    <m/>
    <x v="0"/>
    <m/>
    <m/>
    <m/>
    <m/>
    <m/>
    <m/>
    <m/>
    <m/>
    <m/>
    <m/>
    <m/>
    <m/>
    <m/>
    <m/>
    <m/>
    <m/>
    <m/>
  </r>
  <r>
    <s v="2.4.3.1.5"/>
    <s v="CMS M.60.10.000"/>
    <x v="2"/>
    <n v="5"/>
    <s v="CURVA"/>
    <n v="14"/>
    <x v="1"/>
    <s v="NÃO"/>
    <s v="NÃO"/>
    <x v="94"/>
    <x v="2"/>
    <s v="LINHA DO CIRCUITO ARENOSO DISTRIBUIDOR DI-145A-9911 PARA DISTRIBUIDOR DI 145A-9916"/>
    <m/>
    <m/>
    <m/>
    <s v="1450AA-T-70262_FL19"/>
    <n v="1"/>
    <s v="PÇ"/>
    <n v="0.27200000000000002"/>
    <n v="0.27200000000000002"/>
    <n v="2725.4"/>
    <n v="741.30880000000013"/>
    <n v="0"/>
    <n v="0.9"/>
    <n v="0.1"/>
    <m/>
    <m/>
    <x v="0"/>
    <m/>
    <m/>
    <m/>
    <m/>
    <m/>
    <m/>
    <m/>
    <m/>
    <m/>
    <m/>
    <m/>
    <m/>
    <m/>
    <m/>
    <m/>
    <m/>
    <m/>
  </r>
  <r>
    <s v="2.4.3.1.5"/>
    <s v="CMS M.60.10.000"/>
    <x v="2"/>
    <n v="6"/>
    <s v="SPOOL"/>
    <n v="14"/>
    <x v="1"/>
    <s v="NÃO"/>
    <s v="NÃO"/>
    <x v="94"/>
    <x v="2"/>
    <s v="LINHA DO CIRCUITO ARENOSO DISTRIBUIDOR DI-145A-9911 PARA DISTRIBUIDOR DI 145A-9916"/>
    <m/>
    <m/>
    <m/>
    <s v="1450AA-T-70262_FL13"/>
    <n v="1"/>
    <s v="PÇ"/>
    <n v="4.9829999999999997"/>
    <n v="4.9829999999999997"/>
    <n v="2725.4"/>
    <n v="13580.6682"/>
    <n v="0"/>
    <n v="0.9"/>
    <n v="0.1"/>
    <m/>
    <m/>
    <x v="0"/>
    <m/>
    <m/>
    <m/>
    <m/>
    <m/>
    <m/>
    <m/>
    <m/>
    <m/>
    <m/>
    <m/>
    <m/>
    <m/>
    <m/>
    <m/>
    <m/>
    <m/>
  </r>
  <r>
    <s v="2.4.3.1.5"/>
    <s v="CMS M.60.10.000"/>
    <x v="2"/>
    <n v="7"/>
    <s v="CURVA"/>
    <n v="14"/>
    <x v="1"/>
    <s v="NÃO"/>
    <s v="NÃO"/>
    <x v="94"/>
    <x v="2"/>
    <s v="LINHA DO CIRCUITO ARENOSO DISTRIBUIDOR DI-145A-9911 PARA DISTRIBUIDOR DI 145A-9916"/>
    <m/>
    <m/>
    <m/>
    <s v="1450AA-T-70262_FL21"/>
    <n v="1"/>
    <s v="PÇ"/>
    <n v="1.095"/>
    <n v="1.095"/>
    <n v="2725.4"/>
    <n v="2984.3130000000001"/>
    <n v="0"/>
    <n v="0.9"/>
    <n v="0.1"/>
    <m/>
    <m/>
    <x v="0"/>
    <m/>
    <m/>
    <m/>
    <m/>
    <m/>
    <m/>
    <m/>
    <m/>
    <m/>
    <m/>
    <m/>
    <m/>
    <m/>
    <m/>
    <m/>
    <m/>
    <m/>
  </r>
  <r>
    <s v="2.4.3.1.5"/>
    <s v="CMS M.60.10.000"/>
    <x v="2"/>
    <n v="8"/>
    <s v="SPOOL"/>
    <n v="14"/>
    <x v="1"/>
    <s v="NÃO"/>
    <s v="NÃO"/>
    <x v="94"/>
    <x v="2"/>
    <s v="LINHA DO CIRCUITO ARENOSO DISTRIBUIDOR DI-145A-9911 PARA DISTRIBUIDOR DI 145A-9916"/>
    <m/>
    <m/>
    <m/>
    <s v="1450AA-T-70262_FL14"/>
    <n v="6"/>
    <s v="PÇ"/>
    <n v="6"/>
    <n v="36"/>
    <n v="2725.4"/>
    <n v="98114.400000000009"/>
    <n v="0"/>
    <n v="0.9"/>
    <n v="0.1"/>
    <m/>
    <m/>
    <x v="0"/>
    <m/>
    <m/>
    <m/>
    <m/>
    <m/>
    <m/>
    <m/>
    <m/>
    <m/>
    <m/>
    <m/>
    <m/>
    <m/>
    <m/>
    <m/>
    <m/>
    <m/>
  </r>
  <r>
    <s v="2.4.3.1.5"/>
    <s v="CMS M.60.10.000"/>
    <x v="2"/>
    <n v="9"/>
    <s v="SPOOL"/>
    <n v="14"/>
    <x v="1"/>
    <s v="NÃO"/>
    <s v="NÃO"/>
    <x v="94"/>
    <x v="2"/>
    <s v="LINHA DO CIRCUITO ARENOSO DISTRIBUIDOR DI-145A-9911 PARA DISTRIBUIDOR DI 145A-9916"/>
    <m/>
    <m/>
    <m/>
    <s v="1450AA-T-70262_FL11"/>
    <n v="1"/>
    <s v="PÇ"/>
    <n v="2.6"/>
    <n v="2.6"/>
    <n v="2725.4"/>
    <n v="7086.0400000000009"/>
    <n v="0"/>
    <n v="0.9"/>
    <n v="0.1"/>
    <m/>
    <m/>
    <x v="0"/>
    <m/>
    <m/>
    <m/>
    <m/>
    <m/>
    <m/>
    <m/>
    <m/>
    <m/>
    <m/>
    <m/>
    <m/>
    <m/>
    <m/>
    <m/>
    <m/>
    <m/>
  </r>
  <r>
    <s v="2.4.3.1.5"/>
    <s v="CMS M.60.10.000"/>
    <x v="2"/>
    <n v="10"/>
    <s v="SPOOL"/>
    <n v="14"/>
    <x v="2"/>
    <s v="NÃO"/>
    <s v="NÃO"/>
    <x v="94"/>
    <x v="2"/>
    <s v="LINHA DO CIRCUITO ARENOSO DISTRIBUIDOR DI-145A-9911 PARA DISTRIBUIDOR DI 145A-9916"/>
    <m/>
    <m/>
    <m/>
    <s v="1450AA-T-70262_FL17"/>
    <n v="1"/>
    <s v="PÇ"/>
    <n v="0.41"/>
    <n v="0.41"/>
    <n v="2725.4"/>
    <n v="1117.414"/>
    <n v="0"/>
    <n v="0.9"/>
    <n v="0.1"/>
    <m/>
    <m/>
    <x v="0"/>
    <m/>
    <m/>
    <m/>
    <m/>
    <m/>
    <m/>
    <m/>
    <m/>
    <m/>
    <m/>
    <m/>
    <m/>
    <m/>
    <m/>
    <m/>
    <m/>
    <m/>
  </r>
  <r>
    <s v="2.4.3.1.5"/>
    <s v="CMS M.60.10.000"/>
    <x v="2"/>
    <n v="11"/>
    <s v="CURVA"/>
    <n v="14"/>
    <x v="1"/>
    <s v="NÃO"/>
    <s v="NÃO"/>
    <x v="94"/>
    <x v="2"/>
    <s v="LINHA DO CIRCUITO ARENOSO DISTRIBUIDOR DI-145A-9911 PARA DISTRIBUIDOR DI 145A-9916"/>
    <m/>
    <m/>
    <m/>
    <s v="1450AA-T-70262_FL20"/>
    <n v="2"/>
    <s v="PÇ"/>
    <n v="0.64"/>
    <n v="1.28"/>
    <n v="2725.4"/>
    <n v="3488.5120000000002"/>
    <n v="0"/>
    <n v="0.9"/>
    <n v="0.1"/>
    <m/>
    <m/>
    <x v="0"/>
    <m/>
    <m/>
    <m/>
    <m/>
    <m/>
    <m/>
    <m/>
    <m/>
    <m/>
    <m/>
    <m/>
    <m/>
    <m/>
    <m/>
    <m/>
    <m/>
    <m/>
  </r>
  <r>
    <s v="2.4.3.1.5"/>
    <s v="CMS M.60.10.000"/>
    <x v="2"/>
    <n v="12"/>
    <s v="SPOOL"/>
    <n v="14"/>
    <x v="1"/>
    <s v="NÃO"/>
    <s v="NÃO"/>
    <x v="94"/>
    <x v="2"/>
    <s v="LINHA DO CIRCUITO ARENOSO DISTRIBUIDOR DI-145A-9911 PARA DISTRIBUIDOR DI 145A-9916"/>
    <m/>
    <m/>
    <m/>
    <s v="1450AA-T-70262_FL08"/>
    <n v="1"/>
    <s v="PÇ"/>
    <n v="0.42799999999999999"/>
    <n v="0.42799999999999999"/>
    <n v="2725.4"/>
    <n v="1166.4712"/>
    <n v="0"/>
    <n v="0.9"/>
    <n v="0.1"/>
    <m/>
    <m/>
    <x v="0"/>
    <m/>
    <m/>
    <m/>
    <m/>
    <m/>
    <m/>
    <m/>
    <m/>
    <m/>
    <m/>
    <m/>
    <m/>
    <m/>
    <m/>
    <m/>
    <m/>
    <m/>
  </r>
  <r>
    <s v="2.4.3.1.5"/>
    <s v="CMS M.60.10.000"/>
    <x v="2"/>
    <n v="13"/>
    <s v="SPOOL"/>
    <n v="14"/>
    <x v="1"/>
    <s v="NÃO"/>
    <s v="NÃO"/>
    <x v="94"/>
    <x v="2"/>
    <s v="LINHA DO CIRCUITO ARENOSO DISTRIBUIDOR DI-145A-9911 PARA DISTRIBUIDOR DI 145A-9916"/>
    <m/>
    <m/>
    <m/>
    <s v="1450AA-T-70262_FL12"/>
    <n v="1"/>
    <s v="PÇ"/>
    <n v="4.2"/>
    <n v="4.2"/>
    <n v="2725.4"/>
    <n v="11446.68"/>
    <n v="0"/>
    <n v="0.9"/>
    <n v="0.1"/>
    <m/>
    <m/>
    <x v="0"/>
    <m/>
    <m/>
    <m/>
    <m/>
    <m/>
    <m/>
    <m/>
    <m/>
    <m/>
    <m/>
    <m/>
    <m/>
    <m/>
    <m/>
    <m/>
    <m/>
    <m/>
  </r>
  <r>
    <s v="2.4.3.1.5"/>
    <s v="CMS M.60.10.000"/>
    <x v="2"/>
    <n v="14"/>
    <s v="SPOOL"/>
    <n v="14"/>
    <x v="2"/>
    <s v="NÃO"/>
    <s v="NÃO"/>
    <x v="94"/>
    <x v="2"/>
    <s v="LINHA DO CIRCUITO ARENOSO DISTRIBUIDOR DI-145A-9911 PARA DISTRIBUIDOR DI 145A-9916"/>
    <m/>
    <m/>
    <m/>
    <s v="1450AA-T-70262_FL16"/>
    <n v="1"/>
    <s v="PÇ"/>
    <n v="0.375"/>
    <n v="0.375"/>
    <n v="2725.4"/>
    <n v="1022.0250000000001"/>
    <n v="0"/>
    <n v="0.9"/>
    <n v="0.1"/>
    <m/>
    <m/>
    <x v="0"/>
    <m/>
    <m/>
    <m/>
    <m/>
    <m/>
    <m/>
    <m/>
    <m/>
    <m/>
    <m/>
    <m/>
    <m/>
    <m/>
    <m/>
    <m/>
    <m/>
    <m/>
  </r>
  <r>
    <s v="2.4.3.1.5"/>
    <s v="CMS M.60.10.000"/>
    <x v="2"/>
    <n v="15"/>
    <s v="CURVA"/>
    <n v="14"/>
    <x v="1"/>
    <s v="NÃO"/>
    <s v="NÃO"/>
    <x v="94"/>
    <x v="2"/>
    <s v="LINHA DO CIRCUITO ARENOSO DISTRIBUIDOR DI-145A-9911 PARA DISTRIBUIDOR DI 145A-9916"/>
    <m/>
    <m/>
    <m/>
    <s v="1450AA-T-70262_FL22"/>
    <n v="1"/>
    <s v="PÇ"/>
    <n v="1.927"/>
    <n v="1.927"/>
    <n v="2725.4"/>
    <n v="5251.8458000000001"/>
    <n v="0"/>
    <n v="0.9"/>
    <n v="0.1"/>
    <m/>
    <m/>
    <x v="0"/>
    <m/>
    <m/>
    <m/>
    <m/>
    <m/>
    <m/>
    <m/>
    <m/>
    <m/>
    <m/>
    <m/>
    <m/>
    <m/>
    <m/>
    <m/>
    <m/>
    <m/>
  </r>
  <r>
    <s v="2.4.3.1.5"/>
    <s v="CMS M.60.10.000"/>
    <x v="2"/>
    <n v="16"/>
    <s v="SPOOL"/>
    <n v="14"/>
    <x v="1"/>
    <s v="NÃO"/>
    <s v="NÃO"/>
    <x v="94"/>
    <x v="2"/>
    <s v="LINHA DO CIRCUITO ARENOSO DISTRIBUIDOR DI-145A-9911 PARA DISTRIBUIDOR DI 145A-9916"/>
    <m/>
    <m/>
    <m/>
    <s v="1450AA-T-70262_FL09"/>
    <n v="1"/>
    <s v="PÇ"/>
    <n v="0.5"/>
    <n v="0.5"/>
    <n v="2725.4"/>
    <n v="1362.7"/>
    <n v="0"/>
    <n v="0.9"/>
    <n v="0.1"/>
    <m/>
    <m/>
    <x v="0"/>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4EFD69-BF4D-43A3-A65C-7F49628CFD9D}" name="Tabela dinâmica1" cacheId="1"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location ref="A3:B4" firstHeaderRow="0" firstDataRow="1" firstDataCol="0"/>
  <pivotFields count="4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2">
    <i>
      <x/>
    </i>
    <i i="1">
      <x v="1"/>
    </i>
  </colItems>
  <dataFields count="2">
    <dataField name="Qtd. Fev." fld="30" baseField="6" baseItem="0" numFmtId="43"/>
    <dataField name="Soma de Qtd _x000a_Físico Acum. Anterior" fld="2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344AA3-E0DF-4914-A2A9-5EBD663AE123}" name="Tabela dinâmica1" cacheId="2"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location ref="A3:D6" firstHeaderRow="0" firstDataRow="1" firstDataCol="1"/>
  <pivotFields count="45">
    <pivotField showAll="0"/>
    <pivotField showAll="0"/>
    <pivotField axis="axisRow" showAll="0">
      <items count="4">
        <item h="1" sd="0" x="1"/>
        <item x="2"/>
        <item sd="0" x="0"/>
        <item t="default"/>
      </items>
    </pivotField>
    <pivotField showAll="0"/>
    <pivotField showAll="0"/>
    <pivotField showAll="0"/>
    <pivotField showAll="0">
      <items count="4">
        <item x="1"/>
        <item sd="0" x="2"/>
        <item x="0"/>
        <item t="default"/>
      </items>
    </pivotField>
    <pivotField showAll="0"/>
    <pivotField showAll="0"/>
    <pivotField showAll="0">
      <items count="96">
        <item x="4"/>
        <item x="78"/>
        <item x="79"/>
        <item x="80"/>
        <item x="81"/>
        <item x="82"/>
        <item x="83"/>
        <item x="84"/>
        <item x="85"/>
        <item x="86"/>
        <item x="5"/>
        <item x="6"/>
        <item x="7"/>
        <item x="8"/>
        <item x="9"/>
        <item x="10"/>
        <item x="11"/>
        <item x="12"/>
        <item x="13"/>
        <item x="87"/>
        <item x="88"/>
        <item x="89"/>
        <item x="71"/>
        <item x="72"/>
        <item x="73"/>
        <item x="74"/>
        <item x="75"/>
        <item x="3"/>
        <item x="54"/>
        <item x="53"/>
        <item x="94"/>
        <item x="15"/>
        <item x="16"/>
        <item x="17"/>
        <item x="18"/>
        <item x="19"/>
        <item x="2"/>
        <item x="1"/>
        <item x="14"/>
        <item x="24"/>
        <item x="21"/>
        <item x="25"/>
        <item x="22"/>
        <item x="26"/>
        <item x="23"/>
        <item x="57"/>
        <item x="27"/>
        <item x="58"/>
        <item x="28"/>
        <item x="56"/>
        <item x="62"/>
        <item x="59"/>
        <item x="63"/>
        <item x="60"/>
        <item x="64"/>
        <item x="61"/>
        <item x="68"/>
        <item x="65"/>
        <item x="69"/>
        <item x="66"/>
        <item x="70"/>
        <item x="67"/>
        <item x="76"/>
        <item x="77"/>
        <item x="29"/>
        <item x="30"/>
        <item x="31"/>
        <item x="32"/>
        <item x="33"/>
        <item x="34"/>
        <item x="35"/>
        <item x="36"/>
        <item x="37"/>
        <item x="38"/>
        <item x="39"/>
        <item x="40"/>
        <item x="41"/>
        <item x="42"/>
        <item x="43"/>
        <item x="44"/>
        <item x="45"/>
        <item x="46"/>
        <item x="48"/>
        <item x="49"/>
        <item x="50"/>
        <item x="51"/>
        <item x="52"/>
        <item x="47"/>
        <item x="55"/>
        <item x="91"/>
        <item x="92"/>
        <item x="93"/>
        <item x="20"/>
        <item x="90"/>
        <item x="0"/>
        <item t="default"/>
      </items>
    </pivotField>
    <pivotField showAll="0">
      <items count="5">
        <item x="1"/>
        <item x="2"/>
        <item x="3"/>
        <item sd="0"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dataField="1" showAll="0">
      <items count="3">
        <item x="1"/>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v="1"/>
    </i>
    <i>
      <x v="2"/>
    </i>
    <i t="grand">
      <x/>
    </i>
  </rowItems>
  <colFields count="1">
    <field x="-2"/>
  </colFields>
  <colItems count="3">
    <i>
      <x/>
    </i>
    <i i="1">
      <x v="1"/>
    </i>
    <i i="2">
      <x v="2"/>
    </i>
  </colItems>
  <dataFields count="3">
    <dataField name="Peso Total (m)" fld="19" baseField="2" baseItem="1"/>
    <dataField name="Qtd. Fisico (m)" fld="28" baseField="2" baseItem="1"/>
    <dataField name="Teste hidrostático " fld="27" baseField="2" baseItem="1" numFmtId="4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98B170-DAA1-4CEE-88B2-472D1D2345F6}" name="Tabela dinâmica1" cacheId="0"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location ref="A3:B6" firstHeaderRow="1" firstDataRow="1" firstDataCol="1"/>
  <pivotFields count="18">
    <pivotField axis="axisRow" showAll="0">
      <items count="3">
        <item x="1"/>
        <item x="0"/>
        <item t="default"/>
      </items>
    </pivotField>
    <pivotField showAll="0"/>
    <pivotField showAll="0"/>
    <pivotField showAll="0">
      <items count="3">
        <item x="1"/>
        <item x="0"/>
        <item t="default"/>
      </items>
    </pivotField>
    <pivotField dataField="1"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3">
    <i>
      <x/>
    </i>
    <i>
      <x v="1"/>
    </i>
    <i t="grand">
      <x/>
    </i>
  </rowItems>
  <colItems count="1">
    <i/>
  </colItems>
  <dataFields count="1">
    <dataField name="Soma de COMPRIMENTO"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8" Type="http://schemas.openxmlformats.org/officeDocument/2006/relationships/hyperlink" Target="mailto:17@16" TargetMode="External"/><Relationship Id="rId13" Type="http://schemas.openxmlformats.org/officeDocument/2006/relationships/hyperlink" Target="mailto:12@11" TargetMode="External"/><Relationship Id="rId18" Type="http://schemas.openxmlformats.org/officeDocument/2006/relationships/hyperlink" Target="mailto:08@07" TargetMode="External"/><Relationship Id="rId3" Type="http://schemas.openxmlformats.org/officeDocument/2006/relationships/hyperlink" Target="mailto:22@21" TargetMode="External"/><Relationship Id="rId21" Type="http://schemas.openxmlformats.org/officeDocument/2006/relationships/hyperlink" Target="mailto:08@07" TargetMode="External"/><Relationship Id="rId7" Type="http://schemas.openxmlformats.org/officeDocument/2006/relationships/hyperlink" Target="mailto:18@17" TargetMode="External"/><Relationship Id="rId12" Type="http://schemas.openxmlformats.org/officeDocument/2006/relationships/hyperlink" Target="mailto:13@12" TargetMode="External"/><Relationship Id="rId17" Type="http://schemas.openxmlformats.org/officeDocument/2006/relationships/hyperlink" Target="mailto:08@07" TargetMode="External"/><Relationship Id="rId2" Type="http://schemas.openxmlformats.org/officeDocument/2006/relationships/hyperlink" Target="mailto:23@22" TargetMode="External"/><Relationship Id="rId16" Type="http://schemas.openxmlformats.org/officeDocument/2006/relationships/hyperlink" Target="mailto:09@08" TargetMode="External"/><Relationship Id="rId20" Type="http://schemas.openxmlformats.org/officeDocument/2006/relationships/hyperlink" Target="mailto:08@07" TargetMode="External"/><Relationship Id="rId1" Type="http://schemas.openxmlformats.org/officeDocument/2006/relationships/hyperlink" Target="mailto:24@23" TargetMode="External"/><Relationship Id="rId6" Type="http://schemas.openxmlformats.org/officeDocument/2006/relationships/hyperlink" Target="mailto:19@18" TargetMode="External"/><Relationship Id="rId11" Type="http://schemas.openxmlformats.org/officeDocument/2006/relationships/hyperlink" Target="mailto:14@13" TargetMode="External"/><Relationship Id="rId5" Type="http://schemas.openxmlformats.org/officeDocument/2006/relationships/hyperlink" Target="mailto:20@19" TargetMode="External"/><Relationship Id="rId15" Type="http://schemas.openxmlformats.org/officeDocument/2006/relationships/hyperlink" Target="mailto:10@09" TargetMode="External"/><Relationship Id="rId10" Type="http://schemas.openxmlformats.org/officeDocument/2006/relationships/hyperlink" Target="mailto:15@14" TargetMode="External"/><Relationship Id="rId19" Type="http://schemas.openxmlformats.org/officeDocument/2006/relationships/hyperlink" Target="mailto:08@07" TargetMode="External"/><Relationship Id="rId4" Type="http://schemas.openxmlformats.org/officeDocument/2006/relationships/hyperlink" Target="mailto:21@20" TargetMode="External"/><Relationship Id="rId9" Type="http://schemas.openxmlformats.org/officeDocument/2006/relationships/hyperlink" Target="mailto:16@15" TargetMode="External"/><Relationship Id="rId14" Type="http://schemas.openxmlformats.org/officeDocument/2006/relationships/hyperlink" Target="mailto:11@10" TargetMode="External"/><Relationship Id="rId22"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17F4F-5B68-4BE3-BB25-B0A991AE9477}">
  <sheetPr>
    <tabColor rgb="FF04745F"/>
    <pageSetUpPr fitToPage="1"/>
  </sheetPr>
  <dimension ref="A1:Q794"/>
  <sheetViews>
    <sheetView showGridLines="0" topLeftCell="C1" zoomScaleNormal="100" zoomScaleSheetLayoutView="100" workbookViewId="0">
      <pane ySplit="7" topLeftCell="A752" activePane="bottomLeft" state="frozen"/>
      <selection activeCell="B23" sqref="B23"/>
      <selection pane="bottomLeft" activeCell="B23" sqref="B23"/>
    </sheetView>
  </sheetViews>
  <sheetFormatPr defaultRowHeight="11.25" x14ac:dyDescent="0.25"/>
  <cols>
    <col min="1" max="1" width="8.7109375" style="390" customWidth="1"/>
    <col min="2" max="2" width="63.85546875" style="90" customWidth="1"/>
    <col min="3" max="3" width="6.140625" style="90" bestFit="1" customWidth="1"/>
    <col min="4" max="4" width="3.85546875" style="90" bestFit="1" customWidth="1"/>
    <col min="5" max="6" width="2.7109375" style="90" bestFit="1" customWidth="1"/>
    <col min="7" max="7" width="2.85546875" style="90" bestFit="1" customWidth="1"/>
    <col min="8" max="8" width="3.7109375" style="90" bestFit="1" customWidth="1"/>
    <col min="9" max="9" width="9" style="90" bestFit="1" customWidth="1"/>
    <col min="10" max="10" width="12.42578125" style="90" customWidth="1"/>
    <col min="11" max="11" width="11" style="392" bestFit="1" customWidth="1"/>
    <col min="12" max="12" width="9" style="90" bestFit="1" customWidth="1"/>
    <col min="13" max="13" width="10.7109375" style="90" bestFit="1" customWidth="1"/>
    <col min="14" max="14" width="11" style="90" bestFit="1" customWidth="1"/>
    <col min="15" max="15" width="9" style="90" bestFit="1" customWidth="1"/>
    <col min="16" max="16" width="10.7109375" style="90" bestFit="1" customWidth="1"/>
    <col min="17" max="17" width="11" style="90" bestFit="1" customWidth="1"/>
    <col min="18" max="16384" width="9.140625" style="90"/>
  </cols>
  <sheetData>
    <row r="1" spans="1:17" ht="33.75" customHeight="1" x14ac:dyDescent="0.25">
      <c r="A1" s="418" t="s">
        <v>7055</v>
      </c>
      <c r="B1" s="419"/>
      <c r="C1" s="419"/>
      <c r="D1" s="419"/>
      <c r="E1" s="419"/>
      <c r="F1" s="419"/>
      <c r="G1" s="419"/>
      <c r="H1" s="419"/>
      <c r="I1" s="419"/>
      <c r="J1" s="419"/>
      <c r="K1" s="419"/>
      <c r="L1" s="419"/>
      <c r="M1" s="419"/>
      <c r="N1" s="420"/>
      <c r="O1" s="421" t="s">
        <v>7056</v>
      </c>
      <c r="P1" s="422"/>
      <c r="Q1" s="423"/>
    </row>
    <row r="2" spans="1:17" ht="12" customHeight="1" x14ac:dyDescent="0.25">
      <c r="A2" s="424" t="s">
        <v>7057</v>
      </c>
      <c r="B2" s="425"/>
      <c r="C2" s="425"/>
      <c r="D2" s="425"/>
      <c r="E2" s="425"/>
      <c r="F2" s="425"/>
      <c r="G2" s="425"/>
      <c r="H2" s="425"/>
      <c r="I2" s="425"/>
      <c r="J2" s="425"/>
      <c r="K2" s="425"/>
      <c r="L2" s="425"/>
      <c r="M2" s="425"/>
      <c r="N2" s="426"/>
      <c r="O2" s="427" t="s">
        <v>7058</v>
      </c>
      <c r="P2" s="428"/>
      <c r="Q2" s="429"/>
    </row>
    <row r="3" spans="1:17" ht="12" customHeight="1" x14ac:dyDescent="0.25">
      <c r="A3" s="430" t="s">
        <v>7059</v>
      </c>
      <c r="B3" s="431"/>
      <c r="C3" s="431"/>
      <c r="D3" s="431"/>
      <c r="E3" s="431"/>
      <c r="F3" s="431"/>
      <c r="G3" s="431"/>
      <c r="H3" s="431"/>
      <c r="I3" s="431"/>
      <c r="J3" s="431"/>
      <c r="K3" s="431"/>
      <c r="L3" s="431"/>
      <c r="M3" s="431"/>
      <c r="N3" s="432"/>
      <c r="O3" s="436" t="s">
        <v>7060</v>
      </c>
      <c r="P3" s="437"/>
      <c r="Q3" s="438"/>
    </row>
    <row r="4" spans="1:17" ht="12" customHeight="1" x14ac:dyDescent="0.25">
      <c r="A4" s="430"/>
      <c r="B4" s="431"/>
      <c r="C4" s="431"/>
      <c r="D4" s="431"/>
      <c r="E4" s="431"/>
      <c r="F4" s="431"/>
      <c r="G4" s="431"/>
      <c r="H4" s="431"/>
      <c r="I4" s="431"/>
      <c r="J4" s="431"/>
      <c r="K4" s="431"/>
      <c r="L4" s="431"/>
      <c r="M4" s="431"/>
      <c r="N4" s="432"/>
      <c r="O4" s="427" t="s">
        <v>7061</v>
      </c>
      <c r="P4" s="428"/>
      <c r="Q4" s="429"/>
    </row>
    <row r="5" spans="1:17" ht="12" customHeight="1" x14ac:dyDescent="0.25">
      <c r="A5" s="433"/>
      <c r="B5" s="434"/>
      <c r="C5" s="434"/>
      <c r="D5" s="434"/>
      <c r="E5" s="434"/>
      <c r="F5" s="434"/>
      <c r="G5" s="434"/>
      <c r="H5" s="434"/>
      <c r="I5" s="434"/>
      <c r="J5" s="434"/>
      <c r="K5" s="434"/>
      <c r="L5" s="434"/>
      <c r="M5" s="434"/>
      <c r="N5" s="435"/>
      <c r="O5" s="427" t="s">
        <v>7062</v>
      </c>
      <c r="P5" s="428"/>
      <c r="Q5" s="429"/>
    </row>
    <row r="6" spans="1:17" ht="12" customHeight="1" x14ac:dyDescent="0.25">
      <c r="A6" s="440" t="s">
        <v>34</v>
      </c>
      <c r="B6" s="441" t="s">
        <v>38</v>
      </c>
      <c r="C6" s="441" t="s">
        <v>7063</v>
      </c>
      <c r="D6" s="442" t="s">
        <v>7064</v>
      </c>
      <c r="E6" s="443"/>
      <c r="F6" s="443"/>
      <c r="G6" s="443"/>
      <c r="H6" s="444"/>
      <c r="I6" s="439" t="s">
        <v>7065</v>
      </c>
      <c r="J6" s="439"/>
      <c r="K6" s="439"/>
      <c r="L6" s="439" t="s">
        <v>7066</v>
      </c>
      <c r="M6" s="439"/>
      <c r="N6" s="439"/>
      <c r="O6" s="439" t="s">
        <v>7067</v>
      </c>
      <c r="P6" s="439"/>
      <c r="Q6" s="439"/>
    </row>
    <row r="7" spans="1:17" x14ac:dyDescent="0.25">
      <c r="A7" s="440"/>
      <c r="B7" s="441"/>
      <c r="C7" s="441"/>
      <c r="D7" s="445"/>
      <c r="E7" s="446"/>
      <c r="F7" s="446"/>
      <c r="G7" s="446"/>
      <c r="H7" s="447"/>
      <c r="I7" s="91" t="s">
        <v>7068</v>
      </c>
      <c r="J7" s="92" t="s">
        <v>7069</v>
      </c>
      <c r="K7" s="92" t="s">
        <v>7070</v>
      </c>
      <c r="L7" s="91" t="s">
        <v>7068</v>
      </c>
      <c r="M7" s="92" t="s">
        <v>7069</v>
      </c>
      <c r="N7" s="92" t="s">
        <v>7070</v>
      </c>
      <c r="O7" s="91" t="s">
        <v>7068</v>
      </c>
      <c r="P7" s="92" t="s">
        <v>7069</v>
      </c>
      <c r="Q7" s="92" t="s">
        <v>7070</v>
      </c>
    </row>
    <row r="8" spans="1:17" x14ac:dyDescent="0.25">
      <c r="A8" s="93" t="s">
        <v>4250</v>
      </c>
      <c r="B8" s="93" t="s">
        <v>7071</v>
      </c>
      <c r="C8" s="94"/>
      <c r="D8" s="95"/>
      <c r="E8" s="96"/>
      <c r="F8" s="97"/>
      <c r="G8" s="97"/>
      <c r="H8" s="98"/>
      <c r="I8" s="99"/>
      <c r="J8" s="100"/>
      <c r="K8" s="101"/>
      <c r="L8" s="99"/>
      <c r="M8" s="100"/>
      <c r="N8" s="101"/>
      <c r="O8" s="99"/>
      <c r="P8" s="100"/>
      <c r="Q8" s="101"/>
    </row>
    <row r="9" spans="1:17" x14ac:dyDescent="0.25">
      <c r="A9" s="102" t="s">
        <v>7072</v>
      </c>
      <c r="B9" s="102" t="s">
        <v>7073</v>
      </c>
      <c r="C9" s="103"/>
      <c r="D9" s="103"/>
      <c r="E9" s="104"/>
      <c r="F9" s="105"/>
      <c r="G9" s="105"/>
      <c r="H9" s="106"/>
      <c r="I9" s="107"/>
      <c r="J9" s="108"/>
      <c r="K9" s="109"/>
      <c r="L9" s="107"/>
      <c r="M9" s="108"/>
      <c r="N9" s="109"/>
      <c r="O9" s="107"/>
      <c r="P9" s="108"/>
      <c r="Q9" s="109"/>
    </row>
    <row r="10" spans="1:17" x14ac:dyDescent="0.25">
      <c r="A10" s="110" t="s">
        <v>7074</v>
      </c>
      <c r="B10" s="110" t="s">
        <v>7075</v>
      </c>
      <c r="C10" s="111"/>
      <c r="D10" s="111"/>
      <c r="E10" s="112"/>
      <c r="F10" s="113"/>
      <c r="G10" s="113"/>
      <c r="H10" s="114"/>
      <c r="I10" s="115"/>
      <c r="J10" s="116"/>
      <c r="K10" s="117"/>
      <c r="L10" s="115"/>
      <c r="M10" s="116"/>
      <c r="N10" s="117"/>
      <c r="O10" s="115"/>
      <c r="P10" s="116"/>
      <c r="Q10" s="117"/>
    </row>
    <row r="11" spans="1:17" x14ac:dyDescent="0.25">
      <c r="A11" s="118" t="s">
        <v>7076</v>
      </c>
      <c r="B11" s="118" t="s">
        <v>7077</v>
      </c>
      <c r="C11" s="119"/>
      <c r="D11" s="119"/>
      <c r="E11" s="120"/>
      <c r="F11" s="121"/>
      <c r="G11" s="121"/>
      <c r="H11" s="122"/>
      <c r="I11" s="123"/>
      <c r="J11" s="124"/>
      <c r="K11" s="125"/>
      <c r="L11" s="123"/>
      <c r="M11" s="124"/>
      <c r="N11" s="125"/>
      <c r="O11" s="123"/>
      <c r="P11" s="124"/>
      <c r="Q11" s="125"/>
    </row>
    <row r="12" spans="1:17" x14ac:dyDescent="0.25">
      <c r="A12" s="126" t="s">
        <v>44</v>
      </c>
      <c r="B12" s="126" t="s">
        <v>7078</v>
      </c>
      <c r="C12" s="127" t="s">
        <v>48</v>
      </c>
      <c r="D12" s="127" t="s">
        <v>1</v>
      </c>
      <c r="E12" s="128" t="s">
        <v>7079</v>
      </c>
      <c r="F12" s="128">
        <v>5</v>
      </c>
      <c r="G12" s="128">
        <v>20</v>
      </c>
      <c r="H12" s="129">
        <v>1</v>
      </c>
      <c r="I12" s="130">
        <v>1</v>
      </c>
      <c r="J12" s="131">
        <v>176793.29</v>
      </c>
      <c r="K12" s="132">
        <f>ROUND(I12*J12,2)</f>
        <v>176793.29</v>
      </c>
      <c r="L12" s="130"/>
      <c r="M12" s="131"/>
      <c r="N12" s="132"/>
      <c r="O12" s="130">
        <f>SUM(L12,I12)</f>
        <v>1</v>
      </c>
      <c r="P12" s="131">
        <f>IF(M12&lt;&gt;"",M12,J12)</f>
        <v>176793.29</v>
      </c>
      <c r="Q12" s="132">
        <f>ROUND(O12*P12,2)</f>
        <v>176793.29</v>
      </c>
    </row>
    <row r="13" spans="1:17" x14ac:dyDescent="0.25">
      <c r="A13" s="126" t="s">
        <v>50</v>
      </c>
      <c r="B13" s="126" t="s">
        <v>7080</v>
      </c>
      <c r="C13" s="127" t="s">
        <v>48</v>
      </c>
      <c r="D13" s="127" t="s">
        <v>1</v>
      </c>
      <c r="E13" s="128" t="s">
        <v>7079</v>
      </c>
      <c r="F13" s="128">
        <v>5</v>
      </c>
      <c r="G13" s="128">
        <v>20</v>
      </c>
      <c r="H13" s="129">
        <v>2</v>
      </c>
      <c r="I13" s="130">
        <v>1</v>
      </c>
      <c r="J13" s="131">
        <v>26287</v>
      </c>
      <c r="K13" s="132">
        <f t="shared" ref="K13:K71" si="0">ROUND(I13*J13,2)</f>
        <v>26287</v>
      </c>
      <c r="L13" s="130"/>
      <c r="M13" s="131"/>
      <c r="N13" s="132"/>
      <c r="O13" s="130">
        <f>SUM(L13,I13)</f>
        <v>1</v>
      </c>
      <c r="P13" s="131">
        <f>IF(M13&lt;&gt;"",M13,J13)</f>
        <v>26287</v>
      </c>
      <c r="Q13" s="132">
        <f>ROUND(O13*P13,2)</f>
        <v>26287</v>
      </c>
    </row>
    <row r="14" spans="1:17" x14ac:dyDescent="0.25">
      <c r="A14" s="133" t="s">
        <v>7081</v>
      </c>
      <c r="B14" s="133" t="s">
        <v>7082</v>
      </c>
      <c r="C14" s="134"/>
      <c r="D14" s="134"/>
      <c r="E14" s="135"/>
      <c r="F14" s="136"/>
      <c r="G14" s="136"/>
      <c r="H14" s="137"/>
      <c r="I14" s="138"/>
      <c r="J14" s="139" t="s">
        <v>7083</v>
      </c>
      <c r="K14" s="140"/>
      <c r="L14" s="138"/>
      <c r="M14" s="139" t="s">
        <v>7083</v>
      </c>
      <c r="N14" s="140"/>
      <c r="O14" s="138"/>
      <c r="P14" s="139" t="s">
        <v>7083</v>
      </c>
      <c r="Q14" s="140"/>
    </row>
    <row r="15" spans="1:17" x14ac:dyDescent="0.25">
      <c r="A15" s="141" t="s">
        <v>7084</v>
      </c>
      <c r="B15" s="141" t="s">
        <v>7085</v>
      </c>
      <c r="C15" s="142"/>
      <c r="D15" s="142"/>
      <c r="E15" s="143"/>
      <c r="F15" s="143"/>
      <c r="G15" s="143"/>
      <c r="H15" s="144"/>
      <c r="I15" s="145"/>
      <c r="J15" s="146" t="s">
        <v>7083</v>
      </c>
      <c r="K15" s="147"/>
      <c r="L15" s="145"/>
      <c r="M15" s="146" t="s">
        <v>7083</v>
      </c>
      <c r="N15" s="147"/>
      <c r="O15" s="145"/>
      <c r="P15" s="146" t="s">
        <v>7083</v>
      </c>
      <c r="Q15" s="147"/>
    </row>
    <row r="16" spans="1:17" x14ac:dyDescent="0.25">
      <c r="A16" s="126" t="s">
        <v>7086</v>
      </c>
      <c r="B16" s="126" t="s">
        <v>7087</v>
      </c>
      <c r="C16" s="127" t="s">
        <v>48</v>
      </c>
      <c r="D16" s="127" t="s">
        <v>1</v>
      </c>
      <c r="E16" s="128" t="s">
        <v>7079</v>
      </c>
      <c r="F16" s="128">
        <v>50</v>
      </c>
      <c r="G16" s="128">
        <v>50</v>
      </c>
      <c r="H16" s="129">
        <v>50</v>
      </c>
      <c r="I16" s="130">
        <v>1</v>
      </c>
      <c r="J16" s="131">
        <v>6643321.5800000001</v>
      </c>
      <c r="K16" s="132">
        <f t="shared" si="0"/>
        <v>6643321.5800000001</v>
      </c>
      <c r="L16" s="130"/>
      <c r="M16" s="131"/>
      <c r="N16" s="132"/>
      <c r="O16" s="130">
        <f>SUM(L16,I16)</f>
        <v>1</v>
      </c>
      <c r="P16" s="131">
        <f>IF(M16&lt;&gt;"",M16,J16)</f>
        <v>6643321.5800000001</v>
      </c>
      <c r="Q16" s="132">
        <f>ROUND(O16*P16,2)</f>
        <v>6643321.5800000001</v>
      </c>
    </row>
    <row r="17" spans="1:17" x14ac:dyDescent="0.25">
      <c r="A17" s="141" t="s">
        <v>7088</v>
      </c>
      <c r="B17" s="141" t="s">
        <v>7089</v>
      </c>
      <c r="C17" s="142"/>
      <c r="D17" s="142"/>
      <c r="E17" s="143"/>
      <c r="F17" s="143"/>
      <c r="G17" s="143"/>
      <c r="H17" s="144"/>
      <c r="I17" s="145"/>
      <c r="J17" s="146" t="s">
        <v>7083</v>
      </c>
      <c r="K17" s="147"/>
      <c r="L17" s="145"/>
      <c r="M17" s="146" t="s">
        <v>7083</v>
      </c>
      <c r="N17" s="147"/>
      <c r="O17" s="145"/>
      <c r="P17" s="146" t="s">
        <v>7083</v>
      </c>
      <c r="Q17" s="147"/>
    </row>
    <row r="18" spans="1:17" x14ac:dyDescent="0.25">
      <c r="A18" s="126" t="s">
        <v>7090</v>
      </c>
      <c r="B18" s="126" t="s">
        <v>7091</v>
      </c>
      <c r="C18" s="127" t="s">
        <v>48</v>
      </c>
      <c r="D18" s="127" t="s">
        <v>1</v>
      </c>
      <c r="E18" s="128" t="s">
        <v>7079</v>
      </c>
      <c r="F18" s="128">
        <v>5</v>
      </c>
      <c r="G18" s="128">
        <v>5</v>
      </c>
      <c r="H18" s="129">
        <v>100</v>
      </c>
      <c r="I18" s="130">
        <v>1</v>
      </c>
      <c r="J18" s="131">
        <v>1301170.19</v>
      </c>
      <c r="K18" s="132">
        <f t="shared" si="0"/>
        <v>1301170.19</v>
      </c>
      <c r="L18" s="130"/>
      <c r="M18" s="131"/>
      <c r="N18" s="132"/>
      <c r="O18" s="130">
        <f t="shared" ref="O18:O21" si="1">SUM(L18,I18)</f>
        <v>1</v>
      </c>
      <c r="P18" s="131">
        <f t="shared" ref="P18:P21" si="2">IF(M18&lt;&gt;"",M18,J18)</f>
        <v>1301170.19</v>
      </c>
      <c r="Q18" s="132">
        <f t="shared" ref="Q18:Q21" si="3">ROUND(O18*P18,2)</f>
        <v>1301170.19</v>
      </c>
    </row>
    <row r="19" spans="1:17" x14ac:dyDescent="0.25">
      <c r="A19" s="126" t="s">
        <v>7092</v>
      </c>
      <c r="B19" s="126" t="s">
        <v>7093</v>
      </c>
      <c r="C19" s="127" t="s">
        <v>48</v>
      </c>
      <c r="D19" s="127" t="s">
        <v>1</v>
      </c>
      <c r="E19" s="128" t="s">
        <v>7079</v>
      </c>
      <c r="F19" s="128">
        <v>5</v>
      </c>
      <c r="G19" s="128">
        <v>5</v>
      </c>
      <c r="H19" s="129">
        <v>100</v>
      </c>
      <c r="I19" s="130">
        <v>1</v>
      </c>
      <c r="J19" s="131">
        <v>532538.97</v>
      </c>
      <c r="K19" s="132">
        <f t="shared" si="0"/>
        <v>532538.97</v>
      </c>
      <c r="L19" s="130"/>
      <c r="M19" s="131"/>
      <c r="N19" s="132"/>
      <c r="O19" s="130">
        <f t="shared" si="1"/>
        <v>1</v>
      </c>
      <c r="P19" s="131">
        <f t="shared" si="2"/>
        <v>532538.97</v>
      </c>
      <c r="Q19" s="132">
        <f t="shared" si="3"/>
        <v>532538.97</v>
      </c>
    </row>
    <row r="20" spans="1:17" x14ac:dyDescent="0.25">
      <c r="A20" s="126" t="s">
        <v>7094</v>
      </c>
      <c r="B20" s="126" t="s">
        <v>7095</v>
      </c>
      <c r="C20" s="127" t="s">
        <v>48</v>
      </c>
      <c r="D20" s="127" t="s">
        <v>1</v>
      </c>
      <c r="E20" s="128" t="s">
        <v>7079</v>
      </c>
      <c r="F20" s="128">
        <v>5</v>
      </c>
      <c r="G20" s="128">
        <v>5</v>
      </c>
      <c r="H20" s="129">
        <v>200</v>
      </c>
      <c r="I20" s="130">
        <v>1</v>
      </c>
      <c r="J20" s="131">
        <v>69532.78</v>
      </c>
      <c r="K20" s="132">
        <f t="shared" si="0"/>
        <v>69532.78</v>
      </c>
      <c r="L20" s="130"/>
      <c r="M20" s="131"/>
      <c r="N20" s="132"/>
      <c r="O20" s="130">
        <f t="shared" si="1"/>
        <v>1</v>
      </c>
      <c r="P20" s="131">
        <f t="shared" si="2"/>
        <v>69532.78</v>
      </c>
      <c r="Q20" s="132">
        <f t="shared" si="3"/>
        <v>69532.78</v>
      </c>
    </row>
    <row r="21" spans="1:17" x14ac:dyDescent="0.25">
      <c r="A21" s="126" t="s">
        <v>7096</v>
      </c>
      <c r="B21" s="126" t="s">
        <v>7097</v>
      </c>
      <c r="C21" s="127" t="s">
        <v>48</v>
      </c>
      <c r="D21" s="127" t="s">
        <v>1</v>
      </c>
      <c r="E21" s="128" t="s">
        <v>7079</v>
      </c>
      <c r="F21" s="128">
        <v>5</v>
      </c>
      <c r="G21" s="128">
        <v>5</v>
      </c>
      <c r="H21" s="129">
        <v>200</v>
      </c>
      <c r="I21" s="130">
        <v>1</v>
      </c>
      <c r="J21" s="131">
        <v>26896.65</v>
      </c>
      <c r="K21" s="132">
        <f t="shared" si="0"/>
        <v>26896.65</v>
      </c>
      <c r="L21" s="130"/>
      <c r="M21" s="131"/>
      <c r="N21" s="132"/>
      <c r="O21" s="130">
        <f t="shared" si="1"/>
        <v>1</v>
      </c>
      <c r="P21" s="131">
        <f t="shared" si="2"/>
        <v>26896.65</v>
      </c>
      <c r="Q21" s="132">
        <f t="shared" si="3"/>
        <v>26896.65</v>
      </c>
    </row>
    <row r="22" spans="1:17" x14ac:dyDescent="0.25">
      <c r="A22" s="141" t="s">
        <v>7098</v>
      </c>
      <c r="B22" s="141" t="s">
        <v>7099</v>
      </c>
      <c r="C22" s="142"/>
      <c r="D22" s="142"/>
      <c r="E22" s="143"/>
      <c r="F22" s="143"/>
      <c r="G22" s="143"/>
      <c r="H22" s="144"/>
      <c r="I22" s="145"/>
      <c r="J22" s="146" t="s">
        <v>7083</v>
      </c>
      <c r="K22" s="147"/>
      <c r="L22" s="145"/>
      <c r="M22" s="146" t="s">
        <v>7083</v>
      </c>
      <c r="N22" s="147"/>
      <c r="O22" s="145"/>
      <c r="P22" s="146" t="s">
        <v>7083</v>
      </c>
      <c r="Q22" s="147"/>
    </row>
    <row r="23" spans="1:17" x14ac:dyDescent="0.25">
      <c r="A23" s="126" t="s">
        <v>7100</v>
      </c>
      <c r="B23" s="126" t="s">
        <v>7101</v>
      </c>
      <c r="C23" s="127" t="s">
        <v>48</v>
      </c>
      <c r="D23" s="127" t="s">
        <v>1</v>
      </c>
      <c r="E23" s="128" t="s">
        <v>7079</v>
      </c>
      <c r="F23" s="128">
        <v>5</v>
      </c>
      <c r="G23" s="128">
        <v>5</v>
      </c>
      <c r="H23" s="129">
        <v>25</v>
      </c>
      <c r="I23" s="130">
        <v>1</v>
      </c>
      <c r="J23" s="131">
        <v>62210.53</v>
      </c>
      <c r="K23" s="132">
        <f t="shared" si="0"/>
        <v>62210.53</v>
      </c>
      <c r="L23" s="130"/>
      <c r="M23" s="131"/>
      <c r="N23" s="132"/>
      <c r="O23" s="130">
        <f t="shared" ref="O23:O24" si="4">SUM(L23,I23)</f>
        <v>1</v>
      </c>
      <c r="P23" s="131">
        <f t="shared" ref="P23:P24" si="5">IF(M23&lt;&gt;"",M23,J23)</f>
        <v>62210.53</v>
      </c>
      <c r="Q23" s="132">
        <f t="shared" ref="Q23:Q24" si="6">ROUND(O23*P23,2)</f>
        <v>62210.53</v>
      </c>
    </row>
    <row r="24" spans="1:17" x14ac:dyDescent="0.25">
      <c r="A24" s="126" t="s">
        <v>7102</v>
      </c>
      <c r="B24" s="126" t="s">
        <v>7103</v>
      </c>
      <c r="C24" s="127" t="s">
        <v>48</v>
      </c>
      <c r="D24" s="127" t="s">
        <v>1</v>
      </c>
      <c r="E24" s="128" t="s">
        <v>7079</v>
      </c>
      <c r="F24" s="128">
        <v>5</v>
      </c>
      <c r="G24" s="128">
        <v>5</v>
      </c>
      <c r="H24" s="129">
        <v>50</v>
      </c>
      <c r="I24" s="130">
        <v>1</v>
      </c>
      <c r="J24" s="131">
        <v>50411.35</v>
      </c>
      <c r="K24" s="132">
        <f t="shared" si="0"/>
        <v>50411.35</v>
      </c>
      <c r="L24" s="130"/>
      <c r="M24" s="131"/>
      <c r="N24" s="132"/>
      <c r="O24" s="130">
        <f t="shared" si="4"/>
        <v>1</v>
      </c>
      <c r="P24" s="131">
        <f t="shared" si="5"/>
        <v>50411.35</v>
      </c>
      <c r="Q24" s="132">
        <f t="shared" si="6"/>
        <v>50411.35</v>
      </c>
    </row>
    <row r="25" spans="1:17" x14ac:dyDescent="0.25">
      <c r="A25" s="148" t="s">
        <v>7083</v>
      </c>
      <c r="B25" s="148" t="s">
        <v>7104</v>
      </c>
      <c r="C25" s="149"/>
      <c r="D25" s="149"/>
      <c r="E25" s="150"/>
      <c r="F25" s="150"/>
      <c r="G25" s="150"/>
      <c r="H25" s="151"/>
      <c r="I25" s="152"/>
      <c r="J25" s="153"/>
      <c r="K25" s="154">
        <f>SUBTOTAL(9,K12:K24)</f>
        <v>8889162.3399999999</v>
      </c>
      <c r="L25" s="152"/>
      <c r="M25" s="153"/>
      <c r="N25" s="154">
        <f>SUBTOTAL(9,N12:N24)</f>
        <v>0</v>
      </c>
      <c r="O25" s="152"/>
      <c r="P25" s="153"/>
      <c r="Q25" s="154">
        <f>SUBTOTAL(9,Q12:Q24)</f>
        <v>8889162.3399999999</v>
      </c>
    </row>
    <row r="26" spans="1:17" x14ac:dyDescent="0.25">
      <c r="A26" s="155" t="s">
        <v>7105</v>
      </c>
      <c r="B26" s="155" t="s">
        <v>7106</v>
      </c>
      <c r="C26" s="95"/>
      <c r="D26" s="95"/>
      <c r="E26" s="96"/>
      <c r="F26" s="97"/>
      <c r="G26" s="97"/>
      <c r="H26" s="98"/>
      <c r="I26" s="156"/>
      <c r="J26" s="157"/>
      <c r="K26" s="158"/>
      <c r="L26" s="156"/>
      <c r="M26" s="157"/>
      <c r="N26" s="158"/>
      <c r="O26" s="156"/>
      <c r="P26" s="157"/>
      <c r="Q26" s="158"/>
    </row>
    <row r="27" spans="1:17" x14ac:dyDescent="0.25">
      <c r="A27" s="159" t="s">
        <v>7107</v>
      </c>
      <c r="B27" s="159" t="s">
        <v>7108</v>
      </c>
      <c r="C27" s="160"/>
      <c r="D27" s="160"/>
      <c r="E27" s="161"/>
      <c r="F27" s="105"/>
      <c r="G27" s="105"/>
      <c r="H27" s="106"/>
      <c r="I27" s="162"/>
      <c r="J27" s="108"/>
      <c r="K27" s="109"/>
      <c r="L27" s="162"/>
      <c r="M27" s="108"/>
      <c r="N27" s="109"/>
      <c r="O27" s="162"/>
      <c r="P27" s="108"/>
      <c r="Q27" s="109"/>
    </row>
    <row r="28" spans="1:17" x14ac:dyDescent="0.25">
      <c r="A28" s="133" t="s">
        <v>7109</v>
      </c>
      <c r="B28" s="133" t="s">
        <v>7110</v>
      </c>
      <c r="C28" s="134"/>
      <c r="D28" s="134"/>
      <c r="E28" s="135"/>
      <c r="F28" s="136"/>
      <c r="G28" s="136"/>
      <c r="H28" s="137"/>
      <c r="I28" s="138"/>
      <c r="J28" s="139"/>
      <c r="K28" s="140"/>
      <c r="L28" s="138"/>
      <c r="M28" s="139"/>
      <c r="N28" s="140"/>
      <c r="O28" s="138"/>
      <c r="P28" s="139"/>
      <c r="Q28" s="140"/>
    </row>
    <row r="29" spans="1:17" x14ac:dyDescent="0.25">
      <c r="A29" s="163" t="s">
        <v>7111</v>
      </c>
      <c r="B29" s="163" t="s">
        <v>7112</v>
      </c>
      <c r="C29" s="164"/>
      <c r="D29" s="164"/>
      <c r="E29" s="165"/>
      <c r="F29" s="165"/>
      <c r="G29" s="165"/>
      <c r="H29" s="166"/>
      <c r="I29" s="167"/>
      <c r="J29" s="168"/>
      <c r="K29" s="169"/>
      <c r="L29" s="167"/>
      <c r="M29" s="168"/>
      <c r="N29" s="169"/>
      <c r="O29" s="167"/>
      <c r="P29" s="168"/>
      <c r="Q29" s="169"/>
    </row>
    <row r="30" spans="1:17" x14ac:dyDescent="0.25">
      <c r="A30" s="170" t="s">
        <v>262</v>
      </c>
      <c r="B30" s="170" t="s">
        <v>7113</v>
      </c>
      <c r="C30" s="171"/>
      <c r="D30" s="171"/>
      <c r="E30" s="172"/>
      <c r="F30" s="172"/>
      <c r="G30" s="172"/>
      <c r="H30" s="173"/>
      <c r="I30" s="174"/>
      <c r="J30" s="175"/>
      <c r="K30" s="176"/>
      <c r="L30" s="174"/>
      <c r="M30" s="175"/>
      <c r="N30" s="176"/>
      <c r="O30" s="174"/>
      <c r="P30" s="175"/>
      <c r="Q30" s="176"/>
    </row>
    <row r="31" spans="1:17" x14ac:dyDescent="0.25">
      <c r="A31" s="177" t="s">
        <v>7114</v>
      </c>
      <c r="B31" s="177" t="s">
        <v>7115</v>
      </c>
      <c r="C31" s="178" t="s">
        <v>75</v>
      </c>
      <c r="D31" s="178" t="s">
        <v>1</v>
      </c>
      <c r="E31" s="179" t="s">
        <v>7079</v>
      </c>
      <c r="F31" s="179">
        <v>10</v>
      </c>
      <c r="G31" s="179">
        <v>25</v>
      </c>
      <c r="H31" s="180">
        <v>15</v>
      </c>
      <c r="I31" s="181">
        <v>4</v>
      </c>
      <c r="J31" s="182">
        <v>766.85</v>
      </c>
      <c r="K31" s="183">
        <f t="shared" si="0"/>
        <v>3067.4</v>
      </c>
      <c r="L31" s="181"/>
      <c r="M31" s="131"/>
      <c r="N31" s="132"/>
      <c r="O31" s="130">
        <f>SUM(L31,I31)</f>
        <v>4</v>
      </c>
      <c r="P31" s="131">
        <f>IF(M31&lt;&gt;"",M31,J31)</f>
        <v>766.85</v>
      </c>
      <c r="Q31" s="132">
        <f>ROUND(O31*P31,2)</f>
        <v>3067.4</v>
      </c>
    </row>
    <row r="32" spans="1:17" x14ac:dyDescent="0.25">
      <c r="A32" s="170" t="s">
        <v>268</v>
      </c>
      <c r="B32" s="170" t="s">
        <v>7116</v>
      </c>
      <c r="C32" s="171"/>
      <c r="D32" s="171"/>
      <c r="E32" s="172"/>
      <c r="F32" s="172"/>
      <c r="G32" s="172"/>
      <c r="H32" s="173"/>
      <c r="I32" s="174"/>
      <c r="J32" s="175" t="s">
        <v>7083</v>
      </c>
      <c r="K32" s="176"/>
      <c r="L32" s="174"/>
      <c r="M32" s="175" t="s">
        <v>7083</v>
      </c>
      <c r="N32" s="176"/>
      <c r="O32" s="174"/>
      <c r="P32" s="175" t="s">
        <v>7083</v>
      </c>
      <c r="Q32" s="176"/>
    </row>
    <row r="33" spans="1:17" ht="22.5" x14ac:dyDescent="0.25">
      <c r="A33" s="177" t="s">
        <v>7117</v>
      </c>
      <c r="B33" s="177" t="s">
        <v>7118</v>
      </c>
      <c r="C33" s="178" t="s">
        <v>75</v>
      </c>
      <c r="D33" s="178" t="s">
        <v>1</v>
      </c>
      <c r="E33" s="179" t="s">
        <v>7079</v>
      </c>
      <c r="F33" s="179">
        <v>10</v>
      </c>
      <c r="G33" s="179">
        <v>25</v>
      </c>
      <c r="H33" s="180">
        <v>20</v>
      </c>
      <c r="I33" s="181">
        <v>4</v>
      </c>
      <c r="J33" s="182">
        <v>29.54</v>
      </c>
      <c r="K33" s="183">
        <f t="shared" si="0"/>
        <v>118.16</v>
      </c>
      <c r="L33" s="181"/>
      <c r="M33" s="131"/>
      <c r="N33" s="132"/>
      <c r="O33" s="130">
        <f t="shared" ref="O33:O34" si="7">SUM(L33,I33)</f>
        <v>4</v>
      </c>
      <c r="P33" s="131">
        <f t="shared" ref="P33:P34" si="8">IF(M33&lt;&gt;"",M33,J33)</f>
        <v>29.54</v>
      </c>
      <c r="Q33" s="132">
        <f t="shared" ref="Q33:Q34" si="9">ROUND(O33*P33,2)</f>
        <v>118.16</v>
      </c>
    </row>
    <row r="34" spans="1:17" ht="22.5" x14ac:dyDescent="0.25">
      <c r="A34" s="177" t="s">
        <v>7119</v>
      </c>
      <c r="B34" s="177" t="s">
        <v>7120</v>
      </c>
      <c r="C34" s="178" t="s">
        <v>108</v>
      </c>
      <c r="D34" s="178" t="s">
        <v>1</v>
      </c>
      <c r="E34" s="179" t="s">
        <v>7079</v>
      </c>
      <c r="F34" s="179">
        <v>10</v>
      </c>
      <c r="G34" s="179">
        <v>25</v>
      </c>
      <c r="H34" s="129">
        <v>25</v>
      </c>
      <c r="I34" s="181">
        <v>20</v>
      </c>
      <c r="J34" s="182">
        <v>9.23</v>
      </c>
      <c r="K34" s="183">
        <f t="shared" si="0"/>
        <v>184.6</v>
      </c>
      <c r="L34" s="181"/>
      <c r="M34" s="131"/>
      <c r="N34" s="132"/>
      <c r="O34" s="130">
        <f t="shared" si="7"/>
        <v>20</v>
      </c>
      <c r="P34" s="131">
        <f t="shared" si="8"/>
        <v>9.23</v>
      </c>
      <c r="Q34" s="132">
        <f t="shared" si="9"/>
        <v>184.6</v>
      </c>
    </row>
    <row r="35" spans="1:17" x14ac:dyDescent="0.25">
      <c r="A35" s="133" t="s">
        <v>7121</v>
      </c>
      <c r="B35" s="133" t="s">
        <v>7122</v>
      </c>
      <c r="C35" s="134"/>
      <c r="D35" s="134"/>
      <c r="E35" s="135"/>
      <c r="F35" s="136"/>
      <c r="G35" s="136"/>
      <c r="H35" s="137"/>
      <c r="I35" s="138"/>
      <c r="J35" s="139" t="s">
        <v>7083</v>
      </c>
      <c r="K35" s="140"/>
      <c r="L35" s="138"/>
      <c r="M35" s="139" t="s">
        <v>7083</v>
      </c>
      <c r="N35" s="140"/>
      <c r="O35" s="138"/>
      <c r="P35" s="139" t="s">
        <v>7083</v>
      </c>
      <c r="Q35" s="140"/>
    </row>
    <row r="36" spans="1:17" x14ac:dyDescent="0.25">
      <c r="A36" s="163" t="s">
        <v>7123</v>
      </c>
      <c r="B36" s="163" t="s">
        <v>7124</v>
      </c>
      <c r="C36" s="164"/>
      <c r="D36" s="164"/>
      <c r="E36" s="165"/>
      <c r="F36" s="165"/>
      <c r="G36" s="165"/>
      <c r="H36" s="166"/>
      <c r="I36" s="167"/>
      <c r="J36" s="168" t="s">
        <v>7083</v>
      </c>
      <c r="K36" s="169"/>
      <c r="L36" s="167"/>
      <c r="M36" s="168" t="s">
        <v>7083</v>
      </c>
      <c r="N36" s="169"/>
      <c r="O36" s="167"/>
      <c r="P36" s="168" t="s">
        <v>7083</v>
      </c>
      <c r="Q36" s="169"/>
    </row>
    <row r="37" spans="1:17" x14ac:dyDescent="0.25">
      <c r="A37" s="170" t="s">
        <v>7125</v>
      </c>
      <c r="B37" s="170" t="s">
        <v>7126</v>
      </c>
      <c r="C37" s="171"/>
      <c r="D37" s="171"/>
      <c r="E37" s="172"/>
      <c r="F37" s="172"/>
      <c r="G37" s="172"/>
      <c r="H37" s="173"/>
      <c r="I37" s="174"/>
      <c r="J37" s="175"/>
      <c r="K37" s="176"/>
      <c r="L37" s="174"/>
      <c r="M37" s="175"/>
      <c r="N37" s="176"/>
      <c r="O37" s="174"/>
      <c r="P37" s="175"/>
      <c r="Q37" s="176"/>
    </row>
    <row r="38" spans="1:17" x14ac:dyDescent="0.25">
      <c r="A38" s="177" t="s">
        <v>7127</v>
      </c>
      <c r="B38" s="177" t="s">
        <v>7128</v>
      </c>
      <c r="C38" s="178" t="s">
        <v>88</v>
      </c>
      <c r="D38" s="178" t="s">
        <v>1</v>
      </c>
      <c r="E38" s="179" t="s">
        <v>7079</v>
      </c>
      <c r="F38" s="179">
        <v>65</v>
      </c>
      <c r="G38" s="179">
        <v>5</v>
      </c>
      <c r="H38" s="180">
        <v>0</v>
      </c>
      <c r="I38" s="181">
        <v>60</v>
      </c>
      <c r="J38" s="182">
        <v>233.38</v>
      </c>
      <c r="K38" s="183">
        <f t="shared" si="0"/>
        <v>14002.8</v>
      </c>
      <c r="L38" s="181"/>
      <c r="M38" s="131"/>
      <c r="N38" s="132"/>
      <c r="O38" s="130">
        <f>SUM(L38,I38)</f>
        <v>60</v>
      </c>
      <c r="P38" s="131">
        <f>IF(M38&lt;&gt;"",M38,J38)</f>
        <v>233.38</v>
      </c>
      <c r="Q38" s="132">
        <f>ROUND(O38*P38,2)</f>
        <v>14002.8</v>
      </c>
    </row>
    <row r="39" spans="1:17" x14ac:dyDescent="0.25">
      <c r="A39" s="163" t="s">
        <v>7129</v>
      </c>
      <c r="B39" s="163" t="s">
        <v>7130</v>
      </c>
      <c r="C39" s="164"/>
      <c r="D39" s="164"/>
      <c r="E39" s="165"/>
      <c r="F39" s="165"/>
      <c r="G39" s="165"/>
      <c r="H39" s="166"/>
      <c r="I39" s="167"/>
      <c r="J39" s="168" t="s">
        <v>7083</v>
      </c>
      <c r="K39" s="169"/>
      <c r="L39" s="167"/>
      <c r="M39" s="168" t="s">
        <v>7083</v>
      </c>
      <c r="N39" s="169"/>
      <c r="O39" s="167"/>
      <c r="P39" s="168" t="s">
        <v>7083</v>
      </c>
      <c r="Q39" s="169"/>
    </row>
    <row r="40" spans="1:17" x14ac:dyDescent="0.25">
      <c r="A40" s="170" t="s">
        <v>7131</v>
      </c>
      <c r="B40" s="170" t="s">
        <v>7132</v>
      </c>
      <c r="C40" s="171"/>
      <c r="D40" s="171"/>
      <c r="E40" s="172"/>
      <c r="F40" s="172"/>
      <c r="G40" s="172"/>
      <c r="H40" s="173"/>
      <c r="I40" s="174"/>
      <c r="J40" s="175" t="s">
        <v>7083</v>
      </c>
      <c r="K40" s="176"/>
      <c r="L40" s="174"/>
      <c r="M40" s="175" t="s">
        <v>7083</v>
      </c>
      <c r="N40" s="176"/>
      <c r="O40" s="174"/>
      <c r="P40" s="175" t="s">
        <v>7083</v>
      </c>
      <c r="Q40" s="176"/>
    </row>
    <row r="41" spans="1:17" x14ac:dyDescent="0.25">
      <c r="A41" s="177" t="s">
        <v>7133</v>
      </c>
      <c r="B41" s="177" t="s">
        <v>148</v>
      </c>
      <c r="C41" s="178" t="s">
        <v>149</v>
      </c>
      <c r="D41" s="178" t="s">
        <v>1</v>
      </c>
      <c r="E41" s="179" t="s">
        <v>7079</v>
      </c>
      <c r="F41" s="179">
        <v>65</v>
      </c>
      <c r="G41" s="179">
        <v>10</v>
      </c>
      <c r="H41" s="180">
        <v>0</v>
      </c>
      <c r="I41" s="181">
        <v>350</v>
      </c>
      <c r="J41" s="182">
        <v>17.809999999999999</v>
      </c>
      <c r="K41" s="183">
        <f t="shared" si="0"/>
        <v>6233.5</v>
      </c>
      <c r="L41" s="181"/>
      <c r="M41" s="131"/>
      <c r="N41" s="132"/>
      <c r="O41" s="130">
        <f>SUM(L41,I41)</f>
        <v>350</v>
      </c>
      <c r="P41" s="131">
        <f>IF(M41&lt;&gt;"",M41,J41)</f>
        <v>17.809999999999999</v>
      </c>
      <c r="Q41" s="132">
        <f>ROUND(O41*P41,2)</f>
        <v>6233.5</v>
      </c>
    </row>
    <row r="42" spans="1:17" x14ac:dyDescent="0.25">
      <c r="A42" s="163" t="s">
        <v>7134</v>
      </c>
      <c r="B42" s="163" t="s">
        <v>7135</v>
      </c>
      <c r="C42" s="164"/>
      <c r="D42" s="164"/>
      <c r="E42" s="165"/>
      <c r="F42" s="165"/>
      <c r="G42" s="165"/>
      <c r="H42" s="166"/>
      <c r="I42" s="167"/>
      <c r="J42" s="168" t="s">
        <v>7083</v>
      </c>
      <c r="K42" s="169"/>
      <c r="L42" s="167"/>
      <c r="M42" s="168" t="s">
        <v>7083</v>
      </c>
      <c r="N42" s="169"/>
      <c r="O42" s="167"/>
      <c r="P42" s="168" t="s">
        <v>7083</v>
      </c>
      <c r="Q42" s="169"/>
    </row>
    <row r="43" spans="1:17" ht="22.5" x14ac:dyDescent="0.25">
      <c r="A43" s="170" t="s">
        <v>7136</v>
      </c>
      <c r="B43" s="170" t="s">
        <v>7137</v>
      </c>
      <c r="C43" s="171"/>
      <c r="D43" s="171"/>
      <c r="E43" s="172"/>
      <c r="F43" s="172"/>
      <c r="G43" s="172"/>
      <c r="H43" s="173"/>
      <c r="I43" s="174"/>
      <c r="J43" s="175" t="s">
        <v>7083</v>
      </c>
      <c r="K43" s="176"/>
      <c r="L43" s="174"/>
      <c r="M43" s="175" t="s">
        <v>7083</v>
      </c>
      <c r="N43" s="176"/>
      <c r="O43" s="174"/>
      <c r="P43" s="175" t="s">
        <v>7083</v>
      </c>
      <c r="Q43" s="176"/>
    </row>
    <row r="44" spans="1:17" x14ac:dyDescent="0.25">
      <c r="A44" s="177" t="s">
        <v>7138</v>
      </c>
      <c r="B44" s="177" t="s">
        <v>7139</v>
      </c>
      <c r="C44" s="178" t="s">
        <v>75</v>
      </c>
      <c r="D44" s="178" t="s">
        <v>1</v>
      </c>
      <c r="E44" s="179" t="s">
        <v>7079</v>
      </c>
      <c r="F44" s="179">
        <v>65</v>
      </c>
      <c r="G44" s="179">
        <v>15</v>
      </c>
      <c r="H44" s="180">
        <v>0</v>
      </c>
      <c r="I44" s="181">
        <v>1</v>
      </c>
      <c r="J44" s="182">
        <v>967.2</v>
      </c>
      <c r="K44" s="183">
        <f t="shared" si="0"/>
        <v>967.2</v>
      </c>
      <c r="L44" s="181"/>
      <c r="M44" s="131"/>
      <c r="N44" s="132"/>
      <c r="O44" s="130">
        <f t="shared" ref="O44:O45" si="10">SUM(L44,I44)</f>
        <v>1</v>
      </c>
      <c r="P44" s="131">
        <f t="shared" ref="P44:P45" si="11">IF(M44&lt;&gt;"",M44,J44)</f>
        <v>967.2</v>
      </c>
      <c r="Q44" s="132">
        <f t="shared" ref="Q44:Q45" si="12">ROUND(O44*P44,2)</f>
        <v>967.2</v>
      </c>
    </row>
    <row r="45" spans="1:17" x14ac:dyDescent="0.25">
      <c r="A45" s="177" t="s">
        <v>7140</v>
      </c>
      <c r="B45" s="177" t="s">
        <v>7141</v>
      </c>
      <c r="C45" s="178" t="s">
        <v>75</v>
      </c>
      <c r="D45" s="178" t="s">
        <v>1</v>
      </c>
      <c r="E45" s="179" t="s">
        <v>7079</v>
      </c>
      <c r="F45" s="179">
        <v>65</v>
      </c>
      <c r="G45" s="179">
        <v>15</v>
      </c>
      <c r="H45" s="180">
        <v>0</v>
      </c>
      <c r="I45" s="181">
        <v>5</v>
      </c>
      <c r="J45" s="182">
        <v>1067.24</v>
      </c>
      <c r="K45" s="183">
        <f t="shared" si="0"/>
        <v>5336.2</v>
      </c>
      <c r="L45" s="181"/>
      <c r="M45" s="131"/>
      <c r="N45" s="132"/>
      <c r="O45" s="130">
        <f t="shared" si="10"/>
        <v>5</v>
      </c>
      <c r="P45" s="131">
        <f t="shared" si="11"/>
        <v>1067.24</v>
      </c>
      <c r="Q45" s="132">
        <f t="shared" si="12"/>
        <v>5336.2</v>
      </c>
    </row>
    <row r="46" spans="1:17" x14ac:dyDescent="0.25">
      <c r="A46" s="163" t="s">
        <v>7142</v>
      </c>
      <c r="B46" s="163" t="s">
        <v>7143</v>
      </c>
      <c r="C46" s="164"/>
      <c r="D46" s="164"/>
      <c r="E46" s="165"/>
      <c r="F46" s="165"/>
      <c r="G46" s="165"/>
      <c r="H46" s="166"/>
      <c r="I46" s="167"/>
      <c r="J46" s="168" t="s">
        <v>7083</v>
      </c>
      <c r="K46" s="169"/>
      <c r="L46" s="167"/>
      <c r="M46" s="168" t="s">
        <v>7083</v>
      </c>
      <c r="N46" s="169"/>
      <c r="O46" s="167"/>
      <c r="P46" s="168" t="s">
        <v>7083</v>
      </c>
      <c r="Q46" s="169"/>
    </row>
    <row r="47" spans="1:17" x14ac:dyDescent="0.25">
      <c r="A47" s="170" t="s">
        <v>7144</v>
      </c>
      <c r="B47" s="170" t="s">
        <v>7145</v>
      </c>
      <c r="C47" s="171"/>
      <c r="D47" s="171"/>
      <c r="E47" s="172"/>
      <c r="F47" s="172"/>
      <c r="G47" s="172"/>
      <c r="H47" s="173"/>
      <c r="I47" s="174"/>
      <c r="J47" s="175" t="s">
        <v>7083</v>
      </c>
      <c r="K47" s="176"/>
      <c r="L47" s="174"/>
      <c r="M47" s="175" t="s">
        <v>7083</v>
      </c>
      <c r="N47" s="176"/>
      <c r="O47" s="174"/>
      <c r="P47" s="175" t="s">
        <v>7083</v>
      </c>
      <c r="Q47" s="176"/>
    </row>
    <row r="48" spans="1:17" x14ac:dyDescent="0.25">
      <c r="A48" s="177" t="s">
        <v>7146</v>
      </c>
      <c r="B48" s="177" t="s">
        <v>7147</v>
      </c>
      <c r="C48" s="178" t="s">
        <v>460</v>
      </c>
      <c r="D48" s="178" t="s">
        <v>1</v>
      </c>
      <c r="E48" s="179" t="s">
        <v>7079</v>
      </c>
      <c r="F48" s="179">
        <v>65</v>
      </c>
      <c r="G48" s="179">
        <v>25</v>
      </c>
      <c r="H48" s="180">
        <v>5</v>
      </c>
      <c r="I48" s="181">
        <v>68</v>
      </c>
      <c r="J48" s="182">
        <v>406.57</v>
      </c>
      <c r="K48" s="183">
        <f t="shared" si="0"/>
        <v>27646.76</v>
      </c>
      <c r="L48" s="181"/>
      <c r="M48" s="131"/>
      <c r="N48" s="132"/>
      <c r="O48" s="130">
        <f t="shared" ref="O48:O50" si="13">SUM(L48,I48)</f>
        <v>68</v>
      </c>
      <c r="P48" s="131">
        <f t="shared" ref="P48:P50" si="14">IF(M48&lt;&gt;"",M48,J48)</f>
        <v>406.57</v>
      </c>
      <c r="Q48" s="132">
        <f t="shared" ref="Q48:Q50" si="15">ROUND(O48*P48,2)</f>
        <v>27646.76</v>
      </c>
    </row>
    <row r="49" spans="1:17" x14ac:dyDescent="0.25">
      <c r="A49" s="177" t="s">
        <v>7148</v>
      </c>
      <c r="B49" s="177" t="s">
        <v>7149</v>
      </c>
      <c r="C49" s="178" t="s">
        <v>149</v>
      </c>
      <c r="D49" s="178" t="s">
        <v>1</v>
      </c>
      <c r="E49" s="179" t="s">
        <v>7079</v>
      </c>
      <c r="F49" s="179">
        <v>65</v>
      </c>
      <c r="G49" s="179">
        <v>25</v>
      </c>
      <c r="H49" s="180">
        <v>5</v>
      </c>
      <c r="I49" s="181">
        <v>100</v>
      </c>
      <c r="J49" s="182">
        <v>42.16</v>
      </c>
      <c r="K49" s="183">
        <f t="shared" si="0"/>
        <v>4216</v>
      </c>
      <c r="L49" s="181"/>
      <c r="M49" s="131"/>
      <c r="N49" s="132"/>
      <c r="O49" s="130">
        <f t="shared" si="13"/>
        <v>100</v>
      </c>
      <c r="P49" s="131">
        <f t="shared" si="14"/>
        <v>42.16</v>
      </c>
      <c r="Q49" s="132">
        <f t="shared" si="15"/>
        <v>4216</v>
      </c>
    </row>
    <row r="50" spans="1:17" x14ac:dyDescent="0.25">
      <c r="A50" s="177" t="s">
        <v>7150</v>
      </c>
      <c r="B50" s="177" t="s">
        <v>7151</v>
      </c>
      <c r="C50" s="178" t="s">
        <v>460</v>
      </c>
      <c r="D50" s="178" t="s">
        <v>1</v>
      </c>
      <c r="E50" s="179" t="s">
        <v>7079</v>
      </c>
      <c r="F50" s="179">
        <v>65</v>
      </c>
      <c r="G50" s="179">
        <v>25</v>
      </c>
      <c r="H50" s="180">
        <v>5</v>
      </c>
      <c r="I50" s="181">
        <v>68</v>
      </c>
      <c r="J50" s="182">
        <v>67.63</v>
      </c>
      <c r="K50" s="183">
        <f t="shared" si="0"/>
        <v>4598.84</v>
      </c>
      <c r="L50" s="181"/>
      <c r="M50" s="131"/>
      <c r="N50" s="132"/>
      <c r="O50" s="130">
        <f t="shared" si="13"/>
        <v>68</v>
      </c>
      <c r="P50" s="131">
        <f t="shared" si="14"/>
        <v>67.63</v>
      </c>
      <c r="Q50" s="132">
        <f t="shared" si="15"/>
        <v>4598.84</v>
      </c>
    </row>
    <row r="51" spans="1:17" x14ac:dyDescent="0.25">
      <c r="A51" s="170" t="s">
        <v>7152</v>
      </c>
      <c r="B51" s="170" t="s">
        <v>7153</v>
      </c>
      <c r="C51" s="171"/>
      <c r="D51" s="171"/>
      <c r="E51" s="172"/>
      <c r="F51" s="172"/>
      <c r="G51" s="172"/>
      <c r="H51" s="173"/>
      <c r="I51" s="174"/>
      <c r="J51" s="175" t="s">
        <v>7083</v>
      </c>
      <c r="K51" s="176"/>
      <c r="L51" s="174"/>
      <c r="M51" s="175" t="s">
        <v>7083</v>
      </c>
      <c r="N51" s="176"/>
      <c r="O51" s="174"/>
      <c r="P51" s="175" t="s">
        <v>7083</v>
      </c>
      <c r="Q51" s="176"/>
    </row>
    <row r="52" spans="1:17" x14ac:dyDescent="0.25">
      <c r="A52" s="177" t="s">
        <v>7154</v>
      </c>
      <c r="B52" s="177" t="s">
        <v>7155</v>
      </c>
      <c r="C52" s="178" t="s">
        <v>149</v>
      </c>
      <c r="D52" s="178" t="s">
        <v>1</v>
      </c>
      <c r="E52" s="179" t="s">
        <v>7079</v>
      </c>
      <c r="F52" s="179">
        <v>65</v>
      </c>
      <c r="G52" s="179">
        <v>25</v>
      </c>
      <c r="H52" s="180">
        <v>10</v>
      </c>
      <c r="I52" s="181">
        <v>200</v>
      </c>
      <c r="J52" s="182">
        <v>29.87</v>
      </c>
      <c r="K52" s="183">
        <f t="shared" si="0"/>
        <v>5974</v>
      </c>
      <c r="L52" s="181"/>
      <c r="M52" s="131"/>
      <c r="N52" s="132"/>
      <c r="O52" s="130">
        <f>SUM(L52,I52)</f>
        <v>200</v>
      </c>
      <c r="P52" s="131">
        <f>IF(M52&lt;&gt;"",M52,J52)</f>
        <v>29.87</v>
      </c>
      <c r="Q52" s="132">
        <f>ROUND(O52*P52,2)</f>
        <v>5974</v>
      </c>
    </row>
    <row r="53" spans="1:17" x14ac:dyDescent="0.25">
      <c r="A53" s="163" t="s">
        <v>7156</v>
      </c>
      <c r="B53" s="163" t="s">
        <v>7157</v>
      </c>
      <c r="C53" s="164"/>
      <c r="D53" s="164"/>
      <c r="E53" s="165"/>
      <c r="F53" s="165"/>
      <c r="G53" s="165"/>
      <c r="H53" s="166"/>
      <c r="I53" s="167"/>
      <c r="J53" s="168" t="s">
        <v>7083</v>
      </c>
      <c r="K53" s="169"/>
      <c r="L53" s="167"/>
      <c r="M53" s="168" t="s">
        <v>7083</v>
      </c>
      <c r="N53" s="169"/>
      <c r="O53" s="167"/>
      <c r="P53" s="168" t="s">
        <v>7083</v>
      </c>
      <c r="Q53" s="169"/>
    </row>
    <row r="54" spans="1:17" x14ac:dyDescent="0.25">
      <c r="A54" s="170" t="s">
        <v>7158</v>
      </c>
      <c r="B54" s="170" t="s">
        <v>7159</v>
      </c>
      <c r="C54" s="171"/>
      <c r="D54" s="171"/>
      <c r="E54" s="172"/>
      <c r="F54" s="172"/>
      <c r="G54" s="172"/>
      <c r="H54" s="173"/>
      <c r="I54" s="174"/>
      <c r="J54" s="175" t="s">
        <v>7083</v>
      </c>
      <c r="K54" s="176"/>
      <c r="L54" s="174"/>
      <c r="M54" s="175" t="s">
        <v>7083</v>
      </c>
      <c r="N54" s="176"/>
      <c r="O54" s="174"/>
      <c r="P54" s="175" t="s">
        <v>7083</v>
      </c>
      <c r="Q54" s="176"/>
    </row>
    <row r="55" spans="1:17" x14ac:dyDescent="0.25">
      <c r="A55" s="177" t="s">
        <v>7160</v>
      </c>
      <c r="B55" s="177" t="s">
        <v>7161</v>
      </c>
      <c r="C55" s="178" t="s">
        <v>88</v>
      </c>
      <c r="D55" s="178" t="s">
        <v>1</v>
      </c>
      <c r="E55" s="179" t="s">
        <v>7079</v>
      </c>
      <c r="F55" s="179">
        <v>65</v>
      </c>
      <c r="G55" s="179">
        <v>40</v>
      </c>
      <c r="H55" s="180">
        <v>0</v>
      </c>
      <c r="I55" s="181">
        <v>13</v>
      </c>
      <c r="J55" s="182">
        <v>1786.46</v>
      </c>
      <c r="K55" s="183">
        <f t="shared" si="0"/>
        <v>23223.98</v>
      </c>
      <c r="L55" s="181"/>
      <c r="M55" s="131"/>
      <c r="N55" s="132"/>
      <c r="O55" s="130">
        <f t="shared" ref="O55:O56" si="16">SUM(L55,I55)</f>
        <v>13</v>
      </c>
      <c r="P55" s="131">
        <f t="shared" ref="P55:P56" si="17">IF(M55&lt;&gt;"",M55,J55)</f>
        <v>1786.46</v>
      </c>
      <c r="Q55" s="132">
        <f t="shared" ref="Q55:Q56" si="18">ROUND(O55*P55,2)</f>
        <v>23223.98</v>
      </c>
    </row>
    <row r="56" spans="1:17" ht="22.5" x14ac:dyDescent="0.25">
      <c r="A56" s="177" t="s">
        <v>7162</v>
      </c>
      <c r="B56" s="177" t="s">
        <v>7163</v>
      </c>
      <c r="C56" s="178" t="s">
        <v>48</v>
      </c>
      <c r="D56" s="178" t="s">
        <v>1</v>
      </c>
      <c r="E56" s="179" t="s">
        <v>7079</v>
      </c>
      <c r="F56" s="179">
        <v>65</v>
      </c>
      <c r="G56" s="179">
        <v>40</v>
      </c>
      <c r="H56" s="180">
        <v>0</v>
      </c>
      <c r="I56" s="181">
        <v>1</v>
      </c>
      <c r="J56" s="182">
        <v>31570.27</v>
      </c>
      <c r="K56" s="183">
        <f t="shared" si="0"/>
        <v>31570.27</v>
      </c>
      <c r="L56" s="181"/>
      <c r="M56" s="131"/>
      <c r="N56" s="132"/>
      <c r="O56" s="130">
        <f t="shared" si="16"/>
        <v>1</v>
      </c>
      <c r="P56" s="131">
        <f t="shared" si="17"/>
        <v>31570.27</v>
      </c>
      <c r="Q56" s="132">
        <f t="shared" si="18"/>
        <v>31570.27</v>
      </c>
    </row>
    <row r="57" spans="1:17" x14ac:dyDescent="0.25">
      <c r="A57" s="170" t="s">
        <v>7164</v>
      </c>
      <c r="B57" s="170" t="s">
        <v>7165</v>
      </c>
      <c r="C57" s="171"/>
      <c r="D57" s="171"/>
      <c r="E57" s="172"/>
      <c r="F57" s="172"/>
      <c r="G57" s="172"/>
      <c r="H57" s="173"/>
      <c r="I57" s="174"/>
      <c r="J57" s="175" t="s">
        <v>7083</v>
      </c>
      <c r="K57" s="176"/>
      <c r="L57" s="174"/>
      <c r="M57" s="175" t="s">
        <v>7083</v>
      </c>
      <c r="N57" s="176"/>
      <c r="O57" s="174"/>
      <c r="P57" s="175" t="s">
        <v>7083</v>
      </c>
      <c r="Q57" s="176"/>
    </row>
    <row r="58" spans="1:17" x14ac:dyDescent="0.25">
      <c r="A58" s="177" t="s">
        <v>7166</v>
      </c>
      <c r="B58" s="177" t="s">
        <v>7167</v>
      </c>
      <c r="C58" s="178" t="s">
        <v>378</v>
      </c>
      <c r="D58" s="178" t="s">
        <v>1</v>
      </c>
      <c r="E58" s="179" t="s">
        <v>7079</v>
      </c>
      <c r="F58" s="179">
        <v>65</v>
      </c>
      <c r="G58" s="179">
        <v>40</v>
      </c>
      <c r="H58" s="180">
        <v>0</v>
      </c>
      <c r="I58" s="181">
        <v>4</v>
      </c>
      <c r="J58" s="182">
        <v>1510.91</v>
      </c>
      <c r="K58" s="183">
        <f t="shared" si="0"/>
        <v>6043.64</v>
      </c>
      <c r="L58" s="181"/>
      <c r="M58" s="131"/>
      <c r="N58" s="132"/>
      <c r="O58" s="130">
        <f>SUM(L58,I58)</f>
        <v>4</v>
      </c>
      <c r="P58" s="131">
        <f>IF(M58&lt;&gt;"",M58,J58)</f>
        <v>1510.91</v>
      </c>
      <c r="Q58" s="132">
        <f>ROUND(O58*P58,2)</f>
        <v>6043.64</v>
      </c>
    </row>
    <row r="59" spans="1:17" x14ac:dyDescent="0.25">
      <c r="A59" s="170" t="s">
        <v>7168</v>
      </c>
      <c r="B59" s="170" t="s">
        <v>7169</v>
      </c>
      <c r="C59" s="171"/>
      <c r="D59" s="171"/>
      <c r="E59" s="172"/>
      <c r="F59" s="172"/>
      <c r="G59" s="172"/>
      <c r="H59" s="173"/>
      <c r="I59" s="174"/>
      <c r="J59" s="175" t="s">
        <v>7083</v>
      </c>
      <c r="K59" s="176"/>
      <c r="L59" s="174"/>
      <c r="M59" s="175" t="s">
        <v>7083</v>
      </c>
      <c r="N59" s="176"/>
      <c r="O59" s="174"/>
      <c r="P59" s="175" t="s">
        <v>7083</v>
      </c>
      <c r="Q59" s="176"/>
    </row>
    <row r="60" spans="1:17" x14ac:dyDescent="0.25">
      <c r="A60" s="177" t="s">
        <v>7170</v>
      </c>
      <c r="B60" s="177" t="s">
        <v>7171</v>
      </c>
      <c r="C60" s="178" t="s">
        <v>88</v>
      </c>
      <c r="D60" s="178" t="s">
        <v>1</v>
      </c>
      <c r="E60" s="179" t="s">
        <v>7079</v>
      </c>
      <c r="F60" s="179">
        <v>65</v>
      </c>
      <c r="G60" s="179">
        <v>40</v>
      </c>
      <c r="H60" s="180">
        <v>0</v>
      </c>
      <c r="I60" s="181">
        <v>25</v>
      </c>
      <c r="J60" s="182">
        <v>76.67</v>
      </c>
      <c r="K60" s="183">
        <f t="shared" si="0"/>
        <v>1916.75</v>
      </c>
      <c r="L60" s="181"/>
      <c r="M60" s="131"/>
      <c r="N60" s="132"/>
      <c r="O60" s="130">
        <f t="shared" ref="O60:O61" si="19">SUM(L60,I60)</f>
        <v>25</v>
      </c>
      <c r="P60" s="131">
        <f t="shared" ref="P60:P61" si="20">IF(M60&lt;&gt;"",M60,J60)</f>
        <v>76.67</v>
      </c>
      <c r="Q60" s="132">
        <f t="shared" ref="Q60:Q61" si="21">ROUND(O60*P60,2)</f>
        <v>1916.75</v>
      </c>
    </row>
    <row r="61" spans="1:17" x14ac:dyDescent="0.25">
      <c r="A61" s="177" t="s">
        <v>7172</v>
      </c>
      <c r="B61" s="177" t="s">
        <v>7173</v>
      </c>
      <c r="C61" s="178" t="s">
        <v>88</v>
      </c>
      <c r="D61" s="178" t="s">
        <v>1</v>
      </c>
      <c r="E61" s="179" t="s">
        <v>7079</v>
      </c>
      <c r="F61" s="179">
        <v>65</v>
      </c>
      <c r="G61" s="179">
        <v>40</v>
      </c>
      <c r="H61" s="180">
        <v>0</v>
      </c>
      <c r="I61" s="181">
        <v>25</v>
      </c>
      <c r="J61" s="182">
        <v>172.71</v>
      </c>
      <c r="K61" s="183">
        <f t="shared" si="0"/>
        <v>4317.75</v>
      </c>
      <c r="L61" s="181"/>
      <c r="M61" s="131"/>
      <c r="N61" s="132"/>
      <c r="O61" s="130">
        <f t="shared" si="19"/>
        <v>25</v>
      </c>
      <c r="P61" s="131">
        <f t="shared" si="20"/>
        <v>172.71</v>
      </c>
      <c r="Q61" s="132">
        <f t="shared" si="21"/>
        <v>4317.75</v>
      </c>
    </row>
    <row r="62" spans="1:17" x14ac:dyDescent="0.25">
      <c r="A62" s="163" t="s">
        <v>7174</v>
      </c>
      <c r="B62" s="163" t="s">
        <v>7175</v>
      </c>
      <c r="C62" s="164"/>
      <c r="D62" s="164"/>
      <c r="E62" s="165"/>
      <c r="F62" s="165"/>
      <c r="G62" s="165"/>
      <c r="H62" s="166"/>
      <c r="I62" s="167"/>
      <c r="J62" s="168" t="s">
        <v>7083</v>
      </c>
      <c r="K62" s="169"/>
      <c r="L62" s="167"/>
      <c r="M62" s="168" t="s">
        <v>7083</v>
      </c>
      <c r="N62" s="169"/>
      <c r="O62" s="167"/>
      <c r="P62" s="168" t="s">
        <v>7083</v>
      </c>
      <c r="Q62" s="169"/>
    </row>
    <row r="63" spans="1:17" x14ac:dyDescent="0.25">
      <c r="A63" s="177" t="s">
        <v>7176</v>
      </c>
      <c r="B63" s="177" t="s">
        <v>7177</v>
      </c>
      <c r="C63" s="178" t="s">
        <v>247</v>
      </c>
      <c r="D63" s="178" t="s">
        <v>1</v>
      </c>
      <c r="E63" s="179" t="s">
        <v>7079</v>
      </c>
      <c r="F63" s="179">
        <v>65</v>
      </c>
      <c r="G63" s="179">
        <v>45</v>
      </c>
      <c r="H63" s="180">
        <v>0</v>
      </c>
      <c r="I63" s="181">
        <v>8</v>
      </c>
      <c r="J63" s="182">
        <v>321.27</v>
      </c>
      <c r="K63" s="183">
        <f t="shared" si="0"/>
        <v>2570.16</v>
      </c>
      <c r="L63" s="181"/>
      <c r="M63" s="131"/>
      <c r="N63" s="132"/>
      <c r="O63" s="130">
        <f>SUM(L63,I63)</f>
        <v>8</v>
      </c>
      <c r="P63" s="131">
        <f>IF(M63&lt;&gt;"",M63,J63)</f>
        <v>321.27</v>
      </c>
      <c r="Q63" s="132">
        <f>ROUND(O63*P63,2)</f>
        <v>2570.16</v>
      </c>
    </row>
    <row r="64" spans="1:17" x14ac:dyDescent="0.25">
      <c r="A64" s="184" t="s">
        <v>7178</v>
      </c>
      <c r="B64" s="185" t="s">
        <v>7179</v>
      </c>
      <c r="C64" s="135"/>
      <c r="D64" s="134"/>
      <c r="E64" s="135"/>
      <c r="F64" s="136"/>
      <c r="G64" s="136"/>
      <c r="H64" s="137"/>
      <c r="I64" s="186"/>
      <c r="J64" s="187" t="s">
        <v>7083</v>
      </c>
      <c r="K64" s="188"/>
      <c r="L64" s="186"/>
      <c r="M64" s="187" t="s">
        <v>7083</v>
      </c>
      <c r="N64" s="188"/>
      <c r="O64" s="186"/>
      <c r="P64" s="187" t="s">
        <v>7083</v>
      </c>
      <c r="Q64" s="188"/>
    </row>
    <row r="65" spans="1:17" x14ac:dyDescent="0.25">
      <c r="A65" s="189" t="s">
        <v>7180</v>
      </c>
      <c r="B65" s="190" t="s">
        <v>7181</v>
      </c>
      <c r="C65" s="165"/>
      <c r="D65" s="164"/>
      <c r="E65" s="165"/>
      <c r="F65" s="165"/>
      <c r="G65" s="165"/>
      <c r="H65" s="166"/>
      <c r="I65" s="191"/>
      <c r="J65" s="192" t="s">
        <v>7083</v>
      </c>
      <c r="K65" s="193"/>
      <c r="L65" s="191"/>
      <c r="M65" s="192" t="s">
        <v>7083</v>
      </c>
      <c r="N65" s="193"/>
      <c r="O65" s="191"/>
      <c r="P65" s="192" t="s">
        <v>7083</v>
      </c>
      <c r="Q65" s="193"/>
    </row>
    <row r="66" spans="1:17" ht="22.5" x14ac:dyDescent="0.25">
      <c r="A66" s="194" t="s">
        <v>7182</v>
      </c>
      <c r="B66" s="195" t="s">
        <v>7183</v>
      </c>
      <c r="C66" s="179" t="s">
        <v>88</v>
      </c>
      <c r="D66" s="178" t="s">
        <v>1</v>
      </c>
      <c r="E66" s="179" t="s">
        <v>7079</v>
      </c>
      <c r="F66" s="179">
        <v>75</v>
      </c>
      <c r="G66" s="179">
        <v>16</v>
      </c>
      <c r="H66" s="180">
        <v>1</v>
      </c>
      <c r="I66" s="196">
        <v>2.2000000000000002</v>
      </c>
      <c r="J66" s="197">
        <v>1754.38</v>
      </c>
      <c r="K66" s="198">
        <f t="shared" si="0"/>
        <v>3859.64</v>
      </c>
      <c r="L66" s="196"/>
      <c r="M66" s="131"/>
      <c r="N66" s="132"/>
      <c r="O66" s="130">
        <f>SUM(L66,I66)</f>
        <v>2.2000000000000002</v>
      </c>
      <c r="P66" s="131">
        <f>IF(M66&lt;&gt;"",M66,J66)</f>
        <v>1754.38</v>
      </c>
      <c r="Q66" s="132">
        <f>ROUND(O66*P66,2)</f>
        <v>3859.64</v>
      </c>
    </row>
    <row r="67" spans="1:17" x14ac:dyDescent="0.25">
      <c r="A67" s="159" t="s">
        <v>7184</v>
      </c>
      <c r="B67" s="159" t="s">
        <v>7185</v>
      </c>
      <c r="C67" s="160"/>
      <c r="D67" s="160"/>
      <c r="E67" s="161"/>
      <c r="F67" s="105"/>
      <c r="G67" s="105"/>
      <c r="H67" s="106"/>
      <c r="I67" s="162"/>
      <c r="J67" s="108" t="s">
        <v>7083</v>
      </c>
      <c r="K67" s="109"/>
      <c r="L67" s="162"/>
      <c r="M67" s="108" t="s">
        <v>7083</v>
      </c>
      <c r="N67" s="109"/>
      <c r="O67" s="162"/>
      <c r="P67" s="108" t="s">
        <v>7083</v>
      </c>
      <c r="Q67" s="109"/>
    </row>
    <row r="68" spans="1:17" x14ac:dyDescent="0.25">
      <c r="A68" s="133" t="s">
        <v>7186</v>
      </c>
      <c r="B68" s="133" t="s">
        <v>7187</v>
      </c>
      <c r="C68" s="134"/>
      <c r="D68" s="134"/>
      <c r="E68" s="135"/>
      <c r="F68" s="136"/>
      <c r="G68" s="136"/>
      <c r="H68" s="137"/>
      <c r="I68" s="138"/>
      <c r="J68" s="139" t="s">
        <v>7083</v>
      </c>
      <c r="K68" s="140"/>
      <c r="L68" s="138"/>
      <c r="M68" s="139" t="s">
        <v>7083</v>
      </c>
      <c r="N68" s="140"/>
      <c r="O68" s="138"/>
      <c r="P68" s="139" t="s">
        <v>7083</v>
      </c>
      <c r="Q68" s="140"/>
    </row>
    <row r="69" spans="1:17" x14ac:dyDescent="0.25">
      <c r="A69" s="163" t="s">
        <v>7188</v>
      </c>
      <c r="B69" s="163" t="s">
        <v>7189</v>
      </c>
      <c r="C69" s="164"/>
      <c r="D69" s="164"/>
      <c r="E69" s="165"/>
      <c r="F69" s="165"/>
      <c r="G69" s="165"/>
      <c r="H69" s="166"/>
      <c r="I69" s="167"/>
      <c r="J69" s="168" t="s">
        <v>7083</v>
      </c>
      <c r="K69" s="169"/>
      <c r="L69" s="167"/>
      <c r="M69" s="168" t="s">
        <v>7083</v>
      </c>
      <c r="N69" s="169"/>
      <c r="O69" s="167"/>
      <c r="P69" s="168" t="s">
        <v>7083</v>
      </c>
      <c r="Q69" s="169"/>
    </row>
    <row r="70" spans="1:17" x14ac:dyDescent="0.25">
      <c r="A70" s="170" t="s">
        <v>271</v>
      </c>
      <c r="B70" s="170" t="s">
        <v>7190</v>
      </c>
      <c r="C70" s="171"/>
      <c r="D70" s="171"/>
      <c r="E70" s="172"/>
      <c r="F70" s="172"/>
      <c r="G70" s="172"/>
      <c r="H70" s="173"/>
      <c r="I70" s="174"/>
      <c r="J70" s="175" t="s">
        <v>7083</v>
      </c>
      <c r="K70" s="176"/>
      <c r="L70" s="174"/>
      <c r="M70" s="175" t="s">
        <v>7083</v>
      </c>
      <c r="N70" s="176"/>
      <c r="O70" s="174"/>
      <c r="P70" s="175" t="s">
        <v>7083</v>
      </c>
      <c r="Q70" s="176"/>
    </row>
    <row r="71" spans="1:17" ht="22.5" x14ac:dyDescent="0.25">
      <c r="A71" s="177" t="s">
        <v>7191</v>
      </c>
      <c r="B71" s="177" t="s">
        <v>7192</v>
      </c>
      <c r="C71" s="178" t="s">
        <v>911</v>
      </c>
      <c r="D71" s="178" t="s">
        <v>1</v>
      </c>
      <c r="E71" s="179" t="s">
        <v>7193</v>
      </c>
      <c r="F71" s="179">
        <v>10</v>
      </c>
      <c r="G71" s="179">
        <v>60</v>
      </c>
      <c r="H71" s="180">
        <v>0</v>
      </c>
      <c r="I71" s="181">
        <v>1</v>
      </c>
      <c r="J71" s="182">
        <v>5923.41</v>
      </c>
      <c r="K71" s="183">
        <f t="shared" si="0"/>
        <v>5923.41</v>
      </c>
      <c r="L71" s="181"/>
      <c r="M71" s="131"/>
      <c r="N71" s="132"/>
      <c r="O71" s="130">
        <f>SUM(L71,I71)</f>
        <v>1</v>
      </c>
      <c r="P71" s="131">
        <f>IF(M71&lt;&gt;"",M71,J71)</f>
        <v>5923.41</v>
      </c>
      <c r="Q71" s="132">
        <f>ROUND(O71*P71,2)</f>
        <v>5923.41</v>
      </c>
    </row>
    <row r="72" spans="1:17" x14ac:dyDescent="0.25">
      <c r="A72" s="199" t="s">
        <v>276</v>
      </c>
      <c r="B72" s="200" t="s">
        <v>7194</v>
      </c>
      <c r="C72" s="172"/>
      <c r="D72" s="171"/>
      <c r="E72" s="172"/>
      <c r="F72" s="172"/>
      <c r="G72" s="172"/>
      <c r="H72" s="173"/>
      <c r="I72" s="201"/>
      <c r="J72" s="202" t="s">
        <v>7083</v>
      </c>
      <c r="K72" s="203"/>
      <c r="L72" s="201"/>
      <c r="M72" s="202" t="s">
        <v>7083</v>
      </c>
      <c r="N72" s="203"/>
      <c r="O72" s="201"/>
      <c r="P72" s="202" t="s">
        <v>7083</v>
      </c>
      <c r="Q72" s="203"/>
    </row>
    <row r="73" spans="1:17" ht="33.75" x14ac:dyDescent="0.25">
      <c r="A73" s="177" t="s">
        <v>7195</v>
      </c>
      <c r="B73" s="177" t="s">
        <v>7196</v>
      </c>
      <c r="C73" s="178" t="s">
        <v>88</v>
      </c>
      <c r="D73" s="178" t="s">
        <v>1</v>
      </c>
      <c r="E73" s="179" t="s">
        <v>7079</v>
      </c>
      <c r="F73" s="179">
        <v>95</v>
      </c>
      <c r="G73" s="179">
        <v>20</v>
      </c>
      <c r="H73" s="180">
        <v>45</v>
      </c>
      <c r="I73" s="181">
        <v>2</v>
      </c>
      <c r="J73" s="182">
        <v>500.48</v>
      </c>
      <c r="K73" s="183">
        <f t="shared" ref="K73:K134" si="22">ROUND(I73*J73,2)</f>
        <v>1000.96</v>
      </c>
      <c r="L73" s="181"/>
      <c r="M73" s="131"/>
      <c r="N73" s="132"/>
      <c r="O73" s="130">
        <f t="shared" ref="O73:O79" si="23">SUM(L73,I73)</f>
        <v>2</v>
      </c>
      <c r="P73" s="131">
        <f t="shared" ref="P73:P79" si="24">IF(M73&lt;&gt;"",M73,J73)</f>
        <v>500.48</v>
      </c>
      <c r="Q73" s="132">
        <f t="shared" ref="Q73:Q79" si="25">ROUND(O73*P73,2)</f>
        <v>1000.96</v>
      </c>
    </row>
    <row r="74" spans="1:17" ht="22.5" x14ac:dyDescent="0.25">
      <c r="A74" s="177" t="s">
        <v>7197</v>
      </c>
      <c r="B74" s="177" t="s">
        <v>7198</v>
      </c>
      <c r="C74" s="178" t="s">
        <v>88</v>
      </c>
      <c r="D74" s="178" t="s">
        <v>1</v>
      </c>
      <c r="E74" s="179" t="s">
        <v>7079</v>
      </c>
      <c r="F74" s="179">
        <v>95</v>
      </c>
      <c r="G74" s="179">
        <v>20</v>
      </c>
      <c r="H74" s="180">
        <v>45</v>
      </c>
      <c r="I74" s="181">
        <v>1</v>
      </c>
      <c r="J74" s="182">
        <v>500.48</v>
      </c>
      <c r="K74" s="183">
        <f t="shared" si="22"/>
        <v>500.48</v>
      </c>
      <c r="L74" s="181"/>
      <c r="M74" s="131"/>
      <c r="N74" s="132"/>
      <c r="O74" s="130">
        <f t="shared" si="23"/>
        <v>1</v>
      </c>
      <c r="P74" s="131">
        <f t="shared" si="24"/>
        <v>500.48</v>
      </c>
      <c r="Q74" s="132">
        <f t="shared" si="25"/>
        <v>500.48</v>
      </c>
    </row>
    <row r="75" spans="1:17" ht="22.5" x14ac:dyDescent="0.25">
      <c r="A75" s="177" t="s">
        <v>7199</v>
      </c>
      <c r="B75" s="177" t="s">
        <v>7200</v>
      </c>
      <c r="C75" s="178" t="s">
        <v>88</v>
      </c>
      <c r="D75" s="178" t="s">
        <v>1</v>
      </c>
      <c r="E75" s="179" t="s">
        <v>7079</v>
      </c>
      <c r="F75" s="179">
        <v>95</v>
      </c>
      <c r="G75" s="179">
        <v>20</v>
      </c>
      <c r="H75" s="180">
        <v>45</v>
      </c>
      <c r="I75" s="181">
        <v>1</v>
      </c>
      <c r="J75" s="182">
        <v>500.48</v>
      </c>
      <c r="K75" s="183">
        <f t="shared" si="22"/>
        <v>500.48</v>
      </c>
      <c r="L75" s="181"/>
      <c r="M75" s="131"/>
      <c r="N75" s="132"/>
      <c r="O75" s="130">
        <f t="shared" si="23"/>
        <v>1</v>
      </c>
      <c r="P75" s="131">
        <f t="shared" si="24"/>
        <v>500.48</v>
      </c>
      <c r="Q75" s="132">
        <f t="shared" si="25"/>
        <v>500.48</v>
      </c>
    </row>
    <row r="76" spans="1:17" ht="33.75" x14ac:dyDescent="0.25">
      <c r="A76" s="177" t="s">
        <v>7201</v>
      </c>
      <c r="B76" s="177" t="s">
        <v>7202</v>
      </c>
      <c r="C76" s="178" t="s">
        <v>88</v>
      </c>
      <c r="D76" s="178" t="s">
        <v>1</v>
      </c>
      <c r="E76" s="179" t="s">
        <v>7079</v>
      </c>
      <c r="F76" s="179">
        <v>95</v>
      </c>
      <c r="G76" s="179">
        <v>20</v>
      </c>
      <c r="H76" s="180">
        <v>45</v>
      </c>
      <c r="I76" s="181">
        <v>2</v>
      </c>
      <c r="J76" s="182">
        <v>500.48</v>
      </c>
      <c r="K76" s="183">
        <f t="shared" si="22"/>
        <v>1000.96</v>
      </c>
      <c r="L76" s="181"/>
      <c r="M76" s="131"/>
      <c r="N76" s="132"/>
      <c r="O76" s="130">
        <f t="shared" si="23"/>
        <v>2</v>
      </c>
      <c r="P76" s="131">
        <f t="shared" si="24"/>
        <v>500.48</v>
      </c>
      <c r="Q76" s="132">
        <f t="shared" si="25"/>
        <v>1000.96</v>
      </c>
    </row>
    <row r="77" spans="1:17" ht="22.5" x14ac:dyDescent="0.25">
      <c r="A77" s="177" t="s">
        <v>7203</v>
      </c>
      <c r="B77" s="177" t="s">
        <v>7204</v>
      </c>
      <c r="C77" s="178" t="s">
        <v>911</v>
      </c>
      <c r="D77" s="178" t="s">
        <v>1</v>
      </c>
      <c r="E77" s="179" t="s">
        <v>7193</v>
      </c>
      <c r="F77" s="179">
        <v>75</v>
      </c>
      <c r="G77" s="179">
        <v>60</v>
      </c>
      <c r="H77" s="180" t="s">
        <v>7205</v>
      </c>
      <c r="I77" s="181">
        <v>2</v>
      </c>
      <c r="J77" s="182">
        <v>3000.17</v>
      </c>
      <c r="K77" s="183">
        <f t="shared" si="22"/>
        <v>6000.34</v>
      </c>
      <c r="L77" s="181"/>
      <c r="M77" s="131"/>
      <c r="N77" s="132"/>
      <c r="O77" s="130">
        <f t="shared" si="23"/>
        <v>2</v>
      </c>
      <c r="P77" s="131">
        <f t="shared" si="24"/>
        <v>3000.17</v>
      </c>
      <c r="Q77" s="132">
        <f t="shared" si="25"/>
        <v>6000.34</v>
      </c>
    </row>
    <row r="78" spans="1:17" ht="22.5" x14ac:dyDescent="0.25">
      <c r="A78" s="177" t="s">
        <v>7206</v>
      </c>
      <c r="B78" s="177" t="s">
        <v>7207</v>
      </c>
      <c r="C78" s="178" t="s">
        <v>911</v>
      </c>
      <c r="D78" s="178" t="s">
        <v>1</v>
      </c>
      <c r="E78" s="179" t="s">
        <v>7193</v>
      </c>
      <c r="F78" s="179">
        <v>75</v>
      </c>
      <c r="G78" s="179">
        <v>60</v>
      </c>
      <c r="H78" s="180" t="s">
        <v>7205</v>
      </c>
      <c r="I78" s="181">
        <v>1</v>
      </c>
      <c r="J78" s="182">
        <v>553.21</v>
      </c>
      <c r="K78" s="183">
        <f t="shared" si="22"/>
        <v>553.21</v>
      </c>
      <c r="L78" s="181"/>
      <c r="M78" s="131"/>
      <c r="N78" s="132"/>
      <c r="O78" s="130">
        <f t="shared" si="23"/>
        <v>1</v>
      </c>
      <c r="P78" s="131">
        <f t="shared" si="24"/>
        <v>553.21</v>
      </c>
      <c r="Q78" s="132">
        <f t="shared" si="25"/>
        <v>553.21</v>
      </c>
    </row>
    <row r="79" spans="1:17" ht="22.5" x14ac:dyDescent="0.25">
      <c r="A79" s="177" t="s">
        <v>7208</v>
      </c>
      <c r="B79" s="177" t="s">
        <v>7209</v>
      </c>
      <c r="C79" s="178" t="s">
        <v>911</v>
      </c>
      <c r="D79" s="178" t="s">
        <v>1</v>
      </c>
      <c r="E79" s="179" t="s">
        <v>7193</v>
      </c>
      <c r="F79" s="179">
        <v>75</v>
      </c>
      <c r="G79" s="179">
        <v>60</v>
      </c>
      <c r="H79" s="180" t="s">
        <v>7205</v>
      </c>
      <c r="I79" s="181">
        <v>5</v>
      </c>
      <c r="J79" s="182">
        <v>658.91</v>
      </c>
      <c r="K79" s="183">
        <f t="shared" si="22"/>
        <v>3294.55</v>
      </c>
      <c r="L79" s="181"/>
      <c r="M79" s="131"/>
      <c r="N79" s="132"/>
      <c r="O79" s="130">
        <f t="shared" si="23"/>
        <v>5</v>
      </c>
      <c r="P79" s="131">
        <f t="shared" si="24"/>
        <v>658.91</v>
      </c>
      <c r="Q79" s="132">
        <f t="shared" si="25"/>
        <v>3294.55</v>
      </c>
    </row>
    <row r="80" spans="1:17" x14ac:dyDescent="0.25">
      <c r="A80" s="133" t="s">
        <v>7210</v>
      </c>
      <c r="B80" s="133" t="s">
        <v>7211</v>
      </c>
      <c r="C80" s="134"/>
      <c r="D80" s="134"/>
      <c r="E80" s="135"/>
      <c r="F80" s="136"/>
      <c r="G80" s="136"/>
      <c r="H80" s="137"/>
      <c r="I80" s="138"/>
      <c r="J80" s="139" t="s">
        <v>7083</v>
      </c>
      <c r="K80" s="140"/>
      <c r="L80" s="138"/>
      <c r="M80" s="139" t="s">
        <v>7083</v>
      </c>
      <c r="N80" s="140"/>
      <c r="O80" s="138"/>
      <c r="P80" s="139" t="s">
        <v>7083</v>
      </c>
      <c r="Q80" s="140"/>
    </row>
    <row r="81" spans="1:17" x14ac:dyDescent="0.25">
      <c r="A81" s="163" t="s">
        <v>7212</v>
      </c>
      <c r="B81" s="163" t="s">
        <v>7213</v>
      </c>
      <c r="C81" s="164"/>
      <c r="D81" s="164"/>
      <c r="E81" s="165"/>
      <c r="F81" s="165"/>
      <c r="G81" s="165"/>
      <c r="H81" s="166"/>
      <c r="I81" s="167"/>
      <c r="J81" s="168" t="s">
        <v>7083</v>
      </c>
      <c r="K81" s="169"/>
      <c r="L81" s="167"/>
      <c r="M81" s="168" t="s">
        <v>7083</v>
      </c>
      <c r="N81" s="169"/>
      <c r="O81" s="167"/>
      <c r="P81" s="168" t="s">
        <v>7083</v>
      </c>
      <c r="Q81" s="169"/>
    </row>
    <row r="82" spans="1:17" x14ac:dyDescent="0.25">
      <c r="A82" s="170" t="s">
        <v>303</v>
      </c>
      <c r="B82" s="170" t="s">
        <v>7214</v>
      </c>
      <c r="C82" s="171"/>
      <c r="D82" s="171"/>
      <c r="E82" s="172"/>
      <c r="F82" s="172"/>
      <c r="G82" s="172"/>
      <c r="H82" s="173"/>
      <c r="I82" s="174"/>
      <c r="J82" s="175" t="s">
        <v>7083</v>
      </c>
      <c r="K82" s="176"/>
      <c r="L82" s="174"/>
      <c r="M82" s="175" t="s">
        <v>7083</v>
      </c>
      <c r="N82" s="176"/>
      <c r="O82" s="174"/>
      <c r="P82" s="175" t="s">
        <v>7083</v>
      </c>
      <c r="Q82" s="176"/>
    </row>
    <row r="83" spans="1:17" x14ac:dyDescent="0.25">
      <c r="A83" s="177" t="s">
        <v>7215</v>
      </c>
      <c r="B83" s="177" t="s">
        <v>7216</v>
      </c>
      <c r="C83" s="178" t="s">
        <v>88</v>
      </c>
      <c r="D83" s="178" t="s">
        <v>1</v>
      </c>
      <c r="E83" s="179" t="s">
        <v>7193</v>
      </c>
      <c r="F83" s="179">
        <v>55</v>
      </c>
      <c r="G83" s="179">
        <v>30</v>
      </c>
      <c r="H83" s="180">
        <v>0</v>
      </c>
      <c r="I83" s="181">
        <v>1.28</v>
      </c>
      <c r="J83" s="182">
        <v>2459.9699999999998</v>
      </c>
      <c r="K83" s="183">
        <f t="shared" si="22"/>
        <v>3148.76</v>
      </c>
      <c r="L83" s="181"/>
      <c r="M83" s="131"/>
      <c r="N83" s="132"/>
      <c r="O83" s="130">
        <f>SUM(L83,I83)</f>
        <v>1.28</v>
      </c>
      <c r="P83" s="131">
        <f>IF(M83&lt;&gt;"",M83,J83)</f>
        <v>2459.9699999999998</v>
      </c>
      <c r="Q83" s="132">
        <f>ROUND(O83*P83,2)</f>
        <v>3148.76</v>
      </c>
    </row>
    <row r="84" spans="1:17" x14ac:dyDescent="0.25">
      <c r="A84" s="133" t="s">
        <v>7217</v>
      </c>
      <c r="B84" s="133" t="s">
        <v>7218</v>
      </c>
      <c r="C84" s="134"/>
      <c r="D84" s="134"/>
      <c r="E84" s="135"/>
      <c r="F84" s="136"/>
      <c r="G84" s="136"/>
      <c r="H84" s="137"/>
      <c r="I84" s="138"/>
      <c r="J84" s="139" t="s">
        <v>7083</v>
      </c>
      <c r="K84" s="140"/>
      <c r="L84" s="138"/>
      <c r="M84" s="139" t="s">
        <v>7083</v>
      </c>
      <c r="N84" s="140"/>
      <c r="O84" s="138"/>
      <c r="P84" s="139" t="s">
        <v>7083</v>
      </c>
      <c r="Q84" s="140"/>
    </row>
    <row r="85" spans="1:17" x14ac:dyDescent="0.25">
      <c r="A85" s="163" t="s">
        <v>7219</v>
      </c>
      <c r="B85" s="163" t="s">
        <v>7220</v>
      </c>
      <c r="C85" s="164"/>
      <c r="D85" s="164"/>
      <c r="E85" s="165"/>
      <c r="F85" s="165"/>
      <c r="G85" s="165"/>
      <c r="H85" s="166"/>
      <c r="I85" s="167"/>
      <c r="J85" s="168" t="s">
        <v>7083</v>
      </c>
      <c r="K85" s="169"/>
      <c r="L85" s="167"/>
      <c r="M85" s="168" t="s">
        <v>7083</v>
      </c>
      <c r="N85" s="169"/>
      <c r="O85" s="167"/>
      <c r="P85" s="168" t="s">
        <v>7083</v>
      </c>
      <c r="Q85" s="169"/>
    </row>
    <row r="86" spans="1:17" x14ac:dyDescent="0.25">
      <c r="A86" s="170" t="s">
        <v>7221</v>
      </c>
      <c r="B86" s="170" t="s">
        <v>7222</v>
      </c>
      <c r="C86" s="171"/>
      <c r="D86" s="171"/>
      <c r="E86" s="172"/>
      <c r="F86" s="172"/>
      <c r="G86" s="172"/>
      <c r="H86" s="173"/>
      <c r="I86" s="174"/>
      <c r="J86" s="175" t="s">
        <v>7083</v>
      </c>
      <c r="K86" s="176"/>
      <c r="L86" s="174"/>
      <c r="M86" s="175" t="s">
        <v>7083</v>
      </c>
      <c r="N86" s="176"/>
      <c r="O86" s="174"/>
      <c r="P86" s="175" t="s">
        <v>7083</v>
      </c>
      <c r="Q86" s="176"/>
    </row>
    <row r="87" spans="1:17" ht="22.5" x14ac:dyDescent="0.25">
      <c r="A87" s="177" t="s">
        <v>7223</v>
      </c>
      <c r="B87" s="177" t="s">
        <v>7224</v>
      </c>
      <c r="C87" s="178" t="s">
        <v>378</v>
      </c>
      <c r="D87" s="178" t="s">
        <v>1</v>
      </c>
      <c r="E87" s="179" t="s">
        <v>7193</v>
      </c>
      <c r="F87" s="179">
        <v>60</v>
      </c>
      <c r="G87" s="179">
        <v>10</v>
      </c>
      <c r="H87" s="180">
        <v>0</v>
      </c>
      <c r="I87" s="181">
        <v>58</v>
      </c>
      <c r="J87" s="182">
        <v>1537.61</v>
      </c>
      <c r="K87" s="183">
        <f t="shared" si="22"/>
        <v>89181.38</v>
      </c>
      <c r="L87" s="181"/>
      <c r="M87" s="131"/>
      <c r="N87" s="132"/>
      <c r="O87" s="130">
        <f>SUM(L87,I87)</f>
        <v>58</v>
      </c>
      <c r="P87" s="131">
        <f>IF(M87&lt;&gt;"",M87,J87)</f>
        <v>1537.61</v>
      </c>
      <c r="Q87" s="132">
        <f>ROUND(O87*P87,2)</f>
        <v>89181.38</v>
      </c>
    </row>
    <row r="88" spans="1:17" x14ac:dyDescent="0.25">
      <c r="A88" s="170" t="s">
        <v>7225</v>
      </c>
      <c r="B88" s="170" t="s">
        <v>7226</v>
      </c>
      <c r="C88" s="171"/>
      <c r="D88" s="171"/>
      <c r="E88" s="172"/>
      <c r="F88" s="172"/>
      <c r="G88" s="172"/>
      <c r="H88" s="173"/>
      <c r="I88" s="174"/>
      <c r="J88" s="175" t="s">
        <v>7083</v>
      </c>
      <c r="K88" s="176"/>
      <c r="L88" s="174"/>
      <c r="M88" s="175" t="s">
        <v>7083</v>
      </c>
      <c r="N88" s="176"/>
      <c r="O88" s="174"/>
      <c r="P88" s="175" t="s">
        <v>7083</v>
      </c>
      <c r="Q88" s="176"/>
    </row>
    <row r="89" spans="1:17" ht="33.75" x14ac:dyDescent="0.25">
      <c r="A89" s="177" t="s">
        <v>7227</v>
      </c>
      <c r="B89" s="177" t="s">
        <v>7228</v>
      </c>
      <c r="C89" s="178" t="s">
        <v>378</v>
      </c>
      <c r="D89" s="178" t="s">
        <v>1</v>
      </c>
      <c r="E89" s="179" t="s">
        <v>7193</v>
      </c>
      <c r="F89" s="179">
        <v>60</v>
      </c>
      <c r="G89" s="179">
        <v>10</v>
      </c>
      <c r="H89" s="180">
        <v>0</v>
      </c>
      <c r="I89" s="181">
        <v>28.2</v>
      </c>
      <c r="J89" s="182">
        <v>3036.89</v>
      </c>
      <c r="K89" s="183">
        <f t="shared" si="22"/>
        <v>85640.3</v>
      </c>
      <c r="L89" s="181"/>
      <c r="M89" s="131"/>
      <c r="N89" s="132"/>
      <c r="O89" s="130">
        <f t="shared" ref="O89:O90" si="26">SUM(L89,I89)</f>
        <v>28.2</v>
      </c>
      <c r="P89" s="131">
        <f t="shared" ref="P89:P90" si="27">IF(M89&lt;&gt;"",M89,J89)</f>
        <v>3036.89</v>
      </c>
      <c r="Q89" s="132">
        <f t="shared" ref="Q89:Q90" si="28">ROUND(O89*P89,2)</f>
        <v>85640.3</v>
      </c>
    </row>
    <row r="90" spans="1:17" ht="33.75" x14ac:dyDescent="0.25">
      <c r="A90" s="177" t="s">
        <v>7229</v>
      </c>
      <c r="B90" s="177" t="s">
        <v>7230</v>
      </c>
      <c r="C90" s="178" t="s">
        <v>378</v>
      </c>
      <c r="D90" s="178" t="s">
        <v>1</v>
      </c>
      <c r="E90" s="179" t="s">
        <v>7193</v>
      </c>
      <c r="F90" s="179">
        <v>60</v>
      </c>
      <c r="G90" s="179">
        <v>10</v>
      </c>
      <c r="H90" s="180">
        <v>0</v>
      </c>
      <c r="I90" s="181">
        <v>22</v>
      </c>
      <c r="J90" s="182">
        <v>3956.16</v>
      </c>
      <c r="K90" s="183">
        <f t="shared" si="22"/>
        <v>87035.520000000004</v>
      </c>
      <c r="L90" s="181"/>
      <c r="M90" s="131"/>
      <c r="N90" s="132"/>
      <c r="O90" s="130">
        <f t="shared" si="26"/>
        <v>22</v>
      </c>
      <c r="P90" s="131">
        <f t="shared" si="27"/>
        <v>3956.16</v>
      </c>
      <c r="Q90" s="132">
        <f t="shared" si="28"/>
        <v>87035.520000000004</v>
      </c>
    </row>
    <row r="91" spans="1:17" x14ac:dyDescent="0.25">
      <c r="A91" s="170" t="s">
        <v>7231</v>
      </c>
      <c r="B91" s="170" t="s">
        <v>7232</v>
      </c>
      <c r="C91" s="171"/>
      <c r="D91" s="171"/>
      <c r="E91" s="172"/>
      <c r="F91" s="172"/>
      <c r="G91" s="172"/>
      <c r="H91" s="173"/>
      <c r="I91" s="174"/>
      <c r="J91" s="175" t="s">
        <v>7083</v>
      </c>
      <c r="K91" s="176"/>
      <c r="L91" s="174"/>
      <c r="M91" s="175" t="s">
        <v>7083</v>
      </c>
      <c r="N91" s="176"/>
      <c r="O91" s="174"/>
      <c r="P91" s="175" t="s">
        <v>7083</v>
      </c>
      <c r="Q91" s="176"/>
    </row>
    <row r="92" spans="1:17" ht="22.5" x14ac:dyDescent="0.25">
      <c r="A92" s="177" t="s">
        <v>7233</v>
      </c>
      <c r="B92" s="177" t="s">
        <v>7234</v>
      </c>
      <c r="C92" s="178" t="s">
        <v>378</v>
      </c>
      <c r="D92" s="178" t="s">
        <v>1</v>
      </c>
      <c r="E92" s="179" t="s">
        <v>7193</v>
      </c>
      <c r="F92" s="179">
        <v>60</v>
      </c>
      <c r="G92" s="179">
        <v>10</v>
      </c>
      <c r="H92" s="180">
        <v>5</v>
      </c>
      <c r="I92" s="181">
        <v>150</v>
      </c>
      <c r="J92" s="182">
        <v>494.11</v>
      </c>
      <c r="K92" s="183">
        <f t="shared" si="22"/>
        <v>74116.5</v>
      </c>
      <c r="L92" s="181"/>
      <c r="M92" s="131"/>
      <c r="N92" s="132"/>
      <c r="O92" s="130">
        <f>SUM(L92,I92)</f>
        <v>150</v>
      </c>
      <c r="P92" s="131">
        <f>IF(M92&lt;&gt;"",M92,J92)</f>
        <v>494.11</v>
      </c>
      <c r="Q92" s="132">
        <f>ROUND(O92*P92,2)</f>
        <v>74116.5</v>
      </c>
    </row>
    <row r="93" spans="1:17" x14ac:dyDescent="0.25">
      <c r="A93" s="170" t="s">
        <v>7235</v>
      </c>
      <c r="B93" s="170" t="s">
        <v>7236</v>
      </c>
      <c r="C93" s="171"/>
      <c r="D93" s="171"/>
      <c r="E93" s="172"/>
      <c r="F93" s="172"/>
      <c r="G93" s="172"/>
      <c r="H93" s="173"/>
      <c r="I93" s="174"/>
      <c r="J93" s="175" t="s">
        <v>7083</v>
      </c>
      <c r="K93" s="176"/>
      <c r="L93" s="174"/>
      <c r="M93" s="175" t="s">
        <v>7083</v>
      </c>
      <c r="N93" s="176"/>
      <c r="O93" s="174"/>
      <c r="P93" s="175" t="s">
        <v>7083</v>
      </c>
      <c r="Q93" s="176"/>
    </row>
    <row r="94" spans="1:17" ht="22.5" x14ac:dyDescent="0.25">
      <c r="A94" s="177" t="s">
        <v>7237</v>
      </c>
      <c r="B94" s="177" t="s">
        <v>7238</v>
      </c>
      <c r="C94" s="178" t="s">
        <v>378</v>
      </c>
      <c r="D94" s="178" t="s">
        <v>1</v>
      </c>
      <c r="E94" s="179" t="s">
        <v>7193</v>
      </c>
      <c r="F94" s="179">
        <v>60</v>
      </c>
      <c r="G94" s="179">
        <v>10</v>
      </c>
      <c r="H94" s="180">
        <v>5</v>
      </c>
      <c r="I94" s="181">
        <v>50</v>
      </c>
      <c r="J94" s="182">
        <v>637.52</v>
      </c>
      <c r="K94" s="183">
        <f t="shared" si="22"/>
        <v>31876</v>
      </c>
      <c r="L94" s="181"/>
      <c r="M94" s="131"/>
      <c r="N94" s="132"/>
      <c r="O94" s="130">
        <f t="shared" ref="O94:O100" si="29">SUM(L94,I94)</f>
        <v>50</v>
      </c>
      <c r="P94" s="131">
        <f t="shared" ref="P94:P100" si="30">IF(M94&lt;&gt;"",M94,J94)</f>
        <v>637.52</v>
      </c>
      <c r="Q94" s="132">
        <f t="shared" ref="Q94:Q100" si="31">ROUND(O94*P94,2)</f>
        <v>31876</v>
      </c>
    </row>
    <row r="95" spans="1:17" ht="22.5" x14ac:dyDescent="0.25">
      <c r="A95" s="177" t="s">
        <v>7239</v>
      </c>
      <c r="B95" s="177" t="s">
        <v>7240</v>
      </c>
      <c r="C95" s="178" t="s">
        <v>378</v>
      </c>
      <c r="D95" s="178" t="s">
        <v>1</v>
      </c>
      <c r="E95" s="179" t="s">
        <v>7193</v>
      </c>
      <c r="F95" s="179">
        <v>60</v>
      </c>
      <c r="G95" s="179">
        <v>10</v>
      </c>
      <c r="H95" s="180">
        <v>0</v>
      </c>
      <c r="I95" s="181">
        <v>6</v>
      </c>
      <c r="J95" s="182">
        <v>2178.36</v>
      </c>
      <c r="K95" s="183">
        <f t="shared" si="22"/>
        <v>13070.16</v>
      </c>
      <c r="L95" s="181">
        <v>4</v>
      </c>
      <c r="M95" s="131">
        <f>J95</f>
        <v>2178.36</v>
      </c>
      <c r="N95" s="183">
        <f t="shared" ref="N95:N96" si="32">ROUND(L95*M95,2)</f>
        <v>8713.44</v>
      </c>
      <c r="O95" s="130">
        <f t="shared" si="29"/>
        <v>10</v>
      </c>
      <c r="P95" s="131">
        <f t="shared" si="30"/>
        <v>2178.36</v>
      </c>
      <c r="Q95" s="132">
        <f t="shared" si="31"/>
        <v>21783.599999999999</v>
      </c>
    </row>
    <row r="96" spans="1:17" ht="22.5" x14ac:dyDescent="0.25">
      <c r="A96" s="177" t="s">
        <v>7241</v>
      </c>
      <c r="B96" s="177" t="s">
        <v>7242</v>
      </c>
      <c r="C96" s="178" t="s">
        <v>378</v>
      </c>
      <c r="D96" s="178" t="s">
        <v>1</v>
      </c>
      <c r="E96" s="179" t="s">
        <v>7193</v>
      </c>
      <c r="F96" s="179">
        <v>60</v>
      </c>
      <c r="G96" s="179">
        <v>10</v>
      </c>
      <c r="H96" s="180">
        <v>0</v>
      </c>
      <c r="I96" s="181">
        <v>12</v>
      </c>
      <c r="J96" s="182">
        <v>3075.69</v>
      </c>
      <c r="K96" s="183">
        <f t="shared" si="22"/>
        <v>36908.28</v>
      </c>
      <c r="L96" s="181">
        <v>9</v>
      </c>
      <c r="M96" s="131">
        <f>J96</f>
        <v>3075.69</v>
      </c>
      <c r="N96" s="183">
        <f t="shared" si="32"/>
        <v>27681.21</v>
      </c>
      <c r="O96" s="130">
        <f t="shared" si="29"/>
        <v>21</v>
      </c>
      <c r="P96" s="131">
        <f t="shared" si="30"/>
        <v>3075.69</v>
      </c>
      <c r="Q96" s="132">
        <f t="shared" si="31"/>
        <v>64589.49</v>
      </c>
    </row>
    <row r="97" spans="1:17" ht="22.5" x14ac:dyDescent="0.25">
      <c r="A97" s="177" t="s">
        <v>7243</v>
      </c>
      <c r="B97" s="177" t="s">
        <v>7244</v>
      </c>
      <c r="C97" s="178" t="s">
        <v>378</v>
      </c>
      <c r="D97" s="178" t="s">
        <v>1</v>
      </c>
      <c r="E97" s="179" t="s">
        <v>7193</v>
      </c>
      <c r="F97" s="179">
        <v>60</v>
      </c>
      <c r="G97" s="179">
        <v>10</v>
      </c>
      <c r="H97" s="180">
        <v>0</v>
      </c>
      <c r="I97" s="181">
        <v>12</v>
      </c>
      <c r="J97" s="182">
        <v>4025.52</v>
      </c>
      <c r="K97" s="183">
        <f t="shared" si="22"/>
        <v>48306.239999999998</v>
      </c>
      <c r="L97" s="181"/>
      <c r="M97" s="131"/>
      <c r="N97" s="132"/>
      <c r="O97" s="130">
        <f t="shared" si="29"/>
        <v>12</v>
      </c>
      <c r="P97" s="131">
        <f t="shared" si="30"/>
        <v>4025.52</v>
      </c>
      <c r="Q97" s="132">
        <f t="shared" si="31"/>
        <v>48306.239999999998</v>
      </c>
    </row>
    <row r="98" spans="1:17" ht="22.5" x14ac:dyDescent="0.25">
      <c r="A98" s="177" t="s">
        <v>7245</v>
      </c>
      <c r="B98" s="177" t="s">
        <v>7246</v>
      </c>
      <c r="C98" s="178" t="s">
        <v>378</v>
      </c>
      <c r="D98" s="178" t="s">
        <v>1</v>
      </c>
      <c r="E98" s="179" t="s">
        <v>7193</v>
      </c>
      <c r="F98" s="179">
        <v>60</v>
      </c>
      <c r="G98" s="179">
        <v>10</v>
      </c>
      <c r="H98" s="180">
        <v>0</v>
      </c>
      <c r="I98" s="181">
        <v>12</v>
      </c>
      <c r="J98" s="182">
        <v>4888.55</v>
      </c>
      <c r="K98" s="183">
        <f t="shared" si="22"/>
        <v>58662.6</v>
      </c>
      <c r="L98" s="181"/>
      <c r="M98" s="131"/>
      <c r="N98" s="132"/>
      <c r="O98" s="130">
        <f t="shared" si="29"/>
        <v>12</v>
      </c>
      <c r="P98" s="131">
        <f t="shared" si="30"/>
        <v>4888.55</v>
      </c>
      <c r="Q98" s="132">
        <f t="shared" si="31"/>
        <v>58662.6</v>
      </c>
    </row>
    <row r="99" spans="1:17" ht="22.5" x14ac:dyDescent="0.25">
      <c r="A99" s="177" t="s">
        <v>7247</v>
      </c>
      <c r="B99" s="177" t="s">
        <v>7248</v>
      </c>
      <c r="C99" s="178" t="s">
        <v>378</v>
      </c>
      <c r="D99" s="178" t="s">
        <v>1</v>
      </c>
      <c r="E99" s="179" t="s">
        <v>7193</v>
      </c>
      <c r="F99" s="179">
        <v>60</v>
      </c>
      <c r="G99" s="179">
        <v>10</v>
      </c>
      <c r="H99" s="180">
        <v>0</v>
      </c>
      <c r="I99" s="181">
        <v>12</v>
      </c>
      <c r="J99" s="182">
        <v>5775.2</v>
      </c>
      <c r="K99" s="183">
        <f t="shared" si="22"/>
        <v>69302.399999999994</v>
      </c>
      <c r="L99" s="181"/>
      <c r="M99" s="131"/>
      <c r="N99" s="132"/>
      <c r="O99" s="130">
        <f t="shared" si="29"/>
        <v>12</v>
      </c>
      <c r="P99" s="131">
        <f t="shared" si="30"/>
        <v>5775.2</v>
      </c>
      <c r="Q99" s="132">
        <f t="shared" si="31"/>
        <v>69302.399999999994</v>
      </c>
    </row>
    <row r="100" spans="1:17" ht="22.5" x14ac:dyDescent="0.25">
      <c r="A100" s="177" t="s">
        <v>7249</v>
      </c>
      <c r="B100" s="177" t="s">
        <v>7250</v>
      </c>
      <c r="C100" s="178" t="s">
        <v>378</v>
      </c>
      <c r="D100" s="178" t="s">
        <v>1</v>
      </c>
      <c r="E100" s="179" t="s">
        <v>7193</v>
      </c>
      <c r="F100" s="179">
        <v>60</v>
      </c>
      <c r="G100" s="179">
        <v>10</v>
      </c>
      <c r="H100" s="180">
        <v>0</v>
      </c>
      <c r="I100" s="181">
        <v>12</v>
      </c>
      <c r="J100" s="182">
        <v>8263.81</v>
      </c>
      <c r="K100" s="183">
        <f t="shared" si="22"/>
        <v>99165.72</v>
      </c>
      <c r="L100" s="181"/>
      <c r="M100" s="131"/>
      <c r="N100" s="132"/>
      <c r="O100" s="130">
        <f t="shared" si="29"/>
        <v>12</v>
      </c>
      <c r="P100" s="131">
        <f t="shared" si="30"/>
        <v>8263.81</v>
      </c>
      <c r="Q100" s="132">
        <f t="shared" si="31"/>
        <v>99165.72</v>
      </c>
    </row>
    <row r="101" spans="1:17" ht="22.5" x14ac:dyDescent="0.25">
      <c r="A101" s="170" t="s">
        <v>7251</v>
      </c>
      <c r="B101" s="170" t="s">
        <v>7252</v>
      </c>
      <c r="C101" s="171"/>
      <c r="D101" s="171"/>
      <c r="E101" s="172"/>
      <c r="F101" s="172"/>
      <c r="G101" s="172"/>
      <c r="H101" s="173"/>
      <c r="I101" s="174"/>
      <c r="J101" s="175" t="s">
        <v>7083</v>
      </c>
      <c r="K101" s="176"/>
      <c r="L101" s="174"/>
      <c r="M101" s="175" t="s">
        <v>7083</v>
      </c>
      <c r="N101" s="176"/>
      <c r="O101" s="174"/>
      <c r="P101" s="175" t="s">
        <v>7083</v>
      </c>
      <c r="Q101" s="176"/>
    </row>
    <row r="102" spans="1:17" ht="45" x14ac:dyDescent="0.25">
      <c r="A102" s="177" t="s">
        <v>7253</v>
      </c>
      <c r="B102" s="177" t="s">
        <v>7254</v>
      </c>
      <c r="C102" s="178" t="s">
        <v>378</v>
      </c>
      <c r="D102" s="178" t="s">
        <v>1</v>
      </c>
      <c r="E102" s="179" t="s">
        <v>7193</v>
      </c>
      <c r="F102" s="179">
        <v>60</v>
      </c>
      <c r="G102" s="179">
        <v>10</v>
      </c>
      <c r="H102" s="180">
        <v>0</v>
      </c>
      <c r="I102" s="181">
        <v>15</v>
      </c>
      <c r="J102" s="182">
        <v>2145.02</v>
      </c>
      <c r="K102" s="183">
        <f t="shared" si="22"/>
        <v>32175.3</v>
      </c>
      <c r="L102" s="181"/>
      <c r="M102" s="131"/>
      <c r="N102" s="132"/>
      <c r="O102" s="130">
        <f t="shared" ref="O102:O109" si="33">SUM(L102,I102)</f>
        <v>15</v>
      </c>
      <c r="P102" s="131">
        <f t="shared" ref="P102:P109" si="34">IF(M102&lt;&gt;"",M102,J102)</f>
        <v>2145.02</v>
      </c>
      <c r="Q102" s="132">
        <f t="shared" ref="Q102:Q109" si="35">ROUND(O102*P102,2)</f>
        <v>32175.3</v>
      </c>
    </row>
    <row r="103" spans="1:17" ht="45" x14ac:dyDescent="0.25">
      <c r="A103" s="177" t="s">
        <v>7255</v>
      </c>
      <c r="B103" s="177" t="s">
        <v>7256</v>
      </c>
      <c r="C103" s="178" t="s">
        <v>378</v>
      </c>
      <c r="D103" s="178" t="s">
        <v>1</v>
      </c>
      <c r="E103" s="179" t="s">
        <v>7193</v>
      </c>
      <c r="F103" s="179">
        <v>60</v>
      </c>
      <c r="G103" s="179">
        <v>10</v>
      </c>
      <c r="H103" s="180">
        <v>0</v>
      </c>
      <c r="I103" s="181">
        <v>15</v>
      </c>
      <c r="J103" s="182">
        <v>3172.32</v>
      </c>
      <c r="K103" s="183">
        <f t="shared" si="22"/>
        <v>47584.800000000003</v>
      </c>
      <c r="L103" s="181">
        <f>12+64</f>
        <v>76</v>
      </c>
      <c r="M103" s="131">
        <f t="shared" ref="M103:M105" si="36">J103</f>
        <v>3172.32</v>
      </c>
      <c r="N103" s="183">
        <f t="shared" ref="N103:N105" si="37">ROUND(L103*M103,2)</f>
        <v>241096.32000000001</v>
      </c>
      <c r="O103" s="130">
        <f t="shared" si="33"/>
        <v>91</v>
      </c>
      <c r="P103" s="131">
        <f t="shared" si="34"/>
        <v>3172.32</v>
      </c>
      <c r="Q103" s="132">
        <f t="shared" si="35"/>
        <v>288681.12</v>
      </c>
    </row>
    <row r="104" spans="1:17" ht="45" x14ac:dyDescent="0.25">
      <c r="A104" s="177" t="s">
        <v>7257</v>
      </c>
      <c r="B104" s="177" t="s">
        <v>7258</v>
      </c>
      <c r="C104" s="178" t="s">
        <v>378</v>
      </c>
      <c r="D104" s="178" t="s">
        <v>1</v>
      </c>
      <c r="E104" s="179" t="s">
        <v>7193</v>
      </c>
      <c r="F104" s="179">
        <v>60</v>
      </c>
      <c r="G104" s="179">
        <v>10</v>
      </c>
      <c r="H104" s="180">
        <v>0</v>
      </c>
      <c r="I104" s="181">
        <v>15</v>
      </c>
      <c r="J104" s="182">
        <v>4133.26</v>
      </c>
      <c r="K104" s="183">
        <f t="shared" si="22"/>
        <v>61998.9</v>
      </c>
      <c r="L104" s="181">
        <v>38</v>
      </c>
      <c r="M104" s="131">
        <f t="shared" si="36"/>
        <v>4133.26</v>
      </c>
      <c r="N104" s="183">
        <f t="shared" si="37"/>
        <v>157063.88</v>
      </c>
      <c r="O104" s="130">
        <f t="shared" si="33"/>
        <v>53</v>
      </c>
      <c r="P104" s="131">
        <f t="shared" si="34"/>
        <v>4133.26</v>
      </c>
      <c r="Q104" s="132">
        <f t="shared" si="35"/>
        <v>219062.78</v>
      </c>
    </row>
    <row r="105" spans="1:17" ht="45" x14ac:dyDescent="0.25">
      <c r="A105" s="177" t="s">
        <v>7259</v>
      </c>
      <c r="B105" s="177" t="s">
        <v>7260</v>
      </c>
      <c r="C105" s="178" t="s">
        <v>378</v>
      </c>
      <c r="D105" s="178" t="s">
        <v>1</v>
      </c>
      <c r="E105" s="179" t="s">
        <v>7193</v>
      </c>
      <c r="F105" s="179">
        <v>60</v>
      </c>
      <c r="G105" s="179">
        <v>10</v>
      </c>
      <c r="H105" s="180">
        <v>0</v>
      </c>
      <c r="I105" s="181">
        <v>15</v>
      </c>
      <c r="J105" s="182">
        <v>5086</v>
      </c>
      <c r="K105" s="183">
        <f t="shared" si="22"/>
        <v>76290</v>
      </c>
      <c r="L105" s="181">
        <v>3</v>
      </c>
      <c r="M105" s="131">
        <f t="shared" si="36"/>
        <v>5086</v>
      </c>
      <c r="N105" s="183">
        <f t="shared" si="37"/>
        <v>15258</v>
      </c>
      <c r="O105" s="130">
        <f t="shared" si="33"/>
        <v>18</v>
      </c>
      <c r="P105" s="131">
        <f t="shared" si="34"/>
        <v>5086</v>
      </c>
      <c r="Q105" s="132">
        <f t="shared" si="35"/>
        <v>91548</v>
      </c>
    </row>
    <row r="106" spans="1:17" ht="45" x14ac:dyDescent="0.25">
      <c r="A106" s="177" t="s">
        <v>7261</v>
      </c>
      <c r="B106" s="177" t="s">
        <v>7262</v>
      </c>
      <c r="C106" s="178" t="s">
        <v>378</v>
      </c>
      <c r="D106" s="178" t="s">
        <v>1</v>
      </c>
      <c r="E106" s="179" t="s">
        <v>7193</v>
      </c>
      <c r="F106" s="179">
        <v>60</v>
      </c>
      <c r="G106" s="179">
        <v>10</v>
      </c>
      <c r="H106" s="180">
        <v>0</v>
      </c>
      <c r="I106" s="181">
        <v>15</v>
      </c>
      <c r="J106" s="182">
        <v>6156.57</v>
      </c>
      <c r="K106" s="183">
        <f t="shared" si="22"/>
        <v>92348.55</v>
      </c>
      <c r="L106" s="181"/>
      <c r="M106" s="131"/>
      <c r="N106" s="132"/>
      <c r="O106" s="130">
        <f t="shared" si="33"/>
        <v>15</v>
      </c>
      <c r="P106" s="131">
        <f t="shared" si="34"/>
        <v>6156.57</v>
      </c>
      <c r="Q106" s="132">
        <f t="shared" si="35"/>
        <v>92348.55</v>
      </c>
    </row>
    <row r="107" spans="1:17" ht="45" x14ac:dyDescent="0.25">
      <c r="A107" s="177" t="s">
        <v>7263</v>
      </c>
      <c r="B107" s="177" t="s">
        <v>7264</v>
      </c>
      <c r="C107" s="178" t="s">
        <v>378</v>
      </c>
      <c r="D107" s="178" t="s">
        <v>1</v>
      </c>
      <c r="E107" s="179" t="s">
        <v>7193</v>
      </c>
      <c r="F107" s="179">
        <v>60</v>
      </c>
      <c r="G107" s="179">
        <v>10</v>
      </c>
      <c r="H107" s="180">
        <v>0</v>
      </c>
      <c r="I107" s="181">
        <v>15</v>
      </c>
      <c r="J107" s="182">
        <v>7402.55</v>
      </c>
      <c r="K107" s="183">
        <f t="shared" si="22"/>
        <v>111038.25</v>
      </c>
      <c r="L107" s="181"/>
      <c r="M107" s="131"/>
      <c r="N107" s="132"/>
      <c r="O107" s="130">
        <f t="shared" si="33"/>
        <v>15</v>
      </c>
      <c r="P107" s="131">
        <f t="shared" si="34"/>
        <v>7402.55</v>
      </c>
      <c r="Q107" s="132">
        <f t="shared" si="35"/>
        <v>111038.25</v>
      </c>
    </row>
    <row r="108" spans="1:17" ht="45" x14ac:dyDescent="0.25">
      <c r="A108" s="177" t="s">
        <v>7265</v>
      </c>
      <c r="B108" s="177" t="s">
        <v>7266</v>
      </c>
      <c r="C108" s="178" t="s">
        <v>378</v>
      </c>
      <c r="D108" s="178" t="s">
        <v>1</v>
      </c>
      <c r="E108" s="179" t="s">
        <v>7193</v>
      </c>
      <c r="F108" s="179">
        <v>60</v>
      </c>
      <c r="G108" s="179">
        <v>10</v>
      </c>
      <c r="H108" s="180">
        <v>0</v>
      </c>
      <c r="I108" s="181">
        <v>15</v>
      </c>
      <c r="J108" s="182">
        <v>9532.16</v>
      </c>
      <c r="K108" s="183">
        <f t="shared" si="22"/>
        <v>142982.39999999999</v>
      </c>
      <c r="L108" s="181"/>
      <c r="M108" s="131"/>
      <c r="N108" s="132"/>
      <c r="O108" s="130">
        <f t="shared" si="33"/>
        <v>15</v>
      </c>
      <c r="P108" s="131">
        <f t="shared" si="34"/>
        <v>9532.16</v>
      </c>
      <c r="Q108" s="132">
        <f t="shared" si="35"/>
        <v>142982.39999999999</v>
      </c>
    </row>
    <row r="109" spans="1:17" ht="45" x14ac:dyDescent="0.25">
      <c r="A109" s="177" t="s">
        <v>7267</v>
      </c>
      <c r="B109" s="177" t="s">
        <v>7268</v>
      </c>
      <c r="C109" s="178" t="s">
        <v>378</v>
      </c>
      <c r="D109" s="178" t="s">
        <v>1</v>
      </c>
      <c r="E109" s="179" t="s">
        <v>7193</v>
      </c>
      <c r="F109" s="179">
        <v>60</v>
      </c>
      <c r="G109" s="179">
        <v>10</v>
      </c>
      <c r="H109" s="180">
        <v>0</v>
      </c>
      <c r="I109" s="181">
        <v>15</v>
      </c>
      <c r="J109" s="182">
        <v>9636.23</v>
      </c>
      <c r="K109" s="183">
        <f t="shared" si="22"/>
        <v>144543.45000000001</v>
      </c>
      <c r="L109" s="181"/>
      <c r="M109" s="131"/>
      <c r="N109" s="132"/>
      <c r="O109" s="130">
        <f t="shared" si="33"/>
        <v>15</v>
      </c>
      <c r="P109" s="131">
        <f t="shared" si="34"/>
        <v>9636.23</v>
      </c>
      <c r="Q109" s="132">
        <f t="shared" si="35"/>
        <v>144543.45000000001</v>
      </c>
    </row>
    <row r="110" spans="1:17" x14ac:dyDescent="0.25">
      <c r="A110" s="170" t="s">
        <v>7269</v>
      </c>
      <c r="B110" s="170" t="s">
        <v>7270</v>
      </c>
      <c r="C110" s="171"/>
      <c r="D110" s="171"/>
      <c r="E110" s="172"/>
      <c r="F110" s="172"/>
      <c r="G110" s="172"/>
      <c r="H110" s="173"/>
      <c r="I110" s="174"/>
      <c r="J110" s="175" t="s">
        <v>7083</v>
      </c>
      <c r="K110" s="176"/>
      <c r="L110" s="174"/>
      <c r="M110" s="175" t="s">
        <v>7083</v>
      </c>
      <c r="N110" s="176"/>
      <c r="O110" s="174"/>
      <c r="P110" s="175" t="s">
        <v>7083</v>
      </c>
      <c r="Q110" s="176"/>
    </row>
    <row r="111" spans="1:17" ht="45" x14ac:dyDescent="0.25">
      <c r="A111" s="177" t="s">
        <v>7271</v>
      </c>
      <c r="B111" s="177" t="s">
        <v>7272</v>
      </c>
      <c r="C111" s="178" t="s">
        <v>460</v>
      </c>
      <c r="D111" s="178" t="s">
        <v>1</v>
      </c>
      <c r="E111" s="179" t="s">
        <v>7193</v>
      </c>
      <c r="F111" s="179">
        <v>60</v>
      </c>
      <c r="G111" s="179">
        <v>20</v>
      </c>
      <c r="H111" s="180">
        <v>0</v>
      </c>
      <c r="I111" s="181">
        <v>12</v>
      </c>
      <c r="J111" s="182">
        <v>3037.05</v>
      </c>
      <c r="K111" s="183">
        <f t="shared" si="22"/>
        <v>36444.6</v>
      </c>
      <c r="L111" s="181"/>
      <c r="M111" s="131"/>
      <c r="N111" s="132"/>
      <c r="O111" s="130">
        <f>SUM(L111,I111)</f>
        <v>12</v>
      </c>
      <c r="P111" s="131">
        <f>IF(M111&lt;&gt;"",M111,J111)</f>
        <v>3037.05</v>
      </c>
      <c r="Q111" s="132">
        <f>ROUND(O111*P111,2)</f>
        <v>36444.6</v>
      </c>
    </row>
    <row r="112" spans="1:17" x14ac:dyDescent="0.25">
      <c r="A112" s="170" t="s">
        <v>7273</v>
      </c>
      <c r="B112" s="170" t="s">
        <v>7274</v>
      </c>
      <c r="C112" s="171"/>
      <c r="D112" s="171"/>
      <c r="E112" s="172"/>
      <c r="F112" s="172"/>
      <c r="G112" s="172"/>
      <c r="H112" s="173"/>
      <c r="I112" s="174"/>
      <c r="J112" s="175" t="s">
        <v>7083</v>
      </c>
      <c r="K112" s="176"/>
      <c r="L112" s="174"/>
      <c r="M112" s="175" t="s">
        <v>7083</v>
      </c>
      <c r="N112" s="176"/>
      <c r="O112" s="174"/>
      <c r="P112" s="175" t="s">
        <v>7083</v>
      </c>
      <c r="Q112" s="176"/>
    </row>
    <row r="113" spans="1:17" x14ac:dyDescent="0.25">
      <c r="A113" s="177" t="s">
        <v>7275</v>
      </c>
      <c r="B113" s="177" t="s">
        <v>7276</v>
      </c>
      <c r="C113" s="178" t="s">
        <v>460</v>
      </c>
      <c r="D113" s="178" t="s">
        <v>1</v>
      </c>
      <c r="E113" s="179" t="s">
        <v>7193</v>
      </c>
      <c r="F113" s="179">
        <v>60</v>
      </c>
      <c r="G113" s="179">
        <v>20</v>
      </c>
      <c r="H113" s="180">
        <v>0</v>
      </c>
      <c r="I113" s="181">
        <v>9</v>
      </c>
      <c r="J113" s="182">
        <v>2274.52</v>
      </c>
      <c r="K113" s="183">
        <f t="shared" si="22"/>
        <v>20470.68</v>
      </c>
      <c r="L113" s="181">
        <v>7</v>
      </c>
      <c r="M113" s="131">
        <f>J113</f>
        <v>2274.52</v>
      </c>
      <c r="N113" s="183">
        <f t="shared" ref="N113" si="38">ROUND(L113*M113,2)</f>
        <v>15921.64</v>
      </c>
      <c r="O113" s="130">
        <f>SUM(L113,I113)</f>
        <v>16</v>
      </c>
      <c r="P113" s="131">
        <f>IF(M113&lt;&gt;"",M113,J113)</f>
        <v>2274.52</v>
      </c>
      <c r="Q113" s="132">
        <f>ROUND(O113*P113,2)</f>
        <v>36392.32</v>
      </c>
    </row>
    <row r="114" spans="1:17" x14ac:dyDescent="0.25">
      <c r="A114" s="163" t="s">
        <v>7277</v>
      </c>
      <c r="B114" s="163" t="s">
        <v>7278</v>
      </c>
      <c r="C114" s="164"/>
      <c r="D114" s="164"/>
      <c r="E114" s="165"/>
      <c r="F114" s="165"/>
      <c r="G114" s="165"/>
      <c r="H114" s="166"/>
      <c r="I114" s="167"/>
      <c r="J114" s="168" t="s">
        <v>7083</v>
      </c>
      <c r="K114" s="169"/>
      <c r="L114" s="167"/>
      <c r="M114" s="168" t="s">
        <v>7083</v>
      </c>
      <c r="N114" s="169"/>
      <c r="O114" s="167"/>
      <c r="P114" s="168" t="s">
        <v>7083</v>
      </c>
      <c r="Q114" s="169"/>
    </row>
    <row r="115" spans="1:17" x14ac:dyDescent="0.25">
      <c r="A115" s="170" t="s">
        <v>7279</v>
      </c>
      <c r="B115" s="170" t="s">
        <v>7280</v>
      </c>
      <c r="C115" s="171"/>
      <c r="D115" s="171"/>
      <c r="E115" s="172"/>
      <c r="F115" s="172"/>
      <c r="G115" s="172"/>
      <c r="H115" s="173"/>
      <c r="I115" s="174"/>
      <c r="J115" s="175" t="s">
        <v>7083</v>
      </c>
      <c r="K115" s="176"/>
      <c r="L115" s="174"/>
      <c r="M115" s="175" t="s">
        <v>7083</v>
      </c>
      <c r="N115" s="176"/>
      <c r="O115" s="174"/>
      <c r="P115" s="175" t="s">
        <v>7083</v>
      </c>
      <c r="Q115" s="176"/>
    </row>
    <row r="116" spans="1:17" x14ac:dyDescent="0.25">
      <c r="A116" s="177" t="s">
        <v>7281</v>
      </c>
      <c r="B116" s="177" t="s">
        <v>7282</v>
      </c>
      <c r="C116" s="178" t="s">
        <v>460</v>
      </c>
      <c r="D116" s="178" t="s">
        <v>1</v>
      </c>
      <c r="E116" s="179" t="s">
        <v>7193</v>
      </c>
      <c r="F116" s="179">
        <v>30</v>
      </c>
      <c r="G116" s="179">
        <v>80</v>
      </c>
      <c r="H116" s="180">
        <v>0</v>
      </c>
      <c r="I116" s="181">
        <v>5</v>
      </c>
      <c r="J116" s="182">
        <v>1594.05</v>
      </c>
      <c r="K116" s="183">
        <f t="shared" si="22"/>
        <v>7970.25</v>
      </c>
      <c r="L116" s="181"/>
      <c r="M116" s="131"/>
      <c r="N116" s="132"/>
      <c r="O116" s="130">
        <f>SUM(L116,I116)</f>
        <v>5</v>
      </c>
      <c r="P116" s="131">
        <f>IF(M116&lt;&gt;"",M116,J116)</f>
        <v>1594.05</v>
      </c>
      <c r="Q116" s="132">
        <f>ROUND(O116*P116,2)</f>
        <v>7970.25</v>
      </c>
    </row>
    <row r="117" spans="1:17" x14ac:dyDescent="0.25">
      <c r="A117" s="204" t="s">
        <v>7283</v>
      </c>
      <c r="B117" s="204" t="s">
        <v>7284</v>
      </c>
      <c r="C117" s="171"/>
      <c r="D117" s="171"/>
      <c r="E117" s="172"/>
      <c r="F117" s="172"/>
      <c r="G117" s="172"/>
      <c r="H117" s="173"/>
      <c r="I117" s="205"/>
      <c r="J117" s="206" t="s">
        <v>7083</v>
      </c>
      <c r="K117" s="176"/>
      <c r="L117" s="205"/>
      <c r="M117" s="206" t="s">
        <v>7083</v>
      </c>
      <c r="N117" s="176"/>
      <c r="O117" s="205"/>
      <c r="P117" s="206" t="s">
        <v>7083</v>
      </c>
      <c r="Q117" s="176"/>
    </row>
    <row r="118" spans="1:17" x14ac:dyDescent="0.25">
      <c r="A118" s="177" t="s">
        <v>7285</v>
      </c>
      <c r="B118" s="177" t="s">
        <v>7286</v>
      </c>
      <c r="C118" s="178" t="s">
        <v>460</v>
      </c>
      <c r="D118" s="178" t="s">
        <v>1</v>
      </c>
      <c r="E118" s="179" t="s">
        <v>7193</v>
      </c>
      <c r="F118" s="179">
        <v>30</v>
      </c>
      <c r="G118" s="179">
        <v>80</v>
      </c>
      <c r="H118" s="180">
        <v>0</v>
      </c>
      <c r="I118" s="181">
        <v>5</v>
      </c>
      <c r="J118" s="182">
        <v>2171.2800000000002</v>
      </c>
      <c r="K118" s="183">
        <f t="shared" si="22"/>
        <v>10856.4</v>
      </c>
      <c r="L118" s="181"/>
      <c r="M118" s="131"/>
      <c r="N118" s="132"/>
      <c r="O118" s="130">
        <f>SUM(L118,I118)</f>
        <v>5</v>
      </c>
      <c r="P118" s="131">
        <f>IF(M118&lt;&gt;"",M118,J118)</f>
        <v>2171.2800000000002</v>
      </c>
      <c r="Q118" s="132">
        <f>ROUND(O118*P118,2)</f>
        <v>10856.4</v>
      </c>
    </row>
    <row r="119" spans="1:17" x14ac:dyDescent="0.25">
      <c r="A119" s="170" t="s">
        <v>7287</v>
      </c>
      <c r="B119" s="170" t="s">
        <v>7288</v>
      </c>
      <c r="C119" s="171"/>
      <c r="D119" s="171"/>
      <c r="E119" s="172"/>
      <c r="F119" s="172"/>
      <c r="G119" s="172"/>
      <c r="H119" s="173"/>
      <c r="I119" s="174"/>
      <c r="J119" s="175" t="s">
        <v>7083</v>
      </c>
      <c r="K119" s="176"/>
      <c r="L119" s="174"/>
      <c r="M119" s="175" t="s">
        <v>7083</v>
      </c>
      <c r="N119" s="176"/>
      <c r="O119" s="174"/>
      <c r="P119" s="175" t="s">
        <v>7083</v>
      </c>
      <c r="Q119" s="176"/>
    </row>
    <row r="120" spans="1:17" ht="22.5" x14ac:dyDescent="0.25">
      <c r="A120" s="177" t="s">
        <v>7289</v>
      </c>
      <c r="B120" s="177" t="s">
        <v>7290</v>
      </c>
      <c r="C120" s="178" t="s">
        <v>460</v>
      </c>
      <c r="D120" s="178" t="s">
        <v>1</v>
      </c>
      <c r="E120" s="179" t="s">
        <v>7193</v>
      </c>
      <c r="F120" s="179">
        <v>30</v>
      </c>
      <c r="G120" s="179">
        <v>80</v>
      </c>
      <c r="H120" s="180">
        <v>0</v>
      </c>
      <c r="I120" s="181">
        <v>5</v>
      </c>
      <c r="J120" s="182">
        <v>3759.37</v>
      </c>
      <c r="K120" s="183">
        <f t="shared" si="22"/>
        <v>18796.849999999999</v>
      </c>
      <c r="L120" s="181"/>
      <c r="M120" s="131"/>
      <c r="N120" s="132"/>
      <c r="O120" s="130">
        <f>SUM(L120,I120)</f>
        <v>5</v>
      </c>
      <c r="P120" s="131">
        <f>IF(M120&lt;&gt;"",M120,J120)</f>
        <v>3759.37</v>
      </c>
      <c r="Q120" s="132">
        <f>ROUND(O120*P120,2)</f>
        <v>18796.849999999999</v>
      </c>
    </row>
    <row r="121" spans="1:17" x14ac:dyDescent="0.25">
      <c r="A121" s="163" t="s">
        <v>7291</v>
      </c>
      <c r="B121" s="163" t="s">
        <v>7292</v>
      </c>
      <c r="C121" s="164"/>
      <c r="D121" s="164"/>
      <c r="E121" s="165"/>
      <c r="F121" s="165"/>
      <c r="G121" s="165"/>
      <c r="H121" s="166"/>
      <c r="I121" s="167"/>
      <c r="J121" s="168" t="s">
        <v>7083</v>
      </c>
      <c r="K121" s="169"/>
      <c r="L121" s="167"/>
      <c r="M121" s="168" t="s">
        <v>7083</v>
      </c>
      <c r="N121" s="169"/>
      <c r="O121" s="167"/>
      <c r="P121" s="168" t="s">
        <v>7083</v>
      </c>
      <c r="Q121" s="169"/>
    </row>
    <row r="122" spans="1:17" x14ac:dyDescent="0.25">
      <c r="A122" s="170" t="s">
        <v>7293</v>
      </c>
      <c r="B122" s="170" t="s">
        <v>7294</v>
      </c>
      <c r="C122" s="171"/>
      <c r="D122" s="171"/>
      <c r="E122" s="172"/>
      <c r="F122" s="172"/>
      <c r="G122" s="172"/>
      <c r="H122" s="173"/>
      <c r="I122" s="174"/>
      <c r="J122" s="175" t="s">
        <v>7083</v>
      </c>
      <c r="K122" s="176"/>
      <c r="L122" s="174"/>
      <c r="M122" s="175" t="s">
        <v>7083</v>
      </c>
      <c r="N122" s="176"/>
      <c r="O122" s="174"/>
      <c r="P122" s="175" t="s">
        <v>7083</v>
      </c>
      <c r="Q122" s="176"/>
    </row>
    <row r="123" spans="1:17" ht="45" x14ac:dyDescent="0.25">
      <c r="A123" s="177" t="s">
        <v>7295</v>
      </c>
      <c r="B123" s="177" t="s">
        <v>7296</v>
      </c>
      <c r="C123" s="178" t="s">
        <v>378</v>
      </c>
      <c r="D123" s="178" t="s">
        <v>1</v>
      </c>
      <c r="E123" s="179" t="s">
        <v>7193</v>
      </c>
      <c r="F123" s="179">
        <v>60</v>
      </c>
      <c r="G123" s="179">
        <v>20</v>
      </c>
      <c r="H123" s="180">
        <v>5</v>
      </c>
      <c r="I123" s="181">
        <v>10</v>
      </c>
      <c r="J123" s="182">
        <v>229.17</v>
      </c>
      <c r="K123" s="183">
        <f t="shared" si="22"/>
        <v>2291.6999999999998</v>
      </c>
      <c r="L123" s="181"/>
      <c r="M123" s="131"/>
      <c r="N123" s="132"/>
      <c r="O123" s="130">
        <f t="shared" ref="O123:O124" si="39">SUM(L123,I123)</f>
        <v>10</v>
      </c>
      <c r="P123" s="131">
        <f t="shared" ref="P123:P124" si="40">IF(M123&lt;&gt;"",M123,J123)</f>
        <v>229.17</v>
      </c>
      <c r="Q123" s="132">
        <f t="shared" ref="Q123:Q124" si="41">ROUND(O123*P123,2)</f>
        <v>2291.6999999999998</v>
      </c>
    </row>
    <row r="124" spans="1:17" ht="45" x14ac:dyDescent="0.25">
      <c r="A124" s="177" t="s">
        <v>7297</v>
      </c>
      <c r="B124" s="177" t="s">
        <v>7298</v>
      </c>
      <c r="C124" s="178" t="s">
        <v>378</v>
      </c>
      <c r="D124" s="178" t="s">
        <v>1</v>
      </c>
      <c r="E124" s="179" t="s">
        <v>7193</v>
      </c>
      <c r="F124" s="179">
        <v>60</v>
      </c>
      <c r="G124" s="179">
        <v>20</v>
      </c>
      <c r="H124" s="180">
        <v>5</v>
      </c>
      <c r="I124" s="181">
        <v>1460</v>
      </c>
      <c r="J124" s="182">
        <v>210.54</v>
      </c>
      <c r="K124" s="183">
        <f t="shared" si="22"/>
        <v>307388.40000000002</v>
      </c>
      <c r="L124" s="181"/>
      <c r="M124" s="131"/>
      <c r="N124" s="132"/>
      <c r="O124" s="130">
        <f t="shared" si="39"/>
        <v>1460</v>
      </c>
      <c r="P124" s="131">
        <f t="shared" si="40"/>
        <v>210.54</v>
      </c>
      <c r="Q124" s="132">
        <f t="shared" si="41"/>
        <v>307388.40000000002</v>
      </c>
    </row>
    <row r="125" spans="1:17" x14ac:dyDescent="0.25">
      <c r="A125" s="133" t="s">
        <v>7299</v>
      </c>
      <c r="B125" s="133" t="s">
        <v>7300</v>
      </c>
      <c r="C125" s="134"/>
      <c r="D125" s="134"/>
      <c r="E125" s="135"/>
      <c r="F125" s="136"/>
      <c r="G125" s="136"/>
      <c r="H125" s="137"/>
      <c r="I125" s="138"/>
      <c r="J125" s="139" t="s">
        <v>7083</v>
      </c>
      <c r="K125" s="140"/>
      <c r="L125" s="138"/>
      <c r="M125" s="139" t="s">
        <v>7083</v>
      </c>
      <c r="N125" s="140"/>
      <c r="O125" s="138"/>
      <c r="P125" s="139" t="s">
        <v>7083</v>
      </c>
      <c r="Q125" s="140"/>
    </row>
    <row r="126" spans="1:17" x14ac:dyDescent="0.25">
      <c r="A126" s="163" t="s">
        <v>7301</v>
      </c>
      <c r="B126" s="163" t="s">
        <v>7302</v>
      </c>
      <c r="C126" s="164"/>
      <c r="D126" s="164"/>
      <c r="E126" s="165"/>
      <c r="F126" s="165"/>
      <c r="G126" s="165"/>
      <c r="H126" s="166"/>
      <c r="I126" s="167"/>
      <c r="J126" s="168" t="s">
        <v>7083</v>
      </c>
      <c r="K126" s="169"/>
      <c r="L126" s="167"/>
      <c r="M126" s="168" t="s">
        <v>7083</v>
      </c>
      <c r="N126" s="169"/>
      <c r="O126" s="167"/>
      <c r="P126" s="168" t="s">
        <v>7083</v>
      </c>
      <c r="Q126" s="169"/>
    </row>
    <row r="127" spans="1:17" x14ac:dyDescent="0.25">
      <c r="A127" s="170" t="s">
        <v>7303</v>
      </c>
      <c r="B127" s="170" t="s">
        <v>7304</v>
      </c>
      <c r="C127" s="171"/>
      <c r="D127" s="171"/>
      <c r="E127" s="172"/>
      <c r="F127" s="172"/>
      <c r="G127" s="172"/>
      <c r="H127" s="173"/>
      <c r="I127" s="174"/>
      <c r="J127" s="175" t="s">
        <v>7083</v>
      </c>
      <c r="K127" s="176"/>
      <c r="L127" s="174"/>
      <c r="M127" s="175" t="s">
        <v>7083</v>
      </c>
      <c r="N127" s="176"/>
      <c r="O127" s="174"/>
      <c r="P127" s="175" t="s">
        <v>7083</v>
      </c>
      <c r="Q127" s="176"/>
    </row>
    <row r="128" spans="1:17" x14ac:dyDescent="0.25">
      <c r="A128" s="177" t="s">
        <v>7050</v>
      </c>
      <c r="B128" s="177" t="s">
        <v>7305</v>
      </c>
      <c r="C128" s="178" t="s">
        <v>266</v>
      </c>
      <c r="D128" s="178" t="s">
        <v>1</v>
      </c>
      <c r="E128" s="179" t="s">
        <v>7193</v>
      </c>
      <c r="F128" s="179">
        <v>75</v>
      </c>
      <c r="G128" s="179">
        <v>10</v>
      </c>
      <c r="H128" s="180">
        <v>0</v>
      </c>
      <c r="I128" s="181">
        <v>94.1</v>
      </c>
      <c r="J128" s="182">
        <v>30113.29</v>
      </c>
      <c r="K128" s="183">
        <f t="shared" si="22"/>
        <v>2833660.59</v>
      </c>
      <c r="L128" s="181">
        <v>-34.1</v>
      </c>
      <c r="M128" s="131">
        <f>J128</f>
        <v>30113.29</v>
      </c>
      <c r="N128" s="183">
        <f t="shared" ref="N128" si="42">ROUND(L128*M128,2)</f>
        <v>-1026863.19</v>
      </c>
      <c r="O128" s="130">
        <f>SUM(L128,I128)</f>
        <v>59.999999999999993</v>
      </c>
      <c r="P128" s="131">
        <f>IF(M128&lt;&gt;"",M128,J128)</f>
        <v>30113.29</v>
      </c>
      <c r="Q128" s="132">
        <f>ROUND(O128*P128,2)</f>
        <v>1806797.4</v>
      </c>
    </row>
    <row r="129" spans="1:17" x14ac:dyDescent="0.25">
      <c r="A129" s="170" t="s">
        <v>7306</v>
      </c>
      <c r="B129" s="170" t="s">
        <v>7307</v>
      </c>
      <c r="C129" s="171"/>
      <c r="D129" s="171"/>
      <c r="E129" s="172"/>
      <c r="F129" s="172"/>
      <c r="G129" s="172"/>
      <c r="H129" s="173"/>
      <c r="I129" s="174"/>
      <c r="J129" s="175" t="s">
        <v>7083</v>
      </c>
      <c r="K129" s="176"/>
      <c r="L129" s="174"/>
      <c r="M129" s="175" t="s">
        <v>7083</v>
      </c>
      <c r="N129" s="176"/>
      <c r="O129" s="174"/>
      <c r="P129" s="175" t="s">
        <v>7083</v>
      </c>
      <c r="Q129" s="176"/>
    </row>
    <row r="130" spans="1:17" x14ac:dyDescent="0.25">
      <c r="A130" s="177" t="s">
        <v>7051</v>
      </c>
      <c r="B130" s="177" t="s">
        <v>7308</v>
      </c>
      <c r="C130" s="178" t="s">
        <v>88</v>
      </c>
      <c r="D130" s="178" t="s">
        <v>1</v>
      </c>
      <c r="E130" s="179" t="s">
        <v>7193</v>
      </c>
      <c r="F130" s="179">
        <v>55</v>
      </c>
      <c r="G130" s="179">
        <v>10</v>
      </c>
      <c r="H130" s="180">
        <v>900</v>
      </c>
      <c r="I130" s="181">
        <v>26</v>
      </c>
      <c r="J130" s="182">
        <v>858.28</v>
      </c>
      <c r="K130" s="183">
        <f t="shared" si="22"/>
        <v>22315.279999999999</v>
      </c>
      <c r="L130" s="181"/>
      <c r="M130" s="131"/>
      <c r="N130" s="132"/>
      <c r="O130" s="130">
        <f>SUM(L130,I130)</f>
        <v>26</v>
      </c>
      <c r="P130" s="131">
        <f>IF(M130&lt;&gt;"",M130,J130)</f>
        <v>858.28</v>
      </c>
      <c r="Q130" s="132">
        <f>ROUND(O130*P130,2)</f>
        <v>22315.279999999999</v>
      </c>
    </row>
    <row r="131" spans="1:17" x14ac:dyDescent="0.25">
      <c r="A131" s="170" t="s">
        <v>7309</v>
      </c>
      <c r="B131" s="170" t="s">
        <v>7310</v>
      </c>
      <c r="C131" s="171"/>
      <c r="D131" s="171"/>
      <c r="E131" s="172"/>
      <c r="F131" s="172"/>
      <c r="G131" s="172"/>
      <c r="H131" s="173"/>
      <c r="I131" s="174"/>
      <c r="J131" s="175" t="s">
        <v>7083</v>
      </c>
      <c r="K131" s="176"/>
      <c r="L131" s="174"/>
      <c r="M131" s="175" t="s">
        <v>7083</v>
      </c>
      <c r="N131" s="176"/>
      <c r="O131" s="174"/>
      <c r="P131" s="175" t="s">
        <v>7083</v>
      </c>
      <c r="Q131" s="176"/>
    </row>
    <row r="132" spans="1:17" x14ac:dyDescent="0.25">
      <c r="A132" s="177" t="s">
        <v>7311</v>
      </c>
      <c r="B132" s="177" t="s">
        <v>7312</v>
      </c>
      <c r="C132" s="178" t="s">
        <v>266</v>
      </c>
      <c r="D132" s="178" t="s">
        <v>1</v>
      </c>
      <c r="E132" s="179" t="s">
        <v>7193</v>
      </c>
      <c r="F132" s="179">
        <v>55</v>
      </c>
      <c r="G132" s="179">
        <v>10</v>
      </c>
      <c r="H132" s="180">
        <v>900</v>
      </c>
      <c r="I132" s="181">
        <v>6.45</v>
      </c>
      <c r="J132" s="182">
        <v>27681.71</v>
      </c>
      <c r="K132" s="183">
        <f t="shared" si="22"/>
        <v>178547.03</v>
      </c>
      <c r="L132" s="181"/>
      <c r="M132" s="131"/>
      <c r="N132" s="132"/>
      <c r="O132" s="130">
        <f>SUM(L132,I132)</f>
        <v>6.45</v>
      </c>
      <c r="P132" s="131">
        <f>IF(M132&lt;&gt;"",M132,J132)</f>
        <v>27681.71</v>
      </c>
      <c r="Q132" s="132">
        <f>ROUND(O132*P132,2)</f>
        <v>178547.03</v>
      </c>
    </row>
    <row r="133" spans="1:17" x14ac:dyDescent="0.25">
      <c r="A133" s="170" t="s">
        <v>7313</v>
      </c>
      <c r="B133" s="170" t="s">
        <v>7314</v>
      </c>
      <c r="C133" s="171"/>
      <c r="D133" s="171"/>
      <c r="E133" s="172"/>
      <c r="F133" s="172"/>
      <c r="G133" s="172"/>
      <c r="H133" s="173"/>
      <c r="I133" s="174"/>
      <c r="J133" s="175" t="s">
        <v>7083</v>
      </c>
      <c r="K133" s="176"/>
      <c r="L133" s="174"/>
      <c r="M133" s="175" t="s">
        <v>7083</v>
      </c>
      <c r="N133" s="176"/>
      <c r="O133" s="174"/>
      <c r="P133" s="175" t="s">
        <v>7083</v>
      </c>
      <c r="Q133" s="176"/>
    </row>
    <row r="134" spans="1:17" ht="22.5" x14ac:dyDescent="0.25">
      <c r="A134" s="177" t="s">
        <v>7052</v>
      </c>
      <c r="B134" s="177" t="s">
        <v>7315</v>
      </c>
      <c r="C134" s="178" t="s">
        <v>266</v>
      </c>
      <c r="D134" s="178" t="s">
        <v>1</v>
      </c>
      <c r="E134" s="179" t="s">
        <v>7193</v>
      </c>
      <c r="F134" s="179">
        <v>75</v>
      </c>
      <c r="G134" s="179">
        <v>30</v>
      </c>
      <c r="H134" s="180">
        <v>0</v>
      </c>
      <c r="I134" s="181">
        <v>12.46</v>
      </c>
      <c r="J134" s="182">
        <v>39182.76</v>
      </c>
      <c r="K134" s="183">
        <f t="shared" si="22"/>
        <v>488217.19</v>
      </c>
      <c r="L134" s="181"/>
      <c r="M134" s="131"/>
      <c r="N134" s="132"/>
      <c r="O134" s="130">
        <f>SUM(L134,I134)</f>
        <v>12.46</v>
      </c>
      <c r="P134" s="131">
        <f>IF(M134&lt;&gt;"",M134,J134)</f>
        <v>39182.76</v>
      </c>
      <c r="Q134" s="132">
        <f>ROUND(O134*P134,2)</f>
        <v>488217.19</v>
      </c>
    </row>
    <row r="135" spans="1:17" x14ac:dyDescent="0.25">
      <c r="A135" s="163" t="s">
        <v>7316</v>
      </c>
      <c r="B135" s="163" t="s">
        <v>7302</v>
      </c>
      <c r="C135" s="164"/>
      <c r="D135" s="164"/>
      <c r="E135" s="165"/>
      <c r="F135" s="165"/>
      <c r="G135" s="165"/>
      <c r="H135" s="166"/>
      <c r="I135" s="167"/>
      <c r="J135" s="168" t="s">
        <v>7083</v>
      </c>
      <c r="K135" s="169"/>
      <c r="L135" s="167"/>
      <c r="M135" s="168" t="s">
        <v>7083</v>
      </c>
      <c r="N135" s="169"/>
      <c r="O135" s="167"/>
      <c r="P135" s="168" t="s">
        <v>7083</v>
      </c>
      <c r="Q135" s="169"/>
    </row>
    <row r="136" spans="1:17" x14ac:dyDescent="0.25">
      <c r="A136" s="170" t="s">
        <v>7317</v>
      </c>
      <c r="B136" s="170" t="s">
        <v>7318</v>
      </c>
      <c r="C136" s="171"/>
      <c r="D136" s="171"/>
      <c r="E136" s="172"/>
      <c r="F136" s="172"/>
      <c r="G136" s="172"/>
      <c r="H136" s="173"/>
      <c r="I136" s="174"/>
      <c r="J136" s="175" t="s">
        <v>7083</v>
      </c>
      <c r="K136" s="176"/>
      <c r="L136" s="174"/>
      <c r="M136" s="175" t="s">
        <v>7083</v>
      </c>
      <c r="N136" s="176"/>
      <c r="O136" s="174"/>
      <c r="P136" s="175" t="s">
        <v>7083</v>
      </c>
      <c r="Q136" s="176"/>
    </row>
    <row r="137" spans="1:17" ht="22.5" x14ac:dyDescent="0.25">
      <c r="A137" s="177" t="s">
        <v>7319</v>
      </c>
      <c r="B137" s="177" t="s">
        <v>7320</v>
      </c>
      <c r="C137" s="178" t="s">
        <v>88</v>
      </c>
      <c r="D137" s="178" t="s">
        <v>1</v>
      </c>
      <c r="E137" s="179" t="s">
        <v>7079</v>
      </c>
      <c r="F137" s="179">
        <v>75</v>
      </c>
      <c r="G137" s="179">
        <v>28</v>
      </c>
      <c r="H137" s="180">
        <v>0</v>
      </c>
      <c r="I137" s="181">
        <v>35</v>
      </c>
      <c r="J137" s="182">
        <v>282.14999999999998</v>
      </c>
      <c r="K137" s="183">
        <f t="shared" ref="K137:K199" si="43">ROUND(I137*J137,2)</f>
        <v>9875.25</v>
      </c>
      <c r="L137" s="181"/>
      <c r="M137" s="131"/>
      <c r="N137" s="132"/>
      <c r="O137" s="130">
        <f>SUM(L137,I137)</f>
        <v>35</v>
      </c>
      <c r="P137" s="131">
        <f>IF(M137&lt;&gt;"",M137,J137)</f>
        <v>282.14999999999998</v>
      </c>
      <c r="Q137" s="132">
        <f>ROUND(O137*P137,2)</f>
        <v>9875.25</v>
      </c>
    </row>
    <row r="138" spans="1:17" x14ac:dyDescent="0.25">
      <c r="A138" s="133" t="s">
        <v>7321</v>
      </c>
      <c r="B138" s="133" t="s">
        <v>7322</v>
      </c>
      <c r="C138" s="134"/>
      <c r="D138" s="134"/>
      <c r="E138" s="135"/>
      <c r="F138" s="136"/>
      <c r="G138" s="136"/>
      <c r="H138" s="137"/>
      <c r="I138" s="138"/>
      <c r="J138" s="139" t="s">
        <v>7083</v>
      </c>
      <c r="K138" s="140"/>
      <c r="L138" s="138"/>
      <c r="M138" s="139" t="s">
        <v>7083</v>
      </c>
      <c r="N138" s="140"/>
      <c r="O138" s="138"/>
      <c r="P138" s="139" t="s">
        <v>7083</v>
      </c>
      <c r="Q138" s="140"/>
    </row>
    <row r="139" spans="1:17" x14ac:dyDescent="0.25">
      <c r="A139" s="163" t="s">
        <v>7323</v>
      </c>
      <c r="B139" s="163" t="s">
        <v>7324</v>
      </c>
      <c r="C139" s="164"/>
      <c r="D139" s="164"/>
      <c r="E139" s="165"/>
      <c r="F139" s="165"/>
      <c r="G139" s="165"/>
      <c r="H139" s="166"/>
      <c r="I139" s="167"/>
      <c r="J139" s="168" t="s">
        <v>7083</v>
      </c>
      <c r="K139" s="169"/>
      <c r="L139" s="167"/>
      <c r="M139" s="168" t="s">
        <v>7083</v>
      </c>
      <c r="N139" s="169"/>
      <c r="O139" s="167"/>
      <c r="P139" s="168" t="s">
        <v>7083</v>
      </c>
      <c r="Q139" s="169"/>
    </row>
    <row r="140" spans="1:17" ht="33.75" x14ac:dyDescent="0.25">
      <c r="A140" s="177" t="s">
        <v>7325</v>
      </c>
      <c r="B140" s="177" t="s">
        <v>7326</v>
      </c>
      <c r="C140" s="178" t="s">
        <v>460</v>
      </c>
      <c r="D140" s="178" t="s">
        <v>1</v>
      </c>
      <c r="E140" s="179" t="s">
        <v>7193</v>
      </c>
      <c r="F140" s="179">
        <v>30</v>
      </c>
      <c r="G140" s="179">
        <v>70</v>
      </c>
      <c r="H140" s="180">
        <v>900</v>
      </c>
      <c r="I140" s="181">
        <v>1</v>
      </c>
      <c r="J140" s="182">
        <v>1444.7</v>
      </c>
      <c r="K140" s="183">
        <f t="shared" si="43"/>
        <v>1444.7</v>
      </c>
      <c r="L140" s="181"/>
      <c r="M140" s="131"/>
      <c r="N140" s="132"/>
      <c r="O140" s="130">
        <f t="shared" ref="O140:O142" si="44">SUM(L140,I140)</f>
        <v>1</v>
      </c>
      <c r="P140" s="131">
        <f t="shared" ref="P140:P142" si="45">IF(M140&lt;&gt;"",M140,J140)</f>
        <v>1444.7</v>
      </c>
      <c r="Q140" s="132">
        <f t="shared" ref="Q140:Q142" si="46">ROUND(O140*P140,2)</f>
        <v>1444.7</v>
      </c>
    </row>
    <row r="141" spans="1:17" ht="45" x14ac:dyDescent="0.25">
      <c r="A141" s="177" t="s">
        <v>7327</v>
      </c>
      <c r="B141" s="177" t="s">
        <v>7328</v>
      </c>
      <c r="C141" s="178" t="s">
        <v>460</v>
      </c>
      <c r="D141" s="178" t="s">
        <v>1</v>
      </c>
      <c r="E141" s="179" t="s">
        <v>7193</v>
      </c>
      <c r="F141" s="179">
        <v>30</v>
      </c>
      <c r="G141" s="179">
        <v>70</v>
      </c>
      <c r="H141" s="180">
        <v>900</v>
      </c>
      <c r="I141" s="181">
        <v>2</v>
      </c>
      <c r="J141" s="182">
        <v>5669.5</v>
      </c>
      <c r="K141" s="183">
        <f t="shared" si="43"/>
        <v>11339</v>
      </c>
      <c r="L141" s="181"/>
      <c r="M141" s="131"/>
      <c r="N141" s="132"/>
      <c r="O141" s="130">
        <f t="shared" si="44"/>
        <v>2</v>
      </c>
      <c r="P141" s="131">
        <f t="shared" si="45"/>
        <v>5669.5</v>
      </c>
      <c r="Q141" s="132">
        <f t="shared" si="46"/>
        <v>11339</v>
      </c>
    </row>
    <row r="142" spans="1:17" ht="22.5" x14ac:dyDescent="0.25">
      <c r="A142" s="177" t="s">
        <v>7329</v>
      </c>
      <c r="B142" s="177" t="s">
        <v>7330</v>
      </c>
      <c r="C142" s="178" t="s">
        <v>460</v>
      </c>
      <c r="D142" s="178" t="s">
        <v>1</v>
      </c>
      <c r="E142" s="179" t="s">
        <v>7193</v>
      </c>
      <c r="F142" s="179">
        <v>30</v>
      </c>
      <c r="G142" s="179">
        <v>70</v>
      </c>
      <c r="H142" s="180">
        <v>900</v>
      </c>
      <c r="I142" s="181">
        <v>12</v>
      </c>
      <c r="J142" s="182">
        <v>1391.28</v>
      </c>
      <c r="K142" s="183">
        <f t="shared" si="43"/>
        <v>16695.36</v>
      </c>
      <c r="L142" s="181"/>
      <c r="M142" s="131"/>
      <c r="N142" s="132"/>
      <c r="O142" s="130">
        <f t="shared" si="44"/>
        <v>12</v>
      </c>
      <c r="P142" s="131">
        <f t="shared" si="45"/>
        <v>1391.28</v>
      </c>
      <c r="Q142" s="132">
        <f t="shared" si="46"/>
        <v>16695.36</v>
      </c>
    </row>
    <row r="143" spans="1:17" x14ac:dyDescent="0.25">
      <c r="A143" s="133" t="s">
        <v>7331</v>
      </c>
      <c r="B143" s="133" t="s">
        <v>7332</v>
      </c>
      <c r="C143" s="134"/>
      <c r="D143" s="134"/>
      <c r="E143" s="135"/>
      <c r="F143" s="136"/>
      <c r="G143" s="136"/>
      <c r="H143" s="137"/>
      <c r="I143" s="138"/>
      <c r="J143" s="139" t="s">
        <v>7083</v>
      </c>
      <c r="K143" s="140"/>
      <c r="L143" s="138"/>
      <c r="M143" s="139" t="s">
        <v>7083</v>
      </c>
      <c r="N143" s="140"/>
      <c r="O143" s="138"/>
      <c r="P143" s="139" t="s">
        <v>7083</v>
      </c>
      <c r="Q143" s="140"/>
    </row>
    <row r="144" spans="1:17" x14ac:dyDescent="0.25">
      <c r="A144" s="163" t="s">
        <v>7333</v>
      </c>
      <c r="B144" s="163" t="s">
        <v>7334</v>
      </c>
      <c r="C144" s="164"/>
      <c r="D144" s="164"/>
      <c r="E144" s="165"/>
      <c r="F144" s="165"/>
      <c r="G144" s="165"/>
      <c r="H144" s="166"/>
      <c r="I144" s="167"/>
      <c r="J144" s="168" t="s">
        <v>7083</v>
      </c>
      <c r="K144" s="169"/>
      <c r="L144" s="167"/>
      <c r="M144" s="168" t="s">
        <v>7083</v>
      </c>
      <c r="N144" s="169"/>
      <c r="O144" s="167"/>
      <c r="P144" s="168" t="s">
        <v>7083</v>
      </c>
      <c r="Q144" s="169"/>
    </row>
    <row r="145" spans="1:17" ht="22.5" x14ac:dyDescent="0.25">
      <c r="A145" s="170" t="s">
        <v>7335</v>
      </c>
      <c r="B145" s="170" t="s">
        <v>7336</v>
      </c>
      <c r="C145" s="171"/>
      <c r="D145" s="171"/>
      <c r="E145" s="172"/>
      <c r="F145" s="172"/>
      <c r="G145" s="172"/>
      <c r="H145" s="173"/>
      <c r="I145" s="174"/>
      <c r="J145" s="175" t="s">
        <v>7083</v>
      </c>
      <c r="K145" s="176"/>
      <c r="L145" s="174"/>
      <c r="M145" s="175" t="s">
        <v>7083</v>
      </c>
      <c r="N145" s="176"/>
      <c r="O145" s="174"/>
      <c r="P145" s="175" t="s">
        <v>7083</v>
      </c>
      <c r="Q145" s="176"/>
    </row>
    <row r="146" spans="1:17" ht="33.75" x14ac:dyDescent="0.25">
      <c r="A146" s="177" t="s">
        <v>7337</v>
      </c>
      <c r="B146" s="177" t="s">
        <v>7338</v>
      </c>
      <c r="C146" s="178" t="s">
        <v>378</v>
      </c>
      <c r="D146" s="178" t="s">
        <v>1</v>
      </c>
      <c r="E146" s="179" t="s">
        <v>7193</v>
      </c>
      <c r="F146" s="179">
        <v>70</v>
      </c>
      <c r="G146" s="179">
        <v>10</v>
      </c>
      <c r="H146" s="180">
        <v>900</v>
      </c>
      <c r="I146" s="181">
        <v>480</v>
      </c>
      <c r="J146" s="182">
        <v>87.86</v>
      </c>
      <c r="K146" s="183">
        <f t="shared" si="43"/>
        <v>42172.800000000003</v>
      </c>
      <c r="L146" s="181"/>
      <c r="M146" s="131"/>
      <c r="N146" s="132"/>
      <c r="O146" s="130">
        <f t="shared" ref="O146:O148" si="47">SUM(L146,I146)</f>
        <v>480</v>
      </c>
      <c r="P146" s="131">
        <f t="shared" ref="P146:P148" si="48">IF(M146&lt;&gt;"",M146,J146)</f>
        <v>87.86</v>
      </c>
      <c r="Q146" s="132">
        <f t="shared" ref="Q146:Q148" si="49">ROUND(O146*P146,2)</f>
        <v>42172.800000000003</v>
      </c>
    </row>
    <row r="147" spans="1:17" ht="33.75" x14ac:dyDescent="0.25">
      <c r="A147" s="177" t="s">
        <v>7339</v>
      </c>
      <c r="B147" s="177" t="s">
        <v>7340</v>
      </c>
      <c r="C147" s="178" t="s">
        <v>378</v>
      </c>
      <c r="D147" s="178" t="s">
        <v>1</v>
      </c>
      <c r="E147" s="179" t="s">
        <v>7193</v>
      </c>
      <c r="F147" s="179">
        <v>70</v>
      </c>
      <c r="G147" s="179">
        <v>10</v>
      </c>
      <c r="H147" s="180">
        <v>900</v>
      </c>
      <c r="I147" s="181">
        <v>480</v>
      </c>
      <c r="J147" s="182">
        <v>132.36000000000001</v>
      </c>
      <c r="K147" s="183">
        <f t="shared" si="43"/>
        <v>63532.800000000003</v>
      </c>
      <c r="L147" s="181"/>
      <c r="M147" s="131"/>
      <c r="N147" s="132"/>
      <c r="O147" s="130">
        <f t="shared" si="47"/>
        <v>480</v>
      </c>
      <c r="P147" s="131">
        <f t="shared" si="48"/>
        <v>132.36000000000001</v>
      </c>
      <c r="Q147" s="132">
        <f t="shared" si="49"/>
        <v>63532.800000000003</v>
      </c>
    </row>
    <row r="148" spans="1:17" ht="33.75" x14ac:dyDescent="0.25">
      <c r="A148" s="177" t="s">
        <v>7341</v>
      </c>
      <c r="B148" s="177" t="s">
        <v>7342</v>
      </c>
      <c r="C148" s="178" t="s">
        <v>378</v>
      </c>
      <c r="D148" s="178" t="s">
        <v>1</v>
      </c>
      <c r="E148" s="179" t="s">
        <v>7193</v>
      </c>
      <c r="F148" s="179">
        <v>70</v>
      </c>
      <c r="G148" s="179">
        <v>10</v>
      </c>
      <c r="H148" s="180">
        <v>900</v>
      </c>
      <c r="I148" s="181">
        <v>570</v>
      </c>
      <c r="J148" s="182">
        <v>208.17</v>
      </c>
      <c r="K148" s="183">
        <f t="shared" si="43"/>
        <v>118656.9</v>
      </c>
      <c r="L148" s="181"/>
      <c r="M148" s="131"/>
      <c r="N148" s="132"/>
      <c r="O148" s="130">
        <f t="shared" si="47"/>
        <v>570</v>
      </c>
      <c r="P148" s="131">
        <f t="shared" si="48"/>
        <v>208.17</v>
      </c>
      <c r="Q148" s="132">
        <f t="shared" si="49"/>
        <v>118656.9</v>
      </c>
    </row>
    <row r="149" spans="1:17" ht="22.5" x14ac:dyDescent="0.25">
      <c r="A149" s="170" t="s">
        <v>7343</v>
      </c>
      <c r="B149" s="170" t="s">
        <v>7344</v>
      </c>
      <c r="C149" s="171"/>
      <c r="D149" s="171"/>
      <c r="E149" s="172"/>
      <c r="F149" s="172"/>
      <c r="G149" s="172"/>
      <c r="H149" s="173"/>
      <c r="I149" s="174"/>
      <c r="J149" s="175" t="s">
        <v>7083</v>
      </c>
      <c r="K149" s="176"/>
      <c r="L149" s="174"/>
      <c r="M149" s="175" t="s">
        <v>7083</v>
      </c>
      <c r="N149" s="176"/>
      <c r="O149" s="174"/>
      <c r="P149" s="175" t="s">
        <v>7083</v>
      </c>
      <c r="Q149" s="176"/>
    </row>
    <row r="150" spans="1:17" ht="33.75" x14ac:dyDescent="0.25">
      <c r="A150" s="177" t="s">
        <v>7345</v>
      </c>
      <c r="B150" s="177" t="s">
        <v>7346</v>
      </c>
      <c r="C150" s="178" t="s">
        <v>378</v>
      </c>
      <c r="D150" s="178" t="s">
        <v>1</v>
      </c>
      <c r="E150" s="179" t="s">
        <v>7193</v>
      </c>
      <c r="F150" s="179">
        <v>70</v>
      </c>
      <c r="G150" s="179">
        <v>10</v>
      </c>
      <c r="H150" s="180">
        <v>900</v>
      </c>
      <c r="I150" s="181">
        <v>10.009999999999991</v>
      </c>
      <c r="J150" s="182">
        <v>23.12</v>
      </c>
      <c r="K150" s="183">
        <f t="shared" si="43"/>
        <v>231.43</v>
      </c>
      <c r="L150" s="181"/>
      <c r="M150" s="131"/>
      <c r="N150" s="132"/>
      <c r="O150" s="130">
        <f t="shared" ref="O150:O151" si="50">SUM(L150,I150)</f>
        <v>10.009999999999991</v>
      </c>
      <c r="P150" s="131">
        <f t="shared" ref="P150:P151" si="51">IF(M150&lt;&gt;"",M150,J150)</f>
        <v>23.12</v>
      </c>
      <c r="Q150" s="132">
        <f t="shared" ref="Q150:Q151" si="52">ROUND(O150*P150,2)</f>
        <v>231.43</v>
      </c>
    </row>
    <row r="151" spans="1:17" ht="33.75" x14ac:dyDescent="0.25">
      <c r="A151" s="177" t="s">
        <v>7347</v>
      </c>
      <c r="B151" s="177" t="s">
        <v>7348</v>
      </c>
      <c r="C151" s="178" t="s">
        <v>378</v>
      </c>
      <c r="D151" s="178" t="s">
        <v>1</v>
      </c>
      <c r="E151" s="179" t="s">
        <v>7193</v>
      </c>
      <c r="F151" s="179">
        <v>70</v>
      </c>
      <c r="G151" s="179">
        <v>10</v>
      </c>
      <c r="H151" s="180">
        <v>900</v>
      </c>
      <c r="I151" s="181">
        <v>50</v>
      </c>
      <c r="J151" s="182">
        <v>24.81</v>
      </c>
      <c r="K151" s="183">
        <f t="shared" si="43"/>
        <v>1240.5</v>
      </c>
      <c r="L151" s="181"/>
      <c r="M151" s="131"/>
      <c r="N151" s="132"/>
      <c r="O151" s="130">
        <f t="shared" si="50"/>
        <v>50</v>
      </c>
      <c r="P151" s="131">
        <f t="shared" si="51"/>
        <v>24.81</v>
      </c>
      <c r="Q151" s="132">
        <f t="shared" si="52"/>
        <v>1240.5</v>
      </c>
    </row>
    <row r="152" spans="1:17" ht="22.5" x14ac:dyDescent="0.25">
      <c r="A152" s="170" t="s">
        <v>7349</v>
      </c>
      <c r="B152" s="170" t="s">
        <v>7350</v>
      </c>
      <c r="C152" s="171"/>
      <c r="D152" s="171"/>
      <c r="E152" s="172"/>
      <c r="F152" s="172"/>
      <c r="G152" s="172"/>
      <c r="H152" s="173"/>
      <c r="I152" s="174"/>
      <c r="J152" s="175" t="s">
        <v>7083</v>
      </c>
      <c r="K152" s="176"/>
      <c r="L152" s="174"/>
      <c r="M152" s="175" t="s">
        <v>7083</v>
      </c>
      <c r="N152" s="176"/>
      <c r="O152" s="174"/>
      <c r="P152" s="175" t="s">
        <v>7083</v>
      </c>
      <c r="Q152" s="176"/>
    </row>
    <row r="153" spans="1:17" ht="33.75" x14ac:dyDescent="0.25">
      <c r="A153" s="177" t="s">
        <v>7351</v>
      </c>
      <c r="B153" s="177" t="s">
        <v>7352</v>
      </c>
      <c r="C153" s="178" t="s">
        <v>378</v>
      </c>
      <c r="D153" s="178" t="s">
        <v>1</v>
      </c>
      <c r="E153" s="179" t="s">
        <v>7193</v>
      </c>
      <c r="F153" s="179">
        <v>70</v>
      </c>
      <c r="G153" s="179">
        <v>10</v>
      </c>
      <c r="H153" s="180">
        <v>900</v>
      </c>
      <c r="I153" s="181">
        <v>120</v>
      </c>
      <c r="J153" s="182">
        <v>33.97</v>
      </c>
      <c r="K153" s="183">
        <f t="shared" si="43"/>
        <v>4076.4</v>
      </c>
      <c r="L153" s="181">
        <v>1000</v>
      </c>
      <c r="M153" s="131">
        <f>J153</f>
        <v>33.97</v>
      </c>
      <c r="N153" s="183">
        <f t="shared" ref="N153" si="53">ROUND(L153*M153,2)</f>
        <v>33970</v>
      </c>
      <c r="O153" s="130">
        <f t="shared" ref="O153:O154" si="54">SUM(L153,I153)</f>
        <v>1120</v>
      </c>
      <c r="P153" s="131">
        <f t="shared" ref="P153:P154" si="55">IF(M153&lt;&gt;"",M153,J153)</f>
        <v>33.97</v>
      </c>
      <c r="Q153" s="132">
        <f t="shared" ref="Q153:Q154" si="56">ROUND(O153*P153,2)</f>
        <v>38046.400000000001</v>
      </c>
    </row>
    <row r="154" spans="1:17" ht="33.75" x14ac:dyDescent="0.25">
      <c r="A154" s="177" t="s">
        <v>7353</v>
      </c>
      <c r="B154" s="177" t="s">
        <v>7354</v>
      </c>
      <c r="C154" s="178" t="s">
        <v>378</v>
      </c>
      <c r="D154" s="178" t="s">
        <v>1</v>
      </c>
      <c r="E154" s="179" t="s">
        <v>7193</v>
      </c>
      <c r="F154" s="179">
        <v>70</v>
      </c>
      <c r="G154" s="179">
        <v>10</v>
      </c>
      <c r="H154" s="180">
        <v>900</v>
      </c>
      <c r="I154" s="181">
        <v>470</v>
      </c>
      <c r="J154" s="182">
        <v>39.479999999999997</v>
      </c>
      <c r="K154" s="183">
        <f t="shared" si="43"/>
        <v>18555.599999999999</v>
      </c>
      <c r="L154" s="181"/>
      <c r="M154" s="131"/>
      <c r="N154" s="132"/>
      <c r="O154" s="130">
        <f t="shared" si="54"/>
        <v>470</v>
      </c>
      <c r="P154" s="131">
        <f t="shared" si="55"/>
        <v>39.479999999999997</v>
      </c>
      <c r="Q154" s="132">
        <f t="shared" si="56"/>
        <v>18555.599999999999</v>
      </c>
    </row>
    <row r="155" spans="1:17" ht="22.5" x14ac:dyDescent="0.25">
      <c r="A155" s="170" t="s">
        <v>7355</v>
      </c>
      <c r="B155" s="170" t="s">
        <v>7356</v>
      </c>
      <c r="C155" s="171"/>
      <c r="D155" s="171"/>
      <c r="E155" s="172"/>
      <c r="F155" s="172"/>
      <c r="G155" s="172"/>
      <c r="H155" s="173"/>
      <c r="I155" s="174"/>
      <c r="J155" s="175" t="s">
        <v>7083</v>
      </c>
      <c r="K155" s="176"/>
      <c r="L155" s="174"/>
      <c r="M155" s="175" t="s">
        <v>7083</v>
      </c>
      <c r="N155" s="176"/>
      <c r="O155" s="174"/>
      <c r="P155" s="175" t="s">
        <v>7083</v>
      </c>
      <c r="Q155" s="176"/>
    </row>
    <row r="156" spans="1:17" ht="33.75" x14ac:dyDescent="0.25">
      <c r="A156" s="177" t="s">
        <v>7357</v>
      </c>
      <c r="B156" s="177" t="s">
        <v>7358</v>
      </c>
      <c r="C156" s="178" t="s">
        <v>378</v>
      </c>
      <c r="D156" s="178" t="s">
        <v>1</v>
      </c>
      <c r="E156" s="179" t="s">
        <v>7193</v>
      </c>
      <c r="F156" s="179">
        <v>70</v>
      </c>
      <c r="G156" s="179">
        <v>10</v>
      </c>
      <c r="H156" s="180">
        <v>900</v>
      </c>
      <c r="I156" s="181">
        <v>440</v>
      </c>
      <c r="J156" s="182">
        <v>49.45</v>
      </c>
      <c r="K156" s="183">
        <f t="shared" si="43"/>
        <v>21758</v>
      </c>
      <c r="L156" s="181"/>
      <c r="M156" s="131"/>
      <c r="N156" s="132"/>
      <c r="O156" s="130">
        <f t="shared" ref="O156:O158" si="57">SUM(L156,I156)</f>
        <v>440</v>
      </c>
      <c r="P156" s="131">
        <f t="shared" ref="P156:P158" si="58">IF(M156&lt;&gt;"",M156,J156)</f>
        <v>49.45</v>
      </c>
      <c r="Q156" s="132">
        <f t="shared" ref="Q156:Q158" si="59">ROUND(O156*P156,2)</f>
        <v>21758</v>
      </c>
    </row>
    <row r="157" spans="1:17" ht="33.75" x14ac:dyDescent="0.25">
      <c r="A157" s="177" t="s">
        <v>7359</v>
      </c>
      <c r="B157" s="177" t="s">
        <v>7360</v>
      </c>
      <c r="C157" s="178" t="s">
        <v>378</v>
      </c>
      <c r="D157" s="178" t="s">
        <v>1</v>
      </c>
      <c r="E157" s="179" t="s">
        <v>7193</v>
      </c>
      <c r="F157" s="179">
        <v>70</v>
      </c>
      <c r="G157" s="179">
        <v>10</v>
      </c>
      <c r="H157" s="180">
        <v>900</v>
      </c>
      <c r="I157" s="181">
        <v>200</v>
      </c>
      <c r="J157" s="182">
        <v>70.930000000000007</v>
      </c>
      <c r="K157" s="183">
        <f t="shared" si="43"/>
        <v>14186</v>
      </c>
      <c r="L157" s="181"/>
      <c r="M157" s="131"/>
      <c r="N157" s="132"/>
      <c r="O157" s="130">
        <f t="shared" si="57"/>
        <v>200</v>
      </c>
      <c r="P157" s="131">
        <f t="shared" si="58"/>
        <v>70.930000000000007</v>
      </c>
      <c r="Q157" s="132">
        <f t="shared" si="59"/>
        <v>14186</v>
      </c>
    </row>
    <row r="158" spans="1:17" ht="33.75" x14ac:dyDescent="0.25">
      <c r="A158" s="177" t="s">
        <v>7361</v>
      </c>
      <c r="B158" s="177" t="s">
        <v>7362</v>
      </c>
      <c r="C158" s="178" t="s">
        <v>378</v>
      </c>
      <c r="D158" s="178" t="s">
        <v>1</v>
      </c>
      <c r="E158" s="179" t="s">
        <v>7193</v>
      </c>
      <c r="F158" s="179">
        <v>70</v>
      </c>
      <c r="G158" s="179">
        <v>10</v>
      </c>
      <c r="H158" s="180">
        <v>900</v>
      </c>
      <c r="I158" s="181">
        <v>540</v>
      </c>
      <c r="J158" s="182">
        <v>140.22999999999999</v>
      </c>
      <c r="K158" s="183">
        <f t="shared" si="43"/>
        <v>75724.2</v>
      </c>
      <c r="L158" s="181">
        <v>100</v>
      </c>
      <c r="M158" s="131">
        <f>J158</f>
        <v>140.22999999999999</v>
      </c>
      <c r="N158" s="183">
        <f t="shared" ref="N158" si="60">ROUND(L158*M158,2)</f>
        <v>14023</v>
      </c>
      <c r="O158" s="130">
        <f t="shared" si="57"/>
        <v>640</v>
      </c>
      <c r="P158" s="131">
        <f t="shared" si="58"/>
        <v>140.22999999999999</v>
      </c>
      <c r="Q158" s="132">
        <f t="shared" si="59"/>
        <v>89747.199999999997</v>
      </c>
    </row>
    <row r="159" spans="1:17" x14ac:dyDescent="0.25">
      <c r="A159" s="170" t="s">
        <v>7363</v>
      </c>
      <c r="B159" s="170" t="s">
        <v>7364</v>
      </c>
      <c r="C159" s="171"/>
      <c r="D159" s="171"/>
      <c r="E159" s="172"/>
      <c r="F159" s="172"/>
      <c r="G159" s="172"/>
      <c r="H159" s="173"/>
      <c r="I159" s="174"/>
      <c r="J159" s="175" t="s">
        <v>7083</v>
      </c>
      <c r="K159" s="176"/>
      <c r="L159" s="174"/>
      <c r="M159" s="175" t="s">
        <v>7083</v>
      </c>
      <c r="N159" s="176"/>
      <c r="O159" s="174"/>
      <c r="P159" s="175" t="s">
        <v>7083</v>
      </c>
      <c r="Q159" s="176"/>
    </row>
    <row r="160" spans="1:17" ht="22.5" x14ac:dyDescent="0.25">
      <c r="A160" s="177" t="s">
        <v>7365</v>
      </c>
      <c r="B160" s="177" t="s">
        <v>7366</v>
      </c>
      <c r="C160" s="178" t="s">
        <v>378</v>
      </c>
      <c r="D160" s="178" t="s">
        <v>1</v>
      </c>
      <c r="E160" s="179" t="s">
        <v>7193</v>
      </c>
      <c r="F160" s="179">
        <v>70</v>
      </c>
      <c r="G160" s="179">
        <v>10</v>
      </c>
      <c r="H160" s="180">
        <v>900</v>
      </c>
      <c r="I160" s="181">
        <v>180</v>
      </c>
      <c r="J160" s="182">
        <v>57.49</v>
      </c>
      <c r="K160" s="183">
        <f t="shared" si="43"/>
        <v>10348.200000000001</v>
      </c>
      <c r="L160" s="181"/>
      <c r="M160" s="131"/>
      <c r="N160" s="132"/>
      <c r="O160" s="130">
        <f t="shared" ref="O160:O162" si="61">SUM(L160,I160)</f>
        <v>180</v>
      </c>
      <c r="P160" s="131">
        <f t="shared" ref="P160:P162" si="62">IF(M160&lt;&gt;"",M160,J160)</f>
        <v>57.49</v>
      </c>
      <c r="Q160" s="132">
        <f t="shared" ref="Q160:Q162" si="63">ROUND(O160*P160,2)</f>
        <v>10348.200000000001</v>
      </c>
    </row>
    <row r="161" spans="1:17" ht="22.5" x14ac:dyDescent="0.25">
      <c r="A161" s="177" t="s">
        <v>7367</v>
      </c>
      <c r="B161" s="177" t="s">
        <v>7368</v>
      </c>
      <c r="C161" s="178" t="s">
        <v>378</v>
      </c>
      <c r="D161" s="178" t="s">
        <v>1</v>
      </c>
      <c r="E161" s="179" t="s">
        <v>7193</v>
      </c>
      <c r="F161" s="179">
        <v>70</v>
      </c>
      <c r="G161" s="179">
        <v>10</v>
      </c>
      <c r="H161" s="180">
        <v>900</v>
      </c>
      <c r="I161" s="181">
        <v>160</v>
      </c>
      <c r="J161" s="182">
        <v>65.81</v>
      </c>
      <c r="K161" s="183">
        <f t="shared" si="43"/>
        <v>10529.6</v>
      </c>
      <c r="L161" s="181"/>
      <c r="M161" s="131"/>
      <c r="N161" s="132"/>
      <c r="O161" s="130">
        <f t="shared" si="61"/>
        <v>160</v>
      </c>
      <c r="P161" s="131">
        <f t="shared" si="62"/>
        <v>65.81</v>
      </c>
      <c r="Q161" s="132">
        <f t="shared" si="63"/>
        <v>10529.6</v>
      </c>
    </row>
    <row r="162" spans="1:17" ht="22.5" x14ac:dyDescent="0.25">
      <c r="A162" s="177" t="s">
        <v>7369</v>
      </c>
      <c r="B162" s="177" t="s">
        <v>7370</v>
      </c>
      <c r="C162" s="178" t="s">
        <v>378</v>
      </c>
      <c r="D162" s="178" t="s">
        <v>1</v>
      </c>
      <c r="E162" s="179" t="s">
        <v>7193</v>
      </c>
      <c r="F162" s="179">
        <v>70</v>
      </c>
      <c r="G162" s="179">
        <v>10</v>
      </c>
      <c r="H162" s="180">
        <v>900</v>
      </c>
      <c r="I162" s="181">
        <v>190</v>
      </c>
      <c r="J162" s="182">
        <v>79.430000000000007</v>
      </c>
      <c r="K162" s="183">
        <f t="shared" si="43"/>
        <v>15091.7</v>
      </c>
      <c r="L162" s="181"/>
      <c r="M162" s="131"/>
      <c r="N162" s="132"/>
      <c r="O162" s="130">
        <f t="shared" si="61"/>
        <v>190</v>
      </c>
      <c r="P162" s="131">
        <f t="shared" si="62"/>
        <v>79.430000000000007</v>
      </c>
      <c r="Q162" s="132">
        <f t="shared" si="63"/>
        <v>15091.7</v>
      </c>
    </row>
    <row r="163" spans="1:17" ht="22.5" x14ac:dyDescent="0.25">
      <c r="A163" s="170" t="s">
        <v>7371</v>
      </c>
      <c r="B163" s="170" t="s">
        <v>7372</v>
      </c>
      <c r="C163" s="171"/>
      <c r="D163" s="171"/>
      <c r="E163" s="172"/>
      <c r="F163" s="172"/>
      <c r="G163" s="172"/>
      <c r="H163" s="173"/>
      <c r="I163" s="174"/>
      <c r="J163" s="175" t="s">
        <v>7083</v>
      </c>
      <c r="K163" s="176"/>
      <c r="L163" s="174"/>
      <c r="M163" s="175" t="s">
        <v>7083</v>
      </c>
      <c r="N163" s="176"/>
      <c r="O163" s="174"/>
      <c r="P163" s="175" t="s">
        <v>7083</v>
      </c>
      <c r="Q163" s="176"/>
    </row>
    <row r="164" spans="1:17" ht="22.5" x14ac:dyDescent="0.25">
      <c r="A164" s="177" t="s">
        <v>7373</v>
      </c>
      <c r="B164" s="177" t="s">
        <v>7374</v>
      </c>
      <c r="C164" s="178" t="s">
        <v>378</v>
      </c>
      <c r="D164" s="178" t="s">
        <v>1</v>
      </c>
      <c r="E164" s="179" t="s">
        <v>7193</v>
      </c>
      <c r="F164" s="179">
        <v>70</v>
      </c>
      <c r="G164" s="179">
        <v>10</v>
      </c>
      <c r="H164" s="180">
        <v>900</v>
      </c>
      <c r="I164" s="181">
        <v>50</v>
      </c>
      <c r="J164" s="182">
        <v>18.38</v>
      </c>
      <c r="K164" s="183">
        <f t="shared" si="43"/>
        <v>919</v>
      </c>
      <c r="L164" s="181"/>
      <c r="M164" s="131"/>
      <c r="N164" s="132"/>
      <c r="O164" s="130">
        <f t="shared" ref="O164:O166" si="64">SUM(L164,I164)</f>
        <v>50</v>
      </c>
      <c r="P164" s="131">
        <f t="shared" ref="P164:P166" si="65">IF(M164&lt;&gt;"",M164,J164)</f>
        <v>18.38</v>
      </c>
      <c r="Q164" s="132">
        <f t="shared" ref="Q164:Q166" si="66">ROUND(O164*P164,2)</f>
        <v>919</v>
      </c>
    </row>
    <row r="165" spans="1:17" ht="22.5" x14ac:dyDescent="0.25">
      <c r="A165" s="177" t="s">
        <v>7375</v>
      </c>
      <c r="B165" s="177" t="s">
        <v>7376</v>
      </c>
      <c r="C165" s="178" t="s">
        <v>378</v>
      </c>
      <c r="D165" s="178" t="s">
        <v>1</v>
      </c>
      <c r="E165" s="179" t="s">
        <v>7193</v>
      </c>
      <c r="F165" s="179">
        <v>70</v>
      </c>
      <c r="G165" s="179">
        <v>10</v>
      </c>
      <c r="H165" s="180">
        <v>900</v>
      </c>
      <c r="I165" s="181">
        <v>20</v>
      </c>
      <c r="J165" s="182">
        <v>21.26</v>
      </c>
      <c r="K165" s="183">
        <f t="shared" si="43"/>
        <v>425.2</v>
      </c>
      <c r="L165" s="181"/>
      <c r="M165" s="131"/>
      <c r="N165" s="132"/>
      <c r="O165" s="130">
        <f t="shared" si="64"/>
        <v>20</v>
      </c>
      <c r="P165" s="131">
        <f t="shared" si="65"/>
        <v>21.26</v>
      </c>
      <c r="Q165" s="132">
        <f t="shared" si="66"/>
        <v>425.2</v>
      </c>
    </row>
    <row r="166" spans="1:17" ht="22.5" x14ac:dyDescent="0.25">
      <c r="A166" s="177" t="s">
        <v>7377</v>
      </c>
      <c r="B166" s="177" t="s">
        <v>7378</v>
      </c>
      <c r="C166" s="178" t="s">
        <v>378</v>
      </c>
      <c r="D166" s="178" t="s">
        <v>1</v>
      </c>
      <c r="E166" s="179" t="s">
        <v>7193</v>
      </c>
      <c r="F166" s="179">
        <v>70</v>
      </c>
      <c r="G166" s="179">
        <v>10</v>
      </c>
      <c r="H166" s="180">
        <v>900</v>
      </c>
      <c r="I166" s="181">
        <v>20</v>
      </c>
      <c r="J166" s="182">
        <v>26.29</v>
      </c>
      <c r="K166" s="183">
        <f t="shared" si="43"/>
        <v>525.79999999999995</v>
      </c>
      <c r="L166" s="181"/>
      <c r="M166" s="131"/>
      <c r="N166" s="132"/>
      <c r="O166" s="130">
        <f t="shared" si="64"/>
        <v>20</v>
      </c>
      <c r="P166" s="131">
        <f t="shared" si="65"/>
        <v>26.29</v>
      </c>
      <c r="Q166" s="132">
        <f t="shared" si="66"/>
        <v>525.79999999999995</v>
      </c>
    </row>
    <row r="167" spans="1:17" ht="22.5" x14ac:dyDescent="0.25">
      <c r="A167" s="163" t="s">
        <v>7379</v>
      </c>
      <c r="B167" s="163" t="s">
        <v>7380</v>
      </c>
      <c r="C167" s="164"/>
      <c r="D167" s="164"/>
      <c r="E167" s="165"/>
      <c r="F167" s="165"/>
      <c r="G167" s="165"/>
      <c r="H167" s="166"/>
      <c r="I167" s="167"/>
      <c r="J167" s="168" t="s">
        <v>7083</v>
      </c>
      <c r="K167" s="169"/>
      <c r="L167" s="167"/>
      <c r="M167" s="168" t="s">
        <v>7083</v>
      </c>
      <c r="N167" s="169"/>
      <c r="O167" s="167"/>
      <c r="P167" s="168" t="s">
        <v>7083</v>
      </c>
      <c r="Q167" s="169"/>
    </row>
    <row r="168" spans="1:17" x14ac:dyDescent="0.25">
      <c r="A168" s="170" t="s">
        <v>7381</v>
      </c>
      <c r="B168" s="170" t="s">
        <v>7382</v>
      </c>
      <c r="C168" s="171"/>
      <c r="D168" s="171"/>
      <c r="E168" s="172"/>
      <c r="F168" s="172"/>
      <c r="G168" s="172"/>
      <c r="H168" s="173"/>
      <c r="I168" s="174"/>
      <c r="J168" s="175" t="s">
        <v>7083</v>
      </c>
      <c r="K168" s="176"/>
      <c r="L168" s="174"/>
      <c r="M168" s="175" t="s">
        <v>7083</v>
      </c>
      <c r="N168" s="176"/>
      <c r="O168" s="174"/>
      <c r="P168" s="175" t="s">
        <v>7083</v>
      </c>
      <c r="Q168" s="176"/>
    </row>
    <row r="169" spans="1:17" ht="45" x14ac:dyDescent="0.25">
      <c r="A169" s="177" t="s">
        <v>7383</v>
      </c>
      <c r="B169" s="177" t="s">
        <v>7384</v>
      </c>
      <c r="C169" s="178" t="s">
        <v>378</v>
      </c>
      <c r="D169" s="178" t="s">
        <v>1</v>
      </c>
      <c r="E169" s="179" t="s">
        <v>7193</v>
      </c>
      <c r="F169" s="179">
        <v>70</v>
      </c>
      <c r="G169" s="179">
        <v>10</v>
      </c>
      <c r="H169" s="180">
        <v>900</v>
      </c>
      <c r="I169" s="181">
        <v>20</v>
      </c>
      <c r="J169" s="182">
        <v>25.75</v>
      </c>
      <c r="K169" s="183">
        <f t="shared" si="43"/>
        <v>515</v>
      </c>
      <c r="L169" s="181"/>
      <c r="M169" s="131"/>
      <c r="N169" s="132"/>
      <c r="O169" s="130">
        <f t="shared" ref="O169:O170" si="67">SUM(L169,I169)</f>
        <v>20</v>
      </c>
      <c r="P169" s="131">
        <f t="shared" ref="P169:P170" si="68">IF(M169&lt;&gt;"",M169,J169)</f>
        <v>25.75</v>
      </c>
      <c r="Q169" s="132">
        <f t="shared" ref="Q169:Q170" si="69">ROUND(O169*P169,2)</f>
        <v>515</v>
      </c>
    </row>
    <row r="170" spans="1:17" ht="45" x14ac:dyDescent="0.25">
      <c r="A170" s="177" t="s">
        <v>7385</v>
      </c>
      <c r="B170" s="177" t="s">
        <v>7386</v>
      </c>
      <c r="C170" s="178" t="s">
        <v>378</v>
      </c>
      <c r="D170" s="178" t="s">
        <v>1</v>
      </c>
      <c r="E170" s="179" t="s">
        <v>7193</v>
      </c>
      <c r="F170" s="179">
        <v>70</v>
      </c>
      <c r="G170" s="179">
        <v>10</v>
      </c>
      <c r="H170" s="180">
        <v>900</v>
      </c>
      <c r="I170" s="181">
        <v>20</v>
      </c>
      <c r="J170" s="182">
        <v>43.57</v>
      </c>
      <c r="K170" s="183">
        <f t="shared" si="43"/>
        <v>871.4</v>
      </c>
      <c r="L170" s="181"/>
      <c r="M170" s="131"/>
      <c r="N170" s="132"/>
      <c r="O170" s="130">
        <f t="shared" si="67"/>
        <v>20</v>
      </c>
      <c r="P170" s="131">
        <f t="shared" si="68"/>
        <v>43.57</v>
      </c>
      <c r="Q170" s="132">
        <f t="shared" si="69"/>
        <v>871.4</v>
      </c>
    </row>
    <row r="171" spans="1:17" ht="22.5" x14ac:dyDescent="0.25">
      <c r="A171" s="170" t="s">
        <v>7387</v>
      </c>
      <c r="B171" s="170" t="s">
        <v>7388</v>
      </c>
      <c r="C171" s="171"/>
      <c r="D171" s="171"/>
      <c r="E171" s="172"/>
      <c r="F171" s="172"/>
      <c r="G171" s="172"/>
      <c r="H171" s="173"/>
      <c r="I171" s="174"/>
      <c r="J171" s="175" t="s">
        <v>7083</v>
      </c>
      <c r="K171" s="176"/>
      <c r="L171" s="174"/>
      <c r="M171" s="175" t="s">
        <v>7083</v>
      </c>
      <c r="N171" s="176"/>
      <c r="O171" s="174"/>
      <c r="P171" s="175" t="s">
        <v>7083</v>
      </c>
      <c r="Q171" s="176"/>
    </row>
    <row r="172" spans="1:17" ht="33.75" x14ac:dyDescent="0.25">
      <c r="A172" s="177" t="s">
        <v>7389</v>
      </c>
      <c r="B172" s="177" t="s">
        <v>7390</v>
      </c>
      <c r="C172" s="178" t="s">
        <v>378</v>
      </c>
      <c r="D172" s="178" t="s">
        <v>1</v>
      </c>
      <c r="E172" s="179" t="s">
        <v>7193</v>
      </c>
      <c r="F172" s="179">
        <v>70</v>
      </c>
      <c r="G172" s="179">
        <v>10</v>
      </c>
      <c r="H172" s="180">
        <v>900</v>
      </c>
      <c r="I172" s="181">
        <v>3375</v>
      </c>
      <c r="J172" s="182">
        <v>28.02</v>
      </c>
      <c r="K172" s="183">
        <f t="shared" si="43"/>
        <v>94567.5</v>
      </c>
      <c r="L172" s="181">
        <v>1000</v>
      </c>
      <c r="M172" s="131">
        <f t="shared" ref="M172:M173" si="70">J172</f>
        <v>28.02</v>
      </c>
      <c r="N172" s="183">
        <f t="shared" ref="N172:N173" si="71">ROUND(L172*M172,2)</f>
        <v>28020</v>
      </c>
      <c r="O172" s="130">
        <f t="shared" ref="O172:O177" si="72">SUM(L172,I172)</f>
        <v>4375</v>
      </c>
      <c r="P172" s="131">
        <f t="shared" ref="P172:P177" si="73">IF(M172&lt;&gt;"",M172,J172)</f>
        <v>28.02</v>
      </c>
      <c r="Q172" s="132">
        <f t="shared" ref="Q172:Q177" si="74">ROUND(O172*P172,2)</f>
        <v>122587.5</v>
      </c>
    </row>
    <row r="173" spans="1:17" ht="33.75" x14ac:dyDescent="0.25">
      <c r="A173" s="177" t="s">
        <v>7391</v>
      </c>
      <c r="B173" s="177" t="s">
        <v>7392</v>
      </c>
      <c r="C173" s="178" t="s">
        <v>378</v>
      </c>
      <c r="D173" s="178" t="s">
        <v>1</v>
      </c>
      <c r="E173" s="179" t="s">
        <v>7193</v>
      </c>
      <c r="F173" s="179">
        <v>70</v>
      </c>
      <c r="G173" s="179">
        <v>10</v>
      </c>
      <c r="H173" s="180">
        <v>900</v>
      </c>
      <c r="I173" s="181">
        <v>703.94</v>
      </c>
      <c r="J173" s="182">
        <v>45.43</v>
      </c>
      <c r="K173" s="183">
        <f t="shared" si="43"/>
        <v>31979.99</v>
      </c>
      <c r="L173" s="181">
        <v>1.0599999999999454</v>
      </c>
      <c r="M173" s="131">
        <f t="shared" si="70"/>
        <v>45.43</v>
      </c>
      <c r="N173" s="183">
        <f t="shared" si="71"/>
        <v>48.16</v>
      </c>
      <c r="O173" s="130">
        <f t="shared" si="72"/>
        <v>705</v>
      </c>
      <c r="P173" s="131">
        <f t="shared" si="73"/>
        <v>45.43</v>
      </c>
      <c r="Q173" s="132">
        <f t="shared" si="74"/>
        <v>32028.15</v>
      </c>
    </row>
    <row r="174" spans="1:17" ht="33.75" x14ac:dyDescent="0.25">
      <c r="A174" s="177" t="s">
        <v>7393</v>
      </c>
      <c r="B174" s="177" t="s">
        <v>7394</v>
      </c>
      <c r="C174" s="178" t="s">
        <v>378</v>
      </c>
      <c r="D174" s="178" t="s">
        <v>1</v>
      </c>
      <c r="E174" s="179" t="s">
        <v>7193</v>
      </c>
      <c r="F174" s="179">
        <v>70</v>
      </c>
      <c r="G174" s="179">
        <v>10</v>
      </c>
      <c r="H174" s="180">
        <v>900</v>
      </c>
      <c r="I174" s="181">
        <v>710</v>
      </c>
      <c r="J174" s="182">
        <v>51.66</v>
      </c>
      <c r="K174" s="183">
        <f t="shared" si="43"/>
        <v>36678.6</v>
      </c>
      <c r="L174" s="181"/>
      <c r="M174" s="131"/>
      <c r="N174" s="132"/>
      <c r="O174" s="130">
        <f t="shared" si="72"/>
        <v>710</v>
      </c>
      <c r="P174" s="131">
        <f t="shared" si="73"/>
        <v>51.66</v>
      </c>
      <c r="Q174" s="132">
        <f t="shared" si="74"/>
        <v>36678.6</v>
      </c>
    </row>
    <row r="175" spans="1:17" ht="33.75" x14ac:dyDescent="0.25">
      <c r="A175" s="177" t="s">
        <v>7395</v>
      </c>
      <c r="B175" s="177" t="s">
        <v>7396</v>
      </c>
      <c r="C175" s="178" t="s">
        <v>378</v>
      </c>
      <c r="D175" s="178" t="s">
        <v>1</v>
      </c>
      <c r="E175" s="179" t="s">
        <v>7193</v>
      </c>
      <c r="F175" s="179">
        <v>70</v>
      </c>
      <c r="G175" s="179">
        <v>10</v>
      </c>
      <c r="H175" s="180">
        <v>900</v>
      </c>
      <c r="I175" s="181">
        <v>440</v>
      </c>
      <c r="J175" s="182">
        <v>68.5</v>
      </c>
      <c r="K175" s="183">
        <f t="shared" si="43"/>
        <v>30140</v>
      </c>
      <c r="L175" s="181">
        <v>300</v>
      </c>
      <c r="M175" s="131">
        <f>J175</f>
        <v>68.5</v>
      </c>
      <c r="N175" s="183">
        <f t="shared" ref="N175" si="75">ROUND(L175*M175,2)</f>
        <v>20550</v>
      </c>
      <c r="O175" s="130">
        <f t="shared" si="72"/>
        <v>740</v>
      </c>
      <c r="P175" s="131">
        <f t="shared" si="73"/>
        <v>68.5</v>
      </c>
      <c r="Q175" s="132">
        <f t="shared" si="74"/>
        <v>50690</v>
      </c>
    </row>
    <row r="176" spans="1:17" ht="33.75" x14ac:dyDescent="0.25">
      <c r="A176" s="177" t="s">
        <v>7397</v>
      </c>
      <c r="B176" s="177" t="s">
        <v>7398</v>
      </c>
      <c r="C176" s="178" t="s">
        <v>378</v>
      </c>
      <c r="D176" s="178" t="s">
        <v>1</v>
      </c>
      <c r="E176" s="179" t="s">
        <v>7193</v>
      </c>
      <c r="F176" s="179">
        <v>70</v>
      </c>
      <c r="G176" s="179">
        <v>10</v>
      </c>
      <c r="H176" s="180">
        <v>900</v>
      </c>
      <c r="I176" s="181">
        <v>2270</v>
      </c>
      <c r="J176" s="182">
        <v>76.02</v>
      </c>
      <c r="K176" s="183">
        <f t="shared" si="43"/>
        <v>172565.4</v>
      </c>
      <c r="L176" s="181"/>
      <c r="M176" s="131"/>
      <c r="N176" s="132"/>
      <c r="O176" s="130">
        <f t="shared" si="72"/>
        <v>2270</v>
      </c>
      <c r="P176" s="131">
        <f t="shared" si="73"/>
        <v>76.02</v>
      </c>
      <c r="Q176" s="132">
        <f t="shared" si="74"/>
        <v>172565.4</v>
      </c>
    </row>
    <row r="177" spans="1:17" ht="33.75" x14ac:dyDescent="0.25">
      <c r="A177" s="177" t="s">
        <v>7399</v>
      </c>
      <c r="B177" s="177" t="s">
        <v>7400</v>
      </c>
      <c r="C177" s="178" t="s">
        <v>378</v>
      </c>
      <c r="D177" s="178" t="s">
        <v>1</v>
      </c>
      <c r="E177" s="179" t="s">
        <v>7193</v>
      </c>
      <c r="F177" s="179">
        <v>70</v>
      </c>
      <c r="G177" s="179">
        <v>10</v>
      </c>
      <c r="H177" s="180">
        <v>900</v>
      </c>
      <c r="I177" s="181">
        <v>340</v>
      </c>
      <c r="J177" s="182">
        <v>114.17</v>
      </c>
      <c r="K177" s="183">
        <f t="shared" si="43"/>
        <v>38817.800000000003</v>
      </c>
      <c r="L177" s="181"/>
      <c r="M177" s="131"/>
      <c r="N177" s="132"/>
      <c r="O177" s="130">
        <f t="shared" si="72"/>
        <v>340</v>
      </c>
      <c r="P177" s="131">
        <f t="shared" si="73"/>
        <v>114.17</v>
      </c>
      <c r="Q177" s="132">
        <f t="shared" si="74"/>
        <v>38817.800000000003</v>
      </c>
    </row>
    <row r="178" spans="1:17" ht="22.5" x14ac:dyDescent="0.25">
      <c r="A178" s="170" t="s">
        <v>7401</v>
      </c>
      <c r="B178" s="170" t="s">
        <v>7402</v>
      </c>
      <c r="C178" s="171"/>
      <c r="D178" s="171"/>
      <c r="E178" s="172"/>
      <c r="F178" s="172"/>
      <c r="G178" s="172"/>
      <c r="H178" s="173"/>
      <c r="I178" s="174"/>
      <c r="J178" s="175" t="s">
        <v>7083</v>
      </c>
      <c r="K178" s="176"/>
      <c r="L178" s="174"/>
      <c r="M178" s="175" t="s">
        <v>7083</v>
      </c>
      <c r="N178" s="176"/>
      <c r="O178" s="174"/>
      <c r="P178" s="175" t="s">
        <v>7083</v>
      </c>
      <c r="Q178" s="176"/>
    </row>
    <row r="179" spans="1:17" ht="45" x14ac:dyDescent="0.25">
      <c r="A179" s="177" t="s">
        <v>7403</v>
      </c>
      <c r="B179" s="177" t="s">
        <v>7404</v>
      </c>
      <c r="C179" s="178" t="s">
        <v>378</v>
      </c>
      <c r="D179" s="178" t="s">
        <v>1</v>
      </c>
      <c r="E179" s="179" t="s">
        <v>7193</v>
      </c>
      <c r="F179" s="179">
        <v>70</v>
      </c>
      <c r="G179" s="179">
        <v>10</v>
      </c>
      <c r="H179" s="180">
        <v>900</v>
      </c>
      <c r="I179" s="181">
        <v>800</v>
      </c>
      <c r="J179" s="182">
        <v>121.19</v>
      </c>
      <c r="K179" s="183">
        <f t="shared" si="43"/>
        <v>96952</v>
      </c>
      <c r="L179" s="181"/>
      <c r="M179" s="131"/>
      <c r="N179" s="132"/>
      <c r="O179" s="130">
        <f>SUM(L179,I179)</f>
        <v>800</v>
      </c>
      <c r="P179" s="131">
        <f>IF(M179&lt;&gt;"",M179,J179)</f>
        <v>121.19</v>
      </c>
      <c r="Q179" s="132">
        <f>ROUND(O179*P179,2)</f>
        <v>96952</v>
      </c>
    </row>
    <row r="180" spans="1:17" x14ac:dyDescent="0.25">
      <c r="A180" s="170" t="s">
        <v>7405</v>
      </c>
      <c r="B180" s="170" t="s">
        <v>7406</v>
      </c>
      <c r="C180" s="171"/>
      <c r="D180" s="171"/>
      <c r="E180" s="172"/>
      <c r="F180" s="172"/>
      <c r="G180" s="172"/>
      <c r="H180" s="173"/>
      <c r="I180" s="174"/>
      <c r="J180" s="175" t="s">
        <v>7083</v>
      </c>
      <c r="K180" s="176"/>
      <c r="L180" s="174"/>
      <c r="M180" s="175" t="s">
        <v>7083</v>
      </c>
      <c r="N180" s="176"/>
      <c r="O180" s="174"/>
      <c r="P180" s="175" t="s">
        <v>7083</v>
      </c>
      <c r="Q180" s="176"/>
    </row>
    <row r="181" spans="1:17" ht="22.5" x14ac:dyDescent="0.25">
      <c r="A181" s="177" t="s">
        <v>7407</v>
      </c>
      <c r="B181" s="177" t="s">
        <v>7408</v>
      </c>
      <c r="C181" s="178" t="s">
        <v>378</v>
      </c>
      <c r="D181" s="178" t="s">
        <v>1</v>
      </c>
      <c r="E181" s="179" t="s">
        <v>7193</v>
      </c>
      <c r="F181" s="179">
        <v>70</v>
      </c>
      <c r="G181" s="179">
        <v>10</v>
      </c>
      <c r="H181" s="180">
        <v>900</v>
      </c>
      <c r="I181" s="181">
        <v>25</v>
      </c>
      <c r="J181" s="182">
        <v>69.03</v>
      </c>
      <c r="K181" s="183">
        <f t="shared" si="43"/>
        <v>1725.75</v>
      </c>
      <c r="L181" s="181"/>
      <c r="M181" s="131"/>
      <c r="N181" s="132"/>
      <c r="O181" s="130">
        <f t="shared" ref="O181:O182" si="76">SUM(L181,I181)</f>
        <v>25</v>
      </c>
      <c r="P181" s="131">
        <f t="shared" ref="P181:P182" si="77">IF(M181&lt;&gt;"",M181,J181)</f>
        <v>69.03</v>
      </c>
      <c r="Q181" s="132">
        <f t="shared" ref="Q181:Q182" si="78">ROUND(O181*P181,2)</f>
        <v>1725.75</v>
      </c>
    </row>
    <row r="182" spans="1:17" ht="22.5" x14ac:dyDescent="0.25">
      <c r="A182" s="177" t="s">
        <v>7409</v>
      </c>
      <c r="B182" s="177" t="s">
        <v>7410</v>
      </c>
      <c r="C182" s="178" t="s">
        <v>378</v>
      </c>
      <c r="D182" s="178" t="s">
        <v>1</v>
      </c>
      <c r="E182" s="179" t="s">
        <v>7193</v>
      </c>
      <c r="F182" s="179">
        <v>70</v>
      </c>
      <c r="G182" s="179">
        <v>10</v>
      </c>
      <c r="H182" s="180">
        <v>900</v>
      </c>
      <c r="I182" s="181">
        <v>50</v>
      </c>
      <c r="J182" s="182">
        <v>66.930000000000007</v>
      </c>
      <c r="K182" s="183">
        <f t="shared" si="43"/>
        <v>3346.5</v>
      </c>
      <c r="L182" s="181">
        <v>200</v>
      </c>
      <c r="M182" s="131">
        <f>J182</f>
        <v>66.930000000000007</v>
      </c>
      <c r="N182" s="183">
        <f t="shared" ref="N182" si="79">ROUND(L182*M182,2)</f>
        <v>13386</v>
      </c>
      <c r="O182" s="130">
        <f t="shared" si="76"/>
        <v>250</v>
      </c>
      <c r="P182" s="131">
        <f t="shared" si="77"/>
        <v>66.930000000000007</v>
      </c>
      <c r="Q182" s="132">
        <f t="shared" si="78"/>
        <v>16732.5</v>
      </c>
    </row>
    <row r="183" spans="1:17" ht="22.5" x14ac:dyDescent="0.25">
      <c r="A183" s="163" t="s">
        <v>7411</v>
      </c>
      <c r="B183" s="163" t="s">
        <v>7412</v>
      </c>
      <c r="C183" s="164"/>
      <c r="D183" s="164"/>
      <c r="E183" s="165"/>
      <c r="F183" s="165"/>
      <c r="G183" s="165"/>
      <c r="H183" s="166"/>
      <c r="I183" s="167"/>
      <c r="J183" s="168" t="s">
        <v>7083</v>
      </c>
      <c r="K183" s="169"/>
      <c r="L183" s="167"/>
      <c r="M183" s="168" t="s">
        <v>7083</v>
      </c>
      <c r="N183" s="169"/>
      <c r="O183" s="167"/>
      <c r="P183" s="168" t="s">
        <v>7083</v>
      </c>
      <c r="Q183" s="169"/>
    </row>
    <row r="184" spans="1:17" ht="22.5" x14ac:dyDescent="0.25">
      <c r="A184" s="177" t="s">
        <v>7413</v>
      </c>
      <c r="B184" s="177" t="s">
        <v>7414</v>
      </c>
      <c r="C184" s="178" t="s">
        <v>378</v>
      </c>
      <c r="D184" s="178" t="s">
        <v>1</v>
      </c>
      <c r="E184" s="179" t="s">
        <v>7193</v>
      </c>
      <c r="F184" s="179">
        <v>70</v>
      </c>
      <c r="G184" s="179">
        <v>30</v>
      </c>
      <c r="H184" s="180">
        <v>0</v>
      </c>
      <c r="I184" s="181">
        <v>300</v>
      </c>
      <c r="J184" s="182">
        <v>196.25</v>
      </c>
      <c r="K184" s="183">
        <f t="shared" si="43"/>
        <v>58875</v>
      </c>
      <c r="L184" s="181">
        <v>200</v>
      </c>
      <c r="M184" s="131">
        <f t="shared" ref="M184:M186" si="80">J184</f>
        <v>196.25</v>
      </c>
      <c r="N184" s="183">
        <f t="shared" ref="N184:N186" si="81">ROUND(L184*M184,2)</f>
        <v>39250</v>
      </c>
      <c r="O184" s="130">
        <f t="shared" ref="O184:O190" si="82">SUM(L184,I184)</f>
        <v>500</v>
      </c>
      <c r="P184" s="131">
        <f t="shared" ref="P184:P190" si="83">IF(M184&lt;&gt;"",M184,J184)</f>
        <v>196.25</v>
      </c>
      <c r="Q184" s="132">
        <f t="shared" ref="Q184:Q190" si="84">ROUND(O184*P184,2)</f>
        <v>98125</v>
      </c>
    </row>
    <row r="185" spans="1:17" ht="22.5" x14ac:dyDescent="0.25">
      <c r="A185" s="177" t="s">
        <v>7415</v>
      </c>
      <c r="B185" s="177" t="s">
        <v>7416</v>
      </c>
      <c r="C185" s="178" t="s">
        <v>378</v>
      </c>
      <c r="D185" s="178" t="s">
        <v>1</v>
      </c>
      <c r="E185" s="179" t="s">
        <v>7193</v>
      </c>
      <c r="F185" s="179">
        <v>70</v>
      </c>
      <c r="G185" s="179">
        <v>30</v>
      </c>
      <c r="H185" s="180">
        <v>0</v>
      </c>
      <c r="I185" s="181">
        <v>300</v>
      </c>
      <c r="J185" s="182">
        <v>255.82</v>
      </c>
      <c r="K185" s="183">
        <f t="shared" si="43"/>
        <v>76746</v>
      </c>
      <c r="L185" s="181">
        <v>100</v>
      </c>
      <c r="M185" s="131">
        <f t="shared" si="80"/>
        <v>255.82</v>
      </c>
      <c r="N185" s="183">
        <f t="shared" si="81"/>
        <v>25582</v>
      </c>
      <c r="O185" s="130">
        <f t="shared" si="82"/>
        <v>400</v>
      </c>
      <c r="P185" s="131">
        <f t="shared" si="83"/>
        <v>255.82</v>
      </c>
      <c r="Q185" s="132">
        <f t="shared" si="84"/>
        <v>102328</v>
      </c>
    </row>
    <row r="186" spans="1:17" ht="22.5" x14ac:dyDescent="0.25">
      <c r="A186" s="177" t="s">
        <v>7417</v>
      </c>
      <c r="B186" s="177" t="s">
        <v>7418</v>
      </c>
      <c r="C186" s="178" t="s">
        <v>378</v>
      </c>
      <c r="D186" s="178" t="s">
        <v>1</v>
      </c>
      <c r="E186" s="179" t="s">
        <v>7193</v>
      </c>
      <c r="F186" s="179">
        <v>70</v>
      </c>
      <c r="G186" s="179">
        <v>30</v>
      </c>
      <c r="H186" s="180">
        <v>0</v>
      </c>
      <c r="I186" s="181">
        <v>400</v>
      </c>
      <c r="J186" s="182">
        <v>328.5</v>
      </c>
      <c r="K186" s="183">
        <f t="shared" si="43"/>
        <v>131400</v>
      </c>
      <c r="L186" s="181">
        <v>50</v>
      </c>
      <c r="M186" s="131">
        <f t="shared" si="80"/>
        <v>328.5</v>
      </c>
      <c r="N186" s="183">
        <f t="shared" si="81"/>
        <v>16425</v>
      </c>
      <c r="O186" s="130">
        <f t="shared" si="82"/>
        <v>450</v>
      </c>
      <c r="P186" s="131">
        <f t="shared" si="83"/>
        <v>328.5</v>
      </c>
      <c r="Q186" s="132">
        <f t="shared" si="84"/>
        <v>147825</v>
      </c>
    </row>
    <row r="187" spans="1:17" ht="22.5" x14ac:dyDescent="0.25">
      <c r="A187" s="177" t="s">
        <v>7419</v>
      </c>
      <c r="B187" s="177" t="s">
        <v>7420</v>
      </c>
      <c r="C187" s="178" t="s">
        <v>378</v>
      </c>
      <c r="D187" s="178" t="s">
        <v>1</v>
      </c>
      <c r="E187" s="179" t="s">
        <v>7193</v>
      </c>
      <c r="F187" s="179">
        <v>70</v>
      </c>
      <c r="G187" s="179">
        <v>30</v>
      </c>
      <c r="H187" s="180">
        <v>0</v>
      </c>
      <c r="I187" s="181">
        <v>200</v>
      </c>
      <c r="J187" s="182">
        <v>382.13</v>
      </c>
      <c r="K187" s="183">
        <f t="shared" si="43"/>
        <v>76426</v>
      </c>
      <c r="L187" s="181"/>
      <c r="M187" s="131"/>
      <c r="N187" s="132"/>
      <c r="O187" s="130">
        <f t="shared" si="82"/>
        <v>200</v>
      </c>
      <c r="P187" s="131">
        <f t="shared" si="83"/>
        <v>382.13</v>
      </c>
      <c r="Q187" s="132">
        <f t="shared" si="84"/>
        <v>76426</v>
      </c>
    </row>
    <row r="188" spans="1:17" ht="22.5" x14ac:dyDescent="0.25">
      <c r="A188" s="177" t="s">
        <v>7421</v>
      </c>
      <c r="B188" s="177" t="s">
        <v>7422</v>
      </c>
      <c r="C188" s="178" t="s">
        <v>378</v>
      </c>
      <c r="D188" s="178" t="s">
        <v>1</v>
      </c>
      <c r="E188" s="179" t="s">
        <v>7193</v>
      </c>
      <c r="F188" s="179">
        <v>70</v>
      </c>
      <c r="G188" s="179">
        <v>30</v>
      </c>
      <c r="H188" s="180">
        <v>0</v>
      </c>
      <c r="I188" s="181">
        <v>150</v>
      </c>
      <c r="J188" s="182">
        <v>441.65</v>
      </c>
      <c r="K188" s="183">
        <f t="shared" si="43"/>
        <v>66247.5</v>
      </c>
      <c r="L188" s="181"/>
      <c r="M188" s="131"/>
      <c r="N188" s="132"/>
      <c r="O188" s="130">
        <f t="shared" si="82"/>
        <v>150</v>
      </c>
      <c r="P188" s="131">
        <f t="shared" si="83"/>
        <v>441.65</v>
      </c>
      <c r="Q188" s="132">
        <f t="shared" si="84"/>
        <v>66247.5</v>
      </c>
    </row>
    <row r="189" spans="1:17" ht="22.5" x14ac:dyDescent="0.25">
      <c r="A189" s="177" t="s">
        <v>7423</v>
      </c>
      <c r="B189" s="177" t="s">
        <v>7424</v>
      </c>
      <c r="C189" s="178" t="s">
        <v>378</v>
      </c>
      <c r="D189" s="178" t="s">
        <v>1</v>
      </c>
      <c r="E189" s="179" t="s">
        <v>7193</v>
      </c>
      <c r="F189" s="179">
        <v>70</v>
      </c>
      <c r="G189" s="179">
        <v>30</v>
      </c>
      <c r="H189" s="180">
        <v>0</v>
      </c>
      <c r="I189" s="181">
        <v>25</v>
      </c>
      <c r="J189" s="182">
        <v>535.88</v>
      </c>
      <c r="K189" s="183">
        <f t="shared" si="43"/>
        <v>13397</v>
      </c>
      <c r="L189" s="181"/>
      <c r="M189" s="131"/>
      <c r="N189" s="132"/>
      <c r="O189" s="130">
        <f t="shared" si="82"/>
        <v>25</v>
      </c>
      <c r="P189" s="131">
        <f t="shared" si="83"/>
        <v>535.88</v>
      </c>
      <c r="Q189" s="132">
        <f t="shared" si="84"/>
        <v>13397</v>
      </c>
    </row>
    <row r="190" spans="1:17" ht="22.5" x14ac:dyDescent="0.25">
      <c r="A190" s="177" t="s">
        <v>7425</v>
      </c>
      <c r="B190" s="177" t="s">
        <v>7426</v>
      </c>
      <c r="C190" s="178" t="s">
        <v>378</v>
      </c>
      <c r="D190" s="178" t="s">
        <v>1</v>
      </c>
      <c r="E190" s="179" t="s">
        <v>7193</v>
      </c>
      <c r="F190" s="179">
        <v>70</v>
      </c>
      <c r="G190" s="179">
        <v>30</v>
      </c>
      <c r="H190" s="180">
        <v>0</v>
      </c>
      <c r="I190" s="181">
        <v>150</v>
      </c>
      <c r="J190" s="182">
        <v>526.35</v>
      </c>
      <c r="K190" s="183">
        <f t="shared" si="43"/>
        <v>78952.5</v>
      </c>
      <c r="L190" s="181"/>
      <c r="M190" s="131"/>
      <c r="N190" s="132"/>
      <c r="O190" s="130">
        <f t="shared" si="82"/>
        <v>150</v>
      </c>
      <c r="P190" s="131">
        <f t="shared" si="83"/>
        <v>526.35</v>
      </c>
      <c r="Q190" s="132">
        <f t="shared" si="84"/>
        <v>78952.5</v>
      </c>
    </row>
    <row r="191" spans="1:17" ht="22.5" x14ac:dyDescent="0.25">
      <c r="A191" s="163" t="s">
        <v>7427</v>
      </c>
      <c r="B191" s="163" t="s">
        <v>7428</v>
      </c>
      <c r="C191" s="164"/>
      <c r="D191" s="164"/>
      <c r="E191" s="165"/>
      <c r="F191" s="165"/>
      <c r="G191" s="165"/>
      <c r="H191" s="166"/>
      <c r="I191" s="167"/>
      <c r="J191" s="168" t="s">
        <v>7083</v>
      </c>
      <c r="K191" s="169"/>
      <c r="L191" s="167"/>
      <c r="M191" s="168" t="s">
        <v>7083</v>
      </c>
      <c r="N191" s="169"/>
      <c r="O191" s="167"/>
      <c r="P191" s="168" t="s">
        <v>7083</v>
      </c>
      <c r="Q191" s="169"/>
    </row>
    <row r="192" spans="1:17" ht="22.5" x14ac:dyDescent="0.25">
      <c r="A192" s="177" t="s">
        <v>7429</v>
      </c>
      <c r="B192" s="177" t="s">
        <v>7430</v>
      </c>
      <c r="C192" s="178" t="s">
        <v>378</v>
      </c>
      <c r="D192" s="178" t="s">
        <v>1</v>
      </c>
      <c r="E192" s="179" t="s">
        <v>7193</v>
      </c>
      <c r="F192" s="179">
        <v>70</v>
      </c>
      <c r="G192" s="179">
        <v>30</v>
      </c>
      <c r="H192" s="180">
        <v>0</v>
      </c>
      <c r="I192" s="181">
        <v>1</v>
      </c>
      <c r="J192" s="182">
        <v>90.85</v>
      </c>
      <c r="K192" s="183">
        <f t="shared" si="43"/>
        <v>90.85</v>
      </c>
      <c r="L192" s="181"/>
      <c r="M192" s="131"/>
      <c r="N192" s="132"/>
      <c r="O192" s="130">
        <f>SUM(L192,I192)</f>
        <v>1</v>
      </c>
      <c r="P192" s="131">
        <f>IF(M192&lt;&gt;"",M192,J192)</f>
        <v>90.85</v>
      </c>
      <c r="Q192" s="132">
        <f>ROUND(O192*P192,2)</f>
        <v>90.85</v>
      </c>
    </row>
    <row r="193" spans="1:17" x14ac:dyDescent="0.25">
      <c r="A193" s="163" t="s">
        <v>7431</v>
      </c>
      <c r="B193" s="163" t="s">
        <v>7432</v>
      </c>
      <c r="C193" s="164"/>
      <c r="D193" s="164"/>
      <c r="E193" s="165"/>
      <c r="F193" s="165"/>
      <c r="G193" s="165"/>
      <c r="H193" s="166"/>
      <c r="I193" s="167"/>
      <c r="J193" s="168" t="s">
        <v>7083</v>
      </c>
      <c r="K193" s="169"/>
      <c r="L193" s="167"/>
      <c r="M193" s="168" t="s">
        <v>7083</v>
      </c>
      <c r="N193" s="169"/>
      <c r="O193" s="167"/>
      <c r="P193" s="168" t="s">
        <v>7083</v>
      </c>
      <c r="Q193" s="169"/>
    </row>
    <row r="194" spans="1:17" ht="22.5" x14ac:dyDescent="0.25">
      <c r="A194" s="177" t="s">
        <v>7433</v>
      </c>
      <c r="B194" s="177" t="s">
        <v>7434</v>
      </c>
      <c r="C194" s="178" t="s">
        <v>378</v>
      </c>
      <c r="D194" s="178" t="s">
        <v>1</v>
      </c>
      <c r="E194" s="179" t="s">
        <v>7193</v>
      </c>
      <c r="F194" s="179">
        <v>70</v>
      </c>
      <c r="G194" s="179">
        <v>30</v>
      </c>
      <c r="H194" s="180">
        <v>0</v>
      </c>
      <c r="I194" s="181">
        <v>10</v>
      </c>
      <c r="J194" s="182">
        <v>527.46</v>
      </c>
      <c r="K194" s="183">
        <f t="shared" si="43"/>
        <v>5274.6</v>
      </c>
      <c r="L194" s="181"/>
      <c r="M194" s="131"/>
      <c r="N194" s="132"/>
      <c r="O194" s="130">
        <f t="shared" ref="O194:O195" si="85">SUM(L194,I194)</f>
        <v>10</v>
      </c>
      <c r="P194" s="131">
        <f t="shared" ref="P194:P195" si="86">IF(M194&lt;&gt;"",M194,J194)</f>
        <v>527.46</v>
      </c>
      <c r="Q194" s="132">
        <f t="shared" ref="Q194:Q195" si="87">ROUND(O194*P194,2)</f>
        <v>5274.6</v>
      </c>
    </row>
    <row r="195" spans="1:17" ht="22.5" x14ac:dyDescent="0.25">
      <c r="A195" s="177" t="s">
        <v>7435</v>
      </c>
      <c r="B195" s="177" t="s">
        <v>7436</v>
      </c>
      <c r="C195" s="178" t="s">
        <v>378</v>
      </c>
      <c r="D195" s="178" t="s">
        <v>1</v>
      </c>
      <c r="E195" s="179" t="s">
        <v>7193</v>
      </c>
      <c r="F195" s="179">
        <v>70</v>
      </c>
      <c r="G195" s="179">
        <v>30</v>
      </c>
      <c r="H195" s="180">
        <v>0</v>
      </c>
      <c r="I195" s="181">
        <v>10</v>
      </c>
      <c r="J195" s="182">
        <v>486.14</v>
      </c>
      <c r="K195" s="183">
        <f t="shared" si="43"/>
        <v>4861.3999999999996</v>
      </c>
      <c r="L195" s="181"/>
      <c r="M195" s="131"/>
      <c r="N195" s="132"/>
      <c r="O195" s="130">
        <f t="shared" si="85"/>
        <v>10</v>
      </c>
      <c r="P195" s="131">
        <f t="shared" si="86"/>
        <v>486.14</v>
      </c>
      <c r="Q195" s="132">
        <f t="shared" si="87"/>
        <v>4861.3999999999996</v>
      </c>
    </row>
    <row r="196" spans="1:17" x14ac:dyDescent="0.25">
      <c r="A196" s="163" t="s">
        <v>7437</v>
      </c>
      <c r="B196" s="163" t="s">
        <v>7438</v>
      </c>
      <c r="C196" s="164"/>
      <c r="D196" s="164"/>
      <c r="E196" s="165"/>
      <c r="F196" s="165"/>
      <c r="G196" s="165"/>
      <c r="H196" s="166"/>
      <c r="I196" s="167"/>
      <c r="J196" s="168" t="s">
        <v>7083</v>
      </c>
      <c r="K196" s="169"/>
      <c r="L196" s="167"/>
      <c r="M196" s="168" t="s">
        <v>7083</v>
      </c>
      <c r="N196" s="169"/>
      <c r="O196" s="167"/>
      <c r="P196" s="168" t="s">
        <v>7083</v>
      </c>
      <c r="Q196" s="169"/>
    </row>
    <row r="197" spans="1:17" ht="22.5" x14ac:dyDescent="0.25">
      <c r="A197" s="177" t="s">
        <v>7439</v>
      </c>
      <c r="B197" s="177" t="s">
        <v>7440</v>
      </c>
      <c r="C197" s="178" t="s">
        <v>378</v>
      </c>
      <c r="D197" s="178" t="s">
        <v>1</v>
      </c>
      <c r="E197" s="179" t="s">
        <v>7193</v>
      </c>
      <c r="F197" s="179">
        <v>70</v>
      </c>
      <c r="G197" s="179">
        <v>30</v>
      </c>
      <c r="H197" s="180">
        <v>0</v>
      </c>
      <c r="I197" s="181">
        <v>170</v>
      </c>
      <c r="J197" s="182">
        <v>657.14</v>
      </c>
      <c r="K197" s="183">
        <f t="shared" si="43"/>
        <v>111713.8</v>
      </c>
      <c r="L197" s="181"/>
      <c r="M197" s="131"/>
      <c r="N197" s="132"/>
      <c r="O197" s="130">
        <f t="shared" ref="O197:O199" si="88">SUM(L197,I197)</f>
        <v>170</v>
      </c>
      <c r="P197" s="131">
        <f t="shared" ref="P197:P199" si="89">IF(M197&lt;&gt;"",M197,J197)</f>
        <v>657.14</v>
      </c>
      <c r="Q197" s="132">
        <f t="shared" ref="Q197:Q199" si="90">ROUND(O197*P197,2)</f>
        <v>111713.8</v>
      </c>
    </row>
    <row r="198" spans="1:17" ht="22.5" x14ac:dyDescent="0.25">
      <c r="A198" s="177" t="s">
        <v>7441</v>
      </c>
      <c r="B198" s="177" t="s">
        <v>7442</v>
      </c>
      <c r="C198" s="178" t="s">
        <v>378</v>
      </c>
      <c r="D198" s="178" t="s">
        <v>1</v>
      </c>
      <c r="E198" s="179" t="s">
        <v>7193</v>
      </c>
      <c r="F198" s="179">
        <v>70</v>
      </c>
      <c r="G198" s="179">
        <v>30</v>
      </c>
      <c r="H198" s="180">
        <v>0</v>
      </c>
      <c r="I198" s="181">
        <v>3</v>
      </c>
      <c r="J198" s="182">
        <v>897.18</v>
      </c>
      <c r="K198" s="183">
        <f t="shared" si="43"/>
        <v>2691.54</v>
      </c>
      <c r="L198" s="181"/>
      <c r="M198" s="131"/>
      <c r="N198" s="132"/>
      <c r="O198" s="130">
        <f t="shared" si="88"/>
        <v>3</v>
      </c>
      <c r="P198" s="131">
        <f t="shared" si="89"/>
        <v>897.18</v>
      </c>
      <c r="Q198" s="132">
        <f t="shared" si="90"/>
        <v>2691.54</v>
      </c>
    </row>
    <row r="199" spans="1:17" ht="22.5" x14ac:dyDescent="0.25">
      <c r="A199" s="177" t="s">
        <v>7443</v>
      </c>
      <c r="B199" s="177" t="s">
        <v>7444</v>
      </c>
      <c r="C199" s="178" t="s">
        <v>378</v>
      </c>
      <c r="D199" s="178" t="s">
        <v>1</v>
      </c>
      <c r="E199" s="179" t="s">
        <v>7193</v>
      </c>
      <c r="F199" s="179">
        <v>70</v>
      </c>
      <c r="G199" s="179">
        <v>30</v>
      </c>
      <c r="H199" s="180">
        <v>0</v>
      </c>
      <c r="I199" s="181">
        <v>3</v>
      </c>
      <c r="J199" s="182">
        <v>730.56</v>
      </c>
      <c r="K199" s="183">
        <f t="shared" si="43"/>
        <v>2191.6799999999998</v>
      </c>
      <c r="L199" s="181"/>
      <c r="M199" s="131"/>
      <c r="N199" s="132"/>
      <c r="O199" s="130">
        <f t="shared" si="88"/>
        <v>3</v>
      </c>
      <c r="P199" s="131">
        <f t="shared" si="89"/>
        <v>730.56</v>
      </c>
      <c r="Q199" s="132">
        <f t="shared" si="90"/>
        <v>2191.6799999999998</v>
      </c>
    </row>
    <row r="200" spans="1:17" x14ac:dyDescent="0.25">
      <c r="A200" s="163" t="s">
        <v>7445</v>
      </c>
      <c r="B200" s="163" t="s">
        <v>7446</v>
      </c>
      <c r="C200" s="164"/>
      <c r="D200" s="164"/>
      <c r="E200" s="165"/>
      <c r="F200" s="165"/>
      <c r="G200" s="165"/>
      <c r="H200" s="166"/>
      <c r="I200" s="167"/>
      <c r="J200" s="168" t="s">
        <v>7083</v>
      </c>
      <c r="K200" s="169"/>
      <c r="L200" s="167"/>
      <c r="M200" s="168" t="s">
        <v>7083</v>
      </c>
      <c r="N200" s="169"/>
      <c r="O200" s="167"/>
      <c r="P200" s="168" t="s">
        <v>7083</v>
      </c>
      <c r="Q200" s="169"/>
    </row>
    <row r="201" spans="1:17" ht="22.5" x14ac:dyDescent="0.25">
      <c r="A201" s="170" t="s">
        <v>7447</v>
      </c>
      <c r="B201" s="170" t="s">
        <v>7448</v>
      </c>
      <c r="C201" s="171"/>
      <c r="D201" s="171"/>
      <c r="E201" s="172"/>
      <c r="F201" s="172"/>
      <c r="G201" s="172"/>
      <c r="H201" s="173"/>
      <c r="I201" s="174"/>
      <c r="J201" s="175" t="s">
        <v>7083</v>
      </c>
      <c r="K201" s="176"/>
      <c r="L201" s="174"/>
      <c r="M201" s="175" t="s">
        <v>7083</v>
      </c>
      <c r="N201" s="176"/>
      <c r="O201" s="174"/>
      <c r="P201" s="175" t="s">
        <v>7083</v>
      </c>
      <c r="Q201" s="176"/>
    </row>
    <row r="202" spans="1:17" ht="22.5" x14ac:dyDescent="0.25">
      <c r="A202" s="177" t="s">
        <v>7449</v>
      </c>
      <c r="B202" s="177" t="s">
        <v>7450</v>
      </c>
      <c r="C202" s="178" t="s">
        <v>460</v>
      </c>
      <c r="D202" s="178" t="s">
        <v>1</v>
      </c>
      <c r="E202" s="179" t="s">
        <v>7193</v>
      </c>
      <c r="F202" s="179">
        <v>70</v>
      </c>
      <c r="G202" s="179">
        <v>60</v>
      </c>
      <c r="H202" s="180">
        <v>10</v>
      </c>
      <c r="I202" s="181">
        <v>2</v>
      </c>
      <c r="J202" s="182">
        <v>701.45</v>
      </c>
      <c r="K202" s="183">
        <f t="shared" ref="K202:K264" si="91">ROUND(I202*J202,2)</f>
        <v>1402.9</v>
      </c>
      <c r="L202" s="181"/>
      <c r="M202" s="131"/>
      <c r="N202" s="132"/>
      <c r="O202" s="130">
        <f>SUM(L202,I202)</f>
        <v>2</v>
      </c>
      <c r="P202" s="131">
        <f>IF(M202&lt;&gt;"",M202,J202)</f>
        <v>701.45</v>
      </c>
      <c r="Q202" s="132">
        <f>ROUND(O202*P202,2)</f>
        <v>1402.9</v>
      </c>
    </row>
    <row r="203" spans="1:17" x14ac:dyDescent="0.25">
      <c r="A203" s="170" t="s">
        <v>7451</v>
      </c>
      <c r="B203" s="170" t="s">
        <v>7452</v>
      </c>
      <c r="C203" s="171"/>
      <c r="D203" s="171"/>
      <c r="E203" s="172"/>
      <c r="F203" s="172"/>
      <c r="G203" s="172"/>
      <c r="H203" s="173"/>
      <c r="I203" s="174"/>
      <c r="J203" s="175" t="s">
        <v>7083</v>
      </c>
      <c r="K203" s="176"/>
      <c r="L203" s="174"/>
      <c r="M203" s="175" t="s">
        <v>7083</v>
      </c>
      <c r="N203" s="176"/>
      <c r="O203" s="174"/>
      <c r="P203" s="175" t="s">
        <v>7083</v>
      </c>
      <c r="Q203" s="176"/>
    </row>
    <row r="204" spans="1:17" ht="22.5" x14ac:dyDescent="0.25">
      <c r="A204" s="177" t="s">
        <v>7453</v>
      </c>
      <c r="B204" s="177" t="s">
        <v>7454</v>
      </c>
      <c r="C204" s="178" t="s">
        <v>460</v>
      </c>
      <c r="D204" s="178" t="s">
        <v>1</v>
      </c>
      <c r="E204" s="179" t="s">
        <v>7193</v>
      </c>
      <c r="F204" s="179">
        <v>70</v>
      </c>
      <c r="G204" s="179">
        <v>60</v>
      </c>
      <c r="H204" s="180">
        <v>10</v>
      </c>
      <c r="I204" s="181">
        <v>2</v>
      </c>
      <c r="J204" s="182">
        <v>711.96</v>
      </c>
      <c r="K204" s="183">
        <f t="shared" si="91"/>
        <v>1423.92</v>
      </c>
      <c r="L204" s="181"/>
      <c r="M204" s="131"/>
      <c r="N204" s="132"/>
      <c r="O204" s="130">
        <f>SUM(L204,I204)</f>
        <v>2</v>
      </c>
      <c r="P204" s="131">
        <f>IF(M204&lt;&gt;"",M204,J204)</f>
        <v>711.96</v>
      </c>
      <c r="Q204" s="132">
        <f>ROUND(O204*P204,2)</f>
        <v>1423.92</v>
      </c>
    </row>
    <row r="205" spans="1:17" x14ac:dyDescent="0.25">
      <c r="A205" s="163" t="s">
        <v>7455</v>
      </c>
      <c r="B205" s="163" t="s">
        <v>7456</v>
      </c>
      <c r="C205" s="164"/>
      <c r="D205" s="164"/>
      <c r="E205" s="165"/>
      <c r="F205" s="165"/>
      <c r="G205" s="165"/>
      <c r="H205" s="166"/>
      <c r="I205" s="167"/>
      <c r="J205" s="168" t="s">
        <v>7083</v>
      </c>
      <c r="K205" s="169"/>
      <c r="L205" s="167"/>
      <c r="M205" s="168" t="s">
        <v>7083</v>
      </c>
      <c r="N205" s="169"/>
      <c r="O205" s="167"/>
      <c r="P205" s="168" t="s">
        <v>7083</v>
      </c>
      <c r="Q205" s="169"/>
    </row>
    <row r="206" spans="1:17" x14ac:dyDescent="0.25">
      <c r="A206" s="170" t="s">
        <v>7457</v>
      </c>
      <c r="B206" s="170" t="s">
        <v>7458</v>
      </c>
      <c r="C206" s="171"/>
      <c r="D206" s="171"/>
      <c r="E206" s="172"/>
      <c r="F206" s="172"/>
      <c r="G206" s="172"/>
      <c r="H206" s="173"/>
      <c r="I206" s="174"/>
      <c r="J206" s="175" t="s">
        <v>7083</v>
      </c>
      <c r="K206" s="176"/>
      <c r="L206" s="174"/>
      <c r="M206" s="175" t="s">
        <v>7083</v>
      </c>
      <c r="N206" s="176"/>
      <c r="O206" s="174"/>
      <c r="P206" s="175" t="s">
        <v>7083</v>
      </c>
      <c r="Q206" s="176"/>
    </row>
    <row r="207" spans="1:17" ht="22.5" x14ac:dyDescent="0.25">
      <c r="A207" s="177" t="s">
        <v>7459</v>
      </c>
      <c r="B207" s="177" t="s">
        <v>7460</v>
      </c>
      <c r="C207" s="178" t="s">
        <v>460</v>
      </c>
      <c r="D207" s="178" t="s">
        <v>1</v>
      </c>
      <c r="E207" s="179" t="s">
        <v>7193</v>
      </c>
      <c r="F207" s="179">
        <v>70</v>
      </c>
      <c r="G207" s="179">
        <v>65</v>
      </c>
      <c r="H207" s="180">
        <v>10</v>
      </c>
      <c r="I207" s="181">
        <v>4</v>
      </c>
      <c r="J207" s="182">
        <v>299.86</v>
      </c>
      <c r="K207" s="183">
        <f t="shared" si="91"/>
        <v>1199.44</v>
      </c>
      <c r="L207" s="181"/>
      <c r="M207" s="131"/>
      <c r="N207" s="132"/>
      <c r="O207" s="130">
        <f t="shared" ref="O207:O208" si="92">SUM(L207,I207)</f>
        <v>4</v>
      </c>
      <c r="P207" s="131">
        <f t="shared" ref="P207:P208" si="93">IF(M207&lt;&gt;"",M207,J207)</f>
        <v>299.86</v>
      </c>
      <c r="Q207" s="132">
        <f t="shared" ref="Q207:Q208" si="94">ROUND(O207*P207,2)</f>
        <v>1199.44</v>
      </c>
    </row>
    <row r="208" spans="1:17" ht="22.5" x14ac:dyDescent="0.25">
      <c r="A208" s="177" t="s">
        <v>7461</v>
      </c>
      <c r="B208" s="177" t="s">
        <v>7462</v>
      </c>
      <c r="C208" s="178" t="s">
        <v>460</v>
      </c>
      <c r="D208" s="178" t="s">
        <v>1</v>
      </c>
      <c r="E208" s="179" t="s">
        <v>7193</v>
      </c>
      <c r="F208" s="179">
        <v>70</v>
      </c>
      <c r="G208" s="179">
        <v>65</v>
      </c>
      <c r="H208" s="180">
        <v>10</v>
      </c>
      <c r="I208" s="181">
        <v>1</v>
      </c>
      <c r="J208" s="182">
        <v>299.86</v>
      </c>
      <c r="K208" s="183">
        <f t="shared" si="91"/>
        <v>299.86</v>
      </c>
      <c r="L208" s="181"/>
      <c r="M208" s="131"/>
      <c r="N208" s="132"/>
      <c r="O208" s="130">
        <f t="shared" si="92"/>
        <v>1</v>
      </c>
      <c r="P208" s="131">
        <f t="shared" si="93"/>
        <v>299.86</v>
      </c>
      <c r="Q208" s="132">
        <f t="shared" si="94"/>
        <v>299.86</v>
      </c>
    </row>
    <row r="209" spans="1:17" x14ac:dyDescent="0.25">
      <c r="A209" s="170" t="s">
        <v>7463</v>
      </c>
      <c r="B209" s="170" t="s">
        <v>7464</v>
      </c>
      <c r="C209" s="171"/>
      <c r="D209" s="171"/>
      <c r="E209" s="172"/>
      <c r="F209" s="172"/>
      <c r="G209" s="172"/>
      <c r="H209" s="173"/>
      <c r="I209" s="174"/>
      <c r="J209" s="175" t="s">
        <v>7083</v>
      </c>
      <c r="K209" s="176"/>
      <c r="L209" s="174"/>
      <c r="M209" s="175" t="s">
        <v>7083</v>
      </c>
      <c r="N209" s="176"/>
      <c r="O209" s="174"/>
      <c r="P209" s="175" t="s">
        <v>7083</v>
      </c>
      <c r="Q209" s="176"/>
    </row>
    <row r="210" spans="1:17" x14ac:dyDescent="0.25">
      <c r="A210" s="177" t="s">
        <v>7465</v>
      </c>
      <c r="B210" s="177" t="s">
        <v>7466</v>
      </c>
      <c r="C210" s="178" t="s">
        <v>460</v>
      </c>
      <c r="D210" s="178" t="s">
        <v>1</v>
      </c>
      <c r="E210" s="179" t="s">
        <v>7193</v>
      </c>
      <c r="F210" s="179">
        <v>70</v>
      </c>
      <c r="G210" s="179">
        <v>65</v>
      </c>
      <c r="H210" s="180">
        <v>10</v>
      </c>
      <c r="I210" s="181">
        <v>1</v>
      </c>
      <c r="J210" s="182">
        <v>237.7</v>
      </c>
      <c r="K210" s="183">
        <f t="shared" si="91"/>
        <v>237.7</v>
      </c>
      <c r="L210" s="181"/>
      <c r="M210" s="131"/>
      <c r="N210" s="132"/>
      <c r="O210" s="130">
        <f t="shared" ref="O210:O214" si="95">SUM(L210,I210)</f>
        <v>1</v>
      </c>
      <c r="P210" s="131">
        <f t="shared" ref="P210:P214" si="96">IF(M210&lt;&gt;"",M210,J210)</f>
        <v>237.7</v>
      </c>
      <c r="Q210" s="132">
        <f t="shared" ref="Q210:Q214" si="97">ROUND(O210*P210,2)</f>
        <v>237.7</v>
      </c>
    </row>
    <row r="211" spans="1:17" x14ac:dyDescent="0.25">
      <c r="A211" s="177" t="s">
        <v>7467</v>
      </c>
      <c r="B211" s="177" t="s">
        <v>7468</v>
      </c>
      <c r="C211" s="178" t="s">
        <v>460</v>
      </c>
      <c r="D211" s="178" t="s">
        <v>1</v>
      </c>
      <c r="E211" s="179" t="s">
        <v>7193</v>
      </c>
      <c r="F211" s="179">
        <v>70</v>
      </c>
      <c r="G211" s="179">
        <v>65</v>
      </c>
      <c r="H211" s="180">
        <v>10</v>
      </c>
      <c r="I211" s="181">
        <v>5</v>
      </c>
      <c r="J211" s="182">
        <v>335.98</v>
      </c>
      <c r="K211" s="183">
        <f t="shared" si="91"/>
        <v>1679.9</v>
      </c>
      <c r="L211" s="181"/>
      <c r="M211" s="131"/>
      <c r="N211" s="132"/>
      <c r="O211" s="130">
        <f t="shared" si="95"/>
        <v>5</v>
      </c>
      <c r="P211" s="131">
        <f t="shared" si="96"/>
        <v>335.98</v>
      </c>
      <c r="Q211" s="132">
        <f t="shared" si="97"/>
        <v>1679.9</v>
      </c>
    </row>
    <row r="212" spans="1:17" x14ac:dyDescent="0.25">
      <c r="A212" s="177" t="s">
        <v>7469</v>
      </c>
      <c r="B212" s="177" t="s">
        <v>7470</v>
      </c>
      <c r="C212" s="178" t="s">
        <v>460</v>
      </c>
      <c r="D212" s="178" t="s">
        <v>1</v>
      </c>
      <c r="E212" s="179" t="s">
        <v>7193</v>
      </c>
      <c r="F212" s="179">
        <v>70</v>
      </c>
      <c r="G212" s="179">
        <v>65</v>
      </c>
      <c r="H212" s="180">
        <v>10</v>
      </c>
      <c r="I212" s="181">
        <v>9</v>
      </c>
      <c r="J212" s="182">
        <v>335.98</v>
      </c>
      <c r="K212" s="183">
        <f t="shared" si="91"/>
        <v>3023.82</v>
      </c>
      <c r="L212" s="181"/>
      <c r="M212" s="131"/>
      <c r="N212" s="132"/>
      <c r="O212" s="130">
        <f t="shared" si="95"/>
        <v>9</v>
      </c>
      <c r="P212" s="131">
        <f t="shared" si="96"/>
        <v>335.98</v>
      </c>
      <c r="Q212" s="132">
        <f t="shared" si="97"/>
        <v>3023.82</v>
      </c>
    </row>
    <row r="213" spans="1:17" ht="22.5" x14ac:dyDescent="0.25">
      <c r="A213" s="177" t="s">
        <v>7471</v>
      </c>
      <c r="B213" s="177" t="s">
        <v>7472</v>
      </c>
      <c r="C213" s="178" t="s">
        <v>460</v>
      </c>
      <c r="D213" s="178" t="s">
        <v>1</v>
      </c>
      <c r="E213" s="179" t="s">
        <v>7193</v>
      </c>
      <c r="F213" s="179">
        <v>70</v>
      </c>
      <c r="G213" s="179">
        <v>65</v>
      </c>
      <c r="H213" s="180">
        <v>10</v>
      </c>
      <c r="I213" s="181">
        <v>2</v>
      </c>
      <c r="J213" s="182">
        <v>668.52</v>
      </c>
      <c r="K213" s="183">
        <f t="shared" si="91"/>
        <v>1337.04</v>
      </c>
      <c r="L213" s="181"/>
      <c r="M213" s="131"/>
      <c r="N213" s="132"/>
      <c r="O213" s="130">
        <f t="shared" si="95"/>
        <v>2</v>
      </c>
      <c r="P213" s="131">
        <f t="shared" si="96"/>
        <v>668.52</v>
      </c>
      <c r="Q213" s="132">
        <f t="shared" si="97"/>
        <v>1337.04</v>
      </c>
    </row>
    <row r="214" spans="1:17" ht="22.5" x14ac:dyDescent="0.25">
      <c r="A214" s="177" t="s">
        <v>7473</v>
      </c>
      <c r="B214" s="177" t="s">
        <v>7474</v>
      </c>
      <c r="C214" s="178" t="s">
        <v>460</v>
      </c>
      <c r="D214" s="178" t="s">
        <v>1</v>
      </c>
      <c r="E214" s="179" t="s">
        <v>7193</v>
      </c>
      <c r="F214" s="179">
        <v>70</v>
      </c>
      <c r="G214" s="179">
        <v>65</v>
      </c>
      <c r="H214" s="180">
        <v>10</v>
      </c>
      <c r="I214" s="181">
        <v>1</v>
      </c>
      <c r="J214" s="182">
        <v>745.69</v>
      </c>
      <c r="K214" s="183">
        <f t="shared" si="91"/>
        <v>745.69</v>
      </c>
      <c r="L214" s="181">
        <v>1</v>
      </c>
      <c r="M214" s="131">
        <f>J214</f>
        <v>745.69</v>
      </c>
      <c r="N214" s="183">
        <f t="shared" ref="N214" si="98">ROUND(L214*M214,2)</f>
        <v>745.69</v>
      </c>
      <c r="O214" s="130">
        <f t="shared" si="95"/>
        <v>2</v>
      </c>
      <c r="P214" s="131">
        <f t="shared" si="96"/>
        <v>745.69</v>
      </c>
      <c r="Q214" s="132">
        <f t="shared" si="97"/>
        <v>1491.38</v>
      </c>
    </row>
    <row r="215" spans="1:17" x14ac:dyDescent="0.25">
      <c r="A215" s="170" t="s">
        <v>7475</v>
      </c>
      <c r="B215" s="170" t="s">
        <v>7476</v>
      </c>
      <c r="C215" s="171"/>
      <c r="D215" s="171"/>
      <c r="E215" s="172"/>
      <c r="F215" s="172"/>
      <c r="G215" s="172"/>
      <c r="H215" s="173"/>
      <c r="I215" s="174"/>
      <c r="J215" s="175" t="s">
        <v>7083</v>
      </c>
      <c r="K215" s="176"/>
      <c r="L215" s="174"/>
      <c r="M215" s="175" t="s">
        <v>7083</v>
      </c>
      <c r="N215" s="176"/>
      <c r="O215" s="174"/>
      <c r="P215" s="175" t="s">
        <v>7083</v>
      </c>
      <c r="Q215" s="176"/>
    </row>
    <row r="216" spans="1:17" x14ac:dyDescent="0.25">
      <c r="A216" s="177" t="s">
        <v>7477</v>
      </c>
      <c r="B216" s="177" t="s">
        <v>7478</v>
      </c>
      <c r="C216" s="178" t="s">
        <v>911</v>
      </c>
      <c r="D216" s="178" t="s">
        <v>1</v>
      </c>
      <c r="E216" s="179" t="s">
        <v>7193</v>
      </c>
      <c r="F216" s="179">
        <v>70</v>
      </c>
      <c r="G216" s="179">
        <v>65</v>
      </c>
      <c r="H216" s="180">
        <v>40</v>
      </c>
      <c r="I216" s="181">
        <v>5</v>
      </c>
      <c r="J216" s="182">
        <v>813.69</v>
      </c>
      <c r="K216" s="183">
        <f t="shared" si="91"/>
        <v>4068.45</v>
      </c>
      <c r="L216" s="181">
        <v>1</v>
      </c>
      <c r="M216" s="131">
        <f>J216</f>
        <v>813.69</v>
      </c>
      <c r="N216" s="183">
        <f t="shared" ref="N216" si="99">ROUND(L216*M216,2)</f>
        <v>813.69</v>
      </c>
      <c r="O216" s="130">
        <f t="shared" ref="O216:O217" si="100">SUM(L216,I216)</f>
        <v>6</v>
      </c>
      <c r="P216" s="131">
        <f t="shared" ref="P216:P217" si="101">IF(M216&lt;&gt;"",M216,J216)</f>
        <v>813.69</v>
      </c>
      <c r="Q216" s="132">
        <f t="shared" ref="Q216:Q217" si="102">ROUND(O216*P216,2)</f>
        <v>4882.1400000000003</v>
      </c>
    </row>
    <row r="217" spans="1:17" x14ac:dyDescent="0.25">
      <c r="A217" s="177" t="s">
        <v>7479</v>
      </c>
      <c r="B217" s="177" t="s">
        <v>7480</v>
      </c>
      <c r="C217" s="178" t="s">
        <v>460</v>
      </c>
      <c r="D217" s="178" t="s">
        <v>1</v>
      </c>
      <c r="E217" s="179" t="s">
        <v>7193</v>
      </c>
      <c r="F217" s="179">
        <v>70</v>
      </c>
      <c r="G217" s="179">
        <v>65</v>
      </c>
      <c r="H217" s="180">
        <v>40</v>
      </c>
      <c r="I217" s="181">
        <v>5</v>
      </c>
      <c r="J217" s="182">
        <v>686.51</v>
      </c>
      <c r="K217" s="183">
        <f t="shared" si="91"/>
        <v>3432.55</v>
      </c>
      <c r="L217" s="181"/>
      <c r="M217" s="131"/>
      <c r="N217" s="132"/>
      <c r="O217" s="130">
        <f t="shared" si="100"/>
        <v>5</v>
      </c>
      <c r="P217" s="131">
        <f t="shared" si="101"/>
        <v>686.51</v>
      </c>
      <c r="Q217" s="132">
        <f t="shared" si="102"/>
        <v>3432.55</v>
      </c>
    </row>
    <row r="218" spans="1:17" ht="22.5" x14ac:dyDescent="0.25">
      <c r="A218" s="163" t="s">
        <v>7481</v>
      </c>
      <c r="B218" s="163" t="s">
        <v>7482</v>
      </c>
      <c r="C218" s="164"/>
      <c r="D218" s="164"/>
      <c r="E218" s="165"/>
      <c r="F218" s="165"/>
      <c r="G218" s="165"/>
      <c r="H218" s="166"/>
      <c r="I218" s="167"/>
      <c r="J218" s="168" t="s">
        <v>7083</v>
      </c>
      <c r="K218" s="169"/>
      <c r="L218" s="167"/>
      <c r="M218" s="168" t="s">
        <v>7083</v>
      </c>
      <c r="N218" s="169"/>
      <c r="O218" s="167"/>
      <c r="P218" s="168" t="s">
        <v>7083</v>
      </c>
      <c r="Q218" s="169"/>
    </row>
    <row r="219" spans="1:17" x14ac:dyDescent="0.25">
      <c r="A219" s="177" t="s">
        <v>7483</v>
      </c>
      <c r="B219" s="177" t="s">
        <v>7484</v>
      </c>
      <c r="C219" s="178" t="s">
        <v>378</v>
      </c>
      <c r="D219" s="178" t="s">
        <v>1</v>
      </c>
      <c r="E219" s="179" t="s">
        <v>7193</v>
      </c>
      <c r="F219" s="179">
        <v>70</v>
      </c>
      <c r="G219" s="179">
        <v>70</v>
      </c>
      <c r="H219" s="180">
        <v>20</v>
      </c>
      <c r="I219" s="181">
        <v>250</v>
      </c>
      <c r="J219" s="182">
        <v>51.54</v>
      </c>
      <c r="K219" s="183">
        <f t="shared" si="91"/>
        <v>12885</v>
      </c>
      <c r="L219" s="181"/>
      <c r="M219" s="131"/>
      <c r="N219" s="132"/>
      <c r="O219" s="130">
        <f t="shared" ref="O219:O224" si="103">SUM(L219,I219)</f>
        <v>250</v>
      </c>
      <c r="P219" s="131">
        <f t="shared" ref="P219:P224" si="104">IF(M219&lt;&gt;"",M219,J219)</f>
        <v>51.54</v>
      </c>
      <c r="Q219" s="132">
        <f t="shared" ref="Q219:Q224" si="105">ROUND(O219*P219,2)</f>
        <v>12885</v>
      </c>
    </row>
    <row r="220" spans="1:17" x14ac:dyDescent="0.25">
      <c r="A220" s="177" t="s">
        <v>7485</v>
      </c>
      <c r="B220" s="177" t="s">
        <v>7486</v>
      </c>
      <c r="C220" s="178" t="s">
        <v>378</v>
      </c>
      <c r="D220" s="178" t="s">
        <v>1</v>
      </c>
      <c r="E220" s="179" t="s">
        <v>7193</v>
      </c>
      <c r="F220" s="179">
        <v>70</v>
      </c>
      <c r="G220" s="179">
        <v>70</v>
      </c>
      <c r="H220" s="180">
        <v>20</v>
      </c>
      <c r="I220" s="181">
        <v>150</v>
      </c>
      <c r="J220" s="182">
        <v>67.34</v>
      </c>
      <c r="K220" s="183">
        <f t="shared" si="91"/>
        <v>10101</v>
      </c>
      <c r="L220" s="181"/>
      <c r="M220" s="131"/>
      <c r="N220" s="132"/>
      <c r="O220" s="130">
        <f t="shared" si="103"/>
        <v>150</v>
      </c>
      <c r="P220" s="131">
        <f t="shared" si="104"/>
        <v>67.34</v>
      </c>
      <c r="Q220" s="132">
        <f t="shared" si="105"/>
        <v>10101</v>
      </c>
    </row>
    <row r="221" spans="1:17" x14ac:dyDescent="0.25">
      <c r="A221" s="177" t="s">
        <v>7487</v>
      </c>
      <c r="B221" s="177" t="s">
        <v>7488</v>
      </c>
      <c r="C221" s="178" t="s">
        <v>378</v>
      </c>
      <c r="D221" s="178" t="s">
        <v>1</v>
      </c>
      <c r="E221" s="179" t="s">
        <v>7193</v>
      </c>
      <c r="F221" s="179">
        <v>70</v>
      </c>
      <c r="G221" s="179">
        <v>70</v>
      </c>
      <c r="H221" s="180">
        <v>20</v>
      </c>
      <c r="I221" s="181">
        <v>20</v>
      </c>
      <c r="J221" s="182">
        <v>83.92</v>
      </c>
      <c r="K221" s="183">
        <f t="shared" si="91"/>
        <v>1678.4</v>
      </c>
      <c r="L221" s="181"/>
      <c r="M221" s="131"/>
      <c r="N221" s="132"/>
      <c r="O221" s="130">
        <f t="shared" si="103"/>
        <v>20</v>
      </c>
      <c r="P221" s="131">
        <f t="shared" si="104"/>
        <v>83.92</v>
      </c>
      <c r="Q221" s="132">
        <f t="shared" si="105"/>
        <v>1678.4</v>
      </c>
    </row>
    <row r="222" spans="1:17" x14ac:dyDescent="0.25">
      <c r="A222" s="177" t="s">
        <v>7489</v>
      </c>
      <c r="B222" s="177" t="s">
        <v>7490</v>
      </c>
      <c r="C222" s="178" t="s">
        <v>911</v>
      </c>
      <c r="D222" s="178" t="s">
        <v>1</v>
      </c>
      <c r="E222" s="179" t="s">
        <v>7193</v>
      </c>
      <c r="F222" s="179">
        <v>70</v>
      </c>
      <c r="G222" s="179">
        <v>70</v>
      </c>
      <c r="H222" s="180">
        <v>20</v>
      </c>
      <c r="I222" s="181">
        <v>2</v>
      </c>
      <c r="J222" s="182">
        <v>800.43</v>
      </c>
      <c r="K222" s="183">
        <f t="shared" si="91"/>
        <v>1600.86</v>
      </c>
      <c r="L222" s="181"/>
      <c r="M222" s="131"/>
      <c r="N222" s="132"/>
      <c r="O222" s="130">
        <f t="shared" si="103"/>
        <v>2</v>
      </c>
      <c r="P222" s="131">
        <f t="shared" si="104"/>
        <v>800.43</v>
      </c>
      <c r="Q222" s="132">
        <f t="shared" si="105"/>
        <v>1600.86</v>
      </c>
    </row>
    <row r="223" spans="1:17" x14ac:dyDescent="0.25">
      <c r="A223" s="177" t="s">
        <v>7491</v>
      </c>
      <c r="B223" s="177" t="s">
        <v>7492</v>
      </c>
      <c r="C223" s="178" t="s">
        <v>911</v>
      </c>
      <c r="D223" s="178" t="s">
        <v>1</v>
      </c>
      <c r="E223" s="179" t="s">
        <v>7193</v>
      </c>
      <c r="F223" s="179">
        <v>70</v>
      </c>
      <c r="G223" s="179">
        <v>70</v>
      </c>
      <c r="H223" s="180">
        <v>20</v>
      </c>
      <c r="I223" s="181">
        <v>4</v>
      </c>
      <c r="J223" s="182">
        <v>827.58</v>
      </c>
      <c r="K223" s="183">
        <f t="shared" si="91"/>
        <v>3310.32</v>
      </c>
      <c r="L223" s="181"/>
      <c r="M223" s="131"/>
      <c r="N223" s="132"/>
      <c r="O223" s="130">
        <f t="shared" si="103"/>
        <v>4</v>
      </c>
      <c r="P223" s="131">
        <f t="shared" si="104"/>
        <v>827.58</v>
      </c>
      <c r="Q223" s="132">
        <f t="shared" si="105"/>
        <v>3310.32</v>
      </c>
    </row>
    <row r="224" spans="1:17" ht="22.5" x14ac:dyDescent="0.25">
      <c r="A224" s="177" t="s">
        <v>7493</v>
      </c>
      <c r="B224" s="177" t="s">
        <v>7494</v>
      </c>
      <c r="C224" s="178" t="s">
        <v>460</v>
      </c>
      <c r="D224" s="178" t="s">
        <v>1</v>
      </c>
      <c r="E224" s="179" t="s">
        <v>7193</v>
      </c>
      <c r="F224" s="179">
        <v>70</v>
      </c>
      <c r="G224" s="179">
        <v>70</v>
      </c>
      <c r="H224" s="180">
        <v>20</v>
      </c>
      <c r="I224" s="181">
        <v>30</v>
      </c>
      <c r="J224" s="182">
        <v>167.46</v>
      </c>
      <c r="K224" s="183">
        <f t="shared" si="91"/>
        <v>5023.8</v>
      </c>
      <c r="L224" s="181"/>
      <c r="M224" s="131"/>
      <c r="N224" s="132"/>
      <c r="O224" s="130">
        <f t="shared" si="103"/>
        <v>30</v>
      </c>
      <c r="P224" s="131">
        <f t="shared" si="104"/>
        <v>167.46</v>
      </c>
      <c r="Q224" s="132">
        <f t="shared" si="105"/>
        <v>5023.8</v>
      </c>
    </row>
    <row r="225" spans="1:17" x14ac:dyDescent="0.25">
      <c r="A225" s="159" t="s">
        <v>7495</v>
      </c>
      <c r="B225" s="159" t="s">
        <v>7496</v>
      </c>
      <c r="C225" s="160"/>
      <c r="D225" s="160"/>
      <c r="E225" s="161"/>
      <c r="F225" s="105"/>
      <c r="G225" s="105"/>
      <c r="H225" s="106"/>
      <c r="I225" s="162"/>
      <c r="J225" s="108" t="s">
        <v>7083</v>
      </c>
      <c r="K225" s="109"/>
      <c r="L225" s="162"/>
      <c r="M225" s="108" t="s">
        <v>7083</v>
      </c>
      <c r="N225" s="109"/>
      <c r="O225" s="162"/>
      <c r="P225" s="108" t="s">
        <v>7083</v>
      </c>
      <c r="Q225" s="109"/>
    </row>
    <row r="226" spans="1:17" x14ac:dyDescent="0.25">
      <c r="A226" s="133" t="s">
        <v>7497</v>
      </c>
      <c r="B226" s="133" t="s">
        <v>7498</v>
      </c>
      <c r="C226" s="134"/>
      <c r="D226" s="134"/>
      <c r="E226" s="135"/>
      <c r="F226" s="136"/>
      <c r="G226" s="136"/>
      <c r="H226" s="137"/>
      <c r="I226" s="138"/>
      <c r="J226" s="139" t="s">
        <v>7083</v>
      </c>
      <c r="K226" s="140"/>
      <c r="L226" s="138"/>
      <c r="M226" s="139" t="s">
        <v>7083</v>
      </c>
      <c r="N226" s="140"/>
      <c r="O226" s="138"/>
      <c r="P226" s="139" t="s">
        <v>7083</v>
      </c>
      <c r="Q226" s="140"/>
    </row>
    <row r="227" spans="1:17" x14ac:dyDescent="0.25">
      <c r="A227" s="163" t="s">
        <v>7499</v>
      </c>
      <c r="B227" s="163" t="s">
        <v>7500</v>
      </c>
      <c r="C227" s="164"/>
      <c r="D227" s="164"/>
      <c r="E227" s="165"/>
      <c r="F227" s="165"/>
      <c r="G227" s="165"/>
      <c r="H227" s="166"/>
      <c r="I227" s="167"/>
      <c r="J227" s="168" t="s">
        <v>7083</v>
      </c>
      <c r="K227" s="169"/>
      <c r="L227" s="167"/>
      <c r="M227" s="168" t="s">
        <v>7083</v>
      </c>
      <c r="N227" s="169"/>
      <c r="O227" s="167"/>
      <c r="P227" s="168" t="s">
        <v>7083</v>
      </c>
      <c r="Q227" s="169"/>
    </row>
    <row r="228" spans="1:17" x14ac:dyDescent="0.25">
      <c r="A228" s="170" t="s">
        <v>343</v>
      </c>
      <c r="B228" s="170" t="s">
        <v>7501</v>
      </c>
      <c r="C228" s="171"/>
      <c r="D228" s="171"/>
      <c r="E228" s="172"/>
      <c r="F228" s="172"/>
      <c r="G228" s="172"/>
      <c r="H228" s="173"/>
      <c r="I228" s="174"/>
      <c r="J228" s="175" t="s">
        <v>7083</v>
      </c>
      <c r="K228" s="176"/>
      <c r="L228" s="174"/>
      <c r="M228" s="175" t="s">
        <v>7083</v>
      </c>
      <c r="N228" s="176"/>
      <c r="O228" s="174"/>
      <c r="P228" s="175" t="s">
        <v>7083</v>
      </c>
      <c r="Q228" s="176"/>
    </row>
    <row r="229" spans="1:17" ht="22.5" x14ac:dyDescent="0.25">
      <c r="A229" s="177" t="s">
        <v>7502</v>
      </c>
      <c r="B229" s="177" t="s">
        <v>7503</v>
      </c>
      <c r="C229" s="178" t="s">
        <v>911</v>
      </c>
      <c r="D229" s="178" t="s">
        <v>1</v>
      </c>
      <c r="E229" s="179" t="s">
        <v>7504</v>
      </c>
      <c r="F229" s="179">
        <v>10</v>
      </c>
      <c r="G229" s="179">
        <v>10</v>
      </c>
      <c r="H229" s="180">
        <v>0</v>
      </c>
      <c r="I229" s="181">
        <v>1</v>
      </c>
      <c r="J229" s="182">
        <v>32932.15</v>
      </c>
      <c r="K229" s="183">
        <f t="shared" si="91"/>
        <v>32932.15</v>
      </c>
      <c r="L229" s="181"/>
      <c r="M229" s="131"/>
      <c r="N229" s="132"/>
      <c r="O229" s="130">
        <f>SUM(L229,I229)</f>
        <v>1</v>
      </c>
      <c r="P229" s="131">
        <f>IF(M229&lt;&gt;"",M229,J229)</f>
        <v>32932.15</v>
      </c>
      <c r="Q229" s="132">
        <f>ROUND(O229*P229,2)</f>
        <v>32932.15</v>
      </c>
    </row>
    <row r="230" spans="1:17" x14ac:dyDescent="0.25">
      <c r="A230" s="163" t="s">
        <v>7505</v>
      </c>
      <c r="B230" s="163" t="s">
        <v>7506</v>
      </c>
      <c r="C230" s="164"/>
      <c r="D230" s="164"/>
      <c r="E230" s="165"/>
      <c r="F230" s="165"/>
      <c r="G230" s="165"/>
      <c r="H230" s="166"/>
      <c r="I230" s="167"/>
      <c r="J230" s="168" t="s">
        <v>7083</v>
      </c>
      <c r="K230" s="169"/>
      <c r="L230" s="167"/>
      <c r="M230" s="168" t="s">
        <v>7083</v>
      </c>
      <c r="N230" s="169"/>
      <c r="O230" s="167"/>
      <c r="P230" s="168" t="s">
        <v>7083</v>
      </c>
      <c r="Q230" s="169"/>
    </row>
    <row r="231" spans="1:17" x14ac:dyDescent="0.25">
      <c r="A231" s="170" t="s">
        <v>349</v>
      </c>
      <c r="B231" s="170" t="s">
        <v>7507</v>
      </c>
      <c r="C231" s="171"/>
      <c r="D231" s="171"/>
      <c r="E231" s="172"/>
      <c r="F231" s="172"/>
      <c r="G231" s="172"/>
      <c r="H231" s="173"/>
      <c r="I231" s="174"/>
      <c r="J231" s="175" t="s">
        <v>7083</v>
      </c>
      <c r="K231" s="176"/>
      <c r="L231" s="174"/>
      <c r="M231" s="175" t="s">
        <v>7083</v>
      </c>
      <c r="N231" s="176"/>
      <c r="O231" s="174"/>
      <c r="P231" s="175" t="s">
        <v>7083</v>
      </c>
      <c r="Q231" s="176"/>
    </row>
    <row r="232" spans="1:17" ht="33.75" x14ac:dyDescent="0.25">
      <c r="A232" s="207" t="s">
        <v>7508</v>
      </c>
      <c r="B232" s="207" t="s">
        <v>7509</v>
      </c>
      <c r="C232" s="208" t="s">
        <v>911</v>
      </c>
      <c r="D232" s="208" t="s">
        <v>1</v>
      </c>
      <c r="E232" s="209" t="s">
        <v>7504</v>
      </c>
      <c r="F232" s="209">
        <v>10</v>
      </c>
      <c r="G232" s="209">
        <v>30</v>
      </c>
      <c r="H232" s="180">
        <v>0</v>
      </c>
      <c r="I232" s="210">
        <v>1</v>
      </c>
      <c r="J232" s="211">
        <v>1445097.19</v>
      </c>
      <c r="K232" s="212">
        <f t="shared" si="91"/>
        <v>1445097.19</v>
      </c>
      <c r="L232" s="210"/>
      <c r="M232" s="131"/>
      <c r="N232" s="132"/>
      <c r="O232" s="130">
        <f t="shared" ref="O232:O233" si="106">SUM(L232,I232)</f>
        <v>1</v>
      </c>
      <c r="P232" s="131">
        <f t="shared" ref="P232:P233" si="107">IF(M232&lt;&gt;"",M232,J232)</f>
        <v>1445097.19</v>
      </c>
      <c r="Q232" s="132">
        <f t="shared" ref="Q232:Q233" si="108">ROUND(O232*P232,2)</f>
        <v>1445097.19</v>
      </c>
    </row>
    <row r="233" spans="1:17" ht="33.75" x14ac:dyDescent="0.25">
      <c r="A233" s="207" t="s">
        <v>7510</v>
      </c>
      <c r="B233" s="207" t="s">
        <v>7511</v>
      </c>
      <c r="C233" s="208" t="s">
        <v>911</v>
      </c>
      <c r="D233" s="208" t="s">
        <v>1</v>
      </c>
      <c r="E233" s="209" t="s">
        <v>7504</v>
      </c>
      <c r="F233" s="209">
        <v>10</v>
      </c>
      <c r="G233" s="209">
        <v>30</v>
      </c>
      <c r="H233" s="180">
        <v>0</v>
      </c>
      <c r="I233" s="210">
        <v>1</v>
      </c>
      <c r="J233" s="211">
        <v>1819476.57</v>
      </c>
      <c r="K233" s="212">
        <f t="shared" si="91"/>
        <v>1819476.57</v>
      </c>
      <c r="L233" s="210"/>
      <c r="M233" s="131"/>
      <c r="N233" s="132"/>
      <c r="O233" s="130">
        <f t="shared" si="106"/>
        <v>1</v>
      </c>
      <c r="P233" s="131">
        <f t="shared" si="107"/>
        <v>1819476.57</v>
      </c>
      <c r="Q233" s="132">
        <f t="shared" si="108"/>
        <v>1819476.57</v>
      </c>
    </row>
    <row r="234" spans="1:17" x14ac:dyDescent="0.25">
      <c r="A234" s="170" t="s">
        <v>351</v>
      </c>
      <c r="B234" s="170" t="s">
        <v>7512</v>
      </c>
      <c r="C234" s="171"/>
      <c r="D234" s="171"/>
      <c r="E234" s="172"/>
      <c r="F234" s="172"/>
      <c r="G234" s="172"/>
      <c r="H234" s="173"/>
      <c r="I234" s="174"/>
      <c r="J234" s="175" t="s">
        <v>7083</v>
      </c>
      <c r="K234" s="176"/>
      <c r="L234" s="174"/>
      <c r="M234" s="175" t="s">
        <v>7083</v>
      </c>
      <c r="N234" s="176"/>
      <c r="O234" s="174"/>
      <c r="P234" s="175" t="s">
        <v>7083</v>
      </c>
      <c r="Q234" s="176"/>
    </row>
    <row r="235" spans="1:17" ht="33.75" x14ac:dyDescent="0.25">
      <c r="A235" s="207" t="s">
        <v>7513</v>
      </c>
      <c r="B235" s="207" t="s">
        <v>7514</v>
      </c>
      <c r="C235" s="208" t="s">
        <v>911</v>
      </c>
      <c r="D235" s="208" t="s">
        <v>1</v>
      </c>
      <c r="E235" s="209" t="s">
        <v>7504</v>
      </c>
      <c r="F235" s="209">
        <v>10</v>
      </c>
      <c r="G235" s="209">
        <v>30</v>
      </c>
      <c r="H235" s="180">
        <v>0</v>
      </c>
      <c r="I235" s="210">
        <v>1</v>
      </c>
      <c r="J235" s="211">
        <v>76202.259999999995</v>
      </c>
      <c r="K235" s="212">
        <f t="shared" si="91"/>
        <v>76202.259999999995</v>
      </c>
      <c r="L235" s="210"/>
      <c r="M235" s="131"/>
      <c r="N235" s="132"/>
      <c r="O235" s="130">
        <f>SUM(L235,I235)</f>
        <v>1</v>
      </c>
      <c r="P235" s="131">
        <f>IF(M235&lt;&gt;"",M235,J235)</f>
        <v>76202.259999999995</v>
      </c>
      <c r="Q235" s="132">
        <f>ROUND(O235*P235,2)</f>
        <v>76202.259999999995</v>
      </c>
    </row>
    <row r="236" spans="1:17" x14ac:dyDescent="0.25">
      <c r="A236" s="170" t="s">
        <v>353</v>
      </c>
      <c r="B236" s="170" t="s">
        <v>7515</v>
      </c>
      <c r="C236" s="171"/>
      <c r="D236" s="171"/>
      <c r="E236" s="172"/>
      <c r="F236" s="172"/>
      <c r="G236" s="172"/>
      <c r="H236" s="173"/>
      <c r="I236" s="174"/>
      <c r="J236" s="175" t="s">
        <v>7083</v>
      </c>
      <c r="K236" s="176"/>
      <c r="L236" s="174"/>
      <c r="M236" s="175" t="s">
        <v>7083</v>
      </c>
      <c r="N236" s="176"/>
      <c r="O236" s="174"/>
      <c r="P236" s="175" t="s">
        <v>7083</v>
      </c>
      <c r="Q236" s="176"/>
    </row>
    <row r="237" spans="1:17" ht="33.75" x14ac:dyDescent="0.25">
      <c r="A237" s="177" t="s">
        <v>7516</v>
      </c>
      <c r="B237" s="177" t="s">
        <v>7517</v>
      </c>
      <c r="C237" s="178" t="s">
        <v>911</v>
      </c>
      <c r="D237" s="178" t="s">
        <v>1</v>
      </c>
      <c r="E237" s="179" t="s">
        <v>7504</v>
      </c>
      <c r="F237" s="179">
        <v>10</v>
      </c>
      <c r="G237" s="179">
        <v>30</v>
      </c>
      <c r="H237" s="180">
        <v>0</v>
      </c>
      <c r="I237" s="181">
        <v>1</v>
      </c>
      <c r="J237" s="182">
        <v>156885.65</v>
      </c>
      <c r="K237" s="183">
        <f t="shared" si="91"/>
        <v>156885.65</v>
      </c>
      <c r="L237" s="181"/>
      <c r="M237" s="131"/>
      <c r="N237" s="132"/>
      <c r="O237" s="130">
        <f>SUM(L237,I237)</f>
        <v>1</v>
      </c>
      <c r="P237" s="131">
        <f>IF(M237&lt;&gt;"",M237,J237)</f>
        <v>156885.65</v>
      </c>
      <c r="Q237" s="132">
        <f>ROUND(O237*P237,2)</f>
        <v>156885.65</v>
      </c>
    </row>
    <row r="238" spans="1:17" x14ac:dyDescent="0.25">
      <c r="A238" s="163" t="s">
        <v>7518</v>
      </c>
      <c r="B238" s="163" t="s">
        <v>7519</v>
      </c>
      <c r="C238" s="164"/>
      <c r="D238" s="164"/>
      <c r="E238" s="165"/>
      <c r="F238" s="165"/>
      <c r="G238" s="165"/>
      <c r="H238" s="166"/>
      <c r="I238" s="167"/>
      <c r="J238" s="168" t="s">
        <v>7083</v>
      </c>
      <c r="K238" s="169"/>
      <c r="L238" s="167"/>
      <c r="M238" s="168" t="s">
        <v>7083</v>
      </c>
      <c r="N238" s="169"/>
      <c r="O238" s="167"/>
      <c r="P238" s="168" t="s">
        <v>7083</v>
      </c>
      <c r="Q238" s="169"/>
    </row>
    <row r="239" spans="1:17" x14ac:dyDescent="0.25">
      <c r="A239" s="170" t="s">
        <v>357</v>
      </c>
      <c r="B239" s="170" t="s">
        <v>7520</v>
      </c>
      <c r="C239" s="171"/>
      <c r="D239" s="171"/>
      <c r="E239" s="172"/>
      <c r="F239" s="172"/>
      <c r="G239" s="172"/>
      <c r="H239" s="173"/>
      <c r="I239" s="174"/>
      <c r="J239" s="175" t="s">
        <v>7083</v>
      </c>
      <c r="K239" s="176"/>
      <c r="L239" s="174"/>
      <c r="M239" s="175" t="s">
        <v>7083</v>
      </c>
      <c r="N239" s="176"/>
      <c r="O239" s="174"/>
      <c r="P239" s="175" t="s">
        <v>7083</v>
      </c>
      <c r="Q239" s="176"/>
    </row>
    <row r="240" spans="1:17" x14ac:dyDescent="0.25">
      <c r="A240" s="177" t="s">
        <v>7521</v>
      </c>
      <c r="B240" s="177" t="s">
        <v>7522</v>
      </c>
      <c r="C240" s="178" t="s">
        <v>911</v>
      </c>
      <c r="D240" s="178" t="s">
        <v>1</v>
      </c>
      <c r="E240" s="179" t="s">
        <v>7504</v>
      </c>
      <c r="F240" s="179">
        <v>10</v>
      </c>
      <c r="G240" s="179">
        <v>40</v>
      </c>
      <c r="H240" s="180">
        <v>0</v>
      </c>
      <c r="I240" s="181">
        <v>1</v>
      </c>
      <c r="J240" s="182">
        <v>15666.71</v>
      </c>
      <c r="K240" s="183">
        <f t="shared" si="91"/>
        <v>15666.71</v>
      </c>
      <c r="L240" s="181"/>
      <c r="M240" s="131"/>
      <c r="N240" s="132"/>
      <c r="O240" s="130">
        <f>SUM(L240,I240)</f>
        <v>1</v>
      </c>
      <c r="P240" s="131">
        <f>IF(M240&lt;&gt;"",M240,J240)</f>
        <v>15666.71</v>
      </c>
      <c r="Q240" s="132">
        <f>ROUND(O240*P240,2)</f>
        <v>15666.71</v>
      </c>
    </row>
    <row r="241" spans="1:17" x14ac:dyDescent="0.25">
      <c r="A241" s="133" t="s">
        <v>7523</v>
      </c>
      <c r="B241" s="133" t="s">
        <v>7524</v>
      </c>
      <c r="C241" s="134"/>
      <c r="D241" s="134"/>
      <c r="E241" s="135"/>
      <c r="F241" s="136"/>
      <c r="G241" s="136"/>
      <c r="H241" s="137"/>
      <c r="I241" s="138"/>
      <c r="J241" s="139" t="s">
        <v>7083</v>
      </c>
      <c r="K241" s="140"/>
      <c r="L241" s="138"/>
      <c r="M241" s="139" t="s">
        <v>7083</v>
      </c>
      <c r="N241" s="140"/>
      <c r="O241" s="138"/>
      <c r="P241" s="139" t="s">
        <v>7083</v>
      </c>
      <c r="Q241" s="140"/>
    </row>
    <row r="242" spans="1:17" x14ac:dyDescent="0.25">
      <c r="A242" s="163" t="s">
        <v>7525</v>
      </c>
      <c r="B242" s="163" t="s">
        <v>7526</v>
      </c>
      <c r="C242" s="164"/>
      <c r="D242" s="164"/>
      <c r="E242" s="165"/>
      <c r="F242" s="165"/>
      <c r="G242" s="165"/>
      <c r="H242" s="166"/>
      <c r="I242" s="167"/>
      <c r="J242" s="168" t="s">
        <v>7083</v>
      </c>
      <c r="K242" s="169"/>
      <c r="L242" s="167"/>
      <c r="M242" s="168" t="s">
        <v>7083</v>
      </c>
      <c r="N242" s="169"/>
      <c r="O242" s="167"/>
      <c r="P242" s="168" t="s">
        <v>7083</v>
      </c>
      <c r="Q242" s="169"/>
    </row>
    <row r="243" spans="1:17" x14ac:dyDescent="0.25">
      <c r="A243" s="170" t="s">
        <v>7527</v>
      </c>
      <c r="B243" s="170" t="s">
        <v>7528</v>
      </c>
      <c r="C243" s="171"/>
      <c r="D243" s="171"/>
      <c r="E243" s="172"/>
      <c r="F243" s="172"/>
      <c r="G243" s="172"/>
      <c r="H243" s="173"/>
      <c r="I243" s="174"/>
      <c r="J243" s="175" t="s">
        <v>7083</v>
      </c>
      <c r="K243" s="176"/>
      <c r="L243" s="174"/>
      <c r="M243" s="175" t="s">
        <v>7083</v>
      </c>
      <c r="N243" s="176"/>
      <c r="O243" s="174"/>
      <c r="P243" s="175" t="s">
        <v>7083</v>
      </c>
      <c r="Q243" s="176"/>
    </row>
    <row r="244" spans="1:17" ht="22.5" x14ac:dyDescent="0.25">
      <c r="A244" s="177" t="s">
        <v>7529</v>
      </c>
      <c r="B244" s="177" t="s">
        <v>7530</v>
      </c>
      <c r="C244" s="178" t="s">
        <v>911</v>
      </c>
      <c r="D244" s="178" t="s">
        <v>1</v>
      </c>
      <c r="E244" s="179" t="s">
        <v>7504</v>
      </c>
      <c r="F244" s="179">
        <v>55</v>
      </c>
      <c r="G244" s="179">
        <v>10</v>
      </c>
      <c r="H244" s="180">
        <v>0</v>
      </c>
      <c r="I244" s="181">
        <v>38</v>
      </c>
      <c r="J244" s="182">
        <v>5053.8900000000003</v>
      </c>
      <c r="K244" s="183">
        <f t="shared" si="91"/>
        <v>192047.82</v>
      </c>
      <c r="L244" s="181"/>
      <c r="M244" s="131"/>
      <c r="N244" s="132"/>
      <c r="O244" s="130">
        <f>SUM(L244,I244)</f>
        <v>38</v>
      </c>
      <c r="P244" s="131">
        <f>IF(M244&lt;&gt;"",M244,J244)</f>
        <v>5053.8900000000003</v>
      </c>
      <c r="Q244" s="132">
        <f>ROUND(O244*P244,2)</f>
        <v>192047.82</v>
      </c>
    </row>
    <row r="245" spans="1:17" x14ac:dyDescent="0.25">
      <c r="A245" s="170" t="s">
        <v>7531</v>
      </c>
      <c r="B245" s="170" t="s">
        <v>7532</v>
      </c>
      <c r="C245" s="171"/>
      <c r="D245" s="171"/>
      <c r="E245" s="172"/>
      <c r="F245" s="172"/>
      <c r="G245" s="172"/>
      <c r="H245" s="173"/>
      <c r="I245" s="174"/>
      <c r="J245" s="175" t="s">
        <v>7083</v>
      </c>
      <c r="K245" s="176"/>
      <c r="L245" s="174"/>
      <c r="M245" s="175" t="s">
        <v>7083</v>
      </c>
      <c r="N245" s="176"/>
      <c r="O245" s="174"/>
      <c r="P245" s="175" t="s">
        <v>7083</v>
      </c>
      <c r="Q245" s="176"/>
    </row>
    <row r="246" spans="1:17" ht="22.5" x14ac:dyDescent="0.25">
      <c r="A246" s="177" t="s">
        <v>7533</v>
      </c>
      <c r="B246" s="177" t="s">
        <v>7534</v>
      </c>
      <c r="C246" s="178" t="s">
        <v>911</v>
      </c>
      <c r="D246" s="178" t="s">
        <v>1</v>
      </c>
      <c r="E246" s="179" t="s">
        <v>7504</v>
      </c>
      <c r="F246" s="179">
        <v>55</v>
      </c>
      <c r="G246" s="179">
        <v>10</v>
      </c>
      <c r="H246" s="180">
        <v>0</v>
      </c>
      <c r="I246" s="181">
        <v>0</v>
      </c>
      <c r="J246" s="182">
        <v>111905.33</v>
      </c>
      <c r="K246" s="183">
        <f t="shared" si="91"/>
        <v>0</v>
      </c>
      <c r="L246" s="181"/>
      <c r="M246" s="131"/>
      <c r="N246" s="132"/>
      <c r="O246" s="130">
        <f t="shared" ref="O246:O247" si="109">SUM(L246,I246)</f>
        <v>0</v>
      </c>
      <c r="P246" s="131">
        <f t="shared" ref="P246:P247" si="110">IF(M246&lt;&gt;"",M246,J246)</f>
        <v>111905.33</v>
      </c>
      <c r="Q246" s="132">
        <f t="shared" ref="Q246:Q247" si="111">ROUND(O246*P246,2)</f>
        <v>0</v>
      </c>
    </row>
    <row r="247" spans="1:17" x14ac:dyDescent="0.25">
      <c r="A247" s="177" t="s">
        <v>7535</v>
      </c>
      <c r="B247" s="177" t="s">
        <v>7536</v>
      </c>
      <c r="C247" s="178" t="s">
        <v>911</v>
      </c>
      <c r="D247" s="178" t="s">
        <v>1</v>
      </c>
      <c r="E247" s="179" t="s">
        <v>7504</v>
      </c>
      <c r="F247" s="179">
        <v>55</v>
      </c>
      <c r="G247" s="179">
        <v>10</v>
      </c>
      <c r="H247" s="180">
        <v>0</v>
      </c>
      <c r="I247" s="181">
        <v>1</v>
      </c>
      <c r="J247" s="182">
        <v>15986.47</v>
      </c>
      <c r="K247" s="183">
        <f t="shared" si="91"/>
        <v>15986.47</v>
      </c>
      <c r="L247" s="181"/>
      <c r="M247" s="131"/>
      <c r="N247" s="132"/>
      <c r="O247" s="130">
        <f t="shared" si="109"/>
        <v>1</v>
      </c>
      <c r="P247" s="131">
        <f t="shared" si="110"/>
        <v>15986.47</v>
      </c>
      <c r="Q247" s="132">
        <f t="shared" si="111"/>
        <v>15986.47</v>
      </c>
    </row>
    <row r="248" spans="1:17" x14ac:dyDescent="0.25">
      <c r="A248" s="170" t="s">
        <v>7537</v>
      </c>
      <c r="B248" s="170" t="s">
        <v>7538</v>
      </c>
      <c r="C248" s="171"/>
      <c r="D248" s="171"/>
      <c r="E248" s="172"/>
      <c r="F248" s="172"/>
      <c r="G248" s="172"/>
      <c r="H248" s="173"/>
      <c r="I248" s="174"/>
      <c r="J248" s="175" t="s">
        <v>7083</v>
      </c>
      <c r="K248" s="176"/>
      <c r="L248" s="174"/>
      <c r="M248" s="175" t="s">
        <v>7083</v>
      </c>
      <c r="N248" s="176"/>
      <c r="O248" s="174"/>
      <c r="P248" s="175" t="s">
        <v>7083</v>
      </c>
      <c r="Q248" s="176"/>
    </row>
    <row r="249" spans="1:17" ht="33.75" x14ac:dyDescent="0.25">
      <c r="A249" s="213" t="s">
        <v>7539</v>
      </c>
      <c r="B249" s="213" t="s">
        <v>7540</v>
      </c>
      <c r="C249" s="214" t="s">
        <v>911</v>
      </c>
      <c r="D249" s="214" t="s">
        <v>1</v>
      </c>
      <c r="E249" s="215" t="s">
        <v>7504</v>
      </c>
      <c r="F249" s="179">
        <v>55</v>
      </c>
      <c r="G249" s="179">
        <v>10</v>
      </c>
      <c r="H249" s="180">
        <v>0</v>
      </c>
      <c r="I249" s="181">
        <v>1</v>
      </c>
      <c r="J249" s="182">
        <v>104146.26</v>
      </c>
      <c r="K249" s="183">
        <f t="shared" si="91"/>
        <v>104146.26</v>
      </c>
      <c r="L249" s="181"/>
      <c r="M249" s="131"/>
      <c r="N249" s="132"/>
      <c r="O249" s="130">
        <f t="shared" ref="O249:O254" si="112">SUM(L249,I249)</f>
        <v>1</v>
      </c>
      <c r="P249" s="131">
        <f t="shared" ref="P249:P254" si="113">IF(M249&lt;&gt;"",M249,J249)</f>
        <v>104146.26</v>
      </c>
      <c r="Q249" s="132">
        <f t="shared" ref="Q249:Q254" si="114">ROUND(O249*P249,2)</f>
        <v>104146.26</v>
      </c>
    </row>
    <row r="250" spans="1:17" ht="33.75" x14ac:dyDescent="0.25">
      <c r="A250" s="213" t="s">
        <v>7541</v>
      </c>
      <c r="B250" s="213" t="s">
        <v>7542</v>
      </c>
      <c r="C250" s="214" t="s">
        <v>911</v>
      </c>
      <c r="D250" s="214" t="s">
        <v>1</v>
      </c>
      <c r="E250" s="215" t="s">
        <v>7504</v>
      </c>
      <c r="F250" s="179">
        <v>55</v>
      </c>
      <c r="G250" s="179">
        <v>10</v>
      </c>
      <c r="H250" s="180">
        <v>0</v>
      </c>
      <c r="I250" s="181">
        <v>1</v>
      </c>
      <c r="J250" s="182">
        <v>98434.33</v>
      </c>
      <c r="K250" s="183">
        <f t="shared" si="91"/>
        <v>98434.33</v>
      </c>
      <c r="L250" s="181"/>
      <c r="M250" s="131"/>
      <c r="N250" s="132"/>
      <c r="O250" s="130">
        <f t="shared" si="112"/>
        <v>1</v>
      </c>
      <c r="P250" s="131">
        <f t="shared" si="113"/>
        <v>98434.33</v>
      </c>
      <c r="Q250" s="132">
        <f t="shared" si="114"/>
        <v>98434.33</v>
      </c>
    </row>
    <row r="251" spans="1:17" ht="33.75" x14ac:dyDescent="0.25">
      <c r="A251" s="213" t="s">
        <v>7543</v>
      </c>
      <c r="B251" s="213" t="s">
        <v>7544</v>
      </c>
      <c r="C251" s="214" t="s">
        <v>911</v>
      </c>
      <c r="D251" s="214" t="s">
        <v>1</v>
      </c>
      <c r="E251" s="215" t="s">
        <v>7504</v>
      </c>
      <c r="F251" s="179">
        <v>55</v>
      </c>
      <c r="G251" s="179">
        <v>10</v>
      </c>
      <c r="H251" s="180">
        <v>0</v>
      </c>
      <c r="I251" s="181">
        <v>1</v>
      </c>
      <c r="J251" s="182">
        <v>49662.74</v>
      </c>
      <c r="K251" s="183">
        <f t="shared" si="91"/>
        <v>49662.74</v>
      </c>
      <c r="L251" s="181"/>
      <c r="M251" s="131"/>
      <c r="N251" s="132"/>
      <c r="O251" s="130">
        <f t="shared" si="112"/>
        <v>1</v>
      </c>
      <c r="P251" s="131">
        <f t="shared" si="113"/>
        <v>49662.74</v>
      </c>
      <c r="Q251" s="132">
        <f t="shared" si="114"/>
        <v>49662.74</v>
      </c>
    </row>
    <row r="252" spans="1:17" ht="33.75" x14ac:dyDescent="0.25">
      <c r="A252" s="213" t="s">
        <v>7545</v>
      </c>
      <c r="B252" s="213" t="s">
        <v>7546</v>
      </c>
      <c r="C252" s="214" t="s">
        <v>911</v>
      </c>
      <c r="D252" s="214" t="s">
        <v>1</v>
      </c>
      <c r="E252" s="215" t="s">
        <v>7504</v>
      </c>
      <c r="F252" s="179">
        <v>55</v>
      </c>
      <c r="G252" s="179">
        <v>10</v>
      </c>
      <c r="H252" s="180">
        <v>0</v>
      </c>
      <c r="I252" s="181">
        <v>1</v>
      </c>
      <c r="J252" s="182">
        <v>63040.21</v>
      </c>
      <c r="K252" s="183">
        <f t="shared" si="91"/>
        <v>63040.21</v>
      </c>
      <c r="L252" s="181"/>
      <c r="M252" s="131"/>
      <c r="N252" s="132"/>
      <c r="O252" s="130">
        <f t="shared" si="112"/>
        <v>1</v>
      </c>
      <c r="P252" s="131">
        <f t="shared" si="113"/>
        <v>63040.21</v>
      </c>
      <c r="Q252" s="132">
        <f t="shared" si="114"/>
        <v>63040.21</v>
      </c>
    </row>
    <row r="253" spans="1:17" ht="33.75" x14ac:dyDescent="0.25">
      <c r="A253" s="213" t="s">
        <v>7547</v>
      </c>
      <c r="B253" s="213" t="s">
        <v>7548</v>
      </c>
      <c r="C253" s="214" t="s">
        <v>911</v>
      </c>
      <c r="D253" s="214" t="s">
        <v>1</v>
      </c>
      <c r="E253" s="215" t="s">
        <v>7504</v>
      </c>
      <c r="F253" s="179">
        <v>55</v>
      </c>
      <c r="G253" s="179">
        <v>10</v>
      </c>
      <c r="H253" s="180">
        <v>0</v>
      </c>
      <c r="I253" s="181">
        <v>1</v>
      </c>
      <c r="J253" s="182">
        <v>215161.78</v>
      </c>
      <c r="K253" s="183">
        <f t="shared" si="91"/>
        <v>215161.78</v>
      </c>
      <c r="L253" s="181"/>
      <c r="M253" s="131"/>
      <c r="N253" s="132"/>
      <c r="O253" s="130">
        <f t="shared" si="112"/>
        <v>1</v>
      </c>
      <c r="P253" s="131">
        <f t="shared" si="113"/>
        <v>215161.78</v>
      </c>
      <c r="Q253" s="132">
        <f t="shared" si="114"/>
        <v>215161.78</v>
      </c>
    </row>
    <row r="254" spans="1:17" ht="33.75" x14ac:dyDescent="0.25">
      <c r="A254" s="213" t="s">
        <v>7549</v>
      </c>
      <c r="B254" s="213" t="s">
        <v>7550</v>
      </c>
      <c r="C254" s="214" t="s">
        <v>911</v>
      </c>
      <c r="D254" s="214" t="s">
        <v>1</v>
      </c>
      <c r="E254" s="215" t="s">
        <v>7504</v>
      </c>
      <c r="F254" s="179">
        <v>55</v>
      </c>
      <c r="G254" s="179">
        <v>10</v>
      </c>
      <c r="H254" s="180">
        <v>0</v>
      </c>
      <c r="I254" s="181">
        <v>1</v>
      </c>
      <c r="J254" s="182">
        <v>173648.13</v>
      </c>
      <c r="K254" s="183">
        <f t="shared" si="91"/>
        <v>173648.13</v>
      </c>
      <c r="L254" s="181"/>
      <c r="M254" s="131"/>
      <c r="N254" s="132"/>
      <c r="O254" s="130">
        <f t="shared" si="112"/>
        <v>1</v>
      </c>
      <c r="P254" s="131">
        <f t="shared" si="113"/>
        <v>173648.13</v>
      </c>
      <c r="Q254" s="132">
        <f t="shared" si="114"/>
        <v>173648.13</v>
      </c>
    </row>
    <row r="255" spans="1:17" x14ac:dyDescent="0.25">
      <c r="A255" s="159" t="s">
        <v>7551</v>
      </c>
      <c r="B255" s="159" t="s">
        <v>7552</v>
      </c>
      <c r="C255" s="160"/>
      <c r="D255" s="160"/>
      <c r="E255" s="161"/>
      <c r="F255" s="105"/>
      <c r="G255" s="105"/>
      <c r="H255" s="106"/>
      <c r="I255" s="162"/>
      <c r="J255" s="108" t="s">
        <v>7083</v>
      </c>
      <c r="K255" s="109"/>
      <c r="L255" s="162"/>
      <c r="M255" s="108" t="s">
        <v>7083</v>
      </c>
      <c r="N255" s="109"/>
      <c r="O255" s="162"/>
      <c r="P255" s="108" t="s">
        <v>7083</v>
      </c>
      <c r="Q255" s="109"/>
    </row>
    <row r="256" spans="1:17" x14ac:dyDescent="0.25">
      <c r="A256" s="133" t="s">
        <v>7553</v>
      </c>
      <c r="B256" s="133" t="s">
        <v>7554</v>
      </c>
      <c r="C256" s="134"/>
      <c r="D256" s="134"/>
      <c r="E256" s="135"/>
      <c r="F256" s="136"/>
      <c r="G256" s="136"/>
      <c r="H256" s="137"/>
      <c r="I256" s="138"/>
      <c r="J256" s="139" t="s">
        <v>7083</v>
      </c>
      <c r="K256" s="140"/>
      <c r="L256" s="138"/>
      <c r="M256" s="139" t="s">
        <v>7083</v>
      </c>
      <c r="N256" s="140"/>
      <c r="O256" s="138"/>
      <c r="P256" s="139" t="s">
        <v>7083</v>
      </c>
      <c r="Q256" s="140"/>
    </row>
    <row r="257" spans="1:17" x14ac:dyDescent="0.25">
      <c r="A257" s="163" t="s">
        <v>7555</v>
      </c>
      <c r="B257" s="163" t="s">
        <v>7556</v>
      </c>
      <c r="C257" s="164"/>
      <c r="D257" s="164"/>
      <c r="E257" s="165"/>
      <c r="F257" s="165"/>
      <c r="G257" s="165"/>
      <c r="H257" s="166"/>
      <c r="I257" s="167"/>
      <c r="J257" s="168" t="s">
        <v>7083</v>
      </c>
      <c r="K257" s="169"/>
      <c r="L257" s="167"/>
      <c r="M257" s="168" t="s">
        <v>7083</v>
      </c>
      <c r="N257" s="169"/>
      <c r="O257" s="167"/>
      <c r="P257" s="168" t="s">
        <v>7083</v>
      </c>
      <c r="Q257" s="169"/>
    </row>
    <row r="258" spans="1:17" ht="33.75" x14ac:dyDescent="0.25">
      <c r="A258" s="213" t="s">
        <v>360</v>
      </c>
      <c r="B258" s="213" t="s">
        <v>7557</v>
      </c>
      <c r="C258" s="214" t="s">
        <v>911</v>
      </c>
      <c r="D258" s="214" t="s">
        <v>1</v>
      </c>
      <c r="E258" s="215" t="s">
        <v>7504</v>
      </c>
      <c r="F258" s="179">
        <v>20</v>
      </c>
      <c r="G258" s="179">
        <v>20</v>
      </c>
      <c r="H258" s="180">
        <v>0</v>
      </c>
      <c r="I258" s="181">
        <v>6</v>
      </c>
      <c r="J258" s="182">
        <v>7945.8</v>
      </c>
      <c r="K258" s="183">
        <f t="shared" si="91"/>
        <v>47674.8</v>
      </c>
      <c r="L258" s="181"/>
      <c r="M258" s="131"/>
      <c r="N258" s="132"/>
      <c r="O258" s="130">
        <f t="shared" ref="O258:O259" si="115">SUM(L258,I258)</f>
        <v>6</v>
      </c>
      <c r="P258" s="131">
        <f t="shared" ref="P258:P259" si="116">IF(M258&lt;&gt;"",M258,J258)</f>
        <v>7945.8</v>
      </c>
      <c r="Q258" s="132">
        <f t="shared" ref="Q258:Q259" si="117">ROUND(O258*P258,2)</f>
        <v>47674.8</v>
      </c>
    </row>
    <row r="259" spans="1:17" ht="22.5" x14ac:dyDescent="0.25">
      <c r="A259" s="213" t="s">
        <v>362</v>
      </c>
      <c r="B259" s="213" t="s">
        <v>7558</v>
      </c>
      <c r="C259" s="214" t="s">
        <v>911</v>
      </c>
      <c r="D259" s="214" t="s">
        <v>1</v>
      </c>
      <c r="E259" s="215" t="s">
        <v>7504</v>
      </c>
      <c r="F259" s="179">
        <v>20</v>
      </c>
      <c r="G259" s="179">
        <v>20</v>
      </c>
      <c r="H259" s="180">
        <v>0</v>
      </c>
      <c r="I259" s="181">
        <v>2</v>
      </c>
      <c r="J259" s="182">
        <v>7945.8</v>
      </c>
      <c r="K259" s="183">
        <f t="shared" si="91"/>
        <v>15891.6</v>
      </c>
      <c r="L259" s="181"/>
      <c r="M259" s="131"/>
      <c r="N259" s="132"/>
      <c r="O259" s="130">
        <f t="shared" si="115"/>
        <v>2</v>
      </c>
      <c r="P259" s="131">
        <f t="shared" si="116"/>
        <v>7945.8</v>
      </c>
      <c r="Q259" s="132">
        <f t="shared" si="117"/>
        <v>15891.6</v>
      </c>
    </row>
    <row r="260" spans="1:17" ht="22.5" x14ac:dyDescent="0.25">
      <c r="A260" s="163" t="s">
        <v>7559</v>
      </c>
      <c r="B260" s="163" t="s">
        <v>7560</v>
      </c>
      <c r="C260" s="164"/>
      <c r="D260" s="164"/>
      <c r="E260" s="165"/>
      <c r="F260" s="165"/>
      <c r="G260" s="165"/>
      <c r="H260" s="166"/>
      <c r="I260" s="167"/>
      <c r="J260" s="168" t="s">
        <v>7083</v>
      </c>
      <c r="K260" s="169"/>
      <c r="L260" s="167"/>
      <c r="M260" s="168" t="s">
        <v>7083</v>
      </c>
      <c r="N260" s="169"/>
      <c r="O260" s="167"/>
      <c r="P260" s="168" t="s">
        <v>7083</v>
      </c>
      <c r="Q260" s="169"/>
    </row>
    <row r="261" spans="1:17" ht="33.75" x14ac:dyDescent="0.25">
      <c r="A261" s="213" t="s">
        <v>363</v>
      </c>
      <c r="B261" s="213" t="s">
        <v>7561</v>
      </c>
      <c r="C261" s="214" t="s">
        <v>911</v>
      </c>
      <c r="D261" s="214" t="s">
        <v>1</v>
      </c>
      <c r="E261" s="215" t="s">
        <v>7504</v>
      </c>
      <c r="F261" s="179">
        <v>20</v>
      </c>
      <c r="G261" s="179">
        <v>20</v>
      </c>
      <c r="H261" s="180">
        <v>1</v>
      </c>
      <c r="I261" s="181">
        <v>1</v>
      </c>
      <c r="J261" s="182">
        <v>15891.63</v>
      </c>
      <c r="K261" s="183">
        <f t="shared" si="91"/>
        <v>15891.63</v>
      </c>
      <c r="L261" s="181"/>
      <c r="M261" s="131"/>
      <c r="N261" s="132"/>
      <c r="O261" s="130">
        <f>SUM(L261,I261)</f>
        <v>1</v>
      </c>
      <c r="P261" s="131">
        <f>IF(M261&lt;&gt;"",M261,J261)</f>
        <v>15891.63</v>
      </c>
      <c r="Q261" s="132">
        <f>ROUND(O261*P261,2)</f>
        <v>15891.63</v>
      </c>
    </row>
    <row r="262" spans="1:17" x14ac:dyDescent="0.25">
      <c r="A262" s="163" t="s">
        <v>7562</v>
      </c>
      <c r="B262" s="163" t="s">
        <v>7563</v>
      </c>
      <c r="C262" s="164"/>
      <c r="D262" s="164"/>
      <c r="E262" s="165"/>
      <c r="F262" s="165"/>
      <c r="G262" s="165"/>
      <c r="H262" s="166"/>
      <c r="I262" s="167"/>
      <c r="J262" s="168" t="s">
        <v>7083</v>
      </c>
      <c r="K262" s="169"/>
      <c r="L262" s="167"/>
      <c r="M262" s="168" t="s">
        <v>7083</v>
      </c>
      <c r="N262" s="169"/>
      <c r="O262" s="167"/>
      <c r="P262" s="168" t="s">
        <v>7083</v>
      </c>
      <c r="Q262" s="169"/>
    </row>
    <row r="263" spans="1:17" ht="22.5" x14ac:dyDescent="0.25">
      <c r="A263" s="177" t="s">
        <v>366</v>
      </c>
      <c r="B263" s="177" t="s">
        <v>7564</v>
      </c>
      <c r="C263" s="178" t="s">
        <v>911</v>
      </c>
      <c r="D263" s="178" t="s">
        <v>1</v>
      </c>
      <c r="E263" s="179" t="s">
        <v>7504</v>
      </c>
      <c r="F263" s="179">
        <v>20</v>
      </c>
      <c r="G263" s="179">
        <v>20</v>
      </c>
      <c r="H263" s="180">
        <v>0</v>
      </c>
      <c r="I263" s="181">
        <v>1</v>
      </c>
      <c r="J263" s="182">
        <v>2167.04</v>
      </c>
      <c r="K263" s="183">
        <f t="shared" si="91"/>
        <v>2167.04</v>
      </c>
      <c r="L263" s="181"/>
      <c r="M263" s="131"/>
      <c r="N263" s="132"/>
      <c r="O263" s="130">
        <f t="shared" ref="O263:O264" si="118">SUM(L263,I263)</f>
        <v>1</v>
      </c>
      <c r="P263" s="131">
        <f t="shared" ref="P263:P264" si="119">IF(M263&lt;&gt;"",M263,J263)</f>
        <v>2167.04</v>
      </c>
      <c r="Q263" s="132">
        <f t="shared" ref="Q263:Q264" si="120">ROUND(O263*P263,2)</f>
        <v>2167.04</v>
      </c>
    </row>
    <row r="264" spans="1:17" ht="22.5" x14ac:dyDescent="0.25">
      <c r="A264" s="177" t="s">
        <v>368</v>
      </c>
      <c r="B264" s="177" t="s">
        <v>7565</v>
      </c>
      <c r="C264" s="178" t="s">
        <v>911</v>
      </c>
      <c r="D264" s="178" t="s">
        <v>1</v>
      </c>
      <c r="E264" s="179" t="s">
        <v>7504</v>
      </c>
      <c r="F264" s="179">
        <v>20</v>
      </c>
      <c r="G264" s="179">
        <v>20</v>
      </c>
      <c r="H264" s="180">
        <v>0</v>
      </c>
      <c r="I264" s="181">
        <v>1</v>
      </c>
      <c r="J264" s="182">
        <v>4334.09</v>
      </c>
      <c r="K264" s="183">
        <f t="shared" si="91"/>
        <v>4334.09</v>
      </c>
      <c r="L264" s="181"/>
      <c r="M264" s="131"/>
      <c r="N264" s="132"/>
      <c r="O264" s="130">
        <f t="shared" si="118"/>
        <v>1</v>
      </c>
      <c r="P264" s="131">
        <f t="shared" si="119"/>
        <v>4334.09</v>
      </c>
      <c r="Q264" s="132">
        <f t="shared" si="120"/>
        <v>4334.09</v>
      </c>
    </row>
    <row r="265" spans="1:17" x14ac:dyDescent="0.25">
      <c r="A265" s="133" t="s">
        <v>7566</v>
      </c>
      <c r="B265" s="133" t="s">
        <v>7567</v>
      </c>
      <c r="C265" s="134"/>
      <c r="D265" s="134"/>
      <c r="E265" s="135"/>
      <c r="F265" s="136"/>
      <c r="G265" s="136"/>
      <c r="H265" s="137"/>
      <c r="I265" s="138"/>
      <c r="J265" s="139" t="s">
        <v>7083</v>
      </c>
      <c r="K265" s="140"/>
      <c r="L265" s="138"/>
      <c r="M265" s="139" t="s">
        <v>7083</v>
      </c>
      <c r="N265" s="140"/>
      <c r="O265" s="138"/>
      <c r="P265" s="139" t="s">
        <v>7083</v>
      </c>
      <c r="Q265" s="140"/>
    </row>
    <row r="266" spans="1:17" x14ac:dyDescent="0.25">
      <c r="A266" s="163" t="s">
        <v>7568</v>
      </c>
      <c r="B266" s="163" t="s">
        <v>7569</v>
      </c>
      <c r="C266" s="164"/>
      <c r="D266" s="164"/>
      <c r="E266" s="165"/>
      <c r="F266" s="165"/>
      <c r="G266" s="165"/>
      <c r="H266" s="166"/>
      <c r="I266" s="167"/>
      <c r="J266" s="168" t="s">
        <v>7083</v>
      </c>
      <c r="K266" s="169"/>
      <c r="L266" s="167"/>
      <c r="M266" s="168" t="s">
        <v>7083</v>
      </c>
      <c r="N266" s="169"/>
      <c r="O266" s="167"/>
      <c r="P266" s="168" t="s">
        <v>7083</v>
      </c>
      <c r="Q266" s="169"/>
    </row>
    <row r="267" spans="1:17" ht="22.5" x14ac:dyDescent="0.25">
      <c r="A267" s="177" t="s">
        <v>7570</v>
      </c>
      <c r="B267" s="177" t="s">
        <v>7571</v>
      </c>
      <c r="C267" s="178" t="s">
        <v>911</v>
      </c>
      <c r="D267" s="178" t="s">
        <v>1</v>
      </c>
      <c r="E267" s="179" t="s">
        <v>7504</v>
      </c>
      <c r="F267" s="179">
        <v>30</v>
      </c>
      <c r="G267" s="179">
        <v>70</v>
      </c>
      <c r="H267" s="180">
        <v>0</v>
      </c>
      <c r="I267" s="181">
        <v>2</v>
      </c>
      <c r="J267" s="182">
        <v>5056.45</v>
      </c>
      <c r="K267" s="183">
        <f t="shared" ref="K267:K326" si="121">ROUND(I267*J267,2)</f>
        <v>10112.9</v>
      </c>
      <c r="L267" s="181"/>
      <c r="M267" s="131"/>
      <c r="N267" s="132"/>
      <c r="O267" s="130">
        <f>SUM(L267,I267)</f>
        <v>2</v>
      </c>
      <c r="P267" s="131">
        <f>IF(M267&lt;&gt;"",M267,J267)</f>
        <v>5056.45</v>
      </c>
      <c r="Q267" s="132">
        <f>ROUND(O267*P267,2)</f>
        <v>10112.9</v>
      </c>
    </row>
    <row r="268" spans="1:17" x14ac:dyDescent="0.25">
      <c r="A268" s="163" t="s">
        <v>7572</v>
      </c>
      <c r="B268" s="163" t="s">
        <v>7573</v>
      </c>
      <c r="C268" s="164"/>
      <c r="D268" s="164"/>
      <c r="E268" s="165"/>
      <c r="F268" s="165"/>
      <c r="G268" s="165"/>
      <c r="H268" s="166"/>
      <c r="I268" s="167"/>
      <c r="J268" s="168" t="s">
        <v>7083</v>
      </c>
      <c r="K268" s="169"/>
      <c r="L268" s="167"/>
      <c r="M268" s="168" t="s">
        <v>7083</v>
      </c>
      <c r="N268" s="169"/>
      <c r="O268" s="167"/>
      <c r="P268" s="168" t="s">
        <v>7083</v>
      </c>
      <c r="Q268" s="169"/>
    </row>
    <row r="269" spans="1:17" x14ac:dyDescent="0.25">
      <c r="A269" s="177" t="s">
        <v>7574</v>
      </c>
      <c r="B269" s="177" t="s">
        <v>7575</v>
      </c>
      <c r="C269" s="178" t="s">
        <v>911</v>
      </c>
      <c r="D269" s="178" t="s">
        <v>1</v>
      </c>
      <c r="E269" s="179" t="s">
        <v>7504</v>
      </c>
      <c r="F269" s="179">
        <v>30</v>
      </c>
      <c r="G269" s="179">
        <v>70</v>
      </c>
      <c r="H269" s="180">
        <v>0</v>
      </c>
      <c r="I269" s="181">
        <v>15</v>
      </c>
      <c r="J269" s="182">
        <v>1986.46</v>
      </c>
      <c r="K269" s="183">
        <f t="shared" si="121"/>
        <v>29796.9</v>
      </c>
      <c r="L269" s="181"/>
      <c r="M269" s="131"/>
      <c r="N269" s="132"/>
      <c r="O269" s="130">
        <f>SUM(L269,I269)</f>
        <v>15</v>
      </c>
      <c r="P269" s="131">
        <f>IF(M269&lt;&gt;"",M269,J269)</f>
        <v>1986.46</v>
      </c>
      <c r="Q269" s="132">
        <f>ROUND(O269*P269,2)</f>
        <v>29796.9</v>
      </c>
    </row>
    <row r="270" spans="1:17" x14ac:dyDescent="0.25">
      <c r="A270" s="163" t="s">
        <v>7576</v>
      </c>
      <c r="B270" s="163" t="s">
        <v>7577</v>
      </c>
      <c r="C270" s="164"/>
      <c r="D270" s="164"/>
      <c r="E270" s="165"/>
      <c r="F270" s="165"/>
      <c r="G270" s="165"/>
      <c r="H270" s="166"/>
      <c r="I270" s="167"/>
      <c r="J270" s="168" t="s">
        <v>7083</v>
      </c>
      <c r="K270" s="169"/>
      <c r="L270" s="167"/>
      <c r="M270" s="168" t="s">
        <v>7083</v>
      </c>
      <c r="N270" s="169"/>
      <c r="O270" s="167"/>
      <c r="P270" s="168" t="s">
        <v>7083</v>
      </c>
      <c r="Q270" s="169"/>
    </row>
    <row r="271" spans="1:17" ht="45" x14ac:dyDescent="0.25">
      <c r="A271" s="177" t="s">
        <v>7578</v>
      </c>
      <c r="B271" s="177" t="s">
        <v>7579</v>
      </c>
      <c r="C271" s="178" t="s">
        <v>911</v>
      </c>
      <c r="D271" s="178" t="s">
        <v>1</v>
      </c>
      <c r="E271" s="179" t="s">
        <v>7504</v>
      </c>
      <c r="F271" s="179">
        <v>30</v>
      </c>
      <c r="G271" s="179">
        <v>80</v>
      </c>
      <c r="H271" s="180">
        <v>0</v>
      </c>
      <c r="I271" s="181">
        <v>4</v>
      </c>
      <c r="J271" s="182">
        <v>1462.76</v>
      </c>
      <c r="K271" s="183">
        <f t="shared" si="121"/>
        <v>5851.04</v>
      </c>
      <c r="L271" s="181"/>
      <c r="M271" s="131"/>
      <c r="N271" s="132"/>
      <c r="O271" s="130">
        <f t="shared" ref="O271:O272" si="122">SUM(L271,I271)</f>
        <v>4</v>
      </c>
      <c r="P271" s="131">
        <f t="shared" ref="P271:P272" si="123">IF(M271&lt;&gt;"",M271,J271)</f>
        <v>1462.76</v>
      </c>
      <c r="Q271" s="132">
        <f t="shared" ref="Q271:Q272" si="124">ROUND(O271*P271,2)</f>
        <v>5851.04</v>
      </c>
    </row>
    <row r="272" spans="1:17" ht="45" x14ac:dyDescent="0.25">
      <c r="A272" s="177" t="s">
        <v>7580</v>
      </c>
      <c r="B272" s="177" t="s">
        <v>7581</v>
      </c>
      <c r="C272" s="178" t="s">
        <v>911</v>
      </c>
      <c r="D272" s="178" t="s">
        <v>1</v>
      </c>
      <c r="E272" s="179" t="s">
        <v>7504</v>
      </c>
      <c r="F272" s="179">
        <v>30</v>
      </c>
      <c r="G272" s="179">
        <v>80</v>
      </c>
      <c r="H272" s="180">
        <v>0</v>
      </c>
      <c r="I272" s="181">
        <v>4</v>
      </c>
      <c r="J272" s="182">
        <v>3216.25</v>
      </c>
      <c r="K272" s="183">
        <f t="shared" si="121"/>
        <v>12865</v>
      </c>
      <c r="L272" s="181"/>
      <c r="M272" s="131"/>
      <c r="N272" s="132"/>
      <c r="O272" s="130">
        <f t="shared" si="122"/>
        <v>4</v>
      </c>
      <c r="P272" s="131">
        <f t="shared" si="123"/>
        <v>3216.25</v>
      </c>
      <c r="Q272" s="132">
        <f t="shared" si="124"/>
        <v>12865</v>
      </c>
    </row>
    <row r="273" spans="1:17" x14ac:dyDescent="0.25">
      <c r="A273" s="133" t="s">
        <v>7582</v>
      </c>
      <c r="B273" s="133" t="s">
        <v>7583</v>
      </c>
      <c r="C273" s="134"/>
      <c r="D273" s="134"/>
      <c r="E273" s="135"/>
      <c r="F273" s="136"/>
      <c r="G273" s="136"/>
      <c r="H273" s="137"/>
      <c r="I273" s="138"/>
      <c r="J273" s="139" t="s">
        <v>7083</v>
      </c>
      <c r="K273" s="140"/>
      <c r="L273" s="138"/>
      <c r="M273" s="139" t="s">
        <v>7083</v>
      </c>
      <c r="N273" s="140"/>
      <c r="O273" s="138"/>
      <c r="P273" s="139" t="s">
        <v>7083</v>
      </c>
      <c r="Q273" s="140"/>
    </row>
    <row r="274" spans="1:17" x14ac:dyDescent="0.25">
      <c r="A274" s="163" t="s">
        <v>7584</v>
      </c>
      <c r="B274" s="163" t="s">
        <v>7583</v>
      </c>
      <c r="C274" s="164"/>
      <c r="D274" s="164"/>
      <c r="E274" s="165"/>
      <c r="F274" s="165"/>
      <c r="G274" s="165"/>
      <c r="H274" s="166"/>
      <c r="I274" s="167"/>
      <c r="J274" s="168" t="s">
        <v>7083</v>
      </c>
      <c r="K274" s="169"/>
      <c r="L274" s="167"/>
      <c r="M274" s="168" t="s">
        <v>7083</v>
      </c>
      <c r="N274" s="169"/>
      <c r="O274" s="167"/>
      <c r="P274" s="168" t="s">
        <v>7083</v>
      </c>
      <c r="Q274" s="169"/>
    </row>
    <row r="275" spans="1:17" ht="33.75" x14ac:dyDescent="0.25">
      <c r="A275" s="177" t="s">
        <v>7585</v>
      </c>
      <c r="B275" s="177" t="s">
        <v>7586</v>
      </c>
      <c r="C275" s="178" t="s">
        <v>378</v>
      </c>
      <c r="D275" s="178" t="s">
        <v>1</v>
      </c>
      <c r="E275" s="179" t="s">
        <v>7504</v>
      </c>
      <c r="F275" s="179">
        <v>60</v>
      </c>
      <c r="G275" s="179">
        <v>10</v>
      </c>
      <c r="H275" s="180">
        <v>0</v>
      </c>
      <c r="I275" s="181">
        <v>200.00000000000003</v>
      </c>
      <c r="J275" s="182">
        <v>1169.77</v>
      </c>
      <c r="K275" s="183">
        <f t="shared" si="121"/>
        <v>233954</v>
      </c>
      <c r="L275" s="181"/>
      <c r="M275" s="131"/>
      <c r="N275" s="132"/>
      <c r="O275" s="130">
        <f t="shared" ref="O275:O282" si="125">SUM(L275,I275)</f>
        <v>200.00000000000003</v>
      </c>
      <c r="P275" s="131">
        <f t="shared" ref="P275:P282" si="126">IF(M275&lt;&gt;"",M275,J275)</f>
        <v>1169.77</v>
      </c>
      <c r="Q275" s="132">
        <f t="shared" ref="Q275:Q282" si="127">ROUND(O275*P275,2)</f>
        <v>233954</v>
      </c>
    </row>
    <row r="276" spans="1:17" ht="45" x14ac:dyDescent="0.25">
      <c r="A276" s="177" t="s">
        <v>7587</v>
      </c>
      <c r="B276" s="177" t="s">
        <v>7588</v>
      </c>
      <c r="C276" s="178" t="s">
        <v>378</v>
      </c>
      <c r="D276" s="178" t="s">
        <v>1</v>
      </c>
      <c r="E276" s="179" t="s">
        <v>7504</v>
      </c>
      <c r="F276" s="179">
        <v>60</v>
      </c>
      <c r="G276" s="179">
        <v>10</v>
      </c>
      <c r="H276" s="180">
        <v>0</v>
      </c>
      <c r="I276" s="181">
        <v>310</v>
      </c>
      <c r="J276" s="182">
        <v>1651.88</v>
      </c>
      <c r="K276" s="183">
        <f t="shared" si="121"/>
        <v>512082.8</v>
      </c>
      <c r="L276" s="181"/>
      <c r="M276" s="131"/>
      <c r="N276" s="132"/>
      <c r="O276" s="130">
        <f t="shared" si="125"/>
        <v>310</v>
      </c>
      <c r="P276" s="131">
        <f t="shared" si="126"/>
        <v>1651.88</v>
      </c>
      <c r="Q276" s="132">
        <f t="shared" si="127"/>
        <v>512082.8</v>
      </c>
    </row>
    <row r="277" spans="1:17" ht="45" x14ac:dyDescent="0.25">
      <c r="A277" s="177" t="s">
        <v>7589</v>
      </c>
      <c r="B277" s="177" t="s">
        <v>7590</v>
      </c>
      <c r="C277" s="178" t="s">
        <v>378</v>
      </c>
      <c r="D277" s="178" t="s">
        <v>1</v>
      </c>
      <c r="E277" s="179" t="s">
        <v>7504</v>
      </c>
      <c r="F277" s="179">
        <v>60</v>
      </c>
      <c r="G277" s="179">
        <v>10</v>
      </c>
      <c r="H277" s="180">
        <v>0</v>
      </c>
      <c r="I277" s="181">
        <v>660</v>
      </c>
      <c r="J277" s="182">
        <v>2238.89</v>
      </c>
      <c r="K277" s="183">
        <f t="shared" si="121"/>
        <v>1477667.4</v>
      </c>
      <c r="L277" s="181"/>
      <c r="M277" s="131"/>
      <c r="N277" s="132"/>
      <c r="O277" s="130">
        <f t="shared" si="125"/>
        <v>660</v>
      </c>
      <c r="P277" s="131">
        <f t="shared" si="126"/>
        <v>2238.89</v>
      </c>
      <c r="Q277" s="132">
        <f t="shared" si="127"/>
        <v>1477667.4</v>
      </c>
    </row>
    <row r="278" spans="1:17" ht="45" x14ac:dyDescent="0.25">
      <c r="A278" s="177" t="s">
        <v>7591</v>
      </c>
      <c r="B278" s="177" t="s">
        <v>7592</v>
      </c>
      <c r="C278" s="178" t="s">
        <v>378</v>
      </c>
      <c r="D278" s="178" t="s">
        <v>1</v>
      </c>
      <c r="E278" s="179" t="s">
        <v>7504</v>
      </c>
      <c r="F278" s="179">
        <v>60</v>
      </c>
      <c r="G278" s="179">
        <v>10</v>
      </c>
      <c r="H278" s="180">
        <v>0</v>
      </c>
      <c r="I278" s="181">
        <v>6</v>
      </c>
      <c r="J278" s="182">
        <v>2576.75</v>
      </c>
      <c r="K278" s="183">
        <f t="shared" si="121"/>
        <v>15460.5</v>
      </c>
      <c r="L278" s="181"/>
      <c r="M278" s="131"/>
      <c r="N278" s="132"/>
      <c r="O278" s="130">
        <f t="shared" si="125"/>
        <v>6</v>
      </c>
      <c r="P278" s="131">
        <f t="shared" si="126"/>
        <v>2576.75</v>
      </c>
      <c r="Q278" s="132">
        <f t="shared" si="127"/>
        <v>15460.5</v>
      </c>
    </row>
    <row r="279" spans="1:17" ht="45" x14ac:dyDescent="0.25">
      <c r="A279" s="177" t="s">
        <v>7593</v>
      </c>
      <c r="B279" s="177" t="s">
        <v>7594</v>
      </c>
      <c r="C279" s="178" t="s">
        <v>378</v>
      </c>
      <c r="D279" s="178" t="s">
        <v>1</v>
      </c>
      <c r="E279" s="179" t="s">
        <v>7504</v>
      </c>
      <c r="F279" s="179">
        <v>60</v>
      </c>
      <c r="G279" s="179">
        <v>10</v>
      </c>
      <c r="H279" s="180">
        <v>0</v>
      </c>
      <c r="I279" s="181">
        <v>115</v>
      </c>
      <c r="J279" s="182">
        <v>2725.4</v>
      </c>
      <c r="K279" s="183">
        <f t="shared" si="121"/>
        <v>313421</v>
      </c>
      <c r="L279" s="181"/>
      <c r="M279" s="131"/>
      <c r="N279" s="132"/>
      <c r="O279" s="130">
        <f t="shared" si="125"/>
        <v>115</v>
      </c>
      <c r="P279" s="131">
        <f t="shared" si="126"/>
        <v>2725.4</v>
      </c>
      <c r="Q279" s="132">
        <f t="shared" si="127"/>
        <v>313421</v>
      </c>
    </row>
    <row r="280" spans="1:17" ht="45" x14ac:dyDescent="0.25">
      <c r="A280" s="177" t="s">
        <v>7595</v>
      </c>
      <c r="B280" s="177" t="s">
        <v>7596</v>
      </c>
      <c r="C280" s="178" t="s">
        <v>378</v>
      </c>
      <c r="D280" s="178" t="s">
        <v>1</v>
      </c>
      <c r="E280" s="179" t="s">
        <v>7504</v>
      </c>
      <c r="F280" s="179">
        <v>60</v>
      </c>
      <c r="G280" s="179">
        <v>10</v>
      </c>
      <c r="H280" s="180">
        <v>0</v>
      </c>
      <c r="I280" s="181">
        <v>6</v>
      </c>
      <c r="J280" s="182">
        <v>3249.8</v>
      </c>
      <c r="K280" s="183">
        <f t="shared" si="121"/>
        <v>19498.8</v>
      </c>
      <c r="L280" s="181"/>
      <c r="M280" s="131"/>
      <c r="N280" s="132"/>
      <c r="O280" s="130">
        <f t="shared" si="125"/>
        <v>6</v>
      </c>
      <c r="P280" s="131">
        <f t="shared" si="126"/>
        <v>3249.8</v>
      </c>
      <c r="Q280" s="132">
        <f t="shared" si="127"/>
        <v>19498.8</v>
      </c>
    </row>
    <row r="281" spans="1:17" ht="45" x14ac:dyDescent="0.25">
      <c r="A281" s="177" t="s">
        <v>7597</v>
      </c>
      <c r="B281" s="177" t="s">
        <v>7598</v>
      </c>
      <c r="C281" s="178" t="s">
        <v>378</v>
      </c>
      <c r="D281" s="178" t="s">
        <v>1</v>
      </c>
      <c r="E281" s="179" t="s">
        <v>7504</v>
      </c>
      <c r="F281" s="179">
        <v>60</v>
      </c>
      <c r="G281" s="179">
        <v>10</v>
      </c>
      <c r="H281" s="180">
        <v>0</v>
      </c>
      <c r="I281" s="181">
        <v>30</v>
      </c>
      <c r="J281" s="182">
        <v>3789.72</v>
      </c>
      <c r="K281" s="183">
        <f t="shared" si="121"/>
        <v>113691.6</v>
      </c>
      <c r="L281" s="181"/>
      <c r="M281" s="131"/>
      <c r="N281" s="132"/>
      <c r="O281" s="130">
        <f t="shared" si="125"/>
        <v>30</v>
      </c>
      <c r="P281" s="131">
        <f t="shared" si="126"/>
        <v>3789.72</v>
      </c>
      <c r="Q281" s="132">
        <f t="shared" si="127"/>
        <v>113691.6</v>
      </c>
    </row>
    <row r="282" spans="1:17" ht="45" x14ac:dyDescent="0.25">
      <c r="A282" s="177" t="s">
        <v>7599</v>
      </c>
      <c r="B282" s="177" t="s">
        <v>7600</v>
      </c>
      <c r="C282" s="178" t="s">
        <v>378</v>
      </c>
      <c r="D282" s="178" t="s">
        <v>1</v>
      </c>
      <c r="E282" s="179" t="s">
        <v>7504</v>
      </c>
      <c r="F282" s="179">
        <v>60</v>
      </c>
      <c r="G282" s="179">
        <v>10</v>
      </c>
      <c r="H282" s="180">
        <v>0</v>
      </c>
      <c r="I282" s="181">
        <v>123</v>
      </c>
      <c r="J282" s="182">
        <v>2788.58</v>
      </c>
      <c r="K282" s="183">
        <f t="shared" si="121"/>
        <v>342995.34</v>
      </c>
      <c r="L282" s="181">
        <v>-100</v>
      </c>
      <c r="M282" s="131">
        <f>J282</f>
        <v>2788.58</v>
      </c>
      <c r="N282" s="183">
        <f t="shared" ref="N282" si="128">ROUND(L282*M282,2)</f>
        <v>-278858</v>
      </c>
      <c r="O282" s="130">
        <f t="shared" si="125"/>
        <v>23</v>
      </c>
      <c r="P282" s="131">
        <f t="shared" si="126"/>
        <v>2788.58</v>
      </c>
      <c r="Q282" s="132">
        <f t="shared" si="127"/>
        <v>64137.34</v>
      </c>
    </row>
    <row r="283" spans="1:17" x14ac:dyDescent="0.25">
      <c r="A283" s="159" t="s">
        <v>7601</v>
      </c>
      <c r="B283" s="159" t="s">
        <v>7602</v>
      </c>
      <c r="C283" s="160"/>
      <c r="D283" s="160"/>
      <c r="E283" s="161"/>
      <c r="F283" s="105"/>
      <c r="G283" s="105"/>
      <c r="H283" s="106"/>
      <c r="I283" s="162"/>
      <c r="J283" s="108" t="s">
        <v>7083</v>
      </c>
      <c r="K283" s="109"/>
      <c r="L283" s="162"/>
      <c r="M283" s="108" t="s">
        <v>7083</v>
      </c>
      <c r="N283" s="109"/>
      <c r="O283" s="162"/>
      <c r="P283" s="108" t="s">
        <v>7083</v>
      </c>
      <c r="Q283" s="109"/>
    </row>
    <row r="284" spans="1:17" x14ac:dyDescent="0.25">
      <c r="A284" s="216" t="s">
        <v>7603</v>
      </c>
      <c r="B284" s="216" t="s">
        <v>7604</v>
      </c>
      <c r="C284" s="134"/>
      <c r="D284" s="134"/>
      <c r="E284" s="135"/>
      <c r="F284" s="136"/>
      <c r="G284" s="136"/>
      <c r="H284" s="137"/>
      <c r="I284" s="138"/>
      <c r="J284" s="139" t="s">
        <v>7083</v>
      </c>
      <c r="K284" s="140"/>
      <c r="L284" s="138"/>
      <c r="M284" s="139" t="s">
        <v>7083</v>
      </c>
      <c r="N284" s="140"/>
      <c r="O284" s="138"/>
      <c r="P284" s="139" t="s">
        <v>7083</v>
      </c>
      <c r="Q284" s="140"/>
    </row>
    <row r="285" spans="1:17" ht="33.75" x14ac:dyDescent="0.25">
      <c r="A285" s="177" t="s">
        <v>7605</v>
      </c>
      <c r="B285" s="177" t="s">
        <v>7606</v>
      </c>
      <c r="C285" s="178" t="s">
        <v>266</v>
      </c>
      <c r="D285" s="178" t="s">
        <v>1</v>
      </c>
      <c r="E285" s="179" t="s">
        <v>7607</v>
      </c>
      <c r="F285" s="179">
        <v>50</v>
      </c>
      <c r="G285" s="179">
        <v>0</v>
      </c>
      <c r="H285" s="180">
        <v>0</v>
      </c>
      <c r="I285" s="181">
        <v>50</v>
      </c>
      <c r="J285" s="182">
        <v>7993.27</v>
      </c>
      <c r="K285" s="183">
        <f t="shared" si="121"/>
        <v>399663.5</v>
      </c>
      <c r="L285" s="181"/>
      <c r="M285" s="131"/>
      <c r="N285" s="132"/>
      <c r="O285" s="130">
        <f>SUM(L285,I285)</f>
        <v>50</v>
      </c>
      <c r="P285" s="131">
        <f>IF(M285&lt;&gt;"",M285,J285)</f>
        <v>7993.27</v>
      </c>
      <c r="Q285" s="132">
        <f>ROUND(O285*P285,2)</f>
        <v>399663.5</v>
      </c>
    </row>
    <row r="286" spans="1:17" x14ac:dyDescent="0.25">
      <c r="A286" s="133" t="s">
        <v>7608</v>
      </c>
      <c r="B286" s="133" t="s">
        <v>7609</v>
      </c>
      <c r="C286" s="134"/>
      <c r="D286" s="134"/>
      <c r="E286" s="135"/>
      <c r="F286" s="136"/>
      <c r="G286" s="136"/>
      <c r="H286" s="137"/>
      <c r="I286" s="138"/>
      <c r="J286" s="139" t="s">
        <v>7083</v>
      </c>
      <c r="K286" s="140"/>
      <c r="L286" s="138"/>
      <c r="M286" s="139" t="s">
        <v>7083</v>
      </c>
      <c r="N286" s="140"/>
      <c r="O286" s="138"/>
      <c r="P286" s="139" t="s">
        <v>7083</v>
      </c>
      <c r="Q286" s="140"/>
    </row>
    <row r="287" spans="1:17" x14ac:dyDescent="0.25">
      <c r="A287" s="163" t="s">
        <v>7610</v>
      </c>
      <c r="B287" s="163" t="s">
        <v>7611</v>
      </c>
      <c r="C287" s="164"/>
      <c r="D287" s="164"/>
      <c r="E287" s="165"/>
      <c r="F287" s="165"/>
      <c r="G287" s="165"/>
      <c r="H287" s="166"/>
      <c r="I287" s="167"/>
      <c r="J287" s="168" t="s">
        <v>7083</v>
      </c>
      <c r="K287" s="169"/>
      <c r="L287" s="167"/>
      <c r="M287" s="168" t="s">
        <v>7083</v>
      </c>
      <c r="N287" s="169"/>
      <c r="O287" s="167"/>
      <c r="P287" s="168" t="s">
        <v>7083</v>
      </c>
      <c r="Q287" s="169"/>
    </row>
    <row r="288" spans="1:17" x14ac:dyDescent="0.25">
      <c r="A288" s="177" t="s">
        <v>396</v>
      </c>
      <c r="B288" s="177" t="s">
        <v>7612</v>
      </c>
      <c r="C288" s="178" t="s">
        <v>266</v>
      </c>
      <c r="D288" s="178" t="s">
        <v>1</v>
      </c>
      <c r="E288" s="179" t="s">
        <v>7607</v>
      </c>
      <c r="F288" s="179">
        <v>70</v>
      </c>
      <c r="G288" s="179">
        <v>10</v>
      </c>
      <c r="H288" s="180">
        <v>0</v>
      </c>
      <c r="I288" s="181">
        <v>2</v>
      </c>
      <c r="J288" s="182">
        <v>9029.34</v>
      </c>
      <c r="K288" s="183">
        <f t="shared" si="121"/>
        <v>18058.68</v>
      </c>
      <c r="L288" s="181"/>
      <c r="M288" s="131"/>
      <c r="N288" s="132"/>
      <c r="O288" s="130">
        <f>SUM(L288,I288)</f>
        <v>2</v>
      </c>
      <c r="P288" s="131">
        <f>IF(M288&lt;&gt;"",M288,J288)</f>
        <v>9029.34</v>
      </c>
      <c r="Q288" s="132">
        <f>ROUND(O288*P288,2)</f>
        <v>18058.68</v>
      </c>
    </row>
    <row r="289" spans="1:17" x14ac:dyDescent="0.25">
      <c r="A289" s="155" t="s">
        <v>7613</v>
      </c>
      <c r="B289" s="155" t="s">
        <v>7614</v>
      </c>
      <c r="C289" s="95"/>
      <c r="D289" s="95"/>
      <c r="E289" s="96"/>
      <c r="F289" s="97"/>
      <c r="G289" s="97"/>
      <c r="H289" s="98"/>
      <c r="I289" s="156"/>
      <c r="J289" s="157" t="s">
        <v>7083</v>
      </c>
      <c r="K289" s="158"/>
      <c r="L289" s="156"/>
      <c r="M289" s="157" t="s">
        <v>7083</v>
      </c>
      <c r="N289" s="158"/>
      <c r="O289" s="156"/>
      <c r="P289" s="157" t="s">
        <v>7083</v>
      </c>
      <c r="Q289" s="158"/>
    </row>
    <row r="290" spans="1:17" x14ac:dyDescent="0.25">
      <c r="A290" s="159" t="s">
        <v>4963</v>
      </c>
      <c r="B290" s="159" t="s">
        <v>7185</v>
      </c>
      <c r="C290" s="160"/>
      <c r="D290" s="160"/>
      <c r="E290" s="161"/>
      <c r="F290" s="105"/>
      <c r="G290" s="105"/>
      <c r="H290" s="106"/>
      <c r="I290" s="162"/>
      <c r="J290" s="108" t="s">
        <v>7083</v>
      </c>
      <c r="K290" s="109"/>
      <c r="L290" s="162"/>
      <c r="M290" s="108" t="s">
        <v>7083</v>
      </c>
      <c r="N290" s="109"/>
      <c r="O290" s="162"/>
      <c r="P290" s="108" t="s">
        <v>7083</v>
      </c>
      <c r="Q290" s="109"/>
    </row>
    <row r="291" spans="1:17" x14ac:dyDescent="0.25">
      <c r="A291" s="133" t="s">
        <v>7615</v>
      </c>
      <c r="B291" s="133" t="s">
        <v>7211</v>
      </c>
      <c r="C291" s="134"/>
      <c r="D291" s="134"/>
      <c r="E291" s="135"/>
      <c r="F291" s="136"/>
      <c r="G291" s="136"/>
      <c r="H291" s="137"/>
      <c r="I291" s="138"/>
      <c r="J291" s="139" t="s">
        <v>7083</v>
      </c>
      <c r="K291" s="140"/>
      <c r="L291" s="138"/>
      <c r="M291" s="139" t="s">
        <v>7083</v>
      </c>
      <c r="N291" s="140"/>
      <c r="O291" s="138"/>
      <c r="P291" s="139" t="s">
        <v>7083</v>
      </c>
      <c r="Q291" s="140"/>
    </row>
    <row r="292" spans="1:17" x14ac:dyDescent="0.25">
      <c r="A292" s="163" t="s">
        <v>7616</v>
      </c>
      <c r="B292" s="163" t="s">
        <v>7617</v>
      </c>
      <c r="C292" s="164"/>
      <c r="D292" s="164"/>
      <c r="E292" s="165"/>
      <c r="F292" s="165"/>
      <c r="G292" s="165"/>
      <c r="H292" s="166"/>
      <c r="I292" s="167"/>
      <c r="J292" s="168" t="s">
        <v>7083</v>
      </c>
      <c r="K292" s="169"/>
      <c r="L292" s="167"/>
      <c r="M292" s="168" t="s">
        <v>7083</v>
      </c>
      <c r="N292" s="169"/>
      <c r="O292" s="167"/>
      <c r="P292" s="168" t="s">
        <v>7083</v>
      </c>
      <c r="Q292" s="169"/>
    </row>
    <row r="293" spans="1:17" x14ac:dyDescent="0.25">
      <c r="A293" s="217" t="s">
        <v>490</v>
      </c>
      <c r="B293" s="217" t="s">
        <v>7618</v>
      </c>
      <c r="C293" s="171"/>
      <c r="D293" s="171"/>
      <c r="E293" s="172"/>
      <c r="F293" s="172"/>
      <c r="G293" s="172"/>
      <c r="H293" s="173"/>
      <c r="I293" s="174"/>
      <c r="J293" s="175" t="s">
        <v>7083</v>
      </c>
      <c r="K293" s="176"/>
      <c r="L293" s="174"/>
      <c r="M293" s="175" t="s">
        <v>7083</v>
      </c>
      <c r="N293" s="176"/>
      <c r="O293" s="174"/>
      <c r="P293" s="175" t="s">
        <v>7083</v>
      </c>
      <c r="Q293" s="176"/>
    </row>
    <row r="294" spans="1:17" x14ac:dyDescent="0.25">
      <c r="A294" s="177" t="s">
        <v>7619</v>
      </c>
      <c r="B294" s="177" t="s">
        <v>7620</v>
      </c>
      <c r="C294" s="178" t="s">
        <v>266</v>
      </c>
      <c r="D294" s="178" t="s">
        <v>1</v>
      </c>
      <c r="E294" s="179" t="s">
        <v>7193</v>
      </c>
      <c r="F294" s="179">
        <v>55</v>
      </c>
      <c r="G294" s="179">
        <v>10</v>
      </c>
      <c r="H294" s="180">
        <v>0</v>
      </c>
      <c r="I294" s="181">
        <v>0.1</v>
      </c>
      <c r="J294" s="182">
        <v>56677.03</v>
      </c>
      <c r="K294" s="183">
        <f t="shared" si="121"/>
        <v>5667.7</v>
      </c>
      <c r="L294" s="181"/>
      <c r="M294" s="131"/>
      <c r="N294" s="132"/>
      <c r="O294" s="130">
        <f>SUM(L294,I294)</f>
        <v>0.1</v>
      </c>
      <c r="P294" s="131">
        <f>IF(M294&lt;&gt;"",M294,J294)</f>
        <v>56677.03</v>
      </c>
      <c r="Q294" s="132">
        <f>ROUND(O294*P294,2)</f>
        <v>5667.7</v>
      </c>
    </row>
    <row r="295" spans="1:17" x14ac:dyDescent="0.25">
      <c r="A295" s="133" t="s">
        <v>7621</v>
      </c>
      <c r="B295" s="133" t="s">
        <v>7300</v>
      </c>
      <c r="C295" s="134"/>
      <c r="D295" s="134"/>
      <c r="E295" s="135"/>
      <c r="F295" s="136"/>
      <c r="G295" s="136"/>
      <c r="H295" s="137"/>
      <c r="I295" s="138"/>
      <c r="J295" s="139" t="s">
        <v>7083</v>
      </c>
      <c r="K295" s="140"/>
      <c r="L295" s="138"/>
      <c r="M295" s="139" t="s">
        <v>7083</v>
      </c>
      <c r="N295" s="140"/>
      <c r="O295" s="138"/>
      <c r="P295" s="139" t="s">
        <v>7083</v>
      </c>
      <c r="Q295" s="140"/>
    </row>
    <row r="296" spans="1:17" x14ac:dyDescent="0.25">
      <c r="A296" s="163" t="s">
        <v>7622</v>
      </c>
      <c r="B296" s="163" t="s">
        <v>7302</v>
      </c>
      <c r="C296" s="164"/>
      <c r="D296" s="164"/>
      <c r="E296" s="165"/>
      <c r="F296" s="165"/>
      <c r="G296" s="165"/>
      <c r="H296" s="166"/>
      <c r="I296" s="167"/>
      <c r="J296" s="168" t="s">
        <v>7083</v>
      </c>
      <c r="K296" s="169"/>
      <c r="L296" s="167"/>
      <c r="M296" s="168" t="s">
        <v>7083</v>
      </c>
      <c r="N296" s="169"/>
      <c r="O296" s="167"/>
      <c r="P296" s="168" t="s">
        <v>7083</v>
      </c>
      <c r="Q296" s="169"/>
    </row>
    <row r="297" spans="1:17" x14ac:dyDescent="0.25">
      <c r="A297" s="217" t="s">
        <v>502</v>
      </c>
      <c r="B297" s="217" t="s">
        <v>7623</v>
      </c>
      <c r="C297" s="171"/>
      <c r="D297" s="171"/>
      <c r="E297" s="172"/>
      <c r="F297" s="172"/>
      <c r="G297" s="172"/>
      <c r="H297" s="173"/>
      <c r="I297" s="174"/>
      <c r="J297" s="175" t="s">
        <v>7083</v>
      </c>
      <c r="K297" s="176"/>
      <c r="L297" s="174"/>
      <c r="M297" s="175" t="s">
        <v>7083</v>
      </c>
      <c r="N297" s="176"/>
      <c r="O297" s="174"/>
      <c r="P297" s="175" t="s">
        <v>7083</v>
      </c>
      <c r="Q297" s="176"/>
    </row>
    <row r="298" spans="1:17" x14ac:dyDescent="0.25">
      <c r="A298" s="177" t="s">
        <v>7624</v>
      </c>
      <c r="B298" s="177" t="s">
        <v>7305</v>
      </c>
      <c r="C298" s="178" t="s">
        <v>266</v>
      </c>
      <c r="D298" s="178" t="s">
        <v>1</v>
      </c>
      <c r="E298" s="179" t="s">
        <v>7193</v>
      </c>
      <c r="F298" s="179">
        <v>75</v>
      </c>
      <c r="G298" s="179">
        <v>10</v>
      </c>
      <c r="H298" s="180">
        <v>0</v>
      </c>
      <c r="I298" s="181">
        <v>1.1900000000000013</v>
      </c>
      <c r="J298" s="182">
        <v>30113.29</v>
      </c>
      <c r="K298" s="183">
        <f t="shared" si="121"/>
        <v>35834.82</v>
      </c>
      <c r="L298" s="181">
        <v>-1.0899999999999999</v>
      </c>
      <c r="M298" s="131">
        <f>J298</f>
        <v>30113.29</v>
      </c>
      <c r="N298" s="183">
        <f t="shared" ref="N298" si="129">ROUND(L298*M298,2)</f>
        <v>-32823.49</v>
      </c>
      <c r="O298" s="130">
        <f>SUM(L298,I298)</f>
        <v>0.10000000000000142</v>
      </c>
      <c r="P298" s="131">
        <f>IF(M298&lt;&gt;"",M298,J298)</f>
        <v>30113.29</v>
      </c>
      <c r="Q298" s="132">
        <f>ROUND(O298*P298,2)</f>
        <v>3011.33</v>
      </c>
    </row>
    <row r="299" spans="1:17" x14ac:dyDescent="0.25">
      <c r="A299" s="217" t="s">
        <v>505</v>
      </c>
      <c r="B299" s="217" t="s">
        <v>7310</v>
      </c>
      <c r="C299" s="171"/>
      <c r="D299" s="171"/>
      <c r="E299" s="172"/>
      <c r="F299" s="172"/>
      <c r="G299" s="172"/>
      <c r="H299" s="173"/>
      <c r="I299" s="174"/>
      <c r="J299" s="175" t="s">
        <v>7083</v>
      </c>
      <c r="K299" s="176"/>
      <c r="L299" s="174"/>
      <c r="M299" s="175" t="s">
        <v>7083</v>
      </c>
      <c r="N299" s="176"/>
      <c r="O299" s="174"/>
      <c r="P299" s="175" t="s">
        <v>7083</v>
      </c>
      <c r="Q299" s="176"/>
    </row>
    <row r="300" spans="1:17" x14ac:dyDescent="0.25">
      <c r="A300" s="177" t="s">
        <v>7625</v>
      </c>
      <c r="B300" s="177" t="s">
        <v>7312</v>
      </c>
      <c r="C300" s="178" t="s">
        <v>266</v>
      </c>
      <c r="D300" s="178" t="s">
        <v>1</v>
      </c>
      <c r="E300" s="179" t="s">
        <v>7193</v>
      </c>
      <c r="F300" s="179">
        <v>55</v>
      </c>
      <c r="G300" s="179">
        <v>10</v>
      </c>
      <c r="H300" s="180">
        <v>900</v>
      </c>
      <c r="I300" s="181">
        <v>0.10000000000000009</v>
      </c>
      <c r="J300" s="182">
        <v>30346.13</v>
      </c>
      <c r="K300" s="183">
        <f t="shared" si="121"/>
        <v>3034.61</v>
      </c>
      <c r="L300" s="181"/>
      <c r="M300" s="131"/>
      <c r="N300" s="132"/>
      <c r="O300" s="130">
        <f t="shared" ref="O300:O301" si="130">SUM(L300,I300)</f>
        <v>0.10000000000000009</v>
      </c>
      <c r="P300" s="131">
        <f t="shared" ref="P300:P301" si="131">IF(M300&lt;&gt;"",M300,J300)</f>
        <v>30346.13</v>
      </c>
      <c r="Q300" s="132">
        <f t="shared" ref="Q300:Q301" si="132">ROUND(O300*P300,2)</f>
        <v>3034.61</v>
      </c>
    </row>
    <row r="301" spans="1:17" x14ac:dyDescent="0.25">
      <c r="A301" s="177" t="s">
        <v>7626</v>
      </c>
      <c r="B301" s="177" t="s">
        <v>7627</v>
      </c>
      <c r="C301" s="178" t="s">
        <v>266</v>
      </c>
      <c r="D301" s="178" t="s">
        <v>1</v>
      </c>
      <c r="E301" s="179" t="s">
        <v>7193</v>
      </c>
      <c r="F301" s="179">
        <v>55</v>
      </c>
      <c r="G301" s="179">
        <v>10</v>
      </c>
      <c r="H301" s="180">
        <v>900</v>
      </c>
      <c r="I301" s="181">
        <v>25.2</v>
      </c>
      <c r="J301" s="182">
        <v>30346.13</v>
      </c>
      <c r="K301" s="183">
        <f t="shared" si="121"/>
        <v>764722.48</v>
      </c>
      <c r="L301" s="181">
        <v>-25.1</v>
      </c>
      <c r="M301" s="131">
        <f>J301</f>
        <v>30346.13</v>
      </c>
      <c r="N301" s="183">
        <f t="shared" ref="N301" si="133">ROUND(L301*M301,2)</f>
        <v>-761687.86</v>
      </c>
      <c r="O301" s="130">
        <f t="shared" si="130"/>
        <v>9.9999999999997868E-2</v>
      </c>
      <c r="P301" s="131">
        <f t="shared" si="131"/>
        <v>30346.13</v>
      </c>
      <c r="Q301" s="132">
        <f t="shared" si="132"/>
        <v>3034.61</v>
      </c>
    </row>
    <row r="302" spans="1:17" ht="22.5" x14ac:dyDescent="0.25">
      <c r="A302" s="217" t="s">
        <v>7628</v>
      </c>
      <c r="B302" s="217" t="s">
        <v>7629</v>
      </c>
      <c r="C302" s="171"/>
      <c r="D302" s="171"/>
      <c r="E302" s="172"/>
      <c r="F302" s="172"/>
      <c r="G302" s="172"/>
      <c r="H302" s="173"/>
      <c r="I302" s="174"/>
      <c r="J302" s="175" t="s">
        <v>7083</v>
      </c>
      <c r="K302" s="176"/>
      <c r="L302" s="174"/>
      <c r="M302" s="175" t="s">
        <v>7083</v>
      </c>
      <c r="N302" s="176"/>
      <c r="O302" s="174"/>
      <c r="P302" s="175" t="s">
        <v>7083</v>
      </c>
      <c r="Q302" s="176"/>
    </row>
    <row r="303" spans="1:17" ht="22.5" x14ac:dyDescent="0.25">
      <c r="A303" s="177" t="s">
        <v>7630</v>
      </c>
      <c r="B303" s="177" t="s">
        <v>7315</v>
      </c>
      <c r="C303" s="178" t="s">
        <v>266</v>
      </c>
      <c r="D303" s="178" t="s">
        <v>1</v>
      </c>
      <c r="E303" s="179" t="s">
        <v>7193</v>
      </c>
      <c r="F303" s="179">
        <v>75</v>
      </c>
      <c r="G303" s="179">
        <v>30</v>
      </c>
      <c r="H303" s="180">
        <v>0</v>
      </c>
      <c r="I303" s="181">
        <v>0.10000000000000009</v>
      </c>
      <c r="J303" s="182">
        <v>40959</v>
      </c>
      <c r="K303" s="183">
        <f t="shared" si="121"/>
        <v>4095.9</v>
      </c>
      <c r="L303" s="181"/>
      <c r="M303" s="131"/>
      <c r="N303" s="132"/>
      <c r="O303" s="130">
        <f>SUM(L303,I303)</f>
        <v>0.10000000000000009</v>
      </c>
      <c r="P303" s="131">
        <f>IF(M303&lt;&gt;"",M303,J303)</f>
        <v>40959</v>
      </c>
      <c r="Q303" s="132">
        <f>ROUND(O303*P303,2)</f>
        <v>4095.9</v>
      </c>
    </row>
    <row r="304" spans="1:17" x14ac:dyDescent="0.25">
      <c r="A304" s="159" t="s">
        <v>4932</v>
      </c>
      <c r="B304" s="159" t="s">
        <v>7602</v>
      </c>
      <c r="C304" s="160"/>
      <c r="D304" s="160"/>
      <c r="E304" s="161"/>
      <c r="F304" s="105"/>
      <c r="G304" s="105"/>
      <c r="H304" s="106"/>
      <c r="I304" s="162"/>
      <c r="J304" s="108" t="s">
        <v>7083</v>
      </c>
      <c r="K304" s="109"/>
      <c r="L304" s="162"/>
      <c r="M304" s="108" t="s">
        <v>7083</v>
      </c>
      <c r="N304" s="109"/>
      <c r="O304" s="162"/>
      <c r="P304" s="108" t="s">
        <v>7083</v>
      </c>
      <c r="Q304" s="109"/>
    </row>
    <row r="305" spans="1:17" x14ac:dyDescent="0.25">
      <c r="A305" s="216" t="s">
        <v>7631</v>
      </c>
      <c r="B305" s="216" t="s">
        <v>7604</v>
      </c>
      <c r="C305" s="134"/>
      <c r="D305" s="134"/>
      <c r="E305" s="135"/>
      <c r="F305" s="136"/>
      <c r="G305" s="136"/>
      <c r="H305" s="137"/>
      <c r="I305" s="138"/>
      <c r="J305" s="139" t="s">
        <v>7083</v>
      </c>
      <c r="K305" s="140"/>
      <c r="L305" s="138"/>
      <c r="M305" s="139" t="s">
        <v>7083</v>
      </c>
      <c r="N305" s="140"/>
      <c r="O305" s="138"/>
      <c r="P305" s="139" t="s">
        <v>7083</v>
      </c>
      <c r="Q305" s="140"/>
    </row>
    <row r="306" spans="1:17" ht="33.75" x14ac:dyDescent="0.25">
      <c r="A306" s="177" t="s">
        <v>7632</v>
      </c>
      <c r="B306" s="177" t="s">
        <v>7606</v>
      </c>
      <c r="C306" s="178" t="s">
        <v>266</v>
      </c>
      <c r="D306" s="178" t="s">
        <v>1</v>
      </c>
      <c r="E306" s="179" t="s">
        <v>7607</v>
      </c>
      <c r="F306" s="179">
        <v>50</v>
      </c>
      <c r="G306" s="179">
        <v>0</v>
      </c>
      <c r="H306" s="180">
        <v>0</v>
      </c>
      <c r="I306" s="181">
        <v>5.5</v>
      </c>
      <c r="J306" s="182">
        <v>7993.27</v>
      </c>
      <c r="K306" s="183">
        <f t="shared" si="121"/>
        <v>43962.99</v>
      </c>
      <c r="L306" s="181"/>
      <c r="M306" s="131"/>
      <c r="N306" s="132"/>
      <c r="O306" s="130">
        <f>SUM(L306,I306)</f>
        <v>5.5</v>
      </c>
      <c r="P306" s="131">
        <f>IF(M306&lt;&gt;"",M306,J306)</f>
        <v>7993.27</v>
      </c>
      <c r="Q306" s="132">
        <f>ROUND(O306*P306,2)</f>
        <v>43962.99</v>
      </c>
    </row>
    <row r="307" spans="1:17" x14ac:dyDescent="0.25">
      <c r="A307" s="155" t="s">
        <v>7633</v>
      </c>
      <c r="B307" s="155" t="s">
        <v>7634</v>
      </c>
      <c r="C307" s="95"/>
      <c r="D307" s="95"/>
      <c r="E307" s="96"/>
      <c r="F307" s="97"/>
      <c r="G307" s="97"/>
      <c r="H307" s="98"/>
      <c r="I307" s="156"/>
      <c r="J307" s="157" t="s">
        <v>7083</v>
      </c>
      <c r="K307" s="158"/>
      <c r="L307" s="156"/>
      <c r="M307" s="157" t="s">
        <v>7083</v>
      </c>
      <c r="N307" s="158"/>
      <c r="O307" s="156"/>
      <c r="P307" s="157" t="s">
        <v>7083</v>
      </c>
      <c r="Q307" s="158"/>
    </row>
    <row r="308" spans="1:17" x14ac:dyDescent="0.25">
      <c r="A308" s="159" t="s">
        <v>7635</v>
      </c>
      <c r="B308" s="159" t="s">
        <v>7185</v>
      </c>
      <c r="C308" s="160"/>
      <c r="D308" s="160"/>
      <c r="E308" s="161"/>
      <c r="F308" s="105"/>
      <c r="G308" s="105"/>
      <c r="H308" s="106"/>
      <c r="I308" s="162"/>
      <c r="J308" s="108" t="s">
        <v>7083</v>
      </c>
      <c r="K308" s="109"/>
      <c r="L308" s="162"/>
      <c r="M308" s="108" t="s">
        <v>7083</v>
      </c>
      <c r="N308" s="109"/>
      <c r="O308" s="162"/>
      <c r="P308" s="108" t="s">
        <v>7083</v>
      </c>
      <c r="Q308" s="109"/>
    </row>
    <row r="309" spans="1:17" x14ac:dyDescent="0.25">
      <c r="A309" s="218" t="s">
        <v>7636</v>
      </c>
      <c r="B309" s="218" t="s">
        <v>7332</v>
      </c>
      <c r="C309" s="134"/>
      <c r="D309" s="134"/>
      <c r="E309" s="135"/>
      <c r="F309" s="136"/>
      <c r="G309" s="136"/>
      <c r="H309" s="137"/>
      <c r="I309" s="219"/>
      <c r="J309" s="220" t="s">
        <v>7083</v>
      </c>
      <c r="K309" s="140"/>
      <c r="L309" s="219"/>
      <c r="M309" s="220" t="s">
        <v>7083</v>
      </c>
      <c r="N309" s="140"/>
      <c r="O309" s="219"/>
      <c r="P309" s="220" t="s">
        <v>7083</v>
      </c>
      <c r="Q309" s="140"/>
    </row>
    <row r="310" spans="1:17" ht="22.5" x14ac:dyDescent="0.25">
      <c r="A310" s="221" t="s">
        <v>7637</v>
      </c>
      <c r="B310" s="221" t="s">
        <v>7638</v>
      </c>
      <c r="C310" s="164"/>
      <c r="D310" s="164"/>
      <c r="E310" s="165"/>
      <c r="F310" s="165"/>
      <c r="G310" s="165"/>
      <c r="H310" s="166"/>
      <c r="I310" s="222"/>
      <c r="J310" s="223" t="s">
        <v>7083</v>
      </c>
      <c r="K310" s="169"/>
      <c r="L310" s="222"/>
      <c r="M310" s="223" t="s">
        <v>7083</v>
      </c>
      <c r="N310" s="169"/>
      <c r="O310" s="222"/>
      <c r="P310" s="223" t="s">
        <v>7083</v>
      </c>
      <c r="Q310" s="169"/>
    </row>
    <row r="311" spans="1:17" ht="33.75" x14ac:dyDescent="0.25">
      <c r="A311" s="177" t="s">
        <v>908</v>
      </c>
      <c r="B311" s="177" t="s">
        <v>7639</v>
      </c>
      <c r="C311" s="178" t="s">
        <v>378</v>
      </c>
      <c r="D311" s="178" t="s">
        <v>1</v>
      </c>
      <c r="E311" s="179" t="s">
        <v>7193</v>
      </c>
      <c r="F311" s="179">
        <v>70</v>
      </c>
      <c r="G311" s="179">
        <v>10</v>
      </c>
      <c r="H311" s="180">
        <v>900</v>
      </c>
      <c r="I311" s="181">
        <v>5</v>
      </c>
      <c r="J311" s="182">
        <v>481.62</v>
      </c>
      <c r="K311" s="183">
        <f t="shared" si="121"/>
        <v>2408.1</v>
      </c>
      <c r="L311" s="181"/>
      <c r="M311" s="131"/>
      <c r="N311" s="132"/>
      <c r="O311" s="130">
        <f>SUM(L311,I311)</f>
        <v>5</v>
      </c>
      <c r="P311" s="131">
        <f>IF(M311&lt;&gt;"",M311,J311)</f>
        <v>481.62</v>
      </c>
      <c r="Q311" s="132">
        <f>ROUND(O311*P311,2)</f>
        <v>2408.1</v>
      </c>
    </row>
    <row r="312" spans="1:17" x14ac:dyDescent="0.25">
      <c r="A312" s="221" t="s">
        <v>7640</v>
      </c>
      <c r="B312" s="221" t="s">
        <v>7641</v>
      </c>
      <c r="C312" s="164"/>
      <c r="D312" s="164"/>
      <c r="E312" s="165"/>
      <c r="F312" s="165"/>
      <c r="G312" s="165"/>
      <c r="H312" s="166"/>
      <c r="I312" s="222"/>
      <c r="J312" s="223" t="s">
        <v>7083</v>
      </c>
      <c r="K312" s="169"/>
      <c r="L312" s="222"/>
      <c r="M312" s="223" t="s">
        <v>7083</v>
      </c>
      <c r="N312" s="169"/>
      <c r="O312" s="222"/>
      <c r="P312" s="223" t="s">
        <v>7083</v>
      </c>
      <c r="Q312" s="169"/>
    </row>
    <row r="313" spans="1:17" x14ac:dyDescent="0.25">
      <c r="A313" s="177" t="s">
        <v>7642</v>
      </c>
      <c r="B313" s="177" t="s">
        <v>7643</v>
      </c>
      <c r="C313" s="178" t="s">
        <v>88</v>
      </c>
      <c r="D313" s="178" t="s">
        <v>1</v>
      </c>
      <c r="E313" s="179" t="s">
        <v>7079</v>
      </c>
      <c r="F313" s="179">
        <v>50</v>
      </c>
      <c r="G313" s="179">
        <v>5</v>
      </c>
      <c r="H313" s="180">
        <v>911</v>
      </c>
      <c r="I313" s="181">
        <v>4</v>
      </c>
      <c r="J313" s="182">
        <v>2680.96</v>
      </c>
      <c r="K313" s="183">
        <f t="shared" si="121"/>
        <v>10723.84</v>
      </c>
      <c r="L313" s="181"/>
      <c r="M313" s="131"/>
      <c r="N313" s="132"/>
      <c r="O313" s="130">
        <f>SUM(L313,I313)</f>
        <v>4</v>
      </c>
      <c r="P313" s="131">
        <f>IF(M313&lt;&gt;"",M313,J313)</f>
        <v>2680.96</v>
      </c>
      <c r="Q313" s="132">
        <f>ROUND(O313*P313,2)</f>
        <v>10723.84</v>
      </c>
    </row>
    <row r="314" spans="1:17" x14ac:dyDescent="0.25">
      <c r="A314" s="159" t="s">
        <v>7644</v>
      </c>
      <c r="B314" s="159" t="s">
        <v>7552</v>
      </c>
      <c r="C314" s="160"/>
      <c r="D314" s="160"/>
      <c r="E314" s="161"/>
      <c r="F314" s="105"/>
      <c r="G314" s="105"/>
      <c r="H314" s="106"/>
      <c r="I314" s="162"/>
      <c r="J314" s="108" t="s">
        <v>7083</v>
      </c>
      <c r="K314" s="109"/>
      <c r="L314" s="162"/>
      <c r="M314" s="108" t="s">
        <v>7083</v>
      </c>
      <c r="N314" s="109"/>
      <c r="O314" s="162"/>
      <c r="P314" s="108" t="s">
        <v>7083</v>
      </c>
      <c r="Q314" s="109"/>
    </row>
    <row r="315" spans="1:17" x14ac:dyDescent="0.25">
      <c r="A315" s="218" t="s">
        <v>7645</v>
      </c>
      <c r="B315" s="218" t="s">
        <v>7646</v>
      </c>
      <c r="C315" s="134"/>
      <c r="D315" s="134"/>
      <c r="E315" s="135"/>
      <c r="F315" s="136"/>
      <c r="G315" s="136"/>
      <c r="H315" s="137"/>
      <c r="I315" s="219"/>
      <c r="J315" s="220" t="s">
        <v>7083</v>
      </c>
      <c r="K315" s="140"/>
      <c r="L315" s="219"/>
      <c r="M315" s="220" t="s">
        <v>7083</v>
      </c>
      <c r="N315" s="140"/>
      <c r="O315" s="219"/>
      <c r="P315" s="220" t="s">
        <v>7083</v>
      </c>
      <c r="Q315" s="140"/>
    </row>
    <row r="316" spans="1:17" x14ac:dyDescent="0.25">
      <c r="A316" s="221" t="s">
        <v>7647</v>
      </c>
      <c r="B316" s="221" t="s">
        <v>7648</v>
      </c>
      <c r="C316" s="164"/>
      <c r="D316" s="164"/>
      <c r="E316" s="165"/>
      <c r="F316" s="165"/>
      <c r="G316" s="165"/>
      <c r="H316" s="166"/>
      <c r="I316" s="222"/>
      <c r="J316" s="223" t="s">
        <v>7083</v>
      </c>
      <c r="K316" s="169"/>
      <c r="L316" s="222"/>
      <c r="M316" s="223" t="s">
        <v>7083</v>
      </c>
      <c r="N316" s="169"/>
      <c r="O316" s="222"/>
      <c r="P316" s="223" t="s">
        <v>7083</v>
      </c>
      <c r="Q316" s="169"/>
    </row>
    <row r="317" spans="1:17" x14ac:dyDescent="0.25">
      <c r="A317" s="177" t="s">
        <v>1732</v>
      </c>
      <c r="B317" s="177" t="s">
        <v>7649</v>
      </c>
      <c r="C317" s="178" t="s">
        <v>911</v>
      </c>
      <c r="D317" s="178" t="s">
        <v>1</v>
      </c>
      <c r="E317" s="179" t="s">
        <v>7504</v>
      </c>
      <c r="F317" s="179">
        <v>10</v>
      </c>
      <c r="G317" s="179">
        <v>10</v>
      </c>
      <c r="H317" s="180">
        <v>0</v>
      </c>
      <c r="I317" s="181">
        <v>3</v>
      </c>
      <c r="J317" s="182">
        <v>25898.1</v>
      </c>
      <c r="K317" s="183">
        <f t="shared" si="121"/>
        <v>77694.3</v>
      </c>
      <c r="L317" s="181"/>
      <c r="M317" s="131"/>
      <c r="N317" s="132"/>
      <c r="O317" s="130">
        <f t="shared" ref="O317:O318" si="134">SUM(L317,I317)</f>
        <v>3</v>
      </c>
      <c r="P317" s="131">
        <f t="shared" ref="P317:P318" si="135">IF(M317&lt;&gt;"",M317,J317)</f>
        <v>25898.1</v>
      </c>
      <c r="Q317" s="132">
        <f t="shared" ref="Q317:Q318" si="136">ROUND(O317*P317,2)</f>
        <v>77694.3</v>
      </c>
    </row>
    <row r="318" spans="1:17" x14ac:dyDescent="0.25">
      <c r="A318" s="177" t="s">
        <v>1735</v>
      </c>
      <c r="B318" s="177" t="s">
        <v>7650</v>
      </c>
      <c r="C318" s="178" t="s">
        <v>911</v>
      </c>
      <c r="D318" s="178" t="s">
        <v>1</v>
      </c>
      <c r="E318" s="179" t="s">
        <v>7504</v>
      </c>
      <c r="F318" s="179">
        <v>10</v>
      </c>
      <c r="G318" s="179">
        <v>10</v>
      </c>
      <c r="H318" s="180">
        <v>0</v>
      </c>
      <c r="I318" s="181">
        <v>1</v>
      </c>
      <c r="J318" s="182">
        <v>11829.97</v>
      </c>
      <c r="K318" s="183">
        <f t="shared" si="121"/>
        <v>11829.97</v>
      </c>
      <c r="L318" s="181"/>
      <c r="M318" s="131"/>
      <c r="N318" s="132"/>
      <c r="O318" s="130">
        <f t="shared" si="134"/>
        <v>1</v>
      </c>
      <c r="P318" s="131">
        <f t="shared" si="135"/>
        <v>11829.97</v>
      </c>
      <c r="Q318" s="132">
        <f t="shared" si="136"/>
        <v>11829.97</v>
      </c>
    </row>
    <row r="319" spans="1:17" x14ac:dyDescent="0.25">
      <c r="A319" s="218" t="s">
        <v>7651</v>
      </c>
      <c r="B319" s="218" t="s">
        <v>7554</v>
      </c>
      <c r="C319" s="134"/>
      <c r="D319" s="134"/>
      <c r="E319" s="135"/>
      <c r="F319" s="136"/>
      <c r="G319" s="136"/>
      <c r="H319" s="137"/>
      <c r="I319" s="219"/>
      <c r="J319" s="220" t="s">
        <v>7083</v>
      </c>
      <c r="K319" s="140"/>
      <c r="L319" s="219"/>
      <c r="M319" s="220" t="s">
        <v>7083</v>
      </c>
      <c r="N319" s="140"/>
      <c r="O319" s="219"/>
      <c r="P319" s="220" t="s">
        <v>7083</v>
      </c>
      <c r="Q319" s="140"/>
    </row>
    <row r="320" spans="1:17" x14ac:dyDescent="0.25">
      <c r="A320" s="221" t="s">
        <v>7652</v>
      </c>
      <c r="B320" s="221" t="s">
        <v>7653</v>
      </c>
      <c r="C320" s="164"/>
      <c r="D320" s="164"/>
      <c r="E320" s="165"/>
      <c r="F320" s="165"/>
      <c r="G320" s="165"/>
      <c r="H320" s="166"/>
      <c r="I320" s="222"/>
      <c r="J320" s="223" t="s">
        <v>7083</v>
      </c>
      <c r="K320" s="169"/>
      <c r="L320" s="222"/>
      <c r="M320" s="223" t="s">
        <v>7083</v>
      </c>
      <c r="N320" s="169"/>
      <c r="O320" s="222"/>
      <c r="P320" s="223" t="s">
        <v>7083</v>
      </c>
      <c r="Q320" s="169"/>
    </row>
    <row r="321" spans="1:17" x14ac:dyDescent="0.25">
      <c r="A321" s="177" t="s">
        <v>1745</v>
      </c>
      <c r="B321" s="177" t="s">
        <v>7654</v>
      </c>
      <c r="C321" s="178" t="s">
        <v>911</v>
      </c>
      <c r="D321" s="178" t="s">
        <v>1</v>
      </c>
      <c r="E321" s="179" t="s">
        <v>7504</v>
      </c>
      <c r="F321" s="179">
        <v>20</v>
      </c>
      <c r="G321" s="179">
        <v>20</v>
      </c>
      <c r="H321" s="180">
        <v>0</v>
      </c>
      <c r="I321" s="181">
        <v>1</v>
      </c>
      <c r="J321" s="182">
        <v>4334.09</v>
      </c>
      <c r="K321" s="183">
        <f t="shared" si="121"/>
        <v>4334.09</v>
      </c>
      <c r="L321" s="181"/>
      <c r="M321" s="131"/>
      <c r="N321" s="132"/>
      <c r="O321" s="130">
        <f>SUM(L321,I321)</f>
        <v>1</v>
      </c>
      <c r="P321" s="131">
        <f>IF(M321&lt;&gt;"",M321,J321)</f>
        <v>4334.09</v>
      </c>
      <c r="Q321" s="132">
        <f>ROUND(O321*P321,2)</f>
        <v>4334.09</v>
      </c>
    </row>
    <row r="322" spans="1:17" x14ac:dyDescent="0.25">
      <c r="A322" s="159" t="s">
        <v>7655</v>
      </c>
      <c r="B322" s="159" t="s">
        <v>7602</v>
      </c>
      <c r="C322" s="160"/>
      <c r="D322" s="160"/>
      <c r="E322" s="161"/>
      <c r="F322" s="105"/>
      <c r="G322" s="105"/>
      <c r="H322" s="106"/>
      <c r="I322" s="162"/>
      <c r="J322" s="108" t="s">
        <v>7083</v>
      </c>
      <c r="K322" s="109"/>
      <c r="L322" s="162"/>
      <c r="M322" s="108" t="s">
        <v>7083</v>
      </c>
      <c r="N322" s="109"/>
      <c r="O322" s="162"/>
      <c r="P322" s="108" t="s">
        <v>7083</v>
      </c>
      <c r="Q322" s="109"/>
    </row>
    <row r="323" spans="1:17" x14ac:dyDescent="0.25">
      <c r="A323" s="218" t="s">
        <v>7656</v>
      </c>
      <c r="B323" s="218" t="s">
        <v>7657</v>
      </c>
      <c r="C323" s="134"/>
      <c r="D323" s="134"/>
      <c r="E323" s="135"/>
      <c r="F323" s="136"/>
      <c r="G323" s="136"/>
      <c r="H323" s="137"/>
      <c r="I323" s="219"/>
      <c r="J323" s="220" t="s">
        <v>7083</v>
      </c>
      <c r="K323" s="140"/>
      <c r="L323" s="219"/>
      <c r="M323" s="220" t="s">
        <v>7083</v>
      </c>
      <c r="N323" s="140"/>
      <c r="O323" s="219"/>
      <c r="P323" s="220" t="s">
        <v>7083</v>
      </c>
      <c r="Q323" s="140"/>
    </row>
    <row r="324" spans="1:17" x14ac:dyDescent="0.25">
      <c r="A324" s="177" t="s">
        <v>7658</v>
      </c>
      <c r="B324" s="177" t="s">
        <v>7659</v>
      </c>
      <c r="C324" s="178" t="s">
        <v>911</v>
      </c>
      <c r="D324" s="178" t="s">
        <v>1</v>
      </c>
      <c r="E324" s="179" t="s">
        <v>7607</v>
      </c>
      <c r="F324" s="179">
        <v>10</v>
      </c>
      <c r="G324" s="179">
        <v>20</v>
      </c>
      <c r="H324" s="180">
        <v>0</v>
      </c>
      <c r="I324" s="181">
        <v>3</v>
      </c>
      <c r="J324" s="182">
        <v>11510.3</v>
      </c>
      <c r="K324" s="183">
        <f t="shared" si="121"/>
        <v>34530.9</v>
      </c>
      <c r="L324" s="181"/>
      <c r="M324" s="131"/>
      <c r="N324" s="132"/>
      <c r="O324" s="130">
        <f t="shared" ref="O324:O326" si="137">SUM(L324,I324)</f>
        <v>3</v>
      </c>
      <c r="P324" s="131">
        <f t="shared" ref="P324:P326" si="138">IF(M324&lt;&gt;"",M324,J324)</f>
        <v>11510.3</v>
      </c>
      <c r="Q324" s="132">
        <f t="shared" ref="Q324:Q326" si="139">ROUND(O324*P324,2)</f>
        <v>34530.9</v>
      </c>
    </row>
    <row r="325" spans="1:17" x14ac:dyDescent="0.25">
      <c r="A325" s="177" t="s">
        <v>7660</v>
      </c>
      <c r="B325" s="177" t="s">
        <v>7661</v>
      </c>
      <c r="C325" s="178" t="s">
        <v>911</v>
      </c>
      <c r="D325" s="178" t="s">
        <v>1</v>
      </c>
      <c r="E325" s="179" t="s">
        <v>7607</v>
      </c>
      <c r="F325" s="179">
        <v>20</v>
      </c>
      <c r="G325" s="179">
        <v>9</v>
      </c>
      <c r="H325" s="180">
        <v>0</v>
      </c>
      <c r="I325" s="181">
        <v>1</v>
      </c>
      <c r="J325" s="182">
        <v>2167.04</v>
      </c>
      <c r="K325" s="183">
        <f t="shared" si="121"/>
        <v>2167.04</v>
      </c>
      <c r="L325" s="181"/>
      <c r="M325" s="131"/>
      <c r="N325" s="132"/>
      <c r="O325" s="130">
        <f t="shared" si="137"/>
        <v>1</v>
      </c>
      <c r="P325" s="131">
        <f t="shared" si="138"/>
        <v>2167.04</v>
      </c>
      <c r="Q325" s="132">
        <f t="shared" si="139"/>
        <v>2167.04</v>
      </c>
    </row>
    <row r="326" spans="1:17" x14ac:dyDescent="0.25">
      <c r="A326" s="177" t="s">
        <v>7662</v>
      </c>
      <c r="B326" s="177" t="s">
        <v>7663</v>
      </c>
      <c r="C326" s="178" t="s">
        <v>911</v>
      </c>
      <c r="D326" s="178" t="s">
        <v>1</v>
      </c>
      <c r="E326" s="179" t="s">
        <v>7607</v>
      </c>
      <c r="F326" s="179">
        <v>10</v>
      </c>
      <c r="G326" s="179">
        <v>20</v>
      </c>
      <c r="H326" s="180">
        <v>0</v>
      </c>
      <c r="I326" s="181">
        <v>1</v>
      </c>
      <c r="J326" s="182">
        <v>7105.09</v>
      </c>
      <c r="K326" s="183">
        <f t="shared" si="121"/>
        <v>7105.09</v>
      </c>
      <c r="L326" s="181"/>
      <c r="M326" s="131"/>
      <c r="N326" s="132"/>
      <c r="O326" s="130">
        <f t="shared" si="137"/>
        <v>1</v>
      </c>
      <c r="P326" s="131">
        <f t="shared" si="138"/>
        <v>7105.09</v>
      </c>
      <c r="Q326" s="132">
        <f t="shared" si="139"/>
        <v>7105.09</v>
      </c>
    </row>
    <row r="327" spans="1:17" x14ac:dyDescent="0.25">
      <c r="A327" s="155" t="s">
        <v>7664</v>
      </c>
      <c r="B327" s="155" t="s">
        <v>7665</v>
      </c>
      <c r="C327" s="95"/>
      <c r="D327" s="95"/>
      <c r="E327" s="96"/>
      <c r="F327" s="97"/>
      <c r="G327" s="97"/>
      <c r="H327" s="98"/>
      <c r="I327" s="156"/>
      <c r="J327" s="157" t="s">
        <v>7083</v>
      </c>
      <c r="K327" s="158"/>
      <c r="L327" s="156"/>
      <c r="M327" s="157" t="s">
        <v>7083</v>
      </c>
      <c r="N327" s="158"/>
      <c r="O327" s="156"/>
      <c r="P327" s="157" t="s">
        <v>7083</v>
      </c>
      <c r="Q327" s="158"/>
    </row>
    <row r="328" spans="1:17" x14ac:dyDescent="0.25">
      <c r="A328" s="133" t="s">
        <v>7666</v>
      </c>
      <c r="B328" s="133" t="s">
        <v>7667</v>
      </c>
      <c r="C328" s="134"/>
      <c r="D328" s="134"/>
      <c r="E328" s="135"/>
      <c r="F328" s="136"/>
      <c r="G328" s="136"/>
      <c r="H328" s="137"/>
      <c r="I328" s="138"/>
      <c r="J328" s="139" t="s">
        <v>7083</v>
      </c>
      <c r="K328" s="140"/>
      <c r="L328" s="138"/>
      <c r="M328" s="139" t="s">
        <v>7083</v>
      </c>
      <c r="N328" s="140"/>
      <c r="O328" s="138"/>
      <c r="P328" s="139" t="s">
        <v>7083</v>
      </c>
      <c r="Q328" s="140"/>
    </row>
    <row r="329" spans="1:17" x14ac:dyDescent="0.25">
      <c r="A329" s="177" t="s">
        <v>7668</v>
      </c>
      <c r="B329" s="177" t="s">
        <v>7669</v>
      </c>
      <c r="C329" s="178" t="s">
        <v>524</v>
      </c>
      <c r="D329" s="178" t="s">
        <v>1</v>
      </c>
      <c r="E329" s="179" t="s">
        <v>7670</v>
      </c>
      <c r="F329" s="179">
        <v>50</v>
      </c>
      <c r="G329" s="179">
        <v>50</v>
      </c>
      <c r="H329" s="180">
        <v>0</v>
      </c>
      <c r="I329" s="181">
        <v>2000</v>
      </c>
      <c r="J329" s="182">
        <v>58.58</v>
      </c>
      <c r="K329" s="183">
        <f t="shared" ref="K329:K331" si="140">ROUND(I329*J329,2)</f>
        <v>117160</v>
      </c>
      <c r="L329" s="181"/>
      <c r="M329" s="131"/>
      <c r="N329" s="132"/>
      <c r="O329" s="130">
        <f t="shared" ref="O329:O331" si="141">SUM(L329,I329)</f>
        <v>2000</v>
      </c>
      <c r="P329" s="131">
        <f t="shared" ref="P329:P331" si="142">IF(M329&lt;&gt;"",M329,J329)</f>
        <v>58.58</v>
      </c>
      <c r="Q329" s="132">
        <f t="shared" ref="Q329:Q331" si="143">ROUND(O329*P329,2)</f>
        <v>117160</v>
      </c>
    </row>
    <row r="330" spans="1:17" x14ac:dyDescent="0.25">
      <c r="A330" s="224" t="s">
        <v>7671</v>
      </c>
      <c r="B330" s="224" t="s">
        <v>7672</v>
      </c>
      <c r="C330" s="225" t="s">
        <v>524</v>
      </c>
      <c r="D330" s="225" t="s">
        <v>1</v>
      </c>
      <c r="E330" s="226" t="s">
        <v>7670</v>
      </c>
      <c r="F330" s="226">
        <v>50</v>
      </c>
      <c r="G330" s="226">
        <v>50</v>
      </c>
      <c r="H330" s="180">
        <v>0</v>
      </c>
      <c r="I330" s="181">
        <v>1000</v>
      </c>
      <c r="J330" s="227">
        <v>46.6</v>
      </c>
      <c r="K330" s="228">
        <f t="shared" si="140"/>
        <v>46600</v>
      </c>
      <c r="L330" s="181"/>
      <c r="M330" s="131"/>
      <c r="N330" s="132"/>
      <c r="O330" s="130">
        <f t="shared" si="141"/>
        <v>1000</v>
      </c>
      <c r="P330" s="131">
        <f t="shared" si="142"/>
        <v>46.6</v>
      </c>
      <c r="Q330" s="132">
        <f t="shared" si="143"/>
        <v>46600</v>
      </c>
    </row>
    <row r="331" spans="1:17" x14ac:dyDescent="0.25">
      <c r="A331" s="224" t="s">
        <v>7673</v>
      </c>
      <c r="B331" s="224" t="s">
        <v>7674</v>
      </c>
      <c r="C331" s="225" t="s">
        <v>524</v>
      </c>
      <c r="D331" s="225" t="s">
        <v>1</v>
      </c>
      <c r="E331" s="226" t="s">
        <v>7675</v>
      </c>
      <c r="F331" s="226">
        <v>5</v>
      </c>
      <c r="G331" s="226">
        <v>5</v>
      </c>
      <c r="H331" s="180">
        <v>10</v>
      </c>
      <c r="I331" s="229">
        <v>200</v>
      </c>
      <c r="J331" s="227">
        <v>274.31</v>
      </c>
      <c r="K331" s="228">
        <f t="shared" si="140"/>
        <v>54862</v>
      </c>
      <c r="L331" s="229"/>
      <c r="M331" s="131"/>
      <c r="N331" s="132"/>
      <c r="O331" s="130">
        <f t="shared" si="141"/>
        <v>200</v>
      </c>
      <c r="P331" s="131">
        <f t="shared" si="142"/>
        <v>274.31</v>
      </c>
      <c r="Q331" s="132">
        <f t="shared" si="143"/>
        <v>54862</v>
      </c>
    </row>
    <row r="332" spans="1:17" x14ac:dyDescent="0.25">
      <c r="A332" s="133" t="s">
        <v>7676</v>
      </c>
      <c r="B332" s="133" t="s">
        <v>7677</v>
      </c>
      <c r="C332" s="134"/>
      <c r="D332" s="134"/>
      <c r="E332" s="135"/>
      <c r="F332" s="136"/>
      <c r="G332" s="136"/>
      <c r="H332" s="137"/>
      <c r="I332" s="138"/>
      <c r="J332" s="139" t="s">
        <v>7083</v>
      </c>
      <c r="K332" s="140"/>
      <c r="L332" s="138"/>
      <c r="M332" s="139" t="s">
        <v>7083</v>
      </c>
      <c r="N332" s="140"/>
      <c r="O332" s="138"/>
      <c r="P332" s="139" t="s">
        <v>7083</v>
      </c>
      <c r="Q332" s="140"/>
    </row>
    <row r="333" spans="1:17" x14ac:dyDescent="0.25">
      <c r="A333" s="177" t="s">
        <v>7678</v>
      </c>
      <c r="B333" s="177" t="s">
        <v>7679</v>
      </c>
      <c r="C333" s="178" t="s">
        <v>524</v>
      </c>
      <c r="D333" s="178" t="s">
        <v>1</v>
      </c>
      <c r="E333" s="179" t="s">
        <v>7670</v>
      </c>
      <c r="F333" s="179">
        <v>50</v>
      </c>
      <c r="G333" s="179">
        <v>50</v>
      </c>
      <c r="H333" s="180">
        <v>0</v>
      </c>
      <c r="I333" s="181">
        <v>6000</v>
      </c>
      <c r="J333" s="182">
        <v>58.58</v>
      </c>
      <c r="K333" s="183">
        <f t="shared" ref="K333:K334" si="144">ROUND(I333*J333,2)</f>
        <v>351480</v>
      </c>
      <c r="L333" s="181"/>
      <c r="M333" s="131"/>
      <c r="N333" s="132"/>
      <c r="O333" s="130">
        <f t="shared" ref="O333:O334" si="145">SUM(L333,I333)</f>
        <v>6000</v>
      </c>
      <c r="P333" s="131">
        <f t="shared" ref="P333:P334" si="146">IF(M333&lt;&gt;"",M333,J333)</f>
        <v>58.58</v>
      </c>
      <c r="Q333" s="132">
        <f t="shared" ref="Q333:Q334" si="147">ROUND(O333*P333,2)</f>
        <v>351480</v>
      </c>
    </row>
    <row r="334" spans="1:17" x14ac:dyDescent="0.25">
      <c r="A334" s="224" t="s">
        <v>7680</v>
      </c>
      <c r="B334" s="224" t="s">
        <v>7681</v>
      </c>
      <c r="C334" s="225" t="s">
        <v>524</v>
      </c>
      <c r="D334" s="225" t="s">
        <v>1</v>
      </c>
      <c r="E334" s="226" t="s">
        <v>7670</v>
      </c>
      <c r="F334" s="226">
        <v>50</v>
      </c>
      <c r="G334" s="226">
        <v>50</v>
      </c>
      <c r="H334" s="180">
        <v>0</v>
      </c>
      <c r="I334" s="181">
        <v>-500</v>
      </c>
      <c r="J334" s="227">
        <v>46.6</v>
      </c>
      <c r="K334" s="228">
        <f t="shared" si="144"/>
        <v>-23300</v>
      </c>
      <c r="L334" s="181">
        <v>3000</v>
      </c>
      <c r="M334" s="131">
        <f>J334</f>
        <v>46.6</v>
      </c>
      <c r="N334" s="183">
        <f t="shared" ref="N334" si="148">ROUND(L334*M334,2)</f>
        <v>139800</v>
      </c>
      <c r="O334" s="130">
        <f t="shared" si="145"/>
        <v>2500</v>
      </c>
      <c r="P334" s="131">
        <f t="shared" si="146"/>
        <v>46.6</v>
      </c>
      <c r="Q334" s="132">
        <f t="shared" si="147"/>
        <v>116500</v>
      </c>
    </row>
    <row r="335" spans="1:17" x14ac:dyDescent="0.25">
      <c r="A335" s="155">
        <v>6</v>
      </c>
      <c r="B335" s="155" t="s">
        <v>7682</v>
      </c>
      <c r="C335" s="95"/>
      <c r="D335" s="95"/>
      <c r="E335" s="96"/>
      <c r="F335" s="97"/>
      <c r="G335" s="97"/>
      <c r="H335" s="98"/>
      <c r="I335" s="156"/>
      <c r="J335" s="157" t="s">
        <v>7083</v>
      </c>
      <c r="K335" s="158"/>
      <c r="L335" s="156"/>
      <c r="M335" s="157" t="s">
        <v>7083</v>
      </c>
      <c r="N335" s="158"/>
      <c r="O335" s="156"/>
      <c r="P335" s="157" t="s">
        <v>7083</v>
      </c>
      <c r="Q335" s="158"/>
    </row>
    <row r="336" spans="1:17" x14ac:dyDescent="0.25">
      <c r="A336" s="230" t="s">
        <v>7683</v>
      </c>
      <c r="B336" s="231" t="s">
        <v>7082</v>
      </c>
      <c r="C336" s="232"/>
      <c r="D336" s="233"/>
      <c r="E336" s="234"/>
      <c r="F336" s="235"/>
      <c r="G336" s="235"/>
      <c r="H336" s="236"/>
      <c r="I336" s="237"/>
      <c r="J336" s="237"/>
      <c r="K336" s="237"/>
      <c r="L336" s="237"/>
      <c r="M336" s="237"/>
      <c r="N336" s="237"/>
      <c r="O336" s="237"/>
      <c r="P336" s="237"/>
      <c r="Q336" s="237"/>
    </row>
    <row r="337" spans="1:17" x14ac:dyDescent="0.25">
      <c r="A337" s="238" t="s">
        <v>7684</v>
      </c>
      <c r="B337" s="239" t="s">
        <v>7085</v>
      </c>
      <c r="C337" s="240"/>
      <c r="D337" s="241"/>
      <c r="E337" s="242"/>
      <c r="F337" s="243"/>
      <c r="G337" s="243"/>
      <c r="H337" s="244"/>
      <c r="I337" s="245"/>
      <c r="J337" s="245"/>
      <c r="K337" s="245"/>
      <c r="L337" s="245"/>
      <c r="M337" s="245"/>
      <c r="N337" s="245"/>
      <c r="O337" s="245"/>
      <c r="P337" s="245"/>
      <c r="Q337" s="245"/>
    </row>
    <row r="338" spans="1:17" x14ac:dyDescent="0.25">
      <c r="A338" s="246" t="s">
        <v>7685</v>
      </c>
      <c r="B338" s="247" t="s">
        <v>7686</v>
      </c>
      <c r="C338" s="248" t="s">
        <v>48</v>
      </c>
      <c r="D338" s="249" t="s">
        <v>1</v>
      </c>
      <c r="E338" s="250" t="s">
        <v>7079</v>
      </c>
      <c r="F338" s="250">
        <v>50</v>
      </c>
      <c r="G338" s="250">
        <v>50</v>
      </c>
      <c r="H338" s="251">
        <v>51</v>
      </c>
      <c r="I338" s="252">
        <v>1</v>
      </c>
      <c r="J338" s="182">
        <v>1280307.26</v>
      </c>
      <c r="K338" s="228">
        <f t="shared" ref="K338" si="149">ROUND(I338*J338,2)</f>
        <v>1280307.26</v>
      </c>
      <c r="L338" s="181"/>
      <c r="M338" s="131"/>
      <c r="N338" s="132"/>
      <c r="O338" s="130">
        <f>SUM(L338,I338)</f>
        <v>1</v>
      </c>
      <c r="P338" s="131">
        <f>IF(M338&lt;&gt;"",M338,J338)</f>
        <v>1280307.26</v>
      </c>
      <c r="Q338" s="132">
        <f>ROUND(O338*P338,2)</f>
        <v>1280307.26</v>
      </c>
    </row>
    <row r="339" spans="1:17" x14ac:dyDescent="0.25">
      <c r="A339" s="238" t="s">
        <v>7687</v>
      </c>
      <c r="B339" s="239" t="s">
        <v>7089</v>
      </c>
      <c r="C339" s="240"/>
      <c r="D339" s="241"/>
      <c r="E339" s="242"/>
      <c r="F339" s="243"/>
      <c r="G339" s="243"/>
      <c r="H339" s="244"/>
      <c r="I339" s="245"/>
      <c r="J339" s="245"/>
      <c r="K339" s="245"/>
      <c r="L339" s="245"/>
      <c r="M339" s="245"/>
      <c r="N339" s="245"/>
      <c r="O339" s="245"/>
      <c r="P339" s="245"/>
      <c r="Q339" s="245"/>
    </row>
    <row r="340" spans="1:17" x14ac:dyDescent="0.25">
      <c r="A340" s="246" t="s">
        <v>7688</v>
      </c>
      <c r="B340" s="247" t="s">
        <v>7689</v>
      </c>
      <c r="C340" s="248" t="s">
        <v>48</v>
      </c>
      <c r="D340" s="249" t="s">
        <v>1</v>
      </c>
      <c r="E340" s="250" t="s">
        <v>7079</v>
      </c>
      <c r="F340" s="250">
        <v>5</v>
      </c>
      <c r="G340" s="250">
        <v>5</v>
      </c>
      <c r="H340" s="251">
        <v>100</v>
      </c>
      <c r="I340" s="252">
        <v>1</v>
      </c>
      <c r="J340" s="182">
        <v>212893.4</v>
      </c>
      <c r="K340" s="228">
        <f t="shared" ref="K340:K343" si="150">ROUND(I340*J340,2)</f>
        <v>212893.4</v>
      </c>
      <c r="L340" s="181"/>
      <c r="M340" s="131"/>
      <c r="N340" s="132"/>
      <c r="O340" s="130">
        <f t="shared" ref="O340:O343" si="151">SUM(L340,I340)</f>
        <v>1</v>
      </c>
      <c r="P340" s="131">
        <f t="shared" ref="P340:P343" si="152">IF(M340&lt;&gt;"",M340,J340)</f>
        <v>212893.4</v>
      </c>
      <c r="Q340" s="132">
        <f t="shared" ref="Q340:Q343" si="153">ROUND(O340*P340,2)</f>
        <v>212893.4</v>
      </c>
    </row>
    <row r="341" spans="1:17" x14ac:dyDescent="0.25">
      <c r="A341" s="246" t="s">
        <v>7690</v>
      </c>
      <c r="B341" s="247" t="s">
        <v>7691</v>
      </c>
      <c r="C341" s="248" t="s">
        <v>48</v>
      </c>
      <c r="D341" s="249" t="s">
        <v>1</v>
      </c>
      <c r="E341" s="250" t="s">
        <v>7079</v>
      </c>
      <c r="F341" s="250">
        <v>5</v>
      </c>
      <c r="G341" s="250">
        <v>5</v>
      </c>
      <c r="H341" s="251">
        <v>100</v>
      </c>
      <c r="I341" s="252">
        <v>1</v>
      </c>
      <c r="J341" s="182">
        <v>172556.54</v>
      </c>
      <c r="K341" s="228">
        <f t="shared" si="150"/>
        <v>172556.54</v>
      </c>
      <c r="L341" s="181"/>
      <c r="M341" s="131"/>
      <c r="N341" s="132"/>
      <c r="O341" s="130">
        <f t="shared" si="151"/>
        <v>1</v>
      </c>
      <c r="P341" s="131">
        <f t="shared" si="152"/>
        <v>172556.54</v>
      </c>
      <c r="Q341" s="132">
        <f t="shared" si="153"/>
        <v>172556.54</v>
      </c>
    </row>
    <row r="342" spans="1:17" x14ac:dyDescent="0.25">
      <c r="A342" s="246" t="s">
        <v>7692</v>
      </c>
      <c r="B342" s="247" t="s">
        <v>7693</v>
      </c>
      <c r="C342" s="248" t="s">
        <v>48</v>
      </c>
      <c r="D342" s="249" t="s">
        <v>1</v>
      </c>
      <c r="E342" s="250" t="s">
        <v>7079</v>
      </c>
      <c r="F342" s="250">
        <v>5</v>
      </c>
      <c r="G342" s="250">
        <v>5</v>
      </c>
      <c r="H342" s="251">
        <v>200</v>
      </c>
      <c r="I342" s="252">
        <v>1</v>
      </c>
      <c r="J342" s="182">
        <v>31166.98</v>
      </c>
      <c r="K342" s="228">
        <f t="shared" si="150"/>
        <v>31166.98</v>
      </c>
      <c r="L342" s="181"/>
      <c r="M342" s="131"/>
      <c r="N342" s="132"/>
      <c r="O342" s="130">
        <f t="shared" si="151"/>
        <v>1</v>
      </c>
      <c r="P342" s="131">
        <f t="shared" si="152"/>
        <v>31166.98</v>
      </c>
      <c r="Q342" s="132">
        <f t="shared" si="153"/>
        <v>31166.98</v>
      </c>
    </row>
    <row r="343" spans="1:17" x14ac:dyDescent="0.25">
      <c r="A343" s="246" t="s">
        <v>7694</v>
      </c>
      <c r="B343" s="247" t="s">
        <v>7695</v>
      </c>
      <c r="C343" s="248" t="s">
        <v>48</v>
      </c>
      <c r="D343" s="249" t="s">
        <v>1</v>
      </c>
      <c r="E343" s="250" t="s">
        <v>7079</v>
      </c>
      <c r="F343" s="250">
        <v>5</v>
      </c>
      <c r="G343" s="250">
        <v>5</v>
      </c>
      <c r="H343" s="251">
        <v>200</v>
      </c>
      <c r="I343" s="252">
        <v>1</v>
      </c>
      <c r="J343" s="182">
        <v>15122.75</v>
      </c>
      <c r="K343" s="228">
        <f t="shared" si="150"/>
        <v>15122.75</v>
      </c>
      <c r="L343" s="181"/>
      <c r="M343" s="131"/>
      <c r="N343" s="132"/>
      <c r="O343" s="130">
        <f t="shared" si="151"/>
        <v>1</v>
      </c>
      <c r="P343" s="131">
        <f t="shared" si="152"/>
        <v>15122.75</v>
      </c>
      <c r="Q343" s="132">
        <f t="shared" si="153"/>
        <v>15122.75</v>
      </c>
    </row>
    <row r="344" spans="1:17" x14ac:dyDescent="0.25">
      <c r="A344" s="230" t="s">
        <v>7696</v>
      </c>
      <c r="B344" s="231" t="s">
        <v>7108</v>
      </c>
      <c r="C344" s="232"/>
      <c r="D344" s="233"/>
      <c r="E344" s="234"/>
      <c r="F344" s="235"/>
      <c r="G344" s="235"/>
      <c r="H344" s="236"/>
      <c r="I344" s="253"/>
      <c r="J344" s="237"/>
      <c r="K344" s="237"/>
      <c r="L344" s="253"/>
      <c r="M344" s="237"/>
      <c r="N344" s="237"/>
      <c r="O344" s="253"/>
      <c r="P344" s="237"/>
      <c r="Q344" s="237"/>
    </row>
    <row r="345" spans="1:17" x14ac:dyDescent="0.25">
      <c r="A345" s="254" t="s">
        <v>7697</v>
      </c>
      <c r="B345" s="255" t="s">
        <v>7698</v>
      </c>
      <c r="C345" s="256"/>
      <c r="D345" s="257"/>
      <c r="E345" s="258"/>
      <c r="F345" s="258"/>
      <c r="G345" s="258"/>
      <c r="H345" s="259"/>
      <c r="I345" s="260"/>
      <c r="J345" s="261"/>
      <c r="K345" s="261"/>
      <c r="L345" s="260"/>
      <c r="M345" s="261"/>
      <c r="N345" s="261"/>
      <c r="O345" s="260"/>
      <c r="P345" s="261"/>
      <c r="Q345" s="261"/>
    </row>
    <row r="346" spans="1:17" x14ac:dyDescent="0.25">
      <c r="A346" s="246" t="s">
        <v>7699</v>
      </c>
      <c r="B346" s="247" t="s">
        <v>7700</v>
      </c>
      <c r="C346" s="248" t="s">
        <v>75</v>
      </c>
      <c r="D346" s="249" t="s">
        <v>1</v>
      </c>
      <c r="E346" s="250" t="s">
        <v>7079</v>
      </c>
      <c r="F346" s="250">
        <v>25</v>
      </c>
      <c r="G346" s="250">
        <v>5</v>
      </c>
      <c r="H346" s="180">
        <v>5</v>
      </c>
      <c r="I346" s="262">
        <v>1.6</v>
      </c>
      <c r="J346" s="182">
        <v>163.22999999999999</v>
      </c>
      <c r="K346" s="228">
        <f t="shared" ref="K346:K347" si="154">ROUND(I346*J346,2)</f>
        <v>261.17</v>
      </c>
      <c r="L346" s="263"/>
      <c r="M346" s="131"/>
      <c r="N346" s="132"/>
      <c r="O346" s="130">
        <f t="shared" ref="O346:O347" si="155">SUM(L346,I346)</f>
        <v>1.6</v>
      </c>
      <c r="P346" s="131">
        <f t="shared" ref="P346:P347" si="156">IF(M346&lt;&gt;"",M346,J346)</f>
        <v>163.22999999999999</v>
      </c>
      <c r="Q346" s="132">
        <f t="shared" ref="Q346:Q347" si="157">ROUND(O346*P346,2)</f>
        <v>261.17</v>
      </c>
    </row>
    <row r="347" spans="1:17" x14ac:dyDescent="0.25">
      <c r="A347" s="246" t="s">
        <v>7701</v>
      </c>
      <c r="B347" s="247" t="s">
        <v>7702</v>
      </c>
      <c r="C347" s="248" t="s">
        <v>75</v>
      </c>
      <c r="D347" s="249" t="s">
        <v>1</v>
      </c>
      <c r="E347" s="250" t="s">
        <v>7079</v>
      </c>
      <c r="F347" s="250">
        <v>25</v>
      </c>
      <c r="G347" s="250">
        <v>5</v>
      </c>
      <c r="H347" s="180">
        <v>5</v>
      </c>
      <c r="I347" s="262">
        <v>14.4</v>
      </c>
      <c r="J347" s="182">
        <v>49.8</v>
      </c>
      <c r="K347" s="228">
        <f t="shared" si="154"/>
        <v>717.12</v>
      </c>
      <c r="L347" s="263"/>
      <c r="M347" s="131"/>
      <c r="N347" s="132"/>
      <c r="O347" s="130">
        <f t="shared" si="155"/>
        <v>14.4</v>
      </c>
      <c r="P347" s="131">
        <f t="shared" si="156"/>
        <v>49.8</v>
      </c>
      <c r="Q347" s="132">
        <f t="shared" si="157"/>
        <v>717.12</v>
      </c>
    </row>
    <row r="348" spans="1:17" x14ac:dyDescent="0.25">
      <c r="A348" s="254" t="s">
        <v>7703</v>
      </c>
      <c r="B348" s="255" t="s">
        <v>7704</v>
      </c>
      <c r="C348" s="256"/>
      <c r="D348" s="257"/>
      <c r="E348" s="258"/>
      <c r="F348" s="258"/>
      <c r="G348" s="258"/>
      <c r="H348" s="259"/>
      <c r="I348" s="260"/>
      <c r="J348" s="261"/>
      <c r="K348" s="261"/>
      <c r="L348" s="260"/>
      <c r="M348" s="261"/>
      <c r="N348" s="261"/>
      <c r="O348" s="260"/>
      <c r="P348" s="261"/>
      <c r="Q348" s="261"/>
    </row>
    <row r="349" spans="1:17" x14ac:dyDescent="0.25">
      <c r="A349" s="246" t="s">
        <v>7705</v>
      </c>
      <c r="B349" s="247" t="s">
        <v>87</v>
      </c>
      <c r="C349" s="248" t="s">
        <v>88</v>
      </c>
      <c r="D349" s="249" t="s">
        <v>1</v>
      </c>
      <c r="E349" s="250" t="s">
        <v>7079</v>
      </c>
      <c r="F349" s="250">
        <v>25</v>
      </c>
      <c r="G349" s="250" t="s">
        <v>7706</v>
      </c>
      <c r="H349" s="180">
        <v>0</v>
      </c>
      <c r="I349" s="262">
        <v>13.08</v>
      </c>
      <c r="J349" s="182">
        <v>33.42</v>
      </c>
      <c r="K349" s="228">
        <f t="shared" ref="K349:K350" si="158">ROUND(I349*J349,2)</f>
        <v>437.13</v>
      </c>
      <c r="L349" s="263"/>
      <c r="M349" s="131"/>
      <c r="N349" s="132"/>
      <c r="O349" s="130">
        <f t="shared" ref="O349:O350" si="159">SUM(L349,I349)</f>
        <v>13.08</v>
      </c>
      <c r="P349" s="131">
        <f t="shared" ref="P349:P350" si="160">IF(M349&lt;&gt;"",M349,J349)</f>
        <v>33.42</v>
      </c>
      <c r="Q349" s="132">
        <f t="shared" ref="Q349:Q350" si="161">ROUND(O349*P349,2)</f>
        <v>437.13</v>
      </c>
    </row>
    <row r="350" spans="1:17" x14ac:dyDescent="0.25">
      <c r="A350" s="246" t="s">
        <v>7707</v>
      </c>
      <c r="B350" s="247" t="s">
        <v>7708</v>
      </c>
      <c r="C350" s="248" t="s">
        <v>88</v>
      </c>
      <c r="D350" s="249" t="s">
        <v>1</v>
      </c>
      <c r="E350" s="250" t="s">
        <v>7079</v>
      </c>
      <c r="F350" s="250">
        <v>25</v>
      </c>
      <c r="G350" s="250" t="s">
        <v>7706</v>
      </c>
      <c r="H350" s="180" t="s">
        <v>7709</v>
      </c>
      <c r="I350" s="262">
        <v>38.54</v>
      </c>
      <c r="J350" s="182">
        <v>108.31</v>
      </c>
      <c r="K350" s="228">
        <f t="shared" si="158"/>
        <v>4174.2700000000004</v>
      </c>
      <c r="L350" s="263"/>
      <c r="M350" s="131"/>
      <c r="N350" s="132"/>
      <c r="O350" s="130">
        <f t="shared" si="159"/>
        <v>38.54</v>
      </c>
      <c r="P350" s="131">
        <f t="shared" si="160"/>
        <v>108.31</v>
      </c>
      <c r="Q350" s="132">
        <f t="shared" si="161"/>
        <v>4174.2700000000004</v>
      </c>
    </row>
    <row r="351" spans="1:17" x14ac:dyDescent="0.25">
      <c r="A351" s="254" t="s">
        <v>7710</v>
      </c>
      <c r="B351" s="255" t="s">
        <v>7711</v>
      </c>
      <c r="C351" s="256"/>
      <c r="D351" s="257"/>
      <c r="E351" s="258"/>
      <c r="F351" s="258"/>
      <c r="G351" s="258"/>
      <c r="H351" s="259"/>
      <c r="I351" s="260"/>
      <c r="J351" s="261"/>
      <c r="K351" s="261"/>
      <c r="L351" s="260"/>
      <c r="M351" s="261"/>
      <c r="N351" s="261"/>
      <c r="O351" s="260"/>
      <c r="P351" s="261"/>
      <c r="Q351" s="261"/>
    </row>
    <row r="352" spans="1:17" x14ac:dyDescent="0.25">
      <c r="A352" s="246" t="s">
        <v>7712</v>
      </c>
      <c r="B352" s="247" t="s">
        <v>97</v>
      </c>
      <c r="C352" s="248" t="s">
        <v>75</v>
      </c>
      <c r="D352" s="249" t="s">
        <v>1</v>
      </c>
      <c r="E352" s="250" t="s">
        <v>7079</v>
      </c>
      <c r="F352" s="250">
        <v>25</v>
      </c>
      <c r="G352" s="250" t="s">
        <v>7713</v>
      </c>
      <c r="H352" s="180">
        <v>0</v>
      </c>
      <c r="I352" s="262">
        <v>1.21</v>
      </c>
      <c r="J352" s="182">
        <v>128.54</v>
      </c>
      <c r="K352" s="228">
        <f t="shared" ref="K352" si="162">ROUND(I352*J352,2)</f>
        <v>155.53</v>
      </c>
      <c r="L352" s="263"/>
      <c r="M352" s="131"/>
      <c r="N352" s="132"/>
      <c r="O352" s="130">
        <f>SUM(L352,I352)</f>
        <v>1.21</v>
      </c>
      <c r="P352" s="131">
        <f>IF(M352&lt;&gt;"",M352,J352)</f>
        <v>128.54</v>
      </c>
      <c r="Q352" s="132">
        <f>ROUND(O352*P352,2)</f>
        <v>155.53</v>
      </c>
    </row>
    <row r="353" spans="1:17" x14ac:dyDescent="0.25">
      <c r="A353" s="254" t="s">
        <v>7714</v>
      </c>
      <c r="B353" s="255" t="s">
        <v>7715</v>
      </c>
      <c r="C353" s="256"/>
      <c r="D353" s="257"/>
      <c r="E353" s="258"/>
      <c r="F353" s="258"/>
      <c r="G353" s="258"/>
      <c r="H353" s="259"/>
      <c r="I353" s="260"/>
      <c r="J353" s="261"/>
      <c r="K353" s="261"/>
      <c r="L353" s="260"/>
      <c r="M353" s="261"/>
      <c r="N353" s="261"/>
      <c r="O353" s="260"/>
      <c r="P353" s="261"/>
      <c r="Q353" s="261"/>
    </row>
    <row r="354" spans="1:17" ht="22.5" x14ac:dyDescent="0.25">
      <c r="A354" s="246" t="s">
        <v>7716</v>
      </c>
      <c r="B354" s="247" t="s">
        <v>7717</v>
      </c>
      <c r="C354" s="248" t="s">
        <v>75</v>
      </c>
      <c r="D354" s="249" t="s">
        <v>1</v>
      </c>
      <c r="E354" s="250" t="s">
        <v>7079</v>
      </c>
      <c r="F354" s="250">
        <v>25</v>
      </c>
      <c r="G354" s="250">
        <v>20</v>
      </c>
      <c r="H354" s="180">
        <v>0</v>
      </c>
      <c r="I354" s="262">
        <v>12.18</v>
      </c>
      <c r="J354" s="182">
        <v>32.020000000000003</v>
      </c>
      <c r="K354" s="228">
        <f t="shared" ref="K354" si="163">ROUND(I354*J354,2)</f>
        <v>390</v>
      </c>
      <c r="L354" s="263"/>
      <c r="M354" s="131"/>
      <c r="N354" s="132"/>
      <c r="O354" s="130">
        <f>SUM(L354,I354)</f>
        <v>12.18</v>
      </c>
      <c r="P354" s="131">
        <f>IF(M354&lt;&gt;"",M354,J354)</f>
        <v>32.020000000000003</v>
      </c>
      <c r="Q354" s="132">
        <f>ROUND(O354*P354,2)</f>
        <v>390</v>
      </c>
    </row>
    <row r="355" spans="1:17" x14ac:dyDescent="0.25">
      <c r="A355" s="254" t="s">
        <v>7718</v>
      </c>
      <c r="B355" s="255" t="s">
        <v>7719</v>
      </c>
      <c r="C355" s="256"/>
      <c r="D355" s="257"/>
      <c r="E355" s="258"/>
      <c r="F355" s="258"/>
      <c r="G355" s="258"/>
      <c r="H355" s="259"/>
      <c r="I355" s="260"/>
      <c r="J355" s="261"/>
      <c r="K355" s="261"/>
      <c r="L355" s="260"/>
      <c r="M355" s="261"/>
      <c r="N355" s="261"/>
      <c r="O355" s="260"/>
      <c r="P355" s="261"/>
      <c r="Q355" s="261"/>
    </row>
    <row r="356" spans="1:17" x14ac:dyDescent="0.25">
      <c r="A356" s="246" t="s">
        <v>7720</v>
      </c>
      <c r="B356" s="247" t="s">
        <v>7721</v>
      </c>
      <c r="C356" s="248" t="s">
        <v>108</v>
      </c>
      <c r="D356" s="249" t="s">
        <v>1</v>
      </c>
      <c r="E356" s="250" t="s">
        <v>7079</v>
      </c>
      <c r="F356" s="250">
        <v>25</v>
      </c>
      <c r="G356" s="250">
        <v>30</v>
      </c>
      <c r="H356" s="180">
        <v>0</v>
      </c>
      <c r="I356" s="262">
        <v>24.36</v>
      </c>
      <c r="J356" s="182">
        <v>10.210000000000001</v>
      </c>
      <c r="K356" s="228">
        <f t="shared" ref="K356" si="164">ROUND(I356*J356,2)</f>
        <v>248.72</v>
      </c>
      <c r="L356" s="263"/>
      <c r="M356" s="131"/>
      <c r="N356" s="132"/>
      <c r="O356" s="130">
        <f>SUM(L356,I356)</f>
        <v>24.36</v>
      </c>
      <c r="P356" s="131">
        <f>IF(M356&lt;&gt;"",M356,J356)</f>
        <v>10.210000000000001</v>
      </c>
      <c r="Q356" s="132">
        <f>ROUND(O356*P356,2)</f>
        <v>248.72</v>
      </c>
    </row>
    <row r="357" spans="1:17" x14ac:dyDescent="0.25">
      <c r="A357" s="254" t="s">
        <v>7722</v>
      </c>
      <c r="B357" s="255" t="s">
        <v>7723</v>
      </c>
      <c r="C357" s="256"/>
      <c r="D357" s="257"/>
      <c r="E357" s="258"/>
      <c r="F357" s="258"/>
      <c r="G357" s="258"/>
      <c r="H357" s="259"/>
      <c r="I357" s="260"/>
      <c r="J357" s="261"/>
      <c r="K357" s="261"/>
      <c r="L357" s="260"/>
      <c r="M357" s="261"/>
      <c r="N357" s="261"/>
      <c r="O357" s="260"/>
      <c r="P357" s="261"/>
      <c r="Q357" s="261"/>
    </row>
    <row r="358" spans="1:17" x14ac:dyDescent="0.25">
      <c r="A358" s="246" t="s">
        <v>7724</v>
      </c>
      <c r="B358" s="247" t="s">
        <v>7128</v>
      </c>
      <c r="C358" s="248" t="s">
        <v>88</v>
      </c>
      <c r="D358" s="249" t="s">
        <v>1</v>
      </c>
      <c r="E358" s="250" t="s">
        <v>7079</v>
      </c>
      <c r="F358" s="250">
        <v>65</v>
      </c>
      <c r="G358" s="250">
        <v>5</v>
      </c>
      <c r="H358" s="180">
        <v>0</v>
      </c>
      <c r="I358" s="262">
        <v>15.23</v>
      </c>
      <c r="J358" s="182">
        <v>233.38</v>
      </c>
      <c r="K358" s="228">
        <f t="shared" ref="K358" si="165">ROUND(I358*J358,2)</f>
        <v>3554.38</v>
      </c>
      <c r="L358" s="263"/>
      <c r="M358" s="131"/>
      <c r="N358" s="132"/>
      <c r="O358" s="130">
        <f>SUM(L358,I358)</f>
        <v>15.23</v>
      </c>
      <c r="P358" s="131">
        <f>IF(M358&lt;&gt;"",M358,J358)</f>
        <v>233.38</v>
      </c>
      <c r="Q358" s="132">
        <f>ROUND(O358*P358,2)</f>
        <v>3554.38</v>
      </c>
    </row>
    <row r="359" spans="1:17" ht="22.5" x14ac:dyDescent="0.25">
      <c r="A359" s="254" t="s">
        <v>7725</v>
      </c>
      <c r="B359" s="255" t="s">
        <v>7132</v>
      </c>
      <c r="C359" s="256"/>
      <c r="D359" s="257"/>
      <c r="E359" s="258"/>
      <c r="F359" s="258"/>
      <c r="G359" s="258"/>
      <c r="H359" s="259"/>
      <c r="I359" s="260"/>
      <c r="J359" s="261"/>
      <c r="K359" s="261"/>
      <c r="L359" s="260"/>
      <c r="M359" s="261"/>
      <c r="N359" s="261"/>
      <c r="O359" s="260"/>
      <c r="P359" s="261"/>
      <c r="Q359" s="261"/>
    </row>
    <row r="360" spans="1:17" x14ac:dyDescent="0.25">
      <c r="A360" s="246" t="s">
        <v>7726</v>
      </c>
      <c r="B360" s="247" t="s">
        <v>148</v>
      </c>
      <c r="C360" s="248" t="s">
        <v>149</v>
      </c>
      <c r="D360" s="249" t="s">
        <v>1</v>
      </c>
      <c r="E360" s="250" t="s">
        <v>7079</v>
      </c>
      <c r="F360" s="250">
        <v>65</v>
      </c>
      <c r="G360" s="250">
        <v>10</v>
      </c>
      <c r="H360" s="180">
        <v>0</v>
      </c>
      <c r="I360" s="262">
        <v>515.04</v>
      </c>
      <c r="J360" s="182">
        <v>17.809999999999999</v>
      </c>
      <c r="K360" s="228">
        <f t="shared" ref="K360" si="166">ROUND(I360*J360,2)</f>
        <v>9172.86</v>
      </c>
      <c r="L360" s="263"/>
      <c r="M360" s="131"/>
      <c r="N360" s="132"/>
      <c r="O360" s="130">
        <f>SUM(L360,I360)</f>
        <v>515.04</v>
      </c>
      <c r="P360" s="131">
        <f>IF(M360&lt;&gt;"",M360,J360)</f>
        <v>17.809999999999999</v>
      </c>
      <c r="Q360" s="132">
        <f>ROUND(O360*P360,2)</f>
        <v>9172.86</v>
      </c>
    </row>
    <row r="361" spans="1:17" ht="22.5" x14ac:dyDescent="0.25">
      <c r="A361" s="254" t="s">
        <v>7727</v>
      </c>
      <c r="B361" s="255" t="s">
        <v>7137</v>
      </c>
      <c r="C361" s="256"/>
      <c r="D361" s="257"/>
      <c r="E361" s="258"/>
      <c r="F361" s="258"/>
      <c r="G361" s="258"/>
      <c r="H361" s="259"/>
      <c r="I361" s="260"/>
      <c r="J361" s="261"/>
      <c r="K361" s="261"/>
      <c r="L361" s="260"/>
      <c r="M361" s="261"/>
      <c r="N361" s="261"/>
      <c r="O361" s="260"/>
      <c r="P361" s="261"/>
      <c r="Q361" s="261"/>
    </row>
    <row r="362" spans="1:17" x14ac:dyDescent="0.25">
      <c r="A362" s="246" t="s">
        <v>7728</v>
      </c>
      <c r="B362" s="247" t="s">
        <v>7139</v>
      </c>
      <c r="C362" s="248" t="s">
        <v>75</v>
      </c>
      <c r="D362" s="249" t="s">
        <v>1</v>
      </c>
      <c r="E362" s="250" t="s">
        <v>7079</v>
      </c>
      <c r="F362" s="250">
        <v>65</v>
      </c>
      <c r="G362" s="250">
        <v>15</v>
      </c>
      <c r="H362" s="180">
        <v>0</v>
      </c>
      <c r="I362" s="262">
        <v>0.61</v>
      </c>
      <c r="J362" s="182">
        <v>967.2</v>
      </c>
      <c r="K362" s="228">
        <f t="shared" ref="K362:K364" si="167">ROUND(I362*J362,2)</f>
        <v>589.99</v>
      </c>
      <c r="L362" s="263"/>
      <c r="M362" s="131"/>
      <c r="N362" s="132"/>
      <c r="O362" s="130">
        <f t="shared" ref="O362:O364" si="168">SUM(L362,I362)</f>
        <v>0.61</v>
      </c>
      <c r="P362" s="131">
        <f t="shared" ref="P362:P364" si="169">IF(M362&lt;&gt;"",M362,J362)</f>
        <v>967.2</v>
      </c>
      <c r="Q362" s="132">
        <f t="shared" ref="Q362:Q364" si="170">ROUND(O362*P362,2)</f>
        <v>589.99</v>
      </c>
    </row>
    <row r="363" spans="1:17" x14ac:dyDescent="0.25">
      <c r="A363" s="246" t="s">
        <v>7729</v>
      </c>
      <c r="B363" s="247" t="s">
        <v>7141</v>
      </c>
      <c r="C363" s="248" t="s">
        <v>75</v>
      </c>
      <c r="D363" s="249" t="s">
        <v>1</v>
      </c>
      <c r="E363" s="250" t="s">
        <v>7079</v>
      </c>
      <c r="F363" s="250">
        <v>65</v>
      </c>
      <c r="G363" s="250">
        <v>15</v>
      </c>
      <c r="H363" s="180">
        <v>0</v>
      </c>
      <c r="I363" s="262">
        <v>17.579999999999998</v>
      </c>
      <c r="J363" s="182">
        <v>1067.24</v>
      </c>
      <c r="K363" s="228">
        <f t="shared" si="167"/>
        <v>18762.080000000002</v>
      </c>
      <c r="L363" s="263"/>
      <c r="M363" s="131"/>
      <c r="N363" s="132"/>
      <c r="O363" s="130">
        <f t="shared" si="168"/>
        <v>17.579999999999998</v>
      </c>
      <c r="P363" s="131">
        <f t="shared" si="169"/>
        <v>1067.24</v>
      </c>
      <c r="Q363" s="132">
        <f t="shared" si="170"/>
        <v>18762.080000000002</v>
      </c>
    </row>
    <row r="364" spans="1:17" ht="22.5" x14ac:dyDescent="0.25">
      <c r="A364" s="246" t="s">
        <v>7730</v>
      </c>
      <c r="B364" s="247" t="s">
        <v>7731</v>
      </c>
      <c r="C364" s="248" t="s">
        <v>75</v>
      </c>
      <c r="D364" s="249" t="s">
        <v>1</v>
      </c>
      <c r="E364" s="250" t="s">
        <v>7079</v>
      </c>
      <c r="F364" s="250">
        <v>65</v>
      </c>
      <c r="G364" s="250">
        <v>20</v>
      </c>
      <c r="H364" s="180">
        <v>0</v>
      </c>
      <c r="I364" s="262">
        <v>5</v>
      </c>
      <c r="J364" s="182">
        <v>7949.13</v>
      </c>
      <c r="K364" s="228">
        <f t="shared" si="167"/>
        <v>39745.65</v>
      </c>
      <c r="L364" s="263"/>
      <c r="M364" s="131"/>
      <c r="N364" s="132"/>
      <c r="O364" s="130">
        <f t="shared" si="168"/>
        <v>5</v>
      </c>
      <c r="P364" s="131">
        <f t="shared" si="169"/>
        <v>7949.13</v>
      </c>
      <c r="Q364" s="132">
        <f t="shared" si="170"/>
        <v>39745.65</v>
      </c>
    </row>
    <row r="365" spans="1:17" x14ac:dyDescent="0.25">
      <c r="A365" s="254" t="s">
        <v>7732</v>
      </c>
      <c r="B365" s="255" t="s">
        <v>7733</v>
      </c>
      <c r="C365" s="256"/>
      <c r="D365" s="257"/>
      <c r="E365" s="258"/>
      <c r="F365" s="258"/>
      <c r="G365" s="258"/>
      <c r="H365" s="259"/>
      <c r="I365" s="260"/>
      <c r="J365" s="261"/>
      <c r="K365" s="261"/>
      <c r="L365" s="260"/>
      <c r="M365" s="261"/>
      <c r="N365" s="261"/>
      <c r="O365" s="260"/>
      <c r="P365" s="261"/>
      <c r="Q365" s="261"/>
    </row>
    <row r="366" spans="1:17" x14ac:dyDescent="0.25">
      <c r="A366" s="246" t="s">
        <v>7734</v>
      </c>
      <c r="B366" s="247" t="s">
        <v>208</v>
      </c>
      <c r="C366" s="248" t="s">
        <v>149</v>
      </c>
      <c r="D366" s="249" t="s">
        <v>1</v>
      </c>
      <c r="E366" s="250" t="s">
        <v>7079</v>
      </c>
      <c r="F366" s="250">
        <v>65</v>
      </c>
      <c r="G366" s="250" t="s">
        <v>7735</v>
      </c>
      <c r="H366" s="180">
        <v>10</v>
      </c>
      <c r="I366" s="262">
        <v>1600.65</v>
      </c>
      <c r="J366" s="182">
        <v>29.87</v>
      </c>
      <c r="K366" s="228">
        <f t="shared" ref="K366:K368" si="171">ROUND(I366*J366,2)</f>
        <v>47811.42</v>
      </c>
      <c r="L366" s="263"/>
      <c r="M366" s="131"/>
      <c r="N366" s="132"/>
      <c r="O366" s="130">
        <f t="shared" ref="O366:O368" si="172">SUM(L366,I366)</f>
        <v>1600.65</v>
      </c>
      <c r="P366" s="131">
        <f t="shared" ref="P366:P368" si="173">IF(M366&lt;&gt;"",M366,J366)</f>
        <v>29.87</v>
      </c>
      <c r="Q366" s="132">
        <f t="shared" ref="Q366:Q368" si="174">ROUND(O366*P366,2)</f>
        <v>47811.42</v>
      </c>
    </row>
    <row r="367" spans="1:17" x14ac:dyDescent="0.25">
      <c r="A367" s="246" t="s">
        <v>7736</v>
      </c>
      <c r="B367" s="247" t="s">
        <v>7147</v>
      </c>
      <c r="C367" s="248" t="s">
        <v>460</v>
      </c>
      <c r="D367" s="249" t="s">
        <v>1</v>
      </c>
      <c r="E367" s="250" t="s">
        <v>7079</v>
      </c>
      <c r="F367" s="250">
        <v>65</v>
      </c>
      <c r="G367" s="250">
        <v>25</v>
      </c>
      <c r="H367" s="180" t="s">
        <v>7737</v>
      </c>
      <c r="I367" s="262">
        <v>10</v>
      </c>
      <c r="J367" s="182">
        <v>406.57</v>
      </c>
      <c r="K367" s="228">
        <f t="shared" si="171"/>
        <v>4065.7</v>
      </c>
      <c r="L367" s="263"/>
      <c r="M367" s="131"/>
      <c r="N367" s="132"/>
      <c r="O367" s="130">
        <f t="shared" si="172"/>
        <v>10</v>
      </c>
      <c r="P367" s="131">
        <f t="shared" si="173"/>
        <v>406.57</v>
      </c>
      <c r="Q367" s="132">
        <f t="shared" si="174"/>
        <v>4065.7</v>
      </c>
    </row>
    <row r="368" spans="1:17" x14ac:dyDescent="0.25">
      <c r="A368" s="246" t="s">
        <v>7738</v>
      </c>
      <c r="B368" s="247" t="s">
        <v>7151</v>
      </c>
      <c r="C368" s="248" t="s">
        <v>460</v>
      </c>
      <c r="D368" s="249" t="s">
        <v>1</v>
      </c>
      <c r="E368" s="250" t="s">
        <v>7079</v>
      </c>
      <c r="F368" s="250">
        <v>65</v>
      </c>
      <c r="G368" s="250">
        <v>25</v>
      </c>
      <c r="H368" s="180" t="s">
        <v>7737</v>
      </c>
      <c r="I368" s="262">
        <v>10</v>
      </c>
      <c r="J368" s="182">
        <v>67.63</v>
      </c>
      <c r="K368" s="228">
        <f t="shared" si="171"/>
        <v>676.3</v>
      </c>
      <c r="L368" s="263"/>
      <c r="M368" s="131"/>
      <c r="N368" s="132"/>
      <c r="O368" s="130">
        <f t="shared" si="172"/>
        <v>10</v>
      </c>
      <c r="P368" s="131">
        <f t="shared" si="173"/>
        <v>67.63</v>
      </c>
      <c r="Q368" s="132">
        <f t="shared" si="174"/>
        <v>676.3</v>
      </c>
    </row>
    <row r="369" spans="1:17" x14ac:dyDescent="0.25">
      <c r="A369" s="254" t="s">
        <v>7739</v>
      </c>
      <c r="B369" s="255" t="s">
        <v>7740</v>
      </c>
      <c r="C369" s="256"/>
      <c r="D369" s="257"/>
      <c r="E369" s="258"/>
      <c r="F369" s="258"/>
      <c r="G369" s="258"/>
      <c r="H369" s="259"/>
      <c r="I369" s="260"/>
      <c r="J369" s="261"/>
      <c r="K369" s="261"/>
      <c r="L369" s="260"/>
      <c r="M369" s="261"/>
      <c r="N369" s="261"/>
      <c r="O369" s="260"/>
      <c r="P369" s="261"/>
      <c r="Q369" s="261"/>
    </row>
    <row r="370" spans="1:17" ht="22.5" x14ac:dyDescent="0.25">
      <c r="A370" s="246" t="s">
        <v>7741</v>
      </c>
      <c r="B370" s="247" t="s">
        <v>7742</v>
      </c>
      <c r="C370" s="248" t="s">
        <v>75</v>
      </c>
      <c r="D370" s="249" t="s">
        <v>1</v>
      </c>
      <c r="E370" s="250" t="s">
        <v>7079</v>
      </c>
      <c r="F370" s="250">
        <v>10</v>
      </c>
      <c r="G370" s="250">
        <v>5</v>
      </c>
      <c r="H370" s="251" t="s">
        <v>7743</v>
      </c>
      <c r="I370" s="262">
        <v>65</v>
      </c>
      <c r="J370" s="182">
        <v>81.239999999999995</v>
      </c>
      <c r="K370" s="228">
        <f t="shared" ref="K370" si="175">ROUND(I370*J370,2)</f>
        <v>5280.6</v>
      </c>
      <c r="L370" s="263"/>
      <c r="M370" s="131"/>
      <c r="N370" s="132"/>
      <c r="O370" s="130">
        <f>SUM(L370,I370)</f>
        <v>65</v>
      </c>
      <c r="P370" s="131">
        <f>IF(M370&lt;&gt;"",M370,J370)</f>
        <v>81.239999999999995</v>
      </c>
      <c r="Q370" s="132">
        <f>ROUND(O370*P370,2)</f>
        <v>5280.6</v>
      </c>
    </row>
    <row r="371" spans="1:17" ht="22.5" x14ac:dyDescent="0.25">
      <c r="A371" s="254" t="s">
        <v>7744</v>
      </c>
      <c r="B371" s="255" t="s">
        <v>7745</v>
      </c>
      <c r="C371" s="256" t="s">
        <v>7746</v>
      </c>
      <c r="D371" s="257"/>
      <c r="E371" s="258"/>
      <c r="F371" s="258"/>
      <c r="G371" s="258"/>
      <c r="H371" s="259"/>
      <c r="I371" s="260"/>
      <c r="J371" s="261"/>
      <c r="K371" s="261"/>
      <c r="L371" s="260"/>
      <c r="M371" s="261"/>
      <c r="N371" s="261"/>
      <c r="O371" s="260"/>
      <c r="P371" s="261"/>
      <c r="Q371" s="261"/>
    </row>
    <row r="372" spans="1:17" ht="22.5" x14ac:dyDescent="0.25">
      <c r="A372" s="246" t="s">
        <v>7747</v>
      </c>
      <c r="B372" s="247" t="s">
        <v>7748</v>
      </c>
      <c r="C372" s="248" t="s">
        <v>75</v>
      </c>
      <c r="D372" s="249" t="s">
        <v>1</v>
      </c>
      <c r="E372" s="250" t="s">
        <v>7079</v>
      </c>
      <c r="F372" s="250">
        <v>25</v>
      </c>
      <c r="G372" s="250">
        <v>50</v>
      </c>
      <c r="H372" s="180">
        <v>0</v>
      </c>
      <c r="I372" s="262">
        <v>115</v>
      </c>
      <c r="J372" s="182">
        <v>77.14</v>
      </c>
      <c r="K372" s="228">
        <f t="shared" ref="K372" si="176">ROUND(I372*J372,2)</f>
        <v>8871.1</v>
      </c>
      <c r="L372" s="263"/>
      <c r="M372" s="131"/>
      <c r="N372" s="132"/>
      <c r="O372" s="130">
        <f>SUM(L372,I372)</f>
        <v>115</v>
      </c>
      <c r="P372" s="131">
        <f>IF(M372&lt;&gt;"",M372,J372)</f>
        <v>77.14</v>
      </c>
      <c r="Q372" s="132">
        <f>ROUND(O372*P372,2)</f>
        <v>8871.1</v>
      </c>
    </row>
    <row r="373" spans="1:17" x14ac:dyDescent="0.25">
      <c r="A373" s="254" t="s">
        <v>7749</v>
      </c>
      <c r="B373" s="255" t="s">
        <v>7750</v>
      </c>
      <c r="C373" s="256"/>
      <c r="D373" s="257"/>
      <c r="E373" s="258"/>
      <c r="F373" s="258"/>
      <c r="G373" s="258"/>
      <c r="H373" s="259"/>
      <c r="I373" s="260"/>
      <c r="J373" s="261"/>
      <c r="K373" s="261"/>
      <c r="L373" s="260"/>
      <c r="M373" s="261"/>
      <c r="N373" s="261"/>
      <c r="O373" s="260"/>
      <c r="P373" s="261"/>
      <c r="Q373" s="261"/>
    </row>
    <row r="374" spans="1:17" ht="22.5" x14ac:dyDescent="0.25">
      <c r="A374" s="246" t="s">
        <v>7751</v>
      </c>
      <c r="B374" s="247" t="s">
        <v>7752</v>
      </c>
      <c r="C374" s="248" t="s">
        <v>108</v>
      </c>
      <c r="D374" s="249" t="s">
        <v>1</v>
      </c>
      <c r="E374" s="250" t="s">
        <v>7079</v>
      </c>
      <c r="F374" s="250">
        <v>25</v>
      </c>
      <c r="G374" s="250">
        <v>30</v>
      </c>
      <c r="H374" s="180">
        <v>0</v>
      </c>
      <c r="I374" s="262">
        <v>460</v>
      </c>
      <c r="J374" s="182">
        <v>11.51</v>
      </c>
      <c r="K374" s="228">
        <f t="shared" ref="K374" si="177">ROUND(I374*J374,2)</f>
        <v>5294.6</v>
      </c>
      <c r="L374" s="263"/>
      <c r="M374" s="131"/>
      <c r="N374" s="132"/>
      <c r="O374" s="130">
        <f>SUM(L374,I374)</f>
        <v>460</v>
      </c>
      <c r="P374" s="131">
        <f>IF(M374&lt;&gt;"",M374,J374)</f>
        <v>11.51</v>
      </c>
      <c r="Q374" s="132">
        <f>ROUND(O374*P374,2)</f>
        <v>5294.6</v>
      </c>
    </row>
    <row r="375" spans="1:17" x14ac:dyDescent="0.25">
      <c r="A375" s="230" t="s">
        <v>7753</v>
      </c>
      <c r="B375" s="231" t="s">
        <v>7754</v>
      </c>
      <c r="C375" s="232"/>
      <c r="D375" s="233"/>
      <c r="E375" s="234"/>
      <c r="F375" s="235"/>
      <c r="G375" s="235"/>
      <c r="H375" s="236"/>
      <c r="I375" s="264"/>
      <c r="J375" s="265"/>
      <c r="K375" s="265"/>
      <c r="L375" s="264"/>
      <c r="M375" s="265"/>
      <c r="N375" s="265"/>
      <c r="O375" s="264"/>
      <c r="P375" s="265"/>
      <c r="Q375" s="265"/>
    </row>
    <row r="376" spans="1:17" x14ac:dyDescent="0.25">
      <c r="A376" s="246" t="s">
        <v>7755</v>
      </c>
      <c r="B376" s="247" t="s">
        <v>7756</v>
      </c>
      <c r="C376" s="248" t="s">
        <v>911</v>
      </c>
      <c r="D376" s="249" t="s">
        <v>1</v>
      </c>
      <c r="E376" s="250" t="s">
        <v>7504</v>
      </c>
      <c r="F376" s="250">
        <v>10</v>
      </c>
      <c r="G376" s="250">
        <v>10</v>
      </c>
      <c r="H376" s="180">
        <v>0</v>
      </c>
      <c r="I376" s="262">
        <v>7</v>
      </c>
      <c r="J376" s="182">
        <v>25493.8</v>
      </c>
      <c r="K376" s="228">
        <f t="shared" ref="K376:K390" si="178">ROUND(I376*J376,2)</f>
        <v>178456.6</v>
      </c>
      <c r="L376" s="263"/>
      <c r="M376" s="131"/>
      <c r="N376" s="132"/>
      <c r="O376" s="130">
        <f t="shared" ref="O376:O390" si="179">SUM(L376,I376)</f>
        <v>7</v>
      </c>
      <c r="P376" s="131">
        <f t="shared" ref="P376:P390" si="180">IF(M376&lt;&gt;"",M376,J376)</f>
        <v>25493.8</v>
      </c>
      <c r="Q376" s="132">
        <f t="shared" ref="Q376:Q390" si="181">ROUND(O376*P376,2)</f>
        <v>178456.6</v>
      </c>
    </row>
    <row r="377" spans="1:17" ht="22.5" x14ac:dyDescent="0.25">
      <c r="A377" s="246" t="s">
        <v>7757</v>
      </c>
      <c r="B377" s="247" t="s">
        <v>7758</v>
      </c>
      <c r="C377" s="248" t="s">
        <v>378</v>
      </c>
      <c r="D377" s="249" t="s">
        <v>1</v>
      </c>
      <c r="E377" s="250" t="s">
        <v>7504</v>
      </c>
      <c r="F377" s="250">
        <v>60</v>
      </c>
      <c r="G377" s="250">
        <v>20</v>
      </c>
      <c r="H377" s="180">
        <v>0</v>
      </c>
      <c r="I377" s="262">
        <v>300</v>
      </c>
      <c r="J377" s="182">
        <v>554.07000000000005</v>
      </c>
      <c r="K377" s="228">
        <f t="shared" si="178"/>
        <v>166221</v>
      </c>
      <c r="L377" s="263"/>
      <c r="M377" s="131"/>
      <c r="N377" s="132"/>
      <c r="O377" s="130">
        <f t="shared" si="179"/>
        <v>300</v>
      </c>
      <c r="P377" s="131">
        <f t="shared" si="180"/>
        <v>554.07000000000005</v>
      </c>
      <c r="Q377" s="132">
        <f t="shared" si="181"/>
        <v>166221</v>
      </c>
    </row>
    <row r="378" spans="1:17" x14ac:dyDescent="0.25">
      <c r="A378" s="246" t="s">
        <v>7759</v>
      </c>
      <c r="B378" s="247" t="s">
        <v>7760</v>
      </c>
      <c r="C378" s="248" t="s">
        <v>911</v>
      </c>
      <c r="D378" s="249" t="s">
        <v>1</v>
      </c>
      <c r="E378" s="250" t="s">
        <v>7504</v>
      </c>
      <c r="F378" s="250">
        <v>70</v>
      </c>
      <c r="G378" s="250">
        <v>65</v>
      </c>
      <c r="H378" s="180">
        <v>0</v>
      </c>
      <c r="I378" s="262">
        <v>7</v>
      </c>
      <c r="J378" s="182">
        <v>1236.18</v>
      </c>
      <c r="K378" s="228">
        <f t="shared" si="178"/>
        <v>8653.26</v>
      </c>
      <c r="L378" s="263"/>
      <c r="M378" s="131"/>
      <c r="N378" s="132"/>
      <c r="O378" s="130">
        <f t="shared" si="179"/>
        <v>7</v>
      </c>
      <c r="P378" s="131">
        <f t="shared" si="180"/>
        <v>1236.18</v>
      </c>
      <c r="Q378" s="132">
        <f t="shared" si="181"/>
        <v>8653.26</v>
      </c>
    </row>
    <row r="379" spans="1:17" x14ac:dyDescent="0.25">
      <c r="A379" s="246" t="s">
        <v>7761</v>
      </c>
      <c r="B379" s="247" t="s">
        <v>7762</v>
      </c>
      <c r="C379" s="248" t="s">
        <v>378</v>
      </c>
      <c r="D379" s="249" t="s">
        <v>1</v>
      </c>
      <c r="E379" s="250" t="s">
        <v>7504</v>
      </c>
      <c r="F379" s="250">
        <v>60</v>
      </c>
      <c r="G379" s="250">
        <v>10</v>
      </c>
      <c r="H379" s="180">
        <v>0</v>
      </c>
      <c r="I379" s="262">
        <v>12</v>
      </c>
      <c r="J379" s="182">
        <v>3587.22</v>
      </c>
      <c r="K379" s="228">
        <f t="shared" si="178"/>
        <v>43046.64</v>
      </c>
      <c r="L379" s="263"/>
      <c r="M379" s="131"/>
      <c r="N379" s="132"/>
      <c r="O379" s="130">
        <f t="shared" si="179"/>
        <v>12</v>
      </c>
      <c r="P379" s="131">
        <f t="shared" si="180"/>
        <v>3587.22</v>
      </c>
      <c r="Q379" s="132">
        <f t="shared" si="181"/>
        <v>43046.64</v>
      </c>
    </row>
    <row r="380" spans="1:17" x14ac:dyDescent="0.25">
      <c r="A380" s="246" t="s">
        <v>7763</v>
      </c>
      <c r="B380" s="247" t="s">
        <v>7764</v>
      </c>
      <c r="C380" s="248" t="s">
        <v>378</v>
      </c>
      <c r="D380" s="249" t="s">
        <v>1</v>
      </c>
      <c r="E380" s="250" t="s">
        <v>7504</v>
      </c>
      <c r="F380" s="250">
        <v>60</v>
      </c>
      <c r="G380" s="250">
        <v>10</v>
      </c>
      <c r="H380" s="180">
        <v>0</v>
      </c>
      <c r="I380" s="262">
        <v>12</v>
      </c>
      <c r="J380" s="182">
        <v>6805.69</v>
      </c>
      <c r="K380" s="228">
        <f t="shared" si="178"/>
        <v>81668.28</v>
      </c>
      <c r="L380" s="263"/>
      <c r="M380" s="131"/>
      <c r="N380" s="132"/>
      <c r="O380" s="130">
        <f t="shared" si="179"/>
        <v>12</v>
      </c>
      <c r="P380" s="131">
        <f t="shared" si="180"/>
        <v>6805.69</v>
      </c>
      <c r="Q380" s="132">
        <f t="shared" si="181"/>
        <v>81668.28</v>
      </c>
    </row>
    <row r="381" spans="1:17" x14ac:dyDescent="0.25">
      <c r="A381" s="246" t="s">
        <v>7765</v>
      </c>
      <c r="B381" s="247" t="s">
        <v>7766</v>
      </c>
      <c r="C381" s="248" t="s">
        <v>460</v>
      </c>
      <c r="D381" s="249" t="s">
        <v>1</v>
      </c>
      <c r="E381" s="250" t="s">
        <v>7504</v>
      </c>
      <c r="F381" s="250">
        <v>30</v>
      </c>
      <c r="G381" s="250">
        <v>80</v>
      </c>
      <c r="H381" s="180">
        <v>0</v>
      </c>
      <c r="I381" s="262">
        <v>9</v>
      </c>
      <c r="J381" s="182">
        <v>2167.83</v>
      </c>
      <c r="K381" s="228">
        <f t="shared" si="178"/>
        <v>19510.47</v>
      </c>
      <c r="L381" s="263"/>
      <c r="M381" s="131"/>
      <c r="N381" s="132"/>
      <c r="O381" s="130">
        <f t="shared" si="179"/>
        <v>9</v>
      </c>
      <c r="P381" s="131">
        <f t="shared" si="180"/>
        <v>2167.83</v>
      </c>
      <c r="Q381" s="132">
        <f t="shared" si="181"/>
        <v>19510.47</v>
      </c>
    </row>
    <row r="382" spans="1:17" x14ac:dyDescent="0.25">
      <c r="A382" s="246" t="s">
        <v>7767</v>
      </c>
      <c r="B382" s="247" t="s">
        <v>7768</v>
      </c>
      <c r="C382" s="248" t="s">
        <v>460</v>
      </c>
      <c r="D382" s="249" t="s">
        <v>1</v>
      </c>
      <c r="E382" s="250" t="s">
        <v>7504</v>
      </c>
      <c r="F382" s="250">
        <v>30</v>
      </c>
      <c r="G382" s="250">
        <v>80</v>
      </c>
      <c r="H382" s="180">
        <v>0</v>
      </c>
      <c r="I382" s="262">
        <v>3</v>
      </c>
      <c r="J382" s="182">
        <v>2816.94</v>
      </c>
      <c r="K382" s="228">
        <f t="shared" si="178"/>
        <v>8450.82</v>
      </c>
      <c r="L382" s="263"/>
      <c r="M382" s="131"/>
      <c r="N382" s="132"/>
      <c r="O382" s="130">
        <f t="shared" si="179"/>
        <v>3</v>
      </c>
      <c r="P382" s="131">
        <f t="shared" si="180"/>
        <v>2816.94</v>
      </c>
      <c r="Q382" s="132">
        <f t="shared" si="181"/>
        <v>8450.82</v>
      </c>
    </row>
    <row r="383" spans="1:17" x14ac:dyDescent="0.25">
      <c r="A383" s="246" t="s">
        <v>7769</v>
      </c>
      <c r="B383" s="247" t="s">
        <v>7770</v>
      </c>
      <c r="C383" s="248" t="s">
        <v>460</v>
      </c>
      <c r="D383" s="249" t="s">
        <v>1</v>
      </c>
      <c r="E383" s="250" t="s">
        <v>7504</v>
      </c>
      <c r="F383" s="250">
        <v>30</v>
      </c>
      <c r="G383" s="250">
        <v>80</v>
      </c>
      <c r="H383" s="180">
        <v>0</v>
      </c>
      <c r="I383" s="262">
        <v>8</v>
      </c>
      <c r="J383" s="182">
        <v>4368.1000000000004</v>
      </c>
      <c r="K383" s="228">
        <f t="shared" si="178"/>
        <v>34944.800000000003</v>
      </c>
      <c r="L383" s="263"/>
      <c r="M383" s="131"/>
      <c r="N383" s="132"/>
      <c r="O383" s="130">
        <f t="shared" si="179"/>
        <v>8</v>
      </c>
      <c r="P383" s="131">
        <f t="shared" si="180"/>
        <v>4368.1000000000004</v>
      </c>
      <c r="Q383" s="132">
        <f t="shared" si="181"/>
        <v>34944.800000000003</v>
      </c>
    </row>
    <row r="384" spans="1:17" x14ac:dyDescent="0.25">
      <c r="A384" s="246" t="s">
        <v>7771</v>
      </c>
      <c r="B384" s="247" t="s">
        <v>7772</v>
      </c>
      <c r="C384" s="248" t="s">
        <v>460</v>
      </c>
      <c r="D384" s="249" t="s">
        <v>1</v>
      </c>
      <c r="E384" s="250" t="s">
        <v>7504</v>
      </c>
      <c r="F384" s="250">
        <v>30</v>
      </c>
      <c r="G384" s="250">
        <v>80</v>
      </c>
      <c r="H384" s="180">
        <v>0</v>
      </c>
      <c r="I384" s="262">
        <v>2</v>
      </c>
      <c r="J384" s="182">
        <v>9522.0400000000009</v>
      </c>
      <c r="K384" s="228">
        <f t="shared" si="178"/>
        <v>19044.080000000002</v>
      </c>
      <c r="L384" s="263"/>
      <c r="M384" s="131"/>
      <c r="N384" s="132"/>
      <c r="O384" s="130">
        <f t="shared" si="179"/>
        <v>2</v>
      </c>
      <c r="P384" s="131">
        <f t="shared" si="180"/>
        <v>9522.0400000000009</v>
      </c>
      <c r="Q384" s="132">
        <f t="shared" si="181"/>
        <v>19044.080000000002</v>
      </c>
    </row>
    <row r="385" spans="1:17" x14ac:dyDescent="0.25">
      <c r="A385" s="246" t="s">
        <v>7773</v>
      </c>
      <c r="B385" s="247" t="s">
        <v>7774</v>
      </c>
      <c r="C385" s="248" t="s">
        <v>460</v>
      </c>
      <c r="D385" s="249" t="s">
        <v>1</v>
      </c>
      <c r="E385" s="250" t="s">
        <v>7504</v>
      </c>
      <c r="F385" s="250">
        <v>30</v>
      </c>
      <c r="G385" s="250">
        <v>80</v>
      </c>
      <c r="H385" s="180">
        <v>0</v>
      </c>
      <c r="I385" s="262">
        <v>3</v>
      </c>
      <c r="J385" s="182">
        <v>5031.1099999999997</v>
      </c>
      <c r="K385" s="228">
        <f t="shared" si="178"/>
        <v>15093.33</v>
      </c>
      <c r="L385" s="263"/>
      <c r="M385" s="131"/>
      <c r="N385" s="132"/>
      <c r="O385" s="130">
        <f t="shared" si="179"/>
        <v>3</v>
      </c>
      <c r="P385" s="131">
        <f t="shared" si="180"/>
        <v>5031.1099999999997</v>
      </c>
      <c r="Q385" s="132">
        <f t="shared" si="181"/>
        <v>15093.33</v>
      </c>
    </row>
    <row r="386" spans="1:17" x14ac:dyDescent="0.25">
      <c r="A386" s="246" t="s">
        <v>7775</v>
      </c>
      <c r="B386" s="247" t="s">
        <v>7776</v>
      </c>
      <c r="C386" s="248" t="s">
        <v>460</v>
      </c>
      <c r="D386" s="249" t="s">
        <v>1</v>
      </c>
      <c r="E386" s="250" t="s">
        <v>7504</v>
      </c>
      <c r="F386" s="250">
        <v>30</v>
      </c>
      <c r="G386" s="250">
        <v>80</v>
      </c>
      <c r="H386" s="180">
        <v>0</v>
      </c>
      <c r="I386" s="262">
        <v>7</v>
      </c>
      <c r="J386" s="182">
        <v>7492.54</v>
      </c>
      <c r="K386" s="228">
        <f t="shared" si="178"/>
        <v>52447.78</v>
      </c>
      <c r="L386" s="263"/>
      <c r="M386" s="131"/>
      <c r="N386" s="132"/>
      <c r="O386" s="130">
        <f t="shared" si="179"/>
        <v>7</v>
      </c>
      <c r="P386" s="131">
        <f t="shared" si="180"/>
        <v>7492.54</v>
      </c>
      <c r="Q386" s="132">
        <f t="shared" si="181"/>
        <v>52447.78</v>
      </c>
    </row>
    <row r="387" spans="1:17" x14ac:dyDescent="0.25">
      <c r="A387" s="246" t="s">
        <v>7777</v>
      </c>
      <c r="B387" s="247" t="s">
        <v>7778</v>
      </c>
      <c r="C387" s="248" t="s">
        <v>460</v>
      </c>
      <c r="D387" s="249" t="s">
        <v>1</v>
      </c>
      <c r="E387" s="250" t="s">
        <v>7504</v>
      </c>
      <c r="F387" s="250">
        <v>60</v>
      </c>
      <c r="G387" s="250">
        <v>25</v>
      </c>
      <c r="H387" s="251">
        <v>10</v>
      </c>
      <c r="I387" s="262">
        <v>1</v>
      </c>
      <c r="J387" s="182">
        <v>7888.89</v>
      </c>
      <c r="K387" s="228">
        <f t="shared" si="178"/>
        <v>7888.89</v>
      </c>
      <c r="L387" s="263"/>
      <c r="M387" s="131"/>
      <c r="N387" s="132"/>
      <c r="O387" s="130">
        <f t="shared" si="179"/>
        <v>1</v>
      </c>
      <c r="P387" s="131">
        <f t="shared" si="180"/>
        <v>7888.89</v>
      </c>
      <c r="Q387" s="132">
        <f t="shared" si="181"/>
        <v>7888.89</v>
      </c>
    </row>
    <row r="388" spans="1:17" ht="22.5" x14ac:dyDescent="0.25">
      <c r="A388" s="246" t="s">
        <v>7779</v>
      </c>
      <c r="B388" s="247" t="s">
        <v>7780</v>
      </c>
      <c r="C388" s="248" t="s">
        <v>378</v>
      </c>
      <c r="D388" s="249" t="s">
        <v>1</v>
      </c>
      <c r="E388" s="250" t="s">
        <v>7504</v>
      </c>
      <c r="F388" s="250">
        <v>60</v>
      </c>
      <c r="G388" s="250">
        <v>10</v>
      </c>
      <c r="H388" s="180">
        <v>0</v>
      </c>
      <c r="I388" s="262">
        <v>124</v>
      </c>
      <c r="J388" s="182">
        <v>1105.94</v>
      </c>
      <c r="K388" s="228">
        <f t="shared" si="178"/>
        <v>137136.56</v>
      </c>
      <c r="L388" s="263"/>
      <c r="M388" s="131"/>
      <c r="N388" s="132"/>
      <c r="O388" s="130">
        <f t="shared" si="179"/>
        <v>124</v>
      </c>
      <c r="P388" s="131">
        <f t="shared" si="180"/>
        <v>1105.94</v>
      </c>
      <c r="Q388" s="132">
        <f t="shared" si="181"/>
        <v>137136.56</v>
      </c>
    </row>
    <row r="389" spans="1:17" ht="22.5" x14ac:dyDescent="0.25">
      <c r="A389" s="246" t="s">
        <v>7781</v>
      </c>
      <c r="B389" s="247" t="s">
        <v>7782</v>
      </c>
      <c r="C389" s="248" t="s">
        <v>378</v>
      </c>
      <c r="D389" s="249" t="s">
        <v>1</v>
      </c>
      <c r="E389" s="250" t="s">
        <v>7504</v>
      </c>
      <c r="F389" s="250">
        <v>60</v>
      </c>
      <c r="G389" s="250">
        <v>10</v>
      </c>
      <c r="H389" s="180">
        <v>0</v>
      </c>
      <c r="I389" s="262">
        <v>2028</v>
      </c>
      <c r="J389" s="182">
        <v>674.93</v>
      </c>
      <c r="K389" s="228">
        <f t="shared" si="178"/>
        <v>1368758.04</v>
      </c>
      <c r="L389" s="263"/>
      <c r="M389" s="131"/>
      <c r="N389" s="132"/>
      <c r="O389" s="130">
        <f t="shared" si="179"/>
        <v>2028</v>
      </c>
      <c r="P389" s="131">
        <f t="shared" si="180"/>
        <v>674.93</v>
      </c>
      <c r="Q389" s="132">
        <f t="shared" si="181"/>
        <v>1368758.04</v>
      </c>
    </row>
    <row r="390" spans="1:17" x14ac:dyDescent="0.25">
      <c r="A390" s="246" t="s">
        <v>7783</v>
      </c>
      <c r="B390" s="247" t="s">
        <v>7784</v>
      </c>
      <c r="C390" s="248" t="s">
        <v>460</v>
      </c>
      <c r="D390" s="249" t="s">
        <v>1</v>
      </c>
      <c r="E390" s="250" t="s">
        <v>7504</v>
      </c>
      <c r="F390" s="250">
        <v>30</v>
      </c>
      <c r="G390" s="250">
        <v>80</v>
      </c>
      <c r="H390" s="180">
        <v>0</v>
      </c>
      <c r="I390" s="266">
        <v>9</v>
      </c>
      <c r="J390" s="182">
        <v>2167.83</v>
      </c>
      <c r="K390" s="228">
        <f t="shared" si="178"/>
        <v>19510.47</v>
      </c>
      <c r="L390" s="263"/>
      <c r="M390" s="131"/>
      <c r="N390" s="132"/>
      <c r="O390" s="130">
        <f t="shared" si="179"/>
        <v>9</v>
      </c>
      <c r="P390" s="131">
        <f t="shared" si="180"/>
        <v>2167.83</v>
      </c>
      <c r="Q390" s="132">
        <f t="shared" si="181"/>
        <v>19510.47</v>
      </c>
    </row>
    <row r="391" spans="1:17" x14ac:dyDescent="0.25">
      <c r="A391" s="230" t="s">
        <v>7785</v>
      </c>
      <c r="B391" s="231" t="s">
        <v>7786</v>
      </c>
      <c r="C391" s="232"/>
      <c r="D391" s="233"/>
      <c r="E391" s="234"/>
      <c r="F391" s="235"/>
      <c r="G391" s="235"/>
      <c r="H391" s="236"/>
      <c r="I391" s="264"/>
      <c r="J391" s="265"/>
      <c r="K391" s="265"/>
      <c r="L391" s="264"/>
      <c r="M391" s="265"/>
      <c r="N391" s="265"/>
      <c r="O391" s="264"/>
      <c r="P391" s="265"/>
      <c r="Q391" s="265"/>
    </row>
    <row r="392" spans="1:17" x14ac:dyDescent="0.25">
      <c r="A392" s="246" t="s">
        <v>7787</v>
      </c>
      <c r="B392" s="247" t="s">
        <v>7788</v>
      </c>
      <c r="C392" s="248" t="s">
        <v>378</v>
      </c>
      <c r="D392" s="249" t="s">
        <v>1</v>
      </c>
      <c r="E392" s="250" t="s">
        <v>7607</v>
      </c>
      <c r="F392" s="250">
        <v>60</v>
      </c>
      <c r="G392" s="250">
        <v>10</v>
      </c>
      <c r="H392" s="251">
        <v>0</v>
      </c>
      <c r="I392" s="262">
        <v>12</v>
      </c>
      <c r="J392" s="182">
        <v>734.16</v>
      </c>
      <c r="K392" s="228">
        <f t="shared" ref="K392:K397" si="182">ROUND(I392*J392,2)</f>
        <v>8809.92</v>
      </c>
      <c r="L392" s="263"/>
      <c r="M392" s="131"/>
      <c r="N392" s="132"/>
      <c r="O392" s="130">
        <f t="shared" ref="O392:O397" si="183">SUM(L392,I392)</f>
        <v>12</v>
      </c>
      <c r="P392" s="131">
        <f t="shared" ref="P392:P397" si="184">IF(M392&lt;&gt;"",M392,J392)</f>
        <v>734.16</v>
      </c>
      <c r="Q392" s="132">
        <f t="shared" ref="Q392:Q397" si="185">ROUND(O392*P392,2)</f>
        <v>8809.92</v>
      </c>
    </row>
    <row r="393" spans="1:17" x14ac:dyDescent="0.25">
      <c r="A393" s="246" t="s">
        <v>7789</v>
      </c>
      <c r="B393" s="247" t="s">
        <v>7790</v>
      </c>
      <c r="C393" s="248" t="s">
        <v>460</v>
      </c>
      <c r="D393" s="249" t="s">
        <v>1</v>
      </c>
      <c r="E393" s="250" t="s">
        <v>7607</v>
      </c>
      <c r="F393" s="250">
        <v>60</v>
      </c>
      <c r="G393" s="250">
        <v>10</v>
      </c>
      <c r="H393" s="251">
        <v>0</v>
      </c>
      <c r="I393" s="262">
        <v>3</v>
      </c>
      <c r="J393" s="182">
        <v>885.69</v>
      </c>
      <c r="K393" s="228">
        <f t="shared" si="182"/>
        <v>2657.07</v>
      </c>
      <c r="L393" s="263"/>
      <c r="M393" s="131"/>
      <c r="N393" s="132"/>
      <c r="O393" s="130">
        <f t="shared" si="183"/>
        <v>3</v>
      </c>
      <c r="P393" s="131">
        <f t="shared" si="184"/>
        <v>885.69</v>
      </c>
      <c r="Q393" s="132">
        <f t="shared" si="185"/>
        <v>2657.07</v>
      </c>
    </row>
    <row r="394" spans="1:17" x14ac:dyDescent="0.25">
      <c r="A394" s="246" t="s">
        <v>7791</v>
      </c>
      <c r="B394" s="247" t="s">
        <v>7792</v>
      </c>
      <c r="C394" s="248" t="s">
        <v>460</v>
      </c>
      <c r="D394" s="249" t="s">
        <v>1</v>
      </c>
      <c r="E394" s="250" t="s">
        <v>7607</v>
      </c>
      <c r="F394" s="250">
        <v>60</v>
      </c>
      <c r="G394" s="250">
        <v>10</v>
      </c>
      <c r="H394" s="251">
        <v>0</v>
      </c>
      <c r="I394" s="262">
        <v>3</v>
      </c>
      <c r="J394" s="182">
        <v>1771.3</v>
      </c>
      <c r="K394" s="228">
        <f t="shared" si="182"/>
        <v>5313.9</v>
      </c>
      <c r="L394" s="263"/>
      <c r="M394" s="131"/>
      <c r="N394" s="132"/>
      <c r="O394" s="130">
        <f t="shared" si="183"/>
        <v>3</v>
      </c>
      <c r="P394" s="131">
        <f t="shared" si="184"/>
        <v>1771.3</v>
      </c>
      <c r="Q394" s="132">
        <f t="shared" si="185"/>
        <v>5313.9</v>
      </c>
    </row>
    <row r="395" spans="1:17" x14ac:dyDescent="0.25">
      <c r="A395" s="246" t="s">
        <v>7793</v>
      </c>
      <c r="B395" s="247" t="s">
        <v>7794</v>
      </c>
      <c r="C395" s="248" t="s">
        <v>460</v>
      </c>
      <c r="D395" s="249" t="s">
        <v>1</v>
      </c>
      <c r="E395" s="250" t="s">
        <v>7607</v>
      </c>
      <c r="F395" s="250">
        <v>60</v>
      </c>
      <c r="G395" s="250">
        <v>10</v>
      </c>
      <c r="H395" s="251">
        <v>0</v>
      </c>
      <c r="I395" s="262">
        <v>3</v>
      </c>
      <c r="J395" s="182">
        <v>3280.21</v>
      </c>
      <c r="K395" s="228">
        <f t="shared" si="182"/>
        <v>9840.6299999999992</v>
      </c>
      <c r="L395" s="263"/>
      <c r="M395" s="131"/>
      <c r="N395" s="132"/>
      <c r="O395" s="130">
        <f t="shared" si="183"/>
        <v>3</v>
      </c>
      <c r="P395" s="131">
        <f t="shared" si="184"/>
        <v>3280.21</v>
      </c>
      <c r="Q395" s="132">
        <f t="shared" si="185"/>
        <v>9840.6299999999992</v>
      </c>
    </row>
    <row r="396" spans="1:17" x14ac:dyDescent="0.25">
      <c r="A396" s="246" t="s">
        <v>7795</v>
      </c>
      <c r="B396" s="247" t="s">
        <v>7796</v>
      </c>
      <c r="C396" s="248" t="s">
        <v>266</v>
      </c>
      <c r="D396" s="249" t="s">
        <v>1</v>
      </c>
      <c r="E396" s="250" t="s">
        <v>7607</v>
      </c>
      <c r="F396" s="250">
        <v>50</v>
      </c>
      <c r="G396" s="250" t="s">
        <v>7797</v>
      </c>
      <c r="H396" s="251" t="s">
        <v>7709</v>
      </c>
      <c r="I396" s="262">
        <v>2</v>
      </c>
      <c r="J396" s="182">
        <v>6560.44</v>
      </c>
      <c r="K396" s="228">
        <f t="shared" si="182"/>
        <v>13120.88</v>
      </c>
      <c r="L396" s="263"/>
      <c r="M396" s="131"/>
      <c r="N396" s="132"/>
      <c r="O396" s="130">
        <f t="shared" si="183"/>
        <v>2</v>
      </c>
      <c r="P396" s="131">
        <f t="shared" si="184"/>
        <v>6560.44</v>
      </c>
      <c r="Q396" s="132">
        <f t="shared" si="185"/>
        <v>13120.88</v>
      </c>
    </row>
    <row r="397" spans="1:17" x14ac:dyDescent="0.25">
      <c r="A397" s="246" t="s">
        <v>7798</v>
      </c>
      <c r="B397" s="247" t="s">
        <v>7799</v>
      </c>
      <c r="C397" s="248" t="s">
        <v>378</v>
      </c>
      <c r="D397" s="249" t="s">
        <v>1</v>
      </c>
      <c r="E397" s="250" t="s">
        <v>7607</v>
      </c>
      <c r="F397" s="250">
        <v>50</v>
      </c>
      <c r="G397" s="250" t="s">
        <v>7797</v>
      </c>
      <c r="H397" s="251" t="s">
        <v>7709</v>
      </c>
      <c r="I397" s="262">
        <v>90</v>
      </c>
      <c r="J397" s="182">
        <v>601.59</v>
      </c>
      <c r="K397" s="228">
        <f t="shared" si="182"/>
        <v>54143.1</v>
      </c>
      <c r="L397" s="263"/>
      <c r="M397" s="131"/>
      <c r="N397" s="132"/>
      <c r="O397" s="130">
        <f t="shared" si="183"/>
        <v>90</v>
      </c>
      <c r="P397" s="131">
        <f t="shared" si="184"/>
        <v>601.59</v>
      </c>
      <c r="Q397" s="132">
        <f t="shared" si="185"/>
        <v>54143.1</v>
      </c>
    </row>
    <row r="398" spans="1:17" x14ac:dyDescent="0.25">
      <c r="A398" s="230" t="s">
        <v>7800</v>
      </c>
      <c r="B398" s="231" t="s">
        <v>7801</v>
      </c>
      <c r="C398" s="232"/>
      <c r="D398" s="233"/>
      <c r="E398" s="234"/>
      <c r="F398" s="235"/>
      <c r="G398" s="235"/>
      <c r="H398" s="236"/>
      <c r="I398" s="264"/>
      <c r="J398" s="265"/>
      <c r="K398" s="265"/>
      <c r="L398" s="264"/>
      <c r="M398" s="265"/>
      <c r="N398" s="265"/>
      <c r="O398" s="264"/>
      <c r="P398" s="265"/>
      <c r="Q398" s="265"/>
    </row>
    <row r="399" spans="1:17" ht="22.5" x14ac:dyDescent="0.25">
      <c r="A399" s="163" t="s">
        <v>7802</v>
      </c>
      <c r="B399" s="255" t="s">
        <v>7803</v>
      </c>
      <c r="C399" s="256"/>
      <c r="D399" s="257"/>
      <c r="E399" s="258"/>
      <c r="F399" s="258"/>
      <c r="G399" s="258"/>
      <c r="H399" s="259"/>
      <c r="I399" s="267"/>
      <c r="J399" s="268"/>
      <c r="K399" s="268"/>
      <c r="L399" s="267"/>
      <c r="M399" s="268"/>
      <c r="N399" s="268"/>
      <c r="O399" s="267"/>
      <c r="P399" s="268"/>
      <c r="Q399" s="268"/>
    </row>
    <row r="400" spans="1:17" ht="22.5" x14ac:dyDescent="0.25">
      <c r="A400" s="246" t="s">
        <v>7804</v>
      </c>
      <c r="B400" s="247" t="s">
        <v>7805</v>
      </c>
      <c r="C400" s="248" t="s">
        <v>378</v>
      </c>
      <c r="D400" s="249" t="s">
        <v>1</v>
      </c>
      <c r="E400" s="250" t="s">
        <v>7193</v>
      </c>
      <c r="F400" s="250">
        <v>60</v>
      </c>
      <c r="G400" s="250">
        <v>10</v>
      </c>
      <c r="H400" s="180">
        <v>0</v>
      </c>
      <c r="I400" s="266">
        <v>4</v>
      </c>
      <c r="J400" s="182">
        <v>4712</v>
      </c>
      <c r="K400" s="228">
        <f t="shared" ref="K400:K403" si="186">ROUND(I400*J400,2)</f>
        <v>18848</v>
      </c>
      <c r="L400" s="263"/>
      <c r="M400" s="131"/>
      <c r="N400" s="132"/>
      <c r="O400" s="130">
        <f t="shared" ref="O400:O403" si="187">SUM(L400,I400)</f>
        <v>4</v>
      </c>
      <c r="P400" s="131">
        <f t="shared" ref="P400:P403" si="188">IF(M400&lt;&gt;"",M400,J400)</f>
        <v>4712</v>
      </c>
      <c r="Q400" s="132">
        <f t="shared" ref="Q400:Q403" si="189">ROUND(O400*P400,2)</f>
        <v>18848</v>
      </c>
    </row>
    <row r="401" spans="1:17" ht="22.5" x14ac:dyDescent="0.25">
      <c r="A401" s="246" t="s">
        <v>7806</v>
      </c>
      <c r="B401" s="247" t="s">
        <v>7807</v>
      </c>
      <c r="C401" s="248" t="s">
        <v>378</v>
      </c>
      <c r="D401" s="249" t="s">
        <v>1</v>
      </c>
      <c r="E401" s="250" t="s">
        <v>7193</v>
      </c>
      <c r="F401" s="250">
        <v>60</v>
      </c>
      <c r="G401" s="250">
        <v>10</v>
      </c>
      <c r="H401" s="180">
        <v>0</v>
      </c>
      <c r="I401" s="266">
        <v>4</v>
      </c>
      <c r="J401" s="182">
        <v>6061.21</v>
      </c>
      <c r="K401" s="228">
        <f t="shared" si="186"/>
        <v>24244.84</v>
      </c>
      <c r="L401" s="263"/>
      <c r="M401" s="131"/>
      <c r="N401" s="132"/>
      <c r="O401" s="130">
        <f t="shared" si="187"/>
        <v>4</v>
      </c>
      <c r="P401" s="131">
        <f t="shared" si="188"/>
        <v>6061.21</v>
      </c>
      <c r="Q401" s="132">
        <f t="shared" si="189"/>
        <v>24244.84</v>
      </c>
    </row>
    <row r="402" spans="1:17" ht="22.5" x14ac:dyDescent="0.25">
      <c r="A402" s="246" t="s">
        <v>7808</v>
      </c>
      <c r="B402" s="247" t="s">
        <v>7809</v>
      </c>
      <c r="C402" s="248" t="s">
        <v>378</v>
      </c>
      <c r="D402" s="249" t="s">
        <v>1</v>
      </c>
      <c r="E402" s="250" t="s">
        <v>7193</v>
      </c>
      <c r="F402" s="250">
        <v>60</v>
      </c>
      <c r="G402" s="250">
        <v>10</v>
      </c>
      <c r="H402" s="180">
        <v>0</v>
      </c>
      <c r="I402" s="266">
        <v>12</v>
      </c>
      <c r="J402" s="182">
        <v>7333.56</v>
      </c>
      <c r="K402" s="228">
        <f t="shared" si="186"/>
        <v>88002.72</v>
      </c>
      <c r="L402" s="263"/>
      <c r="M402" s="131"/>
      <c r="N402" s="132"/>
      <c r="O402" s="130">
        <f t="shared" si="187"/>
        <v>12</v>
      </c>
      <c r="P402" s="131">
        <f t="shared" si="188"/>
        <v>7333.56</v>
      </c>
      <c r="Q402" s="132">
        <f t="shared" si="189"/>
        <v>88002.72</v>
      </c>
    </row>
    <row r="403" spans="1:17" ht="22.5" x14ac:dyDescent="0.25">
      <c r="A403" s="246" t="s">
        <v>7810</v>
      </c>
      <c r="B403" s="247" t="s">
        <v>7811</v>
      </c>
      <c r="C403" s="248" t="s">
        <v>378</v>
      </c>
      <c r="D403" s="249" t="s">
        <v>1</v>
      </c>
      <c r="E403" s="250" t="s">
        <v>7193</v>
      </c>
      <c r="F403" s="250">
        <v>60</v>
      </c>
      <c r="G403" s="250">
        <v>10</v>
      </c>
      <c r="H403" s="180">
        <v>0</v>
      </c>
      <c r="I403" s="266">
        <v>12</v>
      </c>
      <c r="J403" s="182">
        <v>19245.87</v>
      </c>
      <c r="K403" s="228">
        <f t="shared" si="186"/>
        <v>230950.44</v>
      </c>
      <c r="L403" s="263"/>
      <c r="M403" s="131"/>
      <c r="N403" s="132"/>
      <c r="O403" s="130">
        <f t="shared" si="187"/>
        <v>12</v>
      </c>
      <c r="P403" s="131">
        <f t="shared" si="188"/>
        <v>19245.87</v>
      </c>
      <c r="Q403" s="132">
        <f t="shared" si="189"/>
        <v>230950.44</v>
      </c>
    </row>
    <row r="404" spans="1:17" x14ac:dyDescent="0.25">
      <c r="A404" s="163" t="s">
        <v>7812</v>
      </c>
      <c r="B404" s="255" t="s">
        <v>7813</v>
      </c>
      <c r="C404" s="256"/>
      <c r="D404" s="257"/>
      <c r="E404" s="258"/>
      <c r="F404" s="258"/>
      <c r="G404" s="258"/>
      <c r="H404" s="259"/>
      <c r="I404" s="267"/>
      <c r="J404" s="268"/>
      <c r="K404" s="268"/>
      <c r="L404" s="267"/>
      <c r="M404" s="268"/>
      <c r="N404" s="268"/>
      <c r="O404" s="267"/>
      <c r="P404" s="268"/>
      <c r="Q404" s="268"/>
    </row>
    <row r="405" spans="1:17" x14ac:dyDescent="0.25">
      <c r="A405" s="246" t="s">
        <v>7814</v>
      </c>
      <c r="B405" s="247" t="s">
        <v>7815</v>
      </c>
      <c r="C405" s="248" t="s">
        <v>266</v>
      </c>
      <c r="D405" s="249" t="s">
        <v>1</v>
      </c>
      <c r="E405" s="250" t="s">
        <v>7193</v>
      </c>
      <c r="F405" s="250">
        <v>75</v>
      </c>
      <c r="G405" s="250">
        <v>30</v>
      </c>
      <c r="H405" s="180" t="s">
        <v>7709</v>
      </c>
      <c r="I405" s="266">
        <v>3.5</v>
      </c>
      <c r="J405" s="182">
        <v>40959</v>
      </c>
      <c r="K405" s="228">
        <f t="shared" ref="K405" si="190">ROUND(I405*J405,2)</f>
        <v>143356.5</v>
      </c>
      <c r="L405" s="263"/>
      <c r="M405" s="131"/>
      <c r="N405" s="132"/>
      <c r="O405" s="130">
        <f>SUM(L405,I405)</f>
        <v>3.5</v>
      </c>
      <c r="P405" s="131">
        <f>IF(M405&lt;&gt;"",M405,J405)</f>
        <v>40959</v>
      </c>
      <c r="Q405" s="132">
        <f>ROUND(O405*P405,2)</f>
        <v>143356.5</v>
      </c>
    </row>
    <row r="406" spans="1:17" x14ac:dyDescent="0.25">
      <c r="A406" s="230" t="s">
        <v>7816</v>
      </c>
      <c r="B406" s="231" t="s">
        <v>7554</v>
      </c>
      <c r="C406" s="232"/>
      <c r="D406" s="233"/>
      <c r="E406" s="234"/>
      <c r="F406" s="235"/>
      <c r="G406" s="235"/>
      <c r="H406" s="236"/>
      <c r="I406" s="264"/>
      <c r="J406" s="265"/>
      <c r="K406" s="265"/>
      <c r="L406" s="264"/>
      <c r="M406" s="265"/>
      <c r="N406" s="265"/>
      <c r="O406" s="264"/>
      <c r="P406" s="265"/>
      <c r="Q406" s="265"/>
    </row>
    <row r="407" spans="1:17" x14ac:dyDescent="0.25">
      <c r="A407" s="246" t="s">
        <v>7817</v>
      </c>
      <c r="B407" s="247" t="s">
        <v>7818</v>
      </c>
      <c r="C407" s="248" t="s">
        <v>7819</v>
      </c>
      <c r="D407" s="249" t="s">
        <v>1</v>
      </c>
      <c r="E407" s="250" t="s">
        <v>7504</v>
      </c>
      <c r="F407" s="250">
        <v>20</v>
      </c>
      <c r="G407" s="250">
        <v>20</v>
      </c>
      <c r="H407" s="180">
        <v>0</v>
      </c>
      <c r="I407" s="266">
        <v>7</v>
      </c>
      <c r="J407" s="182">
        <v>2472.41</v>
      </c>
      <c r="K407" s="228">
        <f t="shared" ref="K407:K410" si="191">ROUND(I407*J407,2)</f>
        <v>17306.87</v>
      </c>
      <c r="L407" s="263"/>
      <c r="M407" s="131"/>
      <c r="N407" s="132"/>
      <c r="O407" s="130">
        <f t="shared" ref="O407:O410" si="192">SUM(L407,I407)</f>
        <v>7</v>
      </c>
      <c r="P407" s="131">
        <f t="shared" ref="P407:P410" si="193">IF(M407&lt;&gt;"",M407,J407)</f>
        <v>2472.41</v>
      </c>
      <c r="Q407" s="132">
        <f t="shared" ref="Q407:Q410" si="194">ROUND(O407*P407,2)</f>
        <v>17306.87</v>
      </c>
    </row>
    <row r="408" spans="1:17" x14ac:dyDescent="0.25">
      <c r="A408" s="246" t="s">
        <v>7820</v>
      </c>
      <c r="B408" s="247" t="s">
        <v>7821</v>
      </c>
      <c r="C408" s="248" t="s">
        <v>7819</v>
      </c>
      <c r="D408" s="249" t="s">
        <v>1</v>
      </c>
      <c r="E408" s="250" t="s">
        <v>7504</v>
      </c>
      <c r="F408" s="250">
        <v>20</v>
      </c>
      <c r="G408" s="250">
        <v>9</v>
      </c>
      <c r="H408" s="180">
        <v>0</v>
      </c>
      <c r="I408" s="266">
        <v>3</v>
      </c>
      <c r="J408" s="182">
        <v>4532.75</v>
      </c>
      <c r="K408" s="228">
        <f t="shared" si="191"/>
        <v>13598.25</v>
      </c>
      <c r="L408" s="263"/>
      <c r="M408" s="131"/>
      <c r="N408" s="132"/>
      <c r="O408" s="130">
        <f t="shared" si="192"/>
        <v>3</v>
      </c>
      <c r="P408" s="131">
        <f t="shared" si="193"/>
        <v>4532.75</v>
      </c>
      <c r="Q408" s="132">
        <f t="shared" si="194"/>
        <v>13598.25</v>
      </c>
    </row>
    <row r="409" spans="1:17" ht="22.5" x14ac:dyDescent="0.25">
      <c r="A409" s="246" t="s">
        <v>7822</v>
      </c>
      <c r="B409" s="247" t="s">
        <v>7823</v>
      </c>
      <c r="C409" s="248" t="s">
        <v>7819</v>
      </c>
      <c r="D409" s="178" t="s">
        <v>1</v>
      </c>
      <c r="E409" s="179" t="s">
        <v>7504</v>
      </c>
      <c r="F409" s="179">
        <v>20</v>
      </c>
      <c r="G409" s="179">
        <v>20</v>
      </c>
      <c r="H409" s="180">
        <v>0</v>
      </c>
      <c r="I409" s="266">
        <v>2</v>
      </c>
      <c r="J409" s="182">
        <v>2472.41</v>
      </c>
      <c r="K409" s="228">
        <f t="shared" si="191"/>
        <v>4944.82</v>
      </c>
      <c r="L409" s="263"/>
      <c r="M409" s="131"/>
      <c r="N409" s="132"/>
      <c r="O409" s="130">
        <f t="shared" si="192"/>
        <v>2</v>
      </c>
      <c r="P409" s="131">
        <f t="shared" si="193"/>
        <v>2472.41</v>
      </c>
      <c r="Q409" s="132">
        <f t="shared" si="194"/>
        <v>4944.82</v>
      </c>
    </row>
    <row r="410" spans="1:17" ht="22.5" x14ac:dyDescent="0.25">
      <c r="A410" s="246" t="s">
        <v>7824</v>
      </c>
      <c r="B410" s="247" t="s">
        <v>7825</v>
      </c>
      <c r="C410" s="248" t="s">
        <v>7819</v>
      </c>
      <c r="D410" s="178" t="s">
        <v>1</v>
      </c>
      <c r="E410" s="179" t="s">
        <v>7504</v>
      </c>
      <c r="F410" s="179">
        <v>20</v>
      </c>
      <c r="G410" s="179">
        <v>20</v>
      </c>
      <c r="H410" s="180">
        <v>0</v>
      </c>
      <c r="I410" s="266">
        <v>2</v>
      </c>
      <c r="J410" s="182">
        <v>2472.41</v>
      </c>
      <c r="K410" s="228">
        <f t="shared" si="191"/>
        <v>4944.82</v>
      </c>
      <c r="L410" s="263"/>
      <c r="M410" s="131"/>
      <c r="N410" s="132"/>
      <c r="O410" s="130">
        <f t="shared" si="192"/>
        <v>2</v>
      </c>
      <c r="P410" s="131">
        <f t="shared" si="193"/>
        <v>2472.41</v>
      </c>
      <c r="Q410" s="132">
        <f t="shared" si="194"/>
        <v>4944.82</v>
      </c>
    </row>
    <row r="411" spans="1:17" x14ac:dyDescent="0.25">
      <c r="A411" s="230" t="s">
        <v>7826</v>
      </c>
      <c r="B411" s="231" t="s">
        <v>7332</v>
      </c>
      <c r="C411" s="232"/>
      <c r="D411" s="233"/>
      <c r="E411" s="234"/>
      <c r="F411" s="235"/>
      <c r="G411" s="235"/>
      <c r="H411" s="236"/>
      <c r="I411" s="264"/>
      <c r="J411" s="265"/>
      <c r="K411" s="265"/>
      <c r="L411" s="264"/>
      <c r="M411" s="265"/>
      <c r="N411" s="265"/>
      <c r="O411" s="264"/>
      <c r="P411" s="265"/>
      <c r="Q411" s="265"/>
    </row>
    <row r="412" spans="1:17" x14ac:dyDescent="0.25">
      <c r="A412" s="238" t="s">
        <v>7827</v>
      </c>
      <c r="B412" s="239" t="s">
        <v>7334</v>
      </c>
      <c r="C412" s="240"/>
      <c r="D412" s="241"/>
      <c r="E412" s="242"/>
      <c r="F412" s="243"/>
      <c r="G412" s="243"/>
      <c r="H412" s="244"/>
      <c r="I412" s="269"/>
      <c r="J412" s="270"/>
      <c r="K412" s="270"/>
      <c r="L412" s="269"/>
      <c r="M412" s="270"/>
      <c r="N412" s="270"/>
      <c r="O412" s="269"/>
      <c r="P412" s="270"/>
      <c r="Q412" s="270"/>
    </row>
    <row r="413" spans="1:17" ht="22.5" x14ac:dyDescent="0.25">
      <c r="A413" s="254" t="s">
        <v>7828</v>
      </c>
      <c r="B413" s="255" t="s">
        <v>7638</v>
      </c>
      <c r="C413" s="256"/>
      <c r="D413" s="257"/>
      <c r="E413" s="258"/>
      <c r="F413" s="258"/>
      <c r="G413" s="258"/>
      <c r="H413" s="259"/>
      <c r="I413" s="267"/>
      <c r="J413" s="268"/>
      <c r="K413" s="268"/>
      <c r="L413" s="267"/>
      <c r="M413" s="268"/>
      <c r="N413" s="268"/>
      <c r="O413" s="267"/>
      <c r="P413" s="268"/>
      <c r="Q413" s="268"/>
    </row>
    <row r="414" spans="1:17" ht="33.75" x14ac:dyDescent="0.25">
      <c r="A414" s="246" t="s">
        <v>7829</v>
      </c>
      <c r="B414" s="247" t="s">
        <v>7830</v>
      </c>
      <c r="C414" s="248" t="s">
        <v>378</v>
      </c>
      <c r="D414" s="249" t="s">
        <v>1</v>
      </c>
      <c r="E414" s="250" t="s">
        <v>7193</v>
      </c>
      <c r="F414" s="250">
        <v>70</v>
      </c>
      <c r="G414" s="250">
        <v>10</v>
      </c>
      <c r="H414" s="251">
        <v>900</v>
      </c>
      <c r="I414" s="266">
        <v>10</v>
      </c>
      <c r="J414" s="182">
        <v>273.77999999999997</v>
      </c>
      <c r="K414" s="228">
        <f t="shared" ref="K414:K415" si="195">ROUND(I414*J414,2)</f>
        <v>2737.8</v>
      </c>
      <c r="L414" s="263"/>
      <c r="M414" s="131"/>
      <c r="N414" s="132"/>
      <c r="O414" s="130">
        <f t="shared" ref="O414:O415" si="196">SUM(L414,I414)</f>
        <v>10</v>
      </c>
      <c r="P414" s="131">
        <f t="shared" ref="P414:P415" si="197">IF(M414&lt;&gt;"",M414,J414)</f>
        <v>273.77999999999997</v>
      </c>
      <c r="Q414" s="132">
        <f t="shared" ref="Q414:Q415" si="198">ROUND(O414*P414,2)</f>
        <v>2737.8</v>
      </c>
    </row>
    <row r="415" spans="1:17" ht="56.25" x14ac:dyDescent="0.25">
      <c r="A415" s="246" t="s">
        <v>7831</v>
      </c>
      <c r="B415" s="247" t="s">
        <v>7832</v>
      </c>
      <c r="C415" s="248" t="s">
        <v>378</v>
      </c>
      <c r="D415" s="249" t="s">
        <v>1</v>
      </c>
      <c r="E415" s="250" t="s">
        <v>7193</v>
      </c>
      <c r="F415" s="250">
        <v>70</v>
      </c>
      <c r="G415" s="250">
        <v>10</v>
      </c>
      <c r="H415" s="251">
        <v>900</v>
      </c>
      <c r="I415" s="266">
        <v>10</v>
      </c>
      <c r="J415" s="182">
        <v>266.33999999999997</v>
      </c>
      <c r="K415" s="228">
        <f t="shared" si="195"/>
        <v>2663.4</v>
      </c>
      <c r="L415" s="263"/>
      <c r="M415" s="131"/>
      <c r="N415" s="132"/>
      <c r="O415" s="130">
        <f t="shared" si="196"/>
        <v>10</v>
      </c>
      <c r="P415" s="131">
        <f t="shared" si="197"/>
        <v>266.33999999999997</v>
      </c>
      <c r="Q415" s="132">
        <f t="shared" si="198"/>
        <v>2663.4</v>
      </c>
    </row>
    <row r="416" spans="1:17" x14ac:dyDescent="0.25">
      <c r="A416" s="254" t="s">
        <v>7833</v>
      </c>
      <c r="B416" s="255" t="s">
        <v>7834</v>
      </c>
      <c r="C416" s="256"/>
      <c r="D416" s="257"/>
      <c r="E416" s="258"/>
      <c r="F416" s="258"/>
      <c r="G416" s="258"/>
      <c r="H416" s="259"/>
      <c r="I416" s="267"/>
      <c r="J416" s="268"/>
      <c r="K416" s="268"/>
      <c r="L416" s="267"/>
      <c r="M416" s="268"/>
      <c r="N416" s="268"/>
      <c r="O416" s="267"/>
      <c r="P416" s="268"/>
      <c r="Q416" s="268"/>
    </row>
    <row r="417" spans="1:17" ht="56.25" x14ac:dyDescent="0.25">
      <c r="A417" s="246" t="s">
        <v>7835</v>
      </c>
      <c r="B417" s="247" t="s">
        <v>7836</v>
      </c>
      <c r="C417" s="248" t="s">
        <v>378</v>
      </c>
      <c r="D417" s="249" t="s">
        <v>1</v>
      </c>
      <c r="E417" s="250" t="s">
        <v>7193</v>
      </c>
      <c r="F417" s="250">
        <v>70</v>
      </c>
      <c r="G417" s="250">
        <v>10</v>
      </c>
      <c r="H417" s="251">
        <v>900</v>
      </c>
      <c r="I417" s="266">
        <v>210</v>
      </c>
      <c r="J417" s="182">
        <v>56.14</v>
      </c>
      <c r="K417" s="228">
        <f t="shared" ref="K417" si="199">ROUND(I417*J417,2)</f>
        <v>11789.4</v>
      </c>
      <c r="L417" s="263"/>
      <c r="M417" s="131"/>
      <c r="N417" s="132"/>
      <c r="O417" s="130">
        <f>SUM(L417,I417)</f>
        <v>210</v>
      </c>
      <c r="P417" s="131">
        <f>IF(M417&lt;&gt;"",M417,J417)</f>
        <v>56.14</v>
      </c>
      <c r="Q417" s="132">
        <f>ROUND(O417*P417,2)</f>
        <v>11789.4</v>
      </c>
    </row>
    <row r="418" spans="1:17" x14ac:dyDescent="0.25">
      <c r="A418" s="238" t="s">
        <v>7837</v>
      </c>
      <c r="B418" s="239" t="s">
        <v>7838</v>
      </c>
      <c r="C418" s="240"/>
      <c r="D418" s="241"/>
      <c r="E418" s="242"/>
      <c r="F418" s="243"/>
      <c r="G418" s="243"/>
      <c r="H418" s="244"/>
      <c r="I418" s="269"/>
      <c r="J418" s="270"/>
      <c r="K418" s="270"/>
      <c r="L418" s="269"/>
      <c r="M418" s="270"/>
      <c r="N418" s="270"/>
      <c r="O418" s="269"/>
      <c r="P418" s="270"/>
      <c r="Q418" s="270"/>
    </row>
    <row r="419" spans="1:17" x14ac:dyDescent="0.25">
      <c r="A419" s="254" t="s">
        <v>7839</v>
      </c>
      <c r="B419" s="255" t="s">
        <v>7840</v>
      </c>
      <c r="C419" s="256"/>
      <c r="D419" s="257"/>
      <c r="E419" s="258"/>
      <c r="F419" s="258"/>
      <c r="G419" s="258"/>
      <c r="H419" s="259"/>
      <c r="I419" s="267"/>
      <c r="J419" s="268"/>
      <c r="K419" s="268"/>
      <c r="L419" s="267"/>
      <c r="M419" s="268"/>
      <c r="N419" s="268"/>
      <c r="O419" s="267"/>
      <c r="P419" s="268"/>
      <c r="Q419" s="268"/>
    </row>
    <row r="420" spans="1:17" ht="33.75" x14ac:dyDescent="0.25">
      <c r="A420" s="246" t="s">
        <v>7841</v>
      </c>
      <c r="B420" s="247" t="s">
        <v>7842</v>
      </c>
      <c r="C420" s="248" t="s">
        <v>378</v>
      </c>
      <c r="D420" s="249" t="s">
        <v>1</v>
      </c>
      <c r="E420" s="250" t="s">
        <v>7504</v>
      </c>
      <c r="F420" s="250">
        <v>70</v>
      </c>
      <c r="G420" s="250">
        <v>10</v>
      </c>
      <c r="H420" s="251">
        <v>0</v>
      </c>
      <c r="I420" s="266">
        <v>700</v>
      </c>
      <c r="J420" s="182">
        <v>47.38</v>
      </c>
      <c r="K420" s="228">
        <f t="shared" ref="K420:K422" si="200">ROUND(I420*J420,2)</f>
        <v>33166</v>
      </c>
      <c r="L420" s="263"/>
      <c r="M420" s="131"/>
      <c r="N420" s="132"/>
      <c r="O420" s="130">
        <f t="shared" ref="O420:O422" si="201">SUM(L420,I420)</f>
        <v>700</v>
      </c>
      <c r="P420" s="131">
        <f t="shared" ref="P420:P422" si="202">IF(M420&lt;&gt;"",M420,J420)</f>
        <v>47.38</v>
      </c>
      <c r="Q420" s="132">
        <f t="shared" ref="Q420:Q422" si="203">ROUND(O420*P420,2)</f>
        <v>33166</v>
      </c>
    </row>
    <row r="421" spans="1:17" ht="56.25" x14ac:dyDescent="0.25">
      <c r="A421" s="246" t="s">
        <v>7843</v>
      </c>
      <c r="B421" s="247" t="s">
        <v>7844</v>
      </c>
      <c r="C421" s="248" t="s">
        <v>378</v>
      </c>
      <c r="D421" s="249" t="s">
        <v>1</v>
      </c>
      <c r="E421" s="250" t="s">
        <v>7504</v>
      </c>
      <c r="F421" s="250">
        <v>70</v>
      </c>
      <c r="G421" s="250">
        <v>10</v>
      </c>
      <c r="H421" s="251">
        <v>0</v>
      </c>
      <c r="I421" s="266">
        <v>210</v>
      </c>
      <c r="J421" s="182">
        <v>64.91</v>
      </c>
      <c r="K421" s="228">
        <f t="shared" si="200"/>
        <v>13631.1</v>
      </c>
      <c r="L421" s="263"/>
      <c r="M421" s="131"/>
      <c r="N421" s="132"/>
      <c r="O421" s="130">
        <f t="shared" si="201"/>
        <v>210</v>
      </c>
      <c r="P421" s="131">
        <f t="shared" si="202"/>
        <v>64.91</v>
      </c>
      <c r="Q421" s="132">
        <f t="shared" si="203"/>
        <v>13631.1</v>
      </c>
    </row>
    <row r="422" spans="1:17" ht="22.5" x14ac:dyDescent="0.25">
      <c r="A422" s="246" t="s">
        <v>7845</v>
      </c>
      <c r="B422" s="247" t="s">
        <v>7846</v>
      </c>
      <c r="C422" s="248" t="s">
        <v>378</v>
      </c>
      <c r="D422" s="249" t="s">
        <v>1</v>
      </c>
      <c r="E422" s="250" t="s">
        <v>7504</v>
      </c>
      <c r="F422" s="250">
        <v>70</v>
      </c>
      <c r="G422" s="250">
        <v>10</v>
      </c>
      <c r="H422" s="251">
        <v>0</v>
      </c>
      <c r="I422" s="266">
        <v>210</v>
      </c>
      <c r="J422" s="182">
        <v>20.63</v>
      </c>
      <c r="K422" s="228">
        <f t="shared" si="200"/>
        <v>4332.3</v>
      </c>
      <c r="L422" s="263"/>
      <c r="M422" s="131"/>
      <c r="N422" s="132"/>
      <c r="O422" s="130">
        <f t="shared" si="201"/>
        <v>210</v>
      </c>
      <c r="P422" s="131">
        <f t="shared" si="202"/>
        <v>20.63</v>
      </c>
      <c r="Q422" s="132">
        <f t="shared" si="203"/>
        <v>4332.3</v>
      </c>
    </row>
    <row r="423" spans="1:17" x14ac:dyDescent="0.25">
      <c r="A423" s="254" t="s">
        <v>7847</v>
      </c>
      <c r="B423" s="255" t="s">
        <v>7848</v>
      </c>
      <c r="C423" s="256"/>
      <c r="D423" s="257"/>
      <c r="E423" s="258"/>
      <c r="F423" s="258"/>
      <c r="G423" s="258"/>
      <c r="H423" s="259"/>
      <c r="I423" s="267"/>
      <c r="J423" s="268"/>
      <c r="K423" s="268"/>
      <c r="L423" s="267"/>
      <c r="M423" s="268"/>
      <c r="N423" s="268"/>
      <c r="O423" s="267"/>
      <c r="P423" s="268"/>
      <c r="Q423" s="268"/>
    </row>
    <row r="424" spans="1:17" ht="56.25" x14ac:dyDescent="0.25">
      <c r="A424" s="246" t="s">
        <v>7849</v>
      </c>
      <c r="B424" s="247" t="s">
        <v>7850</v>
      </c>
      <c r="C424" s="248" t="s">
        <v>378</v>
      </c>
      <c r="D424" s="249" t="s">
        <v>1</v>
      </c>
      <c r="E424" s="250" t="s">
        <v>7504</v>
      </c>
      <c r="F424" s="250">
        <v>70</v>
      </c>
      <c r="G424" s="250">
        <v>10</v>
      </c>
      <c r="H424" s="251">
        <v>0</v>
      </c>
      <c r="I424" s="266">
        <v>10</v>
      </c>
      <c r="J424" s="182">
        <v>20.63</v>
      </c>
      <c r="K424" s="228">
        <f t="shared" ref="K424" si="204">ROUND(I424*J424,2)</f>
        <v>206.3</v>
      </c>
      <c r="L424" s="263"/>
      <c r="M424" s="131"/>
      <c r="N424" s="132"/>
      <c r="O424" s="130">
        <f>SUM(L424,I424)</f>
        <v>10</v>
      </c>
      <c r="P424" s="131">
        <f>IF(M424&lt;&gt;"",M424,J424)</f>
        <v>20.63</v>
      </c>
      <c r="Q424" s="132">
        <f>ROUND(O424*P424,2)</f>
        <v>206.3</v>
      </c>
    </row>
    <row r="425" spans="1:17" ht="22.5" x14ac:dyDescent="0.25">
      <c r="A425" s="238" t="s">
        <v>7851</v>
      </c>
      <c r="B425" s="239" t="s">
        <v>7380</v>
      </c>
      <c r="C425" s="240"/>
      <c r="D425" s="241"/>
      <c r="E425" s="242"/>
      <c r="F425" s="243"/>
      <c r="G425" s="243"/>
      <c r="H425" s="244"/>
      <c r="I425" s="269"/>
      <c r="J425" s="270" t="s">
        <v>7083</v>
      </c>
      <c r="K425" s="270"/>
      <c r="L425" s="269"/>
      <c r="M425" s="270"/>
      <c r="N425" s="270"/>
      <c r="O425" s="269"/>
      <c r="P425" s="270" t="s">
        <v>7083</v>
      </c>
      <c r="Q425" s="270"/>
    </row>
    <row r="426" spans="1:17" ht="22.5" x14ac:dyDescent="0.25">
      <c r="A426" s="254" t="s">
        <v>7852</v>
      </c>
      <c r="B426" s="255" t="s">
        <v>7388</v>
      </c>
      <c r="C426" s="256"/>
      <c r="D426" s="257"/>
      <c r="E426" s="258"/>
      <c r="F426" s="258"/>
      <c r="G426" s="258"/>
      <c r="H426" s="259"/>
      <c r="I426" s="267"/>
      <c r="J426" s="268"/>
      <c r="K426" s="268"/>
      <c r="L426" s="267"/>
      <c r="M426" s="268"/>
      <c r="N426" s="268"/>
      <c r="O426" s="267"/>
      <c r="P426" s="268"/>
      <c r="Q426" s="268"/>
    </row>
    <row r="427" spans="1:17" ht="33.75" x14ac:dyDescent="0.25">
      <c r="A427" s="246" t="s">
        <v>7853</v>
      </c>
      <c r="B427" s="247" t="s">
        <v>7854</v>
      </c>
      <c r="C427" s="248" t="s">
        <v>378</v>
      </c>
      <c r="D427" s="249" t="s">
        <v>1</v>
      </c>
      <c r="E427" s="250" t="s">
        <v>7193</v>
      </c>
      <c r="F427" s="250">
        <v>70</v>
      </c>
      <c r="G427" s="250">
        <v>10</v>
      </c>
      <c r="H427" s="251">
        <v>900</v>
      </c>
      <c r="I427" s="266">
        <v>70</v>
      </c>
      <c r="J427" s="182">
        <v>24.67</v>
      </c>
      <c r="K427" s="228">
        <f t="shared" ref="K427" si="205">ROUND(I427*J427,2)</f>
        <v>1726.9</v>
      </c>
      <c r="L427" s="263"/>
      <c r="M427" s="131"/>
      <c r="N427" s="132"/>
      <c r="O427" s="130">
        <f>SUM(L427,I427)</f>
        <v>70</v>
      </c>
      <c r="P427" s="131">
        <f>IF(M427&lt;&gt;"",M427,J427)</f>
        <v>24.67</v>
      </c>
      <c r="Q427" s="132">
        <f>ROUND(O427*P427,2)</f>
        <v>1726.9</v>
      </c>
    </row>
    <row r="428" spans="1:17" x14ac:dyDescent="0.25">
      <c r="A428" s="170" t="s">
        <v>7853</v>
      </c>
      <c r="B428" s="170" t="s">
        <v>7382</v>
      </c>
      <c r="C428" s="171"/>
      <c r="D428" s="171"/>
      <c r="E428" s="172"/>
      <c r="F428" s="172"/>
      <c r="G428" s="172"/>
      <c r="H428" s="173"/>
      <c r="I428" s="271"/>
      <c r="J428" s="175" t="s">
        <v>7083</v>
      </c>
      <c r="K428" s="176"/>
      <c r="L428" s="271"/>
      <c r="M428" s="175"/>
      <c r="N428" s="176"/>
      <c r="O428" s="271"/>
      <c r="P428" s="175" t="s">
        <v>7083</v>
      </c>
      <c r="Q428" s="176"/>
    </row>
    <row r="429" spans="1:17" ht="45" x14ac:dyDescent="0.25">
      <c r="A429" s="246" t="s">
        <v>7855</v>
      </c>
      <c r="B429" s="247" t="s">
        <v>7384</v>
      </c>
      <c r="C429" s="248" t="s">
        <v>378</v>
      </c>
      <c r="D429" s="249" t="s">
        <v>1</v>
      </c>
      <c r="E429" s="250" t="s">
        <v>7193</v>
      </c>
      <c r="F429" s="250">
        <v>70</v>
      </c>
      <c r="G429" s="250">
        <v>10</v>
      </c>
      <c r="H429" s="251">
        <v>900</v>
      </c>
      <c r="I429" s="266">
        <v>10</v>
      </c>
      <c r="J429" s="182">
        <v>31.74</v>
      </c>
      <c r="K429" s="228">
        <f t="shared" ref="K429" si="206">ROUND(I429*J429,2)</f>
        <v>317.39999999999998</v>
      </c>
      <c r="L429" s="263"/>
      <c r="M429" s="131"/>
      <c r="N429" s="132"/>
      <c r="O429" s="130">
        <f>SUM(L429,I429)</f>
        <v>10</v>
      </c>
      <c r="P429" s="131">
        <f>IF(M429&lt;&gt;"",M429,J429)</f>
        <v>31.74</v>
      </c>
      <c r="Q429" s="132">
        <f>ROUND(O429*P429,2)</f>
        <v>317.39999999999998</v>
      </c>
    </row>
    <row r="430" spans="1:17" x14ac:dyDescent="0.25">
      <c r="A430" s="254" t="s">
        <v>7856</v>
      </c>
      <c r="B430" s="255" t="s">
        <v>7464</v>
      </c>
      <c r="C430" s="256"/>
      <c r="D430" s="257"/>
      <c r="E430" s="258"/>
      <c r="F430" s="258"/>
      <c r="G430" s="258"/>
      <c r="H430" s="259"/>
      <c r="I430" s="267"/>
      <c r="J430" s="268" t="s">
        <v>7083</v>
      </c>
      <c r="K430" s="268"/>
      <c r="L430" s="267"/>
      <c r="M430" s="268"/>
      <c r="N430" s="268"/>
      <c r="O430" s="267"/>
      <c r="P430" s="268" t="s">
        <v>7083</v>
      </c>
      <c r="Q430" s="268"/>
    </row>
    <row r="431" spans="1:17" x14ac:dyDescent="0.25">
      <c r="A431" s="246" t="s">
        <v>7857</v>
      </c>
      <c r="B431" s="247" t="s">
        <v>7468</v>
      </c>
      <c r="C431" s="248" t="s">
        <v>460</v>
      </c>
      <c r="D431" s="249" t="s">
        <v>1</v>
      </c>
      <c r="E431" s="250" t="s">
        <v>7193</v>
      </c>
      <c r="F431" s="250">
        <v>70</v>
      </c>
      <c r="G431" s="250">
        <v>65</v>
      </c>
      <c r="H431" s="251">
        <v>10</v>
      </c>
      <c r="I431" s="266">
        <v>7</v>
      </c>
      <c r="J431" s="182">
        <v>242.89</v>
      </c>
      <c r="K431" s="228">
        <f t="shared" ref="K431:K432" si="207">ROUND(I431*J431,2)</f>
        <v>1700.23</v>
      </c>
      <c r="L431" s="263"/>
      <c r="M431" s="131"/>
      <c r="N431" s="132"/>
      <c r="O431" s="130">
        <f t="shared" ref="O431:O432" si="208">SUM(L431,I431)</f>
        <v>7</v>
      </c>
      <c r="P431" s="131">
        <f t="shared" ref="P431:P432" si="209">IF(M431&lt;&gt;"",M431,J431)</f>
        <v>242.89</v>
      </c>
      <c r="Q431" s="132">
        <f t="shared" ref="Q431:Q432" si="210">ROUND(O431*P431,2)</f>
        <v>1700.23</v>
      </c>
    </row>
    <row r="432" spans="1:17" x14ac:dyDescent="0.25">
      <c r="A432" s="246" t="s">
        <v>7858</v>
      </c>
      <c r="B432" s="247" t="s">
        <v>7470</v>
      </c>
      <c r="C432" s="248" t="s">
        <v>460</v>
      </c>
      <c r="D432" s="249" t="s">
        <v>1</v>
      </c>
      <c r="E432" s="250" t="s">
        <v>7193</v>
      </c>
      <c r="F432" s="250">
        <v>70</v>
      </c>
      <c r="G432" s="250">
        <v>65</v>
      </c>
      <c r="H432" s="251">
        <v>10</v>
      </c>
      <c r="I432" s="266">
        <v>7</v>
      </c>
      <c r="J432" s="182">
        <v>242.89</v>
      </c>
      <c r="K432" s="228">
        <f t="shared" si="207"/>
        <v>1700.23</v>
      </c>
      <c r="L432" s="263"/>
      <c r="M432" s="131"/>
      <c r="N432" s="132"/>
      <c r="O432" s="130">
        <f t="shared" si="208"/>
        <v>7</v>
      </c>
      <c r="P432" s="131">
        <f t="shared" si="209"/>
        <v>242.89</v>
      </c>
      <c r="Q432" s="132">
        <f t="shared" si="210"/>
        <v>1700.23</v>
      </c>
    </row>
    <row r="433" spans="1:17" x14ac:dyDescent="0.25">
      <c r="A433" s="254" t="s">
        <v>7859</v>
      </c>
      <c r="B433" s="255" t="s">
        <v>7860</v>
      </c>
      <c r="C433" s="256"/>
      <c r="D433" s="257"/>
      <c r="E433" s="258"/>
      <c r="F433" s="258"/>
      <c r="G433" s="258"/>
      <c r="H433" s="259"/>
      <c r="I433" s="260"/>
      <c r="J433" s="261"/>
      <c r="K433" s="261"/>
      <c r="L433" s="260"/>
      <c r="M433" s="261"/>
      <c r="N433" s="261"/>
      <c r="O433" s="260"/>
      <c r="P433" s="261"/>
      <c r="Q433" s="261"/>
    </row>
    <row r="434" spans="1:17" x14ac:dyDescent="0.25">
      <c r="A434" s="246" t="s">
        <v>7861</v>
      </c>
      <c r="B434" s="247" t="s">
        <v>7862</v>
      </c>
      <c r="C434" s="248" t="s">
        <v>378</v>
      </c>
      <c r="D434" s="249" t="s">
        <v>1</v>
      </c>
      <c r="E434" s="250" t="s">
        <v>7193</v>
      </c>
      <c r="F434" s="250">
        <v>70</v>
      </c>
      <c r="G434" s="250">
        <v>30</v>
      </c>
      <c r="H434" s="180">
        <v>0</v>
      </c>
      <c r="I434" s="262">
        <v>1000</v>
      </c>
      <c r="J434" s="182">
        <v>223.5</v>
      </c>
      <c r="K434" s="228">
        <f t="shared" ref="K434" si="211">ROUND(I434*J434,2)</f>
        <v>223500</v>
      </c>
      <c r="L434" s="263"/>
      <c r="M434" s="131"/>
      <c r="N434" s="132"/>
      <c r="O434" s="130">
        <f>SUM(L434,I434)</f>
        <v>1000</v>
      </c>
      <c r="P434" s="131">
        <f>IF(M434&lt;&gt;"",M434,J434)</f>
        <v>223.5</v>
      </c>
      <c r="Q434" s="132">
        <f>ROUND(O434*P434,2)</f>
        <v>223500</v>
      </c>
    </row>
    <row r="435" spans="1:17" ht="22.5" x14ac:dyDescent="0.25">
      <c r="A435" s="254" t="s">
        <v>7863</v>
      </c>
      <c r="B435" s="255" t="s">
        <v>7412</v>
      </c>
      <c r="C435" s="256"/>
      <c r="D435" s="257"/>
      <c r="E435" s="258"/>
      <c r="F435" s="258"/>
      <c r="G435" s="258"/>
      <c r="H435" s="259"/>
      <c r="I435" s="260"/>
      <c r="J435" s="261"/>
      <c r="K435" s="261"/>
      <c r="L435" s="260"/>
      <c r="M435" s="261"/>
      <c r="N435" s="261"/>
      <c r="O435" s="260"/>
      <c r="P435" s="261"/>
      <c r="Q435" s="261"/>
    </row>
    <row r="436" spans="1:17" ht="22.5" x14ac:dyDescent="0.25">
      <c r="A436" s="246" t="s">
        <v>7864</v>
      </c>
      <c r="B436" s="247" t="s">
        <v>7865</v>
      </c>
      <c r="C436" s="248" t="s">
        <v>378</v>
      </c>
      <c r="D436" s="249" t="s">
        <v>1</v>
      </c>
      <c r="E436" s="250" t="s">
        <v>7193</v>
      </c>
      <c r="F436" s="250">
        <v>70</v>
      </c>
      <c r="G436" s="250">
        <v>30</v>
      </c>
      <c r="H436" s="180">
        <v>0</v>
      </c>
      <c r="I436" s="262">
        <v>10</v>
      </c>
      <c r="J436" s="182">
        <v>125.5</v>
      </c>
      <c r="K436" s="228">
        <f t="shared" ref="K436:K441" si="212">ROUND(I436*J436,2)</f>
        <v>1255</v>
      </c>
      <c r="L436" s="262"/>
      <c r="M436" s="131"/>
      <c r="N436" s="132"/>
      <c r="O436" s="130">
        <f t="shared" ref="O436:O441" si="213">SUM(L436,I436)</f>
        <v>10</v>
      </c>
      <c r="P436" s="131">
        <f t="shared" ref="P436:P441" si="214">IF(M436&lt;&gt;"",M436,J436)</f>
        <v>125.5</v>
      </c>
      <c r="Q436" s="132">
        <f t="shared" ref="Q436:Q441" si="215">ROUND(O436*P436,2)</f>
        <v>1255</v>
      </c>
    </row>
    <row r="437" spans="1:17" ht="22.5" x14ac:dyDescent="0.25">
      <c r="A437" s="246" t="s">
        <v>7866</v>
      </c>
      <c r="B437" s="247" t="s">
        <v>7867</v>
      </c>
      <c r="C437" s="248" t="s">
        <v>378</v>
      </c>
      <c r="D437" s="249" t="s">
        <v>1</v>
      </c>
      <c r="E437" s="250" t="s">
        <v>7193</v>
      </c>
      <c r="F437" s="250">
        <v>70</v>
      </c>
      <c r="G437" s="250">
        <v>30</v>
      </c>
      <c r="H437" s="180">
        <v>0</v>
      </c>
      <c r="I437" s="262">
        <v>10</v>
      </c>
      <c r="J437" s="182">
        <v>167.38</v>
      </c>
      <c r="K437" s="228">
        <f t="shared" si="212"/>
        <v>1673.8</v>
      </c>
      <c r="L437" s="262"/>
      <c r="M437" s="131"/>
      <c r="N437" s="132"/>
      <c r="O437" s="130">
        <f t="shared" si="213"/>
        <v>10</v>
      </c>
      <c r="P437" s="131">
        <f t="shared" si="214"/>
        <v>167.38</v>
      </c>
      <c r="Q437" s="132">
        <f t="shared" si="215"/>
        <v>1673.8</v>
      </c>
    </row>
    <row r="438" spans="1:17" ht="22.5" x14ac:dyDescent="0.25">
      <c r="A438" s="246" t="s">
        <v>7868</v>
      </c>
      <c r="B438" s="247" t="s">
        <v>7869</v>
      </c>
      <c r="C438" s="248" t="s">
        <v>378</v>
      </c>
      <c r="D438" s="249" t="s">
        <v>1</v>
      </c>
      <c r="E438" s="250" t="s">
        <v>7193</v>
      </c>
      <c r="F438" s="250">
        <v>70</v>
      </c>
      <c r="G438" s="250">
        <v>30</v>
      </c>
      <c r="H438" s="180">
        <v>0</v>
      </c>
      <c r="I438" s="262">
        <v>10</v>
      </c>
      <c r="J438" s="182">
        <v>234.98</v>
      </c>
      <c r="K438" s="228">
        <f t="shared" si="212"/>
        <v>2349.8000000000002</v>
      </c>
      <c r="L438" s="262"/>
      <c r="M438" s="131"/>
      <c r="N438" s="132"/>
      <c r="O438" s="130">
        <f t="shared" si="213"/>
        <v>10</v>
      </c>
      <c r="P438" s="131">
        <f t="shared" si="214"/>
        <v>234.98</v>
      </c>
      <c r="Q438" s="132">
        <f t="shared" si="215"/>
        <v>2349.8000000000002</v>
      </c>
    </row>
    <row r="439" spans="1:17" x14ac:dyDescent="0.25">
      <c r="A439" s="246" t="s">
        <v>7870</v>
      </c>
      <c r="B439" s="247" t="s">
        <v>7871</v>
      </c>
      <c r="C439" s="248" t="s">
        <v>378</v>
      </c>
      <c r="D439" s="249" t="s">
        <v>1</v>
      </c>
      <c r="E439" s="250" t="s">
        <v>7193</v>
      </c>
      <c r="F439" s="250">
        <v>70</v>
      </c>
      <c r="G439" s="250">
        <v>30</v>
      </c>
      <c r="H439" s="180">
        <v>0</v>
      </c>
      <c r="I439" s="262">
        <v>15</v>
      </c>
      <c r="J439" s="182">
        <v>519.1</v>
      </c>
      <c r="K439" s="228">
        <f t="shared" si="212"/>
        <v>7786.5</v>
      </c>
      <c r="L439" s="262"/>
      <c r="M439" s="131"/>
      <c r="N439" s="132"/>
      <c r="O439" s="130">
        <f t="shared" si="213"/>
        <v>15</v>
      </c>
      <c r="P439" s="131">
        <f t="shared" si="214"/>
        <v>519.1</v>
      </c>
      <c r="Q439" s="132">
        <f t="shared" si="215"/>
        <v>7786.5</v>
      </c>
    </row>
    <row r="440" spans="1:17" ht="22.5" x14ac:dyDescent="0.25">
      <c r="A440" s="246" t="s">
        <v>7872</v>
      </c>
      <c r="B440" s="247" t="s">
        <v>7873</v>
      </c>
      <c r="C440" s="248" t="s">
        <v>378</v>
      </c>
      <c r="D440" s="249" t="s">
        <v>1</v>
      </c>
      <c r="E440" s="250" t="s">
        <v>7193</v>
      </c>
      <c r="F440" s="250">
        <v>70</v>
      </c>
      <c r="G440" s="250">
        <v>30</v>
      </c>
      <c r="H440" s="180">
        <v>0</v>
      </c>
      <c r="I440" s="262">
        <v>8</v>
      </c>
      <c r="J440" s="182">
        <v>90.98</v>
      </c>
      <c r="K440" s="228">
        <f t="shared" si="212"/>
        <v>727.84</v>
      </c>
      <c r="L440" s="262"/>
      <c r="M440" s="131"/>
      <c r="N440" s="132"/>
      <c r="O440" s="130">
        <f t="shared" si="213"/>
        <v>8</v>
      </c>
      <c r="P440" s="131">
        <f t="shared" si="214"/>
        <v>90.98</v>
      </c>
      <c r="Q440" s="132">
        <f t="shared" si="215"/>
        <v>727.84</v>
      </c>
    </row>
    <row r="441" spans="1:17" ht="22.5" x14ac:dyDescent="0.25">
      <c r="A441" s="246" t="s">
        <v>7874</v>
      </c>
      <c r="B441" s="247" t="s">
        <v>7875</v>
      </c>
      <c r="C441" s="248" t="s">
        <v>378</v>
      </c>
      <c r="D441" s="249" t="s">
        <v>1</v>
      </c>
      <c r="E441" s="250" t="s">
        <v>7193</v>
      </c>
      <c r="F441" s="250">
        <v>70</v>
      </c>
      <c r="G441" s="250">
        <v>30</v>
      </c>
      <c r="H441" s="180">
        <v>0</v>
      </c>
      <c r="I441" s="262">
        <v>8</v>
      </c>
      <c r="J441" s="182">
        <v>139.82</v>
      </c>
      <c r="K441" s="228">
        <f t="shared" si="212"/>
        <v>1118.56</v>
      </c>
      <c r="L441" s="262"/>
      <c r="M441" s="131"/>
      <c r="N441" s="132"/>
      <c r="O441" s="130">
        <f t="shared" si="213"/>
        <v>8</v>
      </c>
      <c r="P441" s="131">
        <f t="shared" si="214"/>
        <v>139.82</v>
      </c>
      <c r="Q441" s="132">
        <f t="shared" si="215"/>
        <v>1118.56</v>
      </c>
    </row>
    <row r="442" spans="1:17" x14ac:dyDescent="0.25">
      <c r="A442" s="163" t="s">
        <v>7876</v>
      </c>
      <c r="B442" s="163" t="s">
        <v>7432</v>
      </c>
      <c r="C442" s="164"/>
      <c r="D442" s="164"/>
      <c r="E442" s="165"/>
      <c r="F442" s="165"/>
      <c r="G442" s="165"/>
      <c r="H442" s="166"/>
      <c r="I442" s="272"/>
      <c r="J442" s="168" t="s">
        <v>7083</v>
      </c>
      <c r="K442" s="169"/>
      <c r="L442" s="272"/>
      <c r="M442" s="168"/>
      <c r="N442" s="169"/>
      <c r="O442" s="272"/>
      <c r="P442" s="168" t="s">
        <v>7083</v>
      </c>
      <c r="Q442" s="169"/>
    </row>
    <row r="443" spans="1:17" ht="22.5" x14ac:dyDescent="0.25">
      <c r="A443" s="246" t="s">
        <v>7877</v>
      </c>
      <c r="B443" s="247" t="s">
        <v>7878</v>
      </c>
      <c r="C443" s="248" t="s">
        <v>378</v>
      </c>
      <c r="D443" s="249" t="s">
        <v>1</v>
      </c>
      <c r="E443" s="250" t="s">
        <v>7193</v>
      </c>
      <c r="F443" s="250">
        <v>70</v>
      </c>
      <c r="G443" s="250">
        <v>30</v>
      </c>
      <c r="H443" s="180">
        <v>0</v>
      </c>
      <c r="I443" s="262">
        <v>10</v>
      </c>
      <c r="J443" s="182">
        <v>664.22</v>
      </c>
      <c r="K443" s="228">
        <f t="shared" ref="K443" si="216">ROUND(I443*J443,2)</f>
        <v>6642.2</v>
      </c>
      <c r="L443" s="262"/>
      <c r="M443" s="131"/>
      <c r="N443" s="132"/>
      <c r="O443" s="130">
        <f>SUM(L443,I443)</f>
        <v>10</v>
      </c>
      <c r="P443" s="131">
        <f>IF(M443&lt;&gt;"",M443,J443)</f>
        <v>664.22</v>
      </c>
      <c r="Q443" s="132">
        <f>ROUND(O443*P443,2)</f>
        <v>6642.2</v>
      </c>
    </row>
    <row r="444" spans="1:17" x14ac:dyDescent="0.25">
      <c r="A444" s="170" t="s">
        <v>7879</v>
      </c>
      <c r="B444" s="163" t="s">
        <v>7476</v>
      </c>
      <c r="C444" s="171"/>
      <c r="D444" s="171"/>
      <c r="E444" s="172"/>
      <c r="F444" s="172"/>
      <c r="G444" s="172"/>
      <c r="H444" s="173"/>
      <c r="I444" s="271"/>
      <c r="J444" s="175" t="s">
        <v>7083</v>
      </c>
      <c r="K444" s="176"/>
      <c r="L444" s="271"/>
      <c r="M444" s="175"/>
      <c r="N444" s="176"/>
      <c r="O444" s="271"/>
      <c r="P444" s="175" t="s">
        <v>7083</v>
      </c>
      <c r="Q444" s="176"/>
    </row>
    <row r="445" spans="1:17" ht="22.5" x14ac:dyDescent="0.25">
      <c r="A445" s="246" t="s">
        <v>7880</v>
      </c>
      <c r="B445" s="247" t="s">
        <v>7881</v>
      </c>
      <c r="C445" s="248" t="s">
        <v>911</v>
      </c>
      <c r="D445" s="249" t="s">
        <v>1</v>
      </c>
      <c r="E445" s="250" t="s">
        <v>7193</v>
      </c>
      <c r="F445" s="250">
        <v>70</v>
      </c>
      <c r="G445" s="250">
        <v>65</v>
      </c>
      <c r="H445" s="180">
        <v>40</v>
      </c>
      <c r="I445" s="262">
        <v>10</v>
      </c>
      <c r="J445" s="182">
        <v>2619.77</v>
      </c>
      <c r="K445" s="228">
        <f t="shared" ref="K445" si="217">ROUND(I445*J445,2)</f>
        <v>26197.7</v>
      </c>
      <c r="L445" s="262"/>
      <c r="M445" s="131"/>
      <c r="N445" s="132"/>
      <c r="O445" s="130">
        <f>SUM(L445,I445)</f>
        <v>10</v>
      </c>
      <c r="P445" s="131">
        <f>IF(M445&lt;&gt;"",M445,J445)</f>
        <v>2619.77</v>
      </c>
      <c r="Q445" s="132">
        <f>ROUND(O445*P445,2)</f>
        <v>26197.7</v>
      </c>
    </row>
    <row r="446" spans="1:17" x14ac:dyDescent="0.25">
      <c r="A446" s="230" t="s">
        <v>7882</v>
      </c>
      <c r="B446" s="159" t="s">
        <v>7883</v>
      </c>
      <c r="C446" s="273"/>
      <c r="D446" s="274"/>
      <c r="E446" s="275"/>
      <c r="F446" s="275"/>
      <c r="G446" s="275"/>
      <c r="H446" s="276"/>
      <c r="I446" s="277"/>
      <c r="J446" s="278"/>
      <c r="K446" s="278"/>
      <c r="L446" s="277"/>
      <c r="M446" s="278"/>
      <c r="N446" s="278"/>
      <c r="O446" s="277"/>
      <c r="P446" s="278"/>
      <c r="Q446" s="278"/>
    </row>
    <row r="447" spans="1:17" x14ac:dyDescent="0.25">
      <c r="A447" s="246" t="s">
        <v>7884</v>
      </c>
      <c r="B447" s="247" t="s">
        <v>7885</v>
      </c>
      <c r="C447" s="248" t="s">
        <v>524</v>
      </c>
      <c r="D447" s="225" t="s">
        <v>1</v>
      </c>
      <c r="E447" s="226" t="s">
        <v>7675</v>
      </c>
      <c r="F447" s="226">
        <v>5</v>
      </c>
      <c r="G447" s="226">
        <v>5</v>
      </c>
      <c r="H447" s="180">
        <v>10</v>
      </c>
      <c r="I447" s="262">
        <v>20</v>
      </c>
      <c r="J447" s="182">
        <v>274.31</v>
      </c>
      <c r="K447" s="228">
        <f t="shared" ref="K447" si="218">ROUND(I447*J447,2)</f>
        <v>5486.2</v>
      </c>
      <c r="L447" s="263"/>
      <c r="M447" s="131"/>
      <c r="N447" s="132"/>
      <c r="O447" s="130">
        <f>SUM(L447,I447)</f>
        <v>20</v>
      </c>
      <c r="P447" s="131">
        <f>IF(M447&lt;&gt;"",M447,J447)</f>
        <v>274.31</v>
      </c>
      <c r="Q447" s="132">
        <f>ROUND(O447*P447,2)</f>
        <v>5486.2</v>
      </c>
    </row>
    <row r="448" spans="1:17" x14ac:dyDescent="0.25">
      <c r="A448" s="230" t="s">
        <v>7886</v>
      </c>
      <c r="B448" s="159" t="s">
        <v>7887</v>
      </c>
      <c r="C448" s="273"/>
      <c r="D448" s="274"/>
      <c r="E448" s="275"/>
      <c r="F448" s="275"/>
      <c r="G448" s="275"/>
      <c r="H448" s="276"/>
      <c r="I448" s="277"/>
      <c r="J448" s="278"/>
      <c r="K448" s="278"/>
      <c r="L448" s="277"/>
      <c r="M448" s="278"/>
      <c r="N448" s="278"/>
      <c r="O448" s="277"/>
      <c r="P448" s="278"/>
      <c r="Q448" s="278"/>
    </row>
    <row r="449" spans="1:17" x14ac:dyDescent="0.25">
      <c r="A449" s="246" t="s">
        <v>7888</v>
      </c>
      <c r="B449" s="246" t="s">
        <v>7889</v>
      </c>
      <c r="C449" s="248" t="s">
        <v>524</v>
      </c>
      <c r="D449" s="279" t="s">
        <v>1</v>
      </c>
      <c r="E449" s="280" t="s">
        <v>7670</v>
      </c>
      <c r="F449" s="280">
        <v>50</v>
      </c>
      <c r="G449" s="280">
        <v>50</v>
      </c>
      <c r="H449" s="180">
        <v>0</v>
      </c>
      <c r="I449" s="266">
        <v>200</v>
      </c>
      <c r="J449" s="182">
        <v>58.58</v>
      </c>
      <c r="K449" s="228">
        <f t="shared" ref="K449:K450" si="219">ROUND(I449*J449,2)</f>
        <v>11716</v>
      </c>
      <c r="L449" s="263"/>
      <c r="M449" s="131"/>
      <c r="N449" s="132"/>
      <c r="O449" s="130">
        <f t="shared" ref="O449:O450" si="220">SUM(L449,I449)</f>
        <v>200</v>
      </c>
      <c r="P449" s="131">
        <f t="shared" ref="P449:P450" si="221">IF(M449&lt;&gt;"",M449,J449)</f>
        <v>58.58</v>
      </c>
      <c r="Q449" s="132">
        <f t="shared" ref="Q449:Q450" si="222">ROUND(O449*P449,2)</f>
        <v>11716</v>
      </c>
    </row>
    <row r="450" spans="1:17" x14ac:dyDescent="0.25">
      <c r="A450" s="246" t="s">
        <v>7890</v>
      </c>
      <c r="B450" s="246" t="s">
        <v>7891</v>
      </c>
      <c r="C450" s="248" t="s">
        <v>524</v>
      </c>
      <c r="D450" s="279" t="s">
        <v>1</v>
      </c>
      <c r="E450" s="280" t="s">
        <v>7670</v>
      </c>
      <c r="F450" s="280">
        <v>50</v>
      </c>
      <c r="G450" s="280">
        <v>50</v>
      </c>
      <c r="H450" s="180">
        <v>0</v>
      </c>
      <c r="I450" s="266">
        <v>200</v>
      </c>
      <c r="J450" s="182">
        <v>46.6</v>
      </c>
      <c r="K450" s="228">
        <f t="shared" si="219"/>
        <v>9320</v>
      </c>
      <c r="L450" s="263"/>
      <c r="M450" s="131"/>
      <c r="N450" s="132"/>
      <c r="O450" s="130">
        <f t="shared" si="220"/>
        <v>200</v>
      </c>
      <c r="P450" s="131">
        <f t="shared" si="221"/>
        <v>46.6</v>
      </c>
      <c r="Q450" s="132">
        <f t="shared" si="222"/>
        <v>9320</v>
      </c>
    </row>
    <row r="451" spans="1:17" x14ac:dyDescent="0.25">
      <c r="A451" s="281"/>
      <c r="B451" s="282" t="s">
        <v>7892</v>
      </c>
      <c r="C451" s="281"/>
      <c r="D451" s="283"/>
      <c r="E451" s="284"/>
      <c r="F451" s="285"/>
      <c r="G451" s="285"/>
      <c r="H451" s="286"/>
      <c r="I451" s="287"/>
      <c r="J451" s="288"/>
      <c r="K451" s="288">
        <f>SUBTOTAL(9,K335:K450)</f>
        <v>5034913.9900000021</v>
      </c>
      <c r="L451" s="287"/>
      <c r="M451" s="288"/>
      <c r="N451" s="288">
        <f>SUBTOTAL(9,N335:N450)</f>
        <v>0</v>
      </c>
      <c r="O451" s="287"/>
      <c r="P451" s="288"/>
      <c r="Q451" s="288">
        <f>SUBTOTAL(9,Q335:Q450)</f>
        <v>5034913.9900000021</v>
      </c>
    </row>
    <row r="452" spans="1:17" x14ac:dyDescent="0.25">
      <c r="A452" s="155" t="s">
        <v>7893</v>
      </c>
      <c r="B452" s="155" t="s">
        <v>7894</v>
      </c>
      <c r="C452" s="95"/>
      <c r="D452" s="95"/>
      <c r="E452" s="96"/>
      <c r="F452" s="97"/>
      <c r="G452" s="97"/>
      <c r="H452" s="98"/>
      <c r="I452" s="289"/>
      <c r="J452" s="157" t="s">
        <v>7083</v>
      </c>
      <c r="K452" s="158"/>
      <c r="L452" s="289"/>
      <c r="M452" s="157"/>
      <c r="N452" s="158"/>
      <c r="O452" s="289"/>
      <c r="P452" s="157" t="s">
        <v>7083</v>
      </c>
      <c r="Q452" s="158"/>
    </row>
    <row r="453" spans="1:17" x14ac:dyDescent="0.25">
      <c r="A453" s="290" t="s">
        <v>7895</v>
      </c>
      <c r="B453" s="291" t="s">
        <v>7896</v>
      </c>
      <c r="C453" s="232"/>
      <c r="D453" s="292"/>
      <c r="E453" s="293"/>
      <c r="F453" s="294"/>
      <c r="G453" s="294"/>
      <c r="H453" s="295"/>
      <c r="I453" s="296"/>
      <c r="J453" s="297" t="s">
        <v>7083</v>
      </c>
      <c r="K453" s="297"/>
      <c r="L453" s="296"/>
      <c r="M453" s="297"/>
      <c r="N453" s="297"/>
      <c r="O453" s="296"/>
      <c r="P453" s="297" t="s">
        <v>7083</v>
      </c>
      <c r="Q453" s="297"/>
    </row>
    <row r="454" spans="1:17" x14ac:dyDescent="0.25">
      <c r="A454" s="221" t="s">
        <v>7897</v>
      </c>
      <c r="B454" s="221" t="s">
        <v>7840</v>
      </c>
      <c r="C454" s="164"/>
      <c r="D454" s="164"/>
      <c r="E454" s="165"/>
      <c r="F454" s="165"/>
      <c r="G454" s="165"/>
      <c r="H454" s="166"/>
      <c r="I454" s="298"/>
      <c r="J454" s="223" t="s">
        <v>7083</v>
      </c>
      <c r="K454" s="169"/>
      <c r="L454" s="298"/>
      <c r="M454" s="223"/>
      <c r="N454" s="169"/>
      <c r="O454" s="298"/>
      <c r="P454" s="223" t="s">
        <v>7083</v>
      </c>
      <c r="Q454" s="169"/>
    </row>
    <row r="455" spans="1:17" ht="33.75" x14ac:dyDescent="0.25">
      <c r="A455" s="246" t="s">
        <v>7898</v>
      </c>
      <c r="B455" s="246" t="s">
        <v>7899</v>
      </c>
      <c r="C455" s="248" t="s">
        <v>378</v>
      </c>
      <c r="D455" s="279" t="s">
        <v>1</v>
      </c>
      <c r="E455" s="280" t="s">
        <v>7504</v>
      </c>
      <c r="F455" s="280">
        <v>70</v>
      </c>
      <c r="G455" s="280">
        <v>10</v>
      </c>
      <c r="H455" s="180">
        <v>0</v>
      </c>
      <c r="I455" s="266">
        <v>2745</v>
      </c>
      <c r="J455" s="182">
        <v>135.44</v>
      </c>
      <c r="K455" s="228">
        <f t="shared" ref="K455" si="223">ROUND(I455*J455,2)</f>
        <v>371782.8</v>
      </c>
      <c r="L455" s="263"/>
      <c r="M455" s="131"/>
      <c r="N455" s="132"/>
      <c r="O455" s="130">
        <f>SUM(L455,I455)</f>
        <v>2745</v>
      </c>
      <c r="P455" s="131">
        <f>IF(M455&lt;&gt;"",M455,J455)</f>
        <v>135.44</v>
      </c>
      <c r="Q455" s="132">
        <f>ROUND(O455*P455,2)</f>
        <v>371782.8</v>
      </c>
    </row>
    <row r="456" spans="1:17" x14ac:dyDescent="0.25">
      <c r="A456" s="281"/>
      <c r="B456" s="282" t="s">
        <v>7900</v>
      </c>
      <c r="C456" s="281"/>
      <c r="D456" s="299"/>
      <c r="E456" s="300"/>
      <c r="F456" s="301"/>
      <c r="G456" s="301"/>
      <c r="H456" s="302"/>
      <c r="I456" s="287"/>
      <c r="J456" s="288"/>
      <c r="K456" s="288">
        <f>SUBTOTAL(9,K452:K455)</f>
        <v>371782.8</v>
      </c>
      <c r="L456" s="287"/>
      <c r="M456" s="288"/>
      <c r="N456" s="288">
        <f>SUBTOTAL(9,N452:N455)</f>
        <v>0</v>
      </c>
      <c r="O456" s="287"/>
      <c r="P456" s="288"/>
      <c r="Q456" s="288">
        <f>SUBTOTAL(9,Q452:Q455)</f>
        <v>371782.8</v>
      </c>
    </row>
    <row r="457" spans="1:17" x14ac:dyDescent="0.25">
      <c r="A457" s="155" t="s">
        <v>7893</v>
      </c>
      <c r="B457" s="155" t="s">
        <v>7901</v>
      </c>
      <c r="C457" s="95"/>
      <c r="D457" s="95"/>
      <c r="E457" s="96"/>
      <c r="F457" s="97"/>
      <c r="G457" s="97"/>
      <c r="H457" s="98"/>
      <c r="I457" s="156"/>
      <c r="J457" s="157" t="s">
        <v>7083</v>
      </c>
      <c r="K457" s="158"/>
      <c r="L457" s="156"/>
      <c r="M457" s="157" t="s">
        <v>7083</v>
      </c>
      <c r="N457" s="158"/>
      <c r="O457" s="156"/>
      <c r="P457" s="157" t="s">
        <v>7083</v>
      </c>
      <c r="Q457" s="158"/>
    </row>
    <row r="458" spans="1:17" x14ac:dyDescent="0.25">
      <c r="A458" s="230" t="s">
        <v>7895</v>
      </c>
      <c r="B458" s="231" t="s">
        <v>7902</v>
      </c>
      <c r="C458" s="232"/>
      <c r="D458" s="233"/>
      <c r="E458" s="234"/>
      <c r="F458" s="235"/>
      <c r="G458" s="235"/>
      <c r="H458" s="236"/>
      <c r="I458" s="265"/>
      <c r="J458" s="265"/>
      <c r="K458" s="265"/>
      <c r="L458" s="303"/>
      <c r="M458" s="265"/>
      <c r="N458" s="265"/>
      <c r="O458" s="265"/>
      <c r="P458" s="265"/>
      <c r="Q458" s="265"/>
    </row>
    <row r="459" spans="1:17" x14ac:dyDescent="0.25">
      <c r="A459" s="238" t="s">
        <v>7897</v>
      </c>
      <c r="B459" s="239" t="s">
        <v>7903</v>
      </c>
      <c r="C459" s="240"/>
      <c r="D459" s="241"/>
      <c r="E459" s="242"/>
      <c r="F459" s="243"/>
      <c r="G459" s="243"/>
      <c r="H459" s="244"/>
      <c r="I459" s="270"/>
      <c r="J459" s="270"/>
      <c r="K459" s="270"/>
      <c r="L459" s="304"/>
      <c r="M459" s="270"/>
      <c r="N459" s="270"/>
      <c r="O459" s="270"/>
      <c r="P459" s="270"/>
      <c r="Q459" s="270"/>
    </row>
    <row r="460" spans="1:17" x14ac:dyDescent="0.25">
      <c r="A460" s="254" t="s">
        <v>7898</v>
      </c>
      <c r="B460" s="255" t="s">
        <v>7554</v>
      </c>
      <c r="C460" s="256"/>
      <c r="D460" s="257"/>
      <c r="E460" s="258"/>
      <c r="F460" s="258"/>
      <c r="G460" s="258"/>
      <c r="H460" s="259"/>
      <c r="I460" s="268"/>
      <c r="J460" s="268"/>
      <c r="K460" s="268"/>
      <c r="L460" s="305"/>
      <c r="M460" s="268"/>
      <c r="N460" s="268"/>
      <c r="O460" s="268"/>
      <c r="P460" s="268"/>
      <c r="Q460" s="268"/>
    </row>
    <row r="461" spans="1:17" x14ac:dyDescent="0.25">
      <c r="A461" s="306" t="s">
        <v>7904</v>
      </c>
      <c r="B461" s="307" t="s">
        <v>7554</v>
      </c>
      <c r="C461" s="308"/>
      <c r="D461" s="309"/>
      <c r="E461" s="310"/>
      <c r="F461" s="310"/>
      <c r="G461" s="310"/>
      <c r="H461" s="311"/>
      <c r="I461" s="261"/>
      <c r="J461" s="261"/>
      <c r="K461" s="261"/>
      <c r="L461" s="312"/>
      <c r="M461" s="261"/>
      <c r="N461" s="261"/>
      <c r="O461" s="261"/>
      <c r="P461" s="261"/>
      <c r="Q461" s="261"/>
    </row>
    <row r="462" spans="1:17" ht="22.5" x14ac:dyDescent="0.25">
      <c r="A462" s="313" t="s">
        <v>7905</v>
      </c>
      <c r="B462" s="314" t="s">
        <v>7906</v>
      </c>
      <c r="C462" s="315" t="s">
        <v>911</v>
      </c>
      <c r="D462" s="316" t="s">
        <v>1</v>
      </c>
      <c r="E462" s="317" t="s">
        <v>7504</v>
      </c>
      <c r="F462" s="317">
        <v>20</v>
      </c>
      <c r="G462" s="317">
        <v>20</v>
      </c>
      <c r="H462" s="318">
        <v>0</v>
      </c>
      <c r="I462" s="319">
        <v>1</v>
      </c>
      <c r="J462" s="320"/>
      <c r="K462" s="321"/>
      <c r="L462" s="322">
        <v>1</v>
      </c>
      <c r="M462" s="323"/>
      <c r="N462" s="324">
        <f t="shared" ref="N462:N464" si="224">ROUND(L462*M462,2)</f>
        <v>0</v>
      </c>
      <c r="O462" s="325">
        <f t="shared" ref="O462:O464" si="225">SUM(L462,I462)</f>
        <v>2</v>
      </c>
      <c r="P462" s="323">
        <f t="shared" ref="P462:P464" si="226">IF(M462&lt;&gt;"",M462,J462)</f>
        <v>0</v>
      </c>
      <c r="Q462" s="326">
        <f t="shared" ref="Q462:Q464" si="227">ROUND(O462*P462,2)</f>
        <v>0</v>
      </c>
    </row>
    <row r="463" spans="1:17" ht="22.5" x14ac:dyDescent="0.25">
      <c r="A463" s="313" t="s">
        <v>7907</v>
      </c>
      <c r="B463" s="314" t="s">
        <v>7908</v>
      </c>
      <c r="C463" s="315" t="s">
        <v>911</v>
      </c>
      <c r="D463" s="316" t="s">
        <v>1</v>
      </c>
      <c r="E463" s="317" t="s">
        <v>7504</v>
      </c>
      <c r="F463" s="317">
        <v>20</v>
      </c>
      <c r="G463" s="317">
        <v>20</v>
      </c>
      <c r="H463" s="318">
        <v>0</v>
      </c>
      <c r="I463" s="319">
        <v>1</v>
      </c>
      <c r="J463" s="320"/>
      <c r="K463" s="321"/>
      <c r="L463" s="322">
        <v>1</v>
      </c>
      <c r="M463" s="323"/>
      <c r="N463" s="324">
        <f t="shared" si="224"/>
        <v>0</v>
      </c>
      <c r="O463" s="325">
        <f t="shared" si="225"/>
        <v>2</v>
      </c>
      <c r="P463" s="323">
        <f t="shared" si="226"/>
        <v>0</v>
      </c>
      <c r="Q463" s="326">
        <f t="shared" si="227"/>
        <v>0</v>
      </c>
    </row>
    <row r="464" spans="1:17" ht="22.5" x14ac:dyDescent="0.25">
      <c r="A464" s="313" t="s">
        <v>7909</v>
      </c>
      <c r="B464" s="314" t="s">
        <v>7910</v>
      </c>
      <c r="C464" s="315" t="s">
        <v>7819</v>
      </c>
      <c r="D464" s="316" t="s">
        <v>1</v>
      </c>
      <c r="E464" s="317" t="s">
        <v>7504</v>
      </c>
      <c r="F464" s="317">
        <v>20</v>
      </c>
      <c r="G464" s="317">
        <v>92</v>
      </c>
      <c r="H464" s="318">
        <v>0</v>
      </c>
      <c r="I464" s="319">
        <v>1</v>
      </c>
      <c r="J464" s="320"/>
      <c r="K464" s="321"/>
      <c r="L464" s="322">
        <v>1</v>
      </c>
      <c r="M464" s="323"/>
      <c r="N464" s="324">
        <f t="shared" si="224"/>
        <v>0</v>
      </c>
      <c r="O464" s="325">
        <f t="shared" si="225"/>
        <v>2</v>
      </c>
      <c r="P464" s="323">
        <f t="shared" si="226"/>
        <v>0</v>
      </c>
      <c r="Q464" s="326">
        <f t="shared" si="227"/>
        <v>0</v>
      </c>
    </row>
    <row r="465" spans="1:17" x14ac:dyDescent="0.25">
      <c r="A465" s="163" t="s">
        <v>7911</v>
      </c>
      <c r="B465" s="163" t="s">
        <v>7567</v>
      </c>
      <c r="C465" s="164"/>
      <c r="D465" s="164"/>
      <c r="E465" s="165"/>
      <c r="F465" s="165"/>
      <c r="G465" s="165"/>
      <c r="H465" s="166"/>
      <c r="I465" s="167"/>
      <c r="J465" s="168" t="s">
        <v>7083</v>
      </c>
      <c r="K465" s="169"/>
      <c r="L465" s="167"/>
      <c r="M465" s="168"/>
      <c r="N465" s="169"/>
      <c r="O465" s="167"/>
      <c r="P465" s="168" t="s">
        <v>7083</v>
      </c>
      <c r="Q465" s="169"/>
    </row>
    <row r="466" spans="1:17" x14ac:dyDescent="0.25">
      <c r="A466" s="170" t="s">
        <v>7912</v>
      </c>
      <c r="B466" s="170" t="s">
        <v>7569</v>
      </c>
      <c r="C466" s="171"/>
      <c r="D466" s="171"/>
      <c r="E466" s="172"/>
      <c r="F466" s="172"/>
      <c r="G466" s="172"/>
      <c r="H466" s="173"/>
      <c r="I466" s="174"/>
      <c r="J466" s="175" t="s">
        <v>7083</v>
      </c>
      <c r="K466" s="176"/>
      <c r="L466" s="174"/>
      <c r="M466" s="175"/>
      <c r="N466" s="176"/>
      <c r="O466" s="174"/>
      <c r="P466" s="175" t="s">
        <v>7083</v>
      </c>
      <c r="Q466" s="176"/>
    </row>
    <row r="467" spans="1:17" ht="22.5" x14ac:dyDescent="0.25">
      <c r="A467" s="313" t="s">
        <v>7913</v>
      </c>
      <c r="B467" s="314" t="s">
        <v>7914</v>
      </c>
      <c r="C467" s="315" t="s">
        <v>460</v>
      </c>
      <c r="D467" s="316" t="s">
        <v>1</v>
      </c>
      <c r="E467" s="317" t="s">
        <v>7193</v>
      </c>
      <c r="F467" s="317">
        <v>30</v>
      </c>
      <c r="G467" s="317">
        <v>70</v>
      </c>
      <c r="H467" s="327">
        <v>900</v>
      </c>
      <c r="I467" s="328">
        <v>1</v>
      </c>
      <c r="J467" s="320"/>
      <c r="K467" s="321"/>
      <c r="L467" s="322">
        <v>1</v>
      </c>
      <c r="M467" s="323"/>
      <c r="N467" s="324">
        <f t="shared" ref="N467:N469" si="228">ROUND(L467*M467,2)</f>
        <v>0</v>
      </c>
      <c r="O467" s="325">
        <f t="shared" ref="O467:O469" si="229">SUM(L467,I467)</f>
        <v>2</v>
      </c>
      <c r="P467" s="323">
        <f t="shared" ref="P467:P469" si="230">IF(M467&lt;&gt;"",M467,J467)</f>
        <v>0</v>
      </c>
      <c r="Q467" s="326">
        <f t="shared" ref="Q467:Q469" si="231">ROUND(O467*P467,2)</f>
        <v>0</v>
      </c>
    </row>
    <row r="468" spans="1:17" ht="22.5" x14ac:dyDescent="0.25">
      <c r="A468" s="313" t="s">
        <v>7915</v>
      </c>
      <c r="B468" s="314" t="s">
        <v>7916</v>
      </c>
      <c r="C468" s="315" t="s">
        <v>460</v>
      </c>
      <c r="D468" s="316" t="s">
        <v>1</v>
      </c>
      <c r="E468" s="317" t="s">
        <v>7504</v>
      </c>
      <c r="F468" s="317">
        <v>30</v>
      </c>
      <c r="G468" s="317">
        <v>70</v>
      </c>
      <c r="H468" s="327">
        <v>0</v>
      </c>
      <c r="I468" s="328">
        <v>1</v>
      </c>
      <c r="J468" s="320"/>
      <c r="K468" s="321"/>
      <c r="L468" s="322">
        <v>1</v>
      </c>
      <c r="M468" s="323"/>
      <c r="N468" s="324">
        <f t="shared" si="228"/>
        <v>0</v>
      </c>
      <c r="O468" s="325">
        <f t="shared" si="229"/>
        <v>2</v>
      </c>
      <c r="P468" s="323">
        <f t="shared" si="230"/>
        <v>0</v>
      </c>
      <c r="Q468" s="326">
        <f t="shared" si="231"/>
        <v>0</v>
      </c>
    </row>
    <row r="469" spans="1:17" x14ac:dyDescent="0.25">
      <c r="A469" s="313" t="s">
        <v>7917</v>
      </c>
      <c r="B469" s="314" t="s">
        <v>7918</v>
      </c>
      <c r="C469" s="315" t="s">
        <v>460</v>
      </c>
      <c r="D469" s="316" t="s">
        <v>1</v>
      </c>
      <c r="E469" s="317" t="s">
        <v>7504</v>
      </c>
      <c r="F469" s="317">
        <v>30</v>
      </c>
      <c r="G469" s="317">
        <v>70</v>
      </c>
      <c r="H469" s="327">
        <v>0</v>
      </c>
      <c r="I469" s="328">
        <v>2</v>
      </c>
      <c r="J469" s="320"/>
      <c r="K469" s="321"/>
      <c r="L469" s="322">
        <v>2</v>
      </c>
      <c r="M469" s="323"/>
      <c r="N469" s="324">
        <f t="shared" si="228"/>
        <v>0</v>
      </c>
      <c r="O469" s="325">
        <f t="shared" si="229"/>
        <v>4</v>
      </c>
      <c r="P469" s="323">
        <f t="shared" si="230"/>
        <v>0</v>
      </c>
      <c r="Q469" s="326">
        <f t="shared" si="231"/>
        <v>0</v>
      </c>
    </row>
    <row r="470" spans="1:17" x14ac:dyDescent="0.25">
      <c r="A470" s="170" t="s">
        <v>7919</v>
      </c>
      <c r="B470" s="170" t="s">
        <v>7920</v>
      </c>
      <c r="C470" s="171"/>
      <c r="D470" s="171"/>
      <c r="E470" s="172"/>
      <c r="F470" s="172"/>
      <c r="G470" s="172"/>
      <c r="H470" s="173"/>
      <c r="I470" s="174"/>
      <c r="J470" s="175" t="s">
        <v>7083</v>
      </c>
      <c r="K470" s="176"/>
      <c r="L470" s="174"/>
      <c r="M470" s="175"/>
      <c r="N470" s="176"/>
      <c r="O470" s="174"/>
      <c r="P470" s="175" t="s">
        <v>7083</v>
      </c>
      <c r="Q470" s="176"/>
    </row>
    <row r="471" spans="1:17" x14ac:dyDescent="0.25">
      <c r="A471" s="313" t="s">
        <v>7921</v>
      </c>
      <c r="B471" s="314" t="s">
        <v>7922</v>
      </c>
      <c r="C471" s="315" t="s">
        <v>460</v>
      </c>
      <c r="D471" s="316" t="s">
        <v>1</v>
      </c>
      <c r="E471" s="317" t="s">
        <v>7504</v>
      </c>
      <c r="F471" s="317">
        <v>30</v>
      </c>
      <c r="G471" s="317">
        <v>60</v>
      </c>
      <c r="H471" s="327" t="s">
        <v>7709</v>
      </c>
      <c r="I471" s="328">
        <v>2</v>
      </c>
      <c r="J471" s="320"/>
      <c r="K471" s="321"/>
      <c r="L471" s="322">
        <v>2</v>
      </c>
      <c r="M471" s="323"/>
      <c r="N471" s="324">
        <f t="shared" ref="N471:N473" si="232">ROUND(L471*M471,2)</f>
        <v>0</v>
      </c>
      <c r="O471" s="325">
        <f t="shared" ref="O471:O473" si="233">SUM(L471,I471)</f>
        <v>4</v>
      </c>
      <c r="P471" s="323">
        <f t="shared" ref="P471:P473" si="234">IF(M471&lt;&gt;"",M471,J471)</f>
        <v>0</v>
      </c>
      <c r="Q471" s="326">
        <f t="shared" ref="Q471:Q473" si="235">ROUND(O471*P471,2)</f>
        <v>0</v>
      </c>
    </row>
    <row r="472" spans="1:17" x14ac:dyDescent="0.25">
      <c r="A472" s="313" t="s">
        <v>7923</v>
      </c>
      <c r="B472" s="314" t="s">
        <v>7924</v>
      </c>
      <c r="C472" s="315" t="s">
        <v>460</v>
      </c>
      <c r="D472" s="316" t="s">
        <v>1</v>
      </c>
      <c r="E472" s="317" t="s">
        <v>7504</v>
      </c>
      <c r="F472" s="317">
        <v>30</v>
      </c>
      <c r="G472" s="317">
        <v>60</v>
      </c>
      <c r="H472" s="327" t="s">
        <v>7709</v>
      </c>
      <c r="I472" s="328">
        <v>1</v>
      </c>
      <c r="J472" s="320"/>
      <c r="K472" s="321"/>
      <c r="L472" s="322">
        <v>1</v>
      </c>
      <c r="M472" s="323"/>
      <c r="N472" s="324">
        <f t="shared" si="232"/>
        <v>0</v>
      </c>
      <c r="O472" s="325">
        <f t="shared" si="233"/>
        <v>2</v>
      </c>
      <c r="P472" s="323">
        <f t="shared" si="234"/>
        <v>0</v>
      </c>
      <c r="Q472" s="326">
        <f t="shared" si="235"/>
        <v>0</v>
      </c>
    </row>
    <row r="473" spans="1:17" x14ac:dyDescent="0.25">
      <c r="A473" s="313" t="s">
        <v>7925</v>
      </c>
      <c r="B473" s="314" t="s">
        <v>7926</v>
      </c>
      <c r="C473" s="315" t="s">
        <v>460</v>
      </c>
      <c r="D473" s="316" t="s">
        <v>1</v>
      </c>
      <c r="E473" s="317" t="s">
        <v>7504</v>
      </c>
      <c r="F473" s="317">
        <v>30</v>
      </c>
      <c r="G473" s="317">
        <v>60</v>
      </c>
      <c r="H473" s="327" t="s">
        <v>7709</v>
      </c>
      <c r="I473" s="328">
        <v>1</v>
      </c>
      <c r="J473" s="320"/>
      <c r="K473" s="321"/>
      <c r="L473" s="322">
        <v>1</v>
      </c>
      <c r="M473" s="323"/>
      <c r="N473" s="324">
        <f t="shared" si="232"/>
        <v>0</v>
      </c>
      <c r="O473" s="325">
        <f t="shared" si="233"/>
        <v>2</v>
      </c>
      <c r="P473" s="323">
        <f t="shared" si="234"/>
        <v>0</v>
      </c>
      <c r="Q473" s="326">
        <f t="shared" si="235"/>
        <v>0</v>
      </c>
    </row>
    <row r="474" spans="1:17" ht="22.5" x14ac:dyDescent="0.25">
      <c r="A474" s="163" t="s">
        <v>7927</v>
      </c>
      <c r="B474" s="163" t="s">
        <v>7928</v>
      </c>
      <c r="C474" s="164"/>
      <c r="D474" s="164"/>
      <c r="E474" s="165"/>
      <c r="F474" s="165"/>
      <c r="G474" s="165"/>
      <c r="H474" s="166"/>
      <c r="I474" s="167"/>
      <c r="J474" s="168"/>
      <c r="K474" s="169"/>
      <c r="L474" s="167"/>
      <c r="M474" s="168"/>
      <c r="N474" s="176"/>
      <c r="O474" s="167"/>
      <c r="P474" s="168"/>
      <c r="Q474" s="169"/>
    </row>
    <row r="475" spans="1:17" x14ac:dyDescent="0.25">
      <c r="A475" s="170" t="s">
        <v>7929</v>
      </c>
      <c r="B475" s="170" t="s">
        <v>7930</v>
      </c>
      <c r="C475" s="171"/>
      <c r="D475" s="171"/>
      <c r="E475" s="172"/>
      <c r="F475" s="172"/>
      <c r="G475" s="172"/>
      <c r="H475" s="173"/>
      <c r="I475" s="174"/>
      <c r="J475" s="175" t="s">
        <v>7083</v>
      </c>
      <c r="K475" s="176"/>
      <c r="L475" s="174"/>
      <c r="M475" s="175"/>
      <c r="N475" s="176"/>
      <c r="O475" s="174"/>
      <c r="P475" s="175" t="s">
        <v>7083</v>
      </c>
      <c r="Q475" s="176"/>
    </row>
    <row r="476" spans="1:17" ht="56.25" x14ac:dyDescent="0.25">
      <c r="A476" s="313" t="s">
        <v>7931</v>
      </c>
      <c r="B476" s="314" t="s">
        <v>7932</v>
      </c>
      <c r="C476" s="315" t="s">
        <v>378</v>
      </c>
      <c r="D476" s="316" t="s">
        <v>1</v>
      </c>
      <c r="E476" s="317" t="s">
        <v>7504</v>
      </c>
      <c r="F476" s="317">
        <v>70</v>
      </c>
      <c r="G476" s="317">
        <v>10</v>
      </c>
      <c r="H476" s="327">
        <v>0</v>
      </c>
      <c r="I476" s="328">
        <v>800</v>
      </c>
      <c r="J476" s="320"/>
      <c r="K476" s="321"/>
      <c r="L476" s="322">
        <v>800</v>
      </c>
      <c r="M476" s="323"/>
      <c r="N476" s="324">
        <f t="shared" ref="N476" si="236">ROUND(L476*M476,2)</f>
        <v>0</v>
      </c>
      <c r="O476" s="325">
        <f>SUM(L476,I476)</f>
        <v>1600</v>
      </c>
      <c r="P476" s="323">
        <f>IF(M476&lt;&gt;"",M476,J476)</f>
        <v>0</v>
      </c>
      <c r="Q476" s="326">
        <f>ROUND(O476*P476,2)</f>
        <v>0</v>
      </c>
    </row>
    <row r="477" spans="1:17" x14ac:dyDescent="0.25">
      <c r="A477" s="170" t="s">
        <v>7933</v>
      </c>
      <c r="B477" s="170" t="s">
        <v>7934</v>
      </c>
      <c r="C477" s="171"/>
      <c r="D477" s="171"/>
      <c r="E477" s="172"/>
      <c r="F477" s="172"/>
      <c r="G477" s="172"/>
      <c r="H477" s="173"/>
      <c r="I477" s="174"/>
      <c r="J477" s="175"/>
      <c r="K477" s="176"/>
      <c r="L477" s="174"/>
      <c r="M477" s="175"/>
      <c r="N477" s="176"/>
      <c r="O477" s="174"/>
      <c r="P477" s="175" t="s">
        <v>7083</v>
      </c>
      <c r="Q477" s="176"/>
    </row>
    <row r="478" spans="1:17" ht="33.75" x14ac:dyDescent="0.25">
      <c r="A478" s="313" t="s">
        <v>7935</v>
      </c>
      <c r="B478" s="314" t="s">
        <v>7936</v>
      </c>
      <c r="C478" s="315" t="s">
        <v>378</v>
      </c>
      <c r="D478" s="316" t="s">
        <v>1</v>
      </c>
      <c r="E478" s="317" t="s">
        <v>7504</v>
      </c>
      <c r="F478" s="317">
        <v>70</v>
      </c>
      <c r="G478" s="317">
        <v>10</v>
      </c>
      <c r="H478" s="327">
        <v>0</v>
      </c>
      <c r="I478" s="328">
        <v>600</v>
      </c>
      <c r="J478" s="329"/>
      <c r="K478" s="324"/>
      <c r="L478" s="322">
        <v>600</v>
      </c>
      <c r="M478" s="323"/>
      <c r="N478" s="324">
        <f t="shared" ref="N478" si="237">ROUND(L478*M478,2)</f>
        <v>0</v>
      </c>
      <c r="O478" s="325">
        <f>SUM(L478,I478)</f>
        <v>1200</v>
      </c>
      <c r="P478" s="323">
        <f>IF(M478&lt;&gt;"",M478,J478)</f>
        <v>0</v>
      </c>
      <c r="Q478" s="326">
        <f>ROUND(O478*P478,2)</f>
        <v>0</v>
      </c>
    </row>
    <row r="479" spans="1:17" x14ac:dyDescent="0.25">
      <c r="A479" s="238" t="s">
        <v>7937</v>
      </c>
      <c r="B479" s="239" t="s">
        <v>7332</v>
      </c>
      <c r="C479" s="240"/>
      <c r="D479" s="241"/>
      <c r="E479" s="242"/>
      <c r="F479" s="243"/>
      <c r="G479" s="243"/>
      <c r="H479" s="244"/>
      <c r="I479" s="270"/>
      <c r="J479" s="270"/>
      <c r="K479" s="270"/>
      <c r="L479" s="304"/>
      <c r="M479" s="270"/>
      <c r="N479" s="270"/>
      <c r="O479" s="270"/>
      <c r="P479" s="270"/>
      <c r="Q479" s="270"/>
    </row>
    <row r="480" spans="1:17" x14ac:dyDescent="0.25">
      <c r="A480" s="254" t="s">
        <v>7938</v>
      </c>
      <c r="B480" s="255" t="s">
        <v>7334</v>
      </c>
      <c r="C480" s="256"/>
      <c r="D480" s="257"/>
      <c r="E480" s="258"/>
      <c r="F480" s="258"/>
      <c r="G480" s="258"/>
      <c r="H480" s="259"/>
      <c r="I480" s="268"/>
      <c r="J480" s="268"/>
      <c r="K480" s="268"/>
      <c r="L480" s="305"/>
      <c r="M480" s="268"/>
      <c r="N480" s="268"/>
      <c r="O480" s="268"/>
      <c r="P480" s="268"/>
      <c r="Q480" s="268"/>
    </row>
    <row r="481" spans="1:17" ht="22.5" x14ac:dyDescent="0.25">
      <c r="A481" s="306" t="s">
        <v>7939</v>
      </c>
      <c r="B481" s="307" t="s">
        <v>7638</v>
      </c>
      <c r="C481" s="308"/>
      <c r="D481" s="309"/>
      <c r="E481" s="310"/>
      <c r="F481" s="310"/>
      <c r="G481" s="310"/>
      <c r="H481" s="311"/>
      <c r="I481" s="261"/>
      <c r="J481" s="261"/>
      <c r="K481" s="261"/>
      <c r="L481" s="312"/>
      <c r="M481" s="261"/>
      <c r="N481" s="261"/>
      <c r="O481" s="261"/>
      <c r="P481" s="261"/>
      <c r="Q481" s="261"/>
    </row>
    <row r="482" spans="1:17" ht="22.5" x14ac:dyDescent="0.25">
      <c r="A482" s="313" t="s">
        <v>7940</v>
      </c>
      <c r="B482" s="314" t="s">
        <v>7941</v>
      </c>
      <c r="C482" s="315" t="s">
        <v>378</v>
      </c>
      <c r="D482" s="316" t="s">
        <v>1</v>
      </c>
      <c r="E482" s="317" t="s">
        <v>7193</v>
      </c>
      <c r="F482" s="317">
        <v>70</v>
      </c>
      <c r="G482" s="317">
        <v>10</v>
      </c>
      <c r="H482" s="327">
        <v>900</v>
      </c>
      <c r="I482" s="328">
        <v>450</v>
      </c>
      <c r="J482" s="320"/>
      <c r="K482" s="321"/>
      <c r="L482" s="322">
        <v>450</v>
      </c>
      <c r="M482" s="323"/>
      <c r="N482" s="324">
        <f t="shared" ref="N482:N483" si="238">ROUND(L482*M482,2)</f>
        <v>0</v>
      </c>
      <c r="O482" s="325">
        <f t="shared" ref="O482:O483" si="239">SUM(L482,I482)</f>
        <v>900</v>
      </c>
      <c r="P482" s="323">
        <f t="shared" ref="P482:P483" si="240">IF(M482&lt;&gt;"",M482,J482)</f>
        <v>0</v>
      </c>
      <c r="Q482" s="326">
        <f t="shared" ref="Q482:Q483" si="241">ROUND(O482*P482,2)</f>
        <v>0</v>
      </c>
    </row>
    <row r="483" spans="1:17" ht="22.5" x14ac:dyDescent="0.25">
      <c r="A483" s="313" t="s">
        <v>7942</v>
      </c>
      <c r="B483" s="314" t="s">
        <v>7943</v>
      </c>
      <c r="C483" s="315" t="s">
        <v>378</v>
      </c>
      <c r="D483" s="316" t="s">
        <v>1</v>
      </c>
      <c r="E483" s="317" t="s">
        <v>7193</v>
      </c>
      <c r="F483" s="317">
        <v>70</v>
      </c>
      <c r="G483" s="317">
        <v>10</v>
      </c>
      <c r="H483" s="327">
        <v>900</v>
      </c>
      <c r="I483" s="328">
        <v>100</v>
      </c>
      <c r="J483" s="320"/>
      <c r="K483" s="321"/>
      <c r="L483" s="322">
        <v>100</v>
      </c>
      <c r="M483" s="323"/>
      <c r="N483" s="324">
        <f t="shared" si="238"/>
        <v>0</v>
      </c>
      <c r="O483" s="325">
        <f t="shared" si="239"/>
        <v>200</v>
      </c>
      <c r="P483" s="323">
        <f t="shared" si="240"/>
        <v>0</v>
      </c>
      <c r="Q483" s="326">
        <f t="shared" si="241"/>
        <v>0</v>
      </c>
    </row>
    <row r="484" spans="1:17" ht="33.75" x14ac:dyDescent="0.25">
      <c r="A484" s="306" t="s">
        <v>7944</v>
      </c>
      <c r="B484" s="307" t="s">
        <v>7945</v>
      </c>
      <c r="C484" s="308"/>
      <c r="D484" s="309"/>
      <c r="E484" s="310"/>
      <c r="F484" s="310"/>
      <c r="G484" s="310"/>
      <c r="H484" s="311"/>
      <c r="I484" s="261"/>
      <c r="J484" s="261"/>
      <c r="K484" s="261"/>
      <c r="L484" s="312"/>
      <c r="M484" s="261"/>
      <c r="N484" s="261"/>
      <c r="O484" s="261"/>
      <c r="P484" s="261"/>
      <c r="Q484" s="261"/>
    </row>
    <row r="485" spans="1:17" ht="33.75" x14ac:dyDescent="0.25">
      <c r="A485" s="313" t="s">
        <v>7946</v>
      </c>
      <c r="B485" s="314" t="s">
        <v>7947</v>
      </c>
      <c r="C485" s="315" t="s">
        <v>378</v>
      </c>
      <c r="D485" s="316" t="s">
        <v>1</v>
      </c>
      <c r="E485" s="317" t="s">
        <v>7193</v>
      </c>
      <c r="F485" s="317">
        <v>70</v>
      </c>
      <c r="G485" s="317">
        <v>10</v>
      </c>
      <c r="H485" s="327">
        <v>900</v>
      </c>
      <c r="I485" s="328">
        <v>12</v>
      </c>
      <c r="J485" s="320"/>
      <c r="K485" s="321"/>
      <c r="L485" s="322">
        <v>12</v>
      </c>
      <c r="M485" s="323"/>
      <c r="N485" s="324">
        <f t="shared" ref="N485" si="242">ROUND(L485*M485,2)</f>
        <v>0</v>
      </c>
      <c r="O485" s="325">
        <f>SUM(L485,I485)</f>
        <v>24</v>
      </c>
      <c r="P485" s="323">
        <f>IF(M485&lt;&gt;"",M485,J485)</f>
        <v>0</v>
      </c>
      <c r="Q485" s="326">
        <f>ROUND(O485*P485,2)</f>
        <v>0</v>
      </c>
    </row>
    <row r="486" spans="1:17" ht="22.5" x14ac:dyDescent="0.25">
      <c r="A486" s="254" t="s">
        <v>7948</v>
      </c>
      <c r="B486" s="255" t="s">
        <v>7380</v>
      </c>
      <c r="C486" s="256"/>
      <c r="D486" s="257"/>
      <c r="E486" s="258"/>
      <c r="F486" s="258"/>
      <c r="G486" s="258"/>
      <c r="H486" s="259"/>
      <c r="I486" s="268"/>
      <c r="J486" s="268"/>
      <c r="K486" s="268"/>
      <c r="L486" s="305"/>
      <c r="M486" s="268"/>
      <c r="N486" s="268"/>
      <c r="O486" s="268"/>
      <c r="P486" s="268" t="s">
        <v>7083</v>
      </c>
      <c r="Q486" s="268"/>
    </row>
    <row r="487" spans="1:17" ht="22.5" x14ac:dyDescent="0.25">
      <c r="A487" s="306" t="s">
        <v>7949</v>
      </c>
      <c r="B487" s="307" t="s">
        <v>7388</v>
      </c>
      <c r="C487" s="308"/>
      <c r="D487" s="309"/>
      <c r="E487" s="310"/>
      <c r="F487" s="310"/>
      <c r="G487" s="310"/>
      <c r="H487" s="311"/>
      <c r="I487" s="261"/>
      <c r="J487" s="261"/>
      <c r="K487" s="261"/>
      <c r="L487" s="312"/>
      <c r="M487" s="261"/>
      <c r="N487" s="261"/>
      <c r="O487" s="261"/>
      <c r="P487" s="261"/>
      <c r="Q487" s="261"/>
    </row>
    <row r="488" spans="1:17" ht="33.75" x14ac:dyDescent="0.25">
      <c r="A488" s="313" t="s">
        <v>7950</v>
      </c>
      <c r="B488" s="314" t="s">
        <v>7951</v>
      </c>
      <c r="C488" s="315" t="s">
        <v>378</v>
      </c>
      <c r="D488" s="316" t="s">
        <v>1</v>
      </c>
      <c r="E488" s="317" t="s">
        <v>7193</v>
      </c>
      <c r="F488" s="317">
        <v>70</v>
      </c>
      <c r="G488" s="317">
        <v>10</v>
      </c>
      <c r="H488" s="327">
        <v>900</v>
      </c>
      <c r="I488" s="328">
        <v>70</v>
      </c>
      <c r="J488" s="320"/>
      <c r="K488" s="321"/>
      <c r="L488" s="322">
        <v>70</v>
      </c>
      <c r="M488" s="323"/>
      <c r="N488" s="324">
        <f t="shared" ref="N488:N489" si="243">ROUND(L488*M488,2)</f>
        <v>0</v>
      </c>
      <c r="O488" s="325">
        <f t="shared" ref="O488:O489" si="244">SUM(L488,I488)</f>
        <v>140</v>
      </c>
      <c r="P488" s="323">
        <f t="shared" ref="P488:P489" si="245">IF(M488&lt;&gt;"",M488,J488)</f>
        <v>0</v>
      </c>
      <c r="Q488" s="326">
        <f t="shared" ref="Q488:Q489" si="246">ROUND(O488*P488,2)</f>
        <v>0</v>
      </c>
    </row>
    <row r="489" spans="1:17" ht="33.75" x14ac:dyDescent="0.25">
      <c r="A489" s="313" t="s">
        <v>7952</v>
      </c>
      <c r="B489" s="314" t="s">
        <v>7953</v>
      </c>
      <c r="C489" s="315" t="s">
        <v>378</v>
      </c>
      <c r="D489" s="316" t="s">
        <v>1</v>
      </c>
      <c r="E489" s="317" t="s">
        <v>7193</v>
      </c>
      <c r="F489" s="317">
        <v>70</v>
      </c>
      <c r="G489" s="317">
        <v>10</v>
      </c>
      <c r="H489" s="327">
        <v>900</v>
      </c>
      <c r="I489" s="328">
        <v>160</v>
      </c>
      <c r="J489" s="320"/>
      <c r="K489" s="321"/>
      <c r="L489" s="322">
        <v>160</v>
      </c>
      <c r="M489" s="323"/>
      <c r="N489" s="324">
        <f t="shared" si="243"/>
        <v>0</v>
      </c>
      <c r="O489" s="325">
        <f t="shared" si="244"/>
        <v>320</v>
      </c>
      <c r="P489" s="323">
        <f t="shared" si="245"/>
        <v>0</v>
      </c>
      <c r="Q489" s="326">
        <f t="shared" si="246"/>
        <v>0</v>
      </c>
    </row>
    <row r="490" spans="1:17" ht="22.5" x14ac:dyDescent="0.25">
      <c r="A490" s="170" t="s">
        <v>7954</v>
      </c>
      <c r="B490" s="170" t="s">
        <v>7402</v>
      </c>
      <c r="C490" s="171"/>
      <c r="D490" s="171"/>
      <c r="E490" s="172"/>
      <c r="F490" s="172"/>
      <c r="G490" s="172"/>
      <c r="H490" s="173"/>
      <c r="I490" s="174"/>
      <c r="J490" s="175" t="s">
        <v>7083</v>
      </c>
      <c r="K490" s="176"/>
      <c r="L490" s="174"/>
      <c r="M490" s="175"/>
      <c r="N490" s="176"/>
      <c r="O490" s="174"/>
      <c r="P490" s="175" t="s">
        <v>7083</v>
      </c>
      <c r="Q490" s="176"/>
    </row>
    <row r="491" spans="1:17" ht="45" x14ac:dyDescent="0.25">
      <c r="A491" s="313" t="s">
        <v>7955</v>
      </c>
      <c r="B491" s="314" t="s">
        <v>7956</v>
      </c>
      <c r="C491" s="315" t="s">
        <v>378</v>
      </c>
      <c r="D491" s="316" t="s">
        <v>1</v>
      </c>
      <c r="E491" s="317" t="s">
        <v>7193</v>
      </c>
      <c r="F491" s="317">
        <v>70</v>
      </c>
      <c r="G491" s="317">
        <v>10</v>
      </c>
      <c r="H491" s="327">
        <v>900</v>
      </c>
      <c r="I491" s="328">
        <v>10</v>
      </c>
      <c r="J491" s="320"/>
      <c r="K491" s="321"/>
      <c r="L491" s="322">
        <v>10</v>
      </c>
      <c r="M491" s="323"/>
      <c r="N491" s="324">
        <f t="shared" ref="N491" si="247">ROUND(L491*M491,2)</f>
        <v>0</v>
      </c>
      <c r="O491" s="325">
        <f>SUM(L491,I491)</f>
        <v>20</v>
      </c>
      <c r="P491" s="323">
        <f>IF(M491&lt;&gt;"",M491,J491)</f>
        <v>0</v>
      </c>
      <c r="Q491" s="326">
        <f>ROUND(O491*P491,2)</f>
        <v>0</v>
      </c>
    </row>
    <row r="492" spans="1:17" x14ac:dyDescent="0.25">
      <c r="A492" s="170" t="s">
        <v>7957</v>
      </c>
      <c r="B492" s="170" t="s">
        <v>7406</v>
      </c>
      <c r="C492" s="171"/>
      <c r="D492" s="171"/>
      <c r="E492" s="172"/>
      <c r="F492" s="172"/>
      <c r="G492" s="172"/>
      <c r="H492" s="173"/>
      <c r="I492" s="174"/>
      <c r="J492" s="175" t="s">
        <v>7083</v>
      </c>
      <c r="K492" s="176"/>
      <c r="L492" s="174"/>
      <c r="M492" s="175"/>
      <c r="N492" s="176"/>
      <c r="O492" s="174"/>
      <c r="P492" s="175" t="s">
        <v>7083</v>
      </c>
      <c r="Q492" s="176"/>
    </row>
    <row r="493" spans="1:17" ht="22.5" x14ac:dyDescent="0.25">
      <c r="A493" s="313" t="s">
        <v>7958</v>
      </c>
      <c r="B493" s="314" t="s">
        <v>7410</v>
      </c>
      <c r="C493" s="315" t="s">
        <v>378</v>
      </c>
      <c r="D493" s="316" t="s">
        <v>1</v>
      </c>
      <c r="E493" s="317" t="s">
        <v>7193</v>
      </c>
      <c r="F493" s="317">
        <v>70</v>
      </c>
      <c r="G493" s="317">
        <v>10</v>
      </c>
      <c r="H493" s="327">
        <v>900</v>
      </c>
      <c r="I493" s="328">
        <v>120</v>
      </c>
      <c r="J493" s="320"/>
      <c r="K493" s="321"/>
      <c r="L493" s="322">
        <v>120</v>
      </c>
      <c r="M493" s="330"/>
      <c r="N493" s="324">
        <f t="shared" ref="N493" si="248">ROUND(L493*M493,2)</f>
        <v>0</v>
      </c>
      <c r="O493" s="325">
        <f>SUM(L493,I493)</f>
        <v>240</v>
      </c>
      <c r="P493" s="323">
        <f>IF(M493&lt;&gt;"",M493,J493)</f>
        <v>0</v>
      </c>
      <c r="Q493" s="326">
        <f>ROUND(O493*P493,2)</f>
        <v>0</v>
      </c>
    </row>
    <row r="494" spans="1:17" x14ac:dyDescent="0.25">
      <c r="A494" s="306" t="s">
        <v>7959</v>
      </c>
      <c r="B494" s="331" t="s">
        <v>7960</v>
      </c>
      <c r="C494" s="332"/>
      <c r="D494" s="333"/>
      <c r="E494" s="334"/>
      <c r="F494" s="335"/>
      <c r="G494" s="335"/>
      <c r="H494" s="336"/>
      <c r="I494" s="261"/>
      <c r="J494" s="261"/>
      <c r="K494" s="261"/>
      <c r="L494" s="312"/>
      <c r="M494" s="261"/>
      <c r="N494" s="261"/>
      <c r="O494" s="261"/>
      <c r="P494" s="261"/>
      <c r="Q494" s="261"/>
    </row>
    <row r="495" spans="1:17" x14ac:dyDescent="0.25">
      <c r="A495" s="313" t="s">
        <v>7961</v>
      </c>
      <c r="B495" s="314" t="s">
        <v>7962</v>
      </c>
      <c r="C495" s="315" t="s">
        <v>460</v>
      </c>
      <c r="D495" s="316" t="s">
        <v>1</v>
      </c>
      <c r="E495" s="317" t="s">
        <v>7193</v>
      </c>
      <c r="F495" s="317">
        <v>70</v>
      </c>
      <c r="G495" s="317">
        <v>10</v>
      </c>
      <c r="H495" s="327">
        <v>20</v>
      </c>
      <c r="I495" s="328">
        <v>6</v>
      </c>
      <c r="J495" s="320"/>
      <c r="K495" s="321"/>
      <c r="L495" s="322">
        <v>6</v>
      </c>
      <c r="M495" s="323"/>
      <c r="N495" s="324">
        <f t="shared" ref="N495" si="249">ROUND(L495*M495,2)</f>
        <v>0</v>
      </c>
      <c r="O495" s="325">
        <f>SUM(L495,I495)</f>
        <v>12</v>
      </c>
      <c r="P495" s="323">
        <f>IF(M495&lt;&gt;"",M495,J495)</f>
        <v>0</v>
      </c>
      <c r="Q495" s="326">
        <f>ROUND(O495*P495,2)</f>
        <v>0</v>
      </c>
    </row>
    <row r="496" spans="1:17" x14ac:dyDescent="0.25">
      <c r="A496" s="163" t="s">
        <v>7963</v>
      </c>
      <c r="B496" s="163" t="s">
        <v>7446</v>
      </c>
      <c r="C496" s="164"/>
      <c r="D496" s="164"/>
      <c r="E496" s="165"/>
      <c r="F496" s="165"/>
      <c r="G496" s="165"/>
      <c r="H496" s="166"/>
      <c r="I496" s="167"/>
      <c r="J496" s="168" t="s">
        <v>7083</v>
      </c>
      <c r="K496" s="169"/>
      <c r="L496" s="167"/>
      <c r="M496" s="168"/>
      <c r="N496" s="169"/>
      <c r="O496" s="167"/>
      <c r="P496" s="168" t="s">
        <v>7083</v>
      </c>
      <c r="Q496" s="169"/>
    </row>
    <row r="497" spans="1:17" x14ac:dyDescent="0.25">
      <c r="A497" s="313" t="s">
        <v>7964</v>
      </c>
      <c r="B497" s="314" t="s">
        <v>7965</v>
      </c>
      <c r="C497" s="315" t="s">
        <v>460</v>
      </c>
      <c r="D497" s="316" t="s">
        <v>1</v>
      </c>
      <c r="E497" s="317" t="s">
        <v>7193</v>
      </c>
      <c r="F497" s="317">
        <v>70</v>
      </c>
      <c r="G497" s="317">
        <v>60</v>
      </c>
      <c r="H497" s="327">
        <v>10</v>
      </c>
      <c r="I497" s="328">
        <v>9</v>
      </c>
      <c r="J497" s="320"/>
      <c r="K497" s="321"/>
      <c r="L497" s="322">
        <v>9</v>
      </c>
      <c r="M497" s="323"/>
      <c r="N497" s="324">
        <f t="shared" ref="N497:N502" si="250">ROUND(L497*M497,2)</f>
        <v>0</v>
      </c>
      <c r="O497" s="325">
        <f t="shared" ref="O497:O502" si="251">SUM(L497,I497)</f>
        <v>18</v>
      </c>
      <c r="P497" s="323">
        <f t="shared" ref="P497:P502" si="252">IF(M497&lt;&gt;"",M497,J497)</f>
        <v>0</v>
      </c>
      <c r="Q497" s="326">
        <f t="shared" ref="Q497:Q502" si="253">ROUND(O497*P497,2)</f>
        <v>0</v>
      </c>
    </row>
    <row r="498" spans="1:17" x14ac:dyDescent="0.25">
      <c r="A498" s="313" t="s">
        <v>7966</v>
      </c>
      <c r="B498" s="314" t="s">
        <v>7967</v>
      </c>
      <c r="C498" s="315" t="s">
        <v>460</v>
      </c>
      <c r="D498" s="316" t="s">
        <v>1</v>
      </c>
      <c r="E498" s="317" t="s">
        <v>7193</v>
      </c>
      <c r="F498" s="317">
        <v>70</v>
      </c>
      <c r="G498" s="317">
        <v>60</v>
      </c>
      <c r="H498" s="327">
        <v>10</v>
      </c>
      <c r="I498" s="328">
        <v>5</v>
      </c>
      <c r="J498" s="320"/>
      <c r="K498" s="321"/>
      <c r="L498" s="322">
        <v>5</v>
      </c>
      <c r="M498" s="323"/>
      <c r="N498" s="324">
        <f t="shared" si="250"/>
        <v>0</v>
      </c>
      <c r="O498" s="325">
        <f t="shared" si="251"/>
        <v>10</v>
      </c>
      <c r="P498" s="323">
        <f t="shared" si="252"/>
        <v>0</v>
      </c>
      <c r="Q498" s="326">
        <f t="shared" si="253"/>
        <v>0</v>
      </c>
    </row>
    <row r="499" spans="1:17" ht="33.75" x14ac:dyDescent="0.25">
      <c r="A499" s="313" t="s">
        <v>7968</v>
      </c>
      <c r="B499" s="314" t="s">
        <v>7969</v>
      </c>
      <c r="C499" s="315" t="s">
        <v>460</v>
      </c>
      <c r="D499" s="316" t="s">
        <v>1</v>
      </c>
      <c r="E499" s="317" t="s">
        <v>7193</v>
      </c>
      <c r="F499" s="317">
        <v>20</v>
      </c>
      <c r="G499" s="317">
        <v>36</v>
      </c>
      <c r="H499" s="327">
        <v>0</v>
      </c>
      <c r="I499" s="328">
        <v>3</v>
      </c>
      <c r="J499" s="320"/>
      <c r="K499" s="321"/>
      <c r="L499" s="322">
        <v>3</v>
      </c>
      <c r="M499" s="323"/>
      <c r="N499" s="324">
        <f t="shared" si="250"/>
        <v>0</v>
      </c>
      <c r="O499" s="325">
        <f t="shared" si="251"/>
        <v>6</v>
      </c>
      <c r="P499" s="323">
        <f t="shared" si="252"/>
        <v>0</v>
      </c>
      <c r="Q499" s="326">
        <f t="shared" si="253"/>
        <v>0</v>
      </c>
    </row>
    <row r="500" spans="1:17" ht="22.5" x14ac:dyDescent="0.25">
      <c r="A500" s="313" t="s">
        <v>7970</v>
      </c>
      <c r="B500" s="314" t="s">
        <v>7971</v>
      </c>
      <c r="C500" s="315" t="s">
        <v>911</v>
      </c>
      <c r="D500" s="316" t="s">
        <v>1</v>
      </c>
      <c r="E500" s="317" t="s">
        <v>7193</v>
      </c>
      <c r="F500" s="317">
        <v>70</v>
      </c>
      <c r="G500" s="317">
        <v>60</v>
      </c>
      <c r="H500" s="327">
        <v>10</v>
      </c>
      <c r="I500" s="328">
        <v>4</v>
      </c>
      <c r="J500" s="320"/>
      <c r="K500" s="321"/>
      <c r="L500" s="322">
        <v>4</v>
      </c>
      <c r="M500" s="323"/>
      <c r="N500" s="324">
        <f t="shared" si="250"/>
        <v>0</v>
      </c>
      <c r="O500" s="325">
        <f t="shared" si="251"/>
        <v>8</v>
      </c>
      <c r="P500" s="323">
        <f t="shared" si="252"/>
        <v>0</v>
      </c>
      <c r="Q500" s="326">
        <f t="shared" si="253"/>
        <v>0</v>
      </c>
    </row>
    <row r="501" spans="1:17" ht="33.75" x14ac:dyDescent="0.25">
      <c r="A501" s="313" t="s">
        <v>7972</v>
      </c>
      <c r="B501" s="314" t="s">
        <v>7973</v>
      </c>
      <c r="C501" s="315" t="s">
        <v>460</v>
      </c>
      <c r="D501" s="316" t="s">
        <v>1</v>
      </c>
      <c r="E501" s="317" t="s">
        <v>7079</v>
      </c>
      <c r="F501" s="317">
        <v>72</v>
      </c>
      <c r="G501" s="317">
        <v>10</v>
      </c>
      <c r="H501" s="327">
        <v>11</v>
      </c>
      <c r="I501" s="328">
        <v>1</v>
      </c>
      <c r="J501" s="320"/>
      <c r="K501" s="321"/>
      <c r="L501" s="322">
        <v>1</v>
      </c>
      <c r="M501" s="323"/>
      <c r="N501" s="324">
        <f t="shared" si="250"/>
        <v>0</v>
      </c>
      <c r="O501" s="325">
        <f t="shared" si="251"/>
        <v>2</v>
      </c>
      <c r="P501" s="323">
        <f t="shared" si="252"/>
        <v>0</v>
      </c>
      <c r="Q501" s="326">
        <f t="shared" si="253"/>
        <v>0</v>
      </c>
    </row>
    <row r="502" spans="1:17" x14ac:dyDescent="0.25">
      <c r="A502" s="313" t="s">
        <v>7974</v>
      </c>
      <c r="B502" s="314" t="s">
        <v>7975</v>
      </c>
      <c r="C502" s="315" t="s">
        <v>460</v>
      </c>
      <c r="D502" s="316" t="s">
        <v>1</v>
      </c>
      <c r="E502" s="317" t="s">
        <v>7079</v>
      </c>
      <c r="F502" s="317">
        <v>72</v>
      </c>
      <c r="G502" s="317">
        <v>10</v>
      </c>
      <c r="H502" s="327">
        <v>11</v>
      </c>
      <c r="I502" s="328">
        <v>4</v>
      </c>
      <c r="J502" s="320"/>
      <c r="K502" s="321"/>
      <c r="L502" s="322">
        <v>4</v>
      </c>
      <c r="M502" s="323"/>
      <c r="N502" s="324">
        <f t="shared" si="250"/>
        <v>0</v>
      </c>
      <c r="O502" s="325">
        <f t="shared" si="251"/>
        <v>8</v>
      </c>
      <c r="P502" s="323">
        <f t="shared" si="252"/>
        <v>0</v>
      </c>
      <c r="Q502" s="326">
        <f t="shared" si="253"/>
        <v>0</v>
      </c>
    </row>
    <row r="503" spans="1:17" x14ac:dyDescent="0.25">
      <c r="A503" s="163" t="s">
        <v>7976</v>
      </c>
      <c r="B503" s="163" t="s">
        <v>7458</v>
      </c>
      <c r="C503" s="171"/>
      <c r="D503" s="171"/>
      <c r="E503" s="172"/>
      <c r="F503" s="172"/>
      <c r="G503" s="172"/>
      <c r="H503" s="173"/>
      <c r="I503" s="174"/>
      <c r="J503" s="175" t="s">
        <v>7083</v>
      </c>
      <c r="K503" s="176"/>
      <c r="L503" s="174"/>
      <c r="M503" s="175"/>
      <c r="N503" s="176"/>
      <c r="O503" s="174"/>
      <c r="P503" s="175" t="s">
        <v>7083</v>
      </c>
      <c r="Q503" s="176"/>
    </row>
    <row r="504" spans="1:17" x14ac:dyDescent="0.25">
      <c r="A504" s="313" t="s">
        <v>7977</v>
      </c>
      <c r="B504" s="314" t="s">
        <v>7978</v>
      </c>
      <c r="C504" s="315" t="s">
        <v>460</v>
      </c>
      <c r="D504" s="316" t="s">
        <v>1</v>
      </c>
      <c r="E504" s="317" t="s">
        <v>7193</v>
      </c>
      <c r="F504" s="317">
        <v>70</v>
      </c>
      <c r="G504" s="317">
        <v>65</v>
      </c>
      <c r="H504" s="327">
        <v>10</v>
      </c>
      <c r="I504" s="328">
        <v>4</v>
      </c>
      <c r="J504" s="320"/>
      <c r="K504" s="321"/>
      <c r="L504" s="322">
        <v>4</v>
      </c>
      <c r="M504" s="330"/>
      <c r="N504" s="324">
        <f t="shared" ref="N504" si="254">ROUND(L504*M504,2)</f>
        <v>0</v>
      </c>
      <c r="O504" s="325">
        <f>SUM(L504,I504)</f>
        <v>8</v>
      </c>
      <c r="P504" s="323">
        <f>IF(M504&lt;&gt;"",M504,J504)</f>
        <v>0</v>
      </c>
      <c r="Q504" s="326">
        <f>ROUND(O504*P504,2)</f>
        <v>0</v>
      </c>
    </row>
    <row r="505" spans="1:17" ht="22.5" x14ac:dyDescent="0.25">
      <c r="A505" s="163" t="s">
        <v>7979</v>
      </c>
      <c r="B505" s="163" t="s">
        <v>7482</v>
      </c>
      <c r="C505" s="171"/>
      <c r="D505" s="171"/>
      <c r="E505" s="172"/>
      <c r="F505" s="172"/>
      <c r="G505" s="172"/>
      <c r="H505" s="173"/>
      <c r="I505" s="174"/>
      <c r="J505" s="175" t="s">
        <v>7083</v>
      </c>
      <c r="K505" s="176"/>
      <c r="L505" s="174"/>
      <c r="M505" s="175"/>
      <c r="N505" s="176"/>
      <c r="O505" s="174"/>
      <c r="P505" s="175" t="s">
        <v>7083</v>
      </c>
      <c r="Q505" s="176"/>
    </row>
    <row r="506" spans="1:17" x14ac:dyDescent="0.25">
      <c r="A506" s="313" t="s">
        <v>7980</v>
      </c>
      <c r="B506" s="314" t="s">
        <v>7484</v>
      </c>
      <c r="C506" s="315" t="s">
        <v>378</v>
      </c>
      <c r="D506" s="316" t="s">
        <v>1</v>
      </c>
      <c r="E506" s="317" t="s">
        <v>7193</v>
      </c>
      <c r="F506" s="317">
        <v>70</v>
      </c>
      <c r="G506" s="317">
        <v>70</v>
      </c>
      <c r="H506" s="327">
        <v>20</v>
      </c>
      <c r="I506" s="328">
        <v>50</v>
      </c>
      <c r="J506" s="320"/>
      <c r="K506" s="321"/>
      <c r="L506" s="322">
        <v>50</v>
      </c>
      <c r="M506" s="330"/>
      <c r="N506" s="324">
        <f t="shared" ref="N506:N513" si="255">ROUND(L506*M506,2)</f>
        <v>0</v>
      </c>
      <c r="O506" s="325">
        <f t="shared" ref="O506:O513" si="256">SUM(L506,I506)</f>
        <v>100</v>
      </c>
      <c r="P506" s="323">
        <f t="shared" ref="P506:P513" si="257">IF(M506&lt;&gt;"",M506,J506)</f>
        <v>0</v>
      </c>
      <c r="Q506" s="326">
        <f t="shared" ref="Q506:Q513" si="258">ROUND(O506*P506,2)</f>
        <v>0</v>
      </c>
    </row>
    <row r="507" spans="1:17" x14ac:dyDescent="0.25">
      <c r="A507" s="313" t="s">
        <v>7981</v>
      </c>
      <c r="B507" s="314" t="s">
        <v>7486</v>
      </c>
      <c r="C507" s="315" t="s">
        <v>378</v>
      </c>
      <c r="D507" s="316" t="s">
        <v>1</v>
      </c>
      <c r="E507" s="317" t="s">
        <v>7193</v>
      </c>
      <c r="F507" s="317">
        <v>70</v>
      </c>
      <c r="G507" s="317">
        <v>70</v>
      </c>
      <c r="H507" s="327">
        <v>20</v>
      </c>
      <c r="I507" s="328">
        <v>200</v>
      </c>
      <c r="J507" s="320"/>
      <c r="K507" s="321"/>
      <c r="L507" s="322">
        <v>200</v>
      </c>
      <c r="M507" s="330"/>
      <c r="N507" s="324">
        <f t="shared" si="255"/>
        <v>0</v>
      </c>
      <c r="O507" s="325">
        <f t="shared" si="256"/>
        <v>400</v>
      </c>
      <c r="P507" s="323">
        <f t="shared" si="257"/>
        <v>0</v>
      </c>
      <c r="Q507" s="326">
        <f t="shared" si="258"/>
        <v>0</v>
      </c>
    </row>
    <row r="508" spans="1:17" x14ac:dyDescent="0.25">
      <c r="A508" s="313" t="s">
        <v>7982</v>
      </c>
      <c r="B508" s="314" t="s">
        <v>7490</v>
      </c>
      <c r="C508" s="315" t="s">
        <v>911</v>
      </c>
      <c r="D508" s="316" t="s">
        <v>1</v>
      </c>
      <c r="E508" s="317" t="s">
        <v>7193</v>
      </c>
      <c r="F508" s="317">
        <v>70</v>
      </c>
      <c r="G508" s="317">
        <v>70</v>
      </c>
      <c r="H508" s="327">
        <v>20</v>
      </c>
      <c r="I508" s="328">
        <v>10</v>
      </c>
      <c r="J508" s="320"/>
      <c r="K508" s="321"/>
      <c r="L508" s="322">
        <v>10</v>
      </c>
      <c r="M508" s="330"/>
      <c r="N508" s="324">
        <f t="shared" si="255"/>
        <v>0</v>
      </c>
      <c r="O508" s="325">
        <f t="shared" si="256"/>
        <v>20</v>
      </c>
      <c r="P508" s="323">
        <f t="shared" si="257"/>
        <v>0</v>
      </c>
      <c r="Q508" s="326">
        <f t="shared" si="258"/>
        <v>0</v>
      </c>
    </row>
    <row r="509" spans="1:17" ht="22.5" x14ac:dyDescent="0.25">
      <c r="A509" s="313" t="s">
        <v>7983</v>
      </c>
      <c r="B509" s="314" t="s">
        <v>7494</v>
      </c>
      <c r="C509" s="315" t="s">
        <v>460</v>
      </c>
      <c r="D509" s="316" t="s">
        <v>1</v>
      </c>
      <c r="E509" s="317" t="s">
        <v>7193</v>
      </c>
      <c r="F509" s="317">
        <v>70</v>
      </c>
      <c r="G509" s="317">
        <v>70</v>
      </c>
      <c r="H509" s="327">
        <v>20</v>
      </c>
      <c r="I509" s="328">
        <v>20</v>
      </c>
      <c r="J509" s="320"/>
      <c r="K509" s="321"/>
      <c r="L509" s="322">
        <v>20</v>
      </c>
      <c r="M509" s="330"/>
      <c r="N509" s="324">
        <f t="shared" si="255"/>
        <v>0</v>
      </c>
      <c r="O509" s="325">
        <f t="shared" si="256"/>
        <v>40</v>
      </c>
      <c r="P509" s="323">
        <f t="shared" si="257"/>
        <v>0</v>
      </c>
      <c r="Q509" s="326">
        <f t="shared" si="258"/>
        <v>0</v>
      </c>
    </row>
    <row r="510" spans="1:17" x14ac:dyDescent="0.25">
      <c r="A510" s="313" t="s">
        <v>7984</v>
      </c>
      <c r="B510" s="314" t="s">
        <v>7492</v>
      </c>
      <c r="C510" s="315" t="s">
        <v>911</v>
      </c>
      <c r="D510" s="316" t="s">
        <v>1</v>
      </c>
      <c r="E510" s="317" t="s">
        <v>7193</v>
      </c>
      <c r="F510" s="317">
        <v>70</v>
      </c>
      <c r="G510" s="317">
        <v>70</v>
      </c>
      <c r="H510" s="327">
        <v>20</v>
      </c>
      <c r="I510" s="328">
        <v>10</v>
      </c>
      <c r="J510" s="320"/>
      <c r="K510" s="321"/>
      <c r="L510" s="322">
        <v>10</v>
      </c>
      <c r="M510" s="330"/>
      <c r="N510" s="324">
        <f t="shared" si="255"/>
        <v>0</v>
      </c>
      <c r="O510" s="325">
        <f t="shared" si="256"/>
        <v>20</v>
      </c>
      <c r="P510" s="323">
        <f t="shared" si="257"/>
        <v>0</v>
      </c>
      <c r="Q510" s="326">
        <f t="shared" si="258"/>
        <v>0</v>
      </c>
    </row>
    <row r="511" spans="1:17" ht="22.5" x14ac:dyDescent="0.25">
      <c r="A511" s="313" t="s">
        <v>7985</v>
      </c>
      <c r="B511" s="314" t="s">
        <v>7986</v>
      </c>
      <c r="C511" s="315" t="s">
        <v>460</v>
      </c>
      <c r="D511" s="316" t="s">
        <v>1</v>
      </c>
      <c r="E511" s="317" t="s">
        <v>7193</v>
      </c>
      <c r="F511" s="317">
        <v>70</v>
      </c>
      <c r="G511" s="317">
        <v>70</v>
      </c>
      <c r="H511" s="327">
        <v>20</v>
      </c>
      <c r="I511" s="328">
        <v>5</v>
      </c>
      <c r="J511" s="320"/>
      <c r="K511" s="321"/>
      <c r="L511" s="322">
        <v>5</v>
      </c>
      <c r="M511" s="323"/>
      <c r="N511" s="324">
        <f t="shared" si="255"/>
        <v>0</v>
      </c>
      <c r="O511" s="325">
        <f t="shared" si="256"/>
        <v>10</v>
      </c>
      <c r="P511" s="323">
        <f t="shared" si="257"/>
        <v>0</v>
      </c>
      <c r="Q511" s="326">
        <f t="shared" si="258"/>
        <v>0</v>
      </c>
    </row>
    <row r="512" spans="1:17" x14ac:dyDescent="0.25">
      <c r="A512" s="313" t="s">
        <v>7987</v>
      </c>
      <c r="B512" s="314" t="s">
        <v>7988</v>
      </c>
      <c r="C512" s="315" t="s">
        <v>460</v>
      </c>
      <c r="D512" s="316" t="s">
        <v>1</v>
      </c>
      <c r="E512" s="317" t="s">
        <v>7193</v>
      </c>
      <c r="F512" s="317">
        <v>70</v>
      </c>
      <c r="G512" s="317">
        <v>70</v>
      </c>
      <c r="H512" s="327">
        <v>20</v>
      </c>
      <c r="I512" s="328">
        <v>5</v>
      </c>
      <c r="J512" s="320"/>
      <c r="K512" s="321"/>
      <c r="L512" s="322">
        <v>5</v>
      </c>
      <c r="M512" s="323"/>
      <c r="N512" s="324">
        <f t="shared" si="255"/>
        <v>0</v>
      </c>
      <c r="O512" s="325">
        <f t="shared" si="256"/>
        <v>10</v>
      </c>
      <c r="P512" s="323">
        <f t="shared" si="257"/>
        <v>0</v>
      </c>
      <c r="Q512" s="326">
        <f t="shared" si="258"/>
        <v>0</v>
      </c>
    </row>
    <row r="513" spans="1:17" ht="22.5" x14ac:dyDescent="0.25">
      <c r="A513" s="313" t="s">
        <v>7989</v>
      </c>
      <c r="B513" s="314" t="s">
        <v>7990</v>
      </c>
      <c r="C513" s="315" t="s">
        <v>460</v>
      </c>
      <c r="D513" s="316" t="s">
        <v>1</v>
      </c>
      <c r="E513" s="317" t="s">
        <v>7193</v>
      </c>
      <c r="F513" s="317">
        <v>70</v>
      </c>
      <c r="G513" s="317">
        <v>70</v>
      </c>
      <c r="H513" s="327">
        <v>20</v>
      </c>
      <c r="I513" s="328">
        <v>1</v>
      </c>
      <c r="J513" s="320"/>
      <c r="K513" s="321"/>
      <c r="L513" s="322">
        <v>1</v>
      </c>
      <c r="M513" s="323"/>
      <c r="N513" s="324">
        <f t="shared" si="255"/>
        <v>0</v>
      </c>
      <c r="O513" s="325">
        <f t="shared" si="256"/>
        <v>2</v>
      </c>
      <c r="P513" s="323">
        <f t="shared" si="257"/>
        <v>0</v>
      </c>
      <c r="Q513" s="326">
        <f t="shared" si="258"/>
        <v>0</v>
      </c>
    </row>
    <row r="514" spans="1:17" x14ac:dyDescent="0.25">
      <c r="A514" s="238" t="s">
        <v>7991</v>
      </c>
      <c r="B514" s="239" t="s">
        <v>7322</v>
      </c>
      <c r="C514" s="240"/>
      <c r="D514" s="241"/>
      <c r="E514" s="242"/>
      <c r="F514" s="243"/>
      <c r="G514" s="243"/>
      <c r="H514" s="244"/>
      <c r="I514" s="270"/>
      <c r="J514" s="270"/>
      <c r="K514" s="270"/>
      <c r="L514" s="304"/>
      <c r="M514" s="270"/>
      <c r="N514" s="270"/>
      <c r="O514" s="270"/>
      <c r="P514" s="270"/>
      <c r="Q514" s="270"/>
    </row>
    <row r="515" spans="1:17" x14ac:dyDescent="0.25">
      <c r="A515" s="254" t="s">
        <v>7992</v>
      </c>
      <c r="B515" s="163" t="s">
        <v>7324</v>
      </c>
      <c r="C515" s="256"/>
      <c r="D515" s="257"/>
      <c r="E515" s="258"/>
      <c r="F515" s="258"/>
      <c r="G515" s="258"/>
      <c r="H515" s="259"/>
      <c r="I515" s="268"/>
      <c r="J515" s="268"/>
      <c r="K515" s="268"/>
      <c r="L515" s="305"/>
      <c r="M515" s="268"/>
      <c r="N515" s="268"/>
      <c r="O515" s="268"/>
      <c r="P515" s="268"/>
      <c r="Q515" s="268"/>
    </row>
    <row r="516" spans="1:17" ht="33.75" x14ac:dyDescent="0.25">
      <c r="A516" s="313" t="s">
        <v>7993</v>
      </c>
      <c r="B516" s="314" t="s">
        <v>7994</v>
      </c>
      <c r="C516" s="315" t="s">
        <v>911</v>
      </c>
      <c r="D516" s="316" t="s">
        <v>1</v>
      </c>
      <c r="E516" s="317" t="s">
        <v>7193</v>
      </c>
      <c r="F516" s="317">
        <v>30</v>
      </c>
      <c r="G516" s="317">
        <v>70</v>
      </c>
      <c r="H516" s="327">
        <v>900</v>
      </c>
      <c r="I516" s="328">
        <v>2</v>
      </c>
      <c r="J516" s="320"/>
      <c r="K516" s="321"/>
      <c r="L516" s="322">
        <v>2</v>
      </c>
      <c r="M516" s="330"/>
      <c r="N516" s="324">
        <f t="shared" ref="N516:N517" si="259">ROUND(L516*M516,2)</f>
        <v>0</v>
      </c>
      <c r="O516" s="325">
        <f t="shared" ref="O516:O517" si="260">SUM(L516,I516)</f>
        <v>4</v>
      </c>
      <c r="P516" s="323">
        <f t="shared" ref="P516:P517" si="261">IF(M516&lt;&gt;"",M516,J516)</f>
        <v>0</v>
      </c>
      <c r="Q516" s="326">
        <f t="shared" ref="Q516:Q517" si="262">ROUND(O516*P516,2)</f>
        <v>0</v>
      </c>
    </row>
    <row r="517" spans="1:17" ht="22.5" x14ac:dyDescent="0.25">
      <c r="A517" s="313" t="s">
        <v>7995</v>
      </c>
      <c r="B517" s="314" t="s">
        <v>7996</v>
      </c>
      <c r="C517" s="315" t="s">
        <v>460</v>
      </c>
      <c r="D517" s="316" t="s">
        <v>1</v>
      </c>
      <c r="E517" s="317" t="s">
        <v>7193</v>
      </c>
      <c r="F517" s="317">
        <v>30</v>
      </c>
      <c r="G517" s="317">
        <v>70</v>
      </c>
      <c r="H517" s="327">
        <v>900</v>
      </c>
      <c r="I517" s="328">
        <v>2</v>
      </c>
      <c r="J517" s="320"/>
      <c r="K517" s="321"/>
      <c r="L517" s="322">
        <v>2</v>
      </c>
      <c r="M517" s="330"/>
      <c r="N517" s="324">
        <f t="shared" si="259"/>
        <v>0</v>
      </c>
      <c r="O517" s="325">
        <f t="shared" si="260"/>
        <v>4</v>
      </c>
      <c r="P517" s="323">
        <f t="shared" si="261"/>
        <v>0</v>
      </c>
      <c r="Q517" s="326">
        <f t="shared" si="262"/>
        <v>0</v>
      </c>
    </row>
    <row r="518" spans="1:17" x14ac:dyDescent="0.25">
      <c r="A518" s="163" t="s">
        <v>7997</v>
      </c>
      <c r="B518" s="163" t="s">
        <v>7998</v>
      </c>
      <c r="C518" s="164"/>
      <c r="D518" s="164"/>
      <c r="E518" s="165"/>
      <c r="F518" s="165"/>
      <c r="G518" s="165"/>
      <c r="H518" s="166"/>
      <c r="I518" s="167"/>
      <c r="J518" s="168" t="s">
        <v>7083</v>
      </c>
      <c r="K518" s="169"/>
      <c r="L518" s="167"/>
      <c r="M518" s="168"/>
      <c r="N518" s="169"/>
      <c r="O518" s="167"/>
      <c r="P518" s="168" t="s">
        <v>7083</v>
      </c>
      <c r="Q518" s="169"/>
    </row>
    <row r="519" spans="1:17" x14ac:dyDescent="0.25">
      <c r="A519" s="313" t="s">
        <v>7999</v>
      </c>
      <c r="B519" s="314" t="s">
        <v>8000</v>
      </c>
      <c r="C519" s="315" t="s">
        <v>460</v>
      </c>
      <c r="D519" s="316" t="s">
        <v>1</v>
      </c>
      <c r="E519" s="317" t="s">
        <v>7193</v>
      </c>
      <c r="F519" s="317">
        <v>30</v>
      </c>
      <c r="G519" s="317">
        <v>60</v>
      </c>
      <c r="H519" s="327" t="s">
        <v>7205</v>
      </c>
      <c r="I519" s="328">
        <v>1</v>
      </c>
      <c r="J519" s="320"/>
      <c r="K519" s="321"/>
      <c r="L519" s="322">
        <v>1</v>
      </c>
      <c r="M519" s="323"/>
      <c r="N519" s="324">
        <f t="shared" ref="N519" si="263">ROUND(L519*M519,2)</f>
        <v>0</v>
      </c>
      <c r="O519" s="325">
        <f>SUM(L519,I519)</f>
        <v>2</v>
      </c>
      <c r="P519" s="323">
        <f>IF(M519&lt;&gt;"",M519,J519)</f>
        <v>0</v>
      </c>
      <c r="Q519" s="326">
        <f>ROUND(O519*P519,2)</f>
        <v>0</v>
      </c>
    </row>
    <row r="520" spans="1:17" x14ac:dyDescent="0.25">
      <c r="A520" s="281"/>
      <c r="B520" s="282" t="s">
        <v>8001</v>
      </c>
      <c r="C520" s="281"/>
      <c r="D520" s="283"/>
      <c r="E520" s="284"/>
      <c r="F520" s="285"/>
      <c r="G520" s="285"/>
      <c r="H520" s="286"/>
      <c r="I520" s="287"/>
      <c r="J520" s="288"/>
      <c r="K520" s="288">
        <f>SUBTOTAL(9,K457:K519)</f>
        <v>0</v>
      </c>
      <c r="L520" s="337"/>
      <c r="M520" s="288"/>
      <c r="N520" s="288">
        <f>SUBTOTAL(9,N457:N519)</f>
        <v>0</v>
      </c>
      <c r="O520" s="287"/>
      <c r="P520" s="288"/>
      <c r="Q520" s="288">
        <f>SUBTOTAL(9,Q457:Q519)</f>
        <v>0</v>
      </c>
    </row>
    <row r="521" spans="1:17" x14ac:dyDescent="0.25">
      <c r="A521" s="230" t="s">
        <v>8002</v>
      </c>
      <c r="B521" s="231" t="s">
        <v>8003</v>
      </c>
      <c r="C521" s="232"/>
      <c r="D521" s="233"/>
      <c r="E521" s="234"/>
      <c r="F521" s="235"/>
      <c r="G521" s="235"/>
      <c r="H521" s="236"/>
      <c r="I521" s="265"/>
      <c r="J521" s="265"/>
      <c r="K521" s="265"/>
      <c r="L521" s="303"/>
      <c r="M521" s="265"/>
      <c r="N521" s="265"/>
      <c r="O521" s="265"/>
      <c r="P521" s="265"/>
      <c r="Q521" s="265"/>
    </row>
    <row r="522" spans="1:17" x14ac:dyDescent="0.25">
      <c r="A522" s="133" t="s">
        <v>8004</v>
      </c>
      <c r="B522" s="133" t="s">
        <v>8005</v>
      </c>
      <c r="C522" s="134"/>
      <c r="D522" s="134"/>
      <c r="E522" s="135"/>
      <c r="F522" s="136"/>
      <c r="G522" s="136"/>
      <c r="H522" s="137"/>
      <c r="I522" s="138"/>
      <c r="J522" s="139"/>
      <c r="K522" s="140"/>
      <c r="L522" s="138"/>
      <c r="M522" s="139"/>
      <c r="N522" s="140"/>
      <c r="O522" s="138"/>
      <c r="P522" s="139" t="s">
        <v>7083</v>
      </c>
      <c r="Q522" s="140"/>
    </row>
    <row r="523" spans="1:17" x14ac:dyDescent="0.25">
      <c r="A523" s="338" t="s">
        <v>8006</v>
      </c>
      <c r="B523" s="163" t="s">
        <v>8005</v>
      </c>
      <c r="C523" s="164"/>
      <c r="D523" s="164"/>
      <c r="E523" s="165"/>
      <c r="F523" s="165"/>
      <c r="G523" s="165"/>
      <c r="H523" s="166"/>
      <c r="I523" s="167"/>
      <c r="J523" s="168"/>
      <c r="K523" s="169"/>
      <c r="L523" s="167"/>
      <c r="M523" s="168"/>
      <c r="N523" s="169"/>
      <c r="O523" s="167"/>
      <c r="P523" s="168" t="s">
        <v>7083</v>
      </c>
      <c r="Q523" s="169"/>
    </row>
    <row r="524" spans="1:17" x14ac:dyDescent="0.25">
      <c r="A524" s="339" t="s">
        <v>8007</v>
      </c>
      <c r="B524" s="170" t="s">
        <v>8008</v>
      </c>
      <c r="C524" s="171"/>
      <c r="D524" s="171"/>
      <c r="E524" s="172"/>
      <c r="F524" s="172"/>
      <c r="G524" s="172"/>
      <c r="H524" s="173"/>
      <c r="I524" s="174"/>
      <c r="J524" s="175"/>
      <c r="K524" s="176"/>
      <c r="L524" s="174"/>
      <c r="M524" s="175"/>
      <c r="N524" s="176"/>
      <c r="O524" s="174"/>
      <c r="P524" s="175" t="s">
        <v>7083</v>
      </c>
      <c r="Q524" s="176"/>
    </row>
    <row r="525" spans="1:17" x14ac:dyDescent="0.25">
      <c r="A525" s="340" t="s">
        <v>8009</v>
      </c>
      <c r="B525" s="341" t="s">
        <v>8010</v>
      </c>
      <c r="C525" s="342" t="s">
        <v>266</v>
      </c>
      <c r="D525" s="342" t="s">
        <v>1</v>
      </c>
      <c r="E525" s="343" t="s">
        <v>7504</v>
      </c>
      <c r="F525" s="343">
        <v>75</v>
      </c>
      <c r="G525" s="343">
        <v>10</v>
      </c>
      <c r="H525" s="318">
        <v>0</v>
      </c>
      <c r="I525" s="322">
        <v>2</v>
      </c>
      <c r="J525" s="329"/>
      <c r="K525" s="324"/>
      <c r="L525" s="322">
        <v>2</v>
      </c>
      <c r="M525" s="323"/>
      <c r="N525" s="324">
        <f t="shared" ref="N525" si="264">ROUND(L525*M525,2)</f>
        <v>0</v>
      </c>
      <c r="O525" s="325">
        <f>SUM(L525,I525)</f>
        <v>4</v>
      </c>
      <c r="P525" s="323">
        <f>IF(M525&lt;&gt;"",M525,J525)</f>
        <v>0</v>
      </c>
      <c r="Q525" s="326">
        <f>ROUND(O525*P525,2)</f>
        <v>0</v>
      </c>
    </row>
    <row r="526" spans="1:17" x14ac:dyDescent="0.25">
      <c r="A526" s="339" t="s">
        <v>8011</v>
      </c>
      <c r="B526" s="170" t="s">
        <v>8012</v>
      </c>
      <c r="C526" s="171"/>
      <c r="D526" s="171"/>
      <c r="E526" s="172"/>
      <c r="F526" s="172"/>
      <c r="G526" s="172"/>
      <c r="H526" s="173"/>
      <c r="I526" s="174"/>
      <c r="J526" s="175"/>
      <c r="K526" s="176"/>
      <c r="L526" s="174"/>
      <c r="M526" s="175"/>
      <c r="N526" s="176"/>
      <c r="O526" s="174"/>
      <c r="P526" s="175" t="s">
        <v>7083</v>
      </c>
      <c r="Q526" s="176"/>
    </row>
    <row r="527" spans="1:17" x14ac:dyDescent="0.25">
      <c r="A527" s="340" t="s">
        <v>8013</v>
      </c>
      <c r="B527" s="341" t="s">
        <v>8014</v>
      </c>
      <c r="C527" s="342" t="s">
        <v>88</v>
      </c>
      <c r="D527" s="342" t="s">
        <v>1</v>
      </c>
      <c r="E527" s="343" t="s">
        <v>7504</v>
      </c>
      <c r="F527" s="343">
        <v>75</v>
      </c>
      <c r="G527" s="343">
        <v>20</v>
      </c>
      <c r="H527" s="318">
        <v>0</v>
      </c>
      <c r="I527" s="322">
        <v>0.1</v>
      </c>
      <c r="J527" s="329"/>
      <c r="K527" s="324"/>
      <c r="L527" s="322">
        <v>0.1</v>
      </c>
      <c r="M527" s="323"/>
      <c r="N527" s="324">
        <f t="shared" ref="N527" si="265">ROUND(L527*M527,2)</f>
        <v>0</v>
      </c>
      <c r="O527" s="325">
        <f>SUM(L527,I527)</f>
        <v>0.2</v>
      </c>
      <c r="P527" s="323">
        <f>IF(M527&lt;&gt;"",M527,J527)</f>
        <v>0</v>
      </c>
      <c r="Q527" s="326">
        <f>ROUND(O527*P527,2)</f>
        <v>0</v>
      </c>
    </row>
    <row r="528" spans="1:17" x14ac:dyDescent="0.25">
      <c r="A528" s="339" t="s">
        <v>8015</v>
      </c>
      <c r="B528" s="170" t="s">
        <v>8016</v>
      </c>
      <c r="C528" s="171"/>
      <c r="D528" s="171"/>
      <c r="E528" s="172"/>
      <c r="F528" s="172"/>
      <c r="G528" s="172"/>
      <c r="H528" s="173"/>
      <c r="I528" s="174"/>
      <c r="J528" s="175"/>
      <c r="K528" s="176"/>
      <c r="L528" s="174"/>
      <c r="M528" s="175"/>
      <c r="N528" s="176"/>
      <c r="O528" s="174"/>
      <c r="P528" s="175" t="s">
        <v>7083</v>
      </c>
      <c r="Q528" s="176"/>
    </row>
    <row r="529" spans="1:17" x14ac:dyDescent="0.25">
      <c r="A529" s="340" t="s">
        <v>8017</v>
      </c>
      <c r="B529" s="341" t="s">
        <v>8018</v>
      </c>
      <c r="C529" s="342" t="s">
        <v>266</v>
      </c>
      <c r="D529" s="342" t="s">
        <v>1</v>
      </c>
      <c r="E529" s="343" t="s">
        <v>7504</v>
      </c>
      <c r="F529" s="343">
        <v>75</v>
      </c>
      <c r="G529" s="343">
        <v>20</v>
      </c>
      <c r="H529" s="318">
        <v>0</v>
      </c>
      <c r="I529" s="322">
        <v>0.1</v>
      </c>
      <c r="J529" s="329"/>
      <c r="K529" s="324"/>
      <c r="L529" s="322">
        <v>0.1</v>
      </c>
      <c r="M529" s="323"/>
      <c r="N529" s="324">
        <f t="shared" ref="N529" si="266">ROUND(L529*M529,2)</f>
        <v>0</v>
      </c>
      <c r="O529" s="325">
        <f>SUM(L529,I529)</f>
        <v>0.2</v>
      </c>
      <c r="P529" s="323">
        <f>IF(M529&lt;&gt;"",M529,J529)</f>
        <v>0</v>
      </c>
      <c r="Q529" s="326">
        <f>ROUND(O529*P529,2)</f>
        <v>0</v>
      </c>
    </row>
    <row r="530" spans="1:17" x14ac:dyDescent="0.25">
      <c r="A530" s="339" t="s">
        <v>8019</v>
      </c>
      <c r="B530" s="170" t="s">
        <v>8020</v>
      </c>
      <c r="C530" s="171"/>
      <c r="D530" s="171"/>
      <c r="E530" s="172"/>
      <c r="F530" s="172"/>
      <c r="G530" s="172"/>
      <c r="H530" s="173"/>
      <c r="I530" s="174"/>
      <c r="J530" s="175"/>
      <c r="K530" s="176"/>
      <c r="L530" s="174"/>
      <c r="M530" s="175"/>
      <c r="N530" s="176"/>
      <c r="O530" s="174"/>
      <c r="P530" s="175" t="s">
        <v>7083</v>
      </c>
      <c r="Q530" s="176"/>
    </row>
    <row r="531" spans="1:17" x14ac:dyDescent="0.25">
      <c r="A531" s="340" t="s">
        <v>8021</v>
      </c>
      <c r="B531" s="341" t="s">
        <v>8022</v>
      </c>
      <c r="C531" s="342" t="s">
        <v>266</v>
      </c>
      <c r="D531" s="342" t="s">
        <v>1</v>
      </c>
      <c r="E531" s="343" t="s">
        <v>7504</v>
      </c>
      <c r="F531" s="343">
        <v>75</v>
      </c>
      <c r="G531" s="343">
        <v>30</v>
      </c>
      <c r="H531" s="318">
        <v>0</v>
      </c>
      <c r="I531" s="322">
        <v>0.5</v>
      </c>
      <c r="J531" s="329"/>
      <c r="K531" s="324"/>
      <c r="L531" s="322">
        <v>0.5</v>
      </c>
      <c r="M531" s="323"/>
      <c r="N531" s="324">
        <f t="shared" ref="N531" si="267">ROUND(L531*M531,2)</f>
        <v>0</v>
      </c>
      <c r="O531" s="325">
        <f>SUM(L531,I531)</f>
        <v>1</v>
      </c>
      <c r="P531" s="323">
        <f>IF(M531&lt;&gt;"",M531,J531)</f>
        <v>0</v>
      </c>
      <c r="Q531" s="326">
        <f>ROUND(O531*P531,2)</f>
        <v>0</v>
      </c>
    </row>
    <row r="532" spans="1:17" x14ac:dyDescent="0.25">
      <c r="A532" s="133" t="s">
        <v>8023</v>
      </c>
      <c r="B532" s="133" t="s">
        <v>7496</v>
      </c>
      <c r="C532" s="134"/>
      <c r="D532" s="134"/>
      <c r="E532" s="135"/>
      <c r="F532" s="136"/>
      <c r="G532" s="136"/>
      <c r="H532" s="137"/>
      <c r="I532" s="138"/>
      <c r="J532" s="139" t="s">
        <v>7083</v>
      </c>
      <c r="K532" s="140"/>
      <c r="L532" s="138"/>
      <c r="M532" s="139"/>
      <c r="N532" s="140"/>
      <c r="O532" s="138"/>
      <c r="P532" s="139" t="s">
        <v>7083</v>
      </c>
      <c r="Q532" s="140"/>
    </row>
    <row r="533" spans="1:17" x14ac:dyDescent="0.25">
      <c r="A533" s="338" t="s">
        <v>8024</v>
      </c>
      <c r="B533" s="163" t="s">
        <v>7526</v>
      </c>
      <c r="C533" s="164"/>
      <c r="D533" s="164"/>
      <c r="E533" s="165"/>
      <c r="F533" s="165"/>
      <c r="G533" s="165"/>
      <c r="H533" s="166"/>
      <c r="I533" s="167"/>
      <c r="J533" s="168" t="s">
        <v>7083</v>
      </c>
      <c r="K533" s="169"/>
      <c r="L533" s="167"/>
      <c r="M533" s="168"/>
      <c r="N533" s="169"/>
      <c r="O533" s="167"/>
      <c r="P533" s="168" t="s">
        <v>7083</v>
      </c>
      <c r="Q533" s="169"/>
    </row>
    <row r="534" spans="1:17" x14ac:dyDescent="0.25">
      <c r="A534" s="339" t="s">
        <v>8025</v>
      </c>
      <c r="B534" s="170" t="s">
        <v>7532</v>
      </c>
      <c r="C534" s="171"/>
      <c r="D534" s="171"/>
      <c r="E534" s="172"/>
      <c r="F534" s="172"/>
      <c r="G534" s="172"/>
      <c r="H534" s="173"/>
      <c r="I534" s="174"/>
      <c r="J534" s="175" t="s">
        <v>7083</v>
      </c>
      <c r="K534" s="176"/>
      <c r="L534" s="174"/>
      <c r="M534" s="175"/>
      <c r="N534" s="176"/>
      <c r="O534" s="174"/>
      <c r="P534" s="175" t="s">
        <v>7083</v>
      </c>
      <c r="Q534" s="176"/>
    </row>
    <row r="535" spans="1:17" ht="22.5" x14ac:dyDescent="0.25">
      <c r="A535" s="340" t="s">
        <v>8026</v>
      </c>
      <c r="B535" s="341" t="s">
        <v>8027</v>
      </c>
      <c r="C535" s="342" t="s">
        <v>911</v>
      </c>
      <c r="D535" s="342" t="s">
        <v>1</v>
      </c>
      <c r="E535" s="343" t="s">
        <v>7504</v>
      </c>
      <c r="F535" s="343">
        <v>55</v>
      </c>
      <c r="G535" s="343">
        <v>10</v>
      </c>
      <c r="H535" s="318">
        <v>0</v>
      </c>
      <c r="I535" s="322">
        <v>1</v>
      </c>
      <c r="J535" s="329"/>
      <c r="K535" s="324"/>
      <c r="L535" s="322">
        <v>1</v>
      </c>
      <c r="M535" s="323"/>
      <c r="N535" s="324">
        <f t="shared" ref="N535" si="268">ROUND(L535*M535,2)</f>
        <v>0</v>
      </c>
      <c r="O535" s="325">
        <f>SUM(L535,I535)</f>
        <v>2</v>
      </c>
      <c r="P535" s="323">
        <f>IF(M535&lt;&gt;"",M535,J535)</f>
        <v>0</v>
      </c>
      <c r="Q535" s="326">
        <f>ROUND(O535*P535,2)</f>
        <v>0</v>
      </c>
    </row>
    <row r="536" spans="1:17" x14ac:dyDescent="0.25">
      <c r="A536" s="133" t="s">
        <v>8028</v>
      </c>
      <c r="B536" s="133" t="s">
        <v>7185</v>
      </c>
      <c r="C536" s="134"/>
      <c r="D536" s="134"/>
      <c r="E536" s="135"/>
      <c r="F536" s="136"/>
      <c r="G536" s="136"/>
      <c r="H536" s="137"/>
      <c r="I536" s="138"/>
      <c r="J536" s="139"/>
      <c r="K536" s="140"/>
      <c r="L536" s="138"/>
      <c r="M536" s="139"/>
      <c r="N536" s="140"/>
      <c r="O536" s="138"/>
      <c r="P536" s="139" t="s">
        <v>7083</v>
      </c>
      <c r="Q536" s="140"/>
    </row>
    <row r="537" spans="1:17" x14ac:dyDescent="0.25">
      <c r="A537" s="338" t="s">
        <v>8029</v>
      </c>
      <c r="B537" s="163" t="s">
        <v>7211</v>
      </c>
      <c r="C537" s="164"/>
      <c r="D537" s="164"/>
      <c r="E537" s="165"/>
      <c r="F537" s="165"/>
      <c r="G537" s="165"/>
      <c r="H537" s="166"/>
      <c r="I537" s="167"/>
      <c r="J537" s="168" t="s">
        <v>7083</v>
      </c>
      <c r="K537" s="169"/>
      <c r="L537" s="167"/>
      <c r="M537" s="168"/>
      <c r="N537" s="169"/>
      <c r="O537" s="167"/>
      <c r="P537" s="168" t="s">
        <v>7083</v>
      </c>
      <c r="Q537" s="169"/>
    </row>
    <row r="538" spans="1:17" x14ac:dyDescent="0.25">
      <c r="A538" s="339" t="s">
        <v>8030</v>
      </c>
      <c r="B538" s="170" t="s">
        <v>8031</v>
      </c>
      <c r="C538" s="171"/>
      <c r="D538" s="171"/>
      <c r="E538" s="172"/>
      <c r="F538" s="172"/>
      <c r="G538" s="172"/>
      <c r="H538" s="173"/>
      <c r="I538" s="174"/>
      <c r="J538" s="175" t="s">
        <v>7083</v>
      </c>
      <c r="K538" s="176"/>
      <c r="L538" s="174"/>
      <c r="M538" s="175"/>
      <c r="N538" s="176"/>
      <c r="O538" s="174"/>
      <c r="P538" s="175" t="s">
        <v>7083</v>
      </c>
      <c r="Q538" s="176"/>
    </row>
    <row r="539" spans="1:17" ht="33.75" x14ac:dyDescent="0.25">
      <c r="A539" s="344" t="s">
        <v>8032</v>
      </c>
      <c r="B539" s="345" t="s">
        <v>8033</v>
      </c>
      <c r="C539" s="346" t="s">
        <v>911</v>
      </c>
      <c r="D539" s="346" t="s">
        <v>1</v>
      </c>
      <c r="E539" s="347" t="s">
        <v>7193</v>
      </c>
      <c r="F539" s="343">
        <v>55</v>
      </c>
      <c r="G539" s="343">
        <v>10</v>
      </c>
      <c r="H539" s="318">
        <v>0</v>
      </c>
      <c r="I539" s="322">
        <v>1</v>
      </c>
      <c r="J539" s="329"/>
      <c r="K539" s="324"/>
      <c r="L539" s="322">
        <v>1</v>
      </c>
      <c r="M539" s="323"/>
      <c r="N539" s="324">
        <f t="shared" ref="N539" si="269">ROUND(L539*M539,2)</f>
        <v>0</v>
      </c>
      <c r="O539" s="325">
        <f>SUM(L539,I539)</f>
        <v>2</v>
      </c>
      <c r="P539" s="323">
        <f>IF(M539&lt;&gt;"",M539,J539)</f>
        <v>0</v>
      </c>
      <c r="Q539" s="326">
        <f>ROUND(O539*P539,2)</f>
        <v>0</v>
      </c>
    </row>
    <row r="540" spans="1:17" x14ac:dyDescent="0.25">
      <c r="A540" s="133" t="s">
        <v>8034</v>
      </c>
      <c r="B540" s="133" t="s">
        <v>7218</v>
      </c>
      <c r="C540" s="134"/>
      <c r="D540" s="134"/>
      <c r="E540" s="135"/>
      <c r="F540" s="136"/>
      <c r="G540" s="136"/>
      <c r="H540" s="137"/>
      <c r="I540" s="138"/>
      <c r="J540" s="139" t="s">
        <v>7083</v>
      </c>
      <c r="K540" s="140"/>
      <c r="L540" s="138"/>
      <c r="M540" s="139"/>
      <c r="N540" s="140"/>
      <c r="O540" s="138"/>
      <c r="P540" s="139" t="s">
        <v>7083</v>
      </c>
      <c r="Q540" s="140"/>
    </row>
    <row r="541" spans="1:17" x14ac:dyDescent="0.25">
      <c r="A541" s="338" t="s">
        <v>8035</v>
      </c>
      <c r="B541" s="163" t="s">
        <v>7220</v>
      </c>
      <c r="C541" s="164"/>
      <c r="D541" s="164"/>
      <c r="E541" s="165"/>
      <c r="F541" s="165"/>
      <c r="G541" s="165"/>
      <c r="H541" s="166"/>
      <c r="I541" s="167"/>
      <c r="J541" s="168" t="s">
        <v>7083</v>
      </c>
      <c r="K541" s="169"/>
      <c r="L541" s="167"/>
      <c r="M541" s="168"/>
      <c r="N541" s="169"/>
      <c r="O541" s="167"/>
      <c r="P541" s="168" t="s">
        <v>7083</v>
      </c>
      <c r="Q541" s="169"/>
    </row>
    <row r="542" spans="1:17" x14ac:dyDescent="0.25">
      <c r="A542" s="339" t="s">
        <v>8036</v>
      </c>
      <c r="B542" s="170" t="s">
        <v>7222</v>
      </c>
      <c r="C542" s="171"/>
      <c r="D542" s="171"/>
      <c r="E542" s="172"/>
      <c r="F542" s="172"/>
      <c r="G542" s="172"/>
      <c r="H542" s="173"/>
      <c r="I542" s="174"/>
      <c r="J542" s="175" t="s">
        <v>7083</v>
      </c>
      <c r="K542" s="176"/>
      <c r="L542" s="174"/>
      <c r="M542" s="175"/>
      <c r="N542" s="176"/>
      <c r="O542" s="174"/>
      <c r="P542" s="175" t="s">
        <v>7083</v>
      </c>
      <c r="Q542" s="176"/>
    </row>
    <row r="543" spans="1:17" ht="22.5" x14ac:dyDescent="0.25">
      <c r="A543" s="340" t="s">
        <v>8037</v>
      </c>
      <c r="B543" s="341" t="s">
        <v>7224</v>
      </c>
      <c r="C543" s="342" t="s">
        <v>378</v>
      </c>
      <c r="D543" s="342" t="s">
        <v>1</v>
      </c>
      <c r="E543" s="343" t="s">
        <v>7193</v>
      </c>
      <c r="F543" s="343">
        <v>60</v>
      </c>
      <c r="G543" s="343">
        <v>10</v>
      </c>
      <c r="H543" s="318">
        <v>0</v>
      </c>
      <c r="I543" s="322">
        <v>180</v>
      </c>
      <c r="J543" s="329"/>
      <c r="K543" s="324"/>
      <c r="L543" s="322">
        <v>180</v>
      </c>
      <c r="M543" s="323"/>
      <c r="N543" s="324">
        <f t="shared" ref="N543" si="270">ROUND(L543*M543,2)</f>
        <v>0</v>
      </c>
      <c r="O543" s="325">
        <f>SUM(L543,I543)</f>
        <v>360</v>
      </c>
      <c r="P543" s="323">
        <f>IF(M543&lt;&gt;"",M543,J543)</f>
        <v>0</v>
      </c>
      <c r="Q543" s="326">
        <f>ROUND(O543*P543,2)</f>
        <v>0</v>
      </c>
    </row>
    <row r="544" spans="1:17" x14ac:dyDescent="0.25">
      <c r="A544" s="339" t="s">
        <v>8038</v>
      </c>
      <c r="B544" s="170" t="s">
        <v>8039</v>
      </c>
      <c r="C544" s="171"/>
      <c r="D544" s="171"/>
      <c r="E544" s="172"/>
      <c r="F544" s="172"/>
      <c r="G544" s="172"/>
      <c r="H544" s="173"/>
      <c r="I544" s="174"/>
      <c r="J544" s="175" t="s">
        <v>7083</v>
      </c>
      <c r="K544" s="176"/>
      <c r="L544" s="174"/>
      <c r="M544" s="175"/>
      <c r="N544" s="176"/>
      <c r="O544" s="174"/>
      <c r="P544" s="175" t="s">
        <v>7083</v>
      </c>
      <c r="Q544" s="176"/>
    </row>
    <row r="545" spans="1:17" ht="22.5" x14ac:dyDescent="0.25">
      <c r="A545" s="340" t="s">
        <v>8040</v>
      </c>
      <c r="B545" s="341" t="s">
        <v>7234</v>
      </c>
      <c r="C545" s="342" t="s">
        <v>378</v>
      </c>
      <c r="D545" s="342" t="s">
        <v>1</v>
      </c>
      <c r="E545" s="343" t="s">
        <v>7193</v>
      </c>
      <c r="F545" s="343">
        <v>60</v>
      </c>
      <c r="G545" s="343">
        <v>10</v>
      </c>
      <c r="H545" s="318">
        <v>0</v>
      </c>
      <c r="I545" s="322">
        <v>12</v>
      </c>
      <c r="J545" s="329"/>
      <c r="K545" s="324"/>
      <c r="L545" s="322">
        <v>12</v>
      </c>
      <c r="M545" s="323"/>
      <c r="N545" s="324">
        <f t="shared" ref="N545" si="271">ROUND(L545*M545,2)</f>
        <v>0</v>
      </c>
      <c r="O545" s="325">
        <f>SUM(L545,I545)</f>
        <v>24</v>
      </c>
      <c r="P545" s="323">
        <f>IF(M545&lt;&gt;"",M545,J545)</f>
        <v>0</v>
      </c>
      <c r="Q545" s="326">
        <f>ROUND(O545*P545,2)</f>
        <v>0</v>
      </c>
    </row>
    <row r="546" spans="1:17" x14ac:dyDescent="0.25">
      <c r="A546" s="339" t="s">
        <v>8041</v>
      </c>
      <c r="B546" s="170" t="s">
        <v>7270</v>
      </c>
      <c r="C546" s="171"/>
      <c r="D546" s="171"/>
      <c r="E546" s="172"/>
      <c r="F546" s="172"/>
      <c r="G546" s="172"/>
      <c r="H546" s="173"/>
      <c r="I546" s="174"/>
      <c r="J546" s="175" t="s">
        <v>7083</v>
      </c>
      <c r="K546" s="176"/>
      <c r="L546" s="174"/>
      <c r="M546" s="175"/>
      <c r="N546" s="176"/>
      <c r="O546" s="174"/>
      <c r="P546" s="175" t="s">
        <v>7083</v>
      </c>
      <c r="Q546" s="176"/>
    </row>
    <row r="547" spans="1:17" ht="45" x14ac:dyDescent="0.25">
      <c r="A547" s="340" t="s">
        <v>8042</v>
      </c>
      <c r="B547" s="341" t="s">
        <v>8043</v>
      </c>
      <c r="C547" s="342" t="s">
        <v>460</v>
      </c>
      <c r="D547" s="342" t="s">
        <v>1</v>
      </c>
      <c r="E547" s="343" t="s">
        <v>7193</v>
      </c>
      <c r="F547" s="343">
        <v>60</v>
      </c>
      <c r="G547" s="343">
        <v>20</v>
      </c>
      <c r="H547" s="318">
        <v>0</v>
      </c>
      <c r="I547" s="322">
        <v>1</v>
      </c>
      <c r="J547" s="329"/>
      <c r="K547" s="324"/>
      <c r="L547" s="322">
        <v>1</v>
      </c>
      <c r="M547" s="323"/>
      <c r="N547" s="324">
        <f t="shared" ref="N547" si="272">ROUND(L547*M547,2)</f>
        <v>0</v>
      </c>
      <c r="O547" s="325">
        <f>SUM(L547,I547)</f>
        <v>2</v>
      </c>
      <c r="P547" s="323">
        <f>IF(M547&lt;&gt;"",M547,J547)</f>
        <v>0</v>
      </c>
      <c r="Q547" s="326">
        <f>ROUND(O547*P547,2)</f>
        <v>0</v>
      </c>
    </row>
    <row r="548" spans="1:17" x14ac:dyDescent="0.25">
      <c r="A548" s="339" t="s">
        <v>8044</v>
      </c>
      <c r="B548" s="170" t="s">
        <v>8045</v>
      </c>
      <c r="C548" s="171"/>
      <c r="D548" s="171"/>
      <c r="E548" s="172"/>
      <c r="F548" s="172"/>
      <c r="G548" s="172"/>
      <c r="H548" s="173"/>
      <c r="I548" s="174"/>
      <c r="J548" s="175"/>
      <c r="K548" s="176"/>
      <c r="L548" s="174"/>
      <c r="M548" s="175"/>
      <c r="N548" s="176"/>
      <c r="O548" s="174"/>
      <c r="P548" s="175" t="s">
        <v>7083</v>
      </c>
      <c r="Q548" s="176"/>
    </row>
    <row r="549" spans="1:17" ht="22.5" x14ac:dyDescent="0.25">
      <c r="A549" s="340" t="s">
        <v>8046</v>
      </c>
      <c r="B549" s="341" t="s">
        <v>8047</v>
      </c>
      <c r="C549" s="342" t="s">
        <v>378</v>
      </c>
      <c r="D549" s="342" t="s">
        <v>1</v>
      </c>
      <c r="E549" s="343" t="s">
        <v>7193</v>
      </c>
      <c r="F549" s="343">
        <v>60</v>
      </c>
      <c r="G549" s="343">
        <v>10</v>
      </c>
      <c r="H549" s="318">
        <v>0</v>
      </c>
      <c r="I549" s="322">
        <v>12</v>
      </c>
      <c r="J549" s="329"/>
      <c r="K549" s="324"/>
      <c r="L549" s="322">
        <v>12</v>
      </c>
      <c r="M549" s="323"/>
      <c r="N549" s="324">
        <f t="shared" ref="N549" si="273">ROUND(L549*M549,2)</f>
        <v>0</v>
      </c>
      <c r="O549" s="325">
        <f>SUM(L549,I549)</f>
        <v>24</v>
      </c>
      <c r="P549" s="323">
        <f>IF(M549&lt;&gt;"",M549,J549)</f>
        <v>0</v>
      </c>
      <c r="Q549" s="326">
        <f>ROUND(O549*P549,2)</f>
        <v>0</v>
      </c>
    </row>
    <row r="550" spans="1:17" ht="22.5" x14ac:dyDescent="0.25">
      <c r="A550" s="339" t="s">
        <v>8048</v>
      </c>
      <c r="B550" s="170" t="s">
        <v>7252</v>
      </c>
      <c r="C550" s="171"/>
      <c r="D550" s="171"/>
      <c r="E550" s="172"/>
      <c r="F550" s="172"/>
      <c r="G550" s="172"/>
      <c r="H550" s="173"/>
      <c r="I550" s="174"/>
      <c r="J550" s="175"/>
      <c r="K550" s="176"/>
      <c r="L550" s="174"/>
      <c r="M550" s="175"/>
      <c r="N550" s="176"/>
      <c r="O550" s="174"/>
      <c r="P550" s="175" t="s">
        <v>7083</v>
      </c>
      <c r="Q550" s="176"/>
    </row>
    <row r="551" spans="1:17" ht="45" x14ac:dyDescent="0.25">
      <c r="A551" s="340" t="s">
        <v>8049</v>
      </c>
      <c r="B551" s="341" t="s">
        <v>8050</v>
      </c>
      <c r="C551" s="342" t="s">
        <v>378</v>
      </c>
      <c r="D551" s="342" t="s">
        <v>1</v>
      </c>
      <c r="E551" s="343" t="s">
        <v>7193</v>
      </c>
      <c r="F551" s="343">
        <v>60</v>
      </c>
      <c r="G551" s="343">
        <v>10</v>
      </c>
      <c r="H551" s="318">
        <v>0</v>
      </c>
      <c r="I551" s="322">
        <v>15</v>
      </c>
      <c r="J551" s="329"/>
      <c r="K551" s="324"/>
      <c r="L551" s="322">
        <v>15</v>
      </c>
      <c r="M551" s="323"/>
      <c r="N551" s="324">
        <f t="shared" ref="N551" si="274">ROUND(L551*M551,2)</f>
        <v>0</v>
      </c>
      <c r="O551" s="325">
        <f>SUM(L551,I551)</f>
        <v>30</v>
      </c>
      <c r="P551" s="323">
        <f>IF(M551&lt;&gt;"",M551,J551)</f>
        <v>0</v>
      </c>
      <c r="Q551" s="326">
        <f>ROUND(O551*P551,2)</f>
        <v>0</v>
      </c>
    </row>
    <row r="552" spans="1:17" x14ac:dyDescent="0.25">
      <c r="A552" s="339" t="s">
        <v>8051</v>
      </c>
      <c r="B552" s="170" t="s">
        <v>7274</v>
      </c>
      <c r="C552" s="171"/>
      <c r="D552" s="171"/>
      <c r="E552" s="172"/>
      <c r="F552" s="172"/>
      <c r="G552" s="172"/>
      <c r="H552" s="173"/>
      <c r="I552" s="174"/>
      <c r="J552" s="175"/>
      <c r="K552" s="176"/>
      <c r="L552" s="174"/>
      <c r="M552" s="175"/>
      <c r="N552" s="176"/>
      <c r="O552" s="174"/>
      <c r="P552" s="175" t="s">
        <v>7083</v>
      </c>
      <c r="Q552" s="176"/>
    </row>
    <row r="553" spans="1:17" x14ac:dyDescent="0.25">
      <c r="A553" s="340" t="s">
        <v>8052</v>
      </c>
      <c r="B553" s="341" t="s">
        <v>8053</v>
      </c>
      <c r="C553" s="342" t="s">
        <v>460</v>
      </c>
      <c r="D553" s="342" t="s">
        <v>1</v>
      </c>
      <c r="E553" s="343" t="s">
        <v>7193</v>
      </c>
      <c r="F553" s="343">
        <v>60</v>
      </c>
      <c r="G553" s="343">
        <v>20</v>
      </c>
      <c r="H553" s="318">
        <v>0</v>
      </c>
      <c r="I553" s="322">
        <v>2</v>
      </c>
      <c r="J553" s="329"/>
      <c r="K553" s="324"/>
      <c r="L553" s="322">
        <v>2</v>
      </c>
      <c r="M553" s="323"/>
      <c r="N553" s="324">
        <f t="shared" ref="N553" si="275">ROUND(L553*M553,2)</f>
        <v>0</v>
      </c>
      <c r="O553" s="325">
        <f>SUM(L553,I553)</f>
        <v>4</v>
      </c>
      <c r="P553" s="323">
        <f>IF(M553&lt;&gt;"",M553,J553)</f>
        <v>0</v>
      </c>
      <c r="Q553" s="326">
        <f>ROUND(O553*P553,2)</f>
        <v>0</v>
      </c>
    </row>
    <row r="554" spans="1:17" x14ac:dyDescent="0.25">
      <c r="A554" s="338" t="s">
        <v>8054</v>
      </c>
      <c r="B554" s="163" t="s">
        <v>7278</v>
      </c>
      <c r="C554" s="164"/>
      <c r="D554" s="164"/>
      <c r="E554" s="165"/>
      <c r="F554" s="165"/>
      <c r="G554" s="165"/>
      <c r="H554" s="166"/>
      <c r="I554" s="167"/>
      <c r="J554" s="168" t="s">
        <v>7083</v>
      </c>
      <c r="K554" s="169"/>
      <c r="L554" s="167"/>
      <c r="M554" s="168"/>
      <c r="N554" s="169"/>
      <c r="O554" s="167"/>
      <c r="P554" s="168" t="s">
        <v>7083</v>
      </c>
      <c r="Q554" s="169"/>
    </row>
    <row r="555" spans="1:17" x14ac:dyDescent="0.25">
      <c r="A555" s="348" t="s">
        <v>8055</v>
      </c>
      <c r="B555" s="204" t="s">
        <v>7284</v>
      </c>
      <c r="C555" s="171"/>
      <c r="D555" s="171"/>
      <c r="E555" s="172"/>
      <c r="F555" s="172"/>
      <c r="G555" s="172"/>
      <c r="H555" s="173"/>
      <c r="I555" s="205"/>
      <c r="J555" s="206" t="s">
        <v>7083</v>
      </c>
      <c r="K555" s="176"/>
      <c r="L555" s="205"/>
      <c r="M555" s="206"/>
      <c r="N555" s="176"/>
      <c r="O555" s="205"/>
      <c r="P555" s="206" t="s">
        <v>7083</v>
      </c>
      <c r="Q555" s="176"/>
    </row>
    <row r="556" spans="1:17" x14ac:dyDescent="0.25">
      <c r="A556" s="340" t="s">
        <v>8056</v>
      </c>
      <c r="B556" s="341" t="s">
        <v>8057</v>
      </c>
      <c r="C556" s="342" t="s">
        <v>460</v>
      </c>
      <c r="D556" s="342" t="s">
        <v>1</v>
      </c>
      <c r="E556" s="343" t="s">
        <v>7193</v>
      </c>
      <c r="F556" s="343">
        <v>30</v>
      </c>
      <c r="G556" s="343">
        <v>80</v>
      </c>
      <c r="H556" s="318">
        <v>0</v>
      </c>
      <c r="I556" s="322">
        <v>3</v>
      </c>
      <c r="J556" s="329"/>
      <c r="K556" s="324"/>
      <c r="L556" s="322">
        <v>3</v>
      </c>
      <c r="M556" s="323"/>
      <c r="N556" s="324">
        <f t="shared" ref="N556:N557" si="276">ROUND(L556*M556,2)</f>
        <v>0</v>
      </c>
      <c r="O556" s="325">
        <f t="shared" ref="O556:O557" si="277">SUM(L556,I556)</f>
        <v>6</v>
      </c>
      <c r="P556" s="323">
        <f t="shared" ref="P556:P557" si="278">IF(M556&lt;&gt;"",M556,J556)</f>
        <v>0</v>
      </c>
      <c r="Q556" s="326">
        <f t="shared" ref="Q556:Q557" si="279">ROUND(O556*P556,2)</f>
        <v>0</v>
      </c>
    </row>
    <row r="557" spans="1:17" x14ac:dyDescent="0.25">
      <c r="A557" s="340" t="s">
        <v>8058</v>
      </c>
      <c r="B557" s="341" t="s">
        <v>8059</v>
      </c>
      <c r="C557" s="342" t="s">
        <v>460</v>
      </c>
      <c r="D557" s="342" t="s">
        <v>1</v>
      </c>
      <c r="E557" s="343" t="s">
        <v>7193</v>
      </c>
      <c r="F557" s="343">
        <v>30</v>
      </c>
      <c r="G557" s="343">
        <v>80</v>
      </c>
      <c r="H557" s="318">
        <v>0</v>
      </c>
      <c r="I557" s="322">
        <v>5</v>
      </c>
      <c r="J557" s="329"/>
      <c r="K557" s="324"/>
      <c r="L557" s="322">
        <v>5</v>
      </c>
      <c r="M557" s="323"/>
      <c r="N557" s="324">
        <f t="shared" si="276"/>
        <v>0</v>
      </c>
      <c r="O557" s="325">
        <f t="shared" si="277"/>
        <v>10</v>
      </c>
      <c r="P557" s="323">
        <f t="shared" si="278"/>
        <v>0</v>
      </c>
      <c r="Q557" s="326">
        <f t="shared" si="279"/>
        <v>0</v>
      </c>
    </row>
    <row r="558" spans="1:17" x14ac:dyDescent="0.25">
      <c r="A558" s="339" t="s">
        <v>8060</v>
      </c>
      <c r="B558" s="170" t="s">
        <v>8061</v>
      </c>
      <c r="C558" s="171"/>
      <c r="D558" s="171"/>
      <c r="E558" s="172"/>
      <c r="F558" s="172"/>
      <c r="G558" s="172"/>
      <c r="H558" s="173"/>
      <c r="I558" s="174"/>
      <c r="J558" s="175"/>
      <c r="K558" s="176"/>
      <c r="L558" s="174"/>
      <c r="M558" s="175"/>
      <c r="N558" s="176"/>
      <c r="O558" s="174"/>
      <c r="P558" s="175"/>
      <c r="Q558" s="176"/>
    </row>
    <row r="559" spans="1:17" x14ac:dyDescent="0.25">
      <c r="A559" s="349" t="s">
        <v>8062</v>
      </c>
      <c r="B559" s="314" t="s">
        <v>8061</v>
      </c>
      <c r="C559" s="315" t="s">
        <v>460</v>
      </c>
      <c r="D559" s="316" t="s">
        <v>1</v>
      </c>
      <c r="E559" s="317" t="s">
        <v>7193</v>
      </c>
      <c r="F559" s="317">
        <v>30</v>
      </c>
      <c r="G559" s="317">
        <v>80</v>
      </c>
      <c r="H559" s="318">
        <v>0</v>
      </c>
      <c r="I559" s="328">
        <v>2</v>
      </c>
      <c r="J559" s="329"/>
      <c r="K559" s="324"/>
      <c r="L559" s="322">
        <v>2</v>
      </c>
      <c r="M559" s="323"/>
      <c r="N559" s="324">
        <f t="shared" ref="N559" si="280">ROUND(L559*M559,2)</f>
        <v>0</v>
      </c>
      <c r="O559" s="325">
        <f>SUM(L559,I559)</f>
        <v>4</v>
      </c>
      <c r="P559" s="323">
        <f>IF(M559&lt;&gt;"",M559,J559)</f>
        <v>0</v>
      </c>
      <c r="Q559" s="326">
        <f>ROUND(O559*P559,2)</f>
        <v>0</v>
      </c>
    </row>
    <row r="560" spans="1:17" x14ac:dyDescent="0.25">
      <c r="A560" s="133" t="s">
        <v>8063</v>
      </c>
      <c r="B560" s="133" t="s">
        <v>7185</v>
      </c>
      <c r="C560" s="134"/>
      <c r="D560" s="134"/>
      <c r="E560" s="135"/>
      <c r="F560" s="136"/>
      <c r="G560" s="136"/>
      <c r="H560" s="137"/>
      <c r="I560" s="138"/>
      <c r="J560" s="139" t="s">
        <v>7083</v>
      </c>
      <c r="K560" s="140"/>
      <c r="L560" s="138"/>
      <c r="M560" s="139"/>
      <c r="N560" s="140"/>
      <c r="O560" s="138"/>
      <c r="P560" s="139" t="s">
        <v>7083</v>
      </c>
      <c r="Q560" s="140"/>
    </row>
    <row r="561" spans="1:17" x14ac:dyDescent="0.25">
      <c r="A561" s="338" t="s">
        <v>8064</v>
      </c>
      <c r="B561" s="163" t="s">
        <v>7218</v>
      </c>
      <c r="C561" s="164"/>
      <c r="D561" s="164"/>
      <c r="E561" s="165"/>
      <c r="F561" s="165"/>
      <c r="G561" s="165"/>
      <c r="H561" s="166"/>
      <c r="I561" s="167"/>
      <c r="J561" s="168" t="s">
        <v>7083</v>
      </c>
      <c r="K561" s="169"/>
      <c r="L561" s="167"/>
      <c r="M561" s="168"/>
      <c r="N561" s="169"/>
      <c r="O561" s="167"/>
      <c r="P561" s="168" t="s">
        <v>7083</v>
      </c>
      <c r="Q561" s="169"/>
    </row>
    <row r="562" spans="1:17" x14ac:dyDescent="0.25">
      <c r="A562" s="339" t="s">
        <v>8065</v>
      </c>
      <c r="B562" s="170" t="s">
        <v>7294</v>
      </c>
      <c r="C562" s="171"/>
      <c r="D562" s="171"/>
      <c r="E562" s="172"/>
      <c r="F562" s="172"/>
      <c r="G562" s="172"/>
      <c r="H562" s="173"/>
      <c r="I562" s="174"/>
      <c r="J562" s="175"/>
      <c r="K562" s="176"/>
      <c r="L562" s="174"/>
      <c r="M562" s="175"/>
      <c r="N562" s="176"/>
      <c r="O562" s="174"/>
      <c r="P562" s="175" t="s">
        <v>7083</v>
      </c>
      <c r="Q562" s="176"/>
    </row>
    <row r="563" spans="1:17" ht="33.75" x14ac:dyDescent="0.25">
      <c r="A563" s="340" t="s">
        <v>8066</v>
      </c>
      <c r="B563" s="341" t="s">
        <v>8067</v>
      </c>
      <c r="C563" s="342" t="s">
        <v>378</v>
      </c>
      <c r="D563" s="342" t="s">
        <v>1</v>
      </c>
      <c r="E563" s="343" t="s">
        <v>7193</v>
      </c>
      <c r="F563" s="343">
        <v>60</v>
      </c>
      <c r="G563" s="343">
        <v>20</v>
      </c>
      <c r="H563" s="318">
        <v>5</v>
      </c>
      <c r="I563" s="322">
        <v>10</v>
      </c>
      <c r="J563" s="329"/>
      <c r="K563" s="324"/>
      <c r="L563" s="322">
        <v>10</v>
      </c>
      <c r="M563" s="323"/>
      <c r="N563" s="324">
        <f t="shared" ref="N563" si="281">ROUND(L563*M563,2)</f>
        <v>0</v>
      </c>
      <c r="O563" s="325">
        <f>SUM(L563,I563)</f>
        <v>20</v>
      </c>
      <c r="P563" s="323">
        <f>IF(M563&lt;&gt;"",M563,J563)</f>
        <v>0</v>
      </c>
      <c r="Q563" s="326">
        <f>ROUND(O563*P563,2)</f>
        <v>0</v>
      </c>
    </row>
    <row r="564" spans="1:17" x14ac:dyDescent="0.25">
      <c r="A564" s="133" t="s">
        <v>8068</v>
      </c>
      <c r="B564" s="133" t="s">
        <v>7583</v>
      </c>
      <c r="C564" s="134"/>
      <c r="D564" s="134"/>
      <c r="E564" s="135"/>
      <c r="F564" s="136"/>
      <c r="G564" s="136"/>
      <c r="H564" s="137"/>
      <c r="I564" s="138"/>
      <c r="J564" s="139" t="s">
        <v>7083</v>
      </c>
      <c r="K564" s="140"/>
      <c r="L564" s="138"/>
      <c r="M564" s="139"/>
      <c r="N564" s="140"/>
      <c r="O564" s="138"/>
      <c r="P564" s="139" t="s">
        <v>7083</v>
      </c>
      <c r="Q564" s="140"/>
    </row>
    <row r="565" spans="1:17" x14ac:dyDescent="0.25">
      <c r="A565" s="338" t="s">
        <v>8069</v>
      </c>
      <c r="B565" s="163" t="s">
        <v>7583</v>
      </c>
      <c r="C565" s="164"/>
      <c r="D565" s="164"/>
      <c r="E565" s="165"/>
      <c r="F565" s="165"/>
      <c r="G565" s="165"/>
      <c r="H565" s="166"/>
      <c r="I565" s="167"/>
      <c r="J565" s="168" t="s">
        <v>7083</v>
      </c>
      <c r="K565" s="169"/>
      <c r="L565" s="167"/>
      <c r="M565" s="168"/>
      <c r="N565" s="169"/>
      <c r="O565" s="167"/>
      <c r="P565" s="168" t="s">
        <v>7083</v>
      </c>
      <c r="Q565" s="169"/>
    </row>
    <row r="566" spans="1:17" ht="22.5" x14ac:dyDescent="0.25">
      <c r="A566" s="339" t="s">
        <v>8070</v>
      </c>
      <c r="B566" s="170" t="s">
        <v>8071</v>
      </c>
      <c r="C566" s="171"/>
      <c r="D566" s="171"/>
      <c r="E566" s="172"/>
      <c r="F566" s="172"/>
      <c r="G566" s="172"/>
      <c r="H566" s="173"/>
      <c r="I566" s="174"/>
      <c r="J566" s="175"/>
      <c r="K566" s="176"/>
      <c r="L566" s="174"/>
      <c r="M566" s="175"/>
      <c r="N566" s="176"/>
      <c r="O566" s="174"/>
      <c r="P566" s="175" t="s">
        <v>7083</v>
      </c>
      <c r="Q566" s="176"/>
    </row>
    <row r="567" spans="1:17" ht="33.75" x14ac:dyDescent="0.25">
      <c r="A567" s="340" t="s">
        <v>8072</v>
      </c>
      <c r="B567" s="341" t="s">
        <v>8073</v>
      </c>
      <c r="C567" s="342" t="s">
        <v>378</v>
      </c>
      <c r="D567" s="342" t="s">
        <v>1</v>
      </c>
      <c r="E567" s="343" t="s">
        <v>7504</v>
      </c>
      <c r="F567" s="343">
        <v>60</v>
      </c>
      <c r="G567" s="343">
        <v>10</v>
      </c>
      <c r="H567" s="318">
        <v>0</v>
      </c>
      <c r="I567" s="322">
        <v>24</v>
      </c>
      <c r="J567" s="329"/>
      <c r="K567" s="324"/>
      <c r="L567" s="322">
        <v>24</v>
      </c>
      <c r="M567" s="323"/>
      <c r="N567" s="324">
        <f t="shared" ref="N567:N573" si="282">ROUND(L567*M567,2)</f>
        <v>0</v>
      </c>
      <c r="O567" s="325">
        <f t="shared" ref="O567:O573" si="283">SUM(L567,I567)</f>
        <v>48</v>
      </c>
      <c r="P567" s="323">
        <f t="shared" ref="P567:P573" si="284">IF(M567&lt;&gt;"",M567,J567)</f>
        <v>0</v>
      </c>
      <c r="Q567" s="326">
        <f t="shared" ref="Q567:Q573" si="285">ROUND(O567*P567,2)</f>
        <v>0</v>
      </c>
    </row>
    <row r="568" spans="1:17" ht="33.75" x14ac:dyDescent="0.25">
      <c r="A568" s="340" t="s">
        <v>8074</v>
      </c>
      <c r="B568" s="341" t="s">
        <v>8075</v>
      </c>
      <c r="C568" s="342" t="s">
        <v>378</v>
      </c>
      <c r="D568" s="342" t="s">
        <v>1</v>
      </c>
      <c r="E568" s="343" t="s">
        <v>7504</v>
      </c>
      <c r="F568" s="343">
        <v>60</v>
      </c>
      <c r="G568" s="343">
        <v>10</v>
      </c>
      <c r="H568" s="318">
        <v>0</v>
      </c>
      <c r="I568" s="322">
        <v>18</v>
      </c>
      <c r="J568" s="329"/>
      <c r="K568" s="324"/>
      <c r="L568" s="322">
        <v>18</v>
      </c>
      <c r="M568" s="323"/>
      <c r="N568" s="324">
        <f t="shared" si="282"/>
        <v>0</v>
      </c>
      <c r="O568" s="325">
        <f t="shared" si="283"/>
        <v>36</v>
      </c>
      <c r="P568" s="323">
        <f t="shared" si="284"/>
        <v>0</v>
      </c>
      <c r="Q568" s="326">
        <f t="shared" si="285"/>
        <v>0</v>
      </c>
    </row>
    <row r="569" spans="1:17" ht="33.75" x14ac:dyDescent="0.25">
      <c r="A569" s="340" t="s">
        <v>8076</v>
      </c>
      <c r="B569" s="341" t="s">
        <v>8077</v>
      </c>
      <c r="C569" s="342" t="s">
        <v>378</v>
      </c>
      <c r="D569" s="342" t="s">
        <v>1</v>
      </c>
      <c r="E569" s="343" t="s">
        <v>7504</v>
      </c>
      <c r="F569" s="343">
        <v>60</v>
      </c>
      <c r="G569" s="343">
        <v>10</v>
      </c>
      <c r="H569" s="318">
        <v>0</v>
      </c>
      <c r="I569" s="322">
        <v>3</v>
      </c>
      <c r="J569" s="329"/>
      <c r="K569" s="324"/>
      <c r="L569" s="322">
        <v>3</v>
      </c>
      <c r="M569" s="323"/>
      <c r="N569" s="324">
        <f t="shared" si="282"/>
        <v>0</v>
      </c>
      <c r="O569" s="325">
        <f t="shared" si="283"/>
        <v>6</v>
      </c>
      <c r="P569" s="323">
        <f t="shared" si="284"/>
        <v>0</v>
      </c>
      <c r="Q569" s="326">
        <f t="shared" si="285"/>
        <v>0</v>
      </c>
    </row>
    <row r="570" spans="1:17" ht="33.75" x14ac:dyDescent="0.25">
      <c r="A570" s="340" t="s">
        <v>8078</v>
      </c>
      <c r="B570" s="341" t="s">
        <v>8079</v>
      </c>
      <c r="C570" s="342" t="s">
        <v>378</v>
      </c>
      <c r="D570" s="342" t="s">
        <v>1</v>
      </c>
      <c r="E570" s="343" t="s">
        <v>7504</v>
      </c>
      <c r="F570" s="343">
        <v>60</v>
      </c>
      <c r="G570" s="343">
        <v>10</v>
      </c>
      <c r="H570" s="318">
        <v>0</v>
      </c>
      <c r="I570" s="322">
        <v>9</v>
      </c>
      <c r="J570" s="329"/>
      <c r="K570" s="324"/>
      <c r="L570" s="322">
        <v>9</v>
      </c>
      <c r="M570" s="323"/>
      <c r="N570" s="324">
        <f t="shared" si="282"/>
        <v>0</v>
      </c>
      <c r="O570" s="325">
        <f t="shared" si="283"/>
        <v>18</v>
      </c>
      <c r="P570" s="323">
        <f t="shared" si="284"/>
        <v>0</v>
      </c>
      <c r="Q570" s="326">
        <f t="shared" si="285"/>
        <v>0</v>
      </c>
    </row>
    <row r="571" spans="1:17" ht="33.75" x14ac:dyDescent="0.25">
      <c r="A571" s="340" t="s">
        <v>8080</v>
      </c>
      <c r="B571" s="341" t="s">
        <v>8081</v>
      </c>
      <c r="C571" s="342" t="s">
        <v>378</v>
      </c>
      <c r="D571" s="342" t="s">
        <v>1</v>
      </c>
      <c r="E571" s="343" t="s">
        <v>7504</v>
      </c>
      <c r="F571" s="343">
        <v>60</v>
      </c>
      <c r="G571" s="343">
        <v>10</v>
      </c>
      <c r="H571" s="318">
        <v>0</v>
      </c>
      <c r="I571" s="322">
        <v>3</v>
      </c>
      <c r="J571" s="329"/>
      <c r="K571" s="324"/>
      <c r="L571" s="322">
        <v>3</v>
      </c>
      <c r="M571" s="323"/>
      <c r="N571" s="324">
        <f t="shared" si="282"/>
        <v>0</v>
      </c>
      <c r="O571" s="325">
        <f t="shared" si="283"/>
        <v>6</v>
      </c>
      <c r="P571" s="323">
        <f t="shared" si="284"/>
        <v>0</v>
      </c>
      <c r="Q571" s="326">
        <f t="shared" si="285"/>
        <v>0</v>
      </c>
    </row>
    <row r="572" spans="1:17" ht="33.75" x14ac:dyDescent="0.25">
      <c r="A572" s="340" t="s">
        <v>8082</v>
      </c>
      <c r="B572" s="341" t="s">
        <v>8083</v>
      </c>
      <c r="C572" s="342" t="s">
        <v>378</v>
      </c>
      <c r="D572" s="342" t="s">
        <v>1</v>
      </c>
      <c r="E572" s="343" t="s">
        <v>7504</v>
      </c>
      <c r="F572" s="343">
        <v>60</v>
      </c>
      <c r="G572" s="343">
        <v>10</v>
      </c>
      <c r="H572" s="318">
        <v>0</v>
      </c>
      <c r="I572" s="322">
        <v>3</v>
      </c>
      <c r="J572" s="329"/>
      <c r="K572" s="324"/>
      <c r="L572" s="322">
        <v>3</v>
      </c>
      <c r="M572" s="323"/>
      <c r="N572" s="324">
        <f t="shared" si="282"/>
        <v>0</v>
      </c>
      <c r="O572" s="325">
        <f t="shared" si="283"/>
        <v>6</v>
      </c>
      <c r="P572" s="323">
        <f t="shared" si="284"/>
        <v>0</v>
      </c>
      <c r="Q572" s="326">
        <f t="shared" si="285"/>
        <v>0</v>
      </c>
    </row>
    <row r="573" spans="1:17" ht="33.75" x14ac:dyDescent="0.25">
      <c r="A573" s="340" t="s">
        <v>8084</v>
      </c>
      <c r="B573" s="341" t="s">
        <v>8085</v>
      </c>
      <c r="C573" s="342" t="s">
        <v>378</v>
      </c>
      <c r="D573" s="342" t="s">
        <v>1</v>
      </c>
      <c r="E573" s="343" t="s">
        <v>7504</v>
      </c>
      <c r="F573" s="343">
        <v>60</v>
      </c>
      <c r="G573" s="343">
        <v>10</v>
      </c>
      <c r="H573" s="318">
        <v>0</v>
      </c>
      <c r="I573" s="322">
        <v>6</v>
      </c>
      <c r="J573" s="329"/>
      <c r="K573" s="324"/>
      <c r="L573" s="322">
        <v>6</v>
      </c>
      <c r="M573" s="323"/>
      <c r="N573" s="324">
        <f t="shared" si="282"/>
        <v>0</v>
      </c>
      <c r="O573" s="325">
        <f t="shared" si="283"/>
        <v>12</v>
      </c>
      <c r="P573" s="323">
        <f t="shared" si="284"/>
        <v>0</v>
      </c>
      <c r="Q573" s="326">
        <f t="shared" si="285"/>
        <v>0</v>
      </c>
    </row>
    <row r="574" spans="1:17" x14ac:dyDescent="0.25">
      <c r="A574" s="339" t="s">
        <v>8086</v>
      </c>
      <c r="B574" s="170" t="s">
        <v>8087</v>
      </c>
      <c r="C574" s="171"/>
      <c r="D574" s="171"/>
      <c r="E574" s="172"/>
      <c r="F574" s="172"/>
      <c r="G574" s="172"/>
      <c r="H574" s="173"/>
      <c r="I574" s="174"/>
      <c r="J574" s="175"/>
      <c r="K574" s="176"/>
      <c r="L574" s="174"/>
      <c r="M574" s="175"/>
      <c r="N574" s="176"/>
      <c r="O574" s="174"/>
      <c r="P574" s="175" t="s">
        <v>7083</v>
      </c>
      <c r="Q574" s="176"/>
    </row>
    <row r="575" spans="1:17" ht="33.75" x14ac:dyDescent="0.25">
      <c r="A575" s="340" t="s">
        <v>8088</v>
      </c>
      <c r="B575" s="341" t="s">
        <v>8089</v>
      </c>
      <c r="C575" s="342" t="s">
        <v>378</v>
      </c>
      <c r="D575" s="342" t="s">
        <v>1</v>
      </c>
      <c r="E575" s="343" t="s">
        <v>7504</v>
      </c>
      <c r="F575" s="343">
        <v>60</v>
      </c>
      <c r="G575" s="343">
        <v>10</v>
      </c>
      <c r="H575" s="318">
        <v>0</v>
      </c>
      <c r="I575" s="322">
        <v>45</v>
      </c>
      <c r="J575" s="329"/>
      <c r="K575" s="324"/>
      <c r="L575" s="322">
        <v>45</v>
      </c>
      <c r="M575" s="323"/>
      <c r="N575" s="324">
        <f t="shared" ref="N575:N576" si="286">ROUND(L575*M575,2)</f>
        <v>0</v>
      </c>
      <c r="O575" s="325">
        <f t="shared" ref="O575:O576" si="287">SUM(L575,I575)</f>
        <v>90</v>
      </c>
      <c r="P575" s="323">
        <f t="shared" ref="P575:P576" si="288">IF(M575&lt;&gt;"",M575,J575)</f>
        <v>0</v>
      </c>
      <c r="Q575" s="326">
        <f t="shared" ref="Q575:Q576" si="289">ROUND(O575*P575,2)</f>
        <v>0</v>
      </c>
    </row>
    <row r="576" spans="1:17" ht="33.75" x14ac:dyDescent="0.25">
      <c r="A576" s="340" t="s">
        <v>8090</v>
      </c>
      <c r="B576" s="341" t="s">
        <v>8091</v>
      </c>
      <c r="C576" s="342" t="s">
        <v>378</v>
      </c>
      <c r="D576" s="342" t="s">
        <v>1</v>
      </c>
      <c r="E576" s="343" t="s">
        <v>7504</v>
      </c>
      <c r="F576" s="343">
        <v>60</v>
      </c>
      <c r="G576" s="343">
        <v>10</v>
      </c>
      <c r="H576" s="318">
        <v>0</v>
      </c>
      <c r="I576" s="322">
        <v>37</v>
      </c>
      <c r="J576" s="329"/>
      <c r="K576" s="324"/>
      <c r="L576" s="322">
        <v>37</v>
      </c>
      <c r="M576" s="323"/>
      <c r="N576" s="324">
        <f t="shared" si="286"/>
        <v>0</v>
      </c>
      <c r="O576" s="325">
        <f t="shared" si="287"/>
        <v>74</v>
      </c>
      <c r="P576" s="323">
        <f t="shared" si="288"/>
        <v>0</v>
      </c>
      <c r="Q576" s="326">
        <f t="shared" si="289"/>
        <v>0</v>
      </c>
    </row>
    <row r="577" spans="1:17" x14ac:dyDescent="0.25">
      <c r="A577" s="133" t="s">
        <v>8092</v>
      </c>
      <c r="B577" s="218" t="s">
        <v>7567</v>
      </c>
      <c r="C577" s="134"/>
      <c r="D577" s="134"/>
      <c r="E577" s="135"/>
      <c r="F577" s="136"/>
      <c r="G577" s="136"/>
      <c r="H577" s="137"/>
      <c r="I577" s="138"/>
      <c r="J577" s="139"/>
      <c r="K577" s="140"/>
      <c r="L577" s="138"/>
      <c r="M577" s="139"/>
      <c r="N577" s="140"/>
      <c r="O577" s="138"/>
      <c r="P577" s="139" t="s">
        <v>7083</v>
      </c>
      <c r="Q577" s="140"/>
    </row>
    <row r="578" spans="1:17" x14ac:dyDescent="0.25">
      <c r="A578" s="338" t="s">
        <v>8093</v>
      </c>
      <c r="B578" s="163" t="s">
        <v>7569</v>
      </c>
      <c r="C578" s="164"/>
      <c r="D578" s="164"/>
      <c r="E578" s="165"/>
      <c r="F578" s="165"/>
      <c r="G578" s="165"/>
      <c r="H578" s="166"/>
      <c r="I578" s="167"/>
      <c r="J578" s="168"/>
      <c r="K578" s="169"/>
      <c r="L578" s="167"/>
      <c r="M578" s="168"/>
      <c r="N578" s="169"/>
      <c r="O578" s="167"/>
      <c r="P578" s="168" t="s">
        <v>7083</v>
      </c>
      <c r="Q578" s="169"/>
    </row>
    <row r="579" spans="1:17" ht="33.75" x14ac:dyDescent="0.25">
      <c r="A579" s="340" t="s">
        <v>8094</v>
      </c>
      <c r="B579" s="341" t="s">
        <v>8095</v>
      </c>
      <c r="C579" s="315" t="s">
        <v>911</v>
      </c>
      <c r="D579" s="342" t="s">
        <v>1</v>
      </c>
      <c r="E579" s="343" t="s">
        <v>7504</v>
      </c>
      <c r="F579" s="343">
        <v>20</v>
      </c>
      <c r="G579" s="343">
        <v>20</v>
      </c>
      <c r="H579" s="318">
        <v>0</v>
      </c>
      <c r="I579" s="322">
        <v>1</v>
      </c>
      <c r="J579" s="329"/>
      <c r="K579" s="324"/>
      <c r="L579" s="322">
        <v>1</v>
      </c>
      <c r="M579" s="323"/>
      <c r="N579" s="324">
        <f t="shared" ref="N579" si="290">ROUND(L579*M579,2)</f>
        <v>0</v>
      </c>
      <c r="O579" s="325">
        <f>SUM(L579,I579)</f>
        <v>2</v>
      </c>
      <c r="P579" s="323">
        <f>IF(M579&lt;&gt;"",M579,J579)</f>
        <v>0</v>
      </c>
      <c r="Q579" s="326">
        <f>ROUND(O579*P579,2)</f>
        <v>0</v>
      </c>
    </row>
    <row r="580" spans="1:17" x14ac:dyDescent="0.25">
      <c r="A580" s="133" t="s">
        <v>8096</v>
      </c>
      <c r="B580" s="133" t="s">
        <v>7332</v>
      </c>
      <c r="C580" s="134"/>
      <c r="D580" s="134"/>
      <c r="E580" s="135"/>
      <c r="F580" s="136"/>
      <c r="G580" s="136"/>
      <c r="H580" s="137"/>
      <c r="I580" s="138"/>
      <c r="J580" s="139"/>
      <c r="K580" s="140"/>
      <c r="L580" s="138"/>
      <c r="M580" s="139"/>
      <c r="N580" s="140"/>
      <c r="O580" s="138"/>
      <c r="P580" s="139" t="s">
        <v>7083</v>
      </c>
      <c r="Q580" s="140"/>
    </row>
    <row r="581" spans="1:17" x14ac:dyDescent="0.25">
      <c r="A581" s="338" t="s">
        <v>8097</v>
      </c>
      <c r="B581" s="163" t="s">
        <v>7334</v>
      </c>
      <c r="C581" s="164"/>
      <c r="D581" s="164"/>
      <c r="E581" s="165"/>
      <c r="F581" s="165"/>
      <c r="G581" s="165"/>
      <c r="H581" s="166"/>
      <c r="I581" s="167"/>
      <c r="J581" s="168"/>
      <c r="K581" s="169"/>
      <c r="L581" s="167"/>
      <c r="M581" s="168"/>
      <c r="N581" s="169"/>
      <c r="O581" s="167"/>
      <c r="P581" s="168" t="s">
        <v>7083</v>
      </c>
      <c r="Q581" s="169"/>
    </row>
    <row r="582" spans="1:17" ht="22.5" x14ac:dyDescent="0.25">
      <c r="A582" s="339" t="s">
        <v>8098</v>
      </c>
      <c r="B582" s="170" t="s">
        <v>7356</v>
      </c>
      <c r="C582" s="171"/>
      <c r="D582" s="171"/>
      <c r="E582" s="172"/>
      <c r="F582" s="172"/>
      <c r="G582" s="172"/>
      <c r="H582" s="173"/>
      <c r="I582" s="174"/>
      <c r="J582" s="175"/>
      <c r="K582" s="176"/>
      <c r="L582" s="174"/>
      <c r="M582" s="175"/>
      <c r="N582" s="176"/>
      <c r="O582" s="174"/>
      <c r="P582" s="175" t="s">
        <v>7083</v>
      </c>
      <c r="Q582" s="176"/>
    </row>
    <row r="583" spans="1:17" ht="33.75" x14ac:dyDescent="0.25">
      <c r="A583" s="340" t="s">
        <v>8099</v>
      </c>
      <c r="B583" s="341" t="s">
        <v>8100</v>
      </c>
      <c r="C583" s="342" t="s">
        <v>378</v>
      </c>
      <c r="D583" s="342" t="s">
        <v>1</v>
      </c>
      <c r="E583" s="343" t="s">
        <v>7193</v>
      </c>
      <c r="F583" s="343">
        <v>70</v>
      </c>
      <c r="G583" s="343">
        <v>10</v>
      </c>
      <c r="H583" s="318">
        <v>900</v>
      </c>
      <c r="I583" s="322">
        <v>160</v>
      </c>
      <c r="J583" s="329"/>
      <c r="K583" s="324"/>
      <c r="L583" s="322">
        <v>160</v>
      </c>
      <c r="M583" s="323"/>
      <c r="N583" s="324">
        <f t="shared" ref="N583:N586" si="291">ROUND(L583*M583,2)</f>
        <v>0</v>
      </c>
      <c r="O583" s="325">
        <f t="shared" ref="O583:O586" si="292">SUM(L583,I583)</f>
        <v>320</v>
      </c>
      <c r="P583" s="323">
        <f t="shared" ref="P583:P586" si="293">IF(M583&lt;&gt;"",M583,J583)</f>
        <v>0</v>
      </c>
      <c r="Q583" s="326">
        <f t="shared" ref="Q583:Q586" si="294">ROUND(O583*P583,2)</f>
        <v>0</v>
      </c>
    </row>
    <row r="584" spans="1:17" ht="33.75" x14ac:dyDescent="0.25">
      <c r="A584" s="340" t="s">
        <v>8101</v>
      </c>
      <c r="B584" s="341" t="s">
        <v>7358</v>
      </c>
      <c r="C584" s="342" t="s">
        <v>378</v>
      </c>
      <c r="D584" s="342" t="s">
        <v>1</v>
      </c>
      <c r="E584" s="343" t="s">
        <v>7193</v>
      </c>
      <c r="F584" s="343">
        <v>70</v>
      </c>
      <c r="G584" s="343">
        <v>10</v>
      </c>
      <c r="H584" s="318">
        <v>900</v>
      </c>
      <c r="I584" s="322">
        <v>350</v>
      </c>
      <c r="J584" s="329"/>
      <c r="K584" s="324"/>
      <c r="L584" s="322">
        <v>350</v>
      </c>
      <c r="M584" s="323"/>
      <c r="N584" s="324">
        <f t="shared" si="291"/>
        <v>0</v>
      </c>
      <c r="O584" s="325">
        <f t="shared" si="292"/>
        <v>700</v>
      </c>
      <c r="P584" s="323">
        <f t="shared" si="293"/>
        <v>0</v>
      </c>
      <c r="Q584" s="326">
        <f t="shared" si="294"/>
        <v>0</v>
      </c>
    </row>
    <row r="585" spans="1:17" ht="33.75" x14ac:dyDescent="0.25">
      <c r="A585" s="340" t="s">
        <v>8102</v>
      </c>
      <c r="B585" s="341" t="s">
        <v>8103</v>
      </c>
      <c r="C585" s="342" t="s">
        <v>378</v>
      </c>
      <c r="D585" s="342" t="s">
        <v>1</v>
      </c>
      <c r="E585" s="343" t="s">
        <v>7193</v>
      </c>
      <c r="F585" s="343">
        <v>70</v>
      </c>
      <c r="G585" s="343">
        <v>10</v>
      </c>
      <c r="H585" s="318">
        <v>900</v>
      </c>
      <c r="I585" s="322">
        <v>50</v>
      </c>
      <c r="J585" s="329"/>
      <c r="K585" s="324"/>
      <c r="L585" s="322">
        <v>50</v>
      </c>
      <c r="M585" s="323"/>
      <c r="N585" s="324">
        <f t="shared" si="291"/>
        <v>0</v>
      </c>
      <c r="O585" s="325">
        <f t="shared" si="292"/>
        <v>100</v>
      </c>
      <c r="P585" s="323">
        <f t="shared" si="293"/>
        <v>0</v>
      </c>
      <c r="Q585" s="326">
        <f t="shared" si="294"/>
        <v>0</v>
      </c>
    </row>
    <row r="586" spans="1:17" ht="33.75" x14ac:dyDescent="0.25">
      <c r="A586" s="340" t="s">
        <v>8104</v>
      </c>
      <c r="B586" s="341" t="s">
        <v>8105</v>
      </c>
      <c r="C586" s="342" t="s">
        <v>378</v>
      </c>
      <c r="D586" s="342" t="s">
        <v>1</v>
      </c>
      <c r="E586" s="343" t="s">
        <v>7193</v>
      </c>
      <c r="F586" s="343">
        <v>70</v>
      </c>
      <c r="G586" s="343">
        <v>10</v>
      </c>
      <c r="H586" s="318">
        <v>900</v>
      </c>
      <c r="I586" s="322">
        <v>230</v>
      </c>
      <c r="J586" s="329"/>
      <c r="K586" s="324"/>
      <c r="L586" s="322">
        <v>230</v>
      </c>
      <c r="M586" s="323"/>
      <c r="N586" s="324">
        <f t="shared" si="291"/>
        <v>0</v>
      </c>
      <c r="O586" s="325">
        <f t="shared" si="292"/>
        <v>460</v>
      </c>
      <c r="P586" s="323">
        <f t="shared" si="293"/>
        <v>0</v>
      </c>
      <c r="Q586" s="326">
        <f t="shared" si="294"/>
        <v>0</v>
      </c>
    </row>
    <row r="587" spans="1:17" ht="22.5" x14ac:dyDescent="0.25">
      <c r="A587" s="338" t="s">
        <v>8106</v>
      </c>
      <c r="B587" s="163" t="s">
        <v>7380</v>
      </c>
      <c r="C587" s="164"/>
      <c r="D587" s="164"/>
      <c r="E587" s="165"/>
      <c r="F587" s="165"/>
      <c r="G587" s="165"/>
      <c r="H587" s="166"/>
      <c r="I587" s="167"/>
      <c r="J587" s="168"/>
      <c r="K587" s="169"/>
      <c r="L587" s="167"/>
      <c r="M587" s="168"/>
      <c r="N587" s="169"/>
      <c r="O587" s="167"/>
      <c r="P587" s="168" t="s">
        <v>7083</v>
      </c>
      <c r="Q587" s="169"/>
    </row>
    <row r="588" spans="1:17" ht="22.5" x14ac:dyDescent="0.25">
      <c r="A588" s="339" t="s">
        <v>8107</v>
      </c>
      <c r="B588" s="170" t="s">
        <v>7388</v>
      </c>
      <c r="C588" s="171"/>
      <c r="D588" s="171"/>
      <c r="E588" s="172"/>
      <c r="F588" s="172"/>
      <c r="G588" s="172"/>
      <c r="H588" s="173"/>
      <c r="I588" s="174"/>
      <c r="J588" s="175"/>
      <c r="K588" s="176"/>
      <c r="L588" s="174"/>
      <c r="M588" s="175"/>
      <c r="N588" s="176"/>
      <c r="O588" s="174"/>
      <c r="P588" s="175" t="s">
        <v>7083</v>
      </c>
      <c r="Q588" s="176"/>
    </row>
    <row r="589" spans="1:17" ht="33.75" x14ac:dyDescent="0.25">
      <c r="A589" s="340" t="s">
        <v>8108</v>
      </c>
      <c r="B589" s="341" t="s">
        <v>7951</v>
      </c>
      <c r="C589" s="342" t="s">
        <v>378</v>
      </c>
      <c r="D589" s="342" t="s">
        <v>1</v>
      </c>
      <c r="E589" s="343" t="s">
        <v>7193</v>
      </c>
      <c r="F589" s="343">
        <v>70</v>
      </c>
      <c r="G589" s="343">
        <v>10</v>
      </c>
      <c r="H589" s="318">
        <v>900</v>
      </c>
      <c r="I589" s="322">
        <v>440</v>
      </c>
      <c r="J589" s="329"/>
      <c r="K589" s="324"/>
      <c r="L589" s="322">
        <v>440</v>
      </c>
      <c r="M589" s="323"/>
      <c r="N589" s="324">
        <f t="shared" ref="N589:N590" si="295">ROUND(L589*M589,2)</f>
        <v>0</v>
      </c>
      <c r="O589" s="325">
        <f t="shared" ref="O589:O590" si="296">SUM(L589,I589)</f>
        <v>880</v>
      </c>
      <c r="P589" s="323">
        <f t="shared" ref="P589:P590" si="297">IF(M589&lt;&gt;"",M589,J589)</f>
        <v>0</v>
      </c>
      <c r="Q589" s="326">
        <f t="shared" ref="Q589:Q590" si="298">ROUND(O589*P589,2)</f>
        <v>0</v>
      </c>
    </row>
    <row r="590" spans="1:17" ht="33.75" x14ac:dyDescent="0.25">
      <c r="A590" s="340" t="s">
        <v>8109</v>
      </c>
      <c r="B590" s="341" t="s">
        <v>7396</v>
      </c>
      <c r="C590" s="342" t="s">
        <v>378</v>
      </c>
      <c r="D590" s="342" t="s">
        <v>1</v>
      </c>
      <c r="E590" s="343" t="s">
        <v>7193</v>
      </c>
      <c r="F590" s="343">
        <v>70</v>
      </c>
      <c r="G590" s="343">
        <v>10</v>
      </c>
      <c r="H590" s="318">
        <v>900</v>
      </c>
      <c r="I590" s="322">
        <v>1000</v>
      </c>
      <c r="J590" s="329"/>
      <c r="K590" s="324"/>
      <c r="L590" s="322">
        <v>1000</v>
      </c>
      <c r="M590" s="323"/>
      <c r="N590" s="324">
        <f t="shared" si="295"/>
        <v>0</v>
      </c>
      <c r="O590" s="325">
        <f t="shared" si="296"/>
        <v>2000</v>
      </c>
      <c r="P590" s="323">
        <f t="shared" si="297"/>
        <v>0</v>
      </c>
      <c r="Q590" s="326">
        <f t="shared" si="298"/>
        <v>0</v>
      </c>
    </row>
    <row r="591" spans="1:17" ht="22.5" x14ac:dyDescent="0.25">
      <c r="A591" s="338" t="s">
        <v>8110</v>
      </c>
      <c r="B591" s="163" t="s">
        <v>7412</v>
      </c>
      <c r="C591" s="164"/>
      <c r="D591" s="164"/>
      <c r="E591" s="165"/>
      <c r="F591" s="165"/>
      <c r="G591" s="165"/>
      <c r="H591" s="166"/>
      <c r="I591" s="167"/>
      <c r="J591" s="168"/>
      <c r="K591" s="169"/>
      <c r="L591" s="167"/>
      <c r="M591" s="168"/>
      <c r="N591" s="169"/>
      <c r="O591" s="167"/>
      <c r="P591" s="168" t="s">
        <v>7083</v>
      </c>
      <c r="Q591" s="169"/>
    </row>
    <row r="592" spans="1:17" ht="22.5" x14ac:dyDescent="0.25">
      <c r="A592" s="340" t="s">
        <v>8111</v>
      </c>
      <c r="B592" s="341" t="s">
        <v>8112</v>
      </c>
      <c r="C592" s="342" t="s">
        <v>378</v>
      </c>
      <c r="D592" s="342" t="s">
        <v>1</v>
      </c>
      <c r="E592" s="343" t="s">
        <v>7193</v>
      </c>
      <c r="F592" s="343">
        <v>70</v>
      </c>
      <c r="G592" s="343">
        <v>30</v>
      </c>
      <c r="H592" s="318">
        <v>0</v>
      </c>
      <c r="I592" s="322">
        <v>60</v>
      </c>
      <c r="J592" s="329"/>
      <c r="K592" s="324"/>
      <c r="L592" s="322">
        <v>60</v>
      </c>
      <c r="M592" s="323"/>
      <c r="N592" s="324">
        <f t="shared" ref="N592:N595" si="299">ROUND(L592*M592,2)</f>
        <v>0</v>
      </c>
      <c r="O592" s="325">
        <f t="shared" ref="O592:O595" si="300">SUM(L592,I592)</f>
        <v>120</v>
      </c>
      <c r="P592" s="323">
        <f t="shared" ref="P592:P595" si="301">IF(M592&lt;&gt;"",M592,J592)</f>
        <v>0</v>
      </c>
      <c r="Q592" s="326">
        <f t="shared" ref="Q592:Q595" si="302">ROUND(O592*P592,2)</f>
        <v>0</v>
      </c>
    </row>
    <row r="593" spans="1:17" ht="22.5" x14ac:dyDescent="0.25">
      <c r="A593" s="340" t="s">
        <v>8113</v>
      </c>
      <c r="B593" s="341" t="s">
        <v>8114</v>
      </c>
      <c r="C593" s="342" t="s">
        <v>378</v>
      </c>
      <c r="D593" s="342" t="s">
        <v>1</v>
      </c>
      <c r="E593" s="343" t="s">
        <v>7193</v>
      </c>
      <c r="F593" s="343">
        <v>70</v>
      </c>
      <c r="G593" s="343">
        <v>30</v>
      </c>
      <c r="H593" s="318">
        <v>0</v>
      </c>
      <c r="I593" s="322">
        <v>270</v>
      </c>
      <c r="J593" s="329"/>
      <c r="K593" s="324"/>
      <c r="L593" s="322">
        <v>270</v>
      </c>
      <c r="M593" s="323"/>
      <c r="N593" s="324">
        <f t="shared" si="299"/>
        <v>0</v>
      </c>
      <c r="O593" s="325">
        <f t="shared" si="300"/>
        <v>540</v>
      </c>
      <c r="P593" s="323">
        <f t="shared" si="301"/>
        <v>0</v>
      </c>
      <c r="Q593" s="326">
        <f t="shared" si="302"/>
        <v>0</v>
      </c>
    </row>
    <row r="594" spans="1:17" ht="22.5" x14ac:dyDescent="0.25">
      <c r="A594" s="340" t="s">
        <v>8115</v>
      </c>
      <c r="B594" s="341" t="s">
        <v>8116</v>
      </c>
      <c r="C594" s="342" t="s">
        <v>378</v>
      </c>
      <c r="D594" s="342" t="s">
        <v>1</v>
      </c>
      <c r="E594" s="343" t="s">
        <v>7193</v>
      </c>
      <c r="F594" s="343">
        <v>70</v>
      </c>
      <c r="G594" s="343">
        <v>30</v>
      </c>
      <c r="H594" s="318">
        <v>0</v>
      </c>
      <c r="I594" s="322">
        <v>60</v>
      </c>
      <c r="J594" s="329"/>
      <c r="K594" s="324"/>
      <c r="L594" s="322">
        <v>60</v>
      </c>
      <c r="M594" s="323"/>
      <c r="N594" s="324">
        <f t="shared" si="299"/>
        <v>0</v>
      </c>
      <c r="O594" s="325">
        <f t="shared" si="300"/>
        <v>120</v>
      </c>
      <c r="P594" s="323">
        <f t="shared" si="301"/>
        <v>0</v>
      </c>
      <c r="Q594" s="326">
        <f t="shared" si="302"/>
        <v>0</v>
      </c>
    </row>
    <row r="595" spans="1:17" ht="22.5" x14ac:dyDescent="0.25">
      <c r="A595" s="340" t="s">
        <v>8117</v>
      </c>
      <c r="B595" s="341" t="s">
        <v>8118</v>
      </c>
      <c r="C595" s="342" t="s">
        <v>378</v>
      </c>
      <c r="D595" s="342" t="s">
        <v>1</v>
      </c>
      <c r="E595" s="343" t="s">
        <v>7193</v>
      </c>
      <c r="F595" s="343">
        <v>70</v>
      </c>
      <c r="G595" s="343">
        <v>30</v>
      </c>
      <c r="H595" s="318">
        <v>0</v>
      </c>
      <c r="I595" s="322">
        <v>90</v>
      </c>
      <c r="J595" s="329"/>
      <c r="K595" s="324"/>
      <c r="L595" s="322">
        <v>90</v>
      </c>
      <c r="M595" s="323"/>
      <c r="N595" s="324">
        <f t="shared" si="299"/>
        <v>0</v>
      </c>
      <c r="O595" s="325">
        <f t="shared" si="300"/>
        <v>180</v>
      </c>
      <c r="P595" s="323">
        <f t="shared" si="301"/>
        <v>0</v>
      </c>
      <c r="Q595" s="326">
        <f t="shared" si="302"/>
        <v>0</v>
      </c>
    </row>
    <row r="596" spans="1:17" ht="22.5" x14ac:dyDescent="0.25">
      <c r="A596" s="338" t="s">
        <v>8119</v>
      </c>
      <c r="B596" s="163" t="s">
        <v>8120</v>
      </c>
      <c r="C596" s="164"/>
      <c r="D596" s="164"/>
      <c r="E596" s="165"/>
      <c r="F596" s="165"/>
      <c r="G596" s="165"/>
      <c r="H596" s="166"/>
      <c r="I596" s="167"/>
      <c r="J596" s="168"/>
      <c r="K596" s="169"/>
      <c r="L596" s="167"/>
      <c r="M596" s="168"/>
      <c r="N596" s="169"/>
      <c r="O596" s="167"/>
      <c r="P596" s="168"/>
      <c r="Q596" s="169"/>
    </row>
    <row r="597" spans="1:17" ht="33.75" x14ac:dyDescent="0.25">
      <c r="A597" s="340" t="s">
        <v>8121</v>
      </c>
      <c r="B597" s="341" t="s">
        <v>8122</v>
      </c>
      <c r="C597" s="342" t="s">
        <v>378</v>
      </c>
      <c r="D597" s="342" t="s">
        <v>1</v>
      </c>
      <c r="E597" s="343" t="s">
        <v>7193</v>
      </c>
      <c r="F597" s="343">
        <v>70</v>
      </c>
      <c r="G597" s="343">
        <v>30</v>
      </c>
      <c r="H597" s="318">
        <v>0</v>
      </c>
      <c r="I597" s="322">
        <v>83</v>
      </c>
      <c r="J597" s="329"/>
      <c r="K597" s="324"/>
      <c r="L597" s="322">
        <v>83</v>
      </c>
      <c r="M597" s="323"/>
      <c r="N597" s="324">
        <f t="shared" ref="N597:N603" si="303">ROUND(L597*M597,2)</f>
        <v>0</v>
      </c>
      <c r="O597" s="325">
        <f t="shared" ref="O597:O603" si="304">SUM(L597,I597)</f>
        <v>166</v>
      </c>
      <c r="P597" s="323">
        <f t="shared" ref="P597:P603" si="305">IF(M597&lt;&gt;"",M597,J597)</f>
        <v>0</v>
      </c>
      <c r="Q597" s="326">
        <f t="shared" ref="Q597:Q603" si="306">ROUND(O597*P597,2)</f>
        <v>0</v>
      </c>
    </row>
    <row r="598" spans="1:17" ht="22.5" x14ac:dyDescent="0.25">
      <c r="A598" s="340" t="s">
        <v>8123</v>
      </c>
      <c r="B598" s="341" t="s">
        <v>8124</v>
      </c>
      <c r="C598" s="342" t="s">
        <v>378</v>
      </c>
      <c r="D598" s="342" t="s">
        <v>1</v>
      </c>
      <c r="E598" s="343" t="s">
        <v>7193</v>
      </c>
      <c r="F598" s="343">
        <v>70</v>
      </c>
      <c r="G598" s="343">
        <v>30</v>
      </c>
      <c r="H598" s="318">
        <v>0</v>
      </c>
      <c r="I598" s="322">
        <v>68</v>
      </c>
      <c r="J598" s="329"/>
      <c r="K598" s="324"/>
      <c r="L598" s="322">
        <v>68</v>
      </c>
      <c r="M598" s="323"/>
      <c r="N598" s="324">
        <f t="shared" si="303"/>
        <v>0</v>
      </c>
      <c r="O598" s="325">
        <f t="shared" si="304"/>
        <v>136</v>
      </c>
      <c r="P598" s="323">
        <f t="shared" si="305"/>
        <v>0</v>
      </c>
      <c r="Q598" s="326">
        <f t="shared" si="306"/>
        <v>0</v>
      </c>
    </row>
    <row r="599" spans="1:17" ht="33.75" x14ac:dyDescent="0.25">
      <c r="A599" s="340" t="s">
        <v>8125</v>
      </c>
      <c r="B599" s="341" t="s">
        <v>8126</v>
      </c>
      <c r="C599" s="342" t="s">
        <v>378</v>
      </c>
      <c r="D599" s="342" t="s">
        <v>1</v>
      </c>
      <c r="E599" s="343" t="s">
        <v>7193</v>
      </c>
      <c r="F599" s="343">
        <v>70</v>
      </c>
      <c r="G599" s="343">
        <v>30</v>
      </c>
      <c r="H599" s="318">
        <v>0</v>
      </c>
      <c r="I599" s="322">
        <v>43</v>
      </c>
      <c r="J599" s="329"/>
      <c r="K599" s="324"/>
      <c r="L599" s="322">
        <v>43</v>
      </c>
      <c r="M599" s="323"/>
      <c r="N599" s="324">
        <f t="shared" si="303"/>
        <v>0</v>
      </c>
      <c r="O599" s="325">
        <f t="shared" si="304"/>
        <v>86</v>
      </c>
      <c r="P599" s="323">
        <f t="shared" si="305"/>
        <v>0</v>
      </c>
      <c r="Q599" s="326">
        <f t="shared" si="306"/>
        <v>0</v>
      </c>
    </row>
    <row r="600" spans="1:17" ht="22.5" x14ac:dyDescent="0.25">
      <c r="A600" s="340" t="s">
        <v>8127</v>
      </c>
      <c r="B600" s="341" t="s">
        <v>8128</v>
      </c>
      <c r="C600" s="342" t="s">
        <v>378</v>
      </c>
      <c r="D600" s="342" t="s">
        <v>1</v>
      </c>
      <c r="E600" s="343" t="s">
        <v>7193</v>
      </c>
      <c r="F600" s="343">
        <v>70</v>
      </c>
      <c r="G600" s="343">
        <v>30</v>
      </c>
      <c r="H600" s="318">
        <v>0</v>
      </c>
      <c r="I600" s="322">
        <v>23</v>
      </c>
      <c r="J600" s="329"/>
      <c r="K600" s="324"/>
      <c r="L600" s="322">
        <v>23</v>
      </c>
      <c r="M600" s="323"/>
      <c r="N600" s="324">
        <f t="shared" si="303"/>
        <v>0</v>
      </c>
      <c r="O600" s="325">
        <f t="shared" si="304"/>
        <v>46</v>
      </c>
      <c r="P600" s="323">
        <f t="shared" si="305"/>
        <v>0</v>
      </c>
      <c r="Q600" s="326">
        <f t="shared" si="306"/>
        <v>0</v>
      </c>
    </row>
    <row r="601" spans="1:17" ht="33.75" x14ac:dyDescent="0.25">
      <c r="A601" s="340" t="s">
        <v>8129</v>
      </c>
      <c r="B601" s="341" t="s">
        <v>8130</v>
      </c>
      <c r="C601" s="342" t="s">
        <v>378</v>
      </c>
      <c r="D601" s="342" t="s">
        <v>1</v>
      </c>
      <c r="E601" s="343" t="s">
        <v>7193</v>
      </c>
      <c r="F601" s="343">
        <v>70</v>
      </c>
      <c r="G601" s="343">
        <v>30</v>
      </c>
      <c r="H601" s="318">
        <v>0</v>
      </c>
      <c r="I601" s="322">
        <v>2</v>
      </c>
      <c r="J601" s="329"/>
      <c r="K601" s="324"/>
      <c r="L601" s="322">
        <v>2</v>
      </c>
      <c r="M601" s="323"/>
      <c r="N601" s="324">
        <f t="shared" si="303"/>
        <v>0</v>
      </c>
      <c r="O601" s="325">
        <f t="shared" si="304"/>
        <v>4</v>
      </c>
      <c r="P601" s="323">
        <f t="shared" si="305"/>
        <v>0</v>
      </c>
      <c r="Q601" s="326">
        <f t="shared" si="306"/>
        <v>0</v>
      </c>
    </row>
    <row r="602" spans="1:17" ht="22.5" x14ac:dyDescent="0.25">
      <c r="A602" s="340" t="s">
        <v>8131</v>
      </c>
      <c r="B602" s="341" t="s">
        <v>8132</v>
      </c>
      <c r="C602" s="342" t="s">
        <v>378</v>
      </c>
      <c r="D602" s="342" t="s">
        <v>1</v>
      </c>
      <c r="E602" s="343" t="s">
        <v>7193</v>
      </c>
      <c r="F602" s="343">
        <v>70</v>
      </c>
      <c r="G602" s="343">
        <v>30</v>
      </c>
      <c r="H602" s="318">
        <v>0</v>
      </c>
      <c r="I602" s="322">
        <v>2</v>
      </c>
      <c r="J602" s="329"/>
      <c r="K602" s="324"/>
      <c r="L602" s="322">
        <v>2</v>
      </c>
      <c r="M602" s="323"/>
      <c r="N602" s="324">
        <f t="shared" si="303"/>
        <v>0</v>
      </c>
      <c r="O602" s="325">
        <f t="shared" si="304"/>
        <v>4</v>
      </c>
      <c r="P602" s="323">
        <f t="shared" si="305"/>
        <v>0</v>
      </c>
      <c r="Q602" s="326">
        <f t="shared" si="306"/>
        <v>0</v>
      </c>
    </row>
    <row r="603" spans="1:17" ht="22.5" x14ac:dyDescent="0.25">
      <c r="A603" s="340" t="s">
        <v>8133</v>
      </c>
      <c r="B603" s="341" t="s">
        <v>8134</v>
      </c>
      <c r="C603" s="342" t="s">
        <v>378</v>
      </c>
      <c r="D603" s="342" t="s">
        <v>1</v>
      </c>
      <c r="E603" s="343" t="s">
        <v>7193</v>
      </c>
      <c r="F603" s="343">
        <v>70</v>
      </c>
      <c r="G603" s="343">
        <v>30</v>
      </c>
      <c r="H603" s="318">
        <v>0</v>
      </c>
      <c r="I603" s="322">
        <v>12</v>
      </c>
      <c r="J603" s="329"/>
      <c r="K603" s="324"/>
      <c r="L603" s="322">
        <v>12</v>
      </c>
      <c r="M603" s="323"/>
      <c r="N603" s="324">
        <f t="shared" si="303"/>
        <v>0</v>
      </c>
      <c r="O603" s="325">
        <f t="shared" si="304"/>
        <v>24</v>
      </c>
      <c r="P603" s="323">
        <f t="shared" si="305"/>
        <v>0</v>
      </c>
      <c r="Q603" s="326">
        <f t="shared" si="306"/>
        <v>0</v>
      </c>
    </row>
    <row r="604" spans="1:17" x14ac:dyDescent="0.25">
      <c r="A604" s="338" t="s">
        <v>8135</v>
      </c>
      <c r="B604" s="163" t="s">
        <v>7456</v>
      </c>
      <c r="C604" s="164"/>
      <c r="D604" s="164"/>
      <c r="E604" s="165"/>
      <c r="F604" s="165"/>
      <c r="G604" s="165"/>
      <c r="H604" s="166"/>
      <c r="I604" s="167"/>
      <c r="J604" s="168"/>
      <c r="K604" s="169"/>
      <c r="L604" s="167"/>
      <c r="M604" s="168"/>
      <c r="N604" s="169"/>
      <c r="O604" s="167"/>
      <c r="P604" s="168" t="s">
        <v>7083</v>
      </c>
      <c r="Q604" s="169"/>
    </row>
    <row r="605" spans="1:17" x14ac:dyDescent="0.25">
      <c r="A605" s="339" t="s">
        <v>8136</v>
      </c>
      <c r="B605" s="170" t="s">
        <v>7464</v>
      </c>
      <c r="C605" s="171"/>
      <c r="D605" s="171"/>
      <c r="E605" s="172"/>
      <c r="F605" s="172"/>
      <c r="G605" s="172"/>
      <c r="H605" s="173"/>
      <c r="I605" s="174"/>
      <c r="J605" s="175"/>
      <c r="K605" s="176"/>
      <c r="L605" s="174"/>
      <c r="M605" s="175"/>
      <c r="N605" s="176"/>
      <c r="O605" s="174"/>
      <c r="P605" s="175" t="s">
        <v>7083</v>
      </c>
      <c r="Q605" s="176"/>
    </row>
    <row r="606" spans="1:17" x14ac:dyDescent="0.25">
      <c r="A606" s="340" t="s">
        <v>8137</v>
      </c>
      <c r="B606" s="341" t="s">
        <v>7468</v>
      </c>
      <c r="C606" s="342" t="s">
        <v>460</v>
      </c>
      <c r="D606" s="342" t="s">
        <v>1</v>
      </c>
      <c r="E606" s="343" t="s">
        <v>7193</v>
      </c>
      <c r="F606" s="343">
        <v>70</v>
      </c>
      <c r="G606" s="343">
        <v>65</v>
      </c>
      <c r="H606" s="318">
        <v>10</v>
      </c>
      <c r="I606" s="322">
        <v>3</v>
      </c>
      <c r="J606" s="329"/>
      <c r="K606" s="324"/>
      <c r="L606" s="322">
        <v>3</v>
      </c>
      <c r="M606" s="323"/>
      <c r="N606" s="324">
        <f t="shared" ref="N606:N608" si="307">ROUND(L606*M606,2)</f>
        <v>0</v>
      </c>
      <c r="O606" s="325">
        <f t="shared" ref="O606:O608" si="308">SUM(L606,I606)</f>
        <v>6</v>
      </c>
      <c r="P606" s="323">
        <f t="shared" ref="P606:P608" si="309">IF(M606&lt;&gt;"",M606,J606)</f>
        <v>0</v>
      </c>
      <c r="Q606" s="326">
        <f t="shared" ref="Q606:Q608" si="310">ROUND(O606*P606,2)</f>
        <v>0</v>
      </c>
    </row>
    <row r="607" spans="1:17" x14ac:dyDescent="0.25">
      <c r="A607" s="340" t="s">
        <v>8138</v>
      </c>
      <c r="B607" s="341" t="s">
        <v>7470</v>
      </c>
      <c r="C607" s="342" t="s">
        <v>460</v>
      </c>
      <c r="D607" s="342" t="s">
        <v>1</v>
      </c>
      <c r="E607" s="343" t="s">
        <v>7193</v>
      </c>
      <c r="F607" s="343">
        <v>70</v>
      </c>
      <c r="G607" s="343">
        <v>65</v>
      </c>
      <c r="H607" s="318">
        <v>10</v>
      </c>
      <c r="I607" s="322">
        <v>3</v>
      </c>
      <c r="J607" s="329"/>
      <c r="K607" s="324"/>
      <c r="L607" s="322">
        <v>3</v>
      </c>
      <c r="M607" s="323"/>
      <c r="N607" s="324">
        <f t="shared" si="307"/>
        <v>0</v>
      </c>
      <c r="O607" s="325">
        <f t="shared" si="308"/>
        <v>6</v>
      </c>
      <c r="P607" s="323">
        <f t="shared" si="309"/>
        <v>0</v>
      </c>
      <c r="Q607" s="326">
        <f t="shared" si="310"/>
        <v>0</v>
      </c>
    </row>
    <row r="608" spans="1:17" ht="22.5" x14ac:dyDescent="0.25">
      <c r="A608" s="340" t="s">
        <v>8139</v>
      </c>
      <c r="B608" s="341" t="s">
        <v>8140</v>
      </c>
      <c r="C608" s="342" t="s">
        <v>460</v>
      </c>
      <c r="D608" s="342" t="s">
        <v>1</v>
      </c>
      <c r="E608" s="343" t="s">
        <v>7193</v>
      </c>
      <c r="F608" s="343">
        <v>70</v>
      </c>
      <c r="G608" s="343">
        <v>65</v>
      </c>
      <c r="H608" s="318">
        <v>10</v>
      </c>
      <c r="I608" s="322">
        <v>1</v>
      </c>
      <c r="J608" s="329"/>
      <c r="K608" s="324"/>
      <c r="L608" s="322">
        <v>1</v>
      </c>
      <c r="M608" s="323"/>
      <c r="N608" s="324">
        <f t="shared" si="307"/>
        <v>0</v>
      </c>
      <c r="O608" s="325">
        <f t="shared" si="308"/>
        <v>2</v>
      </c>
      <c r="P608" s="323">
        <f t="shared" si="309"/>
        <v>0</v>
      </c>
      <c r="Q608" s="326">
        <f t="shared" si="310"/>
        <v>0</v>
      </c>
    </row>
    <row r="609" spans="1:17" ht="22.5" x14ac:dyDescent="0.25">
      <c r="A609" s="338" t="s">
        <v>8141</v>
      </c>
      <c r="B609" s="163" t="s">
        <v>7482</v>
      </c>
      <c r="C609" s="164"/>
      <c r="D609" s="164"/>
      <c r="E609" s="165"/>
      <c r="F609" s="165"/>
      <c r="G609" s="165"/>
      <c r="H609" s="166"/>
      <c r="I609" s="167"/>
      <c r="J609" s="168"/>
      <c r="K609" s="169"/>
      <c r="L609" s="167"/>
      <c r="M609" s="168"/>
      <c r="N609" s="169"/>
      <c r="O609" s="167"/>
      <c r="P609" s="168" t="s">
        <v>7083</v>
      </c>
      <c r="Q609" s="169"/>
    </row>
    <row r="610" spans="1:17" x14ac:dyDescent="0.25">
      <c r="A610" s="340" t="s">
        <v>8142</v>
      </c>
      <c r="B610" s="341" t="s">
        <v>7486</v>
      </c>
      <c r="C610" s="342" t="s">
        <v>378</v>
      </c>
      <c r="D610" s="342" t="s">
        <v>1</v>
      </c>
      <c r="E610" s="343" t="s">
        <v>7193</v>
      </c>
      <c r="F610" s="343">
        <v>70</v>
      </c>
      <c r="G610" s="343">
        <v>70</v>
      </c>
      <c r="H610" s="318">
        <v>20</v>
      </c>
      <c r="I610" s="322">
        <v>300</v>
      </c>
      <c r="J610" s="329"/>
      <c r="K610" s="324"/>
      <c r="L610" s="322">
        <v>300</v>
      </c>
      <c r="M610" s="323"/>
      <c r="N610" s="324">
        <f t="shared" ref="N610" si="311">ROUND(L610*M610,2)</f>
        <v>0</v>
      </c>
      <c r="O610" s="325">
        <f>SUM(L610,I610)</f>
        <v>600</v>
      </c>
      <c r="P610" s="323">
        <f>IF(M610&lt;&gt;"",M610,J610)</f>
        <v>0</v>
      </c>
      <c r="Q610" s="326">
        <f>ROUND(O610*P610,2)</f>
        <v>0</v>
      </c>
    </row>
    <row r="611" spans="1:17" x14ac:dyDescent="0.25">
      <c r="A611" s="133" t="s">
        <v>8143</v>
      </c>
      <c r="B611" s="218" t="s">
        <v>7554</v>
      </c>
      <c r="C611" s="134"/>
      <c r="D611" s="134"/>
      <c r="E611" s="135"/>
      <c r="F611" s="136"/>
      <c r="G611" s="136"/>
      <c r="H611" s="137"/>
      <c r="I611" s="219"/>
      <c r="J611" s="220"/>
      <c r="K611" s="140"/>
      <c r="L611" s="219"/>
      <c r="M611" s="220"/>
      <c r="N611" s="140"/>
      <c r="O611" s="219"/>
      <c r="P611" s="220" t="s">
        <v>7083</v>
      </c>
      <c r="Q611" s="140"/>
    </row>
    <row r="612" spans="1:17" x14ac:dyDescent="0.25">
      <c r="A612" s="339" t="s">
        <v>8144</v>
      </c>
      <c r="B612" s="163" t="s">
        <v>7563</v>
      </c>
      <c r="C612" s="171"/>
      <c r="D612" s="171"/>
      <c r="E612" s="172"/>
      <c r="F612" s="172"/>
      <c r="G612" s="172"/>
      <c r="H612" s="173"/>
      <c r="I612" s="174"/>
      <c r="J612" s="175"/>
      <c r="K612" s="176"/>
      <c r="L612" s="174"/>
      <c r="M612" s="175"/>
      <c r="N612" s="176"/>
      <c r="O612" s="174"/>
      <c r="P612" s="175"/>
      <c r="Q612" s="176"/>
    </row>
    <row r="613" spans="1:17" x14ac:dyDescent="0.25">
      <c r="A613" s="350" t="s">
        <v>8145</v>
      </c>
      <c r="B613" s="341" t="s">
        <v>8146</v>
      </c>
      <c r="C613" s="315" t="s">
        <v>911</v>
      </c>
      <c r="D613" s="342" t="s">
        <v>1</v>
      </c>
      <c r="E613" s="343" t="s">
        <v>7504</v>
      </c>
      <c r="F613" s="343">
        <v>20</v>
      </c>
      <c r="G613" s="343">
        <v>20</v>
      </c>
      <c r="H613" s="351">
        <v>0</v>
      </c>
      <c r="I613" s="329">
        <v>1</v>
      </c>
      <c r="J613" s="329"/>
      <c r="K613" s="324"/>
      <c r="L613" s="322">
        <v>1</v>
      </c>
      <c r="M613" s="323"/>
      <c r="N613" s="324">
        <f t="shared" ref="N613" si="312">ROUND(L613*M613,2)</f>
        <v>0</v>
      </c>
      <c r="O613" s="325">
        <f>SUM(L613,I613)</f>
        <v>2</v>
      </c>
      <c r="P613" s="323">
        <f>IF(M613&lt;&gt;"",M613,J613)</f>
        <v>0</v>
      </c>
      <c r="Q613" s="326">
        <f>ROUND(O613*P613,2)</f>
        <v>0</v>
      </c>
    </row>
    <row r="614" spans="1:17" x14ac:dyDescent="0.25">
      <c r="A614" s="339" t="s">
        <v>8147</v>
      </c>
      <c r="B614" s="163" t="s">
        <v>8148</v>
      </c>
      <c r="C614" s="171"/>
      <c r="D614" s="171"/>
      <c r="E614" s="172"/>
      <c r="F614" s="172"/>
      <c r="G614" s="172"/>
      <c r="H614" s="173"/>
      <c r="I614" s="174"/>
      <c r="J614" s="175"/>
      <c r="K614" s="176"/>
      <c r="L614" s="174"/>
      <c r="M614" s="175"/>
      <c r="N614" s="176"/>
      <c r="O614" s="174"/>
      <c r="P614" s="175"/>
      <c r="Q614" s="176"/>
    </row>
    <row r="615" spans="1:17" ht="22.5" x14ac:dyDescent="0.25">
      <c r="A615" s="350" t="s">
        <v>8149</v>
      </c>
      <c r="B615" s="341" t="s">
        <v>8150</v>
      </c>
      <c r="C615" s="315" t="s">
        <v>911</v>
      </c>
      <c r="D615" s="342" t="s">
        <v>1</v>
      </c>
      <c r="E615" s="343" t="s">
        <v>7504</v>
      </c>
      <c r="F615" s="343">
        <v>20</v>
      </c>
      <c r="G615" s="343">
        <v>20</v>
      </c>
      <c r="H615" s="351">
        <v>0</v>
      </c>
      <c r="I615" s="329">
        <v>1</v>
      </c>
      <c r="J615" s="329"/>
      <c r="K615" s="324"/>
      <c r="L615" s="322">
        <v>1</v>
      </c>
      <c r="M615" s="323"/>
      <c r="N615" s="324">
        <f t="shared" ref="N615" si="313">ROUND(L615*M615,2)</f>
        <v>0</v>
      </c>
      <c r="O615" s="325">
        <f>SUM(L615,I615)</f>
        <v>2</v>
      </c>
      <c r="P615" s="323">
        <f>IF(M615&lt;&gt;"",M615,J615)</f>
        <v>0</v>
      </c>
      <c r="Q615" s="326">
        <f>ROUND(O615*P615,2)</f>
        <v>0</v>
      </c>
    </row>
    <row r="616" spans="1:17" x14ac:dyDescent="0.25">
      <c r="A616" s="339" t="s">
        <v>8151</v>
      </c>
      <c r="B616" s="163" t="s">
        <v>8152</v>
      </c>
      <c r="C616" s="171"/>
      <c r="D616" s="171"/>
      <c r="E616" s="172"/>
      <c r="F616" s="172"/>
      <c r="G616" s="172"/>
      <c r="H616" s="173"/>
      <c r="I616" s="174"/>
      <c r="J616" s="175"/>
      <c r="K616" s="176"/>
      <c r="L616" s="174"/>
      <c r="M616" s="175"/>
      <c r="N616" s="176"/>
      <c r="O616" s="174"/>
      <c r="P616" s="175"/>
      <c r="Q616" s="176"/>
    </row>
    <row r="617" spans="1:17" x14ac:dyDescent="0.25">
      <c r="A617" s="350" t="s">
        <v>8153</v>
      </c>
      <c r="B617" s="341" t="s">
        <v>8154</v>
      </c>
      <c r="C617" s="315" t="s">
        <v>911</v>
      </c>
      <c r="D617" s="342" t="s">
        <v>1</v>
      </c>
      <c r="E617" s="343" t="s">
        <v>7504</v>
      </c>
      <c r="F617" s="343">
        <v>30</v>
      </c>
      <c r="G617" s="343">
        <v>60</v>
      </c>
      <c r="H617" s="351" t="s">
        <v>7709</v>
      </c>
      <c r="I617" s="329">
        <v>3</v>
      </c>
      <c r="J617" s="329"/>
      <c r="K617" s="324"/>
      <c r="L617" s="322">
        <v>3</v>
      </c>
      <c r="M617" s="323"/>
      <c r="N617" s="324">
        <f t="shared" ref="N617:N618" si="314">ROUND(L617*M617,2)</f>
        <v>0</v>
      </c>
      <c r="O617" s="325">
        <f t="shared" ref="O617:O618" si="315">SUM(L617,I617)</f>
        <v>6</v>
      </c>
      <c r="P617" s="323">
        <f t="shared" ref="P617:P618" si="316">IF(M617&lt;&gt;"",M617,J617)</f>
        <v>0</v>
      </c>
      <c r="Q617" s="326">
        <f t="shared" ref="Q617:Q618" si="317">ROUND(O617*P617,2)</f>
        <v>0</v>
      </c>
    </row>
    <row r="618" spans="1:17" x14ac:dyDescent="0.25">
      <c r="A618" s="350" t="s">
        <v>8155</v>
      </c>
      <c r="B618" s="341" t="s">
        <v>8156</v>
      </c>
      <c r="C618" s="315" t="s">
        <v>911</v>
      </c>
      <c r="D618" s="342" t="s">
        <v>1</v>
      </c>
      <c r="E618" s="343" t="s">
        <v>7504</v>
      </c>
      <c r="F618" s="343">
        <v>30</v>
      </c>
      <c r="G618" s="343">
        <v>60</v>
      </c>
      <c r="H618" s="351" t="s">
        <v>7709</v>
      </c>
      <c r="I618" s="329">
        <v>3</v>
      </c>
      <c r="J618" s="329"/>
      <c r="K618" s="324"/>
      <c r="L618" s="322">
        <v>3</v>
      </c>
      <c r="M618" s="323"/>
      <c r="N618" s="324">
        <f t="shared" si="314"/>
        <v>0</v>
      </c>
      <c r="O618" s="325">
        <f t="shared" si="315"/>
        <v>6</v>
      </c>
      <c r="P618" s="323">
        <f t="shared" si="316"/>
        <v>0</v>
      </c>
      <c r="Q618" s="326">
        <f t="shared" si="317"/>
        <v>0</v>
      </c>
    </row>
    <row r="619" spans="1:17" x14ac:dyDescent="0.25">
      <c r="A619" s="339" t="s">
        <v>8157</v>
      </c>
      <c r="B619" s="163" t="s">
        <v>8158</v>
      </c>
      <c r="C619" s="171"/>
      <c r="D619" s="171"/>
      <c r="E619" s="172"/>
      <c r="F619" s="172"/>
      <c r="G619" s="172"/>
      <c r="H619" s="173"/>
      <c r="I619" s="174"/>
      <c r="J619" s="175"/>
      <c r="K619" s="176"/>
      <c r="L619" s="174"/>
      <c r="M619" s="175"/>
      <c r="N619" s="176"/>
      <c r="O619" s="174"/>
      <c r="P619" s="175"/>
      <c r="Q619" s="176"/>
    </row>
    <row r="620" spans="1:17" ht="22.5" x14ac:dyDescent="0.25">
      <c r="A620" s="352" t="s">
        <v>8159</v>
      </c>
      <c r="B620" s="341" t="s">
        <v>8160</v>
      </c>
      <c r="C620" s="315" t="s">
        <v>911</v>
      </c>
      <c r="D620" s="342" t="s">
        <v>1</v>
      </c>
      <c r="E620" s="343" t="s">
        <v>7504</v>
      </c>
      <c r="F620" s="343">
        <v>30</v>
      </c>
      <c r="G620" s="343">
        <v>80</v>
      </c>
      <c r="H620" s="351" t="s">
        <v>7709</v>
      </c>
      <c r="I620" s="329">
        <v>3</v>
      </c>
      <c r="J620" s="329"/>
      <c r="K620" s="324"/>
      <c r="L620" s="322">
        <v>3</v>
      </c>
      <c r="M620" s="323"/>
      <c r="N620" s="324">
        <f t="shared" ref="N620" si="318">ROUND(L620*M620,2)</f>
        <v>0</v>
      </c>
      <c r="O620" s="325">
        <f>SUM(L620,I620)</f>
        <v>6</v>
      </c>
      <c r="P620" s="323">
        <f>IF(M620&lt;&gt;"",M620,J620)</f>
        <v>0</v>
      </c>
      <c r="Q620" s="326">
        <f>ROUND(O620*P620,2)</f>
        <v>0</v>
      </c>
    </row>
    <row r="621" spans="1:17" x14ac:dyDescent="0.25">
      <c r="A621" s="338" t="s">
        <v>8161</v>
      </c>
      <c r="B621" s="163" t="s">
        <v>7556</v>
      </c>
      <c r="C621" s="164"/>
      <c r="D621" s="164"/>
      <c r="E621" s="165"/>
      <c r="F621" s="165"/>
      <c r="G621" s="165"/>
      <c r="H621" s="166"/>
      <c r="I621" s="167"/>
      <c r="J621" s="168"/>
      <c r="K621" s="169"/>
      <c r="L621" s="167"/>
      <c r="M621" s="168"/>
      <c r="N621" s="169"/>
      <c r="O621" s="167"/>
      <c r="P621" s="168" t="s">
        <v>7083</v>
      </c>
      <c r="Q621" s="169"/>
    </row>
    <row r="622" spans="1:17" x14ac:dyDescent="0.25">
      <c r="A622" s="344" t="s">
        <v>8162</v>
      </c>
      <c r="B622" s="345" t="s">
        <v>8163</v>
      </c>
      <c r="C622" s="315" t="s">
        <v>911</v>
      </c>
      <c r="D622" s="346" t="s">
        <v>1</v>
      </c>
      <c r="E622" s="347" t="s">
        <v>7504</v>
      </c>
      <c r="F622" s="343">
        <v>20</v>
      </c>
      <c r="G622" s="343">
        <v>20</v>
      </c>
      <c r="H622" s="318" t="s">
        <v>7709</v>
      </c>
      <c r="I622" s="322">
        <v>1</v>
      </c>
      <c r="J622" s="329"/>
      <c r="K622" s="324"/>
      <c r="L622" s="322">
        <v>1</v>
      </c>
      <c r="M622" s="323"/>
      <c r="N622" s="324">
        <f t="shared" ref="N622" si="319">ROUND(L622*M622,2)</f>
        <v>0</v>
      </c>
      <c r="O622" s="325">
        <f>SUM(L622,I622)</f>
        <v>2</v>
      </c>
      <c r="P622" s="323">
        <f>IF(M622&lt;&gt;"",M622,J622)</f>
        <v>0</v>
      </c>
      <c r="Q622" s="326">
        <f>ROUND(O622*P622,2)</f>
        <v>0</v>
      </c>
    </row>
    <row r="623" spans="1:17" x14ac:dyDescent="0.25">
      <c r="A623" s="338" t="s">
        <v>8164</v>
      </c>
      <c r="B623" s="163" t="s">
        <v>8165</v>
      </c>
      <c r="C623" s="164"/>
      <c r="D623" s="164"/>
      <c r="E623" s="165"/>
      <c r="F623" s="165"/>
      <c r="G623" s="165"/>
      <c r="H623" s="166"/>
      <c r="I623" s="167"/>
      <c r="J623" s="168"/>
      <c r="K623" s="169"/>
      <c r="L623" s="167"/>
      <c r="M623" s="168"/>
      <c r="N623" s="169"/>
      <c r="O623" s="167"/>
      <c r="P623" s="168" t="s">
        <v>7083</v>
      </c>
      <c r="Q623" s="169"/>
    </row>
    <row r="624" spans="1:17" x14ac:dyDescent="0.25">
      <c r="A624" s="344" t="s">
        <v>8166</v>
      </c>
      <c r="B624" s="353" t="s">
        <v>8167</v>
      </c>
      <c r="C624" s="346" t="s">
        <v>911</v>
      </c>
      <c r="D624" s="346" t="s">
        <v>1</v>
      </c>
      <c r="E624" s="347" t="s">
        <v>7504</v>
      </c>
      <c r="F624" s="343">
        <v>20</v>
      </c>
      <c r="G624" s="343">
        <v>20</v>
      </c>
      <c r="H624" s="318" t="s">
        <v>7709</v>
      </c>
      <c r="I624" s="354">
        <v>1</v>
      </c>
      <c r="J624" s="355"/>
      <c r="K624" s="324"/>
      <c r="L624" s="354">
        <v>1</v>
      </c>
      <c r="M624" s="323"/>
      <c r="N624" s="324">
        <f t="shared" ref="N624" si="320">ROUND(L624*M624,2)</f>
        <v>0</v>
      </c>
      <c r="O624" s="325">
        <f>SUM(L624,I624)</f>
        <v>2</v>
      </c>
      <c r="P624" s="323">
        <f>IF(M624&lt;&gt;"",M624,J624)</f>
        <v>0</v>
      </c>
      <c r="Q624" s="326">
        <f>ROUND(O624*P624,2)</f>
        <v>0</v>
      </c>
    </row>
    <row r="625" spans="1:17" x14ac:dyDescent="0.25">
      <c r="A625" s="339" t="s">
        <v>8168</v>
      </c>
      <c r="B625" s="221" t="s">
        <v>7653</v>
      </c>
      <c r="C625" s="164"/>
      <c r="D625" s="164"/>
      <c r="E625" s="165"/>
      <c r="F625" s="165"/>
      <c r="G625" s="165"/>
      <c r="H625" s="166"/>
      <c r="I625" s="222"/>
      <c r="J625" s="223"/>
      <c r="K625" s="169"/>
      <c r="L625" s="222"/>
      <c r="M625" s="223"/>
      <c r="N625" s="169"/>
      <c r="O625" s="222"/>
      <c r="P625" s="223" t="s">
        <v>7083</v>
      </c>
      <c r="Q625" s="169"/>
    </row>
    <row r="626" spans="1:17" ht="22.5" x14ac:dyDescent="0.25">
      <c r="A626" s="340" t="s">
        <v>8169</v>
      </c>
      <c r="B626" s="341" t="s">
        <v>8170</v>
      </c>
      <c r="C626" s="342" t="s">
        <v>8171</v>
      </c>
      <c r="D626" s="342" t="s">
        <v>1</v>
      </c>
      <c r="E626" s="343" t="s">
        <v>7504</v>
      </c>
      <c r="F626" s="343">
        <v>20</v>
      </c>
      <c r="G626" s="343">
        <v>40</v>
      </c>
      <c r="H626" s="318">
        <v>0</v>
      </c>
      <c r="I626" s="322">
        <v>4</v>
      </c>
      <c r="J626" s="329"/>
      <c r="K626" s="324"/>
      <c r="L626" s="322">
        <v>4</v>
      </c>
      <c r="M626" s="323"/>
      <c r="N626" s="324">
        <f t="shared" ref="N626" si="321">ROUND(L626*M626,2)</f>
        <v>0</v>
      </c>
      <c r="O626" s="325">
        <f>SUM(L626,I626)</f>
        <v>8</v>
      </c>
      <c r="P626" s="323">
        <f>IF(M626&lt;&gt;"",M626,J626)</f>
        <v>0</v>
      </c>
      <c r="Q626" s="326">
        <f>ROUND(O626*P626,2)</f>
        <v>0</v>
      </c>
    </row>
    <row r="627" spans="1:17" x14ac:dyDescent="0.25">
      <c r="A627" s="133" t="s">
        <v>8172</v>
      </c>
      <c r="B627" s="218" t="s">
        <v>7602</v>
      </c>
      <c r="C627" s="134"/>
      <c r="D627" s="134"/>
      <c r="E627" s="135"/>
      <c r="F627" s="136"/>
      <c r="G627" s="136"/>
      <c r="H627" s="137"/>
      <c r="I627" s="219"/>
      <c r="J627" s="220"/>
      <c r="K627" s="140"/>
      <c r="L627" s="219"/>
      <c r="M627" s="220"/>
      <c r="N627" s="140"/>
      <c r="O627" s="219"/>
      <c r="P627" s="220" t="s">
        <v>7083</v>
      </c>
      <c r="Q627" s="140"/>
    </row>
    <row r="628" spans="1:17" x14ac:dyDescent="0.25">
      <c r="A628" s="338" t="s">
        <v>8173</v>
      </c>
      <c r="B628" s="163" t="s">
        <v>8174</v>
      </c>
      <c r="C628" s="164"/>
      <c r="D628" s="164"/>
      <c r="E628" s="165"/>
      <c r="F628" s="165"/>
      <c r="G628" s="165"/>
      <c r="H628" s="166"/>
      <c r="I628" s="167"/>
      <c r="J628" s="168"/>
      <c r="K628" s="169"/>
      <c r="L628" s="167"/>
      <c r="M628" s="168"/>
      <c r="N628" s="169"/>
      <c r="O628" s="167"/>
      <c r="P628" s="168" t="s">
        <v>7083</v>
      </c>
      <c r="Q628" s="169"/>
    </row>
    <row r="629" spans="1:17" x14ac:dyDescent="0.25">
      <c r="A629" s="340" t="s">
        <v>8175</v>
      </c>
      <c r="B629" s="341" t="s">
        <v>8176</v>
      </c>
      <c r="C629" s="342" t="s">
        <v>911</v>
      </c>
      <c r="D629" s="342" t="s">
        <v>1</v>
      </c>
      <c r="E629" s="343" t="s">
        <v>7607</v>
      </c>
      <c r="F629" s="343">
        <v>20</v>
      </c>
      <c r="G629" s="343">
        <v>9</v>
      </c>
      <c r="H629" s="318">
        <v>0</v>
      </c>
      <c r="I629" s="322">
        <v>1</v>
      </c>
      <c r="J629" s="329"/>
      <c r="K629" s="324"/>
      <c r="L629" s="322">
        <v>1</v>
      </c>
      <c r="M629" s="323"/>
      <c r="N629" s="324">
        <f t="shared" ref="N629" si="322">ROUND(L629*M629,2)</f>
        <v>0</v>
      </c>
      <c r="O629" s="325">
        <f>SUM(L629,I629)</f>
        <v>2</v>
      </c>
      <c r="P629" s="323">
        <f>IF(M629&lt;&gt;"",M629,J629)</f>
        <v>0</v>
      </c>
      <c r="Q629" s="326">
        <f>ROUND(O629*P629,2)</f>
        <v>0</v>
      </c>
    </row>
    <row r="630" spans="1:17" x14ac:dyDescent="0.25">
      <c r="A630" s="133" t="s">
        <v>8177</v>
      </c>
      <c r="B630" s="218" t="s">
        <v>8178</v>
      </c>
      <c r="C630" s="134"/>
      <c r="D630" s="134"/>
      <c r="E630" s="135"/>
      <c r="F630" s="136"/>
      <c r="G630" s="136"/>
      <c r="H630" s="137"/>
      <c r="I630" s="219"/>
      <c r="J630" s="220"/>
      <c r="K630" s="140"/>
      <c r="L630" s="219"/>
      <c r="M630" s="220"/>
      <c r="N630" s="140"/>
      <c r="O630" s="219"/>
      <c r="P630" s="220" t="s">
        <v>7083</v>
      </c>
      <c r="Q630" s="140"/>
    </row>
    <row r="631" spans="1:17" x14ac:dyDescent="0.25">
      <c r="A631" s="338" t="s">
        <v>8179</v>
      </c>
      <c r="B631" s="163" t="s">
        <v>8180</v>
      </c>
      <c r="C631" s="164"/>
      <c r="D631" s="164"/>
      <c r="E631" s="165"/>
      <c r="F631" s="165"/>
      <c r="G631" s="165"/>
      <c r="H631" s="166"/>
      <c r="I631" s="167"/>
      <c r="J631" s="168"/>
      <c r="K631" s="169"/>
      <c r="L631" s="167"/>
      <c r="M631" s="168"/>
      <c r="N631" s="169"/>
      <c r="O631" s="167"/>
      <c r="P631" s="168" t="s">
        <v>7083</v>
      </c>
      <c r="Q631" s="169"/>
    </row>
    <row r="632" spans="1:17" x14ac:dyDescent="0.25">
      <c r="A632" s="340" t="s">
        <v>8181</v>
      </c>
      <c r="B632" s="341" t="s">
        <v>8182</v>
      </c>
      <c r="C632" s="342" t="s">
        <v>911</v>
      </c>
      <c r="D632" s="342" t="s">
        <v>1</v>
      </c>
      <c r="E632" s="343" t="s">
        <v>7504</v>
      </c>
      <c r="F632" s="343">
        <v>70</v>
      </c>
      <c r="G632" s="343">
        <v>65</v>
      </c>
      <c r="H632" s="318">
        <v>40</v>
      </c>
      <c r="I632" s="322">
        <v>1</v>
      </c>
      <c r="J632" s="329"/>
      <c r="K632" s="324"/>
      <c r="L632" s="322">
        <v>1</v>
      </c>
      <c r="M632" s="323"/>
      <c r="N632" s="324">
        <f t="shared" ref="N632" si="323">ROUND(L632*M632,2)</f>
        <v>0</v>
      </c>
      <c r="O632" s="325">
        <f>SUM(L632,I632)</f>
        <v>2</v>
      </c>
      <c r="P632" s="323">
        <f>IF(M632&lt;&gt;"",M632,J632)</f>
        <v>0</v>
      </c>
      <c r="Q632" s="326">
        <f>ROUND(O632*P632,2)</f>
        <v>0</v>
      </c>
    </row>
    <row r="633" spans="1:17" x14ac:dyDescent="0.25">
      <c r="A633" s="133" t="s">
        <v>8183</v>
      </c>
      <c r="B633" s="218" t="s">
        <v>8184</v>
      </c>
      <c r="C633" s="134"/>
      <c r="D633" s="134"/>
      <c r="E633" s="135"/>
      <c r="F633" s="136"/>
      <c r="G633" s="136"/>
      <c r="H633" s="137"/>
      <c r="I633" s="219"/>
      <c r="J633" s="220"/>
      <c r="K633" s="140"/>
      <c r="L633" s="219"/>
      <c r="M633" s="220"/>
      <c r="N633" s="140"/>
      <c r="O633" s="219"/>
      <c r="P633" s="220" t="s">
        <v>7083</v>
      </c>
      <c r="Q633" s="140"/>
    </row>
    <row r="634" spans="1:17" x14ac:dyDescent="0.25">
      <c r="A634" s="340" t="s">
        <v>8185</v>
      </c>
      <c r="B634" s="341" t="s">
        <v>8186</v>
      </c>
      <c r="C634" s="342" t="s">
        <v>378</v>
      </c>
      <c r="D634" s="342" t="s">
        <v>1</v>
      </c>
      <c r="E634" s="343" t="s">
        <v>7504</v>
      </c>
      <c r="F634" s="343">
        <v>70</v>
      </c>
      <c r="G634" s="343">
        <v>30</v>
      </c>
      <c r="H634" s="318">
        <v>1</v>
      </c>
      <c r="I634" s="322">
        <v>60</v>
      </c>
      <c r="J634" s="329"/>
      <c r="K634" s="324"/>
      <c r="L634" s="322">
        <v>60</v>
      </c>
      <c r="M634" s="323"/>
      <c r="N634" s="324">
        <f t="shared" ref="N634" si="324">ROUND(L634*M634,2)</f>
        <v>0</v>
      </c>
      <c r="O634" s="325">
        <f>SUM(L634,I634)</f>
        <v>120</v>
      </c>
      <c r="P634" s="323">
        <f>IF(M634&lt;&gt;"",M634,J634)</f>
        <v>0</v>
      </c>
      <c r="Q634" s="326">
        <f>ROUND(O634*P634,2)</f>
        <v>0</v>
      </c>
    </row>
    <row r="635" spans="1:17" x14ac:dyDescent="0.25">
      <c r="A635" s="133" t="s">
        <v>8187</v>
      </c>
      <c r="B635" s="218" t="s">
        <v>7883</v>
      </c>
      <c r="C635" s="134"/>
      <c r="D635" s="134"/>
      <c r="E635" s="135"/>
      <c r="F635" s="136"/>
      <c r="G635" s="136"/>
      <c r="H635" s="137"/>
      <c r="I635" s="219"/>
      <c r="J635" s="220"/>
      <c r="K635" s="140"/>
      <c r="L635" s="219"/>
      <c r="M635" s="220"/>
      <c r="N635" s="140"/>
      <c r="O635" s="219"/>
      <c r="P635" s="220"/>
      <c r="Q635" s="140"/>
    </row>
    <row r="636" spans="1:17" x14ac:dyDescent="0.25">
      <c r="A636" s="338" t="s">
        <v>8188</v>
      </c>
      <c r="B636" s="163" t="s">
        <v>8189</v>
      </c>
      <c r="C636" s="164"/>
      <c r="D636" s="164"/>
      <c r="E636" s="165"/>
      <c r="F636" s="165"/>
      <c r="G636" s="165"/>
      <c r="H636" s="166"/>
      <c r="I636" s="167"/>
      <c r="J636" s="168"/>
      <c r="K636" s="169"/>
      <c r="L636" s="167"/>
      <c r="M636" s="168"/>
      <c r="N636" s="169"/>
      <c r="O636" s="167"/>
      <c r="P636" s="168"/>
      <c r="Q636" s="169"/>
    </row>
    <row r="637" spans="1:17" x14ac:dyDescent="0.25">
      <c r="A637" s="349" t="s">
        <v>8190</v>
      </c>
      <c r="B637" s="314" t="s">
        <v>8191</v>
      </c>
      <c r="C637" s="315" t="s">
        <v>524</v>
      </c>
      <c r="D637" s="356" t="s">
        <v>1</v>
      </c>
      <c r="E637" s="357" t="s">
        <v>7675</v>
      </c>
      <c r="F637" s="357">
        <v>5</v>
      </c>
      <c r="G637" s="357">
        <v>5</v>
      </c>
      <c r="H637" s="318">
        <v>10</v>
      </c>
      <c r="I637" s="319">
        <v>10</v>
      </c>
      <c r="J637" s="329"/>
      <c r="K637" s="324"/>
      <c r="L637" s="322">
        <v>10</v>
      </c>
      <c r="M637" s="323"/>
      <c r="N637" s="324">
        <f t="shared" ref="N637" si="325">ROUND(L637*M637,2)</f>
        <v>0</v>
      </c>
      <c r="O637" s="325">
        <f>SUM(L637,I637)</f>
        <v>20</v>
      </c>
      <c r="P637" s="323">
        <f>IF(M637&lt;&gt;"",M637,J637)</f>
        <v>0</v>
      </c>
      <c r="Q637" s="326">
        <f>ROUND(O637*P637,2)</f>
        <v>0</v>
      </c>
    </row>
    <row r="638" spans="1:17" ht="22.5" x14ac:dyDescent="0.25">
      <c r="A638" s="281"/>
      <c r="B638" s="282" t="s">
        <v>8192</v>
      </c>
      <c r="C638" s="281"/>
      <c r="D638" s="283"/>
      <c r="E638" s="284"/>
      <c r="F638" s="285"/>
      <c r="G638" s="285"/>
      <c r="H638" s="286"/>
      <c r="I638" s="288"/>
      <c r="J638" s="288"/>
      <c r="K638" s="288">
        <f>SUBTOTAL(9,K521:K637)</f>
        <v>0</v>
      </c>
      <c r="L638" s="288"/>
      <c r="M638" s="288"/>
      <c r="N638" s="288">
        <f>SUBTOTAL(9,N521:N637)</f>
        <v>0</v>
      </c>
      <c r="O638" s="288"/>
      <c r="P638" s="288"/>
      <c r="Q638" s="288">
        <f>SUBTOTAL(9,Q521:Q637)</f>
        <v>0</v>
      </c>
    </row>
    <row r="639" spans="1:17" x14ac:dyDescent="0.25">
      <c r="A639" s="159" t="s">
        <v>8193</v>
      </c>
      <c r="B639" s="159" t="s">
        <v>8194</v>
      </c>
      <c r="C639" s="160"/>
      <c r="D639" s="160"/>
      <c r="E639" s="161"/>
      <c r="F639" s="105"/>
      <c r="G639" s="105"/>
      <c r="H639" s="106"/>
      <c r="I639" s="162"/>
      <c r="J639" s="108"/>
      <c r="K639" s="109"/>
      <c r="L639" s="162"/>
      <c r="M639" s="108"/>
      <c r="N639" s="109"/>
      <c r="O639" s="162"/>
      <c r="P639" s="108"/>
      <c r="Q639" s="109"/>
    </row>
    <row r="640" spans="1:17" x14ac:dyDescent="0.25">
      <c r="A640" s="133" t="s">
        <v>8195</v>
      </c>
      <c r="B640" s="133" t="s">
        <v>7903</v>
      </c>
      <c r="C640" s="134"/>
      <c r="D640" s="134"/>
      <c r="E640" s="135"/>
      <c r="F640" s="136"/>
      <c r="G640" s="136"/>
      <c r="H640" s="137"/>
      <c r="I640" s="138"/>
      <c r="J640" s="139"/>
      <c r="K640" s="140"/>
      <c r="L640" s="138"/>
      <c r="M640" s="139"/>
      <c r="N640" s="140"/>
      <c r="O640" s="138"/>
      <c r="P640" s="139" t="s">
        <v>7083</v>
      </c>
      <c r="Q640" s="140"/>
    </row>
    <row r="641" spans="1:17" x14ac:dyDescent="0.25">
      <c r="A641" s="163" t="s">
        <v>8196</v>
      </c>
      <c r="B641" s="163" t="s">
        <v>7524</v>
      </c>
      <c r="C641" s="164"/>
      <c r="D641" s="164"/>
      <c r="E641" s="165"/>
      <c r="F641" s="165"/>
      <c r="G641" s="165"/>
      <c r="H641" s="166"/>
      <c r="I641" s="167"/>
      <c r="J641" s="168"/>
      <c r="K641" s="169"/>
      <c r="L641" s="167"/>
      <c r="M641" s="168"/>
      <c r="N641" s="169"/>
      <c r="O641" s="167"/>
      <c r="P641" s="168" t="s">
        <v>7083</v>
      </c>
      <c r="Q641" s="169"/>
    </row>
    <row r="642" spans="1:17" x14ac:dyDescent="0.25">
      <c r="A642" s="217" t="s">
        <v>8197</v>
      </c>
      <c r="B642" s="217" t="s">
        <v>8198</v>
      </c>
      <c r="C642" s="171"/>
      <c r="D642" s="171"/>
      <c r="E642" s="172"/>
      <c r="F642" s="172"/>
      <c r="G642" s="172"/>
      <c r="H642" s="173"/>
      <c r="I642" s="174"/>
      <c r="J642" s="175"/>
      <c r="K642" s="176"/>
      <c r="L642" s="174"/>
      <c r="M642" s="175"/>
      <c r="N642" s="176"/>
      <c r="O642" s="174"/>
      <c r="P642" s="175" t="s">
        <v>7083</v>
      </c>
      <c r="Q642" s="176"/>
    </row>
    <row r="643" spans="1:17" x14ac:dyDescent="0.25">
      <c r="A643" s="341" t="s">
        <v>8199</v>
      </c>
      <c r="B643" s="341" t="s">
        <v>8200</v>
      </c>
      <c r="C643" s="342" t="s">
        <v>266</v>
      </c>
      <c r="D643" s="342" t="s">
        <v>1</v>
      </c>
      <c r="E643" s="343" t="s">
        <v>7504</v>
      </c>
      <c r="F643" s="343">
        <v>55</v>
      </c>
      <c r="G643" s="343">
        <v>10</v>
      </c>
      <c r="H643" s="318">
        <v>0</v>
      </c>
      <c r="I643" s="322">
        <v>9</v>
      </c>
      <c r="J643" s="329"/>
      <c r="K643" s="324"/>
      <c r="L643" s="322">
        <v>9</v>
      </c>
      <c r="M643" s="323"/>
      <c r="N643" s="324">
        <f t="shared" ref="N643" si="326">ROUND(L643*M643,2)</f>
        <v>0</v>
      </c>
      <c r="O643" s="325">
        <f>SUM(L643,I643)</f>
        <v>18</v>
      </c>
      <c r="P643" s="323">
        <f>IF(M643&lt;&gt;"",M643,J643)</f>
        <v>0</v>
      </c>
      <c r="Q643" s="326">
        <f>ROUND(O643*P643,2)</f>
        <v>0</v>
      </c>
    </row>
    <row r="644" spans="1:17" x14ac:dyDescent="0.25">
      <c r="A644" s="163" t="s">
        <v>8201</v>
      </c>
      <c r="B644" s="163" t="s">
        <v>8005</v>
      </c>
      <c r="C644" s="164"/>
      <c r="D644" s="164"/>
      <c r="E644" s="165"/>
      <c r="F644" s="165"/>
      <c r="G644" s="165"/>
      <c r="H644" s="166"/>
      <c r="I644" s="167"/>
      <c r="J644" s="168"/>
      <c r="K644" s="169"/>
      <c r="L644" s="167"/>
      <c r="M644" s="168"/>
      <c r="N644" s="169"/>
      <c r="O644" s="167"/>
      <c r="P644" s="168" t="s">
        <v>7083</v>
      </c>
      <c r="Q644" s="169"/>
    </row>
    <row r="645" spans="1:17" x14ac:dyDescent="0.25">
      <c r="A645" s="217" t="s">
        <v>8202</v>
      </c>
      <c r="B645" s="217" t="s">
        <v>8203</v>
      </c>
      <c r="C645" s="171"/>
      <c r="D645" s="171"/>
      <c r="E645" s="172"/>
      <c r="F645" s="172"/>
      <c r="G645" s="172"/>
      <c r="H645" s="173"/>
      <c r="I645" s="174"/>
      <c r="J645" s="175"/>
      <c r="K645" s="176"/>
      <c r="L645" s="174"/>
      <c r="M645" s="175"/>
      <c r="N645" s="176"/>
      <c r="O645" s="174"/>
      <c r="P645" s="175" t="s">
        <v>7083</v>
      </c>
      <c r="Q645" s="176"/>
    </row>
    <row r="646" spans="1:17" x14ac:dyDescent="0.25">
      <c r="A646" s="341" t="s">
        <v>8204</v>
      </c>
      <c r="B646" s="341" t="s">
        <v>8010</v>
      </c>
      <c r="C646" s="342" t="s">
        <v>266</v>
      </c>
      <c r="D646" s="342" t="s">
        <v>1</v>
      </c>
      <c r="E646" s="343" t="s">
        <v>7504</v>
      </c>
      <c r="F646" s="343">
        <v>75</v>
      </c>
      <c r="G646" s="343">
        <v>10</v>
      </c>
      <c r="H646" s="318">
        <v>0</v>
      </c>
      <c r="I646" s="322">
        <v>20.8</v>
      </c>
      <c r="J646" s="329"/>
      <c r="K646" s="324"/>
      <c r="L646" s="322">
        <v>20.8</v>
      </c>
      <c r="M646" s="323"/>
      <c r="N646" s="324">
        <f t="shared" ref="N646" si="327">ROUND(L646*M646,2)</f>
        <v>0</v>
      </c>
      <c r="O646" s="325">
        <f>SUM(L646,I646)</f>
        <v>41.6</v>
      </c>
      <c r="P646" s="323">
        <f>IF(M646&lt;&gt;"",M646,J646)</f>
        <v>0</v>
      </c>
      <c r="Q646" s="326">
        <f>ROUND(O646*P646,2)</f>
        <v>0</v>
      </c>
    </row>
    <row r="647" spans="1:17" x14ac:dyDescent="0.25">
      <c r="A647" s="217" t="s">
        <v>8205</v>
      </c>
      <c r="B647" s="217" t="s">
        <v>8016</v>
      </c>
      <c r="C647" s="171"/>
      <c r="D647" s="171"/>
      <c r="E647" s="172"/>
      <c r="F647" s="172"/>
      <c r="G647" s="172"/>
      <c r="H647" s="173"/>
      <c r="I647" s="174"/>
      <c r="J647" s="175"/>
      <c r="K647" s="176"/>
      <c r="L647" s="174"/>
      <c r="M647" s="175"/>
      <c r="N647" s="176"/>
      <c r="O647" s="174"/>
      <c r="P647" s="175" t="s">
        <v>7083</v>
      </c>
      <c r="Q647" s="176"/>
    </row>
    <row r="648" spans="1:17" x14ac:dyDescent="0.25">
      <c r="A648" s="341" t="s">
        <v>8206</v>
      </c>
      <c r="B648" s="341" t="s">
        <v>8018</v>
      </c>
      <c r="C648" s="342" t="s">
        <v>266</v>
      </c>
      <c r="D648" s="342" t="s">
        <v>1</v>
      </c>
      <c r="E648" s="343" t="s">
        <v>7504</v>
      </c>
      <c r="F648" s="343">
        <v>75</v>
      </c>
      <c r="G648" s="343">
        <v>20</v>
      </c>
      <c r="H648" s="318">
        <v>0</v>
      </c>
      <c r="I648" s="322">
        <v>1.5</v>
      </c>
      <c r="J648" s="329"/>
      <c r="K648" s="324"/>
      <c r="L648" s="322">
        <v>1.5</v>
      </c>
      <c r="M648" s="323"/>
      <c r="N648" s="324">
        <f t="shared" ref="N648:N649" si="328">ROUND(L648*M648,2)</f>
        <v>0</v>
      </c>
      <c r="O648" s="325">
        <f t="shared" ref="O648:O649" si="329">SUM(L648,I648)</f>
        <v>3</v>
      </c>
      <c r="P648" s="323">
        <f t="shared" ref="P648:P649" si="330">IF(M648&lt;&gt;"",M648,J648)</f>
        <v>0</v>
      </c>
      <c r="Q648" s="326">
        <f t="shared" ref="Q648:Q649" si="331">ROUND(O648*P648,2)</f>
        <v>0</v>
      </c>
    </row>
    <row r="649" spans="1:17" x14ac:dyDescent="0.25">
      <c r="A649" s="341" t="s">
        <v>8207</v>
      </c>
      <c r="B649" s="341" t="s">
        <v>8208</v>
      </c>
      <c r="C649" s="342" t="s">
        <v>266</v>
      </c>
      <c r="D649" s="342" t="s">
        <v>1</v>
      </c>
      <c r="E649" s="343" t="s">
        <v>7504</v>
      </c>
      <c r="F649" s="343">
        <v>75</v>
      </c>
      <c r="G649" s="343">
        <v>20</v>
      </c>
      <c r="H649" s="318">
        <v>0</v>
      </c>
      <c r="I649" s="322">
        <v>25.2</v>
      </c>
      <c r="J649" s="329"/>
      <c r="K649" s="324"/>
      <c r="L649" s="322">
        <v>25.2</v>
      </c>
      <c r="M649" s="323"/>
      <c r="N649" s="324">
        <f t="shared" si="328"/>
        <v>0</v>
      </c>
      <c r="O649" s="325">
        <f t="shared" si="329"/>
        <v>50.4</v>
      </c>
      <c r="P649" s="323">
        <f t="shared" si="330"/>
        <v>0</v>
      </c>
      <c r="Q649" s="326">
        <f t="shared" si="331"/>
        <v>0</v>
      </c>
    </row>
    <row r="650" spans="1:17" x14ac:dyDescent="0.25">
      <c r="A650" s="217" t="s">
        <v>8209</v>
      </c>
      <c r="B650" s="217" t="s">
        <v>8210</v>
      </c>
      <c r="C650" s="171"/>
      <c r="D650" s="171"/>
      <c r="E650" s="172"/>
      <c r="F650" s="172"/>
      <c r="G650" s="172"/>
      <c r="H650" s="173"/>
      <c r="I650" s="174"/>
      <c r="J650" s="175"/>
      <c r="K650" s="176"/>
      <c r="L650" s="174"/>
      <c r="M650" s="175"/>
      <c r="N650" s="176"/>
      <c r="O650" s="174"/>
      <c r="P650" s="175" t="s">
        <v>7083</v>
      </c>
      <c r="Q650" s="176"/>
    </row>
    <row r="651" spans="1:17" x14ac:dyDescent="0.25">
      <c r="A651" s="341" t="s">
        <v>8211</v>
      </c>
      <c r="B651" s="341" t="s">
        <v>8022</v>
      </c>
      <c r="C651" s="342" t="s">
        <v>266</v>
      </c>
      <c r="D651" s="342" t="s">
        <v>1</v>
      </c>
      <c r="E651" s="343" t="s">
        <v>7504</v>
      </c>
      <c r="F651" s="343">
        <v>75</v>
      </c>
      <c r="G651" s="343">
        <v>30</v>
      </c>
      <c r="H651" s="318">
        <v>0</v>
      </c>
      <c r="I651" s="322">
        <v>3</v>
      </c>
      <c r="J651" s="329"/>
      <c r="K651" s="324"/>
      <c r="L651" s="322">
        <v>3</v>
      </c>
      <c r="M651" s="323"/>
      <c r="N651" s="324">
        <f t="shared" ref="N651" si="332">ROUND(L651*M651,2)</f>
        <v>0</v>
      </c>
      <c r="O651" s="325">
        <f>SUM(L651,I651)</f>
        <v>6</v>
      </c>
      <c r="P651" s="323">
        <f>IF(M651&lt;&gt;"",M651,J651)</f>
        <v>0</v>
      </c>
      <c r="Q651" s="326">
        <f>ROUND(O651*P651,2)</f>
        <v>0</v>
      </c>
    </row>
    <row r="652" spans="1:17" x14ac:dyDescent="0.25">
      <c r="A652" s="281"/>
      <c r="B652" s="282" t="s">
        <v>8212</v>
      </c>
      <c r="C652" s="281"/>
      <c r="D652" s="283"/>
      <c r="E652" s="284"/>
      <c r="F652" s="285"/>
      <c r="G652" s="285"/>
      <c r="H652" s="286"/>
      <c r="I652" s="288"/>
      <c r="J652" s="288"/>
      <c r="K652" s="288">
        <f>SUBTOTAL(9,K639:K651)</f>
        <v>0</v>
      </c>
      <c r="L652" s="288"/>
      <c r="M652" s="288"/>
      <c r="N652" s="288">
        <f>SUBTOTAL(9,N639:N651)</f>
        <v>0</v>
      </c>
      <c r="O652" s="288"/>
      <c r="P652" s="288"/>
      <c r="Q652" s="288">
        <f>SUBTOTAL(9,Q639:Q651)</f>
        <v>0</v>
      </c>
    </row>
    <row r="653" spans="1:17" x14ac:dyDescent="0.25">
      <c r="A653" s="230" t="s">
        <v>8213</v>
      </c>
      <c r="B653" s="231" t="s">
        <v>8214</v>
      </c>
      <c r="C653" s="232"/>
      <c r="D653" s="233"/>
      <c r="E653" s="234"/>
      <c r="F653" s="235"/>
      <c r="G653" s="235"/>
      <c r="H653" s="236"/>
      <c r="I653" s="265"/>
      <c r="J653" s="265"/>
      <c r="K653" s="265"/>
      <c r="L653" s="265"/>
      <c r="M653" s="265"/>
      <c r="N653" s="265"/>
      <c r="O653" s="265"/>
      <c r="P653" s="265"/>
      <c r="Q653" s="265"/>
    </row>
    <row r="654" spans="1:17" x14ac:dyDescent="0.25">
      <c r="A654" s="238" t="s">
        <v>8215</v>
      </c>
      <c r="B654" s="239" t="s">
        <v>8216</v>
      </c>
      <c r="C654" s="240"/>
      <c r="D654" s="241"/>
      <c r="E654" s="242"/>
      <c r="F654" s="243"/>
      <c r="G654" s="243"/>
      <c r="H654" s="244"/>
      <c r="I654" s="270"/>
      <c r="J654" s="270"/>
      <c r="K654" s="270"/>
      <c r="L654" s="270"/>
      <c r="M654" s="270"/>
      <c r="N654" s="270"/>
      <c r="O654" s="270"/>
      <c r="P654" s="270"/>
      <c r="Q654" s="270"/>
    </row>
    <row r="655" spans="1:17" x14ac:dyDescent="0.25">
      <c r="A655" s="254" t="s">
        <v>8217</v>
      </c>
      <c r="B655" s="255" t="s">
        <v>7496</v>
      </c>
      <c r="C655" s="256"/>
      <c r="D655" s="257"/>
      <c r="E655" s="258"/>
      <c r="F655" s="258"/>
      <c r="G655" s="258"/>
      <c r="H655" s="259"/>
      <c r="I655" s="261"/>
      <c r="J655" s="261"/>
      <c r="K655" s="261"/>
      <c r="L655" s="261"/>
      <c r="M655" s="261"/>
      <c r="N655" s="261"/>
      <c r="O655" s="261"/>
      <c r="P655" s="261"/>
      <c r="Q655" s="261"/>
    </row>
    <row r="656" spans="1:17" x14ac:dyDescent="0.25">
      <c r="A656" s="313" t="s">
        <v>8218</v>
      </c>
      <c r="B656" s="314" t="s">
        <v>8219</v>
      </c>
      <c r="C656" s="315" t="s">
        <v>460</v>
      </c>
      <c r="D656" s="316" t="s">
        <v>1</v>
      </c>
      <c r="E656" s="317" t="s">
        <v>7504</v>
      </c>
      <c r="F656" s="317">
        <v>10</v>
      </c>
      <c r="G656" s="317">
        <v>10</v>
      </c>
      <c r="H656" s="318">
        <v>0</v>
      </c>
      <c r="I656" s="319">
        <v>19</v>
      </c>
      <c r="J656" s="329"/>
      <c r="K656" s="324"/>
      <c r="L656" s="322">
        <v>19</v>
      </c>
      <c r="M656" s="323"/>
      <c r="N656" s="324">
        <f t="shared" ref="N656:N657" si="333">ROUND(L656*M656,2)</f>
        <v>0</v>
      </c>
      <c r="O656" s="325">
        <f t="shared" ref="O656:O657" si="334">SUM(L656,I656)</f>
        <v>38</v>
      </c>
      <c r="P656" s="323">
        <f t="shared" ref="P656:P657" si="335">IF(M656&lt;&gt;"",M656,J656)</f>
        <v>0</v>
      </c>
      <c r="Q656" s="326">
        <f t="shared" ref="Q656:Q657" si="336">ROUND(O656*P656,2)</f>
        <v>0</v>
      </c>
    </row>
    <row r="657" spans="1:17" x14ac:dyDescent="0.25">
      <c r="A657" s="313" t="s">
        <v>8220</v>
      </c>
      <c r="B657" s="314" t="s">
        <v>8221</v>
      </c>
      <c r="C657" s="315" t="s">
        <v>911</v>
      </c>
      <c r="D657" s="316" t="s">
        <v>1</v>
      </c>
      <c r="E657" s="317" t="s">
        <v>7504</v>
      </c>
      <c r="F657" s="317">
        <v>10</v>
      </c>
      <c r="G657" s="317">
        <v>10</v>
      </c>
      <c r="H657" s="318">
        <v>0</v>
      </c>
      <c r="I657" s="319">
        <v>6</v>
      </c>
      <c r="J657" s="329"/>
      <c r="K657" s="324"/>
      <c r="L657" s="322">
        <v>6</v>
      </c>
      <c r="M657" s="323"/>
      <c r="N657" s="324">
        <f t="shared" si="333"/>
        <v>0</v>
      </c>
      <c r="O657" s="325">
        <f t="shared" si="334"/>
        <v>12</v>
      </c>
      <c r="P657" s="323">
        <f t="shared" si="335"/>
        <v>0</v>
      </c>
      <c r="Q657" s="326">
        <f t="shared" si="336"/>
        <v>0</v>
      </c>
    </row>
    <row r="658" spans="1:17" x14ac:dyDescent="0.25">
      <c r="A658" s="254" t="s">
        <v>8222</v>
      </c>
      <c r="B658" s="255" t="s">
        <v>8223</v>
      </c>
      <c r="C658" s="256"/>
      <c r="D658" s="257"/>
      <c r="E658" s="258"/>
      <c r="F658" s="258"/>
      <c r="G658" s="258"/>
      <c r="H658" s="259"/>
      <c r="I658" s="261"/>
      <c r="J658" s="261"/>
      <c r="K658" s="261"/>
      <c r="L658" s="261"/>
      <c r="M658" s="261"/>
      <c r="N658" s="261"/>
      <c r="O658" s="261"/>
      <c r="P658" s="261"/>
      <c r="Q658" s="261"/>
    </row>
    <row r="659" spans="1:17" ht="22.5" x14ac:dyDescent="0.25">
      <c r="A659" s="313" t="s">
        <v>8224</v>
      </c>
      <c r="B659" s="314" t="s">
        <v>8225</v>
      </c>
      <c r="C659" s="315" t="s">
        <v>266</v>
      </c>
      <c r="D659" s="316" t="s">
        <v>1</v>
      </c>
      <c r="E659" s="317" t="s">
        <v>7193</v>
      </c>
      <c r="F659" s="317">
        <v>75</v>
      </c>
      <c r="G659" s="317">
        <v>10</v>
      </c>
      <c r="H659" s="318">
        <v>0</v>
      </c>
      <c r="I659" s="319">
        <v>3</v>
      </c>
      <c r="J659" s="329"/>
      <c r="K659" s="324"/>
      <c r="L659" s="358">
        <v>3</v>
      </c>
      <c r="M659" s="323"/>
      <c r="N659" s="324">
        <f t="shared" ref="N659" si="337">ROUND(L659*M659,2)</f>
        <v>0</v>
      </c>
      <c r="O659" s="325">
        <f>SUM(L659,I659)</f>
        <v>6</v>
      </c>
      <c r="P659" s="323">
        <f>IF(M659&lt;&gt;"",M659,J659)</f>
        <v>0</v>
      </c>
      <c r="Q659" s="326">
        <f>ROUND(O659*P659,2)</f>
        <v>0</v>
      </c>
    </row>
    <row r="660" spans="1:17" x14ac:dyDescent="0.25">
      <c r="A660" s="254" t="s">
        <v>8226</v>
      </c>
      <c r="B660" s="255" t="s">
        <v>7604</v>
      </c>
      <c r="C660" s="256"/>
      <c r="D660" s="257"/>
      <c r="E660" s="258"/>
      <c r="F660" s="258"/>
      <c r="G660" s="258"/>
      <c r="H660" s="259"/>
      <c r="I660" s="261"/>
      <c r="J660" s="261"/>
      <c r="K660" s="261"/>
      <c r="L660" s="261"/>
      <c r="M660" s="261"/>
      <c r="N660" s="261"/>
      <c r="O660" s="261"/>
      <c r="P660" s="261"/>
      <c r="Q660" s="261"/>
    </row>
    <row r="661" spans="1:17" ht="22.5" x14ac:dyDescent="0.25">
      <c r="A661" s="313" t="s">
        <v>8227</v>
      </c>
      <c r="B661" s="314" t="s">
        <v>8228</v>
      </c>
      <c r="C661" s="315" t="s">
        <v>266</v>
      </c>
      <c r="D661" s="316" t="s">
        <v>1</v>
      </c>
      <c r="E661" s="317" t="s">
        <v>7607</v>
      </c>
      <c r="F661" s="317">
        <v>50</v>
      </c>
      <c r="G661" s="359">
        <v>0</v>
      </c>
      <c r="H661" s="318">
        <v>0</v>
      </c>
      <c r="I661" s="328">
        <v>8</v>
      </c>
      <c r="J661" s="329"/>
      <c r="K661" s="324"/>
      <c r="L661" s="360">
        <v>8</v>
      </c>
      <c r="M661" s="323"/>
      <c r="N661" s="324">
        <f t="shared" ref="N661" si="338">ROUND(L661*M661,2)</f>
        <v>0</v>
      </c>
      <c r="O661" s="325">
        <f>SUM(L661,I661)</f>
        <v>16</v>
      </c>
      <c r="P661" s="323">
        <f>IF(M661&lt;&gt;"",M661,J661)</f>
        <v>0</v>
      </c>
      <c r="Q661" s="326">
        <f>ROUND(O661*P661,2)</f>
        <v>0</v>
      </c>
    </row>
    <row r="662" spans="1:17" x14ac:dyDescent="0.25">
      <c r="A662" s="254" t="s">
        <v>8229</v>
      </c>
      <c r="B662" s="255" t="s">
        <v>8230</v>
      </c>
      <c r="C662" s="256"/>
      <c r="D662" s="257"/>
      <c r="E662" s="258"/>
      <c r="F662" s="258"/>
      <c r="G662" s="258"/>
      <c r="H662" s="259"/>
      <c r="I662" s="261"/>
      <c r="J662" s="261"/>
      <c r="K662" s="261"/>
      <c r="L662" s="261"/>
      <c r="M662" s="261"/>
      <c r="N662" s="261"/>
      <c r="O662" s="261"/>
      <c r="P662" s="261"/>
      <c r="Q662" s="261"/>
    </row>
    <row r="663" spans="1:17" x14ac:dyDescent="0.25">
      <c r="A663" s="313" t="s">
        <v>8231</v>
      </c>
      <c r="B663" s="314" t="s">
        <v>8232</v>
      </c>
      <c r="C663" s="315" t="s">
        <v>460</v>
      </c>
      <c r="D663" s="342" t="s">
        <v>1</v>
      </c>
      <c r="E663" s="343" t="s">
        <v>7607</v>
      </c>
      <c r="F663" s="343">
        <v>10</v>
      </c>
      <c r="G663" s="343">
        <v>20</v>
      </c>
      <c r="H663" s="318">
        <v>0</v>
      </c>
      <c r="I663" s="319">
        <v>19</v>
      </c>
      <c r="J663" s="329"/>
      <c r="K663" s="324"/>
      <c r="L663" s="358">
        <v>19</v>
      </c>
      <c r="M663" s="323"/>
      <c r="N663" s="324">
        <f t="shared" ref="N663:N664" si="339">ROUND(L663*M663,2)</f>
        <v>0</v>
      </c>
      <c r="O663" s="325">
        <f t="shared" ref="O663:O664" si="340">SUM(L663,I663)</f>
        <v>38</v>
      </c>
      <c r="P663" s="323">
        <f t="shared" ref="P663:P664" si="341">IF(M663&lt;&gt;"",M663,J663)</f>
        <v>0</v>
      </c>
      <c r="Q663" s="326">
        <f t="shared" ref="Q663:Q664" si="342">ROUND(O663*P663,2)</f>
        <v>0</v>
      </c>
    </row>
    <row r="664" spans="1:17" x14ac:dyDescent="0.25">
      <c r="A664" s="313" t="s">
        <v>8233</v>
      </c>
      <c r="B664" s="314" t="s">
        <v>8234</v>
      </c>
      <c r="C664" s="315" t="s">
        <v>911</v>
      </c>
      <c r="D664" s="342" t="s">
        <v>1</v>
      </c>
      <c r="E664" s="343" t="s">
        <v>7607</v>
      </c>
      <c r="F664" s="343">
        <v>10</v>
      </c>
      <c r="G664" s="343">
        <v>20</v>
      </c>
      <c r="H664" s="318">
        <v>0</v>
      </c>
      <c r="I664" s="319">
        <v>6</v>
      </c>
      <c r="J664" s="329"/>
      <c r="K664" s="324"/>
      <c r="L664" s="358">
        <v>6</v>
      </c>
      <c r="M664" s="323"/>
      <c r="N664" s="324">
        <f t="shared" si="339"/>
        <v>0</v>
      </c>
      <c r="O664" s="325">
        <f t="shared" si="340"/>
        <v>12</v>
      </c>
      <c r="P664" s="323">
        <f t="shared" si="341"/>
        <v>0</v>
      </c>
      <c r="Q664" s="326">
        <f t="shared" si="342"/>
        <v>0</v>
      </c>
    </row>
    <row r="665" spans="1:17" x14ac:dyDescent="0.25">
      <c r="A665" s="238" t="s">
        <v>8235</v>
      </c>
      <c r="B665" s="239" t="s">
        <v>8236</v>
      </c>
      <c r="C665" s="240"/>
      <c r="D665" s="241"/>
      <c r="E665" s="242"/>
      <c r="F665" s="243"/>
      <c r="G665" s="243"/>
      <c r="H665" s="244"/>
      <c r="I665" s="270"/>
      <c r="J665" s="270"/>
      <c r="K665" s="270"/>
      <c r="L665" s="270"/>
      <c r="M665" s="270"/>
      <c r="N665" s="270"/>
      <c r="O665" s="270"/>
      <c r="P665" s="270"/>
      <c r="Q665" s="270"/>
    </row>
    <row r="666" spans="1:17" x14ac:dyDescent="0.25">
      <c r="A666" s="254" t="s">
        <v>8237</v>
      </c>
      <c r="B666" s="255" t="s">
        <v>8238</v>
      </c>
      <c r="C666" s="256"/>
      <c r="D666" s="257"/>
      <c r="E666" s="258"/>
      <c r="F666" s="258"/>
      <c r="G666" s="258"/>
      <c r="H666" s="259"/>
      <c r="I666" s="261"/>
      <c r="J666" s="261"/>
      <c r="K666" s="261"/>
      <c r="L666" s="261"/>
      <c r="M666" s="261"/>
      <c r="N666" s="261"/>
      <c r="O666" s="261"/>
      <c r="P666" s="261"/>
      <c r="Q666" s="261"/>
    </row>
    <row r="667" spans="1:17" x14ac:dyDescent="0.25">
      <c r="A667" s="306" t="s">
        <v>8239</v>
      </c>
      <c r="B667" s="307" t="s">
        <v>8240</v>
      </c>
      <c r="C667" s="308"/>
      <c r="D667" s="309"/>
      <c r="E667" s="310"/>
      <c r="F667" s="310"/>
      <c r="G667" s="310"/>
      <c r="H667" s="311"/>
      <c r="I667" s="261"/>
      <c r="J667" s="261"/>
      <c r="K667" s="261"/>
      <c r="L667" s="261"/>
      <c r="M667" s="261"/>
      <c r="N667" s="261"/>
      <c r="O667" s="261"/>
      <c r="P667" s="261"/>
      <c r="Q667" s="261"/>
    </row>
    <row r="668" spans="1:17" ht="33.75" x14ac:dyDescent="0.25">
      <c r="A668" s="313" t="s">
        <v>8241</v>
      </c>
      <c r="B668" s="314" t="s">
        <v>8242</v>
      </c>
      <c r="C668" s="315" t="s">
        <v>378</v>
      </c>
      <c r="D668" s="316" t="s">
        <v>1</v>
      </c>
      <c r="E668" s="317" t="s">
        <v>7504</v>
      </c>
      <c r="F668" s="317">
        <v>60</v>
      </c>
      <c r="G668" s="317">
        <v>10</v>
      </c>
      <c r="H668" s="318">
        <v>0</v>
      </c>
      <c r="I668" s="328">
        <v>10</v>
      </c>
      <c r="J668" s="329"/>
      <c r="K668" s="324"/>
      <c r="L668" s="360">
        <v>10</v>
      </c>
      <c r="M668" s="323"/>
      <c r="N668" s="324">
        <f t="shared" ref="N668:N671" si="343">ROUND(L668*M668,2)</f>
        <v>0</v>
      </c>
      <c r="O668" s="325">
        <f t="shared" ref="O668:O671" si="344">SUM(L668,I668)</f>
        <v>20</v>
      </c>
      <c r="P668" s="323">
        <f t="shared" ref="P668:P671" si="345">IF(M668&lt;&gt;"",M668,J668)</f>
        <v>0</v>
      </c>
      <c r="Q668" s="326">
        <f t="shared" ref="Q668:Q671" si="346">ROUND(O668*P668,2)</f>
        <v>0</v>
      </c>
    </row>
    <row r="669" spans="1:17" ht="33.75" x14ac:dyDescent="0.25">
      <c r="A669" s="313" t="s">
        <v>8243</v>
      </c>
      <c r="B669" s="314" t="s">
        <v>8244</v>
      </c>
      <c r="C669" s="315" t="s">
        <v>378</v>
      </c>
      <c r="D669" s="316" t="s">
        <v>1</v>
      </c>
      <c r="E669" s="317" t="s">
        <v>7504</v>
      </c>
      <c r="F669" s="317">
        <v>60</v>
      </c>
      <c r="G669" s="317">
        <v>10</v>
      </c>
      <c r="H669" s="318">
        <v>0</v>
      </c>
      <c r="I669" s="328">
        <v>50</v>
      </c>
      <c r="J669" s="329"/>
      <c r="K669" s="324"/>
      <c r="L669" s="360">
        <v>50</v>
      </c>
      <c r="M669" s="323"/>
      <c r="N669" s="324">
        <f t="shared" si="343"/>
        <v>0</v>
      </c>
      <c r="O669" s="325">
        <f t="shared" si="344"/>
        <v>100</v>
      </c>
      <c r="P669" s="323">
        <f t="shared" si="345"/>
        <v>0</v>
      </c>
      <c r="Q669" s="326">
        <f t="shared" si="346"/>
        <v>0</v>
      </c>
    </row>
    <row r="670" spans="1:17" ht="33.75" x14ac:dyDescent="0.25">
      <c r="A670" s="313" t="s">
        <v>8245</v>
      </c>
      <c r="B670" s="314" t="s">
        <v>8246</v>
      </c>
      <c r="C670" s="315" t="s">
        <v>378</v>
      </c>
      <c r="D670" s="316" t="s">
        <v>1</v>
      </c>
      <c r="E670" s="317" t="s">
        <v>7504</v>
      </c>
      <c r="F670" s="317">
        <v>60</v>
      </c>
      <c r="G670" s="317">
        <v>10</v>
      </c>
      <c r="H670" s="318">
        <v>0</v>
      </c>
      <c r="I670" s="328">
        <v>10</v>
      </c>
      <c r="J670" s="329"/>
      <c r="K670" s="324"/>
      <c r="L670" s="360">
        <v>10</v>
      </c>
      <c r="M670" s="323"/>
      <c r="N670" s="324">
        <f t="shared" si="343"/>
        <v>0</v>
      </c>
      <c r="O670" s="325">
        <f t="shared" si="344"/>
        <v>20</v>
      </c>
      <c r="P670" s="323">
        <f t="shared" si="345"/>
        <v>0</v>
      </c>
      <c r="Q670" s="326">
        <f t="shared" si="346"/>
        <v>0</v>
      </c>
    </row>
    <row r="671" spans="1:17" ht="33.75" x14ac:dyDescent="0.25">
      <c r="A671" s="313" t="s">
        <v>8247</v>
      </c>
      <c r="B671" s="314" t="s">
        <v>8248</v>
      </c>
      <c r="C671" s="315" t="s">
        <v>378</v>
      </c>
      <c r="D671" s="316" t="s">
        <v>1</v>
      </c>
      <c r="E671" s="317" t="s">
        <v>7504</v>
      </c>
      <c r="F671" s="317">
        <v>60</v>
      </c>
      <c r="G671" s="317">
        <v>10</v>
      </c>
      <c r="H671" s="318">
        <v>0</v>
      </c>
      <c r="I671" s="328">
        <v>10</v>
      </c>
      <c r="J671" s="329"/>
      <c r="K671" s="324"/>
      <c r="L671" s="360">
        <v>10</v>
      </c>
      <c r="M671" s="323"/>
      <c r="N671" s="324">
        <f t="shared" si="343"/>
        <v>0</v>
      </c>
      <c r="O671" s="325">
        <f t="shared" si="344"/>
        <v>20</v>
      </c>
      <c r="P671" s="323">
        <f t="shared" si="345"/>
        <v>0</v>
      </c>
      <c r="Q671" s="326">
        <f t="shared" si="346"/>
        <v>0</v>
      </c>
    </row>
    <row r="672" spans="1:17" x14ac:dyDescent="0.25">
      <c r="A672" s="238" t="s">
        <v>8249</v>
      </c>
      <c r="B672" s="239" t="s">
        <v>8250</v>
      </c>
      <c r="C672" s="240"/>
      <c r="D672" s="241"/>
      <c r="E672" s="242"/>
      <c r="F672" s="243"/>
      <c r="G672" s="243"/>
      <c r="H672" s="244"/>
      <c r="I672" s="270"/>
      <c r="J672" s="270"/>
      <c r="K672" s="270"/>
      <c r="L672" s="270"/>
      <c r="M672" s="270"/>
      <c r="N672" s="270"/>
      <c r="O672" s="270"/>
      <c r="P672" s="270"/>
      <c r="Q672" s="270"/>
    </row>
    <row r="673" spans="1:17" x14ac:dyDescent="0.25">
      <c r="A673" s="313" t="s">
        <v>8251</v>
      </c>
      <c r="B673" s="313" t="s">
        <v>7889</v>
      </c>
      <c r="C673" s="315" t="s">
        <v>524</v>
      </c>
      <c r="D673" s="361" t="s">
        <v>1</v>
      </c>
      <c r="E673" s="362" t="s">
        <v>7670</v>
      </c>
      <c r="F673" s="362">
        <v>50</v>
      </c>
      <c r="G673" s="362">
        <v>50</v>
      </c>
      <c r="H673" s="318">
        <v>0</v>
      </c>
      <c r="I673" s="328">
        <v>100</v>
      </c>
      <c r="J673" s="329"/>
      <c r="K673" s="324"/>
      <c r="L673" s="360">
        <v>100</v>
      </c>
      <c r="M673" s="323"/>
      <c r="N673" s="324">
        <f t="shared" ref="N673:N674" si="347">ROUND(L673*M673,2)</f>
        <v>0</v>
      </c>
      <c r="O673" s="325">
        <f t="shared" ref="O673:O674" si="348">SUM(L673,I673)</f>
        <v>200</v>
      </c>
      <c r="P673" s="323">
        <f t="shared" ref="P673:P674" si="349">IF(M673&lt;&gt;"",M673,J673)</f>
        <v>0</v>
      </c>
      <c r="Q673" s="326">
        <f t="shared" ref="Q673:Q674" si="350">ROUND(O673*P673,2)</f>
        <v>0</v>
      </c>
    </row>
    <row r="674" spans="1:17" x14ac:dyDescent="0.25">
      <c r="A674" s="313" t="s">
        <v>8252</v>
      </c>
      <c r="B674" s="313" t="s">
        <v>7891</v>
      </c>
      <c r="C674" s="315" t="s">
        <v>524</v>
      </c>
      <c r="D674" s="361" t="s">
        <v>1</v>
      </c>
      <c r="E674" s="362" t="s">
        <v>7670</v>
      </c>
      <c r="F674" s="362">
        <v>50</v>
      </c>
      <c r="G674" s="362">
        <v>50</v>
      </c>
      <c r="H674" s="318">
        <v>0</v>
      </c>
      <c r="I674" s="328">
        <v>100</v>
      </c>
      <c r="J674" s="329"/>
      <c r="K674" s="324"/>
      <c r="L674" s="360">
        <v>100</v>
      </c>
      <c r="M674" s="323"/>
      <c r="N674" s="324">
        <f t="shared" si="347"/>
        <v>0</v>
      </c>
      <c r="O674" s="325">
        <f t="shared" si="348"/>
        <v>200</v>
      </c>
      <c r="P674" s="323">
        <f t="shared" si="349"/>
        <v>0</v>
      </c>
      <c r="Q674" s="326">
        <f t="shared" si="350"/>
        <v>0</v>
      </c>
    </row>
    <row r="675" spans="1:17" x14ac:dyDescent="0.25">
      <c r="A675" s="281"/>
      <c r="B675" s="282" t="s">
        <v>8253</v>
      </c>
      <c r="C675" s="281"/>
      <c r="D675" s="283"/>
      <c r="E675" s="284"/>
      <c r="F675" s="285"/>
      <c r="G675" s="285"/>
      <c r="H675" s="286"/>
      <c r="I675" s="288"/>
      <c r="J675" s="288"/>
      <c r="K675" s="288">
        <f>SUBTOTAL(9,K653:K674)</f>
        <v>0</v>
      </c>
      <c r="L675" s="288"/>
      <c r="M675" s="288"/>
      <c r="N675" s="288">
        <f>SUBTOTAL(9,N653:N674)</f>
        <v>0</v>
      </c>
      <c r="O675" s="288"/>
      <c r="P675" s="288"/>
      <c r="Q675" s="288">
        <f>SUBTOTAL(9,Q653:Q674)</f>
        <v>0</v>
      </c>
    </row>
    <row r="676" spans="1:17" x14ac:dyDescent="0.25">
      <c r="A676" s="230" t="s">
        <v>8254</v>
      </c>
      <c r="B676" s="231" t="s">
        <v>8255</v>
      </c>
      <c r="C676" s="232"/>
      <c r="D676" s="233"/>
      <c r="E676" s="234"/>
      <c r="F676" s="235"/>
      <c r="G676" s="235"/>
      <c r="H676" s="236"/>
      <c r="I676" s="265"/>
      <c r="J676" s="265"/>
      <c r="K676" s="265"/>
      <c r="L676" s="265"/>
      <c r="M676" s="265"/>
      <c r="N676" s="265"/>
      <c r="O676" s="265"/>
      <c r="P676" s="265"/>
      <c r="Q676" s="265"/>
    </row>
    <row r="677" spans="1:17" x14ac:dyDescent="0.25">
      <c r="A677" s="238" t="s">
        <v>8256</v>
      </c>
      <c r="B677" s="239" t="s">
        <v>8257</v>
      </c>
      <c r="C677" s="240"/>
      <c r="D677" s="241"/>
      <c r="E677" s="242"/>
      <c r="F677" s="243"/>
      <c r="G677" s="243"/>
      <c r="H677" s="244"/>
      <c r="I677" s="270"/>
      <c r="J677" s="270"/>
      <c r="K677" s="270"/>
      <c r="L677" s="270"/>
      <c r="M677" s="270"/>
      <c r="N677" s="270"/>
      <c r="O677" s="270"/>
      <c r="P677" s="270"/>
      <c r="Q677" s="270"/>
    </row>
    <row r="678" spans="1:17" x14ac:dyDescent="0.25">
      <c r="A678" s="254" t="s">
        <v>8258</v>
      </c>
      <c r="B678" s="255" t="s">
        <v>8259</v>
      </c>
      <c r="C678" s="256"/>
      <c r="D678" s="257"/>
      <c r="E678" s="258"/>
      <c r="F678" s="258"/>
      <c r="G678" s="258"/>
      <c r="H678" s="259"/>
      <c r="I678" s="268"/>
      <c r="J678" s="268"/>
      <c r="K678" s="268"/>
      <c r="L678" s="268"/>
      <c r="M678" s="268"/>
      <c r="N678" s="268"/>
      <c r="O678" s="268"/>
      <c r="P678" s="268"/>
      <c r="Q678" s="268"/>
    </row>
    <row r="679" spans="1:17" x14ac:dyDescent="0.25">
      <c r="A679" s="363" t="s">
        <v>8260</v>
      </c>
      <c r="B679" s="331" t="s">
        <v>8223</v>
      </c>
      <c r="C679" s="332"/>
      <c r="D679" s="333"/>
      <c r="E679" s="334"/>
      <c r="F679" s="335"/>
      <c r="G679" s="335"/>
      <c r="H679" s="336"/>
      <c r="I679" s="261"/>
      <c r="J679" s="261"/>
      <c r="K679" s="261"/>
      <c r="L679" s="261"/>
      <c r="M679" s="261"/>
      <c r="N679" s="261"/>
      <c r="O679" s="261"/>
      <c r="P679" s="261"/>
      <c r="Q679" s="261"/>
    </row>
    <row r="680" spans="1:17" ht="22.5" x14ac:dyDescent="0.25">
      <c r="A680" s="313" t="s">
        <v>8261</v>
      </c>
      <c r="B680" s="314" t="s">
        <v>8225</v>
      </c>
      <c r="C680" s="315" t="s">
        <v>266</v>
      </c>
      <c r="D680" s="316" t="s">
        <v>1</v>
      </c>
      <c r="E680" s="317" t="s">
        <v>7193</v>
      </c>
      <c r="F680" s="317">
        <v>75</v>
      </c>
      <c r="G680" s="317">
        <v>10</v>
      </c>
      <c r="H680" s="318">
        <v>0</v>
      </c>
      <c r="I680" s="319">
        <v>31</v>
      </c>
      <c r="J680" s="329"/>
      <c r="K680" s="324"/>
      <c r="L680" s="358">
        <v>31</v>
      </c>
      <c r="M680" s="323"/>
      <c r="N680" s="324">
        <f t="shared" ref="N680" si="351">ROUND(L680*M680,2)</f>
        <v>0</v>
      </c>
      <c r="O680" s="325">
        <f>SUM(L680,I680)</f>
        <v>62</v>
      </c>
      <c r="P680" s="323">
        <f>IF(M680&lt;&gt;"",M680,J680)</f>
        <v>0</v>
      </c>
      <c r="Q680" s="326">
        <f>ROUND(O680*P680,2)</f>
        <v>0</v>
      </c>
    </row>
    <row r="681" spans="1:17" x14ac:dyDescent="0.25">
      <c r="A681" s="363" t="s">
        <v>8262</v>
      </c>
      <c r="B681" s="331" t="s">
        <v>8263</v>
      </c>
      <c r="C681" s="332"/>
      <c r="D681" s="333"/>
      <c r="E681" s="334"/>
      <c r="F681" s="335"/>
      <c r="G681" s="335"/>
      <c r="H681" s="336"/>
      <c r="I681" s="261"/>
      <c r="J681" s="261"/>
      <c r="K681" s="261"/>
      <c r="L681" s="261"/>
      <c r="M681" s="261"/>
      <c r="N681" s="261"/>
      <c r="O681" s="261"/>
      <c r="P681" s="261"/>
      <c r="Q681" s="261"/>
    </row>
    <row r="682" spans="1:17" x14ac:dyDescent="0.25">
      <c r="A682" s="313" t="s">
        <v>8264</v>
      </c>
      <c r="B682" s="314" t="s">
        <v>8265</v>
      </c>
      <c r="C682" s="315" t="s">
        <v>8266</v>
      </c>
      <c r="D682" s="316" t="s">
        <v>1</v>
      </c>
      <c r="E682" s="317" t="s">
        <v>7193</v>
      </c>
      <c r="F682" s="317">
        <v>10</v>
      </c>
      <c r="G682" s="317">
        <v>10</v>
      </c>
      <c r="H682" s="318">
        <v>0</v>
      </c>
      <c r="I682" s="319">
        <v>2.8</v>
      </c>
      <c r="J682" s="329"/>
      <c r="K682" s="324"/>
      <c r="L682" s="358">
        <v>2.8</v>
      </c>
      <c r="M682" s="323"/>
      <c r="N682" s="324">
        <f t="shared" ref="N682" si="352">ROUND(L682*M682,2)</f>
        <v>0</v>
      </c>
      <c r="O682" s="325">
        <f>SUM(L682,I682)</f>
        <v>5.6</v>
      </c>
      <c r="P682" s="323">
        <f>IF(M682&lt;&gt;"",M682,J682)</f>
        <v>0</v>
      </c>
      <c r="Q682" s="326">
        <f>ROUND(O682*P682,2)</f>
        <v>0</v>
      </c>
    </row>
    <row r="683" spans="1:17" x14ac:dyDescent="0.25">
      <c r="A683" s="363" t="s">
        <v>8267</v>
      </c>
      <c r="B683" s="331" t="s">
        <v>8268</v>
      </c>
      <c r="C683" s="332"/>
      <c r="D683" s="333"/>
      <c r="E683" s="334"/>
      <c r="F683" s="335"/>
      <c r="G683" s="335"/>
      <c r="H683" s="336"/>
      <c r="I683" s="261"/>
      <c r="J683" s="261"/>
      <c r="K683" s="261"/>
      <c r="L683" s="261"/>
      <c r="M683" s="261"/>
      <c r="N683" s="261"/>
      <c r="O683" s="261"/>
      <c r="P683" s="261"/>
      <c r="Q683" s="261"/>
    </row>
    <row r="684" spans="1:17" x14ac:dyDescent="0.25">
      <c r="A684" s="313" t="s">
        <v>8269</v>
      </c>
      <c r="B684" s="314" t="s">
        <v>8270</v>
      </c>
      <c r="C684" s="315" t="s">
        <v>266</v>
      </c>
      <c r="D684" s="316" t="s">
        <v>1</v>
      </c>
      <c r="E684" s="317" t="s">
        <v>7193</v>
      </c>
      <c r="F684" s="317">
        <v>75</v>
      </c>
      <c r="G684" s="317">
        <v>10</v>
      </c>
      <c r="H684" s="318">
        <v>0</v>
      </c>
      <c r="I684" s="319">
        <v>1</v>
      </c>
      <c r="J684" s="329"/>
      <c r="K684" s="324"/>
      <c r="L684" s="358">
        <v>1</v>
      </c>
      <c r="M684" s="323"/>
      <c r="N684" s="324">
        <f t="shared" ref="N684" si="353">ROUND(L684*M684,2)</f>
        <v>0</v>
      </c>
      <c r="O684" s="325">
        <f>SUM(L684,I684)</f>
        <v>2</v>
      </c>
      <c r="P684" s="323">
        <f>IF(M684&lt;&gt;"",M684,J684)</f>
        <v>0</v>
      </c>
      <c r="Q684" s="326">
        <f>ROUND(O684*P684,2)</f>
        <v>0</v>
      </c>
    </row>
    <row r="685" spans="1:17" x14ac:dyDescent="0.25">
      <c r="A685" s="363" t="s">
        <v>8271</v>
      </c>
      <c r="B685" s="331" t="s">
        <v>8272</v>
      </c>
      <c r="C685" s="332"/>
      <c r="D685" s="333"/>
      <c r="E685" s="334"/>
      <c r="F685" s="335"/>
      <c r="G685" s="335"/>
      <c r="H685" s="336"/>
      <c r="I685" s="261"/>
      <c r="J685" s="261"/>
      <c r="K685" s="261"/>
      <c r="L685" s="261"/>
      <c r="M685" s="261"/>
      <c r="N685" s="261"/>
      <c r="O685" s="261"/>
      <c r="P685" s="261"/>
      <c r="Q685" s="261"/>
    </row>
    <row r="686" spans="1:17" ht="22.5" x14ac:dyDescent="0.25">
      <c r="A686" s="313" t="s">
        <v>8273</v>
      </c>
      <c r="B686" s="314" t="s">
        <v>8274</v>
      </c>
      <c r="C686" s="315" t="s">
        <v>266</v>
      </c>
      <c r="D686" s="316" t="s">
        <v>1</v>
      </c>
      <c r="E686" s="317" t="s">
        <v>7193</v>
      </c>
      <c r="F686" s="317">
        <v>55</v>
      </c>
      <c r="G686" s="317">
        <v>10</v>
      </c>
      <c r="H686" s="364">
        <v>900</v>
      </c>
      <c r="I686" s="319">
        <v>2</v>
      </c>
      <c r="J686" s="329"/>
      <c r="K686" s="324"/>
      <c r="L686" s="358">
        <v>2</v>
      </c>
      <c r="M686" s="323"/>
      <c r="N686" s="324">
        <f t="shared" ref="N686" si="354">ROUND(L686*M686,2)</f>
        <v>0</v>
      </c>
      <c r="O686" s="325">
        <f>SUM(L686,I686)</f>
        <v>4</v>
      </c>
      <c r="P686" s="323">
        <f>IF(M686&lt;&gt;"",M686,J686)</f>
        <v>0</v>
      </c>
      <c r="Q686" s="326">
        <f>ROUND(O686*P686,2)</f>
        <v>0</v>
      </c>
    </row>
    <row r="687" spans="1:17" ht="22.5" x14ac:dyDescent="0.25">
      <c r="A687" s="363" t="s">
        <v>8275</v>
      </c>
      <c r="B687" s="331" t="s">
        <v>7629</v>
      </c>
      <c r="C687" s="332"/>
      <c r="D687" s="333"/>
      <c r="E687" s="334"/>
      <c r="F687" s="335"/>
      <c r="G687" s="335"/>
      <c r="H687" s="336"/>
      <c r="I687" s="261"/>
      <c r="J687" s="261"/>
      <c r="K687" s="261"/>
      <c r="L687" s="261"/>
      <c r="M687" s="261"/>
      <c r="N687" s="261"/>
      <c r="O687" s="261"/>
      <c r="P687" s="261"/>
      <c r="Q687" s="261"/>
    </row>
    <row r="688" spans="1:17" ht="22.5" x14ac:dyDescent="0.25">
      <c r="A688" s="313" t="s">
        <v>8276</v>
      </c>
      <c r="B688" s="314" t="s">
        <v>8277</v>
      </c>
      <c r="C688" s="315" t="s">
        <v>266</v>
      </c>
      <c r="D688" s="316" t="s">
        <v>1</v>
      </c>
      <c r="E688" s="317" t="s">
        <v>7193</v>
      </c>
      <c r="F688" s="317">
        <v>75</v>
      </c>
      <c r="G688" s="317">
        <v>30</v>
      </c>
      <c r="H688" s="318">
        <v>0</v>
      </c>
      <c r="I688" s="319">
        <v>3</v>
      </c>
      <c r="J688" s="329"/>
      <c r="K688" s="324"/>
      <c r="L688" s="358">
        <v>3</v>
      </c>
      <c r="M688" s="323"/>
      <c r="N688" s="324">
        <f t="shared" ref="N688" si="355">ROUND(L688*M688,2)</f>
        <v>0</v>
      </c>
      <c r="O688" s="325">
        <f>SUM(L688,I688)</f>
        <v>6</v>
      </c>
      <c r="P688" s="323">
        <f>IF(M688&lt;&gt;"",M688,J688)</f>
        <v>0</v>
      </c>
      <c r="Q688" s="326">
        <f>ROUND(O688*P688,2)</f>
        <v>0</v>
      </c>
    </row>
    <row r="689" spans="1:17" x14ac:dyDescent="0.25">
      <c r="A689" s="238" t="s">
        <v>8278</v>
      </c>
      <c r="B689" s="239" t="s">
        <v>8236</v>
      </c>
      <c r="C689" s="240"/>
      <c r="D689" s="241"/>
      <c r="E689" s="242"/>
      <c r="F689" s="243"/>
      <c r="G689" s="243"/>
      <c r="H689" s="244"/>
      <c r="I689" s="245"/>
      <c r="J689" s="245"/>
      <c r="K689" s="245"/>
      <c r="L689" s="245"/>
      <c r="M689" s="245"/>
      <c r="N689" s="245"/>
      <c r="O689" s="245"/>
      <c r="P689" s="245"/>
      <c r="Q689" s="245"/>
    </row>
    <row r="690" spans="1:17" x14ac:dyDescent="0.25">
      <c r="A690" s="254" t="s">
        <v>8279</v>
      </c>
      <c r="B690" s="255" t="s">
        <v>8238</v>
      </c>
      <c r="C690" s="256"/>
      <c r="D690" s="257"/>
      <c r="E690" s="258"/>
      <c r="F690" s="258"/>
      <c r="G690" s="258"/>
      <c r="H690" s="259"/>
      <c r="I690" s="261"/>
      <c r="J690" s="261"/>
      <c r="K690" s="261"/>
      <c r="L690" s="261"/>
      <c r="M690" s="261"/>
      <c r="N690" s="261"/>
      <c r="O690" s="261"/>
      <c r="P690" s="261"/>
      <c r="Q690" s="261"/>
    </row>
    <row r="691" spans="1:17" x14ac:dyDescent="0.25">
      <c r="A691" s="306" t="s">
        <v>8280</v>
      </c>
      <c r="B691" s="307" t="s">
        <v>8240</v>
      </c>
      <c r="C691" s="308"/>
      <c r="D691" s="309"/>
      <c r="E691" s="310"/>
      <c r="F691" s="310"/>
      <c r="G691" s="310"/>
      <c r="H691" s="311"/>
      <c r="I691" s="261"/>
      <c r="J691" s="261"/>
      <c r="K691" s="261"/>
      <c r="L691" s="261"/>
      <c r="M691" s="261"/>
      <c r="N691" s="261"/>
      <c r="O691" s="261"/>
      <c r="P691" s="261"/>
      <c r="Q691" s="261"/>
    </row>
    <row r="692" spans="1:17" ht="22.5" x14ac:dyDescent="0.25">
      <c r="A692" s="313" t="s">
        <v>8281</v>
      </c>
      <c r="B692" s="314" t="s">
        <v>8282</v>
      </c>
      <c r="C692" s="315" t="s">
        <v>378</v>
      </c>
      <c r="D692" s="316" t="s">
        <v>1</v>
      </c>
      <c r="E692" s="317" t="s">
        <v>7504</v>
      </c>
      <c r="F692" s="317">
        <v>60</v>
      </c>
      <c r="G692" s="317">
        <v>10</v>
      </c>
      <c r="H692" s="318">
        <v>0</v>
      </c>
      <c r="I692" s="319">
        <v>10</v>
      </c>
      <c r="J692" s="329"/>
      <c r="K692" s="324"/>
      <c r="L692" s="358">
        <v>10</v>
      </c>
      <c r="M692" s="323"/>
      <c r="N692" s="324">
        <f t="shared" ref="N692:N693" si="356">ROUND(L692*M692,2)</f>
        <v>0</v>
      </c>
      <c r="O692" s="325">
        <f t="shared" ref="O692:O693" si="357">SUM(L692,I692)</f>
        <v>20</v>
      </c>
      <c r="P692" s="323">
        <f t="shared" ref="P692:P693" si="358">IF(M692&lt;&gt;"",M692,J692)</f>
        <v>0</v>
      </c>
      <c r="Q692" s="326">
        <f t="shared" ref="Q692:Q693" si="359">ROUND(O692*P692,2)</f>
        <v>0</v>
      </c>
    </row>
    <row r="693" spans="1:17" ht="22.5" x14ac:dyDescent="0.25">
      <c r="A693" s="313" t="s">
        <v>8283</v>
      </c>
      <c r="B693" s="314" t="s">
        <v>8284</v>
      </c>
      <c r="C693" s="315" t="s">
        <v>378</v>
      </c>
      <c r="D693" s="316" t="s">
        <v>1</v>
      </c>
      <c r="E693" s="317" t="s">
        <v>7504</v>
      </c>
      <c r="F693" s="317">
        <v>60</v>
      </c>
      <c r="G693" s="317">
        <v>10</v>
      </c>
      <c r="H693" s="318">
        <v>0</v>
      </c>
      <c r="I693" s="319">
        <v>10</v>
      </c>
      <c r="J693" s="329"/>
      <c r="K693" s="324"/>
      <c r="L693" s="358">
        <v>10</v>
      </c>
      <c r="M693" s="323"/>
      <c r="N693" s="324">
        <f t="shared" si="356"/>
        <v>0</v>
      </c>
      <c r="O693" s="325">
        <f t="shared" si="357"/>
        <v>20</v>
      </c>
      <c r="P693" s="323">
        <f t="shared" si="358"/>
        <v>0</v>
      </c>
      <c r="Q693" s="326">
        <f t="shared" si="359"/>
        <v>0</v>
      </c>
    </row>
    <row r="694" spans="1:17" x14ac:dyDescent="0.25">
      <c r="A694" s="306" t="s">
        <v>8285</v>
      </c>
      <c r="B694" s="307" t="s">
        <v>8286</v>
      </c>
      <c r="C694" s="332"/>
      <c r="D694" s="333"/>
      <c r="E694" s="334"/>
      <c r="F694" s="335"/>
      <c r="G694" s="335"/>
      <c r="H694" s="365"/>
      <c r="I694" s="261"/>
      <c r="J694" s="261"/>
      <c r="K694" s="261"/>
      <c r="L694" s="261"/>
      <c r="M694" s="261"/>
      <c r="N694" s="261"/>
      <c r="O694" s="261"/>
      <c r="P694" s="261"/>
      <c r="Q694" s="261"/>
    </row>
    <row r="695" spans="1:17" x14ac:dyDescent="0.25">
      <c r="A695" s="313" t="s">
        <v>8287</v>
      </c>
      <c r="B695" s="314" t="s">
        <v>8288</v>
      </c>
      <c r="C695" s="315" t="s">
        <v>460</v>
      </c>
      <c r="D695" s="316" t="s">
        <v>1</v>
      </c>
      <c r="E695" s="317" t="s">
        <v>7504</v>
      </c>
      <c r="F695" s="317">
        <v>30</v>
      </c>
      <c r="G695" s="317">
        <v>80</v>
      </c>
      <c r="H695" s="318">
        <v>0</v>
      </c>
      <c r="I695" s="328">
        <v>15</v>
      </c>
      <c r="J695" s="329"/>
      <c r="K695" s="324"/>
      <c r="L695" s="360">
        <v>15</v>
      </c>
      <c r="M695" s="323"/>
      <c r="N695" s="324">
        <f t="shared" ref="N695" si="360">ROUND(L695*M695,2)</f>
        <v>0</v>
      </c>
      <c r="O695" s="325">
        <f>SUM(L695,I695)</f>
        <v>30</v>
      </c>
      <c r="P695" s="323">
        <f>IF(M695&lt;&gt;"",M695,J695)</f>
        <v>0</v>
      </c>
      <c r="Q695" s="326">
        <f>ROUND(O695*P695,2)</f>
        <v>0</v>
      </c>
    </row>
    <row r="696" spans="1:17" x14ac:dyDescent="0.25">
      <c r="A696" s="306" t="s">
        <v>8289</v>
      </c>
      <c r="B696" s="307" t="s">
        <v>8290</v>
      </c>
      <c r="C696" s="332"/>
      <c r="D696" s="333"/>
      <c r="E696" s="334"/>
      <c r="F696" s="335"/>
      <c r="G696" s="335"/>
      <c r="H696" s="365"/>
      <c r="I696" s="261"/>
      <c r="J696" s="261"/>
      <c r="K696" s="261"/>
      <c r="L696" s="261"/>
      <c r="M696" s="261"/>
      <c r="N696" s="261"/>
      <c r="O696" s="261"/>
      <c r="P696" s="261"/>
      <c r="Q696" s="261"/>
    </row>
    <row r="697" spans="1:17" x14ac:dyDescent="0.25">
      <c r="A697" s="313" t="s">
        <v>8291</v>
      </c>
      <c r="B697" s="314" t="s">
        <v>8292</v>
      </c>
      <c r="C697" s="315" t="s">
        <v>460</v>
      </c>
      <c r="D697" s="316" t="s">
        <v>1</v>
      </c>
      <c r="E697" s="317" t="s">
        <v>7504</v>
      </c>
      <c r="F697" s="317">
        <v>30</v>
      </c>
      <c r="G697" s="317">
        <v>80</v>
      </c>
      <c r="H697" s="318">
        <v>0</v>
      </c>
      <c r="I697" s="328">
        <v>13</v>
      </c>
      <c r="J697" s="329"/>
      <c r="K697" s="324"/>
      <c r="L697" s="360">
        <v>13</v>
      </c>
      <c r="M697" s="323"/>
      <c r="N697" s="324">
        <f t="shared" ref="N697" si="361">ROUND(L697*M697,2)</f>
        <v>0</v>
      </c>
      <c r="O697" s="325">
        <f>SUM(L697,I697)</f>
        <v>26</v>
      </c>
      <c r="P697" s="323">
        <f>IF(M697&lt;&gt;"",M697,J697)</f>
        <v>0</v>
      </c>
      <c r="Q697" s="326">
        <f>ROUND(O697*P697,2)</f>
        <v>0</v>
      </c>
    </row>
    <row r="698" spans="1:17" x14ac:dyDescent="0.25">
      <c r="A698" s="306" t="s">
        <v>8293</v>
      </c>
      <c r="B698" s="307" t="s">
        <v>8294</v>
      </c>
      <c r="C698" s="332"/>
      <c r="D698" s="333"/>
      <c r="E698" s="334"/>
      <c r="F698" s="335"/>
      <c r="G698" s="335"/>
      <c r="H698" s="365"/>
      <c r="I698" s="261"/>
      <c r="J698" s="261"/>
      <c r="K698" s="261"/>
      <c r="L698" s="261"/>
      <c r="M698" s="261"/>
      <c r="N698" s="261"/>
      <c r="O698" s="261"/>
      <c r="P698" s="261"/>
      <c r="Q698" s="261"/>
    </row>
    <row r="699" spans="1:17" x14ac:dyDescent="0.25">
      <c r="A699" s="313" t="s">
        <v>8295</v>
      </c>
      <c r="B699" s="314" t="s">
        <v>8296</v>
      </c>
      <c r="C699" s="315" t="s">
        <v>460</v>
      </c>
      <c r="D699" s="316" t="s">
        <v>1</v>
      </c>
      <c r="E699" s="317" t="s">
        <v>7504</v>
      </c>
      <c r="F699" s="317">
        <v>30</v>
      </c>
      <c r="G699" s="317">
        <v>80</v>
      </c>
      <c r="H699" s="318">
        <v>0</v>
      </c>
      <c r="I699" s="328">
        <v>2</v>
      </c>
      <c r="J699" s="329"/>
      <c r="K699" s="324"/>
      <c r="L699" s="360">
        <v>2</v>
      </c>
      <c r="M699" s="323"/>
      <c r="N699" s="324">
        <f t="shared" ref="N699" si="362">ROUND(L699*M699,2)</f>
        <v>0</v>
      </c>
      <c r="O699" s="325">
        <f>SUM(L699,I699)</f>
        <v>4</v>
      </c>
      <c r="P699" s="323">
        <f>IF(M699&lt;&gt;"",M699,J699)</f>
        <v>0</v>
      </c>
      <c r="Q699" s="326">
        <f>ROUND(O699*P699,2)</f>
        <v>0</v>
      </c>
    </row>
    <row r="700" spans="1:17" s="371" customFormat="1" x14ac:dyDescent="0.25">
      <c r="A700" s="366" t="s">
        <v>8297</v>
      </c>
      <c r="B700" s="255" t="s">
        <v>8298</v>
      </c>
      <c r="C700" s="367"/>
      <c r="D700" s="368"/>
      <c r="E700" s="369"/>
      <c r="F700" s="370"/>
      <c r="G700" s="370"/>
      <c r="H700" s="336"/>
      <c r="I700" s="268"/>
      <c r="J700" s="268"/>
      <c r="K700" s="268"/>
      <c r="L700" s="268"/>
      <c r="M700" s="268"/>
      <c r="N700" s="268"/>
      <c r="O700" s="268"/>
      <c r="P700" s="268"/>
      <c r="Q700" s="268"/>
    </row>
    <row r="701" spans="1:17" ht="22.5" x14ac:dyDescent="0.25">
      <c r="A701" s="313" t="s">
        <v>8299</v>
      </c>
      <c r="B701" s="314" t="s">
        <v>8300</v>
      </c>
      <c r="C701" s="315" t="s">
        <v>460</v>
      </c>
      <c r="D701" s="316" t="s">
        <v>1</v>
      </c>
      <c r="E701" s="317" t="s">
        <v>7504</v>
      </c>
      <c r="F701" s="317">
        <v>60</v>
      </c>
      <c r="G701" s="317">
        <v>20</v>
      </c>
      <c r="H701" s="318">
        <v>0</v>
      </c>
      <c r="I701" s="328">
        <v>5</v>
      </c>
      <c r="J701" s="329"/>
      <c r="K701" s="324"/>
      <c r="L701" s="360">
        <v>5</v>
      </c>
      <c r="M701" s="323"/>
      <c r="N701" s="324">
        <f t="shared" ref="N701:N702" si="363">ROUND(L701*M701,2)</f>
        <v>0</v>
      </c>
      <c r="O701" s="325">
        <f t="shared" ref="O701:O702" si="364">SUM(L701,I701)</f>
        <v>10</v>
      </c>
      <c r="P701" s="323">
        <f t="shared" ref="P701:P702" si="365">IF(M701&lt;&gt;"",M701,J701)</f>
        <v>0</v>
      </c>
      <c r="Q701" s="326">
        <f t="shared" ref="Q701:Q702" si="366">ROUND(O701*P701,2)</f>
        <v>0</v>
      </c>
    </row>
    <row r="702" spans="1:17" ht="22.5" x14ac:dyDescent="0.25">
      <c r="A702" s="313" t="s">
        <v>8301</v>
      </c>
      <c r="B702" s="314" t="s">
        <v>8302</v>
      </c>
      <c r="C702" s="315" t="s">
        <v>460</v>
      </c>
      <c r="D702" s="316" t="s">
        <v>1</v>
      </c>
      <c r="E702" s="317" t="s">
        <v>7504</v>
      </c>
      <c r="F702" s="317">
        <v>60</v>
      </c>
      <c r="G702" s="317">
        <v>20</v>
      </c>
      <c r="H702" s="318">
        <v>0</v>
      </c>
      <c r="I702" s="328">
        <v>4</v>
      </c>
      <c r="J702" s="329"/>
      <c r="K702" s="324"/>
      <c r="L702" s="360">
        <v>4</v>
      </c>
      <c r="M702" s="323"/>
      <c r="N702" s="324">
        <f t="shared" si="363"/>
        <v>0</v>
      </c>
      <c r="O702" s="325">
        <f t="shared" si="364"/>
        <v>8</v>
      </c>
      <c r="P702" s="323">
        <f t="shared" si="365"/>
        <v>0</v>
      </c>
      <c r="Q702" s="326">
        <f t="shared" si="366"/>
        <v>0</v>
      </c>
    </row>
    <row r="703" spans="1:17" ht="22.5" x14ac:dyDescent="0.25">
      <c r="A703" s="254" t="s">
        <v>8303</v>
      </c>
      <c r="B703" s="255" t="s">
        <v>8304</v>
      </c>
      <c r="C703" s="256"/>
      <c r="D703" s="257"/>
      <c r="E703" s="258"/>
      <c r="F703" s="258"/>
      <c r="G703" s="258"/>
      <c r="H703" s="259"/>
      <c r="I703" s="261"/>
      <c r="J703" s="261"/>
      <c r="K703" s="261"/>
      <c r="L703" s="261"/>
      <c r="M703" s="261"/>
      <c r="N703" s="261"/>
      <c r="O703" s="261"/>
      <c r="P703" s="261"/>
      <c r="Q703" s="261"/>
    </row>
    <row r="704" spans="1:17" x14ac:dyDescent="0.25">
      <c r="A704" s="306" t="s">
        <v>8305</v>
      </c>
      <c r="B704" s="307" t="s">
        <v>8306</v>
      </c>
      <c r="C704" s="308"/>
      <c r="D704" s="309"/>
      <c r="E704" s="310"/>
      <c r="F704" s="310"/>
      <c r="G704" s="310"/>
      <c r="H704" s="311"/>
      <c r="I704" s="261"/>
      <c r="J704" s="261"/>
      <c r="K704" s="261"/>
      <c r="L704" s="261"/>
      <c r="M704" s="261"/>
      <c r="N704" s="261"/>
      <c r="O704" s="261"/>
      <c r="P704" s="261"/>
      <c r="Q704" s="261"/>
    </row>
    <row r="705" spans="1:17" ht="22.5" x14ac:dyDescent="0.25">
      <c r="A705" s="341" t="s">
        <v>8307</v>
      </c>
      <c r="B705" s="341" t="s">
        <v>8308</v>
      </c>
      <c r="C705" s="342" t="s">
        <v>378</v>
      </c>
      <c r="D705" s="342" t="s">
        <v>1</v>
      </c>
      <c r="E705" s="343" t="s">
        <v>7607</v>
      </c>
      <c r="F705" s="343">
        <v>60</v>
      </c>
      <c r="G705" s="343">
        <v>10</v>
      </c>
      <c r="H705" s="318">
        <v>0</v>
      </c>
      <c r="I705" s="322">
        <v>10</v>
      </c>
      <c r="J705" s="329"/>
      <c r="K705" s="324"/>
      <c r="L705" s="372">
        <v>10</v>
      </c>
      <c r="M705" s="323"/>
      <c r="N705" s="324">
        <f t="shared" ref="N705:N708" si="367">ROUND(L705*M705,2)</f>
        <v>0</v>
      </c>
      <c r="O705" s="325">
        <f t="shared" ref="O705:O708" si="368">SUM(L705,I705)</f>
        <v>20</v>
      </c>
      <c r="P705" s="323">
        <f t="shared" ref="P705:P708" si="369">IF(M705&lt;&gt;"",M705,J705)</f>
        <v>0</v>
      </c>
      <c r="Q705" s="326">
        <f t="shared" ref="Q705:Q708" si="370">ROUND(O705*P705,2)</f>
        <v>0</v>
      </c>
    </row>
    <row r="706" spans="1:17" ht="22.5" x14ac:dyDescent="0.25">
      <c r="A706" s="341" t="s">
        <v>8309</v>
      </c>
      <c r="B706" s="341" t="s">
        <v>8310</v>
      </c>
      <c r="C706" s="342" t="s">
        <v>378</v>
      </c>
      <c r="D706" s="342" t="s">
        <v>1</v>
      </c>
      <c r="E706" s="343" t="s">
        <v>7504</v>
      </c>
      <c r="F706" s="343">
        <v>60</v>
      </c>
      <c r="G706" s="343">
        <v>10</v>
      </c>
      <c r="H706" s="318">
        <v>0</v>
      </c>
      <c r="I706" s="322">
        <v>10</v>
      </c>
      <c r="J706" s="329"/>
      <c r="K706" s="324"/>
      <c r="L706" s="372">
        <v>10</v>
      </c>
      <c r="M706" s="323"/>
      <c r="N706" s="324">
        <f t="shared" si="367"/>
        <v>0</v>
      </c>
      <c r="O706" s="325">
        <f t="shared" si="368"/>
        <v>20</v>
      </c>
      <c r="P706" s="323">
        <f t="shared" si="369"/>
        <v>0</v>
      </c>
      <c r="Q706" s="326">
        <f t="shared" si="370"/>
        <v>0</v>
      </c>
    </row>
    <row r="707" spans="1:17" ht="22.5" x14ac:dyDescent="0.25">
      <c r="A707" s="313" t="s">
        <v>8311</v>
      </c>
      <c r="B707" s="373" t="s">
        <v>8312</v>
      </c>
      <c r="C707" s="374" t="s">
        <v>378</v>
      </c>
      <c r="D707" s="316" t="s">
        <v>1</v>
      </c>
      <c r="E707" s="317" t="s">
        <v>7607</v>
      </c>
      <c r="F707" s="317">
        <v>60</v>
      </c>
      <c r="G707" s="359">
        <v>10</v>
      </c>
      <c r="H707" s="327">
        <v>0</v>
      </c>
      <c r="I707" s="328">
        <v>10</v>
      </c>
      <c r="J707" s="329"/>
      <c r="K707" s="324"/>
      <c r="L707" s="360">
        <v>10</v>
      </c>
      <c r="M707" s="323"/>
      <c r="N707" s="324">
        <f t="shared" si="367"/>
        <v>0</v>
      </c>
      <c r="O707" s="325">
        <f t="shared" si="368"/>
        <v>20</v>
      </c>
      <c r="P707" s="323">
        <f t="shared" si="369"/>
        <v>0</v>
      </c>
      <c r="Q707" s="326">
        <f t="shared" si="370"/>
        <v>0</v>
      </c>
    </row>
    <row r="708" spans="1:17" ht="22.5" x14ac:dyDescent="0.25">
      <c r="A708" s="313" t="s">
        <v>8313</v>
      </c>
      <c r="B708" s="373" t="s">
        <v>8314</v>
      </c>
      <c r="C708" s="374" t="s">
        <v>378</v>
      </c>
      <c r="D708" s="316" t="s">
        <v>1</v>
      </c>
      <c r="E708" s="317" t="s">
        <v>7504</v>
      </c>
      <c r="F708" s="317">
        <v>60</v>
      </c>
      <c r="G708" s="359">
        <v>10</v>
      </c>
      <c r="H708" s="327">
        <v>0</v>
      </c>
      <c r="I708" s="328">
        <v>10</v>
      </c>
      <c r="J708" s="329"/>
      <c r="K708" s="324"/>
      <c r="L708" s="360">
        <v>10</v>
      </c>
      <c r="M708" s="323"/>
      <c r="N708" s="324">
        <f t="shared" si="367"/>
        <v>0</v>
      </c>
      <c r="O708" s="325">
        <f t="shared" si="368"/>
        <v>20</v>
      </c>
      <c r="P708" s="323">
        <f t="shared" si="369"/>
        <v>0</v>
      </c>
      <c r="Q708" s="326">
        <f t="shared" si="370"/>
        <v>0</v>
      </c>
    </row>
    <row r="709" spans="1:17" x14ac:dyDescent="0.25">
      <c r="A709" s="254" t="s">
        <v>8315</v>
      </c>
      <c r="B709" s="255" t="s">
        <v>8316</v>
      </c>
      <c r="C709" s="256"/>
      <c r="D709" s="257"/>
      <c r="E709" s="258"/>
      <c r="F709" s="258"/>
      <c r="G709" s="258"/>
      <c r="H709" s="259"/>
      <c r="I709" s="261"/>
      <c r="J709" s="261"/>
      <c r="K709" s="261"/>
      <c r="L709" s="261"/>
      <c r="M709" s="261"/>
      <c r="N709" s="261"/>
      <c r="O709" s="261"/>
      <c r="P709" s="261"/>
      <c r="Q709" s="261"/>
    </row>
    <row r="710" spans="1:17" x14ac:dyDescent="0.25">
      <c r="A710" s="306" t="s">
        <v>8317</v>
      </c>
      <c r="B710" s="307" t="s">
        <v>8318</v>
      </c>
      <c r="C710" s="308"/>
      <c r="D710" s="309"/>
      <c r="E710" s="310"/>
      <c r="F710" s="310"/>
      <c r="G710" s="310"/>
      <c r="H710" s="311"/>
      <c r="I710" s="261"/>
      <c r="J710" s="261"/>
      <c r="K710" s="261"/>
      <c r="L710" s="261"/>
      <c r="M710" s="261"/>
      <c r="N710" s="261"/>
      <c r="O710" s="261"/>
      <c r="P710" s="261"/>
      <c r="Q710" s="261"/>
    </row>
    <row r="711" spans="1:17" ht="22.5" x14ac:dyDescent="0.25">
      <c r="A711" s="313" t="s">
        <v>8319</v>
      </c>
      <c r="B711" s="373" t="s">
        <v>8320</v>
      </c>
      <c r="C711" s="374" t="s">
        <v>378</v>
      </c>
      <c r="D711" s="316" t="s">
        <v>1</v>
      </c>
      <c r="E711" s="317" t="s">
        <v>7607</v>
      </c>
      <c r="F711" s="317">
        <v>50</v>
      </c>
      <c r="G711" s="359">
        <v>0</v>
      </c>
      <c r="H711" s="318">
        <v>0</v>
      </c>
      <c r="I711" s="328">
        <v>2100</v>
      </c>
      <c r="J711" s="329"/>
      <c r="K711" s="324"/>
      <c r="L711" s="360">
        <v>2100</v>
      </c>
      <c r="M711" s="323"/>
      <c r="N711" s="324">
        <f t="shared" ref="N711" si="371">ROUND(L711*M711,2)</f>
        <v>0</v>
      </c>
      <c r="O711" s="325">
        <f>SUM(L711,I711)</f>
        <v>4200</v>
      </c>
      <c r="P711" s="323">
        <f>IF(M711&lt;&gt;"",M711,J711)</f>
        <v>0</v>
      </c>
      <c r="Q711" s="326">
        <f>ROUND(O711*P711,2)</f>
        <v>0</v>
      </c>
    </row>
    <row r="712" spans="1:17" x14ac:dyDescent="0.25">
      <c r="A712" s="254" t="s">
        <v>8321</v>
      </c>
      <c r="B712" s="255" t="s">
        <v>7218</v>
      </c>
      <c r="C712" s="256"/>
      <c r="D712" s="257"/>
      <c r="E712" s="258"/>
      <c r="F712" s="258"/>
      <c r="G712" s="258"/>
      <c r="H712" s="259"/>
      <c r="I712" s="261"/>
      <c r="J712" s="261"/>
      <c r="K712" s="261"/>
      <c r="L712" s="261"/>
      <c r="M712" s="261"/>
      <c r="N712" s="261"/>
      <c r="O712" s="261"/>
      <c r="P712" s="261"/>
      <c r="Q712" s="261"/>
    </row>
    <row r="713" spans="1:17" ht="22.5" x14ac:dyDescent="0.25">
      <c r="A713" s="313" t="s">
        <v>8322</v>
      </c>
      <c r="B713" s="314" t="s">
        <v>8323</v>
      </c>
      <c r="C713" s="315" t="s">
        <v>378</v>
      </c>
      <c r="D713" s="316" t="s">
        <v>1</v>
      </c>
      <c r="E713" s="317" t="s">
        <v>7193</v>
      </c>
      <c r="F713" s="317">
        <v>60</v>
      </c>
      <c r="G713" s="317">
        <v>10</v>
      </c>
      <c r="H713" s="318">
        <v>0</v>
      </c>
      <c r="I713" s="328">
        <v>50</v>
      </c>
      <c r="J713" s="329"/>
      <c r="K713" s="324"/>
      <c r="L713" s="360">
        <v>50</v>
      </c>
      <c r="M713" s="323"/>
      <c r="N713" s="324">
        <f t="shared" ref="N713:N715" si="372">ROUND(L713*M713,2)</f>
        <v>0</v>
      </c>
      <c r="O713" s="325">
        <f t="shared" ref="O713:O715" si="373">SUM(L713,I713)</f>
        <v>100</v>
      </c>
      <c r="P713" s="323">
        <f t="shared" ref="P713:P715" si="374">IF(M713&lt;&gt;"",M713,J713)</f>
        <v>0</v>
      </c>
      <c r="Q713" s="326">
        <f t="shared" ref="Q713:Q715" si="375">ROUND(O713*P713,2)</f>
        <v>0</v>
      </c>
    </row>
    <row r="714" spans="1:17" ht="22.5" x14ac:dyDescent="0.25">
      <c r="A714" s="341" t="s">
        <v>8324</v>
      </c>
      <c r="B714" s="341" t="s">
        <v>8325</v>
      </c>
      <c r="C714" s="342" t="s">
        <v>378</v>
      </c>
      <c r="D714" s="342" t="s">
        <v>1</v>
      </c>
      <c r="E714" s="343" t="s">
        <v>7193</v>
      </c>
      <c r="F714" s="343">
        <v>60</v>
      </c>
      <c r="G714" s="343">
        <v>10</v>
      </c>
      <c r="H714" s="318">
        <v>0</v>
      </c>
      <c r="I714" s="322">
        <v>1</v>
      </c>
      <c r="J714" s="329"/>
      <c r="K714" s="324"/>
      <c r="L714" s="372">
        <v>1</v>
      </c>
      <c r="M714" s="323"/>
      <c r="N714" s="324">
        <f t="shared" si="372"/>
        <v>0</v>
      </c>
      <c r="O714" s="325">
        <f t="shared" si="373"/>
        <v>2</v>
      </c>
      <c r="P714" s="323">
        <f t="shared" si="374"/>
        <v>0</v>
      </c>
      <c r="Q714" s="326">
        <f t="shared" si="375"/>
        <v>0</v>
      </c>
    </row>
    <row r="715" spans="1:17" ht="22.5" x14ac:dyDescent="0.25">
      <c r="A715" s="341" t="s">
        <v>8326</v>
      </c>
      <c r="B715" s="341" t="s">
        <v>8327</v>
      </c>
      <c r="C715" s="342" t="s">
        <v>378</v>
      </c>
      <c r="D715" s="342" t="s">
        <v>1</v>
      </c>
      <c r="E715" s="343" t="s">
        <v>7193</v>
      </c>
      <c r="F715" s="343">
        <v>60</v>
      </c>
      <c r="G715" s="343">
        <v>10</v>
      </c>
      <c r="H715" s="318">
        <v>0</v>
      </c>
      <c r="I715" s="322">
        <v>1</v>
      </c>
      <c r="J715" s="329"/>
      <c r="K715" s="324"/>
      <c r="L715" s="372">
        <v>1</v>
      </c>
      <c r="M715" s="323"/>
      <c r="N715" s="324">
        <f t="shared" si="372"/>
        <v>0</v>
      </c>
      <c r="O715" s="325">
        <f t="shared" si="373"/>
        <v>2</v>
      </c>
      <c r="P715" s="323">
        <f t="shared" si="374"/>
        <v>0</v>
      </c>
      <c r="Q715" s="326">
        <f t="shared" si="375"/>
        <v>0</v>
      </c>
    </row>
    <row r="716" spans="1:17" x14ac:dyDescent="0.25">
      <c r="A716" s="238" t="s">
        <v>8328</v>
      </c>
      <c r="B716" s="239" t="s">
        <v>8329</v>
      </c>
      <c r="C716" s="240"/>
      <c r="D716" s="241"/>
      <c r="E716" s="242"/>
      <c r="F716" s="243"/>
      <c r="G716" s="243"/>
      <c r="H716" s="244"/>
      <c r="I716" s="245"/>
      <c r="J716" s="245"/>
      <c r="K716" s="245"/>
      <c r="L716" s="245"/>
      <c r="M716" s="245"/>
      <c r="N716" s="245"/>
      <c r="O716" s="245"/>
      <c r="P716" s="245"/>
      <c r="Q716" s="245"/>
    </row>
    <row r="717" spans="1:17" x14ac:dyDescent="0.25">
      <c r="A717" s="254" t="s">
        <v>8330</v>
      </c>
      <c r="B717" s="255" t="s">
        <v>8331</v>
      </c>
      <c r="C717" s="256"/>
      <c r="D717" s="257"/>
      <c r="E717" s="258"/>
      <c r="F717" s="258"/>
      <c r="G717" s="258"/>
      <c r="H717" s="259"/>
      <c r="I717" s="375"/>
      <c r="J717" s="375"/>
      <c r="K717" s="375"/>
      <c r="L717" s="375"/>
      <c r="M717" s="375"/>
      <c r="N717" s="375"/>
      <c r="O717" s="375"/>
      <c r="P717" s="375"/>
      <c r="Q717" s="375"/>
    </row>
    <row r="718" spans="1:17" ht="22.5" x14ac:dyDescent="0.25">
      <c r="A718" s="313" t="s">
        <v>8332</v>
      </c>
      <c r="B718" s="314" t="s">
        <v>8333</v>
      </c>
      <c r="C718" s="315" t="s">
        <v>378</v>
      </c>
      <c r="D718" s="316" t="s">
        <v>1</v>
      </c>
      <c r="E718" s="317" t="s">
        <v>7193</v>
      </c>
      <c r="F718" s="317">
        <v>70</v>
      </c>
      <c r="G718" s="317">
        <v>30</v>
      </c>
      <c r="H718" s="318">
        <v>0</v>
      </c>
      <c r="I718" s="319">
        <v>6</v>
      </c>
      <c r="J718" s="329"/>
      <c r="K718" s="324"/>
      <c r="L718" s="358">
        <v>6</v>
      </c>
      <c r="M718" s="323"/>
      <c r="N718" s="324">
        <f t="shared" ref="N718:N719" si="376">ROUND(L718*M718,2)</f>
        <v>0</v>
      </c>
      <c r="O718" s="325">
        <f t="shared" ref="O718:O719" si="377">SUM(L718,I718)</f>
        <v>12</v>
      </c>
      <c r="P718" s="323">
        <f t="shared" ref="P718:P719" si="378">IF(M718&lt;&gt;"",M718,J718)</f>
        <v>0</v>
      </c>
      <c r="Q718" s="326">
        <f t="shared" ref="Q718:Q719" si="379">ROUND(O718*P718,2)</f>
        <v>0</v>
      </c>
    </row>
    <row r="719" spans="1:17" ht="22.5" x14ac:dyDescent="0.25">
      <c r="A719" s="313" t="s">
        <v>8334</v>
      </c>
      <c r="B719" s="314" t="s">
        <v>8335</v>
      </c>
      <c r="C719" s="315" t="s">
        <v>378</v>
      </c>
      <c r="D719" s="316" t="s">
        <v>1</v>
      </c>
      <c r="E719" s="317" t="s">
        <v>7193</v>
      </c>
      <c r="F719" s="317">
        <v>70</v>
      </c>
      <c r="G719" s="317">
        <v>30</v>
      </c>
      <c r="H719" s="318">
        <v>0</v>
      </c>
      <c r="I719" s="319">
        <v>18</v>
      </c>
      <c r="J719" s="329"/>
      <c r="K719" s="324"/>
      <c r="L719" s="358">
        <v>18</v>
      </c>
      <c r="M719" s="323"/>
      <c r="N719" s="324">
        <f t="shared" si="376"/>
        <v>0</v>
      </c>
      <c r="O719" s="325">
        <f t="shared" si="377"/>
        <v>36</v>
      </c>
      <c r="P719" s="323">
        <f t="shared" si="378"/>
        <v>0</v>
      </c>
      <c r="Q719" s="326">
        <f t="shared" si="379"/>
        <v>0</v>
      </c>
    </row>
    <row r="720" spans="1:17" x14ac:dyDescent="0.25">
      <c r="A720" s="254" t="s">
        <v>8336</v>
      </c>
      <c r="B720" s="255" t="s">
        <v>8337</v>
      </c>
      <c r="C720" s="256"/>
      <c r="D720" s="257"/>
      <c r="E720" s="258"/>
      <c r="F720" s="258"/>
      <c r="G720" s="258"/>
      <c r="H720" s="259"/>
      <c r="I720" s="375"/>
      <c r="J720" s="375"/>
      <c r="K720" s="375"/>
      <c r="L720" s="375"/>
      <c r="M720" s="375"/>
      <c r="N720" s="375"/>
      <c r="O720" s="375"/>
      <c r="P720" s="375"/>
      <c r="Q720" s="375"/>
    </row>
    <row r="721" spans="1:17" ht="22.5" x14ac:dyDescent="0.25">
      <c r="A721" s="313" t="s">
        <v>8338</v>
      </c>
      <c r="B721" s="314" t="s">
        <v>8339</v>
      </c>
      <c r="C721" s="315" t="s">
        <v>378</v>
      </c>
      <c r="D721" s="316" t="s">
        <v>1</v>
      </c>
      <c r="E721" s="317" t="s">
        <v>7193</v>
      </c>
      <c r="F721" s="317">
        <v>70</v>
      </c>
      <c r="G721" s="317">
        <v>30</v>
      </c>
      <c r="H721" s="318">
        <v>0</v>
      </c>
      <c r="I721" s="319">
        <v>26</v>
      </c>
      <c r="J721" s="329"/>
      <c r="K721" s="324"/>
      <c r="L721" s="358">
        <v>26</v>
      </c>
      <c r="M721" s="323"/>
      <c r="N721" s="324">
        <f t="shared" ref="N721:N722" si="380">ROUND(L721*M721,2)</f>
        <v>0</v>
      </c>
      <c r="O721" s="325">
        <f t="shared" ref="O721:O722" si="381">SUM(L721,I721)</f>
        <v>52</v>
      </c>
      <c r="P721" s="323">
        <f t="shared" ref="P721:P722" si="382">IF(M721&lt;&gt;"",M721,J721)</f>
        <v>0</v>
      </c>
      <c r="Q721" s="326">
        <f t="shared" ref="Q721:Q722" si="383">ROUND(O721*P721,2)</f>
        <v>0</v>
      </c>
    </row>
    <row r="722" spans="1:17" ht="22.5" x14ac:dyDescent="0.25">
      <c r="A722" s="313" t="s">
        <v>8340</v>
      </c>
      <c r="B722" s="314" t="s">
        <v>8341</v>
      </c>
      <c r="C722" s="315" t="s">
        <v>378</v>
      </c>
      <c r="D722" s="316" t="s">
        <v>1</v>
      </c>
      <c r="E722" s="317" t="s">
        <v>7193</v>
      </c>
      <c r="F722" s="317">
        <v>70</v>
      </c>
      <c r="G722" s="317">
        <v>30</v>
      </c>
      <c r="H722" s="318">
        <v>0</v>
      </c>
      <c r="I722" s="319">
        <v>35</v>
      </c>
      <c r="J722" s="329"/>
      <c r="K722" s="324"/>
      <c r="L722" s="358">
        <v>35</v>
      </c>
      <c r="M722" s="323"/>
      <c r="N722" s="324">
        <f t="shared" si="380"/>
        <v>0</v>
      </c>
      <c r="O722" s="325">
        <f t="shared" si="381"/>
        <v>70</v>
      </c>
      <c r="P722" s="323">
        <f t="shared" si="382"/>
        <v>0</v>
      </c>
      <c r="Q722" s="326">
        <f t="shared" si="383"/>
        <v>0</v>
      </c>
    </row>
    <row r="723" spans="1:17" x14ac:dyDescent="0.25">
      <c r="A723" s="254" t="s">
        <v>8342</v>
      </c>
      <c r="B723" s="255" t="s">
        <v>7334</v>
      </c>
      <c r="C723" s="256"/>
      <c r="D723" s="257"/>
      <c r="E723" s="258"/>
      <c r="F723" s="258"/>
      <c r="G723" s="258"/>
      <c r="H723" s="259"/>
      <c r="I723" s="375"/>
      <c r="J723" s="375"/>
      <c r="K723" s="375"/>
      <c r="L723" s="375"/>
      <c r="M723" s="375"/>
      <c r="N723" s="375"/>
      <c r="O723" s="375"/>
      <c r="P723" s="375"/>
      <c r="Q723" s="375"/>
    </row>
    <row r="724" spans="1:17" ht="22.5" x14ac:dyDescent="0.25">
      <c r="A724" s="306" t="s">
        <v>8343</v>
      </c>
      <c r="B724" s="331" t="s">
        <v>8344</v>
      </c>
      <c r="C724" s="332"/>
      <c r="D724" s="333"/>
      <c r="E724" s="334"/>
      <c r="F724" s="335"/>
      <c r="G724" s="335"/>
      <c r="H724" s="336"/>
      <c r="I724" s="261"/>
      <c r="J724" s="261"/>
      <c r="K724" s="261"/>
      <c r="L724" s="261"/>
      <c r="M724" s="261"/>
      <c r="N724" s="261"/>
      <c r="O724" s="261"/>
      <c r="P724" s="261"/>
      <c r="Q724" s="261"/>
    </row>
    <row r="725" spans="1:17" ht="33.75" x14ac:dyDescent="0.25">
      <c r="A725" s="313" t="s">
        <v>8345</v>
      </c>
      <c r="B725" s="314" t="s">
        <v>8346</v>
      </c>
      <c r="C725" s="315" t="s">
        <v>378</v>
      </c>
      <c r="D725" s="316" t="s">
        <v>1</v>
      </c>
      <c r="E725" s="317" t="s">
        <v>7193</v>
      </c>
      <c r="F725" s="317">
        <v>70</v>
      </c>
      <c r="G725" s="317">
        <v>10</v>
      </c>
      <c r="H725" s="364">
        <v>900</v>
      </c>
      <c r="I725" s="328">
        <v>500</v>
      </c>
      <c r="J725" s="329"/>
      <c r="K725" s="324"/>
      <c r="L725" s="360">
        <v>500</v>
      </c>
      <c r="M725" s="323"/>
      <c r="N725" s="324">
        <f t="shared" ref="N725" si="384">ROUND(L725*M725,2)</f>
        <v>0</v>
      </c>
      <c r="O725" s="325">
        <f>SUM(L725,I725)</f>
        <v>1000</v>
      </c>
      <c r="P725" s="323">
        <f>IF(M725&lt;&gt;"",M725,J725)</f>
        <v>0</v>
      </c>
      <c r="Q725" s="326">
        <f>ROUND(O725*P725,2)</f>
        <v>0</v>
      </c>
    </row>
    <row r="726" spans="1:17" x14ac:dyDescent="0.25">
      <c r="A726" s="254" t="s">
        <v>8347</v>
      </c>
      <c r="B726" s="331" t="s">
        <v>7960</v>
      </c>
      <c r="C726" s="332"/>
      <c r="D726" s="333"/>
      <c r="E726" s="334"/>
      <c r="F726" s="335"/>
      <c r="G726" s="335"/>
      <c r="H726" s="336"/>
      <c r="I726" s="261"/>
      <c r="J726" s="261"/>
      <c r="K726" s="261"/>
      <c r="L726" s="261"/>
      <c r="M726" s="261"/>
      <c r="N726" s="261"/>
      <c r="O726" s="261"/>
      <c r="P726" s="261"/>
      <c r="Q726" s="261"/>
    </row>
    <row r="727" spans="1:17" ht="22.5" x14ac:dyDescent="0.25">
      <c r="A727" s="313" t="s">
        <v>8348</v>
      </c>
      <c r="B727" s="314" t="s">
        <v>8349</v>
      </c>
      <c r="C727" s="315" t="s">
        <v>460</v>
      </c>
      <c r="D727" s="316" t="s">
        <v>1</v>
      </c>
      <c r="E727" s="317" t="s">
        <v>7193</v>
      </c>
      <c r="F727" s="317">
        <v>70</v>
      </c>
      <c r="G727" s="317">
        <v>10</v>
      </c>
      <c r="H727" s="364">
        <v>20</v>
      </c>
      <c r="I727" s="328">
        <v>16</v>
      </c>
      <c r="J727" s="329"/>
      <c r="K727" s="324"/>
      <c r="L727" s="360">
        <v>16</v>
      </c>
      <c r="M727" s="323"/>
      <c r="N727" s="324">
        <f t="shared" ref="N727" si="385">ROUND(L727*M727,2)</f>
        <v>0</v>
      </c>
      <c r="O727" s="325">
        <f>SUM(L727,I727)</f>
        <v>32</v>
      </c>
      <c r="P727" s="323">
        <f>IF(M727&lt;&gt;"",M727,J727)</f>
        <v>0</v>
      </c>
      <c r="Q727" s="326">
        <f>ROUND(O727*P727,2)</f>
        <v>0</v>
      </c>
    </row>
    <row r="728" spans="1:17" x14ac:dyDescent="0.25">
      <c r="A728" s="254" t="s">
        <v>8350</v>
      </c>
      <c r="B728" s="255" t="s">
        <v>7446</v>
      </c>
      <c r="C728" s="256"/>
      <c r="D728" s="257"/>
      <c r="E728" s="258"/>
      <c r="F728" s="258"/>
      <c r="G728" s="258"/>
      <c r="H728" s="259"/>
      <c r="I728" s="375"/>
      <c r="J728" s="375"/>
      <c r="K728" s="375"/>
      <c r="L728" s="375"/>
      <c r="M728" s="375"/>
      <c r="N728" s="375"/>
      <c r="O728" s="375"/>
      <c r="P728" s="375"/>
      <c r="Q728" s="375"/>
    </row>
    <row r="729" spans="1:17" x14ac:dyDescent="0.25">
      <c r="A729" s="306" t="s">
        <v>8351</v>
      </c>
      <c r="B729" s="331" t="s">
        <v>8352</v>
      </c>
      <c r="C729" s="332"/>
      <c r="D729" s="333"/>
      <c r="E729" s="334"/>
      <c r="F729" s="335"/>
      <c r="G729" s="335"/>
      <c r="H729" s="336"/>
      <c r="I729" s="261"/>
      <c r="J729" s="261"/>
      <c r="K729" s="261"/>
      <c r="L729" s="261"/>
      <c r="M729" s="261"/>
      <c r="N729" s="261"/>
      <c r="O729" s="261"/>
      <c r="P729" s="261"/>
      <c r="Q729" s="261"/>
    </row>
    <row r="730" spans="1:17" ht="22.5" x14ac:dyDescent="0.25">
      <c r="A730" s="313" t="s">
        <v>8353</v>
      </c>
      <c r="B730" s="314" t="s">
        <v>8354</v>
      </c>
      <c r="C730" s="315" t="s">
        <v>460</v>
      </c>
      <c r="D730" s="316" t="s">
        <v>1</v>
      </c>
      <c r="E730" s="317" t="s">
        <v>7193</v>
      </c>
      <c r="F730" s="317">
        <v>70</v>
      </c>
      <c r="G730" s="317">
        <v>60</v>
      </c>
      <c r="H730" s="318">
        <v>10</v>
      </c>
      <c r="I730" s="319">
        <v>10</v>
      </c>
      <c r="J730" s="329"/>
      <c r="K730" s="324"/>
      <c r="L730" s="358">
        <v>10</v>
      </c>
      <c r="M730" s="323"/>
      <c r="N730" s="324">
        <f t="shared" ref="N730" si="386">ROUND(L730*M730,2)</f>
        <v>0</v>
      </c>
      <c r="O730" s="325">
        <f>SUM(L730,I730)</f>
        <v>20</v>
      </c>
      <c r="P730" s="323">
        <f>IF(M730&lt;&gt;"",M730,J730)</f>
        <v>0</v>
      </c>
      <c r="Q730" s="326">
        <f>ROUND(O730*P730,2)</f>
        <v>0</v>
      </c>
    </row>
    <row r="731" spans="1:17" x14ac:dyDescent="0.25">
      <c r="A731" s="254" t="s">
        <v>8355</v>
      </c>
      <c r="B731" s="331" t="s">
        <v>7452</v>
      </c>
      <c r="C731" s="332"/>
      <c r="D731" s="333"/>
      <c r="E731" s="334"/>
      <c r="F731" s="335"/>
      <c r="G731" s="335"/>
      <c r="H731" s="336"/>
      <c r="I731" s="261"/>
      <c r="J731" s="261"/>
      <c r="K731" s="261"/>
      <c r="L731" s="261"/>
      <c r="M731" s="261"/>
      <c r="N731" s="261"/>
      <c r="O731" s="261"/>
      <c r="P731" s="261"/>
      <c r="Q731" s="261"/>
    </row>
    <row r="732" spans="1:17" ht="22.5" x14ac:dyDescent="0.25">
      <c r="A732" s="313" t="s">
        <v>8356</v>
      </c>
      <c r="B732" s="314" t="s">
        <v>7971</v>
      </c>
      <c r="C732" s="315" t="s">
        <v>911</v>
      </c>
      <c r="D732" s="316" t="s">
        <v>1</v>
      </c>
      <c r="E732" s="317" t="s">
        <v>7193</v>
      </c>
      <c r="F732" s="317">
        <v>70</v>
      </c>
      <c r="G732" s="317">
        <v>60</v>
      </c>
      <c r="H732" s="318">
        <v>10</v>
      </c>
      <c r="I732" s="319">
        <v>4</v>
      </c>
      <c r="J732" s="329"/>
      <c r="K732" s="324"/>
      <c r="L732" s="358">
        <v>4</v>
      </c>
      <c r="M732" s="323"/>
      <c r="N732" s="324">
        <f t="shared" ref="N732" si="387">ROUND(L732*M732,2)</f>
        <v>0</v>
      </c>
      <c r="O732" s="325">
        <f>SUM(L732,I732)</f>
        <v>8</v>
      </c>
      <c r="P732" s="323">
        <f>IF(M732&lt;&gt;"",M732,J732)</f>
        <v>0</v>
      </c>
      <c r="Q732" s="326">
        <f>ROUND(O732*P732,2)</f>
        <v>0</v>
      </c>
    </row>
    <row r="733" spans="1:17" x14ac:dyDescent="0.25">
      <c r="A733" s="254" t="s">
        <v>8357</v>
      </c>
      <c r="B733" s="255" t="s">
        <v>7456</v>
      </c>
      <c r="C733" s="256"/>
      <c r="D733" s="257"/>
      <c r="E733" s="258"/>
      <c r="F733" s="258"/>
      <c r="G733" s="258"/>
      <c r="H733" s="259"/>
      <c r="I733" s="375"/>
      <c r="J733" s="375"/>
      <c r="K733" s="375"/>
      <c r="L733" s="375"/>
      <c r="M733" s="375"/>
      <c r="N733" s="375"/>
      <c r="O733" s="375"/>
      <c r="P733" s="375"/>
      <c r="Q733" s="375"/>
    </row>
    <row r="734" spans="1:17" x14ac:dyDescent="0.25">
      <c r="A734" s="306" t="s">
        <v>8358</v>
      </c>
      <c r="B734" s="331" t="s">
        <v>7458</v>
      </c>
      <c r="C734" s="332"/>
      <c r="D734" s="333"/>
      <c r="E734" s="334"/>
      <c r="F734" s="335"/>
      <c r="G734" s="335"/>
      <c r="H734" s="336"/>
      <c r="I734" s="261"/>
      <c r="J734" s="261"/>
      <c r="K734" s="261"/>
      <c r="L734" s="261"/>
      <c r="M734" s="261"/>
      <c r="N734" s="261"/>
      <c r="O734" s="261"/>
      <c r="P734" s="261"/>
      <c r="Q734" s="261"/>
    </row>
    <row r="735" spans="1:17" x14ac:dyDescent="0.25">
      <c r="A735" s="313" t="s">
        <v>8359</v>
      </c>
      <c r="B735" s="314" t="s">
        <v>8360</v>
      </c>
      <c r="C735" s="315" t="s">
        <v>460</v>
      </c>
      <c r="D735" s="316" t="s">
        <v>1</v>
      </c>
      <c r="E735" s="317" t="s">
        <v>7193</v>
      </c>
      <c r="F735" s="317">
        <v>70</v>
      </c>
      <c r="G735" s="317">
        <v>65</v>
      </c>
      <c r="H735" s="318">
        <v>10</v>
      </c>
      <c r="I735" s="328">
        <v>4</v>
      </c>
      <c r="J735" s="329"/>
      <c r="K735" s="324"/>
      <c r="L735" s="360">
        <v>4</v>
      </c>
      <c r="M735" s="330"/>
      <c r="N735" s="324">
        <f t="shared" ref="N735" si="388">ROUND(L735*M735,2)</f>
        <v>0</v>
      </c>
      <c r="O735" s="325">
        <f>SUM(L735,I735)</f>
        <v>8</v>
      </c>
      <c r="P735" s="323">
        <f>IF(M735&lt;&gt;"",M735,J735)</f>
        <v>0</v>
      </c>
      <c r="Q735" s="326">
        <f>ROUND(O735*P735,2)</f>
        <v>0</v>
      </c>
    </row>
    <row r="736" spans="1:17" x14ac:dyDescent="0.25">
      <c r="A736" s="254" t="s">
        <v>8361</v>
      </c>
      <c r="B736" s="255" t="s">
        <v>8362</v>
      </c>
      <c r="C736" s="256"/>
      <c r="D736" s="257"/>
      <c r="E736" s="258"/>
      <c r="F736" s="258"/>
      <c r="G736" s="258"/>
      <c r="H736" s="259"/>
      <c r="I736" s="375"/>
      <c r="J736" s="375"/>
      <c r="K736" s="375"/>
      <c r="L736" s="375"/>
      <c r="M736" s="375"/>
      <c r="N736" s="375"/>
      <c r="O736" s="375"/>
      <c r="P736" s="375"/>
      <c r="Q736" s="375"/>
    </row>
    <row r="737" spans="1:17" x14ac:dyDescent="0.25">
      <c r="A737" s="306" t="s">
        <v>8363</v>
      </c>
      <c r="B737" s="331" t="s">
        <v>8362</v>
      </c>
      <c r="C737" s="332"/>
      <c r="D737" s="333"/>
      <c r="E737" s="334"/>
      <c r="F737" s="335"/>
      <c r="G737" s="335"/>
      <c r="H737" s="336"/>
      <c r="I737" s="261"/>
      <c r="J737" s="261"/>
      <c r="K737" s="261"/>
      <c r="L737" s="261"/>
      <c r="M737" s="261"/>
      <c r="N737" s="261"/>
      <c r="O737" s="261"/>
      <c r="P737" s="261"/>
      <c r="Q737" s="261"/>
    </row>
    <row r="738" spans="1:17" ht="33.75" x14ac:dyDescent="0.25">
      <c r="A738" s="313" t="s">
        <v>8364</v>
      </c>
      <c r="B738" s="314" t="s">
        <v>8365</v>
      </c>
      <c r="C738" s="315" t="s">
        <v>378</v>
      </c>
      <c r="D738" s="316" t="s">
        <v>1</v>
      </c>
      <c r="E738" s="317" t="s">
        <v>7193</v>
      </c>
      <c r="F738" s="317">
        <v>70</v>
      </c>
      <c r="G738" s="317">
        <v>10</v>
      </c>
      <c r="H738" s="364">
        <v>900</v>
      </c>
      <c r="I738" s="328">
        <v>15</v>
      </c>
      <c r="J738" s="329"/>
      <c r="K738" s="324"/>
      <c r="L738" s="360">
        <v>15</v>
      </c>
      <c r="M738" s="323"/>
      <c r="N738" s="324">
        <f t="shared" ref="N738:N739" si="389">ROUND(L738*M738,2)</f>
        <v>0</v>
      </c>
      <c r="O738" s="325">
        <f t="shared" ref="O738:O739" si="390">SUM(L738,I738)</f>
        <v>30</v>
      </c>
      <c r="P738" s="323">
        <f t="shared" ref="P738:P739" si="391">IF(M738&lt;&gt;"",M738,J738)</f>
        <v>0</v>
      </c>
      <c r="Q738" s="326">
        <f t="shared" ref="Q738:Q739" si="392">ROUND(O738*P738,2)</f>
        <v>0</v>
      </c>
    </row>
    <row r="739" spans="1:17" ht="33.75" x14ac:dyDescent="0.25">
      <c r="A739" s="313" t="s">
        <v>8366</v>
      </c>
      <c r="B739" s="314" t="s">
        <v>8367</v>
      </c>
      <c r="C739" s="315" t="s">
        <v>378</v>
      </c>
      <c r="D739" s="316" t="s">
        <v>1</v>
      </c>
      <c r="E739" s="317" t="s">
        <v>7193</v>
      </c>
      <c r="F739" s="317">
        <v>70</v>
      </c>
      <c r="G739" s="317">
        <v>10</v>
      </c>
      <c r="H739" s="364">
        <v>900</v>
      </c>
      <c r="I739" s="328">
        <v>15</v>
      </c>
      <c r="J739" s="329"/>
      <c r="K739" s="324"/>
      <c r="L739" s="360">
        <v>15</v>
      </c>
      <c r="M739" s="323"/>
      <c r="N739" s="324">
        <f t="shared" si="389"/>
        <v>0</v>
      </c>
      <c r="O739" s="325">
        <f t="shared" si="390"/>
        <v>30</v>
      </c>
      <c r="P739" s="323">
        <f t="shared" si="391"/>
        <v>0</v>
      </c>
      <c r="Q739" s="326">
        <f t="shared" si="392"/>
        <v>0</v>
      </c>
    </row>
    <row r="740" spans="1:17" x14ac:dyDescent="0.25">
      <c r="A740" s="170" t="s">
        <v>8368</v>
      </c>
      <c r="B740" s="163" t="s">
        <v>8158</v>
      </c>
      <c r="C740" s="171"/>
      <c r="D740" s="171"/>
      <c r="E740" s="172"/>
      <c r="F740" s="172"/>
      <c r="G740" s="172"/>
      <c r="H740" s="173"/>
      <c r="I740" s="174"/>
      <c r="J740" s="175"/>
      <c r="K740" s="176"/>
      <c r="L740" s="174"/>
      <c r="M740" s="175"/>
      <c r="N740" s="176"/>
      <c r="O740" s="174"/>
      <c r="P740" s="175"/>
      <c r="Q740" s="176"/>
    </row>
    <row r="741" spans="1:17" ht="33.75" x14ac:dyDescent="0.25">
      <c r="A741" s="341" t="s">
        <v>8369</v>
      </c>
      <c r="B741" s="341" t="s">
        <v>8370</v>
      </c>
      <c r="C741" s="342" t="s">
        <v>911</v>
      </c>
      <c r="D741" s="342" t="s">
        <v>1</v>
      </c>
      <c r="E741" s="343" t="s">
        <v>7504</v>
      </c>
      <c r="F741" s="343">
        <v>30</v>
      </c>
      <c r="G741" s="343">
        <v>80</v>
      </c>
      <c r="H741" s="318">
        <v>0</v>
      </c>
      <c r="I741" s="322">
        <v>2</v>
      </c>
      <c r="J741" s="329"/>
      <c r="K741" s="324"/>
      <c r="L741" s="372">
        <v>2</v>
      </c>
      <c r="M741" s="323"/>
      <c r="N741" s="324">
        <f t="shared" ref="N741" si="393">ROUND(L741*M741,2)</f>
        <v>0</v>
      </c>
      <c r="O741" s="325">
        <f>SUM(L741,I741)</f>
        <v>4</v>
      </c>
      <c r="P741" s="323">
        <f>IF(M741&lt;&gt;"",M741,J741)</f>
        <v>0</v>
      </c>
      <c r="Q741" s="326">
        <f>ROUND(O741*P741,2)</f>
        <v>0</v>
      </c>
    </row>
    <row r="742" spans="1:17" x14ac:dyDescent="0.25">
      <c r="A742" s="238" t="s">
        <v>8371</v>
      </c>
      <c r="B742" s="239" t="s">
        <v>8372</v>
      </c>
      <c r="C742" s="240"/>
      <c r="D742" s="241"/>
      <c r="E742" s="242"/>
      <c r="F742" s="243"/>
      <c r="G742" s="243"/>
      <c r="H742" s="244"/>
      <c r="I742" s="376"/>
      <c r="J742" s="376"/>
      <c r="K742" s="376"/>
      <c r="L742" s="376"/>
      <c r="M742" s="376"/>
      <c r="N742" s="376"/>
      <c r="O742" s="376"/>
      <c r="P742" s="376"/>
      <c r="Q742" s="376"/>
    </row>
    <row r="743" spans="1:17" x14ac:dyDescent="0.25">
      <c r="A743" s="254" t="s">
        <v>8373</v>
      </c>
      <c r="B743" s="255" t="s">
        <v>7179</v>
      </c>
      <c r="C743" s="256"/>
      <c r="D743" s="257"/>
      <c r="E743" s="258"/>
      <c r="F743" s="258"/>
      <c r="G743" s="258"/>
      <c r="H743" s="259"/>
      <c r="I743" s="377"/>
      <c r="J743" s="377"/>
      <c r="K743" s="377"/>
      <c r="L743" s="377"/>
      <c r="M743" s="377"/>
      <c r="N743" s="377"/>
      <c r="O743" s="377"/>
      <c r="P743" s="377"/>
      <c r="Q743" s="377"/>
    </row>
    <row r="744" spans="1:17" x14ac:dyDescent="0.25">
      <c r="A744" s="363" t="s">
        <v>8374</v>
      </c>
      <c r="B744" s="331" t="s">
        <v>8375</v>
      </c>
      <c r="C744" s="332"/>
      <c r="D744" s="333"/>
      <c r="E744" s="334"/>
      <c r="F744" s="335"/>
      <c r="G744" s="335"/>
      <c r="H744" s="336"/>
      <c r="I744" s="378"/>
      <c r="J744" s="378"/>
      <c r="K744" s="378"/>
      <c r="L744" s="378"/>
      <c r="M744" s="378"/>
      <c r="N744" s="378"/>
      <c r="O744" s="378"/>
      <c r="P744" s="378"/>
      <c r="Q744" s="378"/>
    </row>
    <row r="745" spans="1:17" ht="22.5" x14ac:dyDescent="0.25">
      <c r="A745" s="313" t="s">
        <v>8376</v>
      </c>
      <c r="B745" s="314" t="s">
        <v>8377</v>
      </c>
      <c r="C745" s="315" t="s">
        <v>460</v>
      </c>
      <c r="D745" s="316" t="s">
        <v>1</v>
      </c>
      <c r="E745" s="317" t="s">
        <v>7079</v>
      </c>
      <c r="F745" s="317">
        <v>75</v>
      </c>
      <c r="G745" s="317">
        <v>37</v>
      </c>
      <c r="H745" s="318">
        <v>0</v>
      </c>
      <c r="I745" s="379">
        <v>6</v>
      </c>
      <c r="J745" s="329"/>
      <c r="K745" s="324"/>
      <c r="L745" s="380">
        <v>6</v>
      </c>
      <c r="M745" s="323"/>
      <c r="N745" s="324">
        <f t="shared" ref="N745:N746" si="394">ROUND(L745*M745,2)</f>
        <v>0</v>
      </c>
      <c r="O745" s="325">
        <f t="shared" ref="O745:O746" si="395">SUM(L745,I745)</f>
        <v>12</v>
      </c>
      <c r="P745" s="323">
        <f t="shared" ref="P745:P746" si="396">IF(M745&lt;&gt;"",M745,J745)</f>
        <v>0</v>
      </c>
      <c r="Q745" s="326">
        <f t="shared" ref="Q745:Q746" si="397">ROUND(O745*P745,2)</f>
        <v>0</v>
      </c>
    </row>
    <row r="746" spans="1:17" ht="22.5" x14ac:dyDescent="0.25">
      <c r="A746" s="313" t="s">
        <v>8378</v>
      </c>
      <c r="B746" s="314" t="s">
        <v>8379</v>
      </c>
      <c r="C746" s="315" t="s">
        <v>460</v>
      </c>
      <c r="D746" s="316" t="s">
        <v>1</v>
      </c>
      <c r="E746" s="317" t="s">
        <v>7079</v>
      </c>
      <c r="F746" s="317">
        <v>75</v>
      </c>
      <c r="G746" s="317">
        <v>37</v>
      </c>
      <c r="H746" s="318">
        <v>0</v>
      </c>
      <c r="I746" s="379">
        <v>3</v>
      </c>
      <c r="J746" s="329"/>
      <c r="K746" s="324"/>
      <c r="L746" s="380">
        <v>3</v>
      </c>
      <c r="M746" s="323"/>
      <c r="N746" s="324">
        <f t="shared" si="394"/>
        <v>0</v>
      </c>
      <c r="O746" s="325">
        <f t="shared" si="395"/>
        <v>6</v>
      </c>
      <c r="P746" s="323">
        <f t="shared" si="396"/>
        <v>0</v>
      </c>
      <c r="Q746" s="326">
        <f t="shared" si="397"/>
        <v>0</v>
      </c>
    </row>
    <row r="747" spans="1:17" x14ac:dyDescent="0.25">
      <c r="A747" s="238" t="s">
        <v>8380</v>
      </c>
      <c r="B747" s="239" t="s">
        <v>8381</v>
      </c>
      <c r="C747" s="240"/>
      <c r="D747" s="241"/>
      <c r="E747" s="242"/>
      <c r="F747" s="243"/>
      <c r="G747" s="243"/>
      <c r="H747" s="244"/>
      <c r="I747" s="381"/>
      <c r="J747" s="381"/>
      <c r="K747" s="381"/>
      <c r="L747" s="381"/>
      <c r="M747" s="381"/>
      <c r="N747" s="381"/>
      <c r="O747" s="381"/>
      <c r="P747" s="381"/>
      <c r="Q747" s="381"/>
    </row>
    <row r="748" spans="1:17" x14ac:dyDescent="0.25">
      <c r="A748" s="254" t="s">
        <v>8382</v>
      </c>
      <c r="B748" s="255" t="s">
        <v>8383</v>
      </c>
      <c r="C748" s="256"/>
      <c r="D748" s="257"/>
      <c r="E748" s="258"/>
      <c r="F748" s="258"/>
      <c r="G748" s="258"/>
      <c r="H748" s="259"/>
      <c r="I748" s="375"/>
      <c r="J748" s="375"/>
      <c r="K748" s="375"/>
      <c r="L748" s="375"/>
      <c r="M748" s="375"/>
      <c r="N748" s="375"/>
      <c r="O748" s="375"/>
      <c r="P748" s="375"/>
      <c r="Q748" s="375"/>
    </row>
    <row r="749" spans="1:17" x14ac:dyDescent="0.25">
      <c r="A749" s="306" t="s">
        <v>8384</v>
      </c>
      <c r="B749" s="307" t="s">
        <v>8385</v>
      </c>
      <c r="C749" s="308"/>
      <c r="D749" s="309"/>
      <c r="E749" s="310"/>
      <c r="F749" s="310"/>
      <c r="G749" s="310"/>
      <c r="H749" s="311"/>
      <c r="I749" s="375"/>
      <c r="J749" s="375"/>
      <c r="K749" s="375"/>
      <c r="L749" s="375"/>
      <c r="M749" s="375"/>
      <c r="N749" s="375"/>
      <c r="O749" s="375"/>
      <c r="P749" s="375"/>
      <c r="Q749" s="375"/>
    </row>
    <row r="750" spans="1:17" x14ac:dyDescent="0.25">
      <c r="A750" s="313" t="s">
        <v>8386</v>
      </c>
      <c r="B750" s="314" t="s">
        <v>8385</v>
      </c>
      <c r="C750" s="315" t="s">
        <v>88</v>
      </c>
      <c r="D750" s="316" t="s">
        <v>1</v>
      </c>
      <c r="E750" s="317" t="s">
        <v>7193</v>
      </c>
      <c r="F750" s="317">
        <v>55</v>
      </c>
      <c r="G750" s="317">
        <v>10</v>
      </c>
      <c r="H750" s="318">
        <v>900</v>
      </c>
      <c r="I750" s="319">
        <v>30</v>
      </c>
      <c r="J750" s="329"/>
      <c r="K750" s="324"/>
      <c r="L750" s="358">
        <v>30</v>
      </c>
      <c r="M750" s="323"/>
      <c r="N750" s="324">
        <f t="shared" ref="N750" si="398">ROUND(L750*M750,2)</f>
        <v>0</v>
      </c>
      <c r="O750" s="325">
        <f>SUM(L750,I750)</f>
        <v>60</v>
      </c>
      <c r="P750" s="323">
        <f>IF(M750&lt;&gt;"",M750,J750)</f>
        <v>0</v>
      </c>
      <c r="Q750" s="326">
        <f>ROUND(O750*P750,2)</f>
        <v>0</v>
      </c>
    </row>
    <row r="751" spans="1:17" x14ac:dyDescent="0.25">
      <c r="A751" s="254" t="s">
        <v>8387</v>
      </c>
      <c r="B751" s="255" t="s">
        <v>8388</v>
      </c>
      <c r="C751" s="256"/>
      <c r="D751" s="257"/>
      <c r="E751" s="258"/>
      <c r="F751" s="258"/>
      <c r="G751" s="258"/>
      <c r="H751" s="259"/>
      <c r="I751" s="375"/>
      <c r="J751" s="375"/>
      <c r="K751" s="375"/>
      <c r="L751" s="375"/>
      <c r="M751" s="375"/>
      <c r="N751" s="375"/>
      <c r="O751" s="375"/>
      <c r="P751" s="375"/>
      <c r="Q751" s="375"/>
    </row>
    <row r="752" spans="1:17" x14ac:dyDescent="0.25">
      <c r="A752" s="306" t="s">
        <v>8389</v>
      </c>
      <c r="B752" s="307" t="s">
        <v>8390</v>
      </c>
      <c r="C752" s="308"/>
      <c r="D752" s="309"/>
      <c r="E752" s="310"/>
      <c r="F752" s="310"/>
      <c r="G752" s="310"/>
      <c r="H752" s="311"/>
      <c r="I752" s="375"/>
      <c r="J752" s="375"/>
      <c r="K752" s="375"/>
      <c r="L752" s="375"/>
      <c r="M752" s="375"/>
      <c r="N752" s="375"/>
      <c r="O752" s="375"/>
      <c r="P752" s="375"/>
      <c r="Q752" s="375"/>
    </row>
    <row r="753" spans="1:17" ht="22.5" x14ac:dyDescent="0.25">
      <c r="A753" s="313" t="s">
        <v>8391</v>
      </c>
      <c r="B753" s="314" t="s">
        <v>8392</v>
      </c>
      <c r="C753" s="315" t="s">
        <v>911</v>
      </c>
      <c r="D753" s="316" t="s">
        <v>1</v>
      </c>
      <c r="E753" s="317" t="s">
        <v>7504</v>
      </c>
      <c r="F753" s="317">
        <v>32</v>
      </c>
      <c r="G753" s="317">
        <v>20</v>
      </c>
      <c r="H753" s="327">
        <v>0</v>
      </c>
      <c r="I753" s="319">
        <v>2</v>
      </c>
      <c r="J753" s="320"/>
      <c r="K753" s="324"/>
      <c r="L753" s="358">
        <v>2</v>
      </c>
      <c r="M753" s="323"/>
      <c r="N753" s="324">
        <f t="shared" ref="N753" si="399">ROUND(L753*M753,2)</f>
        <v>0</v>
      </c>
      <c r="O753" s="325">
        <f>SUM(L753,I753)</f>
        <v>4</v>
      </c>
      <c r="P753" s="323">
        <f>IF(M753&lt;&gt;"",M753,J753)</f>
        <v>0</v>
      </c>
      <c r="Q753" s="326">
        <f>ROUND(O753*P753,2)</f>
        <v>0</v>
      </c>
    </row>
    <row r="754" spans="1:17" x14ac:dyDescent="0.25">
      <c r="A754" s="133" t="s">
        <v>8393</v>
      </c>
      <c r="B754" s="133" t="s">
        <v>7883</v>
      </c>
      <c r="C754" s="134"/>
      <c r="D754" s="134"/>
      <c r="E754" s="135"/>
      <c r="F754" s="136"/>
      <c r="G754" s="136"/>
      <c r="H754" s="137"/>
      <c r="I754" s="138"/>
      <c r="J754" s="139"/>
      <c r="K754" s="140"/>
      <c r="L754" s="138"/>
      <c r="M754" s="139"/>
      <c r="N754" s="140"/>
      <c r="O754" s="138"/>
      <c r="P754" s="139"/>
      <c r="Q754" s="140"/>
    </row>
    <row r="755" spans="1:17" x14ac:dyDescent="0.25">
      <c r="A755" s="163" t="s">
        <v>8394</v>
      </c>
      <c r="B755" s="163" t="s">
        <v>8189</v>
      </c>
      <c r="C755" s="164"/>
      <c r="D755" s="164"/>
      <c r="E755" s="165"/>
      <c r="F755" s="165"/>
      <c r="G755" s="165"/>
      <c r="H755" s="166"/>
      <c r="I755" s="167"/>
      <c r="J755" s="168"/>
      <c r="K755" s="169"/>
      <c r="L755" s="167"/>
      <c r="M755" s="168"/>
      <c r="N755" s="169"/>
      <c r="O755" s="167"/>
      <c r="P755" s="168"/>
      <c r="Q755" s="169"/>
    </row>
    <row r="756" spans="1:17" x14ac:dyDescent="0.25">
      <c r="A756" s="313" t="s">
        <v>8395</v>
      </c>
      <c r="B756" s="314" t="s">
        <v>8191</v>
      </c>
      <c r="C756" s="315" t="s">
        <v>524</v>
      </c>
      <c r="D756" s="356" t="s">
        <v>1</v>
      </c>
      <c r="E756" s="357" t="s">
        <v>7675</v>
      </c>
      <c r="F756" s="357">
        <v>5</v>
      </c>
      <c r="G756" s="357">
        <v>5</v>
      </c>
      <c r="H756" s="318">
        <v>10</v>
      </c>
      <c r="I756" s="319">
        <v>10</v>
      </c>
      <c r="J756" s="329"/>
      <c r="K756" s="324"/>
      <c r="L756" s="372">
        <v>10</v>
      </c>
      <c r="M756" s="323"/>
      <c r="N756" s="324">
        <f t="shared" ref="N756" si="400">ROUND(L756*M756,2)</f>
        <v>0</v>
      </c>
      <c r="O756" s="325">
        <f>SUM(L756,I756)</f>
        <v>20</v>
      </c>
      <c r="P756" s="323">
        <f>IF(M756&lt;&gt;"",M756,J756)</f>
        <v>0</v>
      </c>
      <c r="Q756" s="326">
        <f>ROUND(O756*P756,2)</f>
        <v>0</v>
      </c>
    </row>
    <row r="757" spans="1:17" x14ac:dyDescent="0.25">
      <c r="A757" s="238" t="s">
        <v>8396</v>
      </c>
      <c r="B757" s="239" t="s">
        <v>8250</v>
      </c>
      <c r="C757" s="240"/>
      <c r="D757" s="241"/>
      <c r="E757" s="242"/>
      <c r="F757" s="243"/>
      <c r="G757" s="243"/>
      <c r="H757" s="244"/>
      <c r="I757" s="270"/>
      <c r="J757" s="270"/>
      <c r="K757" s="270"/>
      <c r="L757" s="270"/>
      <c r="M757" s="270"/>
      <c r="N757" s="270"/>
      <c r="O757" s="270"/>
      <c r="P757" s="270"/>
      <c r="Q757" s="270"/>
    </row>
    <row r="758" spans="1:17" x14ac:dyDescent="0.25">
      <c r="A758" s="313" t="s">
        <v>8397</v>
      </c>
      <c r="B758" s="313" t="s">
        <v>7889</v>
      </c>
      <c r="C758" s="315" t="s">
        <v>524</v>
      </c>
      <c r="D758" s="361" t="s">
        <v>1</v>
      </c>
      <c r="E758" s="362" t="s">
        <v>7670</v>
      </c>
      <c r="F758" s="362">
        <v>50</v>
      </c>
      <c r="G758" s="362">
        <v>50</v>
      </c>
      <c r="H758" s="318">
        <v>0</v>
      </c>
      <c r="I758" s="328">
        <v>400</v>
      </c>
      <c r="J758" s="329"/>
      <c r="K758" s="324"/>
      <c r="L758" s="360">
        <v>400</v>
      </c>
      <c r="M758" s="323"/>
      <c r="N758" s="324">
        <f t="shared" ref="N758:N759" si="401">ROUND(L758*M758,2)</f>
        <v>0</v>
      </c>
      <c r="O758" s="325">
        <f t="shared" ref="O758:O759" si="402">SUM(L758,I758)</f>
        <v>800</v>
      </c>
      <c r="P758" s="323">
        <f t="shared" ref="P758:P759" si="403">IF(M758&lt;&gt;"",M758,J758)</f>
        <v>0</v>
      </c>
      <c r="Q758" s="326">
        <f t="shared" ref="Q758:Q759" si="404">ROUND(O758*P758,2)</f>
        <v>0</v>
      </c>
    </row>
    <row r="759" spans="1:17" x14ac:dyDescent="0.25">
      <c r="A759" s="313" t="s">
        <v>8398</v>
      </c>
      <c r="B759" s="313" t="s">
        <v>7891</v>
      </c>
      <c r="C759" s="315" t="s">
        <v>524</v>
      </c>
      <c r="D759" s="361" t="s">
        <v>1</v>
      </c>
      <c r="E759" s="362" t="s">
        <v>7670</v>
      </c>
      <c r="F759" s="362">
        <v>50</v>
      </c>
      <c r="G759" s="362">
        <v>50</v>
      </c>
      <c r="H759" s="318">
        <v>0</v>
      </c>
      <c r="I759" s="328">
        <v>400</v>
      </c>
      <c r="J759" s="329"/>
      <c r="K759" s="324"/>
      <c r="L759" s="360">
        <v>400</v>
      </c>
      <c r="M759" s="323"/>
      <c r="N759" s="324">
        <f t="shared" si="401"/>
        <v>0</v>
      </c>
      <c r="O759" s="325">
        <f t="shared" si="402"/>
        <v>800</v>
      </c>
      <c r="P759" s="323">
        <f t="shared" si="403"/>
        <v>0</v>
      </c>
      <c r="Q759" s="326">
        <f t="shared" si="404"/>
        <v>0</v>
      </c>
    </row>
    <row r="760" spans="1:17" x14ac:dyDescent="0.25">
      <c r="A760" s="281"/>
      <c r="B760" s="282" t="s">
        <v>8399</v>
      </c>
      <c r="C760" s="281"/>
      <c r="D760" s="283"/>
      <c r="E760" s="284"/>
      <c r="F760" s="285"/>
      <c r="G760" s="285"/>
      <c r="H760" s="286"/>
      <c r="I760" s="288"/>
      <c r="J760" s="288"/>
      <c r="K760" s="288">
        <f>SUBTOTAL(9,K676:K759)</f>
        <v>0</v>
      </c>
      <c r="L760" s="288"/>
      <c r="M760" s="288"/>
      <c r="N760" s="288">
        <f>SUBTOTAL(9,N676:N759)</f>
        <v>0</v>
      </c>
      <c r="O760" s="288"/>
      <c r="P760" s="288"/>
      <c r="Q760" s="288">
        <f>SUBTOTAL(9,Q676:Q759)</f>
        <v>0</v>
      </c>
    </row>
    <row r="761" spans="1:17" x14ac:dyDescent="0.25">
      <c r="A761" s="148" t="s">
        <v>7083</v>
      </c>
      <c r="B761" s="148" t="s">
        <v>8400</v>
      </c>
      <c r="C761" s="149"/>
      <c r="D761" s="149"/>
      <c r="E761" s="150"/>
      <c r="F761" s="150"/>
      <c r="G761" s="150"/>
      <c r="H761" s="382"/>
      <c r="I761" s="152"/>
      <c r="J761" s="153"/>
      <c r="K761" s="154">
        <f>SUBTOTAL(9,K26:K760)</f>
        <v>22135840.930000007</v>
      </c>
      <c r="L761" s="152"/>
      <c r="M761" s="153"/>
      <c r="N761" s="154">
        <f>SUBTOTAL(9,N26:N760)</f>
        <v>-1301884.5099999998</v>
      </c>
      <c r="O761" s="152"/>
      <c r="P761" s="153"/>
      <c r="Q761" s="154">
        <f>SUBTOTAL(9,Q26:Q760)</f>
        <v>20833956.410000004</v>
      </c>
    </row>
    <row r="762" spans="1:17" ht="18.75" customHeight="1" x14ac:dyDescent="0.25">
      <c r="A762" s="383"/>
      <c r="B762" s="383" t="s">
        <v>8401</v>
      </c>
      <c r="C762" s="384"/>
      <c r="D762" s="384"/>
      <c r="E762" s="385"/>
      <c r="F762" s="385"/>
      <c r="G762" s="385"/>
      <c r="H762" s="386"/>
      <c r="I762" s="387"/>
      <c r="J762" s="388"/>
      <c r="K762" s="389">
        <f>SUBTOTAL(9,K8:K761)</f>
        <v>31025003.269999992</v>
      </c>
      <c r="L762" s="387"/>
      <c r="M762" s="388"/>
      <c r="N762" s="389">
        <f>SUBTOTAL(9,N8:N761)</f>
        <v>-1301884.5099999998</v>
      </c>
      <c r="O762" s="387"/>
      <c r="P762" s="388"/>
      <c r="Q762" s="389">
        <f>SUBTOTAL(9,Q8:Q761)</f>
        <v>29723118.749999993</v>
      </c>
    </row>
    <row r="763" spans="1:17" x14ac:dyDescent="0.25">
      <c r="F763" s="391"/>
      <c r="G763" s="391"/>
    </row>
    <row r="764" spans="1:17" x14ac:dyDescent="0.25">
      <c r="F764" s="391"/>
      <c r="G764" s="391"/>
      <c r="K764" s="393"/>
      <c r="L764" s="394"/>
      <c r="N764" s="395">
        <f>Q762-N762-K762</f>
        <v>-1.0000001639127731E-2</v>
      </c>
      <c r="Q764" s="395"/>
    </row>
    <row r="765" spans="1:17" x14ac:dyDescent="0.25">
      <c r="F765" s="391"/>
      <c r="G765" s="391"/>
      <c r="N765" s="395"/>
    </row>
    <row r="766" spans="1:17" x14ac:dyDescent="0.25">
      <c r="F766" s="391"/>
    </row>
    <row r="767" spans="1:17" x14ac:dyDescent="0.25">
      <c r="F767" s="391"/>
    </row>
    <row r="768" spans="1:17" x14ac:dyDescent="0.25">
      <c r="F768" s="391"/>
    </row>
    <row r="769" spans="6:6" x14ac:dyDescent="0.25">
      <c r="F769" s="391"/>
    </row>
    <row r="770" spans="6:6" x14ac:dyDescent="0.25">
      <c r="F770" s="391"/>
    </row>
    <row r="771" spans="6:6" x14ac:dyDescent="0.25">
      <c r="F771" s="391"/>
    </row>
    <row r="772" spans="6:6" x14ac:dyDescent="0.25">
      <c r="F772" s="391"/>
    </row>
    <row r="773" spans="6:6" x14ac:dyDescent="0.25">
      <c r="F773" s="391"/>
    </row>
    <row r="774" spans="6:6" x14ac:dyDescent="0.25">
      <c r="F774" s="391"/>
    </row>
    <row r="775" spans="6:6" x14ac:dyDescent="0.25">
      <c r="F775" s="391"/>
    </row>
    <row r="776" spans="6:6" x14ac:dyDescent="0.25">
      <c r="F776" s="391"/>
    </row>
    <row r="777" spans="6:6" x14ac:dyDescent="0.25">
      <c r="F777" s="391"/>
    </row>
    <row r="778" spans="6:6" x14ac:dyDescent="0.25">
      <c r="F778" s="391"/>
    </row>
    <row r="779" spans="6:6" x14ac:dyDescent="0.25">
      <c r="F779" s="391"/>
    </row>
    <row r="780" spans="6:6" x14ac:dyDescent="0.25">
      <c r="F780" s="391"/>
    </row>
    <row r="781" spans="6:6" x14ac:dyDescent="0.25">
      <c r="F781" s="391"/>
    </row>
    <row r="782" spans="6:6" x14ac:dyDescent="0.25">
      <c r="F782" s="391"/>
    </row>
    <row r="783" spans="6:6" x14ac:dyDescent="0.25">
      <c r="F783" s="391"/>
    </row>
    <row r="784" spans="6:6" x14ac:dyDescent="0.25">
      <c r="F784" s="391"/>
    </row>
    <row r="785" spans="6:6" x14ac:dyDescent="0.25">
      <c r="F785" s="391"/>
    </row>
    <row r="786" spans="6:6" x14ac:dyDescent="0.25">
      <c r="F786" s="391"/>
    </row>
    <row r="787" spans="6:6" x14ac:dyDescent="0.25">
      <c r="F787" s="391"/>
    </row>
    <row r="788" spans="6:6" x14ac:dyDescent="0.25">
      <c r="F788" s="391"/>
    </row>
    <row r="789" spans="6:6" x14ac:dyDescent="0.25">
      <c r="F789" s="391"/>
    </row>
    <row r="790" spans="6:6" x14ac:dyDescent="0.25">
      <c r="F790" s="391"/>
    </row>
    <row r="791" spans="6:6" x14ac:dyDescent="0.25">
      <c r="F791" s="391"/>
    </row>
    <row r="792" spans="6:6" x14ac:dyDescent="0.25">
      <c r="F792" s="391"/>
    </row>
    <row r="793" spans="6:6" x14ac:dyDescent="0.25">
      <c r="F793" s="391"/>
    </row>
    <row r="794" spans="6:6" x14ac:dyDescent="0.25">
      <c r="F794" s="391"/>
    </row>
  </sheetData>
  <autoFilter ref="A7:Q764" xr:uid="{0C2CD1D4-4A67-4FC0-98DA-2A40F1B96323}"/>
  <mergeCells count="15">
    <mergeCell ref="O6:Q6"/>
    <mergeCell ref="A6:A7"/>
    <mergeCell ref="B6:B7"/>
    <mergeCell ref="C6:C7"/>
    <mergeCell ref="D6:H7"/>
    <mergeCell ref="I6:K6"/>
    <mergeCell ref="L6:N6"/>
    <mergeCell ref="A1:N1"/>
    <mergeCell ref="O1:Q1"/>
    <mergeCell ref="A2:N2"/>
    <mergeCell ref="O2:Q2"/>
    <mergeCell ref="A3:N5"/>
    <mergeCell ref="O3:Q3"/>
    <mergeCell ref="O4:Q4"/>
    <mergeCell ref="O5:Q5"/>
  </mergeCells>
  <printOptions horizontalCentered="1"/>
  <pageMargins left="0.39370078740157483" right="0.39370078740157483" top="0.59055118110236227" bottom="0.39370078740157483" header="1.299212598425197" footer="0"/>
  <pageSetup paperSize="8" firstPageNumber="2" fitToHeight="0" orientation="landscape" r:id="rId1"/>
  <headerFooter alignWithMargins="0">
    <oddHeader>&amp;R&amp;8&amp;P / &amp;N</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4641D-F6FC-4A28-802C-05DDD8F50436}">
  <sheetPr>
    <tabColor rgb="FFFF0000"/>
  </sheetPr>
  <dimension ref="A1:K3106"/>
  <sheetViews>
    <sheetView workbookViewId="0">
      <pane ySplit="1" topLeftCell="A2" activePane="bottomLeft" state="frozen"/>
      <selection activeCell="E23" sqref="E23"/>
      <selection pane="bottomLeft" activeCell="E23" sqref="E23"/>
    </sheetView>
  </sheetViews>
  <sheetFormatPr defaultRowHeight="15" x14ac:dyDescent="0.25"/>
  <cols>
    <col min="1" max="1" width="8.7109375" bestFit="1" customWidth="1"/>
    <col min="2" max="2" width="4.85546875" bestFit="1" customWidth="1"/>
    <col min="3" max="3" width="7.7109375" bestFit="1" customWidth="1"/>
    <col min="4" max="4" width="14.7109375" bestFit="1" customWidth="1"/>
    <col min="5" max="5" width="114" customWidth="1"/>
    <col min="6" max="6" width="7.5703125" bestFit="1" customWidth="1"/>
    <col min="7" max="7" width="13.42578125" bestFit="1" customWidth="1"/>
    <col min="8" max="8" width="9" style="11" bestFit="1" customWidth="1"/>
    <col min="9" max="9" width="11.7109375" style="11" bestFit="1" customWidth="1"/>
    <col min="10" max="10" width="15.5703125" style="11" bestFit="1" customWidth="1"/>
    <col min="11" max="11" width="13.5703125" style="11" bestFit="1" customWidth="1"/>
  </cols>
  <sheetData>
    <row r="1" spans="1:11" s="15" customFormat="1" ht="50.1" customHeight="1" x14ac:dyDescent="0.25">
      <c r="A1" s="13" t="s">
        <v>34</v>
      </c>
      <c r="B1" s="13" t="s">
        <v>35</v>
      </c>
      <c r="C1" s="13" t="s">
        <v>36</v>
      </c>
      <c r="D1" s="13" t="s">
        <v>37</v>
      </c>
      <c r="E1" s="13" t="s">
        <v>38</v>
      </c>
      <c r="F1" s="13" t="s">
        <v>39</v>
      </c>
      <c r="G1" s="13" t="s">
        <v>1</v>
      </c>
      <c r="H1" s="14" t="s">
        <v>40</v>
      </c>
      <c r="I1" s="14" t="s">
        <v>41</v>
      </c>
      <c r="J1" s="14" t="s">
        <v>42</v>
      </c>
      <c r="K1" s="14" t="s">
        <v>43</v>
      </c>
    </row>
    <row r="2" spans="1:11" x14ac:dyDescent="0.25">
      <c r="A2" s="8" t="s">
        <v>44</v>
      </c>
      <c r="B2" s="8" t="s">
        <v>45</v>
      </c>
      <c r="C2" s="8" t="s">
        <v>46</v>
      </c>
      <c r="D2" s="8">
        <v>4</v>
      </c>
      <c r="E2" s="8" t="s">
        <v>47</v>
      </c>
      <c r="F2" s="8" t="s">
        <v>48</v>
      </c>
      <c r="G2" s="8" t="s">
        <v>49</v>
      </c>
      <c r="H2" s="10">
        <v>1</v>
      </c>
      <c r="I2" s="10"/>
      <c r="J2" s="10">
        <v>1</v>
      </c>
      <c r="K2" s="10">
        <v>4381705.9000000004</v>
      </c>
    </row>
    <row r="3" spans="1:11" x14ac:dyDescent="0.25">
      <c r="A3" s="8" t="s">
        <v>50</v>
      </c>
      <c r="B3" s="8" t="s">
        <v>45</v>
      </c>
      <c r="C3" s="8" t="s">
        <v>51</v>
      </c>
      <c r="D3" s="8">
        <v>2</v>
      </c>
      <c r="E3" s="8" t="s">
        <v>52</v>
      </c>
      <c r="F3" s="8" t="s">
        <v>48</v>
      </c>
      <c r="G3" s="8" t="s">
        <v>53</v>
      </c>
      <c r="H3" s="10">
        <v>1</v>
      </c>
      <c r="I3" s="10"/>
      <c r="J3" s="10">
        <v>1</v>
      </c>
      <c r="K3" s="10">
        <v>2518535.12</v>
      </c>
    </row>
    <row r="4" spans="1:11" x14ac:dyDescent="0.25">
      <c r="A4" s="8" t="s">
        <v>54</v>
      </c>
      <c r="B4" s="8" t="s">
        <v>55</v>
      </c>
      <c r="C4" s="8" t="s">
        <v>56</v>
      </c>
      <c r="D4" s="8">
        <v>2</v>
      </c>
      <c r="E4" s="8" t="s">
        <v>57</v>
      </c>
      <c r="F4" s="8" t="s">
        <v>48</v>
      </c>
      <c r="G4" s="8" t="s">
        <v>58</v>
      </c>
      <c r="H4" s="10">
        <v>1</v>
      </c>
      <c r="I4" s="10"/>
      <c r="J4" s="10">
        <v>1</v>
      </c>
      <c r="K4" s="10">
        <v>6530431.2999999998</v>
      </c>
    </row>
    <row r="5" spans="1:11" x14ac:dyDescent="0.25">
      <c r="A5" s="8" t="s">
        <v>59</v>
      </c>
      <c r="B5" s="8" t="s">
        <v>55</v>
      </c>
      <c r="C5" s="8" t="s">
        <v>60</v>
      </c>
      <c r="D5" s="8">
        <v>1</v>
      </c>
      <c r="E5" s="8" t="s">
        <v>61</v>
      </c>
      <c r="F5" s="8" t="s">
        <v>62</v>
      </c>
      <c r="G5" s="8" t="s">
        <v>63</v>
      </c>
      <c r="H5" s="10">
        <v>23</v>
      </c>
      <c r="I5" s="10"/>
      <c r="J5" s="10">
        <v>23</v>
      </c>
      <c r="K5" s="10">
        <v>369900.77</v>
      </c>
    </row>
    <row r="6" spans="1:11" x14ac:dyDescent="0.25">
      <c r="A6" s="8" t="s">
        <v>64</v>
      </c>
      <c r="B6" s="8" t="s">
        <v>65</v>
      </c>
      <c r="C6" s="8" t="s">
        <v>56</v>
      </c>
      <c r="D6" s="8">
        <v>2</v>
      </c>
      <c r="E6" s="8" t="s">
        <v>66</v>
      </c>
      <c r="F6" s="8" t="s">
        <v>48</v>
      </c>
      <c r="G6" s="8" t="s">
        <v>67</v>
      </c>
      <c r="H6" s="10">
        <v>1</v>
      </c>
      <c r="I6" s="10"/>
      <c r="J6" s="10">
        <v>1</v>
      </c>
      <c r="K6" s="10">
        <v>5133167.3099999996</v>
      </c>
    </row>
    <row r="7" spans="1:11" x14ac:dyDescent="0.25">
      <c r="A7" s="8" t="s">
        <v>68</v>
      </c>
      <c r="B7" s="8" t="s">
        <v>65</v>
      </c>
      <c r="C7" s="8" t="s">
        <v>60</v>
      </c>
      <c r="D7" s="8">
        <v>1</v>
      </c>
      <c r="E7" s="8" t="s">
        <v>69</v>
      </c>
      <c r="F7" s="8" t="s">
        <v>62</v>
      </c>
      <c r="G7" s="8" t="s">
        <v>70</v>
      </c>
      <c r="H7" s="10">
        <v>23</v>
      </c>
      <c r="I7" s="10"/>
      <c r="J7" s="10">
        <v>23</v>
      </c>
      <c r="K7" s="10">
        <v>165979.28</v>
      </c>
    </row>
    <row r="8" spans="1:11" x14ac:dyDescent="0.25">
      <c r="A8" s="8" t="s">
        <v>71</v>
      </c>
      <c r="B8" s="8" t="s">
        <v>72</v>
      </c>
      <c r="C8" s="8" t="s">
        <v>73</v>
      </c>
      <c r="D8" s="8">
        <v>1</v>
      </c>
      <c r="E8" s="8" t="s">
        <v>74</v>
      </c>
      <c r="F8" s="8" t="s">
        <v>75</v>
      </c>
      <c r="G8" s="8" t="s">
        <v>76</v>
      </c>
      <c r="H8" s="10">
        <v>415.89</v>
      </c>
      <c r="I8" s="10"/>
      <c r="J8" s="10">
        <v>415.89</v>
      </c>
      <c r="K8" s="10">
        <v>277.23</v>
      </c>
    </row>
    <row r="9" spans="1:11" x14ac:dyDescent="0.25">
      <c r="A9" s="8" t="s">
        <v>77</v>
      </c>
      <c r="B9" s="8" t="s">
        <v>78</v>
      </c>
      <c r="C9" s="8" t="s">
        <v>73</v>
      </c>
      <c r="D9" s="8">
        <v>1</v>
      </c>
      <c r="E9" s="8" t="s">
        <v>74</v>
      </c>
      <c r="F9" s="8" t="s">
        <v>75</v>
      </c>
      <c r="G9" s="8" t="s">
        <v>76</v>
      </c>
      <c r="H9" s="10">
        <v>5.44</v>
      </c>
      <c r="I9" s="10"/>
      <c r="J9" s="10">
        <v>5.44</v>
      </c>
      <c r="K9" s="10">
        <v>277.23</v>
      </c>
    </row>
    <row r="10" spans="1:11" x14ac:dyDescent="0.25">
      <c r="A10" s="8" t="s">
        <v>79</v>
      </c>
      <c r="B10" s="8" t="s">
        <v>80</v>
      </c>
      <c r="C10" s="8" t="s">
        <v>73</v>
      </c>
      <c r="D10" s="8">
        <v>1</v>
      </c>
      <c r="E10" s="8" t="s">
        <v>74</v>
      </c>
      <c r="F10" s="8" t="s">
        <v>75</v>
      </c>
      <c r="G10" s="8" t="s">
        <v>76</v>
      </c>
      <c r="H10" s="10">
        <v>92.3</v>
      </c>
      <c r="I10" s="10"/>
      <c r="J10" s="10">
        <v>92.3</v>
      </c>
      <c r="K10" s="10">
        <v>277.23</v>
      </c>
    </row>
    <row r="11" spans="1:11" x14ac:dyDescent="0.25">
      <c r="A11" s="8" t="s">
        <v>81</v>
      </c>
      <c r="B11" s="8" t="s">
        <v>72</v>
      </c>
      <c r="C11" s="8" t="s">
        <v>73</v>
      </c>
      <c r="D11" s="8">
        <v>1</v>
      </c>
      <c r="E11" s="8" t="s">
        <v>82</v>
      </c>
      <c r="F11" s="8" t="s">
        <v>75</v>
      </c>
      <c r="G11" s="8" t="s">
        <v>76</v>
      </c>
      <c r="H11" s="10">
        <v>1146.21</v>
      </c>
      <c r="I11" s="10"/>
      <c r="J11" s="10">
        <v>1146.21</v>
      </c>
      <c r="K11" s="10">
        <v>40.33</v>
      </c>
    </row>
    <row r="12" spans="1:11" x14ac:dyDescent="0.25">
      <c r="A12" s="8" t="s">
        <v>83</v>
      </c>
      <c r="B12" s="8" t="s">
        <v>78</v>
      </c>
      <c r="C12" s="8" t="s">
        <v>73</v>
      </c>
      <c r="D12" s="8">
        <v>1</v>
      </c>
      <c r="E12" s="8" t="s">
        <v>82</v>
      </c>
      <c r="F12" s="8" t="s">
        <v>75</v>
      </c>
      <c r="G12" s="8" t="s">
        <v>76</v>
      </c>
      <c r="H12" s="10">
        <v>0.61</v>
      </c>
      <c r="I12" s="10"/>
      <c r="J12" s="10">
        <v>0.61</v>
      </c>
      <c r="K12" s="10">
        <v>40.33</v>
      </c>
    </row>
    <row r="13" spans="1:11" x14ac:dyDescent="0.25">
      <c r="A13" s="8" t="s">
        <v>84</v>
      </c>
      <c r="B13" s="8" t="s">
        <v>80</v>
      </c>
      <c r="C13" s="8" t="s">
        <v>73</v>
      </c>
      <c r="D13" s="8">
        <v>1</v>
      </c>
      <c r="E13" s="8" t="s">
        <v>82</v>
      </c>
      <c r="F13" s="8" t="s">
        <v>75</v>
      </c>
      <c r="G13" s="8" t="s">
        <v>76</v>
      </c>
      <c r="H13" s="10">
        <v>510.25</v>
      </c>
      <c r="I13" s="10"/>
      <c r="J13" s="10">
        <v>510.25</v>
      </c>
      <c r="K13" s="10">
        <v>40.33</v>
      </c>
    </row>
    <row r="14" spans="1:11" x14ac:dyDescent="0.25">
      <c r="A14" s="8" t="s">
        <v>85</v>
      </c>
      <c r="B14" s="8" t="s">
        <v>72</v>
      </c>
      <c r="C14" s="8" t="s">
        <v>86</v>
      </c>
      <c r="D14" s="8">
        <v>1</v>
      </c>
      <c r="E14" s="8" t="s">
        <v>87</v>
      </c>
      <c r="F14" s="8" t="s">
        <v>88</v>
      </c>
      <c r="G14" s="8" t="s">
        <v>89</v>
      </c>
      <c r="H14" s="10">
        <v>960.5</v>
      </c>
      <c r="I14" s="10"/>
      <c r="J14" s="10">
        <v>960.5</v>
      </c>
      <c r="K14" s="10">
        <v>20.67</v>
      </c>
    </row>
    <row r="15" spans="1:11" x14ac:dyDescent="0.25">
      <c r="A15" s="8" t="s">
        <v>90</v>
      </c>
      <c r="B15" s="8" t="s">
        <v>78</v>
      </c>
      <c r="C15" s="8" t="s">
        <v>86</v>
      </c>
      <c r="D15" s="8">
        <v>1</v>
      </c>
      <c r="E15" s="8" t="s">
        <v>87</v>
      </c>
      <c r="F15" s="8" t="s">
        <v>88</v>
      </c>
      <c r="G15" s="8" t="s">
        <v>89</v>
      </c>
      <c r="H15" s="10">
        <v>30.23</v>
      </c>
      <c r="I15" s="10"/>
      <c r="J15" s="10">
        <v>30.23</v>
      </c>
      <c r="K15" s="10">
        <v>20.67</v>
      </c>
    </row>
    <row r="16" spans="1:11" x14ac:dyDescent="0.25">
      <c r="A16" s="8" t="s">
        <v>91</v>
      </c>
      <c r="B16" s="8" t="s">
        <v>80</v>
      </c>
      <c r="C16" s="8" t="s">
        <v>86</v>
      </c>
      <c r="D16" s="8">
        <v>1</v>
      </c>
      <c r="E16" s="8" t="s">
        <v>87</v>
      </c>
      <c r="F16" s="8" t="s">
        <v>88</v>
      </c>
      <c r="G16" s="8" t="s">
        <v>89</v>
      </c>
      <c r="H16" s="10">
        <v>212.75</v>
      </c>
      <c r="I16" s="10"/>
      <c r="J16" s="10">
        <v>212.75</v>
      </c>
      <c r="K16" s="10">
        <v>20.67</v>
      </c>
    </row>
    <row r="17" spans="1:11" x14ac:dyDescent="0.25">
      <c r="A17" s="8" t="s">
        <v>92</v>
      </c>
      <c r="B17" s="8" t="s">
        <v>72</v>
      </c>
      <c r="C17" s="8" t="s">
        <v>73</v>
      </c>
      <c r="D17" s="8">
        <v>1</v>
      </c>
      <c r="E17" s="8" t="s">
        <v>93</v>
      </c>
      <c r="F17" s="8" t="s">
        <v>75</v>
      </c>
      <c r="G17" s="8" t="s">
        <v>94</v>
      </c>
      <c r="H17" s="10">
        <v>1000</v>
      </c>
      <c r="I17" s="10"/>
      <c r="J17" s="10">
        <v>1000</v>
      </c>
      <c r="K17" s="10">
        <v>78.55</v>
      </c>
    </row>
    <row r="18" spans="1:11" x14ac:dyDescent="0.25">
      <c r="A18" s="8" t="s">
        <v>95</v>
      </c>
      <c r="B18" s="8" t="s">
        <v>80</v>
      </c>
      <c r="C18" s="8" t="s">
        <v>73</v>
      </c>
      <c r="D18" s="8">
        <v>1</v>
      </c>
      <c r="E18" s="8" t="s">
        <v>93</v>
      </c>
      <c r="F18" s="8" t="s">
        <v>75</v>
      </c>
      <c r="G18" s="8" t="s">
        <v>94</v>
      </c>
      <c r="H18" s="10">
        <v>450</v>
      </c>
      <c r="I18" s="10"/>
      <c r="J18" s="10">
        <v>450</v>
      </c>
      <c r="K18" s="10">
        <v>78.55</v>
      </c>
    </row>
    <row r="19" spans="1:11" x14ac:dyDescent="0.25">
      <c r="A19" s="8" t="s">
        <v>96</v>
      </c>
      <c r="B19" s="8" t="s">
        <v>72</v>
      </c>
      <c r="C19" s="8" t="s">
        <v>73</v>
      </c>
      <c r="D19" s="8">
        <v>1</v>
      </c>
      <c r="E19" s="8" t="s">
        <v>97</v>
      </c>
      <c r="F19" s="8" t="s">
        <v>75</v>
      </c>
      <c r="G19" s="8" t="s">
        <v>94</v>
      </c>
      <c r="H19" s="10">
        <v>257.10000000000002</v>
      </c>
      <c r="I19" s="10"/>
      <c r="J19" s="10">
        <v>257.10000000000002</v>
      </c>
      <c r="K19" s="10">
        <v>103.36</v>
      </c>
    </row>
    <row r="20" spans="1:11" x14ac:dyDescent="0.25">
      <c r="A20" s="8" t="s">
        <v>98</v>
      </c>
      <c r="B20" s="8" t="s">
        <v>78</v>
      </c>
      <c r="C20" s="8" t="s">
        <v>73</v>
      </c>
      <c r="D20" s="8">
        <v>1</v>
      </c>
      <c r="E20" s="8" t="s">
        <v>97</v>
      </c>
      <c r="F20" s="8" t="s">
        <v>75</v>
      </c>
      <c r="G20" s="8" t="s">
        <v>94</v>
      </c>
      <c r="H20" s="10">
        <v>4.05</v>
      </c>
      <c r="I20" s="10"/>
      <c r="J20" s="10">
        <v>4.05</v>
      </c>
      <c r="K20" s="10">
        <v>103.36</v>
      </c>
    </row>
    <row r="21" spans="1:11" x14ac:dyDescent="0.25">
      <c r="A21" s="8" t="s">
        <v>99</v>
      </c>
      <c r="B21" s="8" t="s">
        <v>80</v>
      </c>
      <c r="C21" s="8" t="s">
        <v>73</v>
      </c>
      <c r="D21" s="8">
        <v>1</v>
      </c>
      <c r="E21" s="8" t="s">
        <v>97</v>
      </c>
      <c r="F21" s="8" t="s">
        <v>75</v>
      </c>
      <c r="G21" s="8" t="s">
        <v>94</v>
      </c>
      <c r="H21" s="10">
        <v>57.2</v>
      </c>
      <c r="I21" s="10"/>
      <c r="J21" s="10">
        <v>57.2</v>
      </c>
      <c r="K21" s="10">
        <v>103.36</v>
      </c>
    </row>
    <row r="22" spans="1:11" x14ac:dyDescent="0.25">
      <c r="A22" s="8" t="s">
        <v>100</v>
      </c>
      <c r="B22" s="8" t="s">
        <v>72</v>
      </c>
      <c r="C22" s="8" t="s">
        <v>73</v>
      </c>
      <c r="D22" s="8">
        <v>1</v>
      </c>
      <c r="E22" s="8" t="s">
        <v>101</v>
      </c>
      <c r="F22" s="8" t="s">
        <v>75</v>
      </c>
      <c r="G22" s="8" t="s">
        <v>102</v>
      </c>
      <c r="H22" s="10">
        <v>205</v>
      </c>
      <c r="I22" s="10"/>
      <c r="J22" s="10">
        <v>205</v>
      </c>
      <c r="K22" s="10">
        <v>35.950000000000003</v>
      </c>
    </row>
    <row r="23" spans="1:11" x14ac:dyDescent="0.25">
      <c r="A23" s="8" t="s">
        <v>103</v>
      </c>
      <c r="B23" s="8" t="s">
        <v>78</v>
      </c>
      <c r="C23" s="8" t="s">
        <v>73</v>
      </c>
      <c r="D23" s="8">
        <v>1</v>
      </c>
      <c r="E23" s="8" t="s">
        <v>101</v>
      </c>
      <c r="F23" s="8" t="s">
        <v>75</v>
      </c>
      <c r="G23" s="8" t="s">
        <v>102</v>
      </c>
      <c r="H23" s="10">
        <v>2</v>
      </c>
      <c r="I23" s="10"/>
      <c r="J23" s="10">
        <v>2</v>
      </c>
      <c r="K23" s="10">
        <v>35.950000000000003</v>
      </c>
    </row>
    <row r="24" spans="1:11" x14ac:dyDescent="0.25">
      <c r="A24" s="8" t="s">
        <v>104</v>
      </c>
      <c r="B24" s="8" t="s">
        <v>80</v>
      </c>
      <c r="C24" s="8" t="s">
        <v>73</v>
      </c>
      <c r="D24" s="8">
        <v>1</v>
      </c>
      <c r="E24" s="8" t="s">
        <v>101</v>
      </c>
      <c r="F24" s="8" t="s">
        <v>75</v>
      </c>
      <c r="G24" s="8" t="s">
        <v>102</v>
      </c>
      <c r="H24" s="10">
        <v>45.35</v>
      </c>
      <c r="I24" s="10"/>
      <c r="J24" s="10">
        <v>45.35</v>
      </c>
      <c r="K24" s="10">
        <v>35.950000000000003</v>
      </c>
    </row>
    <row r="25" spans="1:11" x14ac:dyDescent="0.25">
      <c r="A25" s="8" t="s">
        <v>105</v>
      </c>
      <c r="B25" s="8" t="s">
        <v>72</v>
      </c>
      <c r="C25" s="8" t="s">
        <v>106</v>
      </c>
      <c r="D25" s="8">
        <v>1</v>
      </c>
      <c r="E25" s="8" t="s">
        <v>107</v>
      </c>
      <c r="F25" s="8" t="s">
        <v>108</v>
      </c>
      <c r="G25" s="8" t="s">
        <v>109</v>
      </c>
      <c r="H25" s="10">
        <v>205</v>
      </c>
      <c r="I25" s="10"/>
      <c r="J25" s="10">
        <v>205</v>
      </c>
      <c r="K25" s="10">
        <v>6.63</v>
      </c>
    </row>
    <row r="26" spans="1:11" x14ac:dyDescent="0.25">
      <c r="A26" s="8" t="s">
        <v>110</v>
      </c>
      <c r="B26" s="8" t="s">
        <v>78</v>
      </c>
      <c r="C26" s="8" t="s">
        <v>106</v>
      </c>
      <c r="D26" s="8">
        <v>1</v>
      </c>
      <c r="E26" s="8" t="s">
        <v>107</v>
      </c>
      <c r="F26" s="8" t="s">
        <v>108</v>
      </c>
      <c r="G26" s="8" t="s">
        <v>109</v>
      </c>
      <c r="H26" s="10">
        <v>2</v>
      </c>
      <c r="I26" s="10"/>
      <c r="J26" s="10">
        <v>2</v>
      </c>
      <c r="K26" s="10">
        <v>6.63</v>
      </c>
    </row>
    <row r="27" spans="1:11" x14ac:dyDescent="0.25">
      <c r="A27" s="8" t="s">
        <v>111</v>
      </c>
      <c r="B27" s="8" t="s">
        <v>80</v>
      </c>
      <c r="C27" s="8" t="s">
        <v>106</v>
      </c>
      <c r="D27" s="8">
        <v>1</v>
      </c>
      <c r="E27" s="8" t="s">
        <v>107</v>
      </c>
      <c r="F27" s="8" t="s">
        <v>108</v>
      </c>
      <c r="G27" s="8" t="s">
        <v>109</v>
      </c>
      <c r="H27" s="10">
        <v>45.35</v>
      </c>
      <c r="I27" s="10"/>
      <c r="J27" s="10">
        <v>45.35</v>
      </c>
      <c r="K27" s="10">
        <v>6.63</v>
      </c>
    </row>
    <row r="28" spans="1:11" x14ac:dyDescent="0.25">
      <c r="A28" s="8" t="s">
        <v>112</v>
      </c>
      <c r="B28" s="8" t="s">
        <v>72</v>
      </c>
      <c r="C28" s="8" t="s">
        <v>86</v>
      </c>
      <c r="D28" s="8">
        <v>1</v>
      </c>
      <c r="E28" s="8" t="s">
        <v>113</v>
      </c>
      <c r="F28" s="8" t="s">
        <v>88</v>
      </c>
      <c r="G28" s="8" t="s">
        <v>114</v>
      </c>
      <c r="H28" s="10">
        <v>551</v>
      </c>
      <c r="I28" s="10"/>
      <c r="J28" s="10">
        <v>551</v>
      </c>
      <c r="K28" s="10">
        <v>377.18</v>
      </c>
    </row>
    <row r="29" spans="1:11" x14ac:dyDescent="0.25">
      <c r="A29" s="8" t="s">
        <v>115</v>
      </c>
      <c r="B29" s="8" t="s">
        <v>116</v>
      </c>
      <c r="C29" s="8" t="s">
        <v>86</v>
      </c>
      <c r="D29" s="8">
        <v>1</v>
      </c>
      <c r="E29" s="8" t="s">
        <v>113</v>
      </c>
      <c r="F29" s="8" t="s">
        <v>88</v>
      </c>
      <c r="G29" s="8" t="s">
        <v>114</v>
      </c>
      <c r="H29" s="10">
        <v>19.2</v>
      </c>
      <c r="I29" s="10"/>
      <c r="J29" s="10">
        <v>19.2</v>
      </c>
      <c r="K29" s="10">
        <v>377.18</v>
      </c>
    </row>
    <row r="30" spans="1:11" x14ac:dyDescent="0.25">
      <c r="A30" s="8" t="s">
        <v>117</v>
      </c>
      <c r="B30" s="8" t="s">
        <v>118</v>
      </c>
      <c r="C30" s="8" t="s">
        <v>86</v>
      </c>
      <c r="D30" s="8">
        <v>1</v>
      </c>
      <c r="E30" s="8" t="s">
        <v>113</v>
      </c>
      <c r="F30" s="8" t="s">
        <v>88</v>
      </c>
      <c r="G30" s="8" t="s">
        <v>114</v>
      </c>
      <c r="H30" s="10">
        <v>24</v>
      </c>
      <c r="I30" s="10"/>
      <c r="J30" s="10">
        <v>24</v>
      </c>
      <c r="K30" s="10">
        <v>377.18</v>
      </c>
    </row>
    <row r="31" spans="1:11" x14ac:dyDescent="0.25">
      <c r="A31" s="8" t="s">
        <v>119</v>
      </c>
      <c r="B31" s="8" t="s">
        <v>120</v>
      </c>
      <c r="C31" s="8" t="s">
        <v>86</v>
      </c>
      <c r="D31" s="8">
        <v>1</v>
      </c>
      <c r="E31" s="8" t="s">
        <v>113</v>
      </c>
      <c r="F31" s="8" t="s">
        <v>88</v>
      </c>
      <c r="G31" s="8" t="s">
        <v>114</v>
      </c>
      <c r="H31" s="10">
        <v>40</v>
      </c>
      <c r="I31" s="10"/>
      <c r="J31" s="10">
        <v>40</v>
      </c>
      <c r="K31" s="10">
        <v>377.18</v>
      </c>
    </row>
    <row r="32" spans="1:11" x14ac:dyDescent="0.25">
      <c r="A32" s="8" t="s">
        <v>121</v>
      </c>
      <c r="B32" s="8" t="s">
        <v>122</v>
      </c>
      <c r="C32" s="8" t="s">
        <v>86</v>
      </c>
      <c r="D32" s="8">
        <v>1</v>
      </c>
      <c r="E32" s="8" t="s">
        <v>113</v>
      </c>
      <c r="F32" s="8" t="s">
        <v>88</v>
      </c>
      <c r="G32" s="8" t="s">
        <v>114</v>
      </c>
      <c r="H32" s="10">
        <v>48</v>
      </c>
      <c r="I32" s="10"/>
      <c r="J32" s="10">
        <v>48</v>
      </c>
      <c r="K32" s="10">
        <v>377.18</v>
      </c>
    </row>
    <row r="33" spans="1:11" x14ac:dyDescent="0.25">
      <c r="A33" s="8" t="s">
        <v>123</v>
      </c>
      <c r="B33" s="8" t="s">
        <v>124</v>
      </c>
      <c r="C33" s="8" t="s">
        <v>86</v>
      </c>
      <c r="D33" s="8">
        <v>1</v>
      </c>
      <c r="E33" s="8" t="s">
        <v>113</v>
      </c>
      <c r="F33" s="8" t="s">
        <v>88</v>
      </c>
      <c r="G33" s="8" t="s">
        <v>114</v>
      </c>
      <c r="H33" s="10">
        <v>51.2</v>
      </c>
      <c r="I33" s="10"/>
      <c r="J33" s="10">
        <v>51.2</v>
      </c>
      <c r="K33" s="10">
        <v>377.18</v>
      </c>
    </row>
    <row r="34" spans="1:11" x14ac:dyDescent="0.25">
      <c r="A34" s="8" t="s">
        <v>125</v>
      </c>
      <c r="B34" s="8" t="s">
        <v>78</v>
      </c>
      <c r="C34" s="8" t="s">
        <v>86</v>
      </c>
      <c r="D34" s="8">
        <v>1</v>
      </c>
      <c r="E34" s="8" t="s">
        <v>113</v>
      </c>
      <c r="F34" s="8" t="s">
        <v>88</v>
      </c>
      <c r="G34" s="8" t="s">
        <v>114</v>
      </c>
      <c r="H34" s="10">
        <v>32</v>
      </c>
      <c r="I34" s="10"/>
      <c r="J34" s="10">
        <v>32</v>
      </c>
      <c r="K34" s="10">
        <v>377.18</v>
      </c>
    </row>
    <row r="35" spans="1:11" x14ac:dyDescent="0.25">
      <c r="A35" s="8" t="s">
        <v>126</v>
      </c>
      <c r="B35" s="8" t="s">
        <v>78</v>
      </c>
      <c r="C35" s="8" t="s">
        <v>86</v>
      </c>
      <c r="D35" s="8">
        <v>1</v>
      </c>
      <c r="E35" s="8" t="s">
        <v>113</v>
      </c>
      <c r="F35" s="8" t="s">
        <v>88</v>
      </c>
      <c r="G35" s="8" t="s">
        <v>114</v>
      </c>
      <c r="H35" s="10">
        <v>17.55</v>
      </c>
      <c r="I35" s="10"/>
      <c r="J35" s="10">
        <v>17.55</v>
      </c>
      <c r="K35" s="10">
        <v>377.18</v>
      </c>
    </row>
    <row r="36" spans="1:11" x14ac:dyDescent="0.25">
      <c r="A36" s="8" t="s">
        <v>127</v>
      </c>
      <c r="B36" s="8" t="s">
        <v>128</v>
      </c>
      <c r="C36" s="8" t="s">
        <v>86</v>
      </c>
      <c r="D36" s="8">
        <v>1</v>
      </c>
      <c r="E36" s="8" t="s">
        <v>113</v>
      </c>
      <c r="F36" s="8" t="s">
        <v>88</v>
      </c>
      <c r="G36" s="8" t="s">
        <v>114</v>
      </c>
      <c r="H36" s="10">
        <v>12.8</v>
      </c>
      <c r="I36" s="10"/>
      <c r="J36" s="10">
        <v>12.8</v>
      </c>
      <c r="K36" s="10">
        <v>377.18</v>
      </c>
    </row>
    <row r="37" spans="1:11" x14ac:dyDescent="0.25">
      <c r="A37" s="8" t="s">
        <v>129</v>
      </c>
      <c r="B37" s="8" t="s">
        <v>130</v>
      </c>
      <c r="C37" s="8" t="s">
        <v>86</v>
      </c>
      <c r="D37" s="8">
        <v>1</v>
      </c>
      <c r="E37" s="8" t="s">
        <v>113</v>
      </c>
      <c r="F37" s="8" t="s">
        <v>88</v>
      </c>
      <c r="G37" s="8" t="s">
        <v>114</v>
      </c>
      <c r="H37" s="10">
        <v>4.8</v>
      </c>
      <c r="I37" s="10"/>
      <c r="J37" s="10">
        <v>4.8</v>
      </c>
      <c r="K37" s="10">
        <v>377.18</v>
      </c>
    </row>
    <row r="38" spans="1:11" x14ac:dyDescent="0.25">
      <c r="A38" s="8" t="s">
        <v>131</v>
      </c>
      <c r="B38" s="8" t="s">
        <v>132</v>
      </c>
      <c r="C38" s="8" t="s">
        <v>86</v>
      </c>
      <c r="D38" s="8">
        <v>1</v>
      </c>
      <c r="E38" s="8" t="s">
        <v>113</v>
      </c>
      <c r="F38" s="8" t="s">
        <v>88</v>
      </c>
      <c r="G38" s="8" t="s">
        <v>114</v>
      </c>
      <c r="H38" s="10">
        <v>9.6</v>
      </c>
      <c r="I38" s="10"/>
      <c r="J38" s="10">
        <v>9.6</v>
      </c>
      <c r="K38" s="10">
        <v>377.18</v>
      </c>
    </row>
    <row r="39" spans="1:11" x14ac:dyDescent="0.25">
      <c r="A39" s="8" t="s">
        <v>133</v>
      </c>
      <c r="B39" s="8" t="s">
        <v>134</v>
      </c>
      <c r="C39" s="8" t="s">
        <v>86</v>
      </c>
      <c r="D39" s="8">
        <v>1</v>
      </c>
      <c r="E39" s="8" t="s">
        <v>113</v>
      </c>
      <c r="F39" s="8" t="s">
        <v>88</v>
      </c>
      <c r="G39" s="8" t="s">
        <v>114</v>
      </c>
      <c r="H39" s="10">
        <v>4.8</v>
      </c>
      <c r="I39" s="10"/>
      <c r="J39" s="10">
        <v>4.8</v>
      </c>
      <c r="K39" s="10">
        <v>377.18</v>
      </c>
    </row>
    <row r="40" spans="1:11" x14ac:dyDescent="0.25">
      <c r="A40" s="8" t="s">
        <v>135</v>
      </c>
      <c r="B40" s="8" t="s">
        <v>136</v>
      </c>
      <c r="C40" s="8" t="s">
        <v>86</v>
      </c>
      <c r="D40" s="8">
        <v>1</v>
      </c>
      <c r="E40" s="8" t="s">
        <v>113</v>
      </c>
      <c r="F40" s="8" t="s">
        <v>88</v>
      </c>
      <c r="G40" s="8" t="s">
        <v>114</v>
      </c>
      <c r="H40" s="10">
        <v>9.6</v>
      </c>
      <c r="I40" s="10"/>
      <c r="J40" s="10">
        <v>9.6</v>
      </c>
      <c r="K40" s="10">
        <v>377.18</v>
      </c>
    </row>
    <row r="41" spans="1:11" x14ac:dyDescent="0.25">
      <c r="A41" s="8" t="s">
        <v>137</v>
      </c>
      <c r="B41" s="8" t="s">
        <v>138</v>
      </c>
      <c r="C41" s="8" t="s">
        <v>86</v>
      </c>
      <c r="D41" s="8">
        <v>1</v>
      </c>
      <c r="E41" s="8" t="s">
        <v>113</v>
      </c>
      <c r="F41" s="8" t="s">
        <v>88</v>
      </c>
      <c r="G41" s="8" t="s">
        <v>114</v>
      </c>
      <c r="H41" s="10">
        <v>4.8</v>
      </c>
      <c r="I41" s="10"/>
      <c r="J41" s="10">
        <v>4.8</v>
      </c>
      <c r="K41" s="10">
        <v>377.18</v>
      </c>
    </row>
    <row r="42" spans="1:11" x14ac:dyDescent="0.25">
      <c r="A42" s="8" t="s">
        <v>139</v>
      </c>
      <c r="B42" s="8" t="s">
        <v>80</v>
      </c>
      <c r="C42" s="8" t="s">
        <v>86</v>
      </c>
      <c r="D42" s="8">
        <v>1</v>
      </c>
      <c r="E42" s="8" t="s">
        <v>113</v>
      </c>
      <c r="F42" s="8" t="s">
        <v>88</v>
      </c>
      <c r="G42" s="8" t="s">
        <v>114</v>
      </c>
      <c r="H42" s="10">
        <v>8</v>
      </c>
      <c r="I42" s="10"/>
      <c r="J42" s="10">
        <v>8</v>
      </c>
      <c r="K42" s="10">
        <v>377.18</v>
      </c>
    </row>
    <row r="43" spans="1:11" x14ac:dyDescent="0.25">
      <c r="A43" s="8" t="s">
        <v>140</v>
      </c>
      <c r="B43" s="8" t="s">
        <v>80</v>
      </c>
      <c r="C43" s="8" t="s">
        <v>86</v>
      </c>
      <c r="D43" s="8">
        <v>1</v>
      </c>
      <c r="E43" s="8" t="s">
        <v>113</v>
      </c>
      <c r="F43" s="8" t="s">
        <v>88</v>
      </c>
      <c r="G43" s="8" t="s">
        <v>114</v>
      </c>
      <c r="H43" s="10">
        <v>118.8</v>
      </c>
      <c r="I43" s="10"/>
      <c r="J43" s="10">
        <v>118.8</v>
      </c>
      <c r="K43" s="10">
        <v>377.18</v>
      </c>
    </row>
    <row r="44" spans="1:11" x14ac:dyDescent="0.25">
      <c r="A44" s="8" t="s">
        <v>141</v>
      </c>
      <c r="B44" s="8" t="s">
        <v>142</v>
      </c>
      <c r="C44" s="8" t="s">
        <v>86</v>
      </c>
      <c r="D44" s="8">
        <v>1</v>
      </c>
      <c r="E44" s="8" t="s">
        <v>113</v>
      </c>
      <c r="F44" s="8" t="s">
        <v>88</v>
      </c>
      <c r="G44" s="8" t="s">
        <v>114</v>
      </c>
      <c r="H44" s="10">
        <v>8</v>
      </c>
      <c r="I44" s="10"/>
      <c r="J44" s="10">
        <v>8</v>
      </c>
      <c r="K44" s="10">
        <v>377.18</v>
      </c>
    </row>
    <row r="45" spans="1:11" x14ac:dyDescent="0.25">
      <c r="A45" s="8" t="s">
        <v>143</v>
      </c>
      <c r="B45" s="8" t="s">
        <v>120</v>
      </c>
      <c r="C45" s="8" t="s">
        <v>86</v>
      </c>
      <c r="D45" s="8">
        <v>1</v>
      </c>
      <c r="E45" s="8" t="s">
        <v>144</v>
      </c>
      <c r="F45" s="8" t="s">
        <v>88</v>
      </c>
      <c r="G45" s="8" t="s">
        <v>145</v>
      </c>
      <c r="H45" s="10">
        <v>4263.18</v>
      </c>
      <c r="I45" s="10"/>
      <c r="J45" s="10">
        <v>4263.18</v>
      </c>
      <c r="K45" s="10">
        <v>456.7</v>
      </c>
    </row>
    <row r="46" spans="1:11" x14ac:dyDescent="0.25">
      <c r="A46" s="8" t="s">
        <v>146</v>
      </c>
      <c r="B46" s="8" t="s">
        <v>72</v>
      </c>
      <c r="C46" s="8" t="s">
        <v>147</v>
      </c>
      <c r="D46" s="8">
        <v>2</v>
      </c>
      <c r="E46" s="8" t="s">
        <v>148</v>
      </c>
      <c r="F46" s="8" t="s">
        <v>149</v>
      </c>
      <c r="G46" s="8" t="s">
        <v>150</v>
      </c>
      <c r="H46" s="10">
        <v>18128</v>
      </c>
      <c r="I46" s="10"/>
      <c r="J46" s="10">
        <v>18128</v>
      </c>
      <c r="K46" s="10">
        <v>16.84</v>
      </c>
    </row>
    <row r="47" spans="1:11" x14ac:dyDescent="0.25">
      <c r="A47" s="8" t="s">
        <v>151</v>
      </c>
      <c r="B47" s="8" t="s">
        <v>116</v>
      </c>
      <c r="C47" s="8" t="s">
        <v>147</v>
      </c>
      <c r="D47" s="8">
        <v>2</v>
      </c>
      <c r="E47" s="8" t="s">
        <v>148</v>
      </c>
      <c r="F47" s="8" t="s">
        <v>149</v>
      </c>
      <c r="G47" s="8" t="s">
        <v>150</v>
      </c>
      <c r="H47" s="10">
        <v>26.88</v>
      </c>
      <c r="I47" s="10"/>
      <c r="J47" s="10">
        <v>26.88</v>
      </c>
      <c r="K47" s="10">
        <v>16.84</v>
      </c>
    </row>
    <row r="48" spans="1:11" x14ac:dyDescent="0.25">
      <c r="A48" s="8" t="s">
        <v>152</v>
      </c>
      <c r="B48" s="8" t="s">
        <v>116</v>
      </c>
      <c r="C48" s="8" t="s">
        <v>147</v>
      </c>
      <c r="D48" s="8">
        <v>2</v>
      </c>
      <c r="E48" s="8" t="s">
        <v>148</v>
      </c>
      <c r="F48" s="8" t="s">
        <v>149</v>
      </c>
      <c r="G48" s="8" t="s">
        <v>150</v>
      </c>
      <c r="H48" s="10">
        <v>224</v>
      </c>
      <c r="I48" s="10"/>
      <c r="J48" s="10">
        <v>224</v>
      </c>
      <c r="K48" s="10">
        <v>16.84</v>
      </c>
    </row>
    <row r="49" spans="1:11" x14ac:dyDescent="0.25">
      <c r="A49" s="8" t="s">
        <v>153</v>
      </c>
      <c r="B49" s="8" t="s">
        <v>116</v>
      </c>
      <c r="C49" s="8" t="s">
        <v>147</v>
      </c>
      <c r="D49" s="8">
        <v>2</v>
      </c>
      <c r="E49" s="8" t="s">
        <v>148</v>
      </c>
      <c r="F49" s="8" t="s">
        <v>149</v>
      </c>
      <c r="G49" s="8" t="s">
        <v>150</v>
      </c>
      <c r="H49" s="10">
        <v>427</v>
      </c>
      <c r="I49" s="10"/>
      <c r="J49" s="10">
        <v>427</v>
      </c>
      <c r="K49" s="10">
        <v>16.84</v>
      </c>
    </row>
    <row r="50" spans="1:11" x14ac:dyDescent="0.25">
      <c r="A50" s="8" t="s">
        <v>154</v>
      </c>
      <c r="B50" s="8" t="s">
        <v>118</v>
      </c>
      <c r="C50" s="8" t="s">
        <v>147</v>
      </c>
      <c r="D50" s="8">
        <v>2</v>
      </c>
      <c r="E50" s="8" t="s">
        <v>148</v>
      </c>
      <c r="F50" s="8" t="s">
        <v>149</v>
      </c>
      <c r="G50" s="8" t="s">
        <v>150</v>
      </c>
      <c r="H50" s="10">
        <v>490</v>
      </c>
      <c r="I50" s="10"/>
      <c r="J50" s="10">
        <v>490</v>
      </c>
      <c r="K50" s="10">
        <v>16.84</v>
      </c>
    </row>
    <row r="51" spans="1:11" x14ac:dyDescent="0.25">
      <c r="A51" s="8" t="s">
        <v>155</v>
      </c>
      <c r="B51" s="8" t="s">
        <v>118</v>
      </c>
      <c r="C51" s="8" t="s">
        <v>147</v>
      </c>
      <c r="D51" s="8">
        <v>2</v>
      </c>
      <c r="E51" s="8" t="s">
        <v>148</v>
      </c>
      <c r="F51" s="8" t="s">
        <v>149</v>
      </c>
      <c r="G51" s="8" t="s">
        <v>150</v>
      </c>
      <c r="H51" s="10">
        <v>560</v>
      </c>
      <c r="I51" s="10"/>
      <c r="J51" s="10">
        <v>560</v>
      </c>
      <c r="K51" s="10">
        <v>16.84</v>
      </c>
    </row>
    <row r="52" spans="1:11" x14ac:dyDescent="0.25">
      <c r="A52" s="8" t="s">
        <v>156</v>
      </c>
      <c r="B52" s="8" t="s">
        <v>120</v>
      </c>
      <c r="C52" s="8" t="s">
        <v>147</v>
      </c>
      <c r="D52" s="8">
        <v>2</v>
      </c>
      <c r="E52" s="8" t="s">
        <v>148</v>
      </c>
      <c r="F52" s="8" t="s">
        <v>149</v>
      </c>
      <c r="G52" s="8" t="s">
        <v>150</v>
      </c>
      <c r="H52" s="10">
        <v>60806</v>
      </c>
      <c r="I52" s="10"/>
      <c r="J52" s="10">
        <v>60806</v>
      </c>
      <c r="K52" s="10">
        <v>16.84</v>
      </c>
    </row>
    <row r="53" spans="1:11" x14ac:dyDescent="0.25">
      <c r="A53" s="8" t="s">
        <v>157</v>
      </c>
      <c r="B53" s="8" t="s">
        <v>120</v>
      </c>
      <c r="C53" s="8" t="s">
        <v>147</v>
      </c>
      <c r="D53" s="8">
        <v>2</v>
      </c>
      <c r="E53" s="8" t="s">
        <v>148</v>
      </c>
      <c r="F53" s="8" t="s">
        <v>149</v>
      </c>
      <c r="G53" s="8" t="s">
        <v>150</v>
      </c>
      <c r="H53" s="10">
        <v>357</v>
      </c>
      <c r="I53" s="10"/>
      <c r="J53" s="10">
        <v>357</v>
      </c>
      <c r="K53" s="10">
        <v>16.84</v>
      </c>
    </row>
    <row r="54" spans="1:11" x14ac:dyDescent="0.25">
      <c r="A54" s="8" t="s">
        <v>158</v>
      </c>
      <c r="B54" s="8" t="s">
        <v>120</v>
      </c>
      <c r="C54" s="8" t="s">
        <v>147</v>
      </c>
      <c r="D54" s="8">
        <v>2</v>
      </c>
      <c r="E54" s="8" t="s">
        <v>148</v>
      </c>
      <c r="F54" s="8" t="s">
        <v>149</v>
      </c>
      <c r="G54" s="8" t="s">
        <v>150</v>
      </c>
      <c r="H54" s="10">
        <v>56</v>
      </c>
      <c r="I54" s="10"/>
      <c r="J54" s="10">
        <v>56</v>
      </c>
      <c r="K54" s="10">
        <v>16.84</v>
      </c>
    </row>
    <row r="55" spans="1:11" x14ac:dyDescent="0.25">
      <c r="A55" s="8" t="s">
        <v>159</v>
      </c>
      <c r="B55" s="8" t="s">
        <v>120</v>
      </c>
      <c r="C55" s="8" t="s">
        <v>147</v>
      </c>
      <c r="D55" s="8">
        <v>2</v>
      </c>
      <c r="E55" s="8" t="s">
        <v>148</v>
      </c>
      <c r="F55" s="8" t="s">
        <v>149</v>
      </c>
      <c r="G55" s="8" t="s">
        <v>150</v>
      </c>
      <c r="H55" s="10">
        <v>98</v>
      </c>
      <c r="I55" s="10"/>
      <c r="J55" s="10">
        <v>98</v>
      </c>
      <c r="K55" s="10">
        <v>16.84</v>
      </c>
    </row>
    <row r="56" spans="1:11" x14ac:dyDescent="0.25">
      <c r="A56" s="8" t="s">
        <v>160</v>
      </c>
      <c r="B56" s="8" t="s">
        <v>122</v>
      </c>
      <c r="C56" s="8" t="s">
        <v>147</v>
      </c>
      <c r="D56" s="8">
        <v>2</v>
      </c>
      <c r="E56" s="8" t="s">
        <v>148</v>
      </c>
      <c r="F56" s="8" t="s">
        <v>149</v>
      </c>
      <c r="G56" s="8" t="s">
        <v>150</v>
      </c>
      <c r="H56" s="10">
        <v>67.2</v>
      </c>
      <c r="I56" s="10"/>
      <c r="J56" s="10">
        <v>67.2</v>
      </c>
      <c r="K56" s="10">
        <v>16.84</v>
      </c>
    </row>
    <row r="57" spans="1:11" x14ac:dyDescent="0.25">
      <c r="A57" s="8" t="s">
        <v>161</v>
      </c>
      <c r="B57" s="8" t="s">
        <v>124</v>
      </c>
      <c r="C57" s="8" t="s">
        <v>147</v>
      </c>
      <c r="D57" s="8">
        <v>2</v>
      </c>
      <c r="E57" s="8" t="s">
        <v>148</v>
      </c>
      <c r="F57" s="8" t="s">
        <v>149</v>
      </c>
      <c r="G57" s="8" t="s">
        <v>150</v>
      </c>
      <c r="H57" s="10">
        <v>71.680000000000007</v>
      </c>
      <c r="I57" s="10"/>
      <c r="J57" s="10">
        <v>71.680000000000007</v>
      </c>
      <c r="K57" s="10">
        <v>16.84</v>
      </c>
    </row>
    <row r="58" spans="1:11" x14ac:dyDescent="0.25">
      <c r="A58" s="8" t="s">
        <v>162</v>
      </c>
      <c r="B58" s="8" t="s">
        <v>78</v>
      </c>
      <c r="C58" s="8" t="s">
        <v>147</v>
      </c>
      <c r="D58" s="8">
        <v>2</v>
      </c>
      <c r="E58" s="8" t="s">
        <v>148</v>
      </c>
      <c r="F58" s="8" t="s">
        <v>149</v>
      </c>
      <c r="G58" s="8" t="s">
        <v>150</v>
      </c>
      <c r="H58" s="10">
        <v>44.8</v>
      </c>
      <c r="I58" s="10"/>
      <c r="J58" s="10">
        <v>44.8</v>
      </c>
      <c r="K58" s="10">
        <v>16.84</v>
      </c>
    </row>
    <row r="59" spans="1:11" x14ac:dyDescent="0.25">
      <c r="A59" s="8" t="s">
        <v>163</v>
      </c>
      <c r="B59" s="8" t="s">
        <v>78</v>
      </c>
      <c r="C59" s="8" t="s">
        <v>147</v>
      </c>
      <c r="D59" s="8">
        <v>2</v>
      </c>
      <c r="E59" s="8" t="s">
        <v>148</v>
      </c>
      <c r="F59" s="8" t="s">
        <v>149</v>
      </c>
      <c r="G59" s="8" t="s">
        <v>150</v>
      </c>
      <c r="H59" s="10">
        <v>219</v>
      </c>
      <c r="I59" s="10"/>
      <c r="J59" s="10">
        <v>219</v>
      </c>
      <c r="K59" s="10">
        <v>16.84</v>
      </c>
    </row>
    <row r="60" spans="1:11" x14ac:dyDescent="0.25">
      <c r="A60" s="8" t="s">
        <v>164</v>
      </c>
      <c r="B60" s="8" t="s">
        <v>128</v>
      </c>
      <c r="C60" s="8" t="s">
        <v>147</v>
      </c>
      <c r="D60" s="8">
        <v>2</v>
      </c>
      <c r="E60" s="8" t="s">
        <v>148</v>
      </c>
      <c r="F60" s="8" t="s">
        <v>149</v>
      </c>
      <c r="G60" s="8" t="s">
        <v>150</v>
      </c>
      <c r="H60" s="10">
        <v>17.920000000000002</v>
      </c>
      <c r="I60" s="10"/>
      <c r="J60" s="10">
        <v>17.920000000000002</v>
      </c>
      <c r="K60" s="10">
        <v>16.84</v>
      </c>
    </row>
    <row r="61" spans="1:11" x14ac:dyDescent="0.25">
      <c r="A61" s="8" t="s">
        <v>165</v>
      </c>
      <c r="B61" s="8" t="s">
        <v>130</v>
      </c>
      <c r="C61" s="8" t="s">
        <v>147</v>
      </c>
      <c r="D61" s="8">
        <v>2</v>
      </c>
      <c r="E61" s="8" t="s">
        <v>148</v>
      </c>
      <c r="F61" s="8" t="s">
        <v>149</v>
      </c>
      <c r="G61" s="8" t="s">
        <v>150</v>
      </c>
      <c r="H61" s="10">
        <v>6.72</v>
      </c>
      <c r="I61" s="10"/>
      <c r="J61" s="10">
        <v>6.72</v>
      </c>
      <c r="K61" s="10">
        <v>16.84</v>
      </c>
    </row>
    <row r="62" spans="1:11" x14ac:dyDescent="0.25">
      <c r="A62" s="8" t="s">
        <v>166</v>
      </c>
      <c r="B62" s="8" t="s">
        <v>132</v>
      </c>
      <c r="C62" s="8" t="s">
        <v>147</v>
      </c>
      <c r="D62" s="8">
        <v>2</v>
      </c>
      <c r="E62" s="8" t="s">
        <v>148</v>
      </c>
      <c r="F62" s="8" t="s">
        <v>149</v>
      </c>
      <c r="G62" s="8" t="s">
        <v>150</v>
      </c>
      <c r="H62" s="10">
        <v>13.44</v>
      </c>
      <c r="I62" s="10"/>
      <c r="J62" s="10">
        <v>13.44</v>
      </c>
      <c r="K62" s="10">
        <v>16.84</v>
      </c>
    </row>
    <row r="63" spans="1:11" x14ac:dyDescent="0.25">
      <c r="A63" s="8" t="s">
        <v>167</v>
      </c>
      <c r="B63" s="8" t="s">
        <v>134</v>
      </c>
      <c r="C63" s="8" t="s">
        <v>147</v>
      </c>
      <c r="D63" s="8">
        <v>2</v>
      </c>
      <c r="E63" s="8" t="s">
        <v>148</v>
      </c>
      <c r="F63" s="8" t="s">
        <v>149</v>
      </c>
      <c r="G63" s="8" t="s">
        <v>150</v>
      </c>
      <c r="H63" s="10">
        <v>6.72</v>
      </c>
      <c r="I63" s="10"/>
      <c r="J63" s="10">
        <v>6.72</v>
      </c>
      <c r="K63" s="10">
        <v>16.84</v>
      </c>
    </row>
    <row r="64" spans="1:11" x14ac:dyDescent="0.25">
      <c r="A64" s="8" t="s">
        <v>168</v>
      </c>
      <c r="B64" s="8" t="s">
        <v>136</v>
      </c>
      <c r="C64" s="8" t="s">
        <v>147</v>
      </c>
      <c r="D64" s="8">
        <v>2</v>
      </c>
      <c r="E64" s="8" t="s">
        <v>148</v>
      </c>
      <c r="F64" s="8" t="s">
        <v>149</v>
      </c>
      <c r="G64" s="8" t="s">
        <v>150</v>
      </c>
      <c r="H64" s="10">
        <v>13.44</v>
      </c>
      <c r="I64" s="10"/>
      <c r="J64" s="10">
        <v>13.44</v>
      </c>
      <c r="K64" s="10">
        <v>16.84</v>
      </c>
    </row>
    <row r="65" spans="1:11" x14ac:dyDescent="0.25">
      <c r="A65" s="8" t="s">
        <v>169</v>
      </c>
      <c r="B65" s="8" t="s">
        <v>138</v>
      </c>
      <c r="C65" s="8" t="s">
        <v>147</v>
      </c>
      <c r="D65" s="8">
        <v>2</v>
      </c>
      <c r="E65" s="8" t="s">
        <v>148</v>
      </c>
      <c r="F65" s="8" t="s">
        <v>149</v>
      </c>
      <c r="G65" s="8" t="s">
        <v>150</v>
      </c>
      <c r="H65" s="10">
        <v>6.72</v>
      </c>
      <c r="I65" s="10"/>
      <c r="J65" s="10">
        <v>6.72</v>
      </c>
      <c r="K65" s="10">
        <v>16.84</v>
      </c>
    </row>
    <row r="66" spans="1:11" x14ac:dyDescent="0.25">
      <c r="A66" s="8" t="s">
        <v>170</v>
      </c>
      <c r="B66" s="8" t="s">
        <v>80</v>
      </c>
      <c r="C66" s="8" t="s">
        <v>147</v>
      </c>
      <c r="D66" s="8">
        <v>2</v>
      </c>
      <c r="E66" s="8" t="s">
        <v>148</v>
      </c>
      <c r="F66" s="8" t="s">
        <v>149</v>
      </c>
      <c r="G66" s="8" t="s">
        <v>150</v>
      </c>
      <c r="H66" s="10">
        <v>11.2</v>
      </c>
      <c r="I66" s="10"/>
      <c r="J66" s="10">
        <v>11.2</v>
      </c>
      <c r="K66" s="10">
        <v>16.84</v>
      </c>
    </row>
    <row r="67" spans="1:11" x14ac:dyDescent="0.25">
      <c r="A67" s="8" t="s">
        <v>171</v>
      </c>
      <c r="B67" s="8" t="s">
        <v>80</v>
      </c>
      <c r="C67" s="8" t="s">
        <v>147</v>
      </c>
      <c r="D67" s="8">
        <v>2</v>
      </c>
      <c r="E67" s="8" t="s">
        <v>148</v>
      </c>
      <c r="F67" s="8" t="s">
        <v>149</v>
      </c>
      <c r="G67" s="8" t="s">
        <v>150</v>
      </c>
      <c r="H67" s="10">
        <v>4006</v>
      </c>
      <c r="I67" s="10"/>
      <c r="J67" s="10">
        <v>4006</v>
      </c>
      <c r="K67" s="10">
        <v>16.84</v>
      </c>
    </row>
    <row r="68" spans="1:11" x14ac:dyDescent="0.25">
      <c r="A68" s="8" t="s">
        <v>172</v>
      </c>
      <c r="B68" s="8" t="s">
        <v>142</v>
      </c>
      <c r="C68" s="8" t="s">
        <v>147</v>
      </c>
      <c r="D68" s="8">
        <v>2</v>
      </c>
      <c r="E68" s="8" t="s">
        <v>148</v>
      </c>
      <c r="F68" s="8" t="s">
        <v>149</v>
      </c>
      <c r="G68" s="8" t="s">
        <v>150</v>
      </c>
      <c r="H68" s="10">
        <v>11.2</v>
      </c>
      <c r="I68" s="10"/>
      <c r="J68" s="10">
        <v>11.2</v>
      </c>
      <c r="K68" s="10">
        <v>16.84</v>
      </c>
    </row>
    <row r="69" spans="1:11" x14ac:dyDescent="0.25">
      <c r="A69" s="8" t="s">
        <v>173</v>
      </c>
      <c r="B69" s="8" t="s">
        <v>72</v>
      </c>
      <c r="C69" s="8" t="s">
        <v>73</v>
      </c>
      <c r="D69" s="8">
        <v>1</v>
      </c>
      <c r="E69" s="8" t="s">
        <v>174</v>
      </c>
      <c r="F69" s="8" t="s">
        <v>75</v>
      </c>
      <c r="G69" s="8" t="s">
        <v>175</v>
      </c>
      <c r="H69" s="10">
        <v>23.22</v>
      </c>
      <c r="I69" s="10"/>
      <c r="J69" s="10">
        <v>23.22</v>
      </c>
      <c r="K69" s="10">
        <v>1225.26</v>
      </c>
    </row>
    <row r="70" spans="1:11" x14ac:dyDescent="0.25">
      <c r="A70" s="8" t="s">
        <v>176</v>
      </c>
      <c r="B70" s="8" t="s">
        <v>78</v>
      </c>
      <c r="C70" s="8" t="s">
        <v>73</v>
      </c>
      <c r="D70" s="8">
        <v>1</v>
      </c>
      <c r="E70" s="8" t="s">
        <v>174</v>
      </c>
      <c r="F70" s="8" t="s">
        <v>75</v>
      </c>
      <c r="G70" s="8" t="s">
        <v>175</v>
      </c>
      <c r="H70" s="10">
        <v>0.63</v>
      </c>
      <c r="I70" s="10"/>
      <c r="J70" s="10">
        <v>0.63</v>
      </c>
      <c r="K70" s="10">
        <v>1225.26</v>
      </c>
    </row>
    <row r="71" spans="1:11" x14ac:dyDescent="0.25">
      <c r="A71" s="8" t="s">
        <v>177</v>
      </c>
      <c r="B71" s="8" t="s">
        <v>80</v>
      </c>
      <c r="C71" s="8" t="s">
        <v>73</v>
      </c>
      <c r="D71" s="8">
        <v>1</v>
      </c>
      <c r="E71" s="8" t="s">
        <v>174</v>
      </c>
      <c r="F71" s="8" t="s">
        <v>75</v>
      </c>
      <c r="G71" s="8" t="s">
        <v>175</v>
      </c>
      <c r="H71" s="10">
        <v>5.08</v>
      </c>
      <c r="I71" s="10"/>
      <c r="J71" s="10">
        <v>5.08</v>
      </c>
      <c r="K71" s="10">
        <v>1225.26</v>
      </c>
    </row>
    <row r="72" spans="1:11" x14ac:dyDescent="0.25">
      <c r="A72" s="8" t="s">
        <v>178</v>
      </c>
      <c r="B72" s="8" t="s">
        <v>72</v>
      </c>
      <c r="C72" s="8" t="s">
        <v>73</v>
      </c>
      <c r="D72" s="8">
        <v>1</v>
      </c>
      <c r="E72" s="8" t="s">
        <v>179</v>
      </c>
      <c r="F72" s="8" t="s">
        <v>75</v>
      </c>
      <c r="G72" s="8" t="s">
        <v>175</v>
      </c>
      <c r="H72" s="10">
        <v>226.6</v>
      </c>
      <c r="I72" s="10"/>
      <c r="J72" s="10">
        <v>226.6</v>
      </c>
      <c r="K72" s="10">
        <v>1380.87</v>
      </c>
    </row>
    <row r="73" spans="1:11" x14ac:dyDescent="0.25">
      <c r="A73" s="8" t="s">
        <v>180</v>
      </c>
      <c r="B73" s="8" t="s">
        <v>116</v>
      </c>
      <c r="C73" s="8" t="s">
        <v>73</v>
      </c>
      <c r="D73" s="8">
        <v>1</v>
      </c>
      <c r="E73" s="8" t="s">
        <v>179</v>
      </c>
      <c r="F73" s="8" t="s">
        <v>75</v>
      </c>
      <c r="G73" s="8" t="s">
        <v>175</v>
      </c>
      <c r="H73" s="10">
        <v>0.38</v>
      </c>
      <c r="I73" s="10"/>
      <c r="J73" s="10">
        <v>0.38</v>
      </c>
      <c r="K73" s="10">
        <v>1380.87</v>
      </c>
    </row>
    <row r="74" spans="1:11" x14ac:dyDescent="0.25">
      <c r="A74" s="8" t="s">
        <v>181</v>
      </c>
      <c r="B74" s="8" t="s">
        <v>116</v>
      </c>
      <c r="C74" s="8" t="s">
        <v>73</v>
      </c>
      <c r="D74" s="8">
        <v>1</v>
      </c>
      <c r="E74" s="8" t="s">
        <v>179</v>
      </c>
      <c r="F74" s="8" t="s">
        <v>75</v>
      </c>
      <c r="G74" s="8" t="s">
        <v>175</v>
      </c>
      <c r="H74" s="10">
        <v>3.2</v>
      </c>
      <c r="I74" s="10"/>
      <c r="J74" s="10">
        <v>3.2</v>
      </c>
      <c r="K74" s="10">
        <v>1380.87</v>
      </c>
    </row>
    <row r="75" spans="1:11" x14ac:dyDescent="0.25">
      <c r="A75" s="8" t="s">
        <v>182</v>
      </c>
      <c r="B75" s="8" t="s">
        <v>116</v>
      </c>
      <c r="C75" s="8" t="s">
        <v>73</v>
      </c>
      <c r="D75" s="8">
        <v>1</v>
      </c>
      <c r="E75" s="8" t="s">
        <v>179</v>
      </c>
      <c r="F75" s="8" t="s">
        <v>75</v>
      </c>
      <c r="G75" s="8" t="s">
        <v>175</v>
      </c>
      <c r="H75" s="10">
        <v>6.1</v>
      </c>
      <c r="I75" s="10"/>
      <c r="J75" s="10">
        <v>6.1</v>
      </c>
      <c r="K75" s="10">
        <v>1380.87</v>
      </c>
    </row>
    <row r="76" spans="1:11" x14ac:dyDescent="0.25">
      <c r="A76" s="8" t="s">
        <v>183</v>
      </c>
      <c r="B76" s="8" t="s">
        <v>118</v>
      </c>
      <c r="C76" s="8" t="s">
        <v>73</v>
      </c>
      <c r="D76" s="8">
        <v>1</v>
      </c>
      <c r="E76" s="8" t="s">
        <v>179</v>
      </c>
      <c r="F76" s="8" t="s">
        <v>75</v>
      </c>
      <c r="G76" s="8" t="s">
        <v>175</v>
      </c>
      <c r="H76" s="10">
        <v>0.48</v>
      </c>
      <c r="I76" s="10"/>
      <c r="J76" s="10">
        <v>0.48</v>
      </c>
      <c r="K76" s="10">
        <v>1380.87</v>
      </c>
    </row>
    <row r="77" spans="1:11" x14ac:dyDescent="0.25">
      <c r="A77" s="8" t="s">
        <v>184</v>
      </c>
      <c r="B77" s="8" t="s">
        <v>118</v>
      </c>
      <c r="C77" s="8" t="s">
        <v>73</v>
      </c>
      <c r="D77" s="8">
        <v>1</v>
      </c>
      <c r="E77" s="8" t="s">
        <v>179</v>
      </c>
      <c r="F77" s="8" t="s">
        <v>75</v>
      </c>
      <c r="G77" s="8" t="s">
        <v>175</v>
      </c>
      <c r="H77" s="10">
        <v>7</v>
      </c>
      <c r="I77" s="10"/>
      <c r="J77" s="10">
        <v>7</v>
      </c>
      <c r="K77" s="10">
        <v>1380.87</v>
      </c>
    </row>
    <row r="78" spans="1:11" x14ac:dyDescent="0.25">
      <c r="A78" s="8" t="s">
        <v>185</v>
      </c>
      <c r="B78" s="8" t="s">
        <v>118</v>
      </c>
      <c r="C78" s="8" t="s">
        <v>73</v>
      </c>
      <c r="D78" s="8">
        <v>1</v>
      </c>
      <c r="E78" s="8" t="s">
        <v>179</v>
      </c>
      <c r="F78" s="8" t="s">
        <v>75</v>
      </c>
      <c r="G78" s="8" t="s">
        <v>175</v>
      </c>
      <c r="H78" s="10">
        <v>8</v>
      </c>
      <c r="I78" s="10"/>
      <c r="J78" s="10">
        <v>8</v>
      </c>
      <c r="K78" s="10">
        <v>1380.87</v>
      </c>
    </row>
    <row r="79" spans="1:11" x14ac:dyDescent="0.25">
      <c r="A79" s="8" t="s">
        <v>186</v>
      </c>
      <c r="B79" s="8" t="s">
        <v>120</v>
      </c>
      <c r="C79" s="8" t="s">
        <v>73</v>
      </c>
      <c r="D79" s="8">
        <v>1</v>
      </c>
      <c r="E79" s="8" t="s">
        <v>179</v>
      </c>
      <c r="F79" s="8" t="s">
        <v>75</v>
      </c>
      <c r="G79" s="8" t="s">
        <v>175</v>
      </c>
      <c r="H79" s="10">
        <v>0.8</v>
      </c>
      <c r="I79" s="10"/>
      <c r="J79" s="10">
        <v>0.8</v>
      </c>
      <c r="K79" s="10">
        <v>1380.87</v>
      </c>
    </row>
    <row r="80" spans="1:11" x14ac:dyDescent="0.25">
      <c r="A80" s="8" t="s">
        <v>187</v>
      </c>
      <c r="B80" s="8" t="s">
        <v>120</v>
      </c>
      <c r="C80" s="8" t="s">
        <v>73</v>
      </c>
      <c r="D80" s="8">
        <v>1</v>
      </c>
      <c r="E80" s="8" t="s">
        <v>179</v>
      </c>
      <c r="F80" s="8" t="s">
        <v>75</v>
      </c>
      <c r="G80" s="8" t="s">
        <v>175</v>
      </c>
      <c r="H80" s="10">
        <v>5.0999999999999996</v>
      </c>
      <c r="I80" s="10"/>
      <c r="J80" s="10">
        <v>5.0999999999999996</v>
      </c>
      <c r="K80" s="10">
        <v>1380.87</v>
      </c>
    </row>
    <row r="81" spans="1:11" x14ac:dyDescent="0.25">
      <c r="A81" s="8" t="s">
        <v>188</v>
      </c>
      <c r="B81" s="8" t="s">
        <v>120</v>
      </c>
      <c r="C81" s="8" t="s">
        <v>73</v>
      </c>
      <c r="D81" s="8">
        <v>1</v>
      </c>
      <c r="E81" s="8" t="s">
        <v>179</v>
      </c>
      <c r="F81" s="8" t="s">
        <v>75</v>
      </c>
      <c r="G81" s="8" t="s">
        <v>175</v>
      </c>
      <c r="H81" s="10">
        <v>0.8</v>
      </c>
      <c r="I81" s="10"/>
      <c r="J81" s="10">
        <v>0.8</v>
      </c>
      <c r="K81" s="10">
        <v>1380.87</v>
      </c>
    </row>
    <row r="82" spans="1:11" x14ac:dyDescent="0.25">
      <c r="A82" s="8" t="s">
        <v>189</v>
      </c>
      <c r="B82" s="8" t="s">
        <v>120</v>
      </c>
      <c r="C82" s="8" t="s">
        <v>73</v>
      </c>
      <c r="D82" s="8">
        <v>1</v>
      </c>
      <c r="E82" s="8" t="s">
        <v>179</v>
      </c>
      <c r="F82" s="8" t="s">
        <v>75</v>
      </c>
      <c r="G82" s="8" t="s">
        <v>175</v>
      </c>
      <c r="H82" s="10">
        <v>1.4</v>
      </c>
      <c r="I82" s="10"/>
      <c r="J82" s="10">
        <v>1.4</v>
      </c>
      <c r="K82" s="10">
        <v>1380.87</v>
      </c>
    </row>
    <row r="83" spans="1:11" x14ac:dyDescent="0.25">
      <c r="A83" s="8" t="s">
        <v>190</v>
      </c>
      <c r="B83" s="8" t="s">
        <v>122</v>
      </c>
      <c r="C83" s="8" t="s">
        <v>73</v>
      </c>
      <c r="D83" s="8">
        <v>1</v>
      </c>
      <c r="E83" s="8" t="s">
        <v>179</v>
      </c>
      <c r="F83" s="8" t="s">
        <v>75</v>
      </c>
      <c r="G83" s="8" t="s">
        <v>175</v>
      </c>
      <c r="H83" s="10">
        <v>0.96</v>
      </c>
      <c r="I83" s="10"/>
      <c r="J83" s="10">
        <v>0.96</v>
      </c>
      <c r="K83" s="10">
        <v>1380.87</v>
      </c>
    </row>
    <row r="84" spans="1:11" x14ac:dyDescent="0.25">
      <c r="A84" s="8" t="s">
        <v>191</v>
      </c>
      <c r="B84" s="8" t="s">
        <v>124</v>
      </c>
      <c r="C84" s="8" t="s">
        <v>73</v>
      </c>
      <c r="D84" s="8">
        <v>1</v>
      </c>
      <c r="E84" s="8" t="s">
        <v>179</v>
      </c>
      <c r="F84" s="8" t="s">
        <v>75</v>
      </c>
      <c r="G84" s="8" t="s">
        <v>175</v>
      </c>
      <c r="H84" s="10">
        <v>1.02</v>
      </c>
      <c r="I84" s="10"/>
      <c r="J84" s="10">
        <v>1.02</v>
      </c>
      <c r="K84" s="10">
        <v>1380.87</v>
      </c>
    </row>
    <row r="85" spans="1:11" x14ac:dyDescent="0.25">
      <c r="A85" s="8" t="s">
        <v>192</v>
      </c>
      <c r="B85" s="8" t="s">
        <v>78</v>
      </c>
      <c r="C85" s="8" t="s">
        <v>73</v>
      </c>
      <c r="D85" s="8">
        <v>1</v>
      </c>
      <c r="E85" s="8" t="s">
        <v>179</v>
      </c>
      <c r="F85" s="8" t="s">
        <v>75</v>
      </c>
      <c r="G85" s="8" t="s">
        <v>175</v>
      </c>
      <c r="H85" s="10">
        <v>0.64</v>
      </c>
      <c r="I85" s="10"/>
      <c r="J85" s="10">
        <v>0.64</v>
      </c>
      <c r="K85" s="10">
        <v>1380.87</v>
      </c>
    </row>
    <row r="86" spans="1:11" x14ac:dyDescent="0.25">
      <c r="A86" s="8" t="s">
        <v>193</v>
      </c>
      <c r="B86" s="8" t="s">
        <v>78</v>
      </c>
      <c r="C86" s="8" t="s">
        <v>73</v>
      </c>
      <c r="D86" s="8">
        <v>1</v>
      </c>
      <c r="E86" s="8" t="s">
        <v>179</v>
      </c>
      <c r="F86" s="8" t="s">
        <v>75</v>
      </c>
      <c r="G86" s="8" t="s">
        <v>175</v>
      </c>
      <c r="H86" s="10">
        <v>2.74</v>
      </c>
      <c r="I86" s="10"/>
      <c r="J86" s="10">
        <v>2.74</v>
      </c>
      <c r="K86" s="10">
        <v>1380.87</v>
      </c>
    </row>
    <row r="87" spans="1:11" x14ac:dyDescent="0.25">
      <c r="A87" s="8" t="s">
        <v>194</v>
      </c>
      <c r="B87" s="8" t="s">
        <v>128</v>
      </c>
      <c r="C87" s="8" t="s">
        <v>73</v>
      </c>
      <c r="D87" s="8">
        <v>1</v>
      </c>
      <c r="E87" s="8" t="s">
        <v>179</v>
      </c>
      <c r="F87" s="8" t="s">
        <v>75</v>
      </c>
      <c r="G87" s="8" t="s">
        <v>175</v>
      </c>
      <c r="H87" s="10">
        <v>0.26</v>
      </c>
      <c r="I87" s="10"/>
      <c r="J87" s="10">
        <v>0.26</v>
      </c>
      <c r="K87" s="10">
        <v>1380.87</v>
      </c>
    </row>
    <row r="88" spans="1:11" x14ac:dyDescent="0.25">
      <c r="A88" s="8" t="s">
        <v>195</v>
      </c>
      <c r="B88" s="8" t="s">
        <v>130</v>
      </c>
      <c r="C88" s="8" t="s">
        <v>73</v>
      </c>
      <c r="D88" s="8">
        <v>1</v>
      </c>
      <c r="E88" s="8" t="s">
        <v>179</v>
      </c>
      <c r="F88" s="8" t="s">
        <v>75</v>
      </c>
      <c r="G88" s="8" t="s">
        <v>175</v>
      </c>
      <c r="H88" s="10">
        <v>0.1</v>
      </c>
      <c r="I88" s="10"/>
      <c r="J88" s="10">
        <v>0.1</v>
      </c>
      <c r="K88" s="10">
        <v>1380.87</v>
      </c>
    </row>
    <row r="89" spans="1:11" x14ac:dyDescent="0.25">
      <c r="A89" s="8" t="s">
        <v>196</v>
      </c>
      <c r="B89" s="8" t="s">
        <v>132</v>
      </c>
      <c r="C89" s="8" t="s">
        <v>73</v>
      </c>
      <c r="D89" s="8">
        <v>1</v>
      </c>
      <c r="E89" s="8" t="s">
        <v>179</v>
      </c>
      <c r="F89" s="8" t="s">
        <v>75</v>
      </c>
      <c r="G89" s="8" t="s">
        <v>175</v>
      </c>
      <c r="H89" s="10">
        <v>0.19</v>
      </c>
      <c r="I89" s="10"/>
      <c r="J89" s="10">
        <v>0.19</v>
      </c>
      <c r="K89" s="10">
        <v>1380.87</v>
      </c>
    </row>
    <row r="90" spans="1:11" x14ac:dyDescent="0.25">
      <c r="A90" s="8" t="s">
        <v>197</v>
      </c>
      <c r="B90" s="8" t="s">
        <v>134</v>
      </c>
      <c r="C90" s="8" t="s">
        <v>73</v>
      </c>
      <c r="D90" s="8">
        <v>1</v>
      </c>
      <c r="E90" s="8" t="s">
        <v>179</v>
      </c>
      <c r="F90" s="8" t="s">
        <v>75</v>
      </c>
      <c r="G90" s="8" t="s">
        <v>175</v>
      </c>
      <c r="H90" s="10">
        <v>0.1</v>
      </c>
      <c r="I90" s="10"/>
      <c r="J90" s="10">
        <v>0.1</v>
      </c>
      <c r="K90" s="10">
        <v>1380.87</v>
      </c>
    </row>
    <row r="91" spans="1:11" x14ac:dyDescent="0.25">
      <c r="A91" s="8" t="s">
        <v>198</v>
      </c>
      <c r="B91" s="8" t="s">
        <v>136</v>
      </c>
      <c r="C91" s="8" t="s">
        <v>73</v>
      </c>
      <c r="D91" s="8">
        <v>1</v>
      </c>
      <c r="E91" s="8" t="s">
        <v>179</v>
      </c>
      <c r="F91" s="8" t="s">
        <v>75</v>
      </c>
      <c r="G91" s="8" t="s">
        <v>175</v>
      </c>
      <c r="H91" s="10">
        <v>0.19</v>
      </c>
      <c r="I91" s="10"/>
      <c r="J91" s="10">
        <v>0.19</v>
      </c>
      <c r="K91" s="10">
        <v>1380.87</v>
      </c>
    </row>
    <row r="92" spans="1:11" x14ac:dyDescent="0.25">
      <c r="A92" s="8" t="s">
        <v>199</v>
      </c>
      <c r="B92" s="8" t="s">
        <v>138</v>
      </c>
      <c r="C92" s="8" t="s">
        <v>73</v>
      </c>
      <c r="D92" s="8">
        <v>1</v>
      </c>
      <c r="E92" s="8" t="s">
        <v>179</v>
      </c>
      <c r="F92" s="8" t="s">
        <v>75</v>
      </c>
      <c r="G92" s="8" t="s">
        <v>175</v>
      </c>
      <c r="H92" s="10">
        <v>0.1</v>
      </c>
      <c r="I92" s="10"/>
      <c r="J92" s="10">
        <v>0.1</v>
      </c>
      <c r="K92" s="10">
        <v>1380.87</v>
      </c>
    </row>
    <row r="93" spans="1:11" x14ac:dyDescent="0.25">
      <c r="A93" s="8" t="s">
        <v>200</v>
      </c>
      <c r="B93" s="8" t="s">
        <v>80</v>
      </c>
      <c r="C93" s="8" t="s">
        <v>73</v>
      </c>
      <c r="D93" s="8">
        <v>1</v>
      </c>
      <c r="E93" s="8" t="s">
        <v>179</v>
      </c>
      <c r="F93" s="8" t="s">
        <v>75</v>
      </c>
      <c r="G93" s="8" t="s">
        <v>175</v>
      </c>
      <c r="H93" s="10">
        <v>50.08</v>
      </c>
      <c r="I93" s="10"/>
      <c r="J93" s="10">
        <v>50.08</v>
      </c>
      <c r="K93" s="10">
        <v>1380.87</v>
      </c>
    </row>
    <row r="94" spans="1:11" x14ac:dyDescent="0.25">
      <c r="A94" s="8" t="s">
        <v>201</v>
      </c>
      <c r="B94" s="8" t="s">
        <v>80</v>
      </c>
      <c r="C94" s="8" t="s">
        <v>73</v>
      </c>
      <c r="D94" s="8">
        <v>1</v>
      </c>
      <c r="E94" s="8" t="s">
        <v>202</v>
      </c>
      <c r="F94" s="8" t="s">
        <v>75</v>
      </c>
      <c r="G94" s="8" t="s">
        <v>175</v>
      </c>
      <c r="H94" s="10">
        <v>0.16</v>
      </c>
      <c r="I94" s="10"/>
      <c r="J94" s="10">
        <v>0.16</v>
      </c>
      <c r="K94" s="10">
        <v>1451.37</v>
      </c>
    </row>
    <row r="95" spans="1:11" x14ac:dyDescent="0.25">
      <c r="A95" s="8" t="s">
        <v>203</v>
      </c>
      <c r="B95" s="8" t="s">
        <v>142</v>
      </c>
      <c r="C95" s="8" t="s">
        <v>73</v>
      </c>
      <c r="D95" s="8">
        <v>1</v>
      </c>
      <c r="E95" s="8" t="s">
        <v>202</v>
      </c>
      <c r="F95" s="8" t="s">
        <v>75</v>
      </c>
      <c r="G95" s="8" t="s">
        <v>175</v>
      </c>
      <c r="H95" s="10">
        <v>0.16</v>
      </c>
      <c r="I95" s="10"/>
      <c r="J95" s="10">
        <v>0.16</v>
      </c>
      <c r="K95" s="10">
        <v>1451.37</v>
      </c>
    </row>
    <row r="96" spans="1:11" x14ac:dyDescent="0.25">
      <c r="A96" s="8" t="s">
        <v>204</v>
      </c>
      <c r="B96" s="8" t="s">
        <v>120</v>
      </c>
      <c r="C96" s="8" t="s">
        <v>73</v>
      </c>
      <c r="D96" s="8">
        <v>1</v>
      </c>
      <c r="E96" s="8" t="s">
        <v>205</v>
      </c>
      <c r="F96" s="8" t="s">
        <v>75</v>
      </c>
      <c r="G96" s="8" t="s">
        <v>175</v>
      </c>
      <c r="H96" s="10">
        <v>607.5</v>
      </c>
      <c r="I96" s="10"/>
      <c r="J96" s="10">
        <v>607.5</v>
      </c>
      <c r="K96" s="10">
        <v>1451.37</v>
      </c>
    </row>
    <row r="97" spans="1:11" x14ac:dyDescent="0.25">
      <c r="A97" s="8" t="s">
        <v>206</v>
      </c>
      <c r="B97" s="8" t="s">
        <v>72</v>
      </c>
      <c r="C97" s="8" t="s">
        <v>207</v>
      </c>
      <c r="D97" s="8">
        <v>1</v>
      </c>
      <c r="E97" s="8" t="s">
        <v>208</v>
      </c>
      <c r="F97" s="8" t="s">
        <v>149</v>
      </c>
      <c r="G97" s="8" t="s">
        <v>209</v>
      </c>
      <c r="H97" s="10">
        <v>1359.6</v>
      </c>
      <c r="I97" s="10"/>
      <c r="J97" s="10">
        <v>1359.6</v>
      </c>
      <c r="K97" s="10">
        <v>37.869999999999997</v>
      </c>
    </row>
    <row r="98" spans="1:11" x14ac:dyDescent="0.25">
      <c r="A98" s="8" t="s">
        <v>210</v>
      </c>
      <c r="B98" s="8" t="s">
        <v>78</v>
      </c>
      <c r="C98" s="8" t="s">
        <v>207</v>
      </c>
      <c r="D98" s="8">
        <v>1</v>
      </c>
      <c r="E98" s="8" t="s">
        <v>208</v>
      </c>
      <c r="F98" s="8" t="s">
        <v>149</v>
      </c>
      <c r="G98" s="8" t="s">
        <v>209</v>
      </c>
      <c r="H98" s="10">
        <v>16.43</v>
      </c>
      <c r="I98" s="10"/>
      <c r="J98" s="10">
        <v>16.43</v>
      </c>
      <c r="K98" s="10">
        <v>37.869999999999997</v>
      </c>
    </row>
    <row r="99" spans="1:11" x14ac:dyDescent="0.25">
      <c r="A99" s="8" t="s">
        <v>211</v>
      </c>
      <c r="B99" s="8" t="s">
        <v>80</v>
      </c>
      <c r="C99" s="8" t="s">
        <v>207</v>
      </c>
      <c r="D99" s="8">
        <v>1</v>
      </c>
      <c r="E99" s="8" t="s">
        <v>208</v>
      </c>
      <c r="F99" s="8" t="s">
        <v>149</v>
      </c>
      <c r="G99" s="8" t="s">
        <v>209</v>
      </c>
      <c r="H99" s="10">
        <v>300.45</v>
      </c>
      <c r="I99" s="10"/>
      <c r="J99" s="10">
        <v>300.45</v>
      </c>
      <c r="K99" s="10">
        <v>37.869999999999997</v>
      </c>
    </row>
    <row r="100" spans="1:11" x14ac:dyDescent="0.25">
      <c r="A100" s="8" t="s">
        <v>212</v>
      </c>
      <c r="B100" s="8" t="s">
        <v>116</v>
      </c>
      <c r="C100" s="8" t="s">
        <v>213</v>
      </c>
      <c r="D100" s="8">
        <v>1</v>
      </c>
      <c r="E100" s="8" t="s">
        <v>214</v>
      </c>
      <c r="F100" s="8" t="s">
        <v>215</v>
      </c>
      <c r="G100" s="8" t="s">
        <v>216</v>
      </c>
      <c r="H100" s="10">
        <v>48</v>
      </c>
      <c r="I100" s="10"/>
      <c r="J100" s="10">
        <v>48</v>
      </c>
      <c r="K100" s="10">
        <v>175.87</v>
      </c>
    </row>
    <row r="101" spans="1:11" x14ac:dyDescent="0.25">
      <c r="A101" s="8" t="s">
        <v>217</v>
      </c>
      <c r="B101" s="8" t="s">
        <v>118</v>
      </c>
      <c r="C101" s="8" t="s">
        <v>213</v>
      </c>
      <c r="D101" s="8">
        <v>1</v>
      </c>
      <c r="E101" s="8" t="s">
        <v>214</v>
      </c>
      <c r="F101" s="8" t="s">
        <v>215</v>
      </c>
      <c r="G101" s="8" t="s">
        <v>216</v>
      </c>
      <c r="H101" s="10">
        <v>60</v>
      </c>
      <c r="I101" s="10"/>
      <c r="J101" s="10">
        <v>60</v>
      </c>
      <c r="K101" s="10">
        <v>175.87</v>
      </c>
    </row>
    <row r="102" spans="1:11" x14ac:dyDescent="0.25">
      <c r="A102" s="8" t="s">
        <v>218</v>
      </c>
      <c r="B102" s="8" t="s">
        <v>120</v>
      </c>
      <c r="C102" s="8" t="s">
        <v>213</v>
      </c>
      <c r="D102" s="8">
        <v>1</v>
      </c>
      <c r="E102" s="8" t="s">
        <v>214</v>
      </c>
      <c r="F102" s="8" t="s">
        <v>215</v>
      </c>
      <c r="G102" s="8" t="s">
        <v>216</v>
      </c>
      <c r="H102" s="10">
        <v>100</v>
      </c>
      <c r="I102" s="10"/>
      <c r="J102" s="10">
        <v>100</v>
      </c>
      <c r="K102" s="10">
        <v>175.87</v>
      </c>
    </row>
    <row r="103" spans="1:11" x14ac:dyDescent="0.25">
      <c r="A103" s="8" t="s">
        <v>219</v>
      </c>
      <c r="B103" s="8" t="s">
        <v>122</v>
      </c>
      <c r="C103" s="8" t="s">
        <v>213</v>
      </c>
      <c r="D103" s="8">
        <v>1</v>
      </c>
      <c r="E103" s="8" t="s">
        <v>214</v>
      </c>
      <c r="F103" s="8" t="s">
        <v>215</v>
      </c>
      <c r="G103" s="8" t="s">
        <v>216</v>
      </c>
      <c r="H103" s="10">
        <v>120</v>
      </c>
      <c r="I103" s="10"/>
      <c r="J103" s="10">
        <v>120</v>
      </c>
      <c r="K103" s="10">
        <v>175.87</v>
      </c>
    </row>
    <row r="104" spans="1:11" x14ac:dyDescent="0.25">
      <c r="A104" s="8" t="s">
        <v>220</v>
      </c>
      <c r="B104" s="8" t="s">
        <v>124</v>
      </c>
      <c r="C104" s="8" t="s">
        <v>213</v>
      </c>
      <c r="D104" s="8">
        <v>1</v>
      </c>
      <c r="E104" s="8" t="s">
        <v>214</v>
      </c>
      <c r="F104" s="8" t="s">
        <v>215</v>
      </c>
      <c r="G104" s="8" t="s">
        <v>216</v>
      </c>
      <c r="H104" s="10">
        <v>128</v>
      </c>
      <c r="I104" s="10"/>
      <c r="J104" s="10">
        <v>128</v>
      </c>
      <c r="K104" s="10">
        <v>175.87</v>
      </c>
    </row>
    <row r="105" spans="1:11" x14ac:dyDescent="0.25">
      <c r="A105" s="8" t="s">
        <v>221</v>
      </c>
      <c r="B105" s="8" t="s">
        <v>78</v>
      </c>
      <c r="C105" s="8" t="s">
        <v>213</v>
      </c>
      <c r="D105" s="8">
        <v>1</v>
      </c>
      <c r="E105" s="8" t="s">
        <v>214</v>
      </c>
      <c r="F105" s="8" t="s">
        <v>215</v>
      </c>
      <c r="G105" s="8" t="s">
        <v>216</v>
      </c>
      <c r="H105" s="10">
        <v>80</v>
      </c>
      <c r="I105" s="10"/>
      <c r="J105" s="10">
        <v>80</v>
      </c>
      <c r="K105" s="10">
        <v>175.87</v>
      </c>
    </row>
    <row r="106" spans="1:11" x14ac:dyDescent="0.25">
      <c r="A106" s="8" t="s">
        <v>222</v>
      </c>
      <c r="B106" s="8" t="s">
        <v>128</v>
      </c>
      <c r="C106" s="8" t="s">
        <v>213</v>
      </c>
      <c r="D106" s="8">
        <v>1</v>
      </c>
      <c r="E106" s="8" t="s">
        <v>214</v>
      </c>
      <c r="F106" s="8" t="s">
        <v>215</v>
      </c>
      <c r="G106" s="8" t="s">
        <v>216</v>
      </c>
      <c r="H106" s="10">
        <v>32</v>
      </c>
      <c r="I106" s="10"/>
      <c r="J106" s="10">
        <v>32</v>
      </c>
      <c r="K106" s="10">
        <v>175.87</v>
      </c>
    </row>
    <row r="107" spans="1:11" x14ac:dyDescent="0.25">
      <c r="A107" s="8" t="s">
        <v>223</v>
      </c>
      <c r="B107" s="8" t="s">
        <v>130</v>
      </c>
      <c r="C107" s="8" t="s">
        <v>213</v>
      </c>
      <c r="D107" s="8">
        <v>1</v>
      </c>
      <c r="E107" s="8" t="s">
        <v>214</v>
      </c>
      <c r="F107" s="8" t="s">
        <v>215</v>
      </c>
      <c r="G107" s="8" t="s">
        <v>216</v>
      </c>
      <c r="H107" s="10">
        <v>12</v>
      </c>
      <c r="I107" s="10"/>
      <c r="J107" s="10">
        <v>12</v>
      </c>
      <c r="K107" s="10">
        <v>175.87</v>
      </c>
    </row>
    <row r="108" spans="1:11" x14ac:dyDescent="0.25">
      <c r="A108" s="8" t="s">
        <v>224</v>
      </c>
      <c r="B108" s="8" t="s">
        <v>132</v>
      </c>
      <c r="C108" s="8" t="s">
        <v>213</v>
      </c>
      <c r="D108" s="8">
        <v>1</v>
      </c>
      <c r="E108" s="8" t="s">
        <v>214</v>
      </c>
      <c r="F108" s="8" t="s">
        <v>215</v>
      </c>
      <c r="G108" s="8" t="s">
        <v>216</v>
      </c>
      <c r="H108" s="10">
        <v>24</v>
      </c>
      <c r="I108" s="10"/>
      <c r="J108" s="10">
        <v>24</v>
      </c>
      <c r="K108" s="10">
        <v>175.87</v>
      </c>
    </row>
    <row r="109" spans="1:11" x14ac:dyDescent="0.25">
      <c r="A109" s="8" t="s">
        <v>225</v>
      </c>
      <c r="B109" s="8" t="s">
        <v>134</v>
      </c>
      <c r="C109" s="8" t="s">
        <v>213</v>
      </c>
      <c r="D109" s="8">
        <v>1</v>
      </c>
      <c r="E109" s="8" t="s">
        <v>214</v>
      </c>
      <c r="F109" s="8" t="s">
        <v>215</v>
      </c>
      <c r="G109" s="8" t="s">
        <v>216</v>
      </c>
      <c r="H109" s="10">
        <v>12</v>
      </c>
      <c r="I109" s="10"/>
      <c r="J109" s="10">
        <v>12</v>
      </c>
      <c r="K109" s="10">
        <v>175.87</v>
      </c>
    </row>
    <row r="110" spans="1:11" x14ac:dyDescent="0.25">
      <c r="A110" s="8" t="s">
        <v>226</v>
      </c>
      <c r="B110" s="8" t="s">
        <v>136</v>
      </c>
      <c r="C110" s="8" t="s">
        <v>213</v>
      </c>
      <c r="D110" s="8">
        <v>1</v>
      </c>
      <c r="E110" s="8" t="s">
        <v>214</v>
      </c>
      <c r="F110" s="8" t="s">
        <v>215</v>
      </c>
      <c r="G110" s="8" t="s">
        <v>216</v>
      </c>
      <c r="H110" s="10">
        <v>24</v>
      </c>
      <c r="I110" s="10"/>
      <c r="J110" s="10">
        <v>24</v>
      </c>
      <c r="K110" s="10">
        <v>175.87</v>
      </c>
    </row>
    <row r="111" spans="1:11" x14ac:dyDescent="0.25">
      <c r="A111" s="8" t="s">
        <v>227</v>
      </c>
      <c r="B111" s="8" t="s">
        <v>138</v>
      </c>
      <c r="C111" s="8" t="s">
        <v>213</v>
      </c>
      <c r="D111" s="8">
        <v>1</v>
      </c>
      <c r="E111" s="8" t="s">
        <v>214</v>
      </c>
      <c r="F111" s="8" t="s">
        <v>215</v>
      </c>
      <c r="G111" s="8" t="s">
        <v>216</v>
      </c>
      <c r="H111" s="10">
        <v>12</v>
      </c>
      <c r="I111" s="10"/>
      <c r="J111" s="10">
        <v>12</v>
      </c>
      <c r="K111" s="10">
        <v>175.87</v>
      </c>
    </row>
    <row r="112" spans="1:11" x14ac:dyDescent="0.25">
      <c r="A112" s="8" t="s">
        <v>228</v>
      </c>
      <c r="B112" s="8" t="s">
        <v>80</v>
      </c>
      <c r="C112" s="8" t="s">
        <v>213</v>
      </c>
      <c r="D112" s="8">
        <v>1</v>
      </c>
      <c r="E112" s="8" t="s">
        <v>214</v>
      </c>
      <c r="F112" s="8" t="s">
        <v>215</v>
      </c>
      <c r="G112" s="8" t="s">
        <v>216</v>
      </c>
      <c r="H112" s="10">
        <v>20</v>
      </c>
      <c r="I112" s="10"/>
      <c r="J112" s="10">
        <v>20</v>
      </c>
      <c r="K112" s="10">
        <v>175.87</v>
      </c>
    </row>
    <row r="113" spans="1:11" x14ac:dyDescent="0.25">
      <c r="A113" s="8" t="s">
        <v>229</v>
      </c>
      <c r="B113" s="8" t="s">
        <v>142</v>
      </c>
      <c r="C113" s="8" t="s">
        <v>213</v>
      </c>
      <c r="D113" s="8">
        <v>1</v>
      </c>
      <c r="E113" s="8" t="s">
        <v>214</v>
      </c>
      <c r="F113" s="8" t="s">
        <v>215</v>
      </c>
      <c r="G113" s="8" t="s">
        <v>216</v>
      </c>
      <c r="H113" s="10">
        <v>20</v>
      </c>
      <c r="I113" s="10"/>
      <c r="J113" s="10">
        <v>20</v>
      </c>
      <c r="K113" s="10">
        <v>175.87</v>
      </c>
    </row>
    <row r="114" spans="1:11" x14ac:dyDescent="0.25">
      <c r="A114" s="8" t="s">
        <v>230</v>
      </c>
      <c r="B114" s="8" t="s">
        <v>116</v>
      </c>
      <c r="C114" s="8" t="s">
        <v>213</v>
      </c>
      <c r="D114" s="8">
        <v>1</v>
      </c>
      <c r="E114" s="8" t="s">
        <v>231</v>
      </c>
      <c r="F114" s="8" t="s">
        <v>88</v>
      </c>
      <c r="G114" s="8" t="s">
        <v>216</v>
      </c>
      <c r="H114" s="10">
        <v>1.92</v>
      </c>
      <c r="I114" s="10"/>
      <c r="J114" s="10">
        <v>1.92</v>
      </c>
      <c r="K114" s="10">
        <v>277.23</v>
      </c>
    </row>
    <row r="115" spans="1:11" x14ac:dyDescent="0.25">
      <c r="A115" s="8" t="s">
        <v>232</v>
      </c>
      <c r="B115" s="8" t="s">
        <v>118</v>
      </c>
      <c r="C115" s="8" t="s">
        <v>213</v>
      </c>
      <c r="D115" s="8">
        <v>1</v>
      </c>
      <c r="E115" s="8" t="s">
        <v>231</v>
      </c>
      <c r="F115" s="8" t="s">
        <v>88</v>
      </c>
      <c r="G115" s="8" t="s">
        <v>216</v>
      </c>
      <c r="H115" s="10">
        <v>2.4</v>
      </c>
      <c r="I115" s="10"/>
      <c r="J115" s="10">
        <v>2.4</v>
      </c>
      <c r="K115" s="10">
        <v>277.23</v>
      </c>
    </row>
    <row r="116" spans="1:11" x14ac:dyDescent="0.25">
      <c r="A116" s="8" t="s">
        <v>233</v>
      </c>
      <c r="B116" s="8" t="s">
        <v>122</v>
      </c>
      <c r="C116" s="8" t="s">
        <v>213</v>
      </c>
      <c r="D116" s="8">
        <v>1</v>
      </c>
      <c r="E116" s="8" t="s">
        <v>231</v>
      </c>
      <c r="F116" s="8" t="s">
        <v>88</v>
      </c>
      <c r="G116" s="8" t="s">
        <v>216</v>
      </c>
      <c r="H116" s="10">
        <v>4.8</v>
      </c>
      <c r="I116" s="10"/>
      <c r="J116" s="10">
        <v>4.8</v>
      </c>
      <c r="K116" s="10">
        <v>277.23</v>
      </c>
    </row>
    <row r="117" spans="1:11" x14ac:dyDescent="0.25">
      <c r="A117" s="8" t="s">
        <v>234</v>
      </c>
      <c r="B117" s="8" t="s">
        <v>124</v>
      </c>
      <c r="C117" s="8" t="s">
        <v>213</v>
      </c>
      <c r="D117" s="8">
        <v>1</v>
      </c>
      <c r="E117" s="8" t="s">
        <v>231</v>
      </c>
      <c r="F117" s="8" t="s">
        <v>88</v>
      </c>
      <c r="G117" s="8" t="s">
        <v>216</v>
      </c>
      <c r="H117" s="10">
        <v>5.12</v>
      </c>
      <c r="I117" s="10"/>
      <c r="J117" s="10">
        <v>5.12</v>
      </c>
      <c r="K117" s="10">
        <v>277.23</v>
      </c>
    </row>
    <row r="118" spans="1:11" x14ac:dyDescent="0.25">
      <c r="A118" s="8" t="s">
        <v>235</v>
      </c>
      <c r="B118" s="8" t="s">
        <v>78</v>
      </c>
      <c r="C118" s="8" t="s">
        <v>213</v>
      </c>
      <c r="D118" s="8">
        <v>1</v>
      </c>
      <c r="E118" s="8" t="s">
        <v>231</v>
      </c>
      <c r="F118" s="8" t="s">
        <v>88</v>
      </c>
      <c r="G118" s="8" t="s">
        <v>216</v>
      </c>
      <c r="H118" s="10">
        <v>3.2</v>
      </c>
      <c r="I118" s="10"/>
      <c r="J118" s="10">
        <v>3.2</v>
      </c>
      <c r="K118" s="10">
        <v>277.23</v>
      </c>
    </row>
    <row r="119" spans="1:11" x14ac:dyDescent="0.25">
      <c r="A119" s="8" t="s">
        <v>236</v>
      </c>
      <c r="B119" s="8" t="s">
        <v>128</v>
      </c>
      <c r="C119" s="8" t="s">
        <v>213</v>
      </c>
      <c r="D119" s="8">
        <v>1</v>
      </c>
      <c r="E119" s="8" t="s">
        <v>231</v>
      </c>
      <c r="F119" s="8" t="s">
        <v>88</v>
      </c>
      <c r="G119" s="8" t="s">
        <v>216</v>
      </c>
      <c r="H119" s="10">
        <v>1.28</v>
      </c>
      <c r="I119" s="10"/>
      <c r="J119" s="10">
        <v>1.28</v>
      </c>
      <c r="K119" s="10">
        <v>277.23</v>
      </c>
    </row>
    <row r="120" spans="1:11" x14ac:dyDescent="0.25">
      <c r="A120" s="8" t="s">
        <v>237</v>
      </c>
      <c r="B120" s="8" t="s">
        <v>130</v>
      </c>
      <c r="C120" s="8" t="s">
        <v>213</v>
      </c>
      <c r="D120" s="8">
        <v>1</v>
      </c>
      <c r="E120" s="8" t="s">
        <v>231</v>
      </c>
      <c r="F120" s="8" t="s">
        <v>88</v>
      </c>
      <c r="G120" s="8" t="s">
        <v>216</v>
      </c>
      <c r="H120" s="10">
        <v>0.48</v>
      </c>
      <c r="I120" s="10"/>
      <c r="J120" s="10">
        <v>0.48</v>
      </c>
      <c r="K120" s="10">
        <v>277.23</v>
      </c>
    </row>
    <row r="121" spans="1:11" x14ac:dyDescent="0.25">
      <c r="A121" s="8" t="s">
        <v>238</v>
      </c>
      <c r="B121" s="8" t="s">
        <v>132</v>
      </c>
      <c r="C121" s="8" t="s">
        <v>213</v>
      </c>
      <c r="D121" s="8">
        <v>1</v>
      </c>
      <c r="E121" s="8" t="s">
        <v>231</v>
      </c>
      <c r="F121" s="8" t="s">
        <v>88</v>
      </c>
      <c r="G121" s="8" t="s">
        <v>216</v>
      </c>
      <c r="H121" s="10">
        <v>0.96</v>
      </c>
      <c r="I121" s="10"/>
      <c r="J121" s="10">
        <v>0.96</v>
      </c>
      <c r="K121" s="10">
        <v>277.23</v>
      </c>
    </row>
    <row r="122" spans="1:11" x14ac:dyDescent="0.25">
      <c r="A122" s="8" t="s">
        <v>239</v>
      </c>
      <c r="B122" s="8" t="s">
        <v>134</v>
      </c>
      <c r="C122" s="8" t="s">
        <v>213</v>
      </c>
      <c r="D122" s="8">
        <v>1</v>
      </c>
      <c r="E122" s="8" t="s">
        <v>231</v>
      </c>
      <c r="F122" s="8" t="s">
        <v>88</v>
      </c>
      <c r="G122" s="8" t="s">
        <v>216</v>
      </c>
      <c r="H122" s="10">
        <v>0.48</v>
      </c>
      <c r="I122" s="10"/>
      <c r="J122" s="10">
        <v>0.48</v>
      </c>
      <c r="K122" s="10">
        <v>277.23</v>
      </c>
    </row>
    <row r="123" spans="1:11" x14ac:dyDescent="0.25">
      <c r="A123" s="8" t="s">
        <v>240</v>
      </c>
      <c r="B123" s="8" t="s">
        <v>136</v>
      </c>
      <c r="C123" s="8" t="s">
        <v>213</v>
      </c>
      <c r="D123" s="8">
        <v>1</v>
      </c>
      <c r="E123" s="8" t="s">
        <v>231</v>
      </c>
      <c r="F123" s="8" t="s">
        <v>88</v>
      </c>
      <c r="G123" s="8" t="s">
        <v>216</v>
      </c>
      <c r="H123" s="10">
        <v>0.96</v>
      </c>
      <c r="I123" s="10"/>
      <c r="J123" s="10">
        <v>0.96</v>
      </c>
      <c r="K123" s="10">
        <v>277.23</v>
      </c>
    </row>
    <row r="124" spans="1:11" x14ac:dyDescent="0.25">
      <c r="A124" s="8" t="s">
        <v>241</v>
      </c>
      <c r="B124" s="8" t="s">
        <v>138</v>
      </c>
      <c r="C124" s="8" t="s">
        <v>213</v>
      </c>
      <c r="D124" s="8">
        <v>1</v>
      </c>
      <c r="E124" s="8" t="s">
        <v>231</v>
      </c>
      <c r="F124" s="8" t="s">
        <v>88</v>
      </c>
      <c r="G124" s="8" t="s">
        <v>216</v>
      </c>
      <c r="H124" s="10">
        <v>0.48</v>
      </c>
      <c r="I124" s="10"/>
      <c r="J124" s="10">
        <v>0.48</v>
      </c>
      <c r="K124" s="10">
        <v>277.23</v>
      </c>
    </row>
    <row r="125" spans="1:11" x14ac:dyDescent="0.25">
      <c r="A125" s="8" t="s">
        <v>242</v>
      </c>
      <c r="B125" s="8" t="s">
        <v>80</v>
      </c>
      <c r="C125" s="8" t="s">
        <v>213</v>
      </c>
      <c r="D125" s="8">
        <v>1</v>
      </c>
      <c r="E125" s="8" t="s">
        <v>231</v>
      </c>
      <c r="F125" s="8" t="s">
        <v>88</v>
      </c>
      <c r="G125" s="8" t="s">
        <v>216</v>
      </c>
      <c r="H125" s="10">
        <v>0.8</v>
      </c>
      <c r="I125" s="10"/>
      <c r="J125" s="10">
        <v>0.8</v>
      </c>
      <c r="K125" s="10">
        <v>277.23</v>
      </c>
    </row>
    <row r="126" spans="1:11" x14ac:dyDescent="0.25">
      <c r="A126" s="8" t="s">
        <v>243</v>
      </c>
      <c r="B126" s="8" t="s">
        <v>142</v>
      </c>
      <c r="C126" s="8" t="s">
        <v>213</v>
      </c>
      <c r="D126" s="8">
        <v>1</v>
      </c>
      <c r="E126" s="8" t="s">
        <v>231</v>
      </c>
      <c r="F126" s="8" t="s">
        <v>88</v>
      </c>
      <c r="G126" s="8" t="s">
        <v>216</v>
      </c>
      <c r="H126" s="10">
        <v>0.8</v>
      </c>
      <c r="I126" s="10"/>
      <c r="J126" s="10">
        <v>0.8</v>
      </c>
      <c r="K126" s="10">
        <v>277.23</v>
      </c>
    </row>
    <row r="127" spans="1:11" x14ac:dyDescent="0.25">
      <c r="A127" s="8" t="s">
        <v>244</v>
      </c>
      <c r="B127" s="8" t="s">
        <v>116</v>
      </c>
      <c r="C127" s="8" t="s">
        <v>245</v>
      </c>
      <c r="D127" s="8">
        <v>1</v>
      </c>
      <c r="E127" s="8" t="s">
        <v>246</v>
      </c>
      <c r="F127" s="8" t="s">
        <v>247</v>
      </c>
      <c r="G127" s="8" t="s">
        <v>248</v>
      </c>
      <c r="H127" s="10">
        <v>0.11</v>
      </c>
      <c r="I127" s="10"/>
      <c r="J127" s="10">
        <v>0.11</v>
      </c>
      <c r="K127" s="10">
        <v>58.59</v>
      </c>
    </row>
    <row r="128" spans="1:11" x14ac:dyDescent="0.25">
      <c r="A128" s="8" t="s">
        <v>249</v>
      </c>
      <c r="B128" s="8" t="s">
        <v>118</v>
      </c>
      <c r="C128" s="8" t="s">
        <v>245</v>
      </c>
      <c r="D128" s="8">
        <v>1</v>
      </c>
      <c r="E128" s="8" t="s">
        <v>246</v>
      </c>
      <c r="F128" s="8" t="s">
        <v>247</v>
      </c>
      <c r="G128" s="8" t="s">
        <v>248</v>
      </c>
      <c r="H128" s="10">
        <v>0.13</v>
      </c>
      <c r="I128" s="10"/>
      <c r="J128" s="10">
        <v>0.13</v>
      </c>
      <c r="K128" s="10">
        <v>58.59</v>
      </c>
    </row>
    <row r="129" spans="1:11" x14ac:dyDescent="0.25">
      <c r="A129" s="8" t="s">
        <v>250</v>
      </c>
      <c r="B129" s="8" t="s">
        <v>120</v>
      </c>
      <c r="C129" s="8" t="s">
        <v>245</v>
      </c>
      <c r="D129" s="8">
        <v>1</v>
      </c>
      <c r="E129" s="8" t="s">
        <v>246</v>
      </c>
      <c r="F129" s="8" t="s">
        <v>247</v>
      </c>
      <c r="G129" s="8" t="s">
        <v>248</v>
      </c>
      <c r="H129" s="10">
        <v>0.22</v>
      </c>
      <c r="I129" s="10"/>
      <c r="J129" s="10">
        <v>0.22</v>
      </c>
      <c r="K129" s="10">
        <v>58.59</v>
      </c>
    </row>
    <row r="130" spans="1:11" x14ac:dyDescent="0.25">
      <c r="A130" s="8" t="s">
        <v>251</v>
      </c>
      <c r="B130" s="8" t="s">
        <v>122</v>
      </c>
      <c r="C130" s="8" t="s">
        <v>245</v>
      </c>
      <c r="D130" s="8">
        <v>1</v>
      </c>
      <c r="E130" s="8" t="s">
        <v>246</v>
      </c>
      <c r="F130" s="8" t="s">
        <v>247</v>
      </c>
      <c r="G130" s="8" t="s">
        <v>248</v>
      </c>
      <c r="H130" s="10">
        <v>0.27</v>
      </c>
      <c r="I130" s="10"/>
      <c r="J130" s="10">
        <v>0.27</v>
      </c>
      <c r="K130" s="10">
        <v>58.59</v>
      </c>
    </row>
    <row r="131" spans="1:11" x14ac:dyDescent="0.25">
      <c r="A131" s="8" t="s">
        <v>252</v>
      </c>
      <c r="B131" s="8" t="s">
        <v>124</v>
      </c>
      <c r="C131" s="8" t="s">
        <v>245</v>
      </c>
      <c r="D131" s="8">
        <v>1</v>
      </c>
      <c r="E131" s="8" t="s">
        <v>246</v>
      </c>
      <c r="F131" s="8" t="s">
        <v>247</v>
      </c>
      <c r="G131" s="8" t="s">
        <v>248</v>
      </c>
      <c r="H131" s="10">
        <v>0.28000000000000003</v>
      </c>
      <c r="I131" s="10"/>
      <c r="J131" s="10">
        <v>0.28000000000000003</v>
      </c>
      <c r="K131" s="10">
        <v>58.59</v>
      </c>
    </row>
    <row r="132" spans="1:11" x14ac:dyDescent="0.25">
      <c r="A132" s="8" t="s">
        <v>253</v>
      </c>
      <c r="B132" s="8" t="s">
        <v>78</v>
      </c>
      <c r="C132" s="8" t="s">
        <v>245</v>
      </c>
      <c r="D132" s="8">
        <v>1</v>
      </c>
      <c r="E132" s="8" t="s">
        <v>246</v>
      </c>
      <c r="F132" s="8" t="s">
        <v>247</v>
      </c>
      <c r="G132" s="8" t="s">
        <v>248</v>
      </c>
      <c r="H132" s="10">
        <v>0.18</v>
      </c>
      <c r="I132" s="10"/>
      <c r="J132" s="10">
        <v>0.18</v>
      </c>
      <c r="K132" s="10">
        <v>58.59</v>
      </c>
    </row>
    <row r="133" spans="1:11" x14ac:dyDescent="0.25">
      <c r="A133" s="8" t="s">
        <v>254</v>
      </c>
      <c r="B133" s="8" t="s">
        <v>128</v>
      </c>
      <c r="C133" s="8" t="s">
        <v>245</v>
      </c>
      <c r="D133" s="8">
        <v>1</v>
      </c>
      <c r="E133" s="8" t="s">
        <v>246</v>
      </c>
      <c r="F133" s="8" t="s">
        <v>247</v>
      </c>
      <c r="G133" s="8" t="s">
        <v>248</v>
      </c>
      <c r="H133" s="10">
        <v>7.0000000000000007E-2</v>
      </c>
      <c r="I133" s="10"/>
      <c r="J133" s="10">
        <v>7.0000000000000007E-2</v>
      </c>
      <c r="K133" s="10">
        <v>58.59</v>
      </c>
    </row>
    <row r="134" spans="1:11" x14ac:dyDescent="0.25">
      <c r="A134" s="8" t="s">
        <v>255</v>
      </c>
      <c r="B134" s="8" t="s">
        <v>130</v>
      </c>
      <c r="C134" s="8" t="s">
        <v>245</v>
      </c>
      <c r="D134" s="8">
        <v>1</v>
      </c>
      <c r="E134" s="8" t="s">
        <v>246</v>
      </c>
      <c r="F134" s="8" t="s">
        <v>247</v>
      </c>
      <c r="G134" s="8" t="s">
        <v>248</v>
      </c>
      <c r="H134" s="10">
        <v>0.03</v>
      </c>
      <c r="I134" s="10"/>
      <c r="J134" s="10">
        <v>0.03</v>
      </c>
      <c r="K134" s="10">
        <v>58.59</v>
      </c>
    </row>
    <row r="135" spans="1:11" x14ac:dyDescent="0.25">
      <c r="A135" s="8" t="s">
        <v>256</v>
      </c>
      <c r="B135" s="8" t="s">
        <v>132</v>
      </c>
      <c r="C135" s="8" t="s">
        <v>245</v>
      </c>
      <c r="D135" s="8">
        <v>1</v>
      </c>
      <c r="E135" s="8" t="s">
        <v>246</v>
      </c>
      <c r="F135" s="8" t="s">
        <v>247</v>
      </c>
      <c r="G135" s="8" t="s">
        <v>248</v>
      </c>
      <c r="H135" s="10">
        <v>0.05</v>
      </c>
      <c r="I135" s="10"/>
      <c r="J135" s="10">
        <v>0.05</v>
      </c>
      <c r="K135" s="10">
        <v>58.59</v>
      </c>
    </row>
    <row r="136" spans="1:11" x14ac:dyDescent="0.25">
      <c r="A136" s="8" t="s">
        <v>257</v>
      </c>
      <c r="B136" s="8" t="s">
        <v>134</v>
      </c>
      <c r="C136" s="8" t="s">
        <v>245</v>
      </c>
      <c r="D136" s="8">
        <v>1</v>
      </c>
      <c r="E136" s="8" t="s">
        <v>246</v>
      </c>
      <c r="F136" s="8" t="s">
        <v>247</v>
      </c>
      <c r="G136" s="8" t="s">
        <v>248</v>
      </c>
      <c r="H136" s="10">
        <v>0.03</v>
      </c>
      <c r="I136" s="10"/>
      <c r="J136" s="10">
        <v>0.03</v>
      </c>
      <c r="K136" s="10">
        <v>58.59</v>
      </c>
    </row>
    <row r="137" spans="1:11" x14ac:dyDescent="0.25">
      <c r="A137" s="8" t="s">
        <v>258</v>
      </c>
      <c r="B137" s="8" t="s">
        <v>136</v>
      </c>
      <c r="C137" s="8" t="s">
        <v>245</v>
      </c>
      <c r="D137" s="8">
        <v>1</v>
      </c>
      <c r="E137" s="8" t="s">
        <v>246</v>
      </c>
      <c r="F137" s="8" t="s">
        <v>247</v>
      </c>
      <c r="G137" s="8" t="s">
        <v>248</v>
      </c>
      <c r="H137" s="10">
        <v>0.05</v>
      </c>
      <c r="I137" s="10"/>
      <c r="J137" s="10">
        <v>0.05</v>
      </c>
      <c r="K137" s="10">
        <v>58.59</v>
      </c>
    </row>
    <row r="138" spans="1:11" x14ac:dyDescent="0.25">
      <c r="A138" s="8" t="s">
        <v>259</v>
      </c>
      <c r="B138" s="8" t="s">
        <v>138</v>
      </c>
      <c r="C138" s="8" t="s">
        <v>245</v>
      </c>
      <c r="D138" s="8">
        <v>1</v>
      </c>
      <c r="E138" s="8" t="s">
        <v>246</v>
      </c>
      <c r="F138" s="8" t="s">
        <v>247</v>
      </c>
      <c r="G138" s="8" t="s">
        <v>248</v>
      </c>
      <c r="H138" s="10">
        <v>0.03</v>
      </c>
      <c r="I138" s="10"/>
      <c r="J138" s="10">
        <v>0.03</v>
      </c>
      <c r="K138" s="10">
        <v>58.59</v>
      </c>
    </row>
    <row r="139" spans="1:11" x14ac:dyDescent="0.25">
      <c r="A139" s="8" t="s">
        <v>260</v>
      </c>
      <c r="B139" s="8" t="s">
        <v>80</v>
      </c>
      <c r="C139" s="8" t="s">
        <v>245</v>
      </c>
      <c r="D139" s="8">
        <v>1</v>
      </c>
      <c r="E139" s="8" t="s">
        <v>246</v>
      </c>
      <c r="F139" s="8" t="s">
        <v>247</v>
      </c>
      <c r="G139" s="8" t="s">
        <v>248</v>
      </c>
      <c r="H139" s="10">
        <v>0.04</v>
      </c>
      <c r="I139" s="10"/>
      <c r="J139" s="10">
        <v>0.04</v>
      </c>
      <c r="K139" s="10">
        <v>58.59</v>
      </c>
    </row>
    <row r="140" spans="1:11" x14ac:dyDescent="0.25">
      <c r="A140" s="8" t="s">
        <v>261</v>
      </c>
      <c r="B140" s="8" t="s">
        <v>142</v>
      </c>
      <c r="C140" s="8" t="s">
        <v>245</v>
      </c>
      <c r="D140" s="8">
        <v>1</v>
      </c>
      <c r="E140" s="8" t="s">
        <v>246</v>
      </c>
      <c r="F140" s="8" t="s">
        <v>247</v>
      </c>
      <c r="G140" s="8" t="s">
        <v>248</v>
      </c>
      <c r="H140" s="10">
        <v>0.04</v>
      </c>
      <c r="I140" s="10"/>
      <c r="J140" s="10">
        <v>0.04</v>
      </c>
      <c r="K140" s="10">
        <v>58.59</v>
      </c>
    </row>
    <row r="141" spans="1:11" x14ac:dyDescent="0.25">
      <c r="A141" s="8" t="s">
        <v>262</v>
      </c>
      <c r="B141" s="8" t="s">
        <v>263</v>
      </c>
      <c r="C141" s="8" t="s">
        <v>264</v>
      </c>
      <c r="D141" s="8">
        <v>1</v>
      </c>
      <c r="E141" s="8" t="s">
        <v>265</v>
      </c>
      <c r="F141" s="8" t="s">
        <v>266</v>
      </c>
      <c r="G141" s="8" t="s">
        <v>267</v>
      </c>
      <c r="H141" s="10">
        <v>148.1</v>
      </c>
      <c r="I141" s="10"/>
      <c r="J141" s="10">
        <v>148.1</v>
      </c>
      <c r="K141" s="10">
        <v>2885.96</v>
      </c>
    </row>
    <row r="142" spans="1:11" x14ac:dyDescent="0.25">
      <c r="A142" s="8" t="s">
        <v>268</v>
      </c>
      <c r="B142" s="8" t="s">
        <v>269</v>
      </c>
      <c r="C142" s="8" t="s">
        <v>264</v>
      </c>
      <c r="D142" s="8">
        <v>1</v>
      </c>
      <c r="E142" s="8" t="s">
        <v>270</v>
      </c>
      <c r="F142" s="8" t="s">
        <v>266</v>
      </c>
      <c r="G142" s="8" t="s">
        <v>267</v>
      </c>
      <c r="H142" s="10">
        <v>148.1</v>
      </c>
      <c r="I142" s="10"/>
      <c r="J142" s="10">
        <v>148.1</v>
      </c>
      <c r="K142" s="10">
        <v>2885.96</v>
      </c>
    </row>
    <row r="143" spans="1:11" x14ac:dyDescent="0.25">
      <c r="A143" s="8" t="s">
        <v>271</v>
      </c>
      <c r="B143" s="8" t="s">
        <v>263</v>
      </c>
      <c r="C143" s="8" t="s">
        <v>272</v>
      </c>
      <c r="D143" s="8">
        <v>1</v>
      </c>
      <c r="E143" s="8" t="s">
        <v>273</v>
      </c>
      <c r="F143" s="8" t="s">
        <v>274</v>
      </c>
      <c r="G143" s="8" t="s">
        <v>275</v>
      </c>
      <c r="H143" s="10">
        <v>6</v>
      </c>
      <c r="I143" s="10"/>
      <c r="J143" s="10">
        <v>6</v>
      </c>
      <c r="K143" s="10">
        <v>331.61</v>
      </c>
    </row>
    <row r="144" spans="1:11" x14ac:dyDescent="0.25">
      <c r="A144" s="8" t="s">
        <v>276</v>
      </c>
      <c r="B144" s="8" t="s">
        <v>269</v>
      </c>
      <c r="C144" s="8" t="s">
        <v>272</v>
      </c>
      <c r="D144" s="8">
        <v>1</v>
      </c>
      <c r="E144" s="8" t="s">
        <v>277</v>
      </c>
      <c r="F144" s="8" t="s">
        <v>274</v>
      </c>
      <c r="G144" s="8" t="s">
        <v>275</v>
      </c>
      <c r="H144" s="10">
        <v>6</v>
      </c>
      <c r="I144" s="10"/>
      <c r="J144" s="10">
        <v>6</v>
      </c>
      <c r="K144" s="10">
        <v>331.61</v>
      </c>
    </row>
    <row r="145" spans="1:11" x14ac:dyDescent="0.25">
      <c r="A145" s="8" t="s">
        <v>278</v>
      </c>
      <c r="B145" s="8" t="s">
        <v>263</v>
      </c>
      <c r="C145" s="8" t="s">
        <v>272</v>
      </c>
      <c r="D145" s="8">
        <v>1</v>
      </c>
      <c r="E145" s="8" t="s">
        <v>279</v>
      </c>
      <c r="F145" s="8" t="s">
        <v>274</v>
      </c>
      <c r="G145" s="8" t="s">
        <v>275</v>
      </c>
      <c r="H145" s="10">
        <v>1</v>
      </c>
      <c r="I145" s="10"/>
      <c r="J145" s="10">
        <v>1</v>
      </c>
      <c r="K145" s="10">
        <v>331.61</v>
      </c>
    </row>
    <row r="146" spans="1:11" x14ac:dyDescent="0.25">
      <c r="A146" s="8" t="s">
        <v>280</v>
      </c>
      <c r="B146" s="8" t="s">
        <v>269</v>
      </c>
      <c r="C146" s="8" t="s">
        <v>272</v>
      </c>
      <c r="D146" s="8">
        <v>1</v>
      </c>
      <c r="E146" s="8" t="s">
        <v>281</v>
      </c>
      <c r="F146" s="8" t="s">
        <v>274</v>
      </c>
      <c r="G146" s="8" t="s">
        <v>275</v>
      </c>
      <c r="H146" s="10">
        <v>1</v>
      </c>
      <c r="I146" s="10"/>
      <c r="J146" s="10">
        <v>1</v>
      </c>
      <c r="K146" s="10">
        <v>331.61</v>
      </c>
    </row>
    <row r="147" spans="1:11" x14ac:dyDescent="0.25">
      <c r="A147" s="8" t="s">
        <v>282</v>
      </c>
      <c r="B147" s="8" t="s">
        <v>263</v>
      </c>
      <c r="C147" s="8" t="s">
        <v>272</v>
      </c>
      <c r="D147" s="8">
        <v>1</v>
      </c>
      <c r="E147" s="8" t="s">
        <v>283</v>
      </c>
      <c r="F147" s="8" t="s">
        <v>274</v>
      </c>
      <c r="G147" s="8" t="s">
        <v>275</v>
      </c>
      <c r="H147" s="10">
        <v>2</v>
      </c>
      <c r="I147" s="10"/>
      <c r="J147" s="10">
        <v>2</v>
      </c>
      <c r="K147" s="10">
        <v>663.21</v>
      </c>
    </row>
    <row r="148" spans="1:11" x14ac:dyDescent="0.25">
      <c r="A148" s="8" t="s">
        <v>284</v>
      </c>
      <c r="B148" s="8" t="s">
        <v>269</v>
      </c>
      <c r="C148" s="8" t="s">
        <v>272</v>
      </c>
      <c r="D148" s="8">
        <v>1</v>
      </c>
      <c r="E148" s="8" t="s">
        <v>285</v>
      </c>
      <c r="F148" s="8" t="s">
        <v>274</v>
      </c>
      <c r="G148" s="8" t="s">
        <v>275</v>
      </c>
      <c r="H148" s="10">
        <v>2</v>
      </c>
      <c r="I148" s="10"/>
      <c r="J148" s="10">
        <v>2</v>
      </c>
      <c r="K148" s="10">
        <v>663.21</v>
      </c>
    </row>
    <row r="149" spans="1:11" x14ac:dyDescent="0.25">
      <c r="A149" s="8" t="s">
        <v>286</v>
      </c>
      <c r="B149" s="8" t="s">
        <v>263</v>
      </c>
      <c r="C149" s="8" t="s">
        <v>272</v>
      </c>
      <c r="D149" s="8">
        <v>1</v>
      </c>
      <c r="E149" s="8" t="s">
        <v>287</v>
      </c>
      <c r="F149" s="8" t="s">
        <v>215</v>
      </c>
      <c r="G149" s="8" t="s">
        <v>275</v>
      </c>
      <c r="H149" s="10">
        <v>4</v>
      </c>
      <c r="I149" s="10"/>
      <c r="J149" s="10">
        <v>4</v>
      </c>
      <c r="K149" s="10">
        <v>331.61</v>
      </c>
    </row>
    <row r="150" spans="1:11" x14ac:dyDescent="0.25">
      <c r="A150" s="8" t="s">
        <v>288</v>
      </c>
      <c r="B150" s="8" t="s">
        <v>269</v>
      </c>
      <c r="C150" s="8" t="s">
        <v>272</v>
      </c>
      <c r="D150" s="8">
        <v>1</v>
      </c>
      <c r="E150" s="8" t="s">
        <v>289</v>
      </c>
      <c r="F150" s="8" t="s">
        <v>215</v>
      </c>
      <c r="G150" s="8" t="s">
        <v>275</v>
      </c>
      <c r="H150" s="10">
        <v>4</v>
      </c>
      <c r="I150" s="10"/>
      <c r="J150" s="10">
        <v>4</v>
      </c>
      <c r="K150" s="10">
        <v>331.61</v>
      </c>
    </row>
    <row r="151" spans="1:11" x14ac:dyDescent="0.25">
      <c r="A151" s="8" t="s">
        <v>290</v>
      </c>
      <c r="B151" s="8" t="s">
        <v>263</v>
      </c>
      <c r="C151" s="8" t="s">
        <v>272</v>
      </c>
      <c r="D151" s="8">
        <v>1</v>
      </c>
      <c r="E151" s="8" t="s">
        <v>291</v>
      </c>
      <c r="F151" s="8" t="s">
        <v>215</v>
      </c>
      <c r="G151" s="8" t="s">
        <v>275</v>
      </c>
      <c r="H151" s="10">
        <v>4</v>
      </c>
      <c r="I151" s="10"/>
      <c r="J151" s="10">
        <v>4</v>
      </c>
      <c r="K151" s="10">
        <v>401.93</v>
      </c>
    </row>
    <row r="152" spans="1:11" x14ac:dyDescent="0.25">
      <c r="A152" s="8" t="s">
        <v>292</v>
      </c>
      <c r="B152" s="8" t="s">
        <v>269</v>
      </c>
      <c r="C152" s="8" t="s">
        <v>272</v>
      </c>
      <c r="D152" s="8">
        <v>1</v>
      </c>
      <c r="E152" s="8" t="s">
        <v>291</v>
      </c>
      <c r="F152" s="8" t="s">
        <v>215</v>
      </c>
      <c r="G152" s="8" t="s">
        <v>275</v>
      </c>
      <c r="H152" s="10">
        <v>4</v>
      </c>
      <c r="I152" s="10"/>
      <c r="J152" s="10">
        <v>4</v>
      </c>
      <c r="K152" s="10">
        <v>401.93</v>
      </c>
    </row>
    <row r="153" spans="1:11" x14ac:dyDescent="0.25">
      <c r="A153" s="8" t="s">
        <v>293</v>
      </c>
      <c r="B153" s="8" t="s">
        <v>263</v>
      </c>
      <c r="C153" s="8" t="s">
        <v>272</v>
      </c>
      <c r="D153" s="8">
        <v>1</v>
      </c>
      <c r="E153" s="8" t="s">
        <v>294</v>
      </c>
      <c r="F153" s="8" t="s">
        <v>215</v>
      </c>
      <c r="G153" s="8" t="s">
        <v>275</v>
      </c>
      <c r="H153" s="10">
        <v>5</v>
      </c>
      <c r="I153" s="10"/>
      <c r="J153" s="10">
        <v>5</v>
      </c>
      <c r="K153" s="10">
        <v>401.93</v>
      </c>
    </row>
    <row r="154" spans="1:11" x14ac:dyDescent="0.25">
      <c r="A154" s="8" t="s">
        <v>295</v>
      </c>
      <c r="B154" s="8" t="s">
        <v>269</v>
      </c>
      <c r="C154" s="8" t="s">
        <v>272</v>
      </c>
      <c r="D154" s="8">
        <v>1</v>
      </c>
      <c r="E154" s="8" t="s">
        <v>296</v>
      </c>
      <c r="F154" s="8" t="s">
        <v>215</v>
      </c>
      <c r="G154" s="8" t="s">
        <v>275</v>
      </c>
      <c r="H154" s="10">
        <v>5</v>
      </c>
      <c r="I154" s="10"/>
      <c r="J154" s="10">
        <v>5</v>
      </c>
      <c r="K154" s="10">
        <v>401.93</v>
      </c>
    </row>
    <row r="155" spans="1:11" x14ac:dyDescent="0.25">
      <c r="A155" s="8" t="s">
        <v>297</v>
      </c>
      <c r="B155" s="8" t="s">
        <v>263</v>
      </c>
      <c r="C155" s="8" t="s">
        <v>272</v>
      </c>
      <c r="D155" s="8">
        <v>1</v>
      </c>
      <c r="E155" s="8" t="s">
        <v>298</v>
      </c>
      <c r="F155" s="8" t="s">
        <v>215</v>
      </c>
      <c r="G155" s="8" t="s">
        <v>275</v>
      </c>
      <c r="H155" s="10">
        <v>20</v>
      </c>
      <c r="I155" s="10"/>
      <c r="J155" s="10">
        <v>20</v>
      </c>
      <c r="K155" s="10">
        <v>331.61</v>
      </c>
    </row>
    <row r="156" spans="1:11" x14ac:dyDescent="0.25">
      <c r="A156" s="8" t="s">
        <v>299</v>
      </c>
      <c r="B156" s="8" t="s">
        <v>269</v>
      </c>
      <c r="C156" s="8" t="s">
        <v>272</v>
      </c>
      <c r="D156" s="8">
        <v>1</v>
      </c>
      <c r="E156" s="8" t="s">
        <v>298</v>
      </c>
      <c r="F156" s="8" t="s">
        <v>215</v>
      </c>
      <c r="G156" s="8" t="s">
        <v>275</v>
      </c>
      <c r="H156" s="10">
        <v>20</v>
      </c>
      <c r="I156" s="10"/>
      <c r="J156" s="10">
        <v>20</v>
      </c>
      <c r="K156" s="10">
        <v>331.61</v>
      </c>
    </row>
    <row r="157" spans="1:11" x14ac:dyDescent="0.25">
      <c r="A157" s="8" t="s">
        <v>300</v>
      </c>
      <c r="B157" s="8" t="s">
        <v>263</v>
      </c>
      <c r="C157" s="8" t="s">
        <v>272</v>
      </c>
      <c r="D157" s="8">
        <v>1</v>
      </c>
      <c r="E157" s="8" t="s">
        <v>301</v>
      </c>
      <c r="F157" s="8" t="s">
        <v>215</v>
      </c>
      <c r="G157" s="8" t="s">
        <v>275</v>
      </c>
      <c r="H157" s="10">
        <v>25</v>
      </c>
      <c r="I157" s="10"/>
      <c r="J157" s="10">
        <v>25</v>
      </c>
      <c r="K157" s="10">
        <v>331.61</v>
      </c>
    </row>
    <row r="158" spans="1:11" x14ac:dyDescent="0.25">
      <c r="A158" s="8" t="s">
        <v>302</v>
      </c>
      <c r="B158" s="8" t="s">
        <v>269</v>
      </c>
      <c r="C158" s="8" t="s">
        <v>272</v>
      </c>
      <c r="D158" s="8">
        <v>1</v>
      </c>
      <c r="E158" s="8" t="s">
        <v>301</v>
      </c>
      <c r="F158" s="8" t="s">
        <v>215</v>
      </c>
      <c r="G158" s="8" t="s">
        <v>275</v>
      </c>
      <c r="H158" s="10">
        <v>25</v>
      </c>
      <c r="I158" s="10"/>
      <c r="J158" s="10">
        <v>25</v>
      </c>
      <c r="K158" s="10">
        <v>331.61</v>
      </c>
    </row>
    <row r="159" spans="1:11" x14ac:dyDescent="0.25">
      <c r="A159" s="8" t="s">
        <v>303</v>
      </c>
      <c r="B159" s="8" t="s">
        <v>263</v>
      </c>
      <c r="C159" s="8" t="s">
        <v>272</v>
      </c>
      <c r="D159" s="8">
        <v>1</v>
      </c>
      <c r="E159" s="8" t="s">
        <v>304</v>
      </c>
      <c r="F159" s="8" t="s">
        <v>215</v>
      </c>
      <c r="G159" s="8" t="s">
        <v>275</v>
      </c>
      <c r="H159" s="10">
        <v>4</v>
      </c>
      <c r="I159" s="10"/>
      <c r="J159" s="10">
        <v>4</v>
      </c>
      <c r="K159" s="10">
        <v>331.61</v>
      </c>
    </row>
    <row r="160" spans="1:11" x14ac:dyDescent="0.25">
      <c r="A160" s="8" t="s">
        <v>305</v>
      </c>
      <c r="B160" s="8" t="s">
        <v>269</v>
      </c>
      <c r="C160" s="8" t="s">
        <v>272</v>
      </c>
      <c r="D160" s="8">
        <v>1</v>
      </c>
      <c r="E160" s="8" t="s">
        <v>306</v>
      </c>
      <c r="F160" s="8" t="s">
        <v>215</v>
      </c>
      <c r="G160" s="8" t="s">
        <v>275</v>
      </c>
      <c r="H160" s="10">
        <v>4</v>
      </c>
      <c r="I160" s="10"/>
      <c r="J160" s="10">
        <v>4</v>
      </c>
      <c r="K160" s="10">
        <v>331.61</v>
      </c>
    </row>
    <row r="161" spans="1:11" x14ac:dyDescent="0.25">
      <c r="A161" s="8" t="s">
        <v>307</v>
      </c>
      <c r="B161" s="8" t="s">
        <v>263</v>
      </c>
      <c r="C161" s="8" t="s">
        <v>272</v>
      </c>
      <c r="D161" s="8">
        <v>1</v>
      </c>
      <c r="E161" s="8" t="s">
        <v>308</v>
      </c>
      <c r="F161" s="8" t="s">
        <v>215</v>
      </c>
      <c r="G161" s="8" t="s">
        <v>275</v>
      </c>
      <c r="H161" s="10">
        <v>4</v>
      </c>
      <c r="I161" s="10"/>
      <c r="J161" s="10">
        <v>4</v>
      </c>
      <c r="K161" s="10">
        <v>663.21</v>
      </c>
    </row>
    <row r="162" spans="1:11" x14ac:dyDescent="0.25">
      <c r="A162" s="8" t="s">
        <v>309</v>
      </c>
      <c r="B162" s="8" t="s">
        <v>269</v>
      </c>
      <c r="C162" s="8" t="s">
        <v>272</v>
      </c>
      <c r="D162" s="8">
        <v>1</v>
      </c>
      <c r="E162" s="8" t="s">
        <v>310</v>
      </c>
      <c r="F162" s="8" t="s">
        <v>215</v>
      </c>
      <c r="G162" s="8" t="s">
        <v>275</v>
      </c>
      <c r="H162" s="10">
        <v>2</v>
      </c>
      <c r="I162" s="10"/>
      <c r="J162" s="10">
        <v>2</v>
      </c>
      <c r="K162" s="10">
        <v>663.21</v>
      </c>
    </row>
    <row r="163" spans="1:11" x14ac:dyDescent="0.25">
      <c r="A163" s="8" t="s">
        <v>311</v>
      </c>
      <c r="B163" s="8" t="s">
        <v>263</v>
      </c>
      <c r="C163" s="8" t="s">
        <v>272</v>
      </c>
      <c r="D163" s="8">
        <v>1</v>
      </c>
      <c r="E163" s="8" t="s">
        <v>312</v>
      </c>
      <c r="F163" s="8" t="s">
        <v>215</v>
      </c>
      <c r="G163" s="8" t="s">
        <v>275</v>
      </c>
      <c r="H163" s="10">
        <v>1</v>
      </c>
      <c r="I163" s="10"/>
      <c r="J163" s="10">
        <v>1</v>
      </c>
      <c r="K163" s="10">
        <v>331.61</v>
      </c>
    </row>
    <row r="164" spans="1:11" x14ac:dyDescent="0.25">
      <c r="A164" s="8" t="s">
        <v>313</v>
      </c>
      <c r="B164" s="8" t="s">
        <v>269</v>
      </c>
      <c r="C164" s="8" t="s">
        <v>272</v>
      </c>
      <c r="D164" s="8">
        <v>1</v>
      </c>
      <c r="E164" s="8" t="s">
        <v>314</v>
      </c>
      <c r="F164" s="8" t="s">
        <v>215</v>
      </c>
      <c r="G164" s="8" t="s">
        <v>275</v>
      </c>
      <c r="H164" s="10">
        <v>1</v>
      </c>
      <c r="I164" s="10"/>
      <c r="J164" s="10">
        <v>1</v>
      </c>
      <c r="K164" s="10">
        <v>331.61</v>
      </c>
    </row>
    <row r="165" spans="1:11" x14ac:dyDescent="0.25">
      <c r="A165" s="8" t="s">
        <v>315</v>
      </c>
      <c r="B165" s="8" t="s">
        <v>263</v>
      </c>
      <c r="C165" s="8" t="s">
        <v>272</v>
      </c>
      <c r="D165" s="8">
        <v>1</v>
      </c>
      <c r="E165" s="8" t="s">
        <v>316</v>
      </c>
      <c r="F165" s="8" t="s">
        <v>215</v>
      </c>
      <c r="G165" s="8" t="s">
        <v>275</v>
      </c>
      <c r="H165" s="10">
        <v>9</v>
      </c>
      <c r="I165" s="10"/>
      <c r="J165" s="10">
        <v>9</v>
      </c>
      <c r="K165" s="10">
        <v>331.61</v>
      </c>
    </row>
    <row r="166" spans="1:11" x14ac:dyDescent="0.25">
      <c r="A166" s="8" t="s">
        <v>317</v>
      </c>
      <c r="B166" s="8" t="s">
        <v>269</v>
      </c>
      <c r="C166" s="8" t="s">
        <v>272</v>
      </c>
      <c r="D166" s="8">
        <v>1</v>
      </c>
      <c r="E166" s="8" t="s">
        <v>318</v>
      </c>
      <c r="F166" s="8" t="s">
        <v>215</v>
      </c>
      <c r="G166" s="8" t="s">
        <v>275</v>
      </c>
      <c r="H166" s="10">
        <v>9</v>
      </c>
      <c r="I166" s="10"/>
      <c r="J166" s="10">
        <v>9</v>
      </c>
      <c r="K166" s="10">
        <v>331.61</v>
      </c>
    </row>
    <row r="167" spans="1:11" x14ac:dyDescent="0.25">
      <c r="A167" s="8" t="s">
        <v>319</v>
      </c>
      <c r="B167" s="8" t="s">
        <v>263</v>
      </c>
      <c r="C167" s="8" t="s">
        <v>272</v>
      </c>
      <c r="D167" s="8">
        <v>1</v>
      </c>
      <c r="E167" s="8" t="s">
        <v>320</v>
      </c>
      <c r="F167" s="8" t="s">
        <v>215</v>
      </c>
      <c r="G167" s="8" t="s">
        <v>275</v>
      </c>
      <c r="H167" s="10">
        <v>2</v>
      </c>
      <c r="I167" s="10"/>
      <c r="J167" s="10">
        <v>2</v>
      </c>
      <c r="K167" s="10">
        <v>331.61</v>
      </c>
    </row>
    <row r="168" spans="1:11" x14ac:dyDescent="0.25">
      <c r="A168" s="8" t="s">
        <v>321</v>
      </c>
      <c r="B168" s="8" t="s">
        <v>269</v>
      </c>
      <c r="C168" s="8" t="s">
        <v>272</v>
      </c>
      <c r="D168" s="8">
        <v>1</v>
      </c>
      <c r="E168" s="8" t="s">
        <v>322</v>
      </c>
      <c r="F168" s="8" t="s">
        <v>215</v>
      </c>
      <c r="G168" s="8" t="s">
        <v>275</v>
      </c>
      <c r="H168" s="10">
        <v>2</v>
      </c>
      <c r="I168" s="10"/>
      <c r="J168" s="10">
        <v>2</v>
      </c>
      <c r="K168" s="10">
        <v>331.61</v>
      </c>
    </row>
    <row r="169" spans="1:11" x14ac:dyDescent="0.25">
      <c r="A169" s="8" t="s">
        <v>323</v>
      </c>
      <c r="B169" s="8" t="s">
        <v>263</v>
      </c>
      <c r="C169" s="8" t="s">
        <v>272</v>
      </c>
      <c r="D169" s="8">
        <v>1</v>
      </c>
      <c r="E169" s="8" t="s">
        <v>324</v>
      </c>
      <c r="F169" s="8" t="s">
        <v>215</v>
      </c>
      <c r="G169" s="8" t="s">
        <v>275</v>
      </c>
      <c r="H169" s="10">
        <v>1</v>
      </c>
      <c r="I169" s="10"/>
      <c r="J169" s="10">
        <v>1</v>
      </c>
      <c r="K169" s="10">
        <v>331.61</v>
      </c>
    </row>
    <row r="170" spans="1:11" x14ac:dyDescent="0.25">
      <c r="A170" s="8" t="s">
        <v>325</v>
      </c>
      <c r="B170" s="8" t="s">
        <v>269</v>
      </c>
      <c r="C170" s="8" t="s">
        <v>272</v>
      </c>
      <c r="D170" s="8">
        <v>1</v>
      </c>
      <c r="E170" s="8" t="s">
        <v>326</v>
      </c>
      <c r="F170" s="8" t="s">
        <v>215</v>
      </c>
      <c r="G170" s="8" t="s">
        <v>275</v>
      </c>
      <c r="H170" s="10">
        <v>1</v>
      </c>
      <c r="I170" s="10"/>
      <c r="J170" s="10">
        <v>1</v>
      </c>
      <c r="K170" s="10">
        <v>331.61</v>
      </c>
    </row>
    <row r="171" spans="1:11" x14ac:dyDescent="0.25">
      <c r="A171" s="8" t="s">
        <v>327</v>
      </c>
      <c r="B171" s="8" t="s">
        <v>263</v>
      </c>
      <c r="C171" s="8" t="s">
        <v>272</v>
      </c>
      <c r="D171" s="8">
        <v>1</v>
      </c>
      <c r="E171" s="8" t="s">
        <v>328</v>
      </c>
      <c r="F171" s="8" t="s">
        <v>215</v>
      </c>
      <c r="G171" s="8" t="s">
        <v>275</v>
      </c>
      <c r="H171" s="10">
        <v>2</v>
      </c>
      <c r="I171" s="10"/>
      <c r="J171" s="10">
        <v>2</v>
      </c>
      <c r="K171" s="10">
        <v>331.61</v>
      </c>
    </row>
    <row r="172" spans="1:11" x14ac:dyDescent="0.25">
      <c r="A172" s="8" t="s">
        <v>329</v>
      </c>
      <c r="B172" s="8" t="s">
        <v>269</v>
      </c>
      <c r="C172" s="8" t="s">
        <v>272</v>
      </c>
      <c r="D172" s="8">
        <v>1</v>
      </c>
      <c r="E172" s="8" t="s">
        <v>330</v>
      </c>
      <c r="F172" s="8" t="s">
        <v>215</v>
      </c>
      <c r="G172" s="8" t="s">
        <v>275</v>
      </c>
      <c r="H172" s="10">
        <v>2</v>
      </c>
      <c r="I172" s="10"/>
      <c r="J172" s="10">
        <v>2</v>
      </c>
      <c r="K172" s="10">
        <v>331.61</v>
      </c>
    </row>
    <row r="173" spans="1:11" x14ac:dyDescent="0.25">
      <c r="A173" s="8" t="s">
        <v>331</v>
      </c>
      <c r="B173" s="8" t="s">
        <v>263</v>
      </c>
      <c r="C173" s="8" t="s">
        <v>272</v>
      </c>
      <c r="D173" s="8">
        <v>1</v>
      </c>
      <c r="E173" s="8" t="s">
        <v>332</v>
      </c>
      <c r="F173" s="8" t="s">
        <v>215</v>
      </c>
      <c r="G173" s="8" t="s">
        <v>275</v>
      </c>
      <c r="H173" s="10">
        <v>1</v>
      </c>
      <c r="I173" s="10"/>
      <c r="J173" s="10">
        <v>1</v>
      </c>
      <c r="K173" s="10">
        <v>331.61</v>
      </c>
    </row>
    <row r="174" spans="1:11" x14ac:dyDescent="0.25">
      <c r="A174" s="8" t="s">
        <v>333</v>
      </c>
      <c r="B174" s="8" t="s">
        <v>269</v>
      </c>
      <c r="C174" s="8" t="s">
        <v>272</v>
      </c>
      <c r="D174" s="8">
        <v>1</v>
      </c>
      <c r="E174" s="8" t="s">
        <v>334</v>
      </c>
      <c r="F174" s="8" t="s">
        <v>215</v>
      </c>
      <c r="G174" s="8" t="s">
        <v>275</v>
      </c>
      <c r="H174" s="10">
        <v>1</v>
      </c>
      <c r="I174" s="10"/>
      <c r="J174" s="10">
        <v>1</v>
      </c>
      <c r="K174" s="10">
        <v>331.61</v>
      </c>
    </row>
    <row r="175" spans="1:11" x14ac:dyDescent="0.25">
      <c r="A175" s="8" t="s">
        <v>335</v>
      </c>
      <c r="B175" s="8" t="s">
        <v>263</v>
      </c>
      <c r="C175" s="8" t="s">
        <v>272</v>
      </c>
      <c r="D175" s="8">
        <v>1</v>
      </c>
      <c r="E175" s="8" t="s">
        <v>336</v>
      </c>
      <c r="F175" s="8" t="s">
        <v>215</v>
      </c>
      <c r="G175" s="8" t="s">
        <v>275</v>
      </c>
      <c r="H175" s="10">
        <v>1</v>
      </c>
      <c r="I175" s="10"/>
      <c r="J175" s="10">
        <v>1</v>
      </c>
      <c r="K175" s="10">
        <v>331.61</v>
      </c>
    </row>
    <row r="176" spans="1:11" x14ac:dyDescent="0.25">
      <c r="A176" s="8" t="s">
        <v>337</v>
      </c>
      <c r="B176" s="8" t="s">
        <v>269</v>
      </c>
      <c r="C176" s="8" t="s">
        <v>272</v>
      </c>
      <c r="D176" s="8">
        <v>1</v>
      </c>
      <c r="E176" s="8" t="s">
        <v>338</v>
      </c>
      <c r="F176" s="8" t="s">
        <v>215</v>
      </c>
      <c r="G176" s="8" t="s">
        <v>275</v>
      </c>
      <c r="H176" s="10">
        <v>1</v>
      </c>
      <c r="I176" s="10"/>
      <c r="J176" s="10">
        <v>1</v>
      </c>
      <c r="K176" s="10">
        <v>331.61</v>
      </c>
    </row>
    <row r="177" spans="1:11" x14ac:dyDescent="0.25">
      <c r="A177" s="8" t="s">
        <v>339</v>
      </c>
      <c r="B177" s="8" t="s">
        <v>263</v>
      </c>
      <c r="C177" s="8" t="s">
        <v>272</v>
      </c>
      <c r="D177" s="8">
        <v>1</v>
      </c>
      <c r="E177" s="8" t="s">
        <v>340</v>
      </c>
      <c r="F177" s="8" t="s">
        <v>215</v>
      </c>
      <c r="G177" s="8" t="s">
        <v>275</v>
      </c>
      <c r="H177" s="10">
        <v>1</v>
      </c>
      <c r="I177" s="10"/>
      <c r="J177" s="10">
        <v>1</v>
      </c>
      <c r="K177" s="10">
        <v>331.61</v>
      </c>
    </row>
    <row r="178" spans="1:11" x14ac:dyDescent="0.25">
      <c r="A178" s="8" t="s">
        <v>341</v>
      </c>
      <c r="B178" s="8" t="s">
        <v>269</v>
      </c>
      <c r="C178" s="8" t="s">
        <v>272</v>
      </c>
      <c r="D178" s="8">
        <v>1</v>
      </c>
      <c r="E178" s="8" t="s">
        <v>342</v>
      </c>
      <c r="F178" s="8" t="s">
        <v>215</v>
      </c>
      <c r="G178" s="8" t="s">
        <v>275</v>
      </c>
      <c r="H178" s="10">
        <v>1</v>
      </c>
      <c r="I178" s="10"/>
      <c r="J178" s="10">
        <v>1</v>
      </c>
      <c r="K178" s="10">
        <v>331.61</v>
      </c>
    </row>
    <row r="179" spans="1:11" x14ac:dyDescent="0.25">
      <c r="A179" s="8" t="s">
        <v>343</v>
      </c>
      <c r="B179" s="8" t="s">
        <v>263</v>
      </c>
      <c r="C179" s="8" t="s">
        <v>344</v>
      </c>
      <c r="D179" s="8">
        <v>1</v>
      </c>
      <c r="E179" s="8" t="s">
        <v>345</v>
      </c>
      <c r="F179" s="8" t="s">
        <v>266</v>
      </c>
      <c r="G179" s="8" t="s">
        <v>346</v>
      </c>
      <c r="H179" s="10">
        <v>1.47</v>
      </c>
      <c r="I179" s="10"/>
      <c r="J179" s="10">
        <v>1.47</v>
      </c>
      <c r="K179" s="10">
        <v>3822.67</v>
      </c>
    </row>
    <row r="180" spans="1:11" x14ac:dyDescent="0.25">
      <c r="A180" s="8" t="s">
        <v>347</v>
      </c>
      <c r="B180" s="8" t="s">
        <v>269</v>
      </c>
      <c r="C180" s="8" t="s">
        <v>344</v>
      </c>
      <c r="D180" s="8">
        <v>1</v>
      </c>
      <c r="E180" s="8" t="s">
        <v>348</v>
      </c>
      <c r="F180" s="8" t="s">
        <v>266</v>
      </c>
      <c r="G180" s="8" t="s">
        <v>346</v>
      </c>
      <c r="H180" s="10">
        <v>1.47</v>
      </c>
      <c r="I180" s="10"/>
      <c r="J180" s="10">
        <v>1.47</v>
      </c>
      <c r="K180" s="10">
        <v>3822.67</v>
      </c>
    </row>
    <row r="181" spans="1:11" x14ac:dyDescent="0.25">
      <c r="A181" s="8" t="s">
        <v>349</v>
      </c>
      <c r="B181" s="8" t="s">
        <v>263</v>
      </c>
      <c r="C181" s="8" t="s">
        <v>344</v>
      </c>
      <c r="D181" s="8">
        <v>1</v>
      </c>
      <c r="E181" s="8" t="s">
        <v>350</v>
      </c>
      <c r="F181" s="8" t="s">
        <v>266</v>
      </c>
      <c r="G181" s="8" t="s">
        <v>346</v>
      </c>
      <c r="H181" s="10">
        <v>4.07</v>
      </c>
      <c r="I181" s="10"/>
      <c r="J181" s="10">
        <v>4.07</v>
      </c>
      <c r="K181" s="10">
        <v>3746.32</v>
      </c>
    </row>
    <row r="182" spans="1:11" x14ac:dyDescent="0.25">
      <c r="A182" s="8" t="s">
        <v>351</v>
      </c>
      <c r="B182" s="8" t="s">
        <v>263</v>
      </c>
      <c r="C182" s="8" t="s">
        <v>344</v>
      </c>
      <c r="D182" s="8">
        <v>1</v>
      </c>
      <c r="E182" s="8" t="s">
        <v>352</v>
      </c>
      <c r="F182" s="8" t="s">
        <v>266</v>
      </c>
      <c r="G182" s="8" t="s">
        <v>346</v>
      </c>
      <c r="H182" s="10">
        <v>4.07</v>
      </c>
      <c r="I182" s="10"/>
      <c r="J182" s="10">
        <v>4.07</v>
      </c>
      <c r="K182" s="10">
        <v>3746.32</v>
      </c>
    </row>
    <row r="183" spans="1:11" x14ac:dyDescent="0.25">
      <c r="A183" s="8" t="s">
        <v>353</v>
      </c>
      <c r="B183" s="8" t="s">
        <v>269</v>
      </c>
      <c r="C183" s="8" t="s">
        <v>344</v>
      </c>
      <c r="D183" s="8">
        <v>1</v>
      </c>
      <c r="E183" s="8" t="s">
        <v>354</v>
      </c>
      <c r="F183" s="8" t="s">
        <v>266</v>
      </c>
      <c r="G183" s="8" t="s">
        <v>346</v>
      </c>
      <c r="H183" s="10">
        <v>4.07</v>
      </c>
      <c r="I183" s="10"/>
      <c r="J183" s="10">
        <v>4.07</v>
      </c>
      <c r="K183" s="10">
        <v>3746.32</v>
      </c>
    </row>
    <row r="184" spans="1:11" x14ac:dyDescent="0.25">
      <c r="A184" s="8" t="s">
        <v>355</v>
      </c>
      <c r="B184" s="8" t="s">
        <v>269</v>
      </c>
      <c r="C184" s="8" t="s">
        <v>344</v>
      </c>
      <c r="D184" s="8">
        <v>1</v>
      </c>
      <c r="E184" s="8" t="s">
        <v>356</v>
      </c>
      <c r="F184" s="8" t="s">
        <v>266</v>
      </c>
      <c r="G184" s="8" t="s">
        <v>346</v>
      </c>
      <c r="H184" s="10">
        <v>4.07</v>
      </c>
      <c r="I184" s="10"/>
      <c r="J184" s="10">
        <v>4.07</v>
      </c>
      <c r="K184" s="10">
        <v>3746.32</v>
      </c>
    </row>
    <row r="185" spans="1:11" x14ac:dyDescent="0.25">
      <c r="A185" s="8" t="s">
        <v>357</v>
      </c>
      <c r="B185" s="8" t="s">
        <v>263</v>
      </c>
      <c r="C185" s="8" t="s">
        <v>344</v>
      </c>
      <c r="D185" s="8">
        <v>1</v>
      </c>
      <c r="E185" s="8" t="s">
        <v>358</v>
      </c>
      <c r="F185" s="8" t="s">
        <v>266</v>
      </c>
      <c r="G185" s="8" t="s">
        <v>346</v>
      </c>
      <c r="H185" s="10">
        <v>2</v>
      </c>
      <c r="I185" s="10"/>
      <c r="J185" s="10">
        <v>2</v>
      </c>
      <c r="K185" s="10">
        <v>3763.54</v>
      </c>
    </row>
    <row r="186" spans="1:11" x14ac:dyDescent="0.25">
      <c r="A186" s="8" t="s">
        <v>359</v>
      </c>
      <c r="B186" s="8" t="s">
        <v>269</v>
      </c>
      <c r="C186" s="8" t="s">
        <v>344</v>
      </c>
      <c r="D186" s="8">
        <v>1</v>
      </c>
      <c r="E186" s="8" t="s">
        <v>358</v>
      </c>
      <c r="F186" s="8" t="s">
        <v>266</v>
      </c>
      <c r="G186" s="8" t="s">
        <v>346</v>
      </c>
      <c r="H186" s="10">
        <v>2</v>
      </c>
      <c r="I186" s="10"/>
      <c r="J186" s="10">
        <v>2</v>
      </c>
      <c r="K186" s="10">
        <v>3763.54</v>
      </c>
    </row>
    <row r="187" spans="1:11" x14ac:dyDescent="0.25">
      <c r="A187" s="8" t="s">
        <v>360</v>
      </c>
      <c r="B187" s="8" t="s">
        <v>263</v>
      </c>
      <c r="C187" s="8" t="s">
        <v>344</v>
      </c>
      <c r="D187" s="8">
        <v>1</v>
      </c>
      <c r="E187" s="8" t="s">
        <v>361</v>
      </c>
      <c r="F187" s="8" t="s">
        <v>266</v>
      </c>
      <c r="G187" s="8" t="s">
        <v>346</v>
      </c>
      <c r="H187" s="10">
        <v>1.7</v>
      </c>
      <c r="I187" s="10"/>
      <c r="J187" s="10">
        <v>1.7</v>
      </c>
      <c r="K187" s="10">
        <v>4638.4399999999996</v>
      </c>
    </row>
    <row r="188" spans="1:11" x14ac:dyDescent="0.25">
      <c r="A188" s="8" t="s">
        <v>362</v>
      </c>
      <c r="B188" s="8" t="s">
        <v>269</v>
      </c>
      <c r="C188" s="8" t="s">
        <v>344</v>
      </c>
      <c r="D188" s="8">
        <v>1</v>
      </c>
      <c r="E188" s="8" t="s">
        <v>361</v>
      </c>
      <c r="F188" s="8" t="s">
        <v>266</v>
      </c>
      <c r="G188" s="8" t="s">
        <v>346</v>
      </c>
      <c r="H188" s="10">
        <v>1.5</v>
      </c>
      <c r="I188" s="10"/>
      <c r="J188" s="10">
        <v>1.5</v>
      </c>
      <c r="K188" s="10">
        <v>4638.4399999999996</v>
      </c>
    </row>
    <row r="189" spans="1:11" x14ac:dyDescent="0.25">
      <c r="A189" s="8" t="s">
        <v>363</v>
      </c>
      <c r="B189" s="8" t="s">
        <v>263</v>
      </c>
      <c r="C189" s="8" t="s">
        <v>344</v>
      </c>
      <c r="D189" s="8">
        <v>1</v>
      </c>
      <c r="E189" s="8" t="s">
        <v>364</v>
      </c>
      <c r="F189" s="8" t="s">
        <v>266</v>
      </c>
      <c r="G189" s="8" t="s">
        <v>346</v>
      </c>
      <c r="H189" s="10">
        <v>3</v>
      </c>
      <c r="I189" s="10"/>
      <c r="J189" s="10">
        <v>3</v>
      </c>
      <c r="K189" s="10">
        <v>6900.59</v>
      </c>
    </row>
    <row r="190" spans="1:11" x14ac:dyDescent="0.25">
      <c r="A190" s="8" t="s">
        <v>365</v>
      </c>
      <c r="B190" s="8" t="s">
        <v>269</v>
      </c>
      <c r="C190" s="8" t="s">
        <v>344</v>
      </c>
      <c r="D190" s="8">
        <v>1</v>
      </c>
      <c r="E190" s="8" t="s">
        <v>364</v>
      </c>
      <c r="F190" s="8" t="s">
        <v>266</v>
      </c>
      <c r="G190" s="8" t="s">
        <v>346</v>
      </c>
      <c r="H190" s="10">
        <v>2.5</v>
      </c>
      <c r="I190" s="10"/>
      <c r="J190" s="10">
        <v>2.5</v>
      </c>
      <c r="K190" s="10">
        <v>6900.59</v>
      </c>
    </row>
    <row r="191" spans="1:11" x14ac:dyDescent="0.25">
      <c r="A191" s="8" t="s">
        <v>366</v>
      </c>
      <c r="B191" s="8" t="s">
        <v>263</v>
      </c>
      <c r="C191" s="8" t="s">
        <v>344</v>
      </c>
      <c r="D191" s="8">
        <v>1</v>
      </c>
      <c r="E191" s="8" t="s">
        <v>367</v>
      </c>
      <c r="F191" s="8" t="s">
        <v>266</v>
      </c>
      <c r="G191" s="8" t="s">
        <v>346</v>
      </c>
      <c r="H191" s="10">
        <v>7.8</v>
      </c>
      <c r="I191" s="10"/>
      <c r="J191" s="10">
        <v>7.8</v>
      </c>
      <c r="K191" s="10">
        <v>4638.4399999999996</v>
      </c>
    </row>
    <row r="192" spans="1:11" x14ac:dyDescent="0.25">
      <c r="A192" s="8" t="s">
        <v>368</v>
      </c>
      <c r="B192" s="8" t="s">
        <v>269</v>
      </c>
      <c r="C192" s="8" t="s">
        <v>344</v>
      </c>
      <c r="D192" s="8">
        <v>1</v>
      </c>
      <c r="E192" s="8" t="s">
        <v>367</v>
      </c>
      <c r="F192" s="8" t="s">
        <v>266</v>
      </c>
      <c r="G192" s="8" t="s">
        <v>346</v>
      </c>
      <c r="H192" s="10">
        <v>7.5</v>
      </c>
      <c r="I192" s="10"/>
      <c r="J192" s="10">
        <v>7.5</v>
      </c>
      <c r="K192" s="10">
        <v>4638.4399999999996</v>
      </c>
    </row>
    <row r="193" spans="1:11" x14ac:dyDescent="0.25">
      <c r="A193" s="8" t="s">
        <v>369</v>
      </c>
      <c r="B193" s="8" t="s">
        <v>263</v>
      </c>
      <c r="C193" s="8" t="s">
        <v>344</v>
      </c>
      <c r="D193" s="8">
        <v>1</v>
      </c>
      <c r="E193" s="8" t="s">
        <v>370</v>
      </c>
      <c r="F193" s="8" t="s">
        <v>266</v>
      </c>
      <c r="G193" s="8" t="s">
        <v>346</v>
      </c>
      <c r="H193" s="10">
        <v>4.4000000000000004</v>
      </c>
      <c r="I193" s="10"/>
      <c r="J193" s="10">
        <v>4.4000000000000004</v>
      </c>
      <c r="K193" s="10">
        <v>4638.4399999999996</v>
      </c>
    </row>
    <row r="194" spans="1:11" x14ac:dyDescent="0.25">
      <c r="A194" s="8" t="s">
        <v>371</v>
      </c>
      <c r="B194" s="8" t="s">
        <v>269</v>
      </c>
      <c r="C194" s="8" t="s">
        <v>344</v>
      </c>
      <c r="D194" s="8">
        <v>1</v>
      </c>
      <c r="E194" s="8" t="s">
        <v>370</v>
      </c>
      <c r="F194" s="8" t="s">
        <v>266</v>
      </c>
      <c r="G194" s="8" t="s">
        <v>346</v>
      </c>
      <c r="H194" s="10">
        <v>3.8</v>
      </c>
      <c r="I194" s="10"/>
      <c r="J194" s="10">
        <v>3.8</v>
      </c>
      <c r="K194" s="10">
        <v>4638.4399999999996</v>
      </c>
    </row>
    <row r="195" spans="1:11" x14ac:dyDescent="0.25">
      <c r="A195" s="8" t="s">
        <v>372</v>
      </c>
      <c r="B195" s="8" t="s">
        <v>263</v>
      </c>
      <c r="C195" s="8" t="s">
        <v>344</v>
      </c>
      <c r="D195" s="8">
        <v>1</v>
      </c>
      <c r="E195" s="8" t="s">
        <v>373</v>
      </c>
      <c r="F195" s="8" t="s">
        <v>266</v>
      </c>
      <c r="G195" s="8" t="s">
        <v>346</v>
      </c>
      <c r="H195" s="10">
        <v>6</v>
      </c>
      <c r="I195" s="10"/>
      <c r="J195" s="10">
        <v>6</v>
      </c>
      <c r="K195" s="10">
        <v>6375.03</v>
      </c>
    </row>
    <row r="196" spans="1:11" x14ac:dyDescent="0.25">
      <c r="A196" s="8" t="s">
        <v>374</v>
      </c>
      <c r="B196" s="8" t="s">
        <v>269</v>
      </c>
      <c r="C196" s="8" t="s">
        <v>344</v>
      </c>
      <c r="D196" s="8">
        <v>1</v>
      </c>
      <c r="E196" s="8" t="s">
        <v>373</v>
      </c>
      <c r="F196" s="8" t="s">
        <v>266</v>
      </c>
      <c r="G196" s="8" t="s">
        <v>346</v>
      </c>
      <c r="H196" s="10">
        <v>6</v>
      </c>
      <c r="I196" s="10"/>
      <c r="J196" s="10">
        <v>6</v>
      </c>
      <c r="K196" s="10">
        <v>6375.03</v>
      </c>
    </row>
    <row r="197" spans="1:11" x14ac:dyDescent="0.25">
      <c r="A197" s="8" t="s">
        <v>375</v>
      </c>
      <c r="B197" s="8" t="s">
        <v>263</v>
      </c>
      <c r="C197" s="8" t="s">
        <v>376</v>
      </c>
      <c r="D197" s="8">
        <v>1</v>
      </c>
      <c r="E197" s="8" t="s">
        <v>377</v>
      </c>
      <c r="F197" s="8" t="s">
        <v>378</v>
      </c>
      <c r="G197" s="8" t="s">
        <v>379</v>
      </c>
      <c r="H197" s="10">
        <v>300</v>
      </c>
      <c r="I197" s="10"/>
      <c r="J197" s="10">
        <v>300</v>
      </c>
      <c r="K197" s="10">
        <v>11.04</v>
      </c>
    </row>
    <row r="198" spans="1:11" x14ac:dyDescent="0.25">
      <c r="A198" s="8" t="s">
        <v>380</v>
      </c>
      <c r="B198" s="8" t="s">
        <v>269</v>
      </c>
      <c r="C198" s="8" t="s">
        <v>376</v>
      </c>
      <c r="D198" s="8">
        <v>1</v>
      </c>
      <c r="E198" s="8" t="s">
        <v>377</v>
      </c>
      <c r="F198" s="8" t="s">
        <v>378</v>
      </c>
      <c r="G198" s="8" t="s">
        <v>379</v>
      </c>
      <c r="H198" s="10">
        <v>360</v>
      </c>
      <c r="I198" s="10"/>
      <c r="J198" s="10">
        <v>360</v>
      </c>
      <c r="K198" s="10">
        <v>11.04</v>
      </c>
    </row>
    <row r="199" spans="1:11" x14ac:dyDescent="0.25">
      <c r="A199" s="8" t="s">
        <v>381</v>
      </c>
      <c r="B199" s="8" t="s">
        <v>263</v>
      </c>
      <c r="C199" s="8" t="s">
        <v>376</v>
      </c>
      <c r="D199" s="8">
        <v>1</v>
      </c>
      <c r="E199" s="8" t="s">
        <v>382</v>
      </c>
      <c r="F199" s="8" t="s">
        <v>378</v>
      </c>
      <c r="G199" s="8" t="s">
        <v>379</v>
      </c>
      <c r="H199" s="10">
        <v>150</v>
      </c>
      <c r="I199" s="10"/>
      <c r="J199" s="10">
        <v>150</v>
      </c>
      <c r="K199" s="10">
        <v>11.04</v>
      </c>
    </row>
    <row r="200" spans="1:11" x14ac:dyDescent="0.25">
      <c r="A200" s="8" t="s">
        <v>383</v>
      </c>
      <c r="B200" s="8" t="s">
        <v>269</v>
      </c>
      <c r="C200" s="8" t="s">
        <v>376</v>
      </c>
      <c r="D200" s="8">
        <v>1</v>
      </c>
      <c r="E200" s="8" t="s">
        <v>382</v>
      </c>
      <c r="F200" s="8" t="s">
        <v>378</v>
      </c>
      <c r="G200" s="8" t="s">
        <v>379</v>
      </c>
      <c r="H200" s="10">
        <v>200</v>
      </c>
      <c r="I200" s="10"/>
      <c r="J200" s="10">
        <v>200</v>
      </c>
      <c r="K200" s="10">
        <v>11.04</v>
      </c>
    </row>
    <row r="201" spans="1:11" x14ac:dyDescent="0.25">
      <c r="A201" s="8" t="s">
        <v>384</v>
      </c>
      <c r="B201" s="8" t="s">
        <v>263</v>
      </c>
      <c r="C201" s="8" t="s">
        <v>376</v>
      </c>
      <c r="D201" s="8">
        <v>1</v>
      </c>
      <c r="E201" s="8" t="s">
        <v>385</v>
      </c>
      <c r="F201" s="8" t="s">
        <v>378</v>
      </c>
      <c r="G201" s="8" t="s">
        <v>379</v>
      </c>
      <c r="H201" s="10">
        <v>150</v>
      </c>
      <c r="I201" s="10"/>
      <c r="J201" s="10">
        <v>150</v>
      </c>
      <c r="K201" s="10">
        <v>11.04</v>
      </c>
    </row>
    <row r="202" spans="1:11" x14ac:dyDescent="0.25">
      <c r="A202" s="8" t="s">
        <v>386</v>
      </c>
      <c r="B202" s="8" t="s">
        <v>269</v>
      </c>
      <c r="C202" s="8" t="s">
        <v>376</v>
      </c>
      <c r="D202" s="8">
        <v>1</v>
      </c>
      <c r="E202" s="8" t="s">
        <v>385</v>
      </c>
      <c r="F202" s="8" t="s">
        <v>378</v>
      </c>
      <c r="G202" s="8" t="s">
        <v>379</v>
      </c>
      <c r="H202" s="10">
        <v>200</v>
      </c>
      <c r="I202" s="10"/>
      <c r="J202" s="10">
        <v>200</v>
      </c>
      <c r="K202" s="10">
        <v>11.04</v>
      </c>
    </row>
    <row r="203" spans="1:11" x14ac:dyDescent="0.25">
      <c r="A203" s="8" t="s">
        <v>387</v>
      </c>
      <c r="B203" s="8" t="s">
        <v>263</v>
      </c>
      <c r="C203" s="8" t="s">
        <v>376</v>
      </c>
      <c r="D203" s="8">
        <v>1</v>
      </c>
      <c r="E203" s="8" t="s">
        <v>388</v>
      </c>
      <c r="F203" s="8" t="s">
        <v>378</v>
      </c>
      <c r="G203" s="8" t="s">
        <v>379</v>
      </c>
      <c r="H203" s="10">
        <v>150</v>
      </c>
      <c r="I203" s="10"/>
      <c r="J203" s="10">
        <v>150</v>
      </c>
      <c r="K203" s="10">
        <v>11.04</v>
      </c>
    </row>
    <row r="204" spans="1:11" x14ac:dyDescent="0.25">
      <c r="A204" s="8" t="s">
        <v>389</v>
      </c>
      <c r="B204" s="8" t="s">
        <v>269</v>
      </c>
      <c r="C204" s="8" t="s">
        <v>376</v>
      </c>
      <c r="D204" s="8">
        <v>1</v>
      </c>
      <c r="E204" s="8" t="s">
        <v>388</v>
      </c>
      <c r="F204" s="8" t="s">
        <v>378</v>
      </c>
      <c r="G204" s="8" t="s">
        <v>379</v>
      </c>
      <c r="H204" s="10">
        <v>180</v>
      </c>
      <c r="I204" s="10"/>
      <c r="J204" s="10">
        <v>180</v>
      </c>
      <c r="K204" s="10">
        <v>11.04</v>
      </c>
    </row>
    <row r="205" spans="1:11" x14ac:dyDescent="0.25">
      <c r="A205" s="8" t="s">
        <v>390</v>
      </c>
      <c r="B205" s="8" t="s">
        <v>263</v>
      </c>
      <c r="C205" s="8" t="s">
        <v>376</v>
      </c>
      <c r="D205" s="8">
        <v>1</v>
      </c>
      <c r="E205" s="8" t="s">
        <v>391</v>
      </c>
      <c r="F205" s="8" t="s">
        <v>378</v>
      </c>
      <c r="G205" s="8" t="s">
        <v>379</v>
      </c>
      <c r="H205" s="10">
        <v>360</v>
      </c>
      <c r="I205" s="10"/>
      <c r="J205" s="10">
        <v>360</v>
      </c>
      <c r="K205" s="10">
        <v>11.04</v>
      </c>
    </row>
    <row r="206" spans="1:11" x14ac:dyDescent="0.25">
      <c r="A206" s="8" t="s">
        <v>392</v>
      </c>
      <c r="B206" s="8" t="s">
        <v>269</v>
      </c>
      <c r="C206" s="8" t="s">
        <v>376</v>
      </c>
      <c r="D206" s="8">
        <v>1</v>
      </c>
      <c r="E206" s="8" t="s">
        <v>391</v>
      </c>
      <c r="F206" s="8" t="s">
        <v>378</v>
      </c>
      <c r="G206" s="8" t="s">
        <v>379</v>
      </c>
      <c r="H206" s="10">
        <v>540</v>
      </c>
      <c r="I206" s="10"/>
      <c r="J206" s="10">
        <v>540</v>
      </c>
      <c r="K206" s="10">
        <v>11.04</v>
      </c>
    </row>
    <row r="207" spans="1:11" x14ac:dyDescent="0.25">
      <c r="A207" s="8" t="s">
        <v>393</v>
      </c>
      <c r="B207" s="8" t="s">
        <v>263</v>
      </c>
      <c r="C207" s="8" t="s">
        <v>376</v>
      </c>
      <c r="D207" s="8">
        <v>1</v>
      </c>
      <c r="E207" s="8" t="s">
        <v>394</v>
      </c>
      <c r="F207" s="8" t="s">
        <v>378</v>
      </c>
      <c r="G207" s="8" t="s">
        <v>379</v>
      </c>
      <c r="H207" s="10">
        <v>50</v>
      </c>
      <c r="I207" s="10"/>
      <c r="J207" s="10">
        <v>50</v>
      </c>
      <c r="K207" s="10">
        <v>11.04</v>
      </c>
    </row>
    <row r="208" spans="1:11" x14ac:dyDescent="0.25">
      <c r="A208" s="8" t="s">
        <v>395</v>
      </c>
      <c r="B208" s="8" t="s">
        <v>269</v>
      </c>
      <c r="C208" s="8" t="s">
        <v>376</v>
      </c>
      <c r="D208" s="8">
        <v>1</v>
      </c>
      <c r="E208" s="8" t="s">
        <v>394</v>
      </c>
      <c r="F208" s="8" t="s">
        <v>378</v>
      </c>
      <c r="G208" s="8" t="s">
        <v>379</v>
      </c>
      <c r="H208" s="10">
        <v>50</v>
      </c>
      <c r="I208" s="10"/>
      <c r="J208" s="10">
        <v>50</v>
      </c>
      <c r="K208" s="10">
        <v>11.04</v>
      </c>
    </row>
    <row r="209" spans="1:11" x14ac:dyDescent="0.25">
      <c r="A209" s="8" t="s">
        <v>396</v>
      </c>
      <c r="B209" s="8" t="s">
        <v>263</v>
      </c>
      <c r="C209" s="8" t="s">
        <v>376</v>
      </c>
      <c r="D209" s="8">
        <v>1</v>
      </c>
      <c r="E209" s="8" t="s">
        <v>397</v>
      </c>
      <c r="F209" s="8" t="s">
        <v>378</v>
      </c>
      <c r="G209" s="8" t="s">
        <v>379</v>
      </c>
      <c r="H209" s="10">
        <v>20</v>
      </c>
      <c r="I209" s="10"/>
      <c r="J209" s="10">
        <v>20</v>
      </c>
      <c r="K209" s="10">
        <v>11.04</v>
      </c>
    </row>
    <row r="210" spans="1:11" x14ac:dyDescent="0.25">
      <c r="A210" s="8" t="s">
        <v>398</v>
      </c>
      <c r="B210" s="8" t="s">
        <v>269</v>
      </c>
      <c r="C210" s="8" t="s">
        <v>376</v>
      </c>
      <c r="D210" s="8">
        <v>1</v>
      </c>
      <c r="E210" s="8" t="s">
        <v>397</v>
      </c>
      <c r="F210" s="8" t="s">
        <v>378</v>
      </c>
      <c r="G210" s="8" t="s">
        <v>379</v>
      </c>
      <c r="H210" s="10">
        <v>20</v>
      </c>
      <c r="I210" s="10"/>
      <c r="J210" s="10">
        <v>20</v>
      </c>
      <c r="K210" s="10">
        <v>11.04</v>
      </c>
    </row>
    <row r="211" spans="1:11" x14ac:dyDescent="0.25">
      <c r="A211" s="8" t="s">
        <v>399</v>
      </c>
      <c r="B211" s="8" t="s">
        <v>263</v>
      </c>
      <c r="C211" s="8" t="s">
        <v>376</v>
      </c>
      <c r="D211" s="8">
        <v>1</v>
      </c>
      <c r="E211" s="8" t="s">
        <v>400</v>
      </c>
      <c r="F211" s="8" t="s">
        <v>378</v>
      </c>
      <c r="G211" s="8" t="s">
        <v>379</v>
      </c>
      <c r="H211" s="10">
        <v>150</v>
      </c>
      <c r="I211" s="10"/>
      <c r="J211" s="10">
        <v>150</v>
      </c>
      <c r="K211" s="10">
        <v>11.04</v>
      </c>
    </row>
    <row r="212" spans="1:11" x14ac:dyDescent="0.25">
      <c r="A212" s="8" t="s">
        <v>401</v>
      </c>
      <c r="B212" s="8" t="s">
        <v>269</v>
      </c>
      <c r="C212" s="8" t="s">
        <v>376</v>
      </c>
      <c r="D212" s="8">
        <v>1</v>
      </c>
      <c r="E212" s="8" t="s">
        <v>400</v>
      </c>
      <c r="F212" s="8" t="s">
        <v>378</v>
      </c>
      <c r="G212" s="8" t="s">
        <v>379</v>
      </c>
      <c r="H212" s="10">
        <v>150</v>
      </c>
      <c r="I212" s="10"/>
      <c r="J212" s="10">
        <v>150</v>
      </c>
      <c r="K212" s="10">
        <v>11.04</v>
      </c>
    </row>
    <row r="213" spans="1:11" x14ac:dyDescent="0.25">
      <c r="A213" s="8" t="s">
        <v>402</v>
      </c>
      <c r="B213" s="8" t="s">
        <v>263</v>
      </c>
      <c r="C213" s="8" t="s">
        <v>376</v>
      </c>
      <c r="D213" s="8">
        <v>1</v>
      </c>
      <c r="E213" s="8" t="s">
        <v>403</v>
      </c>
      <c r="F213" s="8" t="s">
        <v>378</v>
      </c>
      <c r="G213" s="8" t="s">
        <v>379</v>
      </c>
      <c r="H213" s="10">
        <v>130</v>
      </c>
      <c r="I213" s="10"/>
      <c r="J213" s="10">
        <v>130</v>
      </c>
      <c r="K213" s="10">
        <v>11.04</v>
      </c>
    </row>
    <row r="214" spans="1:11" x14ac:dyDescent="0.25">
      <c r="A214" s="8" t="s">
        <v>404</v>
      </c>
      <c r="B214" s="8" t="s">
        <v>269</v>
      </c>
      <c r="C214" s="8" t="s">
        <v>376</v>
      </c>
      <c r="D214" s="8">
        <v>1</v>
      </c>
      <c r="E214" s="8" t="s">
        <v>403</v>
      </c>
      <c r="F214" s="8" t="s">
        <v>378</v>
      </c>
      <c r="G214" s="8" t="s">
        <v>379</v>
      </c>
      <c r="H214" s="10">
        <v>200</v>
      </c>
      <c r="I214" s="10"/>
      <c r="J214" s="10">
        <v>200</v>
      </c>
      <c r="K214" s="10">
        <v>11.04</v>
      </c>
    </row>
    <row r="215" spans="1:11" x14ac:dyDescent="0.25">
      <c r="A215" s="8" t="s">
        <v>405</v>
      </c>
      <c r="B215" s="8" t="s">
        <v>263</v>
      </c>
      <c r="C215" s="8" t="s">
        <v>376</v>
      </c>
      <c r="D215" s="8">
        <v>1</v>
      </c>
      <c r="E215" s="8" t="s">
        <v>406</v>
      </c>
      <c r="F215" s="8" t="s">
        <v>378</v>
      </c>
      <c r="G215" s="8" t="s">
        <v>379</v>
      </c>
      <c r="H215" s="10">
        <v>600</v>
      </c>
      <c r="I215" s="10"/>
      <c r="J215" s="10">
        <v>600</v>
      </c>
      <c r="K215" s="10">
        <v>11.04</v>
      </c>
    </row>
    <row r="216" spans="1:11" x14ac:dyDescent="0.25">
      <c r="A216" s="8" t="s">
        <v>407</v>
      </c>
      <c r="B216" s="8" t="s">
        <v>269</v>
      </c>
      <c r="C216" s="8" t="s">
        <v>376</v>
      </c>
      <c r="D216" s="8">
        <v>1</v>
      </c>
      <c r="E216" s="8" t="s">
        <v>406</v>
      </c>
      <c r="F216" s="8" t="s">
        <v>378</v>
      </c>
      <c r="G216" s="8" t="s">
        <v>379</v>
      </c>
      <c r="H216" s="10">
        <v>900</v>
      </c>
      <c r="I216" s="10"/>
      <c r="J216" s="10">
        <v>900</v>
      </c>
      <c r="K216" s="10">
        <v>11.04</v>
      </c>
    </row>
    <row r="217" spans="1:11" x14ac:dyDescent="0.25">
      <c r="A217" s="8" t="s">
        <v>408</v>
      </c>
      <c r="B217" s="8" t="s">
        <v>263</v>
      </c>
      <c r="C217" s="8" t="s">
        <v>376</v>
      </c>
      <c r="D217" s="8">
        <v>1</v>
      </c>
      <c r="E217" s="8" t="s">
        <v>409</v>
      </c>
      <c r="F217" s="8" t="s">
        <v>378</v>
      </c>
      <c r="G217" s="8" t="s">
        <v>379</v>
      </c>
      <c r="H217" s="10">
        <v>550</v>
      </c>
      <c r="I217" s="10"/>
      <c r="J217" s="10">
        <v>550</v>
      </c>
      <c r="K217" s="10">
        <v>11.04</v>
      </c>
    </row>
    <row r="218" spans="1:11" x14ac:dyDescent="0.25">
      <c r="A218" s="8" t="s">
        <v>410</v>
      </c>
      <c r="B218" s="8" t="s">
        <v>269</v>
      </c>
      <c r="C218" s="8" t="s">
        <v>376</v>
      </c>
      <c r="D218" s="8">
        <v>1</v>
      </c>
      <c r="E218" s="8" t="s">
        <v>409</v>
      </c>
      <c r="F218" s="8" t="s">
        <v>378</v>
      </c>
      <c r="G218" s="8" t="s">
        <v>379</v>
      </c>
      <c r="H218" s="10">
        <v>800</v>
      </c>
      <c r="I218" s="10"/>
      <c r="J218" s="10">
        <v>800</v>
      </c>
      <c r="K218" s="10">
        <v>11.04</v>
      </c>
    </row>
    <row r="219" spans="1:11" x14ac:dyDescent="0.25">
      <c r="A219" s="8" t="s">
        <v>411</v>
      </c>
      <c r="B219" s="8" t="s">
        <v>263</v>
      </c>
      <c r="C219" s="8" t="s">
        <v>376</v>
      </c>
      <c r="D219" s="8">
        <v>1</v>
      </c>
      <c r="E219" s="8" t="s">
        <v>412</v>
      </c>
      <c r="F219" s="8" t="s">
        <v>378</v>
      </c>
      <c r="G219" s="8" t="s">
        <v>379</v>
      </c>
      <c r="H219" s="10">
        <v>400</v>
      </c>
      <c r="I219" s="10"/>
      <c r="J219" s="10">
        <v>400</v>
      </c>
      <c r="K219" s="10">
        <v>11.04</v>
      </c>
    </row>
    <row r="220" spans="1:11" x14ac:dyDescent="0.25">
      <c r="A220" s="8" t="s">
        <v>413</v>
      </c>
      <c r="B220" s="8" t="s">
        <v>269</v>
      </c>
      <c r="C220" s="8" t="s">
        <v>376</v>
      </c>
      <c r="D220" s="8">
        <v>1</v>
      </c>
      <c r="E220" s="8" t="s">
        <v>412</v>
      </c>
      <c r="F220" s="8" t="s">
        <v>378</v>
      </c>
      <c r="G220" s="8" t="s">
        <v>379</v>
      </c>
      <c r="H220" s="10">
        <v>700</v>
      </c>
      <c r="I220" s="10"/>
      <c r="J220" s="10">
        <v>700</v>
      </c>
      <c r="K220" s="10">
        <v>11.04</v>
      </c>
    </row>
    <row r="221" spans="1:11" x14ac:dyDescent="0.25">
      <c r="A221" s="8" t="s">
        <v>414</v>
      </c>
      <c r="B221" s="8" t="s">
        <v>263</v>
      </c>
      <c r="C221" s="8" t="s">
        <v>376</v>
      </c>
      <c r="D221" s="8">
        <v>1</v>
      </c>
      <c r="E221" s="8" t="s">
        <v>415</v>
      </c>
      <c r="F221" s="8" t="s">
        <v>378</v>
      </c>
      <c r="G221" s="8" t="s">
        <v>379</v>
      </c>
      <c r="H221" s="10">
        <v>130</v>
      </c>
      <c r="I221" s="10"/>
      <c r="J221" s="10">
        <v>130</v>
      </c>
      <c r="K221" s="10">
        <v>11.04</v>
      </c>
    </row>
    <row r="222" spans="1:11" x14ac:dyDescent="0.25">
      <c r="A222" s="8" t="s">
        <v>416</v>
      </c>
      <c r="B222" s="8" t="s">
        <v>269</v>
      </c>
      <c r="C222" s="8" t="s">
        <v>376</v>
      </c>
      <c r="D222" s="8">
        <v>1</v>
      </c>
      <c r="E222" s="8" t="s">
        <v>415</v>
      </c>
      <c r="F222" s="8" t="s">
        <v>378</v>
      </c>
      <c r="G222" s="8" t="s">
        <v>379</v>
      </c>
      <c r="H222" s="10">
        <v>200</v>
      </c>
      <c r="I222" s="10"/>
      <c r="J222" s="10">
        <v>200</v>
      </c>
      <c r="K222" s="10">
        <v>11.04</v>
      </c>
    </row>
    <row r="223" spans="1:11" x14ac:dyDescent="0.25">
      <c r="A223" s="8" t="s">
        <v>417</v>
      </c>
      <c r="B223" s="8" t="s">
        <v>263</v>
      </c>
      <c r="C223" s="8" t="s">
        <v>376</v>
      </c>
      <c r="D223" s="8">
        <v>1</v>
      </c>
      <c r="E223" s="8" t="s">
        <v>418</v>
      </c>
      <c r="F223" s="8" t="s">
        <v>378</v>
      </c>
      <c r="G223" s="8" t="s">
        <v>419</v>
      </c>
      <c r="H223" s="10">
        <v>60</v>
      </c>
      <c r="I223" s="10"/>
      <c r="J223" s="10">
        <v>60</v>
      </c>
      <c r="K223" s="10">
        <v>45.78</v>
      </c>
    </row>
    <row r="224" spans="1:11" x14ac:dyDescent="0.25">
      <c r="A224" s="8" t="s">
        <v>420</v>
      </c>
      <c r="B224" s="8" t="s">
        <v>269</v>
      </c>
      <c r="C224" s="8" t="s">
        <v>376</v>
      </c>
      <c r="D224" s="8">
        <v>1</v>
      </c>
      <c r="E224" s="8" t="s">
        <v>418</v>
      </c>
      <c r="F224" s="8" t="s">
        <v>378</v>
      </c>
      <c r="G224" s="8" t="s">
        <v>419</v>
      </c>
      <c r="H224" s="10">
        <v>60</v>
      </c>
      <c r="I224" s="10"/>
      <c r="J224" s="10">
        <v>60</v>
      </c>
      <c r="K224" s="10">
        <v>45.78</v>
      </c>
    </row>
    <row r="225" spans="1:11" x14ac:dyDescent="0.25">
      <c r="A225" s="8" t="s">
        <v>421</v>
      </c>
      <c r="B225" s="8" t="s">
        <v>263</v>
      </c>
      <c r="C225" s="8" t="s">
        <v>376</v>
      </c>
      <c r="D225" s="8">
        <v>1</v>
      </c>
      <c r="E225" s="8" t="s">
        <v>422</v>
      </c>
      <c r="F225" s="8" t="s">
        <v>378</v>
      </c>
      <c r="G225" s="8" t="s">
        <v>419</v>
      </c>
      <c r="H225" s="10">
        <v>15</v>
      </c>
      <c r="I225" s="10"/>
      <c r="J225" s="10">
        <v>15</v>
      </c>
      <c r="K225" s="10">
        <v>45.78</v>
      </c>
    </row>
    <row r="226" spans="1:11" x14ac:dyDescent="0.25">
      <c r="A226" s="8" t="s">
        <v>423</v>
      </c>
      <c r="B226" s="8" t="s">
        <v>269</v>
      </c>
      <c r="C226" s="8" t="s">
        <v>376</v>
      </c>
      <c r="D226" s="8">
        <v>1</v>
      </c>
      <c r="E226" s="8" t="s">
        <v>422</v>
      </c>
      <c r="F226" s="8" t="s">
        <v>378</v>
      </c>
      <c r="G226" s="8" t="s">
        <v>419</v>
      </c>
      <c r="H226" s="10">
        <v>15</v>
      </c>
      <c r="I226" s="10"/>
      <c r="J226" s="10">
        <v>15</v>
      </c>
      <c r="K226" s="10">
        <v>45.78</v>
      </c>
    </row>
    <row r="227" spans="1:11" x14ac:dyDescent="0.25">
      <c r="A227" s="8" t="s">
        <v>424</v>
      </c>
      <c r="B227" s="8" t="s">
        <v>263</v>
      </c>
      <c r="C227" s="8" t="s">
        <v>376</v>
      </c>
      <c r="D227" s="8">
        <v>1</v>
      </c>
      <c r="E227" s="8" t="s">
        <v>425</v>
      </c>
      <c r="F227" s="8" t="s">
        <v>378</v>
      </c>
      <c r="G227" s="8" t="s">
        <v>419</v>
      </c>
      <c r="H227" s="10">
        <v>9</v>
      </c>
      <c r="I227" s="10"/>
      <c r="J227" s="10">
        <v>9</v>
      </c>
      <c r="K227" s="10">
        <v>68.67</v>
      </c>
    </row>
    <row r="228" spans="1:11" x14ac:dyDescent="0.25">
      <c r="A228" s="8" t="s">
        <v>426</v>
      </c>
      <c r="B228" s="8" t="s">
        <v>269</v>
      </c>
      <c r="C228" s="8" t="s">
        <v>376</v>
      </c>
      <c r="D228" s="8">
        <v>1</v>
      </c>
      <c r="E228" s="8" t="s">
        <v>425</v>
      </c>
      <c r="F228" s="8" t="s">
        <v>378</v>
      </c>
      <c r="G228" s="8" t="s">
        <v>419</v>
      </c>
      <c r="H228" s="10">
        <v>9</v>
      </c>
      <c r="I228" s="10"/>
      <c r="J228" s="10">
        <v>9</v>
      </c>
      <c r="K228" s="10">
        <v>68.67</v>
      </c>
    </row>
    <row r="229" spans="1:11" x14ac:dyDescent="0.25">
      <c r="A229" s="8" t="s">
        <v>427</v>
      </c>
      <c r="B229" s="8" t="s">
        <v>263</v>
      </c>
      <c r="C229" s="8" t="s">
        <v>376</v>
      </c>
      <c r="D229" s="8">
        <v>1</v>
      </c>
      <c r="E229" s="8" t="s">
        <v>428</v>
      </c>
      <c r="F229" s="8" t="s">
        <v>378</v>
      </c>
      <c r="G229" s="8" t="s">
        <v>419</v>
      </c>
      <c r="H229" s="10">
        <v>9</v>
      </c>
      <c r="I229" s="10"/>
      <c r="J229" s="10">
        <v>9</v>
      </c>
      <c r="K229" s="10">
        <v>68.67</v>
      </c>
    </row>
    <row r="230" spans="1:11" x14ac:dyDescent="0.25">
      <c r="A230" s="8" t="s">
        <v>429</v>
      </c>
      <c r="B230" s="8" t="s">
        <v>269</v>
      </c>
      <c r="C230" s="8" t="s">
        <v>376</v>
      </c>
      <c r="D230" s="8">
        <v>1</v>
      </c>
      <c r="E230" s="8" t="s">
        <v>428</v>
      </c>
      <c r="F230" s="8" t="s">
        <v>378</v>
      </c>
      <c r="G230" s="8" t="s">
        <v>419</v>
      </c>
      <c r="H230" s="10">
        <v>9</v>
      </c>
      <c r="I230" s="10"/>
      <c r="J230" s="10">
        <v>9</v>
      </c>
      <c r="K230" s="10">
        <v>68.67</v>
      </c>
    </row>
    <row r="231" spans="1:11" x14ac:dyDescent="0.25">
      <c r="A231" s="8" t="s">
        <v>430</v>
      </c>
      <c r="B231" s="8" t="s">
        <v>263</v>
      </c>
      <c r="C231" s="8" t="s">
        <v>376</v>
      </c>
      <c r="D231" s="8">
        <v>1</v>
      </c>
      <c r="E231" s="8" t="s">
        <v>431</v>
      </c>
      <c r="F231" s="8" t="s">
        <v>378</v>
      </c>
      <c r="G231" s="8" t="s">
        <v>419</v>
      </c>
      <c r="H231" s="10">
        <v>6</v>
      </c>
      <c r="I231" s="10"/>
      <c r="J231" s="10">
        <v>6</v>
      </c>
      <c r="K231" s="10">
        <v>91.56</v>
      </c>
    </row>
    <row r="232" spans="1:11" x14ac:dyDescent="0.25">
      <c r="A232" s="8" t="s">
        <v>432</v>
      </c>
      <c r="B232" s="8" t="s">
        <v>269</v>
      </c>
      <c r="C232" s="8" t="s">
        <v>376</v>
      </c>
      <c r="D232" s="8">
        <v>1</v>
      </c>
      <c r="E232" s="8" t="s">
        <v>431</v>
      </c>
      <c r="F232" s="8" t="s">
        <v>378</v>
      </c>
      <c r="G232" s="8" t="s">
        <v>419</v>
      </c>
      <c r="H232" s="10">
        <v>6</v>
      </c>
      <c r="I232" s="10"/>
      <c r="J232" s="10">
        <v>6</v>
      </c>
      <c r="K232" s="10">
        <v>91.56</v>
      </c>
    </row>
    <row r="233" spans="1:11" x14ac:dyDescent="0.25">
      <c r="A233" s="8" t="s">
        <v>433</v>
      </c>
      <c r="B233" s="8" t="s">
        <v>263</v>
      </c>
      <c r="C233" s="8" t="s">
        <v>376</v>
      </c>
      <c r="D233" s="8">
        <v>1</v>
      </c>
      <c r="E233" s="8" t="s">
        <v>434</v>
      </c>
      <c r="F233" s="8" t="s">
        <v>378</v>
      </c>
      <c r="G233" s="8" t="s">
        <v>419</v>
      </c>
      <c r="H233" s="10">
        <v>15</v>
      </c>
      <c r="I233" s="10"/>
      <c r="J233" s="10">
        <v>15</v>
      </c>
      <c r="K233" s="10">
        <v>91.56</v>
      </c>
    </row>
    <row r="234" spans="1:11" x14ac:dyDescent="0.25">
      <c r="A234" s="8" t="s">
        <v>435</v>
      </c>
      <c r="B234" s="8" t="s">
        <v>269</v>
      </c>
      <c r="C234" s="8" t="s">
        <v>376</v>
      </c>
      <c r="D234" s="8">
        <v>1</v>
      </c>
      <c r="E234" s="8" t="s">
        <v>434</v>
      </c>
      <c r="F234" s="8" t="s">
        <v>378</v>
      </c>
      <c r="G234" s="8" t="s">
        <v>419</v>
      </c>
      <c r="H234" s="10">
        <v>15</v>
      </c>
      <c r="I234" s="10"/>
      <c r="J234" s="10">
        <v>15</v>
      </c>
      <c r="K234" s="10">
        <v>91.56</v>
      </c>
    </row>
    <row r="235" spans="1:11" x14ac:dyDescent="0.25">
      <c r="A235" s="8" t="s">
        <v>436</v>
      </c>
      <c r="B235" s="8" t="s">
        <v>263</v>
      </c>
      <c r="C235" s="8" t="s">
        <v>376</v>
      </c>
      <c r="D235" s="8">
        <v>1</v>
      </c>
      <c r="E235" s="8" t="s">
        <v>437</v>
      </c>
      <c r="F235" s="8" t="s">
        <v>378</v>
      </c>
      <c r="G235" s="8" t="s">
        <v>419</v>
      </c>
      <c r="H235" s="10">
        <v>15</v>
      </c>
      <c r="I235" s="10"/>
      <c r="J235" s="10">
        <v>15</v>
      </c>
      <c r="K235" s="10">
        <v>45.78</v>
      </c>
    </row>
    <row r="236" spans="1:11" x14ac:dyDescent="0.25">
      <c r="A236" s="8" t="s">
        <v>438</v>
      </c>
      <c r="B236" s="8" t="s">
        <v>269</v>
      </c>
      <c r="C236" s="8" t="s">
        <v>376</v>
      </c>
      <c r="D236" s="8">
        <v>1</v>
      </c>
      <c r="E236" s="8" t="s">
        <v>437</v>
      </c>
      <c r="F236" s="8" t="s">
        <v>378</v>
      </c>
      <c r="G236" s="8" t="s">
        <v>419</v>
      </c>
      <c r="H236" s="10">
        <v>15</v>
      </c>
      <c r="I236" s="10"/>
      <c r="J236" s="10">
        <v>15</v>
      </c>
      <c r="K236" s="10">
        <v>45.78</v>
      </c>
    </row>
    <row r="237" spans="1:11" x14ac:dyDescent="0.25">
      <c r="A237" s="8" t="s">
        <v>439</v>
      </c>
      <c r="B237" s="8" t="s">
        <v>263</v>
      </c>
      <c r="C237" s="8" t="s">
        <v>376</v>
      </c>
      <c r="D237" s="8">
        <v>1</v>
      </c>
      <c r="E237" s="8" t="s">
        <v>440</v>
      </c>
      <c r="F237" s="8" t="s">
        <v>378</v>
      </c>
      <c r="G237" s="8" t="s">
        <v>419</v>
      </c>
      <c r="H237" s="10">
        <v>5</v>
      </c>
      <c r="I237" s="10"/>
      <c r="J237" s="10">
        <v>5</v>
      </c>
      <c r="K237" s="10">
        <v>45.78</v>
      </c>
    </row>
    <row r="238" spans="1:11" x14ac:dyDescent="0.25">
      <c r="A238" s="8" t="s">
        <v>441</v>
      </c>
      <c r="B238" s="8" t="s">
        <v>269</v>
      </c>
      <c r="C238" s="8" t="s">
        <v>376</v>
      </c>
      <c r="D238" s="8">
        <v>1</v>
      </c>
      <c r="E238" s="8" t="s">
        <v>440</v>
      </c>
      <c r="F238" s="8" t="s">
        <v>378</v>
      </c>
      <c r="G238" s="8" t="s">
        <v>419</v>
      </c>
      <c r="H238" s="10">
        <v>5</v>
      </c>
      <c r="I238" s="10"/>
      <c r="J238" s="10">
        <v>5</v>
      </c>
      <c r="K238" s="10">
        <v>45.78</v>
      </c>
    </row>
    <row r="239" spans="1:11" x14ac:dyDescent="0.25">
      <c r="A239" s="8" t="s">
        <v>442</v>
      </c>
      <c r="B239" s="8" t="s">
        <v>263</v>
      </c>
      <c r="C239" s="8" t="s">
        <v>376</v>
      </c>
      <c r="D239" s="8">
        <v>1</v>
      </c>
      <c r="E239" s="8" t="s">
        <v>443</v>
      </c>
      <c r="F239" s="8" t="s">
        <v>378</v>
      </c>
      <c r="G239" s="8" t="s">
        <v>419</v>
      </c>
      <c r="H239" s="10">
        <v>3</v>
      </c>
      <c r="I239" s="10"/>
      <c r="J239" s="10">
        <v>3</v>
      </c>
      <c r="K239" s="10">
        <v>68.67</v>
      </c>
    </row>
    <row r="240" spans="1:11" x14ac:dyDescent="0.25">
      <c r="A240" s="8" t="s">
        <v>444</v>
      </c>
      <c r="B240" s="8" t="s">
        <v>269</v>
      </c>
      <c r="C240" s="8" t="s">
        <v>376</v>
      </c>
      <c r="D240" s="8">
        <v>1</v>
      </c>
      <c r="E240" s="8" t="s">
        <v>443</v>
      </c>
      <c r="F240" s="8" t="s">
        <v>378</v>
      </c>
      <c r="G240" s="8" t="s">
        <v>419</v>
      </c>
      <c r="H240" s="10">
        <v>3</v>
      </c>
      <c r="I240" s="10"/>
      <c r="J240" s="10">
        <v>3</v>
      </c>
      <c r="K240" s="10">
        <v>68.67</v>
      </c>
    </row>
    <row r="241" spans="1:11" x14ac:dyDescent="0.25">
      <c r="A241" s="8" t="s">
        <v>445</v>
      </c>
      <c r="B241" s="8" t="s">
        <v>263</v>
      </c>
      <c r="C241" s="8" t="s">
        <v>376</v>
      </c>
      <c r="D241" s="8">
        <v>1</v>
      </c>
      <c r="E241" s="8" t="s">
        <v>446</v>
      </c>
      <c r="F241" s="8" t="s">
        <v>378</v>
      </c>
      <c r="G241" s="8" t="s">
        <v>419</v>
      </c>
      <c r="H241" s="10">
        <v>3</v>
      </c>
      <c r="I241" s="10"/>
      <c r="J241" s="10">
        <v>3</v>
      </c>
      <c r="K241" s="10">
        <v>68.67</v>
      </c>
    </row>
    <row r="242" spans="1:11" x14ac:dyDescent="0.25">
      <c r="A242" s="8" t="s">
        <v>447</v>
      </c>
      <c r="B242" s="8" t="s">
        <v>269</v>
      </c>
      <c r="C242" s="8" t="s">
        <v>376</v>
      </c>
      <c r="D242" s="8">
        <v>1</v>
      </c>
      <c r="E242" s="8" t="s">
        <v>446</v>
      </c>
      <c r="F242" s="8" t="s">
        <v>378</v>
      </c>
      <c r="G242" s="8" t="s">
        <v>419</v>
      </c>
      <c r="H242" s="10">
        <v>3</v>
      </c>
      <c r="I242" s="10"/>
      <c r="J242" s="10">
        <v>3</v>
      </c>
      <c r="K242" s="10">
        <v>68.67</v>
      </c>
    </row>
    <row r="243" spans="1:11" x14ac:dyDescent="0.25">
      <c r="A243" s="8" t="s">
        <v>448</v>
      </c>
      <c r="B243" s="8" t="s">
        <v>263</v>
      </c>
      <c r="C243" s="8" t="s">
        <v>376</v>
      </c>
      <c r="D243" s="8">
        <v>1</v>
      </c>
      <c r="E243" s="8" t="s">
        <v>449</v>
      </c>
      <c r="F243" s="8" t="s">
        <v>378</v>
      </c>
      <c r="G243" s="8" t="s">
        <v>419</v>
      </c>
      <c r="H243" s="10">
        <v>1</v>
      </c>
      <c r="I243" s="10"/>
      <c r="J243" s="10">
        <v>1</v>
      </c>
      <c r="K243" s="10">
        <v>91.56</v>
      </c>
    </row>
    <row r="244" spans="1:11" x14ac:dyDescent="0.25">
      <c r="A244" s="8" t="s">
        <v>450</v>
      </c>
      <c r="B244" s="8" t="s">
        <v>269</v>
      </c>
      <c r="C244" s="8" t="s">
        <v>376</v>
      </c>
      <c r="D244" s="8">
        <v>1</v>
      </c>
      <c r="E244" s="8" t="s">
        <v>449</v>
      </c>
      <c r="F244" s="8" t="s">
        <v>378</v>
      </c>
      <c r="G244" s="8" t="s">
        <v>419</v>
      </c>
      <c r="H244" s="10">
        <v>1</v>
      </c>
      <c r="I244" s="10"/>
      <c r="J244" s="10">
        <v>1</v>
      </c>
      <c r="K244" s="10">
        <v>91.56</v>
      </c>
    </row>
    <row r="245" spans="1:11" x14ac:dyDescent="0.25">
      <c r="A245" s="8" t="s">
        <v>451</v>
      </c>
      <c r="B245" s="8" t="s">
        <v>263</v>
      </c>
      <c r="C245" s="8" t="s">
        <v>376</v>
      </c>
      <c r="D245" s="8">
        <v>1</v>
      </c>
      <c r="E245" s="8" t="s">
        <v>452</v>
      </c>
      <c r="F245" s="8" t="s">
        <v>378</v>
      </c>
      <c r="G245" s="8" t="s">
        <v>419</v>
      </c>
      <c r="H245" s="10">
        <v>1</v>
      </c>
      <c r="I245" s="10"/>
      <c r="J245" s="10">
        <v>1</v>
      </c>
      <c r="K245" s="10">
        <v>91.56</v>
      </c>
    </row>
    <row r="246" spans="1:11" x14ac:dyDescent="0.25">
      <c r="A246" s="8" t="s">
        <v>453</v>
      </c>
      <c r="B246" s="8" t="s">
        <v>269</v>
      </c>
      <c r="C246" s="8" t="s">
        <v>376</v>
      </c>
      <c r="D246" s="8">
        <v>1</v>
      </c>
      <c r="E246" s="8" t="s">
        <v>452</v>
      </c>
      <c r="F246" s="8" t="s">
        <v>378</v>
      </c>
      <c r="G246" s="8" t="s">
        <v>419</v>
      </c>
      <c r="H246" s="10">
        <v>1</v>
      </c>
      <c r="I246" s="10"/>
      <c r="J246" s="10">
        <v>1</v>
      </c>
      <c r="K246" s="10">
        <v>91.56</v>
      </c>
    </row>
    <row r="247" spans="1:11" x14ac:dyDescent="0.25">
      <c r="A247" s="8" t="s">
        <v>454</v>
      </c>
      <c r="B247" s="8" t="s">
        <v>263</v>
      </c>
      <c r="C247" s="8" t="s">
        <v>376</v>
      </c>
      <c r="D247" s="8">
        <v>1</v>
      </c>
      <c r="E247" s="8" t="s">
        <v>455</v>
      </c>
      <c r="F247" s="8" t="s">
        <v>378</v>
      </c>
      <c r="G247" s="8" t="s">
        <v>419</v>
      </c>
      <c r="H247" s="10">
        <v>18</v>
      </c>
      <c r="I247" s="10"/>
      <c r="J247" s="10">
        <v>18</v>
      </c>
      <c r="K247" s="10">
        <v>137.34</v>
      </c>
    </row>
    <row r="248" spans="1:11" x14ac:dyDescent="0.25">
      <c r="A248" s="8" t="s">
        <v>456</v>
      </c>
      <c r="B248" s="8" t="s">
        <v>269</v>
      </c>
      <c r="C248" s="8" t="s">
        <v>376</v>
      </c>
      <c r="D248" s="8">
        <v>1</v>
      </c>
      <c r="E248" s="8" t="s">
        <v>455</v>
      </c>
      <c r="F248" s="8" t="s">
        <v>378</v>
      </c>
      <c r="G248" s="8" t="s">
        <v>419</v>
      </c>
      <c r="H248" s="10">
        <v>18</v>
      </c>
      <c r="I248" s="10"/>
      <c r="J248" s="10">
        <v>18</v>
      </c>
      <c r="K248" s="10">
        <v>137.34</v>
      </c>
    </row>
    <row r="249" spans="1:11" x14ac:dyDescent="0.25">
      <c r="A249" s="8" t="s">
        <v>457</v>
      </c>
      <c r="B249" s="8" t="s">
        <v>263</v>
      </c>
      <c r="C249" s="8" t="s">
        <v>458</v>
      </c>
      <c r="D249" s="8">
        <v>1</v>
      </c>
      <c r="E249" s="8" t="s">
        <v>459</v>
      </c>
      <c r="F249" s="8" t="s">
        <v>460</v>
      </c>
      <c r="G249" s="8" t="s">
        <v>461</v>
      </c>
      <c r="H249" s="10">
        <v>2</v>
      </c>
      <c r="I249" s="10"/>
      <c r="J249" s="10">
        <v>2</v>
      </c>
      <c r="K249" s="10">
        <v>301.45</v>
      </c>
    </row>
    <row r="250" spans="1:11" x14ac:dyDescent="0.25">
      <c r="A250" s="8" t="s">
        <v>462</v>
      </c>
      <c r="B250" s="8" t="s">
        <v>269</v>
      </c>
      <c r="C250" s="8" t="s">
        <v>458</v>
      </c>
      <c r="D250" s="8">
        <v>1</v>
      </c>
      <c r="E250" s="8" t="s">
        <v>459</v>
      </c>
      <c r="F250" s="8" t="s">
        <v>460</v>
      </c>
      <c r="G250" s="8" t="s">
        <v>461</v>
      </c>
      <c r="H250" s="10">
        <v>2</v>
      </c>
      <c r="I250" s="10"/>
      <c r="J250" s="10">
        <v>2</v>
      </c>
      <c r="K250" s="10">
        <v>301.45</v>
      </c>
    </row>
    <row r="251" spans="1:11" x14ac:dyDescent="0.25">
      <c r="A251" s="8" t="s">
        <v>463</v>
      </c>
      <c r="B251" s="8" t="s">
        <v>263</v>
      </c>
      <c r="C251" s="8" t="s">
        <v>376</v>
      </c>
      <c r="D251" s="8">
        <v>1</v>
      </c>
      <c r="E251" s="8" t="s">
        <v>464</v>
      </c>
      <c r="F251" s="8" t="s">
        <v>460</v>
      </c>
      <c r="G251" s="8" t="s">
        <v>379</v>
      </c>
      <c r="H251" s="10">
        <v>4</v>
      </c>
      <c r="I251" s="10"/>
      <c r="J251" s="10">
        <v>4</v>
      </c>
      <c r="K251" s="10">
        <v>200.97</v>
      </c>
    </row>
    <row r="252" spans="1:11" x14ac:dyDescent="0.25">
      <c r="A252" s="8" t="s">
        <v>465</v>
      </c>
      <c r="B252" s="8" t="s">
        <v>269</v>
      </c>
      <c r="C252" s="8" t="s">
        <v>376</v>
      </c>
      <c r="D252" s="8">
        <v>1</v>
      </c>
      <c r="E252" s="8" t="s">
        <v>464</v>
      </c>
      <c r="F252" s="8" t="s">
        <v>460</v>
      </c>
      <c r="G252" s="8" t="s">
        <v>379</v>
      </c>
      <c r="H252" s="10">
        <v>4</v>
      </c>
      <c r="I252" s="10"/>
      <c r="J252" s="10">
        <v>4</v>
      </c>
      <c r="K252" s="10">
        <v>200.97</v>
      </c>
    </row>
    <row r="253" spans="1:11" x14ac:dyDescent="0.25">
      <c r="A253" s="8" t="s">
        <v>466</v>
      </c>
      <c r="B253" s="8" t="s">
        <v>263</v>
      </c>
      <c r="C253" s="8" t="s">
        <v>376</v>
      </c>
      <c r="D253" s="8">
        <v>1</v>
      </c>
      <c r="E253" s="8" t="s">
        <v>467</v>
      </c>
      <c r="F253" s="8" t="s">
        <v>460</v>
      </c>
      <c r="G253" s="8" t="s">
        <v>379</v>
      </c>
      <c r="H253" s="10">
        <v>3</v>
      </c>
      <c r="I253" s="10"/>
      <c r="J253" s="10">
        <v>3</v>
      </c>
      <c r="K253" s="10">
        <v>366.24</v>
      </c>
    </row>
    <row r="254" spans="1:11" x14ac:dyDescent="0.25">
      <c r="A254" s="8" t="s">
        <v>468</v>
      </c>
      <c r="B254" s="8" t="s">
        <v>269</v>
      </c>
      <c r="C254" s="8" t="s">
        <v>376</v>
      </c>
      <c r="D254" s="8">
        <v>1</v>
      </c>
      <c r="E254" s="8" t="s">
        <v>467</v>
      </c>
      <c r="F254" s="8" t="s">
        <v>460</v>
      </c>
      <c r="G254" s="8" t="s">
        <v>379</v>
      </c>
      <c r="H254" s="10">
        <v>3</v>
      </c>
      <c r="I254" s="10"/>
      <c r="J254" s="10">
        <v>3</v>
      </c>
      <c r="K254" s="10">
        <v>366.24</v>
      </c>
    </row>
    <row r="255" spans="1:11" x14ac:dyDescent="0.25">
      <c r="A255" s="8" t="s">
        <v>469</v>
      </c>
      <c r="B255" s="8" t="s">
        <v>263</v>
      </c>
      <c r="C255" s="8" t="s">
        <v>376</v>
      </c>
      <c r="D255" s="8">
        <v>1</v>
      </c>
      <c r="E255" s="8" t="s">
        <v>470</v>
      </c>
      <c r="F255" s="8" t="s">
        <v>378</v>
      </c>
      <c r="G255" s="8" t="s">
        <v>471</v>
      </c>
      <c r="H255" s="10">
        <v>10</v>
      </c>
      <c r="I255" s="10"/>
      <c r="J255" s="10">
        <v>10</v>
      </c>
      <c r="K255" s="10">
        <v>11.04</v>
      </c>
    </row>
    <row r="256" spans="1:11" x14ac:dyDescent="0.25">
      <c r="A256" s="8" t="s">
        <v>472</v>
      </c>
      <c r="B256" s="8" t="s">
        <v>269</v>
      </c>
      <c r="C256" s="8" t="s">
        <v>376</v>
      </c>
      <c r="D256" s="8">
        <v>1</v>
      </c>
      <c r="E256" s="8" t="s">
        <v>470</v>
      </c>
      <c r="F256" s="8" t="s">
        <v>378</v>
      </c>
      <c r="G256" s="8" t="s">
        <v>471</v>
      </c>
      <c r="H256" s="10">
        <v>10</v>
      </c>
      <c r="I256" s="10"/>
      <c r="J256" s="10">
        <v>10</v>
      </c>
      <c r="K256" s="10">
        <v>11.04</v>
      </c>
    </row>
    <row r="257" spans="1:11" x14ac:dyDescent="0.25">
      <c r="A257" s="8" t="s">
        <v>473</v>
      </c>
      <c r="B257" s="8" t="s">
        <v>263</v>
      </c>
      <c r="C257" s="8" t="s">
        <v>376</v>
      </c>
      <c r="D257" s="8">
        <v>1</v>
      </c>
      <c r="E257" s="8" t="s">
        <v>474</v>
      </c>
      <c r="F257" s="8" t="s">
        <v>378</v>
      </c>
      <c r="G257" s="8" t="s">
        <v>471</v>
      </c>
      <c r="H257" s="10">
        <v>30</v>
      </c>
      <c r="I257" s="10"/>
      <c r="J257" s="10">
        <v>30</v>
      </c>
      <c r="K257" s="10">
        <v>11.04</v>
      </c>
    </row>
    <row r="258" spans="1:11" x14ac:dyDescent="0.25">
      <c r="A258" s="8" t="s">
        <v>475</v>
      </c>
      <c r="B258" s="8" t="s">
        <v>269</v>
      </c>
      <c r="C258" s="8" t="s">
        <v>376</v>
      </c>
      <c r="D258" s="8">
        <v>1</v>
      </c>
      <c r="E258" s="8" t="s">
        <v>474</v>
      </c>
      <c r="F258" s="8" t="s">
        <v>378</v>
      </c>
      <c r="G258" s="8" t="s">
        <v>471</v>
      </c>
      <c r="H258" s="10">
        <v>30</v>
      </c>
      <c r="I258" s="10"/>
      <c r="J258" s="10">
        <v>30</v>
      </c>
      <c r="K258" s="10">
        <v>11.04</v>
      </c>
    </row>
    <row r="259" spans="1:11" x14ac:dyDescent="0.25">
      <c r="A259" s="8" t="s">
        <v>476</v>
      </c>
      <c r="B259" s="8" t="s">
        <v>263</v>
      </c>
      <c r="C259" s="8" t="s">
        <v>344</v>
      </c>
      <c r="D259" s="8">
        <v>1</v>
      </c>
      <c r="E259" s="8" t="s">
        <v>477</v>
      </c>
      <c r="F259" s="8" t="s">
        <v>266</v>
      </c>
      <c r="G259" s="8" t="s">
        <v>346</v>
      </c>
      <c r="H259" s="10">
        <v>0.5</v>
      </c>
      <c r="I259" s="10"/>
      <c r="J259" s="10">
        <v>0.5</v>
      </c>
      <c r="K259" s="10">
        <v>3763.54</v>
      </c>
    </row>
    <row r="260" spans="1:11" x14ac:dyDescent="0.25">
      <c r="A260" s="8" t="s">
        <v>478</v>
      </c>
      <c r="B260" s="8" t="s">
        <v>269</v>
      </c>
      <c r="C260" s="8" t="s">
        <v>344</v>
      </c>
      <c r="D260" s="8">
        <v>1</v>
      </c>
      <c r="E260" s="8" t="s">
        <v>477</v>
      </c>
      <c r="F260" s="8" t="s">
        <v>266</v>
      </c>
      <c r="G260" s="8" t="s">
        <v>346</v>
      </c>
      <c r="H260" s="10">
        <v>0.5</v>
      </c>
      <c r="I260" s="10"/>
      <c r="J260" s="10">
        <v>0.5</v>
      </c>
      <c r="K260" s="10">
        <v>3763.54</v>
      </c>
    </row>
    <row r="261" spans="1:11" x14ac:dyDescent="0.25">
      <c r="A261" s="8" t="s">
        <v>479</v>
      </c>
      <c r="B261" s="8" t="s">
        <v>263</v>
      </c>
      <c r="C261" s="8" t="s">
        <v>344</v>
      </c>
      <c r="D261" s="8">
        <v>1</v>
      </c>
      <c r="E261" s="8" t="s">
        <v>480</v>
      </c>
      <c r="F261" s="8" t="s">
        <v>266</v>
      </c>
      <c r="G261" s="8" t="s">
        <v>346</v>
      </c>
      <c r="H261" s="10">
        <v>0.9</v>
      </c>
      <c r="I261" s="10"/>
      <c r="J261" s="10">
        <v>0.9</v>
      </c>
      <c r="K261" s="10">
        <v>3763.54</v>
      </c>
    </row>
    <row r="262" spans="1:11" x14ac:dyDescent="0.25">
      <c r="A262" s="8" t="s">
        <v>481</v>
      </c>
      <c r="B262" s="8" t="s">
        <v>269</v>
      </c>
      <c r="C262" s="8" t="s">
        <v>344</v>
      </c>
      <c r="D262" s="8">
        <v>1</v>
      </c>
      <c r="E262" s="8" t="s">
        <v>480</v>
      </c>
      <c r="F262" s="8" t="s">
        <v>266</v>
      </c>
      <c r="G262" s="8" t="s">
        <v>346</v>
      </c>
      <c r="H262" s="10">
        <v>0.9</v>
      </c>
      <c r="I262" s="10"/>
      <c r="J262" s="10">
        <v>0.9</v>
      </c>
      <c r="K262" s="10">
        <v>3763.54</v>
      </c>
    </row>
    <row r="263" spans="1:11" x14ac:dyDescent="0.25">
      <c r="A263" s="8" t="s">
        <v>482</v>
      </c>
      <c r="B263" s="8" t="s">
        <v>263</v>
      </c>
      <c r="C263" s="8" t="s">
        <v>344</v>
      </c>
      <c r="D263" s="8">
        <v>1</v>
      </c>
      <c r="E263" s="8" t="s">
        <v>483</v>
      </c>
      <c r="F263" s="8" t="s">
        <v>266</v>
      </c>
      <c r="G263" s="8" t="s">
        <v>346</v>
      </c>
      <c r="H263" s="10">
        <v>1</v>
      </c>
      <c r="I263" s="10"/>
      <c r="J263" s="10">
        <v>1</v>
      </c>
      <c r="K263" s="10">
        <v>3763.54</v>
      </c>
    </row>
    <row r="264" spans="1:11" x14ac:dyDescent="0.25">
      <c r="A264" s="8" t="s">
        <v>484</v>
      </c>
      <c r="B264" s="8" t="s">
        <v>269</v>
      </c>
      <c r="C264" s="8" t="s">
        <v>344</v>
      </c>
      <c r="D264" s="8">
        <v>1</v>
      </c>
      <c r="E264" s="8" t="s">
        <v>483</v>
      </c>
      <c r="F264" s="8" t="s">
        <v>266</v>
      </c>
      <c r="G264" s="8" t="s">
        <v>346</v>
      </c>
      <c r="H264" s="10">
        <v>1</v>
      </c>
      <c r="I264" s="10"/>
      <c r="J264" s="10">
        <v>1</v>
      </c>
      <c r="K264" s="10">
        <v>3763.54</v>
      </c>
    </row>
    <row r="265" spans="1:11" x14ac:dyDescent="0.25">
      <c r="A265" s="8" t="s">
        <v>485</v>
      </c>
      <c r="B265" s="8" t="s">
        <v>263</v>
      </c>
      <c r="C265" s="8" t="s">
        <v>344</v>
      </c>
      <c r="D265" s="8">
        <v>1</v>
      </c>
      <c r="E265" s="8" t="s">
        <v>486</v>
      </c>
      <c r="F265" s="8" t="s">
        <v>266</v>
      </c>
      <c r="G265" s="8" t="s">
        <v>346</v>
      </c>
      <c r="H265" s="10">
        <v>1.1000000000000001</v>
      </c>
      <c r="I265" s="10"/>
      <c r="J265" s="10">
        <v>1.1000000000000001</v>
      </c>
      <c r="K265" s="10">
        <v>3763.54</v>
      </c>
    </row>
    <row r="266" spans="1:11" x14ac:dyDescent="0.25">
      <c r="A266" s="8" t="s">
        <v>487</v>
      </c>
      <c r="B266" s="8" t="s">
        <v>269</v>
      </c>
      <c r="C266" s="8" t="s">
        <v>344</v>
      </c>
      <c r="D266" s="8">
        <v>1</v>
      </c>
      <c r="E266" s="8" t="s">
        <v>486</v>
      </c>
      <c r="F266" s="8" t="s">
        <v>266</v>
      </c>
      <c r="G266" s="8" t="s">
        <v>346</v>
      </c>
      <c r="H266" s="10">
        <v>1.1000000000000001</v>
      </c>
      <c r="I266" s="10"/>
      <c r="J266" s="10">
        <v>1.1000000000000001</v>
      </c>
      <c r="K266" s="10">
        <v>3763.54</v>
      </c>
    </row>
    <row r="267" spans="1:11" x14ac:dyDescent="0.25">
      <c r="A267" s="8" t="s">
        <v>488</v>
      </c>
      <c r="B267" s="8" t="s">
        <v>263</v>
      </c>
      <c r="C267" s="8" t="s">
        <v>344</v>
      </c>
      <c r="D267" s="8">
        <v>1</v>
      </c>
      <c r="E267" s="8" t="s">
        <v>358</v>
      </c>
      <c r="F267" s="8" t="s">
        <v>266</v>
      </c>
      <c r="G267" s="8" t="s">
        <v>346</v>
      </c>
      <c r="H267" s="10">
        <v>0.1</v>
      </c>
      <c r="I267" s="10"/>
      <c r="J267" s="10">
        <v>0.1</v>
      </c>
      <c r="K267" s="10">
        <v>3763.54</v>
      </c>
    </row>
    <row r="268" spans="1:11" x14ac:dyDescent="0.25">
      <c r="A268" s="8" t="s">
        <v>489</v>
      </c>
      <c r="B268" s="8" t="s">
        <v>269</v>
      </c>
      <c r="C268" s="8" t="s">
        <v>344</v>
      </c>
      <c r="D268" s="8">
        <v>1</v>
      </c>
      <c r="E268" s="8" t="s">
        <v>358</v>
      </c>
      <c r="F268" s="8" t="s">
        <v>266</v>
      </c>
      <c r="G268" s="8" t="s">
        <v>346</v>
      </c>
      <c r="H268" s="10">
        <v>0.1</v>
      </c>
      <c r="I268" s="10"/>
      <c r="J268" s="10">
        <v>0.1</v>
      </c>
      <c r="K268" s="10">
        <v>3763.54</v>
      </c>
    </row>
    <row r="269" spans="1:11" x14ac:dyDescent="0.25">
      <c r="A269" s="8" t="s">
        <v>490</v>
      </c>
      <c r="B269" s="8" t="s">
        <v>45</v>
      </c>
      <c r="C269" s="8" t="s">
        <v>491</v>
      </c>
      <c r="D269" s="8">
        <v>1</v>
      </c>
      <c r="E269" s="8" t="s">
        <v>492</v>
      </c>
      <c r="F269" s="8" t="s">
        <v>62</v>
      </c>
      <c r="G269" s="8" t="s">
        <v>493</v>
      </c>
      <c r="H269" s="10">
        <v>8</v>
      </c>
      <c r="I269" s="10"/>
      <c r="J269" s="10">
        <v>8</v>
      </c>
      <c r="K269" s="10">
        <v>54120</v>
      </c>
    </row>
    <row r="270" spans="1:11" x14ac:dyDescent="0.25">
      <c r="A270" s="8" t="s">
        <v>494</v>
      </c>
      <c r="B270" s="8" t="s">
        <v>45</v>
      </c>
      <c r="C270" s="8" t="s">
        <v>491</v>
      </c>
      <c r="D270" s="8">
        <v>1</v>
      </c>
      <c r="E270" s="8" t="s">
        <v>495</v>
      </c>
      <c r="F270" s="8" t="s">
        <v>496</v>
      </c>
      <c r="G270" s="8" t="s">
        <v>493</v>
      </c>
      <c r="H270" s="10">
        <v>154</v>
      </c>
      <c r="I270" s="10"/>
      <c r="J270" s="10">
        <v>154</v>
      </c>
      <c r="K270" s="10">
        <v>2706</v>
      </c>
    </row>
    <row r="271" spans="1:11" x14ac:dyDescent="0.25">
      <c r="A271" s="8" t="s">
        <v>497</v>
      </c>
      <c r="B271" s="8" t="s">
        <v>45</v>
      </c>
      <c r="C271" s="8" t="s">
        <v>491</v>
      </c>
      <c r="D271" s="8">
        <v>1</v>
      </c>
      <c r="E271" s="8" t="s">
        <v>498</v>
      </c>
      <c r="F271" s="8" t="s">
        <v>62</v>
      </c>
      <c r="G271" s="8" t="s">
        <v>499</v>
      </c>
      <c r="H271" s="10">
        <v>16</v>
      </c>
      <c r="I271" s="10"/>
      <c r="J271" s="10">
        <v>16</v>
      </c>
      <c r="K271" s="10">
        <v>30260</v>
      </c>
    </row>
    <row r="272" spans="1:11" x14ac:dyDescent="0.25">
      <c r="A272" s="8" t="s">
        <v>500</v>
      </c>
      <c r="B272" s="8" t="s">
        <v>45</v>
      </c>
      <c r="C272" s="8" t="s">
        <v>491</v>
      </c>
      <c r="D272" s="8">
        <v>1</v>
      </c>
      <c r="E272" s="8" t="s">
        <v>501</v>
      </c>
      <c r="F272" s="8" t="s">
        <v>496</v>
      </c>
      <c r="G272" s="8" t="s">
        <v>499</v>
      </c>
      <c r="H272" s="10">
        <v>264</v>
      </c>
      <c r="I272" s="10"/>
      <c r="J272" s="10">
        <v>264</v>
      </c>
      <c r="K272" s="10">
        <v>1513</v>
      </c>
    </row>
    <row r="273" spans="1:11" x14ac:dyDescent="0.25">
      <c r="A273" s="8" t="s">
        <v>502</v>
      </c>
      <c r="B273" s="8" t="s">
        <v>45</v>
      </c>
      <c r="C273" s="8" t="s">
        <v>491</v>
      </c>
      <c r="D273" s="8">
        <v>1</v>
      </c>
      <c r="E273" s="8" t="s">
        <v>503</v>
      </c>
      <c r="F273" s="8" t="s">
        <v>62</v>
      </c>
      <c r="G273" s="8" t="s">
        <v>504</v>
      </c>
      <c r="H273" s="10">
        <v>18</v>
      </c>
      <c r="I273" s="10"/>
      <c r="J273" s="10">
        <v>18</v>
      </c>
      <c r="K273" s="10">
        <v>26020</v>
      </c>
    </row>
    <row r="274" spans="1:11" x14ac:dyDescent="0.25">
      <c r="A274" s="8" t="s">
        <v>505</v>
      </c>
      <c r="B274" s="8" t="s">
        <v>45</v>
      </c>
      <c r="C274" s="8" t="s">
        <v>491</v>
      </c>
      <c r="D274" s="8">
        <v>1</v>
      </c>
      <c r="E274" s="8" t="s">
        <v>506</v>
      </c>
      <c r="F274" s="8" t="s">
        <v>496</v>
      </c>
      <c r="G274" s="8" t="s">
        <v>504</v>
      </c>
      <c r="H274" s="10">
        <v>308</v>
      </c>
      <c r="I274" s="10"/>
      <c r="J274" s="10">
        <v>308</v>
      </c>
      <c r="K274" s="10">
        <v>1301</v>
      </c>
    </row>
    <row r="275" spans="1:11" x14ac:dyDescent="0.25">
      <c r="A275" s="8" t="s">
        <v>507</v>
      </c>
      <c r="B275" s="8" t="s">
        <v>45</v>
      </c>
      <c r="C275" s="8" t="s">
        <v>491</v>
      </c>
      <c r="D275" s="8">
        <v>1</v>
      </c>
      <c r="E275" s="8" t="s">
        <v>508</v>
      </c>
      <c r="F275" s="8" t="s">
        <v>62</v>
      </c>
      <c r="G275" s="8" t="s">
        <v>504</v>
      </c>
      <c r="H275" s="10">
        <v>9</v>
      </c>
      <c r="I275" s="10"/>
      <c r="J275" s="10">
        <v>9</v>
      </c>
      <c r="K275" s="10">
        <v>4480</v>
      </c>
    </row>
    <row r="276" spans="1:11" x14ac:dyDescent="0.25">
      <c r="A276" s="8" t="s">
        <v>509</v>
      </c>
      <c r="B276" s="8" t="s">
        <v>45</v>
      </c>
      <c r="C276" s="8" t="s">
        <v>491</v>
      </c>
      <c r="D276" s="8">
        <v>1</v>
      </c>
      <c r="E276" s="8" t="s">
        <v>510</v>
      </c>
      <c r="F276" s="8" t="s">
        <v>62</v>
      </c>
      <c r="G276" s="8" t="s">
        <v>504</v>
      </c>
      <c r="H276" s="10">
        <v>16</v>
      </c>
      <c r="I276" s="10"/>
      <c r="J276" s="10">
        <v>16</v>
      </c>
      <c r="K276" s="10">
        <v>10000</v>
      </c>
    </row>
    <row r="277" spans="1:11" x14ac:dyDescent="0.25">
      <c r="A277" s="8" t="s">
        <v>511</v>
      </c>
      <c r="B277" s="8" t="s">
        <v>45</v>
      </c>
      <c r="C277" s="8" t="s">
        <v>491</v>
      </c>
      <c r="D277" s="8">
        <v>1</v>
      </c>
      <c r="E277" s="8" t="s">
        <v>512</v>
      </c>
      <c r="F277" s="8" t="s">
        <v>62</v>
      </c>
      <c r="G277" s="8" t="s">
        <v>504</v>
      </c>
      <c r="H277" s="10">
        <v>8</v>
      </c>
      <c r="I277" s="10"/>
      <c r="J277" s="10">
        <v>8</v>
      </c>
      <c r="K277" s="10">
        <v>44540</v>
      </c>
    </row>
    <row r="278" spans="1:11" x14ac:dyDescent="0.25">
      <c r="A278" s="8" t="s">
        <v>513</v>
      </c>
      <c r="B278" s="8" t="s">
        <v>45</v>
      </c>
      <c r="C278" s="8" t="s">
        <v>514</v>
      </c>
      <c r="D278" s="8">
        <v>1</v>
      </c>
      <c r="E278" s="8" t="s">
        <v>515</v>
      </c>
      <c r="F278" s="8" t="s">
        <v>516</v>
      </c>
      <c r="G278" s="8" t="s">
        <v>517</v>
      </c>
      <c r="H278" s="10">
        <v>14000</v>
      </c>
      <c r="I278" s="10"/>
      <c r="J278" s="10">
        <v>14000</v>
      </c>
      <c r="K278" s="10">
        <v>0.27</v>
      </c>
    </row>
    <row r="279" spans="1:11" x14ac:dyDescent="0.25">
      <c r="A279" s="8" t="s">
        <v>518</v>
      </c>
      <c r="B279" s="8" t="s">
        <v>45</v>
      </c>
      <c r="C279" s="8" t="s">
        <v>514</v>
      </c>
      <c r="D279" s="8">
        <v>1</v>
      </c>
      <c r="E279" s="8" t="s">
        <v>519</v>
      </c>
      <c r="F279" s="8" t="s">
        <v>520</v>
      </c>
      <c r="G279" s="8" t="s">
        <v>517</v>
      </c>
      <c r="H279" s="10">
        <v>28000</v>
      </c>
      <c r="I279" s="10"/>
      <c r="J279" s="10">
        <v>28000</v>
      </c>
      <c r="K279" s="10">
        <v>6</v>
      </c>
    </row>
    <row r="280" spans="1:11" x14ac:dyDescent="0.25">
      <c r="A280" s="8" t="s">
        <v>521</v>
      </c>
      <c r="B280" s="8" t="s">
        <v>45</v>
      </c>
      <c r="C280" s="8" t="s">
        <v>522</v>
      </c>
      <c r="D280" s="8">
        <v>1</v>
      </c>
      <c r="E280" s="8" t="s">
        <v>523</v>
      </c>
      <c r="F280" s="8" t="s">
        <v>524</v>
      </c>
      <c r="G280" s="8" t="s">
        <v>525</v>
      </c>
      <c r="H280" s="10">
        <v>2600</v>
      </c>
      <c r="I280" s="10"/>
      <c r="J280" s="10">
        <v>2600</v>
      </c>
      <c r="K280" s="10">
        <v>37.700000000000003</v>
      </c>
    </row>
    <row r="281" spans="1:11" x14ac:dyDescent="0.25">
      <c r="A281" s="8" t="s">
        <v>526</v>
      </c>
      <c r="B281" s="8" t="s">
        <v>45</v>
      </c>
      <c r="C281" s="8" t="s">
        <v>522</v>
      </c>
      <c r="D281" s="8">
        <v>1</v>
      </c>
      <c r="E281" s="8" t="s">
        <v>527</v>
      </c>
      <c r="F281" s="8" t="s">
        <v>524</v>
      </c>
      <c r="G281" s="8" t="s">
        <v>525</v>
      </c>
      <c r="H281" s="10">
        <v>260</v>
      </c>
      <c r="I281" s="10"/>
      <c r="J281" s="10">
        <v>260</v>
      </c>
      <c r="K281" s="10">
        <v>46.3</v>
      </c>
    </row>
    <row r="282" spans="1:11" x14ac:dyDescent="0.25">
      <c r="A282" s="8" t="s">
        <v>528</v>
      </c>
      <c r="B282" s="8" t="s">
        <v>45</v>
      </c>
      <c r="C282" s="8" t="s">
        <v>522</v>
      </c>
      <c r="D282" s="8">
        <v>1</v>
      </c>
      <c r="E282" s="8" t="s">
        <v>529</v>
      </c>
      <c r="F282" s="8" t="s">
        <v>524</v>
      </c>
      <c r="G282" s="8" t="s">
        <v>525</v>
      </c>
      <c r="H282" s="10">
        <v>130</v>
      </c>
      <c r="I282" s="10"/>
      <c r="J282" s="10">
        <v>130</v>
      </c>
      <c r="K282" s="10">
        <v>54.9</v>
      </c>
    </row>
    <row r="283" spans="1:11" x14ac:dyDescent="0.25">
      <c r="A283" s="8" t="s">
        <v>530</v>
      </c>
      <c r="B283" s="8" t="s">
        <v>45</v>
      </c>
      <c r="C283" s="8" t="s">
        <v>522</v>
      </c>
      <c r="D283" s="8">
        <v>1</v>
      </c>
      <c r="E283" s="8" t="s">
        <v>531</v>
      </c>
      <c r="F283" s="8" t="s">
        <v>524</v>
      </c>
      <c r="G283" s="8" t="s">
        <v>525</v>
      </c>
      <c r="H283" s="10">
        <v>78</v>
      </c>
      <c r="I283" s="10"/>
      <c r="J283" s="10">
        <v>78</v>
      </c>
      <c r="K283" s="10">
        <v>44.1</v>
      </c>
    </row>
    <row r="284" spans="1:11" x14ac:dyDescent="0.25">
      <c r="A284" s="8" t="s">
        <v>532</v>
      </c>
      <c r="B284" s="8" t="s">
        <v>45</v>
      </c>
      <c r="C284" s="8" t="s">
        <v>522</v>
      </c>
      <c r="D284" s="8">
        <v>1</v>
      </c>
      <c r="E284" s="8" t="s">
        <v>533</v>
      </c>
      <c r="F284" s="8" t="s">
        <v>524</v>
      </c>
      <c r="G284" s="8" t="s">
        <v>525</v>
      </c>
      <c r="H284" s="10">
        <v>8</v>
      </c>
      <c r="I284" s="10"/>
      <c r="J284" s="10">
        <v>8</v>
      </c>
      <c r="K284" s="10">
        <v>73.099999999999994</v>
      </c>
    </row>
    <row r="285" spans="1:11" x14ac:dyDescent="0.25">
      <c r="A285" s="8" t="s">
        <v>534</v>
      </c>
      <c r="B285" s="8" t="s">
        <v>45</v>
      </c>
      <c r="C285" s="8" t="s">
        <v>522</v>
      </c>
      <c r="D285" s="8">
        <v>1</v>
      </c>
      <c r="E285" s="8" t="s">
        <v>535</v>
      </c>
      <c r="F285" s="8" t="s">
        <v>524</v>
      </c>
      <c r="G285" s="8" t="s">
        <v>525</v>
      </c>
      <c r="H285" s="10">
        <v>4</v>
      </c>
      <c r="I285" s="10"/>
      <c r="J285" s="10">
        <v>4</v>
      </c>
      <c r="K285" s="10">
        <v>85</v>
      </c>
    </row>
    <row r="286" spans="1:11" x14ac:dyDescent="0.25">
      <c r="A286" s="8" t="s">
        <v>536</v>
      </c>
      <c r="B286" s="8" t="s">
        <v>45</v>
      </c>
      <c r="C286" s="8" t="s">
        <v>522</v>
      </c>
      <c r="D286" s="8">
        <v>1</v>
      </c>
      <c r="E286" s="8" t="s">
        <v>537</v>
      </c>
      <c r="F286" s="8" t="s">
        <v>524</v>
      </c>
      <c r="G286" s="8" t="s">
        <v>525</v>
      </c>
      <c r="H286" s="10">
        <v>1300</v>
      </c>
      <c r="I286" s="10"/>
      <c r="J286" s="10">
        <v>1300</v>
      </c>
      <c r="K286" s="10">
        <v>78.900000000000006</v>
      </c>
    </row>
    <row r="287" spans="1:11" x14ac:dyDescent="0.25">
      <c r="A287" s="8" t="s">
        <v>538</v>
      </c>
      <c r="B287" s="8" t="s">
        <v>45</v>
      </c>
      <c r="C287" s="8" t="s">
        <v>522</v>
      </c>
      <c r="D287" s="8">
        <v>1</v>
      </c>
      <c r="E287" s="8" t="s">
        <v>539</v>
      </c>
      <c r="F287" s="8" t="s">
        <v>524</v>
      </c>
      <c r="G287" s="8" t="s">
        <v>525</v>
      </c>
      <c r="H287" s="10">
        <v>130</v>
      </c>
      <c r="I287" s="10"/>
      <c r="J287" s="10">
        <v>130</v>
      </c>
      <c r="K287" s="10">
        <v>106.8</v>
      </c>
    </row>
    <row r="288" spans="1:11" x14ac:dyDescent="0.25">
      <c r="A288" s="8" t="s">
        <v>540</v>
      </c>
      <c r="B288" s="8" t="s">
        <v>45</v>
      </c>
      <c r="C288" s="8" t="s">
        <v>522</v>
      </c>
      <c r="D288" s="8">
        <v>1</v>
      </c>
      <c r="E288" s="8" t="s">
        <v>541</v>
      </c>
      <c r="F288" s="8" t="s">
        <v>524</v>
      </c>
      <c r="G288" s="8" t="s">
        <v>525</v>
      </c>
      <c r="H288" s="10">
        <v>65</v>
      </c>
      <c r="I288" s="10"/>
      <c r="J288" s="10">
        <v>65</v>
      </c>
      <c r="K288" s="10">
        <v>134.69999999999999</v>
      </c>
    </row>
    <row r="289" spans="1:11" x14ac:dyDescent="0.25">
      <c r="A289" s="8" t="s">
        <v>542</v>
      </c>
      <c r="B289" s="8" t="s">
        <v>45</v>
      </c>
      <c r="C289" s="8" t="s">
        <v>522</v>
      </c>
      <c r="D289" s="8">
        <v>1</v>
      </c>
      <c r="E289" s="8" t="s">
        <v>543</v>
      </c>
      <c r="F289" s="8" t="s">
        <v>524</v>
      </c>
      <c r="G289" s="8" t="s">
        <v>525</v>
      </c>
      <c r="H289" s="10">
        <v>39</v>
      </c>
      <c r="I289" s="10"/>
      <c r="J289" s="10">
        <v>39</v>
      </c>
      <c r="K289" s="10">
        <v>99.6</v>
      </c>
    </row>
    <row r="290" spans="1:11" x14ac:dyDescent="0.25">
      <c r="A290" s="8" t="s">
        <v>544</v>
      </c>
      <c r="B290" s="8" t="s">
        <v>45</v>
      </c>
      <c r="C290" s="8" t="s">
        <v>522</v>
      </c>
      <c r="D290" s="8">
        <v>1</v>
      </c>
      <c r="E290" s="8" t="s">
        <v>545</v>
      </c>
      <c r="F290" s="8" t="s">
        <v>524</v>
      </c>
      <c r="G290" s="8" t="s">
        <v>525</v>
      </c>
      <c r="H290" s="10">
        <v>8</v>
      </c>
      <c r="I290" s="10"/>
      <c r="J290" s="10">
        <v>8</v>
      </c>
      <c r="K290" s="10">
        <v>193.6</v>
      </c>
    </row>
    <row r="291" spans="1:11" x14ac:dyDescent="0.25">
      <c r="A291" s="8" t="s">
        <v>546</v>
      </c>
      <c r="B291" s="8" t="s">
        <v>45</v>
      </c>
      <c r="C291" s="8" t="s">
        <v>522</v>
      </c>
      <c r="D291" s="8">
        <v>1</v>
      </c>
      <c r="E291" s="8" t="s">
        <v>547</v>
      </c>
      <c r="F291" s="8" t="s">
        <v>524</v>
      </c>
      <c r="G291" s="8" t="s">
        <v>525</v>
      </c>
      <c r="H291" s="10">
        <v>4</v>
      </c>
      <c r="I291" s="10"/>
      <c r="J291" s="10">
        <v>4</v>
      </c>
      <c r="K291" s="10">
        <v>231.9</v>
      </c>
    </row>
    <row r="292" spans="1:11" x14ac:dyDescent="0.25">
      <c r="A292" s="8" t="s">
        <v>548</v>
      </c>
      <c r="B292" s="8" t="s">
        <v>45</v>
      </c>
      <c r="C292" s="8" t="s">
        <v>522</v>
      </c>
      <c r="D292" s="8">
        <v>1</v>
      </c>
      <c r="E292" s="8" t="s">
        <v>549</v>
      </c>
      <c r="F292" s="8" t="s">
        <v>524</v>
      </c>
      <c r="G292" s="8" t="s">
        <v>525</v>
      </c>
      <c r="H292" s="10">
        <v>3900</v>
      </c>
      <c r="I292" s="10"/>
      <c r="J292" s="10">
        <v>3900</v>
      </c>
      <c r="K292" s="10">
        <v>37.700000000000003</v>
      </c>
    </row>
    <row r="293" spans="1:11" x14ac:dyDescent="0.25">
      <c r="A293" s="8" t="s">
        <v>550</v>
      </c>
      <c r="B293" s="8" t="s">
        <v>45</v>
      </c>
      <c r="C293" s="8" t="s">
        <v>522</v>
      </c>
      <c r="D293" s="8">
        <v>1</v>
      </c>
      <c r="E293" s="8" t="s">
        <v>551</v>
      </c>
      <c r="F293" s="8" t="s">
        <v>524</v>
      </c>
      <c r="G293" s="8" t="s">
        <v>525</v>
      </c>
      <c r="H293" s="10">
        <v>390</v>
      </c>
      <c r="I293" s="10"/>
      <c r="J293" s="10">
        <v>390</v>
      </c>
      <c r="K293" s="10">
        <v>46.3</v>
      </c>
    </row>
    <row r="294" spans="1:11" x14ac:dyDescent="0.25">
      <c r="A294" s="8" t="s">
        <v>552</v>
      </c>
      <c r="B294" s="8" t="s">
        <v>45</v>
      </c>
      <c r="C294" s="8" t="s">
        <v>522</v>
      </c>
      <c r="D294" s="8">
        <v>1</v>
      </c>
      <c r="E294" s="8" t="s">
        <v>553</v>
      </c>
      <c r="F294" s="8" t="s">
        <v>524</v>
      </c>
      <c r="G294" s="8" t="s">
        <v>525</v>
      </c>
      <c r="H294" s="10">
        <v>195</v>
      </c>
      <c r="I294" s="10"/>
      <c r="J294" s="10">
        <v>195</v>
      </c>
      <c r="K294" s="10">
        <v>54.9</v>
      </c>
    </row>
    <row r="295" spans="1:11" x14ac:dyDescent="0.25">
      <c r="A295" s="8" t="s">
        <v>554</v>
      </c>
      <c r="B295" s="8" t="s">
        <v>45</v>
      </c>
      <c r="C295" s="8" t="s">
        <v>522</v>
      </c>
      <c r="D295" s="8">
        <v>1</v>
      </c>
      <c r="E295" s="8" t="s">
        <v>555</v>
      </c>
      <c r="F295" s="8" t="s">
        <v>524</v>
      </c>
      <c r="G295" s="8" t="s">
        <v>525</v>
      </c>
      <c r="H295" s="10">
        <v>117</v>
      </c>
      <c r="I295" s="10"/>
      <c r="J295" s="10">
        <v>117</v>
      </c>
      <c r="K295" s="10">
        <v>44.1</v>
      </c>
    </row>
    <row r="296" spans="1:11" x14ac:dyDescent="0.25">
      <c r="A296" s="8" t="s">
        <v>556</v>
      </c>
      <c r="B296" s="8" t="s">
        <v>45</v>
      </c>
      <c r="C296" s="8" t="s">
        <v>522</v>
      </c>
      <c r="D296" s="8">
        <v>1</v>
      </c>
      <c r="E296" s="8" t="s">
        <v>557</v>
      </c>
      <c r="F296" s="8" t="s">
        <v>524</v>
      </c>
      <c r="G296" s="8" t="s">
        <v>525</v>
      </c>
      <c r="H296" s="10">
        <v>12</v>
      </c>
      <c r="I296" s="10"/>
      <c r="J296" s="10">
        <v>12</v>
      </c>
      <c r="K296" s="10">
        <v>73.099999999999994</v>
      </c>
    </row>
    <row r="297" spans="1:11" x14ac:dyDescent="0.25">
      <c r="A297" s="8" t="s">
        <v>558</v>
      </c>
      <c r="B297" s="8" t="s">
        <v>45</v>
      </c>
      <c r="C297" s="8" t="s">
        <v>522</v>
      </c>
      <c r="D297" s="8">
        <v>1</v>
      </c>
      <c r="E297" s="8" t="s">
        <v>559</v>
      </c>
      <c r="F297" s="8" t="s">
        <v>524</v>
      </c>
      <c r="G297" s="8" t="s">
        <v>525</v>
      </c>
      <c r="H297" s="10">
        <v>6</v>
      </c>
      <c r="I297" s="10"/>
      <c r="J297" s="10">
        <v>6</v>
      </c>
      <c r="K297" s="10">
        <v>85</v>
      </c>
    </row>
    <row r="298" spans="1:11" x14ac:dyDescent="0.25">
      <c r="A298" s="8" t="s">
        <v>560</v>
      </c>
      <c r="B298" s="8" t="s">
        <v>45</v>
      </c>
      <c r="C298" s="8" t="s">
        <v>522</v>
      </c>
      <c r="D298" s="8">
        <v>1</v>
      </c>
      <c r="E298" s="8" t="s">
        <v>561</v>
      </c>
      <c r="F298" s="8" t="s">
        <v>524</v>
      </c>
      <c r="G298" s="8" t="s">
        <v>525</v>
      </c>
      <c r="H298" s="10">
        <v>10800</v>
      </c>
      <c r="I298" s="10"/>
      <c r="J298" s="10">
        <v>10800</v>
      </c>
      <c r="K298" s="10">
        <v>37.700000000000003</v>
      </c>
    </row>
    <row r="299" spans="1:11" x14ac:dyDescent="0.25">
      <c r="A299" s="8" t="s">
        <v>562</v>
      </c>
      <c r="B299" s="8" t="s">
        <v>45</v>
      </c>
      <c r="C299" s="8" t="s">
        <v>522</v>
      </c>
      <c r="D299" s="8">
        <v>1</v>
      </c>
      <c r="E299" s="8" t="s">
        <v>563</v>
      </c>
      <c r="F299" s="8" t="s">
        <v>524</v>
      </c>
      <c r="G299" s="8" t="s">
        <v>525</v>
      </c>
      <c r="H299" s="10">
        <v>1080</v>
      </c>
      <c r="I299" s="10"/>
      <c r="J299" s="10">
        <v>1080</v>
      </c>
      <c r="K299" s="10">
        <v>46.3</v>
      </c>
    </row>
    <row r="300" spans="1:11" x14ac:dyDescent="0.25">
      <c r="A300" s="8" t="s">
        <v>564</v>
      </c>
      <c r="B300" s="8" t="s">
        <v>45</v>
      </c>
      <c r="C300" s="8" t="s">
        <v>522</v>
      </c>
      <c r="D300" s="8">
        <v>1</v>
      </c>
      <c r="E300" s="8" t="s">
        <v>565</v>
      </c>
      <c r="F300" s="8" t="s">
        <v>524</v>
      </c>
      <c r="G300" s="8" t="s">
        <v>525</v>
      </c>
      <c r="H300" s="10">
        <v>540</v>
      </c>
      <c r="I300" s="10"/>
      <c r="J300" s="10">
        <v>540</v>
      </c>
      <c r="K300" s="10">
        <v>54.9</v>
      </c>
    </row>
    <row r="301" spans="1:11" x14ac:dyDescent="0.25">
      <c r="A301" s="8" t="s">
        <v>566</v>
      </c>
      <c r="B301" s="8" t="s">
        <v>45</v>
      </c>
      <c r="C301" s="8" t="s">
        <v>522</v>
      </c>
      <c r="D301" s="8">
        <v>1</v>
      </c>
      <c r="E301" s="8" t="s">
        <v>567</v>
      </c>
      <c r="F301" s="8" t="s">
        <v>524</v>
      </c>
      <c r="G301" s="8" t="s">
        <v>525</v>
      </c>
      <c r="H301" s="10">
        <v>324</v>
      </c>
      <c r="I301" s="10"/>
      <c r="J301" s="10">
        <v>324</v>
      </c>
      <c r="K301" s="10">
        <v>44.1</v>
      </c>
    </row>
    <row r="302" spans="1:11" x14ac:dyDescent="0.25">
      <c r="A302" s="8" t="s">
        <v>568</v>
      </c>
      <c r="B302" s="8" t="s">
        <v>45</v>
      </c>
      <c r="C302" s="8" t="s">
        <v>522</v>
      </c>
      <c r="D302" s="8">
        <v>1</v>
      </c>
      <c r="E302" s="8" t="s">
        <v>569</v>
      </c>
      <c r="F302" s="8" t="s">
        <v>524</v>
      </c>
      <c r="G302" s="8" t="s">
        <v>525</v>
      </c>
      <c r="H302" s="10">
        <v>32</v>
      </c>
      <c r="I302" s="10"/>
      <c r="J302" s="10">
        <v>32</v>
      </c>
      <c r="K302" s="10">
        <v>73.099999999999994</v>
      </c>
    </row>
    <row r="303" spans="1:11" x14ac:dyDescent="0.25">
      <c r="A303" s="8" t="s">
        <v>570</v>
      </c>
      <c r="B303" s="8" t="s">
        <v>45</v>
      </c>
      <c r="C303" s="8" t="s">
        <v>522</v>
      </c>
      <c r="D303" s="8">
        <v>1</v>
      </c>
      <c r="E303" s="8" t="s">
        <v>571</v>
      </c>
      <c r="F303" s="8" t="s">
        <v>524</v>
      </c>
      <c r="G303" s="8" t="s">
        <v>525</v>
      </c>
      <c r="H303" s="10">
        <v>16</v>
      </c>
      <c r="I303" s="10"/>
      <c r="J303" s="10">
        <v>16</v>
      </c>
      <c r="K303" s="10">
        <v>85</v>
      </c>
    </row>
    <row r="304" spans="1:11" x14ac:dyDescent="0.25">
      <c r="A304" s="8" t="s">
        <v>572</v>
      </c>
      <c r="B304" s="8" t="s">
        <v>45</v>
      </c>
      <c r="C304" s="8" t="s">
        <v>522</v>
      </c>
      <c r="D304" s="8">
        <v>1</v>
      </c>
      <c r="E304" s="8" t="s">
        <v>573</v>
      </c>
      <c r="F304" s="8" t="s">
        <v>524</v>
      </c>
      <c r="G304" s="8" t="s">
        <v>525</v>
      </c>
      <c r="H304" s="10">
        <v>7200</v>
      </c>
      <c r="I304" s="10"/>
      <c r="J304" s="10">
        <v>7200</v>
      </c>
      <c r="K304" s="10">
        <v>41.2</v>
      </c>
    </row>
    <row r="305" spans="1:11" x14ac:dyDescent="0.25">
      <c r="A305" s="8" t="s">
        <v>574</v>
      </c>
      <c r="B305" s="8" t="s">
        <v>45</v>
      </c>
      <c r="C305" s="8" t="s">
        <v>522</v>
      </c>
      <c r="D305" s="8">
        <v>1</v>
      </c>
      <c r="E305" s="8" t="s">
        <v>575</v>
      </c>
      <c r="F305" s="8" t="s">
        <v>524</v>
      </c>
      <c r="G305" s="8" t="s">
        <v>525</v>
      </c>
      <c r="H305" s="10">
        <v>720</v>
      </c>
      <c r="I305" s="10"/>
      <c r="J305" s="10">
        <v>720</v>
      </c>
      <c r="K305" s="10">
        <v>51.5</v>
      </c>
    </row>
    <row r="306" spans="1:11" x14ac:dyDescent="0.25">
      <c r="A306" s="8" t="s">
        <v>576</v>
      </c>
      <c r="B306" s="8" t="s">
        <v>45</v>
      </c>
      <c r="C306" s="8" t="s">
        <v>522</v>
      </c>
      <c r="D306" s="8">
        <v>1</v>
      </c>
      <c r="E306" s="8" t="s">
        <v>577</v>
      </c>
      <c r="F306" s="8" t="s">
        <v>524</v>
      </c>
      <c r="G306" s="8" t="s">
        <v>525</v>
      </c>
      <c r="H306" s="10">
        <v>360</v>
      </c>
      <c r="I306" s="10"/>
      <c r="J306" s="10">
        <v>360</v>
      </c>
      <c r="K306" s="10">
        <v>61.8</v>
      </c>
    </row>
    <row r="307" spans="1:11" x14ac:dyDescent="0.25">
      <c r="A307" s="8" t="s">
        <v>578</v>
      </c>
      <c r="B307" s="8" t="s">
        <v>45</v>
      </c>
      <c r="C307" s="8" t="s">
        <v>522</v>
      </c>
      <c r="D307" s="8">
        <v>1</v>
      </c>
      <c r="E307" s="8" t="s">
        <v>579</v>
      </c>
      <c r="F307" s="8" t="s">
        <v>524</v>
      </c>
      <c r="G307" s="8" t="s">
        <v>525</v>
      </c>
      <c r="H307" s="10">
        <v>216</v>
      </c>
      <c r="I307" s="10"/>
      <c r="J307" s="10">
        <v>216</v>
      </c>
      <c r="K307" s="10">
        <v>48.9</v>
      </c>
    </row>
    <row r="308" spans="1:11" x14ac:dyDescent="0.25">
      <c r="A308" s="8" t="s">
        <v>580</v>
      </c>
      <c r="B308" s="8" t="s">
        <v>45</v>
      </c>
      <c r="C308" s="8" t="s">
        <v>522</v>
      </c>
      <c r="D308" s="8">
        <v>1</v>
      </c>
      <c r="E308" s="8" t="s">
        <v>581</v>
      </c>
      <c r="F308" s="8" t="s">
        <v>524</v>
      </c>
      <c r="G308" s="8" t="s">
        <v>525</v>
      </c>
      <c r="H308" s="10">
        <v>22</v>
      </c>
      <c r="I308" s="10"/>
      <c r="J308" s="10">
        <v>22</v>
      </c>
      <c r="K308" s="10">
        <v>83.6</v>
      </c>
    </row>
    <row r="309" spans="1:11" x14ac:dyDescent="0.25">
      <c r="A309" s="8" t="s">
        <v>582</v>
      </c>
      <c r="B309" s="8" t="s">
        <v>45</v>
      </c>
      <c r="C309" s="8" t="s">
        <v>522</v>
      </c>
      <c r="D309" s="8">
        <v>1</v>
      </c>
      <c r="E309" s="8" t="s">
        <v>583</v>
      </c>
      <c r="F309" s="8" t="s">
        <v>524</v>
      </c>
      <c r="G309" s="8" t="s">
        <v>525</v>
      </c>
      <c r="H309" s="10">
        <v>12</v>
      </c>
      <c r="I309" s="10"/>
      <c r="J309" s="10">
        <v>12</v>
      </c>
      <c r="K309" s="10">
        <v>97.7</v>
      </c>
    </row>
    <row r="310" spans="1:11" x14ac:dyDescent="0.25">
      <c r="A310" s="8" t="s">
        <v>584</v>
      </c>
      <c r="B310" s="8" t="s">
        <v>45</v>
      </c>
      <c r="C310" s="8" t="s">
        <v>522</v>
      </c>
      <c r="D310" s="8">
        <v>1</v>
      </c>
      <c r="E310" s="8" t="s">
        <v>585</v>
      </c>
      <c r="F310" s="8" t="s">
        <v>524</v>
      </c>
      <c r="G310" s="8" t="s">
        <v>525</v>
      </c>
      <c r="H310" s="10">
        <v>2600</v>
      </c>
      <c r="I310" s="10"/>
      <c r="J310" s="10">
        <v>2600</v>
      </c>
      <c r="K310" s="10">
        <v>41.2</v>
      </c>
    </row>
    <row r="311" spans="1:11" x14ac:dyDescent="0.25">
      <c r="A311" s="8" t="s">
        <v>586</v>
      </c>
      <c r="B311" s="8" t="s">
        <v>45</v>
      </c>
      <c r="C311" s="8" t="s">
        <v>522</v>
      </c>
      <c r="D311" s="8">
        <v>1</v>
      </c>
      <c r="E311" s="8" t="s">
        <v>587</v>
      </c>
      <c r="F311" s="8" t="s">
        <v>524</v>
      </c>
      <c r="G311" s="8" t="s">
        <v>525</v>
      </c>
      <c r="H311" s="10">
        <v>260</v>
      </c>
      <c r="I311" s="10"/>
      <c r="J311" s="10">
        <v>260</v>
      </c>
      <c r="K311" s="10">
        <v>51.5</v>
      </c>
    </row>
    <row r="312" spans="1:11" x14ac:dyDescent="0.25">
      <c r="A312" s="8" t="s">
        <v>588</v>
      </c>
      <c r="B312" s="8" t="s">
        <v>45</v>
      </c>
      <c r="C312" s="8" t="s">
        <v>522</v>
      </c>
      <c r="D312" s="8">
        <v>1</v>
      </c>
      <c r="E312" s="8" t="s">
        <v>589</v>
      </c>
      <c r="F312" s="8" t="s">
        <v>524</v>
      </c>
      <c r="G312" s="8" t="s">
        <v>525</v>
      </c>
      <c r="H312" s="10">
        <v>130</v>
      </c>
      <c r="I312" s="10"/>
      <c r="J312" s="10">
        <v>130</v>
      </c>
      <c r="K312" s="10">
        <v>61.8</v>
      </c>
    </row>
    <row r="313" spans="1:11" x14ac:dyDescent="0.25">
      <c r="A313" s="8" t="s">
        <v>590</v>
      </c>
      <c r="B313" s="8" t="s">
        <v>45</v>
      </c>
      <c r="C313" s="8" t="s">
        <v>522</v>
      </c>
      <c r="D313" s="8">
        <v>1</v>
      </c>
      <c r="E313" s="8" t="s">
        <v>591</v>
      </c>
      <c r="F313" s="8" t="s">
        <v>524</v>
      </c>
      <c r="G313" s="8" t="s">
        <v>525</v>
      </c>
      <c r="H313" s="10">
        <v>78</v>
      </c>
      <c r="I313" s="10"/>
      <c r="J313" s="10">
        <v>78</v>
      </c>
      <c r="K313" s="10">
        <v>48.9</v>
      </c>
    </row>
    <row r="314" spans="1:11" x14ac:dyDescent="0.25">
      <c r="A314" s="8" t="s">
        <v>592</v>
      </c>
      <c r="B314" s="8" t="s">
        <v>45</v>
      </c>
      <c r="C314" s="8" t="s">
        <v>522</v>
      </c>
      <c r="D314" s="8">
        <v>1</v>
      </c>
      <c r="E314" s="8" t="s">
        <v>593</v>
      </c>
      <c r="F314" s="8" t="s">
        <v>524</v>
      </c>
      <c r="G314" s="8" t="s">
        <v>525</v>
      </c>
      <c r="H314" s="10">
        <v>8</v>
      </c>
      <c r="I314" s="10"/>
      <c r="J314" s="10">
        <v>8</v>
      </c>
      <c r="K314" s="10">
        <v>83.6</v>
      </c>
    </row>
    <row r="315" spans="1:11" x14ac:dyDescent="0.25">
      <c r="A315" s="8" t="s">
        <v>594</v>
      </c>
      <c r="B315" s="8" t="s">
        <v>45</v>
      </c>
      <c r="C315" s="8" t="s">
        <v>522</v>
      </c>
      <c r="D315" s="8">
        <v>1</v>
      </c>
      <c r="E315" s="8" t="s">
        <v>595</v>
      </c>
      <c r="F315" s="8" t="s">
        <v>524</v>
      </c>
      <c r="G315" s="8" t="s">
        <v>525</v>
      </c>
      <c r="H315" s="10">
        <v>4</v>
      </c>
      <c r="I315" s="10"/>
      <c r="J315" s="10">
        <v>4</v>
      </c>
      <c r="K315" s="10">
        <v>97.7</v>
      </c>
    </row>
    <row r="316" spans="1:11" x14ac:dyDescent="0.25">
      <c r="A316" s="8" t="s">
        <v>596</v>
      </c>
      <c r="B316" s="8" t="s">
        <v>45</v>
      </c>
      <c r="C316" s="8" t="s">
        <v>522</v>
      </c>
      <c r="D316" s="8">
        <v>1</v>
      </c>
      <c r="E316" s="8" t="s">
        <v>597</v>
      </c>
      <c r="F316" s="8" t="s">
        <v>524</v>
      </c>
      <c r="G316" s="8" t="s">
        <v>525</v>
      </c>
      <c r="H316" s="10">
        <v>3600</v>
      </c>
      <c r="I316" s="10"/>
      <c r="J316" s="10">
        <v>3600</v>
      </c>
      <c r="K316" s="10">
        <v>41.2</v>
      </c>
    </row>
    <row r="317" spans="1:11" x14ac:dyDescent="0.25">
      <c r="A317" s="8" t="s">
        <v>598</v>
      </c>
      <c r="B317" s="8" t="s">
        <v>45</v>
      </c>
      <c r="C317" s="8" t="s">
        <v>522</v>
      </c>
      <c r="D317" s="8">
        <v>1</v>
      </c>
      <c r="E317" s="8" t="s">
        <v>599</v>
      </c>
      <c r="F317" s="8" t="s">
        <v>524</v>
      </c>
      <c r="G317" s="8" t="s">
        <v>525</v>
      </c>
      <c r="H317" s="10">
        <v>360</v>
      </c>
      <c r="I317" s="10"/>
      <c r="J317" s="10">
        <v>360</v>
      </c>
      <c r="K317" s="10">
        <v>51.5</v>
      </c>
    </row>
    <row r="318" spans="1:11" x14ac:dyDescent="0.25">
      <c r="A318" s="8" t="s">
        <v>600</v>
      </c>
      <c r="B318" s="8" t="s">
        <v>45</v>
      </c>
      <c r="C318" s="8" t="s">
        <v>522</v>
      </c>
      <c r="D318" s="8">
        <v>1</v>
      </c>
      <c r="E318" s="8" t="s">
        <v>601</v>
      </c>
      <c r="F318" s="8" t="s">
        <v>524</v>
      </c>
      <c r="G318" s="8" t="s">
        <v>525</v>
      </c>
      <c r="H318" s="10">
        <v>180</v>
      </c>
      <c r="I318" s="10"/>
      <c r="J318" s="10">
        <v>180</v>
      </c>
      <c r="K318" s="10">
        <v>61.8</v>
      </c>
    </row>
    <row r="319" spans="1:11" x14ac:dyDescent="0.25">
      <c r="A319" s="8" t="s">
        <v>602</v>
      </c>
      <c r="B319" s="8" t="s">
        <v>45</v>
      </c>
      <c r="C319" s="8" t="s">
        <v>522</v>
      </c>
      <c r="D319" s="8">
        <v>1</v>
      </c>
      <c r="E319" s="8" t="s">
        <v>603</v>
      </c>
      <c r="F319" s="8" t="s">
        <v>524</v>
      </c>
      <c r="G319" s="8" t="s">
        <v>525</v>
      </c>
      <c r="H319" s="10">
        <v>108</v>
      </c>
      <c r="I319" s="10"/>
      <c r="J319" s="10">
        <v>108</v>
      </c>
      <c r="K319" s="10">
        <v>48.9</v>
      </c>
    </row>
    <row r="320" spans="1:11" x14ac:dyDescent="0.25">
      <c r="A320" s="8" t="s">
        <v>604</v>
      </c>
      <c r="B320" s="8" t="s">
        <v>45</v>
      </c>
      <c r="C320" s="8" t="s">
        <v>522</v>
      </c>
      <c r="D320" s="8">
        <v>1</v>
      </c>
      <c r="E320" s="8" t="s">
        <v>605</v>
      </c>
      <c r="F320" s="8" t="s">
        <v>524</v>
      </c>
      <c r="G320" s="8" t="s">
        <v>525</v>
      </c>
      <c r="H320" s="10">
        <v>11</v>
      </c>
      <c r="I320" s="10"/>
      <c r="J320" s="10">
        <v>11</v>
      </c>
      <c r="K320" s="10">
        <v>83.6</v>
      </c>
    </row>
    <row r="321" spans="1:11" x14ac:dyDescent="0.25">
      <c r="A321" s="8" t="s">
        <v>606</v>
      </c>
      <c r="B321" s="8" t="s">
        <v>45</v>
      </c>
      <c r="C321" s="8" t="s">
        <v>522</v>
      </c>
      <c r="D321" s="8">
        <v>1</v>
      </c>
      <c r="E321" s="8" t="s">
        <v>607</v>
      </c>
      <c r="F321" s="8" t="s">
        <v>524</v>
      </c>
      <c r="G321" s="8" t="s">
        <v>525</v>
      </c>
      <c r="H321" s="10">
        <v>6</v>
      </c>
      <c r="I321" s="10"/>
      <c r="J321" s="10">
        <v>6</v>
      </c>
      <c r="K321" s="10">
        <v>97.7</v>
      </c>
    </row>
    <row r="322" spans="1:11" x14ac:dyDescent="0.25">
      <c r="A322" s="8" t="s">
        <v>608</v>
      </c>
      <c r="B322" s="8" t="s">
        <v>45</v>
      </c>
      <c r="C322" s="8" t="s">
        <v>522</v>
      </c>
      <c r="D322" s="8">
        <v>1</v>
      </c>
      <c r="E322" s="8" t="s">
        <v>609</v>
      </c>
      <c r="F322" s="8" t="s">
        <v>524</v>
      </c>
      <c r="G322" s="8" t="s">
        <v>525</v>
      </c>
      <c r="H322" s="10">
        <v>7200</v>
      </c>
      <c r="I322" s="10"/>
      <c r="J322" s="10">
        <v>7200</v>
      </c>
      <c r="K322" s="10">
        <v>41.2</v>
      </c>
    </row>
    <row r="323" spans="1:11" x14ac:dyDescent="0.25">
      <c r="A323" s="8" t="s">
        <v>610</v>
      </c>
      <c r="B323" s="8" t="s">
        <v>45</v>
      </c>
      <c r="C323" s="8" t="s">
        <v>522</v>
      </c>
      <c r="D323" s="8">
        <v>1</v>
      </c>
      <c r="E323" s="8" t="s">
        <v>611</v>
      </c>
      <c r="F323" s="8" t="s">
        <v>524</v>
      </c>
      <c r="G323" s="8" t="s">
        <v>525</v>
      </c>
      <c r="H323" s="10">
        <v>720</v>
      </c>
      <c r="I323" s="10"/>
      <c r="J323" s="10">
        <v>720</v>
      </c>
      <c r="K323" s="10">
        <v>51.5</v>
      </c>
    </row>
    <row r="324" spans="1:11" x14ac:dyDescent="0.25">
      <c r="A324" s="8" t="s">
        <v>612</v>
      </c>
      <c r="B324" s="8" t="s">
        <v>45</v>
      </c>
      <c r="C324" s="8" t="s">
        <v>522</v>
      </c>
      <c r="D324" s="8">
        <v>1</v>
      </c>
      <c r="E324" s="8" t="s">
        <v>613</v>
      </c>
      <c r="F324" s="8" t="s">
        <v>524</v>
      </c>
      <c r="G324" s="8" t="s">
        <v>525</v>
      </c>
      <c r="H324" s="10">
        <v>360</v>
      </c>
      <c r="I324" s="10"/>
      <c r="J324" s="10">
        <v>360</v>
      </c>
      <c r="K324" s="10">
        <v>61.8</v>
      </c>
    </row>
    <row r="325" spans="1:11" x14ac:dyDescent="0.25">
      <c r="A325" s="8" t="s">
        <v>614</v>
      </c>
      <c r="B325" s="8" t="s">
        <v>45</v>
      </c>
      <c r="C325" s="8" t="s">
        <v>522</v>
      </c>
      <c r="D325" s="8">
        <v>1</v>
      </c>
      <c r="E325" s="8" t="s">
        <v>615</v>
      </c>
      <c r="F325" s="8" t="s">
        <v>524</v>
      </c>
      <c r="G325" s="8" t="s">
        <v>525</v>
      </c>
      <c r="H325" s="10">
        <v>216</v>
      </c>
      <c r="I325" s="10"/>
      <c r="J325" s="10">
        <v>216</v>
      </c>
      <c r="K325" s="10">
        <v>48.9</v>
      </c>
    </row>
    <row r="326" spans="1:11" x14ac:dyDescent="0.25">
      <c r="A326" s="8" t="s">
        <v>616</v>
      </c>
      <c r="B326" s="8" t="s">
        <v>45</v>
      </c>
      <c r="C326" s="8" t="s">
        <v>522</v>
      </c>
      <c r="D326" s="8">
        <v>1</v>
      </c>
      <c r="E326" s="8" t="s">
        <v>617</v>
      </c>
      <c r="F326" s="8" t="s">
        <v>524</v>
      </c>
      <c r="G326" s="8" t="s">
        <v>525</v>
      </c>
      <c r="H326" s="10">
        <v>22</v>
      </c>
      <c r="I326" s="10"/>
      <c r="J326" s="10">
        <v>22</v>
      </c>
      <c r="K326" s="10">
        <v>83.6</v>
      </c>
    </row>
    <row r="327" spans="1:11" x14ac:dyDescent="0.25">
      <c r="A327" s="8" t="s">
        <v>618</v>
      </c>
      <c r="B327" s="8" t="s">
        <v>45</v>
      </c>
      <c r="C327" s="8" t="s">
        <v>522</v>
      </c>
      <c r="D327" s="8">
        <v>1</v>
      </c>
      <c r="E327" s="8" t="s">
        <v>619</v>
      </c>
      <c r="F327" s="8" t="s">
        <v>524</v>
      </c>
      <c r="G327" s="8" t="s">
        <v>525</v>
      </c>
      <c r="H327" s="10">
        <v>12</v>
      </c>
      <c r="I327" s="10"/>
      <c r="J327" s="10">
        <v>12</v>
      </c>
      <c r="K327" s="10">
        <v>97.7</v>
      </c>
    </row>
    <row r="328" spans="1:11" x14ac:dyDescent="0.25">
      <c r="A328" s="8" t="s">
        <v>620</v>
      </c>
      <c r="B328" s="8" t="s">
        <v>45</v>
      </c>
      <c r="C328" s="8" t="s">
        <v>522</v>
      </c>
      <c r="D328" s="8">
        <v>1</v>
      </c>
      <c r="E328" s="8" t="s">
        <v>621</v>
      </c>
      <c r="F328" s="8" t="s">
        <v>524</v>
      </c>
      <c r="G328" s="8" t="s">
        <v>525</v>
      </c>
      <c r="H328" s="10">
        <v>5200</v>
      </c>
      <c r="I328" s="10"/>
      <c r="J328" s="10">
        <v>5200</v>
      </c>
      <c r="K328" s="10">
        <v>40.1</v>
      </c>
    </row>
    <row r="329" spans="1:11" x14ac:dyDescent="0.25">
      <c r="A329" s="8" t="s">
        <v>622</v>
      </c>
      <c r="B329" s="8" t="s">
        <v>45</v>
      </c>
      <c r="C329" s="8" t="s">
        <v>522</v>
      </c>
      <c r="D329" s="8">
        <v>1</v>
      </c>
      <c r="E329" s="8" t="s">
        <v>623</v>
      </c>
      <c r="F329" s="8" t="s">
        <v>524</v>
      </c>
      <c r="G329" s="8" t="s">
        <v>525</v>
      </c>
      <c r="H329" s="10">
        <v>520</v>
      </c>
      <c r="I329" s="10"/>
      <c r="J329" s="10">
        <v>520</v>
      </c>
      <c r="K329" s="10">
        <v>49.8</v>
      </c>
    </row>
    <row r="330" spans="1:11" x14ac:dyDescent="0.25">
      <c r="A330" s="8" t="s">
        <v>624</v>
      </c>
      <c r="B330" s="8" t="s">
        <v>45</v>
      </c>
      <c r="C330" s="8" t="s">
        <v>522</v>
      </c>
      <c r="D330" s="8">
        <v>1</v>
      </c>
      <c r="E330" s="8" t="s">
        <v>625</v>
      </c>
      <c r="F330" s="8" t="s">
        <v>524</v>
      </c>
      <c r="G330" s="8" t="s">
        <v>525</v>
      </c>
      <c r="H330" s="10">
        <v>260</v>
      </c>
      <c r="I330" s="10"/>
      <c r="J330" s="10">
        <v>260</v>
      </c>
      <c r="K330" s="10">
        <v>59.6</v>
      </c>
    </row>
    <row r="331" spans="1:11" x14ac:dyDescent="0.25">
      <c r="A331" s="8" t="s">
        <v>626</v>
      </c>
      <c r="B331" s="8" t="s">
        <v>45</v>
      </c>
      <c r="C331" s="8" t="s">
        <v>522</v>
      </c>
      <c r="D331" s="8">
        <v>1</v>
      </c>
      <c r="E331" s="8" t="s">
        <v>627</v>
      </c>
      <c r="F331" s="8" t="s">
        <v>524</v>
      </c>
      <c r="G331" s="8" t="s">
        <v>525</v>
      </c>
      <c r="H331" s="10">
        <v>156</v>
      </c>
      <c r="I331" s="10"/>
      <c r="J331" s="10">
        <v>156</v>
      </c>
      <c r="K331" s="10">
        <v>47.3</v>
      </c>
    </row>
    <row r="332" spans="1:11" x14ac:dyDescent="0.25">
      <c r="A332" s="8" t="s">
        <v>628</v>
      </c>
      <c r="B332" s="8" t="s">
        <v>45</v>
      </c>
      <c r="C332" s="8" t="s">
        <v>522</v>
      </c>
      <c r="D332" s="8">
        <v>1</v>
      </c>
      <c r="E332" s="8" t="s">
        <v>629</v>
      </c>
      <c r="F332" s="8" t="s">
        <v>524</v>
      </c>
      <c r="G332" s="8" t="s">
        <v>525</v>
      </c>
      <c r="H332" s="10">
        <v>16</v>
      </c>
      <c r="I332" s="10"/>
      <c r="J332" s="10">
        <v>16</v>
      </c>
      <c r="K332" s="10">
        <v>80.2</v>
      </c>
    </row>
    <row r="333" spans="1:11" x14ac:dyDescent="0.25">
      <c r="A333" s="8" t="s">
        <v>630</v>
      </c>
      <c r="B333" s="8" t="s">
        <v>45</v>
      </c>
      <c r="C333" s="8" t="s">
        <v>522</v>
      </c>
      <c r="D333" s="8">
        <v>1</v>
      </c>
      <c r="E333" s="8" t="s">
        <v>631</v>
      </c>
      <c r="F333" s="8" t="s">
        <v>524</v>
      </c>
      <c r="G333" s="8" t="s">
        <v>525</v>
      </c>
      <c r="H333" s="10">
        <v>8</v>
      </c>
      <c r="I333" s="10"/>
      <c r="J333" s="10">
        <v>8</v>
      </c>
      <c r="K333" s="10">
        <v>93.6</v>
      </c>
    </row>
    <row r="334" spans="1:11" x14ac:dyDescent="0.25">
      <c r="A334" s="8" t="s">
        <v>632</v>
      </c>
      <c r="B334" s="8" t="s">
        <v>45</v>
      </c>
      <c r="C334" s="8" t="s">
        <v>522</v>
      </c>
      <c r="D334" s="8">
        <v>1</v>
      </c>
      <c r="E334" s="8" t="s">
        <v>633</v>
      </c>
      <c r="F334" s="8" t="s">
        <v>524</v>
      </c>
      <c r="G334" s="8" t="s">
        <v>525</v>
      </c>
      <c r="H334" s="10">
        <v>10800</v>
      </c>
      <c r="I334" s="10"/>
      <c r="J334" s="10">
        <v>10800</v>
      </c>
      <c r="K334" s="10">
        <v>40.1</v>
      </c>
    </row>
    <row r="335" spans="1:11" x14ac:dyDescent="0.25">
      <c r="A335" s="8" t="s">
        <v>634</v>
      </c>
      <c r="B335" s="8" t="s">
        <v>45</v>
      </c>
      <c r="C335" s="8" t="s">
        <v>522</v>
      </c>
      <c r="D335" s="8">
        <v>1</v>
      </c>
      <c r="E335" s="8" t="s">
        <v>635</v>
      </c>
      <c r="F335" s="8" t="s">
        <v>524</v>
      </c>
      <c r="G335" s="8" t="s">
        <v>525</v>
      </c>
      <c r="H335" s="10">
        <v>1080</v>
      </c>
      <c r="I335" s="10"/>
      <c r="J335" s="10">
        <v>1080</v>
      </c>
      <c r="K335" s="10">
        <v>49.8</v>
      </c>
    </row>
    <row r="336" spans="1:11" x14ac:dyDescent="0.25">
      <c r="A336" s="8" t="s">
        <v>636</v>
      </c>
      <c r="B336" s="8" t="s">
        <v>45</v>
      </c>
      <c r="C336" s="8" t="s">
        <v>522</v>
      </c>
      <c r="D336" s="8">
        <v>1</v>
      </c>
      <c r="E336" s="8" t="s">
        <v>637</v>
      </c>
      <c r="F336" s="8" t="s">
        <v>524</v>
      </c>
      <c r="G336" s="8" t="s">
        <v>525</v>
      </c>
      <c r="H336" s="10">
        <v>540</v>
      </c>
      <c r="I336" s="10"/>
      <c r="J336" s="10">
        <v>540</v>
      </c>
      <c r="K336" s="10">
        <v>59.6</v>
      </c>
    </row>
    <row r="337" spans="1:11" x14ac:dyDescent="0.25">
      <c r="A337" s="8" t="s">
        <v>638</v>
      </c>
      <c r="B337" s="8" t="s">
        <v>45</v>
      </c>
      <c r="C337" s="8" t="s">
        <v>522</v>
      </c>
      <c r="D337" s="8">
        <v>1</v>
      </c>
      <c r="E337" s="8" t="s">
        <v>639</v>
      </c>
      <c r="F337" s="8" t="s">
        <v>524</v>
      </c>
      <c r="G337" s="8" t="s">
        <v>525</v>
      </c>
      <c r="H337" s="10">
        <v>324</v>
      </c>
      <c r="I337" s="10"/>
      <c r="J337" s="10">
        <v>324</v>
      </c>
      <c r="K337" s="10">
        <v>47.3</v>
      </c>
    </row>
    <row r="338" spans="1:11" x14ac:dyDescent="0.25">
      <c r="A338" s="8" t="s">
        <v>640</v>
      </c>
      <c r="B338" s="8" t="s">
        <v>45</v>
      </c>
      <c r="C338" s="8" t="s">
        <v>522</v>
      </c>
      <c r="D338" s="8">
        <v>1</v>
      </c>
      <c r="E338" s="8" t="s">
        <v>641</v>
      </c>
      <c r="F338" s="8" t="s">
        <v>524</v>
      </c>
      <c r="G338" s="8" t="s">
        <v>525</v>
      </c>
      <c r="H338" s="10">
        <v>32</v>
      </c>
      <c r="I338" s="10"/>
      <c r="J338" s="10">
        <v>32</v>
      </c>
      <c r="K338" s="10">
        <v>80.2</v>
      </c>
    </row>
    <row r="339" spans="1:11" x14ac:dyDescent="0.25">
      <c r="A339" s="8" t="s">
        <v>642</v>
      </c>
      <c r="B339" s="8" t="s">
        <v>45</v>
      </c>
      <c r="C339" s="8" t="s">
        <v>522</v>
      </c>
      <c r="D339" s="8">
        <v>1</v>
      </c>
      <c r="E339" s="8" t="s">
        <v>643</v>
      </c>
      <c r="F339" s="8" t="s">
        <v>524</v>
      </c>
      <c r="G339" s="8" t="s">
        <v>525</v>
      </c>
      <c r="H339" s="10">
        <v>16</v>
      </c>
      <c r="I339" s="10"/>
      <c r="J339" s="10">
        <v>16</v>
      </c>
      <c r="K339" s="10">
        <v>93.6</v>
      </c>
    </row>
    <row r="340" spans="1:11" x14ac:dyDescent="0.25">
      <c r="A340" s="8" t="s">
        <v>644</v>
      </c>
      <c r="B340" s="8" t="s">
        <v>45</v>
      </c>
      <c r="C340" s="8" t="s">
        <v>522</v>
      </c>
      <c r="D340" s="8">
        <v>1</v>
      </c>
      <c r="E340" s="8" t="s">
        <v>645</v>
      </c>
      <c r="F340" s="8" t="s">
        <v>524</v>
      </c>
      <c r="G340" s="8" t="s">
        <v>525</v>
      </c>
      <c r="H340" s="10">
        <v>3600</v>
      </c>
      <c r="I340" s="10"/>
      <c r="J340" s="10">
        <v>3600</v>
      </c>
      <c r="K340" s="10">
        <v>37.700000000000003</v>
      </c>
    </row>
    <row r="341" spans="1:11" x14ac:dyDescent="0.25">
      <c r="A341" s="8" t="s">
        <v>646</v>
      </c>
      <c r="B341" s="8" t="s">
        <v>45</v>
      </c>
      <c r="C341" s="8" t="s">
        <v>522</v>
      </c>
      <c r="D341" s="8">
        <v>1</v>
      </c>
      <c r="E341" s="8" t="s">
        <v>647</v>
      </c>
      <c r="F341" s="8" t="s">
        <v>524</v>
      </c>
      <c r="G341" s="8" t="s">
        <v>525</v>
      </c>
      <c r="H341" s="10">
        <v>360</v>
      </c>
      <c r="I341" s="10"/>
      <c r="J341" s="10">
        <v>360</v>
      </c>
      <c r="K341" s="10">
        <v>46.3</v>
      </c>
    </row>
    <row r="342" spans="1:11" x14ac:dyDescent="0.25">
      <c r="A342" s="8" t="s">
        <v>648</v>
      </c>
      <c r="B342" s="8" t="s">
        <v>45</v>
      </c>
      <c r="C342" s="8" t="s">
        <v>522</v>
      </c>
      <c r="D342" s="8">
        <v>1</v>
      </c>
      <c r="E342" s="8" t="s">
        <v>649</v>
      </c>
      <c r="F342" s="8" t="s">
        <v>524</v>
      </c>
      <c r="G342" s="8" t="s">
        <v>525</v>
      </c>
      <c r="H342" s="10">
        <v>180</v>
      </c>
      <c r="I342" s="10"/>
      <c r="J342" s="10">
        <v>180</v>
      </c>
      <c r="K342" s="10">
        <v>54.9</v>
      </c>
    </row>
    <row r="343" spans="1:11" x14ac:dyDescent="0.25">
      <c r="A343" s="8" t="s">
        <v>650</v>
      </c>
      <c r="B343" s="8" t="s">
        <v>45</v>
      </c>
      <c r="C343" s="8" t="s">
        <v>522</v>
      </c>
      <c r="D343" s="8">
        <v>1</v>
      </c>
      <c r="E343" s="8" t="s">
        <v>651</v>
      </c>
      <c r="F343" s="8" t="s">
        <v>524</v>
      </c>
      <c r="G343" s="8" t="s">
        <v>525</v>
      </c>
      <c r="H343" s="10">
        <v>108</v>
      </c>
      <c r="I343" s="10"/>
      <c r="J343" s="10">
        <v>108</v>
      </c>
      <c r="K343" s="10">
        <v>44.1</v>
      </c>
    </row>
    <row r="344" spans="1:11" x14ac:dyDescent="0.25">
      <c r="A344" s="8" t="s">
        <v>652</v>
      </c>
      <c r="B344" s="8" t="s">
        <v>45</v>
      </c>
      <c r="C344" s="8" t="s">
        <v>522</v>
      </c>
      <c r="D344" s="8">
        <v>1</v>
      </c>
      <c r="E344" s="8" t="s">
        <v>653</v>
      </c>
      <c r="F344" s="8" t="s">
        <v>524</v>
      </c>
      <c r="G344" s="8" t="s">
        <v>525</v>
      </c>
      <c r="H344" s="10">
        <v>11</v>
      </c>
      <c r="I344" s="10"/>
      <c r="J344" s="10">
        <v>11</v>
      </c>
      <c r="K344" s="10">
        <v>73.099999999999994</v>
      </c>
    </row>
    <row r="345" spans="1:11" x14ac:dyDescent="0.25">
      <c r="A345" s="8" t="s">
        <v>654</v>
      </c>
      <c r="B345" s="8" t="s">
        <v>45</v>
      </c>
      <c r="C345" s="8" t="s">
        <v>522</v>
      </c>
      <c r="D345" s="8">
        <v>1</v>
      </c>
      <c r="E345" s="8" t="s">
        <v>655</v>
      </c>
      <c r="F345" s="8" t="s">
        <v>524</v>
      </c>
      <c r="G345" s="8" t="s">
        <v>525</v>
      </c>
      <c r="H345" s="10">
        <v>6</v>
      </c>
      <c r="I345" s="10"/>
      <c r="J345" s="10">
        <v>6</v>
      </c>
      <c r="K345" s="10">
        <v>85</v>
      </c>
    </row>
    <row r="346" spans="1:11" x14ac:dyDescent="0.25">
      <c r="A346" s="8" t="s">
        <v>656</v>
      </c>
      <c r="B346" s="8" t="s">
        <v>45</v>
      </c>
      <c r="C346" s="8" t="s">
        <v>522</v>
      </c>
      <c r="D346" s="8">
        <v>1</v>
      </c>
      <c r="E346" s="8" t="s">
        <v>657</v>
      </c>
      <c r="F346" s="8" t="s">
        <v>524</v>
      </c>
      <c r="G346" s="8" t="s">
        <v>525</v>
      </c>
      <c r="H346" s="10">
        <v>5200</v>
      </c>
      <c r="I346" s="10"/>
      <c r="J346" s="10">
        <v>5200</v>
      </c>
      <c r="K346" s="10">
        <v>37.700000000000003</v>
      </c>
    </row>
    <row r="347" spans="1:11" x14ac:dyDescent="0.25">
      <c r="A347" s="8" t="s">
        <v>658</v>
      </c>
      <c r="B347" s="8" t="s">
        <v>45</v>
      </c>
      <c r="C347" s="8" t="s">
        <v>522</v>
      </c>
      <c r="D347" s="8">
        <v>1</v>
      </c>
      <c r="E347" s="8" t="s">
        <v>659</v>
      </c>
      <c r="F347" s="8" t="s">
        <v>524</v>
      </c>
      <c r="G347" s="8" t="s">
        <v>525</v>
      </c>
      <c r="H347" s="10">
        <v>520</v>
      </c>
      <c r="I347" s="10"/>
      <c r="J347" s="10">
        <v>520</v>
      </c>
      <c r="K347" s="10">
        <v>46.3</v>
      </c>
    </row>
    <row r="348" spans="1:11" x14ac:dyDescent="0.25">
      <c r="A348" s="8" t="s">
        <v>660</v>
      </c>
      <c r="B348" s="8" t="s">
        <v>45</v>
      </c>
      <c r="C348" s="8" t="s">
        <v>522</v>
      </c>
      <c r="D348" s="8">
        <v>1</v>
      </c>
      <c r="E348" s="8" t="s">
        <v>661</v>
      </c>
      <c r="F348" s="8" t="s">
        <v>524</v>
      </c>
      <c r="G348" s="8" t="s">
        <v>525</v>
      </c>
      <c r="H348" s="10">
        <v>260</v>
      </c>
      <c r="I348" s="10"/>
      <c r="J348" s="10">
        <v>260</v>
      </c>
      <c r="K348" s="10">
        <v>54.9</v>
      </c>
    </row>
    <row r="349" spans="1:11" x14ac:dyDescent="0.25">
      <c r="A349" s="8" t="s">
        <v>662</v>
      </c>
      <c r="B349" s="8" t="s">
        <v>45</v>
      </c>
      <c r="C349" s="8" t="s">
        <v>522</v>
      </c>
      <c r="D349" s="8">
        <v>1</v>
      </c>
      <c r="E349" s="8" t="s">
        <v>663</v>
      </c>
      <c r="F349" s="8" t="s">
        <v>524</v>
      </c>
      <c r="G349" s="8" t="s">
        <v>525</v>
      </c>
      <c r="H349" s="10">
        <v>156</v>
      </c>
      <c r="I349" s="10"/>
      <c r="J349" s="10">
        <v>156</v>
      </c>
      <c r="K349" s="10">
        <v>44.1</v>
      </c>
    </row>
    <row r="350" spans="1:11" x14ac:dyDescent="0.25">
      <c r="A350" s="8" t="s">
        <v>664</v>
      </c>
      <c r="B350" s="8" t="s">
        <v>45</v>
      </c>
      <c r="C350" s="8" t="s">
        <v>522</v>
      </c>
      <c r="D350" s="8">
        <v>1</v>
      </c>
      <c r="E350" s="8" t="s">
        <v>665</v>
      </c>
      <c r="F350" s="8" t="s">
        <v>524</v>
      </c>
      <c r="G350" s="8" t="s">
        <v>525</v>
      </c>
      <c r="H350" s="10">
        <v>16</v>
      </c>
      <c r="I350" s="10"/>
      <c r="J350" s="10">
        <v>16</v>
      </c>
      <c r="K350" s="10">
        <v>73.099999999999994</v>
      </c>
    </row>
    <row r="351" spans="1:11" x14ac:dyDescent="0.25">
      <c r="A351" s="8" t="s">
        <v>666</v>
      </c>
      <c r="B351" s="8" t="s">
        <v>45</v>
      </c>
      <c r="C351" s="8" t="s">
        <v>522</v>
      </c>
      <c r="D351" s="8">
        <v>1</v>
      </c>
      <c r="E351" s="8" t="s">
        <v>667</v>
      </c>
      <c r="F351" s="8" t="s">
        <v>524</v>
      </c>
      <c r="G351" s="8" t="s">
        <v>525</v>
      </c>
      <c r="H351" s="10">
        <v>8</v>
      </c>
      <c r="I351" s="10"/>
      <c r="J351" s="10">
        <v>8</v>
      </c>
      <c r="K351" s="10">
        <v>85</v>
      </c>
    </row>
    <row r="352" spans="1:11" x14ac:dyDescent="0.25">
      <c r="A352" s="8" t="s">
        <v>668</v>
      </c>
      <c r="B352" s="8" t="s">
        <v>45</v>
      </c>
      <c r="C352" s="8" t="s">
        <v>522</v>
      </c>
      <c r="D352" s="8">
        <v>1</v>
      </c>
      <c r="E352" s="8" t="s">
        <v>669</v>
      </c>
      <c r="F352" s="8" t="s">
        <v>524</v>
      </c>
      <c r="G352" s="8" t="s">
        <v>525</v>
      </c>
      <c r="H352" s="10">
        <v>5400</v>
      </c>
      <c r="I352" s="10"/>
      <c r="J352" s="10">
        <v>5400</v>
      </c>
      <c r="K352" s="10">
        <v>37.700000000000003</v>
      </c>
    </row>
    <row r="353" spans="1:11" x14ac:dyDescent="0.25">
      <c r="A353" s="8" t="s">
        <v>670</v>
      </c>
      <c r="B353" s="8" t="s">
        <v>45</v>
      </c>
      <c r="C353" s="8" t="s">
        <v>522</v>
      </c>
      <c r="D353" s="8">
        <v>1</v>
      </c>
      <c r="E353" s="8" t="s">
        <v>671</v>
      </c>
      <c r="F353" s="8" t="s">
        <v>524</v>
      </c>
      <c r="G353" s="8" t="s">
        <v>525</v>
      </c>
      <c r="H353" s="10">
        <v>540</v>
      </c>
      <c r="I353" s="10"/>
      <c r="J353" s="10">
        <v>540</v>
      </c>
      <c r="K353" s="10">
        <v>46.3</v>
      </c>
    </row>
    <row r="354" spans="1:11" x14ac:dyDescent="0.25">
      <c r="A354" s="8" t="s">
        <v>672</v>
      </c>
      <c r="B354" s="8" t="s">
        <v>45</v>
      </c>
      <c r="C354" s="8" t="s">
        <v>522</v>
      </c>
      <c r="D354" s="8">
        <v>1</v>
      </c>
      <c r="E354" s="8" t="s">
        <v>673</v>
      </c>
      <c r="F354" s="8" t="s">
        <v>524</v>
      </c>
      <c r="G354" s="8" t="s">
        <v>525</v>
      </c>
      <c r="H354" s="10">
        <v>270</v>
      </c>
      <c r="I354" s="10"/>
      <c r="J354" s="10">
        <v>270</v>
      </c>
      <c r="K354" s="10">
        <v>54.9</v>
      </c>
    </row>
    <row r="355" spans="1:11" x14ac:dyDescent="0.25">
      <c r="A355" s="8" t="s">
        <v>674</v>
      </c>
      <c r="B355" s="8" t="s">
        <v>45</v>
      </c>
      <c r="C355" s="8" t="s">
        <v>522</v>
      </c>
      <c r="D355" s="8">
        <v>1</v>
      </c>
      <c r="E355" s="8" t="s">
        <v>675</v>
      </c>
      <c r="F355" s="8" t="s">
        <v>524</v>
      </c>
      <c r="G355" s="8" t="s">
        <v>525</v>
      </c>
      <c r="H355" s="10">
        <v>162</v>
      </c>
      <c r="I355" s="10"/>
      <c r="J355" s="10">
        <v>162</v>
      </c>
      <c r="K355" s="10">
        <v>44.1</v>
      </c>
    </row>
    <row r="356" spans="1:11" x14ac:dyDescent="0.25">
      <c r="A356" s="8" t="s">
        <v>676</v>
      </c>
      <c r="B356" s="8" t="s">
        <v>45</v>
      </c>
      <c r="C356" s="8" t="s">
        <v>522</v>
      </c>
      <c r="D356" s="8">
        <v>1</v>
      </c>
      <c r="E356" s="8" t="s">
        <v>677</v>
      </c>
      <c r="F356" s="8" t="s">
        <v>524</v>
      </c>
      <c r="G356" s="8" t="s">
        <v>525</v>
      </c>
      <c r="H356" s="10">
        <v>16</v>
      </c>
      <c r="I356" s="10"/>
      <c r="J356" s="10">
        <v>16</v>
      </c>
      <c r="K356" s="10">
        <v>73.099999999999994</v>
      </c>
    </row>
    <row r="357" spans="1:11" x14ac:dyDescent="0.25">
      <c r="A357" s="8" t="s">
        <v>678</v>
      </c>
      <c r="B357" s="8" t="s">
        <v>45</v>
      </c>
      <c r="C357" s="8" t="s">
        <v>522</v>
      </c>
      <c r="D357" s="8">
        <v>1</v>
      </c>
      <c r="E357" s="8" t="s">
        <v>679</v>
      </c>
      <c r="F357" s="8" t="s">
        <v>524</v>
      </c>
      <c r="G357" s="8" t="s">
        <v>525</v>
      </c>
      <c r="H357" s="10">
        <v>8</v>
      </c>
      <c r="I357" s="10"/>
      <c r="J357" s="10">
        <v>8</v>
      </c>
      <c r="K357" s="10">
        <v>85</v>
      </c>
    </row>
    <row r="358" spans="1:11" x14ac:dyDescent="0.25">
      <c r="A358" s="8" t="s">
        <v>680</v>
      </c>
      <c r="B358" s="8" t="s">
        <v>45</v>
      </c>
      <c r="C358" s="8" t="s">
        <v>522</v>
      </c>
      <c r="D358" s="8">
        <v>1</v>
      </c>
      <c r="E358" s="8" t="s">
        <v>681</v>
      </c>
      <c r="F358" s="8" t="s">
        <v>524</v>
      </c>
      <c r="G358" s="8" t="s">
        <v>525</v>
      </c>
      <c r="H358" s="10">
        <v>5200</v>
      </c>
      <c r="I358" s="10"/>
      <c r="J358" s="10">
        <v>5200</v>
      </c>
      <c r="K358" s="10">
        <v>37.700000000000003</v>
      </c>
    </row>
    <row r="359" spans="1:11" x14ac:dyDescent="0.25">
      <c r="A359" s="8" t="s">
        <v>682</v>
      </c>
      <c r="B359" s="8" t="s">
        <v>45</v>
      </c>
      <c r="C359" s="8" t="s">
        <v>522</v>
      </c>
      <c r="D359" s="8">
        <v>1</v>
      </c>
      <c r="E359" s="8" t="s">
        <v>683</v>
      </c>
      <c r="F359" s="8" t="s">
        <v>524</v>
      </c>
      <c r="G359" s="8" t="s">
        <v>525</v>
      </c>
      <c r="H359" s="10">
        <v>520</v>
      </c>
      <c r="I359" s="10"/>
      <c r="J359" s="10">
        <v>520</v>
      </c>
      <c r="K359" s="10">
        <v>46.3</v>
      </c>
    </row>
    <row r="360" spans="1:11" x14ac:dyDescent="0.25">
      <c r="A360" s="8" t="s">
        <v>684</v>
      </c>
      <c r="B360" s="8" t="s">
        <v>45</v>
      </c>
      <c r="C360" s="8" t="s">
        <v>522</v>
      </c>
      <c r="D360" s="8">
        <v>1</v>
      </c>
      <c r="E360" s="8" t="s">
        <v>685</v>
      </c>
      <c r="F360" s="8" t="s">
        <v>524</v>
      </c>
      <c r="G360" s="8" t="s">
        <v>525</v>
      </c>
      <c r="H360" s="10">
        <v>260</v>
      </c>
      <c r="I360" s="10"/>
      <c r="J360" s="10">
        <v>260</v>
      </c>
      <c r="K360" s="10">
        <v>54.9</v>
      </c>
    </row>
    <row r="361" spans="1:11" x14ac:dyDescent="0.25">
      <c r="A361" s="8" t="s">
        <v>686</v>
      </c>
      <c r="B361" s="8" t="s">
        <v>45</v>
      </c>
      <c r="C361" s="8" t="s">
        <v>522</v>
      </c>
      <c r="D361" s="8">
        <v>1</v>
      </c>
      <c r="E361" s="8" t="s">
        <v>687</v>
      </c>
      <c r="F361" s="8" t="s">
        <v>524</v>
      </c>
      <c r="G361" s="8" t="s">
        <v>525</v>
      </c>
      <c r="H361" s="10">
        <v>156</v>
      </c>
      <c r="I361" s="10"/>
      <c r="J361" s="10">
        <v>156</v>
      </c>
      <c r="K361" s="10">
        <v>44.1</v>
      </c>
    </row>
    <row r="362" spans="1:11" x14ac:dyDescent="0.25">
      <c r="A362" s="8" t="s">
        <v>688</v>
      </c>
      <c r="B362" s="8" t="s">
        <v>45</v>
      </c>
      <c r="C362" s="8" t="s">
        <v>522</v>
      </c>
      <c r="D362" s="8">
        <v>1</v>
      </c>
      <c r="E362" s="8" t="s">
        <v>689</v>
      </c>
      <c r="F362" s="8" t="s">
        <v>524</v>
      </c>
      <c r="G362" s="8" t="s">
        <v>525</v>
      </c>
      <c r="H362" s="10">
        <v>16</v>
      </c>
      <c r="I362" s="10"/>
      <c r="J362" s="10">
        <v>16</v>
      </c>
      <c r="K362" s="10">
        <v>73.099999999999994</v>
      </c>
    </row>
    <row r="363" spans="1:11" x14ac:dyDescent="0.25">
      <c r="A363" s="8" t="s">
        <v>690</v>
      </c>
      <c r="B363" s="8" t="s">
        <v>45</v>
      </c>
      <c r="C363" s="8" t="s">
        <v>522</v>
      </c>
      <c r="D363" s="8">
        <v>1</v>
      </c>
      <c r="E363" s="8" t="s">
        <v>691</v>
      </c>
      <c r="F363" s="8" t="s">
        <v>524</v>
      </c>
      <c r="G363" s="8" t="s">
        <v>525</v>
      </c>
      <c r="H363" s="10">
        <v>8</v>
      </c>
      <c r="I363" s="10"/>
      <c r="J363" s="10">
        <v>8</v>
      </c>
      <c r="K363" s="10">
        <v>85</v>
      </c>
    </row>
    <row r="364" spans="1:11" x14ac:dyDescent="0.25">
      <c r="A364" s="8" t="s">
        <v>692</v>
      </c>
      <c r="B364" s="8" t="s">
        <v>45</v>
      </c>
      <c r="C364" s="8" t="s">
        <v>522</v>
      </c>
      <c r="D364" s="8">
        <v>1</v>
      </c>
      <c r="E364" s="8" t="s">
        <v>693</v>
      </c>
      <c r="F364" s="8" t="s">
        <v>524</v>
      </c>
      <c r="G364" s="8" t="s">
        <v>525</v>
      </c>
      <c r="H364" s="10">
        <v>5200</v>
      </c>
      <c r="I364" s="10"/>
      <c r="J364" s="10">
        <v>5200</v>
      </c>
      <c r="K364" s="10">
        <v>54.6</v>
      </c>
    </row>
    <row r="365" spans="1:11" x14ac:dyDescent="0.25">
      <c r="A365" s="8" t="s">
        <v>694</v>
      </c>
      <c r="B365" s="8" t="s">
        <v>45</v>
      </c>
      <c r="C365" s="8" t="s">
        <v>522</v>
      </c>
      <c r="D365" s="8">
        <v>1</v>
      </c>
      <c r="E365" s="8" t="s">
        <v>695</v>
      </c>
      <c r="F365" s="8" t="s">
        <v>524</v>
      </c>
      <c r="G365" s="8" t="s">
        <v>525</v>
      </c>
      <c r="H365" s="10">
        <v>520</v>
      </c>
      <c r="I365" s="10"/>
      <c r="J365" s="10">
        <v>520</v>
      </c>
      <c r="K365" s="10">
        <v>67.7</v>
      </c>
    </row>
    <row r="366" spans="1:11" x14ac:dyDescent="0.25">
      <c r="A366" s="8" t="s">
        <v>696</v>
      </c>
      <c r="B366" s="8" t="s">
        <v>45</v>
      </c>
      <c r="C366" s="8" t="s">
        <v>522</v>
      </c>
      <c r="D366" s="8">
        <v>1</v>
      </c>
      <c r="E366" s="8" t="s">
        <v>697</v>
      </c>
      <c r="F366" s="8" t="s">
        <v>524</v>
      </c>
      <c r="G366" s="8" t="s">
        <v>525</v>
      </c>
      <c r="H366" s="10">
        <v>260</v>
      </c>
      <c r="I366" s="10"/>
      <c r="J366" s="10">
        <v>260</v>
      </c>
      <c r="K366" s="10">
        <v>80.8</v>
      </c>
    </row>
    <row r="367" spans="1:11" x14ac:dyDescent="0.25">
      <c r="A367" s="8" t="s">
        <v>698</v>
      </c>
      <c r="B367" s="8" t="s">
        <v>45</v>
      </c>
      <c r="C367" s="8" t="s">
        <v>522</v>
      </c>
      <c r="D367" s="8">
        <v>1</v>
      </c>
      <c r="E367" s="8" t="s">
        <v>699</v>
      </c>
      <c r="F367" s="8" t="s">
        <v>524</v>
      </c>
      <c r="G367" s="8" t="s">
        <v>525</v>
      </c>
      <c r="H367" s="10">
        <v>156</v>
      </c>
      <c r="I367" s="10"/>
      <c r="J367" s="10">
        <v>156</v>
      </c>
      <c r="K367" s="10">
        <v>64.3</v>
      </c>
    </row>
    <row r="368" spans="1:11" x14ac:dyDescent="0.25">
      <c r="A368" s="8" t="s">
        <v>700</v>
      </c>
      <c r="B368" s="8" t="s">
        <v>45</v>
      </c>
      <c r="C368" s="8" t="s">
        <v>522</v>
      </c>
      <c r="D368" s="8">
        <v>1</v>
      </c>
      <c r="E368" s="8" t="s">
        <v>701</v>
      </c>
      <c r="F368" s="8" t="s">
        <v>524</v>
      </c>
      <c r="G368" s="8" t="s">
        <v>525</v>
      </c>
      <c r="H368" s="10">
        <v>16</v>
      </c>
      <c r="I368" s="10"/>
      <c r="J368" s="10">
        <v>16</v>
      </c>
      <c r="K368" s="10">
        <v>108.5</v>
      </c>
    </row>
    <row r="369" spans="1:11" x14ac:dyDescent="0.25">
      <c r="A369" s="8" t="s">
        <v>702</v>
      </c>
      <c r="B369" s="8" t="s">
        <v>45</v>
      </c>
      <c r="C369" s="8" t="s">
        <v>522</v>
      </c>
      <c r="D369" s="8">
        <v>1</v>
      </c>
      <c r="E369" s="8" t="s">
        <v>703</v>
      </c>
      <c r="F369" s="8" t="s">
        <v>524</v>
      </c>
      <c r="G369" s="8" t="s">
        <v>525</v>
      </c>
      <c r="H369" s="10">
        <v>8</v>
      </c>
      <c r="I369" s="10"/>
      <c r="J369" s="10">
        <v>8</v>
      </c>
      <c r="K369" s="10">
        <v>126.5</v>
      </c>
    </row>
    <row r="370" spans="1:11" x14ac:dyDescent="0.25">
      <c r="A370" s="8" t="s">
        <v>704</v>
      </c>
      <c r="B370" s="8" t="s">
        <v>45</v>
      </c>
      <c r="C370" s="8" t="s">
        <v>522</v>
      </c>
      <c r="D370" s="8">
        <v>1</v>
      </c>
      <c r="E370" s="8" t="s">
        <v>705</v>
      </c>
      <c r="F370" s="8" t="s">
        <v>524</v>
      </c>
      <c r="G370" s="8" t="s">
        <v>525</v>
      </c>
      <c r="H370" s="10">
        <v>7200</v>
      </c>
      <c r="I370" s="10"/>
      <c r="J370" s="10">
        <v>7200</v>
      </c>
      <c r="K370" s="10">
        <v>54.6</v>
      </c>
    </row>
    <row r="371" spans="1:11" x14ac:dyDescent="0.25">
      <c r="A371" s="8" t="s">
        <v>706</v>
      </c>
      <c r="B371" s="8" t="s">
        <v>45</v>
      </c>
      <c r="C371" s="8" t="s">
        <v>522</v>
      </c>
      <c r="D371" s="8">
        <v>1</v>
      </c>
      <c r="E371" s="8" t="s">
        <v>707</v>
      </c>
      <c r="F371" s="8" t="s">
        <v>524</v>
      </c>
      <c r="G371" s="8" t="s">
        <v>525</v>
      </c>
      <c r="H371" s="10">
        <v>720</v>
      </c>
      <c r="I371" s="10"/>
      <c r="J371" s="10">
        <v>720</v>
      </c>
      <c r="K371" s="10">
        <v>67.7</v>
      </c>
    </row>
    <row r="372" spans="1:11" x14ac:dyDescent="0.25">
      <c r="A372" s="8" t="s">
        <v>708</v>
      </c>
      <c r="B372" s="8" t="s">
        <v>45</v>
      </c>
      <c r="C372" s="8" t="s">
        <v>522</v>
      </c>
      <c r="D372" s="8">
        <v>1</v>
      </c>
      <c r="E372" s="8" t="s">
        <v>709</v>
      </c>
      <c r="F372" s="8" t="s">
        <v>524</v>
      </c>
      <c r="G372" s="8" t="s">
        <v>525</v>
      </c>
      <c r="H372" s="10">
        <v>360</v>
      </c>
      <c r="I372" s="10"/>
      <c r="J372" s="10">
        <v>360</v>
      </c>
      <c r="K372" s="10">
        <v>80.8</v>
      </c>
    </row>
    <row r="373" spans="1:11" x14ac:dyDescent="0.25">
      <c r="A373" s="8" t="s">
        <v>710</v>
      </c>
      <c r="B373" s="8" t="s">
        <v>45</v>
      </c>
      <c r="C373" s="8" t="s">
        <v>522</v>
      </c>
      <c r="D373" s="8">
        <v>1</v>
      </c>
      <c r="E373" s="8" t="s">
        <v>711</v>
      </c>
      <c r="F373" s="8" t="s">
        <v>524</v>
      </c>
      <c r="G373" s="8" t="s">
        <v>525</v>
      </c>
      <c r="H373" s="10">
        <v>216</v>
      </c>
      <c r="I373" s="10"/>
      <c r="J373" s="10">
        <v>216</v>
      </c>
      <c r="K373" s="10">
        <v>64.3</v>
      </c>
    </row>
    <row r="374" spans="1:11" x14ac:dyDescent="0.25">
      <c r="A374" s="8" t="s">
        <v>712</v>
      </c>
      <c r="B374" s="8" t="s">
        <v>45</v>
      </c>
      <c r="C374" s="8" t="s">
        <v>522</v>
      </c>
      <c r="D374" s="8">
        <v>1</v>
      </c>
      <c r="E374" s="8" t="s">
        <v>713</v>
      </c>
      <c r="F374" s="8" t="s">
        <v>524</v>
      </c>
      <c r="G374" s="8" t="s">
        <v>525</v>
      </c>
      <c r="H374" s="10">
        <v>22</v>
      </c>
      <c r="I374" s="10"/>
      <c r="J374" s="10">
        <v>22</v>
      </c>
      <c r="K374" s="10">
        <v>108.5</v>
      </c>
    </row>
    <row r="375" spans="1:11" x14ac:dyDescent="0.25">
      <c r="A375" s="8" t="s">
        <v>714</v>
      </c>
      <c r="B375" s="8" t="s">
        <v>45</v>
      </c>
      <c r="C375" s="8" t="s">
        <v>522</v>
      </c>
      <c r="D375" s="8">
        <v>1</v>
      </c>
      <c r="E375" s="8" t="s">
        <v>715</v>
      </c>
      <c r="F375" s="8" t="s">
        <v>524</v>
      </c>
      <c r="G375" s="8" t="s">
        <v>525</v>
      </c>
      <c r="H375" s="10">
        <v>11</v>
      </c>
      <c r="I375" s="10"/>
      <c r="J375" s="10">
        <v>11</v>
      </c>
      <c r="K375" s="10">
        <v>126.5</v>
      </c>
    </row>
    <row r="376" spans="1:11" x14ac:dyDescent="0.25">
      <c r="A376" s="8" t="s">
        <v>716</v>
      </c>
      <c r="B376" s="8" t="s">
        <v>45</v>
      </c>
      <c r="C376" s="8" t="s">
        <v>522</v>
      </c>
      <c r="D376" s="8">
        <v>1</v>
      </c>
      <c r="E376" s="8" t="s">
        <v>717</v>
      </c>
      <c r="F376" s="8" t="s">
        <v>524</v>
      </c>
      <c r="G376" s="8" t="s">
        <v>525</v>
      </c>
      <c r="H376" s="10">
        <v>5200</v>
      </c>
      <c r="I376" s="10"/>
      <c r="J376" s="10">
        <v>5200</v>
      </c>
      <c r="K376" s="10">
        <v>47.8</v>
      </c>
    </row>
    <row r="377" spans="1:11" x14ac:dyDescent="0.25">
      <c r="A377" s="8" t="s">
        <v>718</v>
      </c>
      <c r="B377" s="8" t="s">
        <v>45</v>
      </c>
      <c r="C377" s="8" t="s">
        <v>522</v>
      </c>
      <c r="D377" s="8">
        <v>1</v>
      </c>
      <c r="E377" s="8" t="s">
        <v>719</v>
      </c>
      <c r="F377" s="8" t="s">
        <v>524</v>
      </c>
      <c r="G377" s="8" t="s">
        <v>525</v>
      </c>
      <c r="H377" s="10">
        <v>520</v>
      </c>
      <c r="I377" s="10"/>
      <c r="J377" s="10">
        <v>520</v>
      </c>
      <c r="K377" s="10">
        <v>61.2</v>
      </c>
    </row>
    <row r="378" spans="1:11" x14ac:dyDescent="0.25">
      <c r="A378" s="8" t="s">
        <v>720</v>
      </c>
      <c r="B378" s="8" t="s">
        <v>45</v>
      </c>
      <c r="C378" s="8" t="s">
        <v>522</v>
      </c>
      <c r="D378" s="8">
        <v>1</v>
      </c>
      <c r="E378" s="8" t="s">
        <v>721</v>
      </c>
      <c r="F378" s="8" t="s">
        <v>524</v>
      </c>
      <c r="G378" s="8" t="s">
        <v>525</v>
      </c>
      <c r="H378" s="10">
        <v>260</v>
      </c>
      <c r="I378" s="10"/>
      <c r="J378" s="10">
        <v>260</v>
      </c>
      <c r="K378" s="10">
        <v>74.599999999999994</v>
      </c>
    </row>
    <row r="379" spans="1:11" x14ac:dyDescent="0.25">
      <c r="A379" s="8" t="s">
        <v>722</v>
      </c>
      <c r="B379" s="8" t="s">
        <v>45</v>
      </c>
      <c r="C379" s="8" t="s">
        <v>522</v>
      </c>
      <c r="D379" s="8">
        <v>1</v>
      </c>
      <c r="E379" s="8" t="s">
        <v>723</v>
      </c>
      <c r="F379" s="8" t="s">
        <v>524</v>
      </c>
      <c r="G379" s="8" t="s">
        <v>525</v>
      </c>
      <c r="H379" s="10">
        <v>156</v>
      </c>
      <c r="I379" s="10"/>
      <c r="J379" s="10">
        <v>156</v>
      </c>
      <c r="K379" s="10">
        <v>57.7</v>
      </c>
    </row>
    <row r="380" spans="1:11" x14ac:dyDescent="0.25">
      <c r="A380" s="8" t="s">
        <v>724</v>
      </c>
      <c r="B380" s="8" t="s">
        <v>45</v>
      </c>
      <c r="C380" s="8" t="s">
        <v>522</v>
      </c>
      <c r="D380" s="8">
        <v>1</v>
      </c>
      <c r="E380" s="8" t="s">
        <v>725</v>
      </c>
      <c r="F380" s="8" t="s">
        <v>524</v>
      </c>
      <c r="G380" s="8" t="s">
        <v>525</v>
      </c>
      <c r="H380" s="10">
        <v>16</v>
      </c>
      <c r="I380" s="10"/>
      <c r="J380" s="10">
        <v>16</v>
      </c>
      <c r="K380" s="10">
        <v>102.8</v>
      </c>
    </row>
    <row r="381" spans="1:11" x14ac:dyDescent="0.25">
      <c r="A381" s="8" t="s">
        <v>726</v>
      </c>
      <c r="B381" s="8" t="s">
        <v>45</v>
      </c>
      <c r="C381" s="8" t="s">
        <v>522</v>
      </c>
      <c r="D381" s="8">
        <v>1</v>
      </c>
      <c r="E381" s="8" t="s">
        <v>727</v>
      </c>
      <c r="F381" s="8" t="s">
        <v>524</v>
      </c>
      <c r="G381" s="8" t="s">
        <v>525</v>
      </c>
      <c r="H381" s="10">
        <v>8</v>
      </c>
      <c r="I381" s="10"/>
      <c r="J381" s="10">
        <v>8</v>
      </c>
      <c r="K381" s="10">
        <v>121.2</v>
      </c>
    </row>
    <row r="382" spans="1:11" x14ac:dyDescent="0.25">
      <c r="A382" s="8" t="s">
        <v>728</v>
      </c>
      <c r="B382" s="8" t="s">
        <v>45</v>
      </c>
      <c r="C382" s="8" t="s">
        <v>522</v>
      </c>
      <c r="D382" s="8">
        <v>1</v>
      </c>
      <c r="E382" s="8" t="s">
        <v>729</v>
      </c>
      <c r="F382" s="8" t="s">
        <v>524</v>
      </c>
      <c r="G382" s="8" t="s">
        <v>525</v>
      </c>
      <c r="H382" s="10">
        <v>10800</v>
      </c>
      <c r="I382" s="10"/>
      <c r="J382" s="10">
        <v>10800</v>
      </c>
      <c r="K382" s="10">
        <v>47.8</v>
      </c>
    </row>
    <row r="383" spans="1:11" x14ac:dyDescent="0.25">
      <c r="A383" s="8" t="s">
        <v>730</v>
      </c>
      <c r="B383" s="8" t="s">
        <v>45</v>
      </c>
      <c r="C383" s="8" t="s">
        <v>522</v>
      </c>
      <c r="D383" s="8">
        <v>1</v>
      </c>
      <c r="E383" s="8" t="s">
        <v>731</v>
      </c>
      <c r="F383" s="8" t="s">
        <v>524</v>
      </c>
      <c r="G383" s="8" t="s">
        <v>525</v>
      </c>
      <c r="H383" s="10">
        <v>1080</v>
      </c>
      <c r="I383" s="10"/>
      <c r="J383" s="10">
        <v>1080</v>
      </c>
      <c r="K383" s="10">
        <v>61.2</v>
      </c>
    </row>
    <row r="384" spans="1:11" x14ac:dyDescent="0.25">
      <c r="A384" s="8" t="s">
        <v>732</v>
      </c>
      <c r="B384" s="8" t="s">
        <v>45</v>
      </c>
      <c r="C384" s="8" t="s">
        <v>522</v>
      </c>
      <c r="D384" s="8">
        <v>1</v>
      </c>
      <c r="E384" s="8" t="s">
        <v>733</v>
      </c>
      <c r="F384" s="8" t="s">
        <v>524</v>
      </c>
      <c r="G384" s="8" t="s">
        <v>525</v>
      </c>
      <c r="H384" s="10">
        <v>540</v>
      </c>
      <c r="I384" s="10"/>
      <c r="J384" s="10">
        <v>540</v>
      </c>
      <c r="K384" s="10">
        <v>74.599999999999994</v>
      </c>
    </row>
    <row r="385" spans="1:11" x14ac:dyDescent="0.25">
      <c r="A385" s="8" t="s">
        <v>734</v>
      </c>
      <c r="B385" s="8" t="s">
        <v>45</v>
      </c>
      <c r="C385" s="8" t="s">
        <v>522</v>
      </c>
      <c r="D385" s="8">
        <v>1</v>
      </c>
      <c r="E385" s="8" t="s">
        <v>735</v>
      </c>
      <c r="F385" s="8" t="s">
        <v>524</v>
      </c>
      <c r="G385" s="8" t="s">
        <v>525</v>
      </c>
      <c r="H385" s="10">
        <v>324</v>
      </c>
      <c r="I385" s="10"/>
      <c r="J385" s="10">
        <v>324</v>
      </c>
      <c r="K385" s="10">
        <v>57.7</v>
      </c>
    </row>
    <row r="386" spans="1:11" x14ac:dyDescent="0.25">
      <c r="A386" s="8" t="s">
        <v>736</v>
      </c>
      <c r="B386" s="8" t="s">
        <v>45</v>
      </c>
      <c r="C386" s="8" t="s">
        <v>522</v>
      </c>
      <c r="D386" s="8">
        <v>1</v>
      </c>
      <c r="E386" s="8" t="s">
        <v>737</v>
      </c>
      <c r="F386" s="8" t="s">
        <v>524</v>
      </c>
      <c r="G386" s="8" t="s">
        <v>525</v>
      </c>
      <c r="H386" s="10">
        <v>32</v>
      </c>
      <c r="I386" s="10"/>
      <c r="J386" s="10">
        <v>32</v>
      </c>
      <c r="K386" s="10">
        <v>102.8</v>
      </c>
    </row>
    <row r="387" spans="1:11" x14ac:dyDescent="0.25">
      <c r="A387" s="8" t="s">
        <v>738</v>
      </c>
      <c r="B387" s="8" t="s">
        <v>45</v>
      </c>
      <c r="C387" s="8" t="s">
        <v>522</v>
      </c>
      <c r="D387" s="8">
        <v>1</v>
      </c>
      <c r="E387" s="8" t="s">
        <v>739</v>
      </c>
      <c r="F387" s="8" t="s">
        <v>524</v>
      </c>
      <c r="G387" s="8" t="s">
        <v>525</v>
      </c>
      <c r="H387" s="10">
        <v>16</v>
      </c>
      <c r="I387" s="10"/>
      <c r="J387" s="10">
        <v>16</v>
      </c>
      <c r="K387" s="10">
        <v>121.2</v>
      </c>
    </row>
    <row r="388" spans="1:11" x14ac:dyDescent="0.25">
      <c r="A388" s="8" t="s">
        <v>740</v>
      </c>
      <c r="B388" s="8" t="s">
        <v>45</v>
      </c>
      <c r="C388" s="8" t="s">
        <v>522</v>
      </c>
      <c r="D388" s="8">
        <v>1</v>
      </c>
      <c r="E388" s="8" t="s">
        <v>741</v>
      </c>
      <c r="F388" s="8" t="s">
        <v>524</v>
      </c>
      <c r="G388" s="8" t="s">
        <v>525</v>
      </c>
      <c r="H388" s="10">
        <v>5200</v>
      </c>
      <c r="I388" s="10"/>
      <c r="J388" s="10">
        <v>5200</v>
      </c>
      <c r="K388" s="10">
        <v>37.700000000000003</v>
      </c>
    </row>
    <row r="389" spans="1:11" x14ac:dyDescent="0.25">
      <c r="A389" s="8" t="s">
        <v>742</v>
      </c>
      <c r="B389" s="8" t="s">
        <v>45</v>
      </c>
      <c r="C389" s="8" t="s">
        <v>522</v>
      </c>
      <c r="D389" s="8">
        <v>1</v>
      </c>
      <c r="E389" s="8" t="s">
        <v>743</v>
      </c>
      <c r="F389" s="8" t="s">
        <v>524</v>
      </c>
      <c r="G389" s="8" t="s">
        <v>525</v>
      </c>
      <c r="H389" s="10">
        <v>520</v>
      </c>
      <c r="I389" s="10"/>
      <c r="J389" s="10">
        <v>520</v>
      </c>
      <c r="K389" s="10">
        <v>46.3</v>
      </c>
    </row>
    <row r="390" spans="1:11" x14ac:dyDescent="0.25">
      <c r="A390" s="8" t="s">
        <v>744</v>
      </c>
      <c r="B390" s="8" t="s">
        <v>45</v>
      </c>
      <c r="C390" s="8" t="s">
        <v>522</v>
      </c>
      <c r="D390" s="8">
        <v>1</v>
      </c>
      <c r="E390" s="8" t="s">
        <v>745</v>
      </c>
      <c r="F390" s="8" t="s">
        <v>524</v>
      </c>
      <c r="G390" s="8" t="s">
        <v>525</v>
      </c>
      <c r="H390" s="10">
        <v>260</v>
      </c>
      <c r="I390" s="10"/>
      <c r="J390" s="10">
        <v>260</v>
      </c>
      <c r="K390" s="10">
        <v>54.9</v>
      </c>
    </row>
    <row r="391" spans="1:11" x14ac:dyDescent="0.25">
      <c r="A391" s="8" t="s">
        <v>746</v>
      </c>
      <c r="B391" s="8" t="s">
        <v>45</v>
      </c>
      <c r="C391" s="8" t="s">
        <v>522</v>
      </c>
      <c r="D391" s="8">
        <v>1</v>
      </c>
      <c r="E391" s="8" t="s">
        <v>747</v>
      </c>
      <c r="F391" s="8" t="s">
        <v>524</v>
      </c>
      <c r="G391" s="8" t="s">
        <v>525</v>
      </c>
      <c r="H391" s="10">
        <v>156</v>
      </c>
      <c r="I391" s="10"/>
      <c r="J391" s="10">
        <v>156</v>
      </c>
      <c r="K391" s="10">
        <v>44.1</v>
      </c>
    </row>
    <row r="392" spans="1:11" x14ac:dyDescent="0.25">
      <c r="A392" s="8" t="s">
        <v>748</v>
      </c>
      <c r="B392" s="8" t="s">
        <v>45</v>
      </c>
      <c r="C392" s="8" t="s">
        <v>522</v>
      </c>
      <c r="D392" s="8">
        <v>1</v>
      </c>
      <c r="E392" s="8" t="s">
        <v>749</v>
      </c>
      <c r="F392" s="8" t="s">
        <v>524</v>
      </c>
      <c r="G392" s="8" t="s">
        <v>525</v>
      </c>
      <c r="H392" s="10">
        <v>16</v>
      </c>
      <c r="I392" s="10"/>
      <c r="J392" s="10">
        <v>16</v>
      </c>
      <c r="K392" s="10">
        <v>73.099999999999994</v>
      </c>
    </row>
    <row r="393" spans="1:11" x14ac:dyDescent="0.25">
      <c r="A393" s="8" t="s">
        <v>750</v>
      </c>
      <c r="B393" s="8" t="s">
        <v>45</v>
      </c>
      <c r="C393" s="8" t="s">
        <v>522</v>
      </c>
      <c r="D393" s="8">
        <v>1</v>
      </c>
      <c r="E393" s="8" t="s">
        <v>751</v>
      </c>
      <c r="F393" s="8" t="s">
        <v>524</v>
      </c>
      <c r="G393" s="8" t="s">
        <v>525</v>
      </c>
      <c r="H393" s="10">
        <v>8</v>
      </c>
      <c r="I393" s="10"/>
      <c r="J393" s="10">
        <v>8</v>
      </c>
      <c r="K393" s="10">
        <v>85</v>
      </c>
    </row>
    <row r="394" spans="1:11" x14ac:dyDescent="0.25">
      <c r="A394" s="8" t="s">
        <v>752</v>
      </c>
      <c r="B394" s="8" t="s">
        <v>45</v>
      </c>
      <c r="C394" s="8" t="s">
        <v>522</v>
      </c>
      <c r="D394" s="8">
        <v>1</v>
      </c>
      <c r="E394" s="8" t="s">
        <v>753</v>
      </c>
      <c r="F394" s="8" t="s">
        <v>524</v>
      </c>
      <c r="G394" s="8" t="s">
        <v>525</v>
      </c>
      <c r="H394" s="10">
        <v>5200</v>
      </c>
      <c r="I394" s="10"/>
      <c r="J394" s="10">
        <v>5200</v>
      </c>
      <c r="K394" s="10">
        <v>37.700000000000003</v>
      </c>
    </row>
    <row r="395" spans="1:11" x14ac:dyDescent="0.25">
      <c r="A395" s="8" t="s">
        <v>754</v>
      </c>
      <c r="B395" s="8" t="s">
        <v>45</v>
      </c>
      <c r="C395" s="8" t="s">
        <v>522</v>
      </c>
      <c r="D395" s="8">
        <v>1</v>
      </c>
      <c r="E395" s="8" t="s">
        <v>755</v>
      </c>
      <c r="F395" s="8" t="s">
        <v>524</v>
      </c>
      <c r="G395" s="8" t="s">
        <v>525</v>
      </c>
      <c r="H395" s="10">
        <v>520</v>
      </c>
      <c r="I395" s="10"/>
      <c r="J395" s="10">
        <v>520</v>
      </c>
      <c r="K395" s="10">
        <v>46.3</v>
      </c>
    </row>
    <row r="396" spans="1:11" x14ac:dyDescent="0.25">
      <c r="A396" s="8" t="s">
        <v>756</v>
      </c>
      <c r="B396" s="8" t="s">
        <v>45</v>
      </c>
      <c r="C396" s="8" t="s">
        <v>522</v>
      </c>
      <c r="D396" s="8">
        <v>1</v>
      </c>
      <c r="E396" s="8" t="s">
        <v>757</v>
      </c>
      <c r="F396" s="8" t="s">
        <v>524</v>
      </c>
      <c r="G396" s="8" t="s">
        <v>525</v>
      </c>
      <c r="H396" s="10">
        <v>260</v>
      </c>
      <c r="I396" s="10"/>
      <c r="J396" s="10">
        <v>260</v>
      </c>
      <c r="K396" s="10">
        <v>54.9</v>
      </c>
    </row>
    <row r="397" spans="1:11" x14ac:dyDescent="0.25">
      <c r="A397" s="8" t="s">
        <v>758</v>
      </c>
      <c r="B397" s="8" t="s">
        <v>45</v>
      </c>
      <c r="C397" s="8" t="s">
        <v>522</v>
      </c>
      <c r="D397" s="8">
        <v>1</v>
      </c>
      <c r="E397" s="8" t="s">
        <v>759</v>
      </c>
      <c r="F397" s="8" t="s">
        <v>524</v>
      </c>
      <c r="G397" s="8" t="s">
        <v>525</v>
      </c>
      <c r="H397" s="10">
        <v>156</v>
      </c>
      <c r="I397" s="10"/>
      <c r="J397" s="10">
        <v>156</v>
      </c>
      <c r="K397" s="10">
        <v>44.1</v>
      </c>
    </row>
    <row r="398" spans="1:11" x14ac:dyDescent="0.25">
      <c r="A398" s="8" t="s">
        <v>760</v>
      </c>
      <c r="B398" s="8" t="s">
        <v>45</v>
      </c>
      <c r="C398" s="8" t="s">
        <v>522</v>
      </c>
      <c r="D398" s="8">
        <v>1</v>
      </c>
      <c r="E398" s="8" t="s">
        <v>761</v>
      </c>
      <c r="F398" s="8" t="s">
        <v>524</v>
      </c>
      <c r="G398" s="8" t="s">
        <v>525</v>
      </c>
      <c r="H398" s="10">
        <v>16</v>
      </c>
      <c r="I398" s="10"/>
      <c r="J398" s="10">
        <v>16</v>
      </c>
      <c r="K398" s="10">
        <v>73.099999999999994</v>
      </c>
    </row>
    <row r="399" spans="1:11" x14ac:dyDescent="0.25">
      <c r="A399" s="8" t="s">
        <v>762</v>
      </c>
      <c r="B399" s="8" t="s">
        <v>45</v>
      </c>
      <c r="C399" s="8" t="s">
        <v>522</v>
      </c>
      <c r="D399" s="8">
        <v>1</v>
      </c>
      <c r="E399" s="8" t="s">
        <v>763</v>
      </c>
      <c r="F399" s="8" t="s">
        <v>524</v>
      </c>
      <c r="G399" s="8" t="s">
        <v>525</v>
      </c>
      <c r="H399" s="10">
        <v>8</v>
      </c>
      <c r="I399" s="10"/>
      <c r="J399" s="10">
        <v>8</v>
      </c>
      <c r="K399" s="10">
        <v>85</v>
      </c>
    </row>
    <row r="400" spans="1:11" x14ac:dyDescent="0.25">
      <c r="A400" s="8" t="s">
        <v>764</v>
      </c>
      <c r="B400" s="8" t="s">
        <v>45</v>
      </c>
      <c r="C400" s="8" t="s">
        <v>522</v>
      </c>
      <c r="D400" s="8">
        <v>1</v>
      </c>
      <c r="E400" s="8" t="s">
        <v>765</v>
      </c>
      <c r="F400" s="8" t="s">
        <v>524</v>
      </c>
      <c r="G400" s="8" t="s">
        <v>525</v>
      </c>
      <c r="H400" s="10">
        <v>5200</v>
      </c>
      <c r="I400" s="10"/>
      <c r="J400" s="10">
        <v>5200</v>
      </c>
      <c r="K400" s="10">
        <v>31.9</v>
      </c>
    </row>
    <row r="401" spans="1:11" x14ac:dyDescent="0.25">
      <c r="A401" s="8" t="s">
        <v>766</v>
      </c>
      <c r="B401" s="8" t="s">
        <v>45</v>
      </c>
      <c r="C401" s="8" t="s">
        <v>522</v>
      </c>
      <c r="D401" s="8">
        <v>1</v>
      </c>
      <c r="E401" s="8" t="s">
        <v>767</v>
      </c>
      <c r="F401" s="8" t="s">
        <v>524</v>
      </c>
      <c r="G401" s="8" t="s">
        <v>525</v>
      </c>
      <c r="H401" s="10">
        <v>520</v>
      </c>
      <c r="I401" s="10"/>
      <c r="J401" s="10">
        <v>520</v>
      </c>
      <c r="K401" s="10">
        <v>37.9</v>
      </c>
    </row>
    <row r="402" spans="1:11" x14ac:dyDescent="0.25">
      <c r="A402" s="8" t="s">
        <v>768</v>
      </c>
      <c r="B402" s="8" t="s">
        <v>45</v>
      </c>
      <c r="C402" s="8" t="s">
        <v>522</v>
      </c>
      <c r="D402" s="8">
        <v>1</v>
      </c>
      <c r="E402" s="8" t="s">
        <v>769</v>
      </c>
      <c r="F402" s="8" t="s">
        <v>524</v>
      </c>
      <c r="G402" s="8" t="s">
        <v>525</v>
      </c>
      <c r="H402" s="10">
        <v>260</v>
      </c>
      <c r="I402" s="10"/>
      <c r="J402" s="10">
        <v>260</v>
      </c>
      <c r="K402" s="10">
        <v>43.9</v>
      </c>
    </row>
    <row r="403" spans="1:11" x14ac:dyDescent="0.25">
      <c r="A403" s="8" t="s">
        <v>770</v>
      </c>
      <c r="B403" s="8" t="s">
        <v>45</v>
      </c>
      <c r="C403" s="8" t="s">
        <v>522</v>
      </c>
      <c r="D403" s="8">
        <v>1</v>
      </c>
      <c r="E403" s="8" t="s">
        <v>771</v>
      </c>
      <c r="F403" s="8" t="s">
        <v>524</v>
      </c>
      <c r="G403" s="8" t="s">
        <v>525</v>
      </c>
      <c r="H403" s="10">
        <v>156</v>
      </c>
      <c r="I403" s="10"/>
      <c r="J403" s="10">
        <v>156</v>
      </c>
      <c r="K403" s="10">
        <v>36.4</v>
      </c>
    </row>
    <row r="404" spans="1:11" x14ac:dyDescent="0.25">
      <c r="A404" s="8" t="s">
        <v>772</v>
      </c>
      <c r="B404" s="8" t="s">
        <v>45</v>
      </c>
      <c r="C404" s="8" t="s">
        <v>522</v>
      </c>
      <c r="D404" s="8">
        <v>1</v>
      </c>
      <c r="E404" s="8" t="s">
        <v>773</v>
      </c>
      <c r="F404" s="8" t="s">
        <v>524</v>
      </c>
      <c r="G404" s="8" t="s">
        <v>525</v>
      </c>
      <c r="H404" s="10">
        <v>16</v>
      </c>
      <c r="I404" s="10"/>
      <c r="J404" s="10">
        <v>16</v>
      </c>
      <c r="K404" s="10">
        <v>56.5</v>
      </c>
    </row>
    <row r="405" spans="1:11" x14ac:dyDescent="0.25">
      <c r="A405" s="8" t="s">
        <v>774</v>
      </c>
      <c r="B405" s="8" t="s">
        <v>45</v>
      </c>
      <c r="C405" s="8" t="s">
        <v>522</v>
      </c>
      <c r="D405" s="8">
        <v>1</v>
      </c>
      <c r="E405" s="8" t="s">
        <v>775</v>
      </c>
      <c r="F405" s="8" t="s">
        <v>524</v>
      </c>
      <c r="G405" s="8" t="s">
        <v>525</v>
      </c>
      <c r="H405" s="10">
        <v>8</v>
      </c>
      <c r="I405" s="10"/>
      <c r="J405" s="10">
        <v>8</v>
      </c>
      <c r="K405" s="10">
        <v>64.599999999999994</v>
      </c>
    </row>
    <row r="406" spans="1:11" x14ac:dyDescent="0.25">
      <c r="A406" s="8" t="s">
        <v>776</v>
      </c>
      <c r="B406" s="8" t="s">
        <v>45</v>
      </c>
      <c r="C406" s="8" t="s">
        <v>522</v>
      </c>
      <c r="D406" s="8">
        <v>1</v>
      </c>
      <c r="E406" s="8" t="s">
        <v>777</v>
      </c>
      <c r="F406" s="8" t="s">
        <v>524</v>
      </c>
      <c r="G406" s="8" t="s">
        <v>525</v>
      </c>
      <c r="H406" s="10">
        <v>21600</v>
      </c>
      <c r="I406" s="10"/>
      <c r="J406" s="10">
        <v>21600</v>
      </c>
      <c r="K406" s="10">
        <v>31.9</v>
      </c>
    </row>
    <row r="407" spans="1:11" x14ac:dyDescent="0.25">
      <c r="A407" s="8" t="s">
        <v>778</v>
      </c>
      <c r="B407" s="8" t="s">
        <v>45</v>
      </c>
      <c r="C407" s="8" t="s">
        <v>522</v>
      </c>
      <c r="D407" s="8">
        <v>1</v>
      </c>
      <c r="E407" s="8" t="s">
        <v>779</v>
      </c>
      <c r="F407" s="8" t="s">
        <v>524</v>
      </c>
      <c r="G407" s="8" t="s">
        <v>525</v>
      </c>
      <c r="H407" s="10">
        <v>2160</v>
      </c>
      <c r="I407" s="10"/>
      <c r="J407" s="10">
        <v>2160</v>
      </c>
      <c r="K407" s="10">
        <v>37.9</v>
      </c>
    </row>
    <row r="408" spans="1:11" x14ac:dyDescent="0.25">
      <c r="A408" s="8" t="s">
        <v>780</v>
      </c>
      <c r="B408" s="8" t="s">
        <v>45</v>
      </c>
      <c r="C408" s="8" t="s">
        <v>522</v>
      </c>
      <c r="D408" s="8">
        <v>1</v>
      </c>
      <c r="E408" s="8" t="s">
        <v>781</v>
      </c>
      <c r="F408" s="8" t="s">
        <v>524</v>
      </c>
      <c r="G408" s="8" t="s">
        <v>525</v>
      </c>
      <c r="H408" s="10">
        <v>1080</v>
      </c>
      <c r="I408" s="10"/>
      <c r="J408" s="10">
        <v>1080</v>
      </c>
      <c r="K408" s="10">
        <v>43.9</v>
      </c>
    </row>
    <row r="409" spans="1:11" x14ac:dyDescent="0.25">
      <c r="A409" s="8" t="s">
        <v>782</v>
      </c>
      <c r="B409" s="8" t="s">
        <v>45</v>
      </c>
      <c r="C409" s="8" t="s">
        <v>522</v>
      </c>
      <c r="D409" s="8">
        <v>1</v>
      </c>
      <c r="E409" s="8" t="s">
        <v>783</v>
      </c>
      <c r="F409" s="8" t="s">
        <v>524</v>
      </c>
      <c r="G409" s="8" t="s">
        <v>525</v>
      </c>
      <c r="H409" s="10">
        <v>648</v>
      </c>
      <c r="I409" s="10"/>
      <c r="J409" s="10">
        <v>648</v>
      </c>
      <c r="K409" s="10">
        <v>36.4</v>
      </c>
    </row>
    <row r="410" spans="1:11" x14ac:dyDescent="0.25">
      <c r="A410" s="8" t="s">
        <v>784</v>
      </c>
      <c r="B410" s="8" t="s">
        <v>45</v>
      </c>
      <c r="C410" s="8" t="s">
        <v>522</v>
      </c>
      <c r="D410" s="8">
        <v>1</v>
      </c>
      <c r="E410" s="8" t="s">
        <v>785</v>
      </c>
      <c r="F410" s="8" t="s">
        <v>524</v>
      </c>
      <c r="G410" s="8" t="s">
        <v>525</v>
      </c>
      <c r="H410" s="10">
        <v>65</v>
      </c>
      <c r="I410" s="10"/>
      <c r="J410" s="10">
        <v>65</v>
      </c>
      <c r="K410" s="10">
        <v>56.5</v>
      </c>
    </row>
    <row r="411" spans="1:11" x14ac:dyDescent="0.25">
      <c r="A411" s="8" t="s">
        <v>786</v>
      </c>
      <c r="B411" s="8" t="s">
        <v>45</v>
      </c>
      <c r="C411" s="8" t="s">
        <v>522</v>
      </c>
      <c r="D411" s="8">
        <v>1</v>
      </c>
      <c r="E411" s="8" t="s">
        <v>787</v>
      </c>
      <c r="F411" s="8" t="s">
        <v>524</v>
      </c>
      <c r="G411" s="8" t="s">
        <v>525</v>
      </c>
      <c r="H411" s="10">
        <v>32</v>
      </c>
      <c r="I411" s="10"/>
      <c r="J411" s="10">
        <v>32</v>
      </c>
      <c r="K411" s="10">
        <v>64.599999999999994</v>
      </c>
    </row>
    <row r="412" spans="1:11" x14ac:dyDescent="0.25">
      <c r="A412" s="8" t="s">
        <v>788</v>
      </c>
      <c r="B412" s="8" t="s">
        <v>45</v>
      </c>
      <c r="C412" s="8" t="s">
        <v>522</v>
      </c>
      <c r="D412" s="8">
        <v>1</v>
      </c>
      <c r="E412" s="8" t="s">
        <v>789</v>
      </c>
      <c r="F412" s="8" t="s">
        <v>524</v>
      </c>
      <c r="G412" s="8" t="s">
        <v>525</v>
      </c>
      <c r="H412" s="10">
        <v>1800</v>
      </c>
      <c r="I412" s="10"/>
      <c r="J412" s="10">
        <v>1800</v>
      </c>
      <c r="K412" s="10">
        <v>117.7</v>
      </c>
    </row>
    <row r="413" spans="1:11" x14ac:dyDescent="0.25">
      <c r="A413" s="8" t="s">
        <v>790</v>
      </c>
      <c r="B413" s="8" t="s">
        <v>45</v>
      </c>
      <c r="C413" s="8" t="s">
        <v>522</v>
      </c>
      <c r="D413" s="8">
        <v>1</v>
      </c>
      <c r="E413" s="8" t="s">
        <v>791</v>
      </c>
      <c r="F413" s="8" t="s">
        <v>524</v>
      </c>
      <c r="G413" s="8" t="s">
        <v>525</v>
      </c>
      <c r="H413" s="10">
        <v>180</v>
      </c>
      <c r="I413" s="10"/>
      <c r="J413" s="10">
        <v>180</v>
      </c>
      <c r="K413" s="10">
        <v>163.69999999999999</v>
      </c>
    </row>
    <row r="414" spans="1:11" x14ac:dyDescent="0.25">
      <c r="A414" s="8" t="s">
        <v>792</v>
      </c>
      <c r="B414" s="8" t="s">
        <v>45</v>
      </c>
      <c r="C414" s="8" t="s">
        <v>522</v>
      </c>
      <c r="D414" s="8">
        <v>1</v>
      </c>
      <c r="E414" s="8" t="s">
        <v>793</v>
      </c>
      <c r="F414" s="8" t="s">
        <v>524</v>
      </c>
      <c r="G414" s="8" t="s">
        <v>525</v>
      </c>
      <c r="H414" s="10">
        <v>90</v>
      </c>
      <c r="I414" s="10"/>
      <c r="J414" s="10">
        <v>90</v>
      </c>
      <c r="K414" s="10">
        <v>209.7</v>
      </c>
    </row>
    <row r="415" spans="1:11" x14ac:dyDescent="0.25">
      <c r="A415" s="8" t="s">
        <v>794</v>
      </c>
      <c r="B415" s="8" t="s">
        <v>45</v>
      </c>
      <c r="C415" s="8" t="s">
        <v>522</v>
      </c>
      <c r="D415" s="8">
        <v>1</v>
      </c>
      <c r="E415" s="8" t="s">
        <v>795</v>
      </c>
      <c r="F415" s="8" t="s">
        <v>524</v>
      </c>
      <c r="G415" s="8" t="s">
        <v>525</v>
      </c>
      <c r="H415" s="10">
        <v>54</v>
      </c>
      <c r="I415" s="10"/>
      <c r="J415" s="10">
        <v>54</v>
      </c>
      <c r="K415" s="10">
        <v>151.80000000000001</v>
      </c>
    </row>
    <row r="416" spans="1:11" x14ac:dyDescent="0.25">
      <c r="A416" s="8" t="s">
        <v>796</v>
      </c>
      <c r="B416" s="8" t="s">
        <v>45</v>
      </c>
      <c r="C416" s="8" t="s">
        <v>522</v>
      </c>
      <c r="D416" s="8">
        <v>1</v>
      </c>
      <c r="E416" s="8" t="s">
        <v>797</v>
      </c>
      <c r="F416" s="8" t="s">
        <v>524</v>
      </c>
      <c r="G416" s="8" t="s">
        <v>525</v>
      </c>
      <c r="H416" s="10">
        <v>8</v>
      </c>
      <c r="I416" s="10"/>
      <c r="J416" s="10">
        <v>8</v>
      </c>
      <c r="K416" s="10">
        <v>307</v>
      </c>
    </row>
    <row r="417" spans="1:11" x14ac:dyDescent="0.25">
      <c r="A417" s="8" t="s">
        <v>798</v>
      </c>
      <c r="B417" s="8" t="s">
        <v>45</v>
      </c>
      <c r="C417" s="8" t="s">
        <v>522</v>
      </c>
      <c r="D417" s="8">
        <v>1</v>
      </c>
      <c r="E417" s="8" t="s">
        <v>799</v>
      </c>
      <c r="F417" s="8" t="s">
        <v>524</v>
      </c>
      <c r="G417" s="8" t="s">
        <v>525</v>
      </c>
      <c r="H417" s="10">
        <v>4</v>
      </c>
      <c r="I417" s="10"/>
      <c r="J417" s="10">
        <v>4</v>
      </c>
      <c r="K417" s="10">
        <v>370</v>
      </c>
    </row>
    <row r="418" spans="1:11" x14ac:dyDescent="0.25">
      <c r="A418" s="8" t="s">
        <v>800</v>
      </c>
      <c r="B418" s="8" t="s">
        <v>45</v>
      </c>
      <c r="C418" s="8" t="s">
        <v>522</v>
      </c>
      <c r="D418" s="8">
        <v>1</v>
      </c>
      <c r="E418" s="8" t="s">
        <v>801</v>
      </c>
      <c r="F418" s="8" t="s">
        <v>524</v>
      </c>
      <c r="G418" s="8" t="s">
        <v>525</v>
      </c>
      <c r="H418" s="10">
        <v>5400</v>
      </c>
      <c r="I418" s="10"/>
      <c r="J418" s="10">
        <v>5400</v>
      </c>
      <c r="K418" s="10">
        <v>71.7</v>
      </c>
    </row>
    <row r="419" spans="1:11" x14ac:dyDescent="0.25">
      <c r="A419" s="8" t="s">
        <v>802</v>
      </c>
      <c r="B419" s="8" t="s">
        <v>45</v>
      </c>
      <c r="C419" s="8" t="s">
        <v>522</v>
      </c>
      <c r="D419" s="8">
        <v>1</v>
      </c>
      <c r="E419" s="8" t="s">
        <v>803</v>
      </c>
      <c r="F419" s="8" t="s">
        <v>524</v>
      </c>
      <c r="G419" s="8" t="s">
        <v>525</v>
      </c>
      <c r="H419" s="10">
        <v>540</v>
      </c>
      <c r="I419" s="10"/>
      <c r="J419" s="10">
        <v>540</v>
      </c>
      <c r="K419" s="10">
        <v>96.2</v>
      </c>
    </row>
    <row r="420" spans="1:11" x14ac:dyDescent="0.25">
      <c r="A420" s="8" t="s">
        <v>804</v>
      </c>
      <c r="B420" s="8" t="s">
        <v>45</v>
      </c>
      <c r="C420" s="8" t="s">
        <v>522</v>
      </c>
      <c r="D420" s="8">
        <v>1</v>
      </c>
      <c r="E420" s="8" t="s">
        <v>805</v>
      </c>
      <c r="F420" s="8" t="s">
        <v>524</v>
      </c>
      <c r="G420" s="8" t="s">
        <v>525</v>
      </c>
      <c r="H420" s="10">
        <v>270</v>
      </c>
      <c r="I420" s="10"/>
      <c r="J420" s="10">
        <v>270</v>
      </c>
      <c r="K420" s="10">
        <v>120.7</v>
      </c>
    </row>
    <row r="421" spans="1:11" x14ac:dyDescent="0.25">
      <c r="A421" s="8" t="s">
        <v>806</v>
      </c>
      <c r="B421" s="8" t="s">
        <v>45</v>
      </c>
      <c r="C421" s="8" t="s">
        <v>522</v>
      </c>
      <c r="D421" s="8">
        <v>1</v>
      </c>
      <c r="E421" s="8" t="s">
        <v>807</v>
      </c>
      <c r="F421" s="8" t="s">
        <v>524</v>
      </c>
      <c r="G421" s="8" t="s">
        <v>525</v>
      </c>
      <c r="H421" s="10">
        <v>162</v>
      </c>
      <c r="I421" s="10"/>
      <c r="J421" s="10">
        <v>162</v>
      </c>
      <c r="K421" s="10">
        <v>89.9</v>
      </c>
    </row>
    <row r="422" spans="1:11" x14ac:dyDescent="0.25">
      <c r="A422" s="8" t="s">
        <v>808</v>
      </c>
      <c r="B422" s="8" t="s">
        <v>45</v>
      </c>
      <c r="C422" s="8" t="s">
        <v>522</v>
      </c>
      <c r="D422" s="8">
        <v>1</v>
      </c>
      <c r="E422" s="8" t="s">
        <v>809</v>
      </c>
      <c r="F422" s="8" t="s">
        <v>524</v>
      </c>
      <c r="G422" s="8" t="s">
        <v>525</v>
      </c>
      <c r="H422" s="10">
        <v>16</v>
      </c>
      <c r="I422" s="10"/>
      <c r="J422" s="10">
        <v>16</v>
      </c>
      <c r="K422" s="10">
        <v>172.5</v>
      </c>
    </row>
    <row r="423" spans="1:11" x14ac:dyDescent="0.25">
      <c r="A423" s="8" t="s">
        <v>810</v>
      </c>
      <c r="B423" s="8" t="s">
        <v>45</v>
      </c>
      <c r="C423" s="8" t="s">
        <v>522</v>
      </c>
      <c r="D423" s="8">
        <v>1</v>
      </c>
      <c r="E423" s="8" t="s">
        <v>811</v>
      </c>
      <c r="F423" s="8" t="s">
        <v>524</v>
      </c>
      <c r="G423" s="8" t="s">
        <v>525</v>
      </c>
      <c r="H423" s="10">
        <v>8</v>
      </c>
      <c r="I423" s="10"/>
      <c r="J423" s="10">
        <v>8</v>
      </c>
      <c r="K423" s="10">
        <v>206.1</v>
      </c>
    </row>
    <row r="424" spans="1:11" x14ac:dyDescent="0.25">
      <c r="A424" s="8" t="s">
        <v>812</v>
      </c>
      <c r="B424" s="8" t="s">
        <v>45</v>
      </c>
      <c r="C424" s="8" t="s">
        <v>522</v>
      </c>
      <c r="D424" s="8">
        <v>1</v>
      </c>
      <c r="E424" s="8" t="s">
        <v>813</v>
      </c>
      <c r="F424" s="8" t="s">
        <v>524</v>
      </c>
      <c r="G424" s="8" t="s">
        <v>525</v>
      </c>
      <c r="H424" s="10">
        <v>1300</v>
      </c>
      <c r="I424" s="10"/>
      <c r="J424" s="10">
        <v>1300</v>
      </c>
      <c r="K424" s="10">
        <v>117.7</v>
      </c>
    </row>
    <row r="425" spans="1:11" x14ac:dyDescent="0.25">
      <c r="A425" s="8" t="s">
        <v>814</v>
      </c>
      <c r="B425" s="8" t="s">
        <v>45</v>
      </c>
      <c r="C425" s="8" t="s">
        <v>522</v>
      </c>
      <c r="D425" s="8">
        <v>1</v>
      </c>
      <c r="E425" s="8" t="s">
        <v>815</v>
      </c>
      <c r="F425" s="8" t="s">
        <v>524</v>
      </c>
      <c r="G425" s="8" t="s">
        <v>525</v>
      </c>
      <c r="H425" s="10">
        <v>130</v>
      </c>
      <c r="I425" s="10"/>
      <c r="J425" s="10">
        <v>130</v>
      </c>
      <c r="K425" s="10">
        <v>163.69999999999999</v>
      </c>
    </row>
    <row r="426" spans="1:11" x14ac:dyDescent="0.25">
      <c r="A426" s="8" t="s">
        <v>816</v>
      </c>
      <c r="B426" s="8" t="s">
        <v>45</v>
      </c>
      <c r="C426" s="8" t="s">
        <v>522</v>
      </c>
      <c r="D426" s="8">
        <v>1</v>
      </c>
      <c r="E426" s="8" t="s">
        <v>817</v>
      </c>
      <c r="F426" s="8" t="s">
        <v>524</v>
      </c>
      <c r="G426" s="8" t="s">
        <v>525</v>
      </c>
      <c r="H426" s="10">
        <v>65</v>
      </c>
      <c r="I426" s="10"/>
      <c r="J426" s="10">
        <v>65</v>
      </c>
      <c r="K426" s="10">
        <v>209.7</v>
      </c>
    </row>
    <row r="427" spans="1:11" x14ac:dyDescent="0.25">
      <c r="A427" s="8" t="s">
        <v>818</v>
      </c>
      <c r="B427" s="8" t="s">
        <v>45</v>
      </c>
      <c r="C427" s="8" t="s">
        <v>522</v>
      </c>
      <c r="D427" s="8">
        <v>1</v>
      </c>
      <c r="E427" s="8" t="s">
        <v>819</v>
      </c>
      <c r="F427" s="8" t="s">
        <v>524</v>
      </c>
      <c r="G427" s="8" t="s">
        <v>525</v>
      </c>
      <c r="H427" s="10">
        <v>39</v>
      </c>
      <c r="I427" s="10"/>
      <c r="J427" s="10">
        <v>39</v>
      </c>
      <c r="K427" s="10">
        <v>151.80000000000001</v>
      </c>
    </row>
    <row r="428" spans="1:11" x14ac:dyDescent="0.25">
      <c r="A428" s="8" t="s">
        <v>820</v>
      </c>
      <c r="B428" s="8" t="s">
        <v>45</v>
      </c>
      <c r="C428" s="8" t="s">
        <v>522</v>
      </c>
      <c r="D428" s="8">
        <v>1</v>
      </c>
      <c r="E428" s="8" t="s">
        <v>821</v>
      </c>
      <c r="F428" s="8" t="s">
        <v>524</v>
      </c>
      <c r="G428" s="8" t="s">
        <v>525</v>
      </c>
      <c r="H428" s="10">
        <v>8</v>
      </c>
      <c r="I428" s="10"/>
      <c r="J428" s="10">
        <v>8</v>
      </c>
      <c r="K428" s="10">
        <v>307</v>
      </c>
    </row>
    <row r="429" spans="1:11" x14ac:dyDescent="0.25">
      <c r="A429" s="8" t="s">
        <v>822</v>
      </c>
      <c r="B429" s="8" t="s">
        <v>45</v>
      </c>
      <c r="C429" s="8" t="s">
        <v>522</v>
      </c>
      <c r="D429" s="8">
        <v>1</v>
      </c>
      <c r="E429" s="8" t="s">
        <v>823</v>
      </c>
      <c r="F429" s="8" t="s">
        <v>524</v>
      </c>
      <c r="G429" s="8" t="s">
        <v>525</v>
      </c>
      <c r="H429" s="10">
        <v>4</v>
      </c>
      <c r="I429" s="10"/>
      <c r="J429" s="10">
        <v>4</v>
      </c>
      <c r="K429" s="10">
        <v>370</v>
      </c>
    </row>
    <row r="430" spans="1:11" x14ac:dyDescent="0.25">
      <c r="A430" s="8" t="s">
        <v>824</v>
      </c>
      <c r="B430" s="8" t="s">
        <v>45</v>
      </c>
      <c r="C430" s="8" t="s">
        <v>522</v>
      </c>
      <c r="D430" s="8">
        <v>1</v>
      </c>
      <c r="E430" s="8" t="s">
        <v>825</v>
      </c>
      <c r="F430" s="8" t="s">
        <v>524</v>
      </c>
      <c r="G430" s="8" t="s">
        <v>525</v>
      </c>
      <c r="H430" s="10">
        <v>5400</v>
      </c>
      <c r="I430" s="10"/>
      <c r="J430" s="10">
        <v>5400</v>
      </c>
      <c r="K430" s="10">
        <v>59.6</v>
      </c>
    </row>
    <row r="431" spans="1:11" x14ac:dyDescent="0.25">
      <c r="A431" s="8" t="s">
        <v>826</v>
      </c>
      <c r="B431" s="8" t="s">
        <v>45</v>
      </c>
      <c r="C431" s="8" t="s">
        <v>522</v>
      </c>
      <c r="D431" s="8">
        <v>1</v>
      </c>
      <c r="E431" s="8" t="s">
        <v>827</v>
      </c>
      <c r="F431" s="8" t="s">
        <v>524</v>
      </c>
      <c r="G431" s="8" t="s">
        <v>525</v>
      </c>
      <c r="H431" s="10">
        <v>540</v>
      </c>
      <c r="I431" s="10"/>
      <c r="J431" s="10">
        <v>540</v>
      </c>
      <c r="K431" s="10">
        <v>78.400000000000006</v>
      </c>
    </row>
    <row r="432" spans="1:11" x14ac:dyDescent="0.25">
      <c r="A432" s="8" t="s">
        <v>828</v>
      </c>
      <c r="B432" s="8" t="s">
        <v>45</v>
      </c>
      <c r="C432" s="8" t="s">
        <v>522</v>
      </c>
      <c r="D432" s="8">
        <v>1</v>
      </c>
      <c r="E432" s="8" t="s">
        <v>829</v>
      </c>
      <c r="F432" s="8" t="s">
        <v>524</v>
      </c>
      <c r="G432" s="8" t="s">
        <v>525</v>
      </c>
      <c r="H432" s="10">
        <v>270</v>
      </c>
      <c r="I432" s="10"/>
      <c r="J432" s="10">
        <v>270</v>
      </c>
      <c r="K432" s="10">
        <v>97.3</v>
      </c>
    </row>
    <row r="433" spans="1:11" x14ac:dyDescent="0.25">
      <c r="A433" s="8" t="s">
        <v>830</v>
      </c>
      <c r="B433" s="8" t="s">
        <v>45</v>
      </c>
      <c r="C433" s="8" t="s">
        <v>522</v>
      </c>
      <c r="D433" s="8">
        <v>1</v>
      </c>
      <c r="E433" s="8" t="s">
        <v>831</v>
      </c>
      <c r="F433" s="8" t="s">
        <v>524</v>
      </c>
      <c r="G433" s="8" t="s">
        <v>525</v>
      </c>
      <c r="H433" s="10">
        <v>162</v>
      </c>
      <c r="I433" s="10"/>
      <c r="J433" s="10">
        <v>162</v>
      </c>
      <c r="K433" s="10">
        <v>73.599999999999994</v>
      </c>
    </row>
    <row r="434" spans="1:11" x14ac:dyDescent="0.25">
      <c r="A434" s="8" t="s">
        <v>832</v>
      </c>
      <c r="B434" s="8" t="s">
        <v>45</v>
      </c>
      <c r="C434" s="8" t="s">
        <v>522</v>
      </c>
      <c r="D434" s="8">
        <v>1</v>
      </c>
      <c r="E434" s="8" t="s">
        <v>833</v>
      </c>
      <c r="F434" s="8" t="s">
        <v>524</v>
      </c>
      <c r="G434" s="8" t="s">
        <v>525</v>
      </c>
      <c r="H434" s="10">
        <v>16</v>
      </c>
      <c r="I434" s="10"/>
      <c r="J434" s="10">
        <v>16</v>
      </c>
      <c r="K434" s="10">
        <v>137.1</v>
      </c>
    </row>
    <row r="435" spans="1:11" x14ac:dyDescent="0.25">
      <c r="A435" s="8" t="s">
        <v>834</v>
      </c>
      <c r="B435" s="8" t="s">
        <v>45</v>
      </c>
      <c r="C435" s="8" t="s">
        <v>522</v>
      </c>
      <c r="D435" s="8">
        <v>1</v>
      </c>
      <c r="E435" s="8" t="s">
        <v>835</v>
      </c>
      <c r="F435" s="8" t="s">
        <v>524</v>
      </c>
      <c r="G435" s="8" t="s">
        <v>525</v>
      </c>
      <c r="H435" s="10">
        <v>8</v>
      </c>
      <c r="I435" s="10"/>
      <c r="J435" s="10">
        <v>8</v>
      </c>
      <c r="K435" s="10">
        <v>163</v>
      </c>
    </row>
    <row r="436" spans="1:11" x14ac:dyDescent="0.25">
      <c r="A436" s="8" t="s">
        <v>836</v>
      </c>
      <c r="B436" s="8" t="s">
        <v>45</v>
      </c>
      <c r="C436" s="8" t="s">
        <v>522</v>
      </c>
      <c r="D436" s="8">
        <v>1</v>
      </c>
      <c r="E436" s="8" t="s">
        <v>837</v>
      </c>
      <c r="F436" s="8" t="s">
        <v>524</v>
      </c>
      <c r="G436" s="8" t="s">
        <v>525</v>
      </c>
      <c r="H436" s="10">
        <v>2600</v>
      </c>
      <c r="I436" s="10"/>
      <c r="J436" s="10">
        <v>2600</v>
      </c>
      <c r="K436" s="10">
        <v>59.6</v>
      </c>
    </row>
    <row r="437" spans="1:11" x14ac:dyDescent="0.25">
      <c r="A437" s="8" t="s">
        <v>838</v>
      </c>
      <c r="B437" s="8" t="s">
        <v>45</v>
      </c>
      <c r="C437" s="8" t="s">
        <v>522</v>
      </c>
      <c r="D437" s="8">
        <v>1</v>
      </c>
      <c r="E437" s="8" t="s">
        <v>839</v>
      </c>
      <c r="F437" s="8" t="s">
        <v>524</v>
      </c>
      <c r="G437" s="8" t="s">
        <v>525</v>
      </c>
      <c r="H437" s="10">
        <v>260</v>
      </c>
      <c r="I437" s="10"/>
      <c r="J437" s="10">
        <v>260</v>
      </c>
      <c r="K437" s="10">
        <v>78.400000000000006</v>
      </c>
    </row>
    <row r="438" spans="1:11" x14ac:dyDescent="0.25">
      <c r="A438" s="8" t="s">
        <v>840</v>
      </c>
      <c r="B438" s="8" t="s">
        <v>45</v>
      </c>
      <c r="C438" s="8" t="s">
        <v>522</v>
      </c>
      <c r="D438" s="8">
        <v>1</v>
      </c>
      <c r="E438" s="8" t="s">
        <v>841</v>
      </c>
      <c r="F438" s="8" t="s">
        <v>524</v>
      </c>
      <c r="G438" s="8" t="s">
        <v>525</v>
      </c>
      <c r="H438" s="10">
        <v>130</v>
      </c>
      <c r="I438" s="10"/>
      <c r="J438" s="10">
        <v>130</v>
      </c>
      <c r="K438" s="10">
        <v>97.3</v>
      </c>
    </row>
    <row r="439" spans="1:11" x14ac:dyDescent="0.25">
      <c r="A439" s="8" t="s">
        <v>842</v>
      </c>
      <c r="B439" s="8" t="s">
        <v>45</v>
      </c>
      <c r="C439" s="8" t="s">
        <v>522</v>
      </c>
      <c r="D439" s="8">
        <v>1</v>
      </c>
      <c r="E439" s="8" t="s">
        <v>843</v>
      </c>
      <c r="F439" s="8" t="s">
        <v>524</v>
      </c>
      <c r="G439" s="8" t="s">
        <v>525</v>
      </c>
      <c r="H439" s="10">
        <v>78</v>
      </c>
      <c r="I439" s="10"/>
      <c r="J439" s="10">
        <v>78</v>
      </c>
      <c r="K439" s="10">
        <v>73.599999999999994</v>
      </c>
    </row>
    <row r="440" spans="1:11" x14ac:dyDescent="0.25">
      <c r="A440" s="8" t="s">
        <v>844</v>
      </c>
      <c r="B440" s="8" t="s">
        <v>45</v>
      </c>
      <c r="C440" s="8" t="s">
        <v>522</v>
      </c>
      <c r="D440" s="8">
        <v>1</v>
      </c>
      <c r="E440" s="8" t="s">
        <v>845</v>
      </c>
      <c r="F440" s="8" t="s">
        <v>524</v>
      </c>
      <c r="G440" s="8" t="s">
        <v>525</v>
      </c>
      <c r="H440" s="10">
        <v>8</v>
      </c>
      <c r="I440" s="10"/>
      <c r="J440" s="10">
        <v>8</v>
      </c>
      <c r="K440" s="10">
        <v>137.1</v>
      </c>
    </row>
    <row r="441" spans="1:11" x14ac:dyDescent="0.25">
      <c r="A441" s="8" t="s">
        <v>846</v>
      </c>
      <c r="B441" s="8" t="s">
        <v>45</v>
      </c>
      <c r="C441" s="8" t="s">
        <v>522</v>
      </c>
      <c r="D441" s="8">
        <v>1</v>
      </c>
      <c r="E441" s="8" t="s">
        <v>847</v>
      </c>
      <c r="F441" s="8" t="s">
        <v>524</v>
      </c>
      <c r="G441" s="8" t="s">
        <v>525</v>
      </c>
      <c r="H441" s="10">
        <v>4</v>
      </c>
      <c r="I441" s="10"/>
      <c r="J441" s="10">
        <v>4</v>
      </c>
      <c r="K441" s="10">
        <v>163</v>
      </c>
    </row>
    <row r="442" spans="1:11" x14ac:dyDescent="0.25">
      <c r="A442" s="8" t="s">
        <v>848</v>
      </c>
      <c r="B442" s="8" t="s">
        <v>45</v>
      </c>
      <c r="C442" s="8" t="s">
        <v>522</v>
      </c>
      <c r="D442" s="8">
        <v>1</v>
      </c>
      <c r="E442" s="8" t="s">
        <v>849</v>
      </c>
      <c r="F442" s="8" t="s">
        <v>524</v>
      </c>
      <c r="G442" s="8" t="s">
        <v>525</v>
      </c>
      <c r="H442" s="10">
        <v>2600</v>
      </c>
      <c r="I442" s="10"/>
      <c r="J442" s="10">
        <v>2600</v>
      </c>
      <c r="K442" s="10">
        <v>117.7</v>
      </c>
    </row>
    <row r="443" spans="1:11" x14ac:dyDescent="0.25">
      <c r="A443" s="8" t="s">
        <v>850</v>
      </c>
      <c r="B443" s="8" t="s">
        <v>45</v>
      </c>
      <c r="C443" s="8" t="s">
        <v>522</v>
      </c>
      <c r="D443" s="8">
        <v>1</v>
      </c>
      <c r="E443" s="8" t="s">
        <v>851</v>
      </c>
      <c r="F443" s="8" t="s">
        <v>524</v>
      </c>
      <c r="G443" s="8" t="s">
        <v>525</v>
      </c>
      <c r="H443" s="10">
        <v>260</v>
      </c>
      <c r="I443" s="10"/>
      <c r="J443" s="10">
        <v>260</v>
      </c>
      <c r="K443" s="10">
        <v>163.69999999999999</v>
      </c>
    </row>
    <row r="444" spans="1:11" x14ac:dyDescent="0.25">
      <c r="A444" s="8" t="s">
        <v>852</v>
      </c>
      <c r="B444" s="8" t="s">
        <v>45</v>
      </c>
      <c r="C444" s="8" t="s">
        <v>522</v>
      </c>
      <c r="D444" s="8">
        <v>1</v>
      </c>
      <c r="E444" s="8" t="s">
        <v>853</v>
      </c>
      <c r="F444" s="8" t="s">
        <v>524</v>
      </c>
      <c r="G444" s="8" t="s">
        <v>525</v>
      </c>
      <c r="H444" s="10">
        <v>130</v>
      </c>
      <c r="I444" s="10"/>
      <c r="J444" s="10">
        <v>130</v>
      </c>
      <c r="K444" s="10">
        <v>209.7</v>
      </c>
    </row>
    <row r="445" spans="1:11" x14ac:dyDescent="0.25">
      <c r="A445" s="8" t="s">
        <v>854</v>
      </c>
      <c r="B445" s="8" t="s">
        <v>45</v>
      </c>
      <c r="C445" s="8" t="s">
        <v>522</v>
      </c>
      <c r="D445" s="8">
        <v>1</v>
      </c>
      <c r="E445" s="8" t="s">
        <v>855</v>
      </c>
      <c r="F445" s="8" t="s">
        <v>524</v>
      </c>
      <c r="G445" s="8" t="s">
        <v>525</v>
      </c>
      <c r="H445" s="10">
        <v>78</v>
      </c>
      <c r="I445" s="10"/>
      <c r="J445" s="10">
        <v>78</v>
      </c>
      <c r="K445" s="10">
        <v>151.80000000000001</v>
      </c>
    </row>
    <row r="446" spans="1:11" x14ac:dyDescent="0.25">
      <c r="A446" s="8" t="s">
        <v>856</v>
      </c>
      <c r="B446" s="8" t="s">
        <v>45</v>
      </c>
      <c r="C446" s="8" t="s">
        <v>522</v>
      </c>
      <c r="D446" s="8">
        <v>1</v>
      </c>
      <c r="E446" s="8" t="s">
        <v>857</v>
      </c>
      <c r="F446" s="8" t="s">
        <v>524</v>
      </c>
      <c r="G446" s="8" t="s">
        <v>525</v>
      </c>
      <c r="H446" s="10">
        <v>8</v>
      </c>
      <c r="I446" s="10"/>
      <c r="J446" s="10">
        <v>8</v>
      </c>
      <c r="K446" s="10">
        <v>307</v>
      </c>
    </row>
    <row r="447" spans="1:11" x14ac:dyDescent="0.25">
      <c r="A447" s="8" t="s">
        <v>858</v>
      </c>
      <c r="B447" s="8" t="s">
        <v>45</v>
      </c>
      <c r="C447" s="8" t="s">
        <v>522</v>
      </c>
      <c r="D447" s="8">
        <v>1</v>
      </c>
      <c r="E447" s="8" t="s">
        <v>859</v>
      </c>
      <c r="F447" s="8" t="s">
        <v>524</v>
      </c>
      <c r="G447" s="8" t="s">
        <v>525</v>
      </c>
      <c r="H447" s="10">
        <v>4</v>
      </c>
      <c r="I447" s="10"/>
      <c r="J447" s="10">
        <v>4</v>
      </c>
      <c r="K447" s="10">
        <v>370</v>
      </c>
    </row>
    <row r="448" spans="1:11" x14ac:dyDescent="0.25">
      <c r="A448" s="8" t="s">
        <v>860</v>
      </c>
      <c r="B448" s="8" t="s">
        <v>45</v>
      </c>
      <c r="C448" s="8" t="s">
        <v>522</v>
      </c>
      <c r="D448" s="8">
        <v>1</v>
      </c>
      <c r="E448" s="8" t="s">
        <v>861</v>
      </c>
      <c r="F448" s="8" t="s">
        <v>524</v>
      </c>
      <c r="G448" s="8" t="s">
        <v>525</v>
      </c>
      <c r="H448" s="10">
        <v>1800</v>
      </c>
      <c r="I448" s="10"/>
      <c r="J448" s="10">
        <v>1800</v>
      </c>
      <c r="K448" s="10">
        <v>117.7</v>
      </c>
    </row>
    <row r="449" spans="1:11" x14ac:dyDescent="0.25">
      <c r="A449" s="8" t="s">
        <v>862</v>
      </c>
      <c r="B449" s="8" t="s">
        <v>45</v>
      </c>
      <c r="C449" s="8" t="s">
        <v>522</v>
      </c>
      <c r="D449" s="8">
        <v>1</v>
      </c>
      <c r="E449" s="8" t="s">
        <v>863</v>
      </c>
      <c r="F449" s="8" t="s">
        <v>524</v>
      </c>
      <c r="G449" s="8" t="s">
        <v>525</v>
      </c>
      <c r="H449" s="10">
        <v>180</v>
      </c>
      <c r="I449" s="10"/>
      <c r="J449" s="10">
        <v>180</v>
      </c>
      <c r="K449" s="10">
        <v>163.69999999999999</v>
      </c>
    </row>
    <row r="450" spans="1:11" x14ac:dyDescent="0.25">
      <c r="A450" s="8" t="s">
        <v>864</v>
      </c>
      <c r="B450" s="8" t="s">
        <v>45</v>
      </c>
      <c r="C450" s="8" t="s">
        <v>522</v>
      </c>
      <c r="D450" s="8">
        <v>1</v>
      </c>
      <c r="E450" s="8" t="s">
        <v>865</v>
      </c>
      <c r="F450" s="8" t="s">
        <v>524</v>
      </c>
      <c r="G450" s="8" t="s">
        <v>525</v>
      </c>
      <c r="H450" s="10">
        <v>90</v>
      </c>
      <c r="I450" s="10"/>
      <c r="J450" s="10">
        <v>90</v>
      </c>
      <c r="K450" s="10">
        <v>209.7</v>
      </c>
    </row>
    <row r="451" spans="1:11" x14ac:dyDescent="0.25">
      <c r="A451" s="8" t="s">
        <v>866</v>
      </c>
      <c r="B451" s="8" t="s">
        <v>45</v>
      </c>
      <c r="C451" s="8" t="s">
        <v>522</v>
      </c>
      <c r="D451" s="8">
        <v>1</v>
      </c>
      <c r="E451" s="8" t="s">
        <v>867</v>
      </c>
      <c r="F451" s="8" t="s">
        <v>524</v>
      </c>
      <c r="G451" s="8" t="s">
        <v>525</v>
      </c>
      <c r="H451" s="10">
        <v>54</v>
      </c>
      <c r="I451" s="10"/>
      <c r="J451" s="10">
        <v>54</v>
      </c>
      <c r="K451" s="10">
        <v>151.80000000000001</v>
      </c>
    </row>
    <row r="452" spans="1:11" x14ac:dyDescent="0.25">
      <c r="A452" s="8" t="s">
        <v>868</v>
      </c>
      <c r="B452" s="8" t="s">
        <v>45</v>
      </c>
      <c r="C452" s="8" t="s">
        <v>522</v>
      </c>
      <c r="D452" s="8">
        <v>1</v>
      </c>
      <c r="E452" s="8" t="s">
        <v>869</v>
      </c>
      <c r="F452" s="8" t="s">
        <v>524</v>
      </c>
      <c r="G452" s="8" t="s">
        <v>525</v>
      </c>
      <c r="H452" s="10">
        <v>8</v>
      </c>
      <c r="I452" s="10"/>
      <c r="J452" s="10">
        <v>8</v>
      </c>
      <c r="K452" s="10">
        <v>307</v>
      </c>
    </row>
    <row r="453" spans="1:11" x14ac:dyDescent="0.25">
      <c r="A453" s="8" t="s">
        <v>870</v>
      </c>
      <c r="B453" s="8" t="s">
        <v>45</v>
      </c>
      <c r="C453" s="8" t="s">
        <v>522</v>
      </c>
      <c r="D453" s="8">
        <v>1</v>
      </c>
      <c r="E453" s="8" t="s">
        <v>871</v>
      </c>
      <c r="F453" s="8" t="s">
        <v>524</v>
      </c>
      <c r="G453" s="8" t="s">
        <v>525</v>
      </c>
      <c r="H453" s="10">
        <v>4</v>
      </c>
      <c r="I453" s="10"/>
      <c r="J453" s="10">
        <v>4</v>
      </c>
      <c r="K453" s="10">
        <v>370</v>
      </c>
    </row>
    <row r="454" spans="1:11" x14ac:dyDescent="0.25">
      <c r="A454" s="8" t="s">
        <v>872</v>
      </c>
      <c r="B454" s="8" t="s">
        <v>45</v>
      </c>
      <c r="C454" s="8" t="s">
        <v>522</v>
      </c>
      <c r="D454" s="8">
        <v>1</v>
      </c>
      <c r="E454" s="8" t="s">
        <v>873</v>
      </c>
      <c r="F454" s="8" t="s">
        <v>524</v>
      </c>
      <c r="G454" s="8" t="s">
        <v>525</v>
      </c>
      <c r="H454" s="10">
        <v>1800</v>
      </c>
      <c r="I454" s="10"/>
      <c r="J454" s="10">
        <v>1800</v>
      </c>
      <c r="K454" s="10">
        <v>78.099999999999994</v>
      </c>
    </row>
    <row r="455" spans="1:11" x14ac:dyDescent="0.25">
      <c r="A455" s="8" t="s">
        <v>874</v>
      </c>
      <c r="B455" s="8" t="s">
        <v>45</v>
      </c>
      <c r="C455" s="8" t="s">
        <v>522</v>
      </c>
      <c r="D455" s="8">
        <v>1</v>
      </c>
      <c r="E455" s="8" t="s">
        <v>875</v>
      </c>
      <c r="F455" s="8" t="s">
        <v>524</v>
      </c>
      <c r="G455" s="8" t="s">
        <v>525</v>
      </c>
      <c r="H455" s="10">
        <v>180</v>
      </c>
      <c r="I455" s="10"/>
      <c r="J455" s="10">
        <v>180</v>
      </c>
      <c r="K455" s="10">
        <v>105.7</v>
      </c>
    </row>
    <row r="456" spans="1:11" x14ac:dyDescent="0.25">
      <c r="A456" s="8" t="s">
        <v>876</v>
      </c>
      <c r="B456" s="8" t="s">
        <v>45</v>
      </c>
      <c r="C456" s="8" t="s">
        <v>522</v>
      </c>
      <c r="D456" s="8">
        <v>1</v>
      </c>
      <c r="E456" s="8" t="s">
        <v>877</v>
      </c>
      <c r="F456" s="8" t="s">
        <v>524</v>
      </c>
      <c r="G456" s="8" t="s">
        <v>525</v>
      </c>
      <c r="H456" s="10">
        <v>90</v>
      </c>
      <c r="I456" s="10"/>
      <c r="J456" s="10">
        <v>90</v>
      </c>
      <c r="K456" s="10">
        <v>133.19999999999999</v>
      </c>
    </row>
    <row r="457" spans="1:11" x14ac:dyDescent="0.25">
      <c r="A457" s="8" t="s">
        <v>878</v>
      </c>
      <c r="B457" s="8" t="s">
        <v>45</v>
      </c>
      <c r="C457" s="8" t="s">
        <v>522</v>
      </c>
      <c r="D457" s="8">
        <v>1</v>
      </c>
      <c r="E457" s="8" t="s">
        <v>879</v>
      </c>
      <c r="F457" s="8" t="s">
        <v>524</v>
      </c>
      <c r="G457" s="8" t="s">
        <v>525</v>
      </c>
      <c r="H457" s="10">
        <v>54</v>
      </c>
      <c r="I457" s="10"/>
      <c r="J457" s="10">
        <v>54</v>
      </c>
      <c r="K457" s="10">
        <v>98.6</v>
      </c>
    </row>
    <row r="458" spans="1:11" x14ac:dyDescent="0.25">
      <c r="A458" s="8" t="s">
        <v>880</v>
      </c>
      <c r="B458" s="8" t="s">
        <v>45</v>
      </c>
      <c r="C458" s="8" t="s">
        <v>522</v>
      </c>
      <c r="D458" s="8">
        <v>1</v>
      </c>
      <c r="E458" s="8" t="s">
        <v>881</v>
      </c>
      <c r="F458" s="8" t="s">
        <v>524</v>
      </c>
      <c r="G458" s="8" t="s">
        <v>525</v>
      </c>
      <c r="H458" s="10">
        <v>8</v>
      </c>
      <c r="I458" s="10"/>
      <c r="J458" s="10">
        <v>8</v>
      </c>
      <c r="K458" s="10">
        <v>191.5</v>
      </c>
    </row>
    <row r="459" spans="1:11" x14ac:dyDescent="0.25">
      <c r="A459" s="8" t="s">
        <v>882</v>
      </c>
      <c r="B459" s="8" t="s">
        <v>45</v>
      </c>
      <c r="C459" s="8" t="s">
        <v>522</v>
      </c>
      <c r="D459" s="8">
        <v>1</v>
      </c>
      <c r="E459" s="8" t="s">
        <v>883</v>
      </c>
      <c r="F459" s="8" t="s">
        <v>524</v>
      </c>
      <c r="G459" s="8" t="s">
        <v>525</v>
      </c>
      <c r="H459" s="10">
        <v>4</v>
      </c>
      <c r="I459" s="10"/>
      <c r="J459" s="10">
        <v>4</v>
      </c>
      <c r="K459" s="10">
        <v>229.2</v>
      </c>
    </row>
    <row r="460" spans="1:11" x14ac:dyDescent="0.25">
      <c r="A460" s="8" t="s">
        <v>884</v>
      </c>
      <c r="B460" s="8" t="s">
        <v>45</v>
      </c>
      <c r="C460" s="8" t="s">
        <v>522</v>
      </c>
      <c r="D460" s="8">
        <v>1</v>
      </c>
      <c r="E460" s="8" t="s">
        <v>885</v>
      </c>
      <c r="F460" s="8" t="s">
        <v>524</v>
      </c>
      <c r="G460" s="8" t="s">
        <v>525</v>
      </c>
      <c r="H460" s="10">
        <v>1800</v>
      </c>
      <c r="I460" s="10"/>
      <c r="J460" s="10">
        <v>1800</v>
      </c>
      <c r="K460" s="10">
        <v>149</v>
      </c>
    </row>
    <row r="461" spans="1:11" x14ac:dyDescent="0.25">
      <c r="A461" s="8" t="s">
        <v>886</v>
      </c>
      <c r="B461" s="8" t="s">
        <v>45</v>
      </c>
      <c r="C461" s="8" t="s">
        <v>522</v>
      </c>
      <c r="D461" s="8">
        <v>1</v>
      </c>
      <c r="E461" s="8" t="s">
        <v>887</v>
      </c>
      <c r="F461" s="8" t="s">
        <v>524</v>
      </c>
      <c r="G461" s="8" t="s">
        <v>525</v>
      </c>
      <c r="H461" s="10">
        <v>180</v>
      </c>
      <c r="I461" s="10"/>
      <c r="J461" s="10">
        <v>180</v>
      </c>
      <c r="K461" s="10">
        <v>209.2</v>
      </c>
    </row>
    <row r="462" spans="1:11" x14ac:dyDescent="0.25">
      <c r="A462" s="8" t="s">
        <v>888</v>
      </c>
      <c r="B462" s="8" t="s">
        <v>45</v>
      </c>
      <c r="C462" s="8" t="s">
        <v>522</v>
      </c>
      <c r="D462" s="8">
        <v>1</v>
      </c>
      <c r="E462" s="8" t="s">
        <v>889</v>
      </c>
      <c r="F462" s="8" t="s">
        <v>524</v>
      </c>
      <c r="G462" s="8" t="s">
        <v>525</v>
      </c>
      <c r="H462" s="10">
        <v>90</v>
      </c>
      <c r="I462" s="10"/>
      <c r="J462" s="10">
        <v>90</v>
      </c>
      <c r="K462" s="10">
        <v>269.39999999999998</v>
      </c>
    </row>
    <row r="463" spans="1:11" x14ac:dyDescent="0.25">
      <c r="A463" s="8" t="s">
        <v>890</v>
      </c>
      <c r="B463" s="8" t="s">
        <v>45</v>
      </c>
      <c r="C463" s="8" t="s">
        <v>522</v>
      </c>
      <c r="D463" s="8">
        <v>1</v>
      </c>
      <c r="E463" s="8" t="s">
        <v>891</v>
      </c>
      <c r="F463" s="8" t="s">
        <v>524</v>
      </c>
      <c r="G463" s="8" t="s">
        <v>525</v>
      </c>
      <c r="H463" s="10">
        <v>54</v>
      </c>
      <c r="I463" s="10"/>
      <c r="J463" s="10">
        <v>54</v>
      </c>
      <c r="K463" s="10">
        <v>193.7</v>
      </c>
    </row>
    <row r="464" spans="1:11" x14ac:dyDescent="0.25">
      <c r="A464" s="8" t="s">
        <v>892</v>
      </c>
      <c r="B464" s="8" t="s">
        <v>45</v>
      </c>
      <c r="C464" s="8" t="s">
        <v>522</v>
      </c>
      <c r="D464" s="8">
        <v>1</v>
      </c>
      <c r="E464" s="8" t="s">
        <v>893</v>
      </c>
      <c r="F464" s="8" t="s">
        <v>524</v>
      </c>
      <c r="G464" s="8" t="s">
        <v>525</v>
      </c>
      <c r="H464" s="10">
        <v>8</v>
      </c>
      <c r="I464" s="10"/>
      <c r="J464" s="10">
        <v>8</v>
      </c>
      <c r="K464" s="10">
        <v>396.6</v>
      </c>
    </row>
    <row r="465" spans="1:11" x14ac:dyDescent="0.25">
      <c r="A465" s="8" t="s">
        <v>894</v>
      </c>
      <c r="B465" s="8" t="s">
        <v>45</v>
      </c>
      <c r="C465" s="8" t="s">
        <v>522</v>
      </c>
      <c r="D465" s="8">
        <v>1</v>
      </c>
      <c r="E465" s="8" t="s">
        <v>895</v>
      </c>
      <c r="F465" s="8" t="s">
        <v>524</v>
      </c>
      <c r="G465" s="8" t="s">
        <v>525</v>
      </c>
      <c r="H465" s="10">
        <v>4</v>
      </c>
      <c r="I465" s="10"/>
      <c r="J465" s="10">
        <v>4</v>
      </c>
      <c r="K465" s="10">
        <v>479.2</v>
      </c>
    </row>
    <row r="466" spans="1:11" x14ac:dyDescent="0.25">
      <c r="A466" s="8" t="s">
        <v>896</v>
      </c>
      <c r="B466" s="8" t="s">
        <v>45</v>
      </c>
      <c r="C466" s="8" t="s">
        <v>522</v>
      </c>
      <c r="D466" s="8">
        <v>1</v>
      </c>
      <c r="E466" s="8" t="s">
        <v>897</v>
      </c>
      <c r="F466" s="8" t="s">
        <v>524</v>
      </c>
      <c r="G466" s="8" t="s">
        <v>525</v>
      </c>
      <c r="H466" s="10">
        <v>3600</v>
      </c>
      <c r="I466" s="10"/>
      <c r="J466" s="10">
        <v>3600</v>
      </c>
      <c r="K466" s="10">
        <v>37.700000000000003</v>
      </c>
    </row>
    <row r="467" spans="1:11" x14ac:dyDescent="0.25">
      <c r="A467" s="8" t="s">
        <v>898</v>
      </c>
      <c r="B467" s="8" t="s">
        <v>45</v>
      </c>
      <c r="C467" s="8" t="s">
        <v>522</v>
      </c>
      <c r="D467" s="8">
        <v>1</v>
      </c>
      <c r="E467" s="8" t="s">
        <v>899</v>
      </c>
      <c r="F467" s="8" t="s">
        <v>524</v>
      </c>
      <c r="G467" s="8" t="s">
        <v>525</v>
      </c>
      <c r="H467" s="10">
        <v>360</v>
      </c>
      <c r="I467" s="10"/>
      <c r="J467" s="10">
        <v>360</v>
      </c>
      <c r="K467" s="10">
        <v>46.3</v>
      </c>
    </row>
    <row r="468" spans="1:11" x14ac:dyDescent="0.25">
      <c r="A468" s="8" t="s">
        <v>900</v>
      </c>
      <c r="B468" s="8" t="s">
        <v>45</v>
      </c>
      <c r="C468" s="8" t="s">
        <v>522</v>
      </c>
      <c r="D468" s="8">
        <v>1</v>
      </c>
      <c r="E468" s="8" t="s">
        <v>901</v>
      </c>
      <c r="F468" s="8" t="s">
        <v>524</v>
      </c>
      <c r="G468" s="8" t="s">
        <v>525</v>
      </c>
      <c r="H468" s="10">
        <v>180</v>
      </c>
      <c r="I468" s="10"/>
      <c r="J468" s="10">
        <v>180</v>
      </c>
      <c r="K468" s="10">
        <v>54.9</v>
      </c>
    </row>
    <row r="469" spans="1:11" x14ac:dyDescent="0.25">
      <c r="A469" s="8" t="s">
        <v>902</v>
      </c>
      <c r="B469" s="8" t="s">
        <v>45</v>
      </c>
      <c r="C469" s="8" t="s">
        <v>522</v>
      </c>
      <c r="D469" s="8">
        <v>1</v>
      </c>
      <c r="E469" s="8" t="s">
        <v>903</v>
      </c>
      <c r="F469" s="8" t="s">
        <v>524</v>
      </c>
      <c r="G469" s="8" t="s">
        <v>525</v>
      </c>
      <c r="H469" s="10">
        <v>108</v>
      </c>
      <c r="I469" s="10"/>
      <c r="J469" s="10">
        <v>108</v>
      </c>
      <c r="K469" s="10">
        <v>44.1</v>
      </c>
    </row>
    <row r="470" spans="1:11" x14ac:dyDescent="0.25">
      <c r="A470" s="8" t="s">
        <v>904</v>
      </c>
      <c r="B470" s="8" t="s">
        <v>45</v>
      </c>
      <c r="C470" s="8" t="s">
        <v>522</v>
      </c>
      <c r="D470" s="8">
        <v>1</v>
      </c>
      <c r="E470" s="8" t="s">
        <v>905</v>
      </c>
      <c r="F470" s="8" t="s">
        <v>524</v>
      </c>
      <c r="G470" s="8" t="s">
        <v>525</v>
      </c>
      <c r="H470" s="10">
        <v>12</v>
      </c>
      <c r="I470" s="10"/>
      <c r="J470" s="10">
        <v>12</v>
      </c>
      <c r="K470" s="10">
        <v>73.099999999999994</v>
      </c>
    </row>
    <row r="471" spans="1:11" x14ac:dyDescent="0.25">
      <c r="A471" s="8" t="s">
        <v>906</v>
      </c>
      <c r="B471" s="8" t="s">
        <v>45</v>
      </c>
      <c r="C471" s="8" t="s">
        <v>522</v>
      </c>
      <c r="D471" s="8">
        <v>1</v>
      </c>
      <c r="E471" s="8" t="s">
        <v>907</v>
      </c>
      <c r="F471" s="8" t="s">
        <v>524</v>
      </c>
      <c r="G471" s="8" t="s">
        <v>525</v>
      </c>
      <c r="H471" s="10">
        <v>8</v>
      </c>
      <c r="I471" s="10"/>
      <c r="J471" s="10">
        <v>8</v>
      </c>
      <c r="K471" s="10">
        <v>85</v>
      </c>
    </row>
    <row r="472" spans="1:11" x14ac:dyDescent="0.25">
      <c r="A472" s="8" t="s">
        <v>908</v>
      </c>
      <c r="B472" s="8" t="s">
        <v>132</v>
      </c>
      <c r="C472" s="8" t="s">
        <v>909</v>
      </c>
      <c r="D472" s="8">
        <v>5</v>
      </c>
      <c r="E472" s="8" t="s">
        <v>910</v>
      </c>
      <c r="F472" s="8" t="s">
        <v>911</v>
      </c>
      <c r="G472" s="8" t="s">
        <v>912</v>
      </c>
      <c r="H472" s="10">
        <v>1</v>
      </c>
      <c r="I472" s="10"/>
      <c r="J472" s="10">
        <v>1</v>
      </c>
      <c r="K472" s="10">
        <v>3741.88</v>
      </c>
    </row>
    <row r="473" spans="1:11" x14ac:dyDescent="0.25">
      <c r="A473" s="8" t="s">
        <v>913</v>
      </c>
      <c r="B473" s="8" t="s">
        <v>132</v>
      </c>
      <c r="C473" s="8" t="s">
        <v>909</v>
      </c>
      <c r="D473" s="8">
        <v>5</v>
      </c>
      <c r="E473" s="8" t="s">
        <v>914</v>
      </c>
      <c r="F473" s="8" t="s">
        <v>911</v>
      </c>
      <c r="G473" s="8" t="s">
        <v>912</v>
      </c>
      <c r="H473" s="10">
        <v>1</v>
      </c>
      <c r="I473" s="10"/>
      <c r="J473" s="10">
        <v>1</v>
      </c>
      <c r="K473" s="10">
        <v>4625.42</v>
      </c>
    </row>
    <row r="474" spans="1:11" x14ac:dyDescent="0.25">
      <c r="A474" s="8" t="s">
        <v>915</v>
      </c>
      <c r="B474" s="8" t="s">
        <v>134</v>
      </c>
      <c r="C474" s="8" t="s">
        <v>909</v>
      </c>
      <c r="D474" s="8">
        <v>5</v>
      </c>
      <c r="E474" s="8" t="s">
        <v>916</v>
      </c>
      <c r="F474" s="8" t="s">
        <v>911</v>
      </c>
      <c r="G474" s="8" t="s">
        <v>912</v>
      </c>
      <c r="H474" s="10">
        <v>1</v>
      </c>
      <c r="I474" s="10"/>
      <c r="J474" s="10">
        <v>1</v>
      </c>
      <c r="K474" s="10">
        <v>4459.92</v>
      </c>
    </row>
    <row r="475" spans="1:11" x14ac:dyDescent="0.25">
      <c r="A475" s="8" t="s">
        <v>917</v>
      </c>
      <c r="B475" s="8" t="s">
        <v>128</v>
      </c>
      <c r="C475" s="8" t="s">
        <v>918</v>
      </c>
      <c r="D475" s="8">
        <v>6</v>
      </c>
      <c r="E475" s="8" t="s">
        <v>919</v>
      </c>
      <c r="F475" s="8" t="s">
        <v>911</v>
      </c>
      <c r="G475" s="8" t="s">
        <v>920</v>
      </c>
      <c r="H475" s="10">
        <v>1</v>
      </c>
      <c r="I475" s="10"/>
      <c r="J475" s="10">
        <v>1</v>
      </c>
      <c r="K475" s="10">
        <v>26384.52</v>
      </c>
    </row>
    <row r="476" spans="1:11" x14ac:dyDescent="0.25">
      <c r="A476" s="8" t="s">
        <v>921</v>
      </c>
      <c r="B476" s="8" t="s">
        <v>78</v>
      </c>
      <c r="C476" s="8" t="s">
        <v>909</v>
      </c>
      <c r="D476" s="8">
        <v>5</v>
      </c>
      <c r="E476" s="8" t="s">
        <v>922</v>
      </c>
      <c r="F476" s="8" t="s">
        <v>911</v>
      </c>
      <c r="G476" s="8" t="s">
        <v>912</v>
      </c>
      <c r="H476" s="10">
        <v>1</v>
      </c>
      <c r="I476" s="10"/>
      <c r="J476" s="10">
        <v>1</v>
      </c>
      <c r="K476" s="10">
        <v>87547.26</v>
      </c>
    </row>
    <row r="477" spans="1:11" x14ac:dyDescent="0.25">
      <c r="A477" s="8" t="s">
        <v>923</v>
      </c>
      <c r="B477" s="8" t="s">
        <v>78</v>
      </c>
      <c r="C477" s="8" t="s">
        <v>909</v>
      </c>
      <c r="D477" s="8">
        <v>5</v>
      </c>
      <c r="E477" s="8" t="s">
        <v>924</v>
      </c>
      <c r="F477" s="8" t="s">
        <v>911</v>
      </c>
      <c r="G477" s="8" t="s">
        <v>912</v>
      </c>
      <c r="H477" s="10">
        <v>1</v>
      </c>
      <c r="I477" s="10"/>
      <c r="J477" s="10">
        <v>1</v>
      </c>
      <c r="K477" s="10">
        <v>87547.26</v>
      </c>
    </row>
    <row r="478" spans="1:11" x14ac:dyDescent="0.25">
      <c r="A478" s="8" t="s">
        <v>925</v>
      </c>
      <c r="B478" s="8" t="s">
        <v>120</v>
      </c>
      <c r="C478" s="8" t="s">
        <v>909</v>
      </c>
      <c r="D478" s="8">
        <v>5</v>
      </c>
      <c r="E478" s="8" t="s">
        <v>926</v>
      </c>
      <c r="F478" s="8" t="s">
        <v>911</v>
      </c>
      <c r="G478" s="8" t="s">
        <v>912</v>
      </c>
      <c r="H478" s="10">
        <v>1</v>
      </c>
      <c r="I478" s="10"/>
      <c r="J478" s="10">
        <v>1</v>
      </c>
      <c r="K478" s="10">
        <v>180785.09</v>
      </c>
    </row>
    <row r="479" spans="1:11" x14ac:dyDescent="0.25">
      <c r="A479" s="8" t="s">
        <v>927</v>
      </c>
      <c r="B479" s="8" t="s">
        <v>120</v>
      </c>
      <c r="C479" s="8" t="s">
        <v>909</v>
      </c>
      <c r="D479" s="8">
        <v>5</v>
      </c>
      <c r="E479" s="8" t="s">
        <v>928</v>
      </c>
      <c r="F479" s="8" t="s">
        <v>911</v>
      </c>
      <c r="G479" s="8" t="s">
        <v>912</v>
      </c>
      <c r="H479" s="10">
        <v>1</v>
      </c>
      <c r="I479" s="10"/>
      <c r="J479" s="10">
        <v>1</v>
      </c>
      <c r="K479" s="10">
        <v>180785.09</v>
      </c>
    </row>
    <row r="480" spans="1:11" x14ac:dyDescent="0.25">
      <c r="A480" s="8" t="s">
        <v>929</v>
      </c>
      <c r="B480" s="8" t="s">
        <v>120</v>
      </c>
      <c r="C480" s="8" t="s">
        <v>918</v>
      </c>
      <c r="D480" s="8">
        <v>6</v>
      </c>
      <c r="E480" s="8" t="s">
        <v>930</v>
      </c>
      <c r="F480" s="8" t="s">
        <v>911</v>
      </c>
      <c r="G480" s="8" t="s">
        <v>920</v>
      </c>
      <c r="H480" s="10">
        <v>1</v>
      </c>
      <c r="I480" s="10"/>
      <c r="J480" s="10">
        <v>1</v>
      </c>
      <c r="K480" s="10">
        <v>6676989.5499999998</v>
      </c>
    </row>
    <row r="481" spans="1:11" x14ac:dyDescent="0.25">
      <c r="A481" s="8" t="s">
        <v>931</v>
      </c>
      <c r="B481" s="8" t="s">
        <v>120</v>
      </c>
      <c r="C481" s="8" t="s">
        <v>918</v>
      </c>
      <c r="D481" s="8">
        <v>6</v>
      </c>
      <c r="E481" s="8" t="s">
        <v>932</v>
      </c>
      <c r="F481" s="8" t="s">
        <v>911</v>
      </c>
      <c r="G481" s="8" t="s">
        <v>920</v>
      </c>
      <c r="H481" s="10">
        <v>1</v>
      </c>
      <c r="I481" s="10"/>
      <c r="J481" s="10">
        <v>1</v>
      </c>
      <c r="K481" s="10">
        <v>6676989.5499999998</v>
      </c>
    </row>
    <row r="482" spans="1:11" x14ac:dyDescent="0.25">
      <c r="A482" s="8" t="s">
        <v>933</v>
      </c>
      <c r="B482" s="8" t="s">
        <v>78</v>
      </c>
      <c r="C482" s="8" t="s">
        <v>918</v>
      </c>
      <c r="D482" s="8">
        <v>6</v>
      </c>
      <c r="E482" s="8" t="s">
        <v>934</v>
      </c>
      <c r="F482" s="8" t="s">
        <v>911</v>
      </c>
      <c r="G482" s="8" t="s">
        <v>920</v>
      </c>
      <c r="H482" s="10">
        <v>1</v>
      </c>
      <c r="I482" s="10"/>
      <c r="J482" s="10">
        <v>1</v>
      </c>
      <c r="K482" s="10">
        <v>771889.8</v>
      </c>
    </row>
    <row r="483" spans="1:11" x14ac:dyDescent="0.25">
      <c r="A483" s="8" t="s">
        <v>935</v>
      </c>
      <c r="B483" s="8" t="s">
        <v>78</v>
      </c>
      <c r="C483" s="8" t="s">
        <v>918</v>
      </c>
      <c r="D483" s="8">
        <v>6</v>
      </c>
      <c r="E483" s="8" t="s">
        <v>936</v>
      </c>
      <c r="F483" s="8" t="s">
        <v>911</v>
      </c>
      <c r="G483" s="8" t="s">
        <v>920</v>
      </c>
      <c r="H483" s="10">
        <v>1</v>
      </c>
      <c r="I483" s="10"/>
      <c r="J483" s="10">
        <v>1</v>
      </c>
      <c r="K483" s="10">
        <v>771889.8</v>
      </c>
    </row>
    <row r="484" spans="1:11" x14ac:dyDescent="0.25">
      <c r="A484" s="8" t="s">
        <v>937</v>
      </c>
      <c r="B484" s="8" t="s">
        <v>78</v>
      </c>
      <c r="C484" s="8" t="s">
        <v>918</v>
      </c>
      <c r="D484" s="8">
        <v>6</v>
      </c>
      <c r="E484" s="8" t="s">
        <v>938</v>
      </c>
      <c r="F484" s="8" t="s">
        <v>911</v>
      </c>
      <c r="G484" s="8" t="s">
        <v>920</v>
      </c>
      <c r="H484" s="10">
        <v>1</v>
      </c>
      <c r="I484" s="10"/>
      <c r="J484" s="10">
        <v>1</v>
      </c>
      <c r="K484" s="10">
        <v>771889.8</v>
      </c>
    </row>
    <row r="485" spans="1:11" x14ac:dyDescent="0.25">
      <c r="A485" s="8" t="s">
        <v>939</v>
      </c>
      <c r="B485" s="8" t="s">
        <v>118</v>
      </c>
      <c r="C485" s="8" t="s">
        <v>918</v>
      </c>
      <c r="D485" s="8">
        <v>6</v>
      </c>
      <c r="E485" s="8" t="s">
        <v>940</v>
      </c>
      <c r="F485" s="8" t="s">
        <v>911</v>
      </c>
      <c r="G485" s="8" t="s">
        <v>920</v>
      </c>
      <c r="H485" s="10">
        <v>1</v>
      </c>
      <c r="I485" s="10"/>
      <c r="J485" s="10">
        <v>1</v>
      </c>
      <c r="K485" s="10">
        <v>1054474.3999999999</v>
      </c>
    </row>
    <row r="486" spans="1:11" x14ac:dyDescent="0.25">
      <c r="A486" s="8" t="s">
        <v>941</v>
      </c>
      <c r="B486" s="8" t="s">
        <v>118</v>
      </c>
      <c r="C486" s="8" t="s">
        <v>918</v>
      </c>
      <c r="D486" s="8">
        <v>6</v>
      </c>
      <c r="E486" s="8" t="s">
        <v>942</v>
      </c>
      <c r="F486" s="8" t="s">
        <v>911</v>
      </c>
      <c r="G486" s="8" t="s">
        <v>920</v>
      </c>
      <c r="H486" s="10">
        <v>1</v>
      </c>
      <c r="I486" s="10"/>
      <c r="J486" s="10">
        <v>1</v>
      </c>
      <c r="K486" s="10">
        <v>1054474.3999999999</v>
      </c>
    </row>
    <row r="487" spans="1:11" x14ac:dyDescent="0.25">
      <c r="A487" s="8" t="s">
        <v>943</v>
      </c>
      <c r="B487" s="8" t="s">
        <v>118</v>
      </c>
      <c r="C487" s="8" t="s">
        <v>918</v>
      </c>
      <c r="D487" s="8">
        <v>6</v>
      </c>
      <c r="E487" s="8" t="s">
        <v>944</v>
      </c>
      <c r="F487" s="8" t="s">
        <v>911</v>
      </c>
      <c r="G487" s="8" t="s">
        <v>920</v>
      </c>
      <c r="H487" s="10">
        <v>1</v>
      </c>
      <c r="I487" s="10"/>
      <c r="J487" s="10">
        <v>1</v>
      </c>
      <c r="K487" s="10">
        <v>1054474.3999999999</v>
      </c>
    </row>
    <row r="488" spans="1:11" x14ac:dyDescent="0.25">
      <c r="A488" s="8" t="s">
        <v>945</v>
      </c>
      <c r="B488" s="8" t="s">
        <v>78</v>
      </c>
      <c r="C488" s="8" t="s">
        <v>909</v>
      </c>
      <c r="D488" s="8">
        <v>5</v>
      </c>
      <c r="E488" s="8" t="s">
        <v>946</v>
      </c>
      <c r="F488" s="8" t="s">
        <v>911</v>
      </c>
      <c r="G488" s="8" t="s">
        <v>947</v>
      </c>
      <c r="H488" s="10">
        <v>1</v>
      </c>
      <c r="I488" s="10"/>
      <c r="J488" s="10">
        <v>1</v>
      </c>
      <c r="K488" s="10">
        <v>29118.76</v>
      </c>
    </row>
    <row r="489" spans="1:11" x14ac:dyDescent="0.25">
      <c r="A489" s="8" t="s">
        <v>948</v>
      </c>
      <c r="B489" s="8" t="s">
        <v>949</v>
      </c>
      <c r="C489" s="8" t="s">
        <v>909</v>
      </c>
      <c r="D489" s="8">
        <v>5</v>
      </c>
      <c r="E489" s="8" t="s">
        <v>950</v>
      </c>
      <c r="F489" s="8" t="s">
        <v>911</v>
      </c>
      <c r="G489" s="8" t="s">
        <v>947</v>
      </c>
      <c r="H489" s="10">
        <v>1</v>
      </c>
      <c r="I489" s="10"/>
      <c r="J489" s="10">
        <v>1</v>
      </c>
      <c r="K489" s="10">
        <v>28736.83</v>
      </c>
    </row>
    <row r="490" spans="1:11" x14ac:dyDescent="0.25">
      <c r="A490" s="8" t="s">
        <v>951</v>
      </c>
      <c r="B490" s="8" t="s">
        <v>120</v>
      </c>
      <c r="C490" s="8" t="s">
        <v>909</v>
      </c>
      <c r="D490" s="8">
        <v>5</v>
      </c>
      <c r="E490" s="8" t="s">
        <v>952</v>
      </c>
      <c r="F490" s="8" t="s">
        <v>911</v>
      </c>
      <c r="G490" s="8" t="s">
        <v>947</v>
      </c>
      <c r="H490" s="10">
        <v>1</v>
      </c>
      <c r="I490" s="10"/>
      <c r="J490" s="10">
        <v>1</v>
      </c>
      <c r="K490" s="10">
        <v>16790.34</v>
      </c>
    </row>
    <row r="491" spans="1:11" x14ac:dyDescent="0.25">
      <c r="A491" s="8" t="s">
        <v>953</v>
      </c>
      <c r="B491" s="8" t="s">
        <v>118</v>
      </c>
      <c r="C491" s="8" t="s">
        <v>909</v>
      </c>
      <c r="D491" s="8">
        <v>5</v>
      </c>
      <c r="E491" s="8" t="s">
        <v>954</v>
      </c>
      <c r="F491" s="8" t="s">
        <v>911</v>
      </c>
      <c r="G491" s="8" t="s">
        <v>947</v>
      </c>
      <c r="H491" s="10">
        <v>1</v>
      </c>
      <c r="I491" s="10"/>
      <c r="J491" s="10">
        <v>1</v>
      </c>
      <c r="K491" s="10">
        <v>47056.65</v>
      </c>
    </row>
    <row r="492" spans="1:11" x14ac:dyDescent="0.25">
      <c r="A492" s="8" t="s">
        <v>955</v>
      </c>
      <c r="B492" s="8" t="s">
        <v>120</v>
      </c>
      <c r="C492" s="8" t="s">
        <v>909</v>
      </c>
      <c r="D492" s="8">
        <v>5</v>
      </c>
      <c r="E492" s="8" t="s">
        <v>956</v>
      </c>
      <c r="F492" s="8" t="s">
        <v>911</v>
      </c>
      <c r="G492" s="8" t="s">
        <v>947</v>
      </c>
      <c r="H492" s="10">
        <v>1</v>
      </c>
      <c r="I492" s="10"/>
      <c r="J492" s="10">
        <v>1</v>
      </c>
      <c r="K492" s="10">
        <v>48880.55</v>
      </c>
    </row>
    <row r="493" spans="1:11" x14ac:dyDescent="0.25">
      <c r="A493" s="8" t="s">
        <v>957</v>
      </c>
      <c r="B493" s="8" t="s">
        <v>120</v>
      </c>
      <c r="C493" s="8" t="s">
        <v>909</v>
      </c>
      <c r="D493" s="8">
        <v>5</v>
      </c>
      <c r="E493" s="8" t="s">
        <v>958</v>
      </c>
      <c r="F493" s="8" t="s">
        <v>911</v>
      </c>
      <c r="G493" s="8" t="s">
        <v>947</v>
      </c>
      <c r="H493" s="10">
        <v>1</v>
      </c>
      <c r="I493" s="10"/>
      <c r="J493" s="10">
        <v>1</v>
      </c>
      <c r="K493" s="10">
        <v>46691.87</v>
      </c>
    </row>
    <row r="494" spans="1:11" x14ac:dyDescent="0.25">
      <c r="A494" s="8" t="s">
        <v>959</v>
      </c>
      <c r="B494" s="8" t="s">
        <v>78</v>
      </c>
      <c r="C494" s="8" t="s">
        <v>909</v>
      </c>
      <c r="D494" s="8">
        <v>5</v>
      </c>
      <c r="E494" s="8" t="s">
        <v>960</v>
      </c>
      <c r="F494" s="8" t="s">
        <v>911</v>
      </c>
      <c r="G494" s="8" t="s">
        <v>947</v>
      </c>
      <c r="H494" s="10">
        <v>1</v>
      </c>
      <c r="I494" s="10"/>
      <c r="J494" s="10">
        <v>1</v>
      </c>
      <c r="K494" s="10">
        <v>48237.29</v>
      </c>
    </row>
    <row r="495" spans="1:11" x14ac:dyDescent="0.25">
      <c r="A495" s="8" t="s">
        <v>961</v>
      </c>
      <c r="B495" s="8" t="s">
        <v>132</v>
      </c>
      <c r="C495" s="8" t="s">
        <v>909</v>
      </c>
      <c r="D495" s="8">
        <v>5</v>
      </c>
      <c r="E495" s="8" t="s">
        <v>962</v>
      </c>
      <c r="F495" s="8" t="s">
        <v>911</v>
      </c>
      <c r="G495" s="8" t="s">
        <v>947</v>
      </c>
      <c r="H495" s="10">
        <v>1</v>
      </c>
      <c r="I495" s="10"/>
      <c r="J495" s="10">
        <v>1</v>
      </c>
      <c r="K495" s="10">
        <v>25679.34</v>
      </c>
    </row>
    <row r="496" spans="1:11" x14ac:dyDescent="0.25">
      <c r="A496" s="8" t="s">
        <v>963</v>
      </c>
      <c r="B496" s="8" t="s">
        <v>132</v>
      </c>
      <c r="C496" s="8" t="s">
        <v>909</v>
      </c>
      <c r="D496" s="8">
        <v>5</v>
      </c>
      <c r="E496" s="8" t="s">
        <v>964</v>
      </c>
      <c r="F496" s="8" t="s">
        <v>911</v>
      </c>
      <c r="G496" s="8" t="s">
        <v>947</v>
      </c>
      <c r="H496" s="10">
        <v>1</v>
      </c>
      <c r="I496" s="10"/>
      <c r="J496" s="10">
        <v>1</v>
      </c>
      <c r="K496" s="10">
        <v>26173.18</v>
      </c>
    </row>
    <row r="497" spans="1:11" x14ac:dyDescent="0.25">
      <c r="A497" s="8" t="s">
        <v>965</v>
      </c>
      <c r="B497" s="8" t="s">
        <v>134</v>
      </c>
      <c r="C497" s="8" t="s">
        <v>909</v>
      </c>
      <c r="D497" s="8">
        <v>5</v>
      </c>
      <c r="E497" s="8" t="s">
        <v>966</v>
      </c>
      <c r="F497" s="8" t="s">
        <v>911</v>
      </c>
      <c r="G497" s="8" t="s">
        <v>947</v>
      </c>
      <c r="H497" s="10">
        <v>1</v>
      </c>
      <c r="I497" s="10"/>
      <c r="J497" s="10">
        <v>1</v>
      </c>
      <c r="K497" s="10">
        <v>22716.34</v>
      </c>
    </row>
    <row r="498" spans="1:11" x14ac:dyDescent="0.25">
      <c r="A498" s="8" t="s">
        <v>967</v>
      </c>
      <c r="B498" s="8" t="s">
        <v>118</v>
      </c>
      <c r="C498" s="8" t="s">
        <v>909</v>
      </c>
      <c r="D498" s="8">
        <v>5</v>
      </c>
      <c r="E498" s="8" t="s">
        <v>968</v>
      </c>
      <c r="F498" s="8" t="s">
        <v>911</v>
      </c>
      <c r="G498" s="8" t="s">
        <v>947</v>
      </c>
      <c r="H498" s="10">
        <v>1</v>
      </c>
      <c r="I498" s="10"/>
      <c r="J498" s="10">
        <v>1</v>
      </c>
      <c r="K498" s="10">
        <v>185013.43</v>
      </c>
    </row>
    <row r="499" spans="1:11" x14ac:dyDescent="0.25">
      <c r="A499" s="8" t="s">
        <v>969</v>
      </c>
      <c r="B499" s="8" t="s">
        <v>120</v>
      </c>
      <c r="C499" s="8" t="s">
        <v>909</v>
      </c>
      <c r="D499" s="8">
        <v>5</v>
      </c>
      <c r="E499" s="8" t="s">
        <v>970</v>
      </c>
      <c r="F499" s="8" t="s">
        <v>911</v>
      </c>
      <c r="G499" s="8" t="s">
        <v>947</v>
      </c>
      <c r="H499" s="10">
        <v>1</v>
      </c>
      <c r="I499" s="10"/>
      <c r="J499" s="10">
        <v>1</v>
      </c>
      <c r="K499" s="10">
        <v>146723.70000000001</v>
      </c>
    </row>
    <row r="500" spans="1:11" x14ac:dyDescent="0.25">
      <c r="A500" s="8" t="s">
        <v>971</v>
      </c>
      <c r="B500" s="8" t="s">
        <v>120</v>
      </c>
      <c r="C500" s="8" t="s">
        <v>909</v>
      </c>
      <c r="D500" s="8">
        <v>5</v>
      </c>
      <c r="E500" s="8" t="s">
        <v>972</v>
      </c>
      <c r="F500" s="8" t="s">
        <v>911</v>
      </c>
      <c r="G500" s="8" t="s">
        <v>947</v>
      </c>
      <c r="H500" s="10">
        <v>1</v>
      </c>
      <c r="I500" s="10"/>
      <c r="J500" s="10">
        <v>1</v>
      </c>
      <c r="K500" s="10">
        <v>200458.03</v>
      </c>
    </row>
    <row r="501" spans="1:11" x14ac:dyDescent="0.25">
      <c r="A501" s="8" t="s">
        <v>973</v>
      </c>
      <c r="B501" s="8" t="s">
        <v>118</v>
      </c>
      <c r="C501" s="8" t="s">
        <v>974</v>
      </c>
      <c r="D501" s="8">
        <v>5</v>
      </c>
      <c r="E501" s="8" t="s">
        <v>975</v>
      </c>
      <c r="F501" s="8" t="s">
        <v>266</v>
      </c>
      <c r="G501" s="8" t="s">
        <v>976</v>
      </c>
      <c r="H501" s="10">
        <v>3.5</v>
      </c>
      <c r="I501" s="10"/>
      <c r="J501" s="10">
        <v>3.5</v>
      </c>
      <c r="K501" s="10">
        <v>6469.03</v>
      </c>
    </row>
    <row r="502" spans="1:11" x14ac:dyDescent="0.25">
      <c r="A502" s="8" t="s">
        <v>977</v>
      </c>
      <c r="B502" s="8" t="s">
        <v>120</v>
      </c>
      <c r="C502" s="8" t="s">
        <v>974</v>
      </c>
      <c r="D502" s="8">
        <v>5</v>
      </c>
      <c r="E502" s="8" t="s">
        <v>975</v>
      </c>
      <c r="F502" s="8" t="s">
        <v>266</v>
      </c>
      <c r="G502" s="8" t="s">
        <v>976</v>
      </c>
      <c r="H502" s="10">
        <v>8.1</v>
      </c>
      <c r="I502" s="10"/>
      <c r="J502" s="10">
        <v>8.1</v>
      </c>
      <c r="K502" s="10">
        <v>6469.03</v>
      </c>
    </row>
    <row r="503" spans="1:11" x14ac:dyDescent="0.25">
      <c r="A503" s="8" t="s">
        <v>978</v>
      </c>
      <c r="B503" s="8" t="s">
        <v>78</v>
      </c>
      <c r="C503" s="8" t="s">
        <v>974</v>
      </c>
      <c r="D503" s="8">
        <v>5</v>
      </c>
      <c r="E503" s="8" t="s">
        <v>975</v>
      </c>
      <c r="F503" s="8" t="s">
        <v>266</v>
      </c>
      <c r="G503" s="8" t="s">
        <v>976</v>
      </c>
      <c r="H503" s="10">
        <v>2.5</v>
      </c>
      <c r="I503" s="10"/>
      <c r="J503" s="10">
        <v>2.5</v>
      </c>
      <c r="K503" s="10">
        <v>6469.03</v>
      </c>
    </row>
    <row r="504" spans="1:11" x14ac:dyDescent="0.25">
      <c r="A504" s="8" t="s">
        <v>979</v>
      </c>
      <c r="B504" s="8" t="s">
        <v>132</v>
      </c>
      <c r="C504" s="8" t="s">
        <v>974</v>
      </c>
      <c r="D504" s="8">
        <v>5</v>
      </c>
      <c r="E504" s="8" t="s">
        <v>975</v>
      </c>
      <c r="F504" s="8" t="s">
        <v>266</v>
      </c>
      <c r="G504" s="8" t="s">
        <v>976</v>
      </c>
      <c r="H504" s="10">
        <v>2.2000000000000002</v>
      </c>
      <c r="I504" s="10"/>
      <c r="J504" s="10">
        <v>2.2000000000000002</v>
      </c>
      <c r="K504" s="10">
        <v>6469.03</v>
      </c>
    </row>
    <row r="505" spans="1:11" x14ac:dyDescent="0.25">
      <c r="A505" s="8" t="s">
        <v>980</v>
      </c>
      <c r="B505" s="8" t="s">
        <v>134</v>
      </c>
      <c r="C505" s="8" t="s">
        <v>974</v>
      </c>
      <c r="D505" s="8">
        <v>5</v>
      </c>
      <c r="E505" s="8" t="s">
        <v>975</v>
      </c>
      <c r="F505" s="8" t="s">
        <v>266</v>
      </c>
      <c r="G505" s="8" t="s">
        <v>976</v>
      </c>
      <c r="H505" s="10">
        <v>1.8</v>
      </c>
      <c r="I505" s="10"/>
      <c r="J505" s="10">
        <v>1.8</v>
      </c>
      <c r="K505" s="10">
        <v>6469.03</v>
      </c>
    </row>
    <row r="506" spans="1:11" x14ac:dyDescent="0.25">
      <c r="A506" s="8" t="s">
        <v>981</v>
      </c>
      <c r="B506" s="8" t="s">
        <v>118</v>
      </c>
      <c r="C506" s="8" t="s">
        <v>974</v>
      </c>
      <c r="D506" s="8">
        <v>5</v>
      </c>
      <c r="E506" s="8" t="s">
        <v>982</v>
      </c>
      <c r="F506" s="8" t="s">
        <v>266</v>
      </c>
      <c r="G506" s="8" t="s">
        <v>976</v>
      </c>
      <c r="H506" s="10">
        <v>8.6999999999999993</v>
      </c>
      <c r="I506" s="10"/>
      <c r="J506" s="10">
        <v>8.6999999999999993</v>
      </c>
      <c r="K506" s="10">
        <v>6469.03</v>
      </c>
    </row>
    <row r="507" spans="1:11" x14ac:dyDescent="0.25">
      <c r="A507" s="8" t="s">
        <v>983</v>
      </c>
      <c r="B507" s="8" t="s">
        <v>120</v>
      </c>
      <c r="C507" s="8" t="s">
        <v>974</v>
      </c>
      <c r="D507" s="8">
        <v>5</v>
      </c>
      <c r="E507" s="8" t="s">
        <v>982</v>
      </c>
      <c r="F507" s="8" t="s">
        <v>266</v>
      </c>
      <c r="G507" s="8" t="s">
        <v>976</v>
      </c>
      <c r="H507" s="10">
        <v>17.5</v>
      </c>
      <c r="I507" s="10"/>
      <c r="J507" s="10">
        <v>17.5</v>
      </c>
      <c r="K507" s="10">
        <v>6469.03</v>
      </c>
    </row>
    <row r="508" spans="1:11" x14ac:dyDescent="0.25">
      <c r="A508" s="8" t="s">
        <v>984</v>
      </c>
      <c r="B508" s="8" t="s">
        <v>118</v>
      </c>
      <c r="C508" s="8" t="s">
        <v>974</v>
      </c>
      <c r="D508" s="8">
        <v>5</v>
      </c>
      <c r="E508" s="8" t="s">
        <v>985</v>
      </c>
      <c r="F508" s="8" t="s">
        <v>266</v>
      </c>
      <c r="G508" s="8" t="s">
        <v>976</v>
      </c>
      <c r="H508" s="10">
        <v>0.7</v>
      </c>
      <c r="I508" s="10"/>
      <c r="J508" s="10">
        <v>0.7</v>
      </c>
      <c r="K508" s="10">
        <v>9067.31</v>
      </c>
    </row>
    <row r="509" spans="1:11" x14ac:dyDescent="0.25">
      <c r="A509" s="8" t="s">
        <v>986</v>
      </c>
      <c r="B509" s="8" t="s">
        <v>120</v>
      </c>
      <c r="C509" s="8" t="s">
        <v>974</v>
      </c>
      <c r="D509" s="8">
        <v>5</v>
      </c>
      <c r="E509" s="8" t="s">
        <v>985</v>
      </c>
      <c r="F509" s="8" t="s">
        <v>266</v>
      </c>
      <c r="G509" s="8" t="s">
        <v>976</v>
      </c>
      <c r="H509" s="10">
        <v>1.3</v>
      </c>
      <c r="I509" s="10"/>
      <c r="J509" s="10">
        <v>1.3</v>
      </c>
      <c r="K509" s="10">
        <v>9067.31</v>
      </c>
    </row>
    <row r="510" spans="1:11" x14ac:dyDescent="0.25">
      <c r="A510" s="8" t="s">
        <v>987</v>
      </c>
      <c r="B510" s="8" t="s">
        <v>78</v>
      </c>
      <c r="C510" s="8" t="s">
        <v>974</v>
      </c>
      <c r="D510" s="8">
        <v>5</v>
      </c>
      <c r="E510" s="8" t="s">
        <v>985</v>
      </c>
      <c r="F510" s="8" t="s">
        <v>266</v>
      </c>
      <c r="G510" s="8" t="s">
        <v>976</v>
      </c>
      <c r="H510" s="10">
        <v>0.2</v>
      </c>
      <c r="I510" s="10"/>
      <c r="J510" s="10">
        <v>0.2</v>
      </c>
      <c r="K510" s="10">
        <v>9067.31</v>
      </c>
    </row>
    <row r="511" spans="1:11" x14ac:dyDescent="0.25">
      <c r="A511" s="8" t="s">
        <v>988</v>
      </c>
      <c r="B511" s="8" t="s">
        <v>132</v>
      </c>
      <c r="C511" s="8" t="s">
        <v>974</v>
      </c>
      <c r="D511" s="8">
        <v>5</v>
      </c>
      <c r="E511" s="8" t="s">
        <v>985</v>
      </c>
      <c r="F511" s="8" t="s">
        <v>266</v>
      </c>
      <c r="G511" s="8" t="s">
        <v>976</v>
      </c>
      <c r="H511" s="10">
        <v>0.2</v>
      </c>
      <c r="I511" s="10"/>
      <c r="J511" s="10">
        <v>0.2</v>
      </c>
      <c r="K511" s="10">
        <v>9067.31</v>
      </c>
    </row>
    <row r="512" spans="1:11" x14ac:dyDescent="0.25">
      <c r="A512" s="8" t="s">
        <v>989</v>
      </c>
      <c r="B512" s="8" t="s">
        <v>134</v>
      </c>
      <c r="C512" s="8" t="s">
        <v>974</v>
      </c>
      <c r="D512" s="8">
        <v>5</v>
      </c>
      <c r="E512" s="8" t="s">
        <v>985</v>
      </c>
      <c r="F512" s="8" t="s">
        <v>266</v>
      </c>
      <c r="G512" s="8" t="s">
        <v>976</v>
      </c>
      <c r="H512" s="10">
        <v>0.2</v>
      </c>
      <c r="I512" s="10"/>
      <c r="J512" s="10">
        <v>0.2</v>
      </c>
      <c r="K512" s="10">
        <v>9067.31</v>
      </c>
    </row>
    <row r="513" spans="1:11" x14ac:dyDescent="0.25">
      <c r="A513" s="8" t="s">
        <v>990</v>
      </c>
      <c r="B513" s="8" t="s">
        <v>116</v>
      </c>
      <c r="C513" s="8" t="s">
        <v>909</v>
      </c>
      <c r="D513" s="8">
        <v>5</v>
      </c>
      <c r="E513" s="8" t="s">
        <v>991</v>
      </c>
      <c r="F513" s="8" t="s">
        <v>911</v>
      </c>
      <c r="G513" s="8" t="s">
        <v>947</v>
      </c>
      <c r="H513" s="10">
        <v>1</v>
      </c>
      <c r="I513" s="10"/>
      <c r="J513" s="10">
        <v>1</v>
      </c>
      <c r="K513" s="10">
        <v>3772.43</v>
      </c>
    </row>
    <row r="514" spans="1:11" x14ac:dyDescent="0.25">
      <c r="A514" s="8" t="s">
        <v>992</v>
      </c>
      <c r="B514" s="8" t="s">
        <v>116</v>
      </c>
      <c r="C514" s="8" t="s">
        <v>909</v>
      </c>
      <c r="D514" s="8">
        <v>5</v>
      </c>
      <c r="E514" s="8" t="s">
        <v>993</v>
      </c>
      <c r="F514" s="8" t="s">
        <v>911</v>
      </c>
      <c r="G514" s="8" t="s">
        <v>947</v>
      </c>
      <c r="H514" s="10">
        <v>1</v>
      </c>
      <c r="I514" s="10"/>
      <c r="J514" s="10">
        <v>1</v>
      </c>
      <c r="K514" s="10">
        <v>5709.57</v>
      </c>
    </row>
    <row r="515" spans="1:11" x14ac:dyDescent="0.25">
      <c r="A515" s="8" t="s">
        <v>994</v>
      </c>
      <c r="B515" s="8" t="s">
        <v>116</v>
      </c>
      <c r="C515" s="8" t="s">
        <v>909</v>
      </c>
      <c r="D515" s="8">
        <v>5</v>
      </c>
      <c r="E515" s="8" t="s">
        <v>995</v>
      </c>
      <c r="F515" s="8" t="s">
        <v>911</v>
      </c>
      <c r="G515" s="8" t="s">
        <v>947</v>
      </c>
      <c r="H515" s="10">
        <v>1</v>
      </c>
      <c r="I515" s="10"/>
      <c r="J515" s="10">
        <v>1</v>
      </c>
      <c r="K515" s="10">
        <v>2644.72</v>
      </c>
    </row>
    <row r="516" spans="1:11" x14ac:dyDescent="0.25">
      <c r="A516" s="8" t="s">
        <v>996</v>
      </c>
      <c r="B516" s="8" t="s">
        <v>116</v>
      </c>
      <c r="C516" s="8" t="s">
        <v>909</v>
      </c>
      <c r="D516" s="8">
        <v>5</v>
      </c>
      <c r="E516" s="8" t="s">
        <v>997</v>
      </c>
      <c r="F516" s="8" t="s">
        <v>911</v>
      </c>
      <c r="G516" s="8" t="s">
        <v>947</v>
      </c>
      <c r="H516" s="10">
        <v>1</v>
      </c>
      <c r="I516" s="10"/>
      <c r="J516" s="10">
        <v>1</v>
      </c>
      <c r="K516" s="10">
        <v>2644.72</v>
      </c>
    </row>
    <row r="517" spans="1:11" x14ac:dyDescent="0.25">
      <c r="A517" s="8" t="s">
        <v>998</v>
      </c>
      <c r="B517" s="8" t="s">
        <v>116</v>
      </c>
      <c r="C517" s="8" t="s">
        <v>909</v>
      </c>
      <c r="D517" s="8">
        <v>5</v>
      </c>
      <c r="E517" s="8" t="s">
        <v>999</v>
      </c>
      <c r="F517" s="8" t="s">
        <v>911</v>
      </c>
      <c r="G517" s="8" t="s">
        <v>947</v>
      </c>
      <c r="H517" s="10">
        <v>1</v>
      </c>
      <c r="I517" s="10"/>
      <c r="J517" s="10">
        <v>1</v>
      </c>
      <c r="K517" s="10">
        <v>2644.72</v>
      </c>
    </row>
    <row r="518" spans="1:11" x14ac:dyDescent="0.25">
      <c r="A518" s="8" t="s">
        <v>1000</v>
      </c>
      <c r="B518" s="8" t="s">
        <v>116</v>
      </c>
      <c r="C518" s="8" t="s">
        <v>909</v>
      </c>
      <c r="D518" s="8">
        <v>5</v>
      </c>
      <c r="E518" s="8" t="s">
        <v>1001</v>
      </c>
      <c r="F518" s="8" t="s">
        <v>911</v>
      </c>
      <c r="G518" s="8" t="s">
        <v>947</v>
      </c>
      <c r="H518" s="10">
        <v>1</v>
      </c>
      <c r="I518" s="10"/>
      <c r="J518" s="10">
        <v>1</v>
      </c>
      <c r="K518" s="10">
        <v>2644.72</v>
      </c>
    </row>
    <row r="519" spans="1:11" x14ac:dyDescent="0.25">
      <c r="A519" s="8" t="s">
        <v>1002</v>
      </c>
      <c r="B519" s="8" t="s">
        <v>116</v>
      </c>
      <c r="C519" s="8" t="s">
        <v>909</v>
      </c>
      <c r="D519" s="8">
        <v>5</v>
      </c>
      <c r="E519" s="8" t="s">
        <v>1003</v>
      </c>
      <c r="F519" s="8" t="s">
        <v>911</v>
      </c>
      <c r="G519" s="8" t="s">
        <v>947</v>
      </c>
      <c r="H519" s="10">
        <v>1</v>
      </c>
      <c r="I519" s="10"/>
      <c r="J519" s="10">
        <v>1</v>
      </c>
      <c r="K519" s="10">
        <v>2644.72</v>
      </c>
    </row>
    <row r="520" spans="1:11" x14ac:dyDescent="0.25">
      <c r="A520" s="8" t="s">
        <v>1004</v>
      </c>
      <c r="B520" s="8" t="s">
        <v>120</v>
      </c>
      <c r="C520" s="8" t="s">
        <v>909</v>
      </c>
      <c r="D520" s="8">
        <v>5</v>
      </c>
      <c r="E520" s="8" t="s">
        <v>1005</v>
      </c>
      <c r="F520" s="8" t="s">
        <v>911</v>
      </c>
      <c r="G520" s="8" t="s">
        <v>947</v>
      </c>
      <c r="H520" s="10">
        <v>1</v>
      </c>
      <c r="I520" s="10"/>
      <c r="J520" s="10">
        <v>1</v>
      </c>
      <c r="K520" s="10">
        <v>2657.45</v>
      </c>
    </row>
    <row r="521" spans="1:11" x14ac:dyDescent="0.25">
      <c r="A521" s="8" t="s">
        <v>1006</v>
      </c>
      <c r="B521" s="8" t="s">
        <v>120</v>
      </c>
      <c r="C521" s="8" t="s">
        <v>909</v>
      </c>
      <c r="D521" s="8">
        <v>5</v>
      </c>
      <c r="E521" s="8" t="s">
        <v>1007</v>
      </c>
      <c r="F521" s="8" t="s">
        <v>911</v>
      </c>
      <c r="G521" s="8" t="s">
        <v>947</v>
      </c>
      <c r="H521" s="10">
        <v>1</v>
      </c>
      <c r="I521" s="10"/>
      <c r="J521" s="10">
        <v>1</v>
      </c>
      <c r="K521" s="10">
        <v>2657.45</v>
      </c>
    </row>
    <row r="522" spans="1:11" x14ac:dyDescent="0.25">
      <c r="A522" s="8" t="s">
        <v>1008</v>
      </c>
      <c r="B522" s="8" t="s">
        <v>120</v>
      </c>
      <c r="C522" s="8" t="s">
        <v>909</v>
      </c>
      <c r="D522" s="8">
        <v>5</v>
      </c>
      <c r="E522" s="8" t="s">
        <v>1009</v>
      </c>
      <c r="F522" s="8" t="s">
        <v>911</v>
      </c>
      <c r="G522" s="8" t="s">
        <v>947</v>
      </c>
      <c r="H522" s="10">
        <v>1</v>
      </c>
      <c r="I522" s="10"/>
      <c r="J522" s="10">
        <v>1</v>
      </c>
      <c r="K522" s="10">
        <v>2657.45</v>
      </c>
    </row>
    <row r="523" spans="1:11" x14ac:dyDescent="0.25">
      <c r="A523" s="8" t="s">
        <v>1010</v>
      </c>
      <c r="B523" s="8" t="s">
        <v>120</v>
      </c>
      <c r="C523" s="8" t="s">
        <v>909</v>
      </c>
      <c r="D523" s="8">
        <v>5</v>
      </c>
      <c r="E523" s="8" t="s">
        <v>1011</v>
      </c>
      <c r="F523" s="8" t="s">
        <v>911</v>
      </c>
      <c r="G523" s="8" t="s">
        <v>947</v>
      </c>
      <c r="H523" s="10">
        <v>1</v>
      </c>
      <c r="I523" s="10"/>
      <c r="J523" s="10">
        <v>1</v>
      </c>
      <c r="K523" s="10">
        <v>2644.72</v>
      </c>
    </row>
    <row r="524" spans="1:11" x14ac:dyDescent="0.25">
      <c r="A524" s="8" t="s">
        <v>1012</v>
      </c>
      <c r="B524" s="8" t="s">
        <v>120</v>
      </c>
      <c r="C524" s="8" t="s">
        <v>909</v>
      </c>
      <c r="D524" s="8">
        <v>5</v>
      </c>
      <c r="E524" s="8" t="s">
        <v>1013</v>
      </c>
      <c r="F524" s="8" t="s">
        <v>911</v>
      </c>
      <c r="G524" s="8" t="s">
        <v>947</v>
      </c>
      <c r="H524" s="10">
        <v>1</v>
      </c>
      <c r="I524" s="10"/>
      <c r="J524" s="10">
        <v>1</v>
      </c>
      <c r="K524" s="10">
        <v>2644.72</v>
      </c>
    </row>
    <row r="525" spans="1:11" x14ac:dyDescent="0.25">
      <c r="A525" s="8" t="s">
        <v>1014</v>
      </c>
      <c r="B525" s="8" t="s">
        <v>120</v>
      </c>
      <c r="C525" s="8" t="s">
        <v>909</v>
      </c>
      <c r="D525" s="8">
        <v>5</v>
      </c>
      <c r="E525" s="8" t="s">
        <v>1015</v>
      </c>
      <c r="F525" s="8" t="s">
        <v>911</v>
      </c>
      <c r="G525" s="8" t="s">
        <v>947</v>
      </c>
      <c r="H525" s="10">
        <v>1</v>
      </c>
      <c r="I525" s="10"/>
      <c r="J525" s="10">
        <v>1</v>
      </c>
      <c r="K525" s="10">
        <v>2644.72</v>
      </c>
    </row>
    <row r="526" spans="1:11" x14ac:dyDescent="0.25">
      <c r="A526" s="8" t="s">
        <v>1016</v>
      </c>
      <c r="B526" s="8" t="s">
        <v>120</v>
      </c>
      <c r="C526" s="8" t="s">
        <v>909</v>
      </c>
      <c r="D526" s="8">
        <v>5</v>
      </c>
      <c r="E526" s="8" t="s">
        <v>1017</v>
      </c>
      <c r="F526" s="8" t="s">
        <v>911</v>
      </c>
      <c r="G526" s="8" t="s">
        <v>947</v>
      </c>
      <c r="H526" s="10">
        <v>1</v>
      </c>
      <c r="I526" s="10"/>
      <c r="J526" s="10">
        <v>1</v>
      </c>
      <c r="K526" s="10">
        <v>2657.45</v>
      </c>
    </row>
    <row r="527" spans="1:11" x14ac:dyDescent="0.25">
      <c r="A527" s="8" t="s">
        <v>1018</v>
      </c>
      <c r="B527" s="8" t="s">
        <v>120</v>
      </c>
      <c r="C527" s="8" t="s">
        <v>909</v>
      </c>
      <c r="D527" s="8">
        <v>5</v>
      </c>
      <c r="E527" s="8" t="s">
        <v>1019</v>
      </c>
      <c r="F527" s="8" t="s">
        <v>911</v>
      </c>
      <c r="G527" s="8" t="s">
        <v>947</v>
      </c>
      <c r="H527" s="10">
        <v>1</v>
      </c>
      <c r="I527" s="10"/>
      <c r="J527" s="10">
        <v>1</v>
      </c>
      <c r="K527" s="10">
        <v>2657.45</v>
      </c>
    </row>
    <row r="528" spans="1:11" x14ac:dyDescent="0.25">
      <c r="A528" s="8" t="s">
        <v>1020</v>
      </c>
      <c r="B528" s="8" t="s">
        <v>120</v>
      </c>
      <c r="C528" s="8" t="s">
        <v>909</v>
      </c>
      <c r="D528" s="8">
        <v>5</v>
      </c>
      <c r="E528" s="8" t="s">
        <v>1021</v>
      </c>
      <c r="F528" s="8" t="s">
        <v>911</v>
      </c>
      <c r="G528" s="8" t="s">
        <v>947</v>
      </c>
      <c r="H528" s="10">
        <v>1</v>
      </c>
      <c r="I528" s="10"/>
      <c r="J528" s="10">
        <v>1</v>
      </c>
      <c r="K528" s="10">
        <v>2644.72</v>
      </c>
    </row>
    <row r="529" spans="1:11" x14ac:dyDescent="0.25">
      <c r="A529" s="8" t="s">
        <v>1022</v>
      </c>
      <c r="B529" s="8" t="s">
        <v>120</v>
      </c>
      <c r="C529" s="8" t="s">
        <v>909</v>
      </c>
      <c r="D529" s="8">
        <v>5</v>
      </c>
      <c r="E529" s="8" t="s">
        <v>1023</v>
      </c>
      <c r="F529" s="8" t="s">
        <v>911</v>
      </c>
      <c r="G529" s="8" t="s">
        <v>947</v>
      </c>
      <c r="H529" s="10">
        <v>1</v>
      </c>
      <c r="I529" s="10"/>
      <c r="J529" s="10">
        <v>1</v>
      </c>
      <c r="K529" s="10">
        <v>2657.45</v>
      </c>
    </row>
    <row r="530" spans="1:11" x14ac:dyDescent="0.25">
      <c r="A530" s="8" t="s">
        <v>1024</v>
      </c>
      <c r="B530" s="8" t="s">
        <v>120</v>
      </c>
      <c r="C530" s="8" t="s">
        <v>909</v>
      </c>
      <c r="D530" s="8">
        <v>5</v>
      </c>
      <c r="E530" s="8" t="s">
        <v>1025</v>
      </c>
      <c r="F530" s="8" t="s">
        <v>911</v>
      </c>
      <c r="G530" s="8" t="s">
        <v>947</v>
      </c>
      <c r="H530" s="10">
        <v>1</v>
      </c>
      <c r="I530" s="10"/>
      <c r="J530" s="10">
        <v>1</v>
      </c>
      <c r="K530" s="10">
        <v>2657.45</v>
      </c>
    </row>
    <row r="531" spans="1:11" x14ac:dyDescent="0.25">
      <c r="A531" s="8" t="s">
        <v>1026</v>
      </c>
      <c r="B531" s="8" t="s">
        <v>128</v>
      </c>
      <c r="C531" s="8" t="s">
        <v>909</v>
      </c>
      <c r="D531" s="8">
        <v>5</v>
      </c>
      <c r="E531" s="8" t="s">
        <v>1027</v>
      </c>
      <c r="F531" s="8" t="s">
        <v>911</v>
      </c>
      <c r="G531" s="8" t="s">
        <v>947</v>
      </c>
      <c r="H531" s="10">
        <v>1</v>
      </c>
      <c r="I531" s="10"/>
      <c r="J531" s="10">
        <v>1</v>
      </c>
      <c r="K531" s="10">
        <v>2619.2600000000002</v>
      </c>
    </row>
    <row r="532" spans="1:11" x14ac:dyDescent="0.25">
      <c r="A532" s="8" t="s">
        <v>1028</v>
      </c>
      <c r="B532" s="8" t="s">
        <v>1029</v>
      </c>
      <c r="C532" s="8" t="s">
        <v>909</v>
      </c>
      <c r="D532" s="8">
        <v>5</v>
      </c>
      <c r="E532" s="8" t="s">
        <v>1030</v>
      </c>
      <c r="F532" s="8" t="s">
        <v>911</v>
      </c>
      <c r="G532" s="8" t="s">
        <v>947</v>
      </c>
      <c r="H532" s="10">
        <v>1</v>
      </c>
      <c r="I532" s="10"/>
      <c r="J532" s="10">
        <v>1</v>
      </c>
      <c r="K532" s="10">
        <v>2631.99</v>
      </c>
    </row>
    <row r="533" spans="1:11" x14ac:dyDescent="0.25">
      <c r="A533" s="8" t="s">
        <v>1031</v>
      </c>
      <c r="B533" s="8" t="s">
        <v>118</v>
      </c>
      <c r="C533" s="8" t="s">
        <v>909</v>
      </c>
      <c r="D533" s="8">
        <v>5</v>
      </c>
      <c r="E533" s="8" t="s">
        <v>1032</v>
      </c>
      <c r="F533" s="8" t="s">
        <v>911</v>
      </c>
      <c r="G533" s="8" t="s">
        <v>947</v>
      </c>
      <c r="H533" s="10">
        <v>1</v>
      </c>
      <c r="I533" s="10"/>
      <c r="J533" s="10">
        <v>1</v>
      </c>
      <c r="K533" s="10">
        <v>2631.99</v>
      </c>
    </row>
    <row r="534" spans="1:11" x14ac:dyDescent="0.25">
      <c r="A534" s="8" t="s">
        <v>1033</v>
      </c>
      <c r="B534" s="8" t="s">
        <v>118</v>
      </c>
      <c r="C534" s="8" t="s">
        <v>909</v>
      </c>
      <c r="D534" s="8">
        <v>5</v>
      </c>
      <c r="E534" s="8" t="s">
        <v>1034</v>
      </c>
      <c r="F534" s="8" t="s">
        <v>911</v>
      </c>
      <c r="G534" s="8" t="s">
        <v>947</v>
      </c>
      <c r="H534" s="10">
        <v>1</v>
      </c>
      <c r="I534" s="10"/>
      <c r="J534" s="10">
        <v>1</v>
      </c>
      <c r="K534" s="10">
        <v>2631.99</v>
      </c>
    </row>
    <row r="535" spans="1:11" x14ac:dyDescent="0.25">
      <c r="A535" s="8" t="s">
        <v>1035</v>
      </c>
      <c r="B535" s="8" t="s">
        <v>118</v>
      </c>
      <c r="C535" s="8" t="s">
        <v>909</v>
      </c>
      <c r="D535" s="8">
        <v>5</v>
      </c>
      <c r="E535" s="8" t="s">
        <v>1036</v>
      </c>
      <c r="F535" s="8" t="s">
        <v>911</v>
      </c>
      <c r="G535" s="8" t="s">
        <v>947</v>
      </c>
      <c r="H535" s="10">
        <v>1</v>
      </c>
      <c r="I535" s="10"/>
      <c r="J535" s="10">
        <v>1</v>
      </c>
      <c r="K535" s="10">
        <v>2631.99</v>
      </c>
    </row>
    <row r="536" spans="1:11" x14ac:dyDescent="0.25">
      <c r="A536" s="8" t="s">
        <v>1037</v>
      </c>
      <c r="B536" s="8" t="s">
        <v>118</v>
      </c>
      <c r="C536" s="8" t="s">
        <v>909</v>
      </c>
      <c r="D536" s="8">
        <v>5</v>
      </c>
      <c r="E536" s="8" t="s">
        <v>1038</v>
      </c>
      <c r="F536" s="8" t="s">
        <v>911</v>
      </c>
      <c r="G536" s="8" t="s">
        <v>947</v>
      </c>
      <c r="H536" s="10">
        <v>1</v>
      </c>
      <c r="I536" s="10"/>
      <c r="J536" s="10">
        <v>1</v>
      </c>
      <c r="K536" s="10">
        <v>2631.99</v>
      </c>
    </row>
    <row r="537" spans="1:11" x14ac:dyDescent="0.25">
      <c r="A537" s="8" t="s">
        <v>1039</v>
      </c>
      <c r="B537" s="8" t="s">
        <v>118</v>
      </c>
      <c r="C537" s="8" t="s">
        <v>909</v>
      </c>
      <c r="D537" s="8">
        <v>5</v>
      </c>
      <c r="E537" s="8" t="s">
        <v>1040</v>
      </c>
      <c r="F537" s="8" t="s">
        <v>911</v>
      </c>
      <c r="G537" s="8" t="s">
        <v>947</v>
      </c>
      <c r="H537" s="10">
        <v>1</v>
      </c>
      <c r="I537" s="10"/>
      <c r="J537" s="10">
        <v>1</v>
      </c>
      <c r="K537" s="10">
        <v>2631.99</v>
      </c>
    </row>
    <row r="538" spans="1:11" x14ac:dyDescent="0.25">
      <c r="A538" s="8" t="s">
        <v>1041</v>
      </c>
      <c r="B538" s="8" t="s">
        <v>118</v>
      </c>
      <c r="C538" s="8" t="s">
        <v>909</v>
      </c>
      <c r="D538" s="8">
        <v>5</v>
      </c>
      <c r="E538" s="8" t="s">
        <v>1042</v>
      </c>
      <c r="F538" s="8" t="s">
        <v>911</v>
      </c>
      <c r="G538" s="8" t="s">
        <v>947</v>
      </c>
      <c r="H538" s="10">
        <v>1</v>
      </c>
      <c r="I538" s="10"/>
      <c r="J538" s="10">
        <v>1</v>
      </c>
      <c r="K538" s="10">
        <v>2631.99</v>
      </c>
    </row>
    <row r="539" spans="1:11" x14ac:dyDescent="0.25">
      <c r="A539" s="8" t="s">
        <v>1043</v>
      </c>
      <c r="B539" s="8" t="s">
        <v>120</v>
      </c>
      <c r="C539" s="8" t="s">
        <v>909</v>
      </c>
      <c r="D539" s="8">
        <v>5</v>
      </c>
      <c r="E539" s="8" t="s">
        <v>1044</v>
      </c>
      <c r="F539" s="8" t="s">
        <v>911</v>
      </c>
      <c r="G539" s="8" t="s">
        <v>947</v>
      </c>
      <c r="H539" s="10">
        <v>1</v>
      </c>
      <c r="I539" s="10"/>
      <c r="J539" s="10">
        <v>1</v>
      </c>
      <c r="K539" s="10">
        <v>2708.38</v>
      </c>
    </row>
    <row r="540" spans="1:11" x14ac:dyDescent="0.25">
      <c r="A540" s="8" t="s">
        <v>1045</v>
      </c>
      <c r="B540" s="8" t="s">
        <v>120</v>
      </c>
      <c r="C540" s="8" t="s">
        <v>909</v>
      </c>
      <c r="D540" s="8">
        <v>5</v>
      </c>
      <c r="E540" s="8" t="s">
        <v>1046</v>
      </c>
      <c r="F540" s="8" t="s">
        <v>911</v>
      </c>
      <c r="G540" s="8" t="s">
        <v>947</v>
      </c>
      <c r="H540" s="10">
        <v>1</v>
      </c>
      <c r="I540" s="10"/>
      <c r="J540" s="10">
        <v>1</v>
      </c>
      <c r="K540" s="10">
        <v>2708.38</v>
      </c>
    </row>
    <row r="541" spans="1:11" x14ac:dyDescent="0.25">
      <c r="A541" s="8" t="s">
        <v>1047</v>
      </c>
      <c r="B541" s="8" t="s">
        <v>120</v>
      </c>
      <c r="C541" s="8" t="s">
        <v>909</v>
      </c>
      <c r="D541" s="8">
        <v>5</v>
      </c>
      <c r="E541" s="8" t="s">
        <v>1048</v>
      </c>
      <c r="F541" s="8" t="s">
        <v>911</v>
      </c>
      <c r="G541" s="8" t="s">
        <v>947</v>
      </c>
      <c r="H541" s="10">
        <v>1</v>
      </c>
      <c r="I541" s="10"/>
      <c r="J541" s="10">
        <v>1</v>
      </c>
      <c r="K541" s="10">
        <v>2708.38</v>
      </c>
    </row>
    <row r="542" spans="1:11" x14ac:dyDescent="0.25">
      <c r="A542" s="8" t="s">
        <v>1049</v>
      </c>
      <c r="B542" s="8" t="s">
        <v>120</v>
      </c>
      <c r="C542" s="8" t="s">
        <v>909</v>
      </c>
      <c r="D542" s="8">
        <v>5</v>
      </c>
      <c r="E542" s="8" t="s">
        <v>1050</v>
      </c>
      <c r="F542" s="8" t="s">
        <v>911</v>
      </c>
      <c r="G542" s="8" t="s">
        <v>947</v>
      </c>
      <c r="H542" s="10">
        <v>1</v>
      </c>
      <c r="I542" s="10"/>
      <c r="J542" s="10">
        <v>1</v>
      </c>
      <c r="K542" s="10">
        <v>2708.38</v>
      </c>
    </row>
    <row r="543" spans="1:11" x14ac:dyDescent="0.25">
      <c r="A543" s="8" t="s">
        <v>1051</v>
      </c>
      <c r="B543" s="8" t="s">
        <v>116</v>
      </c>
      <c r="C543" s="8" t="s">
        <v>909</v>
      </c>
      <c r="D543" s="8">
        <v>5</v>
      </c>
      <c r="E543" s="8" t="s">
        <v>1052</v>
      </c>
      <c r="F543" s="8" t="s">
        <v>911</v>
      </c>
      <c r="G543" s="8" t="s">
        <v>947</v>
      </c>
      <c r="H543" s="10">
        <v>1</v>
      </c>
      <c r="I543" s="10"/>
      <c r="J543" s="10">
        <v>1</v>
      </c>
      <c r="K543" s="10">
        <v>3670.58</v>
      </c>
    </row>
    <row r="544" spans="1:11" x14ac:dyDescent="0.25">
      <c r="A544" s="8" t="s">
        <v>1053</v>
      </c>
      <c r="B544" s="8" t="s">
        <v>118</v>
      </c>
      <c r="C544" s="8" t="s">
        <v>909</v>
      </c>
      <c r="D544" s="8">
        <v>5</v>
      </c>
      <c r="E544" s="8" t="s">
        <v>1054</v>
      </c>
      <c r="F544" s="8" t="s">
        <v>911</v>
      </c>
      <c r="G544" s="8" t="s">
        <v>947</v>
      </c>
      <c r="H544" s="10">
        <v>1</v>
      </c>
      <c r="I544" s="10"/>
      <c r="J544" s="10">
        <v>1</v>
      </c>
      <c r="K544" s="10">
        <v>3797.89</v>
      </c>
    </row>
    <row r="545" spans="1:11" x14ac:dyDescent="0.25">
      <c r="A545" s="8" t="s">
        <v>1055</v>
      </c>
      <c r="B545" s="8" t="s">
        <v>118</v>
      </c>
      <c r="C545" s="8" t="s">
        <v>909</v>
      </c>
      <c r="D545" s="8">
        <v>5</v>
      </c>
      <c r="E545" s="8" t="s">
        <v>1056</v>
      </c>
      <c r="F545" s="8" t="s">
        <v>911</v>
      </c>
      <c r="G545" s="8" t="s">
        <v>947</v>
      </c>
      <c r="H545" s="10">
        <v>1</v>
      </c>
      <c r="I545" s="10"/>
      <c r="J545" s="10">
        <v>1</v>
      </c>
      <c r="K545" s="10">
        <v>3759.7</v>
      </c>
    </row>
    <row r="546" spans="1:11" x14ac:dyDescent="0.25">
      <c r="A546" s="8" t="s">
        <v>1057</v>
      </c>
      <c r="B546" s="8" t="s">
        <v>118</v>
      </c>
      <c r="C546" s="8" t="s">
        <v>909</v>
      </c>
      <c r="D546" s="8">
        <v>5</v>
      </c>
      <c r="E546" s="8" t="s">
        <v>1058</v>
      </c>
      <c r="F546" s="8" t="s">
        <v>911</v>
      </c>
      <c r="G546" s="8" t="s">
        <v>947</v>
      </c>
      <c r="H546" s="10">
        <v>1</v>
      </c>
      <c r="I546" s="10"/>
      <c r="J546" s="10">
        <v>1</v>
      </c>
      <c r="K546" s="10">
        <v>3759.7</v>
      </c>
    </row>
    <row r="547" spans="1:11" x14ac:dyDescent="0.25">
      <c r="A547" s="8" t="s">
        <v>1059</v>
      </c>
      <c r="B547" s="8" t="s">
        <v>120</v>
      </c>
      <c r="C547" s="8" t="s">
        <v>909</v>
      </c>
      <c r="D547" s="8">
        <v>5</v>
      </c>
      <c r="E547" s="8" t="s">
        <v>1060</v>
      </c>
      <c r="F547" s="8" t="s">
        <v>911</v>
      </c>
      <c r="G547" s="8" t="s">
        <v>947</v>
      </c>
      <c r="H547" s="10">
        <v>1</v>
      </c>
      <c r="I547" s="10"/>
      <c r="J547" s="10">
        <v>1</v>
      </c>
      <c r="K547" s="10">
        <v>5735.03</v>
      </c>
    </row>
    <row r="548" spans="1:11" x14ac:dyDescent="0.25">
      <c r="A548" s="8" t="s">
        <v>1061</v>
      </c>
      <c r="B548" s="8" t="s">
        <v>120</v>
      </c>
      <c r="C548" s="8" t="s">
        <v>909</v>
      </c>
      <c r="D548" s="8">
        <v>5</v>
      </c>
      <c r="E548" s="8" t="s">
        <v>1062</v>
      </c>
      <c r="F548" s="8" t="s">
        <v>911</v>
      </c>
      <c r="G548" s="8" t="s">
        <v>947</v>
      </c>
      <c r="H548" s="10">
        <v>1</v>
      </c>
      <c r="I548" s="10"/>
      <c r="J548" s="10">
        <v>1</v>
      </c>
      <c r="K548" s="10">
        <v>5735.03</v>
      </c>
    </row>
    <row r="549" spans="1:11" x14ac:dyDescent="0.25">
      <c r="A549" s="8" t="s">
        <v>1063</v>
      </c>
      <c r="B549" s="8" t="s">
        <v>120</v>
      </c>
      <c r="C549" s="8" t="s">
        <v>909</v>
      </c>
      <c r="D549" s="8">
        <v>5</v>
      </c>
      <c r="E549" s="8" t="s">
        <v>1064</v>
      </c>
      <c r="F549" s="8" t="s">
        <v>911</v>
      </c>
      <c r="G549" s="8" t="s">
        <v>947</v>
      </c>
      <c r="H549" s="10">
        <v>1</v>
      </c>
      <c r="I549" s="10"/>
      <c r="J549" s="10">
        <v>1</v>
      </c>
      <c r="K549" s="10">
        <v>3772.43</v>
      </c>
    </row>
    <row r="550" spans="1:11" x14ac:dyDescent="0.25">
      <c r="A550" s="8" t="s">
        <v>1065</v>
      </c>
      <c r="B550" s="8" t="s">
        <v>120</v>
      </c>
      <c r="C550" s="8" t="s">
        <v>909</v>
      </c>
      <c r="D550" s="8">
        <v>5</v>
      </c>
      <c r="E550" s="8" t="s">
        <v>1066</v>
      </c>
      <c r="F550" s="8" t="s">
        <v>911</v>
      </c>
      <c r="G550" s="8" t="s">
        <v>947</v>
      </c>
      <c r="H550" s="10">
        <v>1</v>
      </c>
      <c r="I550" s="10"/>
      <c r="J550" s="10">
        <v>1</v>
      </c>
      <c r="K550" s="10">
        <v>3772.43</v>
      </c>
    </row>
    <row r="551" spans="1:11" x14ac:dyDescent="0.25">
      <c r="A551" s="8" t="s">
        <v>1067</v>
      </c>
      <c r="B551" s="8" t="s">
        <v>120</v>
      </c>
      <c r="C551" s="8" t="s">
        <v>909</v>
      </c>
      <c r="D551" s="8">
        <v>5</v>
      </c>
      <c r="E551" s="8" t="s">
        <v>1068</v>
      </c>
      <c r="F551" s="8" t="s">
        <v>911</v>
      </c>
      <c r="G551" s="8" t="s">
        <v>947</v>
      </c>
      <c r="H551" s="10">
        <v>1</v>
      </c>
      <c r="I551" s="10"/>
      <c r="J551" s="10">
        <v>1</v>
      </c>
      <c r="K551" s="10">
        <v>3772.43</v>
      </c>
    </row>
    <row r="552" spans="1:11" x14ac:dyDescent="0.25">
      <c r="A552" s="8" t="s">
        <v>1069</v>
      </c>
      <c r="B552" s="8" t="s">
        <v>120</v>
      </c>
      <c r="C552" s="8" t="s">
        <v>909</v>
      </c>
      <c r="D552" s="8">
        <v>5</v>
      </c>
      <c r="E552" s="8" t="s">
        <v>1070</v>
      </c>
      <c r="F552" s="8" t="s">
        <v>911</v>
      </c>
      <c r="G552" s="8" t="s">
        <v>947</v>
      </c>
      <c r="H552" s="10">
        <v>1</v>
      </c>
      <c r="I552" s="10"/>
      <c r="J552" s="10">
        <v>1</v>
      </c>
      <c r="K552" s="10">
        <v>3772.43</v>
      </c>
    </row>
    <row r="553" spans="1:11" x14ac:dyDescent="0.25">
      <c r="A553" s="8" t="s">
        <v>1071</v>
      </c>
      <c r="B553" s="8" t="s">
        <v>136</v>
      </c>
      <c r="C553" s="8" t="s">
        <v>909</v>
      </c>
      <c r="D553" s="8">
        <v>5</v>
      </c>
      <c r="E553" s="8" t="s">
        <v>1072</v>
      </c>
      <c r="F553" s="8" t="s">
        <v>911</v>
      </c>
      <c r="G553" s="8" t="s">
        <v>947</v>
      </c>
      <c r="H553" s="10">
        <v>1</v>
      </c>
      <c r="I553" s="10"/>
      <c r="J553" s="10">
        <v>1</v>
      </c>
      <c r="K553" s="10">
        <v>2682.92</v>
      </c>
    </row>
    <row r="554" spans="1:11" x14ac:dyDescent="0.25">
      <c r="A554" s="8" t="s">
        <v>1073</v>
      </c>
      <c r="B554" s="8" t="s">
        <v>136</v>
      </c>
      <c r="C554" s="8" t="s">
        <v>909</v>
      </c>
      <c r="D554" s="8">
        <v>5</v>
      </c>
      <c r="E554" s="8" t="s">
        <v>1074</v>
      </c>
      <c r="F554" s="8" t="s">
        <v>911</v>
      </c>
      <c r="G554" s="8" t="s">
        <v>947</v>
      </c>
      <c r="H554" s="10">
        <v>1</v>
      </c>
      <c r="I554" s="10"/>
      <c r="J554" s="10">
        <v>1</v>
      </c>
      <c r="K554" s="10">
        <v>2682.92</v>
      </c>
    </row>
    <row r="555" spans="1:11" x14ac:dyDescent="0.25">
      <c r="A555" s="8" t="s">
        <v>1075</v>
      </c>
      <c r="B555" s="8" t="s">
        <v>136</v>
      </c>
      <c r="C555" s="8" t="s">
        <v>909</v>
      </c>
      <c r="D555" s="8">
        <v>5</v>
      </c>
      <c r="E555" s="8" t="s">
        <v>1076</v>
      </c>
      <c r="F555" s="8" t="s">
        <v>911</v>
      </c>
      <c r="G555" s="8" t="s">
        <v>947</v>
      </c>
      <c r="H555" s="10">
        <v>1</v>
      </c>
      <c r="I555" s="10"/>
      <c r="J555" s="10">
        <v>1</v>
      </c>
      <c r="K555" s="10">
        <v>2682.92</v>
      </c>
    </row>
    <row r="556" spans="1:11" x14ac:dyDescent="0.25">
      <c r="A556" s="8" t="s">
        <v>1077</v>
      </c>
      <c r="B556" s="8" t="s">
        <v>118</v>
      </c>
      <c r="C556" s="8" t="s">
        <v>909</v>
      </c>
      <c r="D556" s="8">
        <v>5</v>
      </c>
      <c r="E556" s="8" t="s">
        <v>1078</v>
      </c>
      <c r="F556" s="8" t="s">
        <v>911</v>
      </c>
      <c r="G556" s="8" t="s">
        <v>947</v>
      </c>
      <c r="H556" s="10">
        <v>1</v>
      </c>
      <c r="I556" s="10"/>
      <c r="J556" s="10">
        <v>1</v>
      </c>
      <c r="K556" s="10">
        <v>3632.39</v>
      </c>
    </row>
    <row r="557" spans="1:11" x14ac:dyDescent="0.25">
      <c r="A557" s="8" t="s">
        <v>1079</v>
      </c>
      <c r="B557" s="8" t="s">
        <v>118</v>
      </c>
      <c r="C557" s="8" t="s">
        <v>909</v>
      </c>
      <c r="D557" s="8">
        <v>5</v>
      </c>
      <c r="E557" s="8" t="s">
        <v>1080</v>
      </c>
      <c r="F557" s="8" t="s">
        <v>911</v>
      </c>
      <c r="G557" s="8" t="s">
        <v>947</v>
      </c>
      <c r="H557" s="10">
        <v>1</v>
      </c>
      <c r="I557" s="10"/>
      <c r="J557" s="10">
        <v>1</v>
      </c>
      <c r="K557" s="10">
        <v>3632.39</v>
      </c>
    </row>
    <row r="558" spans="1:11" x14ac:dyDescent="0.25">
      <c r="A558" s="8" t="s">
        <v>1081</v>
      </c>
      <c r="B558" s="8" t="s">
        <v>118</v>
      </c>
      <c r="C558" s="8" t="s">
        <v>909</v>
      </c>
      <c r="D558" s="8">
        <v>5</v>
      </c>
      <c r="E558" s="8" t="s">
        <v>1082</v>
      </c>
      <c r="F558" s="8" t="s">
        <v>911</v>
      </c>
      <c r="G558" s="8" t="s">
        <v>947</v>
      </c>
      <c r="H558" s="10">
        <v>1</v>
      </c>
      <c r="I558" s="10"/>
      <c r="J558" s="10">
        <v>1</v>
      </c>
      <c r="K558" s="10">
        <v>3632.39</v>
      </c>
    </row>
    <row r="559" spans="1:11" x14ac:dyDescent="0.25">
      <c r="A559" s="8" t="s">
        <v>1083</v>
      </c>
      <c r="B559" s="8" t="s">
        <v>118</v>
      </c>
      <c r="C559" s="8" t="s">
        <v>909</v>
      </c>
      <c r="D559" s="8">
        <v>5</v>
      </c>
      <c r="E559" s="8" t="s">
        <v>1084</v>
      </c>
      <c r="F559" s="8" t="s">
        <v>911</v>
      </c>
      <c r="G559" s="8" t="s">
        <v>947</v>
      </c>
      <c r="H559" s="10">
        <v>1</v>
      </c>
      <c r="I559" s="10"/>
      <c r="J559" s="10">
        <v>1</v>
      </c>
      <c r="K559" s="10">
        <v>3632.39</v>
      </c>
    </row>
    <row r="560" spans="1:11" x14ac:dyDescent="0.25">
      <c r="A560" s="8" t="s">
        <v>1085</v>
      </c>
      <c r="B560" s="8" t="s">
        <v>118</v>
      </c>
      <c r="C560" s="8" t="s">
        <v>909</v>
      </c>
      <c r="D560" s="8">
        <v>5</v>
      </c>
      <c r="E560" s="8" t="s">
        <v>1086</v>
      </c>
      <c r="F560" s="8" t="s">
        <v>911</v>
      </c>
      <c r="G560" s="8" t="s">
        <v>947</v>
      </c>
      <c r="H560" s="10">
        <v>1</v>
      </c>
      <c r="I560" s="10"/>
      <c r="J560" s="10">
        <v>1</v>
      </c>
      <c r="K560" s="10">
        <v>3632.39</v>
      </c>
    </row>
    <row r="561" spans="1:11" x14ac:dyDescent="0.25">
      <c r="A561" s="8" t="s">
        <v>1087</v>
      </c>
      <c r="B561" s="8" t="s">
        <v>118</v>
      </c>
      <c r="C561" s="8" t="s">
        <v>909</v>
      </c>
      <c r="D561" s="8">
        <v>5</v>
      </c>
      <c r="E561" s="8" t="s">
        <v>1088</v>
      </c>
      <c r="F561" s="8" t="s">
        <v>911</v>
      </c>
      <c r="G561" s="8" t="s">
        <v>947</v>
      </c>
      <c r="H561" s="10">
        <v>1</v>
      </c>
      <c r="I561" s="10"/>
      <c r="J561" s="10">
        <v>1</v>
      </c>
      <c r="K561" s="10">
        <v>3632.39</v>
      </c>
    </row>
    <row r="562" spans="1:11" x14ac:dyDescent="0.25">
      <c r="A562" s="8" t="s">
        <v>1089</v>
      </c>
      <c r="B562" s="8" t="s">
        <v>118</v>
      </c>
      <c r="C562" s="8" t="s">
        <v>909</v>
      </c>
      <c r="D562" s="8">
        <v>5</v>
      </c>
      <c r="E562" s="8" t="s">
        <v>1090</v>
      </c>
      <c r="F562" s="8" t="s">
        <v>911</v>
      </c>
      <c r="G562" s="8" t="s">
        <v>947</v>
      </c>
      <c r="H562" s="10">
        <v>1</v>
      </c>
      <c r="I562" s="10"/>
      <c r="J562" s="10">
        <v>1</v>
      </c>
      <c r="K562" s="10">
        <v>3632.39</v>
      </c>
    </row>
    <row r="563" spans="1:11" x14ac:dyDescent="0.25">
      <c r="A563" s="8" t="s">
        <v>1091</v>
      </c>
      <c r="B563" s="8" t="s">
        <v>118</v>
      </c>
      <c r="C563" s="8" t="s">
        <v>909</v>
      </c>
      <c r="D563" s="8">
        <v>5</v>
      </c>
      <c r="E563" s="8" t="s">
        <v>1092</v>
      </c>
      <c r="F563" s="8" t="s">
        <v>911</v>
      </c>
      <c r="G563" s="8" t="s">
        <v>947</v>
      </c>
      <c r="H563" s="10">
        <v>1</v>
      </c>
      <c r="I563" s="10"/>
      <c r="J563" s="10">
        <v>1</v>
      </c>
      <c r="K563" s="10">
        <v>3632.39</v>
      </c>
    </row>
    <row r="564" spans="1:11" x14ac:dyDescent="0.25">
      <c r="A564" s="8" t="s">
        <v>1093</v>
      </c>
      <c r="B564" s="8" t="s">
        <v>116</v>
      </c>
      <c r="C564" s="8" t="s">
        <v>909</v>
      </c>
      <c r="D564" s="8">
        <v>5</v>
      </c>
      <c r="E564" s="8" t="s">
        <v>1094</v>
      </c>
      <c r="F564" s="8" t="s">
        <v>911</v>
      </c>
      <c r="G564" s="8" t="s">
        <v>947</v>
      </c>
      <c r="H564" s="10">
        <v>1</v>
      </c>
      <c r="I564" s="10"/>
      <c r="J564" s="10">
        <v>1</v>
      </c>
      <c r="K564" s="10">
        <v>13049.54</v>
      </c>
    </row>
    <row r="565" spans="1:11" x14ac:dyDescent="0.25">
      <c r="A565" s="8" t="s">
        <v>1095</v>
      </c>
      <c r="B565" s="8" t="s">
        <v>118</v>
      </c>
      <c r="C565" s="8" t="s">
        <v>909</v>
      </c>
      <c r="D565" s="8">
        <v>5</v>
      </c>
      <c r="E565" s="8" t="s">
        <v>1096</v>
      </c>
      <c r="F565" s="8" t="s">
        <v>911</v>
      </c>
      <c r="G565" s="8" t="s">
        <v>947</v>
      </c>
      <c r="H565" s="10">
        <v>1</v>
      </c>
      <c r="I565" s="10"/>
      <c r="J565" s="10">
        <v>1</v>
      </c>
      <c r="K565" s="10">
        <v>12233.94</v>
      </c>
    </row>
    <row r="566" spans="1:11" x14ac:dyDescent="0.25">
      <c r="A566" s="8" t="s">
        <v>1097</v>
      </c>
      <c r="B566" s="8" t="s">
        <v>120</v>
      </c>
      <c r="C566" s="8" t="s">
        <v>909</v>
      </c>
      <c r="D566" s="8">
        <v>5</v>
      </c>
      <c r="E566" s="8" t="s">
        <v>1098</v>
      </c>
      <c r="F566" s="8" t="s">
        <v>911</v>
      </c>
      <c r="G566" s="8" t="s">
        <v>947</v>
      </c>
      <c r="H566" s="10">
        <v>1</v>
      </c>
      <c r="I566" s="10"/>
      <c r="J566" s="10">
        <v>1</v>
      </c>
      <c r="K566" s="10">
        <v>12233.94</v>
      </c>
    </row>
    <row r="567" spans="1:11" x14ac:dyDescent="0.25">
      <c r="A567" s="8" t="s">
        <v>1099</v>
      </c>
      <c r="B567" s="8" t="s">
        <v>78</v>
      </c>
      <c r="C567" s="8" t="s">
        <v>909</v>
      </c>
      <c r="D567" s="8">
        <v>5</v>
      </c>
      <c r="E567" s="8" t="s">
        <v>1100</v>
      </c>
      <c r="F567" s="8" t="s">
        <v>911</v>
      </c>
      <c r="G567" s="8" t="s">
        <v>947</v>
      </c>
      <c r="H567" s="10">
        <v>1</v>
      </c>
      <c r="I567" s="10"/>
      <c r="J567" s="10">
        <v>1</v>
      </c>
      <c r="K567" s="10">
        <v>5900.54</v>
      </c>
    </row>
    <row r="568" spans="1:11" x14ac:dyDescent="0.25">
      <c r="A568" s="8" t="s">
        <v>1101</v>
      </c>
      <c r="B568" s="8" t="s">
        <v>78</v>
      </c>
      <c r="C568" s="8" t="s">
        <v>909</v>
      </c>
      <c r="D568" s="8">
        <v>5</v>
      </c>
      <c r="E568" s="8" t="s">
        <v>1102</v>
      </c>
      <c r="F568" s="8" t="s">
        <v>911</v>
      </c>
      <c r="G568" s="8" t="s">
        <v>947</v>
      </c>
      <c r="H568" s="10">
        <v>1</v>
      </c>
      <c r="I568" s="10"/>
      <c r="J568" s="10">
        <v>1</v>
      </c>
      <c r="K568" s="10">
        <v>5569.53</v>
      </c>
    </row>
    <row r="569" spans="1:11" x14ac:dyDescent="0.25">
      <c r="A569" s="8" t="s">
        <v>1103</v>
      </c>
      <c r="B569" s="8" t="s">
        <v>78</v>
      </c>
      <c r="C569" s="8" t="s">
        <v>909</v>
      </c>
      <c r="D569" s="8">
        <v>5</v>
      </c>
      <c r="E569" s="8" t="s">
        <v>1104</v>
      </c>
      <c r="F569" s="8" t="s">
        <v>911</v>
      </c>
      <c r="G569" s="8" t="s">
        <v>947</v>
      </c>
      <c r="H569" s="10">
        <v>1</v>
      </c>
      <c r="I569" s="10"/>
      <c r="J569" s="10">
        <v>1</v>
      </c>
      <c r="K569" s="10">
        <v>5569.53</v>
      </c>
    </row>
    <row r="570" spans="1:11" x14ac:dyDescent="0.25">
      <c r="A570" s="8" t="s">
        <v>1105</v>
      </c>
      <c r="B570" s="8" t="s">
        <v>78</v>
      </c>
      <c r="C570" s="8" t="s">
        <v>909</v>
      </c>
      <c r="D570" s="8">
        <v>5</v>
      </c>
      <c r="E570" s="8" t="s">
        <v>1106</v>
      </c>
      <c r="F570" s="8" t="s">
        <v>911</v>
      </c>
      <c r="G570" s="8" t="s">
        <v>947</v>
      </c>
      <c r="H570" s="10">
        <v>1</v>
      </c>
      <c r="I570" s="10"/>
      <c r="J570" s="10">
        <v>1</v>
      </c>
      <c r="K570" s="10">
        <v>3759.7</v>
      </c>
    </row>
    <row r="571" spans="1:11" x14ac:dyDescent="0.25">
      <c r="A571" s="8" t="s">
        <v>1107</v>
      </c>
      <c r="B571" s="8" t="s">
        <v>78</v>
      </c>
      <c r="C571" s="8" t="s">
        <v>909</v>
      </c>
      <c r="D571" s="8">
        <v>5</v>
      </c>
      <c r="E571" s="8" t="s">
        <v>1108</v>
      </c>
      <c r="F571" s="8" t="s">
        <v>911</v>
      </c>
      <c r="G571" s="8" t="s">
        <v>947</v>
      </c>
      <c r="H571" s="10">
        <v>1</v>
      </c>
      <c r="I571" s="10"/>
      <c r="J571" s="10">
        <v>1</v>
      </c>
      <c r="K571" s="10">
        <v>3759.7</v>
      </c>
    </row>
    <row r="572" spans="1:11" x14ac:dyDescent="0.25">
      <c r="A572" s="8" t="s">
        <v>1109</v>
      </c>
      <c r="B572" s="8" t="s">
        <v>78</v>
      </c>
      <c r="C572" s="8" t="s">
        <v>909</v>
      </c>
      <c r="D572" s="8">
        <v>5</v>
      </c>
      <c r="E572" s="8" t="s">
        <v>1110</v>
      </c>
      <c r="F572" s="8" t="s">
        <v>911</v>
      </c>
      <c r="G572" s="8" t="s">
        <v>947</v>
      </c>
      <c r="H572" s="10">
        <v>1</v>
      </c>
      <c r="I572" s="10"/>
      <c r="J572" s="10">
        <v>1</v>
      </c>
      <c r="K572" s="10">
        <v>5569.53</v>
      </c>
    </row>
    <row r="573" spans="1:11" x14ac:dyDescent="0.25">
      <c r="A573" s="8" t="s">
        <v>1111</v>
      </c>
      <c r="B573" s="8" t="s">
        <v>78</v>
      </c>
      <c r="C573" s="8" t="s">
        <v>909</v>
      </c>
      <c r="D573" s="8">
        <v>5</v>
      </c>
      <c r="E573" s="8" t="s">
        <v>1112</v>
      </c>
      <c r="F573" s="8" t="s">
        <v>911</v>
      </c>
      <c r="G573" s="8" t="s">
        <v>947</v>
      </c>
      <c r="H573" s="10">
        <v>1</v>
      </c>
      <c r="I573" s="10"/>
      <c r="J573" s="10">
        <v>1</v>
      </c>
      <c r="K573" s="10">
        <v>5569.53</v>
      </c>
    </row>
    <row r="574" spans="1:11" x14ac:dyDescent="0.25">
      <c r="A574" s="8" t="s">
        <v>1113</v>
      </c>
      <c r="B574" s="8" t="s">
        <v>138</v>
      </c>
      <c r="C574" s="8" t="s">
        <v>909</v>
      </c>
      <c r="D574" s="8">
        <v>5</v>
      </c>
      <c r="E574" s="8" t="s">
        <v>1114</v>
      </c>
      <c r="F574" s="8" t="s">
        <v>911</v>
      </c>
      <c r="G574" s="8" t="s">
        <v>947</v>
      </c>
      <c r="H574" s="10">
        <v>1</v>
      </c>
      <c r="I574" s="10"/>
      <c r="J574" s="10">
        <v>1</v>
      </c>
      <c r="K574" s="10">
        <v>3772.43</v>
      </c>
    </row>
    <row r="575" spans="1:11" x14ac:dyDescent="0.25">
      <c r="A575" s="8" t="s">
        <v>1115</v>
      </c>
      <c r="B575" s="8" t="s">
        <v>138</v>
      </c>
      <c r="C575" s="8" t="s">
        <v>909</v>
      </c>
      <c r="D575" s="8">
        <v>5</v>
      </c>
      <c r="E575" s="8" t="s">
        <v>1116</v>
      </c>
      <c r="F575" s="8" t="s">
        <v>911</v>
      </c>
      <c r="G575" s="8" t="s">
        <v>947</v>
      </c>
      <c r="H575" s="10">
        <v>1</v>
      </c>
      <c r="I575" s="10"/>
      <c r="J575" s="10">
        <v>1</v>
      </c>
      <c r="K575" s="10">
        <v>3772.43</v>
      </c>
    </row>
    <row r="576" spans="1:11" x14ac:dyDescent="0.25">
      <c r="A576" s="8" t="s">
        <v>1117</v>
      </c>
      <c r="B576" s="8" t="s">
        <v>138</v>
      </c>
      <c r="C576" s="8" t="s">
        <v>909</v>
      </c>
      <c r="D576" s="8">
        <v>5</v>
      </c>
      <c r="E576" s="8" t="s">
        <v>1118</v>
      </c>
      <c r="F576" s="8" t="s">
        <v>911</v>
      </c>
      <c r="G576" s="8" t="s">
        <v>947</v>
      </c>
      <c r="H576" s="10">
        <v>1</v>
      </c>
      <c r="I576" s="10"/>
      <c r="J576" s="10">
        <v>1</v>
      </c>
      <c r="K576" s="10">
        <v>3772.43</v>
      </c>
    </row>
    <row r="577" spans="1:11" x14ac:dyDescent="0.25">
      <c r="A577" s="8" t="s">
        <v>1119</v>
      </c>
      <c r="B577" s="8" t="s">
        <v>118</v>
      </c>
      <c r="C577" s="8" t="s">
        <v>909</v>
      </c>
      <c r="D577" s="8">
        <v>5</v>
      </c>
      <c r="E577" s="8" t="s">
        <v>1120</v>
      </c>
      <c r="F577" s="8" t="s">
        <v>911</v>
      </c>
      <c r="G577" s="8" t="s">
        <v>947</v>
      </c>
      <c r="H577" s="10">
        <v>1</v>
      </c>
      <c r="I577" s="10"/>
      <c r="J577" s="10">
        <v>1</v>
      </c>
      <c r="K577" s="10">
        <v>2631.99</v>
      </c>
    </row>
    <row r="578" spans="1:11" x14ac:dyDescent="0.25">
      <c r="A578" s="8" t="s">
        <v>1121</v>
      </c>
      <c r="B578" s="8" t="s">
        <v>118</v>
      </c>
      <c r="C578" s="8" t="s">
        <v>909</v>
      </c>
      <c r="D578" s="8">
        <v>5</v>
      </c>
      <c r="E578" s="8" t="s">
        <v>1122</v>
      </c>
      <c r="F578" s="8" t="s">
        <v>911</v>
      </c>
      <c r="G578" s="8" t="s">
        <v>947</v>
      </c>
      <c r="H578" s="10">
        <v>1</v>
      </c>
      <c r="I578" s="10"/>
      <c r="J578" s="10">
        <v>1</v>
      </c>
      <c r="K578" s="10">
        <v>3797.89</v>
      </c>
    </row>
    <row r="579" spans="1:11" x14ac:dyDescent="0.25">
      <c r="A579" s="8" t="s">
        <v>1123</v>
      </c>
      <c r="B579" s="8" t="s">
        <v>118</v>
      </c>
      <c r="C579" s="8" t="s">
        <v>909</v>
      </c>
      <c r="D579" s="8">
        <v>5</v>
      </c>
      <c r="E579" s="8" t="s">
        <v>1124</v>
      </c>
      <c r="F579" s="8" t="s">
        <v>911</v>
      </c>
      <c r="G579" s="8" t="s">
        <v>947</v>
      </c>
      <c r="H579" s="10">
        <v>1</v>
      </c>
      <c r="I579" s="10"/>
      <c r="J579" s="10">
        <v>1</v>
      </c>
      <c r="K579" s="10">
        <v>3632.39</v>
      </c>
    </row>
    <row r="580" spans="1:11" x14ac:dyDescent="0.25">
      <c r="A580" s="8" t="s">
        <v>1125</v>
      </c>
      <c r="B580" s="8" t="s">
        <v>120</v>
      </c>
      <c r="C580" s="8" t="s">
        <v>909</v>
      </c>
      <c r="D580" s="8">
        <v>5</v>
      </c>
      <c r="E580" s="8" t="s">
        <v>1126</v>
      </c>
      <c r="F580" s="8" t="s">
        <v>911</v>
      </c>
      <c r="G580" s="8" t="s">
        <v>947</v>
      </c>
      <c r="H580" s="10">
        <v>1</v>
      </c>
      <c r="I580" s="10"/>
      <c r="J580" s="10">
        <v>1</v>
      </c>
      <c r="K580" s="10">
        <v>3785.16</v>
      </c>
    </row>
    <row r="581" spans="1:11" x14ac:dyDescent="0.25">
      <c r="A581" s="8" t="s">
        <v>1127</v>
      </c>
      <c r="B581" s="8" t="s">
        <v>120</v>
      </c>
      <c r="C581" s="8" t="s">
        <v>909</v>
      </c>
      <c r="D581" s="8">
        <v>5</v>
      </c>
      <c r="E581" s="8" t="s">
        <v>1128</v>
      </c>
      <c r="F581" s="8" t="s">
        <v>911</v>
      </c>
      <c r="G581" s="8" t="s">
        <v>947</v>
      </c>
      <c r="H581" s="10">
        <v>1</v>
      </c>
      <c r="I581" s="10"/>
      <c r="J581" s="10">
        <v>1</v>
      </c>
      <c r="K581" s="10">
        <v>3785.16</v>
      </c>
    </row>
    <row r="582" spans="1:11" x14ac:dyDescent="0.25">
      <c r="A582" s="8" t="s">
        <v>1129</v>
      </c>
      <c r="B582" s="8" t="s">
        <v>116</v>
      </c>
      <c r="C582" s="8" t="s">
        <v>909</v>
      </c>
      <c r="D582" s="8">
        <v>5</v>
      </c>
      <c r="E582" s="8" t="s">
        <v>1130</v>
      </c>
      <c r="F582" s="8" t="s">
        <v>911</v>
      </c>
      <c r="G582" s="8" t="s">
        <v>947</v>
      </c>
      <c r="H582" s="10">
        <v>1</v>
      </c>
      <c r="I582" s="10"/>
      <c r="J582" s="10">
        <v>1</v>
      </c>
      <c r="K582" s="10">
        <v>2695.65</v>
      </c>
    </row>
    <row r="583" spans="1:11" x14ac:dyDescent="0.25">
      <c r="A583" s="8" t="s">
        <v>1131</v>
      </c>
      <c r="B583" s="8" t="s">
        <v>116</v>
      </c>
      <c r="C583" s="8" t="s">
        <v>909</v>
      </c>
      <c r="D583" s="8">
        <v>5</v>
      </c>
      <c r="E583" s="8" t="s">
        <v>1132</v>
      </c>
      <c r="F583" s="8" t="s">
        <v>911</v>
      </c>
      <c r="G583" s="8" t="s">
        <v>947</v>
      </c>
      <c r="H583" s="10">
        <v>1</v>
      </c>
      <c r="I583" s="10"/>
      <c r="J583" s="10">
        <v>1</v>
      </c>
      <c r="K583" s="10">
        <v>2695.65</v>
      </c>
    </row>
    <row r="584" spans="1:11" x14ac:dyDescent="0.25">
      <c r="A584" s="8" t="s">
        <v>1133</v>
      </c>
      <c r="B584" s="8" t="s">
        <v>116</v>
      </c>
      <c r="C584" s="8" t="s">
        <v>909</v>
      </c>
      <c r="D584" s="8">
        <v>5</v>
      </c>
      <c r="E584" s="8" t="s">
        <v>1134</v>
      </c>
      <c r="F584" s="8" t="s">
        <v>911</v>
      </c>
      <c r="G584" s="8" t="s">
        <v>947</v>
      </c>
      <c r="H584" s="10">
        <v>1</v>
      </c>
      <c r="I584" s="10"/>
      <c r="J584" s="10">
        <v>1</v>
      </c>
      <c r="K584" s="10">
        <v>2695.65</v>
      </c>
    </row>
    <row r="585" spans="1:11" x14ac:dyDescent="0.25">
      <c r="A585" s="8" t="s">
        <v>1135</v>
      </c>
      <c r="B585" s="8" t="s">
        <v>116</v>
      </c>
      <c r="C585" s="8" t="s">
        <v>909</v>
      </c>
      <c r="D585" s="8">
        <v>5</v>
      </c>
      <c r="E585" s="8" t="s">
        <v>1136</v>
      </c>
      <c r="F585" s="8" t="s">
        <v>911</v>
      </c>
      <c r="G585" s="8" t="s">
        <v>947</v>
      </c>
      <c r="H585" s="10">
        <v>1</v>
      </c>
      <c r="I585" s="10"/>
      <c r="J585" s="10">
        <v>1</v>
      </c>
      <c r="K585" s="10">
        <v>2695.65</v>
      </c>
    </row>
    <row r="586" spans="1:11" x14ac:dyDescent="0.25">
      <c r="A586" s="8" t="s">
        <v>1137</v>
      </c>
      <c r="B586" s="8" t="s">
        <v>116</v>
      </c>
      <c r="C586" s="8" t="s">
        <v>909</v>
      </c>
      <c r="D586" s="8">
        <v>5</v>
      </c>
      <c r="E586" s="8" t="s">
        <v>1138</v>
      </c>
      <c r="F586" s="8" t="s">
        <v>911</v>
      </c>
      <c r="G586" s="8" t="s">
        <v>947</v>
      </c>
      <c r="H586" s="10">
        <v>1</v>
      </c>
      <c r="I586" s="10"/>
      <c r="J586" s="10">
        <v>1</v>
      </c>
      <c r="K586" s="10">
        <v>2695.65</v>
      </c>
    </row>
    <row r="587" spans="1:11" x14ac:dyDescent="0.25">
      <c r="A587" s="8" t="s">
        <v>1139</v>
      </c>
      <c r="B587" s="8" t="s">
        <v>116</v>
      </c>
      <c r="C587" s="8" t="s">
        <v>909</v>
      </c>
      <c r="D587" s="8">
        <v>5</v>
      </c>
      <c r="E587" s="8" t="s">
        <v>1140</v>
      </c>
      <c r="F587" s="8" t="s">
        <v>911</v>
      </c>
      <c r="G587" s="8" t="s">
        <v>947</v>
      </c>
      <c r="H587" s="10">
        <v>1</v>
      </c>
      <c r="I587" s="10"/>
      <c r="J587" s="10">
        <v>1</v>
      </c>
      <c r="K587" s="10">
        <v>2695.65</v>
      </c>
    </row>
    <row r="588" spans="1:11" x14ac:dyDescent="0.25">
      <c r="A588" s="8" t="s">
        <v>1141</v>
      </c>
      <c r="B588" s="8" t="s">
        <v>116</v>
      </c>
      <c r="C588" s="8" t="s">
        <v>909</v>
      </c>
      <c r="D588" s="8">
        <v>5</v>
      </c>
      <c r="E588" s="8" t="s">
        <v>1142</v>
      </c>
      <c r="F588" s="8" t="s">
        <v>911</v>
      </c>
      <c r="G588" s="8" t="s">
        <v>947</v>
      </c>
      <c r="H588" s="10">
        <v>1</v>
      </c>
      <c r="I588" s="10"/>
      <c r="J588" s="10">
        <v>1</v>
      </c>
      <c r="K588" s="10">
        <v>2695.65</v>
      </c>
    </row>
    <row r="589" spans="1:11" x14ac:dyDescent="0.25">
      <c r="A589" s="8" t="s">
        <v>1143</v>
      </c>
      <c r="B589" s="8" t="s">
        <v>116</v>
      </c>
      <c r="C589" s="8" t="s">
        <v>909</v>
      </c>
      <c r="D589" s="8">
        <v>5</v>
      </c>
      <c r="E589" s="8" t="s">
        <v>1144</v>
      </c>
      <c r="F589" s="8" t="s">
        <v>911</v>
      </c>
      <c r="G589" s="8" t="s">
        <v>947</v>
      </c>
      <c r="H589" s="10">
        <v>1</v>
      </c>
      <c r="I589" s="10"/>
      <c r="J589" s="10">
        <v>1</v>
      </c>
      <c r="K589" s="10">
        <v>2695.65</v>
      </c>
    </row>
    <row r="590" spans="1:11" x14ac:dyDescent="0.25">
      <c r="A590" s="8" t="s">
        <v>1145</v>
      </c>
      <c r="B590" s="8" t="s">
        <v>118</v>
      </c>
      <c r="C590" s="8" t="s">
        <v>909</v>
      </c>
      <c r="D590" s="8">
        <v>5</v>
      </c>
      <c r="E590" s="8" t="s">
        <v>1146</v>
      </c>
      <c r="F590" s="8" t="s">
        <v>911</v>
      </c>
      <c r="G590" s="8" t="s">
        <v>947</v>
      </c>
      <c r="H590" s="10">
        <v>1</v>
      </c>
      <c r="I590" s="10"/>
      <c r="J590" s="10">
        <v>1</v>
      </c>
      <c r="K590" s="10">
        <v>2695.65</v>
      </c>
    </row>
    <row r="591" spans="1:11" x14ac:dyDescent="0.25">
      <c r="A591" s="8" t="s">
        <v>1147</v>
      </c>
      <c r="B591" s="8" t="s">
        <v>118</v>
      </c>
      <c r="C591" s="8" t="s">
        <v>909</v>
      </c>
      <c r="D591" s="8">
        <v>5</v>
      </c>
      <c r="E591" s="8" t="s">
        <v>1148</v>
      </c>
      <c r="F591" s="8" t="s">
        <v>911</v>
      </c>
      <c r="G591" s="8" t="s">
        <v>947</v>
      </c>
      <c r="H591" s="10">
        <v>1</v>
      </c>
      <c r="I591" s="10"/>
      <c r="J591" s="10">
        <v>1</v>
      </c>
      <c r="K591" s="10">
        <v>2695.65</v>
      </c>
    </row>
    <row r="592" spans="1:11" x14ac:dyDescent="0.25">
      <c r="A592" s="8" t="s">
        <v>1149</v>
      </c>
      <c r="B592" s="8" t="s">
        <v>118</v>
      </c>
      <c r="C592" s="8" t="s">
        <v>909</v>
      </c>
      <c r="D592" s="8">
        <v>5</v>
      </c>
      <c r="E592" s="8" t="s">
        <v>1150</v>
      </c>
      <c r="F592" s="8" t="s">
        <v>911</v>
      </c>
      <c r="G592" s="8" t="s">
        <v>947</v>
      </c>
      <c r="H592" s="10">
        <v>1</v>
      </c>
      <c r="I592" s="10"/>
      <c r="J592" s="10">
        <v>1</v>
      </c>
      <c r="K592" s="10">
        <v>2695.65</v>
      </c>
    </row>
    <row r="593" spans="1:11" x14ac:dyDescent="0.25">
      <c r="A593" s="8" t="s">
        <v>1151</v>
      </c>
      <c r="B593" s="8" t="s">
        <v>118</v>
      </c>
      <c r="C593" s="8" t="s">
        <v>909</v>
      </c>
      <c r="D593" s="8">
        <v>5</v>
      </c>
      <c r="E593" s="8" t="s">
        <v>1152</v>
      </c>
      <c r="F593" s="8" t="s">
        <v>911</v>
      </c>
      <c r="G593" s="8" t="s">
        <v>947</v>
      </c>
      <c r="H593" s="10">
        <v>1</v>
      </c>
      <c r="I593" s="10"/>
      <c r="J593" s="10">
        <v>1</v>
      </c>
      <c r="K593" s="10">
        <v>2695.65</v>
      </c>
    </row>
    <row r="594" spans="1:11" x14ac:dyDescent="0.25">
      <c r="A594" s="8" t="s">
        <v>1153</v>
      </c>
      <c r="B594" s="8" t="s">
        <v>118</v>
      </c>
      <c r="C594" s="8" t="s">
        <v>909</v>
      </c>
      <c r="D594" s="8">
        <v>5</v>
      </c>
      <c r="E594" s="8" t="s">
        <v>1154</v>
      </c>
      <c r="F594" s="8" t="s">
        <v>911</v>
      </c>
      <c r="G594" s="8" t="s">
        <v>947</v>
      </c>
      <c r="H594" s="10">
        <v>1</v>
      </c>
      <c r="I594" s="10"/>
      <c r="J594" s="10">
        <v>1</v>
      </c>
      <c r="K594" s="10">
        <v>2695.65</v>
      </c>
    </row>
    <row r="595" spans="1:11" x14ac:dyDescent="0.25">
      <c r="A595" s="8" t="s">
        <v>1155</v>
      </c>
      <c r="B595" s="8" t="s">
        <v>118</v>
      </c>
      <c r="C595" s="8" t="s">
        <v>909</v>
      </c>
      <c r="D595" s="8">
        <v>5</v>
      </c>
      <c r="E595" s="8" t="s">
        <v>1156</v>
      </c>
      <c r="F595" s="8" t="s">
        <v>911</v>
      </c>
      <c r="G595" s="8" t="s">
        <v>947</v>
      </c>
      <c r="H595" s="10">
        <v>1</v>
      </c>
      <c r="I595" s="10"/>
      <c r="J595" s="10">
        <v>1</v>
      </c>
      <c r="K595" s="10">
        <v>2695.65</v>
      </c>
    </row>
    <row r="596" spans="1:11" x14ac:dyDescent="0.25">
      <c r="A596" s="8" t="s">
        <v>1157</v>
      </c>
      <c r="B596" s="8" t="s">
        <v>120</v>
      </c>
      <c r="C596" s="8" t="s">
        <v>909</v>
      </c>
      <c r="D596" s="8">
        <v>5</v>
      </c>
      <c r="E596" s="8" t="s">
        <v>1158</v>
      </c>
      <c r="F596" s="8" t="s">
        <v>911</v>
      </c>
      <c r="G596" s="8" t="s">
        <v>947</v>
      </c>
      <c r="H596" s="10">
        <v>1</v>
      </c>
      <c r="I596" s="10"/>
      <c r="J596" s="10">
        <v>1</v>
      </c>
      <c r="K596" s="10">
        <v>2695.65</v>
      </c>
    </row>
    <row r="597" spans="1:11" x14ac:dyDescent="0.25">
      <c r="A597" s="8" t="s">
        <v>1159</v>
      </c>
      <c r="B597" s="8" t="s">
        <v>120</v>
      </c>
      <c r="C597" s="8" t="s">
        <v>909</v>
      </c>
      <c r="D597" s="8">
        <v>5</v>
      </c>
      <c r="E597" s="8" t="s">
        <v>1160</v>
      </c>
      <c r="F597" s="8" t="s">
        <v>911</v>
      </c>
      <c r="G597" s="8" t="s">
        <v>947</v>
      </c>
      <c r="H597" s="10">
        <v>1</v>
      </c>
      <c r="I597" s="10"/>
      <c r="J597" s="10">
        <v>1</v>
      </c>
      <c r="K597" s="10">
        <v>2695.65</v>
      </c>
    </row>
    <row r="598" spans="1:11" x14ac:dyDescent="0.25">
      <c r="A598" s="8" t="s">
        <v>1161</v>
      </c>
      <c r="B598" s="8" t="s">
        <v>120</v>
      </c>
      <c r="C598" s="8" t="s">
        <v>909</v>
      </c>
      <c r="D598" s="8">
        <v>5</v>
      </c>
      <c r="E598" s="8" t="s">
        <v>1162</v>
      </c>
      <c r="F598" s="8" t="s">
        <v>911</v>
      </c>
      <c r="G598" s="8" t="s">
        <v>947</v>
      </c>
      <c r="H598" s="10">
        <v>1</v>
      </c>
      <c r="I598" s="10"/>
      <c r="J598" s="10">
        <v>1</v>
      </c>
      <c r="K598" s="10">
        <v>2695.65</v>
      </c>
    </row>
    <row r="599" spans="1:11" x14ac:dyDescent="0.25">
      <c r="A599" s="8" t="s">
        <v>1163</v>
      </c>
      <c r="B599" s="8" t="s">
        <v>120</v>
      </c>
      <c r="C599" s="8" t="s">
        <v>909</v>
      </c>
      <c r="D599" s="8">
        <v>5</v>
      </c>
      <c r="E599" s="8" t="s">
        <v>1164</v>
      </c>
      <c r="F599" s="8" t="s">
        <v>911</v>
      </c>
      <c r="G599" s="8" t="s">
        <v>947</v>
      </c>
      <c r="H599" s="10">
        <v>1</v>
      </c>
      <c r="I599" s="10"/>
      <c r="J599" s="10">
        <v>1</v>
      </c>
      <c r="K599" s="10">
        <v>2695.65</v>
      </c>
    </row>
    <row r="600" spans="1:11" x14ac:dyDescent="0.25">
      <c r="A600" s="8" t="s">
        <v>1165</v>
      </c>
      <c r="B600" s="8" t="s">
        <v>120</v>
      </c>
      <c r="C600" s="8" t="s">
        <v>909</v>
      </c>
      <c r="D600" s="8">
        <v>5</v>
      </c>
      <c r="E600" s="8" t="s">
        <v>1166</v>
      </c>
      <c r="F600" s="8" t="s">
        <v>911</v>
      </c>
      <c r="G600" s="8" t="s">
        <v>947</v>
      </c>
      <c r="H600" s="10">
        <v>1</v>
      </c>
      <c r="I600" s="10"/>
      <c r="J600" s="10">
        <v>1</v>
      </c>
      <c r="K600" s="10">
        <v>2695.65</v>
      </c>
    </row>
    <row r="601" spans="1:11" x14ac:dyDescent="0.25">
      <c r="A601" s="8" t="s">
        <v>1167</v>
      </c>
      <c r="B601" s="8" t="s">
        <v>120</v>
      </c>
      <c r="C601" s="8" t="s">
        <v>909</v>
      </c>
      <c r="D601" s="8">
        <v>5</v>
      </c>
      <c r="E601" s="8" t="s">
        <v>1168</v>
      </c>
      <c r="F601" s="8" t="s">
        <v>911</v>
      </c>
      <c r="G601" s="8" t="s">
        <v>947</v>
      </c>
      <c r="H601" s="10">
        <v>1</v>
      </c>
      <c r="I601" s="10"/>
      <c r="J601" s="10">
        <v>1</v>
      </c>
      <c r="K601" s="10">
        <v>2695.65</v>
      </c>
    </row>
    <row r="602" spans="1:11" x14ac:dyDescent="0.25">
      <c r="A602" s="8" t="s">
        <v>1169</v>
      </c>
      <c r="B602" s="8" t="s">
        <v>120</v>
      </c>
      <c r="C602" s="8" t="s">
        <v>909</v>
      </c>
      <c r="D602" s="8">
        <v>5</v>
      </c>
      <c r="E602" s="8" t="s">
        <v>1170</v>
      </c>
      <c r="F602" s="8" t="s">
        <v>911</v>
      </c>
      <c r="G602" s="8" t="s">
        <v>947</v>
      </c>
      <c r="H602" s="10">
        <v>1</v>
      </c>
      <c r="I602" s="10"/>
      <c r="J602" s="10">
        <v>1</v>
      </c>
      <c r="K602" s="10">
        <v>2695.65</v>
      </c>
    </row>
    <row r="603" spans="1:11" x14ac:dyDescent="0.25">
      <c r="A603" s="8" t="s">
        <v>1171</v>
      </c>
      <c r="B603" s="8" t="s">
        <v>120</v>
      </c>
      <c r="C603" s="8" t="s">
        <v>909</v>
      </c>
      <c r="D603" s="8">
        <v>5</v>
      </c>
      <c r="E603" s="8" t="s">
        <v>1172</v>
      </c>
      <c r="F603" s="8" t="s">
        <v>911</v>
      </c>
      <c r="G603" s="8" t="s">
        <v>947</v>
      </c>
      <c r="H603" s="10">
        <v>1</v>
      </c>
      <c r="I603" s="10"/>
      <c r="J603" s="10">
        <v>1</v>
      </c>
      <c r="K603" s="10">
        <v>2695.65</v>
      </c>
    </row>
    <row r="604" spans="1:11" x14ac:dyDescent="0.25">
      <c r="A604" s="8" t="s">
        <v>1173</v>
      </c>
      <c r="B604" s="8" t="s">
        <v>120</v>
      </c>
      <c r="C604" s="8" t="s">
        <v>909</v>
      </c>
      <c r="D604" s="8">
        <v>5</v>
      </c>
      <c r="E604" s="8" t="s">
        <v>1174</v>
      </c>
      <c r="F604" s="8" t="s">
        <v>911</v>
      </c>
      <c r="G604" s="8" t="s">
        <v>947</v>
      </c>
      <c r="H604" s="10">
        <v>1</v>
      </c>
      <c r="I604" s="10"/>
      <c r="J604" s="10">
        <v>1</v>
      </c>
      <c r="K604" s="10">
        <v>2708.38</v>
      </c>
    </row>
    <row r="605" spans="1:11" x14ac:dyDescent="0.25">
      <c r="A605" s="8" t="s">
        <v>1175</v>
      </c>
      <c r="B605" s="8" t="s">
        <v>120</v>
      </c>
      <c r="C605" s="8" t="s">
        <v>909</v>
      </c>
      <c r="D605" s="8">
        <v>5</v>
      </c>
      <c r="E605" s="8" t="s">
        <v>1176</v>
      </c>
      <c r="F605" s="8" t="s">
        <v>911</v>
      </c>
      <c r="G605" s="8" t="s">
        <v>947</v>
      </c>
      <c r="H605" s="10">
        <v>1</v>
      </c>
      <c r="I605" s="10"/>
      <c r="J605" s="10">
        <v>1</v>
      </c>
      <c r="K605" s="10">
        <v>2708.38</v>
      </c>
    </row>
    <row r="606" spans="1:11" x14ac:dyDescent="0.25">
      <c r="A606" s="8" t="s">
        <v>1177</v>
      </c>
      <c r="B606" s="8" t="s">
        <v>120</v>
      </c>
      <c r="C606" s="8" t="s">
        <v>909</v>
      </c>
      <c r="D606" s="8">
        <v>5</v>
      </c>
      <c r="E606" s="8" t="s">
        <v>1178</v>
      </c>
      <c r="F606" s="8" t="s">
        <v>911</v>
      </c>
      <c r="G606" s="8" t="s">
        <v>947</v>
      </c>
      <c r="H606" s="10">
        <v>1</v>
      </c>
      <c r="I606" s="10"/>
      <c r="J606" s="10">
        <v>1</v>
      </c>
      <c r="K606" s="10">
        <v>2708.38</v>
      </c>
    </row>
    <row r="607" spans="1:11" x14ac:dyDescent="0.25">
      <c r="A607" s="8" t="s">
        <v>1179</v>
      </c>
      <c r="B607" s="8" t="s">
        <v>120</v>
      </c>
      <c r="C607" s="8" t="s">
        <v>909</v>
      </c>
      <c r="D607" s="8">
        <v>5</v>
      </c>
      <c r="E607" s="8" t="s">
        <v>1180</v>
      </c>
      <c r="F607" s="8" t="s">
        <v>911</v>
      </c>
      <c r="G607" s="8" t="s">
        <v>947</v>
      </c>
      <c r="H607" s="10">
        <v>1</v>
      </c>
      <c r="I607" s="10"/>
      <c r="J607" s="10">
        <v>1</v>
      </c>
      <c r="K607" s="10">
        <v>2708.38</v>
      </c>
    </row>
    <row r="608" spans="1:11" x14ac:dyDescent="0.25">
      <c r="A608" s="8" t="s">
        <v>1181</v>
      </c>
      <c r="B608" s="8" t="s">
        <v>128</v>
      </c>
      <c r="C608" s="8" t="s">
        <v>918</v>
      </c>
      <c r="D608" s="8">
        <v>6</v>
      </c>
      <c r="E608" s="8" t="s">
        <v>1182</v>
      </c>
      <c r="F608" s="8" t="s">
        <v>911</v>
      </c>
      <c r="G608" s="8" t="s">
        <v>920</v>
      </c>
      <c r="H608" s="10">
        <v>1</v>
      </c>
      <c r="I608" s="10"/>
      <c r="J608" s="10">
        <v>1</v>
      </c>
      <c r="K608" s="10">
        <v>429944.14</v>
      </c>
    </row>
    <row r="609" spans="1:11" x14ac:dyDescent="0.25">
      <c r="A609" s="8" t="s">
        <v>1183</v>
      </c>
      <c r="B609" s="8" t="s">
        <v>122</v>
      </c>
      <c r="C609" s="8" t="s">
        <v>918</v>
      </c>
      <c r="D609" s="8">
        <v>6</v>
      </c>
      <c r="E609" s="8" t="s">
        <v>1184</v>
      </c>
      <c r="F609" s="8" t="s">
        <v>911</v>
      </c>
      <c r="G609" s="8" t="s">
        <v>920</v>
      </c>
      <c r="H609" s="10">
        <v>1</v>
      </c>
      <c r="I609" s="10"/>
      <c r="J609" s="10">
        <v>1</v>
      </c>
      <c r="K609" s="10">
        <v>387683.44</v>
      </c>
    </row>
    <row r="610" spans="1:11" x14ac:dyDescent="0.25">
      <c r="A610" s="8" t="s">
        <v>1185</v>
      </c>
      <c r="B610" s="8" t="s">
        <v>122</v>
      </c>
      <c r="C610" s="8" t="s">
        <v>918</v>
      </c>
      <c r="D610" s="8">
        <v>6</v>
      </c>
      <c r="E610" s="8" t="s">
        <v>1186</v>
      </c>
      <c r="F610" s="8" t="s">
        <v>911</v>
      </c>
      <c r="G610" s="8" t="s">
        <v>920</v>
      </c>
      <c r="H610" s="10">
        <v>1</v>
      </c>
      <c r="I610" s="10"/>
      <c r="J610" s="10">
        <v>1</v>
      </c>
      <c r="K610" s="10">
        <v>387683.44</v>
      </c>
    </row>
    <row r="611" spans="1:11" x14ac:dyDescent="0.25">
      <c r="A611" s="8" t="s">
        <v>1187</v>
      </c>
      <c r="B611" s="8" t="s">
        <v>122</v>
      </c>
      <c r="C611" s="8" t="s">
        <v>918</v>
      </c>
      <c r="D611" s="8">
        <v>6</v>
      </c>
      <c r="E611" s="8" t="s">
        <v>1188</v>
      </c>
      <c r="F611" s="8" t="s">
        <v>911</v>
      </c>
      <c r="G611" s="8" t="s">
        <v>920</v>
      </c>
      <c r="H611" s="10">
        <v>1</v>
      </c>
      <c r="I611" s="10"/>
      <c r="J611" s="10">
        <v>1</v>
      </c>
      <c r="K611" s="10">
        <v>387683.44</v>
      </c>
    </row>
    <row r="612" spans="1:11" x14ac:dyDescent="0.25">
      <c r="A612" s="8" t="s">
        <v>1189</v>
      </c>
      <c r="B612" s="8" t="s">
        <v>122</v>
      </c>
      <c r="C612" s="8" t="s">
        <v>918</v>
      </c>
      <c r="D612" s="8">
        <v>6</v>
      </c>
      <c r="E612" s="8" t="s">
        <v>1190</v>
      </c>
      <c r="F612" s="8" t="s">
        <v>911</v>
      </c>
      <c r="G612" s="8" t="s">
        <v>920</v>
      </c>
      <c r="H612" s="10">
        <v>1</v>
      </c>
      <c r="I612" s="10"/>
      <c r="J612" s="10">
        <v>1</v>
      </c>
      <c r="K612" s="10">
        <v>387683.44</v>
      </c>
    </row>
    <row r="613" spans="1:11" x14ac:dyDescent="0.25">
      <c r="A613" s="8" t="s">
        <v>1191</v>
      </c>
      <c r="B613" s="8" t="s">
        <v>122</v>
      </c>
      <c r="C613" s="8" t="s">
        <v>918</v>
      </c>
      <c r="D613" s="8">
        <v>6</v>
      </c>
      <c r="E613" s="8" t="s">
        <v>1192</v>
      </c>
      <c r="F613" s="8" t="s">
        <v>911</v>
      </c>
      <c r="G613" s="8" t="s">
        <v>920</v>
      </c>
      <c r="H613" s="10">
        <v>1</v>
      </c>
      <c r="I613" s="10"/>
      <c r="J613" s="10">
        <v>1</v>
      </c>
      <c r="K613" s="10">
        <v>387683.44</v>
      </c>
    </row>
    <row r="614" spans="1:11" x14ac:dyDescent="0.25">
      <c r="A614" s="8" t="s">
        <v>1193</v>
      </c>
      <c r="B614" s="8" t="s">
        <v>122</v>
      </c>
      <c r="C614" s="8" t="s">
        <v>918</v>
      </c>
      <c r="D614" s="8">
        <v>6</v>
      </c>
      <c r="E614" s="8" t="s">
        <v>1194</v>
      </c>
      <c r="F614" s="8" t="s">
        <v>911</v>
      </c>
      <c r="G614" s="8" t="s">
        <v>920</v>
      </c>
      <c r="H614" s="10">
        <v>1</v>
      </c>
      <c r="I614" s="10"/>
      <c r="J614" s="10">
        <v>1</v>
      </c>
      <c r="K614" s="10">
        <v>387683.44</v>
      </c>
    </row>
    <row r="615" spans="1:11" x14ac:dyDescent="0.25">
      <c r="A615" s="8" t="s">
        <v>1195</v>
      </c>
      <c r="B615" s="8" t="s">
        <v>122</v>
      </c>
      <c r="C615" s="8" t="s">
        <v>918</v>
      </c>
      <c r="D615" s="8">
        <v>6</v>
      </c>
      <c r="E615" s="8" t="s">
        <v>1196</v>
      </c>
      <c r="F615" s="8" t="s">
        <v>911</v>
      </c>
      <c r="G615" s="8" t="s">
        <v>920</v>
      </c>
      <c r="H615" s="10">
        <v>1</v>
      </c>
      <c r="I615" s="10"/>
      <c r="J615" s="10">
        <v>1</v>
      </c>
      <c r="K615" s="10">
        <v>387683.44</v>
      </c>
    </row>
    <row r="616" spans="1:11" x14ac:dyDescent="0.25">
      <c r="A616" s="8" t="s">
        <v>1197</v>
      </c>
      <c r="B616" s="8" t="s">
        <v>122</v>
      </c>
      <c r="C616" s="8" t="s">
        <v>918</v>
      </c>
      <c r="D616" s="8">
        <v>6</v>
      </c>
      <c r="E616" s="8" t="s">
        <v>1198</v>
      </c>
      <c r="F616" s="8" t="s">
        <v>911</v>
      </c>
      <c r="G616" s="8" t="s">
        <v>920</v>
      </c>
      <c r="H616" s="10">
        <v>1</v>
      </c>
      <c r="I616" s="10"/>
      <c r="J616" s="10">
        <v>1</v>
      </c>
      <c r="K616" s="10">
        <v>387683.44</v>
      </c>
    </row>
    <row r="617" spans="1:11" x14ac:dyDescent="0.25">
      <c r="A617" s="8" t="s">
        <v>1199</v>
      </c>
      <c r="B617" s="8" t="s">
        <v>122</v>
      </c>
      <c r="C617" s="8" t="s">
        <v>918</v>
      </c>
      <c r="D617" s="8">
        <v>6</v>
      </c>
      <c r="E617" s="8" t="s">
        <v>1200</v>
      </c>
      <c r="F617" s="8" t="s">
        <v>911</v>
      </c>
      <c r="G617" s="8" t="s">
        <v>920</v>
      </c>
      <c r="H617" s="10">
        <v>1</v>
      </c>
      <c r="I617" s="10"/>
      <c r="J617" s="10">
        <v>1</v>
      </c>
      <c r="K617" s="10">
        <v>387683.44</v>
      </c>
    </row>
    <row r="618" spans="1:11" x14ac:dyDescent="0.25">
      <c r="A618" s="8" t="s">
        <v>1201</v>
      </c>
      <c r="B618" s="8" t="s">
        <v>122</v>
      </c>
      <c r="C618" s="8" t="s">
        <v>918</v>
      </c>
      <c r="D618" s="8">
        <v>6</v>
      </c>
      <c r="E618" s="8" t="s">
        <v>1202</v>
      </c>
      <c r="F618" s="8" t="s">
        <v>911</v>
      </c>
      <c r="G618" s="8" t="s">
        <v>920</v>
      </c>
      <c r="H618" s="10">
        <v>1</v>
      </c>
      <c r="I618" s="10"/>
      <c r="J618" s="10">
        <v>1</v>
      </c>
      <c r="K618" s="10">
        <v>387683.44</v>
      </c>
    </row>
    <row r="619" spans="1:11" x14ac:dyDescent="0.25">
      <c r="A619" s="8" t="s">
        <v>1203</v>
      </c>
      <c r="B619" s="8" t="s">
        <v>122</v>
      </c>
      <c r="C619" s="8" t="s">
        <v>918</v>
      </c>
      <c r="D619" s="8">
        <v>6</v>
      </c>
      <c r="E619" s="8" t="s">
        <v>1204</v>
      </c>
      <c r="F619" s="8" t="s">
        <v>911</v>
      </c>
      <c r="G619" s="8" t="s">
        <v>920</v>
      </c>
      <c r="H619" s="10">
        <v>1</v>
      </c>
      <c r="I619" s="10"/>
      <c r="J619" s="10">
        <v>1</v>
      </c>
      <c r="K619" s="10">
        <v>387683.44</v>
      </c>
    </row>
    <row r="620" spans="1:11" x14ac:dyDescent="0.25">
      <c r="A620" s="8" t="s">
        <v>1205</v>
      </c>
      <c r="B620" s="8" t="s">
        <v>122</v>
      </c>
      <c r="C620" s="8" t="s">
        <v>918</v>
      </c>
      <c r="D620" s="8">
        <v>6</v>
      </c>
      <c r="E620" s="8" t="s">
        <v>1206</v>
      </c>
      <c r="F620" s="8" t="s">
        <v>911</v>
      </c>
      <c r="G620" s="8" t="s">
        <v>920</v>
      </c>
      <c r="H620" s="10">
        <v>1</v>
      </c>
      <c r="I620" s="10"/>
      <c r="J620" s="10">
        <v>1</v>
      </c>
      <c r="K620" s="10">
        <v>387683.44</v>
      </c>
    </row>
    <row r="621" spans="1:11" x14ac:dyDescent="0.25">
      <c r="A621" s="8" t="s">
        <v>1207</v>
      </c>
      <c r="B621" s="8" t="s">
        <v>122</v>
      </c>
      <c r="C621" s="8" t="s">
        <v>918</v>
      </c>
      <c r="D621" s="8">
        <v>6</v>
      </c>
      <c r="E621" s="8" t="s">
        <v>1208</v>
      </c>
      <c r="F621" s="8" t="s">
        <v>911</v>
      </c>
      <c r="G621" s="8" t="s">
        <v>920</v>
      </c>
      <c r="H621" s="10">
        <v>1</v>
      </c>
      <c r="I621" s="10"/>
      <c r="J621" s="10">
        <v>1</v>
      </c>
      <c r="K621" s="10">
        <v>387683.44</v>
      </c>
    </row>
    <row r="622" spans="1:11" x14ac:dyDescent="0.25">
      <c r="A622" s="8" t="s">
        <v>1209</v>
      </c>
      <c r="B622" s="8" t="s">
        <v>122</v>
      </c>
      <c r="C622" s="8" t="s">
        <v>918</v>
      </c>
      <c r="D622" s="8">
        <v>6</v>
      </c>
      <c r="E622" s="8" t="s">
        <v>1210</v>
      </c>
      <c r="F622" s="8" t="s">
        <v>911</v>
      </c>
      <c r="G622" s="8" t="s">
        <v>920</v>
      </c>
      <c r="H622" s="10">
        <v>1</v>
      </c>
      <c r="I622" s="10"/>
      <c r="J622" s="10">
        <v>1</v>
      </c>
      <c r="K622" s="10">
        <v>387683.44</v>
      </c>
    </row>
    <row r="623" spans="1:11" x14ac:dyDescent="0.25">
      <c r="A623" s="8" t="s">
        <v>1211</v>
      </c>
      <c r="B623" s="8" t="s">
        <v>122</v>
      </c>
      <c r="C623" s="8" t="s">
        <v>918</v>
      </c>
      <c r="D623" s="8">
        <v>6</v>
      </c>
      <c r="E623" s="8" t="s">
        <v>1212</v>
      </c>
      <c r="F623" s="8" t="s">
        <v>911</v>
      </c>
      <c r="G623" s="8" t="s">
        <v>920</v>
      </c>
      <c r="H623" s="10">
        <v>1</v>
      </c>
      <c r="I623" s="10"/>
      <c r="J623" s="10">
        <v>1</v>
      </c>
      <c r="K623" s="10">
        <v>387683.44</v>
      </c>
    </row>
    <row r="624" spans="1:11" x14ac:dyDescent="0.25">
      <c r="A624" s="8" t="s">
        <v>1213</v>
      </c>
      <c r="B624" s="8" t="s">
        <v>122</v>
      </c>
      <c r="C624" s="8" t="s">
        <v>918</v>
      </c>
      <c r="D624" s="8">
        <v>6</v>
      </c>
      <c r="E624" s="8" t="s">
        <v>1214</v>
      </c>
      <c r="F624" s="8" t="s">
        <v>911</v>
      </c>
      <c r="G624" s="8" t="s">
        <v>920</v>
      </c>
      <c r="H624" s="10">
        <v>1</v>
      </c>
      <c r="I624" s="10"/>
      <c r="J624" s="10">
        <v>1</v>
      </c>
      <c r="K624" s="10">
        <v>387683.44</v>
      </c>
    </row>
    <row r="625" spans="1:11" x14ac:dyDescent="0.25">
      <c r="A625" s="8" t="s">
        <v>1215</v>
      </c>
      <c r="B625" s="8" t="s">
        <v>122</v>
      </c>
      <c r="C625" s="8" t="s">
        <v>918</v>
      </c>
      <c r="D625" s="8">
        <v>6</v>
      </c>
      <c r="E625" s="8" t="s">
        <v>1216</v>
      </c>
      <c r="F625" s="8" t="s">
        <v>911</v>
      </c>
      <c r="G625" s="8" t="s">
        <v>920</v>
      </c>
      <c r="H625" s="10">
        <v>1</v>
      </c>
      <c r="I625" s="10"/>
      <c r="J625" s="10">
        <v>1</v>
      </c>
      <c r="K625" s="10">
        <v>387683.44</v>
      </c>
    </row>
    <row r="626" spans="1:11" x14ac:dyDescent="0.25">
      <c r="A626" s="8" t="s">
        <v>1217</v>
      </c>
      <c r="B626" s="8" t="s">
        <v>122</v>
      </c>
      <c r="C626" s="8" t="s">
        <v>918</v>
      </c>
      <c r="D626" s="8">
        <v>6</v>
      </c>
      <c r="E626" s="8" t="s">
        <v>1218</v>
      </c>
      <c r="F626" s="8" t="s">
        <v>911</v>
      </c>
      <c r="G626" s="8" t="s">
        <v>920</v>
      </c>
      <c r="H626" s="10">
        <v>1</v>
      </c>
      <c r="I626" s="10"/>
      <c r="J626" s="10">
        <v>1</v>
      </c>
      <c r="K626" s="10">
        <v>387683.44</v>
      </c>
    </row>
    <row r="627" spans="1:11" x14ac:dyDescent="0.25">
      <c r="A627" s="8" t="s">
        <v>1219</v>
      </c>
      <c r="B627" s="8" t="s">
        <v>122</v>
      </c>
      <c r="C627" s="8" t="s">
        <v>918</v>
      </c>
      <c r="D627" s="8">
        <v>6</v>
      </c>
      <c r="E627" s="8" t="s">
        <v>1220</v>
      </c>
      <c r="F627" s="8" t="s">
        <v>911</v>
      </c>
      <c r="G627" s="8" t="s">
        <v>920</v>
      </c>
      <c r="H627" s="10">
        <v>1</v>
      </c>
      <c r="I627" s="10"/>
      <c r="J627" s="10">
        <v>1</v>
      </c>
      <c r="K627" s="10">
        <v>387683.44</v>
      </c>
    </row>
    <row r="628" spans="1:11" x14ac:dyDescent="0.25">
      <c r="A628" s="8" t="s">
        <v>1221</v>
      </c>
      <c r="B628" s="8" t="s">
        <v>122</v>
      </c>
      <c r="C628" s="8" t="s">
        <v>918</v>
      </c>
      <c r="D628" s="8">
        <v>6</v>
      </c>
      <c r="E628" s="8" t="s">
        <v>1222</v>
      </c>
      <c r="F628" s="8" t="s">
        <v>911</v>
      </c>
      <c r="G628" s="8" t="s">
        <v>920</v>
      </c>
      <c r="H628" s="10">
        <v>1</v>
      </c>
      <c r="I628" s="10"/>
      <c r="J628" s="10">
        <v>1</v>
      </c>
      <c r="K628" s="10">
        <v>387683.44</v>
      </c>
    </row>
    <row r="629" spans="1:11" x14ac:dyDescent="0.25">
      <c r="A629" s="8" t="s">
        <v>1223</v>
      </c>
      <c r="B629" s="8" t="s">
        <v>122</v>
      </c>
      <c r="C629" s="8" t="s">
        <v>918</v>
      </c>
      <c r="D629" s="8">
        <v>6</v>
      </c>
      <c r="E629" s="8" t="s">
        <v>1224</v>
      </c>
      <c r="F629" s="8" t="s">
        <v>911</v>
      </c>
      <c r="G629" s="8" t="s">
        <v>920</v>
      </c>
      <c r="H629" s="10">
        <v>1</v>
      </c>
      <c r="I629" s="10"/>
      <c r="J629" s="10">
        <v>1</v>
      </c>
      <c r="K629" s="10">
        <v>387683.44</v>
      </c>
    </row>
    <row r="630" spans="1:11" x14ac:dyDescent="0.25">
      <c r="A630" s="8" t="s">
        <v>1225</v>
      </c>
      <c r="B630" s="8" t="s">
        <v>122</v>
      </c>
      <c r="C630" s="8" t="s">
        <v>918</v>
      </c>
      <c r="D630" s="8">
        <v>6</v>
      </c>
      <c r="E630" s="8" t="s">
        <v>1226</v>
      </c>
      <c r="F630" s="8" t="s">
        <v>911</v>
      </c>
      <c r="G630" s="8" t="s">
        <v>920</v>
      </c>
      <c r="H630" s="10">
        <v>1</v>
      </c>
      <c r="I630" s="10"/>
      <c r="J630" s="10">
        <v>1</v>
      </c>
      <c r="K630" s="10">
        <v>387683.44</v>
      </c>
    </row>
    <row r="631" spans="1:11" x14ac:dyDescent="0.25">
      <c r="A631" s="8" t="s">
        <v>1227</v>
      </c>
      <c r="B631" s="8" t="s">
        <v>122</v>
      </c>
      <c r="C631" s="8" t="s">
        <v>918</v>
      </c>
      <c r="D631" s="8">
        <v>6</v>
      </c>
      <c r="E631" s="8" t="s">
        <v>1228</v>
      </c>
      <c r="F631" s="8" t="s">
        <v>911</v>
      </c>
      <c r="G631" s="8" t="s">
        <v>920</v>
      </c>
      <c r="H631" s="10">
        <v>1</v>
      </c>
      <c r="I631" s="10"/>
      <c r="J631" s="10">
        <v>1</v>
      </c>
      <c r="K631" s="10">
        <v>387683.44</v>
      </c>
    </row>
    <row r="632" spans="1:11" x14ac:dyDescent="0.25">
      <c r="A632" s="8" t="s">
        <v>1229</v>
      </c>
      <c r="B632" s="8" t="s">
        <v>122</v>
      </c>
      <c r="C632" s="8" t="s">
        <v>918</v>
      </c>
      <c r="D632" s="8">
        <v>6</v>
      </c>
      <c r="E632" s="8" t="s">
        <v>1230</v>
      </c>
      <c r="F632" s="8" t="s">
        <v>911</v>
      </c>
      <c r="G632" s="8" t="s">
        <v>920</v>
      </c>
      <c r="H632" s="10">
        <v>1</v>
      </c>
      <c r="I632" s="10"/>
      <c r="J632" s="10">
        <v>1</v>
      </c>
      <c r="K632" s="10">
        <v>387683.44</v>
      </c>
    </row>
    <row r="633" spans="1:11" x14ac:dyDescent="0.25">
      <c r="A633" s="8" t="s">
        <v>1231</v>
      </c>
      <c r="B633" s="8" t="s">
        <v>122</v>
      </c>
      <c r="C633" s="8" t="s">
        <v>918</v>
      </c>
      <c r="D633" s="8">
        <v>6</v>
      </c>
      <c r="E633" s="8" t="s">
        <v>1232</v>
      </c>
      <c r="F633" s="8" t="s">
        <v>911</v>
      </c>
      <c r="G633" s="8" t="s">
        <v>920</v>
      </c>
      <c r="H633" s="10">
        <v>1</v>
      </c>
      <c r="I633" s="10"/>
      <c r="J633" s="10">
        <v>1</v>
      </c>
      <c r="K633" s="10">
        <v>225106.52</v>
      </c>
    </row>
    <row r="634" spans="1:11" x14ac:dyDescent="0.25">
      <c r="A634" s="8" t="s">
        <v>1233</v>
      </c>
      <c r="B634" s="8" t="s">
        <v>122</v>
      </c>
      <c r="C634" s="8" t="s">
        <v>918</v>
      </c>
      <c r="D634" s="8">
        <v>6</v>
      </c>
      <c r="E634" s="8" t="s">
        <v>1234</v>
      </c>
      <c r="F634" s="8" t="s">
        <v>911</v>
      </c>
      <c r="G634" s="8" t="s">
        <v>920</v>
      </c>
      <c r="H634" s="10">
        <v>1</v>
      </c>
      <c r="I634" s="10"/>
      <c r="J634" s="10">
        <v>1</v>
      </c>
      <c r="K634" s="10">
        <v>225106.52</v>
      </c>
    </row>
    <row r="635" spans="1:11" x14ac:dyDescent="0.25">
      <c r="A635" s="8" t="s">
        <v>1235</v>
      </c>
      <c r="B635" s="8" t="s">
        <v>124</v>
      </c>
      <c r="C635" s="8" t="s">
        <v>918</v>
      </c>
      <c r="D635" s="8">
        <v>6</v>
      </c>
      <c r="E635" s="8" t="s">
        <v>1236</v>
      </c>
      <c r="F635" s="8" t="s">
        <v>911</v>
      </c>
      <c r="G635" s="8" t="s">
        <v>920</v>
      </c>
      <c r="H635" s="10">
        <v>1</v>
      </c>
      <c r="I635" s="10"/>
      <c r="J635" s="10">
        <v>1</v>
      </c>
      <c r="K635" s="10">
        <v>425201.2</v>
      </c>
    </row>
    <row r="636" spans="1:11" x14ac:dyDescent="0.25">
      <c r="A636" s="8" t="s">
        <v>1237</v>
      </c>
      <c r="B636" s="8" t="s">
        <v>124</v>
      </c>
      <c r="C636" s="8" t="s">
        <v>918</v>
      </c>
      <c r="D636" s="8">
        <v>6</v>
      </c>
      <c r="E636" s="8" t="s">
        <v>1238</v>
      </c>
      <c r="F636" s="8" t="s">
        <v>911</v>
      </c>
      <c r="G636" s="8" t="s">
        <v>920</v>
      </c>
      <c r="H636" s="10">
        <v>1</v>
      </c>
      <c r="I636" s="10"/>
      <c r="J636" s="10">
        <v>1</v>
      </c>
      <c r="K636" s="10">
        <v>425201.2</v>
      </c>
    </row>
    <row r="637" spans="1:11" x14ac:dyDescent="0.25">
      <c r="A637" s="8" t="s">
        <v>1239</v>
      </c>
      <c r="B637" s="8" t="s">
        <v>124</v>
      </c>
      <c r="C637" s="8" t="s">
        <v>918</v>
      </c>
      <c r="D637" s="8">
        <v>6</v>
      </c>
      <c r="E637" s="8" t="s">
        <v>1240</v>
      </c>
      <c r="F637" s="8" t="s">
        <v>911</v>
      </c>
      <c r="G637" s="8" t="s">
        <v>920</v>
      </c>
      <c r="H637" s="10">
        <v>1</v>
      </c>
      <c r="I637" s="10"/>
      <c r="J637" s="10">
        <v>1</v>
      </c>
      <c r="K637" s="10">
        <v>425201.2</v>
      </c>
    </row>
    <row r="638" spans="1:11" x14ac:dyDescent="0.25">
      <c r="A638" s="8" t="s">
        <v>1241</v>
      </c>
      <c r="B638" s="8" t="s">
        <v>124</v>
      </c>
      <c r="C638" s="8" t="s">
        <v>918</v>
      </c>
      <c r="D638" s="8">
        <v>6</v>
      </c>
      <c r="E638" s="8" t="s">
        <v>1242</v>
      </c>
      <c r="F638" s="8" t="s">
        <v>911</v>
      </c>
      <c r="G638" s="8" t="s">
        <v>920</v>
      </c>
      <c r="H638" s="10">
        <v>1</v>
      </c>
      <c r="I638" s="10"/>
      <c r="J638" s="10">
        <v>1</v>
      </c>
      <c r="K638" s="10">
        <v>425201.2</v>
      </c>
    </row>
    <row r="639" spans="1:11" x14ac:dyDescent="0.25">
      <c r="A639" s="8" t="s">
        <v>1243</v>
      </c>
      <c r="B639" s="8" t="s">
        <v>124</v>
      </c>
      <c r="C639" s="8" t="s">
        <v>918</v>
      </c>
      <c r="D639" s="8">
        <v>6</v>
      </c>
      <c r="E639" s="8" t="s">
        <v>1244</v>
      </c>
      <c r="F639" s="8" t="s">
        <v>911</v>
      </c>
      <c r="G639" s="8" t="s">
        <v>920</v>
      </c>
      <c r="H639" s="10">
        <v>1</v>
      </c>
      <c r="I639" s="10"/>
      <c r="J639" s="10">
        <v>1</v>
      </c>
      <c r="K639" s="10">
        <v>425201.2</v>
      </c>
    </row>
    <row r="640" spans="1:11" x14ac:dyDescent="0.25">
      <c r="A640" s="8" t="s">
        <v>1245</v>
      </c>
      <c r="B640" s="8" t="s">
        <v>124</v>
      </c>
      <c r="C640" s="8" t="s">
        <v>918</v>
      </c>
      <c r="D640" s="8">
        <v>6</v>
      </c>
      <c r="E640" s="8" t="s">
        <v>1246</v>
      </c>
      <c r="F640" s="8" t="s">
        <v>911</v>
      </c>
      <c r="G640" s="8" t="s">
        <v>920</v>
      </c>
      <c r="H640" s="10">
        <v>1</v>
      </c>
      <c r="I640" s="10"/>
      <c r="J640" s="10">
        <v>1</v>
      </c>
      <c r="K640" s="10">
        <v>425201.2</v>
      </c>
    </row>
    <row r="641" spans="1:11" x14ac:dyDescent="0.25">
      <c r="A641" s="8" t="s">
        <v>1247</v>
      </c>
      <c r="B641" s="8" t="s">
        <v>124</v>
      </c>
      <c r="C641" s="8" t="s">
        <v>918</v>
      </c>
      <c r="D641" s="8">
        <v>6</v>
      </c>
      <c r="E641" s="8" t="s">
        <v>1248</v>
      </c>
      <c r="F641" s="8" t="s">
        <v>911</v>
      </c>
      <c r="G641" s="8" t="s">
        <v>920</v>
      </c>
      <c r="H641" s="10">
        <v>1</v>
      </c>
      <c r="I641" s="10"/>
      <c r="J641" s="10">
        <v>1</v>
      </c>
      <c r="K641" s="10">
        <v>425201.2</v>
      </c>
    </row>
    <row r="642" spans="1:11" x14ac:dyDescent="0.25">
      <c r="A642" s="8" t="s">
        <v>1249</v>
      </c>
      <c r="B642" s="8" t="s">
        <v>124</v>
      </c>
      <c r="C642" s="8" t="s">
        <v>918</v>
      </c>
      <c r="D642" s="8">
        <v>6</v>
      </c>
      <c r="E642" s="8" t="s">
        <v>1250</v>
      </c>
      <c r="F642" s="8" t="s">
        <v>911</v>
      </c>
      <c r="G642" s="8" t="s">
        <v>920</v>
      </c>
      <c r="H642" s="10">
        <v>1</v>
      </c>
      <c r="I642" s="10"/>
      <c r="J642" s="10">
        <v>1</v>
      </c>
      <c r="K642" s="10">
        <v>425201.2</v>
      </c>
    </row>
    <row r="643" spans="1:11" x14ac:dyDescent="0.25">
      <c r="A643" s="8" t="s">
        <v>1251</v>
      </c>
      <c r="B643" s="8" t="s">
        <v>124</v>
      </c>
      <c r="C643" s="8" t="s">
        <v>918</v>
      </c>
      <c r="D643" s="8">
        <v>6</v>
      </c>
      <c r="E643" s="8" t="s">
        <v>1252</v>
      </c>
      <c r="F643" s="8" t="s">
        <v>911</v>
      </c>
      <c r="G643" s="8" t="s">
        <v>920</v>
      </c>
      <c r="H643" s="10">
        <v>1</v>
      </c>
      <c r="I643" s="10"/>
      <c r="J643" s="10">
        <v>1</v>
      </c>
      <c r="K643" s="10">
        <v>262624.27</v>
      </c>
    </row>
    <row r="644" spans="1:11" x14ac:dyDescent="0.25">
      <c r="A644" s="8" t="s">
        <v>1253</v>
      </c>
      <c r="B644" s="8" t="s">
        <v>124</v>
      </c>
      <c r="C644" s="8" t="s">
        <v>918</v>
      </c>
      <c r="D644" s="8">
        <v>6</v>
      </c>
      <c r="E644" s="8" t="s">
        <v>1254</v>
      </c>
      <c r="F644" s="8" t="s">
        <v>911</v>
      </c>
      <c r="G644" s="8" t="s">
        <v>920</v>
      </c>
      <c r="H644" s="10">
        <v>1</v>
      </c>
      <c r="I644" s="10"/>
      <c r="J644" s="10">
        <v>1</v>
      </c>
      <c r="K644" s="10">
        <v>262624.27</v>
      </c>
    </row>
    <row r="645" spans="1:11" x14ac:dyDescent="0.25">
      <c r="A645" s="8" t="s">
        <v>1255</v>
      </c>
      <c r="B645" s="8" t="s">
        <v>124</v>
      </c>
      <c r="C645" s="8" t="s">
        <v>918</v>
      </c>
      <c r="D645" s="8">
        <v>6</v>
      </c>
      <c r="E645" s="8" t="s">
        <v>1256</v>
      </c>
      <c r="F645" s="8" t="s">
        <v>911</v>
      </c>
      <c r="G645" s="8" t="s">
        <v>920</v>
      </c>
      <c r="H645" s="10">
        <v>1</v>
      </c>
      <c r="I645" s="10"/>
      <c r="J645" s="10">
        <v>1</v>
      </c>
      <c r="K645" s="10">
        <v>262624.27</v>
      </c>
    </row>
    <row r="646" spans="1:11" x14ac:dyDescent="0.25">
      <c r="A646" s="8" t="s">
        <v>1257</v>
      </c>
      <c r="B646" s="8" t="s">
        <v>124</v>
      </c>
      <c r="C646" s="8" t="s">
        <v>918</v>
      </c>
      <c r="D646" s="8">
        <v>6</v>
      </c>
      <c r="E646" s="8" t="s">
        <v>1258</v>
      </c>
      <c r="F646" s="8" t="s">
        <v>911</v>
      </c>
      <c r="G646" s="8" t="s">
        <v>920</v>
      </c>
      <c r="H646" s="10">
        <v>1</v>
      </c>
      <c r="I646" s="10"/>
      <c r="J646" s="10">
        <v>1</v>
      </c>
      <c r="K646" s="10">
        <v>262624.27</v>
      </c>
    </row>
    <row r="647" spans="1:11" x14ac:dyDescent="0.25">
      <c r="A647" s="8" t="s">
        <v>1259</v>
      </c>
      <c r="B647" s="8" t="s">
        <v>124</v>
      </c>
      <c r="C647" s="8" t="s">
        <v>918</v>
      </c>
      <c r="D647" s="8">
        <v>6</v>
      </c>
      <c r="E647" s="8" t="s">
        <v>1260</v>
      </c>
      <c r="F647" s="8" t="s">
        <v>911</v>
      </c>
      <c r="G647" s="8" t="s">
        <v>920</v>
      </c>
      <c r="H647" s="10">
        <v>1</v>
      </c>
      <c r="I647" s="10"/>
      <c r="J647" s="10">
        <v>1</v>
      </c>
      <c r="K647" s="10">
        <v>262624.27</v>
      </c>
    </row>
    <row r="648" spans="1:11" x14ac:dyDescent="0.25">
      <c r="A648" s="8" t="s">
        <v>1261</v>
      </c>
      <c r="B648" s="8" t="s">
        <v>124</v>
      </c>
      <c r="C648" s="8" t="s">
        <v>918</v>
      </c>
      <c r="D648" s="8">
        <v>6</v>
      </c>
      <c r="E648" s="8" t="s">
        <v>1262</v>
      </c>
      <c r="F648" s="8" t="s">
        <v>911</v>
      </c>
      <c r="G648" s="8" t="s">
        <v>920</v>
      </c>
      <c r="H648" s="10">
        <v>1</v>
      </c>
      <c r="I648" s="10"/>
      <c r="J648" s="10">
        <v>1</v>
      </c>
      <c r="K648" s="10">
        <v>262624.27</v>
      </c>
    </row>
    <row r="649" spans="1:11" x14ac:dyDescent="0.25">
      <c r="A649" s="8" t="s">
        <v>1263</v>
      </c>
      <c r="B649" s="8" t="s">
        <v>120</v>
      </c>
      <c r="C649" s="8" t="s">
        <v>909</v>
      </c>
      <c r="D649" s="8">
        <v>5</v>
      </c>
      <c r="E649" s="8" t="s">
        <v>1264</v>
      </c>
      <c r="F649" s="8" t="s">
        <v>911</v>
      </c>
      <c r="G649" s="8" t="s">
        <v>912</v>
      </c>
      <c r="H649" s="10">
        <v>1</v>
      </c>
      <c r="I649" s="10"/>
      <c r="J649" s="10">
        <v>1</v>
      </c>
      <c r="K649" s="10">
        <v>204698.35</v>
      </c>
    </row>
    <row r="650" spans="1:11" x14ac:dyDescent="0.25">
      <c r="A650" s="8" t="s">
        <v>1265</v>
      </c>
      <c r="B650" s="8" t="s">
        <v>120</v>
      </c>
      <c r="C650" s="8" t="s">
        <v>909</v>
      </c>
      <c r="D650" s="8">
        <v>5</v>
      </c>
      <c r="E650" s="8" t="s">
        <v>1266</v>
      </c>
      <c r="F650" s="8" t="s">
        <v>911</v>
      </c>
      <c r="G650" s="8" t="s">
        <v>912</v>
      </c>
      <c r="H650" s="10">
        <v>1</v>
      </c>
      <c r="I650" s="10"/>
      <c r="J650" s="10">
        <v>1</v>
      </c>
      <c r="K650" s="10">
        <v>204698.35</v>
      </c>
    </row>
    <row r="651" spans="1:11" x14ac:dyDescent="0.25">
      <c r="A651" s="8" t="s">
        <v>1267</v>
      </c>
      <c r="B651" s="8" t="s">
        <v>120</v>
      </c>
      <c r="C651" s="8" t="s">
        <v>909</v>
      </c>
      <c r="D651" s="8">
        <v>5</v>
      </c>
      <c r="E651" s="8" t="s">
        <v>1268</v>
      </c>
      <c r="F651" s="8" t="s">
        <v>911</v>
      </c>
      <c r="G651" s="8" t="s">
        <v>912</v>
      </c>
      <c r="H651" s="10">
        <v>1</v>
      </c>
      <c r="I651" s="10"/>
      <c r="J651" s="10">
        <v>1</v>
      </c>
      <c r="K651" s="10">
        <v>204698.35</v>
      </c>
    </row>
    <row r="652" spans="1:11" x14ac:dyDescent="0.25">
      <c r="A652" s="8" t="s">
        <v>1269</v>
      </c>
      <c r="B652" s="8" t="s">
        <v>120</v>
      </c>
      <c r="C652" s="8" t="s">
        <v>909</v>
      </c>
      <c r="D652" s="8">
        <v>5</v>
      </c>
      <c r="E652" s="8" t="s">
        <v>1270</v>
      </c>
      <c r="F652" s="8" t="s">
        <v>911</v>
      </c>
      <c r="G652" s="8" t="s">
        <v>912</v>
      </c>
      <c r="H652" s="10">
        <v>1</v>
      </c>
      <c r="I652" s="10"/>
      <c r="J652" s="10">
        <v>1</v>
      </c>
      <c r="K652" s="10">
        <v>204698.35</v>
      </c>
    </row>
    <row r="653" spans="1:11" x14ac:dyDescent="0.25">
      <c r="A653" s="8" t="s">
        <v>1271</v>
      </c>
      <c r="B653" s="8" t="s">
        <v>120</v>
      </c>
      <c r="C653" s="8" t="s">
        <v>909</v>
      </c>
      <c r="D653" s="8">
        <v>5</v>
      </c>
      <c r="E653" s="8" t="s">
        <v>1272</v>
      </c>
      <c r="F653" s="8" t="s">
        <v>911</v>
      </c>
      <c r="G653" s="8" t="s">
        <v>912</v>
      </c>
      <c r="H653" s="10">
        <v>1</v>
      </c>
      <c r="I653" s="10"/>
      <c r="J653" s="10">
        <v>1</v>
      </c>
      <c r="K653" s="10">
        <v>202725.19</v>
      </c>
    </row>
    <row r="654" spans="1:11" x14ac:dyDescent="0.25">
      <c r="A654" s="8" t="s">
        <v>1273</v>
      </c>
      <c r="B654" s="8" t="s">
        <v>134</v>
      </c>
      <c r="C654" s="8" t="s">
        <v>909</v>
      </c>
      <c r="D654" s="8">
        <v>5</v>
      </c>
      <c r="E654" s="8" t="s">
        <v>1274</v>
      </c>
      <c r="F654" s="8" t="s">
        <v>911</v>
      </c>
      <c r="G654" s="8" t="s">
        <v>912</v>
      </c>
      <c r="H654" s="10">
        <v>1</v>
      </c>
      <c r="I654" s="10"/>
      <c r="J654" s="10">
        <v>1</v>
      </c>
      <c r="K654" s="10">
        <v>1733.44</v>
      </c>
    </row>
    <row r="655" spans="1:11" x14ac:dyDescent="0.25">
      <c r="A655" s="8" t="s">
        <v>1275</v>
      </c>
      <c r="B655" s="8" t="s">
        <v>134</v>
      </c>
      <c r="C655" s="8" t="s">
        <v>909</v>
      </c>
      <c r="D655" s="8">
        <v>5</v>
      </c>
      <c r="E655" s="8" t="s">
        <v>1276</v>
      </c>
      <c r="F655" s="8" t="s">
        <v>911</v>
      </c>
      <c r="G655" s="8" t="s">
        <v>912</v>
      </c>
      <c r="H655" s="10">
        <v>1</v>
      </c>
      <c r="I655" s="10"/>
      <c r="J655" s="10">
        <v>1</v>
      </c>
      <c r="K655" s="10">
        <v>1733.44</v>
      </c>
    </row>
    <row r="656" spans="1:11" x14ac:dyDescent="0.25">
      <c r="A656" s="8" t="s">
        <v>1277</v>
      </c>
      <c r="B656" s="8" t="s">
        <v>134</v>
      </c>
      <c r="C656" s="8" t="s">
        <v>909</v>
      </c>
      <c r="D656" s="8">
        <v>5</v>
      </c>
      <c r="E656" s="8" t="s">
        <v>1278</v>
      </c>
      <c r="F656" s="8" t="s">
        <v>911</v>
      </c>
      <c r="G656" s="8" t="s">
        <v>912</v>
      </c>
      <c r="H656" s="10">
        <v>1</v>
      </c>
      <c r="I656" s="10"/>
      <c r="J656" s="10">
        <v>1</v>
      </c>
      <c r="K656" s="10">
        <v>1746.17</v>
      </c>
    </row>
    <row r="657" spans="1:11" x14ac:dyDescent="0.25">
      <c r="A657" s="8" t="s">
        <v>1279</v>
      </c>
      <c r="B657" s="8" t="s">
        <v>134</v>
      </c>
      <c r="C657" s="8" t="s">
        <v>909</v>
      </c>
      <c r="D657" s="8">
        <v>5</v>
      </c>
      <c r="E657" s="8" t="s">
        <v>1280</v>
      </c>
      <c r="F657" s="8" t="s">
        <v>911</v>
      </c>
      <c r="G657" s="8" t="s">
        <v>912</v>
      </c>
      <c r="H657" s="10">
        <v>1</v>
      </c>
      <c r="I657" s="10"/>
      <c r="J657" s="10">
        <v>1</v>
      </c>
      <c r="K657" s="10">
        <v>1746.17</v>
      </c>
    </row>
    <row r="658" spans="1:11" x14ac:dyDescent="0.25">
      <c r="A658" s="8" t="s">
        <v>1281</v>
      </c>
      <c r="B658" s="8" t="s">
        <v>134</v>
      </c>
      <c r="C658" s="8" t="s">
        <v>909</v>
      </c>
      <c r="D658" s="8">
        <v>5</v>
      </c>
      <c r="E658" s="8" t="s">
        <v>1282</v>
      </c>
      <c r="F658" s="8" t="s">
        <v>911</v>
      </c>
      <c r="G658" s="8" t="s">
        <v>912</v>
      </c>
      <c r="H658" s="10">
        <v>1</v>
      </c>
      <c r="I658" s="10"/>
      <c r="J658" s="10">
        <v>1</v>
      </c>
      <c r="K658" s="10">
        <v>1746.17</v>
      </c>
    </row>
    <row r="659" spans="1:11" x14ac:dyDescent="0.25">
      <c r="A659" s="8" t="s">
        <v>1283</v>
      </c>
      <c r="B659" s="8" t="s">
        <v>134</v>
      </c>
      <c r="C659" s="8" t="s">
        <v>909</v>
      </c>
      <c r="D659" s="8">
        <v>5</v>
      </c>
      <c r="E659" s="8" t="s">
        <v>1284</v>
      </c>
      <c r="F659" s="8" t="s">
        <v>911</v>
      </c>
      <c r="G659" s="8" t="s">
        <v>912</v>
      </c>
      <c r="H659" s="10">
        <v>1</v>
      </c>
      <c r="I659" s="10"/>
      <c r="J659" s="10">
        <v>1</v>
      </c>
      <c r="K659" s="10">
        <v>1746.17</v>
      </c>
    </row>
    <row r="660" spans="1:11" x14ac:dyDescent="0.25">
      <c r="A660" s="8" t="s">
        <v>1285</v>
      </c>
      <c r="B660" s="8" t="s">
        <v>134</v>
      </c>
      <c r="C660" s="8" t="s">
        <v>909</v>
      </c>
      <c r="D660" s="8">
        <v>5</v>
      </c>
      <c r="E660" s="8" t="s">
        <v>1286</v>
      </c>
      <c r="F660" s="8" t="s">
        <v>911</v>
      </c>
      <c r="G660" s="8" t="s">
        <v>912</v>
      </c>
      <c r="H660" s="10">
        <v>1</v>
      </c>
      <c r="I660" s="10"/>
      <c r="J660" s="10">
        <v>1</v>
      </c>
      <c r="K660" s="10">
        <v>1746.17</v>
      </c>
    </row>
    <row r="661" spans="1:11" x14ac:dyDescent="0.25">
      <c r="A661" s="8" t="s">
        <v>1287</v>
      </c>
      <c r="B661" s="8" t="s">
        <v>134</v>
      </c>
      <c r="C661" s="8" t="s">
        <v>909</v>
      </c>
      <c r="D661" s="8">
        <v>5</v>
      </c>
      <c r="E661" s="8" t="s">
        <v>1288</v>
      </c>
      <c r="F661" s="8" t="s">
        <v>911</v>
      </c>
      <c r="G661" s="8" t="s">
        <v>912</v>
      </c>
      <c r="H661" s="10">
        <v>1</v>
      </c>
      <c r="I661" s="10"/>
      <c r="J661" s="10">
        <v>1</v>
      </c>
      <c r="K661" s="10">
        <v>1746.17</v>
      </c>
    </row>
    <row r="662" spans="1:11" x14ac:dyDescent="0.25">
      <c r="A662" s="8" t="s">
        <v>1289</v>
      </c>
      <c r="B662" s="8" t="s">
        <v>134</v>
      </c>
      <c r="C662" s="8" t="s">
        <v>909</v>
      </c>
      <c r="D662" s="8">
        <v>5</v>
      </c>
      <c r="E662" s="8" t="s">
        <v>1290</v>
      </c>
      <c r="F662" s="8" t="s">
        <v>911</v>
      </c>
      <c r="G662" s="8" t="s">
        <v>912</v>
      </c>
      <c r="H662" s="10">
        <v>1</v>
      </c>
      <c r="I662" s="10"/>
      <c r="J662" s="10">
        <v>1</v>
      </c>
      <c r="K662" s="10">
        <v>1746.17</v>
      </c>
    </row>
    <row r="663" spans="1:11" x14ac:dyDescent="0.25">
      <c r="A663" s="8" t="s">
        <v>1291</v>
      </c>
      <c r="B663" s="8" t="s">
        <v>134</v>
      </c>
      <c r="C663" s="8" t="s">
        <v>909</v>
      </c>
      <c r="D663" s="8">
        <v>5</v>
      </c>
      <c r="E663" s="8" t="s">
        <v>1292</v>
      </c>
      <c r="F663" s="8" t="s">
        <v>911</v>
      </c>
      <c r="G663" s="8" t="s">
        <v>912</v>
      </c>
      <c r="H663" s="10">
        <v>1</v>
      </c>
      <c r="I663" s="10"/>
      <c r="J663" s="10">
        <v>1</v>
      </c>
      <c r="K663" s="10">
        <v>1758.9</v>
      </c>
    </row>
    <row r="664" spans="1:11" x14ac:dyDescent="0.25">
      <c r="A664" s="8" t="s">
        <v>1293</v>
      </c>
      <c r="B664" s="8" t="s">
        <v>134</v>
      </c>
      <c r="C664" s="8" t="s">
        <v>909</v>
      </c>
      <c r="D664" s="8">
        <v>5</v>
      </c>
      <c r="E664" s="8" t="s">
        <v>1294</v>
      </c>
      <c r="F664" s="8" t="s">
        <v>911</v>
      </c>
      <c r="G664" s="8" t="s">
        <v>912</v>
      </c>
      <c r="H664" s="10">
        <v>1</v>
      </c>
      <c r="I664" s="10"/>
      <c r="J664" s="10">
        <v>1</v>
      </c>
      <c r="K664" s="10">
        <v>1758.9</v>
      </c>
    </row>
    <row r="665" spans="1:11" x14ac:dyDescent="0.25">
      <c r="A665" s="8" t="s">
        <v>1295</v>
      </c>
      <c r="B665" s="8" t="s">
        <v>134</v>
      </c>
      <c r="C665" s="8" t="s">
        <v>909</v>
      </c>
      <c r="D665" s="8">
        <v>5</v>
      </c>
      <c r="E665" s="8" t="s">
        <v>1296</v>
      </c>
      <c r="F665" s="8" t="s">
        <v>911</v>
      </c>
      <c r="G665" s="8" t="s">
        <v>912</v>
      </c>
      <c r="H665" s="10">
        <v>1</v>
      </c>
      <c r="I665" s="10"/>
      <c r="J665" s="10">
        <v>1</v>
      </c>
      <c r="K665" s="10">
        <v>1746.17</v>
      </c>
    </row>
    <row r="666" spans="1:11" x14ac:dyDescent="0.25">
      <c r="A666" s="8" t="s">
        <v>1297</v>
      </c>
      <c r="B666" s="8" t="s">
        <v>134</v>
      </c>
      <c r="C666" s="8" t="s">
        <v>909</v>
      </c>
      <c r="D666" s="8">
        <v>5</v>
      </c>
      <c r="E666" s="8" t="s">
        <v>1298</v>
      </c>
      <c r="F666" s="8" t="s">
        <v>911</v>
      </c>
      <c r="G666" s="8" t="s">
        <v>912</v>
      </c>
      <c r="H666" s="10">
        <v>1</v>
      </c>
      <c r="I666" s="10"/>
      <c r="J666" s="10">
        <v>1</v>
      </c>
      <c r="K666" s="10">
        <v>1746.17</v>
      </c>
    </row>
    <row r="667" spans="1:11" x14ac:dyDescent="0.25">
      <c r="A667" s="8" t="s">
        <v>1299</v>
      </c>
      <c r="B667" s="8" t="s">
        <v>134</v>
      </c>
      <c r="C667" s="8" t="s">
        <v>909</v>
      </c>
      <c r="D667" s="8">
        <v>5</v>
      </c>
      <c r="E667" s="8" t="s">
        <v>1300</v>
      </c>
      <c r="F667" s="8" t="s">
        <v>911</v>
      </c>
      <c r="G667" s="8" t="s">
        <v>912</v>
      </c>
      <c r="H667" s="10">
        <v>1</v>
      </c>
      <c r="I667" s="10"/>
      <c r="J667" s="10">
        <v>1</v>
      </c>
      <c r="K667" s="10">
        <v>1746.17</v>
      </c>
    </row>
    <row r="668" spans="1:11" x14ac:dyDescent="0.25">
      <c r="A668" s="8" t="s">
        <v>1301</v>
      </c>
      <c r="B668" s="8" t="s">
        <v>134</v>
      </c>
      <c r="C668" s="8" t="s">
        <v>909</v>
      </c>
      <c r="D668" s="8">
        <v>5</v>
      </c>
      <c r="E668" s="8" t="s">
        <v>1302</v>
      </c>
      <c r="F668" s="8" t="s">
        <v>911</v>
      </c>
      <c r="G668" s="8" t="s">
        <v>912</v>
      </c>
      <c r="H668" s="10">
        <v>1</v>
      </c>
      <c r="I668" s="10"/>
      <c r="J668" s="10">
        <v>1</v>
      </c>
      <c r="K668" s="10">
        <v>1746.17</v>
      </c>
    </row>
    <row r="669" spans="1:11" x14ac:dyDescent="0.25">
      <c r="A669" s="8" t="s">
        <v>1303</v>
      </c>
      <c r="B669" s="8" t="s">
        <v>134</v>
      </c>
      <c r="C669" s="8" t="s">
        <v>909</v>
      </c>
      <c r="D669" s="8">
        <v>5</v>
      </c>
      <c r="E669" s="8" t="s">
        <v>1304</v>
      </c>
      <c r="F669" s="8" t="s">
        <v>911</v>
      </c>
      <c r="G669" s="8" t="s">
        <v>912</v>
      </c>
      <c r="H669" s="10">
        <v>1</v>
      </c>
      <c r="I669" s="10"/>
      <c r="J669" s="10">
        <v>1</v>
      </c>
      <c r="K669" s="10">
        <v>1746.17</v>
      </c>
    </row>
    <row r="670" spans="1:11" x14ac:dyDescent="0.25">
      <c r="A670" s="8" t="s">
        <v>1305</v>
      </c>
      <c r="B670" s="8" t="s">
        <v>134</v>
      </c>
      <c r="C670" s="8" t="s">
        <v>909</v>
      </c>
      <c r="D670" s="8">
        <v>5</v>
      </c>
      <c r="E670" s="8" t="s">
        <v>1306</v>
      </c>
      <c r="F670" s="8" t="s">
        <v>911</v>
      </c>
      <c r="G670" s="8" t="s">
        <v>912</v>
      </c>
      <c r="H670" s="10">
        <v>1</v>
      </c>
      <c r="I670" s="10"/>
      <c r="J670" s="10">
        <v>1</v>
      </c>
      <c r="K670" s="10">
        <v>1746.17</v>
      </c>
    </row>
    <row r="671" spans="1:11" x14ac:dyDescent="0.25">
      <c r="A671" s="8" t="s">
        <v>1307</v>
      </c>
      <c r="B671" s="8" t="s">
        <v>134</v>
      </c>
      <c r="C671" s="8" t="s">
        <v>909</v>
      </c>
      <c r="D671" s="8">
        <v>5</v>
      </c>
      <c r="E671" s="8" t="s">
        <v>1308</v>
      </c>
      <c r="F671" s="8" t="s">
        <v>911</v>
      </c>
      <c r="G671" s="8" t="s">
        <v>912</v>
      </c>
      <c r="H671" s="10">
        <v>1</v>
      </c>
      <c r="I671" s="10"/>
      <c r="J671" s="10">
        <v>1</v>
      </c>
      <c r="K671" s="10">
        <v>1746.17</v>
      </c>
    </row>
    <row r="672" spans="1:11" x14ac:dyDescent="0.25">
      <c r="A672" s="8" t="s">
        <v>1309</v>
      </c>
      <c r="B672" s="8" t="s">
        <v>134</v>
      </c>
      <c r="C672" s="8" t="s">
        <v>909</v>
      </c>
      <c r="D672" s="8">
        <v>5</v>
      </c>
      <c r="E672" s="8" t="s">
        <v>1310</v>
      </c>
      <c r="F672" s="8" t="s">
        <v>911</v>
      </c>
      <c r="G672" s="8" t="s">
        <v>912</v>
      </c>
      <c r="H672" s="10">
        <v>1</v>
      </c>
      <c r="I672" s="10"/>
      <c r="J672" s="10">
        <v>1</v>
      </c>
      <c r="K672" s="10">
        <v>1746.17</v>
      </c>
    </row>
    <row r="673" spans="1:11" x14ac:dyDescent="0.25">
      <c r="A673" s="8" t="s">
        <v>1311</v>
      </c>
      <c r="B673" s="8" t="s">
        <v>134</v>
      </c>
      <c r="C673" s="8" t="s">
        <v>909</v>
      </c>
      <c r="D673" s="8">
        <v>5</v>
      </c>
      <c r="E673" s="8" t="s">
        <v>1312</v>
      </c>
      <c r="F673" s="8" t="s">
        <v>911</v>
      </c>
      <c r="G673" s="8" t="s">
        <v>912</v>
      </c>
      <c r="H673" s="10">
        <v>1</v>
      </c>
      <c r="I673" s="10"/>
      <c r="J673" s="10">
        <v>1</v>
      </c>
      <c r="K673" s="10">
        <v>1746.17</v>
      </c>
    </row>
    <row r="674" spans="1:11" x14ac:dyDescent="0.25">
      <c r="A674" s="8" t="s">
        <v>1313</v>
      </c>
      <c r="B674" s="8" t="s">
        <v>134</v>
      </c>
      <c r="C674" s="8" t="s">
        <v>909</v>
      </c>
      <c r="D674" s="8">
        <v>5</v>
      </c>
      <c r="E674" s="8" t="s">
        <v>1314</v>
      </c>
      <c r="F674" s="8" t="s">
        <v>911</v>
      </c>
      <c r="G674" s="8" t="s">
        <v>912</v>
      </c>
      <c r="H674" s="10">
        <v>1</v>
      </c>
      <c r="I674" s="10"/>
      <c r="J674" s="10">
        <v>1</v>
      </c>
      <c r="K674" s="10">
        <v>1746.17</v>
      </c>
    </row>
    <row r="675" spans="1:11" x14ac:dyDescent="0.25">
      <c r="A675" s="8" t="s">
        <v>1315</v>
      </c>
      <c r="B675" s="8" t="s">
        <v>134</v>
      </c>
      <c r="C675" s="8" t="s">
        <v>909</v>
      </c>
      <c r="D675" s="8">
        <v>5</v>
      </c>
      <c r="E675" s="8" t="s">
        <v>1316</v>
      </c>
      <c r="F675" s="8" t="s">
        <v>911</v>
      </c>
      <c r="G675" s="8" t="s">
        <v>912</v>
      </c>
      <c r="H675" s="10">
        <v>1</v>
      </c>
      <c r="I675" s="10"/>
      <c r="J675" s="10">
        <v>1</v>
      </c>
      <c r="K675" s="10">
        <v>1746.17</v>
      </c>
    </row>
    <row r="676" spans="1:11" x14ac:dyDescent="0.25">
      <c r="A676" s="8" t="s">
        <v>1317</v>
      </c>
      <c r="B676" s="8" t="s">
        <v>134</v>
      </c>
      <c r="C676" s="8" t="s">
        <v>909</v>
      </c>
      <c r="D676" s="8">
        <v>5</v>
      </c>
      <c r="E676" s="8" t="s">
        <v>1318</v>
      </c>
      <c r="F676" s="8" t="s">
        <v>911</v>
      </c>
      <c r="G676" s="8" t="s">
        <v>912</v>
      </c>
      <c r="H676" s="10">
        <v>1</v>
      </c>
      <c r="I676" s="10"/>
      <c r="J676" s="10">
        <v>1</v>
      </c>
      <c r="K676" s="10">
        <v>1746.17</v>
      </c>
    </row>
    <row r="677" spans="1:11" x14ac:dyDescent="0.25">
      <c r="A677" s="8" t="s">
        <v>1319</v>
      </c>
      <c r="B677" s="8" t="s">
        <v>134</v>
      </c>
      <c r="C677" s="8" t="s">
        <v>909</v>
      </c>
      <c r="D677" s="8">
        <v>5</v>
      </c>
      <c r="E677" s="8" t="s">
        <v>1320</v>
      </c>
      <c r="F677" s="8" t="s">
        <v>911</v>
      </c>
      <c r="G677" s="8" t="s">
        <v>912</v>
      </c>
      <c r="H677" s="10">
        <v>1</v>
      </c>
      <c r="I677" s="10"/>
      <c r="J677" s="10">
        <v>1</v>
      </c>
      <c r="K677" s="10">
        <v>1746.17</v>
      </c>
    </row>
    <row r="678" spans="1:11" x14ac:dyDescent="0.25">
      <c r="A678" s="8" t="s">
        <v>1321</v>
      </c>
      <c r="B678" s="8" t="s">
        <v>134</v>
      </c>
      <c r="C678" s="8" t="s">
        <v>909</v>
      </c>
      <c r="D678" s="8">
        <v>5</v>
      </c>
      <c r="E678" s="8" t="s">
        <v>1322</v>
      </c>
      <c r="F678" s="8" t="s">
        <v>911</v>
      </c>
      <c r="G678" s="8" t="s">
        <v>912</v>
      </c>
      <c r="H678" s="10">
        <v>1</v>
      </c>
      <c r="I678" s="10"/>
      <c r="J678" s="10">
        <v>1</v>
      </c>
      <c r="K678" s="10">
        <v>1746.17</v>
      </c>
    </row>
    <row r="679" spans="1:11" x14ac:dyDescent="0.25">
      <c r="A679" s="8" t="s">
        <v>1323</v>
      </c>
      <c r="B679" s="8" t="s">
        <v>134</v>
      </c>
      <c r="C679" s="8" t="s">
        <v>909</v>
      </c>
      <c r="D679" s="8">
        <v>5</v>
      </c>
      <c r="E679" s="8" t="s">
        <v>1324</v>
      </c>
      <c r="F679" s="8" t="s">
        <v>911</v>
      </c>
      <c r="G679" s="8" t="s">
        <v>912</v>
      </c>
      <c r="H679" s="10">
        <v>1</v>
      </c>
      <c r="I679" s="10"/>
      <c r="J679" s="10">
        <v>1</v>
      </c>
      <c r="K679" s="10">
        <v>1746.17</v>
      </c>
    </row>
    <row r="680" spans="1:11" x14ac:dyDescent="0.25">
      <c r="A680" s="8" t="s">
        <v>1325</v>
      </c>
      <c r="B680" s="8" t="s">
        <v>134</v>
      </c>
      <c r="C680" s="8" t="s">
        <v>909</v>
      </c>
      <c r="D680" s="8">
        <v>5</v>
      </c>
      <c r="E680" s="8" t="s">
        <v>1326</v>
      </c>
      <c r="F680" s="8" t="s">
        <v>911</v>
      </c>
      <c r="G680" s="8" t="s">
        <v>912</v>
      </c>
      <c r="H680" s="10">
        <v>1</v>
      </c>
      <c r="I680" s="10"/>
      <c r="J680" s="10">
        <v>1</v>
      </c>
      <c r="K680" s="10">
        <v>1746.17</v>
      </c>
    </row>
    <row r="681" spans="1:11" x14ac:dyDescent="0.25">
      <c r="A681" s="8" t="s">
        <v>1327</v>
      </c>
      <c r="B681" s="8" t="s">
        <v>134</v>
      </c>
      <c r="C681" s="8" t="s">
        <v>909</v>
      </c>
      <c r="D681" s="8">
        <v>5</v>
      </c>
      <c r="E681" s="8" t="s">
        <v>1328</v>
      </c>
      <c r="F681" s="8" t="s">
        <v>911</v>
      </c>
      <c r="G681" s="8" t="s">
        <v>912</v>
      </c>
      <c r="H681" s="10">
        <v>1</v>
      </c>
      <c r="I681" s="10"/>
      <c r="J681" s="10">
        <v>1</v>
      </c>
      <c r="K681" s="10">
        <v>1746.17</v>
      </c>
    </row>
    <row r="682" spans="1:11" x14ac:dyDescent="0.25">
      <c r="A682" s="8" t="s">
        <v>1329</v>
      </c>
      <c r="B682" s="8" t="s">
        <v>134</v>
      </c>
      <c r="C682" s="8" t="s">
        <v>909</v>
      </c>
      <c r="D682" s="8">
        <v>5</v>
      </c>
      <c r="E682" s="8" t="s">
        <v>1330</v>
      </c>
      <c r="F682" s="8" t="s">
        <v>911</v>
      </c>
      <c r="G682" s="8" t="s">
        <v>912</v>
      </c>
      <c r="H682" s="10">
        <v>1</v>
      </c>
      <c r="I682" s="10"/>
      <c r="J682" s="10">
        <v>1</v>
      </c>
      <c r="K682" s="10">
        <v>1746.17</v>
      </c>
    </row>
    <row r="683" spans="1:11" x14ac:dyDescent="0.25">
      <c r="A683" s="8" t="s">
        <v>1331</v>
      </c>
      <c r="B683" s="8" t="s">
        <v>134</v>
      </c>
      <c r="C683" s="8" t="s">
        <v>909</v>
      </c>
      <c r="D683" s="8">
        <v>5</v>
      </c>
      <c r="E683" s="8" t="s">
        <v>1332</v>
      </c>
      <c r="F683" s="8" t="s">
        <v>911</v>
      </c>
      <c r="G683" s="8" t="s">
        <v>912</v>
      </c>
      <c r="H683" s="10">
        <v>1</v>
      </c>
      <c r="I683" s="10"/>
      <c r="J683" s="10">
        <v>1</v>
      </c>
      <c r="K683" s="10">
        <v>1746.17</v>
      </c>
    </row>
    <row r="684" spans="1:11" x14ac:dyDescent="0.25">
      <c r="A684" s="8" t="s">
        <v>1333</v>
      </c>
      <c r="B684" s="8" t="s">
        <v>134</v>
      </c>
      <c r="C684" s="8" t="s">
        <v>909</v>
      </c>
      <c r="D684" s="8">
        <v>5</v>
      </c>
      <c r="E684" s="8" t="s">
        <v>1334</v>
      </c>
      <c r="F684" s="8" t="s">
        <v>911</v>
      </c>
      <c r="G684" s="8" t="s">
        <v>912</v>
      </c>
      <c r="H684" s="10">
        <v>1</v>
      </c>
      <c r="I684" s="10"/>
      <c r="J684" s="10">
        <v>1</v>
      </c>
      <c r="K684" s="10">
        <v>1746.17</v>
      </c>
    </row>
    <row r="685" spans="1:11" x14ac:dyDescent="0.25">
      <c r="A685" s="8" t="s">
        <v>1335</v>
      </c>
      <c r="B685" s="8" t="s">
        <v>134</v>
      </c>
      <c r="C685" s="8" t="s">
        <v>909</v>
      </c>
      <c r="D685" s="8">
        <v>5</v>
      </c>
      <c r="E685" s="8" t="s">
        <v>1336</v>
      </c>
      <c r="F685" s="8" t="s">
        <v>911</v>
      </c>
      <c r="G685" s="8" t="s">
        <v>912</v>
      </c>
      <c r="H685" s="10">
        <v>1</v>
      </c>
      <c r="I685" s="10"/>
      <c r="J685" s="10">
        <v>1</v>
      </c>
      <c r="K685" s="10">
        <v>1746.17</v>
      </c>
    </row>
    <row r="686" spans="1:11" x14ac:dyDescent="0.25">
      <c r="A686" s="8" t="s">
        <v>1337</v>
      </c>
      <c r="B686" s="8" t="s">
        <v>134</v>
      </c>
      <c r="C686" s="8" t="s">
        <v>909</v>
      </c>
      <c r="D686" s="8">
        <v>5</v>
      </c>
      <c r="E686" s="8" t="s">
        <v>1338</v>
      </c>
      <c r="F686" s="8" t="s">
        <v>911</v>
      </c>
      <c r="G686" s="8" t="s">
        <v>912</v>
      </c>
      <c r="H686" s="10">
        <v>1</v>
      </c>
      <c r="I686" s="10"/>
      <c r="J686" s="10">
        <v>1</v>
      </c>
      <c r="K686" s="10">
        <v>1746.17</v>
      </c>
    </row>
    <row r="687" spans="1:11" x14ac:dyDescent="0.25">
      <c r="A687" s="8" t="s">
        <v>1339</v>
      </c>
      <c r="B687" s="8" t="s">
        <v>134</v>
      </c>
      <c r="C687" s="8" t="s">
        <v>909</v>
      </c>
      <c r="D687" s="8">
        <v>5</v>
      </c>
      <c r="E687" s="8" t="s">
        <v>1340</v>
      </c>
      <c r="F687" s="8" t="s">
        <v>911</v>
      </c>
      <c r="G687" s="8" t="s">
        <v>912</v>
      </c>
      <c r="H687" s="10">
        <v>1</v>
      </c>
      <c r="I687" s="10"/>
      <c r="J687" s="10">
        <v>1</v>
      </c>
      <c r="K687" s="10">
        <v>1746.17</v>
      </c>
    </row>
    <row r="688" spans="1:11" x14ac:dyDescent="0.25">
      <c r="A688" s="8" t="s">
        <v>1341</v>
      </c>
      <c r="B688" s="8" t="s">
        <v>134</v>
      </c>
      <c r="C688" s="8" t="s">
        <v>909</v>
      </c>
      <c r="D688" s="8">
        <v>5</v>
      </c>
      <c r="E688" s="8" t="s">
        <v>1342</v>
      </c>
      <c r="F688" s="8" t="s">
        <v>911</v>
      </c>
      <c r="G688" s="8" t="s">
        <v>912</v>
      </c>
      <c r="H688" s="10">
        <v>1</v>
      </c>
      <c r="I688" s="10"/>
      <c r="J688" s="10">
        <v>1</v>
      </c>
      <c r="K688" s="10">
        <v>1746.17</v>
      </c>
    </row>
    <row r="689" spans="1:11" x14ac:dyDescent="0.25">
      <c r="A689" s="8" t="s">
        <v>1343</v>
      </c>
      <c r="B689" s="8" t="s">
        <v>134</v>
      </c>
      <c r="C689" s="8" t="s">
        <v>909</v>
      </c>
      <c r="D689" s="8">
        <v>5</v>
      </c>
      <c r="E689" s="8" t="s">
        <v>1344</v>
      </c>
      <c r="F689" s="8" t="s">
        <v>911</v>
      </c>
      <c r="G689" s="8" t="s">
        <v>912</v>
      </c>
      <c r="H689" s="10">
        <v>1</v>
      </c>
      <c r="I689" s="10"/>
      <c r="J689" s="10">
        <v>1</v>
      </c>
      <c r="K689" s="10">
        <v>1746.17</v>
      </c>
    </row>
    <row r="690" spans="1:11" x14ac:dyDescent="0.25">
      <c r="A690" s="8" t="s">
        <v>1345</v>
      </c>
      <c r="B690" s="8" t="s">
        <v>134</v>
      </c>
      <c r="C690" s="8" t="s">
        <v>909</v>
      </c>
      <c r="D690" s="8">
        <v>5</v>
      </c>
      <c r="E690" s="8" t="s">
        <v>1346</v>
      </c>
      <c r="F690" s="8" t="s">
        <v>911</v>
      </c>
      <c r="G690" s="8" t="s">
        <v>912</v>
      </c>
      <c r="H690" s="10">
        <v>1</v>
      </c>
      <c r="I690" s="10"/>
      <c r="J690" s="10">
        <v>1</v>
      </c>
      <c r="K690" s="10">
        <v>1746.17</v>
      </c>
    </row>
    <row r="691" spans="1:11" x14ac:dyDescent="0.25">
      <c r="A691" s="8" t="s">
        <v>1347</v>
      </c>
      <c r="B691" s="8" t="s">
        <v>134</v>
      </c>
      <c r="C691" s="8" t="s">
        <v>909</v>
      </c>
      <c r="D691" s="8">
        <v>5</v>
      </c>
      <c r="E691" s="8" t="s">
        <v>1348</v>
      </c>
      <c r="F691" s="8" t="s">
        <v>911</v>
      </c>
      <c r="G691" s="8" t="s">
        <v>912</v>
      </c>
      <c r="H691" s="10">
        <v>1</v>
      </c>
      <c r="I691" s="10"/>
      <c r="J691" s="10">
        <v>1</v>
      </c>
      <c r="K691" s="10">
        <v>1746.17</v>
      </c>
    </row>
    <row r="692" spans="1:11" x14ac:dyDescent="0.25">
      <c r="A692" s="8" t="s">
        <v>1349</v>
      </c>
      <c r="B692" s="8" t="s">
        <v>134</v>
      </c>
      <c r="C692" s="8" t="s">
        <v>909</v>
      </c>
      <c r="D692" s="8">
        <v>5</v>
      </c>
      <c r="E692" s="8" t="s">
        <v>1350</v>
      </c>
      <c r="F692" s="8" t="s">
        <v>911</v>
      </c>
      <c r="G692" s="8" t="s">
        <v>912</v>
      </c>
      <c r="H692" s="10">
        <v>1</v>
      </c>
      <c r="I692" s="10"/>
      <c r="J692" s="10">
        <v>1</v>
      </c>
      <c r="K692" s="10">
        <v>1746.17</v>
      </c>
    </row>
    <row r="693" spans="1:11" x14ac:dyDescent="0.25">
      <c r="A693" s="8" t="s">
        <v>1351</v>
      </c>
      <c r="B693" s="8" t="s">
        <v>134</v>
      </c>
      <c r="C693" s="8" t="s">
        <v>909</v>
      </c>
      <c r="D693" s="8">
        <v>5</v>
      </c>
      <c r="E693" s="8" t="s">
        <v>1352</v>
      </c>
      <c r="F693" s="8" t="s">
        <v>911</v>
      </c>
      <c r="G693" s="8" t="s">
        <v>912</v>
      </c>
      <c r="H693" s="10">
        <v>1</v>
      </c>
      <c r="I693" s="10"/>
      <c r="J693" s="10">
        <v>1</v>
      </c>
      <c r="K693" s="10">
        <v>1746.17</v>
      </c>
    </row>
    <row r="694" spans="1:11" x14ac:dyDescent="0.25">
      <c r="A694" s="8" t="s">
        <v>1353</v>
      </c>
      <c r="B694" s="8" t="s">
        <v>134</v>
      </c>
      <c r="C694" s="8" t="s">
        <v>909</v>
      </c>
      <c r="D694" s="8">
        <v>5</v>
      </c>
      <c r="E694" s="8" t="s">
        <v>1354</v>
      </c>
      <c r="F694" s="8" t="s">
        <v>911</v>
      </c>
      <c r="G694" s="8" t="s">
        <v>912</v>
      </c>
      <c r="H694" s="10">
        <v>1</v>
      </c>
      <c r="I694" s="10"/>
      <c r="J694" s="10">
        <v>1</v>
      </c>
      <c r="K694" s="10">
        <v>1746.17</v>
      </c>
    </row>
    <row r="695" spans="1:11" x14ac:dyDescent="0.25">
      <c r="A695" s="8" t="s">
        <v>1355</v>
      </c>
      <c r="B695" s="8" t="s">
        <v>134</v>
      </c>
      <c r="C695" s="8" t="s">
        <v>909</v>
      </c>
      <c r="D695" s="8">
        <v>5</v>
      </c>
      <c r="E695" s="8" t="s">
        <v>1356</v>
      </c>
      <c r="F695" s="8" t="s">
        <v>911</v>
      </c>
      <c r="G695" s="8" t="s">
        <v>912</v>
      </c>
      <c r="H695" s="10">
        <v>1</v>
      </c>
      <c r="I695" s="10"/>
      <c r="J695" s="10">
        <v>1</v>
      </c>
      <c r="K695" s="10">
        <v>1746.17</v>
      </c>
    </row>
    <row r="696" spans="1:11" x14ac:dyDescent="0.25">
      <c r="A696" s="8" t="s">
        <v>1357</v>
      </c>
      <c r="B696" s="8" t="s">
        <v>134</v>
      </c>
      <c r="C696" s="8" t="s">
        <v>909</v>
      </c>
      <c r="D696" s="8">
        <v>5</v>
      </c>
      <c r="E696" s="8" t="s">
        <v>1358</v>
      </c>
      <c r="F696" s="8" t="s">
        <v>911</v>
      </c>
      <c r="G696" s="8" t="s">
        <v>912</v>
      </c>
      <c r="H696" s="10">
        <v>1</v>
      </c>
      <c r="I696" s="10"/>
      <c r="J696" s="10">
        <v>1</v>
      </c>
      <c r="K696" s="10">
        <v>1746.17</v>
      </c>
    </row>
    <row r="697" spans="1:11" x14ac:dyDescent="0.25">
      <c r="A697" s="8" t="s">
        <v>1359</v>
      </c>
      <c r="B697" s="8" t="s">
        <v>134</v>
      </c>
      <c r="C697" s="8" t="s">
        <v>909</v>
      </c>
      <c r="D697" s="8">
        <v>5</v>
      </c>
      <c r="E697" s="8" t="s">
        <v>1360</v>
      </c>
      <c r="F697" s="8" t="s">
        <v>911</v>
      </c>
      <c r="G697" s="8" t="s">
        <v>912</v>
      </c>
      <c r="H697" s="10">
        <v>1</v>
      </c>
      <c r="I697" s="10"/>
      <c r="J697" s="10">
        <v>1</v>
      </c>
      <c r="K697" s="10">
        <v>1746.17</v>
      </c>
    </row>
    <row r="698" spans="1:11" x14ac:dyDescent="0.25">
      <c r="A698" s="8" t="s">
        <v>1361</v>
      </c>
      <c r="B698" s="8" t="s">
        <v>134</v>
      </c>
      <c r="C698" s="8" t="s">
        <v>909</v>
      </c>
      <c r="D698" s="8">
        <v>5</v>
      </c>
      <c r="E698" s="8" t="s">
        <v>1362</v>
      </c>
      <c r="F698" s="8" t="s">
        <v>911</v>
      </c>
      <c r="G698" s="8" t="s">
        <v>912</v>
      </c>
      <c r="H698" s="10">
        <v>1</v>
      </c>
      <c r="I698" s="10"/>
      <c r="J698" s="10">
        <v>1</v>
      </c>
      <c r="K698" s="10">
        <v>2670.18</v>
      </c>
    </row>
    <row r="699" spans="1:11" x14ac:dyDescent="0.25">
      <c r="A699" s="8" t="s">
        <v>1363</v>
      </c>
      <c r="B699" s="8" t="s">
        <v>134</v>
      </c>
      <c r="C699" s="8" t="s">
        <v>909</v>
      </c>
      <c r="D699" s="8">
        <v>5</v>
      </c>
      <c r="E699" s="8" t="s">
        <v>1364</v>
      </c>
      <c r="F699" s="8" t="s">
        <v>911</v>
      </c>
      <c r="G699" s="8" t="s">
        <v>912</v>
      </c>
      <c r="H699" s="10">
        <v>1</v>
      </c>
      <c r="I699" s="10"/>
      <c r="J699" s="10">
        <v>1</v>
      </c>
      <c r="K699" s="10">
        <v>2670.18</v>
      </c>
    </row>
    <row r="700" spans="1:11" x14ac:dyDescent="0.25">
      <c r="A700" s="8" t="s">
        <v>1365</v>
      </c>
      <c r="B700" s="8" t="s">
        <v>134</v>
      </c>
      <c r="C700" s="8" t="s">
        <v>909</v>
      </c>
      <c r="D700" s="8">
        <v>5</v>
      </c>
      <c r="E700" s="8" t="s">
        <v>1366</v>
      </c>
      <c r="F700" s="8" t="s">
        <v>911</v>
      </c>
      <c r="G700" s="8" t="s">
        <v>912</v>
      </c>
      <c r="H700" s="10">
        <v>1</v>
      </c>
      <c r="I700" s="10"/>
      <c r="J700" s="10">
        <v>1</v>
      </c>
      <c r="K700" s="10">
        <v>1758.9</v>
      </c>
    </row>
    <row r="701" spans="1:11" x14ac:dyDescent="0.25">
      <c r="A701" s="8" t="s">
        <v>1367</v>
      </c>
      <c r="B701" s="8" t="s">
        <v>134</v>
      </c>
      <c r="C701" s="8" t="s">
        <v>909</v>
      </c>
      <c r="D701" s="8">
        <v>5</v>
      </c>
      <c r="E701" s="8" t="s">
        <v>1368</v>
      </c>
      <c r="F701" s="8" t="s">
        <v>911</v>
      </c>
      <c r="G701" s="8" t="s">
        <v>912</v>
      </c>
      <c r="H701" s="10">
        <v>1</v>
      </c>
      <c r="I701" s="10"/>
      <c r="J701" s="10">
        <v>1</v>
      </c>
      <c r="K701" s="10">
        <v>1758.9</v>
      </c>
    </row>
    <row r="702" spans="1:11" x14ac:dyDescent="0.25">
      <c r="A702" s="8" t="s">
        <v>1369</v>
      </c>
      <c r="B702" s="8" t="s">
        <v>134</v>
      </c>
      <c r="C702" s="8" t="s">
        <v>909</v>
      </c>
      <c r="D702" s="8">
        <v>5</v>
      </c>
      <c r="E702" s="8" t="s">
        <v>1370</v>
      </c>
      <c r="F702" s="8" t="s">
        <v>911</v>
      </c>
      <c r="G702" s="8" t="s">
        <v>912</v>
      </c>
      <c r="H702" s="10">
        <v>1</v>
      </c>
      <c r="I702" s="10"/>
      <c r="J702" s="10">
        <v>1</v>
      </c>
      <c r="K702" s="10">
        <v>1758.9</v>
      </c>
    </row>
    <row r="703" spans="1:11" x14ac:dyDescent="0.25">
      <c r="A703" s="8" t="s">
        <v>1371</v>
      </c>
      <c r="B703" s="8" t="s">
        <v>134</v>
      </c>
      <c r="C703" s="8" t="s">
        <v>909</v>
      </c>
      <c r="D703" s="8">
        <v>5</v>
      </c>
      <c r="E703" s="8" t="s">
        <v>1372</v>
      </c>
      <c r="F703" s="8" t="s">
        <v>911</v>
      </c>
      <c r="G703" s="8" t="s">
        <v>912</v>
      </c>
      <c r="H703" s="10">
        <v>1</v>
      </c>
      <c r="I703" s="10"/>
      <c r="J703" s="10">
        <v>1</v>
      </c>
      <c r="K703" s="10">
        <v>1758.9</v>
      </c>
    </row>
    <row r="704" spans="1:11" x14ac:dyDescent="0.25">
      <c r="A704" s="8" t="s">
        <v>1373</v>
      </c>
      <c r="B704" s="8" t="s">
        <v>134</v>
      </c>
      <c r="C704" s="8" t="s">
        <v>909</v>
      </c>
      <c r="D704" s="8">
        <v>5</v>
      </c>
      <c r="E704" s="8" t="s">
        <v>1374</v>
      </c>
      <c r="F704" s="8" t="s">
        <v>911</v>
      </c>
      <c r="G704" s="8" t="s">
        <v>912</v>
      </c>
      <c r="H704" s="10">
        <v>1</v>
      </c>
      <c r="I704" s="10"/>
      <c r="J704" s="10">
        <v>1</v>
      </c>
      <c r="K704" s="10">
        <v>1758.9</v>
      </c>
    </row>
    <row r="705" spans="1:11" x14ac:dyDescent="0.25">
      <c r="A705" s="8" t="s">
        <v>1375</v>
      </c>
      <c r="B705" s="8" t="s">
        <v>134</v>
      </c>
      <c r="C705" s="8" t="s">
        <v>909</v>
      </c>
      <c r="D705" s="8">
        <v>5</v>
      </c>
      <c r="E705" s="8" t="s">
        <v>1376</v>
      </c>
      <c r="F705" s="8" t="s">
        <v>911</v>
      </c>
      <c r="G705" s="8" t="s">
        <v>912</v>
      </c>
      <c r="H705" s="10">
        <v>1</v>
      </c>
      <c r="I705" s="10"/>
      <c r="J705" s="10">
        <v>1</v>
      </c>
      <c r="K705" s="10">
        <v>1758.9</v>
      </c>
    </row>
    <row r="706" spans="1:11" x14ac:dyDescent="0.25">
      <c r="A706" s="8" t="s">
        <v>1377</v>
      </c>
      <c r="B706" s="8" t="s">
        <v>134</v>
      </c>
      <c r="C706" s="8" t="s">
        <v>909</v>
      </c>
      <c r="D706" s="8">
        <v>5</v>
      </c>
      <c r="E706" s="8" t="s">
        <v>1378</v>
      </c>
      <c r="F706" s="8" t="s">
        <v>911</v>
      </c>
      <c r="G706" s="8" t="s">
        <v>912</v>
      </c>
      <c r="H706" s="10">
        <v>1</v>
      </c>
      <c r="I706" s="10"/>
      <c r="J706" s="10">
        <v>1</v>
      </c>
      <c r="K706" s="10">
        <v>2670.18</v>
      </c>
    </row>
    <row r="707" spans="1:11" x14ac:dyDescent="0.25">
      <c r="A707" s="8" t="s">
        <v>1379</v>
      </c>
      <c r="B707" s="8" t="s">
        <v>128</v>
      </c>
      <c r="C707" s="8" t="s">
        <v>909</v>
      </c>
      <c r="D707" s="8">
        <v>5</v>
      </c>
      <c r="E707" s="8" t="s">
        <v>1380</v>
      </c>
      <c r="F707" s="8" t="s">
        <v>911</v>
      </c>
      <c r="G707" s="8" t="s">
        <v>912</v>
      </c>
      <c r="H707" s="10">
        <v>1</v>
      </c>
      <c r="I707" s="10"/>
      <c r="J707" s="10">
        <v>1</v>
      </c>
      <c r="K707" s="10">
        <v>2657.45</v>
      </c>
    </row>
    <row r="708" spans="1:11" x14ac:dyDescent="0.25">
      <c r="A708" s="8" t="s">
        <v>1381</v>
      </c>
      <c r="B708" s="8" t="s">
        <v>128</v>
      </c>
      <c r="C708" s="8" t="s">
        <v>909</v>
      </c>
      <c r="D708" s="8">
        <v>5</v>
      </c>
      <c r="E708" s="8" t="s">
        <v>1382</v>
      </c>
      <c r="F708" s="8" t="s">
        <v>911</v>
      </c>
      <c r="G708" s="8" t="s">
        <v>912</v>
      </c>
      <c r="H708" s="10">
        <v>1</v>
      </c>
      <c r="I708" s="10"/>
      <c r="J708" s="10">
        <v>1</v>
      </c>
      <c r="K708" s="10">
        <v>2657.45</v>
      </c>
    </row>
    <row r="709" spans="1:11" x14ac:dyDescent="0.25">
      <c r="A709" s="8" t="s">
        <v>1383</v>
      </c>
      <c r="B709" s="8" t="s">
        <v>134</v>
      </c>
      <c r="C709" s="8" t="s">
        <v>909</v>
      </c>
      <c r="D709" s="8">
        <v>5</v>
      </c>
      <c r="E709" s="8" t="s">
        <v>1384</v>
      </c>
      <c r="F709" s="8" t="s">
        <v>911</v>
      </c>
      <c r="G709" s="8" t="s">
        <v>912</v>
      </c>
      <c r="H709" s="10">
        <v>1</v>
      </c>
      <c r="I709" s="10"/>
      <c r="J709" s="10">
        <v>1</v>
      </c>
      <c r="K709" s="10">
        <v>1758.9</v>
      </c>
    </row>
    <row r="710" spans="1:11" x14ac:dyDescent="0.25">
      <c r="A710" s="8" t="s">
        <v>1385</v>
      </c>
      <c r="B710" s="8" t="s">
        <v>134</v>
      </c>
      <c r="C710" s="8" t="s">
        <v>909</v>
      </c>
      <c r="D710" s="8">
        <v>5</v>
      </c>
      <c r="E710" s="8" t="s">
        <v>1386</v>
      </c>
      <c r="F710" s="8" t="s">
        <v>911</v>
      </c>
      <c r="G710" s="8" t="s">
        <v>912</v>
      </c>
      <c r="H710" s="10">
        <v>1</v>
      </c>
      <c r="I710" s="10"/>
      <c r="J710" s="10">
        <v>1</v>
      </c>
      <c r="K710" s="10">
        <v>3823.36</v>
      </c>
    </row>
    <row r="711" spans="1:11" x14ac:dyDescent="0.25">
      <c r="A711" s="8" t="s">
        <v>1387</v>
      </c>
      <c r="B711" s="8" t="s">
        <v>134</v>
      </c>
      <c r="C711" s="8" t="s">
        <v>909</v>
      </c>
      <c r="D711" s="8">
        <v>5</v>
      </c>
      <c r="E711" s="8" t="s">
        <v>1388</v>
      </c>
      <c r="F711" s="8" t="s">
        <v>911</v>
      </c>
      <c r="G711" s="8" t="s">
        <v>912</v>
      </c>
      <c r="H711" s="10">
        <v>1</v>
      </c>
      <c r="I711" s="10"/>
      <c r="J711" s="10">
        <v>1</v>
      </c>
      <c r="K711" s="10">
        <v>1758.9</v>
      </c>
    </row>
    <row r="712" spans="1:11" x14ac:dyDescent="0.25">
      <c r="A712" s="8" t="s">
        <v>1389</v>
      </c>
      <c r="B712" s="8" t="s">
        <v>134</v>
      </c>
      <c r="C712" s="8" t="s">
        <v>909</v>
      </c>
      <c r="D712" s="8">
        <v>5</v>
      </c>
      <c r="E712" s="8" t="s">
        <v>1390</v>
      </c>
      <c r="F712" s="8" t="s">
        <v>911</v>
      </c>
      <c r="G712" s="8" t="s">
        <v>912</v>
      </c>
      <c r="H712" s="10">
        <v>1</v>
      </c>
      <c r="I712" s="10"/>
      <c r="J712" s="10">
        <v>1</v>
      </c>
      <c r="K712" s="10">
        <v>1758.9</v>
      </c>
    </row>
    <row r="713" spans="1:11" x14ac:dyDescent="0.25">
      <c r="A713" s="8" t="s">
        <v>1391</v>
      </c>
      <c r="B713" s="8" t="s">
        <v>134</v>
      </c>
      <c r="C713" s="8" t="s">
        <v>909</v>
      </c>
      <c r="D713" s="8">
        <v>5</v>
      </c>
      <c r="E713" s="8" t="s">
        <v>1392</v>
      </c>
      <c r="F713" s="8" t="s">
        <v>911</v>
      </c>
      <c r="G713" s="8" t="s">
        <v>912</v>
      </c>
      <c r="H713" s="10">
        <v>1</v>
      </c>
      <c r="I713" s="10"/>
      <c r="J713" s="10">
        <v>1</v>
      </c>
      <c r="K713" s="10">
        <v>1758.9</v>
      </c>
    </row>
    <row r="714" spans="1:11" x14ac:dyDescent="0.25">
      <c r="A714" s="8" t="s">
        <v>1393</v>
      </c>
      <c r="B714" s="8" t="s">
        <v>134</v>
      </c>
      <c r="C714" s="8" t="s">
        <v>909</v>
      </c>
      <c r="D714" s="8">
        <v>5</v>
      </c>
      <c r="E714" s="8" t="s">
        <v>1394</v>
      </c>
      <c r="F714" s="8" t="s">
        <v>911</v>
      </c>
      <c r="G714" s="8" t="s">
        <v>912</v>
      </c>
      <c r="H714" s="10">
        <v>1</v>
      </c>
      <c r="I714" s="10"/>
      <c r="J714" s="10">
        <v>1</v>
      </c>
      <c r="K714" s="10">
        <v>1758.9</v>
      </c>
    </row>
    <row r="715" spans="1:11" x14ac:dyDescent="0.25">
      <c r="A715" s="8" t="s">
        <v>1395</v>
      </c>
      <c r="B715" s="8" t="s">
        <v>134</v>
      </c>
      <c r="C715" s="8" t="s">
        <v>909</v>
      </c>
      <c r="D715" s="8">
        <v>5</v>
      </c>
      <c r="E715" s="8" t="s">
        <v>1396</v>
      </c>
      <c r="F715" s="8" t="s">
        <v>911</v>
      </c>
      <c r="G715" s="8" t="s">
        <v>912</v>
      </c>
      <c r="H715" s="10">
        <v>1</v>
      </c>
      <c r="I715" s="10"/>
      <c r="J715" s="10">
        <v>1</v>
      </c>
      <c r="K715" s="10">
        <v>2657.45</v>
      </c>
    </row>
    <row r="716" spans="1:11" x14ac:dyDescent="0.25">
      <c r="A716" s="8" t="s">
        <v>1397</v>
      </c>
      <c r="B716" s="8" t="s">
        <v>134</v>
      </c>
      <c r="C716" s="8" t="s">
        <v>909</v>
      </c>
      <c r="D716" s="8">
        <v>5</v>
      </c>
      <c r="E716" s="8" t="s">
        <v>1398</v>
      </c>
      <c r="F716" s="8" t="s">
        <v>911</v>
      </c>
      <c r="G716" s="8" t="s">
        <v>912</v>
      </c>
      <c r="H716" s="10">
        <v>1</v>
      </c>
      <c r="I716" s="10"/>
      <c r="J716" s="10">
        <v>1</v>
      </c>
      <c r="K716" s="10">
        <v>2657.45</v>
      </c>
    </row>
    <row r="717" spans="1:11" x14ac:dyDescent="0.25">
      <c r="A717" s="8" t="s">
        <v>1399</v>
      </c>
      <c r="B717" s="8" t="s">
        <v>134</v>
      </c>
      <c r="C717" s="8" t="s">
        <v>909</v>
      </c>
      <c r="D717" s="8">
        <v>5</v>
      </c>
      <c r="E717" s="8" t="s">
        <v>1400</v>
      </c>
      <c r="F717" s="8" t="s">
        <v>911</v>
      </c>
      <c r="G717" s="8" t="s">
        <v>912</v>
      </c>
      <c r="H717" s="10">
        <v>1</v>
      </c>
      <c r="I717" s="10"/>
      <c r="J717" s="10">
        <v>1</v>
      </c>
      <c r="K717" s="10">
        <v>2708.38</v>
      </c>
    </row>
    <row r="718" spans="1:11" x14ac:dyDescent="0.25">
      <c r="A718" s="8" t="s">
        <v>1401</v>
      </c>
      <c r="B718" s="8" t="s">
        <v>134</v>
      </c>
      <c r="C718" s="8" t="s">
        <v>909</v>
      </c>
      <c r="D718" s="8">
        <v>5</v>
      </c>
      <c r="E718" s="8" t="s">
        <v>1402</v>
      </c>
      <c r="F718" s="8" t="s">
        <v>911</v>
      </c>
      <c r="G718" s="8" t="s">
        <v>912</v>
      </c>
      <c r="H718" s="10">
        <v>1</v>
      </c>
      <c r="I718" s="10"/>
      <c r="J718" s="10">
        <v>1</v>
      </c>
      <c r="K718" s="10">
        <v>2708.38</v>
      </c>
    </row>
    <row r="719" spans="1:11" x14ac:dyDescent="0.25">
      <c r="A719" s="8" t="s">
        <v>1403</v>
      </c>
      <c r="B719" s="8" t="s">
        <v>118</v>
      </c>
      <c r="C719" s="8" t="s">
        <v>909</v>
      </c>
      <c r="D719" s="8">
        <v>5</v>
      </c>
      <c r="E719" s="8" t="s">
        <v>1404</v>
      </c>
      <c r="F719" s="8" t="s">
        <v>911</v>
      </c>
      <c r="G719" s="8" t="s">
        <v>912</v>
      </c>
      <c r="H719" s="10">
        <v>1</v>
      </c>
      <c r="I719" s="10"/>
      <c r="J719" s="10">
        <v>1</v>
      </c>
      <c r="K719" s="10">
        <v>3683.31</v>
      </c>
    </row>
    <row r="720" spans="1:11" x14ac:dyDescent="0.25">
      <c r="A720" s="8" t="s">
        <v>1405</v>
      </c>
      <c r="B720" s="8" t="s">
        <v>118</v>
      </c>
      <c r="C720" s="8" t="s">
        <v>909</v>
      </c>
      <c r="D720" s="8">
        <v>5</v>
      </c>
      <c r="E720" s="8" t="s">
        <v>1406</v>
      </c>
      <c r="F720" s="8" t="s">
        <v>911</v>
      </c>
      <c r="G720" s="8" t="s">
        <v>912</v>
      </c>
      <c r="H720" s="10">
        <v>1</v>
      </c>
      <c r="I720" s="10"/>
      <c r="J720" s="10">
        <v>1</v>
      </c>
      <c r="K720" s="10">
        <v>3683.31</v>
      </c>
    </row>
    <row r="721" spans="1:11" x14ac:dyDescent="0.25">
      <c r="A721" s="8" t="s">
        <v>1407</v>
      </c>
      <c r="B721" s="8" t="s">
        <v>1029</v>
      </c>
      <c r="C721" s="8" t="s">
        <v>909</v>
      </c>
      <c r="D721" s="8">
        <v>5</v>
      </c>
      <c r="E721" s="8" t="s">
        <v>1408</v>
      </c>
      <c r="F721" s="8" t="s">
        <v>911</v>
      </c>
      <c r="G721" s="8" t="s">
        <v>912</v>
      </c>
      <c r="H721" s="10">
        <v>1</v>
      </c>
      <c r="I721" s="10"/>
      <c r="J721" s="10">
        <v>1</v>
      </c>
      <c r="K721" s="10">
        <v>2733.84</v>
      </c>
    </row>
    <row r="722" spans="1:11" x14ac:dyDescent="0.25">
      <c r="A722" s="8" t="s">
        <v>1409</v>
      </c>
      <c r="B722" s="8" t="s">
        <v>80</v>
      </c>
      <c r="C722" s="8" t="s">
        <v>909</v>
      </c>
      <c r="D722" s="8">
        <v>5</v>
      </c>
      <c r="E722" s="8" t="s">
        <v>1410</v>
      </c>
      <c r="F722" s="8" t="s">
        <v>911</v>
      </c>
      <c r="G722" s="8" t="s">
        <v>912</v>
      </c>
      <c r="H722" s="10">
        <v>1</v>
      </c>
      <c r="I722" s="10"/>
      <c r="J722" s="10">
        <v>1</v>
      </c>
      <c r="K722" s="10">
        <v>2682.92</v>
      </c>
    </row>
    <row r="723" spans="1:11" x14ac:dyDescent="0.25">
      <c r="A723" s="8" t="s">
        <v>1411</v>
      </c>
      <c r="B723" s="8" t="s">
        <v>80</v>
      </c>
      <c r="C723" s="8" t="s">
        <v>909</v>
      </c>
      <c r="D723" s="8">
        <v>5</v>
      </c>
      <c r="E723" s="8" t="s">
        <v>1412</v>
      </c>
      <c r="F723" s="8" t="s">
        <v>911</v>
      </c>
      <c r="G723" s="8" t="s">
        <v>912</v>
      </c>
      <c r="H723" s="10">
        <v>1</v>
      </c>
      <c r="I723" s="10"/>
      <c r="J723" s="10">
        <v>1</v>
      </c>
      <c r="K723" s="10">
        <v>2682.92</v>
      </c>
    </row>
    <row r="724" spans="1:11" x14ac:dyDescent="0.25">
      <c r="A724" s="8" t="s">
        <v>1413</v>
      </c>
      <c r="B724" s="8" t="s">
        <v>142</v>
      </c>
      <c r="C724" s="8" t="s">
        <v>909</v>
      </c>
      <c r="D724" s="8">
        <v>5</v>
      </c>
      <c r="E724" s="8" t="s">
        <v>1414</v>
      </c>
      <c r="F724" s="8" t="s">
        <v>911</v>
      </c>
      <c r="G724" s="8" t="s">
        <v>912</v>
      </c>
      <c r="H724" s="10">
        <v>1</v>
      </c>
      <c r="I724" s="10"/>
      <c r="J724" s="10">
        <v>1</v>
      </c>
      <c r="K724" s="10">
        <v>2670.18</v>
      </c>
    </row>
    <row r="725" spans="1:11" x14ac:dyDescent="0.25">
      <c r="A725" s="8" t="s">
        <v>1415</v>
      </c>
      <c r="B725" s="8" t="s">
        <v>142</v>
      </c>
      <c r="C725" s="8" t="s">
        <v>909</v>
      </c>
      <c r="D725" s="8">
        <v>5</v>
      </c>
      <c r="E725" s="8" t="s">
        <v>1416</v>
      </c>
      <c r="F725" s="8" t="s">
        <v>911</v>
      </c>
      <c r="G725" s="8" t="s">
        <v>912</v>
      </c>
      <c r="H725" s="10">
        <v>1</v>
      </c>
      <c r="I725" s="10"/>
      <c r="J725" s="10">
        <v>1</v>
      </c>
      <c r="K725" s="10">
        <v>2670.18</v>
      </c>
    </row>
    <row r="726" spans="1:11" x14ac:dyDescent="0.25">
      <c r="A726" s="8" t="s">
        <v>1417</v>
      </c>
      <c r="B726" s="8" t="s">
        <v>128</v>
      </c>
      <c r="C726" s="8" t="s">
        <v>909</v>
      </c>
      <c r="D726" s="8">
        <v>5</v>
      </c>
      <c r="E726" s="8" t="s">
        <v>1418</v>
      </c>
      <c r="F726" s="8" t="s">
        <v>911</v>
      </c>
      <c r="G726" s="8" t="s">
        <v>912</v>
      </c>
      <c r="H726" s="10">
        <v>1</v>
      </c>
      <c r="I726" s="10"/>
      <c r="J726" s="10">
        <v>1</v>
      </c>
      <c r="K726" s="10">
        <v>3734.24</v>
      </c>
    </row>
    <row r="727" spans="1:11" x14ac:dyDescent="0.25">
      <c r="A727" s="8" t="s">
        <v>1419</v>
      </c>
      <c r="B727" s="8" t="s">
        <v>128</v>
      </c>
      <c r="C727" s="8" t="s">
        <v>909</v>
      </c>
      <c r="D727" s="8">
        <v>5</v>
      </c>
      <c r="E727" s="8" t="s">
        <v>1420</v>
      </c>
      <c r="F727" s="8" t="s">
        <v>911</v>
      </c>
      <c r="G727" s="8" t="s">
        <v>912</v>
      </c>
      <c r="H727" s="10">
        <v>1</v>
      </c>
      <c r="I727" s="10"/>
      <c r="J727" s="10">
        <v>1</v>
      </c>
      <c r="K727" s="10">
        <v>3734.24</v>
      </c>
    </row>
    <row r="728" spans="1:11" x14ac:dyDescent="0.25">
      <c r="A728" s="8" t="s">
        <v>1421</v>
      </c>
      <c r="B728" s="8" t="s">
        <v>1029</v>
      </c>
      <c r="C728" s="8" t="s">
        <v>909</v>
      </c>
      <c r="D728" s="8">
        <v>5</v>
      </c>
      <c r="E728" s="8" t="s">
        <v>1422</v>
      </c>
      <c r="F728" s="8" t="s">
        <v>911</v>
      </c>
      <c r="G728" s="8" t="s">
        <v>912</v>
      </c>
      <c r="H728" s="10">
        <v>1</v>
      </c>
      <c r="I728" s="10"/>
      <c r="J728" s="10">
        <v>1</v>
      </c>
      <c r="K728" s="10">
        <v>2733.84</v>
      </c>
    </row>
    <row r="729" spans="1:11" x14ac:dyDescent="0.25">
      <c r="A729" s="8" t="s">
        <v>1423</v>
      </c>
      <c r="B729" s="8" t="s">
        <v>1029</v>
      </c>
      <c r="C729" s="8" t="s">
        <v>909</v>
      </c>
      <c r="D729" s="8">
        <v>5</v>
      </c>
      <c r="E729" s="8" t="s">
        <v>1424</v>
      </c>
      <c r="F729" s="8" t="s">
        <v>911</v>
      </c>
      <c r="G729" s="8" t="s">
        <v>912</v>
      </c>
      <c r="H729" s="10">
        <v>1</v>
      </c>
      <c r="I729" s="10"/>
      <c r="J729" s="10">
        <v>1</v>
      </c>
      <c r="K729" s="10">
        <v>2733.84</v>
      </c>
    </row>
    <row r="730" spans="1:11" x14ac:dyDescent="0.25">
      <c r="A730" s="8" t="s">
        <v>1425</v>
      </c>
      <c r="B730" s="8" t="s">
        <v>132</v>
      </c>
      <c r="C730" s="8" t="s">
        <v>909</v>
      </c>
      <c r="D730" s="8">
        <v>5</v>
      </c>
      <c r="E730" s="8" t="s">
        <v>1426</v>
      </c>
      <c r="F730" s="8" t="s">
        <v>911</v>
      </c>
      <c r="G730" s="8" t="s">
        <v>912</v>
      </c>
      <c r="H730" s="10">
        <v>1</v>
      </c>
      <c r="I730" s="10"/>
      <c r="J730" s="10">
        <v>1</v>
      </c>
      <c r="K730" s="10">
        <v>3696.04</v>
      </c>
    </row>
    <row r="731" spans="1:11" x14ac:dyDescent="0.25">
      <c r="A731" s="8" t="s">
        <v>1427</v>
      </c>
      <c r="B731" s="8" t="s">
        <v>132</v>
      </c>
      <c r="C731" s="8" t="s">
        <v>909</v>
      </c>
      <c r="D731" s="8">
        <v>5</v>
      </c>
      <c r="E731" s="8" t="s">
        <v>1428</v>
      </c>
      <c r="F731" s="8" t="s">
        <v>911</v>
      </c>
      <c r="G731" s="8" t="s">
        <v>912</v>
      </c>
      <c r="H731" s="10">
        <v>1</v>
      </c>
      <c r="I731" s="10"/>
      <c r="J731" s="10">
        <v>1</v>
      </c>
      <c r="K731" s="10">
        <v>3696.04</v>
      </c>
    </row>
    <row r="732" spans="1:11" x14ac:dyDescent="0.25">
      <c r="A732" s="8" t="s">
        <v>1429</v>
      </c>
      <c r="B732" s="8" t="s">
        <v>80</v>
      </c>
      <c r="C732" s="8" t="s">
        <v>909</v>
      </c>
      <c r="D732" s="8">
        <v>5</v>
      </c>
      <c r="E732" s="8" t="s">
        <v>1430</v>
      </c>
      <c r="F732" s="8" t="s">
        <v>911</v>
      </c>
      <c r="G732" s="8" t="s">
        <v>912</v>
      </c>
      <c r="H732" s="10">
        <v>1</v>
      </c>
      <c r="I732" s="10"/>
      <c r="J732" s="10">
        <v>1</v>
      </c>
      <c r="K732" s="10">
        <v>5773.23</v>
      </c>
    </row>
    <row r="733" spans="1:11" x14ac:dyDescent="0.25">
      <c r="A733" s="8" t="s">
        <v>1431</v>
      </c>
      <c r="B733" s="8" t="s">
        <v>80</v>
      </c>
      <c r="C733" s="8" t="s">
        <v>909</v>
      </c>
      <c r="D733" s="8">
        <v>5</v>
      </c>
      <c r="E733" s="8" t="s">
        <v>1432</v>
      </c>
      <c r="F733" s="8" t="s">
        <v>911</v>
      </c>
      <c r="G733" s="8" t="s">
        <v>912</v>
      </c>
      <c r="H733" s="10">
        <v>1</v>
      </c>
      <c r="I733" s="10"/>
      <c r="J733" s="10">
        <v>1</v>
      </c>
      <c r="K733" s="10">
        <v>5773.23</v>
      </c>
    </row>
    <row r="734" spans="1:11" x14ac:dyDescent="0.25">
      <c r="A734" s="8" t="s">
        <v>1433</v>
      </c>
      <c r="B734" s="8" t="s">
        <v>118</v>
      </c>
      <c r="C734" s="8" t="s">
        <v>909</v>
      </c>
      <c r="D734" s="8">
        <v>5</v>
      </c>
      <c r="E734" s="8" t="s">
        <v>1434</v>
      </c>
      <c r="F734" s="8" t="s">
        <v>911</v>
      </c>
      <c r="G734" s="8" t="s">
        <v>912</v>
      </c>
      <c r="H734" s="10">
        <v>1</v>
      </c>
      <c r="I734" s="10"/>
      <c r="J734" s="10">
        <v>1</v>
      </c>
      <c r="K734" s="10">
        <v>5798.69</v>
      </c>
    </row>
    <row r="735" spans="1:11" x14ac:dyDescent="0.25">
      <c r="A735" s="8" t="s">
        <v>1435</v>
      </c>
      <c r="B735" s="8" t="s">
        <v>118</v>
      </c>
      <c r="C735" s="8" t="s">
        <v>909</v>
      </c>
      <c r="D735" s="8">
        <v>5</v>
      </c>
      <c r="E735" s="8" t="s">
        <v>1436</v>
      </c>
      <c r="F735" s="8" t="s">
        <v>911</v>
      </c>
      <c r="G735" s="8" t="s">
        <v>912</v>
      </c>
      <c r="H735" s="10">
        <v>1</v>
      </c>
      <c r="I735" s="10"/>
      <c r="J735" s="10">
        <v>1</v>
      </c>
      <c r="K735" s="10">
        <v>5798.69</v>
      </c>
    </row>
    <row r="736" spans="1:11" x14ac:dyDescent="0.25">
      <c r="A736" s="8" t="s">
        <v>1437</v>
      </c>
      <c r="B736" s="8" t="s">
        <v>134</v>
      </c>
      <c r="C736" s="8" t="s">
        <v>909</v>
      </c>
      <c r="D736" s="8">
        <v>5</v>
      </c>
      <c r="E736" s="8" t="s">
        <v>1438</v>
      </c>
      <c r="F736" s="8" t="s">
        <v>911</v>
      </c>
      <c r="G736" s="8" t="s">
        <v>912</v>
      </c>
      <c r="H736" s="10">
        <v>1</v>
      </c>
      <c r="I736" s="10"/>
      <c r="J736" s="10">
        <v>1</v>
      </c>
      <c r="K736" s="10">
        <v>5926</v>
      </c>
    </row>
    <row r="737" spans="1:11" x14ac:dyDescent="0.25">
      <c r="A737" s="8" t="s">
        <v>1439</v>
      </c>
      <c r="B737" s="8" t="s">
        <v>134</v>
      </c>
      <c r="C737" s="8" t="s">
        <v>909</v>
      </c>
      <c r="D737" s="8">
        <v>5</v>
      </c>
      <c r="E737" s="8" t="s">
        <v>1440</v>
      </c>
      <c r="F737" s="8" t="s">
        <v>911</v>
      </c>
      <c r="G737" s="8" t="s">
        <v>912</v>
      </c>
      <c r="H737" s="10">
        <v>1</v>
      </c>
      <c r="I737" s="10"/>
      <c r="J737" s="10">
        <v>1</v>
      </c>
      <c r="K737" s="10">
        <v>5926</v>
      </c>
    </row>
    <row r="738" spans="1:11" x14ac:dyDescent="0.25">
      <c r="A738" s="8" t="s">
        <v>1441</v>
      </c>
      <c r="B738" s="8" t="s">
        <v>80</v>
      </c>
      <c r="C738" s="8" t="s">
        <v>909</v>
      </c>
      <c r="D738" s="8">
        <v>5</v>
      </c>
      <c r="E738" s="8" t="s">
        <v>1442</v>
      </c>
      <c r="F738" s="8" t="s">
        <v>911</v>
      </c>
      <c r="G738" s="8" t="s">
        <v>912</v>
      </c>
      <c r="H738" s="10">
        <v>1</v>
      </c>
      <c r="I738" s="10"/>
      <c r="J738" s="10">
        <v>1</v>
      </c>
      <c r="K738" s="10">
        <v>5493.14</v>
      </c>
    </row>
    <row r="739" spans="1:11" x14ac:dyDescent="0.25">
      <c r="A739" s="8" t="s">
        <v>1443</v>
      </c>
      <c r="B739" s="8" t="s">
        <v>132</v>
      </c>
      <c r="C739" s="8" t="s">
        <v>909</v>
      </c>
      <c r="D739" s="8">
        <v>5</v>
      </c>
      <c r="E739" s="8" t="s">
        <v>1444</v>
      </c>
      <c r="F739" s="8" t="s">
        <v>911</v>
      </c>
      <c r="G739" s="8" t="s">
        <v>912</v>
      </c>
      <c r="H739" s="10">
        <v>1</v>
      </c>
      <c r="I739" s="10"/>
      <c r="J739" s="10">
        <v>1</v>
      </c>
      <c r="K739" s="10">
        <v>5900.54</v>
      </c>
    </row>
    <row r="740" spans="1:11" x14ac:dyDescent="0.25">
      <c r="A740" s="8" t="s">
        <v>1445</v>
      </c>
      <c r="B740" s="8" t="s">
        <v>132</v>
      </c>
      <c r="C740" s="8" t="s">
        <v>909</v>
      </c>
      <c r="D740" s="8">
        <v>5</v>
      </c>
      <c r="E740" s="8" t="s">
        <v>1446</v>
      </c>
      <c r="F740" s="8" t="s">
        <v>911</v>
      </c>
      <c r="G740" s="8" t="s">
        <v>912</v>
      </c>
      <c r="H740" s="10">
        <v>1</v>
      </c>
      <c r="I740" s="10"/>
      <c r="J740" s="10">
        <v>1</v>
      </c>
      <c r="K740" s="10">
        <v>5900.54</v>
      </c>
    </row>
    <row r="741" spans="1:11" x14ac:dyDescent="0.25">
      <c r="A741" s="8" t="s">
        <v>1447</v>
      </c>
      <c r="B741" s="8" t="s">
        <v>80</v>
      </c>
      <c r="C741" s="8" t="s">
        <v>909</v>
      </c>
      <c r="D741" s="8">
        <v>5</v>
      </c>
      <c r="E741" s="8" t="s">
        <v>1448</v>
      </c>
      <c r="F741" s="8" t="s">
        <v>911</v>
      </c>
      <c r="G741" s="8" t="s">
        <v>912</v>
      </c>
      <c r="H741" s="10">
        <v>1</v>
      </c>
      <c r="I741" s="10"/>
      <c r="J741" s="10">
        <v>1</v>
      </c>
      <c r="K741" s="10">
        <v>5493.14</v>
      </c>
    </row>
    <row r="742" spans="1:11" x14ac:dyDescent="0.25">
      <c r="A742" s="8" t="s">
        <v>1449</v>
      </c>
      <c r="B742" s="8" t="s">
        <v>128</v>
      </c>
      <c r="C742" s="8" t="s">
        <v>909</v>
      </c>
      <c r="D742" s="8">
        <v>5</v>
      </c>
      <c r="E742" s="8" t="s">
        <v>1450</v>
      </c>
      <c r="F742" s="8" t="s">
        <v>911</v>
      </c>
      <c r="G742" s="8" t="s">
        <v>912</v>
      </c>
      <c r="H742" s="10">
        <v>1</v>
      </c>
      <c r="I742" s="10"/>
      <c r="J742" s="10">
        <v>1</v>
      </c>
      <c r="K742" s="10">
        <v>5817.79</v>
      </c>
    </row>
    <row r="743" spans="1:11" x14ac:dyDescent="0.25">
      <c r="A743" s="8" t="s">
        <v>1451</v>
      </c>
      <c r="B743" s="8" t="s">
        <v>128</v>
      </c>
      <c r="C743" s="8" t="s">
        <v>909</v>
      </c>
      <c r="D743" s="8">
        <v>5</v>
      </c>
      <c r="E743" s="8" t="s">
        <v>1452</v>
      </c>
      <c r="F743" s="8" t="s">
        <v>911</v>
      </c>
      <c r="G743" s="8" t="s">
        <v>912</v>
      </c>
      <c r="H743" s="10">
        <v>1</v>
      </c>
      <c r="I743" s="10"/>
      <c r="J743" s="10">
        <v>1</v>
      </c>
      <c r="K743" s="10">
        <v>5817.79</v>
      </c>
    </row>
    <row r="744" spans="1:11" x14ac:dyDescent="0.25">
      <c r="A744" s="8" t="s">
        <v>1453</v>
      </c>
      <c r="B744" s="8" t="s">
        <v>128</v>
      </c>
      <c r="C744" s="8" t="s">
        <v>909</v>
      </c>
      <c r="D744" s="8">
        <v>5</v>
      </c>
      <c r="E744" s="8" t="s">
        <v>1454</v>
      </c>
      <c r="F744" s="8" t="s">
        <v>911</v>
      </c>
      <c r="G744" s="8" t="s">
        <v>912</v>
      </c>
      <c r="H744" s="10">
        <v>1</v>
      </c>
      <c r="I744" s="10"/>
      <c r="J744" s="10">
        <v>1</v>
      </c>
      <c r="K744" s="10">
        <v>5887.81</v>
      </c>
    </row>
    <row r="745" spans="1:11" x14ac:dyDescent="0.25">
      <c r="A745" s="8" t="s">
        <v>1455</v>
      </c>
      <c r="B745" s="8" t="s">
        <v>128</v>
      </c>
      <c r="C745" s="8" t="s">
        <v>909</v>
      </c>
      <c r="D745" s="8">
        <v>5</v>
      </c>
      <c r="E745" s="8" t="s">
        <v>1456</v>
      </c>
      <c r="F745" s="8" t="s">
        <v>911</v>
      </c>
      <c r="G745" s="8" t="s">
        <v>912</v>
      </c>
      <c r="H745" s="10">
        <v>1</v>
      </c>
      <c r="I745" s="10"/>
      <c r="J745" s="10">
        <v>1</v>
      </c>
      <c r="K745" s="10">
        <v>5887.81</v>
      </c>
    </row>
    <row r="746" spans="1:11" x14ac:dyDescent="0.25">
      <c r="A746" s="8" t="s">
        <v>1457</v>
      </c>
      <c r="B746" s="8" t="s">
        <v>1029</v>
      </c>
      <c r="C746" s="8" t="s">
        <v>909</v>
      </c>
      <c r="D746" s="8">
        <v>5</v>
      </c>
      <c r="E746" s="8" t="s">
        <v>1458</v>
      </c>
      <c r="F746" s="8" t="s">
        <v>911</v>
      </c>
      <c r="G746" s="8" t="s">
        <v>912</v>
      </c>
      <c r="H746" s="10">
        <v>1</v>
      </c>
      <c r="I746" s="10"/>
      <c r="J746" s="10">
        <v>1</v>
      </c>
      <c r="K746" s="10">
        <v>5735.03</v>
      </c>
    </row>
    <row r="747" spans="1:11" x14ac:dyDescent="0.25">
      <c r="A747" s="8" t="s">
        <v>1459</v>
      </c>
      <c r="B747" s="8" t="s">
        <v>1029</v>
      </c>
      <c r="C747" s="8" t="s">
        <v>909</v>
      </c>
      <c r="D747" s="8">
        <v>5</v>
      </c>
      <c r="E747" s="8" t="s">
        <v>1460</v>
      </c>
      <c r="F747" s="8" t="s">
        <v>911</v>
      </c>
      <c r="G747" s="8" t="s">
        <v>912</v>
      </c>
      <c r="H747" s="10">
        <v>1</v>
      </c>
      <c r="I747" s="10"/>
      <c r="J747" s="10">
        <v>1</v>
      </c>
      <c r="K747" s="10">
        <v>23202.95</v>
      </c>
    </row>
    <row r="748" spans="1:11" x14ac:dyDescent="0.25">
      <c r="A748" s="8" t="s">
        <v>1461</v>
      </c>
      <c r="B748" s="8" t="s">
        <v>122</v>
      </c>
      <c r="C748" s="8" t="s">
        <v>909</v>
      </c>
      <c r="D748" s="8">
        <v>5</v>
      </c>
      <c r="E748" s="8" t="s">
        <v>1462</v>
      </c>
      <c r="F748" s="8" t="s">
        <v>911</v>
      </c>
      <c r="G748" s="8" t="s">
        <v>912</v>
      </c>
      <c r="H748" s="10">
        <v>1</v>
      </c>
      <c r="I748" s="10"/>
      <c r="J748" s="10">
        <v>1</v>
      </c>
      <c r="K748" s="10">
        <v>11144.42</v>
      </c>
    </row>
    <row r="749" spans="1:11" x14ac:dyDescent="0.25">
      <c r="A749" s="8" t="s">
        <v>1463</v>
      </c>
      <c r="B749" s="8" t="s">
        <v>122</v>
      </c>
      <c r="C749" s="8" t="s">
        <v>909</v>
      </c>
      <c r="D749" s="8">
        <v>5</v>
      </c>
      <c r="E749" s="8" t="s">
        <v>1464</v>
      </c>
      <c r="F749" s="8" t="s">
        <v>911</v>
      </c>
      <c r="G749" s="8" t="s">
        <v>912</v>
      </c>
      <c r="H749" s="10">
        <v>1</v>
      </c>
      <c r="I749" s="10"/>
      <c r="J749" s="10">
        <v>1</v>
      </c>
      <c r="K749" s="10">
        <v>11144.42</v>
      </c>
    </row>
    <row r="750" spans="1:11" x14ac:dyDescent="0.25">
      <c r="A750" s="8" t="s">
        <v>1465</v>
      </c>
      <c r="B750" s="8" t="s">
        <v>122</v>
      </c>
      <c r="C750" s="8" t="s">
        <v>909</v>
      </c>
      <c r="D750" s="8">
        <v>5</v>
      </c>
      <c r="E750" s="8" t="s">
        <v>1466</v>
      </c>
      <c r="F750" s="8" t="s">
        <v>911</v>
      </c>
      <c r="G750" s="8" t="s">
        <v>912</v>
      </c>
      <c r="H750" s="10">
        <v>1</v>
      </c>
      <c r="I750" s="10"/>
      <c r="J750" s="10">
        <v>1</v>
      </c>
      <c r="K750" s="10">
        <v>11144.42</v>
      </c>
    </row>
    <row r="751" spans="1:11" x14ac:dyDescent="0.25">
      <c r="A751" s="8" t="s">
        <v>1467</v>
      </c>
      <c r="B751" s="8" t="s">
        <v>122</v>
      </c>
      <c r="C751" s="8" t="s">
        <v>909</v>
      </c>
      <c r="D751" s="8">
        <v>5</v>
      </c>
      <c r="E751" s="8" t="s">
        <v>1468</v>
      </c>
      <c r="F751" s="8" t="s">
        <v>911</v>
      </c>
      <c r="G751" s="8" t="s">
        <v>912</v>
      </c>
      <c r="H751" s="10">
        <v>1</v>
      </c>
      <c r="I751" s="10"/>
      <c r="J751" s="10">
        <v>1</v>
      </c>
      <c r="K751" s="10">
        <v>11144.42</v>
      </c>
    </row>
    <row r="752" spans="1:11" x14ac:dyDescent="0.25">
      <c r="A752" s="8" t="s">
        <v>1469</v>
      </c>
      <c r="B752" s="8" t="s">
        <v>124</v>
      </c>
      <c r="C752" s="8" t="s">
        <v>909</v>
      </c>
      <c r="D752" s="8">
        <v>5</v>
      </c>
      <c r="E752" s="8" t="s">
        <v>1470</v>
      </c>
      <c r="F752" s="8" t="s">
        <v>911</v>
      </c>
      <c r="G752" s="8" t="s">
        <v>912</v>
      </c>
      <c r="H752" s="10">
        <v>1</v>
      </c>
      <c r="I752" s="10"/>
      <c r="J752" s="10">
        <v>1</v>
      </c>
      <c r="K752" s="10">
        <v>10953.46</v>
      </c>
    </row>
    <row r="753" spans="1:11" x14ac:dyDescent="0.25">
      <c r="A753" s="8" t="s">
        <v>1471</v>
      </c>
      <c r="B753" s="8" t="s">
        <v>124</v>
      </c>
      <c r="C753" s="8" t="s">
        <v>909</v>
      </c>
      <c r="D753" s="8">
        <v>5</v>
      </c>
      <c r="E753" s="8" t="s">
        <v>1472</v>
      </c>
      <c r="F753" s="8" t="s">
        <v>911</v>
      </c>
      <c r="G753" s="8" t="s">
        <v>912</v>
      </c>
      <c r="H753" s="10">
        <v>1</v>
      </c>
      <c r="I753" s="10"/>
      <c r="J753" s="10">
        <v>1</v>
      </c>
      <c r="K753" s="10">
        <v>10953.46</v>
      </c>
    </row>
    <row r="754" spans="1:11" x14ac:dyDescent="0.25">
      <c r="A754" s="8" t="s">
        <v>1473</v>
      </c>
      <c r="B754" s="8" t="s">
        <v>124</v>
      </c>
      <c r="C754" s="8" t="s">
        <v>909</v>
      </c>
      <c r="D754" s="8">
        <v>5</v>
      </c>
      <c r="E754" s="8" t="s">
        <v>1474</v>
      </c>
      <c r="F754" s="8" t="s">
        <v>911</v>
      </c>
      <c r="G754" s="8" t="s">
        <v>912</v>
      </c>
      <c r="H754" s="10">
        <v>1</v>
      </c>
      <c r="I754" s="10"/>
      <c r="J754" s="10">
        <v>1</v>
      </c>
      <c r="K754" s="10">
        <v>10953.46</v>
      </c>
    </row>
    <row r="755" spans="1:11" x14ac:dyDescent="0.25">
      <c r="A755" s="8" t="s">
        <v>1475</v>
      </c>
      <c r="B755" s="8" t="s">
        <v>124</v>
      </c>
      <c r="C755" s="8" t="s">
        <v>909</v>
      </c>
      <c r="D755" s="8">
        <v>5</v>
      </c>
      <c r="E755" s="8" t="s">
        <v>1476</v>
      </c>
      <c r="F755" s="8" t="s">
        <v>911</v>
      </c>
      <c r="G755" s="8" t="s">
        <v>912</v>
      </c>
      <c r="H755" s="10">
        <v>1</v>
      </c>
      <c r="I755" s="10"/>
      <c r="J755" s="10">
        <v>1</v>
      </c>
      <c r="K755" s="10">
        <v>10953.46</v>
      </c>
    </row>
    <row r="756" spans="1:11" x14ac:dyDescent="0.25">
      <c r="A756" s="8" t="s">
        <v>1477</v>
      </c>
      <c r="B756" s="8" t="s">
        <v>124</v>
      </c>
      <c r="C756" s="8" t="s">
        <v>909</v>
      </c>
      <c r="D756" s="8">
        <v>5</v>
      </c>
      <c r="E756" s="8" t="s">
        <v>1478</v>
      </c>
      <c r="F756" s="8" t="s">
        <v>911</v>
      </c>
      <c r="G756" s="8" t="s">
        <v>912</v>
      </c>
      <c r="H756" s="10">
        <v>1</v>
      </c>
      <c r="I756" s="10"/>
      <c r="J756" s="10">
        <v>1</v>
      </c>
      <c r="K756" s="10">
        <v>10787.95</v>
      </c>
    </row>
    <row r="757" spans="1:11" x14ac:dyDescent="0.25">
      <c r="A757" s="8" t="s">
        <v>1479</v>
      </c>
      <c r="B757" s="8" t="s">
        <v>124</v>
      </c>
      <c r="C757" s="8" t="s">
        <v>909</v>
      </c>
      <c r="D757" s="8">
        <v>5</v>
      </c>
      <c r="E757" s="8" t="s">
        <v>1480</v>
      </c>
      <c r="F757" s="8" t="s">
        <v>911</v>
      </c>
      <c r="G757" s="8" t="s">
        <v>912</v>
      </c>
      <c r="H757" s="10">
        <v>1</v>
      </c>
      <c r="I757" s="10"/>
      <c r="J757" s="10">
        <v>1</v>
      </c>
      <c r="K757" s="10">
        <v>10787.95</v>
      </c>
    </row>
    <row r="758" spans="1:11" x14ac:dyDescent="0.25">
      <c r="A758" s="8" t="s">
        <v>1481</v>
      </c>
      <c r="B758" s="8" t="s">
        <v>124</v>
      </c>
      <c r="C758" s="8" t="s">
        <v>909</v>
      </c>
      <c r="D758" s="8">
        <v>5</v>
      </c>
      <c r="E758" s="8" t="s">
        <v>1482</v>
      </c>
      <c r="F758" s="8" t="s">
        <v>911</v>
      </c>
      <c r="G758" s="8" t="s">
        <v>912</v>
      </c>
      <c r="H758" s="10">
        <v>1</v>
      </c>
      <c r="I758" s="10"/>
      <c r="J758" s="10">
        <v>1</v>
      </c>
      <c r="K758" s="10">
        <v>10787.95</v>
      </c>
    </row>
    <row r="759" spans="1:11" x14ac:dyDescent="0.25">
      <c r="A759" s="8" t="s">
        <v>1483</v>
      </c>
      <c r="B759" s="8" t="s">
        <v>80</v>
      </c>
      <c r="C759" s="8" t="s">
        <v>909</v>
      </c>
      <c r="D759" s="8">
        <v>5</v>
      </c>
      <c r="E759" s="8" t="s">
        <v>1484</v>
      </c>
      <c r="F759" s="8" t="s">
        <v>911</v>
      </c>
      <c r="G759" s="8" t="s">
        <v>912</v>
      </c>
      <c r="H759" s="10">
        <v>1</v>
      </c>
      <c r="I759" s="10"/>
      <c r="J759" s="10">
        <v>1</v>
      </c>
      <c r="K759" s="10">
        <v>5913.27</v>
      </c>
    </row>
    <row r="760" spans="1:11" x14ac:dyDescent="0.25">
      <c r="A760" s="8" t="s">
        <v>1485</v>
      </c>
      <c r="B760" s="8" t="s">
        <v>80</v>
      </c>
      <c r="C760" s="8" t="s">
        <v>909</v>
      </c>
      <c r="D760" s="8">
        <v>5</v>
      </c>
      <c r="E760" s="8" t="s">
        <v>1486</v>
      </c>
      <c r="F760" s="8" t="s">
        <v>911</v>
      </c>
      <c r="G760" s="8" t="s">
        <v>912</v>
      </c>
      <c r="H760" s="10">
        <v>1</v>
      </c>
      <c r="I760" s="10"/>
      <c r="J760" s="10">
        <v>1</v>
      </c>
      <c r="K760" s="10">
        <v>5913.27</v>
      </c>
    </row>
    <row r="761" spans="1:11" x14ac:dyDescent="0.25">
      <c r="A761" s="8" t="s">
        <v>1487</v>
      </c>
      <c r="B761" s="8" t="s">
        <v>120</v>
      </c>
      <c r="C761" s="8" t="s">
        <v>909</v>
      </c>
      <c r="D761" s="8">
        <v>5</v>
      </c>
      <c r="E761" s="8" t="s">
        <v>1488</v>
      </c>
      <c r="F761" s="8" t="s">
        <v>911</v>
      </c>
      <c r="G761" s="8" t="s">
        <v>912</v>
      </c>
      <c r="H761" s="10">
        <v>1</v>
      </c>
      <c r="I761" s="10"/>
      <c r="J761" s="10">
        <v>1</v>
      </c>
      <c r="K761" s="10">
        <v>7142.83</v>
      </c>
    </row>
    <row r="762" spans="1:11" x14ac:dyDescent="0.25">
      <c r="A762" s="8" t="s">
        <v>1489</v>
      </c>
      <c r="B762" s="8" t="s">
        <v>120</v>
      </c>
      <c r="C762" s="8" t="s">
        <v>909</v>
      </c>
      <c r="D762" s="8">
        <v>5</v>
      </c>
      <c r="E762" s="8" t="s">
        <v>1490</v>
      </c>
      <c r="F762" s="8" t="s">
        <v>911</v>
      </c>
      <c r="G762" s="8" t="s">
        <v>912</v>
      </c>
      <c r="H762" s="10">
        <v>1</v>
      </c>
      <c r="I762" s="10"/>
      <c r="J762" s="10">
        <v>1</v>
      </c>
      <c r="K762" s="10">
        <v>7142.83</v>
      </c>
    </row>
    <row r="763" spans="1:11" x14ac:dyDescent="0.25">
      <c r="A763" s="8" t="s">
        <v>1491</v>
      </c>
      <c r="B763" s="8" t="s">
        <v>80</v>
      </c>
      <c r="C763" s="8" t="s">
        <v>909</v>
      </c>
      <c r="D763" s="8">
        <v>5</v>
      </c>
      <c r="E763" s="8" t="s">
        <v>1492</v>
      </c>
      <c r="F763" s="8" t="s">
        <v>911</v>
      </c>
      <c r="G763" s="8" t="s">
        <v>912</v>
      </c>
      <c r="H763" s="10">
        <v>1</v>
      </c>
      <c r="I763" s="10"/>
      <c r="J763" s="10">
        <v>1</v>
      </c>
      <c r="K763" s="10">
        <v>7206.49</v>
      </c>
    </row>
    <row r="764" spans="1:11" x14ac:dyDescent="0.25">
      <c r="A764" s="8" t="s">
        <v>1493</v>
      </c>
      <c r="B764" s="8" t="s">
        <v>124</v>
      </c>
      <c r="C764" s="8" t="s">
        <v>909</v>
      </c>
      <c r="D764" s="8">
        <v>5</v>
      </c>
      <c r="E764" s="8" t="s">
        <v>1494</v>
      </c>
      <c r="F764" s="8" t="s">
        <v>911</v>
      </c>
      <c r="G764" s="8" t="s">
        <v>912</v>
      </c>
      <c r="H764" s="10">
        <v>1</v>
      </c>
      <c r="I764" s="10"/>
      <c r="J764" s="10">
        <v>1</v>
      </c>
      <c r="K764" s="10">
        <v>23307.34</v>
      </c>
    </row>
    <row r="765" spans="1:11" x14ac:dyDescent="0.25">
      <c r="A765" s="8" t="s">
        <v>1495</v>
      </c>
      <c r="B765" s="8" t="s">
        <v>124</v>
      </c>
      <c r="C765" s="8" t="s">
        <v>909</v>
      </c>
      <c r="D765" s="8">
        <v>5</v>
      </c>
      <c r="E765" s="8" t="s">
        <v>1496</v>
      </c>
      <c r="F765" s="8" t="s">
        <v>911</v>
      </c>
      <c r="G765" s="8" t="s">
        <v>912</v>
      </c>
      <c r="H765" s="10">
        <v>1</v>
      </c>
      <c r="I765" s="10"/>
      <c r="J765" s="10">
        <v>1</v>
      </c>
      <c r="K765" s="10">
        <v>23307.34</v>
      </c>
    </row>
    <row r="766" spans="1:11" x14ac:dyDescent="0.25">
      <c r="A766" s="8" t="s">
        <v>1497</v>
      </c>
      <c r="B766" s="8" t="s">
        <v>124</v>
      </c>
      <c r="C766" s="8" t="s">
        <v>909</v>
      </c>
      <c r="D766" s="8">
        <v>5</v>
      </c>
      <c r="E766" s="8" t="s">
        <v>1498</v>
      </c>
      <c r="F766" s="8" t="s">
        <v>911</v>
      </c>
      <c r="G766" s="8" t="s">
        <v>912</v>
      </c>
      <c r="H766" s="10">
        <v>1</v>
      </c>
      <c r="I766" s="10"/>
      <c r="J766" s="10">
        <v>1</v>
      </c>
      <c r="K766" s="10">
        <v>23307.34</v>
      </c>
    </row>
    <row r="767" spans="1:11" x14ac:dyDescent="0.25">
      <c r="A767" s="8" t="s">
        <v>1499</v>
      </c>
      <c r="B767" s="8" t="s">
        <v>124</v>
      </c>
      <c r="C767" s="8" t="s">
        <v>909</v>
      </c>
      <c r="D767" s="8">
        <v>5</v>
      </c>
      <c r="E767" s="8" t="s">
        <v>1500</v>
      </c>
      <c r="F767" s="8" t="s">
        <v>911</v>
      </c>
      <c r="G767" s="8" t="s">
        <v>912</v>
      </c>
      <c r="H767" s="10">
        <v>1</v>
      </c>
      <c r="I767" s="10"/>
      <c r="J767" s="10">
        <v>1</v>
      </c>
      <c r="K767" s="10">
        <v>23307.34</v>
      </c>
    </row>
    <row r="768" spans="1:11" x14ac:dyDescent="0.25">
      <c r="A768" s="8" t="s">
        <v>1501</v>
      </c>
      <c r="B768" s="8" t="s">
        <v>124</v>
      </c>
      <c r="C768" s="8" t="s">
        <v>909</v>
      </c>
      <c r="D768" s="8">
        <v>5</v>
      </c>
      <c r="E768" s="8" t="s">
        <v>1502</v>
      </c>
      <c r="F768" s="8" t="s">
        <v>911</v>
      </c>
      <c r="G768" s="8" t="s">
        <v>912</v>
      </c>
      <c r="H768" s="10">
        <v>1</v>
      </c>
      <c r="I768" s="10"/>
      <c r="J768" s="10">
        <v>1</v>
      </c>
      <c r="K768" s="10">
        <v>24211.26</v>
      </c>
    </row>
    <row r="769" spans="1:11" x14ac:dyDescent="0.25">
      <c r="A769" s="8" t="s">
        <v>1503</v>
      </c>
      <c r="B769" s="8" t="s">
        <v>124</v>
      </c>
      <c r="C769" s="8" t="s">
        <v>909</v>
      </c>
      <c r="D769" s="8">
        <v>5</v>
      </c>
      <c r="E769" s="8" t="s">
        <v>1504</v>
      </c>
      <c r="F769" s="8" t="s">
        <v>911</v>
      </c>
      <c r="G769" s="8" t="s">
        <v>912</v>
      </c>
      <c r="H769" s="10">
        <v>1</v>
      </c>
      <c r="I769" s="10"/>
      <c r="J769" s="10">
        <v>1</v>
      </c>
      <c r="K769" s="10">
        <v>24211.26</v>
      </c>
    </row>
    <row r="770" spans="1:11" x14ac:dyDescent="0.25">
      <c r="A770" s="8" t="s">
        <v>1505</v>
      </c>
      <c r="B770" s="8" t="s">
        <v>124</v>
      </c>
      <c r="C770" s="8" t="s">
        <v>909</v>
      </c>
      <c r="D770" s="8">
        <v>5</v>
      </c>
      <c r="E770" s="8" t="s">
        <v>1506</v>
      </c>
      <c r="F770" s="8" t="s">
        <v>911</v>
      </c>
      <c r="G770" s="8" t="s">
        <v>912</v>
      </c>
      <c r="H770" s="10">
        <v>1</v>
      </c>
      <c r="I770" s="10"/>
      <c r="J770" s="10">
        <v>1</v>
      </c>
      <c r="K770" s="10">
        <v>24211.26</v>
      </c>
    </row>
    <row r="771" spans="1:11" x14ac:dyDescent="0.25">
      <c r="A771" s="8" t="s">
        <v>1507</v>
      </c>
      <c r="B771" s="8" t="s">
        <v>124</v>
      </c>
      <c r="C771" s="8" t="s">
        <v>909</v>
      </c>
      <c r="D771" s="8">
        <v>5</v>
      </c>
      <c r="E771" s="8" t="s">
        <v>1508</v>
      </c>
      <c r="F771" s="8" t="s">
        <v>911</v>
      </c>
      <c r="G771" s="8" t="s">
        <v>912</v>
      </c>
      <c r="H771" s="10">
        <v>1</v>
      </c>
      <c r="I771" s="10"/>
      <c r="J771" s="10">
        <v>1</v>
      </c>
      <c r="K771" s="10">
        <v>24211.26</v>
      </c>
    </row>
    <row r="772" spans="1:11" x14ac:dyDescent="0.25">
      <c r="A772" s="8" t="s">
        <v>1509</v>
      </c>
      <c r="B772" s="8" t="s">
        <v>124</v>
      </c>
      <c r="C772" s="8" t="s">
        <v>909</v>
      </c>
      <c r="D772" s="8">
        <v>5</v>
      </c>
      <c r="E772" s="8" t="s">
        <v>1510</v>
      </c>
      <c r="F772" s="8" t="s">
        <v>911</v>
      </c>
      <c r="G772" s="8" t="s">
        <v>912</v>
      </c>
      <c r="H772" s="10">
        <v>1</v>
      </c>
      <c r="I772" s="10"/>
      <c r="J772" s="10">
        <v>1</v>
      </c>
      <c r="K772" s="10">
        <v>24211.26</v>
      </c>
    </row>
    <row r="773" spans="1:11" x14ac:dyDescent="0.25">
      <c r="A773" s="8" t="s">
        <v>1511</v>
      </c>
      <c r="B773" s="8" t="s">
        <v>124</v>
      </c>
      <c r="C773" s="8" t="s">
        <v>909</v>
      </c>
      <c r="D773" s="8">
        <v>5</v>
      </c>
      <c r="E773" s="8" t="s">
        <v>1512</v>
      </c>
      <c r="F773" s="8" t="s">
        <v>911</v>
      </c>
      <c r="G773" s="8" t="s">
        <v>912</v>
      </c>
      <c r="H773" s="10">
        <v>1</v>
      </c>
      <c r="I773" s="10"/>
      <c r="J773" s="10">
        <v>1</v>
      </c>
      <c r="K773" s="10">
        <v>24211.26</v>
      </c>
    </row>
    <row r="774" spans="1:11" x14ac:dyDescent="0.25">
      <c r="A774" s="8" t="s">
        <v>1513</v>
      </c>
      <c r="B774" s="8" t="s">
        <v>124</v>
      </c>
      <c r="C774" s="8" t="s">
        <v>909</v>
      </c>
      <c r="D774" s="8">
        <v>5</v>
      </c>
      <c r="E774" s="8" t="s">
        <v>1514</v>
      </c>
      <c r="F774" s="8" t="s">
        <v>911</v>
      </c>
      <c r="G774" s="8" t="s">
        <v>912</v>
      </c>
      <c r="H774" s="10">
        <v>1</v>
      </c>
      <c r="I774" s="10"/>
      <c r="J774" s="10">
        <v>1</v>
      </c>
      <c r="K774" s="10">
        <v>18302.669999999998</v>
      </c>
    </row>
    <row r="775" spans="1:11" x14ac:dyDescent="0.25">
      <c r="A775" s="8" t="s">
        <v>1515</v>
      </c>
      <c r="B775" s="8" t="s">
        <v>124</v>
      </c>
      <c r="C775" s="8" t="s">
        <v>909</v>
      </c>
      <c r="D775" s="8">
        <v>5</v>
      </c>
      <c r="E775" s="8" t="s">
        <v>1516</v>
      </c>
      <c r="F775" s="8" t="s">
        <v>911</v>
      </c>
      <c r="G775" s="8" t="s">
        <v>912</v>
      </c>
      <c r="H775" s="10">
        <v>1</v>
      </c>
      <c r="I775" s="10"/>
      <c r="J775" s="10">
        <v>1</v>
      </c>
      <c r="K775" s="10">
        <v>18302.669999999998</v>
      </c>
    </row>
    <row r="776" spans="1:11" x14ac:dyDescent="0.25">
      <c r="A776" s="8" t="s">
        <v>1517</v>
      </c>
      <c r="B776" s="8" t="s">
        <v>124</v>
      </c>
      <c r="C776" s="8" t="s">
        <v>909</v>
      </c>
      <c r="D776" s="8">
        <v>5</v>
      </c>
      <c r="E776" s="8" t="s">
        <v>1518</v>
      </c>
      <c r="F776" s="8" t="s">
        <v>911</v>
      </c>
      <c r="G776" s="8" t="s">
        <v>912</v>
      </c>
      <c r="H776" s="10">
        <v>1</v>
      </c>
      <c r="I776" s="10"/>
      <c r="J776" s="10">
        <v>1</v>
      </c>
      <c r="K776" s="10">
        <v>18302.669999999998</v>
      </c>
    </row>
    <row r="777" spans="1:11" x14ac:dyDescent="0.25">
      <c r="A777" s="8" t="s">
        <v>1519</v>
      </c>
      <c r="B777" s="8" t="s">
        <v>80</v>
      </c>
      <c r="C777" s="8" t="s">
        <v>909</v>
      </c>
      <c r="D777" s="8">
        <v>5</v>
      </c>
      <c r="E777" s="8" t="s">
        <v>1520</v>
      </c>
      <c r="F777" s="8" t="s">
        <v>911</v>
      </c>
      <c r="G777" s="8" t="s">
        <v>912</v>
      </c>
      <c r="H777" s="10">
        <v>1</v>
      </c>
      <c r="I777" s="10"/>
      <c r="J777" s="10">
        <v>1</v>
      </c>
      <c r="K777" s="10">
        <v>18251.740000000002</v>
      </c>
    </row>
    <row r="778" spans="1:11" x14ac:dyDescent="0.25">
      <c r="A778" s="8" t="s">
        <v>1521</v>
      </c>
      <c r="B778" s="8" t="s">
        <v>80</v>
      </c>
      <c r="C778" s="8" t="s">
        <v>909</v>
      </c>
      <c r="D778" s="8">
        <v>5</v>
      </c>
      <c r="E778" s="8" t="s">
        <v>1522</v>
      </c>
      <c r="F778" s="8" t="s">
        <v>911</v>
      </c>
      <c r="G778" s="8" t="s">
        <v>912</v>
      </c>
      <c r="H778" s="10">
        <v>1</v>
      </c>
      <c r="I778" s="10"/>
      <c r="J778" s="10">
        <v>1</v>
      </c>
      <c r="K778" s="10">
        <v>18251.740000000002</v>
      </c>
    </row>
    <row r="779" spans="1:11" x14ac:dyDescent="0.25">
      <c r="A779" s="8" t="s">
        <v>1523</v>
      </c>
      <c r="B779" s="8" t="s">
        <v>80</v>
      </c>
      <c r="C779" s="8" t="s">
        <v>909</v>
      </c>
      <c r="D779" s="8">
        <v>5</v>
      </c>
      <c r="E779" s="8" t="s">
        <v>1524</v>
      </c>
      <c r="F779" s="8" t="s">
        <v>911</v>
      </c>
      <c r="G779" s="8" t="s">
        <v>912</v>
      </c>
      <c r="H779" s="10">
        <v>1</v>
      </c>
      <c r="I779" s="10"/>
      <c r="J779" s="10">
        <v>1</v>
      </c>
      <c r="K779" s="10">
        <v>18391.79</v>
      </c>
    </row>
    <row r="780" spans="1:11" x14ac:dyDescent="0.25">
      <c r="A780" s="8" t="s">
        <v>1525</v>
      </c>
      <c r="B780" s="8" t="s">
        <v>80</v>
      </c>
      <c r="C780" s="8" t="s">
        <v>909</v>
      </c>
      <c r="D780" s="8">
        <v>5</v>
      </c>
      <c r="E780" s="8" t="s">
        <v>1526</v>
      </c>
      <c r="F780" s="8" t="s">
        <v>911</v>
      </c>
      <c r="G780" s="8" t="s">
        <v>912</v>
      </c>
      <c r="H780" s="10">
        <v>1</v>
      </c>
      <c r="I780" s="10"/>
      <c r="J780" s="10">
        <v>1</v>
      </c>
      <c r="K780" s="10">
        <v>18391.79</v>
      </c>
    </row>
    <row r="781" spans="1:11" x14ac:dyDescent="0.25">
      <c r="A781" s="8" t="s">
        <v>1527</v>
      </c>
      <c r="B781" s="8" t="s">
        <v>80</v>
      </c>
      <c r="C781" s="8" t="s">
        <v>909</v>
      </c>
      <c r="D781" s="8">
        <v>5</v>
      </c>
      <c r="E781" s="8" t="s">
        <v>1528</v>
      </c>
      <c r="F781" s="8" t="s">
        <v>911</v>
      </c>
      <c r="G781" s="8" t="s">
        <v>912</v>
      </c>
      <c r="H781" s="10">
        <v>1</v>
      </c>
      <c r="I781" s="10"/>
      <c r="J781" s="10">
        <v>1</v>
      </c>
      <c r="K781" s="10">
        <v>18391.79</v>
      </c>
    </row>
    <row r="782" spans="1:11" x14ac:dyDescent="0.25">
      <c r="A782" s="8" t="s">
        <v>1529</v>
      </c>
      <c r="B782" s="8" t="s">
        <v>120</v>
      </c>
      <c r="C782" s="8" t="s">
        <v>909</v>
      </c>
      <c r="D782" s="8">
        <v>5</v>
      </c>
      <c r="E782" s="8" t="s">
        <v>1530</v>
      </c>
      <c r="F782" s="8" t="s">
        <v>911</v>
      </c>
      <c r="G782" s="8" t="s">
        <v>912</v>
      </c>
      <c r="H782" s="10">
        <v>1</v>
      </c>
      <c r="I782" s="10"/>
      <c r="J782" s="10">
        <v>1</v>
      </c>
      <c r="K782" s="10">
        <v>102425.07</v>
      </c>
    </row>
    <row r="783" spans="1:11" x14ac:dyDescent="0.25">
      <c r="A783" s="8" t="s">
        <v>1531</v>
      </c>
      <c r="B783" s="8" t="s">
        <v>120</v>
      </c>
      <c r="C783" s="8" t="s">
        <v>909</v>
      </c>
      <c r="D783" s="8">
        <v>5</v>
      </c>
      <c r="E783" s="8" t="s">
        <v>1532</v>
      </c>
      <c r="F783" s="8" t="s">
        <v>911</v>
      </c>
      <c r="G783" s="8" t="s">
        <v>912</v>
      </c>
      <c r="H783" s="10">
        <v>1</v>
      </c>
      <c r="I783" s="10"/>
      <c r="J783" s="10">
        <v>1</v>
      </c>
      <c r="K783" s="10">
        <v>102425.07</v>
      </c>
    </row>
    <row r="784" spans="1:11" x14ac:dyDescent="0.25">
      <c r="A784" s="8" t="s">
        <v>1533</v>
      </c>
      <c r="B784" s="8" t="s">
        <v>120</v>
      </c>
      <c r="C784" s="8" t="s">
        <v>909</v>
      </c>
      <c r="D784" s="8">
        <v>5</v>
      </c>
      <c r="E784" s="8" t="s">
        <v>1534</v>
      </c>
      <c r="F784" s="8" t="s">
        <v>911</v>
      </c>
      <c r="G784" s="8" t="s">
        <v>912</v>
      </c>
      <c r="H784" s="10">
        <v>1</v>
      </c>
      <c r="I784" s="10"/>
      <c r="J784" s="10">
        <v>1</v>
      </c>
      <c r="K784" s="10">
        <v>102425.07</v>
      </c>
    </row>
    <row r="785" spans="1:11" x14ac:dyDescent="0.25">
      <c r="A785" s="8" t="s">
        <v>1535</v>
      </c>
      <c r="B785" s="8" t="s">
        <v>120</v>
      </c>
      <c r="C785" s="8" t="s">
        <v>909</v>
      </c>
      <c r="D785" s="8">
        <v>5</v>
      </c>
      <c r="E785" s="8" t="s">
        <v>1536</v>
      </c>
      <c r="F785" s="8" t="s">
        <v>911</v>
      </c>
      <c r="G785" s="8" t="s">
        <v>912</v>
      </c>
      <c r="H785" s="10">
        <v>1</v>
      </c>
      <c r="I785" s="10"/>
      <c r="J785" s="10">
        <v>1</v>
      </c>
      <c r="K785" s="10">
        <v>102425.07</v>
      </c>
    </row>
    <row r="786" spans="1:11" x14ac:dyDescent="0.25">
      <c r="A786" s="8" t="s">
        <v>1537</v>
      </c>
      <c r="B786" s="8" t="s">
        <v>78</v>
      </c>
      <c r="C786" s="8" t="s">
        <v>909</v>
      </c>
      <c r="D786" s="8">
        <v>5</v>
      </c>
      <c r="E786" s="8" t="s">
        <v>1538</v>
      </c>
      <c r="F786" s="8" t="s">
        <v>911</v>
      </c>
      <c r="G786" s="8" t="s">
        <v>912</v>
      </c>
      <c r="H786" s="10">
        <v>1</v>
      </c>
      <c r="I786" s="10"/>
      <c r="J786" s="10">
        <v>1</v>
      </c>
      <c r="K786" s="10">
        <v>84038.77</v>
      </c>
    </row>
    <row r="787" spans="1:11" x14ac:dyDescent="0.25">
      <c r="A787" s="8" t="s">
        <v>1539</v>
      </c>
      <c r="B787" s="8" t="s">
        <v>78</v>
      </c>
      <c r="C787" s="8" t="s">
        <v>909</v>
      </c>
      <c r="D787" s="8">
        <v>5</v>
      </c>
      <c r="E787" s="8" t="s">
        <v>1540</v>
      </c>
      <c r="F787" s="8" t="s">
        <v>911</v>
      </c>
      <c r="G787" s="8" t="s">
        <v>912</v>
      </c>
      <c r="H787" s="10">
        <v>1</v>
      </c>
      <c r="I787" s="10"/>
      <c r="J787" s="10">
        <v>1</v>
      </c>
      <c r="K787" s="10">
        <v>84038.77</v>
      </c>
    </row>
    <row r="788" spans="1:11" x14ac:dyDescent="0.25">
      <c r="A788" s="8" t="s">
        <v>1541</v>
      </c>
      <c r="B788" s="8" t="s">
        <v>78</v>
      </c>
      <c r="C788" s="8" t="s">
        <v>909</v>
      </c>
      <c r="D788" s="8">
        <v>5</v>
      </c>
      <c r="E788" s="8" t="s">
        <v>1542</v>
      </c>
      <c r="F788" s="8" t="s">
        <v>911</v>
      </c>
      <c r="G788" s="8" t="s">
        <v>912</v>
      </c>
      <c r="H788" s="10">
        <v>1</v>
      </c>
      <c r="I788" s="10"/>
      <c r="J788" s="10">
        <v>1</v>
      </c>
      <c r="K788" s="10">
        <v>84038.77</v>
      </c>
    </row>
    <row r="789" spans="1:11" x14ac:dyDescent="0.25">
      <c r="A789" s="8" t="s">
        <v>1543</v>
      </c>
      <c r="B789" s="8" t="s">
        <v>78</v>
      </c>
      <c r="C789" s="8" t="s">
        <v>909</v>
      </c>
      <c r="D789" s="8">
        <v>5</v>
      </c>
      <c r="E789" s="8" t="s">
        <v>1544</v>
      </c>
      <c r="F789" s="8" t="s">
        <v>911</v>
      </c>
      <c r="G789" s="8" t="s">
        <v>912</v>
      </c>
      <c r="H789" s="10">
        <v>1</v>
      </c>
      <c r="I789" s="10"/>
      <c r="J789" s="10">
        <v>1</v>
      </c>
      <c r="K789" s="10">
        <v>84038.77</v>
      </c>
    </row>
    <row r="790" spans="1:11" x14ac:dyDescent="0.25">
      <c r="A790" s="8" t="s">
        <v>1545</v>
      </c>
      <c r="B790" s="8" t="s">
        <v>78</v>
      </c>
      <c r="C790" s="8" t="s">
        <v>909</v>
      </c>
      <c r="D790" s="8">
        <v>5</v>
      </c>
      <c r="E790" s="8" t="s">
        <v>1546</v>
      </c>
      <c r="F790" s="8" t="s">
        <v>911</v>
      </c>
      <c r="G790" s="8" t="s">
        <v>912</v>
      </c>
      <c r="H790" s="10">
        <v>1</v>
      </c>
      <c r="I790" s="10"/>
      <c r="J790" s="10">
        <v>1</v>
      </c>
      <c r="K790" s="10">
        <v>34580.31</v>
      </c>
    </row>
    <row r="791" spans="1:11" x14ac:dyDescent="0.25">
      <c r="A791" s="8" t="s">
        <v>1547</v>
      </c>
      <c r="B791" s="8" t="s">
        <v>78</v>
      </c>
      <c r="C791" s="8" t="s">
        <v>909</v>
      </c>
      <c r="D791" s="8">
        <v>5</v>
      </c>
      <c r="E791" s="8" t="s">
        <v>1548</v>
      </c>
      <c r="F791" s="8" t="s">
        <v>911</v>
      </c>
      <c r="G791" s="8" t="s">
        <v>912</v>
      </c>
      <c r="H791" s="10">
        <v>1</v>
      </c>
      <c r="I791" s="10"/>
      <c r="J791" s="10">
        <v>1</v>
      </c>
      <c r="K791" s="10">
        <v>34580.31</v>
      </c>
    </row>
    <row r="792" spans="1:11" x14ac:dyDescent="0.25">
      <c r="A792" s="8" t="s">
        <v>1549</v>
      </c>
      <c r="B792" s="8" t="s">
        <v>78</v>
      </c>
      <c r="C792" s="8" t="s">
        <v>909</v>
      </c>
      <c r="D792" s="8">
        <v>5</v>
      </c>
      <c r="E792" s="8" t="s">
        <v>1550</v>
      </c>
      <c r="F792" s="8" t="s">
        <v>911</v>
      </c>
      <c r="G792" s="8" t="s">
        <v>912</v>
      </c>
      <c r="H792" s="10">
        <v>1</v>
      </c>
      <c r="I792" s="10"/>
      <c r="J792" s="10">
        <v>1</v>
      </c>
      <c r="K792" s="10">
        <v>34580.31</v>
      </c>
    </row>
    <row r="793" spans="1:11" x14ac:dyDescent="0.25">
      <c r="A793" s="8" t="s">
        <v>1551</v>
      </c>
      <c r="B793" s="8" t="s">
        <v>78</v>
      </c>
      <c r="C793" s="8" t="s">
        <v>909</v>
      </c>
      <c r="D793" s="8">
        <v>5</v>
      </c>
      <c r="E793" s="8" t="s">
        <v>1552</v>
      </c>
      <c r="F793" s="8" t="s">
        <v>911</v>
      </c>
      <c r="G793" s="8" t="s">
        <v>912</v>
      </c>
      <c r="H793" s="10">
        <v>1</v>
      </c>
      <c r="I793" s="10"/>
      <c r="J793" s="10">
        <v>1</v>
      </c>
      <c r="K793" s="10">
        <v>34580.31</v>
      </c>
    </row>
    <row r="794" spans="1:11" x14ac:dyDescent="0.25">
      <c r="A794" s="8" t="s">
        <v>1553</v>
      </c>
      <c r="B794" s="8" t="s">
        <v>124</v>
      </c>
      <c r="C794" s="8" t="s">
        <v>909</v>
      </c>
      <c r="D794" s="8">
        <v>5</v>
      </c>
      <c r="E794" s="8" t="s">
        <v>1554</v>
      </c>
      <c r="F794" s="8" t="s">
        <v>911</v>
      </c>
      <c r="G794" s="8" t="s">
        <v>912</v>
      </c>
      <c r="H794" s="10">
        <v>1</v>
      </c>
      <c r="I794" s="10"/>
      <c r="J794" s="10">
        <v>1</v>
      </c>
      <c r="K794" s="10">
        <v>11169.89</v>
      </c>
    </row>
    <row r="795" spans="1:11" x14ac:dyDescent="0.25">
      <c r="A795" s="8" t="s">
        <v>1555</v>
      </c>
      <c r="B795" s="8" t="s">
        <v>78</v>
      </c>
      <c r="C795" s="8" t="s">
        <v>909</v>
      </c>
      <c r="D795" s="8">
        <v>5</v>
      </c>
      <c r="E795" s="8" t="s">
        <v>1556</v>
      </c>
      <c r="F795" s="8" t="s">
        <v>911</v>
      </c>
      <c r="G795" s="8" t="s">
        <v>912</v>
      </c>
      <c r="H795" s="10">
        <v>1</v>
      </c>
      <c r="I795" s="10"/>
      <c r="J795" s="10">
        <v>1</v>
      </c>
      <c r="K795" s="10">
        <v>11169.89</v>
      </c>
    </row>
    <row r="796" spans="1:11" x14ac:dyDescent="0.25">
      <c r="A796" s="8" t="s">
        <v>1557</v>
      </c>
      <c r="B796" s="8" t="s">
        <v>120</v>
      </c>
      <c r="C796" s="8" t="s">
        <v>909</v>
      </c>
      <c r="D796" s="8">
        <v>5</v>
      </c>
      <c r="E796" s="8" t="s">
        <v>1558</v>
      </c>
      <c r="F796" s="8" t="s">
        <v>911</v>
      </c>
      <c r="G796" s="8" t="s">
        <v>912</v>
      </c>
      <c r="H796" s="10">
        <v>1</v>
      </c>
      <c r="I796" s="10"/>
      <c r="J796" s="10">
        <v>1</v>
      </c>
      <c r="K796" s="10">
        <v>17984.39</v>
      </c>
    </row>
    <row r="797" spans="1:11" x14ac:dyDescent="0.25">
      <c r="A797" s="8" t="s">
        <v>1559</v>
      </c>
      <c r="B797" s="8" t="s">
        <v>120</v>
      </c>
      <c r="C797" s="8" t="s">
        <v>909</v>
      </c>
      <c r="D797" s="8">
        <v>5</v>
      </c>
      <c r="E797" s="8" t="s">
        <v>1560</v>
      </c>
      <c r="F797" s="8" t="s">
        <v>911</v>
      </c>
      <c r="G797" s="8" t="s">
        <v>912</v>
      </c>
      <c r="H797" s="10">
        <v>1</v>
      </c>
      <c r="I797" s="10"/>
      <c r="J797" s="10">
        <v>1</v>
      </c>
      <c r="K797" s="10">
        <v>17984.39</v>
      </c>
    </row>
    <row r="798" spans="1:11" x14ac:dyDescent="0.25">
      <c r="A798" s="8" t="s">
        <v>1561</v>
      </c>
      <c r="B798" s="8" t="s">
        <v>949</v>
      </c>
      <c r="C798" s="8" t="s">
        <v>909</v>
      </c>
      <c r="D798" s="8">
        <v>5</v>
      </c>
      <c r="E798" s="8" t="s">
        <v>1562</v>
      </c>
      <c r="F798" s="8" t="s">
        <v>911</v>
      </c>
      <c r="G798" s="8" t="s">
        <v>912</v>
      </c>
      <c r="H798" s="10">
        <v>1</v>
      </c>
      <c r="I798" s="10"/>
      <c r="J798" s="10">
        <v>1</v>
      </c>
      <c r="K798" s="10">
        <v>10838.88</v>
      </c>
    </row>
    <row r="799" spans="1:11" x14ac:dyDescent="0.25">
      <c r="A799" s="8" t="s">
        <v>1563</v>
      </c>
      <c r="B799" s="8" t="s">
        <v>132</v>
      </c>
      <c r="C799" s="8" t="s">
        <v>909</v>
      </c>
      <c r="D799" s="8">
        <v>5</v>
      </c>
      <c r="E799" s="8" t="s">
        <v>1564</v>
      </c>
      <c r="F799" s="8" t="s">
        <v>911</v>
      </c>
      <c r="G799" s="8" t="s">
        <v>912</v>
      </c>
      <c r="H799" s="10">
        <v>1</v>
      </c>
      <c r="I799" s="10"/>
      <c r="J799" s="10">
        <v>1</v>
      </c>
      <c r="K799" s="10">
        <v>17513.34</v>
      </c>
    </row>
    <row r="800" spans="1:11" x14ac:dyDescent="0.25">
      <c r="A800" s="8" t="s">
        <v>1565</v>
      </c>
      <c r="B800" s="8" t="s">
        <v>122</v>
      </c>
      <c r="C800" s="8" t="s">
        <v>909</v>
      </c>
      <c r="D800" s="8">
        <v>5</v>
      </c>
      <c r="E800" s="8" t="s">
        <v>1566</v>
      </c>
      <c r="F800" s="8" t="s">
        <v>911</v>
      </c>
      <c r="G800" s="8" t="s">
        <v>912</v>
      </c>
      <c r="H800" s="10">
        <v>1</v>
      </c>
      <c r="I800" s="10"/>
      <c r="J800" s="10">
        <v>1</v>
      </c>
      <c r="K800" s="10">
        <v>11106.23</v>
      </c>
    </row>
    <row r="801" spans="1:11" x14ac:dyDescent="0.25">
      <c r="A801" s="8" t="s">
        <v>1567</v>
      </c>
      <c r="B801" s="8" t="s">
        <v>122</v>
      </c>
      <c r="C801" s="8" t="s">
        <v>909</v>
      </c>
      <c r="D801" s="8">
        <v>5</v>
      </c>
      <c r="E801" s="8" t="s">
        <v>1568</v>
      </c>
      <c r="F801" s="8" t="s">
        <v>911</v>
      </c>
      <c r="G801" s="8" t="s">
        <v>912</v>
      </c>
      <c r="H801" s="10">
        <v>1</v>
      </c>
      <c r="I801" s="10"/>
      <c r="J801" s="10">
        <v>1</v>
      </c>
      <c r="K801" s="10">
        <v>17704.3</v>
      </c>
    </row>
    <row r="802" spans="1:11" x14ac:dyDescent="0.25">
      <c r="A802" s="8" t="s">
        <v>1569</v>
      </c>
      <c r="B802" s="8" t="s">
        <v>122</v>
      </c>
      <c r="C802" s="8" t="s">
        <v>909</v>
      </c>
      <c r="D802" s="8">
        <v>5</v>
      </c>
      <c r="E802" s="8" t="s">
        <v>1570</v>
      </c>
      <c r="F802" s="8" t="s">
        <v>911</v>
      </c>
      <c r="G802" s="8" t="s">
        <v>912</v>
      </c>
      <c r="H802" s="10">
        <v>1</v>
      </c>
      <c r="I802" s="10"/>
      <c r="J802" s="10">
        <v>1</v>
      </c>
      <c r="K802" s="10">
        <v>17704.3</v>
      </c>
    </row>
    <row r="803" spans="1:11" x14ac:dyDescent="0.25">
      <c r="A803" s="8" t="s">
        <v>1571</v>
      </c>
      <c r="B803" s="8" t="s">
        <v>128</v>
      </c>
      <c r="C803" s="8" t="s">
        <v>909</v>
      </c>
      <c r="D803" s="8">
        <v>5</v>
      </c>
      <c r="E803" s="8" t="s">
        <v>1572</v>
      </c>
      <c r="F803" s="8" t="s">
        <v>911</v>
      </c>
      <c r="G803" s="8" t="s">
        <v>912</v>
      </c>
      <c r="H803" s="10">
        <v>1</v>
      </c>
      <c r="I803" s="10"/>
      <c r="J803" s="10">
        <v>1</v>
      </c>
      <c r="K803" s="10">
        <v>11284.47</v>
      </c>
    </row>
    <row r="804" spans="1:11" x14ac:dyDescent="0.25">
      <c r="A804" s="8" t="s">
        <v>1573</v>
      </c>
      <c r="B804" s="8" t="s">
        <v>120</v>
      </c>
      <c r="C804" s="8" t="s">
        <v>1574</v>
      </c>
      <c r="D804" s="8">
        <v>7</v>
      </c>
      <c r="E804" s="8" t="s">
        <v>1575</v>
      </c>
      <c r="F804" s="8" t="s">
        <v>911</v>
      </c>
      <c r="G804" s="8" t="s">
        <v>1576</v>
      </c>
      <c r="H804" s="10">
        <v>1</v>
      </c>
      <c r="I804" s="10"/>
      <c r="J804" s="10">
        <v>1</v>
      </c>
      <c r="K804" s="10">
        <v>611758.28</v>
      </c>
    </row>
    <row r="805" spans="1:11" x14ac:dyDescent="0.25">
      <c r="A805" s="8" t="s">
        <v>1577</v>
      </c>
      <c r="B805" s="8" t="s">
        <v>120</v>
      </c>
      <c r="C805" s="8" t="s">
        <v>1574</v>
      </c>
      <c r="D805" s="8">
        <v>7</v>
      </c>
      <c r="E805" s="8" t="s">
        <v>1578</v>
      </c>
      <c r="F805" s="8" t="s">
        <v>911</v>
      </c>
      <c r="G805" s="8" t="s">
        <v>1576</v>
      </c>
      <c r="H805" s="10">
        <v>1</v>
      </c>
      <c r="I805" s="10"/>
      <c r="J805" s="10">
        <v>1</v>
      </c>
      <c r="K805" s="10">
        <v>869575.49</v>
      </c>
    </row>
    <row r="806" spans="1:11" x14ac:dyDescent="0.25">
      <c r="A806" s="8" t="s">
        <v>1579</v>
      </c>
      <c r="B806" s="8" t="s">
        <v>116</v>
      </c>
      <c r="C806" s="8" t="s">
        <v>1574</v>
      </c>
      <c r="D806" s="8">
        <v>7</v>
      </c>
      <c r="E806" s="8" t="s">
        <v>1580</v>
      </c>
      <c r="F806" s="8" t="s">
        <v>911</v>
      </c>
      <c r="G806" s="8" t="s">
        <v>1576</v>
      </c>
      <c r="H806" s="10">
        <v>1</v>
      </c>
      <c r="I806" s="10"/>
      <c r="J806" s="10">
        <v>1</v>
      </c>
      <c r="K806" s="10">
        <v>2336170.44</v>
      </c>
    </row>
    <row r="807" spans="1:11" x14ac:dyDescent="0.25">
      <c r="A807" s="8" t="s">
        <v>1581</v>
      </c>
      <c r="B807" s="8" t="s">
        <v>120</v>
      </c>
      <c r="C807" s="8" t="s">
        <v>1574</v>
      </c>
      <c r="D807" s="8">
        <v>7</v>
      </c>
      <c r="E807" s="8" t="s">
        <v>1582</v>
      </c>
      <c r="F807" s="8" t="s">
        <v>911</v>
      </c>
      <c r="G807" s="8" t="s">
        <v>1576</v>
      </c>
      <c r="H807" s="10">
        <v>1</v>
      </c>
      <c r="I807" s="10"/>
      <c r="J807" s="10">
        <v>1</v>
      </c>
      <c r="K807" s="10">
        <v>1877655.56</v>
      </c>
    </row>
    <row r="808" spans="1:11" x14ac:dyDescent="0.25">
      <c r="A808" s="8" t="s">
        <v>1583</v>
      </c>
      <c r="B808" s="8" t="s">
        <v>116</v>
      </c>
      <c r="C808" s="8" t="s">
        <v>1574</v>
      </c>
      <c r="D808" s="8">
        <v>7</v>
      </c>
      <c r="E808" s="8" t="s">
        <v>1584</v>
      </c>
      <c r="F808" s="8" t="s">
        <v>911</v>
      </c>
      <c r="G808" s="8" t="s">
        <v>1576</v>
      </c>
      <c r="H808" s="10">
        <v>1</v>
      </c>
      <c r="I808" s="10"/>
      <c r="J808" s="10">
        <v>1</v>
      </c>
      <c r="K808" s="10">
        <v>2850099.42</v>
      </c>
    </row>
    <row r="809" spans="1:11" x14ac:dyDescent="0.25">
      <c r="A809" s="8" t="s">
        <v>1585</v>
      </c>
      <c r="B809" s="8" t="s">
        <v>118</v>
      </c>
      <c r="C809" s="8" t="s">
        <v>1574</v>
      </c>
      <c r="D809" s="8">
        <v>7</v>
      </c>
      <c r="E809" s="8" t="s">
        <v>1586</v>
      </c>
      <c r="F809" s="8" t="s">
        <v>911</v>
      </c>
      <c r="G809" s="8" t="s">
        <v>1576</v>
      </c>
      <c r="H809" s="10">
        <v>1</v>
      </c>
      <c r="I809" s="10"/>
      <c r="J809" s="10">
        <v>1</v>
      </c>
      <c r="K809" s="10">
        <v>2114359.37</v>
      </c>
    </row>
    <row r="810" spans="1:11" x14ac:dyDescent="0.25">
      <c r="A810" s="8" t="s">
        <v>1587</v>
      </c>
      <c r="B810" s="8" t="s">
        <v>118</v>
      </c>
      <c r="C810" s="8" t="s">
        <v>1574</v>
      </c>
      <c r="D810" s="8">
        <v>7</v>
      </c>
      <c r="E810" s="8" t="s">
        <v>1588</v>
      </c>
      <c r="F810" s="8" t="s">
        <v>911</v>
      </c>
      <c r="G810" s="8" t="s">
        <v>1576</v>
      </c>
      <c r="H810" s="10">
        <v>1</v>
      </c>
      <c r="I810" s="10"/>
      <c r="J810" s="10">
        <v>1</v>
      </c>
      <c r="K810" s="10">
        <v>2520443.98</v>
      </c>
    </row>
    <row r="811" spans="1:11" x14ac:dyDescent="0.25">
      <c r="A811" s="8" t="s">
        <v>1589</v>
      </c>
      <c r="B811" s="8" t="s">
        <v>130</v>
      </c>
      <c r="C811" s="8" t="s">
        <v>1574</v>
      </c>
      <c r="D811" s="8">
        <v>7</v>
      </c>
      <c r="E811" s="8" t="s">
        <v>1590</v>
      </c>
      <c r="F811" s="8" t="s">
        <v>911</v>
      </c>
      <c r="G811" s="8" t="s">
        <v>1576</v>
      </c>
      <c r="H811" s="10">
        <v>1</v>
      </c>
      <c r="I811" s="10"/>
      <c r="J811" s="10">
        <v>1</v>
      </c>
      <c r="K811" s="10">
        <v>487190.61</v>
      </c>
    </row>
    <row r="812" spans="1:11" x14ac:dyDescent="0.25">
      <c r="A812" s="8" t="s">
        <v>1591</v>
      </c>
      <c r="B812" s="8" t="s">
        <v>118</v>
      </c>
      <c r="C812" s="8" t="s">
        <v>909</v>
      </c>
      <c r="D812" s="8">
        <v>5</v>
      </c>
      <c r="E812" s="8" t="s">
        <v>1592</v>
      </c>
      <c r="F812" s="8" t="s">
        <v>911</v>
      </c>
      <c r="G812" s="8" t="s">
        <v>912</v>
      </c>
      <c r="H812" s="10">
        <v>1</v>
      </c>
      <c r="I812" s="10"/>
      <c r="J812" s="10">
        <v>1</v>
      </c>
      <c r="K812" s="10">
        <v>6932.57</v>
      </c>
    </row>
    <row r="813" spans="1:11" x14ac:dyDescent="0.25">
      <c r="A813" s="8" t="s">
        <v>1593</v>
      </c>
      <c r="B813" s="8" t="s">
        <v>116</v>
      </c>
      <c r="C813" s="8" t="s">
        <v>1574</v>
      </c>
      <c r="D813" s="8">
        <v>7</v>
      </c>
      <c r="E813" s="8" t="s">
        <v>1594</v>
      </c>
      <c r="F813" s="8" t="s">
        <v>911</v>
      </c>
      <c r="G813" s="8" t="s">
        <v>1576</v>
      </c>
      <c r="H813" s="10">
        <v>1</v>
      </c>
      <c r="I813" s="10"/>
      <c r="J813" s="10">
        <v>1</v>
      </c>
      <c r="K813" s="10">
        <v>354932.11</v>
      </c>
    </row>
    <row r="814" spans="1:11" x14ac:dyDescent="0.25">
      <c r="A814" s="8" t="s">
        <v>1595</v>
      </c>
      <c r="B814" s="8" t="s">
        <v>116</v>
      </c>
      <c r="C814" s="8" t="s">
        <v>1574</v>
      </c>
      <c r="D814" s="8">
        <v>7</v>
      </c>
      <c r="E814" s="8" t="s">
        <v>1594</v>
      </c>
      <c r="F814" s="8" t="s">
        <v>911</v>
      </c>
      <c r="G814" s="8" t="s">
        <v>1576</v>
      </c>
      <c r="H814" s="10">
        <v>1</v>
      </c>
      <c r="I814" s="10"/>
      <c r="J814" s="10">
        <v>1</v>
      </c>
      <c r="K814" s="10">
        <v>354932.11</v>
      </c>
    </row>
    <row r="815" spans="1:11" x14ac:dyDescent="0.25">
      <c r="A815" s="8" t="s">
        <v>1596</v>
      </c>
      <c r="B815" s="8" t="s">
        <v>116</v>
      </c>
      <c r="C815" s="8" t="s">
        <v>1574</v>
      </c>
      <c r="D815" s="8">
        <v>7</v>
      </c>
      <c r="E815" s="8" t="s">
        <v>1594</v>
      </c>
      <c r="F815" s="8" t="s">
        <v>911</v>
      </c>
      <c r="G815" s="8" t="s">
        <v>1576</v>
      </c>
      <c r="H815" s="10">
        <v>1</v>
      </c>
      <c r="I815" s="10"/>
      <c r="J815" s="10">
        <v>1</v>
      </c>
      <c r="K815" s="10">
        <v>354932.11</v>
      </c>
    </row>
    <row r="816" spans="1:11" x14ac:dyDescent="0.25">
      <c r="A816" s="8" t="s">
        <v>1597</v>
      </c>
      <c r="B816" s="8" t="s">
        <v>116</v>
      </c>
      <c r="C816" s="8" t="s">
        <v>1574</v>
      </c>
      <c r="D816" s="8">
        <v>7</v>
      </c>
      <c r="E816" s="8" t="s">
        <v>1594</v>
      </c>
      <c r="F816" s="8" t="s">
        <v>911</v>
      </c>
      <c r="G816" s="8" t="s">
        <v>1576</v>
      </c>
      <c r="H816" s="10">
        <v>1</v>
      </c>
      <c r="I816" s="10"/>
      <c r="J816" s="10">
        <v>1</v>
      </c>
      <c r="K816" s="10">
        <v>359200.72</v>
      </c>
    </row>
    <row r="817" spans="1:11" x14ac:dyDescent="0.25">
      <c r="A817" s="8" t="s">
        <v>1598</v>
      </c>
      <c r="B817" s="8" t="s">
        <v>120</v>
      </c>
      <c r="C817" s="8" t="s">
        <v>1574</v>
      </c>
      <c r="D817" s="8">
        <v>7</v>
      </c>
      <c r="E817" s="8" t="s">
        <v>1599</v>
      </c>
      <c r="F817" s="8" t="s">
        <v>911</v>
      </c>
      <c r="G817" s="8" t="s">
        <v>1576</v>
      </c>
      <c r="H817" s="10">
        <v>1</v>
      </c>
      <c r="I817" s="10"/>
      <c r="J817" s="10">
        <v>1</v>
      </c>
      <c r="K817" s="10">
        <v>402898.12</v>
      </c>
    </row>
    <row r="818" spans="1:11" x14ac:dyDescent="0.25">
      <c r="A818" s="8" t="s">
        <v>1600</v>
      </c>
      <c r="B818" s="8" t="s">
        <v>120</v>
      </c>
      <c r="C818" s="8" t="s">
        <v>1574</v>
      </c>
      <c r="D818" s="8">
        <v>7</v>
      </c>
      <c r="E818" s="8" t="s">
        <v>1599</v>
      </c>
      <c r="F818" s="8" t="s">
        <v>911</v>
      </c>
      <c r="G818" s="8" t="s">
        <v>1576</v>
      </c>
      <c r="H818" s="10">
        <v>1</v>
      </c>
      <c r="I818" s="10"/>
      <c r="J818" s="10">
        <v>1</v>
      </c>
      <c r="K818" s="10">
        <v>402898.12</v>
      </c>
    </row>
    <row r="819" spans="1:11" x14ac:dyDescent="0.25">
      <c r="A819" s="8" t="s">
        <v>1601</v>
      </c>
      <c r="B819" s="8" t="s">
        <v>120</v>
      </c>
      <c r="C819" s="8" t="s">
        <v>1574</v>
      </c>
      <c r="D819" s="8">
        <v>7</v>
      </c>
      <c r="E819" s="8" t="s">
        <v>1599</v>
      </c>
      <c r="F819" s="8" t="s">
        <v>911</v>
      </c>
      <c r="G819" s="8" t="s">
        <v>1576</v>
      </c>
      <c r="H819" s="10">
        <v>1</v>
      </c>
      <c r="I819" s="10"/>
      <c r="J819" s="10">
        <v>1</v>
      </c>
      <c r="K819" s="10">
        <v>402898.12</v>
      </c>
    </row>
    <row r="820" spans="1:11" x14ac:dyDescent="0.25">
      <c r="A820" s="8" t="s">
        <v>1602</v>
      </c>
      <c r="B820" s="8" t="s">
        <v>120</v>
      </c>
      <c r="C820" s="8" t="s">
        <v>1574</v>
      </c>
      <c r="D820" s="8">
        <v>7</v>
      </c>
      <c r="E820" s="8" t="s">
        <v>1599</v>
      </c>
      <c r="F820" s="8" t="s">
        <v>911</v>
      </c>
      <c r="G820" s="8" t="s">
        <v>1576</v>
      </c>
      <c r="H820" s="10">
        <v>1</v>
      </c>
      <c r="I820" s="10"/>
      <c r="J820" s="10">
        <v>1</v>
      </c>
      <c r="K820" s="10">
        <v>402898.12</v>
      </c>
    </row>
    <row r="821" spans="1:11" x14ac:dyDescent="0.25">
      <c r="A821" s="8" t="s">
        <v>1603</v>
      </c>
      <c r="B821" s="8" t="s">
        <v>118</v>
      </c>
      <c r="C821" s="8" t="s">
        <v>1574</v>
      </c>
      <c r="D821" s="8">
        <v>7</v>
      </c>
      <c r="E821" s="8" t="s">
        <v>1604</v>
      </c>
      <c r="F821" s="8" t="s">
        <v>911</v>
      </c>
      <c r="G821" s="8" t="s">
        <v>1576</v>
      </c>
      <c r="H821" s="10">
        <v>1</v>
      </c>
      <c r="I821" s="10"/>
      <c r="J821" s="10">
        <v>1</v>
      </c>
      <c r="K821" s="10">
        <v>610740.51</v>
      </c>
    </row>
    <row r="822" spans="1:11" x14ac:dyDescent="0.25">
      <c r="A822" s="8" t="s">
        <v>1605</v>
      </c>
      <c r="B822" s="8" t="s">
        <v>118</v>
      </c>
      <c r="C822" s="8" t="s">
        <v>1574</v>
      </c>
      <c r="D822" s="8">
        <v>7</v>
      </c>
      <c r="E822" s="8" t="s">
        <v>1604</v>
      </c>
      <c r="F822" s="8" t="s">
        <v>911</v>
      </c>
      <c r="G822" s="8" t="s">
        <v>1576</v>
      </c>
      <c r="H822" s="10">
        <v>1</v>
      </c>
      <c r="I822" s="10"/>
      <c r="J822" s="10">
        <v>1</v>
      </c>
      <c r="K822" s="10">
        <v>610740.51</v>
      </c>
    </row>
    <row r="823" spans="1:11" x14ac:dyDescent="0.25">
      <c r="A823" s="8" t="s">
        <v>1606</v>
      </c>
      <c r="B823" s="8" t="s">
        <v>118</v>
      </c>
      <c r="C823" s="8" t="s">
        <v>1574</v>
      </c>
      <c r="D823" s="8">
        <v>7</v>
      </c>
      <c r="E823" s="8" t="s">
        <v>1604</v>
      </c>
      <c r="F823" s="8" t="s">
        <v>911</v>
      </c>
      <c r="G823" s="8" t="s">
        <v>1576</v>
      </c>
      <c r="H823" s="10">
        <v>1</v>
      </c>
      <c r="I823" s="10"/>
      <c r="J823" s="10">
        <v>1</v>
      </c>
      <c r="K823" s="10">
        <v>617846.67000000004</v>
      </c>
    </row>
    <row r="824" spans="1:11" x14ac:dyDescent="0.25">
      <c r="A824" s="8" t="s">
        <v>1607</v>
      </c>
      <c r="B824" s="8" t="s">
        <v>130</v>
      </c>
      <c r="C824" s="8" t="s">
        <v>909</v>
      </c>
      <c r="D824" s="8">
        <v>5</v>
      </c>
      <c r="E824" s="8" t="s">
        <v>1608</v>
      </c>
      <c r="F824" s="8" t="s">
        <v>911</v>
      </c>
      <c r="G824" s="8" t="s">
        <v>912</v>
      </c>
      <c r="H824" s="10">
        <v>1</v>
      </c>
      <c r="I824" s="10"/>
      <c r="J824" s="10">
        <v>1</v>
      </c>
      <c r="K824" s="10">
        <v>57917.25</v>
      </c>
    </row>
    <row r="825" spans="1:11" x14ac:dyDescent="0.25">
      <c r="A825" s="8" t="s">
        <v>1609</v>
      </c>
      <c r="B825" s="8" t="s">
        <v>72</v>
      </c>
      <c r="C825" s="8" t="s">
        <v>1574</v>
      </c>
      <c r="D825" s="8">
        <v>7</v>
      </c>
      <c r="E825" s="8" t="s">
        <v>1610</v>
      </c>
      <c r="F825" s="8" t="s">
        <v>911</v>
      </c>
      <c r="G825" s="8" t="s">
        <v>1576</v>
      </c>
      <c r="H825" s="10">
        <v>1</v>
      </c>
      <c r="I825" s="10"/>
      <c r="J825" s="10">
        <v>1</v>
      </c>
      <c r="K825" s="10">
        <v>28607.06</v>
      </c>
    </row>
    <row r="826" spans="1:11" x14ac:dyDescent="0.25">
      <c r="A826" s="8" t="s">
        <v>1611</v>
      </c>
      <c r="B826" s="8" t="s">
        <v>122</v>
      </c>
      <c r="C826" s="8" t="s">
        <v>909</v>
      </c>
      <c r="D826" s="8">
        <v>5</v>
      </c>
      <c r="E826" s="8" t="s">
        <v>1612</v>
      </c>
      <c r="F826" s="8" t="s">
        <v>911</v>
      </c>
      <c r="G826" s="8" t="s">
        <v>912</v>
      </c>
      <c r="H826" s="10">
        <v>1</v>
      </c>
      <c r="I826" s="10"/>
      <c r="J826" s="10">
        <v>1</v>
      </c>
      <c r="K826" s="10">
        <v>11418.34</v>
      </c>
    </row>
    <row r="827" spans="1:11" x14ac:dyDescent="0.25">
      <c r="A827" s="8" t="s">
        <v>1613</v>
      </c>
      <c r="B827" s="8" t="s">
        <v>122</v>
      </c>
      <c r="C827" s="8" t="s">
        <v>909</v>
      </c>
      <c r="D827" s="8">
        <v>5</v>
      </c>
      <c r="E827" s="8" t="s">
        <v>1614</v>
      </c>
      <c r="F827" s="8" t="s">
        <v>911</v>
      </c>
      <c r="G827" s="8" t="s">
        <v>912</v>
      </c>
      <c r="H827" s="10">
        <v>1</v>
      </c>
      <c r="I827" s="10"/>
      <c r="J827" s="10">
        <v>1</v>
      </c>
      <c r="K827" s="10">
        <v>11418.34</v>
      </c>
    </row>
    <row r="828" spans="1:11" x14ac:dyDescent="0.25">
      <c r="A828" s="8" t="s">
        <v>1615</v>
      </c>
      <c r="B828" s="8" t="s">
        <v>128</v>
      </c>
      <c r="C828" s="8" t="s">
        <v>909</v>
      </c>
      <c r="D828" s="8">
        <v>5</v>
      </c>
      <c r="E828" s="8" t="s">
        <v>1616</v>
      </c>
      <c r="F828" s="8" t="s">
        <v>911</v>
      </c>
      <c r="G828" s="8" t="s">
        <v>912</v>
      </c>
      <c r="H828" s="10">
        <v>1</v>
      </c>
      <c r="I828" s="10"/>
      <c r="J828" s="10">
        <v>1</v>
      </c>
      <c r="K828" s="10">
        <v>4537.1000000000004</v>
      </c>
    </row>
    <row r="829" spans="1:11" x14ac:dyDescent="0.25">
      <c r="A829" s="8" t="s">
        <v>1617</v>
      </c>
      <c r="B829" s="8" t="s">
        <v>122</v>
      </c>
      <c r="C829" s="8" t="s">
        <v>909</v>
      </c>
      <c r="D829" s="8">
        <v>5</v>
      </c>
      <c r="E829" s="8" t="s">
        <v>1618</v>
      </c>
      <c r="F829" s="8" t="s">
        <v>911</v>
      </c>
      <c r="G829" s="8" t="s">
        <v>912</v>
      </c>
      <c r="H829" s="10">
        <v>1</v>
      </c>
      <c r="I829" s="10"/>
      <c r="J829" s="10">
        <v>1</v>
      </c>
      <c r="K829" s="10">
        <v>2278.1999999999998</v>
      </c>
    </row>
    <row r="830" spans="1:11" x14ac:dyDescent="0.25">
      <c r="A830" s="8" t="s">
        <v>1619</v>
      </c>
      <c r="B830" s="8" t="s">
        <v>122</v>
      </c>
      <c r="C830" s="8" t="s">
        <v>909</v>
      </c>
      <c r="D830" s="8">
        <v>5</v>
      </c>
      <c r="E830" s="8" t="s">
        <v>1620</v>
      </c>
      <c r="F830" s="8" t="s">
        <v>911</v>
      </c>
      <c r="G830" s="8" t="s">
        <v>912</v>
      </c>
      <c r="H830" s="10">
        <v>1</v>
      </c>
      <c r="I830" s="10"/>
      <c r="J830" s="10">
        <v>1</v>
      </c>
      <c r="K830" s="10">
        <v>2278.1999999999998</v>
      </c>
    </row>
    <row r="831" spans="1:11" x14ac:dyDescent="0.25">
      <c r="A831" s="8" t="s">
        <v>1621</v>
      </c>
      <c r="B831" s="8" t="s">
        <v>122</v>
      </c>
      <c r="C831" s="8" t="s">
        <v>909</v>
      </c>
      <c r="D831" s="8">
        <v>5</v>
      </c>
      <c r="E831" s="8" t="s">
        <v>1622</v>
      </c>
      <c r="F831" s="8" t="s">
        <v>911</v>
      </c>
      <c r="G831" s="8" t="s">
        <v>912</v>
      </c>
      <c r="H831" s="10">
        <v>1</v>
      </c>
      <c r="I831" s="10"/>
      <c r="J831" s="10">
        <v>1</v>
      </c>
      <c r="K831" s="10">
        <v>2278.1999999999998</v>
      </c>
    </row>
    <row r="832" spans="1:11" x14ac:dyDescent="0.25">
      <c r="A832" s="8" t="s">
        <v>1623</v>
      </c>
      <c r="B832" s="8" t="s">
        <v>122</v>
      </c>
      <c r="C832" s="8" t="s">
        <v>909</v>
      </c>
      <c r="D832" s="8">
        <v>5</v>
      </c>
      <c r="E832" s="8" t="s">
        <v>1624</v>
      </c>
      <c r="F832" s="8" t="s">
        <v>911</v>
      </c>
      <c r="G832" s="8" t="s">
        <v>912</v>
      </c>
      <c r="H832" s="10">
        <v>1</v>
      </c>
      <c r="I832" s="10"/>
      <c r="J832" s="10">
        <v>1</v>
      </c>
      <c r="K832" s="10">
        <v>2278.1999999999998</v>
      </c>
    </row>
    <row r="833" spans="1:11" x14ac:dyDescent="0.25">
      <c r="A833" s="8" t="s">
        <v>1625</v>
      </c>
      <c r="B833" s="8" t="s">
        <v>128</v>
      </c>
      <c r="C833" s="8" t="s">
        <v>909</v>
      </c>
      <c r="D833" s="8">
        <v>5</v>
      </c>
      <c r="E833" s="8" t="s">
        <v>1626</v>
      </c>
      <c r="F833" s="8" t="s">
        <v>911</v>
      </c>
      <c r="G833" s="8" t="s">
        <v>912</v>
      </c>
      <c r="H833" s="10">
        <v>1</v>
      </c>
      <c r="I833" s="10"/>
      <c r="J833" s="10">
        <v>1</v>
      </c>
      <c r="K833" s="10">
        <v>1276.06</v>
      </c>
    </row>
    <row r="834" spans="1:11" x14ac:dyDescent="0.25">
      <c r="A834" s="8" t="s">
        <v>1627</v>
      </c>
      <c r="B834" s="8" t="s">
        <v>136</v>
      </c>
      <c r="C834" s="8" t="s">
        <v>909</v>
      </c>
      <c r="D834" s="8">
        <v>5</v>
      </c>
      <c r="E834" s="8" t="s">
        <v>1628</v>
      </c>
      <c r="F834" s="8" t="s">
        <v>911</v>
      </c>
      <c r="G834" s="8" t="s">
        <v>912</v>
      </c>
      <c r="H834" s="10">
        <v>1</v>
      </c>
      <c r="I834" s="10"/>
      <c r="J834" s="10">
        <v>1</v>
      </c>
      <c r="K834" s="10">
        <v>14143.62</v>
      </c>
    </row>
    <row r="835" spans="1:11" x14ac:dyDescent="0.25">
      <c r="A835" s="8" t="s">
        <v>1629</v>
      </c>
      <c r="B835" s="8" t="s">
        <v>136</v>
      </c>
      <c r="C835" s="8" t="s">
        <v>909</v>
      </c>
      <c r="D835" s="8">
        <v>5</v>
      </c>
      <c r="E835" s="8" t="s">
        <v>1630</v>
      </c>
      <c r="F835" s="8" t="s">
        <v>911</v>
      </c>
      <c r="G835" s="8" t="s">
        <v>912</v>
      </c>
      <c r="H835" s="10">
        <v>1</v>
      </c>
      <c r="I835" s="10"/>
      <c r="J835" s="10">
        <v>1</v>
      </c>
      <c r="K835" s="10">
        <v>14143.62</v>
      </c>
    </row>
    <row r="836" spans="1:11" x14ac:dyDescent="0.25">
      <c r="A836" s="8" t="s">
        <v>1631</v>
      </c>
      <c r="B836" s="8" t="s">
        <v>136</v>
      </c>
      <c r="C836" s="8" t="s">
        <v>909</v>
      </c>
      <c r="D836" s="8">
        <v>5</v>
      </c>
      <c r="E836" s="8" t="s">
        <v>1632</v>
      </c>
      <c r="F836" s="8" t="s">
        <v>911</v>
      </c>
      <c r="G836" s="8" t="s">
        <v>912</v>
      </c>
      <c r="H836" s="10">
        <v>1</v>
      </c>
      <c r="I836" s="10"/>
      <c r="J836" s="10">
        <v>1</v>
      </c>
      <c r="K836" s="10">
        <v>14143.62</v>
      </c>
    </row>
    <row r="837" spans="1:11" x14ac:dyDescent="0.25">
      <c r="A837" s="8" t="s">
        <v>1633</v>
      </c>
      <c r="B837" s="8" t="s">
        <v>136</v>
      </c>
      <c r="C837" s="8" t="s">
        <v>909</v>
      </c>
      <c r="D837" s="8">
        <v>5</v>
      </c>
      <c r="E837" s="8" t="s">
        <v>1634</v>
      </c>
      <c r="F837" s="8" t="s">
        <v>911</v>
      </c>
      <c r="G837" s="8" t="s">
        <v>912</v>
      </c>
      <c r="H837" s="10">
        <v>1</v>
      </c>
      <c r="I837" s="10"/>
      <c r="J837" s="10">
        <v>1</v>
      </c>
      <c r="K837" s="10">
        <v>24798.48</v>
      </c>
    </row>
    <row r="838" spans="1:11" x14ac:dyDescent="0.25">
      <c r="A838" s="8" t="s">
        <v>1635</v>
      </c>
      <c r="B838" s="8" t="s">
        <v>136</v>
      </c>
      <c r="C838" s="8" t="s">
        <v>909</v>
      </c>
      <c r="D838" s="8">
        <v>5</v>
      </c>
      <c r="E838" s="8" t="s">
        <v>1636</v>
      </c>
      <c r="F838" s="8" t="s">
        <v>911</v>
      </c>
      <c r="G838" s="8" t="s">
        <v>912</v>
      </c>
      <c r="H838" s="10">
        <v>1</v>
      </c>
      <c r="I838" s="10"/>
      <c r="J838" s="10">
        <v>1</v>
      </c>
      <c r="K838" s="10">
        <v>24798.48</v>
      </c>
    </row>
    <row r="839" spans="1:11" x14ac:dyDescent="0.25">
      <c r="A839" s="8" t="s">
        <v>1637</v>
      </c>
      <c r="B839" s="8" t="s">
        <v>136</v>
      </c>
      <c r="C839" s="8" t="s">
        <v>909</v>
      </c>
      <c r="D839" s="8">
        <v>5</v>
      </c>
      <c r="E839" s="8" t="s">
        <v>1638</v>
      </c>
      <c r="F839" s="8" t="s">
        <v>911</v>
      </c>
      <c r="G839" s="8" t="s">
        <v>912</v>
      </c>
      <c r="H839" s="10">
        <v>1</v>
      </c>
      <c r="I839" s="10"/>
      <c r="J839" s="10">
        <v>1</v>
      </c>
      <c r="K839" s="10">
        <v>24798.48</v>
      </c>
    </row>
    <row r="840" spans="1:11" x14ac:dyDescent="0.25">
      <c r="A840" s="8" t="s">
        <v>1639</v>
      </c>
      <c r="B840" s="8" t="s">
        <v>136</v>
      </c>
      <c r="C840" s="8" t="s">
        <v>909</v>
      </c>
      <c r="D840" s="8">
        <v>5</v>
      </c>
      <c r="E840" s="8" t="s">
        <v>1640</v>
      </c>
      <c r="F840" s="8" t="s">
        <v>911</v>
      </c>
      <c r="G840" s="8" t="s">
        <v>912</v>
      </c>
      <c r="H840" s="10">
        <v>1</v>
      </c>
      <c r="I840" s="10"/>
      <c r="J840" s="10">
        <v>1</v>
      </c>
      <c r="K840" s="10">
        <v>24798.48</v>
      </c>
    </row>
    <row r="841" spans="1:11" x14ac:dyDescent="0.25">
      <c r="A841" s="8" t="s">
        <v>1641</v>
      </c>
      <c r="B841" s="8" t="s">
        <v>136</v>
      </c>
      <c r="C841" s="8" t="s">
        <v>909</v>
      </c>
      <c r="D841" s="8">
        <v>5</v>
      </c>
      <c r="E841" s="8" t="s">
        <v>1642</v>
      </c>
      <c r="F841" s="8" t="s">
        <v>911</v>
      </c>
      <c r="G841" s="8" t="s">
        <v>912</v>
      </c>
      <c r="H841" s="10">
        <v>1</v>
      </c>
      <c r="I841" s="10"/>
      <c r="J841" s="10">
        <v>1</v>
      </c>
      <c r="K841" s="10">
        <v>24798.48</v>
      </c>
    </row>
    <row r="842" spans="1:11" x14ac:dyDescent="0.25">
      <c r="A842" s="8" t="s">
        <v>1643</v>
      </c>
      <c r="B842" s="8" t="s">
        <v>136</v>
      </c>
      <c r="C842" s="8" t="s">
        <v>909</v>
      </c>
      <c r="D842" s="8">
        <v>5</v>
      </c>
      <c r="E842" s="8" t="s">
        <v>1644</v>
      </c>
      <c r="F842" s="8" t="s">
        <v>911</v>
      </c>
      <c r="G842" s="8" t="s">
        <v>912</v>
      </c>
      <c r="H842" s="10">
        <v>1</v>
      </c>
      <c r="I842" s="10"/>
      <c r="J842" s="10">
        <v>1</v>
      </c>
      <c r="K842" s="10">
        <v>24798.48</v>
      </c>
    </row>
    <row r="843" spans="1:11" x14ac:dyDescent="0.25">
      <c r="A843" s="8" t="s">
        <v>1645</v>
      </c>
      <c r="B843" s="8" t="s">
        <v>136</v>
      </c>
      <c r="C843" s="8" t="s">
        <v>909</v>
      </c>
      <c r="D843" s="8">
        <v>5</v>
      </c>
      <c r="E843" s="8" t="s">
        <v>1646</v>
      </c>
      <c r="F843" s="8" t="s">
        <v>911</v>
      </c>
      <c r="G843" s="8" t="s">
        <v>912</v>
      </c>
      <c r="H843" s="10">
        <v>1</v>
      </c>
      <c r="I843" s="10"/>
      <c r="J843" s="10">
        <v>1</v>
      </c>
      <c r="K843" s="10">
        <v>3861.55</v>
      </c>
    </row>
    <row r="844" spans="1:11" x14ac:dyDescent="0.25">
      <c r="A844" s="8" t="s">
        <v>1647</v>
      </c>
      <c r="B844" s="8" t="s">
        <v>136</v>
      </c>
      <c r="C844" s="8" t="s">
        <v>909</v>
      </c>
      <c r="D844" s="8">
        <v>5</v>
      </c>
      <c r="E844" s="8" t="s">
        <v>1648</v>
      </c>
      <c r="F844" s="8" t="s">
        <v>911</v>
      </c>
      <c r="G844" s="8" t="s">
        <v>912</v>
      </c>
      <c r="H844" s="10">
        <v>1</v>
      </c>
      <c r="I844" s="10"/>
      <c r="J844" s="10">
        <v>1</v>
      </c>
      <c r="K844" s="10">
        <v>3861.55</v>
      </c>
    </row>
    <row r="845" spans="1:11" x14ac:dyDescent="0.25">
      <c r="A845" s="8" t="s">
        <v>1649</v>
      </c>
      <c r="B845" s="8" t="s">
        <v>1650</v>
      </c>
      <c r="C845" s="8" t="s">
        <v>909</v>
      </c>
      <c r="D845" s="8">
        <v>5</v>
      </c>
      <c r="E845" s="8" t="s">
        <v>1651</v>
      </c>
      <c r="F845" s="8" t="s">
        <v>911</v>
      </c>
      <c r="G845" s="8" t="s">
        <v>912</v>
      </c>
      <c r="H845" s="10">
        <v>1</v>
      </c>
      <c r="I845" s="10"/>
      <c r="J845" s="10">
        <v>1</v>
      </c>
      <c r="K845" s="10">
        <v>2067.92</v>
      </c>
    </row>
    <row r="846" spans="1:11" x14ac:dyDescent="0.25">
      <c r="A846" s="8" t="s">
        <v>1652</v>
      </c>
      <c r="B846" s="8" t="s">
        <v>120</v>
      </c>
      <c r="C846" s="8" t="s">
        <v>909</v>
      </c>
      <c r="D846" s="8">
        <v>5</v>
      </c>
      <c r="E846" s="8" t="s">
        <v>1653</v>
      </c>
      <c r="F846" s="8" t="s">
        <v>911</v>
      </c>
      <c r="G846" s="8" t="s">
        <v>912</v>
      </c>
      <c r="H846" s="10">
        <v>1</v>
      </c>
      <c r="I846" s="10"/>
      <c r="J846" s="10">
        <v>1</v>
      </c>
      <c r="K846" s="10">
        <v>2079.5700000000002</v>
      </c>
    </row>
    <row r="847" spans="1:11" x14ac:dyDescent="0.25">
      <c r="A847" s="8" t="s">
        <v>1654</v>
      </c>
      <c r="B847" s="8" t="s">
        <v>1655</v>
      </c>
      <c r="C847" s="8" t="s">
        <v>909</v>
      </c>
      <c r="D847" s="8">
        <v>5</v>
      </c>
      <c r="E847" s="8" t="s">
        <v>1656</v>
      </c>
      <c r="F847" s="8" t="s">
        <v>911</v>
      </c>
      <c r="G847" s="8" t="s">
        <v>912</v>
      </c>
      <c r="H847" s="10">
        <v>1</v>
      </c>
      <c r="I847" s="10"/>
      <c r="J847" s="10">
        <v>1</v>
      </c>
      <c r="K847" s="10">
        <v>2079.5700000000002</v>
      </c>
    </row>
    <row r="848" spans="1:11" x14ac:dyDescent="0.25">
      <c r="A848" s="8" t="s">
        <v>1657</v>
      </c>
      <c r="B848" s="8" t="s">
        <v>116</v>
      </c>
      <c r="C848" s="8" t="s">
        <v>909</v>
      </c>
      <c r="D848" s="8">
        <v>5</v>
      </c>
      <c r="E848" s="8" t="s">
        <v>1658</v>
      </c>
      <c r="F848" s="8" t="s">
        <v>911</v>
      </c>
      <c r="G848" s="8" t="s">
        <v>912</v>
      </c>
      <c r="H848" s="10">
        <v>1</v>
      </c>
      <c r="I848" s="10"/>
      <c r="J848" s="10">
        <v>1</v>
      </c>
      <c r="K848" s="10">
        <v>9787.15</v>
      </c>
    </row>
    <row r="849" spans="1:11" x14ac:dyDescent="0.25">
      <c r="A849" s="8" t="s">
        <v>1659</v>
      </c>
      <c r="B849" s="8" t="s">
        <v>120</v>
      </c>
      <c r="C849" s="8" t="s">
        <v>909</v>
      </c>
      <c r="D849" s="8">
        <v>5</v>
      </c>
      <c r="E849" s="8" t="s">
        <v>1660</v>
      </c>
      <c r="F849" s="8" t="s">
        <v>911</v>
      </c>
      <c r="G849" s="8" t="s">
        <v>912</v>
      </c>
      <c r="H849" s="10">
        <v>1</v>
      </c>
      <c r="I849" s="10"/>
      <c r="J849" s="10">
        <v>1</v>
      </c>
      <c r="K849" s="10">
        <v>2733.84</v>
      </c>
    </row>
    <row r="850" spans="1:11" x14ac:dyDescent="0.25">
      <c r="A850" s="8" t="s">
        <v>1661</v>
      </c>
      <c r="B850" s="8" t="s">
        <v>120</v>
      </c>
      <c r="C850" s="8" t="s">
        <v>909</v>
      </c>
      <c r="D850" s="8">
        <v>5</v>
      </c>
      <c r="E850" s="8" t="s">
        <v>1662</v>
      </c>
      <c r="F850" s="8" t="s">
        <v>911</v>
      </c>
      <c r="G850" s="8" t="s">
        <v>912</v>
      </c>
      <c r="H850" s="10">
        <v>1</v>
      </c>
      <c r="I850" s="10"/>
      <c r="J850" s="10">
        <v>1</v>
      </c>
      <c r="K850" s="10">
        <v>2733.84</v>
      </c>
    </row>
    <row r="851" spans="1:11" x14ac:dyDescent="0.25">
      <c r="A851" s="8" t="s">
        <v>1663</v>
      </c>
      <c r="B851" s="8" t="s">
        <v>120</v>
      </c>
      <c r="C851" s="8" t="s">
        <v>909</v>
      </c>
      <c r="D851" s="8">
        <v>5</v>
      </c>
      <c r="E851" s="8" t="s">
        <v>1664</v>
      </c>
      <c r="F851" s="8" t="s">
        <v>911</v>
      </c>
      <c r="G851" s="8" t="s">
        <v>912</v>
      </c>
      <c r="H851" s="10">
        <v>1</v>
      </c>
      <c r="I851" s="10"/>
      <c r="J851" s="10">
        <v>1</v>
      </c>
      <c r="K851" s="10">
        <v>2733.84</v>
      </c>
    </row>
    <row r="852" spans="1:11" x14ac:dyDescent="0.25">
      <c r="A852" s="8" t="s">
        <v>1665</v>
      </c>
      <c r="B852" s="8" t="s">
        <v>120</v>
      </c>
      <c r="C852" s="8" t="s">
        <v>909</v>
      </c>
      <c r="D852" s="8">
        <v>5</v>
      </c>
      <c r="E852" s="8" t="s">
        <v>1666</v>
      </c>
      <c r="F852" s="8" t="s">
        <v>911</v>
      </c>
      <c r="G852" s="8" t="s">
        <v>912</v>
      </c>
      <c r="H852" s="10">
        <v>1</v>
      </c>
      <c r="I852" s="10"/>
      <c r="J852" s="10">
        <v>1</v>
      </c>
      <c r="K852" s="10">
        <v>2733.84</v>
      </c>
    </row>
    <row r="853" spans="1:11" x14ac:dyDescent="0.25">
      <c r="A853" s="8" t="s">
        <v>1667</v>
      </c>
      <c r="B853" s="8" t="s">
        <v>138</v>
      </c>
      <c r="C853" s="8" t="s">
        <v>909</v>
      </c>
      <c r="D853" s="8">
        <v>5</v>
      </c>
      <c r="E853" s="8" t="s">
        <v>1668</v>
      </c>
      <c r="F853" s="8" t="s">
        <v>911</v>
      </c>
      <c r="G853" s="8" t="s">
        <v>912</v>
      </c>
      <c r="H853" s="10">
        <v>1</v>
      </c>
      <c r="I853" s="10"/>
      <c r="J853" s="10">
        <v>1</v>
      </c>
      <c r="K853" s="10">
        <v>146319.24</v>
      </c>
    </row>
    <row r="854" spans="1:11" x14ac:dyDescent="0.25">
      <c r="A854" s="8" t="s">
        <v>1669</v>
      </c>
      <c r="B854" s="8" t="s">
        <v>138</v>
      </c>
      <c r="C854" s="8" t="s">
        <v>909</v>
      </c>
      <c r="D854" s="8">
        <v>5</v>
      </c>
      <c r="E854" s="8" t="s">
        <v>1670</v>
      </c>
      <c r="F854" s="8" t="s">
        <v>911</v>
      </c>
      <c r="G854" s="8" t="s">
        <v>912</v>
      </c>
      <c r="H854" s="10">
        <v>1</v>
      </c>
      <c r="I854" s="10"/>
      <c r="J854" s="10">
        <v>1</v>
      </c>
      <c r="K854" s="10">
        <v>146319.24</v>
      </c>
    </row>
    <row r="855" spans="1:11" x14ac:dyDescent="0.25">
      <c r="A855" s="8" t="s">
        <v>1671</v>
      </c>
      <c r="B855" s="8" t="s">
        <v>138</v>
      </c>
      <c r="C855" s="8" t="s">
        <v>909</v>
      </c>
      <c r="D855" s="8">
        <v>5</v>
      </c>
      <c r="E855" s="8" t="s">
        <v>1672</v>
      </c>
      <c r="F855" s="8" t="s">
        <v>911</v>
      </c>
      <c r="G855" s="8" t="s">
        <v>912</v>
      </c>
      <c r="H855" s="10">
        <v>1</v>
      </c>
      <c r="I855" s="10"/>
      <c r="J855" s="10">
        <v>1</v>
      </c>
      <c r="K855" s="10">
        <v>146319.24</v>
      </c>
    </row>
    <row r="856" spans="1:11" x14ac:dyDescent="0.25">
      <c r="A856" s="8" t="s">
        <v>1673</v>
      </c>
      <c r="B856" s="8" t="s">
        <v>118</v>
      </c>
      <c r="C856" s="8" t="s">
        <v>918</v>
      </c>
      <c r="D856" s="8">
        <v>6</v>
      </c>
      <c r="E856" s="8" t="s">
        <v>1674</v>
      </c>
      <c r="F856" s="8" t="s">
        <v>911</v>
      </c>
      <c r="G856" s="8" t="s">
        <v>920</v>
      </c>
      <c r="H856" s="10">
        <v>1</v>
      </c>
      <c r="I856" s="10"/>
      <c r="J856" s="10">
        <v>1</v>
      </c>
      <c r="K856" s="10">
        <v>67038.05</v>
      </c>
    </row>
    <row r="857" spans="1:11" x14ac:dyDescent="0.25">
      <c r="A857" s="8" t="s">
        <v>1675</v>
      </c>
      <c r="B857" s="8" t="s">
        <v>120</v>
      </c>
      <c r="C857" s="8" t="s">
        <v>918</v>
      </c>
      <c r="D857" s="8">
        <v>6</v>
      </c>
      <c r="E857" s="8" t="s">
        <v>1676</v>
      </c>
      <c r="F857" s="8" t="s">
        <v>911</v>
      </c>
      <c r="G857" s="8" t="s">
        <v>920</v>
      </c>
      <c r="H857" s="10">
        <v>1</v>
      </c>
      <c r="I857" s="10"/>
      <c r="J857" s="10">
        <v>1</v>
      </c>
      <c r="K857" s="10">
        <v>33519.03</v>
      </c>
    </row>
    <row r="858" spans="1:11" x14ac:dyDescent="0.25">
      <c r="A858" s="8" t="s">
        <v>1677</v>
      </c>
      <c r="B858" s="8" t="s">
        <v>120</v>
      </c>
      <c r="C858" s="8" t="s">
        <v>918</v>
      </c>
      <c r="D858" s="8">
        <v>6</v>
      </c>
      <c r="E858" s="8" t="s">
        <v>1678</v>
      </c>
      <c r="F858" s="8" t="s">
        <v>911</v>
      </c>
      <c r="G858" s="8" t="s">
        <v>920</v>
      </c>
      <c r="H858" s="10">
        <v>1</v>
      </c>
      <c r="I858" s="10"/>
      <c r="J858" s="10">
        <v>1</v>
      </c>
      <c r="K858" s="10">
        <v>17589.04</v>
      </c>
    </row>
    <row r="859" spans="1:11" x14ac:dyDescent="0.25">
      <c r="A859" s="8" t="s">
        <v>1679</v>
      </c>
      <c r="B859" s="8" t="s">
        <v>120</v>
      </c>
      <c r="C859" s="8" t="s">
        <v>918</v>
      </c>
      <c r="D859" s="8">
        <v>6</v>
      </c>
      <c r="E859" s="8" t="s">
        <v>1678</v>
      </c>
      <c r="F859" s="8" t="s">
        <v>911</v>
      </c>
      <c r="G859" s="8" t="s">
        <v>920</v>
      </c>
      <c r="H859" s="10">
        <v>1</v>
      </c>
      <c r="I859" s="10"/>
      <c r="J859" s="10">
        <v>1</v>
      </c>
      <c r="K859" s="10">
        <v>17589.04</v>
      </c>
    </row>
    <row r="860" spans="1:11" x14ac:dyDescent="0.25">
      <c r="A860" s="8" t="s">
        <v>1680</v>
      </c>
      <c r="B860" s="8" t="s">
        <v>120</v>
      </c>
      <c r="C860" s="8" t="s">
        <v>918</v>
      </c>
      <c r="D860" s="8">
        <v>6</v>
      </c>
      <c r="E860" s="8" t="s">
        <v>1678</v>
      </c>
      <c r="F860" s="8" t="s">
        <v>911</v>
      </c>
      <c r="G860" s="8" t="s">
        <v>920</v>
      </c>
      <c r="H860" s="10">
        <v>1</v>
      </c>
      <c r="I860" s="10"/>
      <c r="J860" s="10">
        <v>1</v>
      </c>
      <c r="K860" s="10">
        <v>17589.04</v>
      </c>
    </row>
    <row r="861" spans="1:11" x14ac:dyDescent="0.25">
      <c r="A861" s="8" t="s">
        <v>1681</v>
      </c>
      <c r="B861" s="8" t="s">
        <v>120</v>
      </c>
      <c r="C861" s="8" t="s">
        <v>918</v>
      </c>
      <c r="D861" s="8">
        <v>6</v>
      </c>
      <c r="E861" s="8" t="s">
        <v>1678</v>
      </c>
      <c r="F861" s="8" t="s">
        <v>911</v>
      </c>
      <c r="G861" s="8" t="s">
        <v>920</v>
      </c>
      <c r="H861" s="10">
        <v>1</v>
      </c>
      <c r="I861" s="10"/>
      <c r="J861" s="10">
        <v>1</v>
      </c>
      <c r="K861" s="10">
        <v>17589.04</v>
      </c>
    </row>
    <row r="862" spans="1:11" x14ac:dyDescent="0.25">
      <c r="A862" s="8" t="s">
        <v>1682</v>
      </c>
      <c r="B862" s="8" t="s">
        <v>120</v>
      </c>
      <c r="C862" s="8" t="s">
        <v>918</v>
      </c>
      <c r="D862" s="8">
        <v>6</v>
      </c>
      <c r="E862" s="8" t="s">
        <v>1678</v>
      </c>
      <c r="F862" s="8" t="s">
        <v>911</v>
      </c>
      <c r="G862" s="8" t="s">
        <v>920</v>
      </c>
      <c r="H862" s="10">
        <v>1</v>
      </c>
      <c r="I862" s="10"/>
      <c r="J862" s="10">
        <v>1</v>
      </c>
      <c r="K862" s="10">
        <v>17589.04</v>
      </c>
    </row>
    <row r="863" spans="1:11" x14ac:dyDescent="0.25">
      <c r="A863" s="8" t="s">
        <v>1683</v>
      </c>
      <c r="B863" s="8" t="s">
        <v>120</v>
      </c>
      <c r="C863" s="8" t="s">
        <v>918</v>
      </c>
      <c r="D863" s="8">
        <v>6</v>
      </c>
      <c r="E863" s="8" t="s">
        <v>1678</v>
      </c>
      <c r="F863" s="8" t="s">
        <v>911</v>
      </c>
      <c r="G863" s="8" t="s">
        <v>920</v>
      </c>
      <c r="H863" s="10">
        <v>1</v>
      </c>
      <c r="I863" s="10"/>
      <c r="J863" s="10">
        <v>1</v>
      </c>
      <c r="K863" s="10">
        <v>17589.04</v>
      </c>
    </row>
    <row r="864" spans="1:11" x14ac:dyDescent="0.25">
      <c r="A864" s="8" t="s">
        <v>1684</v>
      </c>
      <c r="B864" s="8" t="s">
        <v>122</v>
      </c>
      <c r="C864" s="8" t="s">
        <v>918</v>
      </c>
      <c r="D864" s="8">
        <v>6</v>
      </c>
      <c r="E864" s="8" t="s">
        <v>1685</v>
      </c>
      <c r="F864" s="8" t="s">
        <v>911</v>
      </c>
      <c r="G864" s="8" t="s">
        <v>920</v>
      </c>
      <c r="H864" s="10">
        <v>1</v>
      </c>
      <c r="I864" s="10"/>
      <c r="J864" s="10">
        <v>1</v>
      </c>
      <c r="K864" s="10">
        <v>17589.04</v>
      </c>
    </row>
    <row r="865" spans="1:11" x14ac:dyDescent="0.25">
      <c r="A865" s="8" t="s">
        <v>1686</v>
      </c>
      <c r="B865" s="8" t="s">
        <v>122</v>
      </c>
      <c r="C865" s="8" t="s">
        <v>918</v>
      </c>
      <c r="D865" s="8">
        <v>6</v>
      </c>
      <c r="E865" s="8" t="s">
        <v>1687</v>
      </c>
      <c r="F865" s="8" t="s">
        <v>911</v>
      </c>
      <c r="G865" s="8" t="s">
        <v>920</v>
      </c>
      <c r="H865" s="10">
        <v>1</v>
      </c>
      <c r="I865" s="10"/>
      <c r="J865" s="10">
        <v>1</v>
      </c>
      <c r="K865" s="10">
        <v>17589.04</v>
      </c>
    </row>
    <row r="866" spans="1:11" x14ac:dyDescent="0.25">
      <c r="A866" s="8" t="s">
        <v>1688</v>
      </c>
      <c r="B866" s="8" t="s">
        <v>1689</v>
      </c>
      <c r="C866" s="8" t="s">
        <v>1690</v>
      </c>
      <c r="D866" s="8">
        <v>4</v>
      </c>
      <c r="E866" s="8" t="s">
        <v>1691</v>
      </c>
      <c r="F866" s="8" t="s">
        <v>911</v>
      </c>
      <c r="G866" s="8" t="s">
        <v>1692</v>
      </c>
      <c r="H866" s="10">
        <v>1</v>
      </c>
      <c r="I866" s="10"/>
      <c r="J866" s="10">
        <v>1</v>
      </c>
      <c r="K866" s="10">
        <v>126150.12</v>
      </c>
    </row>
    <row r="867" spans="1:11" x14ac:dyDescent="0.25">
      <c r="A867" s="8" t="s">
        <v>1693</v>
      </c>
      <c r="B867" s="8" t="s">
        <v>1655</v>
      </c>
      <c r="C867" s="8" t="s">
        <v>1694</v>
      </c>
      <c r="D867" s="8">
        <v>5</v>
      </c>
      <c r="E867" s="8" t="s">
        <v>1695</v>
      </c>
      <c r="F867" s="8" t="s">
        <v>911</v>
      </c>
      <c r="G867" s="8" t="s">
        <v>1696</v>
      </c>
      <c r="H867" s="10">
        <v>1</v>
      </c>
      <c r="I867" s="10"/>
      <c r="J867" s="10">
        <v>1</v>
      </c>
      <c r="K867" s="10">
        <v>5024.1400000000003</v>
      </c>
    </row>
    <row r="868" spans="1:11" x14ac:dyDescent="0.25">
      <c r="A868" s="8" t="s">
        <v>1697</v>
      </c>
      <c r="B868" s="8" t="s">
        <v>1655</v>
      </c>
      <c r="C868" s="8" t="s">
        <v>1694</v>
      </c>
      <c r="D868" s="8">
        <v>5</v>
      </c>
      <c r="E868" s="8" t="s">
        <v>1698</v>
      </c>
      <c r="F868" s="8" t="s">
        <v>911</v>
      </c>
      <c r="G868" s="8" t="s">
        <v>1696</v>
      </c>
      <c r="H868" s="10">
        <v>1</v>
      </c>
      <c r="I868" s="10"/>
      <c r="J868" s="10">
        <v>1</v>
      </c>
      <c r="K868" s="10">
        <v>5024.1400000000003</v>
      </c>
    </row>
    <row r="869" spans="1:11" x14ac:dyDescent="0.25">
      <c r="A869" s="8" t="s">
        <v>1699</v>
      </c>
      <c r="B869" s="8" t="s">
        <v>1655</v>
      </c>
      <c r="C869" s="8" t="s">
        <v>1694</v>
      </c>
      <c r="D869" s="8">
        <v>5</v>
      </c>
      <c r="E869" s="8" t="s">
        <v>1700</v>
      </c>
      <c r="F869" s="8" t="s">
        <v>911</v>
      </c>
      <c r="G869" s="8" t="s">
        <v>1696</v>
      </c>
      <c r="H869" s="10">
        <v>1</v>
      </c>
      <c r="I869" s="10"/>
      <c r="J869" s="10">
        <v>1</v>
      </c>
      <c r="K869" s="10">
        <v>5024.1400000000003</v>
      </c>
    </row>
    <row r="870" spans="1:11" x14ac:dyDescent="0.25">
      <c r="A870" s="8" t="s">
        <v>1701</v>
      </c>
      <c r="B870" s="8" t="s">
        <v>1655</v>
      </c>
      <c r="C870" s="8" t="s">
        <v>1694</v>
      </c>
      <c r="D870" s="8">
        <v>5</v>
      </c>
      <c r="E870" s="8" t="s">
        <v>1702</v>
      </c>
      <c r="F870" s="8" t="s">
        <v>911</v>
      </c>
      <c r="G870" s="8" t="s">
        <v>1696</v>
      </c>
      <c r="H870" s="10">
        <v>1</v>
      </c>
      <c r="I870" s="10"/>
      <c r="J870" s="10">
        <v>1</v>
      </c>
      <c r="K870" s="10">
        <v>5024.1400000000003</v>
      </c>
    </row>
    <row r="871" spans="1:11" x14ac:dyDescent="0.25">
      <c r="A871" s="8" t="s">
        <v>1703</v>
      </c>
      <c r="B871" s="8" t="s">
        <v>1650</v>
      </c>
      <c r="C871" s="8" t="s">
        <v>1694</v>
      </c>
      <c r="D871" s="8">
        <v>5</v>
      </c>
      <c r="E871" s="8" t="s">
        <v>1704</v>
      </c>
      <c r="F871" s="8" t="s">
        <v>911</v>
      </c>
      <c r="G871" s="8" t="s">
        <v>1696</v>
      </c>
      <c r="H871" s="10">
        <v>1</v>
      </c>
      <c r="I871" s="10"/>
      <c r="J871" s="10">
        <v>1</v>
      </c>
      <c r="K871" s="10">
        <v>5024.1400000000003</v>
      </c>
    </row>
    <row r="872" spans="1:11" x14ac:dyDescent="0.25">
      <c r="A872" s="8" t="s">
        <v>1705</v>
      </c>
      <c r="B872" s="8" t="s">
        <v>1650</v>
      </c>
      <c r="C872" s="8" t="s">
        <v>1694</v>
      </c>
      <c r="D872" s="8">
        <v>5</v>
      </c>
      <c r="E872" s="8" t="s">
        <v>1706</v>
      </c>
      <c r="F872" s="8" t="s">
        <v>911</v>
      </c>
      <c r="G872" s="8" t="s">
        <v>1696</v>
      </c>
      <c r="H872" s="10">
        <v>1</v>
      </c>
      <c r="I872" s="10"/>
      <c r="J872" s="10">
        <v>1</v>
      </c>
      <c r="K872" s="10">
        <v>5024.1400000000003</v>
      </c>
    </row>
    <row r="873" spans="1:11" x14ac:dyDescent="0.25">
      <c r="A873" s="8" t="s">
        <v>1707</v>
      </c>
      <c r="B873" s="8" t="s">
        <v>1650</v>
      </c>
      <c r="C873" s="8" t="s">
        <v>1694</v>
      </c>
      <c r="D873" s="8">
        <v>5</v>
      </c>
      <c r="E873" s="8" t="s">
        <v>1708</v>
      </c>
      <c r="F873" s="8" t="s">
        <v>911</v>
      </c>
      <c r="G873" s="8" t="s">
        <v>1696</v>
      </c>
      <c r="H873" s="10">
        <v>1</v>
      </c>
      <c r="I873" s="10"/>
      <c r="J873" s="10">
        <v>1</v>
      </c>
      <c r="K873" s="10">
        <v>5024.1400000000003</v>
      </c>
    </row>
    <row r="874" spans="1:11" x14ac:dyDescent="0.25">
      <c r="A874" s="8" t="s">
        <v>1709</v>
      </c>
      <c r="B874" s="8" t="s">
        <v>1650</v>
      </c>
      <c r="C874" s="8" t="s">
        <v>1694</v>
      </c>
      <c r="D874" s="8">
        <v>5</v>
      </c>
      <c r="E874" s="8" t="s">
        <v>1710</v>
      </c>
      <c r="F874" s="8" t="s">
        <v>911</v>
      </c>
      <c r="G874" s="8" t="s">
        <v>1696</v>
      </c>
      <c r="H874" s="10">
        <v>1</v>
      </c>
      <c r="I874" s="10"/>
      <c r="J874" s="10">
        <v>1</v>
      </c>
      <c r="K874" s="10">
        <v>5024.1400000000003</v>
      </c>
    </row>
    <row r="875" spans="1:11" x14ac:dyDescent="0.25">
      <c r="A875" s="8" t="s">
        <v>1711</v>
      </c>
      <c r="B875" s="8" t="s">
        <v>120</v>
      </c>
      <c r="C875" s="8" t="s">
        <v>1694</v>
      </c>
      <c r="D875" s="8">
        <v>5</v>
      </c>
      <c r="E875" s="8" t="s">
        <v>1712</v>
      </c>
      <c r="F875" s="8" t="s">
        <v>911</v>
      </c>
      <c r="G875" s="8" t="s">
        <v>1696</v>
      </c>
      <c r="H875" s="10">
        <v>1</v>
      </c>
      <c r="I875" s="10"/>
      <c r="J875" s="10">
        <v>1</v>
      </c>
      <c r="K875" s="10">
        <v>5024.1400000000003</v>
      </c>
    </row>
    <row r="876" spans="1:11" x14ac:dyDescent="0.25">
      <c r="A876" s="8" t="s">
        <v>1713</v>
      </c>
      <c r="B876" s="8" t="s">
        <v>120</v>
      </c>
      <c r="C876" s="8" t="s">
        <v>1694</v>
      </c>
      <c r="D876" s="8">
        <v>5</v>
      </c>
      <c r="E876" s="8" t="s">
        <v>1714</v>
      </c>
      <c r="F876" s="8" t="s">
        <v>911</v>
      </c>
      <c r="G876" s="8" t="s">
        <v>1696</v>
      </c>
      <c r="H876" s="10">
        <v>1</v>
      </c>
      <c r="I876" s="10"/>
      <c r="J876" s="10">
        <v>1</v>
      </c>
      <c r="K876" s="10">
        <v>5024.1400000000003</v>
      </c>
    </row>
    <row r="877" spans="1:11" x14ac:dyDescent="0.25">
      <c r="A877" s="8" t="s">
        <v>1715</v>
      </c>
      <c r="B877" s="8" t="s">
        <v>120</v>
      </c>
      <c r="C877" s="8" t="s">
        <v>1694</v>
      </c>
      <c r="D877" s="8">
        <v>5</v>
      </c>
      <c r="E877" s="8" t="s">
        <v>1716</v>
      </c>
      <c r="F877" s="8" t="s">
        <v>911</v>
      </c>
      <c r="G877" s="8" t="s">
        <v>1696</v>
      </c>
      <c r="H877" s="10">
        <v>1</v>
      </c>
      <c r="I877" s="10"/>
      <c r="J877" s="10">
        <v>1</v>
      </c>
      <c r="K877" s="10">
        <v>5024.1400000000003</v>
      </c>
    </row>
    <row r="878" spans="1:11" x14ac:dyDescent="0.25">
      <c r="A878" s="8" t="s">
        <v>1717</v>
      </c>
      <c r="B878" s="8" t="s">
        <v>120</v>
      </c>
      <c r="C878" s="8" t="s">
        <v>1694</v>
      </c>
      <c r="D878" s="8">
        <v>5</v>
      </c>
      <c r="E878" s="8" t="s">
        <v>1718</v>
      </c>
      <c r="F878" s="8" t="s">
        <v>911</v>
      </c>
      <c r="G878" s="8" t="s">
        <v>1696</v>
      </c>
      <c r="H878" s="10">
        <v>1</v>
      </c>
      <c r="I878" s="10"/>
      <c r="J878" s="10">
        <v>1</v>
      </c>
      <c r="K878" s="10">
        <v>5024.1400000000003</v>
      </c>
    </row>
    <row r="879" spans="1:11" x14ac:dyDescent="0.25">
      <c r="A879" s="8" t="s">
        <v>1719</v>
      </c>
      <c r="B879" s="8" t="s">
        <v>118</v>
      </c>
      <c r="C879" s="8" t="s">
        <v>1690</v>
      </c>
      <c r="D879" s="8">
        <v>4</v>
      </c>
      <c r="E879" s="8" t="s">
        <v>1720</v>
      </c>
      <c r="F879" s="8" t="s">
        <v>911</v>
      </c>
      <c r="G879" s="8" t="s">
        <v>1721</v>
      </c>
      <c r="H879" s="10">
        <v>1</v>
      </c>
      <c r="I879" s="10"/>
      <c r="J879" s="10">
        <v>1</v>
      </c>
      <c r="K879" s="10">
        <v>210643.24</v>
      </c>
    </row>
    <row r="880" spans="1:11" x14ac:dyDescent="0.25">
      <c r="A880" s="8" t="s">
        <v>1722</v>
      </c>
      <c r="B880" s="8" t="s">
        <v>116</v>
      </c>
      <c r="C880" s="8" t="s">
        <v>1690</v>
      </c>
      <c r="D880" s="8">
        <v>4</v>
      </c>
      <c r="E880" s="8" t="s">
        <v>1723</v>
      </c>
      <c r="F880" s="8" t="s">
        <v>911</v>
      </c>
      <c r="G880" s="8" t="s">
        <v>1721</v>
      </c>
      <c r="H880" s="10">
        <v>1</v>
      </c>
      <c r="I880" s="10"/>
      <c r="J880" s="10">
        <v>1</v>
      </c>
      <c r="K880" s="10">
        <v>25487.38</v>
      </c>
    </row>
    <row r="881" spans="1:11" x14ac:dyDescent="0.25">
      <c r="A881" s="8" t="s">
        <v>1724</v>
      </c>
      <c r="B881" s="8" t="s">
        <v>118</v>
      </c>
      <c r="C881" s="8" t="s">
        <v>1690</v>
      </c>
      <c r="D881" s="8">
        <v>4</v>
      </c>
      <c r="E881" s="8" t="s">
        <v>1725</v>
      </c>
      <c r="F881" s="8" t="s">
        <v>911</v>
      </c>
      <c r="G881" s="8" t="s">
        <v>1721</v>
      </c>
      <c r="H881" s="10">
        <v>1</v>
      </c>
      <c r="I881" s="10"/>
      <c r="J881" s="10">
        <v>1</v>
      </c>
      <c r="K881" s="10">
        <v>25487.38</v>
      </c>
    </row>
    <row r="882" spans="1:11" x14ac:dyDescent="0.25">
      <c r="A882" s="8" t="s">
        <v>1726</v>
      </c>
      <c r="B882" s="8" t="s">
        <v>134</v>
      </c>
      <c r="C882" s="8" t="s">
        <v>918</v>
      </c>
      <c r="D882" s="8">
        <v>6</v>
      </c>
      <c r="E882" s="8" t="s">
        <v>1727</v>
      </c>
      <c r="F882" s="8" t="s">
        <v>911</v>
      </c>
      <c r="G882" s="8" t="s">
        <v>920</v>
      </c>
      <c r="H882" s="10">
        <v>1</v>
      </c>
      <c r="I882" s="10"/>
      <c r="J882" s="10">
        <v>1</v>
      </c>
      <c r="K882" s="10">
        <v>28789.07</v>
      </c>
    </row>
    <row r="883" spans="1:11" x14ac:dyDescent="0.25">
      <c r="A883" s="8" t="s">
        <v>1728</v>
      </c>
      <c r="B883" s="8" t="s">
        <v>132</v>
      </c>
      <c r="C883" s="8" t="s">
        <v>918</v>
      </c>
      <c r="D883" s="8">
        <v>6</v>
      </c>
      <c r="E883" s="8" t="s">
        <v>1729</v>
      </c>
      <c r="F883" s="8" t="s">
        <v>911</v>
      </c>
      <c r="G883" s="8" t="s">
        <v>920</v>
      </c>
      <c r="H883" s="10">
        <v>1</v>
      </c>
      <c r="I883" s="10"/>
      <c r="J883" s="10">
        <v>1</v>
      </c>
      <c r="K883" s="10">
        <v>93406.2</v>
      </c>
    </row>
    <row r="884" spans="1:11" x14ac:dyDescent="0.25">
      <c r="A884" s="8" t="s">
        <v>1730</v>
      </c>
      <c r="B884" s="8" t="s">
        <v>120</v>
      </c>
      <c r="C884" s="8" t="s">
        <v>909</v>
      </c>
      <c r="D884" s="8">
        <v>5</v>
      </c>
      <c r="E884" s="8" t="s">
        <v>1731</v>
      </c>
      <c r="F884" s="8" t="s">
        <v>911</v>
      </c>
      <c r="G884" s="8" t="s">
        <v>912</v>
      </c>
      <c r="H884" s="10">
        <v>1</v>
      </c>
      <c r="I884" s="10"/>
      <c r="J884" s="10">
        <v>1</v>
      </c>
      <c r="K884" s="10">
        <v>218798.49</v>
      </c>
    </row>
    <row r="885" spans="1:11" x14ac:dyDescent="0.25">
      <c r="A885" s="8" t="s">
        <v>1732</v>
      </c>
      <c r="B885" s="8" t="s">
        <v>1650</v>
      </c>
      <c r="C885" s="8" t="s">
        <v>1694</v>
      </c>
      <c r="D885" s="8">
        <v>5</v>
      </c>
      <c r="E885" s="8" t="s">
        <v>1733</v>
      </c>
      <c r="F885" s="8" t="s">
        <v>911</v>
      </c>
      <c r="G885" s="8" t="s">
        <v>1734</v>
      </c>
      <c r="H885" s="10">
        <v>1</v>
      </c>
      <c r="I885" s="10"/>
      <c r="J885" s="10">
        <v>1</v>
      </c>
      <c r="K885" s="10">
        <v>4019.31</v>
      </c>
    </row>
    <row r="886" spans="1:11" x14ac:dyDescent="0.25">
      <c r="A886" s="8" t="s">
        <v>1735</v>
      </c>
      <c r="B886" s="8" t="s">
        <v>120</v>
      </c>
      <c r="C886" s="8" t="s">
        <v>1694</v>
      </c>
      <c r="D886" s="8">
        <v>5</v>
      </c>
      <c r="E886" s="8" t="s">
        <v>1736</v>
      </c>
      <c r="F886" s="8" t="s">
        <v>911</v>
      </c>
      <c r="G886" s="8" t="s">
        <v>1734</v>
      </c>
      <c r="H886" s="10">
        <v>1</v>
      </c>
      <c r="I886" s="10"/>
      <c r="J886" s="10">
        <v>1</v>
      </c>
      <c r="K886" s="10">
        <v>4019.31</v>
      </c>
    </row>
    <row r="887" spans="1:11" x14ac:dyDescent="0.25">
      <c r="A887" s="8" t="s">
        <v>1737</v>
      </c>
      <c r="B887" s="8" t="s">
        <v>1655</v>
      </c>
      <c r="C887" s="8" t="s">
        <v>1694</v>
      </c>
      <c r="D887" s="8">
        <v>5</v>
      </c>
      <c r="E887" s="8" t="s">
        <v>1738</v>
      </c>
      <c r="F887" s="8" t="s">
        <v>911</v>
      </c>
      <c r="G887" s="8" t="s">
        <v>1734</v>
      </c>
      <c r="H887" s="10">
        <v>1</v>
      </c>
      <c r="I887" s="10"/>
      <c r="J887" s="10">
        <v>1</v>
      </c>
      <c r="K887" s="10">
        <v>4019.31</v>
      </c>
    </row>
    <row r="888" spans="1:11" x14ac:dyDescent="0.25">
      <c r="A888" s="8" t="s">
        <v>1739</v>
      </c>
      <c r="B888" s="8" t="s">
        <v>1650</v>
      </c>
      <c r="C888" s="8" t="s">
        <v>1694</v>
      </c>
      <c r="D888" s="8">
        <v>5</v>
      </c>
      <c r="E888" s="8" t="s">
        <v>1740</v>
      </c>
      <c r="F888" s="8" t="s">
        <v>911</v>
      </c>
      <c r="G888" s="8" t="s">
        <v>1734</v>
      </c>
      <c r="H888" s="10">
        <v>1</v>
      </c>
      <c r="I888" s="10"/>
      <c r="J888" s="10">
        <v>1</v>
      </c>
      <c r="K888" s="10">
        <v>10048.27</v>
      </c>
    </row>
    <row r="889" spans="1:11" x14ac:dyDescent="0.25">
      <c r="A889" s="8" t="s">
        <v>1741</v>
      </c>
      <c r="B889" s="8" t="s">
        <v>1655</v>
      </c>
      <c r="C889" s="8" t="s">
        <v>1694</v>
      </c>
      <c r="D889" s="8">
        <v>5</v>
      </c>
      <c r="E889" s="8" t="s">
        <v>1742</v>
      </c>
      <c r="F889" s="8" t="s">
        <v>911</v>
      </c>
      <c r="G889" s="8" t="s">
        <v>1734</v>
      </c>
      <c r="H889" s="10">
        <v>1</v>
      </c>
      <c r="I889" s="10"/>
      <c r="J889" s="10">
        <v>1</v>
      </c>
      <c r="K889" s="10">
        <v>10048.27</v>
      </c>
    </row>
    <row r="890" spans="1:11" x14ac:dyDescent="0.25">
      <c r="A890" s="8" t="s">
        <v>1743</v>
      </c>
      <c r="B890" s="8" t="s">
        <v>120</v>
      </c>
      <c r="C890" s="8" t="s">
        <v>1694</v>
      </c>
      <c r="D890" s="8">
        <v>5</v>
      </c>
      <c r="E890" s="8" t="s">
        <v>1744</v>
      </c>
      <c r="F890" s="8" t="s">
        <v>911</v>
      </c>
      <c r="G890" s="8" t="s">
        <v>1734</v>
      </c>
      <c r="H890" s="10">
        <v>1</v>
      </c>
      <c r="I890" s="10"/>
      <c r="J890" s="10">
        <v>1</v>
      </c>
      <c r="K890" s="10">
        <v>10048.27</v>
      </c>
    </row>
    <row r="891" spans="1:11" x14ac:dyDescent="0.25">
      <c r="A891" s="8" t="s">
        <v>1745</v>
      </c>
      <c r="B891" s="8" t="s">
        <v>1655</v>
      </c>
      <c r="C891" s="8" t="s">
        <v>1746</v>
      </c>
      <c r="D891" s="8">
        <v>6</v>
      </c>
      <c r="E891" s="8" t="s">
        <v>1747</v>
      </c>
      <c r="F891" s="8" t="s">
        <v>911</v>
      </c>
      <c r="G891" s="8" t="s">
        <v>1748</v>
      </c>
      <c r="H891" s="10">
        <v>1</v>
      </c>
      <c r="I891" s="10"/>
      <c r="J891" s="10">
        <v>1</v>
      </c>
      <c r="K891" s="10">
        <v>45217.23</v>
      </c>
    </row>
    <row r="892" spans="1:11" x14ac:dyDescent="0.25">
      <c r="A892" s="8" t="s">
        <v>1749</v>
      </c>
      <c r="B892" s="8" t="s">
        <v>1655</v>
      </c>
      <c r="C892" s="8" t="s">
        <v>1746</v>
      </c>
      <c r="D892" s="8">
        <v>6</v>
      </c>
      <c r="E892" s="8" t="s">
        <v>1750</v>
      </c>
      <c r="F892" s="8" t="s">
        <v>911</v>
      </c>
      <c r="G892" s="8" t="s">
        <v>1748</v>
      </c>
      <c r="H892" s="10">
        <v>1</v>
      </c>
      <c r="I892" s="10"/>
      <c r="J892" s="10">
        <v>1</v>
      </c>
      <c r="K892" s="10">
        <v>105506.87</v>
      </c>
    </row>
    <row r="893" spans="1:11" x14ac:dyDescent="0.25">
      <c r="A893" s="8" t="s">
        <v>1751</v>
      </c>
      <c r="B893" s="8" t="s">
        <v>1650</v>
      </c>
      <c r="C893" s="8" t="s">
        <v>1746</v>
      </c>
      <c r="D893" s="8">
        <v>6</v>
      </c>
      <c r="E893" s="8" t="s">
        <v>1752</v>
      </c>
      <c r="F893" s="8" t="s">
        <v>911</v>
      </c>
      <c r="G893" s="8" t="s">
        <v>1748</v>
      </c>
      <c r="H893" s="10">
        <v>1</v>
      </c>
      <c r="I893" s="10"/>
      <c r="J893" s="10">
        <v>1</v>
      </c>
      <c r="K893" s="10">
        <v>60289.64</v>
      </c>
    </row>
    <row r="894" spans="1:11" x14ac:dyDescent="0.25">
      <c r="A894" s="8" t="s">
        <v>1753</v>
      </c>
      <c r="B894" s="8" t="s">
        <v>1655</v>
      </c>
      <c r="C894" s="8" t="s">
        <v>1746</v>
      </c>
      <c r="D894" s="8">
        <v>6</v>
      </c>
      <c r="E894" s="8" t="s">
        <v>1754</v>
      </c>
      <c r="F894" s="8" t="s">
        <v>911</v>
      </c>
      <c r="G894" s="8" t="s">
        <v>1748</v>
      </c>
      <c r="H894" s="10">
        <v>1</v>
      </c>
      <c r="I894" s="10"/>
      <c r="J894" s="10">
        <v>1</v>
      </c>
      <c r="K894" s="10">
        <v>60289.64</v>
      </c>
    </row>
    <row r="895" spans="1:11" x14ac:dyDescent="0.25">
      <c r="A895" s="8" t="s">
        <v>1755</v>
      </c>
      <c r="B895" s="8" t="s">
        <v>120</v>
      </c>
      <c r="C895" s="8" t="s">
        <v>1746</v>
      </c>
      <c r="D895" s="8">
        <v>6</v>
      </c>
      <c r="E895" s="8" t="s">
        <v>1756</v>
      </c>
      <c r="F895" s="8" t="s">
        <v>911</v>
      </c>
      <c r="G895" s="8" t="s">
        <v>1748</v>
      </c>
      <c r="H895" s="10">
        <v>1</v>
      </c>
      <c r="I895" s="10"/>
      <c r="J895" s="10">
        <v>1</v>
      </c>
      <c r="K895" s="10">
        <v>60289.64</v>
      </c>
    </row>
    <row r="896" spans="1:11" x14ac:dyDescent="0.25">
      <c r="A896" s="8" t="s">
        <v>1757</v>
      </c>
      <c r="B896" s="8" t="s">
        <v>1650</v>
      </c>
      <c r="C896" s="8" t="s">
        <v>1746</v>
      </c>
      <c r="D896" s="8">
        <v>6</v>
      </c>
      <c r="E896" s="8" t="s">
        <v>1758</v>
      </c>
      <c r="F896" s="8" t="s">
        <v>911</v>
      </c>
      <c r="G896" s="8" t="s">
        <v>1748</v>
      </c>
      <c r="H896" s="10">
        <v>1</v>
      </c>
      <c r="I896" s="10"/>
      <c r="J896" s="10">
        <v>1</v>
      </c>
      <c r="K896" s="10">
        <v>195941.33</v>
      </c>
    </row>
    <row r="897" spans="1:11" x14ac:dyDescent="0.25">
      <c r="A897" s="8" t="s">
        <v>1759</v>
      </c>
      <c r="B897" s="8" t="s">
        <v>120</v>
      </c>
      <c r="C897" s="8" t="s">
        <v>1746</v>
      </c>
      <c r="D897" s="8">
        <v>6</v>
      </c>
      <c r="E897" s="8" t="s">
        <v>1760</v>
      </c>
      <c r="F897" s="8" t="s">
        <v>911</v>
      </c>
      <c r="G897" s="8" t="s">
        <v>1748</v>
      </c>
      <c r="H897" s="10">
        <v>1</v>
      </c>
      <c r="I897" s="10"/>
      <c r="J897" s="10">
        <v>1</v>
      </c>
      <c r="K897" s="10">
        <v>105506.87</v>
      </c>
    </row>
    <row r="898" spans="1:11" x14ac:dyDescent="0.25">
      <c r="A898" s="8" t="s">
        <v>1761</v>
      </c>
      <c r="B898" s="8" t="s">
        <v>1655</v>
      </c>
      <c r="C898" s="8" t="s">
        <v>1746</v>
      </c>
      <c r="D898" s="8">
        <v>6</v>
      </c>
      <c r="E898" s="8" t="s">
        <v>1762</v>
      </c>
      <c r="F898" s="8" t="s">
        <v>911</v>
      </c>
      <c r="G898" s="8" t="s">
        <v>1748</v>
      </c>
      <c r="H898" s="10">
        <v>1</v>
      </c>
      <c r="I898" s="10"/>
      <c r="J898" s="10">
        <v>1</v>
      </c>
      <c r="K898" s="10">
        <v>60289.64</v>
      </c>
    </row>
    <row r="899" spans="1:11" x14ac:dyDescent="0.25">
      <c r="A899" s="8" t="s">
        <v>1763</v>
      </c>
      <c r="B899" s="8" t="s">
        <v>1655</v>
      </c>
      <c r="C899" s="8" t="s">
        <v>1746</v>
      </c>
      <c r="D899" s="8">
        <v>6</v>
      </c>
      <c r="E899" s="8" t="s">
        <v>1764</v>
      </c>
      <c r="F899" s="8" t="s">
        <v>911</v>
      </c>
      <c r="G899" s="8" t="s">
        <v>1748</v>
      </c>
      <c r="H899" s="10">
        <v>1</v>
      </c>
      <c r="I899" s="10"/>
      <c r="J899" s="10">
        <v>1</v>
      </c>
      <c r="K899" s="10">
        <v>75362.05</v>
      </c>
    </row>
    <row r="900" spans="1:11" x14ac:dyDescent="0.25">
      <c r="A900" s="8" t="s">
        <v>1765</v>
      </c>
      <c r="B900" s="8" t="s">
        <v>120</v>
      </c>
      <c r="C900" s="8" t="s">
        <v>1746</v>
      </c>
      <c r="D900" s="8">
        <v>6</v>
      </c>
      <c r="E900" s="8" t="s">
        <v>1766</v>
      </c>
      <c r="F900" s="8" t="s">
        <v>911</v>
      </c>
      <c r="G900" s="8" t="s">
        <v>1748</v>
      </c>
      <c r="H900" s="10">
        <v>1</v>
      </c>
      <c r="I900" s="10"/>
      <c r="J900" s="10">
        <v>1</v>
      </c>
      <c r="K900" s="10">
        <v>60289.64</v>
      </c>
    </row>
    <row r="901" spans="1:11" x14ac:dyDescent="0.25">
      <c r="A901" s="8" t="s">
        <v>1767</v>
      </c>
      <c r="B901" s="8" t="s">
        <v>120</v>
      </c>
      <c r="C901" s="8" t="s">
        <v>1746</v>
      </c>
      <c r="D901" s="8">
        <v>6</v>
      </c>
      <c r="E901" s="8" t="s">
        <v>1768</v>
      </c>
      <c r="F901" s="8" t="s">
        <v>911</v>
      </c>
      <c r="G901" s="8" t="s">
        <v>1748</v>
      </c>
      <c r="H901" s="10">
        <v>1</v>
      </c>
      <c r="I901" s="10"/>
      <c r="J901" s="10">
        <v>1</v>
      </c>
      <c r="K901" s="10">
        <v>120579.28</v>
      </c>
    </row>
    <row r="902" spans="1:11" x14ac:dyDescent="0.25">
      <c r="A902" s="8" t="s">
        <v>1769</v>
      </c>
      <c r="B902" s="8" t="s">
        <v>120</v>
      </c>
      <c r="C902" s="8" t="s">
        <v>1746</v>
      </c>
      <c r="D902" s="8">
        <v>6</v>
      </c>
      <c r="E902" s="8" t="s">
        <v>1770</v>
      </c>
      <c r="F902" s="8" t="s">
        <v>911</v>
      </c>
      <c r="G902" s="8" t="s">
        <v>1748</v>
      </c>
      <c r="H902" s="10">
        <v>1</v>
      </c>
      <c r="I902" s="10"/>
      <c r="J902" s="10">
        <v>1</v>
      </c>
      <c r="K902" s="10">
        <v>105506.87</v>
      </c>
    </row>
    <row r="903" spans="1:11" x14ac:dyDescent="0.25">
      <c r="A903" s="8" t="s">
        <v>1771</v>
      </c>
      <c r="B903" s="8" t="s">
        <v>120</v>
      </c>
      <c r="C903" s="8" t="s">
        <v>1746</v>
      </c>
      <c r="D903" s="8">
        <v>6</v>
      </c>
      <c r="E903" s="8" t="s">
        <v>1772</v>
      </c>
      <c r="F903" s="8" t="s">
        <v>911</v>
      </c>
      <c r="G903" s="8" t="s">
        <v>1748</v>
      </c>
      <c r="H903" s="10">
        <v>1</v>
      </c>
      <c r="I903" s="10"/>
      <c r="J903" s="10">
        <v>1</v>
      </c>
      <c r="K903" s="10">
        <v>241158.56</v>
      </c>
    </row>
    <row r="904" spans="1:11" x14ac:dyDescent="0.25">
      <c r="A904" s="8" t="s">
        <v>1773</v>
      </c>
      <c r="B904" s="8" t="s">
        <v>120</v>
      </c>
      <c r="C904" s="8" t="s">
        <v>1746</v>
      </c>
      <c r="D904" s="8">
        <v>6</v>
      </c>
      <c r="E904" s="8" t="s">
        <v>1774</v>
      </c>
      <c r="F904" s="8" t="s">
        <v>911</v>
      </c>
      <c r="G904" s="8" t="s">
        <v>1748</v>
      </c>
      <c r="H904" s="10">
        <v>1</v>
      </c>
      <c r="I904" s="10"/>
      <c r="J904" s="10">
        <v>1</v>
      </c>
      <c r="K904" s="10">
        <v>211013.74</v>
      </c>
    </row>
    <row r="905" spans="1:11" x14ac:dyDescent="0.25">
      <c r="A905" s="8" t="s">
        <v>1775</v>
      </c>
      <c r="B905" s="8" t="s">
        <v>120</v>
      </c>
      <c r="C905" s="8" t="s">
        <v>1746</v>
      </c>
      <c r="D905" s="8">
        <v>6</v>
      </c>
      <c r="E905" s="8" t="s">
        <v>1776</v>
      </c>
      <c r="F905" s="8" t="s">
        <v>911</v>
      </c>
      <c r="G905" s="8" t="s">
        <v>1748</v>
      </c>
      <c r="H905" s="10">
        <v>1</v>
      </c>
      <c r="I905" s="10"/>
      <c r="J905" s="10">
        <v>1</v>
      </c>
      <c r="K905" s="10">
        <v>361737.84</v>
      </c>
    </row>
    <row r="906" spans="1:11" x14ac:dyDescent="0.25">
      <c r="A906" s="8" t="s">
        <v>1777</v>
      </c>
      <c r="B906" s="8" t="s">
        <v>120</v>
      </c>
      <c r="C906" s="8" t="s">
        <v>1746</v>
      </c>
      <c r="D906" s="8">
        <v>6</v>
      </c>
      <c r="E906" s="8" t="s">
        <v>1778</v>
      </c>
      <c r="F906" s="8" t="s">
        <v>911</v>
      </c>
      <c r="G906" s="8" t="s">
        <v>1748</v>
      </c>
      <c r="H906" s="10">
        <v>1</v>
      </c>
      <c r="I906" s="10"/>
      <c r="J906" s="10">
        <v>1</v>
      </c>
      <c r="K906" s="10">
        <v>361737.84</v>
      </c>
    </row>
    <row r="907" spans="1:11" x14ac:dyDescent="0.25">
      <c r="A907" s="8" t="s">
        <v>1779</v>
      </c>
      <c r="B907" s="8" t="s">
        <v>1655</v>
      </c>
      <c r="C907" s="8" t="s">
        <v>1746</v>
      </c>
      <c r="D907" s="8">
        <v>6</v>
      </c>
      <c r="E907" s="8" t="s">
        <v>1780</v>
      </c>
      <c r="F907" s="8" t="s">
        <v>911</v>
      </c>
      <c r="G907" s="8" t="s">
        <v>1748</v>
      </c>
      <c r="H907" s="10">
        <v>1</v>
      </c>
      <c r="I907" s="10"/>
      <c r="J907" s="10">
        <v>1</v>
      </c>
      <c r="K907" s="10">
        <v>100482.73</v>
      </c>
    </row>
    <row r="908" spans="1:11" x14ac:dyDescent="0.25">
      <c r="A908" s="8" t="s">
        <v>1781</v>
      </c>
      <c r="B908" s="8" t="s">
        <v>1650</v>
      </c>
      <c r="C908" s="8" t="s">
        <v>1746</v>
      </c>
      <c r="D908" s="8">
        <v>6</v>
      </c>
      <c r="E908" s="8" t="s">
        <v>1782</v>
      </c>
      <c r="F908" s="8" t="s">
        <v>911</v>
      </c>
      <c r="G908" s="8" t="s">
        <v>1748</v>
      </c>
      <c r="H908" s="10">
        <v>1</v>
      </c>
      <c r="I908" s="10"/>
      <c r="J908" s="10">
        <v>1</v>
      </c>
      <c r="K908" s="10">
        <v>140675.82999999999</v>
      </c>
    </row>
    <row r="909" spans="1:11" x14ac:dyDescent="0.25">
      <c r="A909" s="8" t="s">
        <v>1783</v>
      </c>
      <c r="B909" s="8" t="s">
        <v>1650</v>
      </c>
      <c r="C909" s="8" t="s">
        <v>1746</v>
      </c>
      <c r="D909" s="8">
        <v>6</v>
      </c>
      <c r="E909" s="8" t="s">
        <v>1784</v>
      </c>
      <c r="F909" s="8" t="s">
        <v>911</v>
      </c>
      <c r="G909" s="8" t="s">
        <v>1748</v>
      </c>
      <c r="H909" s="10">
        <v>1</v>
      </c>
      <c r="I909" s="10"/>
      <c r="J909" s="10">
        <v>1</v>
      </c>
      <c r="K909" s="10">
        <v>180868.92</v>
      </c>
    </row>
    <row r="910" spans="1:11" x14ac:dyDescent="0.25">
      <c r="A910" s="8" t="s">
        <v>1785</v>
      </c>
      <c r="B910" s="8" t="s">
        <v>120</v>
      </c>
      <c r="C910" s="8" t="s">
        <v>1694</v>
      </c>
      <c r="D910" s="8">
        <v>5</v>
      </c>
      <c r="E910" s="8" t="s">
        <v>1786</v>
      </c>
      <c r="F910" s="8" t="s">
        <v>911</v>
      </c>
      <c r="G910" s="8" t="s">
        <v>1787</v>
      </c>
      <c r="H910" s="10">
        <v>1</v>
      </c>
      <c r="I910" s="10"/>
      <c r="J910" s="10">
        <v>1</v>
      </c>
      <c r="K910" s="10">
        <v>502413.66</v>
      </c>
    </row>
    <row r="911" spans="1:11" x14ac:dyDescent="0.25">
      <c r="A911" s="8" t="s">
        <v>1788</v>
      </c>
      <c r="B911" s="8" t="s">
        <v>120</v>
      </c>
      <c r="C911" s="8" t="s">
        <v>1694</v>
      </c>
      <c r="D911" s="8">
        <v>5</v>
      </c>
      <c r="E911" s="8" t="s">
        <v>1789</v>
      </c>
      <c r="F911" s="8" t="s">
        <v>911</v>
      </c>
      <c r="G911" s="8" t="s">
        <v>1787</v>
      </c>
      <c r="H911" s="10">
        <v>1</v>
      </c>
      <c r="I911" s="10"/>
      <c r="J911" s="10">
        <v>1</v>
      </c>
      <c r="K911" s="10">
        <v>502413.66</v>
      </c>
    </row>
    <row r="912" spans="1:11" x14ac:dyDescent="0.25">
      <c r="A912" s="8" t="s">
        <v>1790</v>
      </c>
      <c r="B912" s="8" t="s">
        <v>1655</v>
      </c>
      <c r="C912" s="8" t="s">
        <v>1694</v>
      </c>
      <c r="D912" s="8">
        <v>5</v>
      </c>
      <c r="E912" s="8" t="s">
        <v>1791</v>
      </c>
      <c r="F912" s="8" t="s">
        <v>911</v>
      </c>
      <c r="G912" s="8" t="s">
        <v>1787</v>
      </c>
      <c r="H912" s="10">
        <v>1</v>
      </c>
      <c r="I912" s="10"/>
      <c r="J912" s="10">
        <v>1</v>
      </c>
      <c r="K912" s="10">
        <v>34414.21</v>
      </c>
    </row>
    <row r="913" spans="1:11" x14ac:dyDescent="0.25">
      <c r="A913" s="8" t="s">
        <v>1792</v>
      </c>
      <c r="B913" s="8" t="s">
        <v>120</v>
      </c>
      <c r="C913" s="8" t="s">
        <v>1694</v>
      </c>
      <c r="D913" s="8">
        <v>5</v>
      </c>
      <c r="E913" s="8" t="s">
        <v>1793</v>
      </c>
      <c r="F913" s="8" t="s">
        <v>911</v>
      </c>
      <c r="G913" s="8" t="s">
        <v>1787</v>
      </c>
      <c r="H913" s="10">
        <v>1</v>
      </c>
      <c r="I913" s="10"/>
      <c r="J913" s="10">
        <v>1</v>
      </c>
      <c r="K913" s="10">
        <v>34414.21</v>
      </c>
    </row>
    <row r="914" spans="1:11" x14ac:dyDescent="0.25">
      <c r="A914" s="8" t="s">
        <v>1794</v>
      </c>
      <c r="B914" s="8" t="s">
        <v>120</v>
      </c>
      <c r="C914" s="8" t="s">
        <v>1694</v>
      </c>
      <c r="D914" s="8">
        <v>5</v>
      </c>
      <c r="E914" s="8" t="s">
        <v>1795</v>
      </c>
      <c r="F914" s="8" t="s">
        <v>911</v>
      </c>
      <c r="G914" s="8" t="s">
        <v>1787</v>
      </c>
      <c r="H914" s="10">
        <v>1</v>
      </c>
      <c r="I914" s="10"/>
      <c r="J914" s="10">
        <v>1</v>
      </c>
      <c r="K914" s="10">
        <v>34414.21</v>
      </c>
    </row>
    <row r="915" spans="1:11" x14ac:dyDescent="0.25">
      <c r="A915" s="8" t="s">
        <v>1796</v>
      </c>
      <c r="B915" s="8" t="s">
        <v>1655</v>
      </c>
      <c r="C915" s="8" t="s">
        <v>1746</v>
      </c>
      <c r="D915" s="8">
        <v>6</v>
      </c>
      <c r="E915" s="8" t="s">
        <v>1797</v>
      </c>
      <c r="F915" s="8" t="s">
        <v>911</v>
      </c>
      <c r="G915" s="8" t="s">
        <v>1748</v>
      </c>
      <c r="H915" s="10">
        <v>1</v>
      </c>
      <c r="I915" s="10"/>
      <c r="J915" s="10">
        <v>1</v>
      </c>
      <c r="K915" s="10">
        <v>15072.41</v>
      </c>
    </row>
    <row r="916" spans="1:11" x14ac:dyDescent="0.25">
      <c r="A916" s="8" t="s">
        <v>1798</v>
      </c>
      <c r="B916" s="8" t="s">
        <v>1650</v>
      </c>
      <c r="C916" s="8" t="s">
        <v>1746</v>
      </c>
      <c r="D916" s="8">
        <v>6</v>
      </c>
      <c r="E916" s="8" t="s">
        <v>1799</v>
      </c>
      <c r="F916" s="8" t="s">
        <v>911</v>
      </c>
      <c r="G916" s="8" t="s">
        <v>1748</v>
      </c>
      <c r="H916" s="10">
        <v>1</v>
      </c>
      <c r="I916" s="10"/>
      <c r="J916" s="10">
        <v>1</v>
      </c>
      <c r="K916" s="10">
        <v>15072.41</v>
      </c>
    </row>
    <row r="917" spans="1:11" x14ac:dyDescent="0.25">
      <c r="A917" s="8" t="s">
        <v>1800</v>
      </c>
      <c r="B917" s="8" t="s">
        <v>1655</v>
      </c>
      <c r="C917" s="8" t="s">
        <v>1746</v>
      </c>
      <c r="D917" s="8">
        <v>6</v>
      </c>
      <c r="E917" s="8" t="s">
        <v>1801</v>
      </c>
      <c r="F917" s="8" t="s">
        <v>911</v>
      </c>
      <c r="G917" s="8" t="s">
        <v>1748</v>
      </c>
      <c r="H917" s="10">
        <v>1</v>
      </c>
      <c r="I917" s="10"/>
      <c r="J917" s="10">
        <v>1</v>
      </c>
      <c r="K917" s="10">
        <v>15072.41</v>
      </c>
    </row>
    <row r="918" spans="1:11" x14ac:dyDescent="0.25">
      <c r="A918" s="8" t="s">
        <v>1802</v>
      </c>
      <c r="B918" s="8" t="s">
        <v>1655</v>
      </c>
      <c r="C918" s="8" t="s">
        <v>1746</v>
      </c>
      <c r="D918" s="8">
        <v>6</v>
      </c>
      <c r="E918" s="8" t="s">
        <v>1803</v>
      </c>
      <c r="F918" s="8" t="s">
        <v>911</v>
      </c>
      <c r="G918" s="8" t="s">
        <v>1748</v>
      </c>
      <c r="H918" s="10">
        <v>1</v>
      </c>
      <c r="I918" s="10"/>
      <c r="J918" s="10">
        <v>1</v>
      </c>
      <c r="K918" s="10">
        <v>15072.41</v>
      </c>
    </row>
    <row r="919" spans="1:11" x14ac:dyDescent="0.25">
      <c r="A919" s="8" t="s">
        <v>1804</v>
      </c>
      <c r="B919" s="8" t="s">
        <v>1650</v>
      </c>
      <c r="C919" s="8" t="s">
        <v>1746</v>
      </c>
      <c r="D919" s="8">
        <v>6</v>
      </c>
      <c r="E919" s="8" t="s">
        <v>1805</v>
      </c>
      <c r="F919" s="8" t="s">
        <v>911</v>
      </c>
      <c r="G919" s="8" t="s">
        <v>1748</v>
      </c>
      <c r="H919" s="10">
        <v>1</v>
      </c>
      <c r="I919" s="10"/>
      <c r="J919" s="10">
        <v>1</v>
      </c>
      <c r="K919" s="10">
        <v>15072.41</v>
      </c>
    </row>
    <row r="920" spans="1:11" x14ac:dyDescent="0.25">
      <c r="A920" s="8" t="s">
        <v>1806</v>
      </c>
      <c r="B920" s="8" t="s">
        <v>1650</v>
      </c>
      <c r="C920" s="8" t="s">
        <v>1746</v>
      </c>
      <c r="D920" s="8">
        <v>6</v>
      </c>
      <c r="E920" s="8" t="s">
        <v>1807</v>
      </c>
      <c r="F920" s="8" t="s">
        <v>911</v>
      </c>
      <c r="G920" s="8" t="s">
        <v>1748</v>
      </c>
      <c r="H920" s="10">
        <v>1</v>
      </c>
      <c r="I920" s="10"/>
      <c r="J920" s="10">
        <v>1</v>
      </c>
      <c r="K920" s="10">
        <v>15072.41</v>
      </c>
    </row>
    <row r="921" spans="1:11" x14ac:dyDescent="0.25">
      <c r="A921" s="8" t="s">
        <v>1808</v>
      </c>
      <c r="B921" s="8" t="s">
        <v>1655</v>
      </c>
      <c r="C921" s="8" t="s">
        <v>1746</v>
      </c>
      <c r="D921" s="8">
        <v>6</v>
      </c>
      <c r="E921" s="8" t="s">
        <v>1809</v>
      </c>
      <c r="F921" s="8" t="s">
        <v>911</v>
      </c>
      <c r="G921" s="8" t="s">
        <v>1748</v>
      </c>
      <c r="H921" s="10">
        <v>1</v>
      </c>
      <c r="I921" s="10"/>
      <c r="J921" s="10">
        <v>1</v>
      </c>
      <c r="K921" s="10">
        <v>15072.41</v>
      </c>
    </row>
    <row r="922" spans="1:11" x14ac:dyDescent="0.25">
      <c r="A922" s="8" t="s">
        <v>1810</v>
      </c>
      <c r="B922" s="8" t="s">
        <v>1655</v>
      </c>
      <c r="C922" s="8" t="s">
        <v>1746</v>
      </c>
      <c r="D922" s="8">
        <v>6</v>
      </c>
      <c r="E922" s="8" t="s">
        <v>1811</v>
      </c>
      <c r="F922" s="8" t="s">
        <v>911</v>
      </c>
      <c r="G922" s="8" t="s">
        <v>1748</v>
      </c>
      <c r="H922" s="10">
        <v>1</v>
      </c>
      <c r="I922" s="10"/>
      <c r="J922" s="10">
        <v>1</v>
      </c>
      <c r="K922" s="10">
        <v>15072.41</v>
      </c>
    </row>
    <row r="923" spans="1:11" x14ac:dyDescent="0.25">
      <c r="A923" s="8" t="s">
        <v>1812</v>
      </c>
      <c r="B923" s="8" t="s">
        <v>1655</v>
      </c>
      <c r="C923" s="8" t="s">
        <v>1746</v>
      </c>
      <c r="D923" s="8">
        <v>6</v>
      </c>
      <c r="E923" s="8" t="s">
        <v>1813</v>
      </c>
      <c r="F923" s="8" t="s">
        <v>911</v>
      </c>
      <c r="G923" s="8" t="s">
        <v>1748</v>
      </c>
      <c r="H923" s="10">
        <v>1</v>
      </c>
      <c r="I923" s="10"/>
      <c r="J923" s="10">
        <v>1</v>
      </c>
      <c r="K923" s="10">
        <v>15072.41</v>
      </c>
    </row>
    <row r="924" spans="1:11" x14ac:dyDescent="0.25">
      <c r="A924" s="8" t="s">
        <v>1814</v>
      </c>
      <c r="B924" s="8" t="s">
        <v>1655</v>
      </c>
      <c r="C924" s="8" t="s">
        <v>1746</v>
      </c>
      <c r="D924" s="8">
        <v>6</v>
      </c>
      <c r="E924" s="8" t="s">
        <v>1815</v>
      </c>
      <c r="F924" s="8" t="s">
        <v>911</v>
      </c>
      <c r="G924" s="8" t="s">
        <v>1748</v>
      </c>
      <c r="H924" s="10">
        <v>1</v>
      </c>
      <c r="I924" s="10"/>
      <c r="J924" s="10">
        <v>1</v>
      </c>
      <c r="K924" s="10">
        <v>15072.41</v>
      </c>
    </row>
    <row r="925" spans="1:11" x14ac:dyDescent="0.25">
      <c r="A925" s="8" t="s">
        <v>1816</v>
      </c>
      <c r="B925" s="8" t="s">
        <v>1655</v>
      </c>
      <c r="C925" s="8" t="s">
        <v>1746</v>
      </c>
      <c r="D925" s="8">
        <v>6</v>
      </c>
      <c r="E925" s="8" t="s">
        <v>1817</v>
      </c>
      <c r="F925" s="8" t="s">
        <v>911</v>
      </c>
      <c r="G925" s="8" t="s">
        <v>1748</v>
      </c>
      <c r="H925" s="10">
        <v>1</v>
      </c>
      <c r="I925" s="10"/>
      <c r="J925" s="10">
        <v>1</v>
      </c>
      <c r="K925" s="10">
        <v>15072.41</v>
      </c>
    </row>
    <row r="926" spans="1:11" x14ac:dyDescent="0.25">
      <c r="A926" s="8" t="s">
        <v>1818</v>
      </c>
      <c r="B926" s="8" t="s">
        <v>1655</v>
      </c>
      <c r="C926" s="8" t="s">
        <v>1746</v>
      </c>
      <c r="D926" s="8">
        <v>6</v>
      </c>
      <c r="E926" s="8" t="s">
        <v>1819</v>
      </c>
      <c r="F926" s="8" t="s">
        <v>911</v>
      </c>
      <c r="G926" s="8" t="s">
        <v>1748</v>
      </c>
      <c r="H926" s="10">
        <v>1</v>
      </c>
      <c r="I926" s="10"/>
      <c r="J926" s="10">
        <v>1</v>
      </c>
      <c r="K926" s="10">
        <v>15072.41</v>
      </c>
    </row>
    <row r="927" spans="1:11" x14ac:dyDescent="0.25">
      <c r="A927" s="8" t="s">
        <v>1820</v>
      </c>
      <c r="B927" s="8" t="s">
        <v>1655</v>
      </c>
      <c r="C927" s="8" t="s">
        <v>1746</v>
      </c>
      <c r="D927" s="8">
        <v>6</v>
      </c>
      <c r="E927" s="8" t="s">
        <v>1821</v>
      </c>
      <c r="F927" s="8" t="s">
        <v>911</v>
      </c>
      <c r="G927" s="8" t="s">
        <v>1748</v>
      </c>
      <c r="H927" s="10">
        <v>1</v>
      </c>
      <c r="I927" s="10"/>
      <c r="J927" s="10">
        <v>1</v>
      </c>
      <c r="K927" s="10">
        <v>15072.41</v>
      </c>
    </row>
    <row r="928" spans="1:11" x14ac:dyDescent="0.25">
      <c r="A928" s="8" t="s">
        <v>1822</v>
      </c>
      <c r="B928" s="8" t="s">
        <v>1655</v>
      </c>
      <c r="C928" s="8" t="s">
        <v>1746</v>
      </c>
      <c r="D928" s="8">
        <v>6</v>
      </c>
      <c r="E928" s="8" t="s">
        <v>1823</v>
      </c>
      <c r="F928" s="8" t="s">
        <v>911</v>
      </c>
      <c r="G928" s="8" t="s">
        <v>1748</v>
      </c>
      <c r="H928" s="10">
        <v>1</v>
      </c>
      <c r="I928" s="10"/>
      <c r="J928" s="10">
        <v>1</v>
      </c>
      <c r="K928" s="10">
        <v>15072.41</v>
      </c>
    </row>
    <row r="929" spans="1:11" x14ac:dyDescent="0.25">
      <c r="A929" s="8" t="s">
        <v>1824</v>
      </c>
      <c r="B929" s="8" t="s">
        <v>1655</v>
      </c>
      <c r="C929" s="8" t="s">
        <v>1746</v>
      </c>
      <c r="D929" s="8">
        <v>6</v>
      </c>
      <c r="E929" s="8" t="s">
        <v>1825</v>
      </c>
      <c r="F929" s="8" t="s">
        <v>911</v>
      </c>
      <c r="G929" s="8" t="s">
        <v>1748</v>
      </c>
      <c r="H929" s="10">
        <v>1</v>
      </c>
      <c r="I929" s="10"/>
      <c r="J929" s="10">
        <v>1</v>
      </c>
      <c r="K929" s="10">
        <v>15072.41</v>
      </c>
    </row>
    <row r="930" spans="1:11" x14ac:dyDescent="0.25">
      <c r="A930" s="8" t="s">
        <v>1826</v>
      </c>
      <c r="B930" s="8" t="s">
        <v>1655</v>
      </c>
      <c r="C930" s="8" t="s">
        <v>1746</v>
      </c>
      <c r="D930" s="8">
        <v>6</v>
      </c>
      <c r="E930" s="8" t="s">
        <v>1827</v>
      </c>
      <c r="F930" s="8" t="s">
        <v>911</v>
      </c>
      <c r="G930" s="8" t="s">
        <v>1748</v>
      </c>
      <c r="H930" s="10">
        <v>1</v>
      </c>
      <c r="I930" s="10"/>
      <c r="J930" s="10">
        <v>1</v>
      </c>
      <c r="K930" s="10">
        <v>15072.41</v>
      </c>
    </row>
    <row r="931" spans="1:11" x14ac:dyDescent="0.25">
      <c r="A931" s="8" t="s">
        <v>1828</v>
      </c>
      <c r="B931" s="8" t="s">
        <v>1655</v>
      </c>
      <c r="C931" s="8" t="s">
        <v>1746</v>
      </c>
      <c r="D931" s="8">
        <v>6</v>
      </c>
      <c r="E931" s="8" t="s">
        <v>1829</v>
      </c>
      <c r="F931" s="8" t="s">
        <v>911</v>
      </c>
      <c r="G931" s="8" t="s">
        <v>1748</v>
      </c>
      <c r="H931" s="10">
        <v>1</v>
      </c>
      <c r="I931" s="10"/>
      <c r="J931" s="10">
        <v>1</v>
      </c>
      <c r="K931" s="10">
        <v>15072.41</v>
      </c>
    </row>
    <row r="932" spans="1:11" x14ac:dyDescent="0.25">
      <c r="A932" s="8" t="s">
        <v>1830</v>
      </c>
      <c r="B932" s="8" t="s">
        <v>1655</v>
      </c>
      <c r="C932" s="8" t="s">
        <v>1746</v>
      </c>
      <c r="D932" s="8">
        <v>6</v>
      </c>
      <c r="E932" s="8" t="s">
        <v>1831</v>
      </c>
      <c r="F932" s="8" t="s">
        <v>911</v>
      </c>
      <c r="G932" s="8" t="s">
        <v>1748</v>
      </c>
      <c r="H932" s="10">
        <v>1</v>
      </c>
      <c r="I932" s="10"/>
      <c r="J932" s="10">
        <v>1</v>
      </c>
      <c r="K932" s="10">
        <v>15072.41</v>
      </c>
    </row>
    <row r="933" spans="1:11" x14ac:dyDescent="0.25">
      <c r="A933" s="8" t="s">
        <v>1832</v>
      </c>
      <c r="B933" s="8" t="s">
        <v>1655</v>
      </c>
      <c r="C933" s="8" t="s">
        <v>1746</v>
      </c>
      <c r="D933" s="8">
        <v>6</v>
      </c>
      <c r="E933" s="8" t="s">
        <v>1833</v>
      </c>
      <c r="F933" s="8" t="s">
        <v>911</v>
      </c>
      <c r="G933" s="8" t="s">
        <v>1748</v>
      </c>
      <c r="H933" s="10">
        <v>1</v>
      </c>
      <c r="I933" s="10"/>
      <c r="J933" s="10">
        <v>1</v>
      </c>
      <c r="K933" s="10">
        <v>15072.41</v>
      </c>
    </row>
    <row r="934" spans="1:11" x14ac:dyDescent="0.25">
      <c r="A934" s="8" t="s">
        <v>1834</v>
      </c>
      <c r="B934" s="8" t="s">
        <v>120</v>
      </c>
      <c r="C934" s="8" t="s">
        <v>1746</v>
      </c>
      <c r="D934" s="8">
        <v>6</v>
      </c>
      <c r="E934" s="8" t="s">
        <v>1835</v>
      </c>
      <c r="F934" s="8" t="s">
        <v>911</v>
      </c>
      <c r="G934" s="8" t="s">
        <v>1748</v>
      </c>
      <c r="H934" s="10">
        <v>1</v>
      </c>
      <c r="I934" s="10"/>
      <c r="J934" s="10">
        <v>1</v>
      </c>
      <c r="K934" s="10">
        <v>15072.41</v>
      </c>
    </row>
    <row r="935" spans="1:11" x14ac:dyDescent="0.25">
      <c r="A935" s="8" t="s">
        <v>1836</v>
      </c>
      <c r="B935" s="8" t="s">
        <v>120</v>
      </c>
      <c r="C935" s="8" t="s">
        <v>1746</v>
      </c>
      <c r="D935" s="8">
        <v>6</v>
      </c>
      <c r="E935" s="8" t="s">
        <v>1837</v>
      </c>
      <c r="F935" s="8" t="s">
        <v>911</v>
      </c>
      <c r="G935" s="8" t="s">
        <v>1748</v>
      </c>
      <c r="H935" s="10">
        <v>1</v>
      </c>
      <c r="I935" s="10"/>
      <c r="J935" s="10">
        <v>1</v>
      </c>
      <c r="K935" s="10">
        <v>15072.41</v>
      </c>
    </row>
    <row r="936" spans="1:11" x14ac:dyDescent="0.25">
      <c r="A936" s="8" t="s">
        <v>1838</v>
      </c>
      <c r="B936" s="8" t="s">
        <v>120</v>
      </c>
      <c r="C936" s="8" t="s">
        <v>1746</v>
      </c>
      <c r="D936" s="8">
        <v>6</v>
      </c>
      <c r="E936" s="8" t="s">
        <v>1839</v>
      </c>
      <c r="F936" s="8" t="s">
        <v>911</v>
      </c>
      <c r="G936" s="8" t="s">
        <v>1748</v>
      </c>
      <c r="H936" s="10">
        <v>1</v>
      </c>
      <c r="I936" s="10"/>
      <c r="J936" s="10">
        <v>1</v>
      </c>
      <c r="K936" s="10">
        <v>15072.41</v>
      </c>
    </row>
    <row r="937" spans="1:11" x14ac:dyDescent="0.25">
      <c r="A937" s="8" t="s">
        <v>1840</v>
      </c>
      <c r="B937" s="8" t="s">
        <v>120</v>
      </c>
      <c r="C937" s="8" t="s">
        <v>1746</v>
      </c>
      <c r="D937" s="8">
        <v>6</v>
      </c>
      <c r="E937" s="8" t="s">
        <v>1841</v>
      </c>
      <c r="F937" s="8" t="s">
        <v>911</v>
      </c>
      <c r="G937" s="8" t="s">
        <v>1748</v>
      </c>
      <c r="H937" s="10">
        <v>1</v>
      </c>
      <c r="I937" s="10"/>
      <c r="J937" s="10">
        <v>1</v>
      </c>
      <c r="K937" s="10">
        <v>15072.41</v>
      </c>
    </row>
    <row r="938" spans="1:11" x14ac:dyDescent="0.25">
      <c r="A938" s="8" t="s">
        <v>1842</v>
      </c>
      <c r="B938" s="8" t="s">
        <v>120</v>
      </c>
      <c r="C938" s="8" t="s">
        <v>1746</v>
      </c>
      <c r="D938" s="8">
        <v>6</v>
      </c>
      <c r="E938" s="8" t="s">
        <v>1843</v>
      </c>
      <c r="F938" s="8" t="s">
        <v>911</v>
      </c>
      <c r="G938" s="8" t="s">
        <v>1748</v>
      </c>
      <c r="H938" s="10">
        <v>1</v>
      </c>
      <c r="I938" s="10"/>
      <c r="J938" s="10">
        <v>1</v>
      </c>
      <c r="K938" s="10">
        <v>15072.41</v>
      </c>
    </row>
    <row r="939" spans="1:11" x14ac:dyDescent="0.25">
      <c r="A939" s="8" t="s">
        <v>1844</v>
      </c>
      <c r="B939" s="8" t="s">
        <v>120</v>
      </c>
      <c r="C939" s="8" t="s">
        <v>1746</v>
      </c>
      <c r="D939" s="8">
        <v>6</v>
      </c>
      <c r="E939" s="8" t="s">
        <v>1845</v>
      </c>
      <c r="F939" s="8" t="s">
        <v>911</v>
      </c>
      <c r="G939" s="8" t="s">
        <v>1748</v>
      </c>
      <c r="H939" s="10">
        <v>1</v>
      </c>
      <c r="I939" s="10"/>
      <c r="J939" s="10">
        <v>1</v>
      </c>
      <c r="K939" s="10">
        <v>15072.41</v>
      </c>
    </row>
    <row r="940" spans="1:11" x14ac:dyDescent="0.25">
      <c r="A940" s="8" t="s">
        <v>1846</v>
      </c>
      <c r="B940" s="8" t="s">
        <v>120</v>
      </c>
      <c r="C940" s="8" t="s">
        <v>1746</v>
      </c>
      <c r="D940" s="8">
        <v>6</v>
      </c>
      <c r="E940" s="8" t="s">
        <v>1847</v>
      </c>
      <c r="F940" s="8" t="s">
        <v>911</v>
      </c>
      <c r="G940" s="8" t="s">
        <v>1748</v>
      </c>
      <c r="H940" s="10">
        <v>1</v>
      </c>
      <c r="I940" s="10"/>
      <c r="J940" s="10">
        <v>1</v>
      </c>
      <c r="K940" s="10">
        <v>15072.41</v>
      </c>
    </row>
    <row r="941" spans="1:11" x14ac:dyDescent="0.25">
      <c r="A941" s="8" t="s">
        <v>1848</v>
      </c>
      <c r="B941" s="8" t="s">
        <v>120</v>
      </c>
      <c r="C941" s="8" t="s">
        <v>1746</v>
      </c>
      <c r="D941" s="8">
        <v>6</v>
      </c>
      <c r="E941" s="8" t="s">
        <v>1849</v>
      </c>
      <c r="F941" s="8" t="s">
        <v>911</v>
      </c>
      <c r="G941" s="8" t="s">
        <v>1748</v>
      </c>
      <c r="H941" s="10">
        <v>1</v>
      </c>
      <c r="I941" s="10"/>
      <c r="J941" s="10">
        <v>1</v>
      </c>
      <c r="K941" s="10">
        <v>15072.41</v>
      </c>
    </row>
    <row r="942" spans="1:11" x14ac:dyDescent="0.25">
      <c r="A942" s="8" t="s">
        <v>1850</v>
      </c>
      <c r="B942" s="8" t="s">
        <v>1655</v>
      </c>
      <c r="C942" s="8" t="s">
        <v>1746</v>
      </c>
      <c r="D942" s="8">
        <v>6</v>
      </c>
      <c r="E942" s="8" t="s">
        <v>1851</v>
      </c>
      <c r="F942" s="8" t="s">
        <v>911</v>
      </c>
      <c r="G942" s="8" t="s">
        <v>1748</v>
      </c>
      <c r="H942" s="10">
        <v>1</v>
      </c>
      <c r="I942" s="10"/>
      <c r="J942" s="10">
        <v>1</v>
      </c>
      <c r="K942" s="10">
        <v>15072.41</v>
      </c>
    </row>
    <row r="943" spans="1:11" x14ac:dyDescent="0.25">
      <c r="A943" s="8" t="s">
        <v>1852</v>
      </c>
      <c r="B943" s="8" t="s">
        <v>120</v>
      </c>
      <c r="C943" s="8" t="s">
        <v>1746</v>
      </c>
      <c r="D943" s="8">
        <v>6</v>
      </c>
      <c r="E943" s="8" t="s">
        <v>1853</v>
      </c>
      <c r="F943" s="8" t="s">
        <v>911</v>
      </c>
      <c r="G943" s="8" t="s">
        <v>1748</v>
      </c>
      <c r="H943" s="10">
        <v>1</v>
      </c>
      <c r="I943" s="10"/>
      <c r="J943" s="10">
        <v>1</v>
      </c>
      <c r="K943" s="10">
        <v>15072.41</v>
      </c>
    </row>
    <row r="944" spans="1:11" x14ac:dyDescent="0.25">
      <c r="A944" s="8" t="s">
        <v>1854</v>
      </c>
      <c r="B944" s="8" t="s">
        <v>120</v>
      </c>
      <c r="C944" s="8" t="s">
        <v>1746</v>
      </c>
      <c r="D944" s="8">
        <v>6</v>
      </c>
      <c r="E944" s="8" t="s">
        <v>1855</v>
      </c>
      <c r="F944" s="8" t="s">
        <v>911</v>
      </c>
      <c r="G944" s="8" t="s">
        <v>1748</v>
      </c>
      <c r="H944" s="10">
        <v>1</v>
      </c>
      <c r="I944" s="10"/>
      <c r="J944" s="10">
        <v>1</v>
      </c>
      <c r="K944" s="10">
        <v>15072.41</v>
      </c>
    </row>
    <row r="945" spans="1:11" x14ac:dyDescent="0.25">
      <c r="A945" s="8" t="s">
        <v>1856</v>
      </c>
      <c r="B945" s="8" t="s">
        <v>120</v>
      </c>
      <c r="C945" s="8" t="s">
        <v>1746</v>
      </c>
      <c r="D945" s="8">
        <v>6</v>
      </c>
      <c r="E945" s="8" t="s">
        <v>1857</v>
      </c>
      <c r="F945" s="8" t="s">
        <v>911</v>
      </c>
      <c r="G945" s="8" t="s">
        <v>1748</v>
      </c>
      <c r="H945" s="10">
        <v>1</v>
      </c>
      <c r="I945" s="10"/>
      <c r="J945" s="10">
        <v>1</v>
      </c>
      <c r="K945" s="10">
        <v>15072.41</v>
      </c>
    </row>
    <row r="946" spans="1:11" x14ac:dyDescent="0.25">
      <c r="A946" s="8" t="s">
        <v>1858</v>
      </c>
      <c r="B946" s="8" t="s">
        <v>120</v>
      </c>
      <c r="C946" s="8" t="s">
        <v>1746</v>
      </c>
      <c r="D946" s="8">
        <v>6</v>
      </c>
      <c r="E946" s="8" t="s">
        <v>1859</v>
      </c>
      <c r="F946" s="8" t="s">
        <v>911</v>
      </c>
      <c r="G946" s="8" t="s">
        <v>1748</v>
      </c>
      <c r="H946" s="10">
        <v>1</v>
      </c>
      <c r="I946" s="10"/>
      <c r="J946" s="10">
        <v>1</v>
      </c>
      <c r="K946" s="10">
        <v>15072.41</v>
      </c>
    </row>
    <row r="947" spans="1:11" x14ac:dyDescent="0.25">
      <c r="A947" s="8" t="s">
        <v>1860</v>
      </c>
      <c r="B947" s="8" t="s">
        <v>120</v>
      </c>
      <c r="C947" s="8" t="s">
        <v>1746</v>
      </c>
      <c r="D947" s="8">
        <v>6</v>
      </c>
      <c r="E947" s="8" t="s">
        <v>1861</v>
      </c>
      <c r="F947" s="8" t="s">
        <v>911</v>
      </c>
      <c r="G947" s="8" t="s">
        <v>1748</v>
      </c>
      <c r="H947" s="10">
        <v>1</v>
      </c>
      <c r="I947" s="10"/>
      <c r="J947" s="10">
        <v>1</v>
      </c>
      <c r="K947" s="10">
        <v>15072.41</v>
      </c>
    </row>
    <row r="948" spans="1:11" x14ac:dyDescent="0.25">
      <c r="A948" s="8" t="s">
        <v>1862</v>
      </c>
      <c r="B948" s="8" t="s">
        <v>120</v>
      </c>
      <c r="C948" s="8" t="s">
        <v>1746</v>
      </c>
      <c r="D948" s="8">
        <v>6</v>
      </c>
      <c r="E948" s="8" t="s">
        <v>1863</v>
      </c>
      <c r="F948" s="8" t="s">
        <v>911</v>
      </c>
      <c r="G948" s="8" t="s">
        <v>1748</v>
      </c>
      <c r="H948" s="10">
        <v>1</v>
      </c>
      <c r="I948" s="10"/>
      <c r="J948" s="10">
        <v>1</v>
      </c>
      <c r="K948" s="10">
        <v>15072.41</v>
      </c>
    </row>
    <row r="949" spans="1:11" x14ac:dyDescent="0.25">
      <c r="A949" s="8" t="s">
        <v>1864</v>
      </c>
      <c r="B949" s="8" t="s">
        <v>120</v>
      </c>
      <c r="C949" s="8" t="s">
        <v>1746</v>
      </c>
      <c r="D949" s="8">
        <v>6</v>
      </c>
      <c r="E949" s="8" t="s">
        <v>1865</v>
      </c>
      <c r="F949" s="8" t="s">
        <v>911</v>
      </c>
      <c r="G949" s="8" t="s">
        <v>1748</v>
      </c>
      <c r="H949" s="10">
        <v>1</v>
      </c>
      <c r="I949" s="10"/>
      <c r="J949" s="10">
        <v>1</v>
      </c>
      <c r="K949" s="10">
        <v>15072.41</v>
      </c>
    </row>
    <row r="950" spans="1:11" x14ac:dyDescent="0.25">
      <c r="A950" s="8" t="s">
        <v>1866</v>
      </c>
      <c r="B950" s="8" t="s">
        <v>1650</v>
      </c>
      <c r="C950" s="8" t="s">
        <v>1746</v>
      </c>
      <c r="D950" s="8">
        <v>6</v>
      </c>
      <c r="E950" s="8" t="s">
        <v>1867</v>
      </c>
      <c r="F950" s="8" t="s">
        <v>911</v>
      </c>
      <c r="G950" s="8" t="s">
        <v>1748</v>
      </c>
      <c r="H950" s="10">
        <v>1</v>
      </c>
      <c r="I950" s="10"/>
      <c r="J950" s="10">
        <v>1</v>
      </c>
      <c r="K950" s="10">
        <v>30144.82</v>
      </c>
    </row>
    <row r="951" spans="1:11" x14ac:dyDescent="0.25">
      <c r="A951" s="8" t="s">
        <v>1868</v>
      </c>
      <c r="B951" s="8" t="s">
        <v>1650</v>
      </c>
      <c r="C951" s="8" t="s">
        <v>1746</v>
      </c>
      <c r="D951" s="8">
        <v>6</v>
      </c>
      <c r="E951" s="8" t="s">
        <v>1869</v>
      </c>
      <c r="F951" s="8" t="s">
        <v>911</v>
      </c>
      <c r="G951" s="8" t="s">
        <v>1748</v>
      </c>
      <c r="H951" s="10">
        <v>1</v>
      </c>
      <c r="I951" s="10"/>
      <c r="J951" s="10">
        <v>1</v>
      </c>
      <c r="K951" s="10">
        <v>30144.82</v>
      </c>
    </row>
    <row r="952" spans="1:11" x14ac:dyDescent="0.25">
      <c r="A952" s="8" t="s">
        <v>1870</v>
      </c>
      <c r="B952" s="8" t="s">
        <v>1650</v>
      </c>
      <c r="C952" s="8" t="s">
        <v>1746</v>
      </c>
      <c r="D952" s="8">
        <v>6</v>
      </c>
      <c r="E952" s="8" t="s">
        <v>1871</v>
      </c>
      <c r="F952" s="8" t="s">
        <v>911</v>
      </c>
      <c r="G952" s="8" t="s">
        <v>1748</v>
      </c>
      <c r="H952" s="10">
        <v>1</v>
      </c>
      <c r="I952" s="10"/>
      <c r="J952" s="10">
        <v>1</v>
      </c>
      <c r="K952" s="10">
        <v>30144.82</v>
      </c>
    </row>
    <row r="953" spans="1:11" x14ac:dyDescent="0.25">
      <c r="A953" s="8" t="s">
        <v>1872</v>
      </c>
      <c r="B953" s="8" t="s">
        <v>120</v>
      </c>
      <c r="C953" s="8" t="s">
        <v>1746</v>
      </c>
      <c r="D953" s="8">
        <v>6</v>
      </c>
      <c r="E953" s="8" t="s">
        <v>1873</v>
      </c>
      <c r="F953" s="8" t="s">
        <v>911</v>
      </c>
      <c r="G953" s="8" t="s">
        <v>1748</v>
      </c>
      <c r="H953" s="10">
        <v>1</v>
      </c>
      <c r="I953" s="10"/>
      <c r="J953" s="10">
        <v>1</v>
      </c>
      <c r="K953" s="10">
        <v>30144.82</v>
      </c>
    </row>
    <row r="954" spans="1:11" x14ac:dyDescent="0.25">
      <c r="A954" s="8" t="s">
        <v>1874</v>
      </c>
      <c r="B954" s="8" t="s">
        <v>120</v>
      </c>
      <c r="C954" s="8" t="s">
        <v>1746</v>
      </c>
      <c r="D954" s="8">
        <v>6</v>
      </c>
      <c r="E954" s="8" t="s">
        <v>1875</v>
      </c>
      <c r="F954" s="8" t="s">
        <v>911</v>
      </c>
      <c r="G954" s="8" t="s">
        <v>1748</v>
      </c>
      <c r="H954" s="10">
        <v>1</v>
      </c>
      <c r="I954" s="10"/>
      <c r="J954" s="10">
        <v>1</v>
      </c>
      <c r="K954" s="10">
        <v>30144.82</v>
      </c>
    </row>
    <row r="955" spans="1:11" x14ac:dyDescent="0.25">
      <c r="A955" s="8" t="s">
        <v>1876</v>
      </c>
      <c r="B955" s="8" t="s">
        <v>120</v>
      </c>
      <c r="C955" s="8" t="s">
        <v>1746</v>
      </c>
      <c r="D955" s="8">
        <v>6</v>
      </c>
      <c r="E955" s="8" t="s">
        <v>1877</v>
      </c>
      <c r="F955" s="8" t="s">
        <v>911</v>
      </c>
      <c r="G955" s="8" t="s">
        <v>1748</v>
      </c>
      <c r="H955" s="10">
        <v>1</v>
      </c>
      <c r="I955" s="10"/>
      <c r="J955" s="10">
        <v>1</v>
      </c>
      <c r="K955" s="10">
        <v>30144.82</v>
      </c>
    </row>
    <row r="956" spans="1:11" x14ac:dyDescent="0.25">
      <c r="A956" s="8" t="s">
        <v>1878</v>
      </c>
      <c r="B956" s="8" t="s">
        <v>120</v>
      </c>
      <c r="C956" s="8" t="s">
        <v>1746</v>
      </c>
      <c r="D956" s="8">
        <v>6</v>
      </c>
      <c r="E956" s="8" t="s">
        <v>1879</v>
      </c>
      <c r="F956" s="8" t="s">
        <v>911</v>
      </c>
      <c r="G956" s="8" t="s">
        <v>1748</v>
      </c>
      <c r="H956" s="10">
        <v>1</v>
      </c>
      <c r="I956" s="10"/>
      <c r="J956" s="10">
        <v>1</v>
      </c>
      <c r="K956" s="10">
        <v>30144.82</v>
      </c>
    </row>
    <row r="957" spans="1:11" x14ac:dyDescent="0.25">
      <c r="A957" s="8" t="s">
        <v>1880</v>
      </c>
      <c r="B957" s="8" t="s">
        <v>120</v>
      </c>
      <c r="C957" s="8" t="s">
        <v>1746</v>
      </c>
      <c r="D957" s="8">
        <v>6</v>
      </c>
      <c r="E957" s="8" t="s">
        <v>1881</v>
      </c>
      <c r="F957" s="8" t="s">
        <v>911</v>
      </c>
      <c r="G957" s="8" t="s">
        <v>1748</v>
      </c>
      <c r="H957" s="10">
        <v>1</v>
      </c>
      <c r="I957" s="10"/>
      <c r="J957" s="10">
        <v>1</v>
      </c>
      <c r="K957" s="10">
        <v>45217.23</v>
      </c>
    </row>
    <row r="958" spans="1:11" x14ac:dyDescent="0.25">
      <c r="A958" s="8" t="s">
        <v>1882</v>
      </c>
      <c r="B958" s="8" t="s">
        <v>120</v>
      </c>
      <c r="C958" s="8" t="s">
        <v>1746</v>
      </c>
      <c r="D958" s="8">
        <v>6</v>
      </c>
      <c r="E958" s="8" t="s">
        <v>1883</v>
      </c>
      <c r="F958" s="8" t="s">
        <v>911</v>
      </c>
      <c r="G958" s="8" t="s">
        <v>1748</v>
      </c>
      <c r="H958" s="10">
        <v>1</v>
      </c>
      <c r="I958" s="10"/>
      <c r="J958" s="10">
        <v>1</v>
      </c>
      <c r="K958" s="10">
        <v>45217.23</v>
      </c>
    </row>
    <row r="959" spans="1:11" x14ac:dyDescent="0.25">
      <c r="A959" s="8" t="s">
        <v>1884</v>
      </c>
      <c r="B959" s="8" t="s">
        <v>120</v>
      </c>
      <c r="C959" s="8" t="s">
        <v>1746</v>
      </c>
      <c r="D959" s="8">
        <v>6</v>
      </c>
      <c r="E959" s="8" t="s">
        <v>1885</v>
      </c>
      <c r="F959" s="8" t="s">
        <v>911</v>
      </c>
      <c r="G959" s="8" t="s">
        <v>1748</v>
      </c>
      <c r="H959" s="10">
        <v>1</v>
      </c>
      <c r="I959" s="10"/>
      <c r="J959" s="10">
        <v>1</v>
      </c>
      <c r="K959" s="10">
        <v>45217.23</v>
      </c>
    </row>
    <row r="960" spans="1:11" x14ac:dyDescent="0.25">
      <c r="A960" s="8" t="s">
        <v>1886</v>
      </c>
      <c r="B960" s="8" t="s">
        <v>120</v>
      </c>
      <c r="C960" s="8" t="s">
        <v>1746</v>
      </c>
      <c r="D960" s="8">
        <v>6</v>
      </c>
      <c r="E960" s="8" t="s">
        <v>1887</v>
      </c>
      <c r="F960" s="8" t="s">
        <v>911</v>
      </c>
      <c r="G960" s="8" t="s">
        <v>1748</v>
      </c>
      <c r="H960" s="10">
        <v>1</v>
      </c>
      <c r="I960" s="10"/>
      <c r="J960" s="10">
        <v>1</v>
      </c>
      <c r="K960" s="10">
        <v>45217.23</v>
      </c>
    </row>
    <row r="961" spans="1:11" x14ac:dyDescent="0.25">
      <c r="A961" s="8" t="s">
        <v>1888</v>
      </c>
      <c r="B961" s="8" t="s">
        <v>120</v>
      </c>
      <c r="C961" s="8" t="s">
        <v>1746</v>
      </c>
      <c r="D961" s="8">
        <v>6</v>
      </c>
      <c r="E961" s="8" t="s">
        <v>1889</v>
      </c>
      <c r="F961" s="8" t="s">
        <v>911</v>
      </c>
      <c r="G961" s="8" t="s">
        <v>1748</v>
      </c>
      <c r="H961" s="10">
        <v>1</v>
      </c>
      <c r="I961" s="10"/>
      <c r="J961" s="10">
        <v>1</v>
      </c>
      <c r="K961" s="10">
        <v>45217.23</v>
      </c>
    </row>
    <row r="962" spans="1:11" x14ac:dyDescent="0.25">
      <c r="A962" s="8" t="s">
        <v>1890</v>
      </c>
      <c r="B962" s="8" t="s">
        <v>120</v>
      </c>
      <c r="C962" s="8" t="s">
        <v>1746</v>
      </c>
      <c r="D962" s="8">
        <v>6</v>
      </c>
      <c r="E962" s="8" t="s">
        <v>1891</v>
      </c>
      <c r="F962" s="8" t="s">
        <v>911</v>
      </c>
      <c r="G962" s="8" t="s">
        <v>1748</v>
      </c>
      <c r="H962" s="10">
        <v>1</v>
      </c>
      <c r="I962" s="10"/>
      <c r="J962" s="10">
        <v>1</v>
      </c>
      <c r="K962" s="10">
        <v>45217.23</v>
      </c>
    </row>
    <row r="963" spans="1:11" x14ac:dyDescent="0.25">
      <c r="A963" s="8" t="s">
        <v>1892</v>
      </c>
      <c r="B963" s="8" t="s">
        <v>120</v>
      </c>
      <c r="C963" s="8" t="s">
        <v>1746</v>
      </c>
      <c r="D963" s="8">
        <v>6</v>
      </c>
      <c r="E963" s="8" t="s">
        <v>1893</v>
      </c>
      <c r="F963" s="8" t="s">
        <v>911</v>
      </c>
      <c r="G963" s="8" t="s">
        <v>1748</v>
      </c>
      <c r="H963" s="10">
        <v>1</v>
      </c>
      <c r="I963" s="10"/>
      <c r="J963" s="10">
        <v>1</v>
      </c>
      <c r="K963" s="10">
        <v>45217.23</v>
      </c>
    </row>
    <row r="964" spans="1:11" x14ac:dyDescent="0.25">
      <c r="A964" s="8" t="s">
        <v>1894</v>
      </c>
      <c r="B964" s="8" t="s">
        <v>120</v>
      </c>
      <c r="C964" s="8" t="s">
        <v>1746</v>
      </c>
      <c r="D964" s="8">
        <v>6</v>
      </c>
      <c r="E964" s="8" t="s">
        <v>1895</v>
      </c>
      <c r="F964" s="8" t="s">
        <v>911</v>
      </c>
      <c r="G964" s="8" t="s">
        <v>1748</v>
      </c>
      <c r="H964" s="10">
        <v>1</v>
      </c>
      <c r="I964" s="10"/>
      <c r="J964" s="10">
        <v>1</v>
      </c>
      <c r="K964" s="10">
        <v>45217.23</v>
      </c>
    </row>
    <row r="965" spans="1:11" x14ac:dyDescent="0.25">
      <c r="A965" s="8" t="s">
        <v>1896</v>
      </c>
      <c r="B965" s="8" t="s">
        <v>120</v>
      </c>
      <c r="C965" s="8" t="s">
        <v>1746</v>
      </c>
      <c r="D965" s="8">
        <v>6</v>
      </c>
      <c r="E965" s="8" t="s">
        <v>1897</v>
      </c>
      <c r="F965" s="8" t="s">
        <v>911</v>
      </c>
      <c r="G965" s="8" t="s">
        <v>1748</v>
      </c>
      <c r="H965" s="10">
        <v>1</v>
      </c>
      <c r="I965" s="10"/>
      <c r="J965" s="10">
        <v>1</v>
      </c>
      <c r="K965" s="10">
        <v>45217.23</v>
      </c>
    </row>
    <row r="966" spans="1:11" x14ac:dyDescent="0.25">
      <c r="A966" s="8" t="s">
        <v>1898</v>
      </c>
      <c r="B966" s="8" t="s">
        <v>120</v>
      </c>
      <c r="C966" s="8" t="s">
        <v>1746</v>
      </c>
      <c r="D966" s="8">
        <v>6</v>
      </c>
      <c r="E966" s="8" t="s">
        <v>1899</v>
      </c>
      <c r="F966" s="8" t="s">
        <v>911</v>
      </c>
      <c r="G966" s="8" t="s">
        <v>1748</v>
      </c>
      <c r="H966" s="10">
        <v>1</v>
      </c>
      <c r="I966" s="10"/>
      <c r="J966" s="10">
        <v>1</v>
      </c>
      <c r="K966" s="10">
        <v>45217.23</v>
      </c>
    </row>
    <row r="967" spans="1:11" x14ac:dyDescent="0.25">
      <c r="A967" s="8" t="s">
        <v>1900</v>
      </c>
      <c r="B967" s="8" t="s">
        <v>120</v>
      </c>
      <c r="C967" s="8" t="s">
        <v>1746</v>
      </c>
      <c r="D967" s="8">
        <v>6</v>
      </c>
      <c r="E967" s="8" t="s">
        <v>1901</v>
      </c>
      <c r="F967" s="8" t="s">
        <v>911</v>
      </c>
      <c r="G967" s="8" t="s">
        <v>1748</v>
      </c>
      <c r="H967" s="10">
        <v>1</v>
      </c>
      <c r="I967" s="10"/>
      <c r="J967" s="10">
        <v>1</v>
      </c>
      <c r="K967" s="10">
        <v>45217.23</v>
      </c>
    </row>
    <row r="968" spans="1:11" x14ac:dyDescent="0.25">
      <c r="A968" s="8" t="s">
        <v>1902</v>
      </c>
      <c r="B968" s="8" t="s">
        <v>120</v>
      </c>
      <c r="C968" s="8" t="s">
        <v>1746</v>
      </c>
      <c r="D968" s="8">
        <v>6</v>
      </c>
      <c r="E968" s="8" t="s">
        <v>1903</v>
      </c>
      <c r="F968" s="8" t="s">
        <v>911</v>
      </c>
      <c r="G968" s="8" t="s">
        <v>1748</v>
      </c>
      <c r="H968" s="10">
        <v>1</v>
      </c>
      <c r="I968" s="10"/>
      <c r="J968" s="10">
        <v>1</v>
      </c>
      <c r="K968" s="10">
        <v>45217.23</v>
      </c>
    </row>
    <row r="969" spans="1:11" x14ac:dyDescent="0.25">
      <c r="A969" s="8" t="s">
        <v>1904</v>
      </c>
      <c r="B969" s="8" t="s">
        <v>120</v>
      </c>
      <c r="C969" s="8" t="s">
        <v>1746</v>
      </c>
      <c r="D969" s="8">
        <v>6</v>
      </c>
      <c r="E969" s="8" t="s">
        <v>1905</v>
      </c>
      <c r="F969" s="8" t="s">
        <v>911</v>
      </c>
      <c r="G969" s="8" t="s">
        <v>1748</v>
      </c>
      <c r="H969" s="10">
        <v>1</v>
      </c>
      <c r="I969" s="10"/>
      <c r="J969" s="10">
        <v>1</v>
      </c>
      <c r="K969" s="10">
        <v>45217.23</v>
      </c>
    </row>
    <row r="970" spans="1:11" x14ac:dyDescent="0.25">
      <c r="A970" s="8" t="s">
        <v>1906</v>
      </c>
      <c r="B970" s="8" t="s">
        <v>120</v>
      </c>
      <c r="C970" s="8" t="s">
        <v>1746</v>
      </c>
      <c r="D970" s="8">
        <v>6</v>
      </c>
      <c r="E970" s="8" t="s">
        <v>1907</v>
      </c>
      <c r="F970" s="8" t="s">
        <v>911</v>
      </c>
      <c r="G970" s="8" t="s">
        <v>1748</v>
      </c>
      <c r="H970" s="10">
        <v>1</v>
      </c>
      <c r="I970" s="10"/>
      <c r="J970" s="10">
        <v>1</v>
      </c>
      <c r="K970" s="10">
        <v>45217.23</v>
      </c>
    </row>
    <row r="971" spans="1:11" x14ac:dyDescent="0.25">
      <c r="A971" s="8" t="s">
        <v>1908</v>
      </c>
      <c r="B971" s="8" t="s">
        <v>1655</v>
      </c>
      <c r="C971" s="8" t="s">
        <v>1746</v>
      </c>
      <c r="D971" s="8">
        <v>6</v>
      </c>
      <c r="E971" s="8" t="s">
        <v>1909</v>
      </c>
      <c r="F971" s="8" t="s">
        <v>911</v>
      </c>
      <c r="G971" s="8" t="s">
        <v>1748</v>
      </c>
      <c r="H971" s="10">
        <v>1</v>
      </c>
      <c r="I971" s="10"/>
      <c r="J971" s="10">
        <v>1</v>
      </c>
      <c r="K971" s="10">
        <v>60289.64</v>
      </c>
    </row>
    <row r="972" spans="1:11" x14ac:dyDescent="0.25">
      <c r="A972" s="8" t="s">
        <v>1910</v>
      </c>
      <c r="B972" s="8" t="s">
        <v>1655</v>
      </c>
      <c r="C972" s="8" t="s">
        <v>1746</v>
      </c>
      <c r="D972" s="8">
        <v>6</v>
      </c>
      <c r="E972" s="8" t="s">
        <v>1911</v>
      </c>
      <c r="F972" s="8" t="s">
        <v>911</v>
      </c>
      <c r="G972" s="8" t="s">
        <v>1748</v>
      </c>
      <c r="H972" s="10">
        <v>1</v>
      </c>
      <c r="I972" s="10"/>
      <c r="J972" s="10">
        <v>1</v>
      </c>
      <c r="K972" s="10">
        <v>60289.64</v>
      </c>
    </row>
    <row r="973" spans="1:11" x14ac:dyDescent="0.25">
      <c r="A973" s="8" t="s">
        <v>1912</v>
      </c>
      <c r="B973" s="8" t="s">
        <v>1655</v>
      </c>
      <c r="C973" s="8" t="s">
        <v>1746</v>
      </c>
      <c r="D973" s="8">
        <v>6</v>
      </c>
      <c r="E973" s="8" t="s">
        <v>1913</v>
      </c>
      <c r="F973" s="8" t="s">
        <v>911</v>
      </c>
      <c r="G973" s="8" t="s">
        <v>1748</v>
      </c>
      <c r="H973" s="10">
        <v>1</v>
      </c>
      <c r="I973" s="10"/>
      <c r="J973" s="10">
        <v>1</v>
      </c>
      <c r="K973" s="10">
        <v>60289.64</v>
      </c>
    </row>
    <row r="974" spans="1:11" x14ac:dyDescent="0.25">
      <c r="A974" s="8" t="s">
        <v>1914</v>
      </c>
      <c r="B974" s="8" t="s">
        <v>1655</v>
      </c>
      <c r="C974" s="8" t="s">
        <v>1746</v>
      </c>
      <c r="D974" s="8">
        <v>6</v>
      </c>
      <c r="E974" s="8" t="s">
        <v>1915</v>
      </c>
      <c r="F974" s="8" t="s">
        <v>911</v>
      </c>
      <c r="G974" s="8" t="s">
        <v>1748</v>
      </c>
      <c r="H974" s="10">
        <v>1</v>
      </c>
      <c r="I974" s="10"/>
      <c r="J974" s="10">
        <v>1</v>
      </c>
      <c r="K974" s="10">
        <v>60289.64</v>
      </c>
    </row>
    <row r="975" spans="1:11" x14ac:dyDescent="0.25">
      <c r="A975" s="8" t="s">
        <v>1916</v>
      </c>
      <c r="B975" s="8" t="s">
        <v>1655</v>
      </c>
      <c r="C975" s="8" t="s">
        <v>1746</v>
      </c>
      <c r="D975" s="8">
        <v>6</v>
      </c>
      <c r="E975" s="8" t="s">
        <v>1917</v>
      </c>
      <c r="F975" s="8" t="s">
        <v>911</v>
      </c>
      <c r="G975" s="8" t="s">
        <v>1748</v>
      </c>
      <c r="H975" s="10">
        <v>1</v>
      </c>
      <c r="I975" s="10"/>
      <c r="J975" s="10">
        <v>1</v>
      </c>
      <c r="K975" s="10">
        <v>60289.64</v>
      </c>
    </row>
    <row r="976" spans="1:11" x14ac:dyDescent="0.25">
      <c r="A976" s="8" t="s">
        <v>1918</v>
      </c>
      <c r="B976" s="8" t="s">
        <v>1655</v>
      </c>
      <c r="C976" s="8" t="s">
        <v>1746</v>
      </c>
      <c r="D976" s="8">
        <v>6</v>
      </c>
      <c r="E976" s="8" t="s">
        <v>1919</v>
      </c>
      <c r="F976" s="8" t="s">
        <v>911</v>
      </c>
      <c r="G976" s="8" t="s">
        <v>1748</v>
      </c>
      <c r="H976" s="10">
        <v>1</v>
      </c>
      <c r="I976" s="10"/>
      <c r="J976" s="10">
        <v>1</v>
      </c>
      <c r="K976" s="10">
        <v>60289.64</v>
      </c>
    </row>
    <row r="977" spans="1:11" x14ac:dyDescent="0.25">
      <c r="A977" s="8" t="s">
        <v>1920</v>
      </c>
      <c r="B977" s="8" t="s">
        <v>1655</v>
      </c>
      <c r="C977" s="8" t="s">
        <v>1746</v>
      </c>
      <c r="D977" s="8">
        <v>6</v>
      </c>
      <c r="E977" s="8" t="s">
        <v>1921</v>
      </c>
      <c r="F977" s="8" t="s">
        <v>911</v>
      </c>
      <c r="G977" s="8" t="s">
        <v>1748</v>
      </c>
      <c r="H977" s="10">
        <v>1</v>
      </c>
      <c r="I977" s="10"/>
      <c r="J977" s="10">
        <v>1</v>
      </c>
      <c r="K977" s="10">
        <v>60289.64</v>
      </c>
    </row>
    <row r="978" spans="1:11" x14ac:dyDescent="0.25">
      <c r="A978" s="8" t="s">
        <v>1922</v>
      </c>
      <c r="B978" s="8" t="s">
        <v>1655</v>
      </c>
      <c r="C978" s="8" t="s">
        <v>1746</v>
      </c>
      <c r="D978" s="8">
        <v>6</v>
      </c>
      <c r="E978" s="8" t="s">
        <v>1923</v>
      </c>
      <c r="F978" s="8" t="s">
        <v>911</v>
      </c>
      <c r="G978" s="8" t="s">
        <v>1748</v>
      </c>
      <c r="H978" s="10">
        <v>1</v>
      </c>
      <c r="I978" s="10"/>
      <c r="J978" s="10">
        <v>1</v>
      </c>
      <c r="K978" s="10">
        <v>60289.64</v>
      </c>
    </row>
    <row r="979" spans="1:11" x14ac:dyDescent="0.25">
      <c r="A979" s="8" t="s">
        <v>1924</v>
      </c>
      <c r="B979" s="8" t="s">
        <v>120</v>
      </c>
      <c r="C979" s="8" t="s">
        <v>1746</v>
      </c>
      <c r="D979" s="8">
        <v>6</v>
      </c>
      <c r="E979" s="8" t="s">
        <v>1925</v>
      </c>
      <c r="F979" s="8" t="s">
        <v>911</v>
      </c>
      <c r="G979" s="8" t="s">
        <v>1748</v>
      </c>
      <c r="H979" s="10">
        <v>1</v>
      </c>
      <c r="I979" s="10"/>
      <c r="J979" s="10">
        <v>1</v>
      </c>
      <c r="K979" s="10">
        <v>120579.28</v>
      </c>
    </row>
    <row r="980" spans="1:11" x14ac:dyDescent="0.25">
      <c r="A980" s="8" t="s">
        <v>1926</v>
      </c>
      <c r="B980" s="8" t="s">
        <v>120</v>
      </c>
      <c r="C980" s="8" t="s">
        <v>1746</v>
      </c>
      <c r="D980" s="8">
        <v>6</v>
      </c>
      <c r="E980" s="8" t="s">
        <v>1927</v>
      </c>
      <c r="F980" s="8" t="s">
        <v>911</v>
      </c>
      <c r="G980" s="8" t="s">
        <v>1748</v>
      </c>
      <c r="H980" s="10">
        <v>1</v>
      </c>
      <c r="I980" s="10"/>
      <c r="J980" s="10">
        <v>1</v>
      </c>
      <c r="K980" s="10">
        <v>120579.28</v>
      </c>
    </row>
    <row r="981" spans="1:11" x14ac:dyDescent="0.25">
      <c r="A981" s="8" t="s">
        <v>1928</v>
      </c>
      <c r="B981" s="8" t="s">
        <v>120</v>
      </c>
      <c r="C981" s="8" t="s">
        <v>1746</v>
      </c>
      <c r="D981" s="8">
        <v>6</v>
      </c>
      <c r="E981" s="8" t="s">
        <v>1929</v>
      </c>
      <c r="F981" s="8" t="s">
        <v>911</v>
      </c>
      <c r="G981" s="8" t="s">
        <v>1748</v>
      </c>
      <c r="H981" s="10">
        <v>1</v>
      </c>
      <c r="I981" s="10"/>
      <c r="J981" s="10">
        <v>1</v>
      </c>
      <c r="K981" s="10">
        <v>120579.28</v>
      </c>
    </row>
    <row r="982" spans="1:11" x14ac:dyDescent="0.25">
      <c r="A982" s="8" t="s">
        <v>1930</v>
      </c>
      <c r="B982" s="8" t="s">
        <v>120</v>
      </c>
      <c r="C982" s="8" t="s">
        <v>1746</v>
      </c>
      <c r="D982" s="8">
        <v>6</v>
      </c>
      <c r="E982" s="8" t="s">
        <v>1931</v>
      </c>
      <c r="F982" s="8" t="s">
        <v>911</v>
      </c>
      <c r="G982" s="8" t="s">
        <v>1748</v>
      </c>
      <c r="H982" s="10">
        <v>1</v>
      </c>
      <c r="I982" s="10"/>
      <c r="J982" s="10">
        <v>1</v>
      </c>
      <c r="K982" s="10">
        <v>120579.28</v>
      </c>
    </row>
    <row r="983" spans="1:11" x14ac:dyDescent="0.25">
      <c r="A983" s="8" t="s">
        <v>1932</v>
      </c>
      <c r="B983" s="8" t="s">
        <v>1650</v>
      </c>
      <c r="C983" s="8" t="s">
        <v>1746</v>
      </c>
      <c r="D983" s="8">
        <v>6</v>
      </c>
      <c r="E983" s="8" t="s">
        <v>1933</v>
      </c>
      <c r="F983" s="8" t="s">
        <v>911</v>
      </c>
      <c r="G983" s="8" t="s">
        <v>1748</v>
      </c>
      <c r="H983" s="10">
        <v>1</v>
      </c>
      <c r="I983" s="10"/>
      <c r="J983" s="10">
        <v>1</v>
      </c>
      <c r="K983" s="10">
        <v>120579.28</v>
      </c>
    </row>
    <row r="984" spans="1:11" x14ac:dyDescent="0.25">
      <c r="A984" s="8" t="s">
        <v>1934</v>
      </c>
      <c r="B984" s="8" t="s">
        <v>1650</v>
      </c>
      <c r="C984" s="8" t="s">
        <v>1746</v>
      </c>
      <c r="D984" s="8">
        <v>6</v>
      </c>
      <c r="E984" s="8" t="s">
        <v>1935</v>
      </c>
      <c r="F984" s="8" t="s">
        <v>911</v>
      </c>
      <c r="G984" s="8" t="s">
        <v>1748</v>
      </c>
      <c r="H984" s="10">
        <v>1</v>
      </c>
      <c r="I984" s="10"/>
      <c r="J984" s="10">
        <v>1</v>
      </c>
      <c r="K984" s="10">
        <v>120579.28</v>
      </c>
    </row>
    <row r="985" spans="1:11" x14ac:dyDescent="0.25">
      <c r="A985" s="8" t="s">
        <v>1936</v>
      </c>
      <c r="B985" s="8" t="s">
        <v>1650</v>
      </c>
      <c r="C985" s="8" t="s">
        <v>1746</v>
      </c>
      <c r="D985" s="8">
        <v>6</v>
      </c>
      <c r="E985" s="8" t="s">
        <v>1937</v>
      </c>
      <c r="F985" s="8" t="s">
        <v>911</v>
      </c>
      <c r="G985" s="8" t="s">
        <v>1748</v>
      </c>
      <c r="H985" s="10">
        <v>1</v>
      </c>
      <c r="I985" s="10"/>
      <c r="J985" s="10">
        <v>1</v>
      </c>
      <c r="K985" s="10">
        <v>120579.28</v>
      </c>
    </row>
    <row r="986" spans="1:11" x14ac:dyDescent="0.25">
      <c r="A986" s="8" t="s">
        <v>1938</v>
      </c>
      <c r="B986" s="8" t="s">
        <v>1650</v>
      </c>
      <c r="C986" s="8" t="s">
        <v>1746</v>
      </c>
      <c r="D986" s="8">
        <v>6</v>
      </c>
      <c r="E986" s="8" t="s">
        <v>1939</v>
      </c>
      <c r="F986" s="8" t="s">
        <v>911</v>
      </c>
      <c r="G986" s="8" t="s">
        <v>1748</v>
      </c>
      <c r="H986" s="10">
        <v>1</v>
      </c>
      <c r="I986" s="10"/>
      <c r="J986" s="10">
        <v>1</v>
      </c>
      <c r="K986" s="10">
        <v>120579.28</v>
      </c>
    </row>
    <row r="987" spans="1:11" x14ac:dyDescent="0.25">
      <c r="A987" s="8" t="s">
        <v>1940</v>
      </c>
      <c r="B987" s="8" t="s">
        <v>1650</v>
      </c>
      <c r="C987" s="8" t="s">
        <v>1746</v>
      </c>
      <c r="D987" s="8">
        <v>6</v>
      </c>
      <c r="E987" s="8" t="s">
        <v>1941</v>
      </c>
      <c r="F987" s="8" t="s">
        <v>911</v>
      </c>
      <c r="G987" s="8" t="s">
        <v>1748</v>
      </c>
      <c r="H987" s="10">
        <v>1</v>
      </c>
      <c r="I987" s="10"/>
      <c r="J987" s="10">
        <v>1</v>
      </c>
      <c r="K987" s="10">
        <v>120579.28</v>
      </c>
    </row>
    <row r="988" spans="1:11" x14ac:dyDescent="0.25">
      <c r="A988" s="8" t="s">
        <v>1942</v>
      </c>
      <c r="B988" s="8" t="s">
        <v>1650</v>
      </c>
      <c r="C988" s="8" t="s">
        <v>1746</v>
      </c>
      <c r="D988" s="8">
        <v>6</v>
      </c>
      <c r="E988" s="8" t="s">
        <v>1943</v>
      </c>
      <c r="F988" s="8" t="s">
        <v>911</v>
      </c>
      <c r="G988" s="8" t="s">
        <v>1748</v>
      </c>
      <c r="H988" s="10">
        <v>1</v>
      </c>
      <c r="I988" s="10"/>
      <c r="J988" s="10">
        <v>1</v>
      </c>
      <c r="K988" s="10">
        <v>120579.28</v>
      </c>
    </row>
    <row r="989" spans="1:11" x14ac:dyDescent="0.25">
      <c r="A989" s="8" t="s">
        <v>1944</v>
      </c>
      <c r="B989" s="8" t="s">
        <v>1650</v>
      </c>
      <c r="C989" s="8" t="s">
        <v>1746</v>
      </c>
      <c r="D989" s="8">
        <v>6</v>
      </c>
      <c r="E989" s="8" t="s">
        <v>1945</v>
      </c>
      <c r="F989" s="8" t="s">
        <v>911</v>
      </c>
      <c r="G989" s="8" t="s">
        <v>1748</v>
      </c>
      <c r="H989" s="10">
        <v>1</v>
      </c>
      <c r="I989" s="10"/>
      <c r="J989" s="10">
        <v>1</v>
      </c>
      <c r="K989" s="10">
        <v>6028.96</v>
      </c>
    </row>
    <row r="990" spans="1:11" x14ac:dyDescent="0.25">
      <c r="A990" s="8" t="s">
        <v>1946</v>
      </c>
      <c r="B990" s="8" t="s">
        <v>120</v>
      </c>
      <c r="C990" s="8" t="s">
        <v>1746</v>
      </c>
      <c r="D990" s="8">
        <v>6</v>
      </c>
      <c r="E990" s="8" t="s">
        <v>1947</v>
      </c>
      <c r="F990" s="8" t="s">
        <v>911</v>
      </c>
      <c r="G990" s="8" t="s">
        <v>1748</v>
      </c>
      <c r="H990" s="10">
        <v>1</v>
      </c>
      <c r="I990" s="10"/>
      <c r="J990" s="10">
        <v>1</v>
      </c>
      <c r="K990" s="10">
        <v>6028.96</v>
      </c>
    </row>
    <row r="991" spans="1:11" x14ac:dyDescent="0.25">
      <c r="A991" s="8" t="s">
        <v>1948</v>
      </c>
      <c r="B991" s="8" t="s">
        <v>1655</v>
      </c>
      <c r="C991" s="8" t="s">
        <v>1746</v>
      </c>
      <c r="D991" s="8">
        <v>6</v>
      </c>
      <c r="E991" s="8" t="s">
        <v>1949</v>
      </c>
      <c r="F991" s="8" t="s">
        <v>911</v>
      </c>
      <c r="G991" s="8" t="s">
        <v>1748</v>
      </c>
      <c r="H991" s="10">
        <v>1</v>
      </c>
      <c r="I991" s="10"/>
      <c r="J991" s="10">
        <v>1</v>
      </c>
      <c r="K991" s="10">
        <v>6028.96</v>
      </c>
    </row>
    <row r="992" spans="1:11" x14ac:dyDescent="0.25">
      <c r="A992" s="8" t="s">
        <v>1950</v>
      </c>
      <c r="B992" s="8" t="s">
        <v>1650</v>
      </c>
      <c r="C992" s="8" t="s">
        <v>1746</v>
      </c>
      <c r="D992" s="8">
        <v>6</v>
      </c>
      <c r="E992" s="8" t="s">
        <v>1951</v>
      </c>
      <c r="F992" s="8" t="s">
        <v>911</v>
      </c>
      <c r="G992" s="8" t="s">
        <v>1748</v>
      </c>
      <c r="H992" s="10">
        <v>1</v>
      </c>
      <c r="I992" s="10"/>
      <c r="J992" s="10">
        <v>1</v>
      </c>
      <c r="K992" s="10">
        <v>6028.96</v>
      </c>
    </row>
    <row r="993" spans="1:11" x14ac:dyDescent="0.25">
      <c r="A993" s="8" t="s">
        <v>1952</v>
      </c>
      <c r="B993" s="8" t="s">
        <v>120</v>
      </c>
      <c r="C993" s="8" t="s">
        <v>1746</v>
      </c>
      <c r="D993" s="8">
        <v>6</v>
      </c>
      <c r="E993" s="8" t="s">
        <v>1953</v>
      </c>
      <c r="F993" s="8" t="s">
        <v>911</v>
      </c>
      <c r="G993" s="8" t="s">
        <v>1748</v>
      </c>
      <c r="H993" s="10">
        <v>1</v>
      </c>
      <c r="I993" s="10"/>
      <c r="J993" s="10">
        <v>1</v>
      </c>
      <c r="K993" s="10">
        <v>6028.96</v>
      </c>
    </row>
    <row r="994" spans="1:11" x14ac:dyDescent="0.25">
      <c r="A994" s="8" t="s">
        <v>1954</v>
      </c>
      <c r="B994" s="8" t="s">
        <v>1655</v>
      </c>
      <c r="C994" s="8" t="s">
        <v>1746</v>
      </c>
      <c r="D994" s="8">
        <v>6</v>
      </c>
      <c r="E994" s="8" t="s">
        <v>1955</v>
      </c>
      <c r="F994" s="8" t="s">
        <v>911</v>
      </c>
      <c r="G994" s="8" t="s">
        <v>1748</v>
      </c>
      <c r="H994" s="10">
        <v>1</v>
      </c>
      <c r="I994" s="10"/>
      <c r="J994" s="10">
        <v>1</v>
      </c>
      <c r="K994" s="10">
        <v>6028.96</v>
      </c>
    </row>
    <row r="995" spans="1:11" x14ac:dyDescent="0.25">
      <c r="A995" s="8" t="s">
        <v>1956</v>
      </c>
      <c r="B995" s="8" t="s">
        <v>120</v>
      </c>
      <c r="C995" s="8" t="s">
        <v>1746</v>
      </c>
      <c r="D995" s="8">
        <v>6</v>
      </c>
      <c r="E995" s="8" t="s">
        <v>1957</v>
      </c>
      <c r="F995" s="8" t="s">
        <v>911</v>
      </c>
      <c r="G995" s="8" t="s">
        <v>1748</v>
      </c>
      <c r="H995" s="10">
        <v>1</v>
      </c>
      <c r="I995" s="10"/>
      <c r="J995" s="10">
        <v>1</v>
      </c>
      <c r="K995" s="10">
        <v>30144.82</v>
      </c>
    </row>
    <row r="996" spans="1:11" x14ac:dyDescent="0.25">
      <c r="A996" s="8" t="s">
        <v>1958</v>
      </c>
      <c r="B996" s="8" t="s">
        <v>1650</v>
      </c>
      <c r="C996" s="8" t="s">
        <v>1746</v>
      </c>
      <c r="D996" s="8">
        <v>6</v>
      </c>
      <c r="E996" s="8" t="s">
        <v>1959</v>
      </c>
      <c r="F996" s="8" t="s">
        <v>911</v>
      </c>
      <c r="G996" s="8" t="s">
        <v>1748</v>
      </c>
      <c r="H996" s="10">
        <v>1</v>
      </c>
      <c r="I996" s="10"/>
      <c r="J996" s="10">
        <v>1</v>
      </c>
      <c r="K996" s="10">
        <v>30144.82</v>
      </c>
    </row>
    <row r="997" spans="1:11" x14ac:dyDescent="0.25">
      <c r="A997" s="8" t="s">
        <v>1960</v>
      </c>
      <c r="B997" s="8" t="s">
        <v>1655</v>
      </c>
      <c r="C997" s="8" t="s">
        <v>1746</v>
      </c>
      <c r="D997" s="8">
        <v>6</v>
      </c>
      <c r="E997" s="8" t="s">
        <v>1961</v>
      </c>
      <c r="F997" s="8" t="s">
        <v>911</v>
      </c>
      <c r="G997" s="8" t="s">
        <v>1748</v>
      </c>
      <c r="H997" s="10">
        <v>1</v>
      </c>
      <c r="I997" s="10"/>
      <c r="J997" s="10">
        <v>1</v>
      </c>
      <c r="K997" s="10">
        <v>45217.23</v>
      </c>
    </row>
    <row r="998" spans="1:11" x14ac:dyDescent="0.25">
      <c r="A998" s="8" t="s">
        <v>1962</v>
      </c>
      <c r="B998" s="8" t="s">
        <v>1655</v>
      </c>
      <c r="C998" s="8" t="s">
        <v>1746</v>
      </c>
      <c r="D998" s="8">
        <v>6</v>
      </c>
      <c r="E998" s="8" t="s">
        <v>1963</v>
      </c>
      <c r="F998" s="8" t="s">
        <v>911</v>
      </c>
      <c r="G998" s="8" t="s">
        <v>1748</v>
      </c>
      <c r="H998" s="10">
        <v>1</v>
      </c>
      <c r="I998" s="10"/>
      <c r="J998" s="10">
        <v>1</v>
      </c>
      <c r="K998" s="10">
        <v>30144.82</v>
      </c>
    </row>
    <row r="999" spans="1:11" x14ac:dyDescent="0.25">
      <c r="A999" s="8" t="s">
        <v>1964</v>
      </c>
      <c r="B999" s="8" t="s">
        <v>1650</v>
      </c>
      <c r="C999" s="8" t="s">
        <v>1746</v>
      </c>
      <c r="D999" s="8">
        <v>6</v>
      </c>
      <c r="E999" s="8" t="s">
        <v>1965</v>
      </c>
      <c r="F999" s="8" t="s">
        <v>911</v>
      </c>
      <c r="G999" s="8" t="s">
        <v>1748</v>
      </c>
      <c r="H999" s="10">
        <v>1</v>
      </c>
      <c r="I999" s="10"/>
      <c r="J999" s="10">
        <v>1</v>
      </c>
      <c r="K999" s="10">
        <v>8038.62</v>
      </c>
    </row>
    <row r="1000" spans="1:11" x14ac:dyDescent="0.25">
      <c r="A1000" s="8" t="s">
        <v>1966</v>
      </c>
      <c r="B1000" s="8" t="s">
        <v>120</v>
      </c>
      <c r="C1000" s="8" t="s">
        <v>1746</v>
      </c>
      <c r="D1000" s="8">
        <v>6</v>
      </c>
      <c r="E1000" s="8" t="s">
        <v>1967</v>
      </c>
      <c r="F1000" s="8" t="s">
        <v>911</v>
      </c>
      <c r="G1000" s="8" t="s">
        <v>1748</v>
      </c>
      <c r="H1000" s="10">
        <v>1</v>
      </c>
      <c r="I1000" s="10"/>
      <c r="J1000" s="10">
        <v>1</v>
      </c>
      <c r="K1000" s="10">
        <v>8038.62</v>
      </c>
    </row>
    <row r="1001" spans="1:11" x14ac:dyDescent="0.25">
      <c r="A1001" s="8" t="s">
        <v>1968</v>
      </c>
      <c r="B1001" s="8" t="s">
        <v>1655</v>
      </c>
      <c r="C1001" s="8" t="s">
        <v>1746</v>
      </c>
      <c r="D1001" s="8">
        <v>6</v>
      </c>
      <c r="E1001" s="8" t="s">
        <v>1969</v>
      </c>
      <c r="F1001" s="8" t="s">
        <v>911</v>
      </c>
      <c r="G1001" s="8" t="s">
        <v>1748</v>
      </c>
      <c r="H1001" s="10">
        <v>1</v>
      </c>
      <c r="I1001" s="10"/>
      <c r="J1001" s="10">
        <v>1</v>
      </c>
      <c r="K1001" s="10">
        <v>8038.62</v>
      </c>
    </row>
    <row r="1002" spans="1:11" x14ac:dyDescent="0.25">
      <c r="A1002" s="8" t="s">
        <v>1970</v>
      </c>
      <c r="B1002" s="8" t="s">
        <v>1655</v>
      </c>
      <c r="C1002" s="8" t="s">
        <v>1746</v>
      </c>
      <c r="D1002" s="8">
        <v>6</v>
      </c>
      <c r="E1002" s="8" t="s">
        <v>1971</v>
      </c>
      <c r="F1002" s="8" t="s">
        <v>911</v>
      </c>
      <c r="G1002" s="8" t="s">
        <v>1748</v>
      </c>
      <c r="H1002" s="10">
        <v>1</v>
      </c>
      <c r="I1002" s="10"/>
      <c r="J1002" s="10">
        <v>1</v>
      </c>
      <c r="K1002" s="10">
        <v>100482.73</v>
      </c>
    </row>
    <row r="1003" spans="1:11" x14ac:dyDescent="0.25">
      <c r="A1003" s="8" t="s">
        <v>1972</v>
      </c>
      <c r="B1003" s="8" t="s">
        <v>1650</v>
      </c>
      <c r="C1003" s="8" t="s">
        <v>1746</v>
      </c>
      <c r="D1003" s="8">
        <v>6</v>
      </c>
      <c r="E1003" s="8" t="s">
        <v>1973</v>
      </c>
      <c r="F1003" s="8" t="s">
        <v>911</v>
      </c>
      <c r="G1003" s="8" t="s">
        <v>1748</v>
      </c>
      <c r="H1003" s="10">
        <v>1</v>
      </c>
      <c r="I1003" s="10"/>
      <c r="J1003" s="10">
        <v>1</v>
      </c>
      <c r="K1003" s="10">
        <v>80386.19</v>
      </c>
    </row>
    <row r="1004" spans="1:11" x14ac:dyDescent="0.25">
      <c r="A1004" s="8" t="s">
        <v>1974</v>
      </c>
      <c r="B1004" s="8" t="s">
        <v>120</v>
      </c>
      <c r="C1004" s="8" t="s">
        <v>1746</v>
      </c>
      <c r="D1004" s="8">
        <v>6</v>
      </c>
      <c r="E1004" s="8" t="s">
        <v>1975</v>
      </c>
      <c r="F1004" s="8" t="s">
        <v>911</v>
      </c>
      <c r="G1004" s="8" t="s">
        <v>1748</v>
      </c>
      <c r="H1004" s="10">
        <v>1</v>
      </c>
      <c r="I1004" s="10"/>
      <c r="J1004" s="10">
        <v>1</v>
      </c>
      <c r="K1004" s="10">
        <v>321544.74</v>
      </c>
    </row>
    <row r="1005" spans="1:11" x14ac:dyDescent="0.25">
      <c r="A1005" s="8" t="s">
        <v>1976</v>
      </c>
      <c r="B1005" s="8" t="s">
        <v>1650</v>
      </c>
      <c r="C1005" s="8" t="s">
        <v>1694</v>
      </c>
      <c r="D1005" s="8">
        <v>5</v>
      </c>
      <c r="E1005" s="8" t="s">
        <v>1977</v>
      </c>
      <c r="F1005" s="8" t="s">
        <v>911</v>
      </c>
      <c r="G1005" s="8" t="s">
        <v>1978</v>
      </c>
      <c r="H1005" s="10">
        <v>1</v>
      </c>
      <c r="I1005" s="10"/>
      <c r="J1005" s="10">
        <v>1</v>
      </c>
      <c r="K1005" s="10">
        <v>2009.65</v>
      </c>
    </row>
    <row r="1006" spans="1:11" x14ac:dyDescent="0.25">
      <c r="A1006" s="8" t="s">
        <v>1979</v>
      </c>
      <c r="B1006" s="8" t="s">
        <v>120</v>
      </c>
      <c r="C1006" s="8" t="s">
        <v>1694</v>
      </c>
      <c r="D1006" s="8">
        <v>5</v>
      </c>
      <c r="E1006" s="8" t="s">
        <v>1980</v>
      </c>
      <c r="F1006" s="8" t="s">
        <v>911</v>
      </c>
      <c r="G1006" s="8" t="s">
        <v>1978</v>
      </c>
      <c r="H1006" s="10">
        <v>1</v>
      </c>
      <c r="I1006" s="10"/>
      <c r="J1006" s="10">
        <v>1</v>
      </c>
      <c r="K1006" s="10">
        <v>2009.65</v>
      </c>
    </row>
    <row r="1007" spans="1:11" x14ac:dyDescent="0.25">
      <c r="A1007" s="8" t="s">
        <v>1981</v>
      </c>
      <c r="B1007" s="8" t="s">
        <v>120</v>
      </c>
      <c r="C1007" s="8" t="s">
        <v>1694</v>
      </c>
      <c r="D1007" s="8">
        <v>5</v>
      </c>
      <c r="E1007" s="8" t="s">
        <v>1982</v>
      </c>
      <c r="F1007" s="8" t="s">
        <v>911</v>
      </c>
      <c r="G1007" s="8" t="s">
        <v>1978</v>
      </c>
      <c r="H1007" s="10">
        <v>1</v>
      </c>
      <c r="I1007" s="10"/>
      <c r="J1007" s="10">
        <v>1</v>
      </c>
      <c r="K1007" s="10">
        <v>2009.65</v>
      </c>
    </row>
    <row r="1008" spans="1:11" x14ac:dyDescent="0.25">
      <c r="A1008" s="8" t="s">
        <v>1983</v>
      </c>
      <c r="B1008" s="8" t="s">
        <v>120</v>
      </c>
      <c r="C1008" s="8" t="s">
        <v>1694</v>
      </c>
      <c r="D1008" s="8">
        <v>5</v>
      </c>
      <c r="E1008" s="8" t="s">
        <v>1984</v>
      </c>
      <c r="F1008" s="8" t="s">
        <v>911</v>
      </c>
      <c r="G1008" s="8" t="s">
        <v>1978</v>
      </c>
      <c r="H1008" s="10">
        <v>1</v>
      </c>
      <c r="I1008" s="10"/>
      <c r="J1008" s="10">
        <v>1</v>
      </c>
      <c r="K1008" s="10">
        <v>2009.65</v>
      </c>
    </row>
    <row r="1009" spans="1:11" x14ac:dyDescent="0.25">
      <c r="A1009" s="8" t="s">
        <v>1985</v>
      </c>
      <c r="B1009" s="8" t="s">
        <v>120</v>
      </c>
      <c r="C1009" s="8" t="s">
        <v>1694</v>
      </c>
      <c r="D1009" s="8">
        <v>5</v>
      </c>
      <c r="E1009" s="8" t="s">
        <v>1986</v>
      </c>
      <c r="F1009" s="8" t="s">
        <v>911</v>
      </c>
      <c r="G1009" s="8" t="s">
        <v>1978</v>
      </c>
      <c r="H1009" s="10">
        <v>1</v>
      </c>
      <c r="I1009" s="10"/>
      <c r="J1009" s="10">
        <v>1</v>
      </c>
      <c r="K1009" s="10">
        <v>2009.65</v>
      </c>
    </row>
    <row r="1010" spans="1:11" x14ac:dyDescent="0.25">
      <c r="A1010" s="8" t="s">
        <v>1987</v>
      </c>
      <c r="B1010" s="8" t="s">
        <v>120</v>
      </c>
      <c r="C1010" s="8" t="s">
        <v>1694</v>
      </c>
      <c r="D1010" s="8">
        <v>5</v>
      </c>
      <c r="E1010" s="8" t="s">
        <v>1988</v>
      </c>
      <c r="F1010" s="8" t="s">
        <v>911</v>
      </c>
      <c r="G1010" s="8" t="s">
        <v>1978</v>
      </c>
      <c r="H1010" s="10">
        <v>1</v>
      </c>
      <c r="I1010" s="10"/>
      <c r="J1010" s="10">
        <v>1</v>
      </c>
      <c r="K1010" s="10">
        <v>2009.65</v>
      </c>
    </row>
    <row r="1011" spans="1:11" x14ac:dyDescent="0.25">
      <c r="A1011" s="8" t="s">
        <v>1989</v>
      </c>
      <c r="B1011" s="8" t="s">
        <v>120</v>
      </c>
      <c r="C1011" s="8" t="s">
        <v>1694</v>
      </c>
      <c r="D1011" s="8">
        <v>5</v>
      </c>
      <c r="E1011" s="8" t="s">
        <v>1990</v>
      </c>
      <c r="F1011" s="8" t="s">
        <v>911</v>
      </c>
      <c r="G1011" s="8" t="s">
        <v>1978</v>
      </c>
      <c r="H1011" s="10">
        <v>1</v>
      </c>
      <c r="I1011" s="10"/>
      <c r="J1011" s="10">
        <v>1</v>
      </c>
      <c r="K1011" s="10">
        <v>2009.65</v>
      </c>
    </row>
    <row r="1012" spans="1:11" x14ac:dyDescent="0.25">
      <c r="A1012" s="8" t="s">
        <v>1991</v>
      </c>
      <c r="B1012" s="8" t="s">
        <v>1655</v>
      </c>
      <c r="C1012" s="8" t="s">
        <v>1694</v>
      </c>
      <c r="D1012" s="8">
        <v>5</v>
      </c>
      <c r="E1012" s="8" t="s">
        <v>1992</v>
      </c>
      <c r="F1012" s="8" t="s">
        <v>911</v>
      </c>
      <c r="G1012" s="8" t="s">
        <v>1978</v>
      </c>
      <c r="H1012" s="10">
        <v>1</v>
      </c>
      <c r="I1012" s="10"/>
      <c r="J1012" s="10">
        <v>1</v>
      </c>
      <c r="K1012" s="10">
        <v>2009.65</v>
      </c>
    </row>
    <row r="1013" spans="1:11" x14ac:dyDescent="0.25">
      <c r="A1013" s="8" t="s">
        <v>1993</v>
      </c>
      <c r="B1013" s="8" t="s">
        <v>1655</v>
      </c>
      <c r="C1013" s="8" t="s">
        <v>1694</v>
      </c>
      <c r="D1013" s="8">
        <v>5</v>
      </c>
      <c r="E1013" s="8" t="s">
        <v>1994</v>
      </c>
      <c r="F1013" s="8" t="s">
        <v>911</v>
      </c>
      <c r="G1013" s="8" t="s">
        <v>1978</v>
      </c>
      <c r="H1013" s="10">
        <v>1</v>
      </c>
      <c r="I1013" s="10"/>
      <c r="J1013" s="10">
        <v>1</v>
      </c>
      <c r="K1013" s="10">
        <v>2009.65</v>
      </c>
    </row>
    <row r="1014" spans="1:11" x14ac:dyDescent="0.25">
      <c r="A1014" s="8" t="s">
        <v>1995</v>
      </c>
      <c r="B1014" s="8" t="s">
        <v>1650</v>
      </c>
      <c r="C1014" s="8" t="s">
        <v>1694</v>
      </c>
      <c r="D1014" s="8">
        <v>5</v>
      </c>
      <c r="E1014" s="8" t="s">
        <v>1996</v>
      </c>
      <c r="F1014" s="8" t="s">
        <v>911</v>
      </c>
      <c r="G1014" s="8" t="s">
        <v>1978</v>
      </c>
      <c r="H1014" s="10">
        <v>1</v>
      </c>
      <c r="I1014" s="10"/>
      <c r="J1014" s="10">
        <v>1</v>
      </c>
      <c r="K1014" s="10">
        <v>4019.31</v>
      </c>
    </row>
    <row r="1015" spans="1:11" x14ac:dyDescent="0.25">
      <c r="A1015" s="8" t="s">
        <v>1997</v>
      </c>
      <c r="B1015" s="8" t="s">
        <v>1650</v>
      </c>
      <c r="C1015" s="8" t="s">
        <v>1694</v>
      </c>
      <c r="D1015" s="8">
        <v>5</v>
      </c>
      <c r="E1015" s="8" t="s">
        <v>1998</v>
      </c>
      <c r="F1015" s="8" t="s">
        <v>911</v>
      </c>
      <c r="G1015" s="8" t="s">
        <v>1978</v>
      </c>
      <c r="H1015" s="10">
        <v>1</v>
      </c>
      <c r="I1015" s="10"/>
      <c r="J1015" s="10">
        <v>1</v>
      </c>
      <c r="K1015" s="10">
        <v>4019.31</v>
      </c>
    </row>
    <row r="1016" spans="1:11" x14ac:dyDescent="0.25">
      <c r="A1016" s="8" t="s">
        <v>1999</v>
      </c>
      <c r="B1016" s="8" t="s">
        <v>120</v>
      </c>
      <c r="C1016" s="8" t="s">
        <v>1694</v>
      </c>
      <c r="D1016" s="8">
        <v>5</v>
      </c>
      <c r="E1016" s="8" t="s">
        <v>2000</v>
      </c>
      <c r="F1016" s="8" t="s">
        <v>911</v>
      </c>
      <c r="G1016" s="8" t="s">
        <v>1978</v>
      </c>
      <c r="H1016" s="10">
        <v>1</v>
      </c>
      <c r="I1016" s="10"/>
      <c r="J1016" s="10">
        <v>1</v>
      </c>
      <c r="K1016" s="10">
        <v>4019.31</v>
      </c>
    </row>
    <row r="1017" spans="1:11" x14ac:dyDescent="0.25">
      <c r="A1017" s="8" t="s">
        <v>2001</v>
      </c>
      <c r="B1017" s="8" t="s">
        <v>120</v>
      </c>
      <c r="C1017" s="8" t="s">
        <v>1694</v>
      </c>
      <c r="D1017" s="8">
        <v>5</v>
      </c>
      <c r="E1017" s="8" t="s">
        <v>2002</v>
      </c>
      <c r="F1017" s="8" t="s">
        <v>911</v>
      </c>
      <c r="G1017" s="8" t="s">
        <v>1978</v>
      </c>
      <c r="H1017" s="10">
        <v>1</v>
      </c>
      <c r="I1017" s="10"/>
      <c r="J1017" s="10">
        <v>1</v>
      </c>
      <c r="K1017" s="10">
        <v>4019.31</v>
      </c>
    </row>
    <row r="1018" spans="1:11" x14ac:dyDescent="0.25">
      <c r="A1018" s="8" t="s">
        <v>2003</v>
      </c>
      <c r="B1018" s="8" t="s">
        <v>1655</v>
      </c>
      <c r="C1018" s="8" t="s">
        <v>1694</v>
      </c>
      <c r="D1018" s="8">
        <v>5</v>
      </c>
      <c r="E1018" s="8" t="s">
        <v>2004</v>
      </c>
      <c r="F1018" s="8" t="s">
        <v>911</v>
      </c>
      <c r="G1018" s="8" t="s">
        <v>1978</v>
      </c>
      <c r="H1018" s="10">
        <v>1</v>
      </c>
      <c r="I1018" s="10"/>
      <c r="J1018" s="10">
        <v>1</v>
      </c>
      <c r="K1018" s="10">
        <v>4019.31</v>
      </c>
    </row>
    <row r="1019" spans="1:11" x14ac:dyDescent="0.25">
      <c r="A1019" s="8" t="s">
        <v>2005</v>
      </c>
      <c r="B1019" s="8" t="s">
        <v>120</v>
      </c>
      <c r="C1019" s="8" t="s">
        <v>2006</v>
      </c>
      <c r="D1019" s="8">
        <v>5</v>
      </c>
      <c r="E1019" s="8" t="s">
        <v>2007</v>
      </c>
      <c r="F1019" s="8" t="s">
        <v>215</v>
      </c>
      <c r="G1019" s="8" t="s">
        <v>2008</v>
      </c>
      <c r="H1019" s="10">
        <v>1</v>
      </c>
      <c r="I1019" s="10"/>
      <c r="J1019" s="10">
        <v>1</v>
      </c>
      <c r="K1019" s="10">
        <v>14297.43</v>
      </c>
    </row>
    <row r="1020" spans="1:11" x14ac:dyDescent="0.25">
      <c r="A1020" s="8" t="s">
        <v>2009</v>
      </c>
      <c r="B1020" s="8" t="s">
        <v>120</v>
      </c>
      <c r="C1020" s="8" t="s">
        <v>2006</v>
      </c>
      <c r="D1020" s="8">
        <v>5</v>
      </c>
      <c r="E1020" s="8" t="s">
        <v>2010</v>
      </c>
      <c r="F1020" s="8" t="s">
        <v>215</v>
      </c>
      <c r="G1020" s="8" t="s">
        <v>2008</v>
      </c>
      <c r="H1020" s="10">
        <v>1</v>
      </c>
      <c r="I1020" s="10"/>
      <c r="J1020" s="10">
        <v>1</v>
      </c>
      <c r="K1020" s="10">
        <v>14297.43</v>
      </c>
    </row>
    <row r="1021" spans="1:11" x14ac:dyDescent="0.25">
      <c r="A1021" s="8" t="s">
        <v>2011</v>
      </c>
      <c r="B1021" s="8" t="s">
        <v>1650</v>
      </c>
      <c r="C1021" s="8" t="s">
        <v>2006</v>
      </c>
      <c r="D1021" s="8">
        <v>5</v>
      </c>
      <c r="E1021" s="8" t="s">
        <v>2012</v>
      </c>
      <c r="F1021" s="8" t="s">
        <v>215</v>
      </c>
      <c r="G1021" s="8" t="s">
        <v>2008</v>
      </c>
      <c r="H1021" s="10">
        <v>1</v>
      </c>
      <c r="I1021" s="10"/>
      <c r="J1021" s="10">
        <v>1</v>
      </c>
      <c r="K1021" s="10">
        <v>28365.01</v>
      </c>
    </row>
    <row r="1022" spans="1:11" x14ac:dyDescent="0.25">
      <c r="A1022" s="8" t="s">
        <v>2013</v>
      </c>
      <c r="B1022" s="8" t="s">
        <v>120</v>
      </c>
      <c r="C1022" s="8" t="s">
        <v>2006</v>
      </c>
      <c r="D1022" s="8">
        <v>5</v>
      </c>
      <c r="E1022" s="8" t="s">
        <v>2014</v>
      </c>
      <c r="F1022" s="8" t="s">
        <v>215</v>
      </c>
      <c r="G1022" s="8" t="s">
        <v>2008</v>
      </c>
      <c r="H1022" s="10">
        <v>1</v>
      </c>
      <c r="I1022" s="10"/>
      <c r="J1022" s="10">
        <v>1</v>
      </c>
      <c r="K1022" s="10">
        <v>28365.01</v>
      </c>
    </row>
    <row r="1023" spans="1:11" x14ac:dyDescent="0.25">
      <c r="A1023" s="8" t="s">
        <v>2015</v>
      </c>
      <c r="B1023" s="8" t="s">
        <v>120</v>
      </c>
      <c r="C1023" s="8" t="s">
        <v>2006</v>
      </c>
      <c r="D1023" s="8">
        <v>5</v>
      </c>
      <c r="E1023" s="8" t="s">
        <v>2016</v>
      </c>
      <c r="F1023" s="8" t="s">
        <v>215</v>
      </c>
      <c r="G1023" s="8" t="s">
        <v>2008</v>
      </c>
      <c r="H1023" s="10">
        <v>1</v>
      </c>
      <c r="I1023" s="10"/>
      <c r="J1023" s="10">
        <v>1</v>
      </c>
      <c r="K1023" s="10">
        <v>28365.01</v>
      </c>
    </row>
    <row r="1024" spans="1:11" x14ac:dyDescent="0.25">
      <c r="A1024" s="8" t="s">
        <v>2017</v>
      </c>
      <c r="B1024" s="8" t="s">
        <v>120</v>
      </c>
      <c r="C1024" s="8" t="s">
        <v>2006</v>
      </c>
      <c r="D1024" s="8">
        <v>5</v>
      </c>
      <c r="E1024" s="8" t="s">
        <v>2018</v>
      </c>
      <c r="F1024" s="8" t="s">
        <v>215</v>
      </c>
      <c r="G1024" s="8" t="s">
        <v>2008</v>
      </c>
      <c r="H1024" s="10">
        <v>1</v>
      </c>
      <c r="I1024" s="10"/>
      <c r="J1024" s="10">
        <v>1</v>
      </c>
      <c r="K1024" s="10">
        <v>28365.01</v>
      </c>
    </row>
    <row r="1025" spans="1:11" x14ac:dyDescent="0.25">
      <c r="A1025" s="8" t="s">
        <v>2019</v>
      </c>
      <c r="B1025" s="8" t="s">
        <v>1655</v>
      </c>
      <c r="C1025" s="8" t="s">
        <v>2006</v>
      </c>
      <c r="D1025" s="8">
        <v>5</v>
      </c>
      <c r="E1025" s="8" t="s">
        <v>2020</v>
      </c>
      <c r="F1025" s="8" t="s">
        <v>215</v>
      </c>
      <c r="G1025" s="8" t="s">
        <v>2008</v>
      </c>
      <c r="H1025" s="10">
        <v>1</v>
      </c>
      <c r="I1025" s="10"/>
      <c r="J1025" s="10">
        <v>1</v>
      </c>
      <c r="K1025" s="10">
        <v>28365.01</v>
      </c>
    </row>
    <row r="1026" spans="1:11" x14ac:dyDescent="0.25">
      <c r="A1026" s="8" t="s">
        <v>2021</v>
      </c>
      <c r="B1026" s="8" t="s">
        <v>1655</v>
      </c>
      <c r="C1026" s="8" t="s">
        <v>2006</v>
      </c>
      <c r="D1026" s="8">
        <v>5</v>
      </c>
      <c r="E1026" s="8" t="s">
        <v>2022</v>
      </c>
      <c r="F1026" s="8" t="s">
        <v>215</v>
      </c>
      <c r="G1026" s="8" t="s">
        <v>2008</v>
      </c>
      <c r="H1026" s="10">
        <v>1</v>
      </c>
      <c r="I1026" s="10"/>
      <c r="J1026" s="10">
        <v>1</v>
      </c>
      <c r="K1026" s="10">
        <v>28365.01</v>
      </c>
    </row>
    <row r="1027" spans="1:11" x14ac:dyDescent="0.25">
      <c r="A1027" s="8" t="s">
        <v>2023</v>
      </c>
      <c r="B1027" s="8" t="s">
        <v>120</v>
      </c>
      <c r="C1027" s="8" t="s">
        <v>2006</v>
      </c>
      <c r="D1027" s="8">
        <v>5</v>
      </c>
      <c r="E1027" s="8" t="s">
        <v>2024</v>
      </c>
      <c r="F1027" s="8" t="s">
        <v>215</v>
      </c>
      <c r="G1027" s="8" t="s">
        <v>2008</v>
      </c>
      <c r="H1027" s="10">
        <v>1</v>
      </c>
      <c r="I1027" s="10"/>
      <c r="J1027" s="10">
        <v>1</v>
      </c>
      <c r="K1027" s="10">
        <v>33389.14</v>
      </c>
    </row>
    <row r="1028" spans="1:11" x14ac:dyDescent="0.25">
      <c r="A1028" s="8" t="s">
        <v>2025</v>
      </c>
      <c r="B1028" s="8" t="s">
        <v>120</v>
      </c>
      <c r="C1028" s="8" t="s">
        <v>2006</v>
      </c>
      <c r="D1028" s="8">
        <v>5</v>
      </c>
      <c r="E1028" s="8" t="s">
        <v>2026</v>
      </c>
      <c r="F1028" s="8" t="s">
        <v>215</v>
      </c>
      <c r="G1028" s="8" t="s">
        <v>2008</v>
      </c>
      <c r="H1028" s="10">
        <v>1</v>
      </c>
      <c r="I1028" s="10"/>
      <c r="J1028" s="10">
        <v>1</v>
      </c>
      <c r="K1028" s="10">
        <v>33389.14</v>
      </c>
    </row>
    <row r="1029" spans="1:11" x14ac:dyDescent="0.25">
      <c r="A1029" s="8" t="s">
        <v>2027</v>
      </c>
      <c r="B1029" s="8" t="s">
        <v>120</v>
      </c>
      <c r="C1029" s="8" t="s">
        <v>2006</v>
      </c>
      <c r="D1029" s="8">
        <v>5</v>
      </c>
      <c r="E1029" s="8" t="s">
        <v>2028</v>
      </c>
      <c r="F1029" s="8" t="s">
        <v>215</v>
      </c>
      <c r="G1029" s="8" t="s">
        <v>2008</v>
      </c>
      <c r="H1029" s="10">
        <v>1</v>
      </c>
      <c r="I1029" s="10"/>
      <c r="J1029" s="10">
        <v>1</v>
      </c>
      <c r="K1029" s="10">
        <v>33389.14</v>
      </c>
    </row>
    <row r="1030" spans="1:11" x14ac:dyDescent="0.25">
      <c r="A1030" s="8" t="s">
        <v>2029</v>
      </c>
      <c r="B1030" s="8" t="s">
        <v>1650</v>
      </c>
      <c r="C1030" s="8" t="s">
        <v>2006</v>
      </c>
      <c r="D1030" s="8">
        <v>5</v>
      </c>
      <c r="E1030" s="8" t="s">
        <v>2030</v>
      </c>
      <c r="F1030" s="8" t="s">
        <v>215</v>
      </c>
      <c r="G1030" s="8" t="s">
        <v>2008</v>
      </c>
      <c r="H1030" s="10">
        <v>1</v>
      </c>
      <c r="I1030" s="10"/>
      <c r="J1030" s="10">
        <v>1</v>
      </c>
      <c r="K1030" s="10">
        <v>66778.289999999994</v>
      </c>
    </row>
    <row r="1031" spans="1:11" x14ac:dyDescent="0.25">
      <c r="A1031" s="8" t="s">
        <v>2031</v>
      </c>
      <c r="B1031" s="8" t="s">
        <v>1655</v>
      </c>
      <c r="C1031" s="8" t="s">
        <v>2006</v>
      </c>
      <c r="D1031" s="8">
        <v>5</v>
      </c>
      <c r="E1031" s="8" t="s">
        <v>2032</v>
      </c>
      <c r="F1031" s="8" t="s">
        <v>215</v>
      </c>
      <c r="G1031" s="8" t="s">
        <v>2008</v>
      </c>
      <c r="H1031" s="10">
        <v>1</v>
      </c>
      <c r="I1031" s="10"/>
      <c r="J1031" s="10">
        <v>1</v>
      </c>
      <c r="K1031" s="10">
        <v>66778.289999999994</v>
      </c>
    </row>
    <row r="1032" spans="1:11" x14ac:dyDescent="0.25">
      <c r="A1032" s="8" t="s">
        <v>2033</v>
      </c>
      <c r="B1032" s="8" t="s">
        <v>120</v>
      </c>
      <c r="C1032" s="8" t="s">
        <v>2006</v>
      </c>
      <c r="D1032" s="8">
        <v>5</v>
      </c>
      <c r="E1032" s="8" t="s">
        <v>2034</v>
      </c>
      <c r="F1032" s="8" t="s">
        <v>215</v>
      </c>
      <c r="G1032" s="8" t="s">
        <v>2008</v>
      </c>
      <c r="H1032" s="10">
        <v>1</v>
      </c>
      <c r="I1032" s="10"/>
      <c r="J1032" s="10">
        <v>1</v>
      </c>
      <c r="K1032" s="10">
        <v>91898.97</v>
      </c>
    </row>
    <row r="1033" spans="1:11" x14ac:dyDescent="0.25">
      <c r="A1033" s="8" t="s">
        <v>2035</v>
      </c>
      <c r="B1033" s="8" t="s">
        <v>120</v>
      </c>
      <c r="C1033" s="8" t="s">
        <v>2006</v>
      </c>
      <c r="D1033" s="8">
        <v>5</v>
      </c>
      <c r="E1033" s="8" t="s">
        <v>2036</v>
      </c>
      <c r="F1033" s="8" t="s">
        <v>215</v>
      </c>
      <c r="G1033" s="8" t="s">
        <v>2008</v>
      </c>
      <c r="H1033" s="10">
        <v>1</v>
      </c>
      <c r="I1033" s="10"/>
      <c r="J1033" s="10">
        <v>1</v>
      </c>
      <c r="K1033" s="10">
        <v>91898.97</v>
      </c>
    </row>
    <row r="1034" spans="1:11" x14ac:dyDescent="0.25">
      <c r="A1034" s="8" t="s">
        <v>2037</v>
      </c>
      <c r="B1034" s="8" t="s">
        <v>1650</v>
      </c>
      <c r="C1034" s="8" t="s">
        <v>2006</v>
      </c>
      <c r="D1034" s="8">
        <v>5</v>
      </c>
      <c r="E1034" s="8" t="s">
        <v>2038</v>
      </c>
      <c r="F1034" s="8" t="s">
        <v>215</v>
      </c>
      <c r="G1034" s="8" t="s">
        <v>2008</v>
      </c>
      <c r="H1034" s="10">
        <v>1</v>
      </c>
      <c r="I1034" s="10"/>
      <c r="J1034" s="10">
        <v>1</v>
      </c>
      <c r="K1034" s="10">
        <v>117019.66</v>
      </c>
    </row>
    <row r="1035" spans="1:11" x14ac:dyDescent="0.25">
      <c r="A1035" s="8" t="s">
        <v>2039</v>
      </c>
      <c r="B1035" s="8" t="s">
        <v>120</v>
      </c>
      <c r="C1035" s="8" t="s">
        <v>2006</v>
      </c>
      <c r="D1035" s="8">
        <v>5</v>
      </c>
      <c r="E1035" s="8" t="s">
        <v>2040</v>
      </c>
      <c r="F1035" s="8" t="s">
        <v>215</v>
      </c>
      <c r="G1035" s="8" t="s">
        <v>2008</v>
      </c>
      <c r="H1035" s="10">
        <v>1</v>
      </c>
      <c r="I1035" s="10"/>
      <c r="J1035" s="10">
        <v>1</v>
      </c>
      <c r="K1035" s="10">
        <v>117019.66</v>
      </c>
    </row>
    <row r="1036" spans="1:11" x14ac:dyDescent="0.25">
      <c r="A1036" s="8" t="s">
        <v>2041</v>
      </c>
      <c r="B1036" s="8" t="s">
        <v>120</v>
      </c>
      <c r="C1036" s="8" t="s">
        <v>2006</v>
      </c>
      <c r="D1036" s="8">
        <v>5</v>
      </c>
      <c r="E1036" s="8" t="s">
        <v>2042</v>
      </c>
      <c r="F1036" s="8" t="s">
        <v>215</v>
      </c>
      <c r="G1036" s="8" t="s">
        <v>2008</v>
      </c>
      <c r="H1036" s="10">
        <v>1</v>
      </c>
      <c r="I1036" s="10"/>
      <c r="J1036" s="10">
        <v>1</v>
      </c>
      <c r="K1036" s="10">
        <v>117019.66</v>
      </c>
    </row>
    <row r="1037" spans="1:11" x14ac:dyDescent="0.25">
      <c r="A1037" s="8" t="s">
        <v>2043</v>
      </c>
      <c r="B1037" s="8" t="s">
        <v>120</v>
      </c>
      <c r="C1037" s="8" t="s">
        <v>2006</v>
      </c>
      <c r="D1037" s="8">
        <v>5</v>
      </c>
      <c r="E1037" s="8" t="s">
        <v>2044</v>
      </c>
      <c r="F1037" s="8" t="s">
        <v>215</v>
      </c>
      <c r="G1037" s="8" t="s">
        <v>2008</v>
      </c>
      <c r="H1037" s="10">
        <v>1</v>
      </c>
      <c r="I1037" s="10"/>
      <c r="J1037" s="10">
        <v>1</v>
      </c>
      <c r="K1037" s="10">
        <v>117019.66</v>
      </c>
    </row>
    <row r="1038" spans="1:11" x14ac:dyDescent="0.25">
      <c r="A1038" s="8" t="s">
        <v>2045</v>
      </c>
      <c r="B1038" s="8" t="s">
        <v>120</v>
      </c>
      <c r="C1038" s="8" t="s">
        <v>2006</v>
      </c>
      <c r="D1038" s="8">
        <v>5</v>
      </c>
      <c r="E1038" s="8" t="s">
        <v>2046</v>
      </c>
      <c r="F1038" s="8" t="s">
        <v>215</v>
      </c>
      <c r="G1038" s="8" t="s">
        <v>2008</v>
      </c>
      <c r="H1038" s="10">
        <v>1</v>
      </c>
      <c r="I1038" s="10"/>
      <c r="J1038" s="10">
        <v>1</v>
      </c>
      <c r="K1038" s="10">
        <v>117019.66</v>
      </c>
    </row>
    <row r="1039" spans="1:11" x14ac:dyDescent="0.25">
      <c r="A1039" s="8" t="s">
        <v>2047</v>
      </c>
      <c r="B1039" s="8" t="s">
        <v>120</v>
      </c>
      <c r="C1039" s="8" t="s">
        <v>2006</v>
      </c>
      <c r="D1039" s="8">
        <v>5</v>
      </c>
      <c r="E1039" s="8" t="s">
        <v>2048</v>
      </c>
      <c r="F1039" s="8" t="s">
        <v>215</v>
      </c>
      <c r="G1039" s="8" t="s">
        <v>2008</v>
      </c>
      <c r="H1039" s="10">
        <v>1</v>
      </c>
      <c r="I1039" s="10"/>
      <c r="J1039" s="10">
        <v>1</v>
      </c>
      <c r="K1039" s="10">
        <v>117019.66</v>
      </c>
    </row>
    <row r="1040" spans="1:11" x14ac:dyDescent="0.25">
      <c r="A1040" s="8" t="s">
        <v>2049</v>
      </c>
      <c r="B1040" s="8" t="s">
        <v>120</v>
      </c>
      <c r="C1040" s="8" t="s">
        <v>2006</v>
      </c>
      <c r="D1040" s="8">
        <v>5</v>
      </c>
      <c r="E1040" s="8" t="s">
        <v>2050</v>
      </c>
      <c r="F1040" s="8" t="s">
        <v>215</v>
      </c>
      <c r="G1040" s="8" t="s">
        <v>2008</v>
      </c>
      <c r="H1040" s="10">
        <v>1</v>
      </c>
      <c r="I1040" s="10"/>
      <c r="J1040" s="10">
        <v>1</v>
      </c>
      <c r="K1040" s="10">
        <v>117019.66</v>
      </c>
    </row>
    <row r="1041" spans="1:11" x14ac:dyDescent="0.25">
      <c r="A1041" s="8" t="s">
        <v>2051</v>
      </c>
      <c r="B1041" s="8" t="s">
        <v>1655</v>
      </c>
      <c r="C1041" s="8" t="s">
        <v>2006</v>
      </c>
      <c r="D1041" s="8">
        <v>5</v>
      </c>
      <c r="E1041" s="8" t="s">
        <v>2052</v>
      </c>
      <c r="F1041" s="8" t="s">
        <v>215</v>
      </c>
      <c r="G1041" s="8" t="s">
        <v>2053</v>
      </c>
      <c r="H1041" s="10">
        <v>1</v>
      </c>
      <c r="I1041" s="10"/>
      <c r="J1041" s="10">
        <v>1</v>
      </c>
      <c r="K1041" s="10">
        <v>14297.43</v>
      </c>
    </row>
    <row r="1042" spans="1:11" x14ac:dyDescent="0.25">
      <c r="A1042" s="8" t="s">
        <v>2054</v>
      </c>
      <c r="B1042" s="8" t="s">
        <v>120</v>
      </c>
      <c r="C1042" s="8" t="s">
        <v>2006</v>
      </c>
      <c r="D1042" s="8">
        <v>5</v>
      </c>
      <c r="E1042" s="8" t="s">
        <v>2055</v>
      </c>
      <c r="F1042" s="8" t="s">
        <v>215</v>
      </c>
      <c r="G1042" s="8" t="s">
        <v>2053</v>
      </c>
      <c r="H1042" s="10">
        <v>1</v>
      </c>
      <c r="I1042" s="10"/>
      <c r="J1042" s="10">
        <v>1</v>
      </c>
      <c r="K1042" s="10">
        <v>14297.43</v>
      </c>
    </row>
    <row r="1043" spans="1:11" x14ac:dyDescent="0.25">
      <c r="A1043" s="8" t="s">
        <v>2056</v>
      </c>
      <c r="B1043" s="8" t="s">
        <v>1655</v>
      </c>
      <c r="C1043" s="8" t="s">
        <v>2006</v>
      </c>
      <c r="D1043" s="8">
        <v>5</v>
      </c>
      <c r="E1043" s="8" t="s">
        <v>2057</v>
      </c>
      <c r="F1043" s="8" t="s">
        <v>215</v>
      </c>
      <c r="G1043" s="8" t="s">
        <v>2058</v>
      </c>
      <c r="H1043" s="10">
        <v>1</v>
      </c>
      <c r="I1043" s="10"/>
      <c r="J1043" s="10">
        <v>1</v>
      </c>
      <c r="K1043" s="10">
        <v>25120.68</v>
      </c>
    </row>
    <row r="1044" spans="1:11" x14ac:dyDescent="0.25">
      <c r="A1044" s="8" t="s">
        <v>2059</v>
      </c>
      <c r="B1044" s="8" t="s">
        <v>1655</v>
      </c>
      <c r="C1044" s="8" t="s">
        <v>2006</v>
      </c>
      <c r="D1044" s="8">
        <v>5</v>
      </c>
      <c r="E1044" s="8" t="s">
        <v>2060</v>
      </c>
      <c r="F1044" s="8" t="s">
        <v>215</v>
      </c>
      <c r="G1044" s="8" t="s">
        <v>2058</v>
      </c>
      <c r="H1044" s="10">
        <v>1</v>
      </c>
      <c r="I1044" s="10"/>
      <c r="J1044" s="10">
        <v>1</v>
      </c>
      <c r="K1044" s="10">
        <v>25120.68</v>
      </c>
    </row>
    <row r="1045" spans="1:11" x14ac:dyDescent="0.25">
      <c r="A1045" s="8" t="s">
        <v>2061</v>
      </c>
      <c r="B1045" s="8" t="s">
        <v>1655</v>
      </c>
      <c r="C1045" s="8" t="s">
        <v>2006</v>
      </c>
      <c r="D1045" s="8">
        <v>5</v>
      </c>
      <c r="E1045" s="8" t="s">
        <v>2062</v>
      </c>
      <c r="F1045" s="8" t="s">
        <v>215</v>
      </c>
      <c r="G1045" s="8" t="s">
        <v>2058</v>
      </c>
      <c r="H1045" s="10">
        <v>1</v>
      </c>
      <c r="I1045" s="10"/>
      <c r="J1045" s="10">
        <v>1</v>
      </c>
      <c r="K1045" s="10">
        <v>25120.68</v>
      </c>
    </row>
    <row r="1046" spans="1:11" x14ac:dyDescent="0.25">
      <c r="A1046" s="8" t="s">
        <v>2063</v>
      </c>
      <c r="B1046" s="8" t="s">
        <v>1655</v>
      </c>
      <c r="C1046" s="8" t="s">
        <v>2006</v>
      </c>
      <c r="D1046" s="8">
        <v>5</v>
      </c>
      <c r="E1046" s="8" t="s">
        <v>2064</v>
      </c>
      <c r="F1046" s="8" t="s">
        <v>215</v>
      </c>
      <c r="G1046" s="8" t="s">
        <v>2058</v>
      </c>
      <c r="H1046" s="10">
        <v>1</v>
      </c>
      <c r="I1046" s="10"/>
      <c r="J1046" s="10">
        <v>1</v>
      </c>
      <c r="K1046" s="10">
        <v>25120.68</v>
      </c>
    </row>
    <row r="1047" spans="1:11" x14ac:dyDescent="0.25">
      <c r="A1047" s="8" t="s">
        <v>2065</v>
      </c>
      <c r="B1047" s="8" t="s">
        <v>120</v>
      </c>
      <c r="C1047" s="8" t="s">
        <v>2006</v>
      </c>
      <c r="D1047" s="8">
        <v>5</v>
      </c>
      <c r="E1047" s="8" t="s">
        <v>2066</v>
      </c>
      <c r="F1047" s="8" t="s">
        <v>215</v>
      </c>
      <c r="G1047" s="8" t="s">
        <v>2058</v>
      </c>
      <c r="H1047" s="10">
        <v>1</v>
      </c>
      <c r="I1047" s="10"/>
      <c r="J1047" s="10">
        <v>1</v>
      </c>
      <c r="K1047" s="10">
        <v>25120.68</v>
      </c>
    </row>
    <row r="1048" spans="1:11" x14ac:dyDescent="0.25">
      <c r="A1048" s="8" t="s">
        <v>2067</v>
      </c>
      <c r="B1048" s="8" t="s">
        <v>120</v>
      </c>
      <c r="C1048" s="8" t="s">
        <v>2006</v>
      </c>
      <c r="D1048" s="8">
        <v>5</v>
      </c>
      <c r="E1048" s="8" t="s">
        <v>2068</v>
      </c>
      <c r="F1048" s="8" t="s">
        <v>215</v>
      </c>
      <c r="G1048" s="8" t="s">
        <v>2058</v>
      </c>
      <c r="H1048" s="10">
        <v>1</v>
      </c>
      <c r="I1048" s="10"/>
      <c r="J1048" s="10">
        <v>1</v>
      </c>
      <c r="K1048" s="10">
        <v>25120.68</v>
      </c>
    </row>
    <row r="1049" spans="1:11" x14ac:dyDescent="0.25">
      <c r="A1049" s="8" t="s">
        <v>2069</v>
      </c>
      <c r="B1049" s="8" t="s">
        <v>120</v>
      </c>
      <c r="C1049" s="8" t="s">
        <v>2006</v>
      </c>
      <c r="D1049" s="8">
        <v>5</v>
      </c>
      <c r="E1049" s="8" t="s">
        <v>2070</v>
      </c>
      <c r="F1049" s="8" t="s">
        <v>215</v>
      </c>
      <c r="G1049" s="8" t="s">
        <v>2058</v>
      </c>
      <c r="H1049" s="10">
        <v>1</v>
      </c>
      <c r="I1049" s="10"/>
      <c r="J1049" s="10">
        <v>1</v>
      </c>
      <c r="K1049" s="10">
        <v>25120.68</v>
      </c>
    </row>
    <row r="1050" spans="1:11" x14ac:dyDescent="0.25">
      <c r="A1050" s="8" t="s">
        <v>2071</v>
      </c>
      <c r="B1050" s="8" t="s">
        <v>120</v>
      </c>
      <c r="C1050" s="8" t="s">
        <v>2006</v>
      </c>
      <c r="D1050" s="8">
        <v>5</v>
      </c>
      <c r="E1050" s="8" t="s">
        <v>2072</v>
      </c>
      <c r="F1050" s="8" t="s">
        <v>215</v>
      </c>
      <c r="G1050" s="8" t="s">
        <v>2058</v>
      </c>
      <c r="H1050" s="10">
        <v>1</v>
      </c>
      <c r="I1050" s="10"/>
      <c r="J1050" s="10">
        <v>1</v>
      </c>
      <c r="K1050" s="10">
        <v>25120.68</v>
      </c>
    </row>
    <row r="1051" spans="1:11" x14ac:dyDescent="0.25">
      <c r="A1051" s="8" t="s">
        <v>2073</v>
      </c>
      <c r="B1051" s="8" t="s">
        <v>2074</v>
      </c>
      <c r="C1051" s="8" t="s">
        <v>2006</v>
      </c>
      <c r="D1051" s="8">
        <v>5</v>
      </c>
      <c r="E1051" s="8" t="s">
        <v>2075</v>
      </c>
      <c r="F1051" s="8" t="s">
        <v>215</v>
      </c>
      <c r="G1051" s="8" t="s">
        <v>2058</v>
      </c>
      <c r="H1051" s="10">
        <v>1</v>
      </c>
      <c r="I1051" s="10"/>
      <c r="J1051" s="10">
        <v>1</v>
      </c>
      <c r="K1051" s="10">
        <v>25120.68</v>
      </c>
    </row>
    <row r="1052" spans="1:11" x14ac:dyDescent="0.25">
      <c r="A1052" s="8" t="s">
        <v>2076</v>
      </c>
      <c r="B1052" s="8" t="s">
        <v>2074</v>
      </c>
      <c r="C1052" s="8" t="s">
        <v>2006</v>
      </c>
      <c r="D1052" s="8">
        <v>5</v>
      </c>
      <c r="E1052" s="8" t="s">
        <v>2077</v>
      </c>
      <c r="F1052" s="8" t="s">
        <v>215</v>
      </c>
      <c r="G1052" s="8" t="s">
        <v>2058</v>
      </c>
      <c r="H1052" s="10">
        <v>1</v>
      </c>
      <c r="I1052" s="10"/>
      <c r="J1052" s="10">
        <v>1</v>
      </c>
      <c r="K1052" s="10">
        <v>25120.68</v>
      </c>
    </row>
    <row r="1053" spans="1:11" x14ac:dyDescent="0.25">
      <c r="A1053" s="8" t="s">
        <v>2078</v>
      </c>
      <c r="B1053" s="8" t="s">
        <v>1650</v>
      </c>
      <c r="C1053" s="8" t="s">
        <v>2006</v>
      </c>
      <c r="D1053" s="8">
        <v>5</v>
      </c>
      <c r="E1053" s="8" t="s">
        <v>2079</v>
      </c>
      <c r="F1053" s="8" t="s">
        <v>215</v>
      </c>
      <c r="G1053" s="8" t="s">
        <v>2058</v>
      </c>
      <c r="H1053" s="10">
        <v>1</v>
      </c>
      <c r="I1053" s="10"/>
      <c r="J1053" s="10">
        <v>1</v>
      </c>
      <c r="K1053" s="10">
        <v>25120.68</v>
      </c>
    </row>
    <row r="1054" spans="1:11" x14ac:dyDescent="0.25">
      <c r="A1054" s="8" t="s">
        <v>2080</v>
      </c>
      <c r="B1054" s="8" t="s">
        <v>1650</v>
      </c>
      <c r="C1054" s="8" t="s">
        <v>2006</v>
      </c>
      <c r="D1054" s="8">
        <v>5</v>
      </c>
      <c r="E1054" s="8" t="s">
        <v>2081</v>
      </c>
      <c r="F1054" s="8" t="s">
        <v>215</v>
      </c>
      <c r="G1054" s="8" t="s">
        <v>2058</v>
      </c>
      <c r="H1054" s="10">
        <v>1</v>
      </c>
      <c r="I1054" s="10"/>
      <c r="J1054" s="10">
        <v>1</v>
      </c>
      <c r="K1054" s="10">
        <v>25120.68</v>
      </c>
    </row>
    <row r="1055" spans="1:11" x14ac:dyDescent="0.25">
      <c r="A1055" s="8" t="s">
        <v>2082</v>
      </c>
      <c r="B1055" s="8" t="s">
        <v>1650</v>
      </c>
      <c r="C1055" s="8" t="s">
        <v>2006</v>
      </c>
      <c r="D1055" s="8">
        <v>5</v>
      </c>
      <c r="E1055" s="8" t="s">
        <v>2083</v>
      </c>
      <c r="F1055" s="8" t="s">
        <v>215</v>
      </c>
      <c r="G1055" s="8" t="s">
        <v>2058</v>
      </c>
      <c r="H1055" s="10">
        <v>1</v>
      </c>
      <c r="I1055" s="10"/>
      <c r="J1055" s="10">
        <v>1</v>
      </c>
      <c r="K1055" s="10">
        <v>25120.68</v>
      </c>
    </row>
    <row r="1056" spans="1:11" x14ac:dyDescent="0.25">
      <c r="A1056" s="8" t="s">
        <v>2084</v>
      </c>
      <c r="B1056" s="8" t="s">
        <v>1650</v>
      </c>
      <c r="C1056" s="8" t="s">
        <v>2006</v>
      </c>
      <c r="D1056" s="8">
        <v>5</v>
      </c>
      <c r="E1056" s="8" t="s">
        <v>2085</v>
      </c>
      <c r="F1056" s="8" t="s">
        <v>215</v>
      </c>
      <c r="G1056" s="8" t="s">
        <v>2058</v>
      </c>
      <c r="H1056" s="10">
        <v>1</v>
      </c>
      <c r="I1056" s="10"/>
      <c r="J1056" s="10">
        <v>1</v>
      </c>
      <c r="K1056" s="10">
        <v>25120.68</v>
      </c>
    </row>
    <row r="1057" spans="1:11" x14ac:dyDescent="0.25">
      <c r="A1057" s="8" t="s">
        <v>2086</v>
      </c>
      <c r="B1057" s="8" t="s">
        <v>1650</v>
      </c>
      <c r="C1057" s="8" t="s">
        <v>2006</v>
      </c>
      <c r="D1057" s="8">
        <v>5</v>
      </c>
      <c r="E1057" s="8" t="s">
        <v>2087</v>
      </c>
      <c r="F1057" s="8" t="s">
        <v>215</v>
      </c>
      <c r="G1057" s="8" t="s">
        <v>2058</v>
      </c>
      <c r="H1057" s="10">
        <v>1</v>
      </c>
      <c r="I1057" s="10"/>
      <c r="J1057" s="10">
        <v>1</v>
      </c>
      <c r="K1057" s="10">
        <v>25120.68</v>
      </c>
    </row>
    <row r="1058" spans="1:11" x14ac:dyDescent="0.25">
      <c r="A1058" s="8" t="s">
        <v>2088</v>
      </c>
      <c r="B1058" s="8" t="s">
        <v>1650</v>
      </c>
      <c r="C1058" s="8" t="s">
        <v>2006</v>
      </c>
      <c r="D1058" s="8">
        <v>5</v>
      </c>
      <c r="E1058" s="8" t="s">
        <v>2089</v>
      </c>
      <c r="F1058" s="8" t="s">
        <v>215</v>
      </c>
      <c r="G1058" s="8" t="s">
        <v>2090</v>
      </c>
      <c r="H1058" s="10">
        <v>9</v>
      </c>
      <c r="I1058" s="10"/>
      <c r="J1058" s="10">
        <v>9</v>
      </c>
      <c r="K1058" s="10">
        <v>2009.65</v>
      </c>
    </row>
    <row r="1059" spans="1:11" x14ac:dyDescent="0.25">
      <c r="A1059" s="8" t="s">
        <v>2091</v>
      </c>
      <c r="B1059" s="8" t="s">
        <v>120</v>
      </c>
      <c r="C1059" s="8" t="s">
        <v>2006</v>
      </c>
      <c r="D1059" s="8">
        <v>5</v>
      </c>
      <c r="E1059" s="8" t="s">
        <v>2089</v>
      </c>
      <c r="F1059" s="8" t="s">
        <v>215</v>
      </c>
      <c r="G1059" s="8" t="s">
        <v>2090</v>
      </c>
      <c r="H1059" s="10">
        <v>56</v>
      </c>
      <c r="I1059" s="10"/>
      <c r="J1059" s="10">
        <v>56</v>
      </c>
      <c r="K1059" s="10">
        <v>2009.65</v>
      </c>
    </row>
    <row r="1060" spans="1:11" x14ac:dyDescent="0.25">
      <c r="A1060" s="8" t="s">
        <v>2092</v>
      </c>
      <c r="B1060" s="8" t="s">
        <v>1655</v>
      </c>
      <c r="C1060" s="8" t="s">
        <v>2006</v>
      </c>
      <c r="D1060" s="8">
        <v>5</v>
      </c>
      <c r="E1060" s="8" t="s">
        <v>2089</v>
      </c>
      <c r="F1060" s="8" t="s">
        <v>215</v>
      </c>
      <c r="G1060" s="8" t="s">
        <v>2090</v>
      </c>
      <c r="H1060" s="10">
        <v>16</v>
      </c>
      <c r="I1060" s="10"/>
      <c r="J1060" s="10">
        <v>16</v>
      </c>
      <c r="K1060" s="10">
        <v>2009.65</v>
      </c>
    </row>
    <row r="1061" spans="1:11" x14ac:dyDescent="0.25">
      <c r="A1061" s="8" t="s">
        <v>2093</v>
      </c>
      <c r="B1061" s="8" t="s">
        <v>80</v>
      </c>
      <c r="C1061" s="8" t="s">
        <v>2006</v>
      </c>
      <c r="D1061" s="8">
        <v>5</v>
      </c>
      <c r="E1061" s="8" t="s">
        <v>2089</v>
      </c>
      <c r="F1061" s="8" t="s">
        <v>215</v>
      </c>
      <c r="G1061" s="8" t="s">
        <v>2090</v>
      </c>
      <c r="H1061" s="10">
        <v>2</v>
      </c>
      <c r="I1061" s="10"/>
      <c r="J1061" s="10">
        <v>2</v>
      </c>
      <c r="K1061" s="10">
        <v>2009.65</v>
      </c>
    </row>
    <row r="1062" spans="1:11" x14ac:dyDescent="0.25">
      <c r="A1062" s="8" t="s">
        <v>2094</v>
      </c>
      <c r="B1062" s="8" t="s">
        <v>120</v>
      </c>
      <c r="C1062" s="8" t="s">
        <v>2006</v>
      </c>
      <c r="D1062" s="8">
        <v>5</v>
      </c>
      <c r="E1062" s="8" t="s">
        <v>2095</v>
      </c>
      <c r="F1062" s="8" t="s">
        <v>215</v>
      </c>
      <c r="G1062" s="8" t="s">
        <v>2058</v>
      </c>
      <c r="H1062" s="10">
        <v>4</v>
      </c>
      <c r="I1062" s="10"/>
      <c r="J1062" s="10">
        <v>4</v>
      </c>
      <c r="K1062" s="10">
        <v>4019.31</v>
      </c>
    </row>
    <row r="1063" spans="1:11" x14ac:dyDescent="0.25">
      <c r="A1063" s="8" t="s">
        <v>2096</v>
      </c>
      <c r="B1063" s="8" t="s">
        <v>118</v>
      </c>
      <c r="C1063" s="8" t="s">
        <v>2006</v>
      </c>
      <c r="D1063" s="8">
        <v>5</v>
      </c>
      <c r="E1063" s="8" t="s">
        <v>2097</v>
      </c>
      <c r="F1063" s="8" t="s">
        <v>215</v>
      </c>
      <c r="G1063" s="8" t="s">
        <v>2058</v>
      </c>
      <c r="H1063" s="10">
        <v>1</v>
      </c>
      <c r="I1063" s="10"/>
      <c r="J1063" s="10">
        <v>1</v>
      </c>
      <c r="K1063" s="10">
        <v>4019.31</v>
      </c>
    </row>
    <row r="1064" spans="1:11" x14ac:dyDescent="0.25">
      <c r="A1064" s="8" t="s">
        <v>2098</v>
      </c>
      <c r="B1064" s="8" t="s">
        <v>120</v>
      </c>
      <c r="C1064" s="8" t="s">
        <v>2006</v>
      </c>
      <c r="D1064" s="8">
        <v>5</v>
      </c>
      <c r="E1064" s="8" t="s">
        <v>2099</v>
      </c>
      <c r="F1064" s="8" t="s">
        <v>215</v>
      </c>
      <c r="G1064" s="8" t="s">
        <v>2058</v>
      </c>
      <c r="H1064" s="10">
        <v>1</v>
      </c>
      <c r="I1064" s="10"/>
      <c r="J1064" s="10">
        <v>1</v>
      </c>
      <c r="K1064" s="10">
        <v>4019.31</v>
      </c>
    </row>
    <row r="1065" spans="1:11" x14ac:dyDescent="0.25">
      <c r="A1065" s="8" t="s">
        <v>2100</v>
      </c>
      <c r="B1065" s="8" t="s">
        <v>118</v>
      </c>
      <c r="C1065" s="8" t="s">
        <v>2006</v>
      </c>
      <c r="D1065" s="8">
        <v>5</v>
      </c>
      <c r="E1065" s="8" t="s">
        <v>2101</v>
      </c>
      <c r="F1065" s="8" t="s">
        <v>215</v>
      </c>
      <c r="G1065" s="8" t="s">
        <v>2058</v>
      </c>
      <c r="H1065" s="10">
        <v>1</v>
      </c>
      <c r="I1065" s="10"/>
      <c r="J1065" s="10">
        <v>1</v>
      </c>
      <c r="K1065" s="10">
        <v>4019.31</v>
      </c>
    </row>
    <row r="1066" spans="1:11" x14ac:dyDescent="0.25">
      <c r="A1066" s="8" t="s">
        <v>2102</v>
      </c>
      <c r="B1066" s="8" t="s">
        <v>118</v>
      </c>
      <c r="C1066" s="8" t="s">
        <v>2006</v>
      </c>
      <c r="D1066" s="8">
        <v>5</v>
      </c>
      <c r="E1066" s="8" t="s">
        <v>2103</v>
      </c>
      <c r="F1066" s="8" t="s">
        <v>215</v>
      </c>
      <c r="G1066" s="8" t="s">
        <v>2058</v>
      </c>
      <c r="H1066" s="10">
        <v>1</v>
      </c>
      <c r="I1066" s="10"/>
      <c r="J1066" s="10">
        <v>1</v>
      </c>
      <c r="K1066" s="10">
        <v>4019.31</v>
      </c>
    </row>
    <row r="1067" spans="1:11" x14ac:dyDescent="0.25">
      <c r="A1067" s="8" t="s">
        <v>2104</v>
      </c>
      <c r="B1067" s="8" t="s">
        <v>116</v>
      </c>
      <c r="C1067" s="8" t="s">
        <v>2006</v>
      </c>
      <c r="D1067" s="8">
        <v>5</v>
      </c>
      <c r="E1067" s="8" t="s">
        <v>2105</v>
      </c>
      <c r="F1067" s="8" t="s">
        <v>215</v>
      </c>
      <c r="G1067" s="8" t="s">
        <v>2058</v>
      </c>
      <c r="H1067" s="10">
        <v>1</v>
      </c>
      <c r="I1067" s="10"/>
      <c r="J1067" s="10">
        <v>1</v>
      </c>
      <c r="K1067" s="10">
        <v>4019.31</v>
      </c>
    </row>
    <row r="1068" spans="1:11" x14ac:dyDescent="0.25">
      <c r="A1068" s="8" t="s">
        <v>2106</v>
      </c>
      <c r="B1068" s="8" t="s">
        <v>118</v>
      </c>
      <c r="C1068" s="8" t="s">
        <v>2006</v>
      </c>
      <c r="D1068" s="8">
        <v>5</v>
      </c>
      <c r="E1068" s="8" t="s">
        <v>2107</v>
      </c>
      <c r="F1068" s="8" t="s">
        <v>215</v>
      </c>
      <c r="G1068" s="8" t="s">
        <v>2058</v>
      </c>
      <c r="H1068" s="10">
        <v>1</v>
      </c>
      <c r="I1068" s="10"/>
      <c r="J1068" s="10">
        <v>1</v>
      </c>
      <c r="K1068" s="10">
        <v>4019.31</v>
      </c>
    </row>
    <row r="1069" spans="1:11" x14ac:dyDescent="0.25">
      <c r="A1069" s="8" t="s">
        <v>2108</v>
      </c>
      <c r="B1069" s="8" t="s">
        <v>116</v>
      </c>
      <c r="C1069" s="8" t="s">
        <v>2006</v>
      </c>
      <c r="D1069" s="8">
        <v>5</v>
      </c>
      <c r="E1069" s="8" t="s">
        <v>2109</v>
      </c>
      <c r="F1069" s="8" t="s">
        <v>215</v>
      </c>
      <c r="G1069" s="8" t="s">
        <v>2058</v>
      </c>
      <c r="H1069" s="10">
        <v>1</v>
      </c>
      <c r="I1069" s="10"/>
      <c r="J1069" s="10">
        <v>1</v>
      </c>
      <c r="K1069" s="10">
        <v>4019.31</v>
      </c>
    </row>
    <row r="1070" spans="1:11" x14ac:dyDescent="0.25">
      <c r="A1070" s="8" t="s">
        <v>2110</v>
      </c>
      <c r="B1070" s="8" t="s">
        <v>118</v>
      </c>
      <c r="C1070" s="8" t="s">
        <v>2006</v>
      </c>
      <c r="D1070" s="8">
        <v>5</v>
      </c>
      <c r="E1070" s="8" t="s">
        <v>2111</v>
      </c>
      <c r="F1070" s="8" t="s">
        <v>215</v>
      </c>
      <c r="G1070" s="8" t="s">
        <v>2058</v>
      </c>
      <c r="H1070" s="10">
        <v>1</v>
      </c>
      <c r="I1070" s="10"/>
      <c r="J1070" s="10">
        <v>1</v>
      </c>
      <c r="K1070" s="10">
        <v>4019.31</v>
      </c>
    </row>
    <row r="1071" spans="1:11" x14ac:dyDescent="0.25">
      <c r="A1071" s="8" t="s">
        <v>2112</v>
      </c>
      <c r="B1071" s="8" t="s">
        <v>120</v>
      </c>
      <c r="C1071" s="8" t="s">
        <v>2006</v>
      </c>
      <c r="D1071" s="8">
        <v>5</v>
      </c>
      <c r="E1071" s="8" t="s">
        <v>2113</v>
      </c>
      <c r="F1071" s="8" t="s">
        <v>215</v>
      </c>
      <c r="G1071" s="8" t="s">
        <v>2058</v>
      </c>
      <c r="H1071" s="10">
        <v>3</v>
      </c>
      <c r="I1071" s="10"/>
      <c r="J1071" s="10">
        <v>3</v>
      </c>
      <c r="K1071" s="10">
        <v>4019.31</v>
      </c>
    </row>
    <row r="1072" spans="1:11" x14ac:dyDescent="0.25">
      <c r="A1072" s="8" t="s">
        <v>2114</v>
      </c>
      <c r="B1072" s="8" t="s">
        <v>118</v>
      </c>
      <c r="C1072" s="8" t="s">
        <v>2006</v>
      </c>
      <c r="D1072" s="8">
        <v>5</v>
      </c>
      <c r="E1072" s="8" t="s">
        <v>2115</v>
      </c>
      <c r="F1072" s="8" t="s">
        <v>215</v>
      </c>
      <c r="G1072" s="8" t="s">
        <v>2058</v>
      </c>
      <c r="H1072" s="10">
        <v>1</v>
      </c>
      <c r="I1072" s="10"/>
      <c r="J1072" s="10">
        <v>1</v>
      </c>
      <c r="K1072" s="10">
        <v>4019.31</v>
      </c>
    </row>
    <row r="1073" spans="1:11" x14ac:dyDescent="0.25">
      <c r="A1073" s="8" t="s">
        <v>2116</v>
      </c>
      <c r="B1073" s="8" t="s">
        <v>116</v>
      </c>
      <c r="C1073" s="8" t="s">
        <v>2006</v>
      </c>
      <c r="D1073" s="8">
        <v>5</v>
      </c>
      <c r="E1073" s="8" t="s">
        <v>2117</v>
      </c>
      <c r="F1073" s="8" t="s">
        <v>215</v>
      </c>
      <c r="G1073" s="8" t="s">
        <v>2058</v>
      </c>
      <c r="H1073" s="10">
        <v>1</v>
      </c>
      <c r="I1073" s="10"/>
      <c r="J1073" s="10">
        <v>1</v>
      </c>
      <c r="K1073" s="10">
        <v>4019.31</v>
      </c>
    </row>
    <row r="1074" spans="1:11" x14ac:dyDescent="0.25">
      <c r="A1074" s="8" t="s">
        <v>2118</v>
      </c>
      <c r="B1074" s="8" t="s">
        <v>116</v>
      </c>
      <c r="C1074" s="8" t="s">
        <v>2006</v>
      </c>
      <c r="D1074" s="8">
        <v>5</v>
      </c>
      <c r="E1074" s="8" t="s">
        <v>2119</v>
      </c>
      <c r="F1074" s="8" t="s">
        <v>215</v>
      </c>
      <c r="G1074" s="8" t="s">
        <v>2058</v>
      </c>
      <c r="H1074" s="10">
        <v>1</v>
      </c>
      <c r="I1074" s="10"/>
      <c r="J1074" s="10">
        <v>1</v>
      </c>
      <c r="K1074" s="10">
        <v>4019.31</v>
      </c>
    </row>
    <row r="1075" spans="1:11" x14ac:dyDescent="0.25">
      <c r="A1075" s="8" t="s">
        <v>2120</v>
      </c>
      <c r="B1075" s="8" t="s">
        <v>120</v>
      </c>
      <c r="C1075" s="8" t="s">
        <v>2006</v>
      </c>
      <c r="D1075" s="8">
        <v>5</v>
      </c>
      <c r="E1075" s="8" t="s">
        <v>2121</v>
      </c>
      <c r="F1075" s="8" t="s">
        <v>215</v>
      </c>
      <c r="G1075" s="8" t="s">
        <v>2058</v>
      </c>
      <c r="H1075" s="10">
        <v>1</v>
      </c>
      <c r="I1075" s="10"/>
      <c r="J1075" s="10">
        <v>1</v>
      </c>
      <c r="K1075" s="10">
        <v>4019.31</v>
      </c>
    </row>
    <row r="1076" spans="1:11" x14ac:dyDescent="0.25">
      <c r="A1076" s="8" t="s">
        <v>2122</v>
      </c>
      <c r="B1076" s="8" t="s">
        <v>1650</v>
      </c>
      <c r="C1076" s="8" t="s">
        <v>2006</v>
      </c>
      <c r="D1076" s="8">
        <v>5</v>
      </c>
      <c r="E1076" s="8" t="s">
        <v>2123</v>
      </c>
      <c r="F1076" s="8" t="s">
        <v>215</v>
      </c>
      <c r="G1076" s="8" t="s">
        <v>2090</v>
      </c>
      <c r="H1076" s="10">
        <v>3</v>
      </c>
      <c r="I1076" s="10"/>
      <c r="J1076" s="10">
        <v>3</v>
      </c>
      <c r="K1076" s="10">
        <v>4019.31</v>
      </c>
    </row>
    <row r="1077" spans="1:11" x14ac:dyDescent="0.25">
      <c r="A1077" s="8" t="s">
        <v>2124</v>
      </c>
      <c r="B1077" s="8" t="s">
        <v>120</v>
      </c>
      <c r="C1077" s="8" t="s">
        <v>2006</v>
      </c>
      <c r="D1077" s="8">
        <v>5</v>
      </c>
      <c r="E1077" s="8" t="s">
        <v>2123</v>
      </c>
      <c r="F1077" s="8" t="s">
        <v>215</v>
      </c>
      <c r="G1077" s="8" t="s">
        <v>2090</v>
      </c>
      <c r="H1077" s="10">
        <v>17</v>
      </c>
      <c r="I1077" s="10"/>
      <c r="J1077" s="10">
        <v>17</v>
      </c>
      <c r="K1077" s="10">
        <v>4019.31</v>
      </c>
    </row>
    <row r="1078" spans="1:11" x14ac:dyDescent="0.25">
      <c r="A1078" s="8" t="s">
        <v>2125</v>
      </c>
      <c r="B1078" s="8" t="s">
        <v>1655</v>
      </c>
      <c r="C1078" s="8" t="s">
        <v>2006</v>
      </c>
      <c r="D1078" s="8">
        <v>5</v>
      </c>
      <c r="E1078" s="8" t="s">
        <v>2123</v>
      </c>
      <c r="F1078" s="8" t="s">
        <v>215</v>
      </c>
      <c r="G1078" s="8" t="s">
        <v>2090</v>
      </c>
      <c r="H1078" s="10">
        <v>11</v>
      </c>
      <c r="I1078" s="10"/>
      <c r="J1078" s="10">
        <v>11</v>
      </c>
      <c r="K1078" s="10">
        <v>4019.31</v>
      </c>
    </row>
    <row r="1079" spans="1:11" x14ac:dyDescent="0.25">
      <c r="A1079" s="8" t="s">
        <v>2126</v>
      </c>
      <c r="B1079" s="8" t="s">
        <v>80</v>
      </c>
      <c r="C1079" s="8" t="s">
        <v>2006</v>
      </c>
      <c r="D1079" s="8">
        <v>5</v>
      </c>
      <c r="E1079" s="8" t="s">
        <v>2123</v>
      </c>
      <c r="F1079" s="8" t="s">
        <v>215</v>
      </c>
      <c r="G1079" s="8" t="s">
        <v>2090</v>
      </c>
      <c r="H1079" s="10">
        <v>1</v>
      </c>
      <c r="I1079" s="10"/>
      <c r="J1079" s="10">
        <v>1</v>
      </c>
      <c r="K1079" s="10">
        <v>4019.31</v>
      </c>
    </row>
    <row r="1080" spans="1:11" x14ac:dyDescent="0.25">
      <c r="A1080" s="8" t="s">
        <v>2127</v>
      </c>
      <c r="B1080" s="8" t="s">
        <v>2074</v>
      </c>
      <c r="C1080" s="8" t="s">
        <v>2006</v>
      </c>
      <c r="D1080" s="8">
        <v>5</v>
      </c>
      <c r="E1080" s="8" t="s">
        <v>2128</v>
      </c>
      <c r="F1080" s="8" t="s">
        <v>215</v>
      </c>
      <c r="G1080" s="8" t="s">
        <v>2090</v>
      </c>
      <c r="H1080" s="10">
        <v>1</v>
      </c>
      <c r="I1080" s="10"/>
      <c r="J1080" s="10">
        <v>1</v>
      </c>
      <c r="K1080" s="10">
        <v>803.86</v>
      </c>
    </row>
    <row r="1081" spans="1:11" x14ac:dyDescent="0.25">
      <c r="A1081" s="8" t="s">
        <v>2129</v>
      </c>
      <c r="B1081" s="8" t="s">
        <v>2074</v>
      </c>
      <c r="C1081" s="8" t="s">
        <v>2006</v>
      </c>
      <c r="D1081" s="8">
        <v>5</v>
      </c>
      <c r="E1081" s="8" t="s">
        <v>2130</v>
      </c>
      <c r="F1081" s="8" t="s">
        <v>215</v>
      </c>
      <c r="G1081" s="8" t="s">
        <v>2090</v>
      </c>
      <c r="H1081" s="10">
        <v>1</v>
      </c>
      <c r="I1081" s="10"/>
      <c r="J1081" s="10">
        <v>1</v>
      </c>
      <c r="K1081" s="10">
        <v>803.86</v>
      </c>
    </row>
    <row r="1082" spans="1:11" x14ac:dyDescent="0.25">
      <c r="A1082" s="8" t="s">
        <v>2131</v>
      </c>
      <c r="B1082" s="8" t="s">
        <v>1650</v>
      </c>
      <c r="C1082" s="8" t="s">
        <v>2006</v>
      </c>
      <c r="D1082" s="8">
        <v>5</v>
      </c>
      <c r="E1082" s="8" t="s">
        <v>2132</v>
      </c>
      <c r="F1082" s="8" t="s">
        <v>215</v>
      </c>
      <c r="G1082" s="8" t="s">
        <v>2090</v>
      </c>
      <c r="H1082" s="10">
        <v>1</v>
      </c>
      <c r="I1082" s="10"/>
      <c r="J1082" s="10">
        <v>1</v>
      </c>
      <c r="K1082" s="10">
        <v>803.86</v>
      </c>
    </row>
    <row r="1083" spans="1:11" x14ac:dyDescent="0.25">
      <c r="A1083" s="8" t="s">
        <v>2133</v>
      </c>
      <c r="B1083" s="8" t="s">
        <v>120</v>
      </c>
      <c r="C1083" s="8" t="s">
        <v>2006</v>
      </c>
      <c r="D1083" s="8">
        <v>5</v>
      </c>
      <c r="E1083" s="8" t="s">
        <v>2134</v>
      </c>
      <c r="F1083" s="8" t="s">
        <v>215</v>
      </c>
      <c r="G1083" s="8" t="s">
        <v>2090</v>
      </c>
      <c r="H1083" s="10">
        <v>1</v>
      </c>
      <c r="I1083" s="10"/>
      <c r="J1083" s="10">
        <v>1</v>
      </c>
      <c r="K1083" s="10">
        <v>803.86</v>
      </c>
    </row>
    <row r="1084" spans="1:11" x14ac:dyDescent="0.25">
      <c r="A1084" s="8" t="s">
        <v>2135</v>
      </c>
      <c r="B1084" s="8" t="s">
        <v>2074</v>
      </c>
      <c r="C1084" s="8" t="s">
        <v>2006</v>
      </c>
      <c r="D1084" s="8">
        <v>5</v>
      </c>
      <c r="E1084" s="8" t="s">
        <v>2136</v>
      </c>
      <c r="F1084" s="8" t="s">
        <v>215</v>
      </c>
      <c r="G1084" s="8" t="s">
        <v>2090</v>
      </c>
      <c r="H1084" s="10">
        <v>1</v>
      </c>
      <c r="I1084" s="10"/>
      <c r="J1084" s="10">
        <v>1</v>
      </c>
      <c r="K1084" s="10">
        <v>803.86</v>
      </c>
    </row>
    <row r="1085" spans="1:11" x14ac:dyDescent="0.25">
      <c r="A1085" s="8" t="s">
        <v>2137</v>
      </c>
      <c r="B1085" s="8" t="s">
        <v>2074</v>
      </c>
      <c r="C1085" s="8" t="s">
        <v>2006</v>
      </c>
      <c r="D1085" s="8">
        <v>5</v>
      </c>
      <c r="E1085" s="8" t="s">
        <v>2138</v>
      </c>
      <c r="F1085" s="8" t="s">
        <v>215</v>
      </c>
      <c r="G1085" s="8" t="s">
        <v>2090</v>
      </c>
      <c r="H1085" s="10">
        <v>1</v>
      </c>
      <c r="I1085" s="10"/>
      <c r="J1085" s="10">
        <v>1</v>
      </c>
      <c r="K1085" s="10">
        <v>803.86</v>
      </c>
    </row>
    <row r="1086" spans="1:11" x14ac:dyDescent="0.25">
      <c r="A1086" s="8" t="s">
        <v>2139</v>
      </c>
      <c r="B1086" s="8" t="s">
        <v>2140</v>
      </c>
      <c r="C1086" s="8" t="s">
        <v>2006</v>
      </c>
      <c r="D1086" s="8">
        <v>5</v>
      </c>
      <c r="E1086" s="8" t="s">
        <v>2141</v>
      </c>
      <c r="F1086" s="8" t="s">
        <v>215</v>
      </c>
      <c r="G1086" s="8" t="s">
        <v>2090</v>
      </c>
      <c r="H1086" s="10">
        <v>1</v>
      </c>
      <c r="I1086" s="10"/>
      <c r="J1086" s="10">
        <v>1</v>
      </c>
      <c r="K1086" s="10">
        <v>803.86</v>
      </c>
    </row>
    <row r="1087" spans="1:11" x14ac:dyDescent="0.25">
      <c r="A1087" s="8" t="s">
        <v>2142</v>
      </c>
      <c r="B1087" s="8" t="s">
        <v>120</v>
      </c>
      <c r="C1087" s="8" t="s">
        <v>2006</v>
      </c>
      <c r="D1087" s="8">
        <v>5</v>
      </c>
      <c r="E1087" s="8" t="s">
        <v>2143</v>
      </c>
      <c r="F1087" s="8" t="s">
        <v>215</v>
      </c>
      <c r="G1087" s="8" t="s">
        <v>2090</v>
      </c>
      <c r="H1087" s="10">
        <v>1</v>
      </c>
      <c r="I1087" s="10"/>
      <c r="J1087" s="10">
        <v>1</v>
      </c>
      <c r="K1087" s="10">
        <v>803.86</v>
      </c>
    </row>
    <row r="1088" spans="1:11" x14ac:dyDescent="0.25">
      <c r="A1088" s="8" t="s">
        <v>2144</v>
      </c>
      <c r="B1088" s="8" t="s">
        <v>1655</v>
      </c>
      <c r="C1088" s="8" t="s">
        <v>2006</v>
      </c>
      <c r="D1088" s="8">
        <v>5</v>
      </c>
      <c r="E1088" s="8" t="s">
        <v>2145</v>
      </c>
      <c r="F1088" s="8" t="s">
        <v>215</v>
      </c>
      <c r="G1088" s="8" t="s">
        <v>2090</v>
      </c>
      <c r="H1088" s="10">
        <v>1</v>
      </c>
      <c r="I1088" s="10"/>
      <c r="J1088" s="10">
        <v>1</v>
      </c>
      <c r="K1088" s="10">
        <v>803.86</v>
      </c>
    </row>
    <row r="1089" spans="1:11" x14ac:dyDescent="0.25">
      <c r="A1089" s="8" t="s">
        <v>2146</v>
      </c>
      <c r="B1089" s="8" t="s">
        <v>1650</v>
      </c>
      <c r="C1089" s="8" t="s">
        <v>2006</v>
      </c>
      <c r="D1089" s="8">
        <v>5</v>
      </c>
      <c r="E1089" s="8" t="s">
        <v>2147</v>
      </c>
      <c r="F1089" s="8" t="s">
        <v>215</v>
      </c>
      <c r="G1089" s="8" t="s">
        <v>2090</v>
      </c>
      <c r="H1089" s="10">
        <v>1</v>
      </c>
      <c r="I1089" s="10"/>
      <c r="J1089" s="10">
        <v>1</v>
      </c>
      <c r="K1089" s="10">
        <v>803.86</v>
      </c>
    </row>
    <row r="1090" spans="1:11" x14ac:dyDescent="0.25">
      <c r="A1090" s="8" t="s">
        <v>2148</v>
      </c>
      <c r="B1090" s="8" t="s">
        <v>2140</v>
      </c>
      <c r="C1090" s="8" t="s">
        <v>2006</v>
      </c>
      <c r="D1090" s="8">
        <v>5</v>
      </c>
      <c r="E1090" s="8" t="s">
        <v>2149</v>
      </c>
      <c r="F1090" s="8" t="s">
        <v>215</v>
      </c>
      <c r="G1090" s="8" t="s">
        <v>2090</v>
      </c>
      <c r="H1090" s="10">
        <v>1</v>
      </c>
      <c r="I1090" s="10"/>
      <c r="J1090" s="10">
        <v>1</v>
      </c>
      <c r="K1090" s="10">
        <v>803.86</v>
      </c>
    </row>
    <row r="1091" spans="1:11" x14ac:dyDescent="0.25">
      <c r="A1091" s="8" t="s">
        <v>2150</v>
      </c>
      <c r="B1091" s="8" t="s">
        <v>120</v>
      </c>
      <c r="C1091" s="8" t="s">
        <v>2006</v>
      </c>
      <c r="D1091" s="8">
        <v>5</v>
      </c>
      <c r="E1091" s="8" t="s">
        <v>2151</v>
      </c>
      <c r="F1091" s="8" t="s">
        <v>215</v>
      </c>
      <c r="G1091" s="8" t="s">
        <v>2090</v>
      </c>
      <c r="H1091" s="10">
        <v>1</v>
      </c>
      <c r="I1091" s="10"/>
      <c r="J1091" s="10">
        <v>1</v>
      </c>
      <c r="K1091" s="10">
        <v>803.86</v>
      </c>
    </row>
    <row r="1092" spans="1:11" x14ac:dyDescent="0.25">
      <c r="A1092" s="8" t="s">
        <v>2152</v>
      </c>
      <c r="B1092" s="8" t="s">
        <v>1650</v>
      </c>
      <c r="C1092" s="8" t="s">
        <v>2006</v>
      </c>
      <c r="D1092" s="8">
        <v>5</v>
      </c>
      <c r="E1092" s="8" t="s">
        <v>2153</v>
      </c>
      <c r="F1092" s="8" t="s">
        <v>215</v>
      </c>
      <c r="G1092" s="8" t="s">
        <v>2090</v>
      </c>
      <c r="H1092" s="10">
        <v>1</v>
      </c>
      <c r="I1092" s="10"/>
      <c r="J1092" s="10">
        <v>1</v>
      </c>
      <c r="K1092" s="10">
        <v>803.86</v>
      </c>
    </row>
    <row r="1093" spans="1:11" x14ac:dyDescent="0.25">
      <c r="A1093" s="8" t="s">
        <v>2154</v>
      </c>
      <c r="B1093" s="8" t="s">
        <v>1655</v>
      </c>
      <c r="C1093" s="8" t="s">
        <v>2006</v>
      </c>
      <c r="D1093" s="8">
        <v>5</v>
      </c>
      <c r="E1093" s="8" t="s">
        <v>2155</v>
      </c>
      <c r="F1093" s="8" t="s">
        <v>215</v>
      </c>
      <c r="G1093" s="8" t="s">
        <v>2090</v>
      </c>
      <c r="H1093" s="10">
        <v>1</v>
      </c>
      <c r="I1093" s="10"/>
      <c r="J1093" s="10">
        <v>1</v>
      </c>
      <c r="K1093" s="10">
        <v>803.86</v>
      </c>
    </row>
    <row r="1094" spans="1:11" x14ac:dyDescent="0.25">
      <c r="A1094" s="8" t="s">
        <v>2156</v>
      </c>
      <c r="B1094" s="8" t="s">
        <v>2074</v>
      </c>
      <c r="C1094" s="8" t="s">
        <v>2006</v>
      </c>
      <c r="D1094" s="8">
        <v>5</v>
      </c>
      <c r="E1094" s="8" t="s">
        <v>2157</v>
      </c>
      <c r="F1094" s="8" t="s">
        <v>215</v>
      </c>
      <c r="G1094" s="8" t="s">
        <v>2090</v>
      </c>
      <c r="H1094" s="10">
        <v>1</v>
      </c>
      <c r="I1094" s="10"/>
      <c r="J1094" s="10">
        <v>1</v>
      </c>
      <c r="K1094" s="10">
        <v>803.86</v>
      </c>
    </row>
    <row r="1095" spans="1:11" x14ac:dyDescent="0.25">
      <c r="A1095" s="8" t="s">
        <v>2158</v>
      </c>
      <c r="B1095" s="8" t="s">
        <v>1650</v>
      </c>
      <c r="C1095" s="8" t="s">
        <v>2006</v>
      </c>
      <c r="D1095" s="8">
        <v>5</v>
      </c>
      <c r="E1095" s="8" t="s">
        <v>2159</v>
      </c>
      <c r="F1095" s="8" t="s">
        <v>215</v>
      </c>
      <c r="G1095" s="8" t="s">
        <v>2090</v>
      </c>
      <c r="H1095" s="10">
        <v>1</v>
      </c>
      <c r="I1095" s="10"/>
      <c r="J1095" s="10">
        <v>1</v>
      </c>
      <c r="K1095" s="10">
        <v>803.86</v>
      </c>
    </row>
    <row r="1096" spans="1:11" x14ac:dyDescent="0.25">
      <c r="A1096" s="8" t="s">
        <v>2160</v>
      </c>
      <c r="B1096" s="8" t="s">
        <v>120</v>
      </c>
      <c r="C1096" s="8" t="s">
        <v>2006</v>
      </c>
      <c r="D1096" s="8">
        <v>5</v>
      </c>
      <c r="E1096" s="8" t="s">
        <v>2161</v>
      </c>
      <c r="F1096" s="8" t="s">
        <v>215</v>
      </c>
      <c r="G1096" s="8" t="s">
        <v>2090</v>
      </c>
      <c r="H1096" s="10">
        <v>1</v>
      </c>
      <c r="I1096" s="10"/>
      <c r="J1096" s="10">
        <v>1</v>
      </c>
      <c r="K1096" s="10">
        <v>803.86</v>
      </c>
    </row>
    <row r="1097" spans="1:11" x14ac:dyDescent="0.25">
      <c r="A1097" s="8" t="s">
        <v>2162</v>
      </c>
      <c r="B1097" s="8" t="s">
        <v>2074</v>
      </c>
      <c r="C1097" s="8" t="s">
        <v>2006</v>
      </c>
      <c r="D1097" s="8">
        <v>5</v>
      </c>
      <c r="E1097" s="8" t="s">
        <v>2163</v>
      </c>
      <c r="F1097" s="8" t="s">
        <v>215</v>
      </c>
      <c r="G1097" s="8" t="s">
        <v>2090</v>
      </c>
      <c r="H1097" s="10">
        <v>1</v>
      </c>
      <c r="I1097" s="10"/>
      <c r="J1097" s="10">
        <v>1</v>
      </c>
      <c r="K1097" s="10">
        <v>803.86</v>
      </c>
    </row>
    <row r="1098" spans="1:11" x14ac:dyDescent="0.25">
      <c r="A1098" s="8" t="s">
        <v>2164</v>
      </c>
      <c r="B1098" s="8" t="s">
        <v>2074</v>
      </c>
      <c r="C1098" s="8" t="s">
        <v>2006</v>
      </c>
      <c r="D1098" s="8">
        <v>5</v>
      </c>
      <c r="E1098" s="8" t="s">
        <v>2165</v>
      </c>
      <c r="F1098" s="8" t="s">
        <v>215</v>
      </c>
      <c r="G1098" s="8" t="s">
        <v>2090</v>
      </c>
      <c r="H1098" s="10">
        <v>1</v>
      </c>
      <c r="I1098" s="10"/>
      <c r="J1098" s="10">
        <v>1</v>
      </c>
      <c r="K1098" s="10">
        <v>803.86</v>
      </c>
    </row>
    <row r="1099" spans="1:11" x14ac:dyDescent="0.25">
      <c r="A1099" s="8" t="s">
        <v>2166</v>
      </c>
      <c r="B1099" s="8" t="s">
        <v>2074</v>
      </c>
      <c r="C1099" s="8" t="s">
        <v>2006</v>
      </c>
      <c r="D1099" s="8">
        <v>5</v>
      </c>
      <c r="E1099" s="8" t="s">
        <v>2167</v>
      </c>
      <c r="F1099" s="8" t="s">
        <v>215</v>
      </c>
      <c r="G1099" s="8" t="s">
        <v>2090</v>
      </c>
      <c r="H1099" s="10">
        <v>1</v>
      </c>
      <c r="I1099" s="10"/>
      <c r="J1099" s="10">
        <v>1</v>
      </c>
      <c r="K1099" s="10">
        <v>803.86</v>
      </c>
    </row>
    <row r="1100" spans="1:11" x14ac:dyDescent="0.25">
      <c r="A1100" s="8" t="s">
        <v>2168</v>
      </c>
      <c r="B1100" s="8" t="s">
        <v>2074</v>
      </c>
      <c r="C1100" s="8" t="s">
        <v>2006</v>
      </c>
      <c r="D1100" s="8">
        <v>5</v>
      </c>
      <c r="E1100" s="8" t="s">
        <v>2169</v>
      </c>
      <c r="F1100" s="8" t="s">
        <v>215</v>
      </c>
      <c r="G1100" s="8" t="s">
        <v>2090</v>
      </c>
      <c r="H1100" s="10">
        <v>1</v>
      </c>
      <c r="I1100" s="10"/>
      <c r="J1100" s="10">
        <v>1</v>
      </c>
      <c r="K1100" s="10">
        <v>803.86</v>
      </c>
    </row>
    <row r="1101" spans="1:11" x14ac:dyDescent="0.25">
      <c r="A1101" s="8" t="s">
        <v>2170</v>
      </c>
      <c r="B1101" s="8" t="s">
        <v>120</v>
      </c>
      <c r="C1101" s="8" t="s">
        <v>2006</v>
      </c>
      <c r="D1101" s="8">
        <v>5</v>
      </c>
      <c r="E1101" s="8" t="s">
        <v>2171</v>
      </c>
      <c r="F1101" s="8" t="s">
        <v>215</v>
      </c>
      <c r="G1101" s="8" t="s">
        <v>2090</v>
      </c>
      <c r="H1101" s="10">
        <v>1</v>
      </c>
      <c r="I1101" s="10"/>
      <c r="J1101" s="10">
        <v>1</v>
      </c>
      <c r="K1101" s="10">
        <v>803.86</v>
      </c>
    </row>
    <row r="1102" spans="1:11" x14ac:dyDescent="0.25">
      <c r="A1102" s="8" t="s">
        <v>2172</v>
      </c>
      <c r="B1102" s="8" t="s">
        <v>120</v>
      </c>
      <c r="C1102" s="8" t="s">
        <v>2006</v>
      </c>
      <c r="D1102" s="8">
        <v>5</v>
      </c>
      <c r="E1102" s="8" t="s">
        <v>2173</v>
      </c>
      <c r="F1102" s="8" t="s">
        <v>215</v>
      </c>
      <c r="G1102" s="8" t="s">
        <v>2090</v>
      </c>
      <c r="H1102" s="10">
        <v>1</v>
      </c>
      <c r="I1102" s="10"/>
      <c r="J1102" s="10">
        <v>1</v>
      </c>
      <c r="K1102" s="10">
        <v>803.86</v>
      </c>
    </row>
    <row r="1103" spans="1:11" x14ac:dyDescent="0.25">
      <c r="A1103" s="8" t="s">
        <v>2174</v>
      </c>
      <c r="B1103" s="8" t="s">
        <v>2074</v>
      </c>
      <c r="C1103" s="8" t="s">
        <v>2006</v>
      </c>
      <c r="D1103" s="8">
        <v>5</v>
      </c>
      <c r="E1103" s="8" t="s">
        <v>2175</v>
      </c>
      <c r="F1103" s="8" t="s">
        <v>215</v>
      </c>
      <c r="G1103" s="8" t="s">
        <v>2176</v>
      </c>
      <c r="H1103" s="10">
        <v>1</v>
      </c>
      <c r="I1103" s="10"/>
      <c r="J1103" s="10">
        <v>1</v>
      </c>
      <c r="K1103" s="10">
        <v>2009.65</v>
      </c>
    </row>
    <row r="1104" spans="1:11" x14ac:dyDescent="0.25">
      <c r="A1104" s="8" t="s">
        <v>2177</v>
      </c>
      <c r="B1104" s="8" t="s">
        <v>2074</v>
      </c>
      <c r="C1104" s="8" t="s">
        <v>2006</v>
      </c>
      <c r="D1104" s="8">
        <v>5</v>
      </c>
      <c r="E1104" s="8" t="s">
        <v>2178</v>
      </c>
      <c r="F1104" s="8" t="s">
        <v>215</v>
      </c>
      <c r="G1104" s="8" t="s">
        <v>2176</v>
      </c>
      <c r="H1104" s="10">
        <v>1</v>
      </c>
      <c r="I1104" s="10"/>
      <c r="J1104" s="10">
        <v>1</v>
      </c>
      <c r="K1104" s="10">
        <v>2009.65</v>
      </c>
    </row>
    <row r="1105" spans="1:11" x14ac:dyDescent="0.25">
      <c r="A1105" s="8" t="s">
        <v>2179</v>
      </c>
      <c r="B1105" s="8" t="s">
        <v>2074</v>
      </c>
      <c r="C1105" s="8" t="s">
        <v>2006</v>
      </c>
      <c r="D1105" s="8">
        <v>5</v>
      </c>
      <c r="E1105" s="8" t="s">
        <v>2180</v>
      </c>
      <c r="F1105" s="8" t="s">
        <v>215</v>
      </c>
      <c r="G1105" s="8" t="s">
        <v>2176</v>
      </c>
      <c r="H1105" s="10">
        <v>1</v>
      </c>
      <c r="I1105" s="10"/>
      <c r="J1105" s="10">
        <v>1</v>
      </c>
      <c r="K1105" s="10">
        <v>2009.65</v>
      </c>
    </row>
    <row r="1106" spans="1:11" x14ac:dyDescent="0.25">
      <c r="A1106" s="8" t="s">
        <v>2181</v>
      </c>
      <c r="B1106" s="8" t="s">
        <v>2074</v>
      </c>
      <c r="C1106" s="8" t="s">
        <v>2006</v>
      </c>
      <c r="D1106" s="8">
        <v>5</v>
      </c>
      <c r="E1106" s="8" t="s">
        <v>2182</v>
      </c>
      <c r="F1106" s="8" t="s">
        <v>215</v>
      </c>
      <c r="G1106" s="8" t="s">
        <v>2176</v>
      </c>
      <c r="H1106" s="10">
        <v>1</v>
      </c>
      <c r="I1106" s="10"/>
      <c r="J1106" s="10">
        <v>1</v>
      </c>
      <c r="K1106" s="10">
        <v>2009.65</v>
      </c>
    </row>
    <row r="1107" spans="1:11" x14ac:dyDescent="0.25">
      <c r="A1107" s="8" t="s">
        <v>2183</v>
      </c>
      <c r="B1107" s="8" t="s">
        <v>120</v>
      </c>
      <c r="C1107" s="8" t="s">
        <v>2006</v>
      </c>
      <c r="D1107" s="8">
        <v>5</v>
      </c>
      <c r="E1107" s="8" t="s">
        <v>2184</v>
      </c>
      <c r="F1107" s="8" t="s">
        <v>215</v>
      </c>
      <c r="G1107" s="8" t="s">
        <v>2176</v>
      </c>
      <c r="H1107" s="10">
        <v>1</v>
      </c>
      <c r="I1107" s="10"/>
      <c r="J1107" s="10">
        <v>1</v>
      </c>
      <c r="K1107" s="10">
        <v>401.93</v>
      </c>
    </row>
    <row r="1108" spans="1:11" x14ac:dyDescent="0.25">
      <c r="A1108" s="8" t="s">
        <v>2185</v>
      </c>
      <c r="B1108" s="8" t="s">
        <v>120</v>
      </c>
      <c r="C1108" s="8" t="s">
        <v>2006</v>
      </c>
      <c r="D1108" s="8">
        <v>5</v>
      </c>
      <c r="E1108" s="8" t="s">
        <v>2186</v>
      </c>
      <c r="F1108" s="8" t="s">
        <v>215</v>
      </c>
      <c r="G1108" s="8" t="s">
        <v>2176</v>
      </c>
      <c r="H1108" s="10">
        <v>1</v>
      </c>
      <c r="I1108" s="10"/>
      <c r="J1108" s="10">
        <v>1</v>
      </c>
      <c r="K1108" s="10">
        <v>401.93</v>
      </c>
    </row>
    <row r="1109" spans="1:11" x14ac:dyDescent="0.25">
      <c r="A1109" s="8" t="s">
        <v>2187</v>
      </c>
      <c r="B1109" s="8" t="s">
        <v>2074</v>
      </c>
      <c r="C1109" s="8" t="s">
        <v>2006</v>
      </c>
      <c r="D1109" s="8">
        <v>5</v>
      </c>
      <c r="E1109" s="8" t="s">
        <v>2188</v>
      </c>
      <c r="F1109" s="8" t="s">
        <v>215</v>
      </c>
      <c r="G1109" s="8" t="s">
        <v>2176</v>
      </c>
      <c r="H1109" s="10">
        <v>1</v>
      </c>
      <c r="I1109" s="10"/>
      <c r="J1109" s="10">
        <v>1</v>
      </c>
      <c r="K1109" s="10">
        <v>401.93</v>
      </c>
    </row>
    <row r="1110" spans="1:11" x14ac:dyDescent="0.25">
      <c r="A1110" s="8" t="s">
        <v>2189</v>
      </c>
      <c r="B1110" s="8" t="s">
        <v>2074</v>
      </c>
      <c r="C1110" s="8" t="s">
        <v>2006</v>
      </c>
      <c r="D1110" s="8">
        <v>5</v>
      </c>
      <c r="E1110" s="8" t="s">
        <v>2190</v>
      </c>
      <c r="F1110" s="8" t="s">
        <v>215</v>
      </c>
      <c r="G1110" s="8" t="s">
        <v>2176</v>
      </c>
      <c r="H1110" s="10">
        <v>1</v>
      </c>
      <c r="I1110" s="10"/>
      <c r="J1110" s="10">
        <v>1</v>
      </c>
      <c r="K1110" s="10">
        <v>401.93</v>
      </c>
    </row>
    <row r="1111" spans="1:11" x14ac:dyDescent="0.25">
      <c r="A1111" s="8" t="s">
        <v>2191</v>
      </c>
      <c r="B1111" s="8" t="s">
        <v>2074</v>
      </c>
      <c r="C1111" s="8" t="s">
        <v>2006</v>
      </c>
      <c r="D1111" s="8">
        <v>5</v>
      </c>
      <c r="E1111" s="8" t="s">
        <v>2192</v>
      </c>
      <c r="F1111" s="8" t="s">
        <v>215</v>
      </c>
      <c r="G1111" s="8" t="s">
        <v>2176</v>
      </c>
      <c r="H1111" s="10">
        <v>1</v>
      </c>
      <c r="I1111" s="10"/>
      <c r="J1111" s="10">
        <v>1</v>
      </c>
      <c r="K1111" s="10">
        <v>401.93</v>
      </c>
    </row>
    <row r="1112" spans="1:11" x14ac:dyDescent="0.25">
      <c r="A1112" s="8" t="s">
        <v>2193</v>
      </c>
      <c r="B1112" s="8" t="s">
        <v>2074</v>
      </c>
      <c r="C1112" s="8" t="s">
        <v>2006</v>
      </c>
      <c r="D1112" s="8">
        <v>5</v>
      </c>
      <c r="E1112" s="8" t="s">
        <v>2194</v>
      </c>
      <c r="F1112" s="8" t="s">
        <v>215</v>
      </c>
      <c r="G1112" s="8" t="s">
        <v>2176</v>
      </c>
      <c r="H1112" s="10">
        <v>1</v>
      </c>
      <c r="I1112" s="10"/>
      <c r="J1112" s="10">
        <v>1</v>
      </c>
      <c r="K1112" s="10">
        <v>401.93</v>
      </c>
    </row>
    <row r="1113" spans="1:11" x14ac:dyDescent="0.25">
      <c r="A1113" s="8" t="s">
        <v>2195</v>
      </c>
      <c r="B1113" s="8" t="s">
        <v>2074</v>
      </c>
      <c r="C1113" s="8" t="s">
        <v>2006</v>
      </c>
      <c r="D1113" s="8">
        <v>5</v>
      </c>
      <c r="E1113" s="8" t="s">
        <v>2196</v>
      </c>
      <c r="F1113" s="8" t="s">
        <v>215</v>
      </c>
      <c r="G1113" s="8" t="s">
        <v>2176</v>
      </c>
      <c r="H1113" s="10">
        <v>1</v>
      </c>
      <c r="I1113" s="10"/>
      <c r="J1113" s="10">
        <v>1</v>
      </c>
      <c r="K1113" s="10">
        <v>401.93</v>
      </c>
    </row>
    <row r="1114" spans="1:11" x14ac:dyDescent="0.25">
      <c r="A1114" s="8" t="s">
        <v>2197</v>
      </c>
      <c r="B1114" s="8" t="s">
        <v>2074</v>
      </c>
      <c r="C1114" s="8" t="s">
        <v>2006</v>
      </c>
      <c r="D1114" s="8">
        <v>5</v>
      </c>
      <c r="E1114" s="8" t="s">
        <v>2198</v>
      </c>
      <c r="F1114" s="8" t="s">
        <v>215</v>
      </c>
      <c r="G1114" s="8" t="s">
        <v>2176</v>
      </c>
      <c r="H1114" s="10">
        <v>1</v>
      </c>
      <c r="I1114" s="10"/>
      <c r="J1114" s="10">
        <v>1</v>
      </c>
      <c r="K1114" s="10">
        <v>401.93</v>
      </c>
    </row>
    <row r="1115" spans="1:11" x14ac:dyDescent="0.25">
      <c r="A1115" s="8" t="s">
        <v>2199</v>
      </c>
      <c r="B1115" s="8" t="s">
        <v>2140</v>
      </c>
      <c r="C1115" s="8" t="s">
        <v>2006</v>
      </c>
      <c r="D1115" s="8">
        <v>5</v>
      </c>
      <c r="E1115" s="8" t="s">
        <v>2200</v>
      </c>
      <c r="F1115" s="8" t="s">
        <v>215</v>
      </c>
      <c r="G1115" s="8" t="s">
        <v>2176</v>
      </c>
      <c r="H1115" s="10">
        <v>1</v>
      </c>
      <c r="I1115" s="10"/>
      <c r="J1115" s="10">
        <v>1</v>
      </c>
      <c r="K1115" s="10">
        <v>401.93</v>
      </c>
    </row>
    <row r="1116" spans="1:11" x14ac:dyDescent="0.25">
      <c r="A1116" s="8" t="s">
        <v>2201</v>
      </c>
      <c r="B1116" s="8" t="s">
        <v>2074</v>
      </c>
      <c r="C1116" s="8" t="s">
        <v>2006</v>
      </c>
      <c r="D1116" s="8">
        <v>5</v>
      </c>
      <c r="E1116" s="8" t="s">
        <v>2202</v>
      </c>
      <c r="F1116" s="8" t="s">
        <v>215</v>
      </c>
      <c r="G1116" s="8" t="s">
        <v>2176</v>
      </c>
      <c r="H1116" s="10">
        <v>3</v>
      </c>
      <c r="I1116" s="10"/>
      <c r="J1116" s="10">
        <v>3</v>
      </c>
      <c r="K1116" s="10">
        <v>100.48</v>
      </c>
    </row>
    <row r="1117" spans="1:11" x14ac:dyDescent="0.25">
      <c r="A1117" s="8" t="s">
        <v>2203</v>
      </c>
      <c r="B1117" s="8" t="s">
        <v>2074</v>
      </c>
      <c r="C1117" s="8" t="s">
        <v>2006</v>
      </c>
      <c r="D1117" s="8">
        <v>5</v>
      </c>
      <c r="E1117" s="8" t="s">
        <v>2204</v>
      </c>
      <c r="F1117" s="8" t="s">
        <v>215</v>
      </c>
      <c r="G1117" s="8" t="s">
        <v>2176</v>
      </c>
      <c r="H1117" s="10">
        <v>1</v>
      </c>
      <c r="I1117" s="10"/>
      <c r="J1117" s="10">
        <v>1</v>
      </c>
      <c r="K1117" s="10">
        <v>401.93</v>
      </c>
    </row>
    <row r="1118" spans="1:11" x14ac:dyDescent="0.25">
      <c r="A1118" s="8" t="s">
        <v>2205</v>
      </c>
      <c r="B1118" s="8" t="s">
        <v>2074</v>
      </c>
      <c r="C1118" s="8" t="s">
        <v>2006</v>
      </c>
      <c r="D1118" s="8">
        <v>5</v>
      </c>
      <c r="E1118" s="8" t="s">
        <v>2206</v>
      </c>
      <c r="F1118" s="8" t="s">
        <v>215</v>
      </c>
      <c r="G1118" s="8" t="s">
        <v>2176</v>
      </c>
      <c r="H1118" s="10">
        <v>1</v>
      </c>
      <c r="I1118" s="10"/>
      <c r="J1118" s="10">
        <v>1</v>
      </c>
      <c r="K1118" s="10">
        <v>401.93</v>
      </c>
    </row>
    <row r="1119" spans="1:11" x14ac:dyDescent="0.25">
      <c r="A1119" s="8" t="s">
        <v>2207</v>
      </c>
      <c r="B1119" s="8" t="s">
        <v>2074</v>
      </c>
      <c r="C1119" s="8" t="s">
        <v>2006</v>
      </c>
      <c r="D1119" s="8">
        <v>5</v>
      </c>
      <c r="E1119" s="8" t="s">
        <v>2208</v>
      </c>
      <c r="F1119" s="8" t="s">
        <v>215</v>
      </c>
      <c r="G1119" s="8" t="s">
        <v>2176</v>
      </c>
      <c r="H1119" s="10">
        <v>1</v>
      </c>
      <c r="I1119" s="10"/>
      <c r="J1119" s="10">
        <v>1</v>
      </c>
      <c r="K1119" s="10">
        <v>200.97</v>
      </c>
    </row>
    <row r="1120" spans="1:11" x14ac:dyDescent="0.25">
      <c r="A1120" s="8" t="s">
        <v>2209</v>
      </c>
      <c r="B1120" s="8" t="s">
        <v>2074</v>
      </c>
      <c r="C1120" s="8" t="s">
        <v>2006</v>
      </c>
      <c r="D1120" s="8">
        <v>5</v>
      </c>
      <c r="E1120" s="8" t="s">
        <v>2210</v>
      </c>
      <c r="F1120" s="8" t="s">
        <v>215</v>
      </c>
      <c r="G1120" s="8" t="s">
        <v>2176</v>
      </c>
      <c r="H1120" s="10">
        <v>1</v>
      </c>
      <c r="I1120" s="10"/>
      <c r="J1120" s="10">
        <v>1</v>
      </c>
      <c r="K1120" s="10">
        <v>200.97</v>
      </c>
    </row>
    <row r="1121" spans="1:11" x14ac:dyDescent="0.25">
      <c r="A1121" s="8" t="s">
        <v>2211</v>
      </c>
      <c r="B1121" s="8" t="s">
        <v>2074</v>
      </c>
      <c r="C1121" s="8" t="s">
        <v>2006</v>
      </c>
      <c r="D1121" s="8">
        <v>5</v>
      </c>
      <c r="E1121" s="8" t="s">
        <v>2212</v>
      </c>
      <c r="F1121" s="8" t="s">
        <v>215</v>
      </c>
      <c r="G1121" s="8" t="s">
        <v>2176</v>
      </c>
      <c r="H1121" s="10">
        <v>1</v>
      </c>
      <c r="I1121" s="10"/>
      <c r="J1121" s="10">
        <v>1</v>
      </c>
      <c r="K1121" s="10">
        <v>200.97</v>
      </c>
    </row>
    <row r="1122" spans="1:11" x14ac:dyDescent="0.25">
      <c r="A1122" s="8" t="s">
        <v>2213</v>
      </c>
      <c r="B1122" s="8" t="s">
        <v>2074</v>
      </c>
      <c r="C1122" s="8" t="s">
        <v>2006</v>
      </c>
      <c r="D1122" s="8">
        <v>5</v>
      </c>
      <c r="E1122" s="8" t="s">
        <v>2214</v>
      </c>
      <c r="F1122" s="8" t="s">
        <v>215</v>
      </c>
      <c r="G1122" s="8" t="s">
        <v>2176</v>
      </c>
      <c r="H1122" s="10">
        <v>3</v>
      </c>
      <c r="I1122" s="10"/>
      <c r="J1122" s="10">
        <v>3</v>
      </c>
      <c r="K1122" s="10">
        <v>200.97</v>
      </c>
    </row>
    <row r="1123" spans="1:11" x14ac:dyDescent="0.25">
      <c r="A1123" s="8" t="s">
        <v>2215</v>
      </c>
      <c r="B1123" s="8" t="s">
        <v>2074</v>
      </c>
      <c r="C1123" s="8" t="s">
        <v>2006</v>
      </c>
      <c r="D1123" s="8">
        <v>5</v>
      </c>
      <c r="E1123" s="8" t="s">
        <v>2216</v>
      </c>
      <c r="F1123" s="8" t="s">
        <v>215</v>
      </c>
      <c r="G1123" s="8" t="s">
        <v>2176</v>
      </c>
      <c r="H1123" s="10">
        <v>1</v>
      </c>
      <c r="I1123" s="10"/>
      <c r="J1123" s="10">
        <v>1</v>
      </c>
      <c r="K1123" s="10">
        <v>200.97</v>
      </c>
    </row>
    <row r="1124" spans="1:11" x14ac:dyDescent="0.25">
      <c r="A1124" s="8" t="s">
        <v>2217</v>
      </c>
      <c r="B1124" s="8" t="s">
        <v>2074</v>
      </c>
      <c r="C1124" s="8" t="s">
        <v>2006</v>
      </c>
      <c r="D1124" s="8">
        <v>5</v>
      </c>
      <c r="E1124" s="8" t="s">
        <v>2218</v>
      </c>
      <c r="F1124" s="8" t="s">
        <v>215</v>
      </c>
      <c r="G1124" s="8" t="s">
        <v>2176</v>
      </c>
      <c r="H1124" s="10">
        <v>1</v>
      </c>
      <c r="I1124" s="10"/>
      <c r="J1124" s="10">
        <v>1</v>
      </c>
      <c r="K1124" s="10">
        <v>200.97</v>
      </c>
    </row>
    <row r="1125" spans="1:11" x14ac:dyDescent="0.25">
      <c r="A1125" s="8" t="s">
        <v>2219</v>
      </c>
      <c r="B1125" s="8" t="s">
        <v>2074</v>
      </c>
      <c r="C1125" s="8" t="s">
        <v>2006</v>
      </c>
      <c r="D1125" s="8">
        <v>5</v>
      </c>
      <c r="E1125" s="8" t="s">
        <v>2220</v>
      </c>
      <c r="F1125" s="8" t="s">
        <v>215</v>
      </c>
      <c r="G1125" s="8" t="s">
        <v>2176</v>
      </c>
      <c r="H1125" s="10">
        <v>1</v>
      </c>
      <c r="I1125" s="10"/>
      <c r="J1125" s="10">
        <v>1</v>
      </c>
      <c r="K1125" s="10">
        <v>200.97</v>
      </c>
    </row>
    <row r="1126" spans="1:11" x14ac:dyDescent="0.25">
      <c r="A1126" s="8" t="s">
        <v>2221</v>
      </c>
      <c r="B1126" s="8" t="s">
        <v>2074</v>
      </c>
      <c r="C1126" s="8" t="s">
        <v>2006</v>
      </c>
      <c r="D1126" s="8">
        <v>5</v>
      </c>
      <c r="E1126" s="8" t="s">
        <v>2222</v>
      </c>
      <c r="F1126" s="8" t="s">
        <v>215</v>
      </c>
      <c r="G1126" s="8" t="s">
        <v>2176</v>
      </c>
      <c r="H1126" s="10">
        <v>1</v>
      </c>
      <c r="I1126" s="10"/>
      <c r="J1126" s="10">
        <v>1</v>
      </c>
      <c r="K1126" s="10">
        <v>200.97</v>
      </c>
    </row>
    <row r="1127" spans="1:11" x14ac:dyDescent="0.25">
      <c r="A1127" s="8" t="s">
        <v>2223</v>
      </c>
      <c r="B1127" s="8" t="s">
        <v>2074</v>
      </c>
      <c r="C1127" s="8" t="s">
        <v>2006</v>
      </c>
      <c r="D1127" s="8">
        <v>5</v>
      </c>
      <c r="E1127" s="8" t="s">
        <v>2224</v>
      </c>
      <c r="F1127" s="8" t="s">
        <v>215</v>
      </c>
      <c r="G1127" s="8" t="s">
        <v>2176</v>
      </c>
      <c r="H1127" s="10">
        <v>1</v>
      </c>
      <c r="I1127" s="10"/>
      <c r="J1127" s="10">
        <v>1</v>
      </c>
      <c r="K1127" s="10">
        <v>200.97</v>
      </c>
    </row>
    <row r="1128" spans="1:11" x14ac:dyDescent="0.25">
      <c r="A1128" s="8" t="s">
        <v>2225</v>
      </c>
      <c r="B1128" s="8" t="s">
        <v>2074</v>
      </c>
      <c r="C1128" s="8" t="s">
        <v>2006</v>
      </c>
      <c r="D1128" s="8">
        <v>5</v>
      </c>
      <c r="E1128" s="8" t="s">
        <v>2226</v>
      </c>
      <c r="F1128" s="8" t="s">
        <v>215</v>
      </c>
      <c r="G1128" s="8" t="s">
        <v>2176</v>
      </c>
      <c r="H1128" s="10">
        <v>1</v>
      </c>
      <c r="I1128" s="10"/>
      <c r="J1128" s="10">
        <v>1</v>
      </c>
      <c r="K1128" s="10">
        <v>200.97</v>
      </c>
    </row>
    <row r="1129" spans="1:11" x14ac:dyDescent="0.25">
      <c r="A1129" s="8" t="s">
        <v>2227</v>
      </c>
      <c r="B1129" s="8" t="s">
        <v>2074</v>
      </c>
      <c r="C1129" s="8" t="s">
        <v>2006</v>
      </c>
      <c r="D1129" s="8">
        <v>5</v>
      </c>
      <c r="E1129" s="8" t="s">
        <v>2228</v>
      </c>
      <c r="F1129" s="8" t="s">
        <v>215</v>
      </c>
      <c r="G1129" s="8" t="s">
        <v>2176</v>
      </c>
      <c r="H1129" s="10">
        <v>1</v>
      </c>
      <c r="I1129" s="10"/>
      <c r="J1129" s="10">
        <v>1</v>
      </c>
      <c r="K1129" s="10">
        <v>200.97</v>
      </c>
    </row>
    <row r="1130" spans="1:11" x14ac:dyDescent="0.25">
      <c r="A1130" s="8" t="s">
        <v>2229</v>
      </c>
      <c r="B1130" s="8" t="s">
        <v>2074</v>
      </c>
      <c r="C1130" s="8" t="s">
        <v>2006</v>
      </c>
      <c r="D1130" s="8">
        <v>5</v>
      </c>
      <c r="E1130" s="8" t="s">
        <v>2230</v>
      </c>
      <c r="F1130" s="8" t="s">
        <v>215</v>
      </c>
      <c r="G1130" s="8" t="s">
        <v>2176</v>
      </c>
      <c r="H1130" s="10">
        <v>1</v>
      </c>
      <c r="I1130" s="10"/>
      <c r="J1130" s="10">
        <v>1</v>
      </c>
      <c r="K1130" s="10">
        <v>200.97</v>
      </c>
    </row>
    <row r="1131" spans="1:11" x14ac:dyDescent="0.25">
      <c r="A1131" s="8" t="s">
        <v>2231</v>
      </c>
      <c r="B1131" s="8" t="s">
        <v>2074</v>
      </c>
      <c r="C1131" s="8" t="s">
        <v>2006</v>
      </c>
      <c r="D1131" s="8">
        <v>5</v>
      </c>
      <c r="E1131" s="8" t="s">
        <v>2232</v>
      </c>
      <c r="F1131" s="8" t="s">
        <v>215</v>
      </c>
      <c r="G1131" s="8" t="s">
        <v>2176</v>
      </c>
      <c r="H1131" s="10">
        <v>1</v>
      </c>
      <c r="I1131" s="10"/>
      <c r="J1131" s="10">
        <v>1</v>
      </c>
      <c r="K1131" s="10">
        <v>200.97</v>
      </c>
    </row>
    <row r="1132" spans="1:11" x14ac:dyDescent="0.25">
      <c r="A1132" s="8" t="s">
        <v>2233</v>
      </c>
      <c r="B1132" s="8" t="s">
        <v>2074</v>
      </c>
      <c r="C1132" s="8" t="s">
        <v>2006</v>
      </c>
      <c r="D1132" s="8">
        <v>5</v>
      </c>
      <c r="E1132" s="8" t="s">
        <v>2234</v>
      </c>
      <c r="F1132" s="8" t="s">
        <v>215</v>
      </c>
      <c r="G1132" s="8" t="s">
        <v>2176</v>
      </c>
      <c r="H1132" s="10">
        <v>1</v>
      </c>
      <c r="I1132" s="10"/>
      <c r="J1132" s="10">
        <v>1</v>
      </c>
      <c r="K1132" s="10">
        <v>200.97</v>
      </c>
    </row>
    <row r="1133" spans="1:11" x14ac:dyDescent="0.25">
      <c r="A1133" s="8" t="s">
        <v>2235</v>
      </c>
      <c r="B1133" s="8" t="s">
        <v>2074</v>
      </c>
      <c r="C1133" s="8" t="s">
        <v>2006</v>
      </c>
      <c r="D1133" s="8">
        <v>5</v>
      </c>
      <c r="E1133" s="8" t="s">
        <v>2236</v>
      </c>
      <c r="F1133" s="8" t="s">
        <v>215</v>
      </c>
      <c r="G1133" s="8" t="s">
        <v>2176</v>
      </c>
      <c r="H1133" s="10">
        <v>1</v>
      </c>
      <c r="I1133" s="10"/>
      <c r="J1133" s="10">
        <v>1</v>
      </c>
      <c r="K1133" s="10">
        <v>200.97</v>
      </c>
    </row>
    <row r="1134" spans="1:11" x14ac:dyDescent="0.25">
      <c r="A1134" s="8" t="s">
        <v>2237</v>
      </c>
      <c r="B1134" s="8" t="s">
        <v>2074</v>
      </c>
      <c r="C1134" s="8" t="s">
        <v>2006</v>
      </c>
      <c r="D1134" s="8">
        <v>5</v>
      </c>
      <c r="E1134" s="8" t="s">
        <v>2238</v>
      </c>
      <c r="F1134" s="8" t="s">
        <v>215</v>
      </c>
      <c r="G1134" s="8" t="s">
        <v>2176</v>
      </c>
      <c r="H1134" s="10">
        <v>1</v>
      </c>
      <c r="I1134" s="10"/>
      <c r="J1134" s="10">
        <v>1</v>
      </c>
      <c r="K1134" s="10">
        <v>200.97</v>
      </c>
    </row>
    <row r="1135" spans="1:11" x14ac:dyDescent="0.25">
      <c r="A1135" s="8" t="s">
        <v>2239</v>
      </c>
      <c r="B1135" s="8" t="s">
        <v>2074</v>
      </c>
      <c r="C1135" s="8" t="s">
        <v>2006</v>
      </c>
      <c r="D1135" s="8">
        <v>5</v>
      </c>
      <c r="E1135" s="8" t="s">
        <v>2240</v>
      </c>
      <c r="F1135" s="8" t="s">
        <v>215</v>
      </c>
      <c r="G1135" s="8" t="s">
        <v>2176</v>
      </c>
      <c r="H1135" s="10">
        <v>1</v>
      </c>
      <c r="I1135" s="10"/>
      <c r="J1135" s="10">
        <v>1</v>
      </c>
      <c r="K1135" s="10">
        <v>200.97</v>
      </c>
    </row>
    <row r="1136" spans="1:11" x14ac:dyDescent="0.25">
      <c r="A1136" s="8" t="s">
        <v>2241</v>
      </c>
      <c r="B1136" s="8" t="s">
        <v>2074</v>
      </c>
      <c r="C1136" s="8" t="s">
        <v>2006</v>
      </c>
      <c r="D1136" s="8">
        <v>5</v>
      </c>
      <c r="E1136" s="8" t="s">
        <v>2242</v>
      </c>
      <c r="F1136" s="8" t="s">
        <v>215</v>
      </c>
      <c r="G1136" s="8" t="s">
        <v>2176</v>
      </c>
      <c r="H1136" s="10">
        <v>1</v>
      </c>
      <c r="I1136" s="10"/>
      <c r="J1136" s="10">
        <v>1</v>
      </c>
      <c r="K1136" s="10">
        <v>200.97</v>
      </c>
    </row>
    <row r="1137" spans="1:11" x14ac:dyDescent="0.25">
      <c r="A1137" s="8" t="s">
        <v>2243</v>
      </c>
      <c r="B1137" s="8" t="s">
        <v>2074</v>
      </c>
      <c r="C1137" s="8" t="s">
        <v>2006</v>
      </c>
      <c r="D1137" s="8">
        <v>5</v>
      </c>
      <c r="E1137" s="8" t="s">
        <v>2244</v>
      </c>
      <c r="F1137" s="8" t="s">
        <v>215</v>
      </c>
      <c r="G1137" s="8" t="s">
        <v>2176</v>
      </c>
      <c r="H1137" s="10">
        <v>1</v>
      </c>
      <c r="I1137" s="10"/>
      <c r="J1137" s="10">
        <v>1</v>
      </c>
      <c r="K1137" s="10">
        <v>200.97</v>
      </c>
    </row>
    <row r="1138" spans="1:11" x14ac:dyDescent="0.25">
      <c r="A1138" s="8" t="s">
        <v>2245</v>
      </c>
      <c r="B1138" s="8" t="s">
        <v>2074</v>
      </c>
      <c r="C1138" s="8" t="s">
        <v>2006</v>
      </c>
      <c r="D1138" s="8">
        <v>5</v>
      </c>
      <c r="E1138" s="8" t="s">
        <v>2246</v>
      </c>
      <c r="F1138" s="8" t="s">
        <v>911</v>
      </c>
      <c r="G1138" s="8" t="s">
        <v>2176</v>
      </c>
      <c r="H1138" s="10">
        <v>1</v>
      </c>
      <c r="I1138" s="10"/>
      <c r="J1138" s="10">
        <v>1</v>
      </c>
      <c r="K1138" s="10">
        <v>401.93</v>
      </c>
    </row>
    <row r="1139" spans="1:11" x14ac:dyDescent="0.25">
      <c r="A1139" s="8" t="s">
        <v>2247</v>
      </c>
      <c r="B1139" s="8" t="s">
        <v>2074</v>
      </c>
      <c r="C1139" s="8" t="s">
        <v>2006</v>
      </c>
      <c r="D1139" s="8">
        <v>5</v>
      </c>
      <c r="E1139" s="8" t="s">
        <v>2248</v>
      </c>
      <c r="F1139" s="8" t="s">
        <v>911</v>
      </c>
      <c r="G1139" s="8" t="s">
        <v>2176</v>
      </c>
      <c r="H1139" s="10">
        <v>1</v>
      </c>
      <c r="I1139" s="10"/>
      <c r="J1139" s="10">
        <v>1</v>
      </c>
      <c r="K1139" s="10">
        <v>401.93</v>
      </c>
    </row>
    <row r="1140" spans="1:11" x14ac:dyDescent="0.25">
      <c r="A1140" s="8" t="s">
        <v>2249</v>
      </c>
      <c r="B1140" s="8" t="s">
        <v>2074</v>
      </c>
      <c r="C1140" s="8" t="s">
        <v>2006</v>
      </c>
      <c r="D1140" s="8">
        <v>5</v>
      </c>
      <c r="E1140" s="8" t="s">
        <v>2250</v>
      </c>
      <c r="F1140" s="8" t="s">
        <v>911</v>
      </c>
      <c r="G1140" s="8" t="s">
        <v>2176</v>
      </c>
      <c r="H1140" s="10">
        <v>1</v>
      </c>
      <c r="I1140" s="10"/>
      <c r="J1140" s="10">
        <v>1</v>
      </c>
      <c r="K1140" s="10">
        <v>401.93</v>
      </c>
    </row>
    <row r="1141" spans="1:11" x14ac:dyDescent="0.25">
      <c r="A1141" s="8" t="s">
        <v>2251</v>
      </c>
      <c r="B1141" s="8" t="s">
        <v>2074</v>
      </c>
      <c r="C1141" s="8" t="s">
        <v>2006</v>
      </c>
      <c r="D1141" s="8">
        <v>5</v>
      </c>
      <c r="E1141" s="8" t="s">
        <v>2252</v>
      </c>
      <c r="F1141" s="8" t="s">
        <v>911</v>
      </c>
      <c r="G1141" s="8" t="s">
        <v>2176</v>
      </c>
      <c r="H1141" s="10">
        <v>1</v>
      </c>
      <c r="I1141" s="10"/>
      <c r="J1141" s="10">
        <v>1</v>
      </c>
      <c r="K1141" s="10">
        <v>401.93</v>
      </c>
    </row>
    <row r="1142" spans="1:11" x14ac:dyDescent="0.25">
      <c r="A1142" s="8" t="s">
        <v>2253</v>
      </c>
      <c r="B1142" s="8" t="s">
        <v>2074</v>
      </c>
      <c r="C1142" s="8" t="s">
        <v>2006</v>
      </c>
      <c r="D1142" s="8">
        <v>5</v>
      </c>
      <c r="E1142" s="8" t="s">
        <v>2254</v>
      </c>
      <c r="F1142" s="8" t="s">
        <v>911</v>
      </c>
      <c r="G1142" s="8" t="s">
        <v>2176</v>
      </c>
      <c r="H1142" s="10">
        <v>1</v>
      </c>
      <c r="I1142" s="10"/>
      <c r="J1142" s="10">
        <v>1</v>
      </c>
      <c r="K1142" s="10">
        <v>401.93</v>
      </c>
    </row>
    <row r="1143" spans="1:11" x14ac:dyDescent="0.25">
      <c r="A1143" s="8" t="s">
        <v>2255</v>
      </c>
      <c r="B1143" s="8" t="s">
        <v>1650</v>
      </c>
      <c r="C1143" s="8" t="s">
        <v>2006</v>
      </c>
      <c r="D1143" s="8">
        <v>5</v>
      </c>
      <c r="E1143" s="8" t="s">
        <v>2256</v>
      </c>
      <c r="F1143" s="8" t="s">
        <v>911</v>
      </c>
      <c r="G1143" s="8" t="s">
        <v>2058</v>
      </c>
      <c r="H1143" s="10">
        <v>1</v>
      </c>
      <c r="I1143" s="10"/>
      <c r="J1143" s="10">
        <v>1</v>
      </c>
      <c r="K1143" s="10">
        <v>200.97</v>
      </c>
    </row>
    <row r="1144" spans="1:11" x14ac:dyDescent="0.25">
      <c r="A1144" s="8" t="s">
        <v>2257</v>
      </c>
      <c r="B1144" s="8" t="s">
        <v>1650</v>
      </c>
      <c r="C1144" s="8" t="s">
        <v>2006</v>
      </c>
      <c r="D1144" s="8">
        <v>5</v>
      </c>
      <c r="E1144" s="8" t="s">
        <v>2258</v>
      </c>
      <c r="F1144" s="8" t="s">
        <v>911</v>
      </c>
      <c r="G1144" s="8" t="s">
        <v>2058</v>
      </c>
      <c r="H1144" s="10">
        <v>1</v>
      </c>
      <c r="I1144" s="10"/>
      <c r="J1144" s="10">
        <v>1</v>
      </c>
      <c r="K1144" s="10">
        <v>200.97</v>
      </c>
    </row>
    <row r="1145" spans="1:11" x14ac:dyDescent="0.25">
      <c r="A1145" s="8" t="s">
        <v>2259</v>
      </c>
      <c r="B1145" s="8" t="s">
        <v>1650</v>
      </c>
      <c r="C1145" s="8" t="s">
        <v>2006</v>
      </c>
      <c r="D1145" s="8">
        <v>5</v>
      </c>
      <c r="E1145" s="8" t="s">
        <v>2260</v>
      </c>
      <c r="F1145" s="8" t="s">
        <v>911</v>
      </c>
      <c r="G1145" s="8" t="s">
        <v>2058</v>
      </c>
      <c r="H1145" s="10">
        <v>1</v>
      </c>
      <c r="I1145" s="10"/>
      <c r="J1145" s="10">
        <v>1</v>
      </c>
      <c r="K1145" s="10">
        <v>200.97</v>
      </c>
    </row>
    <row r="1146" spans="1:11" x14ac:dyDescent="0.25">
      <c r="A1146" s="8" t="s">
        <v>2261</v>
      </c>
      <c r="B1146" s="8" t="s">
        <v>1650</v>
      </c>
      <c r="C1146" s="8" t="s">
        <v>2006</v>
      </c>
      <c r="D1146" s="8">
        <v>5</v>
      </c>
      <c r="E1146" s="8" t="s">
        <v>2262</v>
      </c>
      <c r="F1146" s="8" t="s">
        <v>911</v>
      </c>
      <c r="G1146" s="8" t="s">
        <v>2058</v>
      </c>
      <c r="H1146" s="10">
        <v>1</v>
      </c>
      <c r="I1146" s="10"/>
      <c r="J1146" s="10">
        <v>1</v>
      </c>
      <c r="K1146" s="10">
        <v>200.97</v>
      </c>
    </row>
    <row r="1147" spans="1:11" x14ac:dyDescent="0.25">
      <c r="A1147" s="8" t="s">
        <v>2263</v>
      </c>
      <c r="B1147" s="8" t="s">
        <v>120</v>
      </c>
      <c r="C1147" s="8" t="s">
        <v>2006</v>
      </c>
      <c r="D1147" s="8">
        <v>5</v>
      </c>
      <c r="E1147" s="8" t="s">
        <v>2264</v>
      </c>
      <c r="F1147" s="8" t="s">
        <v>911</v>
      </c>
      <c r="G1147" s="8" t="s">
        <v>2058</v>
      </c>
      <c r="H1147" s="10">
        <v>1</v>
      </c>
      <c r="I1147" s="10"/>
      <c r="J1147" s="10">
        <v>1</v>
      </c>
      <c r="K1147" s="10">
        <v>200.97</v>
      </c>
    </row>
    <row r="1148" spans="1:11" x14ac:dyDescent="0.25">
      <c r="A1148" s="8" t="s">
        <v>2265</v>
      </c>
      <c r="B1148" s="8" t="s">
        <v>1655</v>
      </c>
      <c r="C1148" s="8" t="s">
        <v>2006</v>
      </c>
      <c r="D1148" s="8">
        <v>5</v>
      </c>
      <c r="E1148" s="8" t="s">
        <v>2266</v>
      </c>
      <c r="F1148" s="8" t="s">
        <v>911</v>
      </c>
      <c r="G1148" s="8" t="s">
        <v>2058</v>
      </c>
      <c r="H1148" s="10">
        <v>1</v>
      </c>
      <c r="I1148" s="10"/>
      <c r="J1148" s="10">
        <v>1</v>
      </c>
      <c r="K1148" s="10">
        <v>200.97</v>
      </c>
    </row>
    <row r="1149" spans="1:11" x14ac:dyDescent="0.25">
      <c r="A1149" s="8" t="s">
        <v>2267</v>
      </c>
      <c r="B1149" s="8" t="s">
        <v>1655</v>
      </c>
      <c r="C1149" s="8" t="s">
        <v>2006</v>
      </c>
      <c r="D1149" s="8">
        <v>5</v>
      </c>
      <c r="E1149" s="8" t="s">
        <v>2268</v>
      </c>
      <c r="F1149" s="8" t="s">
        <v>215</v>
      </c>
      <c r="G1149" s="8" t="s">
        <v>2269</v>
      </c>
      <c r="H1149" s="10">
        <v>1</v>
      </c>
      <c r="I1149" s="10"/>
      <c r="J1149" s="10">
        <v>1</v>
      </c>
      <c r="K1149" s="10">
        <v>6028.96</v>
      </c>
    </row>
    <row r="1150" spans="1:11" x14ac:dyDescent="0.25">
      <c r="A1150" s="8" t="s">
        <v>2270</v>
      </c>
      <c r="B1150" s="8" t="s">
        <v>1650</v>
      </c>
      <c r="C1150" s="8" t="s">
        <v>2006</v>
      </c>
      <c r="D1150" s="8">
        <v>5</v>
      </c>
      <c r="E1150" s="8" t="s">
        <v>2271</v>
      </c>
      <c r="F1150" s="8" t="s">
        <v>215</v>
      </c>
      <c r="G1150" s="8" t="s">
        <v>2269</v>
      </c>
      <c r="H1150" s="10">
        <v>1</v>
      </c>
      <c r="I1150" s="10"/>
      <c r="J1150" s="10">
        <v>1</v>
      </c>
      <c r="K1150" s="10">
        <v>6028.96</v>
      </c>
    </row>
    <row r="1151" spans="1:11" x14ac:dyDescent="0.25">
      <c r="A1151" s="8" t="s">
        <v>2272</v>
      </c>
      <c r="B1151" s="8" t="s">
        <v>120</v>
      </c>
      <c r="C1151" s="8" t="s">
        <v>2006</v>
      </c>
      <c r="D1151" s="8">
        <v>5</v>
      </c>
      <c r="E1151" s="8" t="s">
        <v>2273</v>
      </c>
      <c r="F1151" s="8" t="s">
        <v>215</v>
      </c>
      <c r="G1151" s="8" t="s">
        <v>2269</v>
      </c>
      <c r="H1151" s="10">
        <v>1</v>
      </c>
      <c r="I1151" s="10"/>
      <c r="J1151" s="10">
        <v>1</v>
      </c>
      <c r="K1151" s="10">
        <v>6028.96</v>
      </c>
    </row>
    <row r="1152" spans="1:11" x14ac:dyDescent="0.25">
      <c r="A1152" s="8" t="s">
        <v>2274</v>
      </c>
      <c r="B1152" s="8" t="s">
        <v>120</v>
      </c>
      <c r="C1152" s="8" t="s">
        <v>2006</v>
      </c>
      <c r="D1152" s="8">
        <v>5</v>
      </c>
      <c r="E1152" s="8" t="s">
        <v>2275</v>
      </c>
      <c r="F1152" s="8" t="s">
        <v>215</v>
      </c>
      <c r="G1152" s="8" t="s">
        <v>2269</v>
      </c>
      <c r="H1152" s="10">
        <v>1</v>
      </c>
      <c r="I1152" s="10"/>
      <c r="J1152" s="10">
        <v>1</v>
      </c>
      <c r="K1152" s="10">
        <v>6028.96</v>
      </c>
    </row>
    <row r="1153" spans="1:11" x14ac:dyDescent="0.25">
      <c r="A1153" s="8" t="s">
        <v>2276</v>
      </c>
      <c r="B1153" s="8" t="s">
        <v>1655</v>
      </c>
      <c r="C1153" s="8" t="s">
        <v>2006</v>
      </c>
      <c r="D1153" s="8">
        <v>5</v>
      </c>
      <c r="E1153" s="8" t="s">
        <v>2277</v>
      </c>
      <c r="F1153" s="8" t="s">
        <v>215</v>
      </c>
      <c r="G1153" s="8" t="s">
        <v>2269</v>
      </c>
      <c r="H1153" s="10">
        <v>1</v>
      </c>
      <c r="I1153" s="10"/>
      <c r="J1153" s="10">
        <v>1</v>
      </c>
      <c r="K1153" s="10">
        <v>6028.96</v>
      </c>
    </row>
    <row r="1154" spans="1:11" x14ac:dyDescent="0.25">
      <c r="A1154" s="8" t="s">
        <v>2278</v>
      </c>
      <c r="B1154" s="8" t="s">
        <v>120</v>
      </c>
      <c r="C1154" s="8" t="s">
        <v>2006</v>
      </c>
      <c r="D1154" s="8">
        <v>5</v>
      </c>
      <c r="E1154" s="8" t="s">
        <v>2279</v>
      </c>
      <c r="F1154" s="8" t="s">
        <v>215</v>
      </c>
      <c r="G1154" s="8" t="s">
        <v>2269</v>
      </c>
      <c r="H1154" s="10">
        <v>1</v>
      </c>
      <c r="I1154" s="10"/>
      <c r="J1154" s="10">
        <v>1</v>
      </c>
      <c r="K1154" s="10">
        <v>6028.96</v>
      </c>
    </row>
    <row r="1155" spans="1:11" x14ac:dyDescent="0.25">
      <c r="A1155" s="8" t="s">
        <v>2280</v>
      </c>
      <c r="B1155" s="8" t="s">
        <v>120</v>
      </c>
      <c r="C1155" s="8" t="s">
        <v>1694</v>
      </c>
      <c r="D1155" s="8">
        <v>5</v>
      </c>
      <c r="E1155" s="8" t="s">
        <v>2281</v>
      </c>
      <c r="F1155" s="8" t="s">
        <v>911</v>
      </c>
      <c r="G1155" s="8" t="s">
        <v>2282</v>
      </c>
      <c r="H1155" s="10">
        <v>2</v>
      </c>
      <c r="I1155" s="10"/>
      <c r="J1155" s="10">
        <v>2</v>
      </c>
      <c r="K1155" s="10">
        <v>2009.65</v>
      </c>
    </row>
    <row r="1156" spans="1:11" x14ac:dyDescent="0.25">
      <c r="A1156" s="8" t="s">
        <v>2283</v>
      </c>
      <c r="B1156" s="8" t="s">
        <v>122</v>
      </c>
      <c r="C1156" s="8" t="s">
        <v>1694</v>
      </c>
      <c r="D1156" s="8">
        <v>5</v>
      </c>
      <c r="E1156" s="8" t="s">
        <v>2281</v>
      </c>
      <c r="F1156" s="8" t="s">
        <v>911</v>
      </c>
      <c r="G1156" s="8" t="s">
        <v>2282</v>
      </c>
      <c r="H1156" s="10">
        <v>2</v>
      </c>
      <c r="I1156" s="10"/>
      <c r="J1156" s="10">
        <v>2</v>
      </c>
      <c r="K1156" s="10">
        <v>2009.65</v>
      </c>
    </row>
    <row r="1157" spans="1:11" x14ac:dyDescent="0.25">
      <c r="A1157" s="8" t="s">
        <v>2284</v>
      </c>
      <c r="B1157" s="8" t="s">
        <v>124</v>
      </c>
      <c r="C1157" s="8" t="s">
        <v>1694</v>
      </c>
      <c r="D1157" s="8">
        <v>5</v>
      </c>
      <c r="E1157" s="8" t="s">
        <v>2281</v>
      </c>
      <c r="F1157" s="8" t="s">
        <v>911</v>
      </c>
      <c r="G1157" s="8" t="s">
        <v>2282</v>
      </c>
      <c r="H1157" s="10">
        <v>2</v>
      </c>
      <c r="I1157" s="10"/>
      <c r="J1157" s="10">
        <v>2</v>
      </c>
      <c r="K1157" s="10">
        <v>2009.65</v>
      </c>
    </row>
    <row r="1158" spans="1:11" x14ac:dyDescent="0.25">
      <c r="A1158" s="8" t="s">
        <v>2285</v>
      </c>
      <c r="B1158" s="8" t="s">
        <v>116</v>
      </c>
      <c r="C1158" s="8" t="s">
        <v>1694</v>
      </c>
      <c r="D1158" s="8">
        <v>5</v>
      </c>
      <c r="E1158" s="8" t="s">
        <v>2286</v>
      </c>
      <c r="F1158" s="8" t="s">
        <v>215</v>
      </c>
      <c r="G1158" s="8" t="s">
        <v>2282</v>
      </c>
      <c r="H1158" s="10">
        <v>4</v>
      </c>
      <c r="I1158" s="10"/>
      <c r="J1158" s="10">
        <v>4</v>
      </c>
      <c r="K1158" s="10">
        <v>2009.65</v>
      </c>
    </row>
    <row r="1159" spans="1:11" x14ac:dyDescent="0.25">
      <c r="A1159" s="8" t="s">
        <v>2287</v>
      </c>
      <c r="B1159" s="8" t="s">
        <v>116</v>
      </c>
      <c r="C1159" s="8" t="s">
        <v>1694</v>
      </c>
      <c r="D1159" s="8">
        <v>5</v>
      </c>
      <c r="E1159" s="8" t="s">
        <v>2286</v>
      </c>
      <c r="F1159" s="8" t="s">
        <v>215</v>
      </c>
      <c r="G1159" s="8" t="s">
        <v>2282</v>
      </c>
      <c r="H1159" s="10">
        <v>1</v>
      </c>
      <c r="I1159" s="10"/>
      <c r="J1159" s="10">
        <v>1</v>
      </c>
      <c r="K1159" s="10">
        <v>2009.65</v>
      </c>
    </row>
    <row r="1160" spans="1:11" x14ac:dyDescent="0.25">
      <c r="A1160" s="8" t="s">
        <v>2288</v>
      </c>
      <c r="B1160" s="8" t="s">
        <v>118</v>
      </c>
      <c r="C1160" s="8" t="s">
        <v>1694</v>
      </c>
      <c r="D1160" s="8">
        <v>5</v>
      </c>
      <c r="E1160" s="8" t="s">
        <v>2286</v>
      </c>
      <c r="F1160" s="8" t="s">
        <v>215</v>
      </c>
      <c r="G1160" s="8" t="s">
        <v>2282</v>
      </c>
      <c r="H1160" s="10">
        <v>7</v>
      </c>
      <c r="I1160" s="10"/>
      <c r="J1160" s="10">
        <v>7</v>
      </c>
      <c r="K1160" s="10">
        <v>2009.65</v>
      </c>
    </row>
    <row r="1161" spans="1:11" x14ac:dyDescent="0.25">
      <c r="A1161" s="8" t="s">
        <v>2289</v>
      </c>
      <c r="B1161" s="8" t="s">
        <v>120</v>
      </c>
      <c r="C1161" s="8" t="s">
        <v>1694</v>
      </c>
      <c r="D1161" s="8">
        <v>5</v>
      </c>
      <c r="E1161" s="8" t="s">
        <v>2286</v>
      </c>
      <c r="F1161" s="8" t="s">
        <v>215</v>
      </c>
      <c r="G1161" s="8" t="s">
        <v>2282</v>
      </c>
      <c r="H1161" s="10">
        <v>3</v>
      </c>
      <c r="I1161" s="10"/>
      <c r="J1161" s="10">
        <v>3</v>
      </c>
      <c r="K1161" s="10">
        <v>2009.65</v>
      </c>
    </row>
    <row r="1162" spans="1:11" x14ac:dyDescent="0.25">
      <c r="A1162" s="8" t="s">
        <v>2290</v>
      </c>
      <c r="B1162" s="8" t="s">
        <v>78</v>
      </c>
      <c r="C1162" s="8" t="s">
        <v>1694</v>
      </c>
      <c r="D1162" s="8">
        <v>5</v>
      </c>
      <c r="E1162" s="8" t="s">
        <v>2286</v>
      </c>
      <c r="F1162" s="8" t="s">
        <v>215</v>
      </c>
      <c r="G1162" s="8" t="s">
        <v>2282</v>
      </c>
      <c r="H1162" s="10">
        <v>1</v>
      </c>
      <c r="I1162" s="10"/>
      <c r="J1162" s="10">
        <v>1</v>
      </c>
      <c r="K1162" s="10">
        <v>2009.65</v>
      </c>
    </row>
    <row r="1163" spans="1:11" x14ac:dyDescent="0.25">
      <c r="A1163" s="8" t="s">
        <v>2291</v>
      </c>
      <c r="B1163" s="8" t="s">
        <v>130</v>
      </c>
      <c r="C1163" s="8" t="s">
        <v>1694</v>
      </c>
      <c r="D1163" s="8">
        <v>5</v>
      </c>
      <c r="E1163" s="8" t="s">
        <v>2286</v>
      </c>
      <c r="F1163" s="8" t="s">
        <v>215</v>
      </c>
      <c r="G1163" s="8" t="s">
        <v>2282</v>
      </c>
      <c r="H1163" s="10">
        <v>2</v>
      </c>
      <c r="I1163" s="10"/>
      <c r="J1163" s="10">
        <v>2</v>
      </c>
      <c r="K1163" s="10">
        <v>2009.65</v>
      </c>
    </row>
    <row r="1164" spans="1:11" x14ac:dyDescent="0.25">
      <c r="A1164" s="8" t="s">
        <v>2292</v>
      </c>
      <c r="B1164" s="8" t="s">
        <v>116</v>
      </c>
      <c r="C1164" s="8" t="s">
        <v>1694</v>
      </c>
      <c r="D1164" s="8">
        <v>5</v>
      </c>
      <c r="E1164" s="8" t="s">
        <v>2293</v>
      </c>
      <c r="F1164" s="8" t="s">
        <v>215</v>
      </c>
      <c r="G1164" s="8" t="s">
        <v>2282</v>
      </c>
      <c r="H1164" s="10">
        <v>1</v>
      </c>
      <c r="I1164" s="10"/>
      <c r="J1164" s="10">
        <v>1</v>
      </c>
      <c r="K1164" s="10">
        <v>1004.83</v>
      </c>
    </row>
    <row r="1165" spans="1:11" x14ac:dyDescent="0.25">
      <c r="A1165" s="8" t="s">
        <v>2294</v>
      </c>
      <c r="B1165" s="8" t="s">
        <v>116</v>
      </c>
      <c r="C1165" s="8" t="s">
        <v>1694</v>
      </c>
      <c r="D1165" s="8">
        <v>5</v>
      </c>
      <c r="E1165" s="8" t="s">
        <v>2293</v>
      </c>
      <c r="F1165" s="8" t="s">
        <v>215</v>
      </c>
      <c r="G1165" s="8" t="s">
        <v>2282</v>
      </c>
      <c r="H1165" s="10">
        <v>4</v>
      </c>
      <c r="I1165" s="10"/>
      <c r="J1165" s="10">
        <v>4</v>
      </c>
      <c r="K1165" s="10">
        <v>1004.83</v>
      </c>
    </row>
    <row r="1166" spans="1:11" x14ac:dyDescent="0.25">
      <c r="A1166" s="8" t="s">
        <v>2295</v>
      </c>
      <c r="B1166" s="8" t="s">
        <v>118</v>
      </c>
      <c r="C1166" s="8" t="s">
        <v>1694</v>
      </c>
      <c r="D1166" s="8">
        <v>5</v>
      </c>
      <c r="E1166" s="8" t="s">
        <v>2293</v>
      </c>
      <c r="F1166" s="8" t="s">
        <v>215</v>
      </c>
      <c r="G1166" s="8" t="s">
        <v>2282</v>
      </c>
      <c r="H1166" s="10">
        <v>7</v>
      </c>
      <c r="I1166" s="10"/>
      <c r="J1166" s="10">
        <v>7</v>
      </c>
      <c r="K1166" s="10">
        <v>1004.83</v>
      </c>
    </row>
    <row r="1167" spans="1:11" x14ac:dyDescent="0.25">
      <c r="A1167" s="8" t="s">
        <v>2296</v>
      </c>
      <c r="B1167" s="8" t="s">
        <v>120</v>
      </c>
      <c r="C1167" s="8" t="s">
        <v>1694</v>
      </c>
      <c r="D1167" s="8">
        <v>5</v>
      </c>
      <c r="E1167" s="8" t="s">
        <v>2293</v>
      </c>
      <c r="F1167" s="8" t="s">
        <v>215</v>
      </c>
      <c r="G1167" s="8" t="s">
        <v>2282</v>
      </c>
      <c r="H1167" s="10">
        <v>3</v>
      </c>
      <c r="I1167" s="10"/>
      <c r="J1167" s="10">
        <v>3</v>
      </c>
      <c r="K1167" s="10">
        <v>1004.83</v>
      </c>
    </row>
    <row r="1168" spans="1:11" x14ac:dyDescent="0.25">
      <c r="A1168" s="8" t="s">
        <v>2297</v>
      </c>
      <c r="B1168" s="8" t="s">
        <v>78</v>
      </c>
      <c r="C1168" s="8" t="s">
        <v>1694</v>
      </c>
      <c r="D1168" s="8">
        <v>5</v>
      </c>
      <c r="E1168" s="8" t="s">
        <v>2293</v>
      </c>
      <c r="F1168" s="8" t="s">
        <v>215</v>
      </c>
      <c r="G1168" s="8" t="s">
        <v>2282</v>
      </c>
      <c r="H1168" s="10">
        <v>1</v>
      </c>
      <c r="I1168" s="10"/>
      <c r="J1168" s="10">
        <v>1</v>
      </c>
      <c r="K1168" s="10">
        <v>1004.83</v>
      </c>
    </row>
    <row r="1169" spans="1:11" x14ac:dyDescent="0.25">
      <c r="A1169" s="8" t="s">
        <v>2298</v>
      </c>
      <c r="B1169" s="8" t="s">
        <v>130</v>
      </c>
      <c r="C1169" s="8" t="s">
        <v>1694</v>
      </c>
      <c r="D1169" s="8">
        <v>5</v>
      </c>
      <c r="E1169" s="8" t="s">
        <v>2293</v>
      </c>
      <c r="F1169" s="8" t="s">
        <v>215</v>
      </c>
      <c r="G1169" s="8" t="s">
        <v>2282</v>
      </c>
      <c r="H1169" s="10">
        <v>2</v>
      </c>
      <c r="I1169" s="10"/>
      <c r="J1169" s="10">
        <v>2</v>
      </c>
      <c r="K1169" s="10">
        <v>1004.83</v>
      </c>
    </row>
    <row r="1170" spans="1:11" x14ac:dyDescent="0.25">
      <c r="A1170" s="8" t="s">
        <v>2299</v>
      </c>
      <c r="B1170" s="8" t="s">
        <v>2074</v>
      </c>
      <c r="C1170" s="8" t="s">
        <v>1694</v>
      </c>
      <c r="D1170" s="8">
        <v>5</v>
      </c>
      <c r="E1170" s="8" t="s">
        <v>2300</v>
      </c>
      <c r="F1170" s="8" t="s">
        <v>215</v>
      </c>
      <c r="G1170" s="8" t="s">
        <v>2282</v>
      </c>
      <c r="H1170" s="10">
        <v>2</v>
      </c>
      <c r="I1170" s="10"/>
      <c r="J1170" s="10">
        <v>2</v>
      </c>
      <c r="K1170" s="10">
        <v>100.48</v>
      </c>
    </row>
    <row r="1171" spans="1:11" x14ac:dyDescent="0.25">
      <c r="A1171" s="8" t="s">
        <v>2301</v>
      </c>
      <c r="B1171" s="8" t="s">
        <v>2074</v>
      </c>
      <c r="C1171" s="8" t="s">
        <v>1694</v>
      </c>
      <c r="D1171" s="8">
        <v>5</v>
      </c>
      <c r="E1171" s="8" t="s">
        <v>2302</v>
      </c>
      <c r="F1171" s="8" t="s">
        <v>215</v>
      </c>
      <c r="G1171" s="8" t="s">
        <v>2282</v>
      </c>
      <c r="H1171" s="10">
        <v>2</v>
      </c>
      <c r="I1171" s="10"/>
      <c r="J1171" s="10">
        <v>2</v>
      </c>
      <c r="K1171" s="10">
        <v>401.93</v>
      </c>
    </row>
    <row r="1172" spans="1:11" x14ac:dyDescent="0.25">
      <c r="A1172" s="8" t="s">
        <v>2303</v>
      </c>
      <c r="B1172" s="8" t="s">
        <v>116</v>
      </c>
      <c r="C1172" s="8" t="s">
        <v>1694</v>
      </c>
      <c r="D1172" s="8">
        <v>5</v>
      </c>
      <c r="E1172" s="8" t="s">
        <v>2304</v>
      </c>
      <c r="F1172" s="8" t="s">
        <v>215</v>
      </c>
      <c r="G1172" s="8" t="s">
        <v>2282</v>
      </c>
      <c r="H1172" s="10">
        <v>2</v>
      </c>
      <c r="I1172" s="10"/>
      <c r="J1172" s="10">
        <v>2</v>
      </c>
      <c r="K1172" s="10">
        <v>6028.96</v>
      </c>
    </row>
    <row r="1173" spans="1:11" x14ac:dyDescent="0.25">
      <c r="A1173" s="8" t="s">
        <v>2305</v>
      </c>
      <c r="B1173" s="8" t="s">
        <v>116</v>
      </c>
      <c r="C1173" s="8" t="s">
        <v>1694</v>
      </c>
      <c r="D1173" s="8">
        <v>5</v>
      </c>
      <c r="E1173" s="8" t="s">
        <v>2304</v>
      </c>
      <c r="F1173" s="8" t="s">
        <v>215</v>
      </c>
      <c r="G1173" s="8" t="s">
        <v>2282</v>
      </c>
      <c r="H1173" s="10">
        <v>1</v>
      </c>
      <c r="I1173" s="10"/>
      <c r="J1173" s="10">
        <v>1</v>
      </c>
      <c r="K1173" s="10">
        <v>6028.96</v>
      </c>
    </row>
    <row r="1174" spans="1:11" x14ac:dyDescent="0.25">
      <c r="A1174" s="8" t="s">
        <v>2306</v>
      </c>
      <c r="B1174" s="8" t="s">
        <v>118</v>
      </c>
      <c r="C1174" s="8" t="s">
        <v>1694</v>
      </c>
      <c r="D1174" s="8">
        <v>5</v>
      </c>
      <c r="E1174" s="8" t="s">
        <v>2304</v>
      </c>
      <c r="F1174" s="8" t="s">
        <v>215</v>
      </c>
      <c r="G1174" s="8" t="s">
        <v>2282</v>
      </c>
      <c r="H1174" s="10">
        <v>3</v>
      </c>
      <c r="I1174" s="10"/>
      <c r="J1174" s="10">
        <v>3</v>
      </c>
      <c r="K1174" s="10">
        <v>6028.96</v>
      </c>
    </row>
    <row r="1175" spans="1:11" x14ac:dyDescent="0.25">
      <c r="A1175" s="8" t="s">
        <v>2307</v>
      </c>
      <c r="B1175" s="8" t="s">
        <v>120</v>
      </c>
      <c r="C1175" s="8" t="s">
        <v>1694</v>
      </c>
      <c r="D1175" s="8">
        <v>5</v>
      </c>
      <c r="E1175" s="8" t="s">
        <v>2304</v>
      </c>
      <c r="F1175" s="8" t="s">
        <v>215</v>
      </c>
      <c r="G1175" s="8" t="s">
        <v>2282</v>
      </c>
      <c r="H1175" s="10">
        <v>2</v>
      </c>
      <c r="I1175" s="10"/>
      <c r="J1175" s="10">
        <v>2</v>
      </c>
      <c r="K1175" s="10">
        <v>6028.96</v>
      </c>
    </row>
    <row r="1176" spans="1:11" x14ac:dyDescent="0.25">
      <c r="A1176" s="8" t="s">
        <v>2308</v>
      </c>
      <c r="B1176" s="8" t="s">
        <v>122</v>
      </c>
      <c r="C1176" s="8" t="s">
        <v>1694</v>
      </c>
      <c r="D1176" s="8">
        <v>5</v>
      </c>
      <c r="E1176" s="8" t="s">
        <v>2304</v>
      </c>
      <c r="F1176" s="8" t="s">
        <v>215</v>
      </c>
      <c r="G1176" s="8" t="s">
        <v>2282</v>
      </c>
      <c r="H1176" s="10">
        <v>1</v>
      </c>
      <c r="I1176" s="10"/>
      <c r="J1176" s="10">
        <v>1</v>
      </c>
      <c r="K1176" s="10">
        <v>6028.96</v>
      </c>
    </row>
    <row r="1177" spans="1:11" x14ac:dyDescent="0.25">
      <c r="A1177" s="8" t="s">
        <v>2309</v>
      </c>
      <c r="B1177" s="8" t="s">
        <v>124</v>
      </c>
      <c r="C1177" s="8" t="s">
        <v>1694</v>
      </c>
      <c r="D1177" s="8">
        <v>5</v>
      </c>
      <c r="E1177" s="8" t="s">
        <v>2304</v>
      </c>
      <c r="F1177" s="8" t="s">
        <v>215</v>
      </c>
      <c r="G1177" s="8" t="s">
        <v>2282</v>
      </c>
      <c r="H1177" s="10">
        <v>1</v>
      </c>
      <c r="I1177" s="10"/>
      <c r="J1177" s="10">
        <v>1</v>
      </c>
      <c r="K1177" s="10">
        <v>6028.96</v>
      </c>
    </row>
    <row r="1178" spans="1:11" x14ac:dyDescent="0.25">
      <c r="A1178" s="8" t="s">
        <v>2310</v>
      </c>
      <c r="B1178" s="8" t="s">
        <v>78</v>
      </c>
      <c r="C1178" s="8" t="s">
        <v>1694</v>
      </c>
      <c r="D1178" s="8">
        <v>5</v>
      </c>
      <c r="E1178" s="8" t="s">
        <v>2304</v>
      </c>
      <c r="F1178" s="8" t="s">
        <v>215</v>
      </c>
      <c r="G1178" s="8" t="s">
        <v>2282</v>
      </c>
      <c r="H1178" s="10">
        <v>1</v>
      </c>
      <c r="I1178" s="10"/>
      <c r="J1178" s="10">
        <v>1</v>
      </c>
      <c r="K1178" s="10">
        <v>6028.96</v>
      </c>
    </row>
    <row r="1179" spans="1:11" x14ac:dyDescent="0.25">
      <c r="A1179" s="8" t="s">
        <v>2311</v>
      </c>
      <c r="B1179" s="8" t="s">
        <v>130</v>
      </c>
      <c r="C1179" s="8" t="s">
        <v>1694</v>
      </c>
      <c r="D1179" s="8">
        <v>5</v>
      </c>
      <c r="E1179" s="8" t="s">
        <v>2304</v>
      </c>
      <c r="F1179" s="8" t="s">
        <v>215</v>
      </c>
      <c r="G1179" s="8" t="s">
        <v>2282</v>
      </c>
      <c r="H1179" s="10">
        <v>2</v>
      </c>
      <c r="I1179" s="10"/>
      <c r="J1179" s="10">
        <v>2</v>
      </c>
      <c r="K1179" s="10">
        <v>6028.96</v>
      </c>
    </row>
    <row r="1180" spans="1:11" x14ac:dyDescent="0.25">
      <c r="A1180" s="8" t="s">
        <v>2312</v>
      </c>
      <c r="B1180" s="8" t="s">
        <v>116</v>
      </c>
      <c r="C1180" s="8" t="s">
        <v>1694</v>
      </c>
      <c r="D1180" s="8">
        <v>5</v>
      </c>
      <c r="E1180" s="8" t="s">
        <v>2313</v>
      </c>
      <c r="F1180" s="8" t="s">
        <v>215</v>
      </c>
      <c r="G1180" s="8" t="s">
        <v>2282</v>
      </c>
      <c r="H1180" s="10">
        <v>1</v>
      </c>
      <c r="I1180" s="10"/>
      <c r="J1180" s="10">
        <v>1</v>
      </c>
      <c r="K1180" s="10">
        <v>1004.83</v>
      </c>
    </row>
    <row r="1181" spans="1:11" x14ac:dyDescent="0.25">
      <c r="A1181" s="8" t="s">
        <v>2314</v>
      </c>
      <c r="B1181" s="8" t="s">
        <v>116</v>
      </c>
      <c r="C1181" s="8" t="s">
        <v>1694</v>
      </c>
      <c r="D1181" s="8">
        <v>5</v>
      </c>
      <c r="E1181" s="8" t="s">
        <v>2313</v>
      </c>
      <c r="F1181" s="8" t="s">
        <v>215</v>
      </c>
      <c r="G1181" s="8" t="s">
        <v>2282</v>
      </c>
      <c r="H1181" s="10">
        <v>4</v>
      </c>
      <c r="I1181" s="10"/>
      <c r="J1181" s="10">
        <v>4</v>
      </c>
      <c r="K1181" s="10">
        <v>1004.83</v>
      </c>
    </row>
    <row r="1182" spans="1:11" x14ac:dyDescent="0.25">
      <c r="A1182" s="8" t="s">
        <v>2315</v>
      </c>
      <c r="B1182" s="8" t="s">
        <v>118</v>
      </c>
      <c r="C1182" s="8" t="s">
        <v>1694</v>
      </c>
      <c r="D1182" s="8">
        <v>5</v>
      </c>
      <c r="E1182" s="8" t="s">
        <v>2313</v>
      </c>
      <c r="F1182" s="8" t="s">
        <v>215</v>
      </c>
      <c r="G1182" s="8" t="s">
        <v>2282</v>
      </c>
      <c r="H1182" s="10">
        <v>7</v>
      </c>
      <c r="I1182" s="10"/>
      <c r="J1182" s="10">
        <v>7</v>
      </c>
      <c r="K1182" s="10">
        <v>1004.83</v>
      </c>
    </row>
    <row r="1183" spans="1:11" x14ac:dyDescent="0.25">
      <c r="A1183" s="8" t="s">
        <v>2316</v>
      </c>
      <c r="B1183" s="8" t="s">
        <v>120</v>
      </c>
      <c r="C1183" s="8" t="s">
        <v>1694</v>
      </c>
      <c r="D1183" s="8">
        <v>5</v>
      </c>
      <c r="E1183" s="8" t="s">
        <v>2313</v>
      </c>
      <c r="F1183" s="8" t="s">
        <v>215</v>
      </c>
      <c r="G1183" s="8" t="s">
        <v>2282</v>
      </c>
      <c r="H1183" s="10">
        <v>5</v>
      </c>
      <c r="I1183" s="10"/>
      <c r="J1183" s="10">
        <v>5</v>
      </c>
      <c r="K1183" s="10">
        <v>1004.83</v>
      </c>
    </row>
    <row r="1184" spans="1:11" x14ac:dyDescent="0.25">
      <c r="A1184" s="8" t="s">
        <v>2317</v>
      </c>
      <c r="B1184" s="8" t="s">
        <v>122</v>
      </c>
      <c r="C1184" s="8" t="s">
        <v>1694</v>
      </c>
      <c r="D1184" s="8">
        <v>5</v>
      </c>
      <c r="E1184" s="8" t="s">
        <v>2313</v>
      </c>
      <c r="F1184" s="8" t="s">
        <v>215</v>
      </c>
      <c r="G1184" s="8" t="s">
        <v>2282</v>
      </c>
      <c r="H1184" s="10">
        <v>2</v>
      </c>
      <c r="I1184" s="10"/>
      <c r="J1184" s="10">
        <v>2</v>
      </c>
      <c r="K1184" s="10">
        <v>1004.83</v>
      </c>
    </row>
    <row r="1185" spans="1:11" x14ac:dyDescent="0.25">
      <c r="A1185" s="8" t="s">
        <v>2318</v>
      </c>
      <c r="B1185" s="8" t="s">
        <v>124</v>
      </c>
      <c r="C1185" s="8" t="s">
        <v>1694</v>
      </c>
      <c r="D1185" s="8">
        <v>5</v>
      </c>
      <c r="E1185" s="8" t="s">
        <v>2313</v>
      </c>
      <c r="F1185" s="8" t="s">
        <v>215</v>
      </c>
      <c r="G1185" s="8" t="s">
        <v>2282</v>
      </c>
      <c r="H1185" s="10">
        <v>2</v>
      </c>
      <c r="I1185" s="10"/>
      <c r="J1185" s="10">
        <v>2</v>
      </c>
      <c r="K1185" s="10">
        <v>1004.83</v>
      </c>
    </row>
    <row r="1186" spans="1:11" x14ac:dyDescent="0.25">
      <c r="A1186" s="8" t="s">
        <v>2319</v>
      </c>
      <c r="B1186" s="8" t="s">
        <v>78</v>
      </c>
      <c r="C1186" s="8" t="s">
        <v>1694</v>
      </c>
      <c r="D1186" s="8">
        <v>5</v>
      </c>
      <c r="E1186" s="8" t="s">
        <v>2313</v>
      </c>
      <c r="F1186" s="8" t="s">
        <v>215</v>
      </c>
      <c r="G1186" s="8" t="s">
        <v>2282</v>
      </c>
      <c r="H1186" s="10">
        <v>1</v>
      </c>
      <c r="I1186" s="10"/>
      <c r="J1186" s="10">
        <v>1</v>
      </c>
      <c r="K1186" s="10">
        <v>1004.83</v>
      </c>
    </row>
    <row r="1187" spans="1:11" x14ac:dyDescent="0.25">
      <c r="A1187" s="8" t="s">
        <v>2320</v>
      </c>
      <c r="B1187" s="8" t="s">
        <v>130</v>
      </c>
      <c r="C1187" s="8" t="s">
        <v>1694</v>
      </c>
      <c r="D1187" s="8">
        <v>5</v>
      </c>
      <c r="E1187" s="8" t="s">
        <v>2313</v>
      </c>
      <c r="F1187" s="8" t="s">
        <v>215</v>
      </c>
      <c r="G1187" s="8" t="s">
        <v>2282</v>
      </c>
      <c r="H1187" s="10">
        <v>2</v>
      </c>
      <c r="I1187" s="10"/>
      <c r="J1187" s="10">
        <v>2</v>
      </c>
      <c r="K1187" s="10">
        <v>1004.83</v>
      </c>
    </row>
    <row r="1188" spans="1:11" x14ac:dyDescent="0.25">
      <c r="A1188" s="8" t="s">
        <v>2321</v>
      </c>
      <c r="B1188" s="8" t="s">
        <v>2074</v>
      </c>
      <c r="C1188" s="8" t="s">
        <v>1694</v>
      </c>
      <c r="D1188" s="8">
        <v>5</v>
      </c>
      <c r="E1188" s="8" t="s">
        <v>2322</v>
      </c>
      <c r="F1188" s="8" t="s">
        <v>215</v>
      </c>
      <c r="G1188" s="8" t="s">
        <v>2282</v>
      </c>
      <c r="H1188" s="10">
        <v>2</v>
      </c>
      <c r="I1188" s="10"/>
      <c r="J1188" s="10">
        <v>2</v>
      </c>
      <c r="K1188" s="10">
        <v>100.48</v>
      </c>
    </row>
    <row r="1189" spans="1:11" x14ac:dyDescent="0.25">
      <c r="A1189" s="8" t="s">
        <v>2323</v>
      </c>
      <c r="B1189" s="8" t="s">
        <v>120</v>
      </c>
      <c r="C1189" s="8" t="s">
        <v>2006</v>
      </c>
      <c r="D1189" s="8">
        <v>5</v>
      </c>
      <c r="E1189" s="8" t="s">
        <v>2324</v>
      </c>
      <c r="F1189" s="8" t="s">
        <v>215</v>
      </c>
      <c r="G1189" s="8" t="s">
        <v>2325</v>
      </c>
      <c r="H1189" s="10">
        <v>1</v>
      </c>
      <c r="I1189" s="10"/>
      <c r="J1189" s="10">
        <v>1</v>
      </c>
      <c r="K1189" s="10">
        <v>8038.62</v>
      </c>
    </row>
    <row r="1190" spans="1:11" x14ac:dyDescent="0.25">
      <c r="A1190" s="8" t="s">
        <v>2326</v>
      </c>
      <c r="B1190" s="8" t="s">
        <v>1655</v>
      </c>
      <c r="C1190" s="8" t="s">
        <v>2006</v>
      </c>
      <c r="D1190" s="8">
        <v>5</v>
      </c>
      <c r="E1190" s="8" t="s">
        <v>2327</v>
      </c>
      <c r="F1190" s="8" t="s">
        <v>215</v>
      </c>
      <c r="G1190" s="8" t="s">
        <v>2325</v>
      </c>
      <c r="H1190" s="10">
        <v>1</v>
      </c>
      <c r="I1190" s="10"/>
      <c r="J1190" s="10">
        <v>1</v>
      </c>
      <c r="K1190" s="10">
        <v>8038.62</v>
      </c>
    </row>
    <row r="1191" spans="1:11" x14ac:dyDescent="0.25">
      <c r="A1191" s="8" t="s">
        <v>2328</v>
      </c>
      <c r="B1191" s="8" t="s">
        <v>1655</v>
      </c>
      <c r="C1191" s="8" t="s">
        <v>2006</v>
      </c>
      <c r="D1191" s="8">
        <v>5</v>
      </c>
      <c r="E1191" s="8" t="s">
        <v>2329</v>
      </c>
      <c r="F1191" s="8" t="s">
        <v>215</v>
      </c>
      <c r="G1191" s="8" t="s">
        <v>2325</v>
      </c>
      <c r="H1191" s="10">
        <v>1</v>
      </c>
      <c r="I1191" s="10"/>
      <c r="J1191" s="10">
        <v>1</v>
      </c>
      <c r="K1191" s="10">
        <v>8038.62</v>
      </c>
    </row>
    <row r="1192" spans="1:11" x14ac:dyDescent="0.25">
      <c r="A1192" s="8" t="s">
        <v>2330</v>
      </c>
      <c r="B1192" s="8" t="s">
        <v>1650</v>
      </c>
      <c r="C1192" s="8" t="s">
        <v>2006</v>
      </c>
      <c r="D1192" s="8">
        <v>5</v>
      </c>
      <c r="E1192" s="8" t="s">
        <v>2331</v>
      </c>
      <c r="F1192" s="8" t="s">
        <v>215</v>
      </c>
      <c r="G1192" s="8" t="s">
        <v>2325</v>
      </c>
      <c r="H1192" s="10">
        <v>1</v>
      </c>
      <c r="I1192" s="10"/>
      <c r="J1192" s="10">
        <v>1</v>
      </c>
      <c r="K1192" s="10">
        <v>8038.62</v>
      </c>
    </row>
    <row r="1193" spans="1:11" x14ac:dyDescent="0.25">
      <c r="A1193" s="8" t="s">
        <v>2332</v>
      </c>
      <c r="B1193" s="8" t="s">
        <v>120</v>
      </c>
      <c r="C1193" s="8" t="s">
        <v>2006</v>
      </c>
      <c r="D1193" s="8">
        <v>5</v>
      </c>
      <c r="E1193" s="8" t="s">
        <v>2333</v>
      </c>
      <c r="F1193" s="8" t="s">
        <v>215</v>
      </c>
      <c r="G1193" s="8" t="s">
        <v>2325</v>
      </c>
      <c r="H1193" s="10">
        <v>1</v>
      </c>
      <c r="I1193" s="10"/>
      <c r="J1193" s="10">
        <v>1</v>
      </c>
      <c r="K1193" s="10">
        <v>8038.62</v>
      </c>
    </row>
    <row r="1194" spans="1:11" x14ac:dyDescent="0.25">
      <c r="A1194" s="8" t="s">
        <v>2334</v>
      </c>
      <c r="B1194" s="8" t="s">
        <v>120</v>
      </c>
      <c r="C1194" s="8" t="s">
        <v>2006</v>
      </c>
      <c r="D1194" s="8">
        <v>5</v>
      </c>
      <c r="E1194" s="8" t="s">
        <v>2335</v>
      </c>
      <c r="F1194" s="8" t="s">
        <v>215</v>
      </c>
      <c r="G1194" s="8" t="s">
        <v>2325</v>
      </c>
      <c r="H1194" s="10">
        <v>1</v>
      </c>
      <c r="I1194" s="10"/>
      <c r="J1194" s="10">
        <v>1</v>
      </c>
      <c r="K1194" s="10">
        <v>8038.62</v>
      </c>
    </row>
    <row r="1195" spans="1:11" x14ac:dyDescent="0.25">
      <c r="A1195" s="8" t="s">
        <v>2336</v>
      </c>
      <c r="B1195" s="8" t="s">
        <v>2074</v>
      </c>
      <c r="C1195" s="8" t="s">
        <v>2006</v>
      </c>
      <c r="D1195" s="8">
        <v>5</v>
      </c>
      <c r="E1195" s="8" t="s">
        <v>2337</v>
      </c>
      <c r="F1195" s="8" t="s">
        <v>215</v>
      </c>
      <c r="G1195" s="8" t="s">
        <v>2325</v>
      </c>
      <c r="H1195" s="10">
        <v>1</v>
      </c>
      <c r="I1195" s="10"/>
      <c r="J1195" s="10">
        <v>1</v>
      </c>
      <c r="K1195" s="10">
        <v>8038.62</v>
      </c>
    </row>
    <row r="1196" spans="1:11" x14ac:dyDescent="0.25">
      <c r="A1196" s="8" t="s">
        <v>2338</v>
      </c>
      <c r="B1196" s="8" t="s">
        <v>2074</v>
      </c>
      <c r="C1196" s="8" t="s">
        <v>2006</v>
      </c>
      <c r="D1196" s="8">
        <v>5</v>
      </c>
      <c r="E1196" s="8" t="s">
        <v>2339</v>
      </c>
      <c r="F1196" s="8" t="s">
        <v>215</v>
      </c>
      <c r="G1196" s="8" t="s">
        <v>2325</v>
      </c>
      <c r="H1196" s="10">
        <v>1</v>
      </c>
      <c r="I1196" s="10"/>
      <c r="J1196" s="10">
        <v>1</v>
      </c>
      <c r="K1196" s="10">
        <v>8038.62</v>
      </c>
    </row>
    <row r="1197" spans="1:11" x14ac:dyDescent="0.25">
      <c r="A1197" s="8" t="s">
        <v>2340</v>
      </c>
      <c r="B1197" s="8" t="s">
        <v>2074</v>
      </c>
      <c r="C1197" s="8" t="s">
        <v>2006</v>
      </c>
      <c r="D1197" s="8">
        <v>5</v>
      </c>
      <c r="E1197" s="8" t="s">
        <v>2341</v>
      </c>
      <c r="F1197" s="8" t="s">
        <v>215</v>
      </c>
      <c r="G1197" s="8" t="s">
        <v>2325</v>
      </c>
      <c r="H1197" s="10">
        <v>1</v>
      </c>
      <c r="I1197" s="10"/>
      <c r="J1197" s="10">
        <v>1</v>
      </c>
      <c r="K1197" s="10">
        <v>8038.62</v>
      </c>
    </row>
    <row r="1198" spans="1:11" x14ac:dyDescent="0.25">
      <c r="A1198" s="8" t="s">
        <v>2342</v>
      </c>
      <c r="B1198" s="8" t="s">
        <v>1650</v>
      </c>
      <c r="C1198" s="8" t="s">
        <v>2006</v>
      </c>
      <c r="D1198" s="8">
        <v>5</v>
      </c>
      <c r="E1198" s="8" t="s">
        <v>2343</v>
      </c>
      <c r="F1198" s="8" t="s">
        <v>911</v>
      </c>
      <c r="G1198" s="8" t="s">
        <v>2325</v>
      </c>
      <c r="H1198" s="10">
        <v>1</v>
      </c>
      <c r="I1198" s="10"/>
      <c r="J1198" s="10">
        <v>1</v>
      </c>
      <c r="K1198" s="10">
        <v>6028.96</v>
      </c>
    </row>
    <row r="1199" spans="1:11" x14ac:dyDescent="0.25">
      <c r="A1199" s="8" t="s">
        <v>2344</v>
      </c>
      <c r="B1199" s="8" t="s">
        <v>120</v>
      </c>
      <c r="C1199" s="8" t="s">
        <v>2006</v>
      </c>
      <c r="D1199" s="8">
        <v>5</v>
      </c>
      <c r="E1199" s="8" t="s">
        <v>2345</v>
      </c>
      <c r="F1199" s="8" t="s">
        <v>911</v>
      </c>
      <c r="G1199" s="8" t="s">
        <v>2325</v>
      </c>
      <c r="H1199" s="10">
        <v>1</v>
      </c>
      <c r="I1199" s="10"/>
      <c r="J1199" s="10">
        <v>1</v>
      </c>
      <c r="K1199" s="10">
        <v>6028.96</v>
      </c>
    </row>
    <row r="1200" spans="1:11" x14ac:dyDescent="0.25">
      <c r="A1200" s="8" t="s">
        <v>2346</v>
      </c>
      <c r="B1200" s="8" t="s">
        <v>120</v>
      </c>
      <c r="C1200" s="8" t="s">
        <v>2006</v>
      </c>
      <c r="D1200" s="8">
        <v>5</v>
      </c>
      <c r="E1200" s="8" t="s">
        <v>2347</v>
      </c>
      <c r="F1200" s="8" t="s">
        <v>911</v>
      </c>
      <c r="G1200" s="8" t="s">
        <v>2325</v>
      </c>
      <c r="H1200" s="10">
        <v>1</v>
      </c>
      <c r="I1200" s="10"/>
      <c r="J1200" s="10">
        <v>1</v>
      </c>
      <c r="K1200" s="10">
        <v>6028.96</v>
      </c>
    </row>
    <row r="1201" spans="1:11" x14ac:dyDescent="0.25">
      <c r="A1201" s="8" t="s">
        <v>2348</v>
      </c>
      <c r="B1201" s="8" t="s">
        <v>1655</v>
      </c>
      <c r="C1201" s="8" t="s">
        <v>2006</v>
      </c>
      <c r="D1201" s="8">
        <v>5</v>
      </c>
      <c r="E1201" s="8" t="s">
        <v>2349</v>
      </c>
      <c r="F1201" s="8" t="s">
        <v>911</v>
      </c>
      <c r="G1201" s="8" t="s">
        <v>2325</v>
      </c>
      <c r="H1201" s="10">
        <v>1</v>
      </c>
      <c r="I1201" s="10"/>
      <c r="J1201" s="10">
        <v>1</v>
      </c>
      <c r="K1201" s="10">
        <v>6028.96</v>
      </c>
    </row>
    <row r="1202" spans="1:11" x14ac:dyDescent="0.25">
      <c r="A1202" s="8" t="s">
        <v>2350</v>
      </c>
      <c r="B1202" s="8" t="s">
        <v>1655</v>
      </c>
      <c r="C1202" s="8" t="s">
        <v>2006</v>
      </c>
      <c r="D1202" s="8">
        <v>5</v>
      </c>
      <c r="E1202" s="8" t="s">
        <v>2351</v>
      </c>
      <c r="F1202" s="8" t="s">
        <v>911</v>
      </c>
      <c r="G1202" s="8" t="s">
        <v>2325</v>
      </c>
      <c r="H1202" s="10">
        <v>1</v>
      </c>
      <c r="I1202" s="10"/>
      <c r="J1202" s="10">
        <v>1</v>
      </c>
      <c r="K1202" s="10">
        <v>6028.96</v>
      </c>
    </row>
    <row r="1203" spans="1:11" x14ac:dyDescent="0.25">
      <c r="A1203" s="8" t="s">
        <v>2352</v>
      </c>
      <c r="B1203" s="8" t="s">
        <v>1650</v>
      </c>
      <c r="C1203" s="8" t="s">
        <v>2006</v>
      </c>
      <c r="D1203" s="8">
        <v>5</v>
      </c>
      <c r="E1203" s="8" t="s">
        <v>2353</v>
      </c>
      <c r="F1203" s="8" t="s">
        <v>911</v>
      </c>
      <c r="G1203" s="8" t="s">
        <v>2325</v>
      </c>
      <c r="H1203" s="10">
        <v>1</v>
      </c>
      <c r="I1203" s="10"/>
      <c r="J1203" s="10">
        <v>1</v>
      </c>
      <c r="K1203" s="10">
        <v>6028.96</v>
      </c>
    </row>
    <row r="1204" spans="1:11" x14ac:dyDescent="0.25">
      <c r="A1204" s="8" t="s">
        <v>2354</v>
      </c>
      <c r="B1204" s="8" t="s">
        <v>120</v>
      </c>
      <c r="C1204" s="8" t="s">
        <v>2006</v>
      </c>
      <c r="D1204" s="8">
        <v>5</v>
      </c>
      <c r="E1204" s="8" t="s">
        <v>2355</v>
      </c>
      <c r="F1204" s="8" t="s">
        <v>911</v>
      </c>
      <c r="G1204" s="8" t="s">
        <v>2325</v>
      </c>
      <c r="H1204" s="10">
        <v>1</v>
      </c>
      <c r="I1204" s="10"/>
      <c r="J1204" s="10">
        <v>1</v>
      </c>
      <c r="K1204" s="10">
        <v>6028.96</v>
      </c>
    </row>
    <row r="1205" spans="1:11" x14ac:dyDescent="0.25">
      <c r="A1205" s="8" t="s">
        <v>2356</v>
      </c>
      <c r="B1205" s="8" t="s">
        <v>120</v>
      </c>
      <c r="C1205" s="8" t="s">
        <v>2006</v>
      </c>
      <c r="D1205" s="8">
        <v>5</v>
      </c>
      <c r="E1205" s="8" t="s">
        <v>2357</v>
      </c>
      <c r="F1205" s="8" t="s">
        <v>911</v>
      </c>
      <c r="G1205" s="8" t="s">
        <v>2325</v>
      </c>
      <c r="H1205" s="10">
        <v>1</v>
      </c>
      <c r="I1205" s="10"/>
      <c r="J1205" s="10">
        <v>1</v>
      </c>
      <c r="K1205" s="10">
        <v>6028.96</v>
      </c>
    </row>
    <row r="1206" spans="1:11" x14ac:dyDescent="0.25">
      <c r="A1206" s="8" t="s">
        <v>2358</v>
      </c>
      <c r="B1206" s="8" t="s">
        <v>1655</v>
      </c>
      <c r="C1206" s="8" t="s">
        <v>2006</v>
      </c>
      <c r="D1206" s="8">
        <v>5</v>
      </c>
      <c r="E1206" s="8" t="s">
        <v>2359</v>
      </c>
      <c r="F1206" s="8" t="s">
        <v>911</v>
      </c>
      <c r="G1206" s="8" t="s">
        <v>2325</v>
      </c>
      <c r="H1206" s="10">
        <v>1</v>
      </c>
      <c r="I1206" s="10"/>
      <c r="J1206" s="10">
        <v>1</v>
      </c>
      <c r="K1206" s="10">
        <v>6028.96</v>
      </c>
    </row>
    <row r="1207" spans="1:11" x14ac:dyDescent="0.25">
      <c r="A1207" s="8" t="s">
        <v>2360</v>
      </c>
      <c r="B1207" s="8" t="s">
        <v>1655</v>
      </c>
      <c r="C1207" s="8" t="s">
        <v>2006</v>
      </c>
      <c r="D1207" s="8">
        <v>5</v>
      </c>
      <c r="E1207" s="8" t="s">
        <v>2361</v>
      </c>
      <c r="F1207" s="8" t="s">
        <v>911</v>
      </c>
      <c r="G1207" s="8" t="s">
        <v>2325</v>
      </c>
      <c r="H1207" s="10">
        <v>1</v>
      </c>
      <c r="I1207" s="10"/>
      <c r="J1207" s="10">
        <v>1</v>
      </c>
      <c r="K1207" s="10">
        <v>6028.96</v>
      </c>
    </row>
    <row r="1208" spans="1:11" x14ac:dyDescent="0.25">
      <c r="A1208" s="8" t="s">
        <v>2362</v>
      </c>
      <c r="B1208" s="8" t="s">
        <v>2074</v>
      </c>
      <c r="C1208" s="8" t="s">
        <v>2006</v>
      </c>
      <c r="D1208" s="8">
        <v>5</v>
      </c>
      <c r="E1208" s="8" t="s">
        <v>2363</v>
      </c>
      <c r="F1208" s="8" t="s">
        <v>911</v>
      </c>
      <c r="G1208" s="8" t="s">
        <v>2325</v>
      </c>
      <c r="H1208" s="10">
        <v>1</v>
      </c>
      <c r="I1208" s="10"/>
      <c r="J1208" s="10">
        <v>1</v>
      </c>
      <c r="K1208" s="10">
        <v>6028.96</v>
      </c>
    </row>
    <row r="1209" spans="1:11" x14ac:dyDescent="0.25">
      <c r="A1209" s="8" t="s">
        <v>2364</v>
      </c>
      <c r="B1209" s="8" t="s">
        <v>2074</v>
      </c>
      <c r="C1209" s="8" t="s">
        <v>2006</v>
      </c>
      <c r="D1209" s="8">
        <v>5</v>
      </c>
      <c r="E1209" s="8" t="s">
        <v>2365</v>
      </c>
      <c r="F1209" s="8" t="s">
        <v>911</v>
      </c>
      <c r="G1209" s="8" t="s">
        <v>2325</v>
      </c>
      <c r="H1209" s="10">
        <v>1</v>
      </c>
      <c r="I1209" s="10"/>
      <c r="J1209" s="10">
        <v>1</v>
      </c>
      <c r="K1209" s="10">
        <v>6028.96</v>
      </c>
    </row>
    <row r="1210" spans="1:11" x14ac:dyDescent="0.25">
      <c r="A1210" s="8" t="s">
        <v>2366</v>
      </c>
      <c r="B1210" s="8" t="s">
        <v>2074</v>
      </c>
      <c r="C1210" s="8" t="s">
        <v>2006</v>
      </c>
      <c r="D1210" s="8">
        <v>5</v>
      </c>
      <c r="E1210" s="8" t="s">
        <v>2367</v>
      </c>
      <c r="F1210" s="8" t="s">
        <v>911</v>
      </c>
      <c r="G1210" s="8" t="s">
        <v>2325</v>
      </c>
      <c r="H1210" s="10">
        <v>1</v>
      </c>
      <c r="I1210" s="10"/>
      <c r="J1210" s="10">
        <v>1</v>
      </c>
      <c r="K1210" s="10">
        <v>6028.96</v>
      </c>
    </row>
    <row r="1211" spans="1:11" x14ac:dyDescent="0.25">
      <c r="A1211" s="8" t="s">
        <v>2368</v>
      </c>
      <c r="B1211" s="8" t="s">
        <v>2074</v>
      </c>
      <c r="C1211" s="8" t="s">
        <v>2006</v>
      </c>
      <c r="D1211" s="8">
        <v>5</v>
      </c>
      <c r="E1211" s="8" t="s">
        <v>2369</v>
      </c>
      <c r="F1211" s="8" t="s">
        <v>911</v>
      </c>
      <c r="G1211" s="8" t="s">
        <v>2325</v>
      </c>
      <c r="H1211" s="10">
        <v>1</v>
      </c>
      <c r="I1211" s="10"/>
      <c r="J1211" s="10">
        <v>1</v>
      </c>
      <c r="K1211" s="10">
        <v>6028.96</v>
      </c>
    </row>
    <row r="1212" spans="1:11" x14ac:dyDescent="0.25">
      <c r="A1212" s="8" t="s">
        <v>2370</v>
      </c>
      <c r="B1212" s="8" t="s">
        <v>120</v>
      </c>
      <c r="C1212" s="8" t="s">
        <v>2006</v>
      </c>
      <c r="D1212" s="8">
        <v>5</v>
      </c>
      <c r="E1212" s="8" t="s">
        <v>2371</v>
      </c>
      <c r="F1212" s="8" t="s">
        <v>911</v>
      </c>
      <c r="G1212" s="8" t="s">
        <v>2325</v>
      </c>
      <c r="H1212" s="10">
        <v>1</v>
      </c>
      <c r="I1212" s="10"/>
      <c r="J1212" s="10">
        <v>1</v>
      </c>
      <c r="K1212" s="10">
        <v>3014.48</v>
      </c>
    </row>
    <row r="1213" spans="1:11" x14ac:dyDescent="0.25">
      <c r="A1213" s="8" t="s">
        <v>2372</v>
      </c>
      <c r="B1213" s="8" t="s">
        <v>120</v>
      </c>
      <c r="C1213" s="8" t="s">
        <v>2006</v>
      </c>
      <c r="D1213" s="8">
        <v>5</v>
      </c>
      <c r="E1213" s="8" t="s">
        <v>2373</v>
      </c>
      <c r="F1213" s="8" t="s">
        <v>911</v>
      </c>
      <c r="G1213" s="8" t="s">
        <v>2325</v>
      </c>
      <c r="H1213" s="10">
        <v>1</v>
      </c>
      <c r="I1213" s="10"/>
      <c r="J1213" s="10">
        <v>1</v>
      </c>
      <c r="K1213" s="10">
        <v>4019.31</v>
      </c>
    </row>
    <row r="1214" spans="1:11" x14ac:dyDescent="0.25">
      <c r="A1214" s="8" t="s">
        <v>2374</v>
      </c>
      <c r="B1214" s="8" t="s">
        <v>1655</v>
      </c>
      <c r="C1214" s="8" t="s">
        <v>2006</v>
      </c>
      <c r="D1214" s="8">
        <v>5</v>
      </c>
      <c r="E1214" s="8" t="s">
        <v>2375</v>
      </c>
      <c r="F1214" s="8" t="s">
        <v>911</v>
      </c>
      <c r="G1214" s="8" t="s">
        <v>2325</v>
      </c>
      <c r="H1214" s="10">
        <v>1</v>
      </c>
      <c r="I1214" s="10"/>
      <c r="J1214" s="10">
        <v>1</v>
      </c>
      <c r="K1214" s="10">
        <v>4019.31</v>
      </c>
    </row>
    <row r="1215" spans="1:11" x14ac:dyDescent="0.25">
      <c r="A1215" s="8" t="s">
        <v>2376</v>
      </c>
      <c r="B1215" s="8" t="s">
        <v>2074</v>
      </c>
      <c r="C1215" s="8" t="s">
        <v>2006</v>
      </c>
      <c r="D1215" s="8">
        <v>5</v>
      </c>
      <c r="E1215" s="8" t="s">
        <v>2377</v>
      </c>
      <c r="F1215" s="8" t="s">
        <v>911</v>
      </c>
      <c r="G1215" s="8" t="s">
        <v>2325</v>
      </c>
      <c r="H1215" s="10">
        <v>1</v>
      </c>
      <c r="I1215" s="10"/>
      <c r="J1215" s="10">
        <v>1</v>
      </c>
      <c r="K1215" s="10">
        <v>4019.31</v>
      </c>
    </row>
    <row r="1216" spans="1:11" x14ac:dyDescent="0.25">
      <c r="A1216" s="8" t="s">
        <v>2378</v>
      </c>
      <c r="B1216" s="8" t="s">
        <v>1650</v>
      </c>
      <c r="C1216" s="8" t="s">
        <v>2006</v>
      </c>
      <c r="D1216" s="8">
        <v>5</v>
      </c>
      <c r="E1216" s="8" t="s">
        <v>2379</v>
      </c>
      <c r="F1216" s="8" t="s">
        <v>911</v>
      </c>
      <c r="G1216" s="8" t="s">
        <v>2325</v>
      </c>
      <c r="H1216" s="10">
        <v>1</v>
      </c>
      <c r="I1216" s="10"/>
      <c r="J1216" s="10">
        <v>1</v>
      </c>
      <c r="K1216" s="10">
        <v>4019.31</v>
      </c>
    </row>
    <row r="1217" spans="1:11" x14ac:dyDescent="0.25">
      <c r="A1217" s="8" t="s">
        <v>2380</v>
      </c>
      <c r="B1217" s="8" t="s">
        <v>118</v>
      </c>
      <c r="C1217" s="8" t="s">
        <v>2381</v>
      </c>
      <c r="D1217" s="8">
        <v>4</v>
      </c>
      <c r="E1217" s="8" t="s">
        <v>2382</v>
      </c>
      <c r="F1217" s="8" t="s">
        <v>215</v>
      </c>
      <c r="G1217" s="8" t="s">
        <v>2383</v>
      </c>
      <c r="H1217" s="10">
        <v>1</v>
      </c>
      <c r="I1217" s="10"/>
      <c r="J1217" s="10">
        <v>1</v>
      </c>
      <c r="K1217" s="10">
        <v>3014.48</v>
      </c>
    </row>
    <row r="1218" spans="1:11" x14ac:dyDescent="0.25">
      <c r="A1218" s="8" t="s">
        <v>2384</v>
      </c>
      <c r="B1218" s="8" t="s">
        <v>118</v>
      </c>
      <c r="C1218" s="8" t="s">
        <v>2381</v>
      </c>
      <c r="D1218" s="8">
        <v>4</v>
      </c>
      <c r="E1218" s="8" t="s">
        <v>2385</v>
      </c>
      <c r="F1218" s="8" t="s">
        <v>215</v>
      </c>
      <c r="G1218" s="8" t="s">
        <v>2383</v>
      </c>
      <c r="H1218" s="10">
        <v>1</v>
      </c>
      <c r="I1218" s="10"/>
      <c r="J1218" s="10">
        <v>1</v>
      </c>
      <c r="K1218" s="10">
        <v>3014.48</v>
      </c>
    </row>
    <row r="1219" spans="1:11" x14ac:dyDescent="0.25">
      <c r="A1219" s="8" t="s">
        <v>2386</v>
      </c>
      <c r="B1219" s="8" t="s">
        <v>118</v>
      </c>
      <c r="C1219" s="8" t="s">
        <v>2381</v>
      </c>
      <c r="D1219" s="8">
        <v>4</v>
      </c>
      <c r="E1219" s="8" t="s">
        <v>2387</v>
      </c>
      <c r="F1219" s="8" t="s">
        <v>215</v>
      </c>
      <c r="G1219" s="8" t="s">
        <v>2383</v>
      </c>
      <c r="H1219" s="10">
        <v>1</v>
      </c>
      <c r="I1219" s="10"/>
      <c r="J1219" s="10">
        <v>1</v>
      </c>
      <c r="K1219" s="10">
        <v>3014.48</v>
      </c>
    </row>
    <row r="1220" spans="1:11" x14ac:dyDescent="0.25">
      <c r="A1220" s="8" t="s">
        <v>2388</v>
      </c>
      <c r="B1220" s="8" t="s">
        <v>122</v>
      </c>
      <c r="C1220" s="8" t="s">
        <v>2381</v>
      </c>
      <c r="D1220" s="8">
        <v>4</v>
      </c>
      <c r="E1220" s="8" t="s">
        <v>2389</v>
      </c>
      <c r="F1220" s="8" t="s">
        <v>911</v>
      </c>
      <c r="G1220" s="8" t="s">
        <v>2383</v>
      </c>
      <c r="H1220" s="10">
        <v>1</v>
      </c>
      <c r="I1220" s="10"/>
      <c r="J1220" s="10">
        <v>1</v>
      </c>
      <c r="K1220" s="10">
        <v>3316.06</v>
      </c>
    </row>
    <row r="1221" spans="1:11" x14ac:dyDescent="0.25">
      <c r="A1221" s="8" t="s">
        <v>2390</v>
      </c>
      <c r="B1221" s="8" t="s">
        <v>120</v>
      </c>
      <c r="C1221" s="8" t="s">
        <v>2006</v>
      </c>
      <c r="D1221" s="8">
        <v>5</v>
      </c>
      <c r="E1221" s="8" t="s">
        <v>2391</v>
      </c>
      <c r="F1221" s="8" t="s">
        <v>215</v>
      </c>
      <c r="G1221" s="8" t="s">
        <v>2325</v>
      </c>
      <c r="H1221" s="10">
        <v>1</v>
      </c>
      <c r="I1221" s="10"/>
      <c r="J1221" s="10">
        <v>1</v>
      </c>
      <c r="K1221" s="10">
        <v>3316.06</v>
      </c>
    </row>
    <row r="1222" spans="1:11" x14ac:dyDescent="0.25">
      <c r="A1222" s="8" t="s">
        <v>2392</v>
      </c>
      <c r="B1222" s="8" t="s">
        <v>116</v>
      </c>
      <c r="C1222" s="8" t="s">
        <v>2381</v>
      </c>
      <c r="D1222" s="8">
        <v>4</v>
      </c>
      <c r="E1222" s="8" t="s">
        <v>2393</v>
      </c>
      <c r="F1222" s="8" t="s">
        <v>911</v>
      </c>
      <c r="G1222" s="8" t="s">
        <v>2383</v>
      </c>
      <c r="H1222" s="10">
        <v>1</v>
      </c>
      <c r="I1222" s="10"/>
      <c r="J1222" s="10">
        <v>1</v>
      </c>
      <c r="K1222" s="10">
        <v>1989.64</v>
      </c>
    </row>
    <row r="1223" spans="1:11" x14ac:dyDescent="0.25">
      <c r="A1223" s="8" t="s">
        <v>2394</v>
      </c>
      <c r="B1223" s="8" t="s">
        <v>118</v>
      </c>
      <c r="C1223" s="8" t="s">
        <v>2381</v>
      </c>
      <c r="D1223" s="8">
        <v>4</v>
      </c>
      <c r="E1223" s="8" t="s">
        <v>2393</v>
      </c>
      <c r="F1223" s="8" t="s">
        <v>911</v>
      </c>
      <c r="G1223" s="8" t="s">
        <v>2383</v>
      </c>
      <c r="H1223" s="10">
        <v>1</v>
      </c>
      <c r="I1223" s="10"/>
      <c r="J1223" s="10">
        <v>1</v>
      </c>
      <c r="K1223" s="10">
        <v>1989.64</v>
      </c>
    </row>
    <row r="1224" spans="1:11" x14ac:dyDescent="0.25">
      <c r="A1224" s="8" t="s">
        <v>2395</v>
      </c>
      <c r="B1224" s="8" t="s">
        <v>120</v>
      </c>
      <c r="C1224" s="8" t="s">
        <v>2381</v>
      </c>
      <c r="D1224" s="8">
        <v>4</v>
      </c>
      <c r="E1224" s="8" t="s">
        <v>2393</v>
      </c>
      <c r="F1224" s="8" t="s">
        <v>911</v>
      </c>
      <c r="G1224" s="8" t="s">
        <v>2383</v>
      </c>
      <c r="H1224" s="10">
        <v>1</v>
      </c>
      <c r="I1224" s="10"/>
      <c r="J1224" s="10">
        <v>1</v>
      </c>
      <c r="K1224" s="10">
        <v>1989.64</v>
      </c>
    </row>
    <row r="1225" spans="1:11" x14ac:dyDescent="0.25">
      <c r="A1225" s="8" t="s">
        <v>2396</v>
      </c>
      <c r="B1225" s="8" t="s">
        <v>122</v>
      </c>
      <c r="C1225" s="8" t="s">
        <v>2381</v>
      </c>
      <c r="D1225" s="8">
        <v>4</v>
      </c>
      <c r="E1225" s="8" t="s">
        <v>2397</v>
      </c>
      <c r="F1225" s="8" t="s">
        <v>215</v>
      </c>
      <c r="G1225" s="8" t="s">
        <v>2383</v>
      </c>
      <c r="H1225" s="10">
        <v>5</v>
      </c>
      <c r="I1225" s="10"/>
      <c r="J1225" s="10">
        <v>5</v>
      </c>
      <c r="K1225" s="10">
        <v>3316.06</v>
      </c>
    </row>
    <row r="1226" spans="1:11" x14ac:dyDescent="0.25">
      <c r="A1226" s="8" t="s">
        <v>2398</v>
      </c>
      <c r="B1226" s="8" t="s">
        <v>132</v>
      </c>
      <c r="C1226" s="8" t="s">
        <v>2381</v>
      </c>
      <c r="D1226" s="8">
        <v>4</v>
      </c>
      <c r="E1226" s="8" t="s">
        <v>2399</v>
      </c>
      <c r="F1226" s="8" t="s">
        <v>215</v>
      </c>
      <c r="G1226" s="8" t="s">
        <v>2383</v>
      </c>
      <c r="H1226" s="10">
        <v>2</v>
      </c>
      <c r="I1226" s="10"/>
      <c r="J1226" s="10">
        <v>2</v>
      </c>
      <c r="K1226" s="10">
        <v>2984.46</v>
      </c>
    </row>
    <row r="1227" spans="1:11" x14ac:dyDescent="0.25">
      <c r="A1227" s="8" t="s">
        <v>2400</v>
      </c>
      <c r="B1227" s="8" t="s">
        <v>128</v>
      </c>
      <c r="C1227" s="8" t="s">
        <v>2381</v>
      </c>
      <c r="D1227" s="8">
        <v>4</v>
      </c>
      <c r="E1227" s="8" t="s">
        <v>2401</v>
      </c>
      <c r="F1227" s="8" t="s">
        <v>215</v>
      </c>
      <c r="G1227" s="8" t="s">
        <v>2383</v>
      </c>
      <c r="H1227" s="10">
        <v>3</v>
      </c>
      <c r="I1227" s="10"/>
      <c r="J1227" s="10">
        <v>3</v>
      </c>
      <c r="K1227" s="10">
        <v>2984.46</v>
      </c>
    </row>
    <row r="1228" spans="1:11" x14ac:dyDescent="0.25">
      <c r="A1228" s="8" t="s">
        <v>2402</v>
      </c>
      <c r="B1228" s="8" t="s">
        <v>122</v>
      </c>
      <c r="C1228" s="8" t="s">
        <v>2381</v>
      </c>
      <c r="D1228" s="8">
        <v>4</v>
      </c>
      <c r="E1228" s="8" t="s">
        <v>2403</v>
      </c>
      <c r="F1228" s="8" t="s">
        <v>215</v>
      </c>
      <c r="G1228" s="8" t="s">
        <v>2383</v>
      </c>
      <c r="H1228" s="10">
        <v>2</v>
      </c>
      <c r="I1228" s="10"/>
      <c r="J1228" s="10">
        <v>2</v>
      </c>
      <c r="K1228" s="10">
        <v>2984.46</v>
      </c>
    </row>
    <row r="1229" spans="1:11" x14ac:dyDescent="0.25">
      <c r="A1229" s="8" t="s">
        <v>2404</v>
      </c>
      <c r="B1229" s="8" t="s">
        <v>124</v>
      </c>
      <c r="C1229" s="8" t="s">
        <v>2381</v>
      </c>
      <c r="D1229" s="8">
        <v>4</v>
      </c>
      <c r="E1229" s="8" t="s">
        <v>2405</v>
      </c>
      <c r="F1229" s="8" t="s">
        <v>215</v>
      </c>
      <c r="G1229" s="8" t="s">
        <v>2383</v>
      </c>
      <c r="H1229" s="10">
        <v>2</v>
      </c>
      <c r="I1229" s="10"/>
      <c r="J1229" s="10">
        <v>2</v>
      </c>
      <c r="K1229" s="10">
        <v>2984.46</v>
      </c>
    </row>
    <row r="1230" spans="1:11" x14ac:dyDescent="0.25">
      <c r="A1230" s="8" t="s">
        <v>2406</v>
      </c>
      <c r="B1230" s="8" t="s">
        <v>78</v>
      </c>
      <c r="C1230" s="8" t="s">
        <v>2381</v>
      </c>
      <c r="D1230" s="8">
        <v>4</v>
      </c>
      <c r="E1230" s="8" t="s">
        <v>2407</v>
      </c>
      <c r="F1230" s="8" t="s">
        <v>215</v>
      </c>
      <c r="G1230" s="8" t="s">
        <v>2383</v>
      </c>
      <c r="H1230" s="10">
        <v>2</v>
      </c>
      <c r="I1230" s="10"/>
      <c r="J1230" s="10">
        <v>2</v>
      </c>
      <c r="K1230" s="10">
        <v>2984.46</v>
      </c>
    </row>
    <row r="1231" spans="1:11" x14ac:dyDescent="0.25">
      <c r="A1231" s="8" t="s">
        <v>2408</v>
      </c>
      <c r="B1231" s="8" t="s">
        <v>78</v>
      </c>
      <c r="C1231" s="8" t="s">
        <v>2381</v>
      </c>
      <c r="D1231" s="8">
        <v>4</v>
      </c>
      <c r="E1231" s="8" t="s">
        <v>2409</v>
      </c>
      <c r="F1231" s="8" t="s">
        <v>215</v>
      </c>
      <c r="G1231" s="8" t="s">
        <v>2383</v>
      </c>
      <c r="H1231" s="10">
        <v>2</v>
      </c>
      <c r="I1231" s="10"/>
      <c r="J1231" s="10">
        <v>2</v>
      </c>
      <c r="K1231" s="10">
        <v>2984.46</v>
      </c>
    </row>
    <row r="1232" spans="1:11" x14ac:dyDescent="0.25">
      <c r="A1232" s="8" t="s">
        <v>2410</v>
      </c>
      <c r="B1232" s="8" t="s">
        <v>120</v>
      </c>
      <c r="C1232" s="8" t="s">
        <v>2381</v>
      </c>
      <c r="D1232" s="8">
        <v>4</v>
      </c>
      <c r="E1232" s="8" t="s">
        <v>2411</v>
      </c>
      <c r="F1232" s="8" t="s">
        <v>215</v>
      </c>
      <c r="G1232" s="8" t="s">
        <v>2383</v>
      </c>
      <c r="H1232" s="10">
        <v>2</v>
      </c>
      <c r="I1232" s="10"/>
      <c r="J1232" s="10">
        <v>2</v>
      </c>
      <c r="K1232" s="10">
        <v>2984.46</v>
      </c>
    </row>
    <row r="1233" spans="1:11" x14ac:dyDescent="0.25">
      <c r="A1233" s="8" t="s">
        <v>2412</v>
      </c>
      <c r="B1233" s="8" t="s">
        <v>122</v>
      </c>
      <c r="C1233" s="8" t="s">
        <v>2381</v>
      </c>
      <c r="D1233" s="8">
        <v>4</v>
      </c>
      <c r="E1233" s="8" t="s">
        <v>2413</v>
      </c>
      <c r="F1233" s="8" t="s">
        <v>274</v>
      </c>
      <c r="G1233" s="8" t="s">
        <v>2383</v>
      </c>
      <c r="H1233" s="10">
        <v>3</v>
      </c>
      <c r="I1233" s="10"/>
      <c r="J1233" s="10">
        <v>3</v>
      </c>
      <c r="K1233" s="10">
        <v>1989.64</v>
      </c>
    </row>
    <row r="1234" spans="1:11" x14ac:dyDescent="0.25">
      <c r="A1234" s="8" t="s">
        <v>2414</v>
      </c>
      <c r="B1234" s="8" t="s">
        <v>124</v>
      </c>
      <c r="C1234" s="8" t="s">
        <v>2381</v>
      </c>
      <c r="D1234" s="8">
        <v>4</v>
      </c>
      <c r="E1234" s="8" t="s">
        <v>2413</v>
      </c>
      <c r="F1234" s="8" t="s">
        <v>274</v>
      </c>
      <c r="G1234" s="8" t="s">
        <v>2383</v>
      </c>
      <c r="H1234" s="10">
        <v>5</v>
      </c>
      <c r="I1234" s="10"/>
      <c r="J1234" s="10">
        <v>5</v>
      </c>
      <c r="K1234" s="10">
        <v>1989.64</v>
      </c>
    </row>
    <row r="1235" spans="1:11" x14ac:dyDescent="0.25">
      <c r="A1235" s="8" t="s">
        <v>2415</v>
      </c>
      <c r="B1235" s="8" t="s">
        <v>78</v>
      </c>
      <c r="C1235" s="8" t="s">
        <v>2381</v>
      </c>
      <c r="D1235" s="8">
        <v>4</v>
      </c>
      <c r="E1235" s="8" t="s">
        <v>2413</v>
      </c>
      <c r="F1235" s="8" t="s">
        <v>274</v>
      </c>
      <c r="G1235" s="8" t="s">
        <v>2383</v>
      </c>
      <c r="H1235" s="10">
        <v>4</v>
      </c>
      <c r="I1235" s="10"/>
      <c r="J1235" s="10">
        <v>4</v>
      </c>
      <c r="K1235" s="10">
        <v>1989.64</v>
      </c>
    </row>
    <row r="1236" spans="1:11" x14ac:dyDescent="0.25">
      <c r="A1236" s="8" t="s">
        <v>2416</v>
      </c>
      <c r="B1236" s="8" t="s">
        <v>128</v>
      </c>
      <c r="C1236" s="8" t="s">
        <v>2381</v>
      </c>
      <c r="D1236" s="8">
        <v>4</v>
      </c>
      <c r="E1236" s="8" t="s">
        <v>2413</v>
      </c>
      <c r="F1236" s="8" t="s">
        <v>274</v>
      </c>
      <c r="G1236" s="8" t="s">
        <v>2383</v>
      </c>
      <c r="H1236" s="10">
        <v>1</v>
      </c>
      <c r="I1236" s="10"/>
      <c r="J1236" s="10">
        <v>1</v>
      </c>
      <c r="K1236" s="10">
        <v>1989.64</v>
      </c>
    </row>
    <row r="1237" spans="1:11" x14ac:dyDescent="0.25">
      <c r="A1237" s="8" t="s">
        <v>2417</v>
      </c>
      <c r="B1237" s="8" t="s">
        <v>132</v>
      </c>
      <c r="C1237" s="8" t="s">
        <v>2381</v>
      </c>
      <c r="D1237" s="8">
        <v>4</v>
      </c>
      <c r="E1237" s="8" t="s">
        <v>2413</v>
      </c>
      <c r="F1237" s="8" t="s">
        <v>274</v>
      </c>
      <c r="G1237" s="8" t="s">
        <v>2383</v>
      </c>
      <c r="H1237" s="10">
        <v>2</v>
      </c>
      <c r="I1237" s="10"/>
      <c r="J1237" s="10">
        <v>2</v>
      </c>
      <c r="K1237" s="10">
        <v>1989.64</v>
      </c>
    </row>
    <row r="1238" spans="1:11" x14ac:dyDescent="0.25">
      <c r="A1238" s="8" t="s">
        <v>2418</v>
      </c>
      <c r="B1238" s="8" t="s">
        <v>134</v>
      </c>
      <c r="C1238" s="8" t="s">
        <v>2381</v>
      </c>
      <c r="D1238" s="8">
        <v>4</v>
      </c>
      <c r="E1238" s="8" t="s">
        <v>2413</v>
      </c>
      <c r="F1238" s="8" t="s">
        <v>274</v>
      </c>
      <c r="G1238" s="8" t="s">
        <v>2383</v>
      </c>
      <c r="H1238" s="10">
        <v>6</v>
      </c>
      <c r="I1238" s="10"/>
      <c r="J1238" s="10">
        <v>6</v>
      </c>
      <c r="K1238" s="10">
        <v>1989.64</v>
      </c>
    </row>
    <row r="1239" spans="1:11" x14ac:dyDescent="0.25">
      <c r="A1239" s="8" t="s">
        <v>2419</v>
      </c>
      <c r="B1239" s="8" t="s">
        <v>124</v>
      </c>
      <c r="C1239" s="8" t="s">
        <v>2381</v>
      </c>
      <c r="D1239" s="8">
        <v>4</v>
      </c>
      <c r="E1239" s="8" t="s">
        <v>2420</v>
      </c>
      <c r="F1239" s="8" t="s">
        <v>911</v>
      </c>
      <c r="G1239" s="8" t="s">
        <v>2383</v>
      </c>
      <c r="H1239" s="10">
        <v>3</v>
      </c>
      <c r="I1239" s="10"/>
      <c r="J1239" s="10">
        <v>3</v>
      </c>
      <c r="K1239" s="10">
        <v>1989.64</v>
      </c>
    </row>
    <row r="1240" spans="1:11" x14ac:dyDescent="0.25">
      <c r="A1240" s="8" t="s">
        <v>2421</v>
      </c>
      <c r="B1240" s="8" t="s">
        <v>128</v>
      </c>
      <c r="C1240" s="8" t="s">
        <v>2381</v>
      </c>
      <c r="D1240" s="8">
        <v>4</v>
      </c>
      <c r="E1240" s="8" t="s">
        <v>2420</v>
      </c>
      <c r="F1240" s="8" t="s">
        <v>911</v>
      </c>
      <c r="G1240" s="8" t="s">
        <v>2383</v>
      </c>
      <c r="H1240" s="10">
        <v>2</v>
      </c>
      <c r="I1240" s="10"/>
      <c r="J1240" s="10">
        <v>2</v>
      </c>
      <c r="K1240" s="10">
        <v>1989.64</v>
      </c>
    </row>
    <row r="1241" spans="1:11" x14ac:dyDescent="0.25">
      <c r="A1241" s="8" t="s">
        <v>2422</v>
      </c>
      <c r="B1241" s="8" t="s">
        <v>949</v>
      </c>
      <c r="C1241" s="8" t="s">
        <v>2381</v>
      </c>
      <c r="D1241" s="8">
        <v>4</v>
      </c>
      <c r="E1241" s="8" t="s">
        <v>2420</v>
      </c>
      <c r="F1241" s="8" t="s">
        <v>911</v>
      </c>
      <c r="G1241" s="8" t="s">
        <v>2383</v>
      </c>
      <c r="H1241" s="10">
        <v>1</v>
      </c>
      <c r="I1241" s="10"/>
      <c r="J1241" s="10">
        <v>1</v>
      </c>
      <c r="K1241" s="10">
        <v>1989.64</v>
      </c>
    </row>
    <row r="1242" spans="1:11" x14ac:dyDescent="0.25">
      <c r="A1242" s="8" t="s">
        <v>2423</v>
      </c>
      <c r="B1242" s="8" t="s">
        <v>132</v>
      </c>
      <c r="C1242" s="8" t="s">
        <v>2381</v>
      </c>
      <c r="D1242" s="8">
        <v>4</v>
      </c>
      <c r="E1242" s="8" t="s">
        <v>2420</v>
      </c>
      <c r="F1242" s="8" t="s">
        <v>911</v>
      </c>
      <c r="G1242" s="8" t="s">
        <v>2383</v>
      </c>
      <c r="H1242" s="10">
        <v>1</v>
      </c>
      <c r="I1242" s="10"/>
      <c r="J1242" s="10">
        <v>1</v>
      </c>
      <c r="K1242" s="10">
        <v>1989.64</v>
      </c>
    </row>
    <row r="1243" spans="1:11" x14ac:dyDescent="0.25">
      <c r="A1243" s="8" t="s">
        <v>2424</v>
      </c>
      <c r="B1243" s="8" t="s">
        <v>134</v>
      </c>
      <c r="C1243" s="8" t="s">
        <v>2381</v>
      </c>
      <c r="D1243" s="8">
        <v>4</v>
      </c>
      <c r="E1243" s="8" t="s">
        <v>2420</v>
      </c>
      <c r="F1243" s="8" t="s">
        <v>911</v>
      </c>
      <c r="G1243" s="8" t="s">
        <v>2383</v>
      </c>
      <c r="H1243" s="10">
        <v>4</v>
      </c>
      <c r="I1243" s="10"/>
      <c r="J1243" s="10">
        <v>4</v>
      </c>
      <c r="K1243" s="10">
        <v>1989.64</v>
      </c>
    </row>
    <row r="1244" spans="1:11" x14ac:dyDescent="0.25">
      <c r="A1244" s="8" t="s">
        <v>2425</v>
      </c>
      <c r="B1244" s="8" t="s">
        <v>142</v>
      </c>
      <c r="C1244" s="8" t="s">
        <v>2381</v>
      </c>
      <c r="D1244" s="8">
        <v>4</v>
      </c>
      <c r="E1244" s="8" t="s">
        <v>2420</v>
      </c>
      <c r="F1244" s="8" t="s">
        <v>911</v>
      </c>
      <c r="G1244" s="8" t="s">
        <v>2383</v>
      </c>
      <c r="H1244" s="10">
        <v>1</v>
      </c>
      <c r="I1244" s="10"/>
      <c r="J1244" s="10">
        <v>1</v>
      </c>
      <c r="K1244" s="10">
        <v>1989.64</v>
      </c>
    </row>
    <row r="1245" spans="1:11" x14ac:dyDescent="0.25">
      <c r="A1245" s="8" t="s">
        <v>2426</v>
      </c>
      <c r="B1245" s="8" t="s">
        <v>118</v>
      </c>
      <c r="C1245" s="8" t="s">
        <v>2381</v>
      </c>
      <c r="D1245" s="8">
        <v>4</v>
      </c>
      <c r="E1245" s="8" t="s">
        <v>2427</v>
      </c>
      <c r="F1245" s="8" t="s">
        <v>911</v>
      </c>
      <c r="G1245" s="8" t="s">
        <v>2383</v>
      </c>
      <c r="H1245" s="10">
        <v>4</v>
      </c>
      <c r="I1245" s="10"/>
      <c r="J1245" s="10">
        <v>4</v>
      </c>
      <c r="K1245" s="10">
        <v>1989.64</v>
      </c>
    </row>
    <row r="1246" spans="1:11" x14ac:dyDescent="0.25">
      <c r="A1246" s="8" t="s">
        <v>2428</v>
      </c>
      <c r="B1246" s="8" t="s">
        <v>120</v>
      </c>
      <c r="C1246" s="8" t="s">
        <v>2381</v>
      </c>
      <c r="D1246" s="8">
        <v>4</v>
      </c>
      <c r="E1246" s="8" t="s">
        <v>2427</v>
      </c>
      <c r="F1246" s="8" t="s">
        <v>911</v>
      </c>
      <c r="G1246" s="8" t="s">
        <v>2383</v>
      </c>
      <c r="H1246" s="10">
        <v>4</v>
      </c>
      <c r="I1246" s="10"/>
      <c r="J1246" s="10">
        <v>4</v>
      </c>
      <c r="K1246" s="10">
        <v>1989.64</v>
      </c>
    </row>
    <row r="1247" spans="1:11" x14ac:dyDescent="0.25">
      <c r="A1247" s="8" t="s">
        <v>2429</v>
      </c>
      <c r="B1247" s="8" t="s">
        <v>80</v>
      </c>
      <c r="C1247" s="8" t="s">
        <v>2381</v>
      </c>
      <c r="D1247" s="8">
        <v>4</v>
      </c>
      <c r="E1247" s="8" t="s">
        <v>2427</v>
      </c>
      <c r="F1247" s="8" t="s">
        <v>911</v>
      </c>
      <c r="G1247" s="8" t="s">
        <v>2383</v>
      </c>
      <c r="H1247" s="10">
        <v>2</v>
      </c>
      <c r="I1247" s="10"/>
      <c r="J1247" s="10">
        <v>2</v>
      </c>
      <c r="K1247" s="10">
        <v>1989.64</v>
      </c>
    </row>
    <row r="1248" spans="1:11" x14ac:dyDescent="0.25">
      <c r="A1248" s="8" t="s">
        <v>2430</v>
      </c>
      <c r="B1248" s="8" t="s">
        <v>1029</v>
      </c>
      <c r="C1248" s="8" t="s">
        <v>2381</v>
      </c>
      <c r="D1248" s="8">
        <v>4</v>
      </c>
      <c r="E1248" s="8" t="s">
        <v>2427</v>
      </c>
      <c r="F1248" s="8" t="s">
        <v>911</v>
      </c>
      <c r="G1248" s="8" t="s">
        <v>2383</v>
      </c>
      <c r="H1248" s="10">
        <v>1</v>
      </c>
      <c r="I1248" s="10"/>
      <c r="J1248" s="10">
        <v>1</v>
      </c>
      <c r="K1248" s="10">
        <v>1989.64</v>
      </c>
    </row>
    <row r="1249" spans="1:11" x14ac:dyDescent="0.25">
      <c r="A1249" s="8" t="s">
        <v>2431</v>
      </c>
      <c r="B1249" s="8" t="s">
        <v>142</v>
      </c>
      <c r="C1249" s="8" t="s">
        <v>2381</v>
      </c>
      <c r="D1249" s="8">
        <v>4</v>
      </c>
      <c r="E1249" s="8" t="s">
        <v>2427</v>
      </c>
      <c r="F1249" s="8" t="s">
        <v>911</v>
      </c>
      <c r="G1249" s="8" t="s">
        <v>2383</v>
      </c>
      <c r="H1249" s="10">
        <v>1</v>
      </c>
      <c r="I1249" s="10"/>
      <c r="J1249" s="10">
        <v>1</v>
      </c>
      <c r="K1249" s="10">
        <v>1989.64</v>
      </c>
    </row>
    <row r="1250" spans="1:11" x14ac:dyDescent="0.25">
      <c r="A1250" s="8" t="s">
        <v>2432</v>
      </c>
      <c r="B1250" s="8" t="s">
        <v>120</v>
      </c>
      <c r="C1250" s="8" t="s">
        <v>2381</v>
      </c>
      <c r="D1250" s="8">
        <v>4</v>
      </c>
      <c r="E1250" s="8" t="s">
        <v>2433</v>
      </c>
      <c r="F1250" s="8" t="s">
        <v>215</v>
      </c>
      <c r="G1250" s="8" t="s">
        <v>2383</v>
      </c>
      <c r="H1250" s="10">
        <v>4</v>
      </c>
      <c r="I1250" s="10"/>
      <c r="J1250" s="10">
        <v>4</v>
      </c>
      <c r="K1250" s="10">
        <v>2984.46</v>
      </c>
    </row>
    <row r="1251" spans="1:11" x14ac:dyDescent="0.25">
      <c r="A1251" s="8" t="s">
        <v>2434</v>
      </c>
      <c r="B1251" s="8" t="s">
        <v>124</v>
      </c>
      <c r="C1251" s="8" t="s">
        <v>2381</v>
      </c>
      <c r="D1251" s="8">
        <v>4</v>
      </c>
      <c r="E1251" s="8" t="s">
        <v>2433</v>
      </c>
      <c r="F1251" s="8" t="s">
        <v>215</v>
      </c>
      <c r="G1251" s="8" t="s">
        <v>2383</v>
      </c>
      <c r="H1251" s="10">
        <v>13</v>
      </c>
      <c r="I1251" s="10"/>
      <c r="J1251" s="10">
        <v>13</v>
      </c>
      <c r="K1251" s="10">
        <v>2984.46</v>
      </c>
    </row>
    <row r="1252" spans="1:11" x14ac:dyDescent="0.25">
      <c r="A1252" s="8" t="s">
        <v>2435</v>
      </c>
      <c r="B1252" s="8" t="s">
        <v>78</v>
      </c>
      <c r="C1252" s="8" t="s">
        <v>2381</v>
      </c>
      <c r="D1252" s="8">
        <v>4</v>
      </c>
      <c r="E1252" s="8" t="s">
        <v>2433</v>
      </c>
      <c r="F1252" s="8" t="s">
        <v>215</v>
      </c>
      <c r="G1252" s="8" t="s">
        <v>2383</v>
      </c>
      <c r="H1252" s="10">
        <v>8</v>
      </c>
      <c r="I1252" s="10"/>
      <c r="J1252" s="10">
        <v>8</v>
      </c>
      <c r="K1252" s="10">
        <v>2984.46</v>
      </c>
    </row>
    <row r="1253" spans="1:11" x14ac:dyDescent="0.25">
      <c r="A1253" s="8" t="s">
        <v>2436</v>
      </c>
      <c r="B1253" s="8" t="s">
        <v>136</v>
      </c>
      <c r="C1253" s="8" t="s">
        <v>2381</v>
      </c>
      <c r="D1253" s="8">
        <v>4</v>
      </c>
      <c r="E1253" s="8" t="s">
        <v>2433</v>
      </c>
      <c r="F1253" s="8" t="s">
        <v>215</v>
      </c>
      <c r="G1253" s="8" t="s">
        <v>2383</v>
      </c>
      <c r="H1253" s="10">
        <v>6</v>
      </c>
      <c r="I1253" s="10"/>
      <c r="J1253" s="10">
        <v>6</v>
      </c>
      <c r="K1253" s="10">
        <v>2984.46</v>
      </c>
    </row>
    <row r="1254" spans="1:11" x14ac:dyDescent="0.25">
      <c r="A1254" s="8" t="s">
        <v>2437</v>
      </c>
      <c r="B1254" s="8" t="s">
        <v>80</v>
      </c>
      <c r="C1254" s="8" t="s">
        <v>2381</v>
      </c>
      <c r="D1254" s="8">
        <v>4</v>
      </c>
      <c r="E1254" s="8" t="s">
        <v>2433</v>
      </c>
      <c r="F1254" s="8" t="s">
        <v>215</v>
      </c>
      <c r="G1254" s="8" t="s">
        <v>2383</v>
      </c>
      <c r="H1254" s="10">
        <v>5</v>
      </c>
      <c r="I1254" s="10"/>
      <c r="J1254" s="10">
        <v>5</v>
      </c>
      <c r="K1254" s="10">
        <v>2984.46</v>
      </c>
    </row>
    <row r="1255" spans="1:11" x14ac:dyDescent="0.25">
      <c r="A1255" s="8" t="s">
        <v>2438</v>
      </c>
      <c r="B1255" s="8" t="s">
        <v>118</v>
      </c>
      <c r="C1255" s="8" t="s">
        <v>2381</v>
      </c>
      <c r="D1255" s="8">
        <v>4</v>
      </c>
      <c r="E1255" s="8" t="s">
        <v>2439</v>
      </c>
      <c r="F1255" s="8" t="s">
        <v>274</v>
      </c>
      <c r="G1255" s="8" t="s">
        <v>2383</v>
      </c>
      <c r="H1255" s="10">
        <v>4</v>
      </c>
      <c r="I1255" s="10"/>
      <c r="J1255" s="10">
        <v>4</v>
      </c>
      <c r="K1255" s="10">
        <v>2984.46</v>
      </c>
    </row>
    <row r="1256" spans="1:11" x14ac:dyDescent="0.25">
      <c r="A1256" s="8" t="s">
        <v>2440</v>
      </c>
      <c r="B1256" s="8" t="s">
        <v>120</v>
      </c>
      <c r="C1256" s="8" t="s">
        <v>2381</v>
      </c>
      <c r="D1256" s="8">
        <v>4</v>
      </c>
      <c r="E1256" s="8" t="s">
        <v>2439</v>
      </c>
      <c r="F1256" s="8" t="s">
        <v>274</v>
      </c>
      <c r="G1256" s="8" t="s">
        <v>2383</v>
      </c>
      <c r="H1256" s="10">
        <v>3</v>
      </c>
      <c r="I1256" s="10"/>
      <c r="J1256" s="10">
        <v>3</v>
      </c>
      <c r="K1256" s="10">
        <v>2984.46</v>
      </c>
    </row>
    <row r="1257" spans="1:11" x14ac:dyDescent="0.25">
      <c r="A1257" s="8" t="s">
        <v>2441</v>
      </c>
      <c r="B1257" s="8" t="s">
        <v>118</v>
      </c>
      <c r="C1257" s="8" t="s">
        <v>2381</v>
      </c>
      <c r="D1257" s="8">
        <v>4</v>
      </c>
      <c r="E1257" s="8" t="s">
        <v>2442</v>
      </c>
      <c r="F1257" s="8" t="s">
        <v>274</v>
      </c>
      <c r="G1257" s="8" t="s">
        <v>2383</v>
      </c>
      <c r="H1257" s="10">
        <v>1</v>
      </c>
      <c r="I1257" s="10"/>
      <c r="J1257" s="10">
        <v>1</v>
      </c>
      <c r="K1257" s="10">
        <v>2984.46</v>
      </c>
    </row>
    <row r="1258" spans="1:11" x14ac:dyDescent="0.25">
      <c r="A1258" s="8" t="s">
        <v>2443</v>
      </c>
      <c r="B1258" s="8" t="s">
        <v>120</v>
      </c>
      <c r="C1258" s="8" t="s">
        <v>2381</v>
      </c>
      <c r="D1258" s="8">
        <v>4</v>
      </c>
      <c r="E1258" s="8" t="s">
        <v>2442</v>
      </c>
      <c r="F1258" s="8" t="s">
        <v>274</v>
      </c>
      <c r="G1258" s="8" t="s">
        <v>2383</v>
      </c>
      <c r="H1258" s="10">
        <v>1</v>
      </c>
      <c r="I1258" s="10"/>
      <c r="J1258" s="10">
        <v>1</v>
      </c>
      <c r="K1258" s="10">
        <v>2984.46</v>
      </c>
    </row>
    <row r="1259" spans="1:11" x14ac:dyDescent="0.25">
      <c r="A1259" s="8" t="s">
        <v>2444</v>
      </c>
      <c r="B1259" s="8" t="s">
        <v>80</v>
      </c>
      <c r="C1259" s="8" t="s">
        <v>2381</v>
      </c>
      <c r="D1259" s="8">
        <v>4</v>
      </c>
      <c r="E1259" s="8" t="s">
        <v>2442</v>
      </c>
      <c r="F1259" s="8" t="s">
        <v>274</v>
      </c>
      <c r="G1259" s="8" t="s">
        <v>2383</v>
      </c>
      <c r="H1259" s="10">
        <v>7</v>
      </c>
      <c r="I1259" s="10"/>
      <c r="J1259" s="10">
        <v>7</v>
      </c>
      <c r="K1259" s="10">
        <v>2984.46</v>
      </c>
    </row>
    <row r="1260" spans="1:11" x14ac:dyDescent="0.25">
      <c r="A1260" s="8" t="s">
        <v>2445</v>
      </c>
      <c r="B1260" s="8" t="s">
        <v>1029</v>
      </c>
      <c r="C1260" s="8" t="s">
        <v>2381</v>
      </c>
      <c r="D1260" s="8">
        <v>4</v>
      </c>
      <c r="E1260" s="8" t="s">
        <v>2442</v>
      </c>
      <c r="F1260" s="8" t="s">
        <v>274</v>
      </c>
      <c r="G1260" s="8" t="s">
        <v>2383</v>
      </c>
      <c r="H1260" s="10">
        <v>1</v>
      </c>
      <c r="I1260" s="10"/>
      <c r="J1260" s="10">
        <v>1</v>
      </c>
      <c r="K1260" s="10">
        <v>2984.46</v>
      </c>
    </row>
    <row r="1261" spans="1:11" x14ac:dyDescent="0.25">
      <c r="A1261" s="8" t="s">
        <v>2446</v>
      </c>
      <c r="B1261" s="8" t="s">
        <v>142</v>
      </c>
      <c r="C1261" s="8" t="s">
        <v>2381</v>
      </c>
      <c r="D1261" s="8">
        <v>4</v>
      </c>
      <c r="E1261" s="8" t="s">
        <v>2442</v>
      </c>
      <c r="F1261" s="8" t="s">
        <v>274</v>
      </c>
      <c r="G1261" s="8" t="s">
        <v>2383</v>
      </c>
      <c r="H1261" s="10">
        <v>1</v>
      </c>
      <c r="I1261" s="10"/>
      <c r="J1261" s="10">
        <v>1</v>
      </c>
      <c r="K1261" s="10">
        <v>2984.46</v>
      </c>
    </row>
    <row r="1262" spans="1:11" x14ac:dyDescent="0.25">
      <c r="A1262" s="8" t="s">
        <v>2447</v>
      </c>
      <c r="B1262" s="8" t="s">
        <v>120</v>
      </c>
      <c r="C1262" s="8" t="s">
        <v>2381</v>
      </c>
      <c r="D1262" s="8">
        <v>4</v>
      </c>
      <c r="E1262" s="8" t="s">
        <v>2448</v>
      </c>
      <c r="F1262" s="8" t="s">
        <v>274</v>
      </c>
      <c r="G1262" s="8" t="s">
        <v>2383</v>
      </c>
      <c r="H1262" s="10">
        <v>2</v>
      </c>
      <c r="I1262" s="10"/>
      <c r="J1262" s="10">
        <v>2</v>
      </c>
      <c r="K1262" s="10">
        <v>2984.46</v>
      </c>
    </row>
    <row r="1263" spans="1:11" x14ac:dyDescent="0.25">
      <c r="A1263" s="8" t="s">
        <v>2449</v>
      </c>
      <c r="B1263" s="8" t="s">
        <v>128</v>
      </c>
      <c r="C1263" s="8" t="s">
        <v>2381</v>
      </c>
      <c r="D1263" s="8">
        <v>4</v>
      </c>
      <c r="E1263" s="8" t="s">
        <v>2448</v>
      </c>
      <c r="F1263" s="8" t="s">
        <v>274</v>
      </c>
      <c r="G1263" s="8" t="s">
        <v>2383</v>
      </c>
      <c r="H1263" s="10">
        <v>2</v>
      </c>
      <c r="I1263" s="10"/>
      <c r="J1263" s="10">
        <v>2</v>
      </c>
      <c r="K1263" s="10">
        <v>2984.46</v>
      </c>
    </row>
    <row r="1264" spans="1:11" x14ac:dyDescent="0.25">
      <c r="A1264" s="8" t="s">
        <v>2450</v>
      </c>
      <c r="B1264" s="8" t="s">
        <v>132</v>
      </c>
      <c r="C1264" s="8" t="s">
        <v>2381</v>
      </c>
      <c r="D1264" s="8">
        <v>4</v>
      </c>
      <c r="E1264" s="8" t="s">
        <v>2448</v>
      </c>
      <c r="F1264" s="8" t="s">
        <v>274</v>
      </c>
      <c r="G1264" s="8" t="s">
        <v>2383</v>
      </c>
      <c r="H1264" s="10">
        <v>1</v>
      </c>
      <c r="I1264" s="10"/>
      <c r="J1264" s="10">
        <v>1</v>
      </c>
      <c r="K1264" s="10">
        <v>2984.46</v>
      </c>
    </row>
    <row r="1265" spans="1:11" x14ac:dyDescent="0.25">
      <c r="A1265" s="8" t="s">
        <v>2451</v>
      </c>
      <c r="B1265" s="8" t="s">
        <v>116</v>
      </c>
      <c r="C1265" s="8" t="s">
        <v>2381</v>
      </c>
      <c r="D1265" s="8">
        <v>4</v>
      </c>
      <c r="E1265" s="8" t="s">
        <v>2452</v>
      </c>
      <c r="F1265" s="8" t="s">
        <v>215</v>
      </c>
      <c r="G1265" s="8" t="s">
        <v>2383</v>
      </c>
      <c r="H1265" s="10">
        <v>1</v>
      </c>
      <c r="I1265" s="10"/>
      <c r="J1265" s="10">
        <v>1</v>
      </c>
      <c r="K1265" s="10">
        <v>2984.46</v>
      </c>
    </row>
    <row r="1266" spans="1:11" x14ac:dyDescent="0.25">
      <c r="A1266" s="8" t="s">
        <v>2453</v>
      </c>
      <c r="B1266" s="8" t="s">
        <v>122</v>
      </c>
      <c r="C1266" s="8" t="s">
        <v>2381</v>
      </c>
      <c r="D1266" s="8">
        <v>4</v>
      </c>
      <c r="E1266" s="8" t="s">
        <v>2454</v>
      </c>
      <c r="F1266" s="8" t="s">
        <v>215</v>
      </c>
      <c r="G1266" s="8" t="s">
        <v>2383</v>
      </c>
      <c r="H1266" s="10">
        <v>2</v>
      </c>
      <c r="I1266" s="10"/>
      <c r="J1266" s="10">
        <v>2</v>
      </c>
      <c r="K1266" s="10">
        <v>2984.46</v>
      </c>
    </row>
    <row r="1267" spans="1:11" x14ac:dyDescent="0.25">
      <c r="A1267" s="8" t="s">
        <v>2455</v>
      </c>
      <c r="B1267" s="8" t="s">
        <v>72</v>
      </c>
      <c r="C1267" s="8" t="s">
        <v>2381</v>
      </c>
      <c r="D1267" s="8">
        <v>4</v>
      </c>
      <c r="E1267" s="8" t="s">
        <v>2456</v>
      </c>
      <c r="F1267" s="8" t="s">
        <v>215</v>
      </c>
      <c r="G1267" s="8" t="s">
        <v>2383</v>
      </c>
      <c r="H1267" s="10">
        <v>1</v>
      </c>
      <c r="I1267" s="10"/>
      <c r="J1267" s="10">
        <v>1</v>
      </c>
      <c r="K1267" s="10">
        <v>2984.46</v>
      </c>
    </row>
    <row r="1268" spans="1:11" x14ac:dyDescent="0.25">
      <c r="A1268" s="8" t="s">
        <v>2457</v>
      </c>
      <c r="B1268" s="8" t="s">
        <v>1029</v>
      </c>
      <c r="C1268" s="8" t="s">
        <v>2381</v>
      </c>
      <c r="D1268" s="8">
        <v>4</v>
      </c>
      <c r="E1268" s="8" t="s">
        <v>2456</v>
      </c>
      <c r="F1268" s="8" t="s">
        <v>215</v>
      </c>
      <c r="G1268" s="8" t="s">
        <v>2383</v>
      </c>
      <c r="H1268" s="10">
        <v>1</v>
      </c>
      <c r="I1268" s="10"/>
      <c r="J1268" s="10">
        <v>1</v>
      </c>
      <c r="K1268" s="10">
        <v>2984.46</v>
      </c>
    </row>
    <row r="1269" spans="1:11" x14ac:dyDescent="0.25">
      <c r="A1269" s="8" t="s">
        <v>2458</v>
      </c>
      <c r="B1269" s="8" t="s">
        <v>142</v>
      </c>
      <c r="C1269" s="8" t="s">
        <v>2381</v>
      </c>
      <c r="D1269" s="8">
        <v>4</v>
      </c>
      <c r="E1269" s="8" t="s">
        <v>2456</v>
      </c>
      <c r="F1269" s="8" t="s">
        <v>215</v>
      </c>
      <c r="G1269" s="8" t="s">
        <v>2383</v>
      </c>
      <c r="H1269" s="10">
        <v>1</v>
      </c>
      <c r="I1269" s="10"/>
      <c r="J1269" s="10">
        <v>1</v>
      </c>
      <c r="K1269" s="10">
        <v>2984.46</v>
      </c>
    </row>
    <row r="1270" spans="1:11" x14ac:dyDescent="0.25">
      <c r="A1270" s="8" t="s">
        <v>2459</v>
      </c>
      <c r="B1270" s="8" t="s">
        <v>120</v>
      </c>
      <c r="C1270" s="8" t="s">
        <v>2381</v>
      </c>
      <c r="D1270" s="8">
        <v>4</v>
      </c>
      <c r="E1270" s="8" t="s">
        <v>2460</v>
      </c>
      <c r="F1270" s="8" t="s">
        <v>215</v>
      </c>
      <c r="G1270" s="8" t="s">
        <v>2383</v>
      </c>
      <c r="H1270" s="10">
        <v>2</v>
      </c>
      <c r="I1270" s="10"/>
      <c r="J1270" s="10">
        <v>2</v>
      </c>
      <c r="K1270" s="10">
        <v>2984.46</v>
      </c>
    </row>
    <row r="1271" spans="1:11" x14ac:dyDescent="0.25">
      <c r="A1271" s="8" t="s">
        <v>2461</v>
      </c>
      <c r="B1271" s="8" t="s">
        <v>122</v>
      </c>
      <c r="C1271" s="8" t="s">
        <v>2381</v>
      </c>
      <c r="D1271" s="8">
        <v>4</v>
      </c>
      <c r="E1271" s="8" t="s">
        <v>2460</v>
      </c>
      <c r="F1271" s="8" t="s">
        <v>215</v>
      </c>
      <c r="G1271" s="8" t="s">
        <v>2383</v>
      </c>
      <c r="H1271" s="10">
        <v>1</v>
      </c>
      <c r="I1271" s="10"/>
      <c r="J1271" s="10">
        <v>1</v>
      </c>
      <c r="K1271" s="10">
        <v>2984.46</v>
      </c>
    </row>
    <row r="1272" spans="1:11" x14ac:dyDescent="0.25">
      <c r="A1272" s="8" t="s">
        <v>2462</v>
      </c>
      <c r="B1272" s="8" t="s">
        <v>72</v>
      </c>
      <c r="C1272" s="8" t="s">
        <v>2381</v>
      </c>
      <c r="D1272" s="8">
        <v>4</v>
      </c>
      <c r="E1272" s="8" t="s">
        <v>2463</v>
      </c>
      <c r="F1272" s="8" t="s">
        <v>215</v>
      </c>
      <c r="G1272" s="8" t="s">
        <v>2383</v>
      </c>
      <c r="H1272" s="10">
        <v>1</v>
      </c>
      <c r="I1272" s="10"/>
      <c r="J1272" s="10">
        <v>1</v>
      </c>
      <c r="K1272" s="10">
        <v>2984.46</v>
      </c>
    </row>
    <row r="1273" spans="1:11" x14ac:dyDescent="0.25">
      <c r="A1273" s="8" t="s">
        <v>2464</v>
      </c>
      <c r="B1273" s="8" t="s">
        <v>132</v>
      </c>
      <c r="C1273" s="8" t="s">
        <v>2381</v>
      </c>
      <c r="D1273" s="8">
        <v>4</v>
      </c>
      <c r="E1273" s="8" t="s">
        <v>2463</v>
      </c>
      <c r="F1273" s="8" t="s">
        <v>215</v>
      </c>
      <c r="G1273" s="8" t="s">
        <v>2383</v>
      </c>
      <c r="H1273" s="10">
        <v>1</v>
      </c>
      <c r="I1273" s="10"/>
      <c r="J1273" s="10">
        <v>1</v>
      </c>
      <c r="K1273" s="10">
        <v>2984.46</v>
      </c>
    </row>
    <row r="1274" spans="1:11" x14ac:dyDescent="0.25">
      <c r="A1274" s="8" t="s">
        <v>2465</v>
      </c>
      <c r="B1274" s="8" t="s">
        <v>1029</v>
      </c>
      <c r="C1274" s="8" t="s">
        <v>2381</v>
      </c>
      <c r="D1274" s="8">
        <v>4</v>
      </c>
      <c r="E1274" s="8" t="s">
        <v>2463</v>
      </c>
      <c r="F1274" s="8" t="s">
        <v>215</v>
      </c>
      <c r="G1274" s="8" t="s">
        <v>2383</v>
      </c>
      <c r="H1274" s="10">
        <v>1</v>
      </c>
      <c r="I1274" s="10"/>
      <c r="J1274" s="10">
        <v>1</v>
      </c>
      <c r="K1274" s="10">
        <v>2984.46</v>
      </c>
    </row>
    <row r="1275" spans="1:11" x14ac:dyDescent="0.25">
      <c r="A1275" s="8" t="s">
        <v>2466</v>
      </c>
      <c r="B1275" s="8" t="s">
        <v>128</v>
      </c>
      <c r="C1275" s="8" t="s">
        <v>2381</v>
      </c>
      <c r="D1275" s="8">
        <v>4</v>
      </c>
      <c r="E1275" s="8" t="s">
        <v>2467</v>
      </c>
      <c r="F1275" s="8" t="s">
        <v>215</v>
      </c>
      <c r="G1275" s="8" t="s">
        <v>2383</v>
      </c>
      <c r="H1275" s="10">
        <v>3</v>
      </c>
      <c r="I1275" s="10"/>
      <c r="J1275" s="10">
        <v>3</v>
      </c>
      <c r="K1275" s="10">
        <v>2984.46</v>
      </c>
    </row>
    <row r="1276" spans="1:11" x14ac:dyDescent="0.25">
      <c r="A1276" s="8" t="s">
        <v>2468</v>
      </c>
      <c r="B1276" s="8" t="s">
        <v>122</v>
      </c>
      <c r="C1276" s="8" t="s">
        <v>2381</v>
      </c>
      <c r="D1276" s="8">
        <v>4</v>
      </c>
      <c r="E1276" s="8" t="s">
        <v>2469</v>
      </c>
      <c r="F1276" s="8" t="s">
        <v>215</v>
      </c>
      <c r="G1276" s="8" t="s">
        <v>2383</v>
      </c>
      <c r="H1276" s="10">
        <v>2</v>
      </c>
      <c r="I1276" s="10"/>
      <c r="J1276" s="10">
        <v>2</v>
      </c>
      <c r="K1276" s="10">
        <v>2984.46</v>
      </c>
    </row>
    <row r="1277" spans="1:11" x14ac:dyDescent="0.25">
      <c r="A1277" s="8" t="s">
        <v>2470</v>
      </c>
      <c r="B1277" s="8" t="s">
        <v>134</v>
      </c>
      <c r="C1277" s="8" t="s">
        <v>2381</v>
      </c>
      <c r="D1277" s="8">
        <v>4</v>
      </c>
      <c r="E1277" s="8" t="s">
        <v>2469</v>
      </c>
      <c r="F1277" s="8" t="s">
        <v>215</v>
      </c>
      <c r="G1277" s="8" t="s">
        <v>2383</v>
      </c>
      <c r="H1277" s="10">
        <v>1</v>
      </c>
      <c r="I1277" s="10"/>
      <c r="J1277" s="10">
        <v>1</v>
      </c>
      <c r="K1277" s="10">
        <v>2984.46</v>
      </c>
    </row>
    <row r="1278" spans="1:11" x14ac:dyDescent="0.25">
      <c r="A1278" s="8" t="s">
        <v>2471</v>
      </c>
      <c r="B1278" s="8" t="s">
        <v>142</v>
      </c>
      <c r="C1278" s="8" t="s">
        <v>2381</v>
      </c>
      <c r="D1278" s="8">
        <v>4</v>
      </c>
      <c r="E1278" s="8" t="s">
        <v>2469</v>
      </c>
      <c r="F1278" s="8" t="s">
        <v>215</v>
      </c>
      <c r="G1278" s="8" t="s">
        <v>2383</v>
      </c>
      <c r="H1278" s="10">
        <v>1</v>
      </c>
      <c r="I1278" s="10"/>
      <c r="J1278" s="10">
        <v>1</v>
      </c>
      <c r="K1278" s="10">
        <v>2984.46</v>
      </c>
    </row>
    <row r="1279" spans="1:11" x14ac:dyDescent="0.25">
      <c r="A1279" s="8" t="s">
        <v>2472</v>
      </c>
      <c r="B1279" s="8" t="s">
        <v>72</v>
      </c>
      <c r="C1279" s="8" t="s">
        <v>2381</v>
      </c>
      <c r="D1279" s="8">
        <v>4</v>
      </c>
      <c r="E1279" s="8" t="s">
        <v>2473</v>
      </c>
      <c r="F1279" s="8" t="s">
        <v>215</v>
      </c>
      <c r="G1279" s="8" t="s">
        <v>2383</v>
      </c>
      <c r="H1279" s="10">
        <v>2</v>
      </c>
      <c r="I1279" s="10"/>
      <c r="J1279" s="10">
        <v>2</v>
      </c>
      <c r="K1279" s="10">
        <v>2984.46</v>
      </c>
    </row>
    <row r="1280" spans="1:11" x14ac:dyDescent="0.25">
      <c r="A1280" s="8" t="s">
        <v>2474</v>
      </c>
      <c r="B1280" s="8" t="s">
        <v>122</v>
      </c>
      <c r="C1280" s="8" t="s">
        <v>2381</v>
      </c>
      <c r="D1280" s="8">
        <v>4</v>
      </c>
      <c r="E1280" s="8" t="s">
        <v>2473</v>
      </c>
      <c r="F1280" s="8" t="s">
        <v>215</v>
      </c>
      <c r="G1280" s="8" t="s">
        <v>2383</v>
      </c>
      <c r="H1280" s="10">
        <v>2</v>
      </c>
      <c r="I1280" s="10"/>
      <c r="J1280" s="10">
        <v>2</v>
      </c>
      <c r="K1280" s="10">
        <v>2984.46</v>
      </c>
    </row>
    <row r="1281" spans="1:11" x14ac:dyDescent="0.25">
      <c r="A1281" s="8" t="s">
        <v>2475</v>
      </c>
      <c r="B1281" s="8" t="s">
        <v>124</v>
      </c>
      <c r="C1281" s="8" t="s">
        <v>2381</v>
      </c>
      <c r="D1281" s="8">
        <v>4</v>
      </c>
      <c r="E1281" s="8" t="s">
        <v>2476</v>
      </c>
      <c r="F1281" s="8" t="s">
        <v>215</v>
      </c>
      <c r="G1281" s="8" t="s">
        <v>2383</v>
      </c>
      <c r="H1281" s="10">
        <v>4</v>
      </c>
      <c r="I1281" s="10"/>
      <c r="J1281" s="10">
        <v>4</v>
      </c>
      <c r="K1281" s="10">
        <v>2984.46</v>
      </c>
    </row>
    <row r="1282" spans="1:11" x14ac:dyDescent="0.25">
      <c r="A1282" s="8" t="s">
        <v>2477</v>
      </c>
      <c r="B1282" s="8" t="s">
        <v>72</v>
      </c>
      <c r="C1282" s="8" t="s">
        <v>2381</v>
      </c>
      <c r="D1282" s="8">
        <v>4</v>
      </c>
      <c r="E1282" s="8" t="s">
        <v>2478</v>
      </c>
      <c r="F1282" s="8" t="s">
        <v>215</v>
      </c>
      <c r="G1282" s="8" t="s">
        <v>2383</v>
      </c>
      <c r="H1282" s="10">
        <v>1</v>
      </c>
      <c r="I1282" s="10"/>
      <c r="J1282" s="10">
        <v>1</v>
      </c>
      <c r="K1282" s="10">
        <v>2984.46</v>
      </c>
    </row>
    <row r="1283" spans="1:11" x14ac:dyDescent="0.25">
      <c r="A1283" s="8" t="s">
        <v>2479</v>
      </c>
      <c r="B1283" s="8" t="s">
        <v>118</v>
      </c>
      <c r="C1283" s="8" t="s">
        <v>2381</v>
      </c>
      <c r="D1283" s="8">
        <v>4</v>
      </c>
      <c r="E1283" s="8" t="s">
        <v>2478</v>
      </c>
      <c r="F1283" s="8" t="s">
        <v>215</v>
      </c>
      <c r="G1283" s="8" t="s">
        <v>2383</v>
      </c>
      <c r="H1283" s="10">
        <v>1</v>
      </c>
      <c r="I1283" s="10"/>
      <c r="J1283" s="10">
        <v>1</v>
      </c>
      <c r="K1283" s="10">
        <v>2984.46</v>
      </c>
    </row>
    <row r="1284" spans="1:11" x14ac:dyDescent="0.25">
      <c r="A1284" s="8" t="s">
        <v>2480</v>
      </c>
      <c r="B1284" s="8" t="s">
        <v>120</v>
      </c>
      <c r="C1284" s="8" t="s">
        <v>2381</v>
      </c>
      <c r="D1284" s="8">
        <v>4</v>
      </c>
      <c r="E1284" s="8" t="s">
        <v>2478</v>
      </c>
      <c r="F1284" s="8" t="s">
        <v>215</v>
      </c>
      <c r="G1284" s="8" t="s">
        <v>2383</v>
      </c>
      <c r="H1284" s="10">
        <v>4</v>
      </c>
      <c r="I1284" s="10"/>
      <c r="J1284" s="10">
        <v>4</v>
      </c>
      <c r="K1284" s="10">
        <v>2984.46</v>
      </c>
    </row>
    <row r="1285" spans="1:11" x14ac:dyDescent="0.25">
      <c r="A1285" s="8" t="s">
        <v>2481</v>
      </c>
      <c r="B1285" s="8" t="s">
        <v>120</v>
      </c>
      <c r="C1285" s="8" t="s">
        <v>2381</v>
      </c>
      <c r="D1285" s="8">
        <v>4</v>
      </c>
      <c r="E1285" s="8" t="s">
        <v>2482</v>
      </c>
      <c r="F1285" s="8" t="s">
        <v>215</v>
      </c>
      <c r="G1285" s="8" t="s">
        <v>2383</v>
      </c>
      <c r="H1285" s="10">
        <v>5</v>
      </c>
      <c r="I1285" s="10"/>
      <c r="J1285" s="10">
        <v>5</v>
      </c>
      <c r="K1285" s="10">
        <v>2984.46</v>
      </c>
    </row>
    <row r="1286" spans="1:11" x14ac:dyDescent="0.25">
      <c r="A1286" s="8" t="s">
        <v>2483</v>
      </c>
      <c r="B1286" s="8" t="s">
        <v>124</v>
      </c>
      <c r="C1286" s="8" t="s">
        <v>2381</v>
      </c>
      <c r="D1286" s="8">
        <v>4</v>
      </c>
      <c r="E1286" s="8" t="s">
        <v>2484</v>
      </c>
      <c r="F1286" s="8" t="s">
        <v>215</v>
      </c>
      <c r="G1286" s="8" t="s">
        <v>2383</v>
      </c>
      <c r="H1286" s="10">
        <v>2</v>
      </c>
      <c r="I1286" s="10"/>
      <c r="J1286" s="10">
        <v>2</v>
      </c>
      <c r="K1286" s="10">
        <v>2984.46</v>
      </c>
    </row>
    <row r="1287" spans="1:11" x14ac:dyDescent="0.25">
      <c r="A1287" s="8" t="s">
        <v>2485</v>
      </c>
      <c r="B1287" s="8" t="s">
        <v>120</v>
      </c>
      <c r="C1287" s="8" t="s">
        <v>2381</v>
      </c>
      <c r="D1287" s="8">
        <v>4</v>
      </c>
      <c r="E1287" s="8" t="s">
        <v>2486</v>
      </c>
      <c r="F1287" s="8" t="s">
        <v>215</v>
      </c>
      <c r="G1287" s="8" t="s">
        <v>2383</v>
      </c>
      <c r="H1287" s="10">
        <v>2</v>
      </c>
      <c r="I1287" s="10"/>
      <c r="J1287" s="10">
        <v>2</v>
      </c>
      <c r="K1287" s="10">
        <v>2984.46</v>
      </c>
    </row>
    <row r="1288" spans="1:11" x14ac:dyDescent="0.25">
      <c r="A1288" s="8" t="s">
        <v>2487</v>
      </c>
      <c r="B1288" s="8" t="s">
        <v>124</v>
      </c>
      <c r="C1288" s="8" t="s">
        <v>2381</v>
      </c>
      <c r="D1288" s="8">
        <v>4</v>
      </c>
      <c r="E1288" s="8" t="s">
        <v>2488</v>
      </c>
      <c r="F1288" s="8" t="s">
        <v>215</v>
      </c>
      <c r="G1288" s="8" t="s">
        <v>2383</v>
      </c>
      <c r="H1288" s="10">
        <v>2</v>
      </c>
      <c r="I1288" s="10"/>
      <c r="J1288" s="10">
        <v>2</v>
      </c>
      <c r="K1288" s="10">
        <v>2984.46</v>
      </c>
    </row>
    <row r="1289" spans="1:11" x14ac:dyDescent="0.25">
      <c r="A1289" s="8" t="s">
        <v>2489</v>
      </c>
      <c r="B1289" s="8" t="s">
        <v>120</v>
      </c>
      <c r="C1289" s="8" t="s">
        <v>2381</v>
      </c>
      <c r="D1289" s="8">
        <v>4</v>
      </c>
      <c r="E1289" s="8" t="s">
        <v>2490</v>
      </c>
      <c r="F1289" s="8" t="s">
        <v>215</v>
      </c>
      <c r="G1289" s="8" t="s">
        <v>2383</v>
      </c>
      <c r="H1289" s="10">
        <v>2</v>
      </c>
      <c r="I1289" s="10"/>
      <c r="J1289" s="10">
        <v>2</v>
      </c>
      <c r="K1289" s="10">
        <v>2984.46</v>
      </c>
    </row>
    <row r="1290" spans="1:11" x14ac:dyDescent="0.25">
      <c r="A1290" s="8" t="s">
        <v>2491</v>
      </c>
      <c r="B1290" s="8" t="s">
        <v>124</v>
      </c>
      <c r="C1290" s="8" t="s">
        <v>2381</v>
      </c>
      <c r="D1290" s="8">
        <v>4</v>
      </c>
      <c r="E1290" s="8" t="s">
        <v>2492</v>
      </c>
      <c r="F1290" s="8" t="s">
        <v>215</v>
      </c>
      <c r="G1290" s="8" t="s">
        <v>2383</v>
      </c>
      <c r="H1290" s="10">
        <v>4</v>
      </c>
      <c r="I1290" s="10"/>
      <c r="J1290" s="10">
        <v>4</v>
      </c>
      <c r="K1290" s="10">
        <v>2984.46</v>
      </c>
    </row>
    <row r="1291" spans="1:11" x14ac:dyDescent="0.25">
      <c r="A1291" s="8" t="s">
        <v>2493</v>
      </c>
      <c r="B1291" s="8" t="s">
        <v>72</v>
      </c>
      <c r="C1291" s="8" t="s">
        <v>2381</v>
      </c>
      <c r="D1291" s="8">
        <v>4</v>
      </c>
      <c r="E1291" s="8" t="s">
        <v>2494</v>
      </c>
      <c r="F1291" s="8" t="s">
        <v>215</v>
      </c>
      <c r="G1291" s="8" t="s">
        <v>2383</v>
      </c>
      <c r="H1291" s="10">
        <v>1</v>
      </c>
      <c r="I1291" s="10"/>
      <c r="J1291" s="10">
        <v>1</v>
      </c>
      <c r="K1291" s="10">
        <v>2984.46</v>
      </c>
    </row>
    <row r="1292" spans="1:11" x14ac:dyDescent="0.25">
      <c r="A1292" s="8" t="s">
        <v>2495</v>
      </c>
      <c r="B1292" s="8" t="s">
        <v>78</v>
      </c>
      <c r="C1292" s="8" t="s">
        <v>2381</v>
      </c>
      <c r="D1292" s="8">
        <v>4</v>
      </c>
      <c r="E1292" s="8" t="s">
        <v>2496</v>
      </c>
      <c r="F1292" s="8" t="s">
        <v>215</v>
      </c>
      <c r="G1292" s="8" t="s">
        <v>2383</v>
      </c>
      <c r="H1292" s="10">
        <v>2</v>
      </c>
      <c r="I1292" s="10"/>
      <c r="J1292" s="10">
        <v>2</v>
      </c>
      <c r="K1292" s="10">
        <v>2984.46</v>
      </c>
    </row>
    <row r="1293" spans="1:11" x14ac:dyDescent="0.25">
      <c r="A1293" s="8" t="s">
        <v>2497</v>
      </c>
      <c r="B1293" s="8" t="s">
        <v>78</v>
      </c>
      <c r="C1293" s="8" t="s">
        <v>2381</v>
      </c>
      <c r="D1293" s="8">
        <v>4</v>
      </c>
      <c r="E1293" s="8" t="s">
        <v>2498</v>
      </c>
      <c r="F1293" s="8" t="s">
        <v>215</v>
      </c>
      <c r="G1293" s="8" t="s">
        <v>2383</v>
      </c>
      <c r="H1293" s="10">
        <v>2</v>
      </c>
      <c r="I1293" s="10"/>
      <c r="J1293" s="10">
        <v>2</v>
      </c>
      <c r="K1293" s="10">
        <v>2984.46</v>
      </c>
    </row>
    <row r="1294" spans="1:11" x14ac:dyDescent="0.25">
      <c r="A1294" s="8" t="s">
        <v>2499</v>
      </c>
      <c r="B1294" s="8" t="s">
        <v>72</v>
      </c>
      <c r="C1294" s="8" t="s">
        <v>2381</v>
      </c>
      <c r="D1294" s="8">
        <v>4</v>
      </c>
      <c r="E1294" s="8" t="s">
        <v>2500</v>
      </c>
      <c r="F1294" s="8" t="s">
        <v>215</v>
      </c>
      <c r="G1294" s="8" t="s">
        <v>2383</v>
      </c>
      <c r="H1294" s="10">
        <v>1</v>
      </c>
      <c r="I1294" s="10"/>
      <c r="J1294" s="10">
        <v>1</v>
      </c>
      <c r="K1294" s="10">
        <v>2984.46</v>
      </c>
    </row>
    <row r="1295" spans="1:11" x14ac:dyDescent="0.25">
      <c r="A1295" s="8" t="s">
        <v>2501</v>
      </c>
      <c r="B1295" s="8" t="s">
        <v>80</v>
      </c>
      <c r="C1295" s="8" t="s">
        <v>2381</v>
      </c>
      <c r="D1295" s="8">
        <v>4</v>
      </c>
      <c r="E1295" s="8" t="s">
        <v>2502</v>
      </c>
      <c r="F1295" s="8" t="s">
        <v>215</v>
      </c>
      <c r="G1295" s="8" t="s">
        <v>2383</v>
      </c>
      <c r="H1295" s="10">
        <v>1</v>
      </c>
      <c r="I1295" s="10"/>
      <c r="J1295" s="10">
        <v>1</v>
      </c>
      <c r="K1295" s="10">
        <v>2984.46</v>
      </c>
    </row>
    <row r="1296" spans="1:11" x14ac:dyDescent="0.25">
      <c r="A1296" s="8" t="s">
        <v>2503</v>
      </c>
      <c r="B1296" s="8" t="s">
        <v>128</v>
      </c>
      <c r="C1296" s="8" t="s">
        <v>2381</v>
      </c>
      <c r="D1296" s="8">
        <v>4</v>
      </c>
      <c r="E1296" s="8" t="s">
        <v>2504</v>
      </c>
      <c r="F1296" s="8" t="s">
        <v>215</v>
      </c>
      <c r="G1296" s="8" t="s">
        <v>2383</v>
      </c>
      <c r="H1296" s="10">
        <v>1</v>
      </c>
      <c r="I1296" s="10"/>
      <c r="J1296" s="10">
        <v>1</v>
      </c>
      <c r="K1296" s="10">
        <v>2984.46</v>
      </c>
    </row>
    <row r="1297" spans="1:11" x14ac:dyDescent="0.25">
      <c r="A1297" s="8" t="s">
        <v>2505</v>
      </c>
      <c r="B1297" s="8" t="s">
        <v>128</v>
      </c>
      <c r="C1297" s="8" t="s">
        <v>2381</v>
      </c>
      <c r="D1297" s="8">
        <v>4</v>
      </c>
      <c r="E1297" s="8" t="s">
        <v>2506</v>
      </c>
      <c r="F1297" s="8" t="s">
        <v>215</v>
      </c>
      <c r="G1297" s="8" t="s">
        <v>2383</v>
      </c>
      <c r="H1297" s="10">
        <v>1</v>
      </c>
      <c r="I1297" s="10"/>
      <c r="J1297" s="10">
        <v>1</v>
      </c>
      <c r="K1297" s="10">
        <v>2984.46</v>
      </c>
    </row>
    <row r="1298" spans="1:11" x14ac:dyDescent="0.25">
      <c r="A1298" s="8" t="s">
        <v>2507</v>
      </c>
      <c r="B1298" s="8" t="s">
        <v>134</v>
      </c>
      <c r="C1298" s="8" t="s">
        <v>2381</v>
      </c>
      <c r="D1298" s="8">
        <v>4</v>
      </c>
      <c r="E1298" s="8" t="s">
        <v>2508</v>
      </c>
      <c r="F1298" s="8" t="s">
        <v>215</v>
      </c>
      <c r="G1298" s="8" t="s">
        <v>2383</v>
      </c>
      <c r="H1298" s="10">
        <v>2</v>
      </c>
      <c r="I1298" s="10"/>
      <c r="J1298" s="10">
        <v>2</v>
      </c>
      <c r="K1298" s="10">
        <v>2984.46</v>
      </c>
    </row>
    <row r="1299" spans="1:11" x14ac:dyDescent="0.25">
      <c r="A1299" s="8" t="s">
        <v>2509</v>
      </c>
      <c r="B1299" s="8" t="s">
        <v>134</v>
      </c>
      <c r="C1299" s="8" t="s">
        <v>2381</v>
      </c>
      <c r="D1299" s="8">
        <v>4</v>
      </c>
      <c r="E1299" s="8" t="s">
        <v>2510</v>
      </c>
      <c r="F1299" s="8" t="s">
        <v>215</v>
      </c>
      <c r="G1299" s="8" t="s">
        <v>2383</v>
      </c>
      <c r="H1299" s="10">
        <v>8</v>
      </c>
      <c r="I1299" s="10"/>
      <c r="J1299" s="10">
        <v>8</v>
      </c>
      <c r="K1299" s="10">
        <v>2984.46</v>
      </c>
    </row>
    <row r="1300" spans="1:11" x14ac:dyDescent="0.25">
      <c r="A1300" s="8" t="s">
        <v>2511</v>
      </c>
      <c r="B1300" s="8" t="s">
        <v>136</v>
      </c>
      <c r="C1300" s="8" t="s">
        <v>2381</v>
      </c>
      <c r="D1300" s="8">
        <v>4</v>
      </c>
      <c r="E1300" s="8" t="s">
        <v>2512</v>
      </c>
      <c r="F1300" s="8" t="s">
        <v>215</v>
      </c>
      <c r="G1300" s="8" t="s">
        <v>2383</v>
      </c>
      <c r="H1300" s="10">
        <v>2</v>
      </c>
      <c r="I1300" s="10"/>
      <c r="J1300" s="10">
        <v>2</v>
      </c>
      <c r="K1300" s="10">
        <v>2984.46</v>
      </c>
    </row>
    <row r="1301" spans="1:11" x14ac:dyDescent="0.25">
      <c r="A1301" s="8" t="s">
        <v>2513</v>
      </c>
      <c r="B1301" s="8" t="s">
        <v>120</v>
      </c>
      <c r="C1301" s="8" t="s">
        <v>2381</v>
      </c>
      <c r="D1301" s="8">
        <v>4</v>
      </c>
      <c r="E1301" s="8" t="s">
        <v>2514</v>
      </c>
      <c r="F1301" s="8" t="s">
        <v>215</v>
      </c>
      <c r="G1301" s="8" t="s">
        <v>2383</v>
      </c>
      <c r="H1301" s="10">
        <v>1</v>
      </c>
      <c r="I1301" s="10"/>
      <c r="J1301" s="10">
        <v>1</v>
      </c>
      <c r="K1301" s="10">
        <v>1989.64</v>
      </c>
    </row>
    <row r="1302" spans="1:11" x14ac:dyDescent="0.25">
      <c r="A1302" s="8" t="s">
        <v>2515</v>
      </c>
      <c r="B1302" s="8" t="s">
        <v>132</v>
      </c>
      <c r="C1302" s="8" t="s">
        <v>2381</v>
      </c>
      <c r="D1302" s="8">
        <v>4</v>
      </c>
      <c r="E1302" s="8" t="s">
        <v>2514</v>
      </c>
      <c r="F1302" s="8" t="s">
        <v>215</v>
      </c>
      <c r="G1302" s="8" t="s">
        <v>2383</v>
      </c>
      <c r="H1302" s="10">
        <v>1</v>
      </c>
      <c r="I1302" s="10"/>
      <c r="J1302" s="10">
        <v>1</v>
      </c>
      <c r="K1302" s="10">
        <v>1989.64</v>
      </c>
    </row>
    <row r="1303" spans="1:11" x14ac:dyDescent="0.25">
      <c r="A1303" s="8" t="s">
        <v>2516</v>
      </c>
      <c r="B1303" s="8" t="s">
        <v>78</v>
      </c>
      <c r="C1303" s="8" t="s">
        <v>2381</v>
      </c>
      <c r="D1303" s="8">
        <v>4</v>
      </c>
      <c r="E1303" s="8" t="s">
        <v>2517</v>
      </c>
      <c r="F1303" s="8" t="s">
        <v>215</v>
      </c>
      <c r="G1303" s="8" t="s">
        <v>2383</v>
      </c>
      <c r="H1303" s="10">
        <v>1</v>
      </c>
      <c r="I1303" s="10"/>
      <c r="J1303" s="10">
        <v>1</v>
      </c>
      <c r="K1303" s="10">
        <v>1989.64</v>
      </c>
    </row>
    <row r="1304" spans="1:11" x14ac:dyDescent="0.25">
      <c r="A1304" s="8" t="s">
        <v>2518</v>
      </c>
      <c r="B1304" s="8" t="s">
        <v>120</v>
      </c>
      <c r="C1304" s="8" t="s">
        <v>2381</v>
      </c>
      <c r="D1304" s="8">
        <v>4</v>
      </c>
      <c r="E1304" s="8" t="s">
        <v>2519</v>
      </c>
      <c r="F1304" s="8" t="s">
        <v>215</v>
      </c>
      <c r="G1304" s="8" t="s">
        <v>2383</v>
      </c>
      <c r="H1304" s="10">
        <v>1</v>
      </c>
      <c r="I1304" s="10"/>
      <c r="J1304" s="10">
        <v>1</v>
      </c>
      <c r="K1304" s="10">
        <v>1989.64</v>
      </c>
    </row>
    <row r="1305" spans="1:11" x14ac:dyDescent="0.25">
      <c r="A1305" s="8" t="s">
        <v>2520</v>
      </c>
      <c r="B1305" s="8" t="s">
        <v>122</v>
      </c>
      <c r="C1305" s="8" t="s">
        <v>2381</v>
      </c>
      <c r="D1305" s="8">
        <v>4</v>
      </c>
      <c r="E1305" s="8" t="s">
        <v>2519</v>
      </c>
      <c r="F1305" s="8" t="s">
        <v>215</v>
      </c>
      <c r="G1305" s="8" t="s">
        <v>2383</v>
      </c>
      <c r="H1305" s="10">
        <v>3</v>
      </c>
      <c r="I1305" s="10"/>
      <c r="J1305" s="10">
        <v>3</v>
      </c>
      <c r="K1305" s="10">
        <v>1989.64</v>
      </c>
    </row>
    <row r="1306" spans="1:11" x14ac:dyDescent="0.25">
      <c r="A1306" s="8" t="s">
        <v>2521</v>
      </c>
      <c r="B1306" s="8" t="s">
        <v>128</v>
      </c>
      <c r="C1306" s="8" t="s">
        <v>2381</v>
      </c>
      <c r="D1306" s="8">
        <v>4</v>
      </c>
      <c r="E1306" s="8" t="s">
        <v>2522</v>
      </c>
      <c r="F1306" s="8" t="s">
        <v>215</v>
      </c>
      <c r="G1306" s="8" t="s">
        <v>2383</v>
      </c>
      <c r="H1306" s="10">
        <v>2</v>
      </c>
      <c r="I1306" s="10"/>
      <c r="J1306" s="10">
        <v>2</v>
      </c>
      <c r="K1306" s="10">
        <v>1989.64</v>
      </c>
    </row>
    <row r="1307" spans="1:11" x14ac:dyDescent="0.25">
      <c r="A1307" s="8" t="s">
        <v>2523</v>
      </c>
      <c r="B1307" s="8" t="s">
        <v>120</v>
      </c>
      <c r="C1307" s="8" t="s">
        <v>2381</v>
      </c>
      <c r="D1307" s="8">
        <v>4</v>
      </c>
      <c r="E1307" s="8" t="s">
        <v>2524</v>
      </c>
      <c r="F1307" s="8" t="s">
        <v>215</v>
      </c>
      <c r="G1307" s="8" t="s">
        <v>2383</v>
      </c>
      <c r="H1307" s="10">
        <v>2</v>
      </c>
      <c r="I1307" s="10"/>
      <c r="J1307" s="10">
        <v>2</v>
      </c>
      <c r="K1307" s="10">
        <v>2984.46</v>
      </c>
    </row>
    <row r="1308" spans="1:11" x14ac:dyDescent="0.25">
      <c r="A1308" s="8" t="s">
        <v>2525</v>
      </c>
      <c r="B1308" s="8" t="s">
        <v>116</v>
      </c>
      <c r="C1308" s="8" t="s">
        <v>2381</v>
      </c>
      <c r="D1308" s="8">
        <v>4</v>
      </c>
      <c r="E1308" s="8" t="s">
        <v>2526</v>
      </c>
      <c r="F1308" s="8" t="s">
        <v>215</v>
      </c>
      <c r="G1308" s="8" t="s">
        <v>2383</v>
      </c>
      <c r="H1308" s="10">
        <v>3</v>
      </c>
      <c r="I1308" s="10"/>
      <c r="J1308" s="10">
        <v>3</v>
      </c>
      <c r="K1308" s="10">
        <v>4263.2</v>
      </c>
    </row>
    <row r="1309" spans="1:11" x14ac:dyDescent="0.25">
      <c r="A1309" s="8" t="s">
        <v>2527</v>
      </c>
      <c r="B1309" s="8" t="s">
        <v>118</v>
      </c>
      <c r="C1309" s="8" t="s">
        <v>2381</v>
      </c>
      <c r="D1309" s="8">
        <v>4</v>
      </c>
      <c r="E1309" s="8" t="s">
        <v>2526</v>
      </c>
      <c r="F1309" s="8" t="s">
        <v>215</v>
      </c>
      <c r="G1309" s="8" t="s">
        <v>2383</v>
      </c>
      <c r="H1309" s="10">
        <v>9</v>
      </c>
      <c r="I1309" s="10"/>
      <c r="J1309" s="10">
        <v>9</v>
      </c>
      <c r="K1309" s="10">
        <v>4263.2</v>
      </c>
    </row>
    <row r="1310" spans="1:11" x14ac:dyDescent="0.25">
      <c r="A1310" s="8" t="s">
        <v>2528</v>
      </c>
      <c r="B1310" s="8" t="s">
        <v>120</v>
      </c>
      <c r="C1310" s="8" t="s">
        <v>2381</v>
      </c>
      <c r="D1310" s="8">
        <v>4</v>
      </c>
      <c r="E1310" s="8" t="s">
        <v>2526</v>
      </c>
      <c r="F1310" s="8" t="s">
        <v>215</v>
      </c>
      <c r="G1310" s="8" t="s">
        <v>2383</v>
      </c>
      <c r="H1310" s="10">
        <v>8</v>
      </c>
      <c r="I1310" s="10"/>
      <c r="J1310" s="10">
        <v>8</v>
      </c>
      <c r="K1310" s="10">
        <v>4263.2</v>
      </c>
    </row>
    <row r="1311" spans="1:11" x14ac:dyDescent="0.25">
      <c r="A1311" s="8" t="s">
        <v>2529</v>
      </c>
      <c r="B1311" s="8" t="s">
        <v>116</v>
      </c>
      <c r="C1311" s="8" t="s">
        <v>2381</v>
      </c>
      <c r="D1311" s="8">
        <v>4</v>
      </c>
      <c r="E1311" s="8" t="s">
        <v>2530</v>
      </c>
      <c r="F1311" s="8" t="s">
        <v>215</v>
      </c>
      <c r="G1311" s="8" t="s">
        <v>2383</v>
      </c>
      <c r="H1311" s="10">
        <v>9</v>
      </c>
      <c r="I1311" s="10"/>
      <c r="J1311" s="10">
        <v>9</v>
      </c>
      <c r="K1311" s="10">
        <v>4263.2</v>
      </c>
    </row>
    <row r="1312" spans="1:11" x14ac:dyDescent="0.25">
      <c r="A1312" s="8" t="s">
        <v>2531</v>
      </c>
      <c r="B1312" s="8" t="s">
        <v>118</v>
      </c>
      <c r="C1312" s="8" t="s">
        <v>2381</v>
      </c>
      <c r="D1312" s="8">
        <v>4</v>
      </c>
      <c r="E1312" s="8" t="s">
        <v>2530</v>
      </c>
      <c r="F1312" s="8" t="s">
        <v>215</v>
      </c>
      <c r="G1312" s="8" t="s">
        <v>2383</v>
      </c>
      <c r="H1312" s="10">
        <v>15</v>
      </c>
      <c r="I1312" s="10"/>
      <c r="J1312" s="10">
        <v>15</v>
      </c>
      <c r="K1312" s="10">
        <v>4263.2</v>
      </c>
    </row>
    <row r="1313" spans="1:11" x14ac:dyDescent="0.25">
      <c r="A1313" s="8" t="s">
        <v>2532</v>
      </c>
      <c r="B1313" s="8" t="s">
        <v>120</v>
      </c>
      <c r="C1313" s="8" t="s">
        <v>2381</v>
      </c>
      <c r="D1313" s="8">
        <v>4</v>
      </c>
      <c r="E1313" s="8" t="s">
        <v>2530</v>
      </c>
      <c r="F1313" s="8" t="s">
        <v>215</v>
      </c>
      <c r="G1313" s="8" t="s">
        <v>2383</v>
      </c>
      <c r="H1313" s="10">
        <v>12</v>
      </c>
      <c r="I1313" s="10"/>
      <c r="J1313" s="10">
        <v>12</v>
      </c>
      <c r="K1313" s="10">
        <v>4263.2</v>
      </c>
    </row>
    <row r="1314" spans="1:11" x14ac:dyDescent="0.25">
      <c r="A1314" s="8" t="s">
        <v>2533</v>
      </c>
      <c r="B1314" s="8" t="s">
        <v>116</v>
      </c>
      <c r="C1314" s="8" t="s">
        <v>2381</v>
      </c>
      <c r="D1314" s="8">
        <v>4</v>
      </c>
      <c r="E1314" s="8" t="s">
        <v>2534</v>
      </c>
      <c r="F1314" s="8" t="s">
        <v>215</v>
      </c>
      <c r="G1314" s="8" t="s">
        <v>2383</v>
      </c>
      <c r="H1314" s="10">
        <v>39</v>
      </c>
      <c r="I1314" s="10"/>
      <c r="J1314" s="10">
        <v>39</v>
      </c>
      <c r="K1314" s="10">
        <v>4263.2</v>
      </c>
    </row>
    <row r="1315" spans="1:11" x14ac:dyDescent="0.25">
      <c r="A1315" s="8" t="s">
        <v>2535</v>
      </c>
      <c r="B1315" s="8" t="s">
        <v>118</v>
      </c>
      <c r="C1315" s="8" t="s">
        <v>2381</v>
      </c>
      <c r="D1315" s="8">
        <v>4</v>
      </c>
      <c r="E1315" s="8" t="s">
        <v>2534</v>
      </c>
      <c r="F1315" s="8" t="s">
        <v>215</v>
      </c>
      <c r="G1315" s="8" t="s">
        <v>2383</v>
      </c>
      <c r="H1315" s="10">
        <v>39</v>
      </c>
      <c r="I1315" s="10"/>
      <c r="J1315" s="10">
        <v>39</v>
      </c>
      <c r="K1315" s="10">
        <v>4263.2</v>
      </c>
    </row>
    <row r="1316" spans="1:11" x14ac:dyDescent="0.25">
      <c r="A1316" s="8" t="s">
        <v>2536</v>
      </c>
      <c r="B1316" s="8" t="s">
        <v>120</v>
      </c>
      <c r="C1316" s="8" t="s">
        <v>2381</v>
      </c>
      <c r="D1316" s="8">
        <v>4</v>
      </c>
      <c r="E1316" s="8" t="s">
        <v>2534</v>
      </c>
      <c r="F1316" s="8" t="s">
        <v>215</v>
      </c>
      <c r="G1316" s="8" t="s">
        <v>2383</v>
      </c>
      <c r="H1316" s="10">
        <v>58</v>
      </c>
      <c r="I1316" s="10"/>
      <c r="J1316" s="10">
        <v>58</v>
      </c>
      <c r="K1316" s="10">
        <v>4263.2</v>
      </c>
    </row>
    <row r="1317" spans="1:11" x14ac:dyDescent="0.25">
      <c r="A1317" s="8" t="s">
        <v>2537</v>
      </c>
      <c r="B1317" s="8" t="s">
        <v>116</v>
      </c>
      <c r="C1317" s="8" t="s">
        <v>2381</v>
      </c>
      <c r="D1317" s="8">
        <v>4</v>
      </c>
      <c r="E1317" s="8" t="s">
        <v>2538</v>
      </c>
      <c r="F1317" s="8" t="s">
        <v>215</v>
      </c>
      <c r="G1317" s="8" t="s">
        <v>2383</v>
      </c>
      <c r="H1317" s="10">
        <v>3</v>
      </c>
      <c r="I1317" s="10"/>
      <c r="J1317" s="10">
        <v>3</v>
      </c>
      <c r="K1317" s="10">
        <v>1326.43</v>
      </c>
    </row>
    <row r="1318" spans="1:11" x14ac:dyDescent="0.25">
      <c r="A1318" s="8" t="s">
        <v>2539</v>
      </c>
      <c r="B1318" s="8" t="s">
        <v>118</v>
      </c>
      <c r="C1318" s="8" t="s">
        <v>2381</v>
      </c>
      <c r="D1318" s="8">
        <v>4</v>
      </c>
      <c r="E1318" s="8" t="s">
        <v>2538</v>
      </c>
      <c r="F1318" s="8" t="s">
        <v>215</v>
      </c>
      <c r="G1318" s="8" t="s">
        <v>2383</v>
      </c>
      <c r="H1318" s="10">
        <v>3</v>
      </c>
      <c r="I1318" s="10"/>
      <c r="J1318" s="10">
        <v>3</v>
      </c>
      <c r="K1318" s="10">
        <v>1326.43</v>
      </c>
    </row>
    <row r="1319" spans="1:11" x14ac:dyDescent="0.25">
      <c r="A1319" s="8" t="s">
        <v>2540</v>
      </c>
      <c r="B1319" s="8" t="s">
        <v>120</v>
      </c>
      <c r="C1319" s="8" t="s">
        <v>2381</v>
      </c>
      <c r="D1319" s="8">
        <v>4</v>
      </c>
      <c r="E1319" s="8" t="s">
        <v>2538</v>
      </c>
      <c r="F1319" s="8" t="s">
        <v>215</v>
      </c>
      <c r="G1319" s="8" t="s">
        <v>2383</v>
      </c>
      <c r="H1319" s="10">
        <v>3</v>
      </c>
      <c r="I1319" s="10"/>
      <c r="J1319" s="10">
        <v>3</v>
      </c>
      <c r="K1319" s="10">
        <v>1326.43</v>
      </c>
    </row>
    <row r="1320" spans="1:11" x14ac:dyDescent="0.25">
      <c r="A1320" s="8" t="s">
        <v>2541</v>
      </c>
      <c r="B1320" s="8" t="s">
        <v>116</v>
      </c>
      <c r="C1320" s="8" t="s">
        <v>2381</v>
      </c>
      <c r="D1320" s="8">
        <v>4</v>
      </c>
      <c r="E1320" s="8" t="s">
        <v>2542</v>
      </c>
      <c r="F1320" s="8" t="s">
        <v>215</v>
      </c>
      <c r="G1320" s="8" t="s">
        <v>2383</v>
      </c>
      <c r="H1320" s="10">
        <v>3</v>
      </c>
      <c r="I1320" s="10"/>
      <c r="J1320" s="10">
        <v>3</v>
      </c>
      <c r="K1320" s="10">
        <v>2009.65</v>
      </c>
    </row>
    <row r="1321" spans="1:11" x14ac:dyDescent="0.25">
      <c r="A1321" s="8" t="s">
        <v>2543</v>
      </c>
      <c r="B1321" s="8" t="s">
        <v>118</v>
      </c>
      <c r="C1321" s="8" t="s">
        <v>2381</v>
      </c>
      <c r="D1321" s="8">
        <v>4</v>
      </c>
      <c r="E1321" s="8" t="s">
        <v>2542</v>
      </c>
      <c r="F1321" s="8" t="s">
        <v>215</v>
      </c>
      <c r="G1321" s="8" t="s">
        <v>2383</v>
      </c>
      <c r="H1321" s="10">
        <v>2</v>
      </c>
      <c r="I1321" s="10"/>
      <c r="J1321" s="10">
        <v>2</v>
      </c>
      <c r="K1321" s="10">
        <v>2009.65</v>
      </c>
    </row>
    <row r="1322" spans="1:11" x14ac:dyDescent="0.25">
      <c r="A1322" s="8" t="s">
        <v>2544</v>
      </c>
      <c r="B1322" s="8" t="s">
        <v>120</v>
      </c>
      <c r="C1322" s="8" t="s">
        <v>2381</v>
      </c>
      <c r="D1322" s="8">
        <v>4</v>
      </c>
      <c r="E1322" s="8" t="s">
        <v>2542</v>
      </c>
      <c r="F1322" s="8" t="s">
        <v>215</v>
      </c>
      <c r="G1322" s="8" t="s">
        <v>2383</v>
      </c>
      <c r="H1322" s="10">
        <v>3</v>
      </c>
      <c r="I1322" s="10"/>
      <c r="J1322" s="10">
        <v>3</v>
      </c>
      <c r="K1322" s="10">
        <v>2009.65</v>
      </c>
    </row>
    <row r="1323" spans="1:11" x14ac:dyDescent="0.25">
      <c r="A1323" s="8" t="s">
        <v>2545</v>
      </c>
      <c r="B1323" s="8" t="s">
        <v>130</v>
      </c>
      <c r="C1323" s="8" t="s">
        <v>2381</v>
      </c>
      <c r="D1323" s="8">
        <v>4</v>
      </c>
      <c r="E1323" s="8" t="s">
        <v>2542</v>
      </c>
      <c r="F1323" s="8" t="s">
        <v>215</v>
      </c>
      <c r="G1323" s="8" t="s">
        <v>2383</v>
      </c>
      <c r="H1323" s="10">
        <v>1</v>
      </c>
      <c r="I1323" s="10"/>
      <c r="J1323" s="10">
        <v>1</v>
      </c>
      <c r="K1323" s="10">
        <v>2009.65</v>
      </c>
    </row>
    <row r="1324" spans="1:11" x14ac:dyDescent="0.25">
      <c r="A1324" s="8" t="s">
        <v>2546</v>
      </c>
      <c r="B1324" s="8" t="s">
        <v>128</v>
      </c>
      <c r="C1324" s="8" t="s">
        <v>1694</v>
      </c>
      <c r="D1324" s="8">
        <v>5</v>
      </c>
      <c r="E1324" s="8" t="s">
        <v>2547</v>
      </c>
      <c r="F1324" s="8" t="s">
        <v>911</v>
      </c>
      <c r="G1324" s="8" t="s">
        <v>2548</v>
      </c>
      <c r="H1324" s="10">
        <v>4</v>
      </c>
      <c r="I1324" s="10"/>
      <c r="J1324" s="10">
        <v>4</v>
      </c>
      <c r="K1324" s="10">
        <v>2152.75</v>
      </c>
    </row>
    <row r="1325" spans="1:11" x14ac:dyDescent="0.25">
      <c r="A1325" s="8" t="s">
        <v>2549</v>
      </c>
      <c r="B1325" s="8" t="s">
        <v>132</v>
      </c>
      <c r="C1325" s="8" t="s">
        <v>1694</v>
      </c>
      <c r="D1325" s="8">
        <v>5</v>
      </c>
      <c r="E1325" s="8" t="s">
        <v>2547</v>
      </c>
      <c r="F1325" s="8" t="s">
        <v>911</v>
      </c>
      <c r="G1325" s="8" t="s">
        <v>2548</v>
      </c>
      <c r="H1325" s="10">
        <v>8</v>
      </c>
      <c r="I1325" s="10"/>
      <c r="J1325" s="10">
        <v>8</v>
      </c>
      <c r="K1325" s="10">
        <v>2152.75</v>
      </c>
    </row>
    <row r="1326" spans="1:11" x14ac:dyDescent="0.25">
      <c r="A1326" s="8" t="s">
        <v>2550</v>
      </c>
      <c r="B1326" s="8" t="s">
        <v>136</v>
      </c>
      <c r="C1326" s="8" t="s">
        <v>1694</v>
      </c>
      <c r="D1326" s="8">
        <v>5</v>
      </c>
      <c r="E1326" s="8" t="s">
        <v>2551</v>
      </c>
      <c r="F1326" s="8" t="s">
        <v>911</v>
      </c>
      <c r="G1326" s="8" t="s">
        <v>2548</v>
      </c>
      <c r="H1326" s="10">
        <v>1</v>
      </c>
      <c r="I1326" s="10"/>
      <c r="J1326" s="10">
        <v>1</v>
      </c>
      <c r="K1326" s="10">
        <v>2152.75</v>
      </c>
    </row>
    <row r="1327" spans="1:11" x14ac:dyDescent="0.25">
      <c r="A1327" s="8" t="s">
        <v>2552</v>
      </c>
      <c r="B1327" s="8" t="s">
        <v>122</v>
      </c>
      <c r="C1327" s="8" t="s">
        <v>1694</v>
      </c>
      <c r="D1327" s="8">
        <v>5</v>
      </c>
      <c r="E1327" s="8" t="s">
        <v>2553</v>
      </c>
      <c r="F1327" s="8" t="s">
        <v>911</v>
      </c>
      <c r="G1327" s="8" t="s">
        <v>2548</v>
      </c>
      <c r="H1327" s="10">
        <v>2</v>
      </c>
      <c r="I1327" s="10"/>
      <c r="J1327" s="10">
        <v>2</v>
      </c>
      <c r="K1327" s="10">
        <v>2152.75</v>
      </c>
    </row>
    <row r="1328" spans="1:11" x14ac:dyDescent="0.25">
      <c r="A1328" s="8" t="s">
        <v>2554</v>
      </c>
      <c r="B1328" s="8" t="s">
        <v>132</v>
      </c>
      <c r="C1328" s="8" t="s">
        <v>1694</v>
      </c>
      <c r="D1328" s="8">
        <v>5</v>
      </c>
      <c r="E1328" s="8" t="s">
        <v>2555</v>
      </c>
      <c r="F1328" s="8" t="s">
        <v>911</v>
      </c>
      <c r="G1328" s="8" t="s">
        <v>2548</v>
      </c>
      <c r="H1328" s="10">
        <v>4</v>
      </c>
      <c r="I1328" s="10"/>
      <c r="J1328" s="10">
        <v>4</v>
      </c>
      <c r="K1328" s="10">
        <v>2152.75</v>
      </c>
    </row>
    <row r="1329" spans="1:11" x14ac:dyDescent="0.25">
      <c r="A1329" s="8" t="s">
        <v>2556</v>
      </c>
      <c r="B1329" s="8" t="s">
        <v>128</v>
      </c>
      <c r="C1329" s="8" t="s">
        <v>1694</v>
      </c>
      <c r="D1329" s="8">
        <v>5</v>
      </c>
      <c r="E1329" s="8" t="s">
        <v>2557</v>
      </c>
      <c r="F1329" s="8" t="s">
        <v>911</v>
      </c>
      <c r="G1329" s="8" t="s">
        <v>2548</v>
      </c>
      <c r="H1329" s="10">
        <v>6</v>
      </c>
      <c r="I1329" s="10"/>
      <c r="J1329" s="10">
        <v>6</v>
      </c>
      <c r="K1329" s="10">
        <v>2152.75</v>
      </c>
    </row>
    <row r="1330" spans="1:11" x14ac:dyDescent="0.25">
      <c r="A1330" s="8" t="s">
        <v>2558</v>
      </c>
      <c r="B1330" s="8" t="s">
        <v>78</v>
      </c>
      <c r="C1330" s="8" t="s">
        <v>1694</v>
      </c>
      <c r="D1330" s="8">
        <v>5</v>
      </c>
      <c r="E1330" s="8" t="s">
        <v>2559</v>
      </c>
      <c r="F1330" s="8" t="s">
        <v>911</v>
      </c>
      <c r="G1330" s="8" t="s">
        <v>2548</v>
      </c>
      <c r="H1330" s="10">
        <v>2</v>
      </c>
      <c r="I1330" s="10"/>
      <c r="J1330" s="10">
        <v>2</v>
      </c>
      <c r="K1330" s="10">
        <v>2210.63</v>
      </c>
    </row>
    <row r="1331" spans="1:11" x14ac:dyDescent="0.25">
      <c r="A1331" s="8" t="s">
        <v>2560</v>
      </c>
      <c r="B1331" s="8" t="s">
        <v>122</v>
      </c>
      <c r="C1331" s="8" t="s">
        <v>1694</v>
      </c>
      <c r="D1331" s="8">
        <v>5</v>
      </c>
      <c r="E1331" s="8" t="s">
        <v>2561</v>
      </c>
      <c r="F1331" s="8" t="s">
        <v>911</v>
      </c>
      <c r="G1331" s="8" t="s">
        <v>2548</v>
      </c>
      <c r="H1331" s="10">
        <v>4</v>
      </c>
      <c r="I1331" s="10"/>
      <c r="J1331" s="10">
        <v>4</v>
      </c>
      <c r="K1331" s="10">
        <v>2210.63</v>
      </c>
    </row>
    <row r="1332" spans="1:11" x14ac:dyDescent="0.25">
      <c r="A1332" s="8" t="s">
        <v>2562</v>
      </c>
      <c r="B1332" s="8" t="s">
        <v>124</v>
      </c>
      <c r="C1332" s="8" t="s">
        <v>1694</v>
      </c>
      <c r="D1332" s="8">
        <v>5</v>
      </c>
      <c r="E1332" s="8" t="s">
        <v>2561</v>
      </c>
      <c r="F1332" s="8" t="s">
        <v>911</v>
      </c>
      <c r="G1332" s="8" t="s">
        <v>2548</v>
      </c>
      <c r="H1332" s="10">
        <v>10</v>
      </c>
      <c r="I1332" s="10"/>
      <c r="J1332" s="10">
        <v>10</v>
      </c>
      <c r="K1332" s="10">
        <v>2210.63</v>
      </c>
    </row>
    <row r="1333" spans="1:11" x14ac:dyDescent="0.25">
      <c r="A1333" s="8" t="s">
        <v>2563</v>
      </c>
      <c r="B1333" s="8" t="s">
        <v>132</v>
      </c>
      <c r="C1333" s="8" t="s">
        <v>1694</v>
      </c>
      <c r="D1333" s="8">
        <v>5</v>
      </c>
      <c r="E1333" s="8" t="s">
        <v>2564</v>
      </c>
      <c r="F1333" s="8" t="s">
        <v>911</v>
      </c>
      <c r="G1333" s="8" t="s">
        <v>2548</v>
      </c>
      <c r="H1333" s="10">
        <v>4</v>
      </c>
      <c r="I1333" s="10"/>
      <c r="J1333" s="10">
        <v>4</v>
      </c>
      <c r="K1333" s="10">
        <v>2210.63</v>
      </c>
    </row>
    <row r="1334" spans="1:11" x14ac:dyDescent="0.25">
      <c r="A1334" s="8" t="s">
        <v>2565</v>
      </c>
      <c r="B1334" s="8" t="s">
        <v>120</v>
      </c>
      <c r="C1334" s="8" t="s">
        <v>1694</v>
      </c>
      <c r="D1334" s="8">
        <v>5</v>
      </c>
      <c r="E1334" s="8" t="s">
        <v>2566</v>
      </c>
      <c r="F1334" s="8" t="s">
        <v>911</v>
      </c>
      <c r="G1334" s="8" t="s">
        <v>2548</v>
      </c>
      <c r="H1334" s="10">
        <v>10</v>
      </c>
      <c r="I1334" s="10"/>
      <c r="J1334" s="10">
        <v>10</v>
      </c>
      <c r="K1334" s="10">
        <v>2210.63</v>
      </c>
    </row>
    <row r="1335" spans="1:11" x14ac:dyDescent="0.25">
      <c r="A1335" s="8" t="s">
        <v>2567</v>
      </c>
      <c r="B1335" s="8" t="s">
        <v>128</v>
      </c>
      <c r="C1335" s="8" t="s">
        <v>1694</v>
      </c>
      <c r="D1335" s="8">
        <v>5</v>
      </c>
      <c r="E1335" s="8" t="s">
        <v>2566</v>
      </c>
      <c r="F1335" s="8" t="s">
        <v>911</v>
      </c>
      <c r="G1335" s="8" t="s">
        <v>2548</v>
      </c>
      <c r="H1335" s="10">
        <v>12</v>
      </c>
      <c r="I1335" s="10"/>
      <c r="J1335" s="10">
        <v>12</v>
      </c>
      <c r="K1335" s="10">
        <v>2210.63</v>
      </c>
    </row>
    <row r="1336" spans="1:11" x14ac:dyDescent="0.25">
      <c r="A1336" s="8" t="s">
        <v>2568</v>
      </c>
      <c r="B1336" s="8" t="s">
        <v>949</v>
      </c>
      <c r="C1336" s="8" t="s">
        <v>1694</v>
      </c>
      <c r="D1336" s="8">
        <v>5</v>
      </c>
      <c r="E1336" s="8" t="s">
        <v>2566</v>
      </c>
      <c r="F1336" s="8" t="s">
        <v>911</v>
      </c>
      <c r="G1336" s="8" t="s">
        <v>2548</v>
      </c>
      <c r="H1336" s="10">
        <v>1</v>
      </c>
      <c r="I1336" s="10"/>
      <c r="J1336" s="10">
        <v>1</v>
      </c>
      <c r="K1336" s="10">
        <v>2210.63</v>
      </c>
    </row>
    <row r="1337" spans="1:11" x14ac:dyDescent="0.25">
      <c r="A1337" s="8" t="s">
        <v>2569</v>
      </c>
      <c r="B1337" s="8" t="s">
        <v>120</v>
      </c>
      <c r="C1337" s="8" t="s">
        <v>1694</v>
      </c>
      <c r="D1337" s="8">
        <v>5</v>
      </c>
      <c r="E1337" s="8" t="s">
        <v>2570</v>
      </c>
      <c r="F1337" s="8" t="s">
        <v>911</v>
      </c>
      <c r="G1337" s="8" t="s">
        <v>2548</v>
      </c>
      <c r="H1337" s="10">
        <v>8</v>
      </c>
      <c r="I1337" s="10"/>
      <c r="J1337" s="10">
        <v>8</v>
      </c>
      <c r="K1337" s="10">
        <v>2385.59</v>
      </c>
    </row>
    <row r="1338" spans="1:11" x14ac:dyDescent="0.25">
      <c r="A1338" s="8" t="s">
        <v>2571</v>
      </c>
      <c r="B1338" s="8" t="s">
        <v>78</v>
      </c>
      <c r="C1338" s="8" t="s">
        <v>1694</v>
      </c>
      <c r="D1338" s="8">
        <v>5</v>
      </c>
      <c r="E1338" s="8" t="s">
        <v>2572</v>
      </c>
      <c r="F1338" s="8" t="s">
        <v>911</v>
      </c>
      <c r="G1338" s="8" t="s">
        <v>2548</v>
      </c>
      <c r="H1338" s="10">
        <v>8</v>
      </c>
      <c r="I1338" s="10"/>
      <c r="J1338" s="10">
        <v>8</v>
      </c>
      <c r="K1338" s="10">
        <v>2385.59</v>
      </c>
    </row>
    <row r="1339" spans="1:11" x14ac:dyDescent="0.25">
      <c r="A1339" s="8" t="s">
        <v>2573</v>
      </c>
      <c r="B1339" s="8" t="s">
        <v>124</v>
      </c>
      <c r="C1339" s="8" t="s">
        <v>1694</v>
      </c>
      <c r="D1339" s="8">
        <v>5</v>
      </c>
      <c r="E1339" s="8" t="s">
        <v>2574</v>
      </c>
      <c r="F1339" s="8" t="s">
        <v>911</v>
      </c>
      <c r="G1339" s="8" t="s">
        <v>2548</v>
      </c>
      <c r="H1339" s="10">
        <v>19</v>
      </c>
      <c r="I1339" s="10"/>
      <c r="J1339" s="10">
        <v>19</v>
      </c>
      <c r="K1339" s="10">
        <v>2385.59</v>
      </c>
    </row>
    <row r="1340" spans="1:11" x14ac:dyDescent="0.25">
      <c r="A1340" s="8" t="s">
        <v>2575</v>
      </c>
      <c r="B1340" s="8" t="s">
        <v>122</v>
      </c>
      <c r="C1340" s="8" t="s">
        <v>1694</v>
      </c>
      <c r="D1340" s="8">
        <v>5</v>
      </c>
      <c r="E1340" s="8" t="s">
        <v>2576</v>
      </c>
      <c r="F1340" s="8" t="s">
        <v>911</v>
      </c>
      <c r="G1340" s="8" t="s">
        <v>2548</v>
      </c>
      <c r="H1340" s="10">
        <v>4</v>
      </c>
      <c r="I1340" s="10"/>
      <c r="J1340" s="10">
        <v>4</v>
      </c>
      <c r="K1340" s="10">
        <v>2385.59</v>
      </c>
    </row>
    <row r="1341" spans="1:11" x14ac:dyDescent="0.25">
      <c r="A1341" s="8" t="s">
        <v>2577</v>
      </c>
      <c r="B1341" s="8" t="s">
        <v>128</v>
      </c>
      <c r="C1341" s="8" t="s">
        <v>1694</v>
      </c>
      <c r="D1341" s="8">
        <v>5</v>
      </c>
      <c r="E1341" s="8" t="s">
        <v>2576</v>
      </c>
      <c r="F1341" s="8" t="s">
        <v>911</v>
      </c>
      <c r="G1341" s="8" t="s">
        <v>2548</v>
      </c>
      <c r="H1341" s="10">
        <v>2</v>
      </c>
      <c r="I1341" s="10"/>
      <c r="J1341" s="10">
        <v>2</v>
      </c>
      <c r="K1341" s="10">
        <v>2385.59</v>
      </c>
    </row>
    <row r="1342" spans="1:11" x14ac:dyDescent="0.25">
      <c r="A1342" s="8" t="s">
        <v>2578</v>
      </c>
      <c r="B1342" s="8" t="s">
        <v>78</v>
      </c>
      <c r="C1342" s="8" t="s">
        <v>1694</v>
      </c>
      <c r="D1342" s="8">
        <v>5</v>
      </c>
      <c r="E1342" s="8" t="s">
        <v>2579</v>
      </c>
      <c r="F1342" s="8" t="s">
        <v>911</v>
      </c>
      <c r="G1342" s="8" t="s">
        <v>2548</v>
      </c>
      <c r="H1342" s="10">
        <v>4</v>
      </c>
      <c r="I1342" s="10"/>
      <c r="J1342" s="10">
        <v>4</v>
      </c>
      <c r="K1342" s="10">
        <v>2385.59</v>
      </c>
    </row>
    <row r="1343" spans="1:11" x14ac:dyDescent="0.25">
      <c r="A1343" s="8" t="s">
        <v>2580</v>
      </c>
      <c r="B1343" s="8" t="s">
        <v>124</v>
      </c>
      <c r="C1343" s="8" t="s">
        <v>1694</v>
      </c>
      <c r="D1343" s="8">
        <v>5</v>
      </c>
      <c r="E1343" s="8" t="s">
        <v>2581</v>
      </c>
      <c r="F1343" s="8" t="s">
        <v>911</v>
      </c>
      <c r="G1343" s="8" t="s">
        <v>2548</v>
      </c>
      <c r="H1343" s="10">
        <v>5</v>
      </c>
      <c r="I1343" s="10"/>
      <c r="J1343" s="10">
        <v>5</v>
      </c>
      <c r="K1343" s="10">
        <v>2385.59</v>
      </c>
    </row>
    <row r="1344" spans="1:11" x14ac:dyDescent="0.25">
      <c r="A1344" s="8" t="s">
        <v>2582</v>
      </c>
      <c r="B1344" s="8" t="s">
        <v>128</v>
      </c>
      <c r="C1344" s="8" t="s">
        <v>1694</v>
      </c>
      <c r="D1344" s="8">
        <v>5</v>
      </c>
      <c r="E1344" s="8" t="s">
        <v>2583</v>
      </c>
      <c r="F1344" s="8" t="s">
        <v>911</v>
      </c>
      <c r="G1344" s="8" t="s">
        <v>2548</v>
      </c>
      <c r="H1344" s="10">
        <v>2</v>
      </c>
      <c r="I1344" s="10"/>
      <c r="J1344" s="10">
        <v>2</v>
      </c>
      <c r="K1344" s="10">
        <v>2385.59</v>
      </c>
    </row>
    <row r="1345" spans="1:11" x14ac:dyDescent="0.25">
      <c r="A1345" s="8" t="s">
        <v>2584</v>
      </c>
      <c r="B1345" s="8" t="s">
        <v>120</v>
      </c>
      <c r="C1345" s="8" t="s">
        <v>1694</v>
      </c>
      <c r="D1345" s="8">
        <v>5</v>
      </c>
      <c r="E1345" s="8" t="s">
        <v>2585</v>
      </c>
      <c r="F1345" s="8" t="s">
        <v>911</v>
      </c>
      <c r="G1345" s="8" t="s">
        <v>2548</v>
      </c>
      <c r="H1345" s="10">
        <v>4</v>
      </c>
      <c r="I1345" s="10"/>
      <c r="J1345" s="10">
        <v>4</v>
      </c>
      <c r="K1345" s="10">
        <v>2442.15</v>
      </c>
    </row>
    <row r="1346" spans="1:11" x14ac:dyDescent="0.25">
      <c r="A1346" s="8" t="s">
        <v>2586</v>
      </c>
      <c r="B1346" s="8" t="s">
        <v>124</v>
      </c>
      <c r="C1346" s="8" t="s">
        <v>1694</v>
      </c>
      <c r="D1346" s="8">
        <v>5</v>
      </c>
      <c r="E1346" s="8" t="s">
        <v>2587</v>
      </c>
      <c r="F1346" s="8" t="s">
        <v>911</v>
      </c>
      <c r="G1346" s="8" t="s">
        <v>2548</v>
      </c>
      <c r="H1346" s="10">
        <v>3</v>
      </c>
      <c r="I1346" s="10"/>
      <c r="J1346" s="10">
        <v>3</v>
      </c>
      <c r="K1346" s="10">
        <v>2442.15</v>
      </c>
    </row>
    <row r="1347" spans="1:11" x14ac:dyDescent="0.25">
      <c r="A1347" s="8" t="s">
        <v>2588</v>
      </c>
      <c r="B1347" s="8" t="s">
        <v>78</v>
      </c>
      <c r="C1347" s="8" t="s">
        <v>1694</v>
      </c>
      <c r="D1347" s="8">
        <v>5</v>
      </c>
      <c r="E1347" s="8" t="s">
        <v>2587</v>
      </c>
      <c r="F1347" s="8" t="s">
        <v>911</v>
      </c>
      <c r="G1347" s="8" t="s">
        <v>2548</v>
      </c>
      <c r="H1347" s="10">
        <v>4</v>
      </c>
      <c r="I1347" s="10"/>
      <c r="J1347" s="10">
        <v>4</v>
      </c>
      <c r="K1347" s="10">
        <v>2442.15</v>
      </c>
    </row>
    <row r="1348" spans="1:11" x14ac:dyDescent="0.25">
      <c r="A1348" s="8" t="s">
        <v>2589</v>
      </c>
      <c r="B1348" s="8" t="s">
        <v>122</v>
      </c>
      <c r="C1348" s="8" t="s">
        <v>1694</v>
      </c>
      <c r="D1348" s="8">
        <v>5</v>
      </c>
      <c r="E1348" s="8" t="s">
        <v>2590</v>
      </c>
      <c r="F1348" s="8" t="s">
        <v>911</v>
      </c>
      <c r="G1348" s="8" t="s">
        <v>2548</v>
      </c>
      <c r="H1348" s="10">
        <v>4</v>
      </c>
      <c r="I1348" s="10"/>
      <c r="J1348" s="10">
        <v>4</v>
      </c>
      <c r="K1348" s="10">
        <v>2468.46</v>
      </c>
    </row>
    <row r="1349" spans="1:11" x14ac:dyDescent="0.25">
      <c r="A1349" s="8" t="s">
        <v>2591</v>
      </c>
      <c r="B1349" s="8" t="s">
        <v>124</v>
      </c>
      <c r="C1349" s="8" t="s">
        <v>1694</v>
      </c>
      <c r="D1349" s="8">
        <v>5</v>
      </c>
      <c r="E1349" s="8" t="s">
        <v>2592</v>
      </c>
      <c r="F1349" s="8" t="s">
        <v>911</v>
      </c>
      <c r="G1349" s="8" t="s">
        <v>2548</v>
      </c>
      <c r="H1349" s="10">
        <v>6</v>
      </c>
      <c r="I1349" s="10"/>
      <c r="J1349" s="10">
        <v>6</v>
      </c>
      <c r="K1349" s="10">
        <v>2494.77</v>
      </c>
    </row>
    <row r="1350" spans="1:11" x14ac:dyDescent="0.25">
      <c r="A1350" s="8" t="s">
        <v>2593</v>
      </c>
      <c r="B1350" s="8" t="s">
        <v>124</v>
      </c>
      <c r="C1350" s="8" t="s">
        <v>1694</v>
      </c>
      <c r="D1350" s="8">
        <v>5</v>
      </c>
      <c r="E1350" s="8" t="s">
        <v>2594</v>
      </c>
      <c r="F1350" s="8" t="s">
        <v>911</v>
      </c>
      <c r="G1350" s="8" t="s">
        <v>2548</v>
      </c>
      <c r="H1350" s="10">
        <v>11</v>
      </c>
      <c r="I1350" s="10"/>
      <c r="J1350" s="10">
        <v>11</v>
      </c>
      <c r="K1350" s="10">
        <v>2665.78</v>
      </c>
    </row>
    <row r="1351" spans="1:11" x14ac:dyDescent="0.25">
      <c r="A1351" s="8" t="s">
        <v>2595</v>
      </c>
      <c r="B1351" s="8" t="s">
        <v>80</v>
      </c>
      <c r="C1351" s="8" t="s">
        <v>1694</v>
      </c>
      <c r="D1351" s="8">
        <v>5</v>
      </c>
      <c r="E1351" s="8" t="s">
        <v>2596</v>
      </c>
      <c r="F1351" s="8" t="s">
        <v>911</v>
      </c>
      <c r="G1351" s="8" t="s">
        <v>2548</v>
      </c>
      <c r="H1351" s="10">
        <v>2</v>
      </c>
      <c r="I1351" s="10"/>
      <c r="J1351" s="10">
        <v>2</v>
      </c>
      <c r="K1351" s="10">
        <v>3778.98</v>
      </c>
    </row>
    <row r="1352" spans="1:11" x14ac:dyDescent="0.25">
      <c r="A1352" s="8" t="s">
        <v>2597</v>
      </c>
      <c r="B1352" s="8" t="s">
        <v>122</v>
      </c>
      <c r="C1352" s="8" t="s">
        <v>1694</v>
      </c>
      <c r="D1352" s="8">
        <v>5</v>
      </c>
      <c r="E1352" s="8" t="s">
        <v>2598</v>
      </c>
      <c r="F1352" s="8" t="s">
        <v>911</v>
      </c>
      <c r="G1352" s="8" t="s">
        <v>2548</v>
      </c>
      <c r="H1352" s="10">
        <v>4</v>
      </c>
      <c r="I1352" s="10"/>
      <c r="J1352" s="10">
        <v>4</v>
      </c>
      <c r="K1352" s="10">
        <v>3778.98</v>
      </c>
    </row>
    <row r="1353" spans="1:11" x14ac:dyDescent="0.25">
      <c r="A1353" s="8" t="s">
        <v>2599</v>
      </c>
      <c r="B1353" s="8" t="s">
        <v>124</v>
      </c>
      <c r="C1353" s="8" t="s">
        <v>1694</v>
      </c>
      <c r="D1353" s="8">
        <v>5</v>
      </c>
      <c r="E1353" s="8" t="s">
        <v>2598</v>
      </c>
      <c r="F1353" s="8" t="s">
        <v>911</v>
      </c>
      <c r="G1353" s="8" t="s">
        <v>2548</v>
      </c>
      <c r="H1353" s="10">
        <v>8</v>
      </c>
      <c r="I1353" s="10"/>
      <c r="J1353" s="10">
        <v>8</v>
      </c>
      <c r="K1353" s="10">
        <v>3778.98</v>
      </c>
    </row>
    <row r="1354" spans="1:11" x14ac:dyDescent="0.25">
      <c r="A1354" s="8" t="s">
        <v>2600</v>
      </c>
      <c r="B1354" s="8" t="s">
        <v>124</v>
      </c>
      <c r="C1354" s="8" t="s">
        <v>1694</v>
      </c>
      <c r="D1354" s="8">
        <v>5</v>
      </c>
      <c r="E1354" s="8" t="s">
        <v>2601</v>
      </c>
      <c r="F1354" s="8" t="s">
        <v>911</v>
      </c>
      <c r="G1354" s="8" t="s">
        <v>2548</v>
      </c>
      <c r="H1354" s="10">
        <v>10</v>
      </c>
      <c r="I1354" s="10"/>
      <c r="J1354" s="10">
        <v>10</v>
      </c>
      <c r="K1354" s="10">
        <v>3797.4</v>
      </c>
    </row>
    <row r="1355" spans="1:11" x14ac:dyDescent="0.25">
      <c r="A1355" s="8" t="s">
        <v>2602</v>
      </c>
      <c r="B1355" s="8" t="s">
        <v>80</v>
      </c>
      <c r="C1355" s="8" t="s">
        <v>1694</v>
      </c>
      <c r="D1355" s="8">
        <v>5</v>
      </c>
      <c r="E1355" s="8" t="s">
        <v>2603</v>
      </c>
      <c r="F1355" s="8" t="s">
        <v>911</v>
      </c>
      <c r="G1355" s="8" t="s">
        <v>2548</v>
      </c>
      <c r="H1355" s="10">
        <v>3</v>
      </c>
      <c r="I1355" s="10"/>
      <c r="J1355" s="10">
        <v>3</v>
      </c>
      <c r="K1355" s="10">
        <v>3876.33</v>
      </c>
    </row>
    <row r="1356" spans="1:11" x14ac:dyDescent="0.25">
      <c r="A1356" s="8" t="s">
        <v>2604</v>
      </c>
      <c r="B1356" s="8" t="s">
        <v>120</v>
      </c>
      <c r="C1356" s="8" t="s">
        <v>1694</v>
      </c>
      <c r="D1356" s="8">
        <v>5</v>
      </c>
      <c r="E1356" s="8" t="s">
        <v>2605</v>
      </c>
      <c r="F1356" s="8" t="s">
        <v>911</v>
      </c>
      <c r="G1356" s="8" t="s">
        <v>2548</v>
      </c>
      <c r="H1356" s="10">
        <v>4</v>
      </c>
      <c r="I1356" s="10"/>
      <c r="J1356" s="10">
        <v>4</v>
      </c>
      <c r="K1356" s="10">
        <v>3876.33</v>
      </c>
    </row>
    <row r="1357" spans="1:11" x14ac:dyDescent="0.25">
      <c r="A1357" s="8" t="s">
        <v>2606</v>
      </c>
      <c r="B1357" s="8" t="s">
        <v>78</v>
      </c>
      <c r="C1357" s="8" t="s">
        <v>1694</v>
      </c>
      <c r="D1357" s="8">
        <v>5</v>
      </c>
      <c r="E1357" s="8" t="s">
        <v>2607</v>
      </c>
      <c r="F1357" s="8" t="s">
        <v>911</v>
      </c>
      <c r="G1357" s="8" t="s">
        <v>2548</v>
      </c>
      <c r="H1357" s="10">
        <v>4</v>
      </c>
      <c r="I1357" s="10"/>
      <c r="J1357" s="10">
        <v>4</v>
      </c>
      <c r="K1357" s="10">
        <v>3876.33</v>
      </c>
    </row>
    <row r="1358" spans="1:11" x14ac:dyDescent="0.25">
      <c r="A1358" s="8" t="s">
        <v>2608</v>
      </c>
      <c r="B1358" s="8" t="s">
        <v>78</v>
      </c>
      <c r="C1358" s="8" t="s">
        <v>1694</v>
      </c>
      <c r="D1358" s="8">
        <v>5</v>
      </c>
      <c r="E1358" s="8" t="s">
        <v>2609</v>
      </c>
      <c r="F1358" s="8" t="s">
        <v>911</v>
      </c>
      <c r="G1358" s="8" t="s">
        <v>2548</v>
      </c>
      <c r="H1358" s="10">
        <v>4</v>
      </c>
      <c r="I1358" s="10"/>
      <c r="J1358" s="10">
        <v>4</v>
      </c>
      <c r="K1358" s="10">
        <v>3981.56</v>
      </c>
    </row>
    <row r="1359" spans="1:11" x14ac:dyDescent="0.25">
      <c r="A1359" s="8" t="s">
        <v>2610</v>
      </c>
      <c r="B1359" s="8" t="s">
        <v>120</v>
      </c>
      <c r="C1359" s="8" t="s">
        <v>1694</v>
      </c>
      <c r="D1359" s="8">
        <v>5</v>
      </c>
      <c r="E1359" s="8" t="s">
        <v>2611</v>
      </c>
      <c r="F1359" s="8" t="s">
        <v>911</v>
      </c>
      <c r="G1359" s="8" t="s">
        <v>2548</v>
      </c>
      <c r="H1359" s="10">
        <v>6</v>
      </c>
      <c r="I1359" s="10"/>
      <c r="J1359" s="10">
        <v>6</v>
      </c>
      <c r="K1359" s="10">
        <v>4163.09</v>
      </c>
    </row>
    <row r="1360" spans="1:11" x14ac:dyDescent="0.25">
      <c r="A1360" s="8" t="s">
        <v>2612</v>
      </c>
      <c r="B1360" s="8" t="s">
        <v>122</v>
      </c>
      <c r="C1360" s="8" t="s">
        <v>1694</v>
      </c>
      <c r="D1360" s="8">
        <v>5</v>
      </c>
      <c r="E1360" s="8" t="s">
        <v>2611</v>
      </c>
      <c r="F1360" s="8" t="s">
        <v>911</v>
      </c>
      <c r="G1360" s="8" t="s">
        <v>2548</v>
      </c>
      <c r="H1360" s="10">
        <v>2</v>
      </c>
      <c r="I1360" s="10"/>
      <c r="J1360" s="10">
        <v>2</v>
      </c>
      <c r="K1360" s="10">
        <v>4163.09</v>
      </c>
    </row>
    <row r="1361" spans="1:11" x14ac:dyDescent="0.25">
      <c r="A1361" s="8" t="s">
        <v>2613</v>
      </c>
      <c r="B1361" s="8" t="s">
        <v>134</v>
      </c>
      <c r="C1361" s="8" t="s">
        <v>1694</v>
      </c>
      <c r="D1361" s="8">
        <v>5</v>
      </c>
      <c r="E1361" s="8" t="s">
        <v>2614</v>
      </c>
      <c r="F1361" s="8" t="s">
        <v>911</v>
      </c>
      <c r="G1361" s="8" t="s">
        <v>2548</v>
      </c>
      <c r="H1361" s="10">
        <v>1</v>
      </c>
      <c r="I1361" s="10"/>
      <c r="J1361" s="10">
        <v>1</v>
      </c>
      <c r="K1361" s="10">
        <v>2210.63</v>
      </c>
    </row>
    <row r="1362" spans="1:11" x14ac:dyDescent="0.25">
      <c r="A1362" s="8" t="s">
        <v>2615</v>
      </c>
      <c r="B1362" s="8" t="s">
        <v>134</v>
      </c>
      <c r="C1362" s="8" t="s">
        <v>1694</v>
      </c>
      <c r="D1362" s="8">
        <v>5</v>
      </c>
      <c r="E1362" s="8" t="s">
        <v>2616</v>
      </c>
      <c r="F1362" s="8" t="s">
        <v>911</v>
      </c>
      <c r="G1362" s="8" t="s">
        <v>2548</v>
      </c>
      <c r="H1362" s="10">
        <v>10</v>
      </c>
      <c r="I1362" s="10"/>
      <c r="J1362" s="10">
        <v>10</v>
      </c>
      <c r="K1362" s="10">
        <v>2442.15</v>
      </c>
    </row>
    <row r="1363" spans="1:11" x14ac:dyDescent="0.25">
      <c r="A1363" s="8" t="s">
        <v>2617</v>
      </c>
      <c r="B1363" s="8" t="s">
        <v>134</v>
      </c>
      <c r="C1363" s="8" t="s">
        <v>1694</v>
      </c>
      <c r="D1363" s="8">
        <v>5</v>
      </c>
      <c r="E1363" s="8" t="s">
        <v>2618</v>
      </c>
      <c r="F1363" s="8" t="s">
        <v>911</v>
      </c>
      <c r="G1363" s="8" t="s">
        <v>2548</v>
      </c>
      <c r="H1363" s="10">
        <v>2</v>
      </c>
      <c r="I1363" s="10"/>
      <c r="J1363" s="10">
        <v>2</v>
      </c>
      <c r="K1363" s="10">
        <v>2442.15</v>
      </c>
    </row>
    <row r="1364" spans="1:11" x14ac:dyDescent="0.25">
      <c r="A1364" s="8" t="s">
        <v>2619</v>
      </c>
      <c r="B1364" s="8" t="s">
        <v>120</v>
      </c>
      <c r="C1364" s="8" t="s">
        <v>1694</v>
      </c>
      <c r="D1364" s="8">
        <v>5</v>
      </c>
      <c r="E1364" s="8" t="s">
        <v>2620</v>
      </c>
      <c r="F1364" s="8" t="s">
        <v>911</v>
      </c>
      <c r="G1364" s="8" t="s">
        <v>2548</v>
      </c>
      <c r="H1364" s="10">
        <v>2</v>
      </c>
      <c r="I1364" s="10"/>
      <c r="J1364" s="10">
        <v>2</v>
      </c>
      <c r="K1364" s="10">
        <v>2442.15</v>
      </c>
    </row>
    <row r="1365" spans="1:11" x14ac:dyDescent="0.25">
      <c r="A1365" s="8" t="s">
        <v>2621</v>
      </c>
      <c r="B1365" s="8" t="s">
        <v>122</v>
      </c>
      <c r="C1365" s="8" t="s">
        <v>1694</v>
      </c>
      <c r="D1365" s="8">
        <v>5</v>
      </c>
      <c r="E1365" s="8" t="s">
        <v>2620</v>
      </c>
      <c r="F1365" s="8" t="s">
        <v>911</v>
      </c>
      <c r="G1365" s="8" t="s">
        <v>2548</v>
      </c>
      <c r="H1365" s="10">
        <v>3</v>
      </c>
      <c r="I1365" s="10"/>
      <c r="J1365" s="10">
        <v>3</v>
      </c>
      <c r="K1365" s="10">
        <v>2442.15</v>
      </c>
    </row>
    <row r="1366" spans="1:11" x14ac:dyDescent="0.25">
      <c r="A1366" s="8" t="s">
        <v>2622</v>
      </c>
      <c r="B1366" s="8" t="s">
        <v>132</v>
      </c>
      <c r="C1366" s="8" t="s">
        <v>1694</v>
      </c>
      <c r="D1366" s="8">
        <v>5</v>
      </c>
      <c r="E1366" s="8" t="s">
        <v>2623</v>
      </c>
      <c r="F1366" s="8" t="s">
        <v>911</v>
      </c>
      <c r="G1366" s="8" t="s">
        <v>2548</v>
      </c>
      <c r="H1366" s="10">
        <v>1</v>
      </c>
      <c r="I1366" s="10"/>
      <c r="J1366" s="10">
        <v>1</v>
      </c>
      <c r="K1366" s="10">
        <v>2442.15</v>
      </c>
    </row>
    <row r="1367" spans="1:11" x14ac:dyDescent="0.25">
      <c r="A1367" s="8" t="s">
        <v>2624</v>
      </c>
      <c r="B1367" s="8" t="s">
        <v>124</v>
      </c>
      <c r="C1367" s="8" t="s">
        <v>1694</v>
      </c>
      <c r="D1367" s="8">
        <v>5</v>
      </c>
      <c r="E1367" s="8" t="s">
        <v>2625</v>
      </c>
      <c r="F1367" s="8" t="s">
        <v>911</v>
      </c>
      <c r="G1367" s="8" t="s">
        <v>2548</v>
      </c>
      <c r="H1367" s="10">
        <v>1</v>
      </c>
      <c r="I1367" s="10"/>
      <c r="J1367" s="10">
        <v>1</v>
      </c>
      <c r="K1367" s="10">
        <v>2581.59</v>
      </c>
    </row>
    <row r="1368" spans="1:11" x14ac:dyDescent="0.25">
      <c r="A1368" s="8" t="s">
        <v>2626</v>
      </c>
      <c r="B1368" s="8" t="s">
        <v>2627</v>
      </c>
      <c r="C1368" s="8" t="s">
        <v>1694</v>
      </c>
      <c r="D1368" s="8">
        <v>5</v>
      </c>
      <c r="E1368" s="8" t="s">
        <v>2625</v>
      </c>
      <c r="F1368" s="8" t="s">
        <v>911</v>
      </c>
      <c r="G1368" s="8" t="s">
        <v>2548</v>
      </c>
      <c r="H1368" s="10">
        <v>2</v>
      </c>
      <c r="I1368" s="10"/>
      <c r="J1368" s="10">
        <v>2</v>
      </c>
      <c r="K1368" s="10">
        <v>2581.59</v>
      </c>
    </row>
    <row r="1369" spans="1:11" x14ac:dyDescent="0.25">
      <c r="A1369" s="8" t="s">
        <v>2628</v>
      </c>
      <c r="B1369" s="8" t="s">
        <v>78</v>
      </c>
      <c r="C1369" s="8" t="s">
        <v>1694</v>
      </c>
      <c r="D1369" s="8">
        <v>5</v>
      </c>
      <c r="E1369" s="8" t="s">
        <v>2629</v>
      </c>
      <c r="F1369" s="8" t="s">
        <v>911</v>
      </c>
      <c r="G1369" s="8" t="s">
        <v>2548</v>
      </c>
      <c r="H1369" s="10">
        <v>2</v>
      </c>
      <c r="I1369" s="10"/>
      <c r="J1369" s="10">
        <v>2</v>
      </c>
      <c r="K1369" s="10">
        <v>3768.58</v>
      </c>
    </row>
    <row r="1370" spans="1:11" x14ac:dyDescent="0.25">
      <c r="A1370" s="8" t="s">
        <v>2630</v>
      </c>
      <c r="B1370" s="8" t="s">
        <v>128</v>
      </c>
      <c r="C1370" s="8" t="s">
        <v>1694</v>
      </c>
      <c r="D1370" s="8">
        <v>5</v>
      </c>
      <c r="E1370" s="8" t="s">
        <v>2631</v>
      </c>
      <c r="F1370" s="8" t="s">
        <v>911</v>
      </c>
      <c r="G1370" s="8" t="s">
        <v>2548</v>
      </c>
      <c r="H1370" s="10">
        <v>1</v>
      </c>
      <c r="I1370" s="10"/>
      <c r="J1370" s="10">
        <v>1</v>
      </c>
      <c r="K1370" s="10">
        <v>2144.86</v>
      </c>
    </row>
    <row r="1371" spans="1:11" x14ac:dyDescent="0.25">
      <c r="A1371" s="8" t="s">
        <v>2632</v>
      </c>
      <c r="B1371" s="8" t="s">
        <v>122</v>
      </c>
      <c r="C1371" s="8" t="s">
        <v>1694</v>
      </c>
      <c r="D1371" s="8">
        <v>5</v>
      </c>
      <c r="E1371" s="8" t="s">
        <v>2633</v>
      </c>
      <c r="F1371" s="8" t="s">
        <v>911</v>
      </c>
      <c r="G1371" s="8" t="s">
        <v>2548</v>
      </c>
      <c r="H1371" s="10">
        <v>2</v>
      </c>
      <c r="I1371" s="10"/>
      <c r="J1371" s="10">
        <v>2</v>
      </c>
      <c r="K1371" s="10">
        <v>2152.75</v>
      </c>
    </row>
    <row r="1372" spans="1:11" x14ac:dyDescent="0.25">
      <c r="A1372" s="8" t="s">
        <v>2634</v>
      </c>
      <c r="B1372" s="8" t="s">
        <v>122</v>
      </c>
      <c r="C1372" s="8" t="s">
        <v>1694</v>
      </c>
      <c r="D1372" s="8">
        <v>5</v>
      </c>
      <c r="E1372" s="8" t="s">
        <v>2635</v>
      </c>
      <c r="F1372" s="8" t="s">
        <v>911</v>
      </c>
      <c r="G1372" s="8" t="s">
        <v>2548</v>
      </c>
      <c r="H1372" s="10">
        <v>1</v>
      </c>
      <c r="I1372" s="10"/>
      <c r="J1372" s="10">
        <v>1</v>
      </c>
      <c r="K1372" s="10">
        <v>2152.75</v>
      </c>
    </row>
    <row r="1373" spans="1:11" x14ac:dyDescent="0.25">
      <c r="A1373" s="8" t="s">
        <v>2636</v>
      </c>
      <c r="B1373" s="8" t="s">
        <v>122</v>
      </c>
      <c r="C1373" s="8" t="s">
        <v>1694</v>
      </c>
      <c r="D1373" s="8">
        <v>5</v>
      </c>
      <c r="E1373" s="8" t="s">
        <v>2637</v>
      </c>
      <c r="F1373" s="8" t="s">
        <v>911</v>
      </c>
      <c r="G1373" s="8" t="s">
        <v>2548</v>
      </c>
      <c r="H1373" s="10">
        <v>2</v>
      </c>
      <c r="I1373" s="10"/>
      <c r="J1373" s="10">
        <v>2</v>
      </c>
      <c r="K1373" s="10">
        <v>2210.63</v>
      </c>
    </row>
    <row r="1374" spans="1:11" x14ac:dyDescent="0.25">
      <c r="A1374" s="8" t="s">
        <v>2638</v>
      </c>
      <c r="B1374" s="8" t="s">
        <v>124</v>
      </c>
      <c r="C1374" s="8" t="s">
        <v>1694</v>
      </c>
      <c r="D1374" s="8">
        <v>5</v>
      </c>
      <c r="E1374" s="8" t="s">
        <v>2637</v>
      </c>
      <c r="F1374" s="8" t="s">
        <v>911</v>
      </c>
      <c r="G1374" s="8" t="s">
        <v>2548</v>
      </c>
      <c r="H1374" s="10">
        <v>2</v>
      </c>
      <c r="I1374" s="10"/>
      <c r="J1374" s="10">
        <v>2</v>
      </c>
      <c r="K1374" s="10">
        <v>2210.63</v>
      </c>
    </row>
    <row r="1375" spans="1:11" x14ac:dyDescent="0.25">
      <c r="A1375" s="8" t="s">
        <v>2639</v>
      </c>
      <c r="B1375" s="8" t="s">
        <v>124</v>
      </c>
      <c r="C1375" s="8" t="s">
        <v>1694</v>
      </c>
      <c r="D1375" s="8">
        <v>5</v>
      </c>
      <c r="E1375" s="8" t="s">
        <v>2640</v>
      </c>
      <c r="F1375" s="8" t="s">
        <v>911</v>
      </c>
      <c r="G1375" s="8" t="s">
        <v>2548</v>
      </c>
      <c r="H1375" s="10">
        <v>5</v>
      </c>
      <c r="I1375" s="10"/>
      <c r="J1375" s="10">
        <v>5</v>
      </c>
      <c r="K1375" s="10">
        <v>2385.59</v>
      </c>
    </row>
    <row r="1376" spans="1:11" x14ac:dyDescent="0.25">
      <c r="A1376" s="8" t="s">
        <v>2641</v>
      </c>
      <c r="B1376" s="8" t="s">
        <v>120</v>
      </c>
      <c r="C1376" s="8" t="s">
        <v>1694</v>
      </c>
      <c r="D1376" s="8">
        <v>5</v>
      </c>
      <c r="E1376" s="8" t="s">
        <v>2642</v>
      </c>
      <c r="F1376" s="8" t="s">
        <v>911</v>
      </c>
      <c r="G1376" s="8" t="s">
        <v>2548</v>
      </c>
      <c r="H1376" s="10">
        <v>8</v>
      </c>
      <c r="I1376" s="10"/>
      <c r="J1376" s="10">
        <v>8</v>
      </c>
      <c r="K1376" s="10">
        <v>2385.59</v>
      </c>
    </row>
    <row r="1377" spans="1:11" x14ac:dyDescent="0.25">
      <c r="A1377" s="8" t="s">
        <v>2643</v>
      </c>
      <c r="B1377" s="8" t="s">
        <v>124</v>
      </c>
      <c r="C1377" s="8" t="s">
        <v>1694</v>
      </c>
      <c r="D1377" s="8">
        <v>5</v>
      </c>
      <c r="E1377" s="8" t="s">
        <v>2642</v>
      </c>
      <c r="F1377" s="8" t="s">
        <v>911</v>
      </c>
      <c r="G1377" s="8" t="s">
        <v>2548</v>
      </c>
      <c r="H1377" s="10">
        <v>1</v>
      </c>
      <c r="I1377" s="10"/>
      <c r="J1377" s="10">
        <v>1</v>
      </c>
      <c r="K1377" s="10">
        <v>2385.59</v>
      </c>
    </row>
    <row r="1378" spans="1:11" x14ac:dyDescent="0.25">
      <c r="A1378" s="8" t="s">
        <v>2644</v>
      </c>
      <c r="B1378" s="8" t="s">
        <v>78</v>
      </c>
      <c r="C1378" s="8" t="s">
        <v>1694</v>
      </c>
      <c r="D1378" s="8">
        <v>5</v>
      </c>
      <c r="E1378" s="8" t="s">
        <v>2642</v>
      </c>
      <c r="F1378" s="8" t="s">
        <v>911</v>
      </c>
      <c r="G1378" s="8" t="s">
        <v>2548</v>
      </c>
      <c r="H1378" s="10">
        <v>2</v>
      </c>
      <c r="I1378" s="10"/>
      <c r="J1378" s="10">
        <v>2</v>
      </c>
      <c r="K1378" s="10">
        <v>2385.59</v>
      </c>
    </row>
    <row r="1379" spans="1:11" x14ac:dyDescent="0.25">
      <c r="A1379" s="8" t="s">
        <v>2645</v>
      </c>
      <c r="B1379" s="8" t="s">
        <v>120</v>
      </c>
      <c r="C1379" s="8" t="s">
        <v>1694</v>
      </c>
      <c r="D1379" s="8">
        <v>5</v>
      </c>
      <c r="E1379" s="8" t="s">
        <v>2646</v>
      </c>
      <c r="F1379" s="8" t="s">
        <v>911</v>
      </c>
      <c r="G1379" s="8" t="s">
        <v>2548</v>
      </c>
      <c r="H1379" s="10">
        <v>2</v>
      </c>
      <c r="I1379" s="10"/>
      <c r="J1379" s="10">
        <v>2</v>
      </c>
      <c r="K1379" s="10">
        <v>2442.15</v>
      </c>
    </row>
    <row r="1380" spans="1:11" x14ac:dyDescent="0.25">
      <c r="A1380" s="8" t="s">
        <v>2647</v>
      </c>
      <c r="B1380" s="8" t="s">
        <v>78</v>
      </c>
      <c r="C1380" s="8" t="s">
        <v>1694</v>
      </c>
      <c r="D1380" s="8">
        <v>5</v>
      </c>
      <c r="E1380" s="8" t="s">
        <v>2646</v>
      </c>
      <c r="F1380" s="8" t="s">
        <v>911</v>
      </c>
      <c r="G1380" s="8" t="s">
        <v>2548</v>
      </c>
      <c r="H1380" s="10">
        <v>2</v>
      </c>
      <c r="I1380" s="10"/>
      <c r="J1380" s="10">
        <v>2</v>
      </c>
      <c r="K1380" s="10">
        <v>2442.15</v>
      </c>
    </row>
    <row r="1381" spans="1:11" x14ac:dyDescent="0.25">
      <c r="A1381" s="8" t="s">
        <v>2648</v>
      </c>
      <c r="B1381" s="8" t="s">
        <v>132</v>
      </c>
      <c r="C1381" s="8" t="s">
        <v>1694</v>
      </c>
      <c r="D1381" s="8">
        <v>5</v>
      </c>
      <c r="E1381" s="8" t="s">
        <v>2649</v>
      </c>
      <c r="F1381" s="8" t="s">
        <v>911</v>
      </c>
      <c r="G1381" s="8" t="s">
        <v>2548</v>
      </c>
      <c r="H1381" s="10">
        <v>1</v>
      </c>
      <c r="I1381" s="10"/>
      <c r="J1381" s="10">
        <v>1</v>
      </c>
      <c r="K1381" s="10">
        <v>2144.86</v>
      </c>
    </row>
    <row r="1382" spans="1:11" x14ac:dyDescent="0.25">
      <c r="A1382" s="8" t="s">
        <v>2650</v>
      </c>
      <c r="B1382" s="8" t="s">
        <v>80</v>
      </c>
      <c r="C1382" s="8" t="s">
        <v>1694</v>
      </c>
      <c r="D1382" s="8">
        <v>5</v>
      </c>
      <c r="E1382" s="8" t="s">
        <v>2649</v>
      </c>
      <c r="F1382" s="8" t="s">
        <v>911</v>
      </c>
      <c r="G1382" s="8" t="s">
        <v>2548</v>
      </c>
      <c r="H1382" s="10">
        <v>1</v>
      </c>
      <c r="I1382" s="10"/>
      <c r="J1382" s="10">
        <v>1</v>
      </c>
      <c r="K1382" s="10">
        <v>2144.86</v>
      </c>
    </row>
    <row r="1383" spans="1:11" x14ac:dyDescent="0.25">
      <c r="A1383" s="8" t="s">
        <v>2651</v>
      </c>
      <c r="B1383" s="8" t="s">
        <v>128</v>
      </c>
      <c r="C1383" s="8" t="s">
        <v>1694</v>
      </c>
      <c r="D1383" s="8">
        <v>5</v>
      </c>
      <c r="E1383" s="8" t="s">
        <v>2652</v>
      </c>
      <c r="F1383" s="8" t="s">
        <v>911</v>
      </c>
      <c r="G1383" s="8" t="s">
        <v>2548</v>
      </c>
      <c r="H1383" s="10">
        <v>1</v>
      </c>
      <c r="I1383" s="10"/>
      <c r="J1383" s="10">
        <v>1</v>
      </c>
      <c r="K1383" s="10">
        <v>2152.75</v>
      </c>
    </row>
    <row r="1384" spans="1:11" x14ac:dyDescent="0.25">
      <c r="A1384" s="8" t="s">
        <v>2653</v>
      </c>
      <c r="B1384" s="8" t="s">
        <v>949</v>
      </c>
      <c r="C1384" s="8" t="s">
        <v>1694</v>
      </c>
      <c r="D1384" s="8">
        <v>5</v>
      </c>
      <c r="E1384" s="8" t="s">
        <v>2652</v>
      </c>
      <c r="F1384" s="8" t="s">
        <v>911</v>
      </c>
      <c r="G1384" s="8" t="s">
        <v>2548</v>
      </c>
      <c r="H1384" s="10">
        <v>1</v>
      </c>
      <c r="I1384" s="10"/>
      <c r="J1384" s="10">
        <v>1</v>
      </c>
      <c r="K1384" s="10">
        <v>2152.75</v>
      </c>
    </row>
    <row r="1385" spans="1:11" x14ac:dyDescent="0.25">
      <c r="A1385" s="8" t="s">
        <v>2654</v>
      </c>
      <c r="B1385" s="8" t="s">
        <v>132</v>
      </c>
      <c r="C1385" s="8" t="s">
        <v>1694</v>
      </c>
      <c r="D1385" s="8">
        <v>5</v>
      </c>
      <c r="E1385" s="8" t="s">
        <v>2652</v>
      </c>
      <c r="F1385" s="8" t="s">
        <v>911</v>
      </c>
      <c r="G1385" s="8" t="s">
        <v>2548</v>
      </c>
      <c r="H1385" s="10">
        <v>1</v>
      </c>
      <c r="I1385" s="10"/>
      <c r="J1385" s="10">
        <v>1</v>
      </c>
      <c r="K1385" s="10">
        <v>2152.75</v>
      </c>
    </row>
    <row r="1386" spans="1:11" x14ac:dyDescent="0.25">
      <c r="A1386" s="8" t="s">
        <v>2655</v>
      </c>
      <c r="B1386" s="8" t="s">
        <v>134</v>
      </c>
      <c r="C1386" s="8" t="s">
        <v>1694</v>
      </c>
      <c r="D1386" s="8">
        <v>5</v>
      </c>
      <c r="E1386" s="8" t="s">
        <v>2652</v>
      </c>
      <c r="F1386" s="8" t="s">
        <v>911</v>
      </c>
      <c r="G1386" s="8" t="s">
        <v>2548</v>
      </c>
      <c r="H1386" s="10">
        <v>1</v>
      </c>
      <c r="I1386" s="10"/>
      <c r="J1386" s="10">
        <v>1</v>
      </c>
      <c r="K1386" s="10">
        <v>2152.75</v>
      </c>
    </row>
    <row r="1387" spans="1:11" x14ac:dyDescent="0.25">
      <c r="A1387" s="8" t="s">
        <v>2656</v>
      </c>
      <c r="B1387" s="8" t="s">
        <v>80</v>
      </c>
      <c r="C1387" s="8" t="s">
        <v>1694</v>
      </c>
      <c r="D1387" s="8">
        <v>5</v>
      </c>
      <c r="E1387" s="8" t="s">
        <v>2652</v>
      </c>
      <c r="F1387" s="8" t="s">
        <v>911</v>
      </c>
      <c r="G1387" s="8" t="s">
        <v>2548</v>
      </c>
      <c r="H1387" s="10">
        <v>1</v>
      </c>
      <c r="I1387" s="10"/>
      <c r="J1387" s="10">
        <v>1</v>
      </c>
      <c r="K1387" s="10">
        <v>2152.75</v>
      </c>
    </row>
    <row r="1388" spans="1:11" x14ac:dyDescent="0.25">
      <c r="A1388" s="8" t="s">
        <v>2657</v>
      </c>
      <c r="B1388" s="8" t="s">
        <v>118</v>
      </c>
      <c r="C1388" s="8" t="s">
        <v>1694</v>
      </c>
      <c r="D1388" s="8">
        <v>5</v>
      </c>
      <c r="E1388" s="8" t="s">
        <v>2658</v>
      </c>
      <c r="F1388" s="8" t="s">
        <v>911</v>
      </c>
      <c r="G1388" s="8" t="s">
        <v>2548</v>
      </c>
      <c r="H1388" s="10">
        <v>1</v>
      </c>
      <c r="I1388" s="10"/>
      <c r="J1388" s="10">
        <v>1</v>
      </c>
      <c r="K1388" s="10">
        <v>2152.75</v>
      </c>
    </row>
    <row r="1389" spans="1:11" x14ac:dyDescent="0.25">
      <c r="A1389" s="8" t="s">
        <v>2659</v>
      </c>
      <c r="B1389" s="8" t="s">
        <v>122</v>
      </c>
      <c r="C1389" s="8" t="s">
        <v>1694</v>
      </c>
      <c r="D1389" s="8">
        <v>5</v>
      </c>
      <c r="E1389" s="8" t="s">
        <v>2658</v>
      </c>
      <c r="F1389" s="8" t="s">
        <v>911</v>
      </c>
      <c r="G1389" s="8" t="s">
        <v>2548</v>
      </c>
      <c r="H1389" s="10">
        <v>1</v>
      </c>
      <c r="I1389" s="10"/>
      <c r="J1389" s="10">
        <v>1</v>
      </c>
      <c r="K1389" s="10">
        <v>2152.75</v>
      </c>
    </row>
    <row r="1390" spans="1:11" x14ac:dyDescent="0.25">
      <c r="A1390" s="8" t="s">
        <v>2660</v>
      </c>
      <c r="B1390" s="8" t="s">
        <v>124</v>
      </c>
      <c r="C1390" s="8" t="s">
        <v>1694</v>
      </c>
      <c r="D1390" s="8">
        <v>5</v>
      </c>
      <c r="E1390" s="8" t="s">
        <v>2658</v>
      </c>
      <c r="F1390" s="8" t="s">
        <v>911</v>
      </c>
      <c r="G1390" s="8" t="s">
        <v>2548</v>
      </c>
      <c r="H1390" s="10">
        <v>1</v>
      </c>
      <c r="I1390" s="10"/>
      <c r="J1390" s="10">
        <v>1</v>
      </c>
      <c r="K1390" s="10">
        <v>2152.75</v>
      </c>
    </row>
    <row r="1391" spans="1:11" x14ac:dyDescent="0.25">
      <c r="A1391" s="8" t="s">
        <v>2661</v>
      </c>
      <c r="B1391" s="8" t="s">
        <v>78</v>
      </c>
      <c r="C1391" s="8" t="s">
        <v>1694</v>
      </c>
      <c r="D1391" s="8">
        <v>5</v>
      </c>
      <c r="E1391" s="8" t="s">
        <v>2658</v>
      </c>
      <c r="F1391" s="8" t="s">
        <v>911</v>
      </c>
      <c r="G1391" s="8" t="s">
        <v>2548</v>
      </c>
      <c r="H1391" s="10">
        <v>1</v>
      </c>
      <c r="I1391" s="10"/>
      <c r="J1391" s="10">
        <v>1</v>
      </c>
      <c r="K1391" s="10">
        <v>2152.75</v>
      </c>
    </row>
    <row r="1392" spans="1:11" x14ac:dyDescent="0.25">
      <c r="A1392" s="8" t="s">
        <v>2662</v>
      </c>
      <c r="B1392" s="8" t="s">
        <v>134</v>
      </c>
      <c r="C1392" s="8" t="s">
        <v>1694</v>
      </c>
      <c r="D1392" s="8">
        <v>5</v>
      </c>
      <c r="E1392" s="8" t="s">
        <v>2658</v>
      </c>
      <c r="F1392" s="8" t="s">
        <v>911</v>
      </c>
      <c r="G1392" s="8" t="s">
        <v>2548</v>
      </c>
      <c r="H1392" s="10">
        <v>2</v>
      </c>
      <c r="I1392" s="10"/>
      <c r="J1392" s="10">
        <v>2</v>
      </c>
      <c r="K1392" s="10">
        <v>2152.75</v>
      </c>
    </row>
    <row r="1393" spans="1:11" x14ac:dyDescent="0.25">
      <c r="A1393" s="8" t="s">
        <v>2663</v>
      </c>
      <c r="B1393" s="8" t="s">
        <v>72</v>
      </c>
      <c r="C1393" s="8" t="s">
        <v>1694</v>
      </c>
      <c r="D1393" s="8">
        <v>5</v>
      </c>
      <c r="E1393" s="8" t="s">
        <v>2664</v>
      </c>
      <c r="F1393" s="8" t="s">
        <v>911</v>
      </c>
      <c r="G1393" s="8" t="s">
        <v>2548</v>
      </c>
      <c r="H1393" s="10">
        <v>1</v>
      </c>
      <c r="I1393" s="10"/>
      <c r="J1393" s="10">
        <v>1</v>
      </c>
      <c r="K1393" s="10">
        <v>2210.63</v>
      </c>
    </row>
    <row r="1394" spans="1:11" x14ac:dyDescent="0.25">
      <c r="A1394" s="8" t="s">
        <v>2665</v>
      </c>
      <c r="B1394" s="8" t="s">
        <v>120</v>
      </c>
      <c r="C1394" s="8" t="s">
        <v>1694</v>
      </c>
      <c r="D1394" s="8">
        <v>5</v>
      </c>
      <c r="E1394" s="8" t="s">
        <v>2664</v>
      </c>
      <c r="F1394" s="8" t="s">
        <v>911</v>
      </c>
      <c r="G1394" s="8" t="s">
        <v>2548</v>
      </c>
      <c r="H1394" s="10">
        <v>2</v>
      </c>
      <c r="I1394" s="10"/>
      <c r="J1394" s="10">
        <v>2</v>
      </c>
      <c r="K1394" s="10">
        <v>2210.63</v>
      </c>
    </row>
    <row r="1395" spans="1:11" x14ac:dyDescent="0.25">
      <c r="A1395" s="8" t="s">
        <v>2666</v>
      </c>
      <c r="B1395" s="8" t="s">
        <v>2627</v>
      </c>
      <c r="C1395" s="8" t="s">
        <v>1694</v>
      </c>
      <c r="D1395" s="8">
        <v>5</v>
      </c>
      <c r="E1395" s="8" t="s">
        <v>2664</v>
      </c>
      <c r="F1395" s="8" t="s">
        <v>911</v>
      </c>
      <c r="G1395" s="8" t="s">
        <v>2548</v>
      </c>
      <c r="H1395" s="10">
        <v>1</v>
      </c>
      <c r="I1395" s="10"/>
      <c r="J1395" s="10">
        <v>1</v>
      </c>
      <c r="K1395" s="10">
        <v>2210.63</v>
      </c>
    </row>
    <row r="1396" spans="1:11" x14ac:dyDescent="0.25">
      <c r="A1396" s="8" t="s">
        <v>2667</v>
      </c>
      <c r="B1396" s="8" t="s">
        <v>118</v>
      </c>
      <c r="C1396" s="8" t="s">
        <v>1694</v>
      </c>
      <c r="D1396" s="8">
        <v>5</v>
      </c>
      <c r="E1396" s="8" t="s">
        <v>2668</v>
      </c>
      <c r="F1396" s="8" t="s">
        <v>911</v>
      </c>
      <c r="G1396" s="8" t="s">
        <v>2548</v>
      </c>
      <c r="H1396" s="10">
        <v>2</v>
      </c>
      <c r="I1396" s="10"/>
      <c r="J1396" s="10">
        <v>2</v>
      </c>
      <c r="K1396" s="10">
        <v>2144.86</v>
      </c>
    </row>
    <row r="1397" spans="1:11" x14ac:dyDescent="0.25">
      <c r="A1397" s="8" t="s">
        <v>2669</v>
      </c>
      <c r="B1397" s="8" t="s">
        <v>128</v>
      </c>
      <c r="C1397" s="8" t="s">
        <v>1694</v>
      </c>
      <c r="D1397" s="8">
        <v>5</v>
      </c>
      <c r="E1397" s="8" t="s">
        <v>2668</v>
      </c>
      <c r="F1397" s="8" t="s">
        <v>911</v>
      </c>
      <c r="G1397" s="8" t="s">
        <v>2548</v>
      </c>
      <c r="H1397" s="10">
        <v>2</v>
      </c>
      <c r="I1397" s="10"/>
      <c r="J1397" s="10">
        <v>2</v>
      </c>
      <c r="K1397" s="10">
        <v>2144.86</v>
      </c>
    </row>
    <row r="1398" spans="1:11" x14ac:dyDescent="0.25">
      <c r="A1398" s="8" t="s">
        <v>2670</v>
      </c>
      <c r="B1398" s="8" t="s">
        <v>132</v>
      </c>
      <c r="C1398" s="8" t="s">
        <v>1694</v>
      </c>
      <c r="D1398" s="8">
        <v>5</v>
      </c>
      <c r="E1398" s="8" t="s">
        <v>2668</v>
      </c>
      <c r="F1398" s="8" t="s">
        <v>911</v>
      </c>
      <c r="G1398" s="8" t="s">
        <v>2548</v>
      </c>
      <c r="H1398" s="10">
        <v>1</v>
      </c>
      <c r="I1398" s="10"/>
      <c r="J1398" s="10">
        <v>1</v>
      </c>
      <c r="K1398" s="10">
        <v>2144.86</v>
      </c>
    </row>
    <row r="1399" spans="1:11" x14ac:dyDescent="0.25">
      <c r="A1399" s="8" t="s">
        <v>2671</v>
      </c>
      <c r="B1399" s="8" t="s">
        <v>122</v>
      </c>
      <c r="C1399" s="8" t="s">
        <v>1694</v>
      </c>
      <c r="D1399" s="8">
        <v>5</v>
      </c>
      <c r="E1399" s="8" t="s">
        <v>2672</v>
      </c>
      <c r="F1399" s="8" t="s">
        <v>911</v>
      </c>
      <c r="G1399" s="8" t="s">
        <v>2548</v>
      </c>
      <c r="H1399" s="10">
        <v>4</v>
      </c>
      <c r="I1399" s="10"/>
      <c r="J1399" s="10">
        <v>4</v>
      </c>
      <c r="K1399" s="10">
        <v>2144.86</v>
      </c>
    </row>
    <row r="1400" spans="1:11" x14ac:dyDescent="0.25">
      <c r="A1400" s="8" t="s">
        <v>2673</v>
      </c>
      <c r="B1400" s="8" t="s">
        <v>124</v>
      </c>
      <c r="C1400" s="8" t="s">
        <v>1694</v>
      </c>
      <c r="D1400" s="8">
        <v>5</v>
      </c>
      <c r="E1400" s="8" t="s">
        <v>2672</v>
      </c>
      <c r="F1400" s="8" t="s">
        <v>911</v>
      </c>
      <c r="G1400" s="8" t="s">
        <v>2548</v>
      </c>
      <c r="H1400" s="10">
        <v>10</v>
      </c>
      <c r="I1400" s="10"/>
      <c r="J1400" s="10">
        <v>10</v>
      </c>
      <c r="K1400" s="10">
        <v>2144.86</v>
      </c>
    </row>
    <row r="1401" spans="1:11" x14ac:dyDescent="0.25">
      <c r="A1401" s="8" t="s">
        <v>2674</v>
      </c>
      <c r="B1401" s="8" t="s">
        <v>128</v>
      </c>
      <c r="C1401" s="8" t="s">
        <v>1694</v>
      </c>
      <c r="D1401" s="8">
        <v>5</v>
      </c>
      <c r="E1401" s="8" t="s">
        <v>2672</v>
      </c>
      <c r="F1401" s="8" t="s">
        <v>911</v>
      </c>
      <c r="G1401" s="8" t="s">
        <v>2548</v>
      </c>
      <c r="H1401" s="10">
        <v>4</v>
      </c>
      <c r="I1401" s="10"/>
      <c r="J1401" s="10">
        <v>4</v>
      </c>
      <c r="K1401" s="10">
        <v>2144.86</v>
      </c>
    </row>
    <row r="1402" spans="1:11" x14ac:dyDescent="0.25">
      <c r="A1402" s="8" t="s">
        <v>2675</v>
      </c>
      <c r="B1402" s="8" t="s">
        <v>132</v>
      </c>
      <c r="C1402" s="8" t="s">
        <v>1694</v>
      </c>
      <c r="D1402" s="8">
        <v>5</v>
      </c>
      <c r="E1402" s="8" t="s">
        <v>2672</v>
      </c>
      <c r="F1402" s="8" t="s">
        <v>911</v>
      </c>
      <c r="G1402" s="8" t="s">
        <v>2548</v>
      </c>
      <c r="H1402" s="10">
        <v>3</v>
      </c>
      <c r="I1402" s="10"/>
      <c r="J1402" s="10">
        <v>3</v>
      </c>
      <c r="K1402" s="10">
        <v>2144.86</v>
      </c>
    </row>
    <row r="1403" spans="1:11" x14ac:dyDescent="0.25">
      <c r="A1403" s="8" t="s">
        <v>2676</v>
      </c>
      <c r="B1403" s="8" t="s">
        <v>120</v>
      </c>
      <c r="C1403" s="8" t="s">
        <v>1694</v>
      </c>
      <c r="D1403" s="8">
        <v>5</v>
      </c>
      <c r="E1403" s="8" t="s">
        <v>2677</v>
      </c>
      <c r="F1403" s="8" t="s">
        <v>911</v>
      </c>
      <c r="G1403" s="8" t="s">
        <v>2548</v>
      </c>
      <c r="H1403" s="10">
        <v>6</v>
      </c>
      <c r="I1403" s="10"/>
      <c r="J1403" s="10">
        <v>6</v>
      </c>
      <c r="K1403" s="10">
        <v>2152.75</v>
      </c>
    </row>
    <row r="1404" spans="1:11" x14ac:dyDescent="0.25">
      <c r="A1404" s="8" t="s">
        <v>2678</v>
      </c>
      <c r="B1404" s="8" t="s">
        <v>122</v>
      </c>
      <c r="C1404" s="8" t="s">
        <v>1694</v>
      </c>
      <c r="D1404" s="8">
        <v>5</v>
      </c>
      <c r="E1404" s="8" t="s">
        <v>2677</v>
      </c>
      <c r="F1404" s="8" t="s">
        <v>911</v>
      </c>
      <c r="G1404" s="8" t="s">
        <v>2548</v>
      </c>
      <c r="H1404" s="10">
        <v>3</v>
      </c>
      <c r="I1404" s="10"/>
      <c r="J1404" s="10">
        <v>3</v>
      </c>
      <c r="K1404" s="10">
        <v>2152.75</v>
      </c>
    </row>
    <row r="1405" spans="1:11" x14ac:dyDescent="0.25">
      <c r="A1405" s="8" t="s">
        <v>2679</v>
      </c>
      <c r="B1405" s="8" t="s">
        <v>124</v>
      </c>
      <c r="C1405" s="8" t="s">
        <v>1694</v>
      </c>
      <c r="D1405" s="8">
        <v>5</v>
      </c>
      <c r="E1405" s="8" t="s">
        <v>2677</v>
      </c>
      <c r="F1405" s="8" t="s">
        <v>911</v>
      </c>
      <c r="G1405" s="8" t="s">
        <v>2548</v>
      </c>
      <c r="H1405" s="10">
        <v>11</v>
      </c>
      <c r="I1405" s="10"/>
      <c r="J1405" s="10">
        <v>11</v>
      </c>
      <c r="K1405" s="10">
        <v>2152.75</v>
      </c>
    </row>
    <row r="1406" spans="1:11" x14ac:dyDescent="0.25">
      <c r="A1406" s="8" t="s">
        <v>2680</v>
      </c>
      <c r="B1406" s="8" t="s">
        <v>78</v>
      </c>
      <c r="C1406" s="8" t="s">
        <v>1694</v>
      </c>
      <c r="D1406" s="8">
        <v>5</v>
      </c>
      <c r="E1406" s="8" t="s">
        <v>2677</v>
      </c>
      <c r="F1406" s="8" t="s">
        <v>911</v>
      </c>
      <c r="G1406" s="8" t="s">
        <v>2548</v>
      </c>
      <c r="H1406" s="10">
        <v>9</v>
      </c>
      <c r="I1406" s="10"/>
      <c r="J1406" s="10">
        <v>9</v>
      </c>
      <c r="K1406" s="10">
        <v>2152.75</v>
      </c>
    </row>
    <row r="1407" spans="1:11" x14ac:dyDescent="0.25">
      <c r="A1407" s="8" t="s">
        <v>2681</v>
      </c>
      <c r="B1407" s="8" t="s">
        <v>128</v>
      </c>
      <c r="C1407" s="8" t="s">
        <v>1694</v>
      </c>
      <c r="D1407" s="8">
        <v>5</v>
      </c>
      <c r="E1407" s="8" t="s">
        <v>2677</v>
      </c>
      <c r="F1407" s="8" t="s">
        <v>911</v>
      </c>
      <c r="G1407" s="8" t="s">
        <v>2548</v>
      </c>
      <c r="H1407" s="10">
        <v>1</v>
      </c>
      <c r="I1407" s="10"/>
      <c r="J1407" s="10">
        <v>1</v>
      </c>
      <c r="K1407" s="10">
        <v>2152.75</v>
      </c>
    </row>
    <row r="1408" spans="1:11" x14ac:dyDescent="0.25">
      <c r="A1408" s="8" t="s">
        <v>2682</v>
      </c>
      <c r="B1408" s="8" t="s">
        <v>949</v>
      </c>
      <c r="C1408" s="8" t="s">
        <v>1694</v>
      </c>
      <c r="D1408" s="8">
        <v>5</v>
      </c>
      <c r="E1408" s="8" t="s">
        <v>2677</v>
      </c>
      <c r="F1408" s="8" t="s">
        <v>911</v>
      </c>
      <c r="G1408" s="8" t="s">
        <v>2548</v>
      </c>
      <c r="H1408" s="10">
        <v>1</v>
      </c>
      <c r="I1408" s="10"/>
      <c r="J1408" s="10">
        <v>1</v>
      </c>
      <c r="K1408" s="10">
        <v>2152.75</v>
      </c>
    </row>
    <row r="1409" spans="1:11" x14ac:dyDescent="0.25">
      <c r="A1409" s="8" t="s">
        <v>2683</v>
      </c>
      <c r="B1409" s="8" t="s">
        <v>132</v>
      </c>
      <c r="C1409" s="8" t="s">
        <v>1694</v>
      </c>
      <c r="D1409" s="8">
        <v>5</v>
      </c>
      <c r="E1409" s="8" t="s">
        <v>2677</v>
      </c>
      <c r="F1409" s="8" t="s">
        <v>911</v>
      </c>
      <c r="G1409" s="8" t="s">
        <v>2548</v>
      </c>
      <c r="H1409" s="10">
        <v>1</v>
      </c>
      <c r="I1409" s="10"/>
      <c r="J1409" s="10">
        <v>1</v>
      </c>
      <c r="K1409" s="10">
        <v>2152.75</v>
      </c>
    </row>
    <row r="1410" spans="1:11" x14ac:dyDescent="0.25">
      <c r="A1410" s="8" t="s">
        <v>2684</v>
      </c>
      <c r="B1410" s="8" t="s">
        <v>120</v>
      </c>
      <c r="C1410" s="8" t="s">
        <v>2381</v>
      </c>
      <c r="D1410" s="8">
        <v>4</v>
      </c>
      <c r="E1410" s="8" t="s">
        <v>2685</v>
      </c>
      <c r="F1410" s="8" t="s">
        <v>215</v>
      </c>
      <c r="G1410" s="8" t="s">
        <v>2383</v>
      </c>
      <c r="H1410" s="10">
        <v>1</v>
      </c>
      <c r="I1410" s="10"/>
      <c r="J1410" s="10">
        <v>1</v>
      </c>
      <c r="K1410" s="10">
        <v>1989.64</v>
      </c>
    </row>
    <row r="1411" spans="1:11" x14ac:dyDescent="0.25">
      <c r="A1411" s="8" t="s">
        <v>2686</v>
      </c>
      <c r="B1411" s="8" t="s">
        <v>122</v>
      </c>
      <c r="C1411" s="8" t="s">
        <v>2381</v>
      </c>
      <c r="D1411" s="8">
        <v>4</v>
      </c>
      <c r="E1411" s="8" t="s">
        <v>2685</v>
      </c>
      <c r="F1411" s="8" t="s">
        <v>215</v>
      </c>
      <c r="G1411" s="8" t="s">
        <v>2383</v>
      </c>
      <c r="H1411" s="10">
        <v>2</v>
      </c>
      <c r="I1411" s="10"/>
      <c r="J1411" s="10">
        <v>2</v>
      </c>
      <c r="K1411" s="10">
        <v>1989.64</v>
      </c>
    </row>
    <row r="1412" spans="1:11" x14ac:dyDescent="0.25">
      <c r="A1412" s="8" t="s">
        <v>2687</v>
      </c>
      <c r="B1412" s="8" t="s">
        <v>124</v>
      </c>
      <c r="C1412" s="8" t="s">
        <v>2381</v>
      </c>
      <c r="D1412" s="8">
        <v>4</v>
      </c>
      <c r="E1412" s="8" t="s">
        <v>2685</v>
      </c>
      <c r="F1412" s="8" t="s">
        <v>215</v>
      </c>
      <c r="G1412" s="8" t="s">
        <v>2383</v>
      </c>
      <c r="H1412" s="10">
        <v>1</v>
      </c>
      <c r="I1412" s="10"/>
      <c r="J1412" s="10">
        <v>1</v>
      </c>
      <c r="K1412" s="10">
        <v>1989.64</v>
      </c>
    </row>
    <row r="1413" spans="1:11" x14ac:dyDescent="0.25">
      <c r="A1413" s="8" t="s">
        <v>2688</v>
      </c>
      <c r="B1413" s="8" t="s">
        <v>78</v>
      </c>
      <c r="C1413" s="8" t="s">
        <v>2381</v>
      </c>
      <c r="D1413" s="8">
        <v>4</v>
      </c>
      <c r="E1413" s="8" t="s">
        <v>2685</v>
      </c>
      <c r="F1413" s="8" t="s">
        <v>215</v>
      </c>
      <c r="G1413" s="8" t="s">
        <v>2383</v>
      </c>
      <c r="H1413" s="10">
        <v>1</v>
      </c>
      <c r="I1413" s="10"/>
      <c r="J1413" s="10">
        <v>1</v>
      </c>
      <c r="K1413" s="10">
        <v>1989.64</v>
      </c>
    </row>
    <row r="1414" spans="1:11" x14ac:dyDescent="0.25">
      <c r="A1414" s="8" t="s">
        <v>2689</v>
      </c>
      <c r="B1414" s="8" t="s">
        <v>128</v>
      </c>
      <c r="C1414" s="8" t="s">
        <v>2381</v>
      </c>
      <c r="D1414" s="8">
        <v>4</v>
      </c>
      <c r="E1414" s="8" t="s">
        <v>2685</v>
      </c>
      <c r="F1414" s="8" t="s">
        <v>215</v>
      </c>
      <c r="G1414" s="8" t="s">
        <v>2383</v>
      </c>
      <c r="H1414" s="10">
        <v>1</v>
      </c>
      <c r="I1414" s="10"/>
      <c r="J1414" s="10">
        <v>1</v>
      </c>
      <c r="K1414" s="10">
        <v>1989.64</v>
      </c>
    </row>
    <row r="1415" spans="1:11" x14ac:dyDescent="0.25">
      <c r="A1415" s="8" t="s">
        <v>2690</v>
      </c>
      <c r="B1415" s="8" t="s">
        <v>132</v>
      </c>
      <c r="C1415" s="8" t="s">
        <v>2381</v>
      </c>
      <c r="D1415" s="8">
        <v>4</v>
      </c>
      <c r="E1415" s="8" t="s">
        <v>2685</v>
      </c>
      <c r="F1415" s="8" t="s">
        <v>215</v>
      </c>
      <c r="G1415" s="8" t="s">
        <v>2383</v>
      </c>
      <c r="H1415" s="10">
        <v>1</v>
      </c>
      <c r="I1415" s="10"/>
      <c r="J1415" s="10">
        <v>1</v>
      </c>
      <c r="K1415" s="10">
        <v>1989.64</v>
      </c>
    </row>
    <row r="1416" spans="1:11" x14ac:dyDescent="0.25">
      <c r="A1416" s="8" t="s">
        <v>2691</v>
      </c>
      <c r="B1416" s="8" t="s">
        <v>118</v>
      </c>
      <c r="C1416" s="8" t="s">
        <v>2381</v>
      </c>
      <c r="D1416" s="8">
        <v>4</v>
      </c>
      <c r="E1416" s="8" t="s">
        <v>2692</v>
      </c>
      <c r="F1416" s="8" t="s">
        <v>215</v>
      </c>
      <c r="G1416" s="8" t="s">
        <v>2383</v>
      </c>
      <c r="H1416" s="10">
        <v>2</v>
      </c>
      <c r="I1416" s="10"/>
      <c r="J1416" s="10">
        <v>2</v>
      </c>
      <c r="K1416" s="10">
        <v>1989.64</v>
      </c>
    </row>
    <row r="1417" spans="1:11" x14ac:dyDescent="0.25">
      <c r="A1417" s="8" t="s">
        <v>2693</v>
      </c>
      <c r="B1417" s="8" t="s">
        <v>128</v>
      </c>
      <c r="C1417" s="8" t="s">
        <v>2381</v>
      </c>
      <c r="D1417" s="8">
        <v>4</v>
      </c>
      <c r="E1417" s="8" t="s">
        <v>2692</v>
      </c>
      <c r="F1417" s="8" t="s">
        <v>215</v>
      </c>
      <c r="G1417" s="8" t="s">
        <v>2383</v>
      </c>
      <c r="H1417" s="10">
        <v>2</v>
      </c>
      <c r="I1417" s="10"/>
      <c r="J1417" s="10">
        <v>2</v>
      </c>
      <c r="K1417" s="10">
        <v>1989.64</v>
      </c>
    </row>
    <row r="1418" spans="1:11" x14ac:dyDescent="0.25">
      <c r="A1418" s="8" t="s">
        <v>2694</v>
      </c>
      <c r="B1418" s="8" t="s">
        <v>132</v>
      </c>
      <c r="C1418" s="8" t="s">
        <v>2381</v>
      </c>
      <c r="D1418" s="8">
        <v>4</v>
      </c>
      <c r="E1418" s="8" t="s">
        <v>2692</v>
      </c>
      <c r="F1418" s="8" t="s">
        <v>215</v>
      </c>
      <c r="G1418" s="8" t="s">
        <v>2383</v>
      </c>
      <c r="H1418" s="10">
        <v>1</v>
      </c>
      <c r="I1418" s="10"/>
      <c r="J1418" s="10">
        <v>1</v>
      </c>
      <c r="K1418" s="10">
        <v>1989.64</v>
      </c>
    </row>
    <row r="1419" spans="1:11" x14ac:dyDescent="0.25">
      <c r="A1419" s="8" t="s">
        <v>2695</v>
      </c>
      <c r="B1419" s="8" t="s">
        <v>122</v>
      </c>
      <c r="C1419" s="8" t="s">
        <v>2381</v>
      </c>
      <c r="D1419" s="8">
        <v>4</v>
      </c>
      <c r="E1419" s="8" t="s">
        <v>2696</v>
      </c>
      <c r="F1419" s="8" t="s">
        <v>215</v>
      </c>
      <c r="G1419" s="8" t="s">
        <v>2383</v>
      </c>
      <c r="H1419" s="10">
        <v>4</v>
      </c>
      <c r="I1419" s="10"/>
      <c r="J1419" s="10">
        <v>4</v>
      </c>
      <c r="K1419" s="10">
        <v>1989.64</v>
      </c>
    </row>
    <row r="1420" spans="1:11" x14ac:dyDescent="0.25">
      <c r="A1420" s="8" t="s">
        <v>2697</v>
      </c>
      <c r="B1420" s="8" t="s">
        <v>124</v>
      </c>
      <c r="C1420" s="8" t="s">
        <v>2381</v>
      </c>
      <c r="D1420" s="8">
        <v>4</v>
      </c>
      <c r="E1420" s="8" t="s">
        <v>2696</v>
      </c>
      <c r="F1420" s="8" t="s">
        <v>215</v>
      </c>
      <c r="G1420" s="8" t="s">
        <v>2383</v>
      </c>
      <c r="H1420" s="10">
        <v>7</v>
      </c>
      <c r="I1420" s="10"/>
      <c r="J1420" s="10">
        <v>7</v>
      </c>
      <c r="K1420" s="10">
        <v>1989.64</v>
      </c>
    </row>
    <row r="1421" spans="1:11" x14ac:dyDescent="0.25">
      <c r="A1421" s="8" t="s">
        <v>2698</v>
      </c>
      <c r="B1421" s="8" t="s">
        <v>128</v>
      </c>
      <c r="C1421" s="8" t="s">
        <v>2381</v>
      </c>
      <c r="D1421" s="8">
        <v>4</v>
      </c>
      <c r="E1421" s="8" t="s">
        <v>2696</v>
      </c>
      <c r="F1421" s="8" t="s">
        <v>215</v>
      </c>
      <c r="G1421" s="8" t="s">
        <v>2383</v>
      </c>
      <c r="H1421" s="10">
        <v>4</v>
      </c>
      <c r="I1421" s="10"/>
      <c r="J1421" s="10">
        <v>4</v>
      </c>
      <c r="K1421" s="10">
        <v>1989.64</v>
      </c>
    </row>
    <row r="1422" spans="1:11" x14ac:dyDescent="0.25">
      <c r="A1422" s="8" t="s">
        <v>2699</v>
      </c>
      <c r="B1422" s="8" t="s">
        <v>132</v>
      </c>
      <c r="C1422" s="8" t="s">
        <v>2381</v>
      </c>
      <c r="D1422" s="8">
        <v>4</v>
      </c>
      <c r="E1422" s="8" t="s">
        <v>2696</v>
      </c>
      <c r="F1422" s="8" t="s">
        <v>215</v>
      </c>
      <c r="G1422" s="8" t="s">
        <v>2383</v>
      </c>
      <c r="H1422" s="10">
        <v>3</v>
      </c>
      <c r="I1422" s="10"/>
      <c r="J1422" s="10">
        <v>3</v>
      </c>
      <c r="K1422" s="10">
        <v>1989.64</v>
      </c>
    </row>
    <row r="1423" spans="1:11" x14ac:dyDescent="0.25">
      <c r="A1423" s="8" t="s">
        <v>2700</v>
      </c>
      <c r="B1423" s="8" t="s">
        <v>120</v>
      </c>
      <c r="C1423" s="8" t="s">
        <v>2381</v>
      </c>
      <c r="D1423" s="8">
        <v>4</v>
      </c>
      <c r="E1423" s="8" t="s">
        <v>2701</v>
      </c>
      <c r="F1423" s="8" t="s">
        <v>215</v>
      </c>
      <c r="G1423" s="8" t="s">
        <v>2383</v>
      </c>
      <c r="H1423" s="10">
        <v>4</v>
      </c>
      <c r="I1423" s="10"/>
      <c r="J1423" s="10">
        <v>4</v>
      </c>
      <c r="K1423" s="10">
        <v>1989.64</v>
      </c>
    </row>
    <row r="1424" spans="1:11" x14ac:dyDescent="0.25">
      <c r="A1424" s="8" t="s">
        <v>2702</v>
      </c>
      <c r="B1424" s="8" t="s">
        <v>124</v>
      </c>
      <c r="C1424" s="8" t="s">
        <v>2381</v>
      </c>
      <c r="D1424" s="8">
        <v>4</v>
      </c>
      <c r="E1424" s="8" t="s">
        <v>2701</v>
      </c>
      <c r="F1424" s="8" t="s">
        <v>215</v>
      </c>
      <c r="G1424" s="8" t="s">
        <v>2383</v>
      </c>
      <c r="H1424" s="10">
        <v>13</v>
      </c>
      <c r="I1424" s="10"/>
      <c r="J1424" s="10">
        <v>13</v>
      </c>
      <c r="K1424" s="10">
        <v>1989.64</v>
      </c>
    </row>
    <row r="1425" spans="1:11" x14ac:dyDescent="0.25">
      <c r="A1425" s="8" t="s">
        <v>2703</v>
      </c>
      <c r="B1425" s="8" t="s">
        <v>78</v>
      </c>
      <c r="C1425" s="8" t="s">
        <v>2381</v>
      </c>
      <c r="D1425" s="8">
        <v>4</v>
      </c>
      <c r="E1425" s="8" t="s">
        <v>2701</v>
      </c>
      <c r="F1425" s="8" t="s">
        <v>215</v>
      </c>
      <c r="G1425" s="8" t="s">
        <v>2383</v>
      </c>
      <c r="H1425" s="10">
        <v>8</v>
      </c>
      <c r="I1425" s="10"/>
      <c r="J1425" s="10">
        <v>8</v>
      </c>
      <c r="K1425" s="10">
        <v>1989.64</v>
      </c>
    </row>
    <row r="1426" spans="1:11" x14ac:dyDescent="0.25">
      <c r="A1426" s="8" t="s">
        <v>2704</v>
      </c>
      <c r="B1426" s="8" t="s">
        <v>120</v>
      </c>
      <c r="C1426" s="8" t="s">
        <v>2006</v>
      </c>
      <c r="D1426" s="8">
        <v>5</v>
      </c>
      <c r="E1426" s="8" t="s">
        <v>2705</v>
      </c>
      <c r="F1426" s="8" t="s">
        <v>215</v>
      </c>
      <c r="G1426" s="8" t="s">
        <v>2058</v>
      </c>
      <c r="H1426" s="10">
        <v>2</v>
      </c>
      <c r="I1426" s="10"/>
      <c r="J1426" s="10">
        <v>2</v>
      </c>
      <c r="K1426" s="10">
        <v>4288.57</v>
      </c>
    </row>
    <row r="1427" spans="1:11" x14ac:dyDescent="0.25">
      <c r="A1427" s="8" t="s">
        <v>2706</v>
      </c>
      <c r="B1427" s="8" t="s">
        <v>949</v>
      </c>
      <c r="C1427" s="8" t="s">
        <v>2006</v>
      </c>
      <c r="D1427" s="8">
        <v>5</v>
      </c>
      <c r="E1427" s="8" t="s">
        <v>2705</v>
      </c>
      <c r="F1427" s="8" t="s">
        <v>215</v>
      </c>
      <c r="G1427" s="8" t="s">
        <v>2058</v>
      </c>
      <c r="H1427" s="10">
        <v>1</v>
      </c>
      <c r="I1427" s="10"/>
      <c r="J1427" s="10">
        <v>1</v>
      </c>
      <c r="K1427" s="10">
        <v>4288.57</v>
      </c>
    </row>
    <row r="1428" spans="1:11" x14ac:dyDescent="0.25">
      <c r="A1428" s="8" t="s">
        <v>2707</v>
      </c>
      <c r="B1428" s="8" t="s">
        <v>136</v>
      </c>
      <c r="C1428" s="8" t="s">
        <v>2006</v>
      </c>
      <c r="D1428" s="8">
        <v>5</v>
      </c>
      <c r="E1428" s="8" t="s">
        <v>2705</v>
      </c>
      <c r="F1428" s="8" t="s">
        <v>215</v>
      </c>
      <c r="G1428" s="8" t="s">
        <v>2058</v>
      </c>
      <c r="H1428" s="10">
        <v>1</v>
      </c>
      <c r="I1428" s="10"/>
      <c r="J1428" s="10">
        <v>1</v>
      </c>
      <c r="K1428" s="10">
        <v>4288.57</v>
      </c>
    </row>
    <row r="1429" spans="1:11" x14ac:dyDescent="0.25">
      <c r="A1429" s="8" t="s">
        <v>2708</v>
      </c>
      <c r="B1429" s="8" t="s">
        <v>78</v>
      </c>
      <c r="C1429" s="8" t="s">
        <v>2006</v>
      </c>
      <c r="D1429" s="8">
        <v>5</v>
      </c>
      <c r="E1429" s="8" t="s">
        <v>2709</v>
      </c>
      <c r="F1429" s="8" t="s">
        <v>215</v>
      </c>
      <c r="G1429" s="8" t="s">
        <v>2058</v>
      </c>
      <c r="H1429" s="10">
        <v>3</v>
      </c>
      <c r="I1429" s="10"/>
      <c r="J1429" s="10">
        <v>3</v>
      </c>
      <c r="K1429" s="10">
        <v>5176.74</v>
      </c>
    </row>
    <row r="1430" spans="1:11" x14ac:dyDescent="0.25">
      <c r="A1430" s="8" t="s">
        <v>2710</v>
      </c>
      <c r="B1430" s="8" t="s">
        <v>120</v>
      </c>
      <c r="C1430" s="8" t="s">
        <v>2006</v>
      </c>
      <c r="D1430" s="8">
        <v>5</v>
      </c>
      <c r="E1430" s="8" t="s">
        <v>2711</v>
      </c>
      <c r="F1430" s="8" t="s">
        <v>215</v>
      </c>
      <c r="G1430" s="8" t="s">
        <v>2058</v>
      </c>
      <c r="H1430" s="10">
        <v>3</v>
      </c>
      <c r="I1430" s="10"/>
      <c r="J1430" s="10">
        <v>3</v>
      </c>
      <c r="K1430" s="10">
        <v>6394.8</v>
      </c>
    </row>
    <row r="1431" spans="1:11" x14ac:dyDescent="0.25">
      <c r="A1431" s="8" t="s">
        <v>2712</v>
      </c>
      <c r="B1431" s="8" t="s">
        <v>122</v>
      </c>
      <c r="C1431" s="8" t="s">
        <v>2006</v>
      </c>
      <c r="D1431" s="8">
        <v>5</v>
      </c>
      <c r="E1431" s="8" t="s">
        <v>2711</v>
      </c>
      <c r="F1431" s="8" t="s">
        <v>215</v>
      </c>
      <c r="G1431" s="8" t="s">
        <v>2058</v>
      </c>
      <c r="H1431" s="10">
        <v>1</v>
      </c>
      <c r="I1431" s="10"/>
      <c r="J1431" s="10">
        <v>1</v>
      </c>
      <c r="K1431" s="10">
        <v>6394.8</v>
      </c>
    </row>
    <row r="1432" spans="1:11" x14ac:dyDescent="0.25">
      <c r="A1432" s="8" t="s">
        <v>2713</v>
      </c>
      <c r="B1432" s="8" t="s">
        <v>124</v>
      </c>
      <c r="C1432" s="8" t="s">
        <v>2006</v>
      </c>
      <c r="D1432" s="8">
        <v>5</v>
      </c>
      <c r="E1432" s="8" t="s">
        <v>2711</v>
      </c>
      <c r="F1432" s="8" t="s">
        <v>215</v>
      </c>
      <c r="G1432" s="8" t="s">
        <v>2058</v>
      </c>
      <c r="H1432" s="10">
        <v>5</v>
      </c>
      <c r="I1432" s="10"/>
      <c r="J1432" s="10">
        <v>5</v>
      </c>
      <c r="K1432" s="10">
        <v>6394.8</v>
      </c>
    </row>
    <row r="1433" spans="1:11" x14ac:dyDescent="0.25">
      <c r="A1433" s="8" t="s">
        <v>2714</v>
      </c>
      <c r="B1433" s="8" t="s">
        <v>78</v>
      </c>
      <c r="C1433" s="8" t="s">
        <v>2006</v>
      </c>
      <c r="D1433" s="8">
        <v>5</v>
      </c>
      <c r="E1433" s="8" t="s">
        <v>2711</v>
      </c>
      <c r="F1433" s="8" t="s">
        <v>215</v>
      </c>
      <c r="G1433" s="8" t="s">
        <v>2058</v>
      </c>
      <c r="H1433" s="10">
        <v>5</v>
      </c>
      <c r="I1433" s="10"/>
      <c r="J1433" s="10">
        <v>5</v>
      </c>
      <c r="K1433" s="10">
        <v>6394.8</v>
      </c>
    </row>
    <row r="1434" spans="1:11" x14ac:dyDescent="0.25">
      <c r="A1434" s="8" t="s">
        <v>2715</v>
      </c>
      <c r="B1434" s="8" t="s">
        <v>134</v>
      </c>
      <c r="C1434" s="8" t="s">
        <v>2006</v>
      </c>
      <c r="D1434" s="8">
        <v>5</v>
      </c>
      <c r="E1434" s="8" t="s">
        <v>2711</v>
      </c>
      <c r="F1434" s="8" t="s">
        <v>215</v>
      </c>
      <c r="G1434" s="8" t="s">
        <v>2058</v>
      </c>
      <c r="H1434" s="10">
        <v>3</v>
      </c>
      <c r="I1434" s="10"/>
      <c r="J1434" s="10">
        <v>3</v>
      </c>
      <c r="K1434" s="10">
        <v>6394.8</v>
      </c>
    </row>
    <row r="1435" spans="1:11" x14ac:dyDescent="0.25">
      <c r="A1435" s="8" t="s">
        <v>2716</v>
      </c>
      <c r="B1435" s="8" t="s">
        <v>80</v>
      </c>
      <c r="C1435" s="8" t="s">
        <v>2006</v>
      </c>
      <c r="D1435" s="8">
        <v>5</v>
      </c>
      <c r="E1435" s="8" t="s">
        <v>2711</v>
      </c>
      <c r="F1435" s="8" t="s">
        <v>215</v>
      </c>
      <c r="G1435" s="8" t="s">
        <v>2058</v>
      </c>
      <c r="H1435" s="10">
        <v>1</v>
      </c>
      <c r="I1435" s="10"/>
      <c r="J1435" s="10">
        <v>1</v>
      </c>
      <c r="K1435" s="10">
        <v>6394.8</v>
      </c>
    </row>
    <row r="1436" spans="1:11" x14ac:dyDescent="0.25">
      <c r="A1436" s="8" t="s">
        <v>2717</v>
      </c>
      <c r="B1436" s="8" t="s">
        <v>122</v>
      </c>
      <c r="C1436" s="8" t="s">
        <v>2006</v>
      </c>
      <c r="D1436" s="8">
        <v>5</v>
      </c>
      <c r="E1436" s="8" t="s">
        <v>2718</v>
      </c>
      <c r="F1436" s="8" t="s">
        <v>215</v>
      </c>
      <c r="G1436" s="8" t="s">
        <v>2058</v>
      </c>
      <c r="H1436" s="10">
        <v>2</v>
      </c>
      <c r="I1436" s="10"/>
      <c r="J1436" s="10">
        <v>2</v>
      </c>
      <c r="K1436" s="10">
        <v>6394.8</v>
      </c>
    </row>
    <row r="1437" spans="1:11" x14ac:dyDescent="0.25">
      <c r="A1437" s="8" t="s">
        <v>2719</v>
      </c>
      <c r="B1437" s="8" t="s">
        <v>124</v>
      </c>
      <c r="C1437" s="8" t="s">
        <v>2006</v>
      </c>
      <c r="D1437" s="8">
        <v>5</v>
      </c>
      <c r="E1437" s="8" t="s">
        <v>2718</v>
      </c>
      <c r="F1437" s="8" t="s">
        <v>215</v>
      </c>
      <c r="G1437" s="8" t="s">
        <v>2058</v>
      </c>
      <c r="H1437" s="10">
        <v>1</v>
      </c>
      <c r="I1437" s="10"/>
      <c r="J1437" s="10">
        <v>1</v>
      </c>
      <c r="K1437" s="10">
        <v>6394.8</v>
      </c>
    </row>
    <row r="1438" spans="1:11" x14ac:dyDescent="0.25">
      <c r="A1438" s="8" t="s">
        <v>2720</v>
      </c>
      <c r="B1438" s="8" t="s">
        <v>120</v>
      </c>
      <c r="C1438" s="8" t="s">
        <v>2006</v>
      </c>
      <c r="D1438" s="8">
        <v>5</v>
      </c>
      <c r="E1438" s="8" t="s">
        <v>2721</v>
      </c>
      <c r="F1438" s="8" t="s">
        <v>215</v>
      </c>
      <c r="G1438" s="8" t="s">
        <v>2058</v>
      </c>
      <c r="H1438" s="10">
        <v>2</v>
      </c>
      <c r="I1438" s="10"/>
      <c r="J1438" s="10">
        <v>2</v>
      </c>
      <c r="K1438" s="10">
        <v>8830.91</v>
      </c>
    </row>
    <row r="1439" spans="1:11" x14ac:dyDescent="0.25">
      <c r="A1439" s="8" t="s">
        <v>2722</v>
      </c>
      <c r="B1439" s="8" t="s">
        <v>124</v>
      </c>
      <c r="C1439" s="8" t="s">
        <v>2006</v>
      </c>
      <c r="D1439" s="8">
        <v>5</v>
      </c>
      <c r="E1439" s="8" t="s">
        <v>2721</v>
      </c>
      <c r="F1439" s="8" t="s">
        <v>215</v>
      </c>
      <c r="G1439" s="8" t="s">
        <v>2058</v>
      </c>
      <c r="H1439" s="10">
        <v>5</v>
      </c>
      <c r="I1439" s="10"/>
      <c r="J1439" s="10">
        <v>5</v>
      </c>
      <c r="K1439" s="10">
        <v>8830.91</v>
      </c>
    </row>
    <row r="1440" spans="1:11" x14ac:dyDescent="0.25">
      <c r="A1440" s="8" t="s">
        <v>2723</v>
      </c>
      <c r="B1440" s="8" t="s">
        <v>78</v>
      </c>
      <c r="C1440" s="8" t="s">
        <v>2006</v>
      </c>
      <c r="D1440" s="8">
        <v>5</v>
      </c>
      <c r="E1440" s="8" t="s">
        <v>2721</v>
      </c>
      <c r="F1440" s="8" t="s">
        <v>215</v>
      </c>
      <c r="G1440" s="8" t="s">
        <v>2058</v>
      </c>
      <c r="H1440" s="10">
        <v>6</v>
      </c>
      <c r="I1440" s="10"/>
      <c r="J1440" s="10">
        <v>6</v>
      </c>
      <c r="K1440" s="10">
        <v>8830.91</v>
      </c>
    </row>
    <row r="1441" spans="1:11" x14ac:dyDescent="0.25">
      <c r="A1441" s="8" t="s">
        <v>2724</v>
      </c>
      <c r="B1441" s="8" t="s">
        <v>128</v>
      </c>
      <c r="C1441" s="8" t="s">
        <v>2006</v>
      </c>
      <c r="D1441" s="8">
        <v>5</v>
      </c>
      <c r="E1441" s="8" t="s">
        <v>2721</v>
      </c>
      <c r="F1441" s="8" t="s">
        <v>215</v>
      </c>
      <c r="G1441" s="8" t="s">
        <v>2058</v>
      </c>
      <c r="H1441" s="10">
        <v>3</v>
      </c>
      <c r="I1441" s="10"/>
      <c r="J1441" s="10">
        <v>3</v>
      </c>
      <c r="K1441" s="10">
        <v>8830.91</v>
      </c>
    </row>
    <row r="1442" spans="1:11" x14ac:dyDescent="0.25">
      <c r="A1442" s="8" t="s">
        <v>2725</v>
      </c>
      <c r="B1442" s="8" t="s">
        <v>132</v>
      </c>
      <c r="C1442" s="8" t="s">
        <v>2006</v>
      </c>
      <c r="D1442" s="8">
        <v>5</v>
      </c>
      <c r="E1442" s="8" t="s">
        <v>2721</v>
      </c>
      <c r="F1442" s="8" t="s">
        <v>215</v>
      </c>
      <c r="G1442" s="8" t="s">
        <v>2058</v>
      </c>
      <c r="H1442" s="10">
        <v>2</v>
      </c>
      <c r="I1442" s="10"/>
      <c r="J1442" s="10">
        <v>2</v>
      </c>
      <c r="K1442" s="10">
        <v>8830.91</v>
      </c>
    </row>
    <row r="1443" spans="1:11" x14ac:dyDescent="0.25">
      <c r="A1443" s="8" t="s">
        <v>2726</v>
      </c>
      <c r="B1443" s="8" t="s">
        <v>138</v>
      </c>
      <c r="C1443" s="8" t="s">
        <v>2006</v>
      </c>
      <c r="D1443" s="8">
        <v>5</v>
      </c>
      <c r="E1443" s="8" t="s">
        <v>2721</v>
      </c>
      <c r="F1443" s="8" t="s">
        <v>215</v>
      </c>
      <c r="G1443" s="8" t="s">
        <v>2058</v>
      </c>
      <c r="H1443" s="10">
        <v>1</v>
      </c>
      <c r="I1443" s="10"/>
      <c r="J1443" s="10">
        <v>1</v>
      </c>
      <c r="K1443" s="10">
        <v>8830.91</v>
      </c>
    </row>
    <row r="1444" spans="1:11" x14ac:dyDescent="0.25">
      <c r="A1444" s="8" t="s">
        <v>2727</v>
      </c>
      <c r="B1444" s="8" t="s">
        <v>1650</v>
      </c>
      <c r="C1444" s="8" t="s">
        <v>1694</v>
      </c>
      <c r="D1444" s="8">
        <v>5</v>
      </c>
      <c r="E1444" s="8" t="s">
        <v>2728</v>
      </c>
      <c r="F1444" s="8" t="s">
        <v>215</v>
      </c>
      <c r="G1444" s="8" t="s">
        <v>2282</v>
      </c>
      <c r="H1444" s="10">
        <v>1</v>
      </c>
      <c r="I1444" s="10"/>
      <c r="J1444" s="10">
        <v>1</v>
      </c>
      <c r="K1444" s="10">
        <v>803.86</v>
      </c>
    </row>
    <row r="1445" spans="1:11" x14ac:dyDescent="0.25">
      <c r="A1445" s="8" t="s">
        <v>2729</v>
      </c>
      <c r="B1445" s="8" t="s">
        <v>120</v>
      </c>
      <c r="C1445" s="8" t="s">
        <v>1694</v>
      </c>
      <c r="D1445" s="8">
        <v>5</v>
      </c>
      <c r="E1445" s="8" t="s">
        <v>2728</v>
      </c>
      <c r="F1445" s="8" t="s">
        <v>215</v>
      </c>
      <c r="G1445" s="8" t="s">
        <v>2282</v>
      </c>
      <c r="H1445" s="10">
        <v>1</v>
      </c>
      <c r="I1445" s="10"/>
      <c r="J1445" s="10">
        <v>1</v>
      </c>
      <c r="K1445" s="10">
        <v>803.86</v>
      </c>
    </row>
    <row r="1446" spans="1:11" x14ac:dyDescent="0.25">
      <c r="A1446" s="8" t="s">
        <v>2730</v>
      </c>
      <c r="B1446" s="8" t="s">
        <v>1655</v>
      </c>
      <c r="C1446" s="8" t="s">
        <v>1694</v>
      </c>
      <c r="D1446" s="8">
        <v>5</v>
      </c>
      <c r="E1446" s="8" t="s">
        <v>2728</v>
      </c>
      <c r="F1446" s="8" t="s">
        <v>215</v>
      </c>
      <c r="G1446" s="8" t="s">
        <v>2282</v>
      </c>
      <c r="H1446" s="10">
        <v>1</v>
      </c>
      <c r="I1446" s="10"/>
      <c r="J1446" s="10">
        <v>1</v>
      </c>
      <c r="K1446" s="10">
        <v>803.86</v>
      </c>
    </row>
    <row r="1447" spans="1:11" x14ac:dyDescent="0.25">
      <c r="A1447" s="8" t="s">
        <v>2731</v>
      </c>
      <c r="B1447" s="8" t="s">
        <v>2732</v>
      </c>
      <c r="C1447" s="8" t="s">
        <v>1694</v>
      </c>
      <c r="D1447" s="8">
        <v>5</v>
      </c>
      <c r="E1447" s="8" t="s">
        <v>2728</v>
      </c>
      <c r="F1447" s="8" t="s">
        <v>215</v>
      </c>
      <c r="G1447" s="8" t="s">
        <v>2282</v>
      </c>
      <c r="H1447" s="10">
        <v>1</v>
      </c>
      <c r="I1447" s="10"/>
      <c r="J1447" s="10">
        <v>1</v>
      </c>
      <c r="K1447" s="10">
        <v>803.86</v>
      </c>
    </row>
    <row r="1448" spans="1:11" x14ac:dyDescent="0.25">
      <c r="A1448" s="8" t="s">
        <v>2733</v>
      </c>
      <c r="B1448" s="8" t="s">
        <v>116</v>
      </c>
      <c r="C1448" s="8" t="s">
        <v>1694</v>
      </c>
      <c r="D1448" s="8">
        <v>5</v>
      </c>
      <c r="E1448" s="8" t="s">
        <v>2734</v>
      </c>
      <c r="F1448" s="8" t="s">
        <v>215</v>
      </c>
      <c r="G1448" s="8" t="s">
        <v>2282</v>
      </c>
      <c r="H1448" s="10">
        <v>1</v>
      </c>
      <c r="I1448" s="10"/>
      <c r="J1448" s="10">
        <v>1</v>
      </c>
      <c r="K1448" s="10">
        <v>803.86</v>
      </c>
    </row>
    <row r="1449" spans="1:11" x14ac:dyDescent="0.25">
      <c r="A1449" s="8" t="s">
        <v>2735</v>
      </c>
      <c r="B1449" s="8" t="s">
        <v>116</v>
      </c>
      <c r="C1449" s="8" t="s">
        <v>1694</v>
      </c>
      <c r="D1449" s="8">
        <v>5</v>
      </c>
      <c r="E1449" s="8" t="s">
        <v>2734</v>
      </c>
      <c r="F1449" s="8" t="s">
        <v>215</v>
      </c>
      <c r="G1449" s="8" t="s">
        <v>2282</v>
      </c>
      <c r="H1449" s="10">
        <v>2</v>
      </c>
      <c r="I1449" s="10"/>
      <c r="J1449" s="10">
        <v>2</v>
      </c>
      <c r="K1449" s="10">
        <v>803.86</v>
      </c>
    </row>
    <row r="1450" spans="1:11" x14ac:dyDescent="0.25">
      <c r="A1450" s="8" t="s">
        <v>2736</v>
      </c>
      <c r="B1450" s="8" t="s">
        <v>118</v>
      </c>
      <c r="C1450" s="8" t="s">
        <v>1694</v>
      </c>
      <c r="D1450" s="8">
        <v>5</v>
      </c>
      <c r="E1450" s="8" t="s">
        <v>2734</v>
      </c>
      <c r="F1450" s="8" t="s">
        <v>215</v>
      </c>
      <c r="G1450" s="8" t="s">
        <v>2282</v>
      </c>
      <c r="H1450" s="10">
        <v>3</v>
      </c>
      <c r="I1450" s="10"/>
      <c r="J1450" s="10">
        <v>3</v>
      </c>
      <c r="K1450" s="10">
        <v>803.86</v>
      </c>
    </row>
    <row r="1451" spans="1:11" x14ac:dyDescent="0.25">
      <c r="A1451" s="8" t="s">
        <v>2737</v>
      </c>
      <c r="B1451" s="8" t="s">
        <v>120</v>
      </c>
      <c r="C1451" s="8" t="s">
        <v>1694</v>
      </c>
      <c r="D1451" s="8">
        <v>5</v>
      </c>
      <c r="E1451" s="8" t="s">
        <v>2734</v>
      </c>
      <c r="F1451" s="8" t="s">
        <v>215</v>
      </c>
      <c r="G1451" s="8" t="s">
        <v>2282</v>
      </c>
      <c r="H1451" s="10">
        <v>2</v>
      </c>
      <c r="I1451" s="10"/>
      <c r="J1451" s="10">
        <v>2</v>
      </c>
      <c r="K1451" s="10">
        <v>803.86</v>
      </c>
    </row>
    <row r="1452" spans="1:11" x14ac:dyDescent="0.25">
      <c r="A1452" s="8" t="s">
        <v>2738</v>
      </c>
      <c r="B1452" s="8" t="s">
        <v>122</v>
      </c>
      <c r="C1452" s="8" t="s">
        <v>1694</v>
      </c>
      <c r="D1452" s="8">
        <v>5</v>
      </c>
      <c r="E1452" s="8" t="s">
        <v>2734</v>
      </c>
      <c r="F1452" s="8" t="s">
        <v>215</v>
      </c>
      <c r="G1452" s="8" t="s">
        <v>2282</v>
      </c>
      <c r="H1452" s="10">
        <v>1</v>
      </c>
      <c r="I1452" s="10"/>
      <c r="J1452" s="10">
        <v>1</v>
      </c>
      <c r="K1452" s="10">
        <v>803.86</v>
      </c>
    </row>
    <row r="1453" spans="1:11" x14ac:dyDescent="0.25">
      <c r="A1453" s="8" t="s">
        <v>2739</v>
      </c>
      <c r="B1453" s="8" t="s">
        <v>124</v>
      </c>
      <c r="C1453" s="8" t="s">
        <v>1694</v>
      </c>
      <c r="D1453" s="8">
        <v>5</v>
      </c>
      <c r="E1453" s="8" t="s">
        <v>2734</v>
      </c>
      <c r="F1453" s="8" t="s">
        <v>215</v>
      </c>
      <c r="G1453" s="8" t="s">
        <v>2282</v>
      </c>
      <c r="H1453" s="10">
        <v>1</v>
      </c>
      <c r="I1453" s="10"/>
      <c r="J1453" s="10">
        <v>1</v>
      </c>
      <c r="K1453" s="10">
        <v>803.86</v>
      </c>
    </row>
    <row r="1454" spans="1:11" x14ac:dyDescent="0.25">
      <c r="A1454" s="8" t="s">
        <v>2740</v>
      </c>
      <c r="B1454" s="8" t="s">
        <v>78</v>
      </c>
      <c r="C1454" s="8" t="s">
        <v>1694</v>
      </c>
      <c r="D1454" s="8">
        <v>5</v>
      </c>
      <c r="E1454" s="8" t="s">
        <v>2734</v>
      </c>
      <c r="F1454" s="8" t="s">
        <v>215</v>
      </c>
      <c r="G1454" s="8" t="s">
        <v>2282</v>
      </c>
      <c r="H1454" s="10">
        <v>1</v>
      </c>
      <c r="I1454" s="10"/>
      <c r="J1454" s="10">
        <v>1</v>
      </c>
      <c r="K1454" s="10">
        <v>803.86</v>
      </c>
    </row>
    <row r="1455" spans="1:11" x14ac:dyDescent="0.25">
      <c r="A1455" s="8" t="s">
        <v>2741</v>
      </c>
      <c r="B1455" s="8" t="s">
        <v>130</v>
      </c>
      <c r="C1455" s="8" t="s">
        <v>1694</v>
      </c>
      <c r="D1455" s="8">
        <v>5</v>
      </c>
      <c r="E1455" s="8" t="s">
        <v>2734</v>
      </c>
      <c r="F1455" s="8" t="s">
        <v>215</v>
      </c>
      <c r="G1455" s="8" t="s">
        <v>2282</v>
      </c>
      <c r="H1455" s="10">
        <v>2</v>
      </c>
      <c r="I1455" s="10"/>
      <c r="J1455" s="10">
        <v>2</v>
      </c>
      <c r="K1455" s="10">
        <v>803.86</v>
      </c>
    </row>
    <row r="1456" spans="1:11" x14ac:dyDescent="0.25">
      <c r="A1456" s="8" t="s">
        <v>2742</v>
      </c>
      <c r="B1456" s="8" t="s">
        <v>1650</v>
      </c>
      <c r="C1456" s="8" t="s">
        <v>1694</v>
      </c>
      <c r="D1456" s="8">
        <v>5</v>
      </c>
      <c r="E1456" s="8" t="s">
        <v>2743</v>
      </c>
      <c r="F1456" s="8" t="s">
        <v>215</v>
      </c>
      <c r="G1456" s="8" t="s">
        <v>2282</v>
      </c>
      <c r="H1456" s="10">
        <v>1</v>
      </c>
      <c r="I1456" s="10"/>
      <c r="J1456" s="10">
        <v>1</v>
      </c>
      <c r="K1456" s="10">
        <v>803.86</v>
      </c>
    </row>
    <row r="1457" spans="1:11" x14ac:dyDescent="0.25">
      <c r="A1457" s="8" t="s">
        <v>2744</v>
      </c>
      <c r="B1457" s="8" t="s">
        <v>120</v>
      </c>
      <c r="C1457" s="8" t="s">
        <v>1694</v>
      </c>
      <c r="D1457" s="8">
        <v>5</v>
      </c>
      <c r="E1457" s="8" t="s">
        <v>2743</v>
      </c>
      <c r="F1457" s="8" t="s">
        <v>215</v>
      </c>
      <c r="G1457" s="8" t="s">
        <v>2282</v>
      </c>
      <c r="H1457" s="10">
        <v>1</v>
      </c>
      <c r="I1457" s="10"/>
      <c r="J1457" s="10">
        <v>1</v>
      </c>
      <c r="K1457" s="10">
        <v>803.86</v>
      </c>
    </row>
    <row r="1458" spans="1:11" x14ac:dyDescent="0.25">
      <c r="A1458" s="8" t="s">
        <v>2745</v>
      </c>
      <c r="B1458" s="8" t="s">
        <v>1655</v>
      </c>
      <c r="C1458" s="8" t="s">
        <v>1694</v>
      </c>
      <c r="D1458" s="8">
        <v>5</v>
      </c>
      <c r="E1458" s="8" t="s">
        <v>2743</v>
      </c>
      <c r="F1458" s="8" t="s">
        <v>215</v>
      </c>
      <c r="G1458" s="8" t="s">
        <v>2282</v>
      </c>
      <c r="H1458" s="10">
        <v>1</v>
      </c>
      <c r="I1458" s="10"/>
      <c r="J1458" s="10">
        <v>1</v>
      </c>
      <c r="K1458" s="10">
        <v>803.86</v>
      </c>
    </row>
    <row r="1459" spans="1:11" x14ac:dyDescent="0.25">
      <c r="A1459" s="8" t="s">
        <v>2746</v>
      </c>
      <c r="B1459" s="8" t="s">
        <v>116</v>
      </c>
      <c r="C1459" s="8" t="s">
        <v>2006</v>
      </c>
      <c r="D1459" s="8">
        <v>5</v>
      </c>
      <c r="E1459" s="8" t="s">
        <v>2747</v>
      </c>
      <c r="F1459" s="8" t="s">
        <v>215</v>
      </c>
      <c r="G1459" s="8" t="s">
        <v>2748</v>
      </c>
      <c r="H1459" s="10">
        <v>2</v>
      </c>
      <c r="I1459" s="10"/>
      <c r="J1459" s="10">
        <v>2</v>
      </c>
      <c r="K1459" s="10">
        <v>401.93</v>
      </c>
    </row>
    <row r="1460" spans="1:11" x14ac:dyDescent="0.25">
      <c r="A1460" s="8" t="s">
        <v>2749</v>
      </c>
      <c r="B1460" s="8" t="s">
        <v>116</v>
      </c>
      <c r="C1460" s="8" t="s">
        <v>2006</v>
      </c>
      <c r="D1460" s="8">
        <v>5</v>
      </c>
      <c r="E1460" s="8" t="s">
        <v>2747</v>
      </c>
      <c r="F1460" s="8" t="s">
        <v>215</v>
      </c>
      <c r="G1460" s="8" t="s">
        <v>2748</v>
      </c>
      <c r="H1460" s="10">
        <v>1</v>
      </c>
      <c r="I1460" s="10"/>
      <c r="J1460" s="10">
        <v>1</v>
      </c>
      <c r="K1460" s="10">
        <v>401.93</v>
      </c>
    </row>
    <row r="1461" spans="1:11" x14ac:dyDescent="0.25">
      <c r="A1461" s="8" t="s">
        <v>2750</v>
      </c>
      <c r="B1461" s="8" t="s">
        <v>118</v>
      </c>
      <c r="C1461" s="8" t="s">
        <v>2006</v>
      </c>
      <c r="D1461" s="8">
        <v>5</v>
      </c>
      <c r="E1461" s="8" t="s">
        <v>2747</v>
      </c>
      <c r="F1461" s="8" t="s">
        <v>215</v>
      </c>
      <c r="G1461" s="8" t="s">
        <v>2748</v>
      </c>
      <c r="H1461" s="10">
        <v>3</v>
      </c>
      <c r="I1461" s="10"/>
      <c r="J1461" s="10">
        <v>3</v>
      </c>
      <c r="K1461" s="10">
        <v>401.93</v>
      </c>
    </row>
    <row r="1462" spans="1:11" x14ac:dyDescent="0.25">
      <c r="A1462" s="8" t="s">
        <v>2751</v>
      </c>
      <c r="B1462" s="8" t="s">
        <v>120</v>
      </c>
      <c r="C1462" s="8" t="s">
        <v>2006</v>
      </c>
      <c r="D1462" s="8">
        <v>5</v>
      </c>
      <c r="E1462" s="8" t="s">
        <v>2747</v>
      </c>
      <c r="F1462" s="8" t="s">
        <v>215</v>
      </c>
      <c r="G1462" s="8" t="s">
        <v>2748</v>
      </c>
      <c r="H1462" s="10">
        <v>2</v>
      </c>
      <c r="I1462" s="10"/>
      <c r="J1462" s="10">
        <v>2</v>
      </c>
      <c r="K1462" s="10">
        <v>401.93</v>
      </c>
    </row>
    <row r="1463" spans="1:11" x14ac:dyDescent="0.25">
      <c r="A1463" s="8" t="s">
        <v>2752</v>
      </c>
      <c r="B1463" s="8" t="s">
        <v>122</v>
      </c>
      <c r="C1463" s="8" t="s">
        <v>2006</v>
      </c>
      <c r="D1463" s="8">
        <v>5</v>
      </c>
      <c r="E1463" s="8" t="s">
        <v>2747</v>
      </c>
      <c r="F1463" s="8" t="s">
        <v>215</v>
      </c>
      <c r="G1463" s="8" t="s">
        <v>2748</v>
      </c>
      <c r="H1463" s="10">
        <v>1</v>
      </c>
      <c r="I1463" s="10"/>
      <c r="J1463" s="10">
        <v>1</v>
      </c>
      <c r="K1463" s="10">
        <v>401.93</v>
      </c>
    </row>
    <row r="1464" spans="1:11" x14ac:dyDescent="0.25">
      <c r="A1464" s="8" t="s">
        <v>2753</v>
      </c>
      <c r="B1464" s="8" t="s">
        <v>124</v>
      </c>
      <c r="C1464" s="8" t="s">
        <v>2006</v>
      </c>
      <c r="D1464" s="8">
        <v>5</v>
      </c>
      <c r="E1464" s="8" t="s">
        <v>2747</v>
      </c>
      <c r="F1464" s="8" t="s">
        <v>215</v>
      </c>
      <c r="G1464" s="8" t="s">
        <v>2748</v>
      </c>
      <c r="H1464" s="10">
        <v>1</v>
      </c>
      <c r="I1464" s="10"/>
      <c r="J1464" s="10">
        <v>1</v>
      </c>
      <c r="K1464" s="10">
        <v>401.93</v>
      </c>
    </row>
    <row r="1465" spans="1:11" x14ac:dyDescent="0.25">
      <c r="A1465" s="8" t="s">
        <v>2754</v>
      </c>
      <c r="B1465" s="8" t="s">
        <v>78</v>
      </c>
      <c r="C1465" s="8" t="s">
        <v>2006</v>
      </c>
      <c r="D1465" s="8">
        <v>5</v>
      </c>
      <c r="E1465" s="8" t="s">
        <v>2747</v>
      </c>
      <c r="F1465" s="8" t="s">
        <v>215</v>
      </c>
      <c r="G1465" s="8" t="s">
        <v>2748</v>
      </c>
      <c r="H1465" s="10">
        <v>1</v>
      </c>
      <c r="I1465" s="10"/>
      <c r="J1465" s="10">
        <v>1</v>
      </c>
      <c r="K1465" s="10">
        <v>401.93</v>
      </c>
    </row>
    <row r="1466" spans="1:11" x14ac:dyDescent="0.25">
      <c r="A1466" s="8" t="s">
        <v>2755</v>
      </c>
      <c r="B1466" s="8" t="s">
        <v>130</v>
      </c>
      <c r="C1466" s="8" t="s">
        <v>2006</v>
      </c>
      <c r="D1466" s="8">
        <v>5</v>
      </c>
      <c r="E1466" s="8" t="s">
        <v>2747</v>
      </c>
      <c r="F1466" s="8" t="s">
        <v>215</v>
      </c>
      <c r="G1466" s="8" t="s">
        <v>2748</v>
      </c>
      <c r="H1466" s="10">
        <v>2</v>
      </c>
      <c r="I1466" s="10"/>
      <c r="J1466" s="10">
        <v>2</v>
      </c>
      <c r="K1466" s="10">
        <v>401.93</v>
      </c>
    </row>
    <row r="1467" spans="1:11" x14ac:dyDescent="0.25">
      <c r="A1467" s="8" t="s">
        <v>2756</v>
      </c>
      <c r="B1467" s="8" t="s">
        <v>65</v>
      </c>
      <c r="C1467" s="8" t="s">
        <v>2006</v>
      </c>
      <c r="D1467" s="8">
        <v>5</v>
      </c>
      <c r="E1467" s="8" t="s">
        <v>2757</v>
      </c>
      <c r="F1467" s="8" t="s">
        <v>215</v>
      </c>
      <c r="G1467" s="8" t="s">
        <v>2748</v>
      </c>
      <c r="H1467" s="10">
        <v>2</v>
      </c>
      <c r="I1467" s="10"/>
      <c r="J1467" s="10">
        <v>2</v>
      </c>
      <c r="K1467" s="10">
        <v>401.93</v>
      </c>
    </row>
    <row r="1468" spans="1:11" x14ac:dyDescent="0.25">
      <c r="A1468" s="8" t="s">
        <v>2758</v>
      </c>
      <c r="B1468" s="8" t="s">
        <v>1650</v>
      </c>
      <c r="C1468" s="8" t="s">
        <v>2006</v>
      </c>
      <c r="D1468" s="8">
        <v>5</v>
      </c>
      <c r="E1468" s="8" t="s">
        <v>2757</v>
      </c>
      <c r="F1468" s="8" t="s">
        <v>215</v>
      </c>
      <c r="G1468" s="8" t="s">
        <v>2748</v>
      </c>
      <c r="H1468" s="10">
        <v>1</v>
      </c>
      <c r="I1468" s="10"/>
      <c r="J1468" s="10">
        <v>1</v>
      </c>
      <c r="K1468" s="10">
        <v>401.93</v>
      </c>
    </row>
    <row r="1469" spans="1:11" x14ac:dyDescent="0.25">
      <c r="A1469" s="8" t="s">
        <v>2759</v>
      </c>
      <c r="B1469" s="8" t="s">
        <v>120</v>
      </c>
      <c r="C1469" s="8" t="s">
        <v>2006</v>
      </c>
      <c r="D1469" s="8">
        <v>5</v>
      </c>
      <c r="E1469" s="8" t="s">
        <v>2757</v>
      </c>
      <c r="F1469" s="8" t="s">
        <v>215</v>
      </c>
      <c r="G1469" s="8" t="s">
        <v>2748</v>
      </c>
      <c r="H1469" s="10">
        <v>1</v>
      </c>
      <c r="I1469" s="10"/>
      <c r="J1469" s="10">
        <v>1</v>
      </c>
      <c r="K1469" s="10">
        <v>401.93</v>
      </c>
    </row>
    <row r="1470" spans="1:11" x14ac:dyDescent="0.25">
      <c r="A1470" s="8" t="s">
        <v>2760</v>
      </c>
      <c r="B1470" s="8" t="s">
        <v>120</v>
      </c>
      <c r="C1470" s="8" t="s">
        <v>2006</v>
      </c>
      <c r="D1470" s="8">
        <v>5</v>
      </c>
      <c r="E1470" s="8" t="s">
        <v>2757</v>
      </c>
      <c r="F1470" s="8" t="s">
        <v>215</v>
      </c>
      <c r="G1470" s="8" t="s">
        <v>2748</v>
      </c>
      <c r="H1470" s="10">
        <v>1</v>
      </c>
      <c r="I1470" s="10"/>
      <c r="J1470" s="10">
        <v>1</v>
      </c>
      <c r="K1470" s="10">
        <v>401.93</v>
      </c>
    </row>
    <row r="1471" spans="1:11" x14ac:dyDescent="0.25">
      <c r="A1471" s="8" t="s">
        <v>2761</v>
      </c>
      <c r="B1471" s="8" t="s">
        <v>1655</v>
      </c>
      <c r="C1471" s="8" t="s">
        <v>2006</v>
      </c>
      <c r="D1471" s="8">
        <v>5</v>
      </c>
      <c r="E1471" s="8" t="s">
        <v>2757</v>
      </c>
      <c r="F1471" s="8" t="s">
        <v>215</v>
      </c>
      <c r="G1471" s="8" t="s">
        <v>2748</v>
      </c>
      <c r="H1471" s="10">
        <v>1</v>
      </c>
      <c r="I1471" s="10"/>
      <c r="J1471" s="10">
        <v>1</v>
      </c>
      <c r="K1471" s="10">
        <v>401.93</v>
      </c>
    </row>
    <row r="1472" spans="1:11" x14ac:dyDescent="0.25">
      <c r="A1472" s="8" t="s">
        <v>2762</v>
      </c>
      <c r="B1472" s="8" t="s">
        <v>2732</v>
      </c>
      <c r="C1472" s="8" t="s">
        <v>2006</v>
      </c>
      <c r="D1472" s="8">
        <v>5</v>
      </c>
      <c r="E1472" s="8" t="s">
        <v>2757</v>
      </c>
      <c r="F1472" s="8" t="s">
        <v>215</v>
      </c>
      <c r="G1472" s="8" t="s">
        <v>2748</v>
      </c>
      <c r="H1472" s="10">
        <v>2</v>
      </c>
      <c r="I1472" s="10"/>
      <c r="J1472" s="10">
        <v>2</v>
      </c>
      <c r="K1472" s="10">
        <v>401.93</v>
      </c>
    </row>
    <row r="1473" spans="1:11" x14ac:dyDescent="0.25">
      <c r="A1473" s="8" t="s">
        <v>2763</v>
      </c>
      <c r="B1473" s="8" t="s">
        <v>2764</v>
      </c>
      <c r="C1473" s="8" t="s">
        <v>2006</v>
      </c>
      <c r="D1473" s="8">
        <v>5</v>
      </c>
      <c r="E1473" s="8" t="s">
        <v>2765</v>
      </c>
      <c r="F1473" s="8" t="s">
        <v>215</v>
      </c>
      <c r="G1473" s="8" t="s">
        <v>2748</v>
      </c>
      <c r="H1473" s="10">
        <v>1</v>
      </c>
      <c r="I1473" s="10"/>
      <c r="J1473" s="10">
        <v>1</v>
      </c>
      <c r="K1473" s="10">
        <v>401.93</v>
      </c>
    </row>
    <row r="1474" spans="1:11" x14ac:dyDescent="0.25">
      <c r="A1474" s="8" t="s">
        <v>2766</v>
      </c>
      <c r="B1474" s="8" t="s">
        <v>1650</v>
      </c>
      <c r="C1474" s="8" t="s">
        <v>2006</v>
      </c>
      <c r="D1474" s="8">
        <v>5</v>
      </c>
      <c r="E1474" s="8" t="s">
        <v>2765</v>
      </c>
      <c r="F1474" s="8" t="s">
        <v>215</v>
      </c>
      <c r="G1474" s="8" t="s">
        <v>2748</v>
      </c>
      <c r="H1474" s="10">
        <v>1</v>
      </c>
      <c r="I1474" s="10"/>
      <c r="J1474" s="10">
        <v>1</v>
      </c>
      <c r="K1474" s="10">
        <v>401.93</v>
      </c>
    </row>
    <row r="1475" spans="1:11" x14ac:dyDescent="0.25">
      <c r="A1475" s="8" t="s">
        <v>2767</v>
      </c>
      <c r="B1475" s="8" t="s">
        <v>1655</v>
      </c>
      <c r="C1475" s="8" t="s">
        <v>2006</v>
      </c>
      <c r="D1475" s="8">
        <v>5</v>
      </c>
      <c r="E1475" s="8" t="s">
        <v>2765</v>
      </c>
      <c r="F1475" s="8" t="s">
        <v>215</v>
      </c>
      <c r="G1475" s="8" t="s">
        <v>2748</v>
      </c>
      <c r="H1475" s="10">
        <v>1</v>
      </c>
      <c r="I1475" s="10"/>
      <c r="J1475" s="10">
        <v>1</v>
      </c>
      <c r="K1475" s="10">
        <v>401.93</v>
      </c>
    </row>
    <row r="1476" spans="1:11" x14ac:dyDescent="0.25">
      <c r="A1476" s="8" t="s">
        <v>2768</v>
      </c>
      <c r="B1476" s="8" t="s">
        <v>2074</v>
      </c>
      <c r="C1476" s="8" t="s">
        <v>2006</v>
      </c>
      <c r="D1476" s="8">
        <v>5</v>
      </c>
      <c r="E1476" s="8" t="s">
        <v>2765</v>
      </c>
      <c r="F1476" s="8" t="s">
        <v>215</v>
      </c>
      <c r="G1476" s="8" t="s">
        <v>2748</v>
      </c>
      <c r="H1476" s="10">
        <v>2</v>
      </c>
      <c r="I1476" s="10"/>
      <c r="J1476" s="10">
        <v>2</v>
      </c>
      <c r="K1476" s="10">
        <v>401.93</v>
      </c>
    </row>
    <row r="1477" spans="1:11" x14ac:dyDescent="0.25">
      <c r="A1477" s="8" t="s">
        <v>2769</v>
      </c>
      <c r="B1477" s="8" t="s">
        <v>1650</v>
      </c>
      <c r="C1477" s="8" t="s">
        <v>2006</v>
      </c>
      <c r="D1477" s="8">
        <v>5</v>
      </c>
      <c r="E1477" s="8" t="s">
        <v>2770</v>
      </c>
      <c r="F1477" s="8" t="s">
        <v>215</v>
      </c>
      <c r="G1477" s="8" t="s">
        <v>2748</v>
      </c>
      <c r="H1477" s="10">
        <v>2</v>
      </c>
      <c r="I1477" s="10"/>
      <c r="J1477" s="10">
        <v>2</v>
      </c>
      <c r="K1477" s="10">
        <v>401.93</v>
      </c>
    </row>
    <row r="1478" spans="1:11" x14ac:dyDescent="0.25">
      <c r="A1478" s="8" t="s">
        <v>2771</v>
      </c>
      <c r="B1478" s="8" t="s">
        <v>120</v>
      </c>
      <c r="C1478" s="8" t="s">
        <v>2006</v>
      </c>
      <c r="D1478" s="8">
        <v>5</v>
      </c>
      <c r="E1478" s="8" t="s">
        <v>2770</v>
      </c>
      <c r="F1478" s="8" t="s">
        <v>215</v>
      </c>
      <c r="G1478" s="8" t="s">
        <v>2748</v>
      </c>
      <c r="H1478" s="10">
        <v>3</v>
      </c>
      <c r="I1478" s="10"/>
      <c r="J1478" s="10">
        <v>3</v>
      </c>
      <c r="K1478" s="10">
        <v>401.93</v>
      </c>
    </row>
    <row r="1479" spans="1:11" x14ac:dyDescent="0.25">
      <c r="A1479" s="8" t="s">
        <v>2772</v>
      </c>
      <c r="B1479" s="8" t="s">
        <v>1655</v>
      </c>
      <c r="C1479" s="8" t="s">
        <v>2006</v>
      </c>
      <c r="D1479" s="8">
        <v>5</v>
      </c>
      <c r="E1479" s="8" t="s">
        <v>2770</v>
      </c>
      <c r="F1479" s="8" t="s">
        <v>215</v>
      </c>
      <c r="G1479" s="8" t="s">
        <v>2748</v>
      </c>
      <c r="H1479" s="10">
        <v>2</v>
      </c>
      <c r="I1479" s="10"/>
      <c r="J1479" s="10">
        <v>2</v>
      </c>
      <c r="K1479" s="10">
        <v>401.93</v>
      </c>
    </row>
    <row r="1480" spans="1:11" x14ac:dyDescent="0.25">
      <c r="A1480" s="8" t="s">
        <v>2773</v>
      </c>
      <c r="B1480" s="8" t="s">
        <v>2074</v>
      </c>
      <c r="C1480" s="8" t="s">
        <v>2006</v>
      </c>
      <c r="D1480" s="8">
        <v>5</v>
      </c>
      <c r="E1480" s="8" t="s">
        <v>2770</v>
      </c>
      <c r="F1480" s="8" t="s">
        <v>215</v>
      </c>
      <c r="G1480" s="8" t="s">
        <v>2748</v>
      </c>
      <c r="H1480" s="10">
        <v>5</v>
      </c>
      <c r="I1480" s="10"/>
      <c r="J1480" s="10">
        <v>5</v>
      </c>
      <c r="K1480" s="10">
        <v>401.93</v>
      </c>
    </row>
    <row r="1481" spans="1:11" x14ac:dyDescent="0.25">
      <c r="A1481" s="8" t="s">
        <v>2774</v>
      </c>
      <c r="B1481" s="8" t="s">
        <v>122</v>
      </c>
      <c r="C1481" s="8" t="s">
        <v>2775</v>
      </c>
      <c r="D1481" s="8">
        <v>5</v>
      </c>
      <c r="E1481" s="8" t="s">
        <v>2776</v>
      </c>
      <c r="F1481" s="8" t="s">
        <v>266</v>
      </c>
      <c r="G1481" s="8" t="s">
        <v>2777</v>
      </c>
      <c r="H1481" s="10">
        <v>10.28</v>
      </c>
      <c r="I1481" s="10"/>
      <c r="J1481" s="10">
        <v>10.28</v>
      </c>
      <c r="K1481" s="10">
        <v>10734.31</v>
      </c>
    </row>
    <row r="1482" spans="1:11" x14ac:dyDescent="0.25">
      <c r="A1482" s="8" t="s">
        <v>2778</v>
      </c>
      <c r="B1482" s="8" t="s">
        <v>122</v>
      </c>
      <c r="C1482" s="8" t="s">
        <v>2775</v>
      </c>
      <c r="D1482" s="8">
        <v>5</v>
      </c>
      <c r="E1482" s="8" t="s">
        <v>2776</v>
      </c>
      <c r="F1482" s="8" t="s">
        <v>266</v>
      </c>
      <c r="G1482" s="8" t="s">
        <v>2777</v>
      </c>
      <c r="H1482" s="10">
        <v>10.199999999999999</v>
      </c>
      <c r="I1482" s="10"/>
      <c r="J1482" s="10">
        <v>10.199999999999999</v>
      </c>
      <c r="K1482" s="10">
        <v>10734.31</v>
      </c>
    </row>
    <row r="1483" spans="1:11" x14ac:dyDescent="0.25">
      <c r="A1483" s="8" t="s">
        <v>2779</v>
      </c>
      <c r="B1483" s="8" t="s">
        <v>124</v>
      </c>
      <c r="C1483" s="8" t="s">
        <v>2775</v>
      </c>
      <c r="D1483" s="8">
        <v>5</v>
      </c>
      <c r="E1483" s="8" t="s">
        <v>2780</v>
      </c>
      <c r="F1483" s="8" t="s">
        <v>266</v>
      </c>
      <c r="G1483" s="8" t="s">
        <v>2777</v>
      </c>
      <c r="H1483" s="10">
        <v>10.94</v>
      </c>
      <c r="I1483" s="10"/>
      <c r="J1483" s="10">
        <v>10.94</v>
      </c>
      <c r="K1483" s="10">
        <v>10734.31</v>
      </c>
    </row>
    <row r="1484" spans="1:11" x14ac:dyDescent="0.25">
      <c r="A1484" s="8" t="s">
        <v>2781</v>
      </c>
      <c r="B1484" s="8" t="s">
        <v>124</v>
      </c>
      <c r="C1484" s="8" t="s">
        <v>2775</v>
      </c>
      <c r="D1484" s="8">
        <v>5</v>
      </c>
      <c r="E1484" s="8" t="s">
        <v>2780</v>
      </c>
      <c r="F1484" s="8" t="s">
        <v>266</v>
      </c>
      <c r="G1484" s="8" t="s">
        <v>2777</v>
      </c>
      <c r="H1484" s="10">
        <v>10.94</v>
      </c>
      <c r="I1484" s="10"/>
      <c r="J1484" s="10">
        <v>10.94</v>
      </c>
      <c r="K1484" s="10">
        <v>10734.31</v>
      </c>
    </row>
    <row r="1485" spans="1:11" x14ac:dyDescent="0.25">
      <c r="A1485" s="8" t="s">
        <v>2782</v>
      </c>
      <c r="B1485" s="8" t="s">
        <v>124</v>
      </c>
      <c r="C1485" s="8" t="s">
        <v>2775</v>
      </c>
      <c r="D1485" s="8">
        <v>5</v>
      </c>
      <c r="E1485" s="8" t="s">
        <v>2780</v>
      </c>
      <c r="F1485" s="8" t="s">
        <v>266</v>
      </c>
      <c r="G1485" s="8" t="s">
        <v>2777</v>
      </c>
      <c r="H1485" s="10">
        <v>4.82</v>
      </c>
      <c r="I1485" s="10"/>
      <c r="J1485" s="10">
        <v>4.82</v>
      </c>
      <c r="K1485" s="10">
        <v>8962.69</v>
      </c>
    </row>
    <row r="1486" spans="1:11" x14ac:dyDescent="0.25">
      <c r="A1486" s="8" t="s">
        <v>2783</v>
      </c>
      <c r="B1486" s="8" t="s">
        <v>124</v>
      </c>
      <c r="C1486" s="8" t="s">
        <v>2775</v>
      </c>
      <c r="D1486" s="8">
        <v>5</v>
      </c>
      <c r="E1486" s="8" t="s">
        <v>2780</v>
      </c>
      <c r="F1486" s="8" t="s">
        <v>266</v>
      </c>
      <c r="G1486" s="8" t="s">
        <v>2777</v>
      </c>
      <c r="H1486" s="10">
        <v>4.82</v>
      </c>
      <c r="I1486" s="10"/>
      <c r="J1486" s="10">
        <v>4.82</v>
      </c>
      <c r="K1486" s="10">
        <v>8962.69</v>
      </c>
    </row>
    <row r="1487" spans="1:11" x14ac:dyDescent="0.25">
      <c r="A1487" s="8" t="s">
        <v>2784</v>
      </c>
      <c r="B1487" s="8" t="s">
        <v>124</v>
      </c>
      <c r="C1487" s="8" t="s">
        <v>2775</v>
      </c>
      <c r="D1487" s="8">
        <v>5</v>
      </c>
      <c r="E1487" s="8" t="s">
        <v>2780</v>
      </c>
      <c r="F1487" s="8" t="s">
        <v>266</v>
      </c>
      <c r="G1487" s="8" t="s">
        <v>2777</v>
      </c>
      <c r="H1487" s="10">
        <v>10.15</v>
      </c>
      <c r="I1487" s="10"/>
      <c r="J1487" s="10">
        <v>10.15</v>
      </c>
      <c r="K1487" s="10">
        <v>10734.31</v>
      </c>
    </row>
    <row r="1488" spans="1:11" x14ac:dyDescent="0.25">
      <c r="A1488" s="8" t="s">
        <v>2785</v>
      </c>
      <c r="B1488" s="8" t="s">
        <v>124</v>
      </c>
      <c r="C1488" s="8" t="s">
        <v>2775</v>
      </c>
      <c r="D1488" s="8">
        <v>5</v>
      </c>
      <c r="E1488" s="8" t="s">
        <v>2780</v>
      </c>
      <c r="F1488" s="8" t="s">
        <v>266</v>
      </c>
      <c r="G1488" s="8" t="s">
        <v>2777</v>
      </c>
      <c r="H1488" s="10">
        <v>3.47</v>
      </c>
      <c r="I1488" s="10"/>
      <c r="J1488" s="10">
        <v>3.47</v>
      </c>
      <c r="K1488" s="10">
        <v>9848.5</v>
      </c>
    </row>
    <row r="1489" spans="1:11" x14ac:dyDescent="0.25">
      <c r="A1489" s="8" t="s">
        <v>2786</v>
      </c>
      <c r="B1489" s="8" t="s">
        <v>78</v>
      </c>
      <c r="C1489" s="8" t="s">
        <v>2775</v>
      </c>
      <c r="D1489" s="8">
        <v>5</v>
      </c>
      <c r="E1489" s="8" t="s">
        <v>2780</v>
      </c>
      <c r="F1489" s="8" t="s">
        <v>266</v>
      </c>
      <c r="G1489" s="8" t="s">
        <v>2777</v>
      </c>
      <c r="H1489" s="10">
        <v>7.62</v>
      </c>
      <c r="I1489" s="10"/>
      <c r="J1489" s="10">
        <v>7.62</v>
      </c>
      <c r="K1489" s="10">
        <v>10734.31</v>
      </c>
    </row>
    <row r="1490" spans="1:11" x14ac:dyDescent="0.25">
      <c r="A1490" s="8" t="s">
        <v>2787</v>
      </c>
      <c r="B1490" s="8" t="s">
        <v>78</v>
      </c>
      <c r="C1490" s="8" t="s">
        <v>2775</v>
      </c>
      <c r="D1490" s="8">
        <v>5</v>
      </c>
      <c r="E1490" s="8" t="s">
        <v>2780</v>
      </c>
      <c r="F1490" s="8" t="s">
        <v>266</v>
      </c>
      <c r="G1490" s="8" t="s">
        <v>2777</v>
      </c>
      <c r="H1490" s="10">
        <v>7.62</v>
      </c>
      <c r="I1490" s="10"/>
      <c r="J1490" s="10">
        <v>7.62</v>
      </c>
      <c r="K1490" s="10">
        <v>10734.31</v>
      </c>
    </row>
    <row r="1491" spans="1:11" x14ac:dyDescent="0.25">
      <c r="A1491" s="8" t="s">
        <v>2788</v>
      </c>
      <c r="B1491" s="8" t="s">
        <v>78</v>
      </c>
      <c r="C1491" s="8" t="s">
        <v>2775</v>
      </c>
      <c r="D1491" s="8">
        <v>5</v>
      </c>
      <c r="E1491" s="8" t="s">
        <v>2780</v>
      </c>
      <c r="F1491" s="8" t="s">
        <v>266</v>
      </c>
      <c r="G1491" s="8" t="s">
        <v>2777</v>
      </c>
      <c r="H1491" s="10">
        <v>6.53</v>
      </c>
      <c r="I1491" s="10"/>
      <c r="J1491" s="10">
        <v>6.53</v>
      </c>
      <c r="K1491" s="10">
        <v>10734.31</v>
      </c>
    </row>
    <row r="1492" spans="1:11" x14ac:dyDescent="0.25">
      <c r="A1492" s="8" t="s">
        <v>2789</v>
      </c>
      <c r="B1492" s="8" t="s">
        <v>78</v>
      </c>
      <c r="C1492" s="8" t="s">
        <v>2775</v>
      </c>
      <c r="D1492" s="8">
        <v>5</v>
      </c>
      <c r="E1492" s="8" t="s">
        <v>2780</v>
      </c>
      <c r="F1492" s="8" t="s">
        <v>266</v>
      </c>
      <c r="G1492" s="8" t="s">
        <v>2777</v>
      </c>
      <c r="H1492" s="10">
        <v>6.53</v>
      </c>
      <c r="I1492" s="10"/>
      <c r="J1492" s="10">
        <v>6.53</v>
      </c>
      <c r="K1492" s="10">
        <v>10734.31</v>
      </c>
    </row>
    <row r="1493" spans="1:11" x14ac:dyDescent="0.25">
      <c r="A1493" s="8" t="s">
        <v>2790</v>
      </c>
      <c r="B1493" s="8" t="s">
        <v>128</v>
      </c>
      <c r="C1493" s="8" t="s">
        <v>2775</v>
      </c>
      <c r="D1493" s="8">
        <v>5</v>
      </c>
      <c r="E1493" s="8" t="s">
        <v>2776</v>
      </c>
      <c r="F1493" s="8" t="s">
        <v>266</v>
      </c>
      <c r="G1493" s="8" t="s">
        <v>2777</v>
      </c>
      <c r="H1493" s="10">
        <v>3.3</v>
      </c>
      <c r="I1493" s="10"/>
      <c r="J1493" s="10">
        <v>3.3</v>
      </c>
      <c r="K1493" s="10">
        <v>9848.5</v>
      </c>
    </row>
    <row r="1494" spans="1:11" x14ac:dyDescent="0.25">
      <c r="A1494" s="8" t="s">
        <v>2791</v>
      </c>
      <c r="B1494" s="8" t="s">
        <v>128</v>
      </c>
      <c r="C1494" s="8" t="s">
        <v>2775</v>
      </c>
      <c r="D1494" s="8">
        <v>5</v>
      </c>
      <c r="E1494" s="8" t="s">
        <v>2780</v>
      </c>
      <c r="F1494" s="8" t="s">
        <v>266</v>
      </c>
      <c r="G1494" s="8" t="s">
        <v>2777</v>
      </c>
      <c r="H1494" s="10">
        <v>8.74</v>
      </c>
      <c r="I1494" s="10"/>
      <c r="J1494" s="10">
        <v>8.74</v>
      </c>
      <c r="K1494" s="10">
        <v>10734.31</v>
      </c>
    </row>
    <row r="1495" spans="1:11" x14ac:dyDescent="0.25">
      <c r="A1495" s="8" t="s">
        <v>2792</v>
      </c>
      <c r="B1495" s="8" t="s">
        <v>118</v>
      </c>
      <c r="C1495" s="8" t="s">
        <v>2775</v>
      </c>
      <c r="D1495" s="8">
        <v>5</v>
      </c>
      <c r="E1495" s="8" t="s">
        <v>2793</v>
      </c>
      <c r="F1495" s="8" t="s">
        <v>266</v>
      </c>
      <c r="G1495" s="8" t="s">
        <v>2777</v>
      </c>
      <c r="H1495" s="10">
        <v>0.49</v>
      </c>
      <c r="I1495" s="10"/>
      <c r="J1495" s="10">
        <v>0.49</v>
      </c>
      <c r="K1495" s="10">
        <v>8962.69</v>
      </c>
    </row>
    <row r="1496" spans="1:11" x14ac:dyDescent="0.25">
      <c r="A1496" s="8" t="s">
        <v>2794</v>
      </c>
      <c r="B1496" s="8" t="s">
        <v>120</v>
      </c>
      <c r="C1496" s="8" t="s">
        <v>2775</v>
      </c>
      <c r="D1496" s="8">
        <v>5</v>
      </c>
      <c r="E1496" s="8" t="s">
        <v>2795</v>
      </c>
      <c r="F1496" s="8" t="s">
        <v>266</v>
      </c>
      <c r="G1496" s="8" t="s">
        <v>2777</v>
      </c>
      <c r="H1496" s="10">
        <v>6.06</v>
      </c>
      <c r="I1496" s="10"/>
      <c r="J1496" s="10">
        <v>6.06</v>
      </c>
      <c r="K1496" s="10">
        <v>5419.47</v>
      </c>
    </row>
    <row r="1497" spans="1:11" x14ac:dyDescent="0.25">
      <c r="A1497" s="8" t="s">
        <v>2796</v>
      </c>
      <c r="B1497" s="8" t="s">
        <v>120</v>
      </c>
      <c r="C1497" s="8" t="s">
        <v>2775</v>
      </c>
      <c r="D1497" s="8">
        <v>5</v>
      </c>
      <c r="E1497" s="8" t="s">
        <v>2795</v>
      </c>
      <c r="F1497" s="8" t="s">
        <v>266</v>
      </c>
      <c r="G1497" s="8" t="s">
        <v>2777</v>
      </c>
      <c r="H1497" s="10">
        <v>6.06</v>
      </c>
      <c r="I1497" s="10"/>
      <c r="J1497" s="10">
        <v>6.06</v>
      </c>
      <c r="K1497" s="10">
        <v>5419.47</v>
      </c>
    </row>
    <row r="1498" spans="1:11" x14ac:dyDescent="0.25">
      <c r="A1498" s="8" t="s">
        <v>2797</v>
      </c>
      <c r="B1498" s="8" t="s">
        <v>120</v>
      </c>
      <c r="C1498" s="8" t="s">
        <v>2775</v>
      </c>
      <c r="D1498" s="8">
        <v>5</v>
      </c>
      <c r="E1498" s="8" t="s">
        <v>2795</v>
      </c>
      <c r="F1498" s="8" t="s">
        <v>266</v>
      </c>
      <c r="G1498" s="8" t="s">
        <v>2777</v>
      </c>
      <c r="H1498" s="10">
        <v>5.64</v>
      </c>
      <c r="I1498" s="10"/>
      <c r="J1498" s="10">
        <v>5.64</v>
      </c>
      <c r="K1498" s="10">
        <v>5419.47</v>
      </c>
    </row>
    <row r="1499" spans="1:11" x14ac:dyDescent="0.25">
      <c r="A1499" s="8" t="s">
        <v>2798</v>
      </c>
      <c r="B1499" s="8" t="s">
        <v>120</v>
      </c>
      <c r="C1499" s="8" t="s">
        <v>2775</v>
      </c>
      <c r="D1499" s="8">
        <v>5</v>
      </c>
      <c r="E1499" s="8" t="s">
        <v>2795</v>
      </c>
      <c r="F1499" s="8" t="s">
        <v>266</v>
      </c>
      <c r="G1499" s="8" t="s">
        <v>2777</v>
      </c>
      <c r="H1499" s="10">
        <v>5.64</v>
      </c>
      <c r="I1499" s="10"/>
      <c r="J1499" s="10">
        <v>5.64</v>
      </c>
      <c r="K1499" s="10">
        <v>5419.47</v>
      </c>
    </row>
    <row r="1500" spans="1:11" x14ac:dyDescent="0.25">
      <c r="A1500" s="8" t="s">
        <v>2799</v>
      </c>
      <c r="B1500" s="8" t="s">
        <v>122</v>
      </c>
      <c r="C1500" s="8" t="s">
        <v>2775</v>
      </c>
      <c r="D1500" s="8">
        <v>5</v>
      </c>
      <c r="E1500" s="8" t="s">
        <v>2795</v>
      </c>
      <c r="F1500" s="8" t="s">
        <v>266</v>
      </c>
      <c r="G1500" s="8" t="s">
        <v>2777</v>
      </c>
      <c r="H1500" s="10">
        <v>2.86</v>
      </c>
      <c r="I1500" s="10"/>
      <c r="J1500" s="10">
        <v>2.86</v>
      </c>
      <c r="K1500" s="10">
        <v>5419.47</v>
      </c>
    </row>
    <row r="1501" spans="1:11" x14ac:dyDescent="0.25">
      <c r="A1501" s="8" t="s">
        <v>2800</v>
      </c>
      <c r="B1501" s="8" t="s">
        <v>122</v>
      </c>
      <c r="C1501" s="8" t="s">
        <v>2775</v>
      </c>
      <c r="D1501" s="8">
        <v>5</v>
      </c>
      <c r="E1501" s="8" t="s">
        <v>2795</v>
      </c>
      <c r="F1501" s="8" t="s">
        <v>266</v>
      </c>
      <c r="G1501" s="8" t="s">
        <v>2777</v>
      </c>
      <c r="H1501" s="10">
        <v>2.86</v>
      </c>
      <c r="I1501" s="10"/>
      <c r="J1501" s="10">
        <v>2.86</v>
      </c>
      <c r="K1501" s="10">
        <v>5419.47</v>
      </c>
    </row>
    <row r="1502" spans="1:11" x14ac:dyDescent="0.25">
      <c r="A1502" s="8" t="s">
        <v>2801</v>
      </c>
      <c r="B1502" s="8" t="s">
        <v>124</v>
      </c>
      <c r="C1502" s="8" t="s">
        <v>2775</v>
      </c>
      <c r="D1502" s="8">
        <v>5</v>
      </c>
      <c r="E1502" s="8" t="s">
        <v>2795</v>
      </c>
      <c r="F1502" s="8" t="s">
        <v>266</v>
      </c>
      <c r="G1502" s="8" t="s">
        <v>2777</v>
      </c>
      <c r="H1502" s="10">
        <v>2.76</v>
      </c>
      <c r="I1502" s="10"/>
      <c r="J1502" s="10">
        <v>2.76</v>
      </c>
      <c r="K1502" s="10">
        <v>5419.47</v>
      </c>
    </row>
    <row r="1503" spans="1:11" x14ac:dyDescent="0.25">
      <c r="A1503" s="8" t="s">
        <v>2802</v>
      </c>
      <c r="B1503" s="8" t="s">
        <v>124</v>
      </c>
      <c r="C1503" s="8" t="s">
        <v>2775</v>
      </c>
      <c r="D1503" s="8">
        <v>5</v>
      </c>
      <c r="E1503" s="8" t="s">
        <v>2795</v>
      </c>
      <c r="F1503" s="8" t="s">
        <v>266</v>
      </c>
      <c r="G1503" s="8" t="s">
        <v>2777</v>
      </c>
      <c r="H1503" s="10">
        <v>2.76</v>
      </c>
      <c r="I1503" s="10"/>
      <c r="J1503" s="10">
        <v>2.76</v>
      </c>
      <c r="K1503" s="10">
        <v>5419.47</v>
      </c>
    </row>
    <row r="1504" spans="1:11" x14ac:dyDescent="0.25">
      <c r="A1504" s="8" t="s">
        <v>2803</v>
      </c>
      <c r="B1504" s="8" t="s">
        <v>128</v>
      </c>
      <c r="C1504" s="8" t="s">
        <v>2775</v>
      </c>
      <c r="D1504" s="8">
        <v>5</v>
      </c>
      <c r="E1504" s="8" t="s">
        <v>2795</v>
      </c>
      <c r="F1504" s="8" t="s">
        <v>266</v>
      </c>
      <c r="G1504" s="8" t="s">
        <v>2777</v>
      </c>
      <c r="H1504" s="10">
        <v>0.98</v>
      </c>
      <c r="I1504" s="10"/>
      <c r="J1504" s="10">
        <v>0.98</v>
      </c>
      <c r="K1504" s="10">
        <v>7191.08</v>
      </c>
    </row>
    <row r="1505" spans="1:11" x14ac:dyDescent="0.25">
      <c r="A1505" s="8" t="s">
        <v>2804</v>
      </c>
      <c r="B1505" s="8" t="s">
        <v>122</v>
      </c>
      <c r="C1505" s="8" t="s">
        <v>2775</v>
      </c>
      <c r="D1505" s="8">
        <v>5</v>
      </c>
      <c r="E1505" s="8" t="s">
        <v>2805</v>
      </c>
      <c r="F1505" s="8" t="s">
        <v>266</v>
      </c>
      <c r="G1505" s="8" t="s">
        <v>2777</v>
      </c>
      <c r="H1505" s="10">
        <v>3.94</v>
      </c>
      <c r="I1505" s="10"/>
      <c r="J1505" s="10">
        <v>3.94</v>
      </c>
      <c r="K1505" s="10">
        <v>9848.5</v>
      </c>
    </row>
    <row r="1506" spans="1:11" x14ac:dyDescent="0.25">
      <c r="A1506" s="8" t="s">
        <v>2806</v>
      </c>
      <c r="B1506" s="8" t="s">
        <v>122</v>
      </c>
      <c r="C1506" s="8" t="s">
        <v>2775</v>
      </c>
      <c r="D1506" s="8">
        <v>5</v>
      </c>
      <c r="E1506" s="8" t="s">
        <v>2807</v>
      </c>
      <c r="F1506" s="8" t="s">
        <v>266</v>
      </c>
      <c r="G1506" s="8" t="s">
        <v>2777</v>
      </c>
      <c r="H1506" s="10">
        <v>2.19</v>
      </c>
      <c r="I1506" s="10"/>
      <c r="J1506" s="10">
        <v>2.19</v>
      </c>
      <c r="K1506" s="10">
        <v>8962.69</v>
      </c>
    </row>
    <row r="1507" spans="1:11" x14ac:dyDescent="0.25">
      <c r="A1507" s="8" t="s">
        <v>2808</v>
      </c>
      <c r="B1507" s="8" t="s">
        <v>122</v>
      </c>
      <c r="C1507" s="8" t="s">
        <v>2775</v>
      </c>
      <c r="D1507" s="8">
        <v>5</v>
      </c>
      <c r="E1507" s="8" t="s">
        <v>2809</v>
      </c>
      <c r="F1507" s="8" t="s">
        <v>266</v>
      </c>
      <c r="G1507" s="8" t="s">
        <v>2777</v>
      </c>
      <c r="H1507" s="10">
        <v>70.27</v>
      </c>
      <c r="I1507" s="10"/>
      <c r="J1507" s="10">
        <v>70.27</v>
      </c>
      <c r="K1507" s="10">
        <v>8962.69</v>
      </c>
    </row>
    <row r="1508" spans="1:11" x14ac:dyDescent="0.25">
      <c r="A1508" s="8" t="s">
        <v>2810</v>
      </c>
      <c r="B1508" s="8" t="s">
        <v>122</v>
      </c>
      <c r="C1508" s="8" t="s">
        <v>2775</v>
      </c>
      <c r="D1508" s="8">
        <v>5</v>
      </c>
      <c r="E1508" s="8" t="s">
        <v>2811</v>
      </c>
      <c r="F1508" s="8" t="s">
        <v>266</v>
      </c>
      <c r="G1508" s="8" t="s">
        <v>2777</v>
      </c>
      <c r="H1508" s="10">
        <v>0.3</v>
      </c>
      <c r="I1508" s="10"/>
      <c r="J1508" s="10">
        <v>0.3</v>
      </c>
      <c r="K1508" s="10">
        <v>8962.69</v>
      </c>
    </row>
    <row r="1509" spans="1:11" x14ac:dyDescent="0.25">
      <c r="A1509" s="8" t="s">
        <v>2812</v>
      </c>
      <c r="B1509" s="8" t="s">
        <v>122</v>
      </c>
      <c r="C1509" s="8" t="s">
        <v>2775</v>
      </c>
      <c r="D1509" s="8">
        <v>5</v>
      </c>
      <c r="E1509" s="8" t="s">
        <v>2813</v>
      </c>
      <c r="F1509" s="8" t="s">
        <v>266</v>
      </c>
      <c r="G1509" s="8" t="s">
        <v>2777</v>
      </c>
      <c r="H1509" s="10">
        <v>1.6</v>
      </c>
      <c r="I1509" s="10"/>
      <c r="J1509" s="10">
        <v>1.6</v>
      </c>
      <c r="K1509" s="10">
        <v>8962.69</v>
      </c>
    </row>
    <row r="1510" spans="1:11" x14ac:dyDescent="0.25">
      <c r="A1510" s="8" t="s">
        <v>2814</v>
      </c>
      <c r="B1510" s="8" t="s">
        <v>78</v>
      </c>
      <c r="C1510" s="8" t="s">
        <v>2775</v>
      </c>
      <c r="D1510" s="8">
        <v>5</v>
      </c>
      <c r="E1510" s="8" t="s">
        <v>2815</v>
      </c>
      <c r="F1510" s="8" t="s">
        <v>266</v>
      </c>
      <c r="G1510" s="8" t="s">
        <v>2777</v>
      </c>
      <c r="H1510" s="10">
        <v>1.42</v>
      </c>
      <c r="I1510" s="10"/>
      <c r="J1510" s="10">
        <v>1.42</v>
      </c>
      <c r="K1510" s="10">
        <v>8962.69</v>
      </c>
    </row>
    <row r="1511" spans="1:11" x14ac:dyDescent="0.25">
      <c r="A1511" s="8" t="s">
        <v>2816</v>
      </c>
      <c r="B1511" s="8" t="s">
        <v>116</v>
      </c>
      <c r="C1511" s="8" t="s">
        <v>2775</v>
      </c>
      <c r="D1511" s="8">
        <v>5</v>
      </c>
      <c r="E1511" s="8" t="s">
        <v>2817</v>
      </c>
      <c r="F1511" s="8" t="s">
        <v>266</v>
      </c>
      <c r="G1511" s="8" t="s">
        <v>2777</v>
      </c>
      <c r="H1511" s="10">
        <v>44.4</v>
      </c>
      <c r="I1511" s="10"/>
      <c r="J1511" s="10">
        <v>44.4</v>
      </c>
      <c r="K1511" s="10">
        <v>9848.5</v>
      </c>
    </row>
    <row r="1512" spans="1:11" x14ac:dyDescent="0.25">
      <c r="A1512" s="8" t="s">
        <v>2818</v>
      </c>
      <c r="B1512" s="8" t="s">
        <v>116</v>
      </c>
      <c r="C1512" s="8" t="s">
        <v>2775</v>
      </c>
      <c r="D1512" s="8">
        <v>5</v>
      </c>
      <c r="E1512" s="8" t="s">
        <v>2817</v>
      </c>
      <c r="F1512" s="8" t="s">
        <v>266</v>
      </c>
      <c r="G1512" s="8" t="s">
        <v>2777</v>
      </c>
      <c r="H1512" s="10">
        <v>44.4</v>
      </c>
      <c r="I1512" s="10"/>
      <c r="J1512" s="10">
        <v>44.4</v>
      </c>
      <c r="K1512" s="10">
        <v>9848.5</v>
      </c>
    </row>
    <row r="1513" spans="1:11" x14ac:dyDescent="0.25">
      <c r="A1513" s="8" t="s">
        <v>2819</v>
      </c>
      <c r="B1513" s="8" t="s">
        <v>116</v>
      </c>
      <c r="C1513" s="8" t="s">
        <v>2775</v>
      </c>
      <c r="D1513" s="8">
        <v>5</v>
      </c>
      <c r="E1513" s="8" t="s">
        <v>2817</v>
      </c>
      <c r="F1513" s="8" t="s">
        <v>266</v>
      </c>
      <c r="G1513" s="8" t="s">
        <v>2777</v>
      </c>
      <c r="H1513" s="10">
        <v>44.4</v>
      </c>
      <c r="I1513" s="10"/>
      <c r="J1513" s="10">
        <v>44.4</v>
      </c>
      <c r="K1513" s="10">
        <v>9848.5</v>
      </c>
    </row>
    <row r="1514" spans="1:11" x14ac:dyDescent="0.25">
      <c r="A1514" s="8" t="s">
        <v>2820</v>
      </c>
      <c r="B1514" s="8" t="s">
        <v>116</v>
      </c>
      <c r="C1514" s="8" t="s">
        <v>2775</v>
      </c>
      <c r="D1514" s="8">
        <v>5</v>
      </c>
      <c r="E1514" s="8" t="s">
        <v>2817</v>
      </c>
      <c r="F1514" s="8" t="s">
        <v>266</v>
      </c>
      <c r="G1514" s="8" t="s">
        <v>2777</v>
      </c>
      <c r="H1514" s="10">
        <v>44.4</v>
      </c>
      <c r="I1514" s="10"/>
      <c r="J1514" s="10">
        <v>44.4</v>
      </c>
      <c r="K1514" s="10">
        <v>9848.5</v>
      </c>
    </row>
    <row r="1515" spans="1:11" x14ac:dyDescent="0.25">
      <c r="A1515" s="8" t="s">
        <v>2821</v>
      </c>
      <c r="B1515" s="8" t="s">
        <v>118</v>
      </c>
      <c r="C1515" s="8" t="s">
        <v>2775</v>
      </c>
      <c r="D1515" s="8">
        <v>5</v>
      </c>
      <c r="E1515" s="8" t="s">
        <v>2822</v>
      </c>
      <c r="F1515" s="8" t="s">
        <v>266</v>
      </c>
      <c r="G1515" s="8" t="s">
        <v>2777</v>
      </c>
      <c r="H1515" s="10">
        <v>15.7</v>
      </c>
      <c r="I1515" s="10"/>
      <c r="J1515" s="10">
        <v>15.7</v>
      </c>
      <c r="K1515" s="10">
        <v>8076.89</v>
      </c>
    </row>
    <row r="1516" spans="1:11" x14ac:dyDescent="0.25">
      <c r="A1516" s="8" t="s">
        <v>2823</v>
      </c>
      <c r="B1516" s="8" t="s">
        <v>118</v>
      </c>
      <c r="C1516" s="8" t="s">
        <v>2775</v>
      </c>
      <c r="D1516" s="8">
        <v>5</v>
      </c>
      <c r="E1516" s="8" t="s">
        <v>2822</v>
      </c>
      <c r="F1516" s="8" t="s">
        <v>266</v>
      </c>
      <c r="G1516" s="8" t="s">
        <v>2777</v>
      </c>
      <c r="H1516" s="10">
        <v>16.149999999999999</v>
      </c>
      <c r="I1516" s="10"/>
      <c r="J1516" s="10">
        <v>16.149999999999999</v>
      </c>
      <c r="K1516" s="10">
        <v>8076.89</v>
      </c>
    </row>
    <row r="1517" spans="1:11" x14ac:dyDescent="0.25">
      <c r="A1517" s="8" t="s">
        <v>2824</v>
      </c>
      <c r="B1517" s="8" t="s">
        <v>118</v>
      </c>
      <c r="C1517" s="8" t="s">
        <v>2775</v>
      </c>
      <c r="D1517" s="8">
        <v>5</v>
      </c>
      <c r="E1517" s="8" t="s">
        <v>2822</v>
      </c>
      <c r="F1517" s="8" t="s">
        <v>266</v>
      </c>
      <c r="G1517" s="8" t="s">
        <v>2777</v>
      </c>
      <c r="H1517" s="10">
        <v>22.12</v>
      </c>
      <c r="I1517" s="10"/>
      <c r="J1517" s="10">
        <v>22.12</v>
      </c>
      <c r="K1517" s="10">
        <v>8076.89</v>
      </c>
    </row>
    <row r="1518" spans="1:11" x14ac:dyDescent="0.25">
      <c r="A1518" s="8" t="s">
        <v>2825</v>
      </c>
      <c r="B1518" s="8" t="s">
        <v>118</v>
      </c>
      <c r="C1518" s="8" t="s">
        <v>2775</v>
      </c>
      <c r="D1518" s="8">
        <v>5</v>
      </c>
      <c r="E1518" s="8" t="s">
        <v>2822</v>
      </c>
      <c r="F1518" s="8" t="s">
        <v>266</v>
      </c>
      <c r="G1518" s="8" t="s">
        <v>2777</v>
      </c>
      <c r="H1518" s="10">
        <v>22.12</v>
      </c>
      <c r="I1518" s="10"/>
      <c r="J1518" s="10">
        <v>22.12</v>
      </c>
      <c r="K1518" s="10">
        <v>8076.89</v>
      </c>
    </row>
    <row r="1519" spans="1:11" x14ac:dyDescent="0.25">
      <c r="A1519" s="8" t="s">
        <v>2826</v>
      </c>
      <c r="B1519" s="8" t="s">
        <v>118</v>
      </c>
      <c r="C1519" s="8" t="s">
        <v>2775</v>
      </c>
      <c r="D1519" s="8">
        <v>5</v>
      </c>
      <c r="E1519" s="8" t="s">
        <v>2822</v>
      </c>
      <c r="F1519" s="8" t="s">
        <v>266</v>
      </c>
      <c r="G1519" s="8" t="s">
        <v>2777</v>
      </c>
      <c r="H1519" s="10">
        <v>17</v>
      </c>
      <c r="I1519" s="10"/>
      <c r="J1519" s="10">
        <v>17</v>
      </c>
      <c r="K1519" s="10">
        <v>8076.89</v>
      </c>
    </row>
    <row r="1520" spans="1:11" x14ac:dyDescent="0.25">
      <c r="A1520" s="8" t="s">
        <v>2827</v>
      </c>
      <c r="B1520" s="8" t="s">
        <v>118</v>
      </c>
      <c r="C1520" s="8" t="s">
        <v>2775</v>
      </c>
      <c r="D1520" s="8">
        <v>5</v>
      </c>
      <c r="E1520" s="8" t="s">
        <v>2822</v>
      </c>
      <c r="F1520" s="8" t="s">
        <v>266</v>
      </c>
      <c r="G1520" s="8" t="s">
        <v>2777</v>
      </c>
      <c r="H1520" s="10">
        <v>22.12</v>
      </c>
      <c r="I1520" s="10"/>
      <c r="J1520" s="10">
        <v>22.12</v>
      </c>
      <c r="K1520" s="10">
        <v>8076.89</v>
      </c>
    </row>
    <row r="1521" spans="1:11" x14ac:dyDescent="0.25">
      <c r="A1521" s="8" t="s">
        <v>2828</v>
      </c>
      <c r="B1521" s="8" t="s">
        <v>120</v>
      </c>
      <c r="C1521" s="8" t="s">
        <v>2775</v>
      </c>
      <c r="D1521" s="8">
        <v>5</v>
      </c>
      <c r="E1521" s="8" t="s">
        <v>2822</v>
      </c>
      <c r="F1521" s="8" t="s">
        <v>266</v>
      </c>
      <c r="G1521" s="8" t="s">
        <v>2777</v>
      </c>
      <c r="H1521" s="10">
        <v>9.1</v>
      </c>
      <c r="I1521" s="10"/>
      <c r="J1521" s="10">
        <v>9.1</v>
      </c>
      <c r="K1521" s="10">
        <v>8076.89</v>
      </c>
    </row>
    <row r="1522" spans="1:11" x14ac:dyDescent="0.25">
      <c r="A1522" s="8" t="s">
        <v>2829</v>
      </c>
      <c r="B1522" s="8" t="s">
        <v>120</v>
      </c>
      <c r="C1522" s="8" t="s">
        <v>2775</v>
      </c>
      <c r="D1522" s="8">
        <v>5</v>
      </c>
      <c r="E1522" s="8" t="s">
        <v>2822</v>
      </c>
      <c r="F1522" s="8" t="s">
        <v>266</v>
      </c>
      <c r="G1522" s="8" t="s">
        <v>2777</v>
      </c>
      <c r="H1522" s="10">
        <v>9.1</v>
      </c>
      <c r="I1522" s="10"/>
      <c r="J1522" s="10">
        <v>9.1</v>
      </c>
      <c r="K1522" s="10">
        <v>8076.89</v>
      </c>
    </row>
    <row r="1523" spans="1:11" x14ac:dyDescent="0.25">
      <c r="A1523" s="8" t="s">
        <v>2830</v>
      </c>
      <c r="B1523" s="8" t="s">
        <v>120</v>
      </c>
      <c r="C1523" s="8" t="s">
        <v>2775</v>
      </c>
      <c r="D1523" s="8">
        <v>5</v>
      </c>
      <c r="E1523" s="8" t="s">
        <v>2822</v>
      </c>
      <c r="F1523" s="8" t="s">
        <v>266</v>
      </c>
      <c r="G1523" s="8" t="s">
        <v>2777</v>
      </c>
      <c r="H1523" s="10">
        <v>9.1</v>
      </c>
      <c r="I1523" s="10"/>
      <c r="J1523" s="10">
        <v>9.1</v>
      </c>
      <c r="K1523" s="10">
        <v>8076.89</v>
      </c>
    </row>
    <row r="1524" spans="1:11" x14ac:dyDescent="0.25">
      <c r="A1524" s="8" t="s">
        <v>2831</v>
      </c>
      <c r="B1524" s="8" t="s">
        <v>120</v>
      </c>
      <c r="C1524" s="8" t="s">
        <v>2775</v>
      </c>
      <c r="D1524" s="8">
        <v>5</v>
      </c>
      <c r="E1524" s="8" t="s">
        <v>2822</v>
      </c>
      <c r="F1524" s="8" t="s">
        <v>266</v>
      </c>
      <c r="G1524" s="8" t="s">
        <v>2777</v>
      </c>
      <c r="H1524" s="10">
        <v>9.1</v>
      </c>
      <c r="I1524" s="10"/>
      <c r="J1524" s="10">
        <v>9.1</v>
      </c>
      <c r="K1524" s="10">
        <v>8076.89</v>
      </c>
    </row>
    <row r="1525" spans="1:11" x14ac:dyDescent="0.25">
      <c r="A1525" s="8" t="s">
        <v>2832</v>
      </c>
      <c r="B1525" s="8" t="s">
        <v>120</v>
      </c>
      <c r="C1525" s="8" t="s">
        <v>2775</v>
      </c>
      <c r="D1525" s="8">
        <v>5</v>
      </c>
      <c r="E1525" s="8" t="s">
        <v>2822</v>
      </c>
      <c r="F1525" s="8" t="s">
        <v>266</v>
      </c>
      <c r="G1525" s="8" t="s">
        <v>2777</v>
      </c>
      <c r="H1525" s="10">
        <v>20.93</v>
      </c>
      <c r="I1525" s="10"/>
      <c r="J1525" s="10">
        <v>20.93</v>
      </c>
      <c r="K1525" s="10">
        <v>8076.89</v>
      </c>
    </row>
    <row r="1526" spans="1:11" x14ac:dyDescent="0.25">
      <c r="A1526" s="8" t="s">
        <v>2833</v>
      </c>
      <c r="B1526" s="8" t="s">
        <v>120</v>
      </c>
      <c r="C1526" s="8" t="s">
        <v>2775</v>
      </c>
      <c r="D1526" s="8">
        <v>5</v>
      </c>
      <c r="E1526" s="8" t="s">
        <v>2822</v>
      </c>
      <c r="F1526" s="8" t="s">
        <v>266</v>
      </c>
      <c r="G1526" s="8" t="s">
        <v>2777</v>
      </c>
      <c r="H1526" s="10">
        <v>27.81</v>
      </c>
      <c r="I1526" s="10"/>
      <c r="J1526" s="10">
        <v>27.81</v>
      </c>
      <c r="K1526" s="10">
        <v>8076.89</v>
      </c>
    </row>
    <row r="1527" spans="1:11" x14ac:dyDescent="0.25">
      <c r="A1527" s="8" t="s">
        <v>2834</v>
      </c>
      <c r="B1527" s="8" t="s">
        <v>120</v>
      </c>
      <c r="C1527" s="8" t="s">
        <v>2775</v>
      </c>
      <c r="D1527" s="8">
        <v>5</v>
      </c>
      <c r="E1527" s="8" t="s">
        <v>2822</v>
      </c>
      <c r="F1527" s="8" t="s">
        <v>266</v>
      </c>
      <c r="G1527" s="8" t="s">
        <v>2777</v>
      </c>
      <c r="H1527" s="10">
        <v>20.84</v>
      </c>
      <c r="I1527" s="10"/>
      <c r="J1527" s="10">
        <v>20.84</v>
      </c>
      <c r="K1527" s="10">
        <v>8076.89</v>
      </c>
    </row>
    <row r="1528" spans="1:11" x14ac:dyDescent="0.25">
      <c r="A1528" s="8" t="s">
        <v>2835</v>
      </c>
      <c r="B1528" s="8" t="s">
        <v>120</v>
      </c>
      <c r="C1528" s="8" t="s">
        <v>2775</v>
      </c>
      <c r="D1528" s="8">
        <v>5</v>
      </c>
      <c r="E1528" s="8" t="s">
        <v>2822</v>
      </c>
      <c r="F1528" s="8" t="s">
        <v>266</v>
      </c>
      <c r="G1528" s="8" t="s">
        <v>2777</v>
      </c>
      <c r="H1528" s="10">
        <v>27.81</v>
      </c>
      <c r="I1528" s="10"/>
      <c r="J1528" s="10">
        <v>27.81</v>
      </c>
      <c r="K1528" s="10">
        <v>8076.89</v>
      </c>
    </row>
    <row r="1529" spans="1:11" x14ac:dyDescent="0.25">
      <c r="A1529" s="8" t="s">
        <v>2836</v>
      </c>
      <c r="B1529" s="8" t="s">
        <v>120</v>
      </c>
      <c r="C1529" s="8" t="s">
        <v>2775</v>
      </c>
      <c r="D1529" s="8">
        <v>5</v>
      </c>
      <c r="E1529" s="8" t="s">
        <v>2822</v>
      </c>
      <c r="F1529" s="8" t="s">
        <v>266</v>
      </c>
      <c r="G1529" s="8" t="s">
        <v>2777</v>
      </c>
      <c r="H1529" s="10">
        <v>11.04</v>
      </c>
      <c r="I1529" s="10"/>
      <c r="J1529" s="10">
        <v>11.04</v>
      </c>
      <c r="K1529" s="10">
        <v>8076.89</v>
      </c>
    </row>
    <row r="1530" spans="1:11" x14ac:dyDescent="0.25">
      <c r="A1530" s="8" t="s">
        <v>2837</v>
      </c>
      <c r="B1530" s="8" t="s">
        <v>120</v>
      </c>
      <c r="C1530" s="8" t="s">
        <v>2775</v>
      </c>
      <c r="D1530" s="8">
        <v>5</v>
      </c>
      <c r="E1530" s="8" t="s">
        <v>2822</v>
      </c>
      <c r="F1530" s="8" t="s">
        <v>266</v>
      </c>
      <c r="G1530" s="8" t="s">
        <v>2777</v>
      </c>
      <c r="H1530" s="10">
        <v>11.04</v>
      </c>
      <c r="I1530" s="10"/>
      <c r="J1530" s="10">
        <v>11.04</v>
      </c>
      <c r="K1530" s="10">
        <v>8076.89</v>
      </c>
    </row>
    <row r="1531" spans="1:11" x14ac:dyDescent="0.25">
      <c r="A1531" s="8" t="s">
        <v>2838</v>
      </c>
      <c r="B1531" s="8" t="s">
        <v>120</v>
      </c>
      <c r="C1531" s="8" t="s">
        <v>2775</v>
      </c>
      <c r="D1531" s="8">
        <v>5</v>
      </c>
      <c r="E1531" s="8" t="s">
        <v>2822</v>
      </c>
      <c r="F1531" s="8" t="s">
        <v>266</v>
      </c>
      <c r="G1531" s="8" t="s">
        <v>2777</v>
      </c>
      <c r="H1531" s="10">
        <v>11.04</v>
      </c>
      <c r="I1531" s="10"/>
      <c r="J1531" s="10">
        <v>11.04</v>
      </c>
      <c r="K1531" s="10">
        <v>8076.89</v>
      </c>
    </row>
    <row r="1532" spans="1:11" x14ac:dyDescent="0.25">
      <c r="A1532" s="8" t="s">
        <v>2839</v>
      </c>
      <c r="B1532" s="8" t="s">
        <v>120</v>
      </c>
      <c r="C1532" s="8" t="s">
        <v>2775</v>
      </c>
      <c r="D1532" s="8">
        <v>5</v>
      </c>
      <c r="E1532" s="8" t="s">
        <v>2822</v>
      </c>
      <c r="F1532" s="8" t="s">
        <v>266</v>
      </c>
      <c r="G1532" s="8" t="s">
        <v>2777</v>
      </c>
      <c r="H1532" s="10">
        <v>11.04</v>
      </c>
      <c r="I1532" s="10"/>
      <c r="J1532" s="10">
        <v>11.04</v>
      </c>
      <c r="K1532" s="10">
        <v>8076.89</v>
      </c>
    </row>
    <row r="1533" spans="1:11" x14ac:dyDescent="0.25">
      <c r="A1533" s="8" t="s">
        <v>2840</v>
      </c>
      <c r="B1533" s="8" t="s">
        <v>120</v>
      </c>
      <c r="C1533" s="8" t="s">
        <v>2775</v>
      </c>
      <c r="D1533" s="8">
        <v>5</v>
      </c>
      <c r="E1533" s="8" t="s">
        <v>2817</v>
      </c>
      <c r="F1533" s="8" t="s">
        <v>266</v>
      </c>
      <c r="G1533" s="8" t="s">
        <v>2777</v>
      </c>
      <c r="H1533" s="10">
        <v>14.47</v>
      </c>
      <c r="I1533" s="10"/>
      <c r="J1533" s="10">
        <v>14.47</v>
      </c>
      <c r="K1533" s="10">
        <v>9848.5</v>
      </c>
    </row>
    <row r="1534" spans="1:11" x14ac:dyDescent="0.25">
      <c r="A1534" s="8" t="s">
        <v>2841</v>
      </c>
      <c r="B1534" s="8" t="s">
        <v>120</v>
      </c>
      <c r="C1534" s="8" t="s">
        <v>2775</v>
      </c>
      <c r="D1534" s="8">
        <v>5</v>
      </c>
      <c r="E1534" s="8" t="s">
        <v>2817</v>
      </c>
      <c r="F1534" s="8" t="s">
        <v>266</v>
      </c>
      <c r="G1534" s="8" t="s">
        <v>2777</v>
      </c>
      <c r="H1534" s="10">
        <v>14.47</v>
      </c>
      <c r="I1534" s="10"/>
      <c r="J1534" s="10">
        <v>14.47</v>
      </c>
      <c r="K1534" s="10">
        <v>9848.5</v>
      </c>
    </row>
    <row r="1535" spans="1:11" x14ac:dyDescent="0.25">
      <c r="A1535" s="8" t="s">
        <v>2842</v>
      </c>
      <c r="B1535" s="8" t="s">
        <v>118</v>
      </c>
      <c r="C1535" s="8" t="s">
        <v>2775</v>
      </c>
      <c r="D1535" s="8">
        <v>5</v>
      </c>
      <c r="E1535" s="8" t="s">
        <v>2843</v>
      </c>
      <c r="F1535" s="8" t="s">
        <v>266</v>
      </c>
      <c r="G1535" s="8" t="s">
        <v>2777</v>
      </c>
      <c r="H1535" s="10">
        <v>6.5</v>
      </c>
      <c r="I1535" s="10"/>
      <c r="J1535" s="10">
        <v>6.5</v>
      </c>
      <c r="K1535" s="10">
        <v>7191.08</v>
      </c>
    </row>
    <row r="1536" spans="1:11" x14ac:dyDescent="0.25">
      <c r="A1536" s="8" t="s">
        <v>2844</v>
      </c>
      <c r="B1536" s="8" t="s">
        <v>118</v>
      </c>
      <c r="C1536" s="8" t="s">
        <v>2775</v>
      </c>
      <c r="D1536" s="8">
        <v>5</v>
      </c>
      <c r="E1536" s="8" t="s">
        <v>2843</v>
      </c>
      <c r="F1536" s="8" t="s">
        <v>266</v>
      </c>
      <c r="G1536" s="8" t="s">
        <v>2777</v>
      </c>
      <c r="H1536" s="10">
        <v>6.5</v>
      </c>
      <c r="I1536" s="10"/>
      <c r="J1536" s="10">
        <v>6.5</v>
      </c>
      <c r="K1536" s="10">
        <v>7191.08</v>
      </c>
    </row>
    <row r="1537" spans="1:11" x14ac:dyDescent="0.25">
      <c r="A1537" s="8" t="s">
        <v>2845</v>
      </c>
      <c r="B1537" s="8" t="s">
        <v>118</v>
      </c>
      <c r="C1537" s="8" t="s">
        <v>2775</v>
      </c>
      <c r="D1537" s="8">
        <v>5</v>
      </c>
      <c r="E1537" s="8" t="s">
        <v>2843</v>
      </c>
      <c r="F1537" s="8" t="s">
        <v>266</v>
      </c>
      <c r="G1537" s="8" t="s">
        <v>2777</v>
      </c>
      <c r="H1537" s="10">
        <v>6.5</v>
      </c>
      <c r="I1537" s="10"/>
      <c r="J1537" s="10">
        <v>6.5</v>
      </c>
      <c r="K1537" s="10">
        <v>7191.08</v>
      </c>
    </row>
    <row r="1538" spans="1:11" x14ac:dyDescent="0.25">
      <c r="A1538" s="8" t="s">
        <v>2846</v>
      </c>
      <c r="B1538" s="8" t="s">
        <v>120</v>
      </c>
      <c r="C1538" s="8" t="s">
        <v>2775</v>
      </c>
      <c r="D1538" s="8">
        <v>5</v>
      </c>
      <c r="E1538" s="8" t="s">
        <v>2843</v>
      </c>
      <c r="F1538" s="8" t="s">
        <v>266</v>
      </c>
      <c r="G1538" s="8" t="s">
        <v>2777</v>
      </c>
      <c r="H1538" s="10">
        <v>5.87</v>
      </c>
      <c r="I1538" s="10"/>
      <c r="J1538" s="10">
        <v>5.87</v>
      </c>
      <c r="K1538" s="10">
        <v>7191.08</v>
      </c>
    </row>
    <row r="1539" spans="1:11" x14ac:dyDescent="0.25">
      <c r="A1539" s="8" t="s">
        <v>2847</v>
      </c>
      <c r="B1539" s="8" t="s">
        <v>120</v>
      </c>
      <c r="C1539" s="8" t="s">
        <v>2775</v>
      </c>
      <c r="D1539" s="8">
        <v>5</v>
      </c>
      <c r="E1539" s="8" t="s">
        <v>2843</v>
      </c>
      <c r="F1539" s="8" t="s">
        <v>266</v>
      </c>
      <c r="G1539" s="8" t="s">
        <v>2777</v>
      </c>
      <c r="H1539" s="10">
        <v>5.86</v>
      </c>
      <c r="I1539" s="10"/>
      <c r="J1539" s="10">
        <v>5.86</v>
      </c>
      <c r="K1539" s="10">
        <v>7191.08</v>
      </c>
    </row>
    <row r="1540" spans="1:11" x14ac:dyDescent="0.25">
      <c r="A1540" s="8" t="s">
        <v>2848</v>
      </c>
      <c r="B1540" s="8" t="s">
        <v>78</v>
      </c>
      <c r="C1540" s="8" t="s">
        <v>2775</v>
      </c>
      <c r="D1540" s="8">
        <v>5</v>
      </c>
      <c r="E1540" s="8" t="s">
        <v>2843</v>
      </c>
      <c r="F1540" s="8" t="s">
        <v>266</v>
      </c>
      <c r="G1540" s="8" t="s">
        <v>2777</v>
      </c>
      <c r="H1540" s="10">
        <v>1.57</v>
      </c>
      <c r="I1540" s="10"/>
      <c r="J1540" s="10">
        <v>1.57</v>
      </c>
      <c r="K1540" s="10">
        <v>8962.69</v>
      </c>
    </row>
    <row r="1541" spans="1:11" x14ac:dyDescent="0.25">
      <c r="A1541" s="8" t="s">
        <v>2849</v>
      </c>
      <c r="B1541" s="8" t="s">
        <v>78</v>
      </c>
      <c r="C1541" s="8" t="s">
        <v>2775</v>
      </c>
      <c r="D1541" s="8">
        <v>5</v>
      </c>
      <c r="E1541" s="8" t="s">
        <v>2843</v>
      </c>
      <c r="F1541" s="8" t="s">
        <v>266</v>
      </c>
      <c r="G1541" s="8" t="s">
        <v>2777</v>
      </c>
      <c r="H1541" s="10">
        <v>1.57</v>
      </c>
      <c r="I1541" s="10"/>
      <c r="J1541" s="10">
        <v>1.57</v>
      </c>
      <c r="K1541" s="10">
        <v>8962.69</v>
      </c>
    </row>
    <row r="1542" spans="1:11" x14ac:dyDescent="0.25">
      <c r="A1542" s="8" t="s">
        <v>2850</v>
      </c>
      <c r="B1542" s="8" t="s">
        <v>78</v>
      </c>
      <c r="C1542" s="8" t="s">
        <v>2775</v>
      </c>
      <c r="D1542" s="8">
        <v>5</v>
      </c>
      <c r="E1542" s="8" t="s">
        <v>2843</v>
      </c>
      <c r="F1542" s="8" t="s">
        <v>266</v>
      </c>
      <c r="G1542" s="8" t="s">
        <v>2777</v>
      </c>
      <c r="H1542" s="10">
        <v>1.57</v>
      </c>
      <c r="I1542" s="10"/>
      <c r="J1542" s="10">
        <v>1.57</v>
      </c>
      <c r="K1542" s="10">
        <v>8962.69</v>
      </c>
    </row>
    <row r="1543" spans="1:11" x14ac:dyDescent="0.25">
      <c r="A1543" s="8" t="s">
        <v>2851</v>
      </c>
      <c r="B1543" s="8" t="s">
        <v>122</v>
      </c>
      <c r="C1543" s="8" t="s">
        <v>2775</v>
      </c>
      <c r="D1543" s="8">
        <v>5</v>
      </c>
      <c r="E1543" s="8" t="s">
        <v>2852</v>
      </c>
      <c r="F1543" s="8" t="s">
        <v>266</v>
      </c>
      <c r="G1543" s="8" t="s">
        <v>2777</v>
      </c>
      <c r="H1543" s="10">
        <v>6.25</v>
      </c>
      <c r="I1543" s="10"/>
      <c r="J1543" s="10">
        <v>6.25</v>
      </c>
      <c r="K1543" s="10">
        <v>8962.69</v>
      </c>
    </row>
    <row r="1544" spans="1:11" x14ac:dyDescent="0.25">
      <c r="A1544" s="8" t="s">
        <v>2853</v>
      </c>
      <c r="B1544" s="8" t="s">
        <v>124</v>
      </c>
      <c r="C1544" s="8" t="s">
        <v>2775</v>
      </c>
      <c r="D1544" s="8">
        <v>5</v>
      </c>
      <c r="E1544" s="8" t="s">
        <v>2854</v>
      </c>
      <c r="F1544" s="8" t="s">
        <v>266</v>
      </c>
      <c r="G1544" s="8" t="s">
        <v>2777</v>
      </c>
      <c r="H1544" s="10">
        <v>8.8800000000000008</v>
      </c>
      <c r="I1544" s="10"/>
      <c r="J1544" s="10">
        <v>8.8800000000000008</v>
      </c>
      <c r="K1544" s="10">
        <v>6305.28</v>
      </c>
    </row>
    <row r="1545" spans="1:11" x14ac:dyDescent="0.25">
      <c r="A1545" s="8" t="s">
        <v>2855</v>
      </c>
      <c r="B1545" s="8" t="s">
        <v>124</v>
      </c>
      <c r="C1545" s="8" t="s">
        <v>2775</v>
      </c>
      <c r="D1545" s="8">
        <v>5</v>
      </c>
      <c r="E1545" s="8" t="s">
        <v>2854</v>
      </c>
      <c r="F1545" s="8" t="s">
        <v>266</v>
      </c>
      <c r="G1545" s="8" t="s">
        <v>2777</v>
      </c>
      <c r="H1545" s="10">
        <v>8.8800000000000008</v>
      </c>
      <c r="I1545" s="10"/>
      <c r="J1545" s="10">
        <v>8.8800000000000008</v>
      </c>
      <c r="K1545" s="10">
        <v>6305.28</v>
      </c>
    </row>
    <row r="1546" spans="1:11" x14ac:dyDescent="0.25">
      <c r="A1546" s="8" t="s">
        <v>2856</v>
      </c>
      <c r="B1546" s="8" t="s">
        <v>124</v>
      </c>
      <c r="C1546" s="8" t="s">
        <v>2775</v>
      </c>
      <c r="D1546" s="8">
        <v>5</v>
      </c>
      <c r="E1546" s="8" t="s">
        <v>2854</v>
      </c>
      <c r="F1546" s="8" t="s">
        <v>266</v>
      </c>
      <c r="G1546" s="8" t="s">
        <v>2777</v>
      </c>
      <c r="H1546" s="10">
        <v>8.8800000000000008</v>
      </c>
      <c r="I1546" s="10"/>
      <c r="J1546" s="10">
        <v>8.8800000000000008</v>
      </c>
      <c r="K1546" s="10">
        <v>6305.28</v>
      </c>
    </row>
    <row r="1547" spans="1:11" x14ac:dyDescent="0.25">
      <c r="A1547" s="8" t="s">
        <v>2857</v>
      </c>
      <c r="B1547" s="8" t="s">
        <v>122</v>
      </c>
      <c r="C1547" s="8" t="s">
        <v>2775</v>
      </c>
      <c r="D1547" s="8">
        <v>5</v>
      </c>
      <c r="E1547" s="8" t="s">
        <v>2858</v>
      </c>
      <c r="F1547" s="8" t="s">
        <v>266</v>
      </c>
      <c r="G1547" s="8" t="s">
        <v>2777</v>
      </c>
      <c r="H1547" s="10">
        <v>3.91</v>
      </c>
      <c r="I1547" s="10"/>
      <c r="J1547" s="10">
        <v>3.91</v>
      </c>
      <c r="K1547" s="10">
        <v>6435.25</v>
      </c>
    </row>
    <row r="1548" spans="1:11" x14ac:dyDescent="0.25">
      <c r="A1548" s="8" t="s">
        <v>2859</v>
      </c>
      <c r="B1548" s="8" t="s">
        <v>124</v>
      </c>
      <c r="C1548" s="8" t="s">
        <v>2775</v>
      </c>
      <c r="D1548" s="8">
        <v>5</v>
      </c>
      <c r="E1548" s="8" t="s">
        <v>2860</v>
      </c>
      <c r="F1548" s="8" t="s">
        <v>266</v>
      </c>
      <c r="G1548" s="8" t="s">
        <v>2777</v>
      </c>
      <c r="H1548" s="10">
        <v>2.5299999999999998</v>
      </c>
      <c r="I1548" s="10"/>
      <c r="J1548" s="10">
        <v>2.5299999999999998</v>
      </c>
      <c r="K1548" s="10">
        <v>6435.25</v>
      </c>
    </row>
    <row r="1549" spans="1:11" x14ac:dyDescent="0.25">
      <c r="A1549" s="8" t="s">
        <v>2861</v>
      </c>
      <c r="B1549" s="8" t="s">
        <v>263</v>
      </c>
      <c r="C1549" s="8" t="s">
        <v>2862</v>
      </c>
      <c r="D1549" s="8">
        <v>6</v>
      </c>
      <c r="E1549" s="8" t="s">
        <v>2863</v>
      </c>
      <c r="F1549" s="8" t="s">
        <v>266</v>
      </c>
      <c r="G1549" s="8" t="s">
        <v>2864</v>
      </c>
      <c r="H1549" s="10">
        <v>4.3899999999999997</v>
      </c>
      <c r="I1549" s="10"/>
      <c r="J1549" s="10">
        <v>4.3899999999999997</v>
      </c>
      <c r="K1549" s="10">
        <v>46622.04</v>
      </c>
    </row>
    <row r="1550" spans="1:11" x14ac:dyDescent="0.25">
      <c r="A1550" s="8" t="s">
        <v>2865</v>
      </c>
      <c r="B1550" s="8" t="s">
        <v>263</v>
      </c>
      <c r="C1550" s="8" t="s">
        <v>2862</v>
      </c>
      <c r="D1550" s="8">
        <v>6</v>
      </c>
      <c r="E1550" s="8" t="s">
        <v>2866</v>
      </c>
      <c r="F1550" s="8" t="s">
        <v>266</v>
      </c>
      <c r="G1550" s="8" t="s">
        <v>2864</v>
      </c>
      <c r="H1550" s="10">
        <v>4.3899999999999997</v>
      </c>
      <c r="I1550" s="10"/>
      <c r="J1550" s="10">
        <v>4.3899999999999997</v>
      </c>
      <c r="K1550" s="10">
        <v>46622.04</v>
      </c>
    </row>
    <row r="1551" spans="1:11" x14ac:dyDescent="0.25">
      <c r="A1551" s="8" t="s">
        <v>2867</v>
      </c>
      <c r="B1551" s="8" t="s">
        <v>269</v>
      </c>
      <c r="C1551" s="8" t="s">
        <v>2862</v>
      </c>
      <c r="D1551" s="8">
        <v>6</v>
      </c>
      <c r="E1551" s="8" t="s">
        <v>2868</v>
      </c>
      <c r="F1551" s="8" t="s">
        <v>266</v>
      </c>
      <c r="G1551" s="8" t="s">
        <v>2864</v>
      </c>
      <c r="H1551" s="10">
        <v>4.3899999999999997</v>
      </c>
      <c r="I1551" s="10"/>
      <c r="J1551" s="10">
        <v>4.3899999999999997</v>
      </c>
      <c r="K1551" s="10">
        <v>46622.04</v>
      </c>
    </row>
    <row r="1552" spans="1:11" x14ac:dyDescent="0.25">
      <c r="A1552" s="8" t="s">
        <v>2869</v>
      </c>
      <c r="B1552" s="8" t="s">
        <v>269</v>
      </c>
      <c r="C1552" s="8" t="s">
        <v>2862</v>
      </c>
      <c r="D1552" s="8">
        <v>6</v>
      </c>
      <c r="E1552" s="8" t="s">
        <v>2870</v>
      </c>
      <c r="F1552" s="8" t="s">
        <v>266</v>
      </c>
      <c r="G1552" s="8" t="s">
        <v>2864</v>
      </c>
      <c r="H1552" s="10">
        <v>4.3899999999999997</v>
      </c>
      <c r="I1552" s="10"/>
      <c r="J1552" s="10">
        <v>4.3899999999999997</v>
      </c>
      <c r="K1552" s="10">
        <v>46622.04</v>
      </c>
    </row>
    <row r="1553" spans="1:11" x14ac:dyDescent="0.25">
      <c r="A1553" s="8" t="s">
        <v>2871</v>
      </c>
      <c r="B1553" s="8" t="s">
        <v>132</v>
      </c>
      <c r="C1553" s="8" t="s">
        <v>2775</v>
      </c>
      <c r="D1553" s="8">
        <v>5</v>
      </c>
      <c r="E1553" s="8" t="s">
        <v>2872</v>
      </c>
      <c r="F1553" s="8" t="s">
        <v>266</v>
      </c>
      <c r="G1553" s="8" t="s">
        <v>2777</v>
      </c>
      <c r="H1553" s="10">
        <v>8.9600000000000009</v>
      </c>
      <c r="I1553" s="10"/>
      <c r="J1553" s="10">
        <v>8.9600000000000009</v>
      </c>
      <c r="K1553" s="10">
        <v>11620.11</v>
      </c>
    </row>
    <row r="1554" spans="1:11" x14ac:dyDescent="0.25">
      <c r="A1554" s="8" t="s">
        <v>2873</v>
      </c>
      <c r="B1554" s="8" t="s">
        <v>134</v>
      </c>
      <c r="C1554" s="8" t="s">
        <v>2775</v>
      </c>
      <c r="D1554" s="8">
        <v>5</v>
      </c>
      <c r="E1554" s="8" t="s">
        <v>2874</v>
      </c>
      <c r="F1554" s="8" t="s">
        <v>266</v>
      </c>
      <c r="G1554" s="8" t="s">
        <v>2777</v>
      </c>
      <c r="H1554" s="10">
        <v>0.75</v>
      </c>
      <c r="I1554" s="10"/>
      <c r="J1554" s="10">
        <v>0.75</v>
      </c>
      <c r="K1554" s="10">
        <v>7191.08</v>
      </c>
    </row>
    <row r="1555" spans="1:11" x14ac:dyDescent="0.25">
      <c r="A1555" s="8" t="s">
        <v>2875</v>
      </c>
      <c r="B1555" s="8" t="s">
        <v>128</v>
      </c>
      <c r="C1555" s="8" t="s">
        <v>2775</v>
      </c>
      <c r="D1555" s="8">
        <v>5</v>
      </c>
      <c r="E1555" s="8" t="s">
        <v>2876</v>
      </c>
      <c r="F1555" s="8" t="s">
        <v>266</v>
      </c>
      <c r="G1555" s="8" t="s">
        <v>2777</v>
      </c>
      <c r="H1555" s="10">
        <v>18.61</v>
      </c>
      <c r="I1555" s="10"/>
      <c r="J1555" s="10">
        <v>18.61</v>
      </c>
      <c r="K1555" s="10">
        <v>12505.92</v>
      </c>
    </row>
    <row r="1556" spans="1:11" x14ac:dyDescent="0.25">
      <c r="A1556" s="8" t="s">
        <v>2877</v>
      </c>
      <c r="B1556" s="8" t="s">
        <v>132</v>
      </c>
      <c r="C1556" s="8" t="s">
        <v>2775</v>
      </c>
      <c r="D1556" s="8">
        <v>5</v>
      </c>
      <c r="E1556" s="8" t="s">
        <v>2878</v>
      </c>
      <c r="F1556" s="8" t="s">
        <v>266</v>
      </c>
      <c r="G1556" s="8" t="s">
        <v>2777</v>
      </c>
      <c r="H1556" s="10">
        <v>7.97</v>
      </c>
      <c r="I1556" s="10"/>
      <c r="J1556" s="10">
        <v>7.97</v>
      </c>
      <c r="K1556" s="10">
        <v>12505.92</v>
      </c>
    </row>
    <row r="1557" spans="1:11" x14ac:dyDescent="0.25">
      <c r="A1557" s="8" t="s">
        <v>2879</v>
      </c>
      <c r="B1557" s="8" t="s">
        <v>134</v>
      </c>
      <c r="C1557" s="8" t="s">
        <v>2775</v>
      </c>
      <c r="D1557" s="8">
        <v>5</v>
      </c>
      <c r="E1557" s="8" t="s">
        <v>2878</v>
      </c>
      <c r="F1557" s="8" t="s">
        <v>266</v>
      </c>
      <c r="G1557" s="8" t="s">
        <v>2777</v>
      </c>
      <c r="H1557" s="10">
        <v>7.3</v>
      </c>
      <c r="I1557" s="10"/>
      <c r="J1557" s="10">
        <v>7.3</v>
      </c>
      <c r="K1557" s="10">
        <v>12505.92</v>
      </c>
    </row>
    <row r="1558" spans="1:11" x14ac:dyDescent="0.25">
      <c r="A1558" s="8" t="s">
        <v>2880</v>
      </c>
      <c r="B1558" s="8" t="s">
        <v>134</v>
      </c>
      <c r="C1558" s="8" t="s">
        <v>2775</v>
      </c>
      <c r="D1558" s="8">
        <v>5</v>
      </c>
      <c r="E1558" s="8" t="s">
        <v>2881</v>
      </c>
      <c r="F1558" s="8" t="s">
        <v>266</v>
      </c>
      <c r="G1558" s="8" t="s">
        <v>2777</v>
      </c>
      <c r="H1558" s="10">
        <v>12.66</v>
      </c>
      <c r="I1558" s="10"/>
      <c r="J1558" s="10">
        <v>12.66</v>
      </c>
      <c r="K1558" s="10">
        <v>13692.16</v>
      </c>
    </row>
    <row r="1559" spans="1:11" x14ac:dyDescent="0.25">
      <c r="A1559" s="8" t="s">
        <v>2882</v>
      </c>
      <c r="B1559" s="8" t="s">
        <v>134</v>
      </c>
      <c r="C1559" s="8" t="s">
        <v>2775</v>
      </c>
      <c r="D1559" s="8">
        <v>5</v>
      </c>
      <c r="E1559" s="8" t="s">
        <v>2878</v>
      </c>
      <c r="F1559" s="8" t="s">
        <v>266</v>
      </c>
      <c r="G1559" s="8" t="s">
        <v>2777</v>
      </c>
      <c r="H1559" s="10">
        <v>14.38</v>
      </c>
      <c r="I1559" s="10"/>
      <c r="J1559" s="10">
        <v>14.38</v>
      </c>
      <c r="K1559" s="10">
        <v>12505.92</v>
      </c>
    </row>
    <row r="1560" spans="1:11" x14ac:dyDescent="0.25">
      <c r="A1560" s="8" t="s">
        <v>2883</v>
      </c>
      <c r="B1560" s="8" t="s">
        <v>134</v>
      </c>
      <c r="C1560" s="8" t="s">
        <v>2775</v>
      </c>
      <c r="D1560" s="8">
        <v>5</v>
      </c>
      <c r="E1560" s="8" t="s">
        <v>2881</v>
      </c>
      <c r="F1560" s="8" t="s">
        <v>266</v>
      </c>
      <c r="G1560" s="8" t="s">
        <v>2777</v>
      </c>
      <c r="H1560" s="10">
        <v>17.22</v>
      </c>
      <c r="I1560" s="10"/>
      <c r="J1560" s="10">
        <v>17.22</v>
      </c>
      <c r="K1560" s="10">
        <v>13526.73</v>
      </c>
    </row>
    <row r="1561" spans="1:11" x14ac:dyDescent="0.25">
      <c r="A1561" s="8" t="s">
        <v>2884</v>
      </c>
      <c r="B1561" s="8" t="s">
        <v>134</v>
      </c>
      <c r="C1561" s="8" t="s">
        <v>2775</v>
      </c>
      <c r="D1561" s="8">
        <v>5</v>
      </c>
      <c r="E1561" s="8" t="s">
        <v>2878</v>
      </c>
      <c r="F1561" s="8" t="s">
        <v>266</v>
      </c>
      <c r="G1561" s="8" t="s">
        <v>2777</v>
      </c>
      <c r="H1561" s="10">
        <v>14.38</v>
      </c>
      <c r="I1561" s="10"/>
      <c r="J1561" s="10">
        <v>14.38</v>
      </c>
      <c r="K1561" s="10">
        <v>12505.92</v>
      </c>
    </row>
    <row r="1562" spans="1:11" x14ac:dyDescent="0.25">
      <c r="A1562" s="8" t="s">
        <v>2885</v>
      </c>
      <c r="B1562" s="8" t="s">
        <v>128</v>
      </c>
      <c r="C1562" s="8" t="s">
        <v>2775</v>
      </c>
      <c r="D1562" s="8">
        <v>5</v>
      </c>
      <c r="E1562" s="8" t="s">
        <v>2886</v>
      </c>
      <c r="F1562" s="8" t="s">
        <v>266</v>
      </c>
      <c r="G1562" s="8" t="s">
        <v>2777</v>
      </c>
      <c r="H1562" s="10">
        <v>1.3</v>
      </c>
      <c r="I1562" s="10"/>
      <c r="J1562" s="10">
        <v>1.3</v>
      </c>
      <c r="K1562" s="10">
        <v>7191.08</v>
      </c>
    </row>
    <row r="1563" spans="1:11" x14ac:dyDescent="0.25">
      <c r="A1563" s="8" t="s">
        <v>2887</v>
      </c>
      <c r="B1563" s="8" t="s">
        <v>132</v>
      </c>
      <c r="C1563" s="8" t="s">
        <v>2775</v>
      </c>
      <c r="D1563" s="8">
        <v>5</v>
      </c>
      <c r="E1563" s="8" t="s">
        <v>2886</v>
      </c>
      <c r="F1563" s="8" t="s">
        <v>266</v>
      </c>
      <c r="G1563" s="8" t="s">
        <v>2777</v>
      </c>
      <c r="H1563" s="10">
        <v>3.1</v>
      </c>
      <c r="I1563" s="10"/>
      <c r="J1563" s="10">
        <v>3.1</v>
      </c>
      <c r="K1563" s="10">
        <v>5419.47</v>
      </c>
    </row>
    <row r="1564" spans="1:11" x14ac:dyDescent="0.25">
      <c r="A1564" s="8" t="s">
        <v>2888</v>
      </c>
      <c r="B1564" s="8" t="s">
        <v>134</v>
      </c>
      <c r="C1564" s="8" t="s">
        <v>2775</v>
      </c>
      <c r="D1564" s="8">
        <v>5</v>
      </c>
      <c r="E1564" s="8" t="s">
        <v>2886</v>
      </c>
      <c r="F1564" s="8" t="s">
        <v>266</v>
      </c>
      <c r="G1564" s="8" t="s">
        <v>2777</v>
      </c>
      <c r="H1564" s="10">
        <v>1.1599999999999999</v>
      </c>
      <c r="I1564" s="10"/>
      <c r="J1564" s="10">
        <v>1.1599999999999999</v>
      </c>
      <c r="K1564" s="10">
        <v>7191.08</v>
      </c>
    </row>
    <row r="1565" spans="1:11" x14ac:dyDescent="0.25">
      <c r="A1565" s="8" t="s">
        <v>2889</v>
      </c>
      <c r="B1565" s="8" t="s">
        <v>134</v>
      </c>
      <c r="C1565" s="8" t="s">
        <v>2775</v>
      </c>
      <c r="D1565" s="8">
        <v>5</v>
      </c>
      <c r="E1565" s="8" t="s">
        <v>2886</v>
      </c>
      <c r="F1565" s="8" t="s">
        <v>266</v>
      </c>
      <c r="G1565" s="8" t="s">
        <v>2777</v>
      </c>
      <c r="H1565" s="10">
        <v>0.35</v>
      </c>
      <c r="I1565" s="10"/>
      <c r="J1565" s="10">
        <v>0.35</v>
      </c>
      <c r="K1565" s="10">
        <v>8076.89</v>
      </c>
    </row>
    <row r="1566" spans="1:11" x14ac:dyDescent="0.25">
      <c r="A1566" s="8" t="s">
        <v>2890</v>
      </c>
      <c r="B1566" s="8" t="s">
        <v>134</v>
      </c>
      <c r="C1566" s="8" t="s">
        <v>2775</v>
      </c>
      <c r="D1566" s="8">
        <v>5</v>
      </c>
      <c r="E1566" s="8" t="s">
        <v>2886</v>
      </c>
      <c r="F1566" s="8" t="s">
        <v>266</v>
      </c>
      <c r="G1566" s="8" t="s">
        <v>2777</v>
      </c>
      <c r="H1566" s="10">
        <v>0.35</v>
      </c>
      <c r="I1566" s="10"/>
      <c r="J1566" s="10">
        <v>0.35</v>
      </c>
      <c r="K1566" s="10">
        <v>8076.89</v>
      </c>
    </row>
    <row r="1567" spans="1:11" x14ac:dyDescent="0.25">
      <c r="A1567" s="8" t="s">
        <v>2891</v>
      </c>
      <c r="B1567" s="8" t="s">
        <v>134</v>
      </c>
      <c r="C1567" s="8" t="s">
        <v>2775</v>
      </c>
      <c r="D1567" s="8">
        <v>5</v>
      </c>
      <c r="E1567" s="8" t="s">
        <v>2886</v>
      </c>
      <c r="F1567" s="8" t="s">
        <v>266</v>
      </c>
      <c r="G1567" s="8" t="s">
        <v>2777</v>
      </c>
      <c r="H1567" s="10">
        <v>0.35</v>
      </c>
      <c r="I1567" s="10"/>
      <c r="J1567" s="10">
        <v>0.35</v>
      </c>
      <c r="K1567" s="10">
        <v>8076.89</v>
      </c>
    </row>
    <row r="1568" spans="1:11" x14ac:dyDescent="0.25">
      <c r="A1568" s="8" t="s">
        <v>2892</v>
      </c>
      <c r="B1568" s="8" t="s">
        <v>134</v>
      </c>
      <c r="C1568" s="8" t="s">
        <v>2775</v>
      </c>
      <c r="D1568" s="8">
        <v>5</v>
      </c>
      <c r="E1568" s="8" t="s">
        <v>2886</v>
      </c>
      <c r="F1568" s="8" t="s">
        <v>266</v>
      </c>
      <c r="G1568" s="8" t="s">
        <v>2777</v>
      </c>
      <c r="H1568" s="10">
        <v>1.67</v>
      </c>
      <c r="I1568" s="10"/>
      <c r="J1568" s="10">
        <v>1.67</v>
      </c>
      <c r="K1568" s="10">
        <v>7191.08</v>
      </c>
    </row>
    <row r="1569" spans="1:11" x14ac:dyDescent="0.25">
      <c r="A1569" s="8" t="s">
        <v>2893</v>
      </c>
      <c r="B1569" s="8" t="s">
        <v>118</v>
      </c>
      <c r="C1569" s="8" t="s">
        <v>2775</v>
      </c>
      <c r="D1569" s="8">
        <v>5</v>
      </c>
      <c r="E1569" s="8" t="s">
        <v>2894</v>
      </c>
      <c r="F1569" s="8" t="s">
        <v>266</v>
      </c>
      <c r="G1569" s="8" t="s">
        <v>2777</v>
      </c>
      <c r="H1569" s="10">
        <v>0.47</v>
      </c>
      <c r="I1569" s="10"/>
      <c r="J1569" s="10">
        <v>0.47</v>
      </c>
      <c r="K1569" s="10">
        <v>7191.08</v>
      </c>
    </row>
    <row r="1570" spans="1:11" x14ac:dyDescent="0.25">
      <c r="A1570" s="8" t="s">
        <v>2895</v>
      </c>
      <c r="B1570" s="8" t="s">
        <v>116</v>
      </c>
      <c r="C1570" s="8" t="s">
        <v>2775</v>
      </c>
      <c r="D1570" s="8">
        <v>5</v>
      </c>
      <c r="E1570" s="8" t="s">
        <v>2896</v>
      </c>
      <c r="F1570" s="8" t="s">
        <v>266</v>
      </c>
      <c r="G1570" s="8" t="s">
        <v>2777</v>
      </c>
      <c r="H1570" s="10">
        <v>0.32</v>
      </c>
      <c r="I1570" s="10"/>
      <c r="J1570" s="10">
        <v>0.32</v>
      </c>
      <c r="K1570" s="10">
        <v>7191.08</v>
      </c>
    </row>
    <row r="1571" spans="1:11" x14ac:dyDescent="0.25">
      <c r="A1571" s="8" t="s">
        <v>2897</v>
      </c>
      <c r="B1571" s="8" t="s">
        <v>136</v>
      </c>
      <c r="C1571" s="8" t="s">
        <v>2775</v>
      </c>
      <c r="D1571" s="8">
        <v>5</v>
      </c>
      <c r="E1571" s="8" t="s">
        <v>2898</v>
      </c>
      <c r="F1571" s="8" t="s">
        <v>266</v>
      </c>
      <c r="G1571" s="8" t="s">
        <v>2777</v>
      </c>
      <c r="H1571" s="10">
        <v>1.23</v>
      </c>
      <c r="I1571" s="10"/>
      <c r="J1571" s="10">
        <v>1.23</v>
      </c>
      <c r="K1571" s="10">
        <v>7191.08</v>
      </c>
    </row>
    <row r="1572" spans="1:11" x14ac:dyDescent="0.25">
      <c r="A1572" s="8" t="s">
        <v>2899</v>
      </c>
      <c r="B1572" s="8" t="s">
        <v>136</v>
      </c>
      <c r="C1572" s="8" t="s">
        <v>2775</v>
      </c>
      <c r="D1572" s="8">
        <v>5</v>
      </c>
      <c r="E1572" s="8" t="s">
        <v>2900</v>
      </c>
      <c r="F1572" s="8" t="s">
        <v>266</v>
      </c>
      <c r="G1572" s="8" t="s">
        <v>2777</v>
      </c>
      <c r="H1572" s="10">
        <v>1.23</v>
      </c>
      <c r="I1572" s="10"/>
      <c r="J1572" s="10">
        <v>1.23</v>
      </c>
      <c r="K1572" s="10">
        <v>7191.08</v>
      </c>
    </row>
    <row r="1573" spans="1:11" x14ac:dyDescent="0.25">
      <c r="A1573" s="8" t="s">
        <v>2901</v>
      </c>
      <c r="B1573" s="8" t="s">
        <v>136</v>
      </c>
      <c r="C1573" s="8" t="s">
        <v>2775</v>
      </c>
      <c r="D1573" s="8">
        <v>5</v>
      </c>
      <c r="E1573" s="8" t="s">
        <v>2902</v>
      </c>
      <c r="F1573" s="8" t="s">
        <v>266</v>
      </c>
      <c r="G1573" s="8" t="s">
        <v>2777</v>
      </c>
      <c r="H1573" s="10">
        <v>4.68</v>
      </c>
      <c r="I1573" s="10"/>
      <c r="J1573" s="10">
        <v>4.68</v>
      </c>
      <c r="K1573" s="10">
        <v>5419.47</v>
      </c>
    </row>
    <row r="1574" spans="1:11" x14ac:dyDescent="0.25">
      <c r="A1574" s="8" t="s">
        <v>2903</v>
      </c>
      <c r="B1574" s="8" t="s">
        <v>118</v>
      </c>
      <c r="C1574" s="8" t="s">
        <v>2775</v>
      </c>
      <c r="D1574" s="8">
        <v>5</v>
      </c>
      <c r="E1574" s="8" t="s">
        <v>2904</v>
      </c>
      <c r="F1574" s="8" t="s">
        <v>266</v>
      </c>
      <c r="G1574" s="8" t="s">
        <v>2777</v>
      </c>
      <c r="H1574" s="10">
        <v>7.4</v>
      </c>
      <c r="I1574" s="10"/>
      <c r="J1574" s="10">
        <v>7.4</v>
      </c>
      <c r="K1574" s="10">
        <v>6469.03</v>
      </c>
    </row>
    <row r="1575" spans="1:11" x14ac:dyDescent="0.25">
      <c r="A1575" s="8" t="s">
        <v>2905</v>
      </c>
      <c r="B1575" s="8" t="s">
        <v>118</v>
      </c>
      <c r="C1575" s="8" t="s">
        <v>2775</v>
      </c>
      <c r="D1575" s="8">
        <v>5</v>
      </c>
      <c r="E1575" s="8" t="s">
        <v>2904</v>
      </c>
      <c r="F1575" s="8" t="s">
        <v>266</v>
      </c>
      <c r="G1575" s="8" t="s">
        <v>2777</v>
      </c>
      <c r="H1575" s="10">
        <v>7.4</v>
      </c>
      <c r="I1575" s="10"/>
      <c r="J1575" s="10">
        <v>7.4</v>
      </c>
      <c r="K1575" s="10">
        <v>6469.03</v>
      </c>
    </row>
    <row r="1576" spans="1:11" x14ac:dyDescent="0.25">
      <c r="A1576" s="8" t="s">
        <v>2906</v>
      </c>
      <c r="B1576" s="8" t="s">
        <v>118</v>
      </c>
      <c r="C1576" s="8" t="s">
        <v>2775</v>
      </c>
      <c r="D1576" s="8">
        <v>5</v>
      </c>
      <c r="E1576" s="8" t="s">
        <v>2904</v>
      </c>
      <c r="F1576" s="8" t="s">
        <v>266</v>
      </c>
      <c r="G1576" s="8" t="s">
        <v>2777</v>
      </c>
      <c r="H1576" s="10">
        <v>7.4</v>
      </c>
      <c r="I1576" s="10"/>
      <c r="J1576" s="10">
        <v>7.4</v>
      </c>
      <c r="K1576" s="10">
        <v>6469.03</v>
      </c>
    </row>
    <row r="1577" spans="1:11" x14ac:dyDescent="0.25">
      <c r="A1577" s="8" t="s">
        <v>2907</v>
      </c>
      <c r="B1577" s="8" t="s">
        <v>120</v>
      </c>
      <c r="C1577" s="8" t="s">
        <v>2775</v>
      </c>
      <c r="D1577" s="8">
        <v>5</v>
      </c>
      <c r="E1577" s="8" t="s">
        <v>2904</v>
      </c>
      <c r="F1577" s="8" t="s">
        <v>266</v>
      </c>
      <c r="G1577" s="8" t="s">
        <v>2777</v>
      </c>
      <c r="H1577" s="10">
        <v>6.4</v>
      </c>
      <c r="I1577" s="10"/>
      <c r="J1577" s="10">
        <v>6.4</v>
      </c>
      <c r="K1577" s="10">
        <v>6469.03</v>
      </c>
    </row>
    <row r="1578" spans="1:11" x14ac:dyDescent="0.25">
      <c r="A1578" s="8" t="s">
        <v>2908</v>
      </c>
      <c r="B1578" s="8" t="s">
        <v>120</v>
      </c>
      <c r="C1578" s="8" t="s">
        <v>2775</v>
      </c>
      <c r="D1578" s="8">
        <v>5</v>
      </c>
      <c r="E1578" s="8" t="s">
        <v>2904</v>
      </c>
      <c r="F1578" s="8" t="s">
        <v>266</v>
      </c>
      <c r="G1578" s="8" t="s">
        <v>2777</v>
      </c>
      <c r="H1578" s="10">
        <v>6.4</v>
      </c>
      <c r="I1578" s="10"/>
      <c r="J1578" s="10">
        <v>6.4</v>
      </c>
      <c r="K1578" s="10">
        <v>6469.03</v>
      </c>
    </row>
    <row r="1579" spans="1:11" x14ac:dyDescent="0.25">
      <c r="A1579" s="8" t="s">
        <v>2909</v>
      </c>
      <c r="B1579" s="8" t="s">
        <v>120</v>
      </c>
      <c r="C1579" s="8" t="s">
        <v>2775</v>
      </c>
      <c r="D1579" s="8">
        <v>5</v>
      </c>
      <c r="E1579" s="8" t="s">
        <v>2904</v>
      </c>
      <c r="F1579" s="8" t="s">
        <v>266</v>
      </c>
      <c r="G1579" s="8" t="s">
        <v>2777</v>
      </c>
      <c r="H1579" s="10">
        <v>6.4</v>
      </c>
      <c r="I1579" s="10"/>
      <c r="J1579" s="10">
        <v>6.4</v>
      </c>
      <c r="K1579" s="10">
        <v>6469.03</v>
      </c>
    </row>
    <row r="1580" spans="1:11" x14ac:dyDescent="0.25">
      <c r="A1580" s="8" t="s">
        <v>2910</v>
      </c>
      <c r="B1580" s="8" t="s">
        <v>120</v>
      </c>
      <c r="C1580" s="8" t="s">
        <v>2775</v>
      </c>
      <c r="D1580" s="8">
        <v>5</v>
      </c>
      <c r="E1580" s="8" t="s">
        <v>2904</v>
      </c>
      <c r="F1580" s="8" t="s">
        <v>266</v>
      </c>
      <c r="G1580" s="8" t="s">
        <v>2777</v>
      </c>
      <c r="H1580" s="10">
        <v>6.4</v>
      </c>
      <c r="I1580" s="10"/>
      <c r="J1580" s="10">
        <v>6.4</v>
      </c>
      <c r="K1580" s="10">
        <v>6469.03</v>
      </c>
    </row>
    <row r="1581" spans="1:11" x14ac:dyDescent="0.25">
      <c r="A1581" s="8" t="s">
        <v>2911</v>
      </c>
      <c r="B1581" s="8" t="s">
        <v>72</v>
      </c>
      <c r="C1581" s="8" t="s">
        <v>2912</v>
      </c>
      <c r="D1581" s="8">
        <v>6</v>
      </c>
      <c r="E1581" s="8" t="s">
        <v>2913</v>
      </c>
      <c r="F1581" s="8" t="s">
        <v>149</v>
      </c>
      <c r="G1581" s="8" t="s">
        <v>2914</v>
      </c>
      <c r="H1581" s="10">
        <v>2900</v>
      </c>
      <c r="I1581" s="10"/>
      <c r="J1581" s="10">
        <v>2900</v>
      </c>
      <c r="K1581" s="10">
        <v>10.86</v>
      </c>
    </row>
    <row r="1582" spans="1:11" x14ac:dyDescent="0.25">
      <c r="A1582" s="8" t="s">
        <v>2915</v>
      </c>
      <c r="B1582" s="8" t="s">
        <v>116</v>
      </c>
      <c r="C1582" s="8" t="s">
        <v>2912</v>
      </c>
      <c r="D1582" s="8">
        <v>6</v>
      </c>
      <c r="E1582" s="8" t="s">
        <v>2913</v>
      </c>
      <c r="F1582" s="8" t="s">
        <v>149</v>
      </c>
      <c r="G1582" s="8" t="s">
        <v>2914</v>
      </c>
      <c r="H1582" s="10">
        <v>212.4</v>
      </c>
      <c r="I1582" s="10"/>
      <c r="J1582" s="10">
        <v>212.4</v>
      </c>
      <c r="K1582" s="10">
        <v>10.86</v>
      </c>
    </row>
    <row r="1583" spans="1:11" x14ac:dyDescent="0.25">
      <c r="A1583" s="8" t="s">
        <v>2916</v>
      </c>
      <c r="B1583" s="8" t="s">
        <v>118</v>
      </c>
      <c r="C1583" s="8" t="s">
        <v>2912</v>
      </c>
      <c r="D1583" s="8">
        <v>6</v>
      </c>
      <c r="E1583" s="8" t="s">
        <v>2913</v>
      </c>
      <c r="F1583" s="8" t="s">
        <v>149</v>
      </c>
      <c r="G1583" s="8" t="s">
        <v>2914</v>
      </c>
      <c r="H1583" s="10">
        <v>9425</v>
      </c>
      <c r="I1583" s="10"/>
      <c r="J1583" s="10">
        <v>9425</v>
      </c>
      <c r="K1583" s="10">
        <v>10.86</v>
      </c>
    </row>
    <row r="1584" spans="1:11" x14ac:dyDescent="0.25">
      <c r="A1584" s="8" t="s">
        <v>2917</v>
      </c>
      <c r="B1584" s="8" t="s">
        <v>120</v>
      </c>
      <c r="C1584" s="8" t="s">
        <v>2912</v>
      </c>
      <c r="D1584" s="8">
        <v>6</v>
      </c>
      <c r="E1584" s="8" t="s">
        <v>2913</v>
      </c>
      <c r="F1584" s="8" t="s">
        <v>149</v>
      </c>
      <c r="G1584" s="8" t="s">
        <v>2914</v>
      </c>
      <c r="H1584" s="10">
        <v>32550</v>
      </c>
      <c r="I1584" s="10"/>
      <c r="J1584" s="10">
        <v>32550</v>
      </c>
      <c r="K1584" s="10">
        <v>10.86</v>
      </c>
    </row>
    <row r="1585" spans="1:11" x14ac:dyDescent="0.25">
      <c r="A1585" s="8" t="s">
        <v>2918</v>
      </c>
      <c r="B1585" s="8" t="s">
        <v>122</v>
      </c>
      <c r="C1585" s="8" t="s">
        <v>2912</v>
      </c>
      <c r="D1585" s="8">
        <v>6</v>
      </c>
      <c r="E1585" s="8" t="s">
        <v>2913</v>
      </c>
      <c r="F1585" s="8" t="s">
        <v>149</v>
      </c>
      <c r="G1585" s="8" t="s">
        <v>2914</v>
      </c>
      <c r="H1585" s="10">
        <v>1000</v>
      </c>
      <c r="I1585" s="10"/>
      <c r="J1585" s="10">
        <v>1000</v>
      </c>
      <c r="K1585" s="10">
        <v>10.86</v>
      </c>
    </row>
    <row r="1586" spans="1:11" x14ac:dyDescent="0.25">
      <c r="A1586" s="8" t="s">
        <v>2919</v>
      </c>
      <c r="B1586" s="8" t="s">
        <v>124</v>
      </c>
      <c r="C1586" s="8" t="s">
        <v>2912</v>
      </c>
      <c r="D1586" s="8">
        <v>6</v>
      </c>
      <c r="E1586" s="8" t="s">
        <v>2913</v>
      </c>
      <c r="F1586" s="8" t="s">
        <v>149</v>
      </c>
      <c r="G1586" s="8" t="s">
        <v>2914</v>
      </c>
      <c r="H1586" s="10">
        <v>3700</v>
      </c>
      <c r="I1586" s="10"/>
      <c r="J1586" s="10">
        <v>3700</v>
      </c>
      <c r="K1586" s="10">
        <v>10.86</v>
      </c>
    </row>
    <row r="1587" spans="1:11" x14ac:dyDescent="0.25">
      <c r="A1587" s="8" t="s">
        <v>2920</v>
      </c>
      <c r="B1587" s="8" t="s">
        <v>949</v>
      </c>
      <c r="C1587" s="8" t="s">
        <v>2912</v>
      </c>
      <c r="D1587" s="8">
        <v>6</v>
      </c>
      <c r="E1587" s="8" t="s">
        <v>2913</v>
      </c>
      <c r="F1587" s="8" t="s">
        <v>149</v>
      </c>
      <c r="G1587" s="8" t="s">
        <v>2914</v>
      </c>
      <c r="H1587" s="10">
        <v>3360</v>
      </c>
      <c r="I1587" s="10"/>
      <c r="J1587" s="10">
        <v>3360</v>
      </c>
      <c r="K1587" s="10">
        <v>10.86</v>
      </c>
    </row>
    <row r="1588" spans="1:11" x14ac:dyDescent="0.25">
      <c r="A1588" s="8" t="s">
        <v>2921</v>
      </c>
      <c r="B1588" s="8" t="s">
        <v>130</v>
      </c>
      <c r="C1588" s="8" t="s">
        <v>2912</v>
      </c>
      <c r="D1588" s="8">
        <v>6</v>
      </c>
      <c r="E1588" s="8" t="s">
        <v>2913</v>
      </c>
      <c r="F1588" s="8" t="s">
        <v>149</v>
      </c>
      <c r="G1588" s="8" t="s">
        <v>2914</v>
      </c>
      <c r="H1588" s="10">
        <v>760</v>
      </c>
      <c r="I1588" s="10"/>
      <c r="J1588" s="10">
        <v>760</v>
      </c>
      <c r="K1588" s="10">
        <v>10.86</v>
      </c>
    </row>
    <row r="1589" spans="1:11" x14ac:dyDescent="0.25">
      <c r="A1589" s="8" t="s">
        <v>2922</v>
      </c>
      <c r="B1589" s="8" t="s">
        <v>134</v>
      </c>
      <c r="C1589" s="8" t="s">
        <v>2912</v>
      </c>
      <c r="D1589" s="8">
        <v>6</v>
      </c>
      <c r="E1589" s="8" t="s">
        <v>2913</v>
      </c>
      <c r="F1589" s="8" t="s">
        <v>149</v>
      </c>
      <c r="G1589" s="8" t="s">
        <v>2914</v>
      </c>
      <c r="H1589" s="10">
        <v>1950</v>
      </c>
      <c r="I1589" s="10"/>
      <c r="J1589" s="10">
        <v>1950</v>
      </c>
      <c r="K1589" s="10">
        <v>10.86</v>
      </c>
    </row>
    <row r="1590" spans="1:11" x14ac:dyDescent="0.25">
      <c r="A1590" s="8" t="s">
        <v>2923</v>
      </c>
      <c r="B1590" s="8" t="s">
        <v>263</v>
      </c>
      <c r="C1590" s="8" t="s">
        <v>2912</v>
      </c>
      <c r="D1590" s="8">
        <v>6</v>
      </c>
      <c r="E1590" s="8" t="s">
        <v>2924</v>
      </c>
      <c r="F1590" s="8" t="s">
        <v>149</v>
      </c>
      <c r="G1590" s="8" t="s">
        <v>2925</v>
      </c>
      <c r="H1590" s="10">
        <v>1700</v>
      </c>
      <c r="I1590" s="10"/>
      <c r="J1590" s="10">
        <v>1700</v>
      </c>
      <c r="K1590" s="10">
        <v>30.77</v>
      </c>
    </row>
    <row r="1591" spans="1:11" x14ac:dyDescent="0.25">
      <c r="A1591" s="8" t="s">
        <v>2926</v>
      </c>
      <c r="B1591" s="8" t="s">
        <v>269</v>
      </c>
      <c r="C1591" s="8" t="s">
        <v>2912</v>
      </c>
      <c r="D1591" s="8">
        <v>6</v>
      </c>
      <c r="E1591" s="8" t="s">
        <v>2924</v>
      </c>
      <c r="F1591" s="8" t="s">
        <v>149</v>
      </c>
      <c r="G1591" s="8" t="s">
        <v>2925</v>
      </c>
      <c r="H1591" s="10">
        <v>1700</v>
      </c>
      <c r="I1591" s="10"/>
      <c r="J1591" s="10">
        <v>1700</v>
      </c>
      <c r="K1591" s="10">
        <v>30.77</v>
      </c>
    </row>
    <row r="1592" spans="1:11" x14ac:dyDescent="0.25">
      <c r="A1592" s="8" t="s">
        <v>2927</v>
      </c>
      <c r="B1592" s="8" t="s">
        <v>116</v>
      </c>
      <c r="C1592" s="8" t="s">
        <v>2912</v>
      </c>
      <c r="D1592" s="8">
        <v>6</v>
      </c>
      <c r="E1592" s="8" t="s">
        <v>2928</v>
      </c>
      <c r="F1592" s="8" t="s">
        <v>149</v>
      </c>
      <c r="G1592" s="8" t="s">
        <v>2925</v>
      </c>
      <c r="H1592" s="10">
        <v>2024</v>
      </c>
      <c r="I1592" s="10"/>
      <c r="J1592" s="10">
        <v>2024</v>
      </c>
      <c r="K1592" s="10">
        <v>30.77</v>
      </c>
    </row>
    <row r="1593" spans="1:11" x14ac:dyDescent="0.25">
      <c r="A1593" s="8" t="s">
        <v>2929</v>
      </c>
      <c r="B1593" s="8" t="s">
        <v>118</v>
      </c>
      <c r="C1593" s="8" t="s">
        <v>2912</v>
      </c>
      <c r="D1593" s="8">
        <v>6</v>
      </c>
      <c r="E1593" s="8" t="s">
        <v>2924</v>
      </c>
      <c r="F1593" s="8" t="s">
        <v>149</v>
      </c>
      <c r="G1593" s="8" t="s">
        <v>2925</v>
      </c>
      <c r="H1593" s="10">
        <v>1500</v>
      </c>
      <c r="I1593" s="10"/>
      <c r="J1593" s="10">
        <v>1500</v>
      </c>
      <c r="K1593" s="10">
        <v>30.77</v>
      </c>
    </row>
    <row r="1594" spans="1:11" x14ac:dyDescent="0.25">
      <c r="A1594" s="8" t="s">
        <v>2930</v>
      </c>
      <c r="B1594" s="8" t="s">
        <v>120</v>
      </c>
      <c r="C1594" s="8" t="s">
        <v>2912</v>
      </c>
      <c r="D1594" s="8">
        <v>6</v>
      </c>
      <c r="E1594" s="8" t="s">
        <v>2928</v>
      </c>
      <c r="F1594" s="8" t="s">
        <v>149</v>
      </c>
      <c r="G1594" s="8" t="s">
        <v>2925</v>
      </c>
      <c r="H1594" s="10">
        <v>5000</v>
      </c>
      <c r="I1594" s="10"/>
      <c r="J1594" s="10">
        <v>5000</v>
      </c>
      <c r="K1594" s="10">
        <v>30.77</v>
      </c>
    </row>
    <row r="1595" spans="1:11" x14ac:dyDescent="0.25">
      <c r="A1595" s="8" t="s">
        <v>2931</v>
      </c>
      <c r="B1595" s="8" t="s">
        <v>122</v>
      </c>
      <c r="C1595" s="8" t="s">
        <v>2912</v>
      </c>
      <c r="D1595" s="8">
        <v>6</v>
      </c>
      <c r="E1595" s="8" t="s">
        <v>2928</v>
      </c>
      <c r="F1595" s="8" t="s">
        <v>149</v>
      </c>
      <c r="G1595" s="8" t="s">
        <v>2925</v>
      </c>
      <c r="H1595" s="10">
        <v>2000</v>
      </c>
      <c r="I1595" s="10"/>
      <c r="J1595" s="10">
        <v>2000</v>
      </c>
      <c r="K1595" s="10">
        <v>30.77</v>
      </c>
    </row>
    <row r="1596" spans="1:11" x14ac:dyDescent="0.25">
      <c r="A1596" s="8" t="s">
        <v>2932</v>
      </c>
      <c r="B1596" s="8" t="s">
        <v>124</v>
      </c>
      <c r="C1596" s="8" t="s">
        <v>2912</v>
      </c>
      <c r="D1596" s="8">
        <v>6</v>
      </c>
      <c r="E1596" s="8" t="s">
        <v>2928</v>
      </c>
      <c r="F1596" s="8" t="s">
        <v>149</v>
      </c>
      <c r="G1596" s="8" t="s">
        <v>2925</v>
      </c>
      <c r="H1596" s="10">
        <v>1500</v>
      </c>
      <c r="I1596" s="10"/>
      <c r="J1596" s="10">
        <v>1500</v>
      </c>
      <c r="K1596" s="10">
        <v>30.77</v>
      </c>
    </row>
    <row r="1597" spans="1:11" x14ac:dyDescent="0.25">
      <c r="A1597" s="8" t="s">
        <v>2933</v>
      </c>
      <c r="B1597" s="8" t="s">
        <v>78</v>
      </c>
      <c r="C1597" s="8" t="s">
        <v>2912</v>
      </c>
      <c r="D1597" s="8">
        <v>6</v>
      </c>
      <c r="E1597" s="8" t="s">
        <v>2928</v>
      </c>
      <c r="F1597" s="8" t="s">
        <v>149</v>
      </c>
      <c r="G1597" s="8" t="s">
        <v>2925</v>
      </c>
      <c r="H1597" s="10">
        <v>1000</v>
      </c>
      <c r="I1597" s="10"/>
      <c r="J1597" s="10">
        <v>1000</v>
      </c>
      <c r="K1597" s="10">
        <v>30.77</v>
      </c>
    </row>
    <row r="1598" spans="1:11" x14ac:dyDescent="0.25">
      <c r="A1598" s="8" t="s">
        <v>2934</v>
      </c>
      <c r="B1598" s="8" t="s">
        <v>128</v>
      </c>
      <c r="C1598" s="8" t="s">
        <v>2912</v>
      </c>
      <c r="D1598" s="8">
        <v>6</v>
      </c>
      <c r="E1598" s="8" t="s">
        <v>2928</v>
      </c>
      <c r="F1598" s="8" t="s">
        <v>149</v>
      </c>
      <c r="G1598" s="8" t="s">
        <v>2925</v>
      </c>
      <c r="H1598" s="10">
        <v>500</v>
      </c>
      <c r="I1598" s="10"/>
      <c r="J1598" s="10">
        <v>500</v>
      </c>
      <c r="K1598" s="10">
        <v>30.77</v>
      </c>
    </row>
    <row r="1599" spans="1:11" x14ac:dyDescent="0.25">
      <c r="A1599" s="8" t="s">
        <v>2935</v>
      </c>
      <c r="B1599" s="8" t="s">
        <v>130</v>
      </c>
      <c r="C1599" s="8" t="s">
        <v>2912</v>
      </c>
      <c r="D1599" s="8">
        <v>6</v>
      </c>
      <c r="E1599" s="8" t="s">
        <v>2928</v>
      </c>
      <c r="F1599" s="8" t="s">
        <v>149</v>
      </c>
      <c r="G1599" s="8" t="s">
        <v>2925</v>
      </c>
      <c r="H1599" s="10">
        <v>300</v>
      </c>
      <c r="I1599" s="10"/>
      <c r="J1599" s="10">
        <v>300</v>
      </c>
      <c r="K1599" s="10">
        <v>30.77</v>
      </c>
    </row>
    <row r="1600" spans="1:11" x14ac:dyDescent="0.25">
      <c r="A1600" s="8" t="s">
        <v>2936</v>
      </c>
      <c r="B1600" s="8" t="s">
        <v>132</v>
      </c>
      <c r="C1600" s="8" t="s">
        <v>2912</v>
      </c>
      <c r="D1600" s="8">
        <v>6</v>
      </c>
      <c r="E1600" s="8" t="s">
        <v>2928</v>
      </c>
      <c r="F1600" s="8" t="s">
        <v>149</v>
      </c>
      <c r="G1600" s="8" t="s">
        <v>2925</v>
      </c>
      <c r="H1600" s="10">
        <v>500</v>
      </c>
      <c r="I1600" s="10"/>
      <c r="J1600" s="10">
        <v>500</v>
      </c>
      <c r="K1600" s="10">
        <v>30.77</v>
      </c>
    </row>
    <row r="1601" spans="1:11" x14ac:dyDescent="0.25">
      <c r="A1601" s="8" t="s">
        <v>2937</v>
      </c>
      <c r="B1601" s="8" t="s">
        <v>134</v>
      </c>
      <c r="C1601" s="8" t="s">
        <v>2912</v>
      </c>
      <c r="D1601" s="8">
        <v>6</v>
      </c>
      <c r="E1601" s="8" t="s">
        <v>2928</v>
      </c>
      <c r="F1601" s="8" t="s">
        <v>149</v>
      </c>
      <c r="G1601" s="8" t="s">
        <v>2925</v>
      </c>
      <c r="H1601" s="10">
        <v>1500</v>
      </c>
      <c r="I1601" s="10"/>
      <c r="J1601" s="10">
        <v>1500</v>
      </c>
      <c r="K1601" s="10">
        <v>30.77</v>
      </c>
    </row>
    <row r="1602" spans="1:11" x14ac:dyDescent="0.25">
      <c r="A1602" s="8" t="s">
        <v>2938</v>
      </c>
      <c r="B1602" s="8" t="s">
        <v>80</v>
      </c>
      <c r="C1602" s="8" t="s">
        <v>2912</v>
      </c>
      <c r="D1602" s="8">
        <v>6</v>
      </c>
      <c r="E1602" s="8" t="s">
        <v>2928</v>
      </c>
      <c r="F1602" s="8" t="s">
        <v>149</v>
      </c>
      <c r="G1602" s="8" t="s">
        <v>2925</v>
      </c>
      <c r="H1602" s="10">
        <v>500</v>
      </c>
      <c r="I1602" s="10"/>
      <c r="J1602" s="10">
        <v>500</v>
      </c>
      <c r="K1602" s="10">
        <v>30.77</v>
      </c>
    </row>
    <row r="1603" spans="1:11" x14ac:dyDescent="0.25">
      <c r="A1603" s="8" t="s">
        <v>2939</v>
      </c>
      <c r="B1603" s="8" t="s">
        <v>118</v>
      </c>
      <c r="C1603" s="8" t="s">
        <v>2912</v>
      </c>
      <c r="D1603" s="8">
        <v>6</v>
      </c>
      <c r="E1603" s="8" t="s">
        <v>2940</v>
      </c>
      <c r="F1603" s="8" t="s">
        <v>149</v>
      </c>
      <c r="G1603" s="8" t="s">
        <v>2914</v>
      </c>
      <c r="H1603" s="10">
        <v>9391</v>
      </c>
      <c r="I1603" s="10"/>
      <c r="J1603" s="10">
        <v>9391</v>
      </c>
      <c r="K1603" s="10">
        <v>27.31</v>
      </c>
    </row>
    <row r="1604" spans="1:11" x14ac:dyDescent="0.25">
      <c r="A1604" s="8" t="s">
        <v>2941</v>
      </c>
      <c r="B1604" s="8" t="s">
        <v>120</v>
      </c>
      <c r="C1604" s="8" t="s">
        <v>2912</v>
      </c>
      <c r="D1604" s="8">
        <v>6</v>
      </c>
      <c r="E1604" s="8" t="s">
        <v>2940</v>
      </c>
      <c r="F1604" s="8" t="s">
        <v>149</v>
      </c>
      <c r="G1604" s="8" t="s">
        <v>2914</v>
      </c>
      <c r="H1604" s="10">
        <v>2650</v>
      </c>
      <c r="I1604" s="10"/>
      <c r="J1604" s="10">
        <v>2650</v>
      </c>
      <c r="K1604" s="10">
        <v>27.31</v>
      </c>
    </row>
    <row r="1605" spans="1:11" x14ac:dyDescent="0.25">
      <c r="A1605" s="8" t="s">
        <v>2942</v>
      </c>
      <c r="B1605" s="8" t="s">
        <v>80</v>
      </c>
      <c r="C1605" s="8" t="s">
        <v>2912</v>
      </c>
      <c r="D1605" s="8">
        <v>6</v>
      </c>
      <c r="E1605" s="8" t="s">
        <v>2943</v>
      </c>
      <c r="F1605" s="8" t="s">
        <v>149</v>
      </c>
      <c r="G1605" s="8" t="s">
        <v>2914</v>
      </c>
      <c r="H1605" s="10">
        <v>643</v>
      </c>
      <c r="I1605" s="10"/>
      <c r="J1605" s="10">
        <v>643</v>
      </c>
      <c r="K1605" s="10">
        <v>7.39</v>
      </c>
    </row>
    <row r="1606" spans="1:11" x14ac:dyDescent="0.25">
      <c r="A1606" s="8" t="s">
        <v>2944</v>
      </c>
      <c r="B1606" s="8" t="s">
        <v>118</v>
      </c>
      <c r="C1606" s="8" t="s">
        <v>2912</v>
      </c>
      <c r="D1606" s="8">
        <v>6</v>
      </c>
      <c r="E1606" s="8" t="s">
        <v>2945</v>
      </c>
      <c r="F1606" s="8" t="s">
        <v>149</v>
      </c>
      <c r="G1606" s="8" t="s">
        <v>2914</v>
      </c>
      <c r="H1606" s="10">
        <v>4718</v>
      </c>
      <c r="I1606" s="10"/>
      <c r="J1606" s="10">
        <v>4718</v>
      </c>
      <c r="K1606" s="10">
        <v>8.26</v>
      </c>
    </row>
    <row r="1607" spans="1:11" x14ac:dyDescent="0.25">
      <c r="A1607" s="8" t="s">
        <v>2946</v>
      </c>
      <c r="B1607" s="8" t="s">
        <v>120</v>
      </c>
      <c r="C1607" s="8" t="s">
        <v>2912</v>
      </c>
      <c r="D1607" s="8">
        <v>6</v>
      </c>
      <c r="E1607" s="8" t="s">
        <v>2947</v>
      </c>
      <c r="F1607" s="8" t="s">
        <v>149</v>
      </c>
      <c r="G1607" s="8" t="s">
        <v>2914</v>
      </c>
      <c r="H1607" s="10">
        <v>7317</v>
      </c>
      <c r="I1607" s="10"/>
      <c r="J1607" s="10">
        <v>7317</v>
      </c>
      <c r="K1607" s="10">
        <v>8.26</v>
      </c>
    </row>
    <row r="1608" spans="1:11" x14ac:dyDescent="0.25">
      <c r="A1608" s="8" t="s">
        <v>2948</v>
      </c>
      <c r="B1608" s="8" t="s">
        <v>130</v>
      </c>
      <c r="C1608" s="8" t="s">
        <v>2912</v>
      </c>
      <c r="D1608" s="8">
        <v>6</v>
      </c>
      <c r="E1608" s="8" t="s">
        <v>2949</v>
      </c>
      <c r="F1608" s="8" t="s">
        <v>149</v>
      </c>
      <c r="G1608" s="8" t="s">
        <v>2914</v>
      </c>
      <c r="H1608" s="10">
        <v>450</v>
      </c>
      <c r="I1608" s="10"/>
      <c r="J1608" s="10">
        <v>450</v>
      </c>
      <c r="K1608" s="10">
        <v>16.920000000000002</v>
      </c>
    </row>
    <row r="1609" spans="1:11" x14ac:dyDescent="0.25">
      <c r="A1609" s="8" t="s">
        <v>2950</v>
      </c>
      <c r="B1609" s="8" t="s">
        <v>116</v>
      </c>
      <c r="C1609" s="8" t="s">
        <v>2912</v>
      </c>
      <c r="D1609" s="8">
        <v>6</v>
      </c>
      <c r="E1609" s="8" t="s">
        <v>2951</v>
      </c>
      <c r="F1609" s="8" t="s">
        <v>149</v>
      </c>
      <c r="G1609" s="8" t="s">
        <v>2914</v>
      </c>
      <c r="H1609" s="10">
        <v>4590</v>
      </c>
      <c r="I1609" s="10"/>
      <c r="J1609" s="10">
        <v>4590</v>
      </c>
      <c r="K1609" s="10">
        <v>8.26</v>
      </c>
    </row>
    <row r="1610" spans="1:11" x14ac:dyDescent="0.25">
      <c r="A1610" s="8" t="s">
        <v>2952</v>
      </c>
      <c r="B1610" s="8" t="s">
        <v>118</v>
      </c>
      <c r="C1610" s="8" t="s">
        <v>2912</v>
      </c>
      <c r="D1610" s="8">
        <v>6</v>
      </c>
      <c r="E1610" s="8" t="s">
        <v>2953</v>
      </c>
      <c r="F1610" s="8" t="s">
        <v>149</v>
      </c>
      <c r="G1610" s="8" t="s">
        <v>2914</v>
      </c>
      <c r="H1610" s="10">
        <v>3102</v>
      </c>
      <c r="I1610" s="10"/>
      <c r="J1610" s="10">
        <v>3102</v>
      </c>
      <c r="K1610" s="10">
        <v>8.26</v>
      </c>
    </row>
    <row r="1611" spans="1:11" x14ac:dyDescent="0.25">
      <c r="A1611" s="8" t="s">
        <v>2954</v>
      </c>
      <c r="B1611" s="8" t="s">
        <v>120</v>
      </c>
      <c r="C1611" s="8" t="s">
        <v>2912</v>
      </c>
      <c r="D1611" s="8">
        <v>6</v>
      </c>
      <c r="E1611" s="8" t="s">
        <v>2955</v>
      </c>
      <c r="F1611" s="8" t="s">
        <v>149</v>
      </c>
      <c r="G1611" s="8" t="s">
        <v>2914</v>
      </c>
      <c r="H1611" s="10">
        <v>2280</v>
      </c>
      <c r="I1611" s="10"/>
      <c r="J1611" s="10">
        <v>2280</v>
      </c>
      <c r="K1611" s="10">
        <v>8.26</v>
      </c>
    </row>
    <row r="1612" spans="1:11" x14ac:dyDescent="0.25">
      <c r="A1612" s="8" t="s">
        <v>2956</v>
      </c>
      <c r="B1612" s="8" t="s">
        <v>116</v>
      </c>
      <c r="C1612" s="8" t="s">
        <v>2912</v>
      </c>
      <c r="D1612" s="8">
        <v>6</v>
      </c>
      <c r="E1612" s="8" t="s">
        <v>2957</v>
      </c>
      <c r="F1612" s="8" t="s">
        <v>149</v>
      </c>
      <c r="G1612" s="8" t="s">
        <v>2914</v>
      </c>
      <c r="H1612" s="10">
        <v>900</v>
      </c>
      <c r="I1612" s="10"/>
      <c r="J1612" s="10">
        <v>900</v>
      </c>
      <c r="K1612" s="10">
        <v>8.26</v>
      </c>
    </row>
    <row r="1613" spans="1:11" x14ac:dyDescent="0.25">
      <c r="A1613" s="8" t="s">
        <v>2958</v>
      </c>
      <c r="B1613" s="8" t="s">
        <v>118</v>
      </c>
      <c r="C1613" s="8" t="s">
        <v>2912</v>
      </c>
      <c r="D1613" s="8">
        <v>6</v>
      </c>
      <c r="E1613" s="8" t="s">
        <v>2959</v>
      </c>
      <c r="F1613" s="8" t="s">
        <v>149</v>
      </c>
      <c r="G1613" s="8" t="s">
        <v>2914</v>
      </c>
      <c r="H1613" s="10">
        <v>900</v>
      </c>
      <c r="I1613" s="10"/>
      <c r="J1613" s="10">
        <v>900</v>
      </c>
      <c r="K1613" s="10">
        <v>8.26</v>
      </c>
    </row>
    <row r="1614" spans="1:11" x14ac:dyDescent="0.25">
      <c r="A1614" s="8" t="s">
        <v>2960</v>
      </c>
      <c r="B1614" s="8" t="s">
        <v>120</v>
      </c>
      <c r="C1614" s="8" t="s">
        <v>2912</v>
      </c>
      <c r="D1614" s="8">
        <v>6</v>
      </c>
      <c r="E1614" s="8" t="s">
        <v>2961</v>
      </c>
      <c r="F1614" s="8" t="s">
        <v>149</v>
      </c>
      <c r="G1614" s="8" t="s">
        <v>2914</v>
      </c>
      <c r="H1614" s="10">
        <v>900</v>
      </c>
      <c r="I1614" s="10"/>
      <c r="J1614" s="10">
        <v>900</v>
      </c>
      <c r="K1614" s="10">
        <v>8.26</v>
      </c>
    </row>
    <row r="1615" spans="1:11" x14ac:dyDescent="0.25">
      <c r="A1615" s="8" t="s">
        <v>2962</v>
      </c>
      <c r="B1615" s="8" t="s">
        <v>116</v>
      </c>
      <c r="C1615" s="8" t="s">
        <v>2912</v>
      </c>
      <c r="D1615" s="8">
        <v>6</v>
      </c>
      <c r="E1615" s="8" t="s">
        <v>2963</v>
      </c>
      <c r="F1615" s="8" t="s">
        <v>149</v>
      </c>
      <c r="G1615" s="8" t="s">
        <v>2914</v>
      </c>
      <c r="H1615" s="10">
        <v>383</v>
      </c>
      <c r="I1615" s="10"/>
      <c r="J1615" s="10">
        <v>383</v>
      </c>
      <c r="K1615" s="10">
        <v>15.19</v>
      </c>
    </row>
    <row r="1616" spans="1:11" x14ac:dyDescent="0.25">
      <c r="A1616" s="8" t="s">
        <v>2964</v>
      </c>
      <c r="B1616" s="8" t="s">
        <v>118</v>
      </c>
      <c r="C1616" s="8" t="s">
        <v>2912</v>
      </c>
      <c r="D1616" s="8">
        <v>6</v>
      </c>
      <c r="E1616" s="8" t="s">
        <v>2965</v>
      </c>
      <c r="F1616" s="8" t="s">
        <v>149</v>
      </c>
      <c r="G1616" s="8" t="s">
        <v>2914</v>
      </c>
      <c r="H1616" s="10">
        <v>370</v>
      </c>
      <c r="I1616" s="10"/>
      <c r="J1616" s="10">
        <v>370</v>
      </c>
      <c r="K1616" s="10">
        <v>14.32</v>
      </c>
    </row>
    <row r="1617" spans="1:11" x14ac:dyDescent="0.25">
      <c r="A1617" s="8" t="s">
        <v>2966</v>
      </c>
      <c r="B1617" s="8" t="s">
        <v>120</v>
      </c>
      <c r="C1617" s="8" t="s">
        <v>2912</v>
      </c>
      <c r="D1617" s="8">
        <v>6</v>
      </c>
      <c r="E1617" s="8" t="s">
        <v>2967</v>
      </c>
      <c r="F1617" s="8" t="s">
        <v>149</v>
      </c>
      <c r="G1617" s="8" t="s">
        <v>2914</v>
      </c>
      <c r="H1617" s="10">
        <v>6790</v>
      </c>
      <c r="I1617" s="10"/>
      <c r="J1617" s="10">
        <v>6790</v>
      </c>
      <c r="K1617" s="10">
        <v>5.66</v>
      </c>
    </row>
    <row r="1618" spans="1:11" x14ac:dyDescent="0.25">
      <c r="A1618" s="8" t="s">
        <v>2968</v>
      </c>
      <c r="B1618" s="8" t="s">
        <v>120</v>
      </c>
      <c r="C1618" s="8" t="s">
        <v>2912</v>
      </c>
      <c r="D1618" s="8">
        <v>6</v>
      </c>
      <c r="E1618" s="8" t="s">
        <v>2969</v>
      </c>
      <c r="F1618" s="8" t="s">
        <v>149</v>
      </c>
      <c r="G1618" s="8" t="s">
        <v>2914</v>
      </c>
      <c r="H1618" s="10">
        <v>6270</v>
      </c>
      <c r="I1618" s="10"/>
      <c r="J1618" s="10">
        <v>6270</v>
      </c>
      <c r="K1618" s="10">
        <v>9.1300000000000008</v>
      </c>
    </row>
    <row r="1619" spans="1:11" x14ac:dyDescent="0.25">
      <c r="A1619" s="8" t="s">
        <v>2970</v>
      </c>
      <c r="B1619" s="8" t="s">
        <v>120</v>
      </c>
      <c r="C1619" s="8" t="s">
        <v>2912</v>
      </c>
      <c r="D1619" s="8">
        <v>6</v>
      </c>
      <c r="E1619" s="8" t="s">
        <v>2971</v>
      </c>
      <c r="F1619" s="8" t="s">
        <v>149</v>
      </c>
      <c r="G1619" s="8" t="s">
        <v>2914</v>
      </c>
      <c r="H1619" s="10">
        <v>2578</v>
      </c>
      <c r="I1619" s="10"/>
      <c r="J1619" s="10">
        <v>2578</v>
      </c>
      <c r="K1619" s="10">
        <v>15.19</v>
      </c>
    </row>
    <row r="1620" spans="1:11" x14ac:dyDescent="0.25">
      <c r="A1620" s="8" t="s">
        <v>2972</v>
      </c>
      <c r="B1620" s="8" t="s">
        <v>78</v>
      </c>
      <c r="C1620" s="8" t="s">
        <v>2912</v>
      </c>
      <c r="D1620" s="8">
        <v>6</v>
      </c>
      <c r="E1620" s="8" t="s">
        <v>2973</v>
      </c>
      <c r="F1620" s="8" t="s">
        <v>149</v>
      </c>
      <c r="G1620" s="8" t="s">
        <v>2914</v>
      </c>
      <c r="H1620" s="10">
        <v>1000</v>
      </c>
      <c r="I1620" s="10"/>
      <c r="J1620" s="10">
        <v>1000</v>
      </c>
      <c r="K1620" s="10">
        <v>3.93</v>
      </c>
    </row>
    <row r="1621" spans="1:11" x14ac:dyDescent="0.25">
      <c r="A1621" s="8" t="s">
        <v>2974</v>
      </c>
      <c r="B1621" s="8" t="s">
        <v>78</v>
      </c>
      <c r="C1621" s="8" t="s">
        <v>2912</v>
      </c>
      <c r="D1621" s="8">
        <v>6</v>
      </c>
      <c r="E1621" s="8" t="s">
        <v>2973</v>
      </c>
      <c r="F1621" s="8" t="s">
        <v>149</v>
      </c>
      <c r="G1621" s="8" t="s">
        <v>2914</v>
      </c>
      <c r="H1621" s="10">
        <v>1000</v>
      </c>
      <c r="I1621" s="10"/>
      <c r="J1621" s="10">
        <v>1000</v>
      </c>
      <c r="K1621" s="10">
        <v>3.93</v>
      </c>
    </row>
    <row r="1622" spans="1:11" x14ac:dyDescent="0.25">
      <c r="A1622" s="8" t="s">
        <v>2975</v>
      </c>
      <c r="B1622" s="8" t="s">
        <v>78</v>
      </c>
      <c r="C1622" s="8" t="s">
        <v>2912</v>
      </c>
      <c r="D1622" s="8">
        <v>6</v>
      </c>
      <c r="E1622" s="8" t="s">
        <v>2973</v>
      </c>
      <c r="F1622" s="8" t="s">
        <v>149</v>
      </c>
      <c r="G1622" s="8" t="s">
        <v>2914</v>
      </c>
      <c r="H1622" s="10">
        <v>1000</v>
      </c>
      <c r="I1622" s="10"/>
      <c r="J1622" s="10">
        <v>1000</v>
      </c>
      <c r="K1622" s="10">
        <v>3.93</v>
      </c>
    </row>
    <row r="1623" spans="1:11" x14ac:dyDescent="0.25">
      <c r="A1623" s="8" t="s">
        <v>2976</v>
      </c>
      <c r="B1623" s="8" t="s">
        <v>78</v>
      </c>
      <c r="C1623" s="8" t="s">
        <v>2912</v>
      </c>
      <c r="D1623" s="8">
        <v>6</v>
      </c>
      <c r="E1623" s="8" t="s">
        <v>2973</v>
      </c>
      <c r="F1623" s="8" t="s">
        <v>149</v>
      </c>
      <c r="G1623" s="8" t="s">
        <v>2914</v>
      </c>
      <c r="H1623" s="10">
        <v>1000</v>
      </c>
      <c r="I1623" s="10"/>
      <c r="J1623" s="10">
        <v>1000</v>
      </c>
      <c r="K1623" s="10">
        <v>3.93</v>
      </c>
    </row>
    <row r="1624" spans="1:11" x14ac:dyDescent="0.25">
      <c r="A1624" s="8" t="s">
        <v>2977</v>
      </c>
      <c r="B1624" s="8" t="s">
        <v>128</v>
      </c>
      <c r="C1624" s="8" t="s">
        <v>2912</v>
      </c>
      <c r="D1624" s="8">
        <v>6</v>
      </c>
      <c r="E1624" s="8" t="s">
        <v>2978</v>
      </c>
      <c r="F1624" s="8" t="s">
        <v>149</v>
      </c>
      <c r="G1624" s="8" t="s">
        <v>2914</v>
      </c>
      <c r="H1624" s="10">
        <v>100</v>
      </c>
      <c r="I1624" s="10"/>
      <c r="J1624" s="10">
        <v>100</v>
      </c>
      <c r="K1624" s="10">
        <v>16.920000000000002</v>
      </c>
    </row>
    <row r="1625" spans="1:11" x14ac:dyDescent="0.25">
      <c r="A1625" s="8" t="s">
        <v>2979</v>
      </c>
      <c r="B1625" s="8" t="s">
        <v>128</v>
      </c>
      <c r="C1625" s="8" t="s">
        <v>2912</v>
      </c>
      <c r="D1625" s="8">
        <v>6</v>
      </c>
      <c r="E1625" s="8" t="s">
        <v>2980</v>
      </c>
      <c r="F1625" s="8" t="s">
        <v>149</v>
      </c>
      <c r="G1625" s="8" t="s">
        <v>2914</v>
      </c>
      <c r="H1625" s="10">
        <v>600</v>
      </c>
      <c r="I1625" s="10"/>
      <c r="J1625" s="10">
        <v>600</v>
      </c>
      <c r="K1625" s="10">
        <v>9.1300000000000008</v>
      </c>
    </row>
    <row r="1626" spans="1:11" x14ac:dyDescent="0.25">
      <c r="A1626" s="8" t="s">
        <v>2981</v>
      </c>
      <c r="B1626" s="8" t="s">
        <v>80</v>
      </c>
      <c r="C1626" s="8" t="s">
        <v>2912</v>
      </c>
      <c r="D1626" s="8">
        <v>6</v>
      </c>
      <c r="E1626" s="8" t="s">
        <v>2982</v>
      </c>
      <c r="F1626" s="8" t="s">
        <v>149</v>
      </c>
      <c r="G1626" s="8" t="s">
        <v>2914</v>
      </c>
      <c r="H1626" s="10">
        <v>2210</v>
      </c>
      <c r="I1626" s="10"/>
      <c r="J1626" s="10">
        <v>2210</v>
      </c>
      <c r="K1626" s="10">
        <v>9.1300000000000008</v>
      </c>
    </row>
    <row r="1627" spans="1:11" x14ac:dyDescent="0.25">
      <c r="A1627" s="8" t="s">
        <v>2983</v>
      </c>
      <c r="B1627" s="8" t="s">
        <v>120</v>
      </c>
      <c r="C1627" s="8" t="s">
        <v>2912</v>
      </c>
      <c r="D1627" s="8">
        <v>6</v>
      </c>
      <c r="E1627" s="8" t="s">
        <v>2984</v>
      </c>
      <c r="F1627" s="8" t="s">
        <v>149</v>
      </c>
      <c r="G1627" s="8" t="s">
        <v>2914</v>
      </c>
      <c r="H1627" s="10">
        <v>1207</v>
      </c>
      <c r="I1627" s="10"/>
      <c r="J1627" s="10">
        <v>1207</v>
      </c>
      <c r="K1627" s="10">
        <v>10.86</v>
      </c>
    </row>
    <row r="1628" spans="1:11" x14ac:dyDescent="0.25">
      <c r="A1628" s="8" t="s">
        <v>2985</v>
      </c>
      <c r="B1628" s="8" t="s">
        <v>120</v>
      </c>
      <c r="C1628" s="8" t="s">
        <v>2912</v>
      </c>
      <c r="D1628" s="8">
        <v>6</v>
      </c>
      <c r="E1628" s="8" t="s">
        <v>2986</v>
      </c>
      <c r="F1628" s="8" t="s">
        <v>149</v>
      </c>
      <c r="G1628" s="8" t="s">
        <v>2914</v>
      </c>
      <c r="H1628" s="10">
        <v>1208</v>
      </c>
      <c r="I1628" s="10"/>
      <c r="J1628" s="10">
        <v>1208</v>
      </c>
      <c r="K1628" s="10">
        <v>10.86</v>
      </c>
    </row>
    <row r="1629" spans="1:11" x14ac:dyDescent="0.25">
      <c r="A1629" s="8" t="s">
        <v>2987</v>
      </c>
      <c r="B1629" s="8" t="s">
        <v>120</v>
      </c>
      <c r="C1629" s="8" t="s">
        <v>2912</v>
      </c>
      <c r="D1629" s="8">
        <v>6</v>
      </c>
      <c r="E1629" s="8" t="s">
        <v>2988</v>
      </c>
      <c r="F1629" s="8" t="s">
        <v>149</v>
      </c>
      <c r="G1629" s="8" t="s">
        <v>2914</v>
      </c>
      <c r="H1629" s="10">
        <v>600</v>
      </c>
      <c r="I1629" s="10"/>
      <c r="J1629" s="10">
        <v>600</v>
      </c>
      <c r="K1629" s="10">
        <v>18.649999999999999</v>
      </c>
    </row>
    <row r="1630" spans="1:11" x14ac:dyDescent="0.25">
      <c r="A1630" s="8" t="s">
        <v>2989</v>
      </c>
      <c r="B1630" s="8" t="s">
        <v>120</v>
      </c>
      <c r="C1630" s="8" t="s">
        <v>2912</v>
      </c>
      <c r="D1630" s="8">
        <v>6</v>
      </c>
      <c r="E1630" s="8" t="s">
        <v>2990</v>
      </c>
      <c r="F1630" s="8" t="s">
        <v>149</v>
      </c>
      <c r="G1630" s="8" t="s">
        <v>2914</v>
      </c>
      <c r="H1630" s="10">
        <v>600</v>
      </c>
      <c r="I1630" s="10"/>
      <c r="J1630" s="10">
        <v>600</v>
      </c>
      <c r="K1630" s="10">
        <v>18.649999999999999</v>
      </c>
    </row>
    <row r="1631" spans="1:11" x14ac:dyDescent="0.25">
      <c r="A1631" s="8" t="s">
        <v>2991</v>
      </c>
      <c r="B1631" s="8" t="s">
        <v>120</v>
      </c>
      <c r="C1631" s="8" t="s">
        <v>2912</v>
      </c>
      <c r="D1631" s="8">
        <v>6</v>
      </c>
      <c r="E1631" s="8" t="s">
        <v>2992</v>
      </c>
      <c r="F1631" s="8" t="s">
        <v>149</v>
      </c>
      <c r="G1631" s="8" t="s">
        <v>2914</v>
      </c>
      <c r="H1631" s="10">
        <v>600</v>
      </c>
      <c r="I1631" s="10"/>
      <c r="J1631" s="10">
        <v>600</v>
      </c>
      <c r="K1631" s="10">
        <v>18.649999999999999</v>
      </c>
    </row>
    <row r="1632" spans="1:11" x14ac:dyDescent="0.25">
      <c r="A1632" s="8" t="s">
        <v>2993</v>
      </c>
      <c r="B1632" s="8" t="s">
        <v>120</v>
      </c>
      <c r="C1632" s="8" t="s">
        <v>2912</v>
      </c>
      <c r="D1632" s="8">
        <v>6</v>
      </c>
      <c r="E1632" s="8" t="s">
        <v>2994</v>
      </c>
      <c r="F1632" s="8" t="s">
        <v>149</v>
      </c>
      <c r="G1632" s="8" t="s">
        <v>2914</v>
      </c>
      <c r="H1632" s="10">
        <v>600</v>
      </c>
      <c r="I1632" s="10"/>
      <c r="J1632" s="10">
        <v>600</v>
      </c>
      <c r="K1632" s="10">
        <v>18.649999999999999</v>
      </c>
    </row>
    <row r="1633" spans="1:11" x14ac:dyDescent="0.25">
      <c r="A1633" s="8" t="s">
        <v>2995</v>
      </c>
      <c r="B1633" s="8" t="s">
        <v>130</v>
      </c>
      <c r="C1633" s="8" t="s">
        <v>2996</v>
      </c>
      <c r="D1633" s="8">
        <v>4</v>
      </c>
      <c r="E1633" s="8" t="s">
        <v>2997</v>
      </c>
      <c r="F1633" s="8" t="s">
        <v>2998</v>
      </c>
      <c r="G1633" s="8" t="s">
        <v>2999</v>
      </c>
      <c r="H1633" s="10">
        <v>102</v>
      </c>
      <c r="I1633" s="10"/>
      <c r="J1633" s="10">
        <v>102</v>
      </c>
      <c r="K1633" s="10">
        <v>1740.84</v>
      </c>
    </row>
    <row r="1634" spans="1:11" x14ac:dyDescent="0.25">
      <c r="A1634" s="8" t="s">
        <v>3000</v>
      </c>
      <c r="B1634" s="8" t="s">
        <v>120</v>
      </c>
      <c r="C1634" s="8" t="s">
        <v>2996</v>
      </c>
      <c r="D1634" s="8">
        <v>4</v>
      </c>
      <c r="E1634" s="8" t="s">
        <v>3001</v>
      </c>
      <c r="F1634" s="8" t="s">
        <v>149</v>
      </c>
      <c r="G1634" s="8" t="s">
        <v>2999</v>
      </c>
      <c r="H1634" s="10">
        <v>810</v>
      </c>
      <c r="I1634" s="10"/>
      <c r="J1634" s="10">
        <v>810</v>
      </c>
      <c r="K1634" s="10">
        <v>45.82</v>
      </c>
    </row>
    <row r="1635" spans="1:11" x14ac:dyDescent="0.25">
      <c r="A1635" s="8" t="s">
        <v>3002</v>
      </c>
      <c r="B1635" s="8" t="s">
        <v>120</v>
      </c>
      <c r="C1635" s="8" t="s">
        <v>2996</v>
      </c>
      <c r="D1635" s="8">
        <v>4</v>
      </c>
      <c r="E1635" s="8" t="s">
        <v>3001</v>
      </c>
      <c r="F1635" s="8" t="s">
        <v>149</v>
      </c>
      <c r="G1635" s="8" t="s">
        <v>2999</v>
      </c>
      <c r="H1635" s="10">
        <v>810</v>
      </c>
      <c r="I1635" s="10"/>
      <c r="J1635" s="10">
        <v>810</v>
      </c>
      <c r="K1635" s="10">
        <v>45.82</v>
      </c>
    </row>
    <row r="1636" spans="1:11" x14ac:dyDescent="0.25">
      <c r="A1636" s="8" t="s">
        <v>3003</v>
      </c>
      <c r="B1636" s="8" t="s">
        <v>118</v>
      </c>
      <c r="C1636" s="8" t="s">
        <v>3004</v>
      </c>
      <c r="D1636" s="8">
        <v>6</v>
      </c>
      <c r="E1636" s="8" t="s">
        <v>3005</v>
      </c>
      <c r="F1636" s="8" t="s">
        <v>378</v>
      </c>
      <c r="G1636" s="8" t="s">
        <v>3006</v>
      </c>
      <c r="H1636" s="10">
        <v>6</v>
      </c>
      <c r="I1636" s="10"/>
      <c r="J1636" s="10">
        <v>6</v>
      </c>
      <c r="K1636" s="10">
        <v>188.41</v>
      </c>
    </row>
    <row r="1637" spans="1:11" x14ac:dyDescent="0.25">
      <c r="A1637" s="8" t="s">
        <v>3007</v>
      </c>
      <c r="B1637" s="8" t="s">
        <v>120</v>
      </c>
      <c r="C1637" s="8" t="s">
        <v>3004</v>
      </c>
      <c r="D1637" s="8">
        <v>6</v>
      </c>
      <c r="E1637" s="8" t="s">
        <v>3005</v>
      </c>
      <c r="F1637" s="8" t="s">
        <v>378</v>
      </c>
      <c r="G1637" s="8" t="s">
        <v>3006</v>
      </c>
      <c r="H1637" s="10">
        <v>12</v>
      </c>
      <c r="I1637" s="10"/>
      <c r="J1637" s="10">
        <v>12</v>
      </c>
      <c r="K1637" s="10">
        <v>186.82</v>
      </c>
    </row>
    <row r="1638" spans="1:11" x14ac:dyDescent="0.25">
      <c r="A1638" s="8" t="s">
        <v>3008</v>
      </c>
      <c r="B1638" s="8" t="s">
        <v>132</v>
      </c>
      <c r="C1638" s="8" t="s">
        <v>3004</v>
      </c>
      <c r="D1638" s="8">
        <v>6</v>
      </c>
      <c r="E1638" s="8" t="s">
        <v>3005</v>
      </c>
      <c r="F1638" s="8" t="s">
        <v>378</v>
      </c>
      <c r="G1638" s="8" t="s">
        <v>3006</v>
      </c>
      <c r="H1638" s="10">
        <v>6</v>
      </c>
      <c r="I1638" s="10"/>
      <c r="J1638" s="10">
        <v>6</v>
      </c>
      <c r="K1638" s="10">
        <v>186.82</v>
      </c>
    </row>
    <row r="1639" spans="1:11" x14ac:dyDescent="0.25">
      <c r="A1639" s="8" t="s">
        <v>3009</v>
      </c>
      <c r="B1639" s="8" t="s">
        <v>80</v>
      </c>
      <c r="C1639" s="8" t="s">
        <v>3004</v>
      </c>
      <c r="D1639" s="8">
        <v>6</v>
      </c>
      <c r="E1639" s="8" t="s">
        <v>3005</v>
      </c>
      <c r="F1639" s="8" t="s">
        <v>378</v>
      </c>
      <c r="G1639" s="8" t="s">
        <v>3006</v>
      </c>
      <c r="H1639" s="10">
        <v>36</v>
      </c>
      <c r="I1639" s="10"/>
      <c r="J1639" s="10">
        <v>36</v>
      </c>
      <c r="K1639" s="10">
        <v>188.41</v>
      </c>
    </row>
    <row r="1640" spans="1:11" x14ac:dyDescent="0.25">
      <c r="A1640" s="8" t="s">
        <v>3010</v>
      </c>
      <c r="B1640" s="8" t="s">
        <v>116</v>
      </c>
      <c r="C1640" s="8" t="s">
        <v>3004</v>
      </c>
      <c r="D1640" s="8">
        <v>6</v>
      </c>
      <c r="E1640" s="8" t="s">
        <v>3011</v>
      </c>
      <c r="F1640" s="8" t="s">
        <v>378</v>
      </c>
      <c r="G1640" s="8" t="s">
        <v>3006</v>
      </c>
      <c r="H1640" s="10">
        <v>60</v>
      </c>
      <c r="I1640" s="10"/>
      <c r="J1640" s="10">
        <v>60</v>
      </c>
      <c r="K1640" s="10">
        <v>218.88</v>
      </c>
    </row>
    <row r="1641" spans="1:11" x14ac:dyDescent="0.25">
      <c r="A1641" s="8" t="s">
        <v>3012</v>
      </c>
      <c r="B1641" s="8" t="s">
        <v>118</v>
      </c>
      <c r="C1641" s="8" t="s">
        <v>3004</v>
      </c>
      <c r="D1641" s="8">
        <v>6</v>
      </c>
      <c r="E1641" s="8" t="s">
        <v>3011</v>
      </c>
      <c r="F1641" s="8" t="s">
        <v>378</v>
      </c>
      <c r="G1641" s="8" t="s">
        <v>3006</v>
      </c>
      <c r="H1641" s="10">
        <v>198</v>
      </c>
      <c r="I1641" s="10"/>
      <c r="J1641" s="10">
        <v>198</v>
      </c>
      <c r="K1641" s="10">
        <v>218.88</v>
      </c>
    </row>
    <row r="1642" spans="1:11" x14ac:dyDescent="0.25">
      <c r="A1642" s="8" t="s">
        <v>3013</v>
      </c>
      <c r="B1642" s="8" t="s">
        <v>120</v>
      </c>
      <c r="C1642" s="8" t="s">
        <v>3004</v>
      </c>
      <c r="D1642" s="8">
        <v>6</v>
      </c>
      <c r="E1642" s="8" t="s">
        <v>3011</v>
      </c>
      <c r="F1642" s="8" t="s">
        <v>378</v>
      </c>
      <c r="G1642" s="8" t="s">
        <v>3006</v>
      </c>
      <c r="H1642" s="10">
        <v>330</v>
      </c>
      <c r="I1642" s="10"/>
      <c r="J1642" s="10">
        <v>330</v>
      </c>
      <c r="K1642" s="10">
        <v>218.88</v>
      </c>
    </row>
    <row r="1643" spans="1:11" x14ac:dyDescent="0.25">
      <c r="A1643" s="8" t="s">
        <v>3014</v>
      </c>
      <c r="B1643" s="8" t="s">
        <v>132</v>
      </c>
      <c r="C1643" s="8" t="s">
        <v>3004</v>
      </c>
      <c r="D1643" s="8">
        <v>6</v>
      </c>
      <c r="E1643" s="8" t="s">
        <v>3011</v>
      </c>
      <c r="F1643" s="8" t="s">
        <v>378</v>
      </c>
      <c r="G1643" s="8" t="s">
        <v>3006</v>
      </c>
      <c r="H1643" s="10">
        <v>30</v>
      </c>
      <c r="I1643" s="10"/>
      <c r="J1643" s="10">
        <v>30</v>
      </c>
      <c r="K1643" s="10">
        <v>218.88</v>
      </c>
    </row>
    <row r="1644" spans="1:11" x14ac:dyDescent="0.25">
      <c r="A1644" s="8" t="s">
        <v>3015</v>
      </c>
      <c r="B1644" s="8" t="s">
        <v>80</v>
      </c>
      <c r="C1644" s="8" t="s">
        <v>3004</v>
      </c>
      <c r="D1644" s="8">
        <v>6</v>
      </c>
      <c r="E1644" s="8" t="s">
        <v>3011</v>
      </c>
      <c r="F1644" s="8" t="s">
        <v>378</v>
      </c>
      <c r="G1644" s="8" t="s">
        <v>3006</v>
      </c>
      <c r="H1644" s="10">
        <v>6</v>
      </c>
      <c r="I1644" s="10"/>
      <c r="J1644" s="10">
        <v>6</v>
      </c>
      <c r="K1644" s="10">
        <v>218.88</v>
      </c>
    </row>
    <row r="1645" spans="1:11" x14ac:dyDescent="0.25">
      <c r="A1645" s="8" t="s">
        <v>3016</v>
      </c>
      <c r="B1645" s="8" t="s">
        <v>116</v>
      </c>
      <c r="C1645" s="8" t="s">
        <v>3004</v>
      </c>
      <c r="D1645" s="8">
        <v>6</v>
      </c>
      <c r="E1645" s="8" t="s">
        <v>3017</v>
      </c>
      <c r="F1645" s="8" t="s">
        <v>378</v>
      </c>
      <c r="G1645" s="8" t="s">
        <v>3006</v>
      </c>
      <c r="H1645" s="10">
        <v>18</v>
      </c>
      <c r="I1645" s="10"/>
      <c r="J1645" s="10">
        <v>18</v>
      </c>
      <c r="K1645" s="10">
        <v>270.38</v>
      </c>
    </row>
    <row r="1646" spans="1:11" x14ac:dyDescent="0.25">
      <c r="A1646" s="8" t="s">
        <v>3018</v>
      </c>
      <c r="B1646" s="8" t="s">
        <v>118</v>
      </c>
      <c r="C1646" s="8" t="s">
        <v>3004</v>
      </c>
      <c r="D1646" s="8">
        <v>6</v>
      </c>
      <c r="E1646" s="8" t="s">
        <v>3017</v>
      </c>
      <c r="F1646" s="8" t="s">
        <v>378</v>
      </c>
      <c r="G1646" s="8" t="s">
        <v>3006</v>
      </c>
      <c r="H1646" s="10">
        <v>108</v>
      </c>
      <c r="I1646" s="10"/>
      <c r="J1646" s="10">
        <v>108</v>
      </c>
      <c r="K1646" s="10">
        <v>270.38</v>
      </c>
    </row>
    <row r="1647" spans="1:11" x14ac:dyDescent="0.25">
      <c r="A1647" s="8" t="s">
        <v>3019</v>
      </c>
      <c r="B1647" s="8" t="s">
        <v>120</v>
      </c>
      <c r="C1647" s="8" t="s">
        <v>3004</v>
      </c>
      <c r="D1647" s="8">
        <v>6</v>
      </c>
      <c r="E1647" s="8" t="s">
        <v>3017</v>
      </c>
      <c r="F1647" s="8" t="s">
        <v>378</v>
      </c>
      <c r="G1647" s="8" t="s">
        <v>3006</v>
      </c>
      <c r="H1647" s="10">
        <v>594</v>
      </c>
      <c r="I1647" s="10"/>
      <c r="J1647" s="10">
        <v>594</v>
      </c>
      <c r="K1647" s="10">
        <v>270.38</v>
      </c>
    </row>
    <row r="1648" spans="1:11" x14ac:dyDescent="0.25">
      <c r="A1648" s="8" t="s">
        <v>3020</v>
      </c>
      <c r="B1648" s="8" t="s">
        <v>132</v>
      </c>
      <c r="C1648" s="8" t="s">
        <v>3004</v>
      </c>
      <c r="D1648" s="8">
        <v>6</v>
      </c>
      <c r="E1648" s="8" t="s">
        <v>3017</v>
      </c>
      <c r="F1648" s="8" t="s">
        <v>378</v>
      </c>
      <c r="G1648" s="8" t="s">
        <v>3006</v>
      </c>
      <c r="H1648" s="10">
        <v>12</v>
      </c>
      <c r="I1648" s="10"/>
      <c r="J1648" s="10">
        <v>12</v>
      </c>
      <c r="K1648" s="10">
        <v>270.38</v>
      </c>
    </row>
    <row r="1649" spans="1:11" x14ac:dyDescent="0.25">
      <c r="A1649" s="8" t="s">
        <v>3021</v>
      </c>
      <c r="B1649" s="8" t="s">
        <v>80</v>
      </c>
      <c r="C1649" s="8" t="s">
        <v>3004</v>
      </c>
      <c r="D1649" s="8">
        <v>6</v>
      </c>
      <c r="E1649" s="8" t="s">
        <v>3017</v>
      </c>
      <c r="F1649" s="8" t="s">
        <v>378</v>
      </c>
      <c r="G1649" s="8" t="s">
        <v>3006</v>
      </c>
      <c r="H1649" s="10">
        <v>6</v>
      </c>
      <c r="I1649" s="10"/>
      <c r="J1649" s="10">
        <v>6</v>
      </c>
      <c r="K1649" s="10">
        <v>270.38</v>
      </c>
    </row>
    <row r="1650" spans="1:11" x14ac:dyDescent="0.25">
      <c r="A1650" s="8" t="s">
        <v>3022</v>
      </c>
      <c r="B1650" s="8" t="s">
        <v>116</v>
      </c>
      <c r="C1650" s="8" t="s">
        <v>3004</v>
      </c>
      <c r="D1650" s="8">
        <v>6</v>
      </c>
      <c r="E1650" s="8" t="s">
        <v>3023</v>
      </c>
      <c r="F1650" s="8" t="s">
        <v>378</v>
      </c>
      <c r="G1650" s="8" t="s">
        <v>3006</v>
      </c>
      <c r="H1650" s="10">
        <v>270</v>
      </c>
      <c r="I1650" s="10"/>
      <c r="J1650" s="10">
        <v>270</v>
      </c>
      <c r="K1650" s="10">
        <v>348.24</v>
      </c>
    </row>
    <row r="1651" spans="1:11" x14ac:dyDescent="0.25">
      <c r="A1651" s="8" t="s">
        <v>3024</v>
      </c>
      <c r="B1651" s="8" t="s">
        <v>118</v>
      </c>
      <c r="C1651" s="8" t="s">
        <v>3004</v>
      </c>
      <c r="D1651" s="8">
        <v>6</v>
      </c>
      <c r="E1651" s="8" t="s">
        <v>3023</v>
      </c>
      <c r="F1651" s="8" t="s">
        <v>378</v>
      </c>
      <c r="G1651" s="8" t="s">
        <v>3006</v>
      </c>
      <c r="H1651" s="10">
        <v>342</v>
      </c>
      <c r="I1651" s="10"/>
      <c r="J1651" s="10">
        <v>342</v>
      </c>
      <c r="K1651" s="10">
        <v>348.24</v>
      </c>
    </row>
    <row r="1652" spans="1:11" x14ac:dyDescent="0.25">
      <c r="A1652" s="8" t="s">
        <v>3025</v>
      </c>
      <c r="B1652" s="8" t="s">
        <v>120</v>
      </c>
      <c r="C1652" s="8" t="s">
        <v>3004</v>
      </c>
      <c r="D1652" s="8">
        <v>6</v>
      </c>
      <c r="E1652" s="8" t="s">
        <v>3023</v>
      </c>
      <c r="F1652" s="8" t="s">
        <v>378</v>
      </c>
      <c r="G1652" s="8" t="s">
        <v>3006</v>
      </c>
      <c r="H1652" s="10">
        <v>588</v>
      </c>
      <c r="I1652" s="10"/>
      <c r="J1652" s="10">
        <v>588</v>
      </c>
      <c r="K1652" s="10">
        <v>348.24</v>
      </c>
    </row>
    <row r="1653" spans="1:11" x14ac:dyDescent="0.25">
      <c r="A1653" s="8" t="s">
        <v>3026</v>
      </c>
      <c r="B1653" s="8" t="s">
        <v>132</v>
      </c>
      <c r="C1653" s="8" t="s">
        <v>3004</v>
      </c>
      <c r="D1653" s="8">
        <v>6</v>
      </c>
      <c r="E1653" s="8" t="s">
        <v>3023</v>
      </c>
      <c r="F1653" s="8" t="s">
        <v>378</v>
      </c>
      <c r="G1653" s="8" t="s">
        <v>3006</v>
      </c>
      <c r="H1653" s="10">
        <v>84</v>
      </c>
      <c r="I1653" s="10"/>
      <c r="J1653" s="10">
        <v>84</v>
      </c>
      <c r="K1653" s="10">
        <v>348.24</v>
      </c>
    </row>
    <row r="1654" spans="1:11" x14ac:dyDescent="0.25">
      <c r="A1654" s="8" t="s">
        <v>3027</v>
      </c>
      <c r="B1654" s="8" t="s">
        <v>80</v>
      </c>
      <c r="C1654" s="8" t="s">
        <v>3004</v>
      </c>
      <c r="D1654" s="8">
        <v>6</v>
      </c>
      <c r="E1654" s="8" t="s">
        <v>3023</v>
      </c>
      <c r="F1654" s="8" t="s">
        <v>378</v>
      </c>
      <c r="G1654" s="8" t="s">
        <v>3006</v>
      </c>
      <c r="H1654" s="10">
        <v>84</v>
      </c>
      <c r="I1654" s="10"/>
      <c r="J1654" s="10">
        <v>84</v>
      </c>
      <c r="K1654" s="10">
        <v>348.24</v>
      </c>
    </row>
    <row r="1655" spans="1:11" x14ac:dyDescent="0.25">
      <c r="A1655" s="8" t="s">
        <v>3028</v>
      </c>
      <c r="B1655" s="8" t="s">
        <v>118</v>
      </c>
      <c r="C1655" s="8" t="s">
        <v>3004</v>
      </c>
      <c r="D1655" s="8">
        <v>6</v>
      </c>
      <c r="E1655" s="8" t="s">
        <v>3029</v>
      </c>
      <c r="F1655" s="8" t="s">
        <v>378</v>
      </c>
      <c r="G1655" s="8" t="s">
        <v>3006</v>
      </c>
      <c r="H1655" s="10">
        <v>354</v>
      </c>
      <c r="I1655" s="10"/>
      <c r="J1655" s="10">
        <v>354</v>
      </c>
      <c r="K1655" s="10">
        <v>398.82</v>
      </c>
    </row>
    <row r="1656" spans="1:11" x14ac:dyDescent="0.25">
      <c r="A1656" s="8" t="s">
        <v>3030</v>
      </c>
      <c r="B1656" s="8" t="s">
        <v>120</v>
      </c>
      <c r="C1656" s="8" t="s">
        <v>3004</v>
      </c>
      <c r="D1656" s="8">
        <v>6</v>
      </c>
      <c r="E1656" s="8" t="s">
        <v>3029</v>
      </c>
      <c r="F1656" s="8" t="s">
        <v>378</v>
      </c>
      <c r="G1656" s="8" t="s">
        <v>3006</v>
      </c>
      <c r="H1656" s="10">
        <v>618</v>
      </c>
      <c r="I1656" s="10"/>
      <c r="J1656" s="10">
        <v>618</v>
      </c>
      <c r="K1656" s="10">
        <v>398.82</v>
      </c>
    </row>
    <row r="1657" spans="1:11" x14ac:dyDescent="0.25">
      <c r="A1657" s="8" t="s">
        <v>3031</v>
      </c>
      <c r="B1657" s="8" t="s">
        <v>949</v>
      </c>
      <c r="C1657" s="8" t="s">
        <v>3004</v>
      </c>
      <c r="D1657" s="8">
        <v>6</v>
      </c>
      <c r="E1657" s="8" t="s">
        <v>3029</v>
      </c>
      <c r="F1657" s="8" t="s">
        <v>378</v>
      </c>
      <c r="G1657" s="8" t="s">
        <v>3006</v>
      </c>
      <c r="H1657" s="10">
        <v>30</v>
      </c>
      <c r="I1657" s="10"/>
      <c r="J1657" s="10">
        <v>30</v>
      </c>
      <c r="K1657" s="10">
        <v>398.82</v>
      </c>
    </row>
    <row r="1658" spans="1:11" x14ac:dyDescent="0.25">
      <c r="A1658" s="8" t="s">
        <v>3032</v>
      </c>
      <c r="B1658" s="8" t="s">
        <v>132</v>
      </c>
      <c r="C1658" s="8" t="s">
        <v>3004</v>
      </c>
      <c r="D1658" s="8">
        <v>6</v>
      </c>
      <c r="E1658" s="8" t="s">
        <v>3029</v>
      </c>
      <c r="F1658" s="8" t="s">
        <v>378</v>
      </c>
      <c r="G1658" s="8" t="s">
        <v>3006</v>
      </c>
      <c r="H1658" s="10">
        <v>12</v>
      </c>
      <c r="I1658" s="10"/>
      <c r="J1658" s="10">
        <v>12</v>
      </c>
      <c r="K1658" s="10">
        <v>398.82</v>
      </c>
    </row>
    <row r="1659" spans="1:11" x14ac:dyDescent="0.25">
      <c r="A1659" s="8" t="s">
        <v>3033</v>
      </c>
      <c r="B1659" s="8" t="s">
        <v>80</v>
      </c>
      <c r="C1659" s="8" t="s">
        <v>3004</v>
      </c>
      <c r="D1659" s="8">
        <v>6</v>
      </c>
      <c r="E1659" s="8" t="s">
        <v>3029</v>
      </c>
      <c r="F1659" s="8" t="s">
        <v>378</v>
      </c>
      <c r="G1659" s="8" t="s">
        <v>3006</v>
      </c>
      <c r="H1659" s="10">
        <v>24</v>
      </c>
      <c r="I1659" s="10"/>
      <c r="J1659" s="10">
        <v>24</v>
      </c>
      <c r="K1659" s="10">
        <v>398.82</v>
      </c>
    </row>
    <row r="1660" spans="1:11" x14ac:dyDescent="0.25">
      <c r="A1660" s="8" t="s">
        <v>3034</v>
      </c>
      <c r="B1660" s="8" t="s">
        <v>136</v>
      </c>
      <c r="C1660" s="8" t="s">
        <v>3004</v>
      </c>
      <c r="D1660" s="8">
        <v>6</v>
      </c>
      <c r="E1660" s="8" t="s">
        <v>3035</v>
      </c>
      <c r="F1660" s="8" t="s">
        <v>378</v>
      </c>
      <c r="G1660" s="8" t="s">
        <v>3006</v>
      </c>
      <c r="H1660" s="10">
        <v>36</v>
      </c>
      <c r="I1660" s="10"/>
      <c r="J1660" s="10">
        <v>36</v>
      </c>
      <c r="K1660" s="10">
        <v>398.82</v>
      </c>
    </row>
    <row r="1661" spans="1:11" x14ac:dyDescent="0.25">
      <c r="A1661" s="8" t="s">
        <v>3036</v>
      </c>
      <c r="B1661" s="8" t="s">
        <v>118</v>
      </c>
      <c r="C1661" s="8" t="s">
        <v>3004</v>
      </c>
      <c r="D1661" s="8">
        <v>6</v>
      </c>
      <c r="E1661" s="8" t="s">
        <v>3037</v>
      </c>
      <c r="F1661" s="8" t="s">
        <v>378</v>
      </c>
      <c r="G1661" s="8" t="s">
        <v>3006</v>
      </c>
      <c r="H1661" s="10">
        <v>156</v>
      </c>
      <c r="I1661" s="10"/>
      <c r="J1661" s="10">
        <v>156</v>
      </c>
      <c r="K1661" s="10">
        <v>452.06</v>
      </c>
    </row>
    <row r="1662" spans="1:11" x14ac:dyDescent="0.25">
      <c r="A1662" s="8" t="s">
        <v>3038</v>
      </c>
      <c r="B1662" s="8" t="s">
        <v>120</v>
      </c>
      <c r="C1662" s="8" t="s">
        <v>3004</v>
      </c>
      <c r="D1662" s="8">
        <v>6</v>
      </c>
      <c r="E1662" s="8" t="s">
        <v>3037</v>
      </c>
      <c r="F1662" s="8" t="s">
        <v>378</v>
      </c>
      <c r="G1662" s="8" t="s">
        <v>3006</v>
      </c>
      <c r="H1662" s="10">
        <v>414</v>
      </c>
      <c r="I1662" s="10"/>
      <c r="J1662" s="10">
        <v>414</v>
      </c>
      <c r="K1662" s="10">
        <v>452.06</v>
      </c>
    </row>
    <row r="1663" spans="1:11" x14ac:dyDescent="0.25">
      <c r="A1663" s="8" t="s">
        <v>3039</v>
      </c>
      <c r="B1663" s="8" t="s">
        <v>132</v>
      </c>
      <c r="C1663" s="8" t="s">
        <v>3004</v>
      </c>
      <c r="D1663" s="8">
        <v>6</v>
      </c>
      <c r="E1663" s="8" t="s">
        <v>3037</v>
      </c>
      <c r="F1663" s="8" t="s">
        <v>378</v>
      </c>
      <c r="G1663" s="8" t="s">
        <v>3006</v>
      </c>
      <c r="H1663" s="10">
        <v>42</v>
      </c>
      <c r="I1663" s="10"/>
      <c r="J1663" s="10">
        <v>42</v>
      </c>
      <c r="K1663" s="10">
        <v>452.06</v>
      </c>
    </row>
    <row r="1664" spans="1:11" x14ac:dyDescent="0.25">
      <c r="A1664" s="8" t="s">
        <v>3040</v>
      </c>
      <c r="B1664" s="8" t="s">
        <v>80</v>
      </c>
      <c r="C1664" s="8" t="s">
        <v>3004</v>
      </c>
      <c r="D1664" s="8">
        <v>6</v>
      </c>
      <c r="E1664" s="8" t="s">
        <v>3037</v>
      </c>
      <c r="F1664" s="8" t="s">
        <v>378</v>
      </c>
      <c r="G1664" s="8" t="s">
        <v>3006</v>
      </c>
      <c r="H1664" s="10">
        <v>102</v>
      </c>
      <c r="I1664" s="10"/>
      <c r="J1664" s="10">
        <v>102</v>
      </c>
      <c r="K1664" s="10">
        <v>452.06</v>
      </c>
    </row>
    <row r="1665" spans="1:11" x14ac:dyDescent="0.25">
      <c r="A1665" s="8" t="s">
        <v>3041</v>
      </c>
      <c r="B1665" s="8" t="s">
        <v>116</v>
      </c>
      <c r="C1665" s="8" t="s">
        <v>3004</v>
      </c>
      <c r="D1665" s="8">
        <v>6</v>
      </c>
      <c r="E1665" s="8" t="s">
        <v>3042</v>
      </c>
      <c r="F1665" s="8" t="s">
        <v>378</v>
      </c>
      <c r="G1665" s="8" t="s">
        <v>3006</v>
      </c>
      <c r="H1665" s="10">
        <v>216</v>
      </c>
      <c r="I1665" s="10"/>
      <c r="J1665" s="10">
        <v>216</v>
      </c>
      <c r="K1665" s="10">
        <v>553.54999999999995</v>
      </c>
    </row>
    <row r="1666" spans="1:11" x14ac:dyDescent="0.25">
      <c r="A1666" s="8" t="s">
        <v>3043</v>
      </c>
      <c r="B1666" s="8" t="s">
        <v>118</v>
      </c>
      <c r="C1666" s="8" t="s">
        <v>3004</v>
      </c>
      <c r="D1666" s="8">
        <v>6</v>
      </c>
      <c r="E1666" s="8" t="s">
        <v>3042</v>
      </c>
      <c r="F1666" s="8" t="s">
        <v>378</v>
      </c>
      <c r="G1666" s="8" t="s">
        <v>3006</v>
      </c>
      <c r="H1666" s="10">
        <v>150</v>
      </c>
      <c r="I1666" s="10"/>
      <c r="J1666" s="10">
        <v>150</v>
      </c>
      <c r="K1666" s="10">
        <v>553.54999999999995</v>
      </c>
    </row>
    <row r="1667" spans="1:11" x14ac:dyDescent="0.25">
      <c r="A1667" s="8" t="s">
        <v>3044</v>
      </c>
      <c r="B1667" s="8" t="s">
        <v>120</v>
      </c>
      <c r="C1667" s="8" t="s">
        <v>3004</v>
      </c>
      <c r="D1667" s="8">
        <v>6</v>
      </c>
      <c r="E1667" s="8" t="s">
        <v>3042</v>
      </c>
      <c r="F1667" s="8" t="s">
        <v>378</v>
      </c>
      <c r="G1667" s="8" t="s">
        <v>3006</v>
      </c>
      <c r="H1667" s="10">
        <v>576</v>
      </c>
      <c r="I1667" s="10"/>
      <c r="J1667" s="10">
        <v>576</v>
      </c>
      <c r="K1667" s="10">
        <v>553.54999999999995</v>
      </c>
    </row>
    <row r="1668" spans="1:11" x14ac:dyDescent="0.25">
      <c r="A1668" s="8" t="s">
        <v>3045</v>
      </c>
      <c r="B1668" s="8" t="s">
        <v>132</v>
      </c>
      <c r="C1668" s="8" t="s">
        <v>3004</v>
      </c>
      <c r="D1668" s="8">
        <v>6</v>
      </c>
      <c r="E1668" s="8" t="s">
        <v>3042</v>
      </c>
      <c r="F1668" s="8" t="s">
        <v>378</v>
      </c>
      <c r="G1668" s="8" t="s">
        <v>3006</v>
      </c>
      <c r="H1668" s="10">
        <v>60</v>
      </c>
      <c r="I1668" s="10"/>
      <c r="J1668" s="10">
        <v>60</v>
      </c>
      <c r="K1668" s="10">
        <v>553.54999999999995</v>
      </c>
    </row>
    <row r="1669" spans="1:11" x14ac:dyDescent="0.25">
      <c r="A1669" s="8" t="s">
        <v>3046</v>
      </c>
      <c r="B1669" s="8" t="s">
        <v>80</v>
      </c>
      <c r="C1669" s="8" t="s">
        <v>3004</v>
      </c>
      <c r="D1669" s="8">
        <v>6</v>
      </c>
      <c r="E1669" s="8" t="s">
        <v>3042</v>
      </c>
      <c r="F1669" s="8" t="s">
        <v>378</v>
      </c>
      <c r="G1669" s="8" t="s">
        <v>3006</v>
      </c>
      <c r="H1669" s="10">
        <v>12</v>
      </c>
      <c r="I1669" s="10"/>
      <c r="J1669" s="10">
        <v>12</v>
      </c>
      <c r="K1669" s="10">
        <v>553.54999999999995</v>
      </c>
    </row>
    <row r="1670" spans="1:11" x14ac:dyDescent="0.25">
      <c r="A1670" s="8" t="s">
        <v>3047</v>
      </c>
      <c r="B1670" s="8" t="s">
        <v>72</v>
      </c>
      <c r="C1670" s="8" t="s">
        <v>3004</v>
      </c>
      <c r="D1670" s="8">
        <v>6</v>
      </c>
      <c r="E1670" s="8" t="s">
        <v>3048</v>
      </c>
      <c r="F1670" s="8" t="s">
        <v>378</v>
      </c>
      <c r="G1670" s="8" t="s">
        <v>3006</v>
      </c>
      <c r="H1670" s="10">
        <v>246</v>
      </c>
      <c r="I1670" s="10"/>
      <c r="J1670" s="10">
        <v>246</v>
      </c>
      <c r="K1670" s="10">
        <v>703.56</v>
      </c>
    </row>
    <row r="1671" spans="1:11" x14ac:dyDescent="0.25">
      <c r="A1671" s="8" t="s">
        <v>3049</v>
      </c>
      <c r="B1671" s="8" t="s">
        <v>116</v>
      </c>
      <c r="C1671" s="8" t="s">
        <v>3004</v>
      </c>
      <c r="D1671" s="8">
        <v>6</v>
      </c>
      <c r="E1671" s="8" t="s">
        <v>3048</v>
      </c>
      <c r="F1671" s="8" t="s">
        <v>378</v>
      </c>
      <c r="G1671" s="8" t="s">
        <v>3006</v>
      </c>
      <c r="H1671" s="10">
        <v>210</v>
      </c>
      <c r="I1671" s="10"/>
      <c r="J1671" s="10">
        <v>210</v>
      </c>
      <c r="K1671" s="10">
        <v>703.56</v>
      </c>
    </row>
    <row r="1672" spans="1:11" x14ac:dyDescent="0.25">
      <c r="A1672" s="8" t="s">
        <v>3050</v>
      </c>
      <c r="B1672" s="8" t="s">
        <v>118</v>
      </c>
      <c r="C1672" s="8" t="s">
        <v>3004</v>
      </c>
      <c r="D1672" s="8">
        <v>6</v>
      </c>
      <c r="E1672" s="8" t="s">
        <v>3048</v>
      </c>
      <c r="F1672" s="8" t="s">
        <v>378</v>
      </c>
      <c r="G1672" s="8" t="s">
        <v>3006</v>
      </c>
      <c r="H1672" s="10">
        <v>144</v>
      </c>
      <c r="I1672" s="10"/>
      <c r="J1672" s="10">
        <v>144</v>
      </c>
      <c r="K1672" s="10">
        <v>703.56</v>
      </c>
    </row>
    <row r="1673" spans="1:11" x14ac:dyDescent="0.25">
      <c r="A1673" s="8" t="s">
        <v>3051</v>
      </c>
      <c r="B1673" s="8" t="s">
        <v>120</v>
      </c>
      <c r="C1673" s="8" t="s">
        <v>3004</v>
      </c>
      <c r="D1673" s="8">
        <v>6</v>
      </c>
      <c r="E1673" s="8" t="s">
        <v>3048</v>
      </c>
      <c r="F1673" s="8" t="s">
        <v>378</v>
      </c>
      <c r="G1673" s="8" t="s">
        <v>3006</v>
      </c>
      <c r="H1673" s="10">
        <v>618</v>
      </c>
      <c r="I1673" s="10"/>
      <c r="J1673" s="10">
        <v>618</v>
      </c>
      <c r="K1673" s="10">
        <v>703.56</v>
      </c>
    </row>
    <row r="1674" spans="1:11" x14ac:dyDescent="0.25">
      <c r="A1674" s="8" t="s">
        <v>3052</v>
      </c>
      <c r="B1674" s="8" t="s">
        <v>949</v>
      </c>
      <c r="C1674" s="8" t="s">
        <v>3004</v>
      </c>
      <c r="D1674" s="8">
        <v>6</v>
      </c>
      <c r="E1674" s="8" t="s">
        <v>3048</v>
      </c>
      <c r="F1674" s="8" t="s">
        <v>378</v>
      </c>
      <c r="G1674" s="8" t="s">
        <v>3006</v>
      </c>
      <c r="H1674" s="10">
        <v>12</v>
      </c>
      <c r="I1674" s="10"/>
      <c r="J1674" s="10">
        <v>12</v>
      </c>
      <c r="K1674" s="10">
        <v>703.56</v>
      </c>
    </row>
    <row r="1675" spans="1:11" x14ac:dyDescent="0.25">
      <c r="A1675" s="8" t="s">
        <v>3053</v>
      </c>
      <c r="B1675" s="8" t="s">
        <v>132</v>
      </c>
      <c r="C1675" s="8" t="s">
        <v>3004</v>
      </c>
      <c r="D1675" s="8">
        <v>6</v>
      </c>
      <c r="E1675" s="8" t="s">
        <v>3048</v>
      </c>
      <c r="F1675" s="8" t="s">
        <v>378</v>
      </c>
      <c r="G1675" s="8" t="s">
        <v>3006</v>
      </c>
      <c r="H1675" s="10">
        <v>24</v>
      </c>
      <c r="I1675" s="10"/>
      <c r="J1675" s="10">
        <v>24</v>
      </c>
      <c r="K1675" s="10">
        <v>703.56</v>
      </c>
    </row>
    <row r="1676" spans="1:11" x14ac:dyDescent="0.25">
      <c r="A1676" s="8" t="s">
        <v>3054</v>
      </c>
      <c r="B1676" s="8" t="s">
        <v>134</v>
      </c>
      <c r="C1676" s="8" t="s">
        <v>3004</v>
      </c>
      <c r="D1676" s="8">
        <v>6</v>
      </c>
      <c r="E1676" s="8" t="s">
        <v>3048</v>
      </c>
      <c r="F1676" s="8" t="s">
        <v>378</v>
      </c>
      <c r="G1676" s="8" t="s">
        <v>3006</v>
      </c>
      <c r="H1676" s="10">
        <v>12</v>
      </c>
      <c r="I1676" s="10"/>
      <c r="J1676" s="10">
        <v>12</v>
      </c>
      <c r="K1676" s="10">
        <v>703.56</v>
      </c>
    </row>
    <row r="1677" spans="1:11" x14ac:dyDescent="0.25">
      <c r="A1677" s="8" t="s">
        <v>3055</v>
      </c>
      <c r="B1677" s="8" t="s">
        <v>2627</v>
      </c>
      <c r="C1677" s="8" t="s">
        <v>3004</v>
      </c>
      <c r="D1677" s="8">
        <v>6</v>
      </c>
      <c r="E1677" s="8" t="s">
        <v>3048</v>
      </c>
      <c r="F1677" s="8" t="s">
        <v>378</v>
      </c>
      <c r="G1677" s="8" t="s">
        <v>3006</v>
      </c>
      <c r="H1677" s="10">
        <v>768</v>
      </c>
      <c r="I1677" s="10"/>
      <c r="J1677" s="10">
        <v>768</v>
      </c>
      <c r="K1677" s="10">
        <v>703.56</v>
      </c>
    </row>
    <row r="1678" spans="1:11" x14ac:dyDescent="0.25">
      <c r="A1678" s="8" t="s">
        <v>3056</v>
      </c>
      <c r="B1678" s="8" t="s">
        <v>80</v>
      </c>
      <c r="C1678" s="8" t="s">
        <v>3004</v>
      </c>
      <c r="D1678" s="8">
        <v>6</v>
      </c>
      <c r="E1678" s="8" t="s">
        <v>3048</v>
      </c>
      <c r="F1678" s="8" t="s">
        <v>378</v>
      </c>
      <c r="G1678" s="8" t="s">
        <v>3006</v>
      </c>
      <c r="H1678" s="10">
        <v>12</v>
      </c>
      <c r="I1678" s="10"/>
      <c r="J1678" s="10">
        <v>12</v>
      </c>
      <c r="K1678" s="10">
        <v>703.56</v>
      </c>
    </row>
    <row r="1679" spans="1:11" x14ac:dyDescent="0.25">
      <c r="A1679" s="8" t="s">
        <v>3057</v>
      </c>
      <c r="B1679" s="8" t="s">
        <v>1029</v>
      </c>
      <c r="C1679" s="8" t="s">
        <v>3004</v>
      </c>
      <c r="D1679" s="8">
        <v>6</v>
      </c>
      <c r="E1679" s="8" t="s">
        <v>3048</v>
      </c>
      <c r="F1679" s="8" t="s">
        <v>378</v>
      </c>
      <c r="G1679" s="8" t="s">
        <v>3006</v>
      </c>
      <c r="H1679" s="10">
        <v>24</v>
      </c>
      <c r="I1679" s="10"/>
      <c r="J1679" s="10">
        <v>24</v>
      </c>
      <c r="K1679" s="10">
        <v>703.56</v>
      </c>
    </row>
    <row r="1680" spans="1:11" x14ac:dyDescent="0.25">
      <c r="A1680" s="8" t="s">
        <v>3058</v>
      </c>
      <c r="B1680" s="8" t="s">
        <v>116</v>
      </c>
      <c r="C1680" s="8" t="s">
        <v>3059</v>
      </c>
      <c r="D1680" s="8">
        <v>5</v>
      </c>
      <c r="E1680" s="8" t="s">
        <v>3060</v>
      </c>
      <c r="F1680" s="8" t="s">
        <v>378</v>
      </c>
      <c r="G1680" s="8" t="s">
        <v>3061</v>
      </c>
      <c r="H1680" s="10">
        <v>288</v>
      </c>
      <c r="I1680" s="10"/>
      <c r="J1680" s="10">
        <v>288</v>
      </c>
      <c r="K1680" s="10">
        <v>776.37</v>
      </c>
    </row>
    <row r="1681" spans="1:11" x14ac:dyDescent="0.25">
      <c r="A1681" s="8" t="s">
        <v>3062</v>
      </c>
      <c r="B1681" s="8" t="s">
        <v>118</v>
      </c>
      <c r="C1681" s="8" t="s">
        <v>3059</v>
      </c>
      <c r="D1681" s="8">
        <v>5</v>
      </c>
      <c r="E1681" s="8" t="s">
        <v>3060</v>
      </c>
      <c r="F1681" s="8" t="s">
        <v>378</v>
      </c>
      <c r="G1681" s="8" t="s">
        <v>3061</v>
      </c>
      <c r="H1681" s="10">
        <v>6</v>
      </c>
      <c r="I1681" s="10"/>
      <c r="J1681" s="10">
        <v>6</v>
      </c>
      <c r="K1681" s="10">
        <v>776.37</v>
      </c>
    </row>
    <row r="1682" spans="1:11" x14ac:dyDescent="0.25">
      <c r="A1682" s="8" t="s">
        <v>3063</v>
      </c>
      <c r="B1682" s="8" t="s">
        <v>120</v>
      </c>
      <c r="C1682" s="8" t="s">
        <v>3059</v>
      </c>
      <c r="D1682" s="8">
        <v>5</v>
      </c>
      <c r="E1682" s="8" t="s">
        <v>3060</v>
      </c>
      <c r="F1682" s="8" t="s">
        <v>378</v>
      </c>
      <c r="G1682" s="8" t="s">
        <v>3061</v>
      </c>
      <c r="H1682" s="10">
        <v>294</v>
      </c>
      <c r="I1682" s="10"/>
      <c r="J1682" s="10">
        <v>294</v>
      </c>
      <c r="K1682" s="10">
        <v>776.37</v>
      </c>
    </row>
    <row r="1683" spans="1:11" x14ac:dyDescent="0.25">
      <c r="A1683" s="8" t="s">
        <v>3064</v>
      </c>
      <c r="B1683" s="8" t="s">
        <v>80</v>
      </c>
      <c r="C1683" s="8" t="s">
        <v>3059</v>
      </c>
      <c r="D1683" s="8">
        <v>5</v>
      </c>
      <c r="E1683" s="8" t="s">
        <v>3060</v>
      </c>
      <c r="F1683" s="8" t="s">
        <v>378</v>
      </c>
      <c r="G1683" s="8" t="s">
        <v>3061</v>
      </c>
      <c r="H1683" s="10">
        <v>84</v>
      </c>
      <c r="I1683" s="10"/>
      <c r="J1683" s="10">
        <v>84</v>
      </c>
      <c r="K1683" s="10">
        <v>776.37</v>
      </c>
    </row>
    <row r="1684" spans="1:11" x14ac:dyDescent="0.25">
      <c r="A1684" s="8" t="s">
        <v>3065</v>
      </c>
      <c r="B1684" s="8" t="s">
        <v>1029</v>
      </c>
      <c r="C1684" s="8" t="s">
        <v>3059</v>
      </c>
      <c r="D1684" s="8">
        <v>5</v>
      </c>
      <c r="E1684" s="8" t="s">
        <v>3060</v>
      </c>
      <c r="F1684" s="8" t="s">
        <v>378</v>
      </c>
      <c r="G1684" s="8" t="s">
        <v>3061</v>
      </c>
      <c r="H1684" s="10">
        <v>12</v>
      </c>
      <c r="I1684" s="10"/>
      <c r="J1684" s="10">
        <v>12</v>
      </c>
      <c r="K1684" s="10">
        <v>776.37</v>
      </c>
    </row>
    <row r="1685" spans="1:11" x14ac:dyDescent="0.25">
      <c r="A1685" s="8" t="s">
        <v>3066</v>
      </c>
      <c r="B1685" s="8" t="s">
        <v>118</v>
      </c>
      <c r="C1685" s="8" t="s">
        <v>3059</v>
      </c>
      <c r="D1685" s="8">
        <v>5</v>
      </c>
      <c r="E1685" s="8" t="s">
        <v>3067</v>
      </c>
      <c r="F1685" s="8" t="s">
        <v>378</v>
      </c>
      <c r="G1685" s="8" t="s">
        <v>3061</v>
      </c>
      <c r="H1685" s="10">
        <v>246</v>
      </c>
      <c r="I1685" s="10"/>
      <c r="J1685" s="10">
        <v>246</v>
      </c>
      <c r="K1685" s="10">
        <v>921.69</v>
      </c>
    </row>
    <row r="1686" spans="1:11" x14ac:dyDescent="0.25">
      <c r="A1686" s="8" t="s">
        <v>3068</v>
      </c>
      <c r="B1686" s="8" t="s">
        <v>120</v>
      </c>
      <c r="C1686" s="8" t="s">
        <v>3059</v>
      </c>
      <c r="D1686" s="8">
        <v>5</v>
      </c>
      <c r="E1686" s="8" t="s">
        <v>3067</v>
      </c>
      <c r="F1686" s="8" t="s">
        <v>378</v>
      </c>
      <c r="G1686" s="8" t="s">
        <v>3061</v>
      </c>
      <c r="H1686" s="10">
        <v>228</v>
      </c>
      <c r="I1686" s="10"/>
      <c r="J1686" s="10">
        <v>228</v>
      </c>
      <c r="K1686" s="10">
        <v>921.69</v>
      </c>
    </row>
    <row r="1687" spans="1:11" x14ac:dyDescent="0.25">
      <c r="A1687" s="8" t="s">
        <v>3069</v>
      </c>
      <c r="B1687" s="8" t="s">
        <v>949</v>
      </c>
      <c r="C1687" s="8" t="s">
        <v>3059</v>
      </c>
      <c r="D1687" s="8">
        <v>5</v>
      </c>
      <c r="E1687" s="8" t="s">
        <v>3067</v>
      </c>
      <c r="F1687" s="8" t="s">
        <v>378</v>
      </c>
      <c r="G1687" s="8" t="s">
        <v>3061</v>
      </c>
      <c r="H1687" s="10">
        <v>120</v>
      </c>
      <c r="I1687" s="10"/>
      <c r="J1687" s="10">
        <v>120</v>
      </c>
      <c r="K1687" s="10">
        <v>921.69</v>
      </c>
    </row>
    <row r="1688" spans="1:11" x14ac:dyDescent="0.25">
      <c r="A1688" s="8" t="s">
        <v>3070</v>
      </c>
      <c r="B1688" s="8" t="s">
        <v>132</v>
      </c>
      <c r="C1688" s="8" t="s">
        <v>3059</v>
      </c>
      <c r="D1688" s="8">
        <v>5</v>
      </c>
      <c r="E1688" s="8" t="s">
        <v>3067</v>
      </c>
      <c r="F1688" s="8" t="s">
        <v>378</v>
      </c>
      <c r="G1688" s="8" t="s">
        <v>3061</v>
      </c>
      <c r="H1688" s="10">
        <v>6</v>
      </c>
      <c r="I1688" s="10"/>
      <c r="J1688" s="10">
        <v>6</v>
      </c>
      <c r="K1688" s="10">
        <v>921.69</v>
      </c>
    </row>
    <row r="1689" spans="1:11" x14ac:dyDescent="0.25">
      <c r="A1689" s="8" t="s">
        <v>3071</v>
      </c>
      <c r="B1689" s="8" t="s">
        <v>80</v>
      </c>
      <c r="C1689" s="8" t="s">
        <v>3059</v>
      </c>
      <c r="D1689" s="8">
        <v>5</v>
      </c>
      <c r="E1689" s="8" t="s">
        <v>3067</v>
      </c>
      <c r="F1689" s="8" t="s">
        <v>378</v>
      </c>
      <c r="G1689" s="8" t="s">
        <v>3061</v>
      </c>
      <c r="H1689" s="10">
        <v>60</v>
      </c>
      <c r="I1689" s="10"/>
      <c r="J1689" s="10">
        <v>60</v>
      </c>
      <c r="K1689" s="10">
        <v>921.69</v>
      </c>
    </row>
    <row r="1690" spans="1:11" x14ac:dyDescent="0.25">
      <c r="A1690" s="8" t="s">
        <v>3072</v>
      </c>
      <c r="B1690" s="8" t="s">
        <v>1029</v>
      </c>
      <c r="C1690" s="8" t="s">
        <v>3059</v>
      </c>
      <c r="D1690" s="8">
        <v>5</v>
      </c>
      <c r="E1690" s="8" t="s">
        <v>3067</v>
      </c>
      <c r="F1690" s="8" t="s">
        <v>378</v>
      </c>
      <c r="G1690" s="8" t="s">
        <v>3061</v>
      </c>
      <c r="H1690" s="10">
        <v>12</v>
      </c>
      <c r="I1690" s="10"/>
      <c r="J1690" s="10">
        <v>12</v>
      </c>
      <c r="K1690" s="10">
        <v>921.69</v>
      </c>
    </row>
    <row r="1691" spans="1:11" x14ac:dyDescent="0.25">
      <c r="A1691" s="8" t="s">
        <v>3073</v>
      </c>
      <c r="B1691" s="8" t="s">
        <v>118</v>
      </c>
      <c r="C1691" s="8" t="s">
        <v>3059</v>
      </c>
      <c r="D1691" s="8">
        <v>5</v>
      </c>
      <c r="E1691" s="8" t="s">
        <v>3074</v>
      </c>
      <c r="F1691" s="8" t="s">
        <v>378</v>
      </c>
      <c r="G1691" s="8" t="s">
        <v>3061</v>
      </c>
      <c r="H1691" s="10">
        <v>12</v>
      </c>
      <c r="I1691" s="10"/>
      <c r="J1691" s="10">
        <v>12</v>
      </c>
      <c r="K1691" s="10">
        <v>1234.25</v>
      </c>
    </row>
    <row r="1692" spans="1:11" x14ac:dyDescent="0.25">
      <c r="A1692" s="8" t="s">
        <v>3075</v>
      </c>
      <c r="B1692" s="8" t="s">
        <v>120</v>
      </c>
      <c r="C1692" s="8" t="s">
        <v>3059</v>
      </c>
      <c r="D1692" s="8">
        <v>5</v>
      </c>
      <c r="E1692" s="8" t="s">
        <v>3074</v>
      </c>
      <c r="F1692" s="8" t="s">
        <v>378</v>
      </c>
      <c r="G1692" s="8" t="s">
        <v>3061</v>
      </c>
      <c r="H1692" s="10">
        <v>240</v>
      </c>
      <c r="I1692" s="10"/>
      <c r="J1692" s="10">
        <v>240</v>
      </c>
      <c r="K1692" s="10">
        <v>1234.25</v>
      </c>
    </row>
    <row r="1693" spans="1:11" x14ac:dyDescent="0.25">
      <c r="A1693" s="8" t="s">
        <v>3076</v>
      </c>
      <c r="B1693" s="8" t="s">
        <v>120</v>
      </c>
      <c r="C1693" s="8" t="s">
        <v>3059</v>
      </c>
      <c r="D1693" s="8">
        <v>5</v>
      </c>
      <c r="E1693" s="8" t="s">
        <v>3077</v>
      </c>
      <c r="F1693" s="8" t="s">
        <v>378</v>
      </c>
      <c r="G1693" s="8" t="s">
        <v>3061</v>
      </c>
      <c r="H1693" s="10">
        <v>84</v>
      </c>
      <c r="I1693" s="10"/>
      <c r="J1693" s="10">
        <v>84</v>
      </c>
      <c r="K1693" s="10">
        <v>1413.15</v>
      </c>
    </row>
    <row r="1694" spans="1:11" x14ac:dyDescent="0.25">
      <c r="A1694" s="8" t="s">
        <v>3078</v>
      </c>
      <c r="B1694" s="8" t="s">
        <v>80</v>
      </c>
      <c r="C1694" s="8" t="s">
        <v>3059</v>
      </c>
      <c r="D1694" s="8">
        <v>5</v>
      </c>
      <c r="E1694" s="8" t="s">
        <v>3077</v>
      </c>
      <c r="F1694" s="8" t="s">
        <v>378</v>
      </c>
      <c r="G1694" s="8" t="s">
        <v>3061</v>
      </c>
      <c r="H1694" s="10">
        <v>6</v>
      </c>
      <c r="I1694" s="10"/>
      <c r="J1694" s="10">
        <v>6</v>
      </c>
      <c r="K1694" s="10">
        <v>1413.15</v>
      </c>
    </row>
    <row r="1695" spans="1:11" x14ac:dyDescent="0.25">
      <c r="A1695" s="8" t="s">
        <v>3079</v>
      </c>
      <c r="B1695" s="8" t="s">
        <v>120</v>
      </c>
      <c r="C1695" s="8" t="s">
        <v>3059</v>
      </c>
      <c r="D1695" s="8">
        <v>5</v>
      </c>
      <c r="E1695" s="8" t="s">
        <v>364</v>
      </c>
      <c r="F1695" s="8" t="s">
        <v>378</v>
      </c>
      <c r="G1695" s="8" t="s">
        <v>3061</v>
      </c>
      <c r="H1695" s="10">
        <v>42</v>
      </c>
      <c r="I1695" s="10"/>
      <c r="J1695" s="10">
        <v>42</v>
      </c>
      <c r="K1695" s="10">
        <v>1623.4</v>
      </c>
    </row>
    <row r="1696" spans="1:11" x14ac:dyDescent="0.25">
      <c r="A1696" s="8" t="s">
        <v>3080</v>
      </c>
      <c r="B1696" s="8" t="s">
        <v>80</v>
      </c>
      <c r="C1696" s="8" t="s">
        <v>3059</v>
      </c>
      <c r="D1696" s="8">
        <v>5</v>
      </c>
      <c r="E1696" s="8" t="s">
        <v>364</v>
      </c>
      <c r="F1696" s="8" t="s">
        <v>378</v>
      </c>
      <c r="G1696" s="8" t="s">
        <v>3061</v>
      </c>
      <c r="H1696" s="10">
        <v>6</v>
      </c>
      <c r="I1696" s="10"/>
      <c r="J1696" s="10">
        <v>6</v>
      </c>
      <c r="K1696" s="10">
        <v>1623.4</v>
      </c>
    </row>
    <row r="1697" spans="1:11" x14ac:dyDescent="0.25">
      <c r="A1697" s="8" t="s">
        <v>3081</v>
      </c>
      <c r="B1697" s="8" t="s">
        <v>120</v>
      </c>
      <c r="C1697" s="8" t="s">
        <v>3059</v>
      </c>
      <c r="D1697" s="8">
        <v>5</v>
      </c>
      <c r="E1697" s="8" t="s">
        <v>3082</v>
      </c>
      <c r="F1697" s="8" t="s">
        <v>378</v>
      </c>
      <c r="G1697" s="8" t="s">
        <v>3061</v>
      </c>
      <c r="H1697" s="10">
        <v>132</v>
      </c>
      <c r="I1697" s="10"/>
      <c r="J1697" s="10">
        <v>132</v>
      </c>
      <c r="K1697" s="10">
        <v>1875.74</v>
      </c>
    </row>
    <row r="1698" spans="1:11" x14ac:dyDescent="0.25">
      <c r="A1698" s="8" t="s">
        <v>3083</v>
      </c>
      <c r="B1698" s="8" t="s">
        <v>80</v>
      </c>
      <c r="C1698" s="8" t="s">
        <v>3059</v>
      </c>
      <c r="D1698" s="8">
        <v>5</v>
      </c>
      <c r="E1698" s="8" t="s">
        <v>3082</v>
      </c>
      <c r="F1698" s="8" t="s">
        <v>378</v>
      </c>
      <c r="G1698" s="8" t="s">
        <v>3061</v>
      </c>
      <c r="H1698" s="10">
        <v>6</v>
      </c>
      <c r="I1698" s="10"/>
      <c r="J1698" s="10">
        <v>6</v>
      </c>
      <c r="K1698" s="10">
        <v>1875.74</v>
      </c>
    </row>
    <row r="1699" spans="1:11" x14ac:dyDescent="0.25">
      <c r="A1699" s="8" t="s">
        <v>3084</v>
      </c>
      <c r="B1699" s="8" t="s">
        <v>120</v>
      </c>
      <c r="C1699" s="8" t="s">
        <v>3059</v>
      </c>
      <c r="D1699" s="8">
        <v>5</v>
      </c>
      <c r="E1699" s="8" t="s">
        <v>3085</v>
      </c>
      <c r="F1699" s="8" t="s">
        <v>378</v>
      </c>
      <c r="G1699" s="8" t="s">
        <v>3061</v>
      </c>
      <c r="H1699" s="10">
        <v>18</v>
      </c>
      <c r="I1699" s="10"/>
      <c r="J1699" s="10">
        <v>18</v>
      </c>
      <c r="K1699" s="10">
        <v>2119.3200000000002</v>
      </c>
    </row>
    <row r="1700" spans="1:11" x14ac:dyDescent="0.25">
      <c r="A1700" s="8" t="s">
        <v>3086</v>
      </c>
      <c r="B1700" s="8" t="s">
        <v>80</v>
      </c>
      <c r="C1700" s="8" t="s">
        <v>3059</v>
      </c>
      <c r="D1700" s="8">
        <v>5</v>
      </c>
      <c r="E1700" s="8" t="s">
        <v>3085</v>
      </c>
      <c r="F1700" s="8" t="s">
        <v>378</v>
      </c>
      <c r="G1700" s="8" t="s">
        <v>3061</v>
      </c>
      <c r="H1700" s="10">
        <v>42</v>
      </c>
      <c r="I1700" s="10"/>
      <c r="J1700" s="10">
        <v>42</v>
      </c>
      <c r="K1700" s="10">
        <v>2119.3200000000002</v>
      </c>
    </row>
    <row r="1701" spans="1:11" x14ac:dyDescent="0.25">
      <c r="A1701" s="8" t="s">
        <v>3087</v>
      </c>
      <c r="B1701" s="8" t="s">
        <v>120</v>
      </c>
      <c r="C1701" s="8" t="s">
        <v>3059</v>
      </c>
      <c r="D1701" s="8">
        <v>5</v>
      </c>
      <c r="E1701" s="8" t="s">
        <v>3088</v>
      </c>
      <c r="F1701" s="8" t="s">
        <v>378</v>
      </c>
      <c r="G1701" s="8" t="s">
        <v>3061</v>
      </c>
      <c r="H1701" s="10">
        <v>24</v>
      </c>
      <c r="I1701" s="10"/>
      <c r="J1701" s="10">
        <v>24</v>
      </c>
      <c r="K1701" s="10">
        <v>2808.26</v>
      </c>
    </row>
    <row r="1702" spans="1:11" x14ac:dyDescent="0.25">
      <c r="A1702" s="8" t="s">
        <v>3089</v>
      </c>
      <c r="B1702" s="8" t="s">
        <v>80</v>
      </c>
      <c r="C1702" s="8" t="s">
        <v>3059</v>
      </c>
      <c r="D1702" s="8">
        <v>5</v>
      </c>
      <c r="E1702" s="8" t="s">
        <v>3088</v>
      </c>
      <c r="F1702" s="8" t="s">
        <v>378</v>
      </c>
      <c r="G1702" s="8" t="s">
        <v>3061</v>
      </c>
      <c r="H1702" s="10">
        <v>18</v>
      </c>
      <c r="I1702" s="10"/>
      <c r="J1702" s="10">
        <v>18</v>
      </c>
      <c r="K1702" s="10">
        <v>2808.26</v>
      </c>
    </row>
    <row r="1703" spans="1:11" x14ac:dyDescent="0.25">
      <c r="A1703" s="8" t="s">
        <v>3090</v>
      </c>
      <c r="B1703" s="8" t="s">
        <v>118</v>
      </c>
      <c r="C1703" s="8" t="s">
        <v>3004</v>
      </c>
      <c r="D1703" s="8">
        <v>6</v>
      </c>
      <c r="E1703" s="8" t="s">
        <v>3091</v>
      </c>
      <c r="F1703" s="8" t="s">
        <v>378</v>
      </c>
      <c r="G1703" s="8" t="s">
        <v>3006</v>
      </c>
      <c r="H1703" s="10">
        <v>6</v>
      </c>
      <c r="I1703" s="10"/>
      <c r="J1703" s="10">
        <v>6</v>
      </c>
      <c r="K1703" s="10">
        <v>193.54</v>
      </c>
    </row>
    <row r="1704" spans="1:11" x14ac:dyDescent="0.25">
      <c r="A1704" s="8" t="s">
        <v>3092</v>
      </c>
      <c r="B1704" s="8" t="s">
        <v>120</v>
      </c>
      <c r="C1704" s="8" t="s">
        <v>3004</v>
      </c>
      <c r="D1704" s="8">
        <v>6</v>
      </c>
      <c r="E1704" s="8" t="s">
        <v>3091</v>
      </c>
      <c r="F1704" s="8" t="s">
        <v>378</v>
      </c>
      <c r="G1704" s="8" t="s">
        <v>3006</v>
      </c>
      <c r="H1704" s="10">
        <v>96</v>
      </c>
      <c r="I1704" s="10"/>
      <c r="J1704" s="10">
        <v>96</v>
      </c>
      <c r="K1704" s="10">
        <v>193.54</v>
      </c>
    </row>
    <row r="1705" spans="1:11" x14ac:dyDescent="0.25">
      <c r="A1705" s="8" t="s">
        <v>3093</v>
      </c>
      <c r="B1705" s="8" t="s">
        <v>132</v>
      </c>
      <c r="C1705" s="8" t="s">
        <v>3004</v>
      </c>
      <c r="D1705" s="8">
        <v>6</v>
      </c>
      <c r="E1705" s="8" t="s">
        <v>3091</v>
      </c>
      <c r="F1705" s="8" t="s">
        <v>378</v>
      </c>
      <c r="G1705" s="8" t="s">
        <v>3006</v>
      </c>
      <c r="H1705" s="10">
        <v>6</v>
      </c>
      <c r="I1705" s="10"/>
      <c r="J1705" s="10">
        <v>6</v>
      </c>
      <c r="K1705" s="10">
        <v>193.54</v>
      </c>
    </row>
    <row r="1706" spans="1:11" x14ac:dyDescent="0.25">
      <c r="A1706" s="8" t="s">
        <v>3094</v>
      </c>
      <c r="B1706" s="8" t="s">
        <v>118</v>
      </c>
      <c r="C1706" s="8" t="s">
        <v>3004</v>
      </c>
      <c r="D1706" s="8">
        <v>6</v>
      </c>
      <c r="E1706" s="8" t="s">
        <v>3095</v>
      </c>
      <c r="F1706" s="8" t="s">
        <v>378</v>
      </c>
      <c r="G1706" s="8" t="s">
        <v>3006</v>
      </c>
      <c r="H1706" s="10">
        <v>12</v>
      </c>
      <c r="I1706" s="10"/>
      <c r="J1706" s="10">
        <v>12</v>
      </c>
      <c r="K1706" s="10">
        <v>234.67</v>
      </c>
    </row>
    <row r="1707" spans="1:11" x14ac:dyDescent="0.25">
      <c r="A1707" s="8" t="s">
        <v>3096</v>
      </c>
      <c r="B1707" s="8" t="s">
        <v>120</v>
      </c>
      <c r="C1707" s="8" t="s">
        <v>3004</v>
      </c>
      <c r="D1707" s="8">
        <v>6</v>
      </c>
      <c r="E1707" s="8" t="s">
        <v>3095</v>
      </c>
      <c r="F1707" s="8" t="s">
        <v>378</v>
      </c>
      <c r="G1707" s="8" t="s">
        <v>3006</v>
      </c>
      <c r="H1707" s="10">
        <v>72</v>
      </c>
      <c r="I1707" s="10"/>
      <c r="J1707" s="10">
        <v>72</v>
      </c>
      <c r="K1707" s="10">
        <v>234.67</v>
      </c>
    </row>
    <row r="1708" spans="1:11" x14ac:dyDescent="0.25">
      <c r="A1708" s="8" t="s">
        <v>3097</v>
      </c>
      <c r="B1708" s="8" t="s">
        <v>949</v>
      </c>
      <c r="C1708" s="8" t="s">
        <v>3004</v>
      </c>
      <c r="D1708" s="8">
        <v>6</v>
      </c>
      <c r="E1708" s="8" t="s">
        <v>3095</v>
      </c>
      <c r="F1708" s="8" t="s">
        <v>378</v>
      </c>
      <c r="G1708" s="8" t="s">
        <v>3006</v>
      </c>
      <c r="H1708" s="10">
        <v>36</v>
      </c>
      <c r="I1708" s="10"/>
      <c r="J1708" s="10">
        <v>36</v>
      </c>
      <c r="K1708" s="10">
        <v>234.67</v>
      </c>
    </row>
    <row r="1709" spans="1:11" x14ac:dyDescent="0.25">
      <c r="A1709" s="8" t="s">
        <v>3098</v>
      </c>
      <c r="B1709" s="8" t="s">
        <v>118</v>
      </c>
      <c r="C1709" s="8" t="s">
        <v>3004</v>
      </c>
      <c r="D1709" s="8">
        <v>6</v>
      </c>
      <c r="E1709" s="8" t="s">
        <v>3099</v>
      </c>
      <c r="F1709" s="8" t="s">
        <v>378</v>
      </c>
      <c r="G1709" s="8" t="s">
        <v>3006</v>
      </c>
      <c r="H1709" s="10">
        <v>66</v>
      </c>
      <c r="I1709" s="10"/>
      <c r="J1709" s="10">
        <v>66</v>
      </c>
      <c r="K1709" s="10">
        <v>291.69</v>
      </c>
    </row>
    <row r="1710" spans="1:11" x14ac:dyDescent="0.25">
      <c r="A1710" s="8" t="s">
        <v>3100</v>
      </c>
      <c r="B1710" s="8" t="s">
        <v>120</v>
      </c>
      <c r="C1710" s="8" t="s">
        <v>3004</v>
      </c>
      <c r="D1710" s="8">
        <v>6</v>
      </c>
      <c r="E1710" s="8" t="s">
        <v>3099</v>
      </c>
      <c r="F1710" s="8" t="s">
        <v>378</v>
      </c>
      <c r="G1710" s="8" t="s">
        <v>3006</v>
      </c>
      <c r="H1710" s="10">
        <v>282</v>
      </c>
      <c r="I1710" s="10"/>
      <c r="J1710" s="10">
        <v>282</v>
      </c>
      <c r="K1710" s="10">
        <v>291.69</v>
      </c>
    </row>
    <row r="1711" spans="1:11" x14ac:dyDescent="0.25">
      <c r="A1711" s="8" t="s">
        <v>3101</v>
      </c>
      <c r="B1711" s="8" t="s">
        <v>132</v>
      </c>
      <c r="C1711" s="8" t="s">
        <v>3004</v>
      </c>
      <c r="D1711" s="8">
        <v>6</v>
      </c>
      <c r="E1711" s="8" t="s">
        <v>3099</v>
      </c>
      <c r="F1711" s="8" t="s">
        <v>378</v>
      </c>
      <c r="G1711" s="8" t="s">
        <v>3006</v>
      </c>
      <c r="H1711" s="10">
        <v>18</v>
      </c>
      <c r="I1711" s="10"/>
      <c r="J1711" s="10">
        <v>18</v>
      </c>
      <c r="K1711" s="10">
        <v>291.69</v>
      </c>
    </row>
    <row r="1712" spans="1:11" x14ac:dyDescent="0.25">
      <c r="A1712" s="8" t="s">
        <v>3102</v>
      </c>
      <c r="B1712" s="8" t="s">
        <v>132</v>
      </c>
      <c r="C1712" s="8" t="s">
        <v>3004</v>
      </c>
      <c r="D1712" s="8">
        <v>6</v>
      </c>
      <c r="E1712" s="8" t="s">
        <v>3103</v>
      </c>
      <c r="F1712" s="8" t="s">
        <v>378</v>
      </c>
      <c r="G1712" s="8" t="s">
        <v>3006</v>
      </c>
      <c r="H1712" s="10">
        <v>54</v>
      </c>
      <c r="I1712" s="10"/>
      <c r="J1712" s="10">
        <v>54</v>
      </c>
      <c r="K1712" s="10">
        <v>376.71</v>
      </c>
    </row>
    <row r="1713" spans="1:11" x14ac:dyDescent="0.25">
      <c r="A1713" s="8" t="s">
        <v>3104</v>
      </c>
      <c r="B1713" s="8" t="s">
        <v>118</v>
      </c>
      <c r="C1713" s="8" t="s">
        <v>3004</v>
      </c>
      <c r="D1713" s="8">
        <v>6</v>
      </c>
      <c r="E1713" s="8" t="s">
        <v>3105</v>
      </c>
      <c r="F1713" s="8" t="s">
        <v>378</v>
      </c>
      <c r="G1713" s="8" t="s">
        <v>3006</v>
      </c>
      <c r="H1713" s="10">
        <v>36</v>
      </c>
      <c r="I1713" s="10"/>
      <c r="J1713" s="10">
        <v>36</v>
      </c>
      <c r="K1713" s="10">
        <v>423.42</v>
      </c>
    </row>
    <row r="1714" spans="1:11" x14ac:dyDescent="0.25">
      <c r="A1714" s="8" t="s">
        <v>3106</v>
      </c>
      <c r="B1714" s="8" t="s">
        <v>120</v>
      </c>
      <c r="C1714" s="8" t="s">
        <v>3004</v>
      </c>
      <c r="D1714" s="8">
        <v>6</v>
      </c>
      <c r="E1714" s="8" t="s">
        <v>3105</v>
      </c>
      <c r="F1714" s="8" t="s">
        <v>378</v>
      </c>
      <c r="G1714" s="8" t="s">
        <v>3006</v>
      </c>
      <c r="H1714" s="10">
        <v>42</v>
      </c>
      <c r="I1714" s="10"/>
      <c r="J1714" s="10">
        <v>42</v>
      </c>
      <c r="K1714" s="10">
        <v>423.42</v>
      </c>
    </row>
    <row r="1715" spans="1:11" x14ac:dyDescent="0.25">
      <c r="A1715" s="8" t="s">
        <v>3107</v>
      </c>
      <c r="B1715" s="8" t="s">
        <v>136</v>
      </c>
      <c r="C1715" s="8" t="s">
        <v>3004</v>
      </c>
      <c r="D1715" s="8">
        <v>6</v>
      </c>
      <c r="E1715" s="8" t="s">
        <v>3108</v>
      </c>
      <c r="F1715" s="8" t="s">
        <v>378</v>
      </c>
      <c r="G1715" s="8" t="s">
        <v>3006</v>
      </c>
      <c r="H1715" s="10">
        <v>12</v>
      </c>
      <c r="I1715" s="10"/>
      <c r="J1715" s="10">
        <v>12</v>
      </c>
      <c r="K1715" s="10">
        <v>423.42</v>
      </c>
    </row>
    <row r="1716" spans="1:11" x14ac:dyDescent="0.25">
      <c r="A1716" s="8" t="s">
        <v>3109</v>
      </c>
      <c r="B1716" s="8" t="s">
        <v>136</v>
      </c>
      <c r="C1716" s="8" t="s">
        <v>3004</v>
      </c>
      <c r="D1716" s="8">
        <v>6</v>
      </c>
      <c r="E1716" s="8" t="s">
        <v>3110</v>
      </c>
      <c r="F1716" s="8" t="s">
        <v>378</v>
      </c>
      <c r="G1716" s="8" t="s">
        <v>3006</v>
      </c>
      <c r="H1716" s="10">
        <v>72</v>
      </c>
      <c r="I1716" s="10"/>
      <c r="J1716" s="10">
        <v>72</v>
      </c>
      <c r="K1716" s="10">
        <v>534.16999999999996</v>
      </c>
    </row>
    <row r="1717" spans="1:11" x14ac:dyDescent="0.25">
      <c r="A1717" s="8" t="s">
        <v>3111</v>
      </c>
      <c r="B1717" s="8" t="s">
        <v>122</v>
      </c>
      <c r="C1717" s="8" t="s">
        <v>3004</v>
      </c>
      <c r="D1717" s="8">
        <v>6</v>
      </c>
      <c r="E1717" s="8" t="s">
        <v>3112</v>
      </c>
      <c r="F1717" s="8" t="s">
        <v>378</v>
      </c>
      <c r="G1717" s="8" t="s">
        <v>3006</v>
      </c>
      <c r="H1717" s="10">
        <v>222</v>
      </c>
      <c r="I1717" s="10"/>
      <c r="J1717" s="10">
        <v>222</v>
      </c>
      <c r="K1717" s="10">
        <v>772.97</v>
      </c>
    </row>
    <row r="1718" spans="1:11" x14ac:dyDescent="0.25">
      <c r="A1718" s="8" t="s">
        <v>3113</v>
      </c>
      <c r="B1718" s="8" t="s">
        <v>124</v>
      </c>
      <c r="C1718" s="8" t="s">
        <v>3004</v>
      </c>
      <c r="D1718" s="8">
        <v>6</v>
      </c>
      <c r="E1718" s="8" t="s">
        <v>3112</v>
      </c>
      <c r="F1718" s="8" t="s">
        <v>378</v>
      </c>
      <c r="G1718" s="8" t="s">
        <v>3006</v>
      </c>
      <c r="H1718" s="10">
        <v>588</v>
      </c>
      <c r="I1718" s="10"/>
      <c r="J1718" s="10">
        <v>588</v>
      </c>
      <c r="K1718" s="10">
        <v>672.6</v>
      </c>
    </row>
    <row r="1719" spans="1:11" x14ac:dyDescent="0.25">
      <c r="A1719" s="8" t="s">
        <v>3114</v>
      </c>
      <c r="B1719" s="8" t="s">
        <v>78</v>
      </c>
      <c r="C1719" s="8" t="s">
        <v>3004</v>
      </c>
      <c r="D1719" s="8">
        <v>6</v>
      </c>
      <c r="E1719" s="8" t="s">
        <v>3112</v>
      </c>
      <c r="F1719" s="8" t="s">
        <v>378</v>
      </c>
      <c r="G1719" s="8" t="s">
        <v>3006</v>
      </c>
      <c r="H1719" s="10">
        <v>90</v>
      </c>
      <c r="I1719" s="10"/>
      <c r="J1719" s="10">
        <v>90</v>
      </c>
      <c r="K1719" s="10">
        <v>672.6</v>
      </c>
    </row>
    <row r="1720" spans="1:11" x14ac:dyDescent="0.25">
      <c r="A1720" s="8" t="s">
        <v>3115</v>
      </c>
      <c r="B1720" s="8" t="s">
        <v>128</v>
      </c>
      <c r="C1720" s="8" t="s">
        <v>3004</v>
      </c>
      <c r="D1720" s="8">
        <v>6</v>
      </c>
      <c r="E1720" s="8" t="s">
        <v>3112</v>
      </c>
      <c r="F1720" s="8" t="s">
        <v>378</v>
      </c>
      <c r="G1720" s="8" t="s">
        <v>3006</v>
      </c>
      <c r="H1720" s="10">
        <v>30</v>
      </c>
      <c r="I1720" s="10"/>
      <c r="J1720" s="10">
        <v>30</v>
      </c>
      <c r="K1720" s="10">
        <v>672.6</v>
      </c>
    </row>
    <row r="1721" spans="1:11" x14ac:dyDescent="0.25">
      <c r="A1721" s="8" t="s">
        <v>3116</v>
      </c>
      <c r="B1721" s="8" t="s">
        <v>134</v>
      </c>
      <c r="C1721" s="8" t="s">
        <v>3004</v>
      </c>
      <c r="D1721" s="8">
        <v>6</v>
      </c>
      <c r="E1721" s="8" t="s">
        <v>3112</v>
      </c>
      <c r="F1721" s="8" t="s">
        <v>378</v>
      </c>
      <c r="G1721" s="8" t="s">
        <v>3006</v>
      </c>
      <c r="H1721" s="10">
        <v>36</v>
      </c>
      <c r="I1721" s="10"/>
      <c r="J1721" s="10">
        <v>36</v>
      </c>
      <c r="K1721" s="10">
        <v>672.6</v>
      </c>
    </row>
    <row r="1722" spans="1:11" x14ac:dyDescent="0.25">
      <c r="A1722" s="8" t="s">
        <v>3117</v>
      </c>
      <c r="B1722" s="8" t="s">
        <v>2627</v>
      </c>
      <c r="C1722" s="8" t="s">
        <v>3004</v>
      </c>
      <c r="D1722" s="8">
        <v>6</v>
      </c>
      <c r="E1722" s="8" t="s">
        <v>3112</v>
      </c>
      <c r="F1722" s="8" t="s">
        <v>378</v>
      </c>
      <c r="G1722" s="8" t="s">
        <v>3006</v>
      </c>
      <c r="H1722" s="10">
        <v>354</v>
      </c>
      <c r="I1722" s="10"/>
      <c r="J1722" s="10">
        <v>354</v>
      </c>
      <c r="K1722" s="10">
        <v>672.6</v>
      </c>
    </row>
    <row r="1723" spans="1:11" x14ac:dyDescent="0.25">
      <c r="A1723" s="8" t="s">
        <v>3118</v>
      </c>
      <c r="B1723" s="8" t="s">
        <v>72</v>
      </c>
      <c r="C1723" s="8" t="s">
        <v>3059</v>
      </c>
      <c r="D1723" s="8">
        <v>5</v>
      </c>
      <c r="E1723" s="8" t="s">
        <v>3119</v>
      </c>
      <c r="F1723" s="8" t="s">
        <v>378</v>
      </c>
      <c r="G1723" s="8" t="s">
        <v>3061</v>
      </c>
      <c r="H1723" s="10">
        <v>90</v>
      </c>
      <c r="I1723" s="10"/>
      <c r="J1723" s="10">
        <v>90</v>
      </c>
      <c r="K1723" s="10">
        <v>676.2</v>
      </c>
    </row>
    <row r="1724" spans="1:11" x14ac:dyDescent="0.25">
      <c r="A1724" s="8" t="s">
        <v>3120</v>
      </c>
      <c r="B1724" s="8" t="s">
        <v>122</v>
      </c>
      <c r="C1724" s="8" t="s">
        <v>3059</v>
      </c>
      <c r="D1724" s="8">
        <v>5</v>
      </c>
      <c r="E1724" s="8" t="s">
        <v>3119</v>
      </c>
      <c r="F1724" s="8" t="s">
        <v>378</v>
      </c>
      <c r="G1724" s="8" t="s">
        <v>3061</v>
      </c>
      <c r="H1724" s="10">
        <v>6</v>
      </c>
      <c r="I1724" s="10"/>
      <c r="J1724" s="10">
        <v>6</v>
      </c>
      <c r="K1724" s="10">
        <v>676.2</v>
      </c>
    </row>
    <row r="1725" spans="1:11" x14ac:dyDescent="0.25">
      <c r="A1725" s="8" t="s">
        <v>3121</v>
      </c>
      <c r="B1725" s="8" t="s">
        <v>124</v>
      </c>
      <c r="C1725" s="8" t="s">
        <v>3059</v>
      </c>
      <c r="D1725" s="8">
        <v>5</v>
      </c>
      <c r="E1725" s="8" t="s">
        <v>3119</v>
      </c>
      <c r="F1725" s="8" t="s">
        <v>378</v>
      </c>
      <c r="G1725" s="8" t="s">
        <v>3061</v>
      </c>
      <c r="H1725" s="10">
        <v>186</v>
      </c>
      <c r="I1725" s="10"/>
      <c r="J1725" s="10">
        <v>186</v>
      </c>
      <c r="K1725" s="10">
        <v>676.2</v>
      </c>
    </row>
    <row r="1726" spans="1:11" x14ac:dyDescent="0.25">
      <c r="A1726" s="8" t="s">
        <v>3122</v>
      </c>
      <c r="B1726" s="8" t="s">
        <v>78</v>
      </c>
      <c r="C1726" s="8" t="s">
        <v>3059</v>
      </c>
      <c r="D1726" s="8">
        <v>5</v>
      </c>
      <c r="E1726" s="8" t="s">
        <v>3119</v>
      </c>
      <c r="F1726" s="8" t="s">
        <v>378</v>
      </c>
      <c r="G1726" s="8" t="s">
        <v>3061</v>
      </c>
      <c r="H1726" s="10">
        <v>186</v>
      </c>
      <c r="I1726" s="10"/>
      <c r="J1726" s="10">
        <v>186</v>
      </c>
      <c r="K1726" s="10">
        <v>676.2</v>
      </c>
    </row>
    <row r="1727" spans="1:11" x14ac:dyDescent="0.25">
      <c r="A1727" s="8" t="s">
        <v>3123</v>
      </c>
      <c r="B1727" s="8" t="s">
        <v>128</v>
      </c>
      <c r="C1727" s="8" t="s">
        <v>3059</v>
      </c>
      <c r="D1727" s="8">
        <v>5</v>
      </c>
      <c r="E1727" s="8" t="s">
        <v>3119</v>
      </c>
      <c r="F1727" s="8" t="s">
        <v>378</v>
      </c>
      <c r="G1727" s="8" t="s">
        <v>3061</v>
      </c>
      <c r="H1727" s="10">
        <v>78</v>
      </c>
      <c r="I1727" s="10"/>
      <c r="J1727" s="10">
        <v>78</v>
      </c>
      <c r="K1727" s="10">
        <v>676.2</v>
      </c>
    </row>
    <row r="1728" spans="1:11" x14ac:dyDescent="0.25">
      <c r="A1728" s="8" t="s">
        <v>3124</v>
      </c>
      <c r="B1728" s="8" t="s">
        <v>134</v>
      </c>
      <c r="C1728" s="8" t="s">
        <v>3059</v>
      </c>
      <c r="D1728" s="8">
        <v>5</v>
      </c>
      <c r="E1728" s="8" t="s">
        <v>3119</v>
      </c>
      <c r="F1728" s="8" t="s">
        <v>378</v>
      </c>
      <c r="G1728" s="8" t="s">
        <v>3061</v>
      </c>
      <c r="H1728" s="10">
        <v>6</v>
      </c>
      <c r="I1728" s="10"/>
      <c r="J1728" s="10">
        <v>6</v>
      </c>
      <c r="K1728" s="10">
        <v>676.2</v>
      </c>
    </row>
    <row r="1729" spans="1:11" x14ac:dyDescent="0.25">
      <c r="A1729" s="8" t="s">
        <v>3125</v>
      </c>
      <c r="B1729" s="8" t="s">
        <v>136</v>
      </c>
      <c r="C1729" s="8" t="s">
        <v>3059</v>
      </c>
      <c r="D1729" s="8">
        <v>5</v>
      </c>
      <c r="E1729" s="8" t="s">
        <v>3119</v>
      </c>
      <c r="F1729" s="8" t="s">
        <v>378</v>
      </c>
      <c r="G1729" s="8" t="s">
        <v>3061</v>
      </c>
      <c r="H1729" s="10">
        <v>42</v>
      </c>
      <c r="I1729" s="10"/>
      <c r="J1729" s="10">
        <v>42</v>
      </c>
      <c r="K1729" s="10">
        <v>676.2</v>
      </c>
    </row>
    <row r="1730" spans="1:11" x14ac:dyDescent="0.25">
      <c r="A1730" s="8" t="s">
        <v>3126</v>
      </c>
      <c r="B1730" s="8" t="s">
        <v>2627</v>
      </c>
      <c r="C1730" s="8" t="s">
        <v>3059</v>
      </c>
      <c r="D1730" s="8">
        <v>5</v>
      </c>
      <c r="E1730" s="8" t="s">
        <v>3119</v>
      </c>
      <c r="F1730" s="8" t="s">
        <v>378</v>
      </c>
      <c r="G1730" s="8" t="s">
        <v>3061</v>
      </c>
      <c r="H1730" s="10">
        <v>384</v>
      </c>
      <c r="I1730" s="10"/>
      <c r="J1730" s="10">
        <v>384</v>
      </c>
      <c r="K1730" s="10">
        <v>676.2</v>
      </c>
    </row>
    <row r="1731" spans="1:11" x14ac:dyDescent="0.25">
      <c r="A1731" s="8" t="s">
        <v>3127</v>
      </c>
      <c r="B1731" s="8" t="s">
        <v>72</v>
      </c>
      <c r="C1731" s="8" t="s">
        <v>3059</v>
      </c>
      <c r="D1731" s="8">
        <v>5</v>
      </c>
      <c r="E1731" s="8" t="s">
        <v>3128</v>
      </c>
      <c r="F1731" s="8" t="s">
        <v>378</v>
      </c>
      <c r="G1731" s="8" t="s">
        <v>3061</v>
      </c>
      <c r="H1731" s="10">
        <v>66</v>
      </c>
      <c r="I1731" s="10"/>
      <c r="J1731" s="10">
        <v>66</v>
      </c>
      <c r="K1731" s="10">
        <v>831.41</v>
      </c>
    </row>
    <row r="1732" spans="1:11" x14ac:dyDescent="0.25">
      <c r="A1732" s="8" t="s">
        <v>3129</v>
      </c>
      <c r="B1732" s="8" t="s">
        <v>124</v>
      </c>
      <c r="C1732" s="8" t="s">
        <v>3059</v>
      </c>
      <c r="D1732" s="8">
        <v>5</v>
      </c>
      <c r="E1732" s="8" t="s">
        <v>3128</v>
      </c>
      <c r="F1732" s="8" t="s">
        <v>378</v>
      </c>
      <c r="G1732" s="8" t="s">
        <v>3061</v>
      </c>
      <c r="H1732" s="10">
        <v>36</v>
      </c>
      <c r="I1732" s="10"/>
      <c r="J1732" s="10">
        <v>36</v>
      </c>
      <c r="K1732" s="10">
        <v>831.41</v>
      </c>
    </row>
    <row r="1733" spans="1:11" x14ac:dyDescent="0.25">
      <c r="A1733" s="8" t="s">
        <v>3130</v>
      </c>
      <c r="B1733" s="8" t="s">
        <v>78</v>
      </c>
      <c r="C1733" s="8" t="s">
        <v>3059</v>
      </c>
      <c r="D1733" s="8">
        <v>5</v>
      </c>
      <c r="E1733" s="8" t="s">
        <v>3128</v>
      </c>
      <c r="F1733" s="8" t="s">
        <v>378</v>
      </c>
      <c r="G1733" s="8" t="s">
        <v>3061</v>
      </c>
      <c r="H1733" s="10">
        <v>102</v>
      </c>
      <c r="I1733" s="10"/>
      <c r="J1733" s="10">
        <v>102</v>
      </c>
      <c r="K1733" s="10">
        <v>831.41</v>
      </c>
    </row>
    <row r="1734" spans="1:11" x14ac:dyDescent="0.25">
      <c r="A1734" s="8" t="s">
        <v>3131</v>
      </c>
      <c r="B1734" s="8" t="s">
        <v>128</v>
      </c>
      <c r="C1734" s="8" t="s">
        <v>3059</v>
      </c>
      <c r="D1734" s="8">
        <v>5</v>
      </c>
      <c r="E1734" s="8" t="s">
        <v>3128</v>
      </c>
      <c r="F1734" s="8" t="s">
        <v>378</v>
      </c>
      <c r="G1734" s="8" t="s">
        <v>3061</v>
      </c>
      <c r="H1734" s="10">
        <v>18</v>
      </c>
      <c r="I1734" s="10"/>
      <c r="J1734" s="10">
        <v>18</v>
      </c>
      <c r="K1734" s="10">
        <v>831.41</v>
      </c>
    </row>
    <row r="1735" spans="1:11" x14ac:dyDescent="0.25">
      <c r="A1735" s="8" t="s">
        <v>3132</v>
      </c>
      <c r="B1735" s="8" t="s">
        <v>2627</v>
      </c>
      <c r="C1735" s="8" t="s">
        <v>3059</v>
      </c>
      <c r="D1735" s="8">
        <v>5</v>
      </c>
      <c r="E1735" s="8" t="s">
        <v>3128</v>
      </c>
      <c r="F1735" s="8" t="s">
        <v>378</v>
      </c>
      <c r="G1735" s="8" t="s">
        <v>3061</v>
      </c>
      <c r="H1735" s="10">
        <v>180</v>
      </c>
      <c r="I1735" s="10"/>
      <c r="J1735" s="10">
        <v>180</v>
      </c>
      <c r="K1735" s="10">
        <v>831.41</v>
      </c>
    </row>
    <row r="1736" spans="1:11" x14ac:dyDescent="0.25">
      <c r="A1736" s="8" t="s">
        <v>3133</v>
      </c>
      <c r="B1736" s="8" t="s">
        <v>122</v>
      </c>
      <c r="C1736" s="8" t="s">
        <v>3059</v>
      </c>
      <c r="D1736" s="8">
        <v>5</v>
      </c>
      <c r="E1736" s="8" t="s">
        <v>3134</v>
      </c>
      <c r="F1736" s="8" t="s">
        <v>378</v>
      </c>
      <c r="G1736" s="8" t="s">
        <v>3061</v>
      </c>
      <c r="H1736" s="10">
        <v>36</v>
      </c>
      <c r="I1736" s="10"/>
      <c r="J1736" s="10">
        <v>36</v>
      </c>
      <c r="K1736" s="10">
        <v>1512.01</v>
      </c>
    </row>
    <row r="1737" spans="1:11" x14ac:dyDescent="0.25">
      <c r="A1737" s="8" t="s">
        <v>3135</v>
      </c>
      <c r="B1737" s="8" t="s">
        <v>124</v>
      </c>
      <c r="C1737" s="8" t="s">
        <v>3059</v>
      </c>
      <c r="D1737" s="8">
        <v>5</v>
      </c>
      <c r="E1737" s="8" t="s">
        <v>3134</v>
      </c>
      <c r="F1737" s="8" t="s">
        <v>378</v>
      </c>
      <c r="G1737" s="8" t="s">
        <v>3061</v>
      </c>
      <c r="H1737" s="10">
        <v>18</v>
      </c>
      <c r="I1737" s="10"/>
      <c r="J1737" s="10">
        <v>18</v>
      </c>
      <c r="K1737" s="10">
        <v>1104.83</v>
      </c>
    </row>
    <row r="1738" spans="1:11" x14ac:dyDescent="0.25">
      <c r="A1738" s="8" t="s">
        <v>3136</v>
      </c>
      <c r="B1738" s="8" t="s">
        <v>78</v>
      </c>
      <c r="C1738" s="8" t="s">
        <v>3059</v>
      </c>
      <c r="D1738" s="8">
        <v>5</v>
      </c>
      <c r="E1738" s="8" t="s">
        <v>3134</v>
      </c>
      <c r="F1738" s="8" t="s">
        <v>378</v>
      </c>
      <c r="G1738" s="8" t="s">
        <v>3061</v>
      </c>
      <c r="H1738" s="10">
        <v>30</v>
      </c>
      <c r="I1738" s="10"/>
      <c r="J1738" s="10">
        <v>30</v>
      </c>
      <c r="K1738" s="10">
        <v>1104.83</v>
      </c>
    </row>
    <row r="1739" spans="1:11" x14ac:dyDescent="0.25">
      <c r="A1739" s="8" t="s">
        <v>3137</v>
      </c>
      <c r="B1739" s="8" t="s">
        <v>2627</v>
      </c>
      <c r="C1739" s="8" t="s">
        <v>3059</v>
      </c>
      <c r="D1739" s="8">
        <v>5</v>
      </c>
      <c r="E1739" s="8" t="s">
        <v>3134</v>
      </c>
      <c r="F1739" s="8" t="s">
        <v>378</v>
      </c>
      <c r="G1739" s="8" t="s">
        <v>3061</v>
      </c>
      <c r="H1739" s="10">
        <v>12</v>
      </c>
      <c r="I1739" s="10"/>
      <c r="J1739" s="10">
        <v>12</v>
      </c>
      <c r="K1739" s="10">
        <v>1104.83</v>
      </c>
    </row>
    <row r="1740" spans="1:11" x14ac:dyDescent="0.25">
      <c r="A1740" s="8" t="s">
        <v>3138</v>
      </c>
      <c r="B1740" s="8" t="s">
        <v>124</v>
      </c>
      <c r="C1740" s="8" t="s">
        <v>3059</v>
      </c>
      <c r="D1740" s="8">
        <v>5</v>
      </c>
      <c r="E1740" s="8" t="s">
        <v>3139</v>
      </c>
      <c r="F1740" s="8" t="s">
        <v>378</v>
      </c>
      <c r="G1740" s="8" t="s">
        <v>3061</v>
      </c>
      <c r="H1740" s="10">
        <v>162</v>
      </c>
      <c r="I1740" s="10"/>
      <c r="J1740" s="10">
        <v>162</v>
      </c>
      <c r="K1740" s="10">
        <v>1262.1500000000001</v>
      </c>
    </row>
    <row r="1741" spans="1:11" x14ac:dyDescent="0.25">
      <c r="A1741" s="8" t="s">
        <v>3140</v>
      </c>
      <c r="B1741" s="8" t="s">
        <v>128</v>
      </c>
      <c r="C1741" s="8" t="s">
        <v>3059</v>
      </c>
      <c r="D1741" s="8">
        <v>5</v>
      </c>
      <c r="E1741" s="8" t="s">
        <v>3139</v>
      </c>
      <c r="F1741" s="8" t="s">
        <v>378</v>
      </c>
      <c r="G1741" s="8" t="s">
        <v>3061</v>
      </c>
      <c r="H1741" s="10">
        <v>12</v>
      </c>
      <c r="I1741" s="10"/>
      <c r="J1741" s="10">
        <v>12</v>
      </c>
      <c r="K1741" s="10">
        <v>1262.1500000000001</v>
      </c>
    </row>
    <row r="1742" spans="1:11" x14ac:dyDescent="0.25">
      <c r="A1742" s="8" t="s">
        <v>3141</v>
      </c>
      <c r="B1742" s="8" t="s">
        <v>136</v>
      </c>
      <c r="C1742" s="8" t="s">
        <v>3059</v>
      </c>
      <c r="D1742" s="8">
        <v>5</v>
      </c>
      <c r="E1742" s="8" t="s">
        <v>3139</v>
      </c>
      <c r="F1742" s="8" t="s">
        <v>378</v>
      </c>
      <c r="G1742" s="8" t="s">
        <v>3061</v>
      </c>
      <c r="H1742" s="10">
        <v>54</v>
      </c>
      <c r="I1742" s="10"/>
      <c r="J1742" s="10">
        <v>54</v>
      </c>
      <c r="K1742" s="10">
        <v>1262.1500000000001</v>
      </c>
    </row>
    <row r="1743" spans="1:11" x14ac:dyDescent="0.25">
      <c r="A1743" s="8" t="s">
        <v>3142</v>
      </c>
      <c r="B1743" s="8" t="s">
        <v>122</v>
      </c>
      <c r="C1743" s="8" t="s">
        <v>3059</v>
      </c>
      <c r="D1743" s="8">
        <v>5</v>
      </c>
      <c r="E1743" s="8" t="s">
        <v>3143</v>
      </c>
      <c r="F1743" s="8" t="s">
        <v>378</v>
      </c>
      <c r="G1743" s="8" t="s">
        <v>3061</v>
      </c>
      <c r="H1743" s="10">
        <v>12</v>
      </c>
      <c r="I1743" s="10"/>
      <c r="J1743" s="10">
        <v>12</v>
      </c>
      <c r="K1743" s="10">
        <v>1464.01</v>
      </c>
    </row>
    <row r="1744" spans="1:11" x14ac:dyDescent="0.25">
      <c r="A1744" s="8" t="s">
        <v>3144</v>
      </c>
      <c r="B1744" s="8" t="s">
        <v>124</v>
      </c>
      <c r="C1744" s="8" t="s">
        <v>3059</v>
      </c>
      <c r="D1744" s="8">
        <v>5</v>
      </c>
      <c r="E1744" s="8" t="s">
        <v>3143</v>
      </c>
      <c r="F1744" s="8" t="s">
        <v>378</v>
      </c>
      <c r="G1744" s="8" t="s">
        <v>3061</v>
      </c>
      <c r="H1744" s="10">
        <v>6</v>
      </c>
      <c r="I1744" s="10"/>
      <c r="J1744" s="10">
        <v>6</v>
      </c>
      <c r="K1744" s="10">
        <v>1464.01</v>
      </c>
    </row>
    <row r="1745" spans="1:11" x14ac:dyDescent="0.25">
      <c r="A1745" s="8" t="s">
        <v>3145</v>
      </c>
      <c r="B1745" s="8" t="s">
        <v>78</v>
      </c>
      <c r="C1745" s="8" t="s">
        <v>3059</v>
      </c>
      <c r="D1745" s="8">
        <v>5</v>
      </c>
      <c r="E1745" s="8" t="s">
        <v>3143</v>
      </c>
      <c r="F1745" s="8" t="s">
        <v>378</v>
      </c>
      <c r="G1745" s="8" t="s">
        <v>3061</v>
      </c>
      <c r="H1745" s="10">
        <v>40</v>
      </c>
      <c r="I1745" s="10"/>
      <c r="J1745" s="10">
        <v>40</v>
      </c>
      <c r="K1745" s="10">
        <v>1464.01</v>
      </c>
    </row>
    <row r="1746" spans="1:11" x14ac:dyDescent="0.25">
      <c r="A1746" s="8" t="s">
        <v>3146</v>
      </c>
      <c r="B1746" s="8" t="s">
        <v>2627</v>
      </c>
      <c r="C1746" s="8" t="s">
        <v>3059</v>
      </c>
      <c r="D1746" s="8">
        <v>5</v>
      </c>
      <c r="E1746" s="8" t="s">
        <v>3143</v>
      </c>
      <c r="F1746" s="8" t="s">
        <v>378</v>
      </c>
      <c r="G1746" s="8" t="s">
        <v>3061</v>
      </c>
      <c r="H1746" s="10">
        <v>18</v>
      </c>
      <c r="I1746" s="10"/>
      <c r="J1746" s="10">
        <v>18</v>
      </c>
      <c r="K1746" s="10">
        <v>1464.01</v>
      </c>
    </row>
    <row r="1747" spans="1:11" x14ac:dyDescent="0.25">
      <c r="A1747" s="8" t="s">
        <v>3147</v>
      </c>
      <c r="B1747" s="8" t="s">
        <v>124</v>
      </c>
      <c r="C1747" s="8" t="s">
        <v>3059</v>
      </c>
      <c r="D1747" s="8">
        <v>5</v>
      </c>
      <c r="E1747" s="8" t="s">
        <v>3148</v>
      </c>
      <c r="F1747" s="8" t="s">
        <v>378</v>
      </c>
      <c r="G1747" s="8" t="s">
        <v>3061</v>
      </c>
      <c r="H1747" s="10">
        <v>6</v>
      </c>
      <c r="I1747" s="10"/>
      <c r="J1747" s="10">
        <v>6</v>
      </c>
      <c r="K1747" s="10">
        <v>1753.91</v>
      </c>
    </row>
    <row r="1748" spans="1:11" x14ac:dyDescent="0.25">
      <c r="A1748" s="8" t="s">
        <v>3149</v>
      </c>
      <c r="B1748" s="8" t="s">
        <v>2627</v>
      </c>
      <c r="C1748" s="8" t="s">
        <v>3059</v>
      </c>
      <c r="D1748" s="8">
        <v>5</v>
      </c>
      <c r="E1748" s="8" t="s">
        <v>3148</v>
      </c>
      <c r="F1748" s="8" t="s">
        <v>378</v>
      </c>
      <c r="G1748" s="8" t="s">
        <v>3061</v>
      </c>
      <c r="H1748" s="10">
        <v>138</v>
      </c>
      <c r="I1748" s="10"/>
      <c r="J1748" s="10">
        <v>138</v>
      </c>
      <c r="K1748" s="10">
        <v>1753.91</v>
      </c>
    </row>
    <row r="1749" spans="1:11" x14ac:dyDescent="0.25">
      <c r="A1749" s="8" t="s">
        <v>3150</v>
      </c>
      <c r="B1749" s="8" t="s">
        <v>72</v>
      </c>
      <c r="C1749" s="8" t="s">
        <v>3059</v>
      </c>
      <c r="D1749" s="8">
        <v>5</v>
      </c>
      <c r="E1749" s="8" t="s">
        <v>3151</v>
      </c>
      <c r="F1749" s="8" t="s">
        <v>378</v>
      </c>
      <c r="G1749" s="8" t="s">
        <v>3061</v>
      </c>
      <c r="H1749" s="10">
        <v>42</v>
      </c>
      <c r="I1749" s="10"/>
      <c r="J1749" s="10">
        <v>42</v>
      </c>
      <c r="K1749" s="10">
        <v>1981.5</v>
      </c>
    </row>
    <row r="1750" spans="1:11" x14ac:dyDescent="0.25">
      <c r="A1750" s="8" t="s">
        <v>3152</v>
      </c>
      <c r="B1750" s="8" t="s">
        <v>122</v>
      </c>
      <c r="C1750" s="8" t="s">
        <v>3059</v>
      </c>
      <c r="D1750" s="8">
        <v>5</v>
      </c>
      <c r="E1750" s="8" t="s">
        <v>3151</v>
      </c>
      <c r="F1750" s="8" t="s">
        <v>378</v>
      </c>
      <c r="G1750" s="8" t="s">
        <v>3061</v>
      </c>
      <c r="H1750" s="10">
        <v>102</v>
      </c>
      <c r="I1750" s="10"/>
      <c r="J1750" s="10">
        <v>102</v>
      </c>
      <c r="K1750" s="10">
        <v>2809.3</v>
      </c>
    </row>
    <row r="1751" spans="1:11" x14ac:dyDescent="0.25">
      <c r="A1751" s="8" t="s">
        <v>3153</v>
      </c>
      <c r="B1751" s="8" t="s">
        <v>124</v>
      </c>
      <c r="C1751" s="8" t="s">
        <v>3059</v>
      </c>
      <c r="D1751" s="8">
        <v>5</v>
      </c>
      <c r="E1751" s="8" t="s">
        <v>3151</v>
      </c>
      <c r="F1751" s="8" t="s">
        <v>378</v>
      </c>
      <c r="G1751" s="8" t="s">
        <v>3061</v>
      </c>
      <c r="H1751" s="10">
        <v>90</v>
      </c>
      <c r="I1751" s="10"/>
      <c r="J1751" s="10">
        <v>90</v>
      </c>
      <c r="K1751" s="10">
        <v>1981.5</v>
      </c>
    </row>
    <row r="1752" spans="1:11" x14ac:dyDescent="0.25">
      <c r="A1752" s="8" t="s">
        <v>3154</v>
      </c>
      <c r="B1752" s="8" t="s">
        <v>2627</v>
      </c>
      <c r="C1752" s="8" t="s">
        <v>3059</v>
      </c>
      <c r="D1752" s="8">
        <v>5</v>
      </c>
      <c r="E1752" s="8" t="s">
        <v>3151</v>
      </c>
      <c r="F1752" s="8" t="s">
        <v>378</v>
      </c>
      <c r="G1752" s="8" t="s">
        <v>3061</v>
      </c>
      <c r="H1752" s="10">
        <v>30</v>
      </c>
      <c r="I1752" s="10"/>
      <c r="J1752" s="10">
        <v>30</v>
      </c>
      <c r="K1752" s="10">
        <v>1981.5</v>
      </c>
    </row>
    <row r="1753" spans="1:11" x14ac:dyDescent="0.25">
      <c r="A1753" s="8" t="s">
        <v>3155</v>
      </c>
      <c r="B1753" s="8" t="s">
        <v>122</v>
      </c>
      <c r="C1753" s="8" t="s">
        <v>3059</v>
      </c>
      <c r="D1753" s="8">
        <v>5</v>
      </c>
      <c r="E1753" s="8" t="s">
        <v>3156</v>
      </c>
      <c r="F1753" s="8" t="s">
        <v>378</v>
      </c>
      <c r="G1753" s="8" t="s">
        <v>3061</v>
      </c>
      <c r="H1753" s="10">
        <v>66</v>
      </c>
      <c r="I1753" s="10"/>
      <c r="J1753" s="10">
        <v>66</v>
      </c>
      <c r="K1753" s="10">
        <v>2008.69</v>
      </c>
    </row>
    <row r="1754" spans="1:11" x14ac:dyDescent="0.25">
      <c r="A1754" s="8" t="s">
        <v>3157</v>
      </c>
      <c r="B1754" s="8" t="s">
        <v>124</v>
      </c>
      <c r="C1754" s="8" t="s">
        <v>3059</v>
      </c>
      <c r="D1754" s="8">
        <v>5</v>
      </c>
      <c r="E1754" s="8" t="s">
        <v>3156</v>
      </c>
      <c r="F1754" s="8" t="s">
        <v>378</v>
      </c>
      <c r="G1754" s="8" t="s">
        <v>3061</v>
      </c>
      <c r="H1754" s="10">
        <v>114</v>
      </c>
      <c r="I1754" s="10"/>
      <c r="J1754" s="10">
        <v>114</v>
      </c>
      <c r="K1754" s="10">
        <v>2216.9499999999998</v>
      </c>
    </row>
    <row r="1755" spans="1:11" x14ac:dyDescent="0.25">
      <c r="A1755" s="8" t="s">
        <v>3158</v>
      </c>
      <c r="B1755" s="8" t="s">
        <v>122</v>
      </c>
      <c r="C1755" s="8" t="s">
        <v>3059</v>
      </c>
      <c r="D1755" s="8">
        <v>5</v>
      </c>
      <c r="E1755" s="8" t="s">
        <v>3159</v>
      </c>
      <c r="F1755" s="8" t="s">
        <v>378</v>
      </c>
      <c r="G1755" s="8" t="s">
        <v>3061</v>
      </c>
      <c r="H1755" s="10">
        <v>30</v>
      </c>
      <c r="I1755" s="10"/>
      <c r="J1755" s="10">
        <v>30</v>
      </c>
      <c r="K1755" s="10">
        <v>2622.11</v>
      </c>
    </row>
    <row r="1756" spans="1:11" x14ac:dyDescent="0.25">
      <c r="A1756" s="8" t="s">
        <v>3160</v>
      </c>
      <c r="B1756" s="8" t="s">
        <v>124</v>
      </c>
      <c r="C1756" s="8" t="s">
        <v>3059</v>
      </c>
      <c r="D1756" s="8">
        <v>5</v>
      </c>
      <c r="E1756" s="8" t="s">
        <v>3159</v>
      </c>
      <c r="F1756" s="8" t="s">
        <v>378</v>
      </c>
      <c r="G1756" s="8" t="s">
        <v>3061</v>
      </c>
      <c r="H1756" s="10">
        <v>84</v>
      </c>
      <c r="I1756" s="10"/>
      <c r="J1756" s="10">
        <v>84</v>
      </c>
      <c r="K1756" s="10">
        <v>2622.11</v>
      </c>
    </row>
    <row r="1757" spans="1:11" x14ac:dyDescent="0.25">
      <c r="A1757" s="8" t="s">
        <v>3161</v>
      </c>
      <c r="B1757" s="8" t="s">
        <v>2627</v>
      </c>
      <c r="C1757" s="8" t="s">
        <v>3059</v>
      </c>
      <c r="D1757" s="8">
        <v>5</v>
      </c>
      <c r="E1757" s="8" t="s">
        <v>3159</v>
      </c>
      <c r="F1757" s="8" t="s">
        <v>378</v>
      </c>
      <c r="G1757" s="8" t="s">
        <v>3061</v>
      </c>
      <c r="H1757" s="10">
        <v>18</v>
      </c>
      <c r="I1757" s="10"/>
      <c r="J1757" s="10">
        <v>18</v>
      </c>
      <c r="K1757" s="10">
        <v>2622.11</v>
      </c>
    </row>
    <row r="1758" spans="1:11" x14ac:dyDescent="0.25">
      <c r="A1758" s="8" t="s">
        <v>3162</v>
      </c>
      <c r="B1758" s="8" t="s">
        <v>132</v>
      </c>
      <c r="C1758" s="8" t="s">
        <v>3059</v>
      </c>
      <c r="D1758" s="8">
        <v>5</v>
      </c>
      <c r="E1758" s="8" t="s">
        <v>3163</v>
      </c>
      <c r="F1758" s="8" t="s">
        <v>378</v>
      </c>
      <c r="G1758" s="8" t="s">
        <v>3061</v>
      </c>
      <c r="H1758" s="10">
        <v>18</v>
      </c>
      <c r="I1758" s="10"/>
      <c r="J1758" s="10">
        <v>18</v>
      </c>
      <c r="K1758" s="10">
        <v>353.85</v>
      </c>
    </row>
    <row r="1759" spans="1:11" x14ac:dyDescent="0.25">
      <c r="A1759" s="8" t="s">
        <v>3164</v>
      </c>
      <c r="B1759" s="8" t="s">
        <v>263</v>
      </c>
      <c r="C1759" s="8" t="s">
        <v>3059</v>
      </c>
      <c r="D1759" s="8">
        <v>5</v>
      </c>
      <c r="E1759" s="8" t="s">
        <v>3165</v>
      </c>
      <c r="F1759" s="8" t="s">
        <v>378</v>
      </c>
      <c r="G1759" s="8" t="s">
        <v>3061</v>
      </c>
      <c r="H1759" s="10">
        <v>18</v>
      </c>
      <c r="I1759" s="10"/>
      <c r="J1759" s="10">
        <v>18</v>
      </c>
      <c r="K1759" s="10">
        <v>701.01</v>
      </c>
    </row>
    <row r="1760" spans="1:11" x14ac:dyDescent="0.25">
      <c r="A1760" s="8" t="s">
        <v>3166</v>
      </c>
      <c r="B1760" s="8" t="s">
        <v>269</v>
      </c>
      <c r="C1760" s="8" t="s">
        <v>3059</v>
      </c>
      <c r="D1760" s="8">
        <v>5</v>
      </c>
      <c r="E1760" s="8" t="s">
        <v>3165</v>
      </c>
      <c r="F1760" s="8" t="s">
        <v>378</v>
      </c>
      <c r="G1760" s="8" t="s">
        <v>3061</v>
      </c>
      <c r="H1760" s="10">
        <v>12</v>
      </c>
      <c r="I1760" s="10"/>
      <c r="J1760" s="10">
        <v>12</v>
      </c>
      <c r="K1760" s="10">
        <v>701.01</v>
      </c>
    </row>
    <row r="1761" spans="1:11" x14ac:dyDescent="0.25">
      <c r="A1761" s="8" t="s">
        <v>3167</v>
      </c>
      <c r="B1761" s="8" t="s">
        <v>263</v>
      </c>
      <c r="C1761" s="8" t="s">
        <v>3059</v>
      </c>
      <c r="D1761" s="8">
        <v>5</v>
      </c>
      <c r="E1761" s="8" t="s">
        <v>370</v>
      </c>
      <c r="F1761" s="8" t="s">
        <v>378</v>
      </c>
      <c r="G1761" s="8" t="s">
        <v>3061</v>
      </c>
      <c r="H1761" s="10">
        <v>48</v>
      </c>
      <c r="I1761" s="10"/>
      <c r="J1761" s="10">
        <v>48</v>
      </c>
      <c r="K1761" s="10">
        <v>1202.5899999999999</v>
      </c>
    </row>
    <row r="1762" spans="1:11" x14ac:dyDescent="0.25">
      <c r="A1762" s="8" t="s">
        <v>3168</v>
      </c>
      <c r="B1762" s="8" t="s">
        <v>269</v>
      </c>
      <c r="C1762" s="8" t="s">
        <v>3059</v>
      </c>
      <c r="D1762" s="8">
        <v>5</v>
      </c>
      <c r="E1762" s="8" t="s">
        <v>370</v>
      </c>
      <c r="F1762" s="8" t="s">
        <v>378</v>
      </c>
      <c r="G1762" s="8" t="s">
        <v>3061</v>
      </c>
      <c r="H1762" s="10">
        <v>42</v>
      </c>
      <c r="I1762" s="10"/>
      <c r="J1762" s="10">
        <v>42</v>
      </c>
      <c r="K1762" s="10">
        <v>1202.5899999999999</v>
      </c>
    </row>
    <row r="1763" spans="1:11" x14ac:dyDescent="0.25">
      <c r="A1763" s="8" t="s">
        <v>3169</v>
      </c>
      <c r="B1763" s="8" t="s">
        <v>263</v>
      </c>
      <c r="C1763" s="8" t="s">
        <v>3059</v>
      </c>
      <c r="D1763" s="8">
        <v>5</v>
      </c>
      <c r="E1763" s="8" t="s">
        <v>364</v>
      </c>
      <c r="F1763" s="8" t="s">
        <v>378</v>
      </c>
      <c r="G1763" s="8" t="s">
        <v>3061</v>
      </c>
      <c r="H1763" s="10">
        <v>36</v>
      </c>
      <c r="I1763" s="10"/>
      <c r="J1763" s="10">
        <v>36</v>
      </c>
      <c r="K1763" s="10">
        <v>1623.4</v>
      </c>
    </row>
    <row r="1764" spans="1:11" x14ac:dyDescent="0.25">
      <c r="A1764" s="8" t="s">
        <v>3170</v>
      </c>
      <c r="B1764" s="8" t="s">
        <v>269</v>
      </c>
      <c r="C1764" s="8" t="s">
        <v>3059</v>
      </c>
      <c r="D1764" s="8">
        <v>5</v>
      </c>
      <c r="E1764" s="8" t="s">
        <v>364</v>
      </c>
      <c r="F1764" s="8" t="s">
        <v>378</v>
      </c>
      <c r="G1764" s="8" t="s">
        <v>3061</v>
      </c>
      <c r="H1764" s="10">
        <v>30</v>
      </c>
      <c r="I1764" s="10"/>
      <c r="J1764" s="10">
        <v>30</v>
      </c>
      <c r="K1764" s="10">
        <v>1623.4</v>
      </c>
    </row>
    <row r="1765" spans="1:11" x14ac:dyDescent="0.25">
      <c r="A1765" s="8" t="s">
        <v>3171</v>
      </c>
      <c r="B1765" s="8" t="s">
        <v>263</v>
      </c>
      <c r="C1765" s="8" t="s">
        <v>3004</v>
      </c>
      <c r="D1765" s="8">
        <v>6</v>
      </c>
      <c r="E1765" s="8" t="s">
        <v>3172</v>
      </c>
      <c r="F1765" s="8" t="s">
        <v>378</v>
      </c>
      <c r="G1765" s="8" t="s">
        <v>3173</v>
      </c>
      <c r="H1765" s="10">
        <v>90</v>
      </c>
      <c r="I1765" s="10"/>
      <c r="J1765" s="10">
        <v>90</v>
      </c>
      <c r="K1765" s="10">
        <v>3942.15</v>
      </c>
    </row>
    <row r="1766" spans="1:11" x14ac:dyDescent="0.25">
      <c r="A1766" s="8" t="s">
        <v>3174</v>
      </c>
      <c r="B1766" s="8" t="s">
        <v>269</v>
      </c>
      <c r="C1766" s="8" t="s">
        <v>3004</v>
      </c>
      <c r="D1766" s="8">
        <v>6</v>
      </c>
      <c r="E1766" s="8" t="s">
        <v>3172</v>
      </c>
      <c r="F1766" s="8" t="s">
        <v>378</v>
      </c>
      <c r="G1766" s="8" t="s">
        <v>3173</v>
      </c>
      <c r="H1766" s="10">
        <v>84</v>
      </c>
      <c r="I1766" s="10"/>
      <c r="J1766" s="10">
        <v>84</v>
      </c>
      <c r="K1766" s="10">
        <v>3942.15</v>
      </c>
    </row>
    <row r="1767" spans="1:11" x14ac:dyDescent="0.25">
      <c r="A1767" s="8" t="s">
        <v>3175</v>
      </c>
      <c r="B1767" s="8" t="s">
        <v>118</v>
      </c>
      <c r="C1767" s="8" t="s">
        <v>3059</v>
      </c>
      <c r="D1767" s="8">
        <v>5</v>
      </c>
      <c r="E1767" s="8" t="s">
        <v>3176</v>
      </c>
      <c r="F1767" s="8" t="s">
        <v>378</v>
      </c>
      <c r="G1767" s="8" t="s">
        <v>3061</v>
      </c>
      <c r="H1767" s="10">
        <v>24</v>
      </c>
      <c r="I1767" s="10"/>
      <c r="J1767" s="10">
        <v>24</v>
      </c>
      <c r="K1767" s="10">
        <v>186.52</v>
      </c>
    </row>
    <row r="1768" spans="1:11" x14ac:dyDescent="0.25">
      <c r="A1768" s="8" t="s">
        <v>3177</v>
      </c>
      <c r="B1768" s="8" t="s">
        <v>120</v>
      </c>
      <c r="C1768" s="8" t="s">
        <v>3059</v>
      </c>
      <c r="D1768" s="8">
        <v>5</v>
      </c>
      <c r="E1768" s="8" t="s">
        <v>3176</v>
      </c>
      <c r="F1768" s="8" t="s">
        <v>378</v>
      </c>
      <c r="G1768" s="8" t="s">
        <v>3061</v>
      </c>
      <c r="H1768" s="10">
        <v>72</v>
      </c>
      <c r="I1768" s="10"/>
      <c r="J1768" s="10">
        <v>72</v>
      </c>
      <c r="K1768" s="10">
        <v>186.52</v>
      </c>
    </row>
    <row r="1769" spans="1:11" x14ac:dyDescent="0.25">
      <c r="A1769" s="8" t="s">
        <v>3178</v>
      </c>
      <c r="B1769" s="8" t="s">
        <v>118</v>
      </c>
      <c r="C1769" s="8" t="s">
        <v>3059</v>
      </c>
      <c r="D1769" s="8">
        <v>5</v>
      </c>
      <c r="E1769" s="8" t="s">
        <v>3179</v>
      </c>
      <c r="F1769" s="8" t="s">
        <v>378</v>
      </c>
      <c r="G1769" s="8" t="s">
        <v>3061</v>
      </c>
      <c r="H1769" s="10">
        <v>6</v>
      </c>
      <c r="I1769" s="10"/>
      <c r="J1769" s="10">
        <v>6</v>
      </c>
      <c r="K1769" s="10">
        <v>262.17</v>
      </c>
    </row>
    <row r="1770" spans="1:11" x14ac:dyDescent="0.25">
      <c r="A1770" s="8" t="s">
        <v>3180</v>
      </c>
      <c r="B1770" s="8" t="s">
        <v>120</v>
      </c>
      <c r="C1770" s="8" t="s">
        <v>3059</v>
      </c>
      <c r="D1770" s="8">
        <v>5</v>
      </c>
      <c r="E1770" s="8" t="s">
        <v>3179</v>
      </c>
      <c r="F1770" s="8" t="s">
        <v>378</v>
      </c>
      <c r="G1770" s="8" t="s">
        <v>3061</v>
      </c>
      <c r="H1770" s="10">
        <v>6</v>
      </c>
      <c r="I1770" s="10"/>
      <c r="J1770" s="10">
        <v>6</v>
      </c>
      <c r="K1770" s="10">
        <v>262.17</v>
      </c>
    </row>
    <row r="1771" spans="1:11" x14ac:dyDescent="0.25">
      <c r="A1771" s="8" t="s">
        <v>3181</v>
      </c>
      <c r="B1771" s="8" t="s">
        <v>122</v>
      </c>
      <c r="C1771" s="8" t="s">
        <v>3059</v>
      </c>
      <c r="D1771" s="8">
        <v>5</v>
      </c>
      <c r="E1771" s="8" t="s">
        <v>3179</v>
      </c>
      <c r="F1771" s="8" t="s">
        <v>378</v>
      </c>
      <c r="G1771" s="8" t="s">
        <v>3061</v>
      </c>
      <c r="H1771" s="10">
        <v>30</v>
      </c>
      <c r="I1771" s="10"/>
      <c r="J1771" s="10">
        <v>30</v>
      </c>
      <c r="K1771" s="10">
        <v>262.17</v>
      </c>
    </row>
    <row r="1772" spans="1:11" x14ac:dyDescent="0.25">
      <c r="A1772" s="8" t="s">
        <v>3182</v>
      </c>
      <c r="B1772" s="8" t="s">
        <v>124</v>
      </c>
      <c r="C1772" s="8" t="s">
        <v>3059</v>
      </c>
      <c r="D1772" s="8">
        <v>5</v>
      </c>
      <c r="E1772" s="8" t="s">
        <v>3179</v>
      </c>
      <c r="F1772" s="8" t="s">
        <v>378</v>
      </c>
      <c r="G1772" s="8" t="s">
        <v>3061</v>
      </c>
      <c r="H1772" s="10">
        <v>150</v>
      </c>
      <c r="I1772" s="10"/>
      <c r="J1772" s="10">
        <v>150</v>
      </c>
      <c r="K1772" s="10">
        <v>262.17</v>
      </c>
    </row>
    <row r="1773" spans="1:11" x14ac:dyDescent="0.25">
      <c r="A1773" s="8" t="s">
        <v>3183</v>
      </c>
      <c r="B1773" s="8" t="s">
        <v>78</v>
      </c>
      <c r="C1773" s="8" t="s">
        <v>3059</v>
      </c>
      <c r="D1773" s="8">
        <v>5</v>
      </c>
      <c r="E1773" s="8" t="s">
        <v>3179</v>
      </c>
      <c r="F1773" s="8" t="s">
        <v>378</v>
      </c>
      <c r="G1773" s="8" t="s">
        <v>3061</v>
      </c>
      <c r="H1773" s="10">
        <v>102</v>
      </c>
      <c r="I1773" s="10"/>
      <c r="J1773" s="10">
        <v>102</v>
      </c>
      <c r="K1773" s="10">
        <v>262.17</v>
      </c>
    </row>
    <row r="1774" spans="1:11" x14ac:dyDescent="0.25">
      <c r="A1774" s="8" t="s">
        <v>3184</v>
      </c>
      <c r="B1774" s="8" t="s">
        <v>128</v>
      </c>
      <c r="C1774" s="8" t="s">
        <v>3059</v>
      </c>
      <c r="D1774" s="8">
        <v>5</v>
      </c>
      <c r="E1774" s="8" t="s">
        <v>3179</v>
      </c>
      <c r="F1774" s="8" t="s">
        <v>378</v>
      </c>
      <c r="G1774" s="8" t="s">
        <v>3061</v>
      </c>
      <c r="H1774" s="10">
        <v>150</v>
      </c>
      <c r="I1774" s="10"/>
      <c r="J1774" s="10">
        <v>150</v>
      </c>
      <c r="K1774" s="10">
        <v>262.17</v>
      </c>
    </row>
    <row r="1775" spans="1:11" x14ac:dyDescent="0.25">
      <c r="A1775" s="8" t="s">
        <v>3185</v>
      </c>
      <c r="B1775" s="8" t="s">
        <v>949</v>
      </c>
      <c r="C1775" s="8" t="s">
        <v>3059</v>
      </c>
      <c r="D1775" s="8">
        <v>5</v>
      </c>
      <c r="E1775" s="8" t="s">
        <v>3179</v>
      </c>
      <c r="F1775" s="8" t="s">
        <v>378</v>
      </c>
      <c r="G1775" s="8" t="s">
        <v>3061</v>
      </c>
      <c r="H1775" s="10">
        <v>6</v>
      </c>
      <c r="I1775" s="10"/>
      <c r="J1775" s="10">
        <v>6</v>
      </c>
      <c r="K1775" s="10">
        <v>253.6</v>
      </c>
    </row>
    <row r="1776" spans="1:11" x14ac:dyDescent="0.25">
      <c r="A1776" s="8" t="s">
        <v>3186</v>
      </c>
      <c r="B1776" s="8" t="s">
        <v>2627</v>
      </c>
      <c r="C1776" s="8" t="s">
        <v>3059</v>
      </c>
      <c r="D1776" s="8">
        <v>5</v>
      </c>
      <c r="E1776" s="8" t="s">
        <v>3179</v>
      </c>
      <c r="F1776" s="8" t="s">
        <v>378</v>
      </c>
      <c r="G1776" s="8" t="s">
        <v>3061</v>
      </c>
      <c r="H1776" s="10">
        <v>306</v>
      </c>
      <c r="I1776" s="10"/>
      <c r="J1776" s="10">
        <v>306</v>
      </c>
      <c r="K1776" s="10">
        <v>262.17</v>
      </c>
    </row>
    <row r="1777" spans="1:11" x14ac:dyDescent="0.25">
      <c r="A1777" s="8" t="s">
        <v>3187</v>
      </c>
      <c r="B1777" s="8" t="s">
        <v>122</v>
      </c>
      <c r="C1777" s="8" t="s">
        <v>3059</v>
      </c>
      <c r="D1777" s="8">
        <v>5</v>
      </c>
      <c r="E1777" s="8" t="s">
        <v>3188</v>
      </c>
      <c r="F1777" s="8" t="s">
        <v>378</v>
      </c>
      <c r="G1777" s="8" t="s">
        <v>3061</v>
      </c>
      <c r="H1777" s="10">
        <v>114</v>
      </c>
      <c r="I1777" s="10"/>
      <c r="J1777" s="10">
        <v>114</v>
      </c>
      <c r="K1777" s="10">
        <v>447.08</v>
      </c>
    </row>
    <row r="1778" spans="1:11" x14ac:dyDescent="0.25">
      <c r="A1778" s="8" t="s">
        <v>3189</v>
      </c>
      <c r="B1778" s="8" t="s">
        <v>124</v>
      </c>
      <c r="C1778" s="8" t="s">
        <v>3059</v>
      </c>
      <c r="D1778" s="8">
        <v>5</v>
      </c>
      <c r="E1778" s="8" t="s">
        <v>3188</v>
      </c>
      <c r="F1778" s="8" t="s">
        <v>378</v>
      </c>
      <c r="G1778" s="8" t="s">
        <v>3061</v>
      </c>
      <c r="H1778" s="10">
        <v>174</v>
      </c>
      <c r="I1778" s="10"/>
      <c r="J1778" s="10">
        <v>174</v>
      </c>
      <c r="K1778" s="10">
        <v>447.08</v>
      </c>
    </row>
    <row r="1779" spans="1:11" x14ac:dyDescent="0.25">
      <c r="A1779" s="8" t="s">
        <v>3190</v>
      </c>
      <c r="B1779" s="8" t="s">
        <v>78</v>
      </c>
      <c r="C1779" s="8" t="s">
        <v>3059</v>
      </c>
      <c r="D1779" s="8">
        <v>5</v>
      </c>
      <c r="E1779" s="8" t="s">
        <v>3188</v>
      </c>
      <c r="F1779" s="8" t="s">
        <v>378</v>
      </c>
      <c r="G1779" s="8" t="s">
        <v>3061</v>
      </c>
      <c r="H1779" s="10">
        <v>6</v>
      </c>
      <c r="I1779" s="10"/>
      <c r="J1779" s="10">
        <v>6</v>
      </c>
      <c r="K1779" s="10">
        <v>447.08</v>
      </c>
    </row>
    <row r="1780" spans="1:11" x14ac:dyDescent="0.25">
      <c r="A1780" s="8" t="s">
        <v>3191</v>
      </c>
      <c r="B1780" s="8" t="s">
        <v>128</v>
      </c>
      <c r="C1780" s="8" t="s">
        <v>3059</v>
      </c>
      <c r="D1780" s="8">
        <v>5</v>
      </c>
      <c r="E1780" s="8" t="s">
        <v>3188</v>
      </c>
      <c r="F1780" s="8" t="s">
        <v>378</v>
      </c>
      <c r="G1780" s="8" t="s">
        <v>3061</v>
      </c>
      <c r="H1780" s="10">
        <v>12</v>
      </c>
      <c r="I1780" s="10"/>
      <c r="J1780" s="10">
        <v>12</v>
      </c>
      <c r="K1780" s="10">
        <v>447.08</v>
      </c>
    </row>
    <row r="1781" spans="1:11" x14ac:dyDescent="0.25">
      <c r="A1781" s="8" t="s">
        <v>3192</v>
      </c>
      <c r="B1781" s="8" t="s">
        <v>2627</v>
      </c>
      <c r="C1781" s="8" t="s">
        <v>3059</v>
      </c>
      <c r="D1781" s="8">
        <v>5</v>
      </c>
      <c r="E1781" s="8" t="s">
        <v>3188</v>
      </c>
      <c r="F1781" s="8" t="s">
        <v>378</v>
      </c>
      <c r="G1781" s="8" t="s">
        <v>3061</v>
      </c>
      <c r="H1781" s="10">
        <v>90</v>
      </c>
      <c r="I1781" s="10"/>
      <c r="J1781" s="10">
        <v>90</v>
      </c>
      <c r="K1781" s="10">
        <v>447.08</v>
      </c>
    </row>
    <row r="1782" spans="1:11" x14ac:dyDescent="0.25">
      <c r="A1782" s="8" t="s">
        <v>3193</v>
      </c>
      <c r="B1782" s="8" t="s">
        <v>72</v>
      </c>
      <c r="C1782" s="8" t="s">
        <v>3059</v>
      </c>
      <c r="D1782" s="8">
        <v>5</v>
      </c>
      <c r="E1782" s="8" t="s">
        <v>3194</v>
      </c>
      <c r="F1782" s="8" t="s">
        <v>378</v>
      </c>
      <c r="G1782" s="8" t="s">
        <v>3061</v>
      </c>
      <c r="H1782" s="10">
        <v>18</v>
      </c>
      <c r="I1782" s="10"/>
      <c r="J1782" s="10">
        <v>18</v>
      </c>
      <c r="K1782" s="10">
        <v>564.19000000000005</v>
      </c>
    </row>
    <row r="1783" spans="1:11" x14ac:dyDescent="0.25">
      <c r="A1783" s="8" t="s">
        <v>3195</v>
      </c>
      <c r="B1783" s="8" t="s">
        <v>120</v>
      </c>
      <c r="C1783" s="8" t="s">
        <v>3059</v>
      </c>
      <c r="D1783" s="8">
        <v>5</v>
      </c>
      <c r="E1783" s="8" t="s">
        <v>3194</v>
      </c>
      <c r="F1783" s="8" t="s">
        <v>378</v>
      </c>
      <c r="G1783" s="8" t="s">
        <v>3061</v>
      </c>
      <c r="H1783" s="10">
        <v>24</v>
      </c>
      <c r="I1783" s="10"/>
      <c r="J1783" s="10">
        <v>24</v>
      </c>
      <c r="K1783" s="10">
        <v>564.19000000000005</v>
      </c>
    </row>
    <row r="1784" spans="1:11" x14ac:dyDescent="0.25">
      <c r="A1784" s="8" t="s">
        <v>3196</v>
      </c>
      <c r="B1784" s="8" t="s">
        <v>122</v>
      </c>
      <c r="C1784" s="8" t="s">
        <v>3059</v>
      </c>
      <c r="D1784" s="8">
        <v>5</v>
      </c>
      <c r="E1784" s="8" t="s">
        <v>3194</v>
      </c>
      <c r="F1784" s="8" t="s">
        <v>378</v>
      </c>
      <c r="G1784" s="8" t="s">
        <v>3061</v>
      </c>
      <c r="H1784" s="10">
        <v>18</v>
      </c>
      <c r="I1784" s="10"/>
      <c r="J1784" s="10">
        <v>18</v>
      </c>
      <c r="K1784" s="10">
        <v>564.19000000000005</v>
      </c>
    </row>
    <row r="1785" spans="1:11" x14ac:dyDescent="0.25">
      <c r="A1785" s="8" t="s">
        <v>3197</v>
      </c>
      <c r="B1785" s="8" t="s">
        <v>124</v>
      </c>
      <c r="C1785" s="8" t="s">
        <v>3059</v>
      </c>
      <c r="D1785" s="8">
        <v>5</v>
      </c>
      <c r="E1785" s="8" t="s">
        <v>3194</v>
      </c>
      <c r="F1785" s="8" t="s">
        <v>378</v>
      </c>
      <c r="G1785" s="8" t="s">
        <v>3061</v>
      </c>
      <c r="H1785" s="10">
        <v>240</v>
      </c>
      <c r="I1785" s="10"/>
      <c r="J1785" s="10">
        <v>240</v>
      </c>
      <c r="K1785" s="10">
        <v>564.19000000000005</v>
      </c>
    </row>
    <row r="1786" spans="1:11" x14ac:dyDescent="0.25">
      <c r="A1786" s="8" t="s">
        <v>3198</v>
      </c>
      <c r="B1786" s="8" t="s">
        <v>78</v>
      </c>
      <c r="C1786" s="8" t="s">
        <v>3059</v>
      </c>
      <c r="D1786" s="8">
        <v>5</v>
      </c>
      <c r="E1786" s="8" t="s">
        <v>3194</v>
      </c>
      <c r="F1786" s="8" t="s">
        <v>378</v>
      </c>
      <c r="G1786" s="8" t="s">
        <v>3061</v>
      </c>
      <c r="H1786" s="10">
        <v>66</v>
      </c>
      <c r="I1786" s="10"/>
      <c r="J1786" s="10">
        <v>66</v>
      </c>
      <c r="K1786" s="10">
        <v>564.19000000000005</v>
      </c>
    </row>
    <row r="1787" spans="1:11" x14ac:dyDescent="0.25">
      <c r="A1787" s="8" t="s">
        <v>3199</v>
      </c>
      <c r="B1787" s="8" t="s">
        <v>128</v>
      </c>
      <c r="C1787" s="8" t="s">
        <v>3059</v>
      </c>
      <c r="D1787" s="8">
        <v>5</v>
      </c>
      <c r="E1787" s="8" t="s">
        <v>3194</v>
      </c>
      <c r="F1787" s="8" t="s">
        <v>378</v>
      </c>
      <c r="G1787" s="8" t="s">
        <v>3061</v>
      </c>
      <c r="H1787" s="10">
        <v>6</v>
      </c>
      <c r="I1787" s="10"/>
      <c r="J1787" s="10">
        <v>6</v>
      </c>
      <c r="K1787" s="10">
        <v>564.19000000000005</v>
      </c>
    </row>
    <row r="1788" spans="1:11" x14ac:dyDescent="0.25">
      <c r="A1788" s="8" t="s">
        <v>3200</v>
      </c>
      <c r="B1788" s="8" t="s">
        <v>949</v>
      </c>
      <c r="C1788" s="8" t="s">
        <v>3059</v>
      </c>
      <c r="D1788" s="8">
        <v>5</v>
      </c>
      <c r="E1788" s="8" t="s">
        <v>3194</v>
      </c>
      <c r="F1788" s="8" t="s">
        <v>378</v>
      </c>
      <c r="G1788" s="8" t="s">
        <v>3061</v>
      </c>
      <c r="H1788" s="10">
        <v>24</v>
      </c>
      <c r="I1788" s="10"/>
      <c r="J1788" s="10">
        <v>24</v>
      </c>
      <c r="K1788" s="10">
        <v>564.19000000000005</v>
      </c>
    </row>
    <row r="1789" spans="1:11" x14ac:dyDescent="0.25">
      <c r="A1789" s="8" t="s">
        <v>3201</v>
      </c>
      <c r="B1789" s="8" t="s">
        <v>72</v>
      </c>
      <c r="C1789" s="8" t="s">
        <v>3059</v>
      </c>
      <c r="D1789" s="8">
        <v>5</v>
      </c>
      <c r="E1789" s="8" t="s">
        <v>3202</v>
      </c>
      <c r="F1789" s="8" t="s">
        <v>378</v>
      </c>
      <c r="G1789" s="8" t="s">
        <v>3061</v>
      </c>
      <c r="H1789" s="10">
        <v>36</v>
      </c>
      <c r="I1789" s="10"/>
      <c r="J1789" s="10">
        <v>36</v>
      </c>
      <c r="K1789" s="10">
        <v>701.01</v>
      </c>
    </row>
    <row r="1790" spans="1:11" x14ac:dyDescent="0.25">
      <c r="A1790" s="8" t="s">
        <v>3203</v>
      </c>
      <c r="B1790" s="8" t="s">
        <v>124</v>
      </c>
      <c r="C1790" s="8" t="s">
        <v>3059</v>
      </c>
      <c r="D1790" s="8">
        <v>5</v>
      </c>
      <c r="E1790" s="8" t="s">
        <v>3202</v>
      </c>
      <c r="F1790" s="8" t="s">
        <v>378</v>
      </c>
      <c r="G1790" s="8" t="s">
        <v>3061</v>
      </c>
      <c r="H1790" s="10">
        <v>54</v>
      </c>
      <c r="I1790" s="10"/>
      <c r="J1790" s="10">
        <v>54</v>
      </c>
      <c r="K1790" s="10">
        <v>701.01</v>
      </c>
    </row>
    <row r="1791" spans="1:11" x14ac:dyDescent="0.25">
      <c r="A1791" s="8" t="s">
        <v>3204</v>
      </c>
      <c r="B1791" s="8" t="s">
        <v>78</v>
      </c>
      <c r="C1791" s="8" t="s">
        <v>3059</v>
      </c>
      <c r="D1791" s="8">
        <v>5</v>
      </c>
      <c r="E1791" s="8" t="s">
        <v>3202</v>
      </c>
      <c r="F1791" s="8" t="s">
        <v>378</v>
      </c>
      <c r="G1791" s="8" t="s">
        <v>3061</v>
      </c>
      <c r="H1791" s="10">
        <v>180</v>
      </c>
      <c r="I1791" s="10"/>
      <c r="J1791" s="10">
        <v>180</v>
      </c>
      <c r="K1791" s="10">
        <v>701.01</v>
      </c>
    </row>
    <row r="1792" spans="1:11" x14ac:dyDescent="0.25">
      <c r="A1792" s="8" t="s">
        <v>3205</v>
      </c>
      <c r="B1792" s="8" t="s">
        <v>128</v>
      </c>
      <c r="C1792" s="8" t="s">
        <v>3059</v>
      </c>
      <c r="D1792" s="8">
        <v>5</v>
      </c>
      <c r="E1792" s="8" t="s">
        <v>3202</v>
      </c>
      <c r="F1792" s="8" t="s">
        <v>378</v>
      </c>
      <c r="G1792" s="8" t="s">
        <v>3061</v>
      </c>
      <c r="H1792" s="10">
        <v>36</v>
      </c>
      <c r="I1792" s="10"/>
      <c r="J1792" s="10">
        <v>36</v>
      </c>
      <c r="K1792" s="10">
        <v>701.01</v>
      </c>
    </row>
    <row r="1793" spans="1:11" x14ac:dyDescent="0.25">
      <c r="A1793" s="8" t="s">
        <v>3206</v>
      </c>
      <c r="B1793" s="8" t="s">
        <v>122</v>
      </c>
      <c r="C1793" s="8" t="s">
        <v>3059</v>
      </c>
      <c r="D1793" s="8">
        <v>5</v>
      </c>
      <c r="E1793" s="8" t="s">
        <v>3207</v>
      </c>
      <c r="F1793" s="8" t="s">
        <v>378</v>
      </c>
      <c r="G1793" s="8" t="s">
        <v>3061</v>
      </c>
      <c r="H1793" s="10">
        <v>36</v>
      </c>
      <c r="I1793" s="10"/>
      <c r="J1793" s="10">
        <v>36</v>
      </c>
      <c r="K1793" s="10">
        <v>833.34</v>
      </c>
    </row>
    <row r="1794" spans="1:11" x14ac:dyDescent="0.25">
      <c r="A1794" s="8" t="s">
        <v>3208</v>
      </c>
      <c r="B1794" s="8" t="s">
        <v>124</v>
      </c>
      <c r="C1794" s="8" t="s">
        <v>3059</v>
      </c>
      <c r="D1794" s="8">
        <v>5</v>
      </c>
      <c r="E1794" s="8" t="s">
        <v>3207</v>
      </c>
      <c r="F1794" s="8" t="s">
        <v>378</v>
      </c>
      <c r="G1794" s="8" t="s">
        <v>3061</v>
      </c>
      <c r="H1794" s="10">
        <v>210</v>
      </c>
      <c r="I1794" s="10"/>
      <c r="J1794" s="10">
        <v>210</v>
      </c>
      <c r="K1794" s="10">
        <v>833.34</v>
      </c>
    </row>
    <row r="1795" spans="1:11" x14ac:dyDescent="0.25">
      <c r="A1795" s="8" t="s">
        <v>3209</v>
      </c>
      <c r="B1795" s="8" t="s">
        <v>122</v>
      </c>
      <c r="C1795" s="8" t="s">
        <v>3059</v>
      </c>
      <c r="D1795" s="8">
        <v>5</v>
      </c>
      <c r="E1795" s="8" t="s">
        <v>3210</v>
      </c>
      <c r="F1795" s="8" t="s">
        <v>378</v>
      </c>
      <c r="G1795" s="8" t="s">
        <v>3061</v>
      </c>
      <c r="H1795" s="10">
        <v>12</v>
      </c>
      <c r="I1795" s="10"/>
      <c r="J1795" s="10">
        <v>12</v>
      </c>
      <c r="K1795" s="10">
        <v>976.65</v>
      </c>
    </row>
    <row r="1796" spans="1:11" x14ac:dyDescent="0.25">
      <c r="A1796" s="8" t="s">
        <v>3211</v>
      </c>
      <c r="B1796" s="8" t="s">
        <v>124</v>
      </c>
      <c r="C1796" s="8" t="s">
        <v>3059</v>
      </c>
      <c r="D1796" s="8">
        <v>5</v>
      </c>
      <c r="E1796" s="8" t="s">
        <v>3210</v>
      </c>
      <c r="F1796" s="8" t="s">
        <v>378</v>
      </c>
      <c r="G1796" s="8" t="s">
        <v>3061</v>
      </c>
      <c r="H1796" s="10">
        <v>288</v>
      </c>
      <c r="I1796" s="10"/>
      <c r="J1796" s="10">
        <v>288</v>
      </c>
      <c r="K1796" s="10">
        <v>976.65</v>
      </c>
    </row>
    <row r="1797" spans="1:11" x14ac:dyDescent="0.25">
      <c r="A1797" s="8" t="s">
        <v>3212</v>
      </c>
      <c r="B1797" s="8" t="s">
        <v>122</v>
      </c>
      <c r="C1797" s="8" t="s">
        <v>3059</v>
      </c>
      <c r="D1797" s="8">
        <v>5</v>
      </c>
      <c r="E1797" s="8" t="s">
        <v>3213</v>
      </c>
      <c r="F1797" s="8" t="s">
        <v>378</v>
      </c>
      <c r="G1797" s="8" t="s">
        <v>3061</v>
      </c>
      <c r="H1797" s="10">
        <v>198</v>
      </c>
      <c r="I1797" s="10"/>
      <c r="J1797" s="10">
        <v>198</v>
      </c>
      <c r="K1797" s="10">
        <v>842.48</v>
      </c>
    </row>
    <row r="1798" spans="1:11" x14ac:dyDescent="0.25">
      <c r="A1798" s="8" t="s">
        <v>3214</v>
      </c>
      <c r="B1798" s="8" t="s">
        <v>124</v>
      </c>
      <c r="C1798" s="8" t="s">
        <v>3059</v>
      </c>
      <c r="D1798" s="8">
        <v>5</v>
      </c>
      <c r="E1798" s="8" t="s">
        <v>3213</v>
      </c>
      <c r="F1798" s="8" t="s">
        <v>378</v>
      </c>
      <c r="G1798" s="8" t="s">
        <v>3061</v>
      </c>
      <c r="H1798" s="10">
        <v>264</v>
      </c>
      <c r="I1798" s="10"/>
      <c r="J1798" s="10">
        <v>264</v>
      </c>
      <c r="K1798" s="10">
        <v>842.48</v>
      </c>
    </row>
    <row r="1799" spans="1:11" x14ac:dyDescent="0.25">
      <c r="A1799" s="8" t="s">
        <v>3215</v>
      </c>
      <c r="B1799" s="8" t="s">
        <v>2627</v>
      </c>
      <c r="C1799" s="8" t="s">
        <v>3059</v>
      </c>
      <c r="D1799" s="8">
        <v>5</v>
      </c>
      <c r="E1799" s="8" t="s">
        <v>3213</v>
      </c>
      <c r="F1799" s="8" t="s">
        <v>378</v>
      </c>
      <c r="G1799" s="8" t="s">
        <v>3061</v>
      </c>
      <c r="H1799" s="10">
        <v>336</v>
      </c>
      <c r="I1799" s="10"/>
      <c r="J1799" s="10">
        <v>336</v>
      </c>
      <c r="K1799" s="10">
        <v>1155.06</v>
      </c>
    </row>
    <row r="1800" spans="1:11" x14ac:dyDescent="0.25">
      <c r="A1800" s="8" t="s">
        <v>3216</v>
      </c>
      <c r="B1800" s="8" t="s">
        <v>122</v>
      </c>
      <c r="C1800" s="8" t="s">
        <v>3059</v>
      </c>
      <c r="D1800" s="8">
        <v>5</v>
      </c>
      <c r="E1800" s="8" t="s">
        <v>3217</v>
      </c>
      <c r="F1800" s="8" t="s">
        <v>378</v>
      </c>
      <c r="G1800" s="8" t="s">
        <v>3061</v>
      </c>
      <c r="H1800" s="10">
        <v>30</v>
      </c>
      <c r="I1800" s="10"/>
      <c r="J1800" s="10">
        <v>30</v>
      </c>
      <c r="K1800" s="10">
        <v>1315.72</v>
      </c>
    </row>
    <row r="1801" spans="1:11" x14ac:dyDescent="0.25">
      <c r="A1801" s="8" t="s">
        <v>3218</v>
      </c>
      <c r="B1801" s="8" t="s">
        <v>124</v>
      </c>
      <c r="C1801" s="8" t="s">
        <v>3059</v>
      </c>
      <c r="D1801" s="8">
        <v>5</v>
      </c>
      <c r="E1801" s="8" t="s">
        <v>3217</v>
      </c>
      <c r="F1801" s="8" t="s">
        <v>378</v>
      </c>
      <c r="G1801" s="8" t="s">
        <v>3061</v>
      </c>
      <c r="H1801" s="10">
        <v>60</v>
      </c>
      <c r="I1801" s="10"/>
      <c r="J1801" s="10">
        <v>60</v>
      </c>
      <c r="K1801" s="10">
        <v>1315.72</v>
      </c>
    </row>
    <row r="1802" spans="1:11" x14ac:dyDescent="0.25">
      <c r="A1802" s="8" t="s">
        <v>3219</v>
      </c>
      <c r="B1802" s="8" t="s">
        <v>78</v>
      </c>
      <c r="C1802" s="8" t="s">
        <v>3059</v>
      </c>
      <c r="D1802" s="8">
        <v>5</v>
      </c>
      <c r="E1802" s="8" t="s">
        <v>3217</v>
      </c>
      <c r="F1802" s="8" t="s">
        <v>378</v>
      </c>
      <c r="G1802" s="8" t="s">
        <v>3061</v>
      </c>
      <c r="H1802" s="10">
        <v>6</v>
      </c>
      <c r="I1802" s="10"/>
      <c r="J1802" s="10">
        <v>6</v>
      </c>
      <c r="K1802" s="10">
        <v>1315.72</v>
      </c>
    </row>
    <row r="1803" spans="1:11" x14ac:dyDescent="0.25">
      <c r="A1803" s="8" t="s">
        <v>3220</v>
      </c>
      <c r="B1803" s="8" t="s">
        <v>124</v>
      </c>
      <c r="C1803" s="8" t="s">
        <v>3059</v>
      </c>
      <c r="D1803" s="8">
        <v>5</v>
      </c>
      <c r="E1803" s="8" t="s">
        <v>3221</v>
      </c>
      <c r="F1803" s="8" t="s">
        <v>378</v>
      </c>
      <c r="G1803" s="8" t="s">
        <v>3061</v>
      </c>
      <c r="H1803" s="10">
        <v>144</v>
      </c>
      <c r="I1803" s="10"/>
      <c r="J1803" s="10">
        <v>144</v>
      </c>
      <c r="K1803" s="10">
        <v>1491.5</v>
      </c>
    </row>
    <row r="1804" spans="1:11" x14ac:dyDescent="0.25">
      <c r="A1804" s="8" t="s">
        <v>3222</v>
      </c>
      <c r="B1804" s="8" t="s">
        <v>78</v>
      </c>
      <c r="C1804" s="8" t="s">
        <v>3059</v>
      </c>
      <c r="D1804" s="8">
        <v>5</v>
      </c>
      <c r="E1804" s="8" t="s">
        <v>3221</v>
      </c>
      <c r="F1804" s="8" t="s">
        <v>378</v>
      </c>
      <c r="G1804" s="8" t="s">
        <v>3061</v>
      </c>
      <c r="H1804" s="10">
        <v>120</v>
      </c>
      <c r="I1804" s="10"/>
      <c r="J1804" s="10">
        <v>120</v>
      </c>
      <c r="K1804" s="10">
        <v>1491.5</v>
      </c>
    </row>
    <row r="1805" spans="1:11" x14ac:dyDescent="0.25">
      <c r="A1805" s="8" t="s">
        <v>3223</v>
      </c>
      <c r="B1805" s="8" t="s">
        <v>2627</v>
      </c>
      <c r="C1805" s="8" t="s">
        <v>3059</v>
      </c>
      <c r="D1805" s="8">
        <v>5</v>
      </c>
      <c r="E1805" s="8" t="s">
        <v>3221</v>
      </c>
      <c r="F1805" s="8" t="s">
        <v>378</v>
      </c>
      <c r="G1805" s="8" t="s">
        <v>3061</v>
      </c>
      <c r="H1805" s="10">
        <v>306</v>
      </c>
      <c r="I1805" s="10"/>
      <c r="J1805" s="10">
        <v>306</v>
      </c>
      <c r="K1805" s="10">
        <v>1491.5</v>
      </c>
    </row>
    <row r="1806" spans="1:11" x14ac:dyDescent="0.25">
      <c r="A1806" s="8" t="s">
        <v>3224</v>
      </c>
      <c r="B1806" s="8" t="s">
        <v>78</v>
      </c>
      <c r="C1806" s="8" t="s">
        <v>3059</v>
      </c>
      <c r="D1806" s="8">
        <v>5</v>
      </c>
      <c r="E1806" s="8" t="s">
        <v>3225</v>
      </c>
      <c r="F1806" s="8" t="s">
        <v>378</v>
      </c>
      <c r="G1806" s="8" t="s">
        <v>3061</v>
      </c>
      <c r="H1806" s="10">
        <v>42</v>
      </c>
      <c r="I1806" s="10"/>
      <c r="J1806" s="10">
        <v>42</v>
      </c>
      <c r="K1806" s="10">
        <v>1590.78</v>
      </c>
    </row>
    <row r="1807" spans="1:11" x14ac:dyDescent="0.25">
      <c r="A1807" s="8" t="s">
        <v>3226</v>
      </c>
      <c r="B1807" s="8" t="s">
        <v>120</v>
      </c>
      <c r="C1807" s="8" t="s">
        <v>3059</v>
      </c>
      <c r="D1807" s="8">
        <v>5</v>
      </c>
      <c r="E1807" s="8" t="s">
        <v>3227</v>
      </c>
      <c r="F1807" s="8" t="s">
        <v>378</v>
      </c>
      <c r="G1807" s="8" t="s">
        <v>3061</v>
      </c>
      <c r="H1807" s="10">
        <v>84</v>
      </c>
      <c r="I1807" s="10"/>
      <c r="J1807" s="10">
        <v>84</v>
      </c>
      <c r="K1807" s="10">
        <v>1712.19</v>
      </c>
    </row>
    <row r="1808" spans="1:11" x14ac:dyDescent="0.25">
      <c r="A1808" s="8" t="s">
        <v>3228</v>
      </c>
      <c r="B1808" s="8" t="s">
        <v>122</v>
      </c>
      <c r="C1808" s="8" t="s">
        <v>3059</v>
      </c>
      <c r="D1808" s="8">
        <v>5</v>
      </c>
      <c r="E1808" s="8" t="s">
        <v>3227</v>
      </c>
      <c r="F1808" s="8" t="s">
        <v>378</v>
      </c>
      <c r="G1808" s="8" t="s">
        <v>3061</v>
      </c>
      <c r="H1808" s="10">
        <v>18</v>
      </c>
      <c r="I1808" s="10"/>
      <c r="J1808" s="10">
        <v>18</v>
      </c>
      <c r="K1808" s="10">
        <v>1712.19</v>
      </c>
    </row>
    <row r="1809" spans="1:11" x14ac:dyDescent="0.25">
      <c r="A1809" s="8" t="s">
        <v>3229</v>
      </c>
      <c r="B1809" s="8" t="s">
        <v>78</v>
      </c>
      <c r="C1809" s="8" t="s">
        <v>3059</v>
      </c>
      <c r="D1809" s="8">
        <v>5</v>
      </c>
      <c r="E1809" s="8" t="s">
        <v>3227</v>
      </c>
      <c r="F1809" s="8" t="s">
        <v>378</v>
      </c>
      <c r="G1809" s="8" t="s">
        <v>3061</v>
      </c>
      <c r="H1809" s="10">
        <v>6</v>
      </c>
      <c r="I1809" s="10"/>
      <c r="J1809" s="10">
        <v>6</v>
      </c>
      <c r="K1809" s="10">
        <v>1712.19</v>
      </c>
    </row>
    <row r="1810" spans="1:11" x14ac:dyDescent="0.25">
      <c r="A1810" s="8" t="s">
        <v>3230</v>
      </c>
      <c r="B1810" s="8" t="s">
        <v>124</v>
      </c>
      <c r="C1810" s="8" t="s">
        <v>3059</v>
      </c>
      <c r="D1810" s="8">
        <v>5</v>
      </c>
      <c r="E1810" s="8" t="s">
        <v>3231</v>
      </c>
      <c r="F1810" s="8" t="s">
        <v>378</v>
      </c>
      <c r="G1810" s="8" t="s">
        <v>3061</v>
      </c>
      <c r="H1810" s="10">
        <v>6</v>
      </c>
      <c r="I1810" s="10"/>
      <c r="J1810" s="10">
        <v>6</v>
      </c>
      <c r="K1810" s="10">
        <v>1873.95</v>
      </c>
    </row>
    <row r="1811" spans="1:11" x14ac:dyDescent="0.25">
      <c r="A1811" s="8" t="s">
        <v>3232</v>
      </c>
      <c r="B1811" s="8" t="s">
        <v>78</v>
      </c>
      <c r="C1811" s="8" t="s">
        <v>3059</v>
      </c>
      <c r="D1811" s="8">
        <v>5</v>
      </c>
      <c r="E1811" s="8" t="s">
        <v>3233</v>
      </c>
      <c r="F1811" s="8" t="s">
        <v>378</v>
      </c>
      <c r="G1811" s="8" t="s">
        <v>3061</v>
      </c>
      <c r="H1811" s="10">
        <v>6</v>
      </c>
      <c r="I1811" s="10"/>
      <c r="J1811" s="10">
        <v>6</v>
      </c>
      <c r="K1811" s="10">
        <v>1995.36</v>
      </c>
    </row>
    <row r="1812" spans="1:11" x14ac:dyDescent="0.25">
      <c r="A1812" s="8" t="s">
        <v>3234</v>
      </c>
      <c r="B1812" s="8" t="s">
        <v>122</v>
      </c>
      <c r="C1812" s="8" t="s">
        <v>3059</v>
      </c>
      <c r="D1812" s="8">
        <v>5</v>
      </c>
      <c r="E1812" s="8" t="s">
        <v>3235</v>
      </c>
      <c r="F1812" s="8" t="s">
        <v>378</v>
      </c>
      <c r="G1812" s="8" t="s">
        <v>3061</v>
      </c>
      <c r="H1812" s="10">
        <v>12</v>
      </c>
      <c r="I1812" s="10"/>
      <c r="J1812" s="10">
        <v>12</v>
      </c>
      <c r="K1812" s="10">
        <v>2231.87</v>
      </c>
    </row>
    <row r="1813" spans="1:11" x14ac:dyDescent="0.25">
      <c r="A1813" s="8" t="s">
        <v>3236</v>
      </c>
      <c r="B1813" s="8" t="s">
        <v>124</v>
      </c>
      <c r="C1813" s="8" t="s">
        <v>3059</v>
      </c>
      <c r="D1813" s="8">
        <v>5</v>
      </c>
      <c r="E1813" s="8" t="s">
        <v>3235</v>
      </c>
      <c r="F1813" s="8" t="s">
        <v>378</v>
      </c>
      <c r="G1813" s="8" t="s">
        <v>3061</v>
      </c>
      <c r="H1813" s="10">
        <v>6</v>
      </c>
      <c r="I1813" s="10"/>
      <c r="J1813" s="10">
        <v>6</v>
      </c>
      <c r="K1813" s="10">
        <v>2231.87</v>
      </c>
    </row>
    <row r="1814" spans="1:11" x14ac:dyDescent="0.25">
      <c r="A1814" s="8" t="s">
        <v>3237</v>
      </c>
      <c r="B1814" s="8" t="s">
        <v>120</v>
      </c>
      <c r="C1814" s="8" t="s">
        <v>3059</v>
      </c>
      <c r="D1814" s="8">
        <v>5</v>
      </c>
      <c r="E1814" s="8" t="s">
        <v>3238</v>
      </c>
      <c r="F1814" s="8" t="s">
        <v>378</v>
      </c>
      <c r="G1814" s="8" t="s">
        <v>3061</v>
      </c>
      <c r="H1814" s="10">
        <v>12</v>
      </c>
      <c r="I1814" s="10"/>
      <c r="J1814" s="10">
        <v>12</v>
      </c>
      <c r="K1814" s="10">
        <v>2484.17</v>
      </c>
    </row>
    <row r="1815" spans="1:11" x14ac:dyDescent="0.25">
      <c r="A1815" s="8" t="s">
        <v>3239</v>
      </c>
      <c r="B1815" s="8" t="s">
        <v>122</v>
      </c>
      <c r="C1815" s="8" t="s">
        <v>3059</v>
      </c>
      <c r="D1815" s="8">
        <v>5</v>
      </c>
      <c r="E1815" s="8" t="s">
        <v>3240</v>
      </c>
      <c r="F1815" s="8" t="s">
        <v>378</v>
      </c>
      <c r="G1815" s="8" t="s">
        <v>3061</v>
      </c>
      <c r="H1815" s="10">
        <v>18</v>
      </c>
      <c r="I1815" s="10"/>
      <c r="J1815" s="10">
        <v>18</v>
      </c>
      <c r="K1815" s="10">
        <v>3152.39</v>
      </c>
    </row>
    <row r="1816" spans="1:11" x14ac:dyDescent="0.25">
      <c r="A1816" s="8" t="s">
        <v>3241</v>
      </c>
      <c r="B1816" s="8" t="s">
        <v>78</v>
      </c>
      <c r="C1816" s="8" t="s">
        <v>3059</v>
      </c>
      <c r="D1816" s="8">
        <v>5</v>
      </c>
      <c r="E1816" s="8" t="s">
        <v>3240</v>
      </c>
      <c r="F1816" s="8" t="s">
        <v>378</v>
      </c>
      <c r="G1816" s="8" t="s">
        <v>3061</v>
      </c>
      <c r="H1816" s="10">
        <v>72</v>
      </c>
      <c r="I1816" s="10"/>
      <c r="J1816" s="10">
        <v>72</v>
      </c>
      <c r="K1816" s="10">
        <v>3212.64</v>
      </c>
    </row>
    <row r="1817" spans="1:11" x14ac:dyDescent="0.25">
      <c r="A1817" s="8" t="s">
        <v>3242</v>
      </c>
      <c r="B1817" s="8" t="s">
        <v>2627</v>
      </c>
      <c r="C1817" s="8" t="s">
        <v>3059</v>
      </c>
      <c r="D1817" s="8">
        <v>5</v>
      </c>
      <c r="E1817" s="8" t="s">
        <v>3240</v>
      </c>
      <c r="F1817" s="8" t="s">
        <v>378</v>
      </c>
      <c r="G1817" s="8" t="s">
        <v>3061</v>
      </c>
      <c r="H1817" s="10">
        <v>36</v>
      </c>
      <c r="I1817" s="10"/>
      <c r="J1817" s="10">
        <v>36</v>
      </c>
      <c r="K1817" s="10">
        <v>3212.64</v>
      </c>
    </row>
    <row r="1818" spans="1:11" x14ac:dyDescent="0.25">
      <c r="A1818" s="8" t="s">
        <v>3243</v>
      </c>
      <c r="B1818" s="8" t="s">
        <v>122</v>
      </c>
      <c r="C1818" s="8" t="s">
        <v>3059</v>
      </c>
      <c r="D1818" s="8">
        <v>5</v>
      </c>
      <c r="E1818" s="8" t="s">
        <v>3244</v>
      </c>
      <c r="F1818" s="8" t="s">
        <v>378</v>
      </c>
      <c r="G1818" s="8" t="s">
        <v>3061</v>
      </c>
      <c r="H1818" s="10">
        <v>6</v>
      </c>
      <c r="I1818" s="10"/>
      <c r="J1818" s="10">
        <v>6</v>
      </c>
      <c r="K1818" s="10">
        <v>3745.09</v>
      </c>
    </row>
    <row r="1819" spans="1:11" x14ac:dyDescent="0.25">
      <c r="A1819" s="8" t="s">
        <v>3245</v>
      </c>
      <c r="B1819" s="8" t="s">
        <v>128</v>
      </c>
      <c r="C1819" s="8" t="s">
        <v>3246</v>
      </c>
      <c r="D1819" s="8">
        <v>3</v>
      </c>
      <c r="E1819" s="8" t="s">
        <v>3247</v>
      </c>
      <c r="F1819" s="8" t="s">
        <v>378</v>
      </c>
      <c r="G1819" s="8" t="s">
        <v>3248</v>
      </c>
      <c r="H1819" s="10">
        <v>6</v>
      </c>
      <c r="I1819" s="10"/>
      <c r="J1819" s="10">
        <v>6</v>
      </c>
      <c r="K1819" s="10">
        <v>456.19</v>
      </c>
    </row>
    <row r="1820" spans="1:11" x14ac:dyDescent="0.25">
      <c r="A1820" s="8" t="s">
        <v>3249</v>
      </c>
      <c r="B1820" s="8" t="s">
        <v>134</v>
      </c>
      <c r="C1820" s="8" t="s">
        <v>3246</v>
      </c>
      <c r="D1820" s="8">
        <v>3</v>
      </c>
      <c r="E1820" s="8" t="s">
        <v>3247</v>
      </c>
      <c r="F1820" s="8" t="s">
        <v>378</v>
      </c>
      <c r="G1820" s="8" t="s">
        <v>3248</v>
      </c>
      <c r="H1820" s="10">
        <v>30</v>
      </c>
      <c r="I1820" s="10"/>
      <c r="J1820" s="10">
        <v>30</v>
      </c>
      <c r="K1820" s="10">
        <v>456.19</v>
      </c>
    </row>
    <row r="1821" spans="1:11" x14ac:dyDescent="0.25">
      <c r="A1821" s="8" t="s">
        <v>3250</v>
      </c>
      <c r="B1821" s="8" t="s">
        <v>263</v>
      </c>
      <c r="C1821" s="8" t="s">
        <v>3251</v>
      </c>
      <c r="D1821" s="8">
        <v>4</v>
      </c>
      <c r="E1821" s="8" t="s">
        <v>373</v>
      </c>
      <c r="F1821" s="8" t="s">
        <v>378</v>
      </c>
      <c r="G1821" s="8" t="s">
        <v>3252</v>
      </c>
      <c r="H1821" s="10">
        <v>6</v>
      </c>
      <c r="I1821" s="10"/>
      <c r="J1821" s="10">
        <v>6</v>
      </c>
      <c r="K1821" s="10">
        <v>127.2</v>
      </c>
    </row>
    <row r="1822" spans="1:11" x14ac:dyDescent="0.25">
      <c r="A1822" s="8" t="s">
        <v>3253</v>
      </c>
      <c r="B1822" s="8" t="s">
        <v>269</v>
      </c>
      <c r="C1822" s="8" t="s">
        <v>3251</v>
      </c>
      <c r="D1822" s="8">
        <v>4</v>
      </c>
      <c r="E1822" s="8" t="s">
        <v>373</v>
      </c>
      <c r="F1822" s="8" t="s">
        <v>378</v>
      </c>
      <c r="G1822" s="8" t="s">
        <v>3252</v>
      </c>
      <c r="H1822" s="10">
        <v>6</v>
      </c>
      <c r="I1822" s="10"/>
      <c r="J1822" s="10">
        <v>6</v>
      </c>
      <c r="K1822" s="10">
        <v>127.2</v>
      </c>
    </row>
    <row r="1823" spans="1:11" x14ac:dyDescent="0.25">
      <c r="A1823" s="8" t="s">
        <v>3254</v>
      </c>
      <c r="B1823" s="8" t="s">
        <v>120</v>
      </c>
      <c r="C1823" s="8" t="s">
        <v>3246</v>
      </c>
      <c r="D1823" s="8">
        <v>3</v>
      </c>
      <c r="E1823" s="8" t="s">
        <v>3255</v>
      </c>
      <c r="F1823" s="8" t="s">
        <v>378</v>
      </c>
      <c r="G1823" s="8" t="s">
        <v>3248</v>
      </c>
      <c r="H1823" s="10">
        <v>588</v>
      </c>
      <c r="I1823" s="10"/>
      <c r="J1823" s="10">
        <v>588</v>
      </c>
      <c r="K1823" s="10">
        <v>52.6</v>
      </c>
    </row>
    <row r="1824" spans="1:11" x14ac:dyDescent="0.25">
      <c r="A1824" s="8" t="s">
        <v>3256</v>
      </c>
      <c r="B1824" s="8" t="s">
        <v>122</v>
      </c>
      <c r="C1824" s="8" t="s">
        <v>3246</v>
      </c>
      <c r="D1824" s="8">
        <v>3</v>
      </c>
      <c r="E1824" s="8" t="s">
        <v>3255</v>
      </c>
      <c r="F1824" s="8" t="s">
        <v>378</v>
      </c>
      <c r="G1824" s="8" t="s">
        <v>3248</v>
      </c>
      <c r="H1824" s="10">
        <v>396</v>
      </c>
      <c r="I1824" s="10"/>
      <c r="J1824" s="10">
        <v>396</v>
      </c>
      <c r="K1824" s="10">
        <v>52.6</v>
      </c>
    </row>
    <row r="1825" spans="1:11" x14ac:dyDescent="0.25">
      <c r="A1825" s="8" t="s">
        <v>3257</v>
      </c>
      <c r="B1825" s="8" t="s">
        <v>124</v>
      </c>
      <c r="C1825" s="8" t="s">
        <v>3246</v>
      </c>
      <c r="D1825" s="8">
        <v>3</v>
      </c>
      <c r="E1825" s="8" t="s">
        <v>3255</v>
      </c>
      <c r="F1825" s="8" t="s">
        <v>378</v>
      </c>
      <c r="G1825" s="8" t="s">
        <v>3248</v>
      </c>
      <c r="H1825" s="10">
        <v>594</v>
      </c>
      <c r="I1825" s="10"/>
      <c r="J1825" s="10">
        <v>594</v>
      </c>
      <c r="K1825" s="10">
        <v>52.6</v>
      </c>
    </row>
    <row r="1826" spans="1:11" x14ac:dyDescent="0.25">
      <c r="A1826" s="8" t="s">
        <v>3258</v>
      </c>
      <c r="B1826" s="8" t="s">
        <v>134</v>
      </c>
      <c r="C1826" s="8" t="s">
        <v>3246</v>
      </c>
      <c r="D1826" s="8">
        <v>3</v>
      </c>
      <c r="E1826" s="8" t="s">
        <v>3255</v>
      </c>
      <c r="F1826" s="8" t="s">
        <v>378</v>
      </c>
      <c r="G1826" s="8" t="s">
        <v>3248</v>
      </c>
      <c r="H1826" s="10">
        <v>1974</v>
      </c>
      <c r="I1826" s="10"/>
      <c r="J1826" s="10">
        <v>1974</v>
      </c>
      <c r="K1826" s="10">
        <v>52.6</v>
      </c>
    </row>
    <row r="1827" spans="1:11" x14ac:dyDescent="0.25">
      <c r="A1827" s="8" t="s">
        <v>3259</v>
      </c>
      <c r="B1827" s="8" t="s">
        <v>128</v>
      </c>
      <c r="C1827" s="8" t="s">
        <v>3246</v>
      </c>
      <c r="D1827" s="8">
        <v>3</v>
      </c>
      <c r="E1827" s="8" t="s">
        <v>3260</v>
      </c>
      <c r="F1827" s="8" t="s">
        <v>378</v>
      </c>
      <c r="G1827" s="8" t="s">
        <v>3248</v>
      </c>
      <c r="H1827" s="10">
        <v>48</v>
      </c>
      <c r="I1827" s="10"/>
      <c r="J1827" s="10">
        <v>48</v>
      </c>
      <c r="K1827" s="10">
        <v>99.45</v>
      </c>
    </row>
    <row r="1828" spans="1:11" x14ac:dyDescent="0.25">
      <c r="A1828" s="8" t="s">
        <v>3261</v>
      </c>
      <c r="B1828" s="8" t="s">
        <v>134</v>
      </c>
      <c r="C1828" s="8" t="s">
        <v>3246</v>
      </c>
      <c r="D1828" s="8">
        <v>3</v>
      </c>
      <c r="E1828" s="8" t="s">
        <v>3260</v>
      </c>
      <c r="F1828" s="8" t="s">
        <v>378</v>
      </c>
      <c r="G1828" s="8" t="s">
        <v>3248</v>
      </c>
      <c r="H1828" s="10">
        <v>42</v>
      </c>
      <c r="I1828" s="10"/>
      <c r="J1828" s="10">
        <v>42</v>
      </c>
      <c r="K1828" s="10">
        <v>99.45</v>
      </c>
    </row>
    <row r="1829" spans="1:11" x14ac:dyDescent="0.25">
      <c r="A1829" s="8" t="s">
        <v>3262</v>
      </c>
      <c r="B1829" s="8" t="s">
        <v>2627</v>
      </c>
      <c r="C1829" s="8" t="s">
        <v>3246</v>
      </c>
      <c r="D1829" s="8">
        <v>3</v>
      </c>
      <c r="E1829" s="8" t="s">
        <v>3260</v>
      </c>
      <c r="F1829" s="8" t="s">
        <v>378</v>
      </c>
      <c r="G1829" s="8" t="s">
        <v>3248</v>
      </c>
      <c r="H1829" s="10">
        <v>186</v>
      </c>
      <c r="I1829" s="10"/>
      <c r="J1829" s="10">
        <v>186</v>
      </c>
      <c r="K1829" s="10">
        <v>99.45</v>
      </c>
    </row>
    <row r="1830" spans="1:11" x14ac:dyDescent="0.25">
      <c r="A1830" s="8" t="s">
        <v>3263</v>
      </c>
      <c r="B1830" s="8" t="s">
        <v>124</v>
      </c>
      <c r="C1830" s="8" t="s">
        <v>3059</v>
      </c>
      <c r="D1830" s="8">
        <v>5</v>
      </c>
      <c r="E1830" s="8" t="s">
        <v>3264</v>
      </c>
      <c r="F1830" s="8" t="s">
        <v>378</v>
      </c>
      <c r="G1830" s="8" t="s">
        <v>3061</v>
      </c>
      <c r="H1830" s="10">
        <v>6</v>
      </c>
      <c r="I1830" s="10"/>
      <c r="J1830" s="10">
        <v>6</v>
      </c>
      <c r="K1830" s="10">
        <v>2799.34</v>
      </c>
    </row>
    <row r="1831" spans="1:11" x14ac:dyDescent="0.25">
      <c r="A1831" s="8" t="s">
        <v>3265</v>
      </c>
      <c r="B1831" s="8" t="s">
        <v>78</v>
      </c>
      <c r="C1831" s="8" t="s">
        <v>3059</v>
      </c>
      <c r="D1831" s="8">
        <v>5</v>
      </c>
      <c r="E1831" s="8" t="s">
        <v>3266</v>
      </c>
      <c r="F1831" s="8" t="s">
        <v>378</v>
      </c>
      <c r="G1831" s="8" t="s">
        <v>3061</v>
      </c>
      <c r="H1831" s="10">
        <v>12</v>
      </c>
      <c r="I1831" s="10"/>
      <c r="J1831" s="10">
        <v>12</v>
      </c>
      <c r="K1831" s="10">
        <v>2995.37</v>
      </c>
    </row>
    <row r="1832" spans="1:11" x14ac:dyDescent="0.25">
      <c r="A1832" s="8" t="s">
        <v>3267</v>
      </c>
      <c r="B1832" s="8" t="s">
        <v>80</v>
      </c>
      <c r="C1832" s="8" t="s">
        <v>3059</v>
      </c>
      <c r="D1832" s="8">
        <v>5</v>
      </c>
      <c r="E1832" s="8" t="s">
        <v>3266</v>
      </c>
      <c r="F1832" s="8" t="s">
        <v>378</v>
      </c>
      <c r="G1832" s="8" t="s">
        <v>3061</v>
      </c>
      <c r="H1832" s="10">
        <v>6</v>
      </c>
      <c r="I1832" s="10"/>
      <c r="J1832" s="10">
        <v>6</v>
      </c>
      <c r="K1832" s="10">
        <v>2995.37</v>
      </c>
    </row>
    <row r="1833" spans="1:11" x14ac:dyDescent="0.25">
      <c r="A1833" s="8" t="s">
        <v>3268</v>
      </c>
      <c r="B1833" s="8" t="s">
        <v>72</v>
      </c>
      <c r="C1833" s="8" t="s">
        <v>3059</v>
      </c>
      <c r="D1833" s="8">
        <v>5</v>
      </c>
      <c r="E1833" s="8" t="s">
        <v>3269</v>
      </c>
      <c r="F1833" s="8" t="s">
        <v>378</v>
      </c>
      <c r="G1833" s="8" t="s">
        <v>3061</v>
      </c>
      <c r="H1833" s="10">
        <v>42</v>
      </c>
      <c r="I1833" s="10"/>
      <c r="J1833" s="10">
        <v>42</v>
      </c>
      <c r="K1833" s="10">
        <v>3306.51</v>
      </c>
    </row>
    <row r="1834" spans="1:11" x14ac:dyDescent="0.25">
      <c r="A1834" s="8" t="s">
        <v>3270</v>
      </c>
      <c r="B1834" s="8" t="s">
        <v>120</v>
      </c>
      <c r="C1834" s="8" t="s">
        <v>3059</v>
      </c>
      <c r="D1834" s="8">
        <v>5</v>
      </c>
      <c r="E1834" s="8" t="s">
        <v>3269</v>
      </c>
      <c r="F1834" s="8" t="s">
        <v>378</v>
      </c>
      <c r="G1834" s="8" t="s">
        <v>3061</v>
      </c>
      <c r="H1834" s="10">
        <v>102</v>
      </c>
      <c r="I1834" s="10"/>
      <c r="J1834" s="10">
        <v>102</v>
      </c>
      <c r="K1834" s="10">
        <v>3306.51</v>
      </c>
    </row>
    <row r="1835" spans="1:11" x14ac:dyDescent="0.25">
      <c r="A1835" s="8" t="s">
        <v>3271</v>
      </c>
      <c r="B1835" s="8" t="s">
        <v>122</v>
      </c>
      <c r="C1835" s="8" t="s">
        <v>3059</v>
      </c>
      <c r="D1835" s="8">
        <v>5</v>
      </c>
      <c r="E1835" s="8" t="s">
        <v>3269</v>
      </c>
      <c r="F1835" s="8" t="s">
        <v>378</v>
      </c>
      <c r="G1835" s="8" t="s">
        <v>3061</v>
      </c>
      <c r="H1835" s="10">
        <v>114</v>
      </c>
      <c r="I1835" s="10"/>
      <c r="J1835" s="10">
        <v>114</v>
      </c>
      <c r="K1835" s="10">
        <v>4711.63</v>
      </c>
    </row>
    <row r="1836" spans="1:11" x14ac:dyDescent="0.25">
      <c r="A1836" s="8" t="s">
        <v>3272</v>
      </c>
      <c r="B1836" s="8" t="s">
        <v>78</v>
      </c>
      <c r="C1836" s="8" t="s">
        <v>3059</v>
      </c>
      <c r="D1836" s="8">
        <v>5</v>
      </c>
      <c r="E1836" s="8" t="s">
        <v>3269</v>
      </c>
      <c r="F1836" s="8" t="s">
        <v>378</v>
      </c>
      <c r="G1836" s="8" t="s">
        <v>3061</v>
      </c>
      <c r="H1836" s="10">
        <v>12</v>
      </c>
      <c r="I1836" s="10"/>
      <c r="J1836" s="10">
        <v>12</v>
      </c>
      <c r="K1836" s="10">
        <v>3245.77</v>
      </c>
    </row>
    <row r="1837" spans="1:11" x14ac:dyDescent="0.25">
      <c r="A1837" s="8" t="s">
        <v>3273</v>
      </c>
      <c r="B1837" s="8" t="s">
        <v>80</v>
      </c>
      <c r="C1837" s="8" t="s">
        <v>3059</v>
      </c>
      <c r="D1837" s="8">
        <v>5</v>
      </c>
      <c r="E1837" s="8" t="s">
        <v>3269</v>
      </c>
      <c r="F1837" s="8" t="s">
        <v>378</v>
      </c>
      <c r="G1837" s="8" t="s">
        <v>3061</v>
      </c>
      <c r="H1837" s="10">
        <v>24</v>
      </c>
      <c r="I1837" s="10"/>
      <c r="J1837" s="10">
        <v>24</v>
      </c>
      <c r="K1837" s="10">
        <v>3245.77</v>
      </c>
    </row>
    <row r="1838" spans="1:11" x14ac:dyDescent="0.25">
      <c r="A1838" s="8" t="s">
        <v>3274</v>
      </c>
      <c r="B1838" s="8" t="s">
        <v>80</v>
      </c>
      <c r="C1838" s="8" t="s">
        <v>3059</v>
      </c>
      <c r="D1838" s="8">
        <v>5</v>
      </c>
      <c r="E1838" s="8" t="s">
        <v>3275</v>
      </c>
      <c r="F1838" s="8" t="s">
        <v>378</v>
      </c>
      <c r="G1838" s="8" t="s">
        <v>3061</v>
      </c>
      <c r="H1838" s="10">
        <v>60</v>
      </c>
      <c r="I1838" s="10"/>
      <c r="J1838" s="10">
        <v>60</v>
      </c>
      <c r="K1838" s="10">
        <v>3871.92</v>
      </c>
    </row>
    <row r="1839" spans="1:11" x14ac:dyDescent="0.25">
      <c r="A1839" s="8" t="s">
        <v>3276</v>
      </c>
      <c r="B1839" s="8" t="s">
        <v>72</v>
      </c>
      <c r="C1839" s="8" t="s">
        <v>3059</v>
      </c>
      <c r="D1839" s="8">
        <v>5</v>
      </c>
      <c r="E1839" s="8" t="s">
        <v>3277</v>
      </c>
      <c r="F1839" s="8" t="s">
        <v>378</v>
      </c>
      <c r="G1839" s="8" t="s">
        <v>3061</v>
      </c>
      <c r="H1839" s="10">
        <v>534</v>
      </c>
      <c r="I1839" s="10"/>
      <c r="J1839" s="10">
        <v>534</v>
      </c>
      <c r="K1839" s="10">
        <v>4583.95</v>
      </c>
    </row>
    <row r="1840" spans="1:11" x14ac:dyDescent="0.25">
      <c r="A1840" s="8" t="s">
        <v>3278</v>
      </c>
      <c r="B1840" s="8" t="s">
        <v>122</v>
      </c>
      <c r="C1840" s="8" t="s">
        <v>3059</v>
      </c>
      <c r="D1840" s="8">
        <v>5</v>
      </c>
      <c r="E1840" s="8" t="s">
        <v>3277</v>
      </c>
      <c r="F1840" s="8" t="s">
        <v>378</v>
      </c>
      <c r="G1840" s="8" t="s">
        <v>3061</v>
      </c>
      <c r="H1840" s="10">
        <v>24</v>
      </c>
      <c r="I1840" s="10"/>
      <c r="J1840" s="10">
        <v>24</v>
      </c>
      <c r="K1840" s="10">
        <v>4320.43</v>
      </c>
    </row>
    <row r="1841" spans="1:11" x14ac:dyDescent="0.25">
      <c r="A1841" s="8" t="s">
        <v>3279</v>
      </c>
      <c r="B1841" s="8" t="s">
        <v>2627</v>
      </c>
      <c r="C1841" s="8" t="s">
        <v>3059</v>
      </c>
      <c r="D1841" s="8">
        <v>5</v>
      </c>
      <c r="E1841" s="8" t="s">
        <v>3277</v>
      </c>
      <c r="F1841" s="8" t="s">
        <v>378</v>
      </c>
      <c r="G1841" s="8" t="s">
        <v>3061</v>
      </c>
      <c r="H1841" s="10">
        <v>36</v>
      </c>
      <c r="I1841" s="10"/>
      <c r="J1841" s="10">
        <v>36</v>
      </c>
      <c r="K1841" s="10">
        <v>4320.43</v>
      </c>
    </row>
    <row r="1842" spans="1:11" x14ac:dyDescent="0.25">
      <c r="A1842" s="8" t="s">
        <v>3280</v>
      </c>
      <c r="B1842" s="8" t="s">
        <v>80</v>
      </c>
      <c r="C1842" s="8" t="s">
        <v>3059</v>
      </c>
      <c r="D1842" s="8">
        <v>5</v>
      </c>
      <c r="E1842" s="8" t="s">
        <v>3277</v>
      </c>
      <c r="F1842" s="8" t="s">
        <v>378</v>
      </c>
      <c r="G1842" s="8" t="s">
        <v>3061</v>
      </c>
      <c r="H1842" s="10">
        <v>42</v>
      </c>
      <c r="I1842" s="10"/>
      <c r="J1842" s="10">
        <v>42</v>
      </c>
      <c r="K1842" s="10">
        <v>4320.43</v>
      </c>
    </row>
    <row r="1843" spans="1:11" x14ac:dyDescent="0.25">
      <c r="A1843" s="8" t="s">
        <v>3281</v>
      </c>
      <c r="B1843" s="8" t="s">
        <v>120</v>
      </c>
      <c r="C1843" s="8" t="s">
        <v>3059</v>
      </c>
      <c r="D1843" s="8">
        <v>5</v>
      </c>
      <c r="E1843" s="8" t="s">
        <v>3282</v>
      </c>
      <c r="F1843" s="8" t="s">
        <v>378</v>
      </c>
      <c r="G1843" s="8" t="s">
        <v>3061</v>
      </c>
      <c r="H1843" s="10">
        <v>120</v>
      </c>
      <c r="I1843" s="10"/>
      <c r="J1843" s="10">
        <v>120</v>
      </c>
      <c r="K1843" s="10">
        <v>1712.19</v>
      </c>
    </row>
    <row r="1844" spans="1:11" x14ac:dyDescent="0.25">
      <c r="A1844" s="8" t="s">
        <v>3283</v>
      </c>
      <c r="B1844" s="8" t="s">
        <v>120</v>
      </c>
      <c r="C1844" s="8" t="s">
        <v>3059</v>
      </c>
      <c r="D1844" s="8">
        <v>5</v>
      </c>
      <c r="E1844" s="8" t="s">
        <v>3284</v>
      </c>
      <c r="F1844" s="8" t="s">
        <v>378</v>
      </c>
      <c r="G1844" s="8" t="s">
        <v>3061</v>
      </c>
      <c r="H1844" s="10">
        <v>6</v>
      </c>
      <c r="I1844" s="10"/>
      <c r="J1844" s="10">
        <v>6</v>
      </c>
      <c r="K1844" s="10">
        <v>2040.97</v>
      </c>
    </row>
    <row r="1845" spans="1:11" x14ac:dyDescent="0.25">
      <c r="A1845" s="8" t="s">
        <v>3285</v>
      </c>
      <c r="B1845" s="8" t="s">
        <v>120</v>
      </c>
      <c r="C1845" s="8" t="s">
        <v>3059</v>
      </c>
      <c r="D1845" s="8">
        <v>5</v>
      </c>
      <c r="E1845" s="8" t="s">
        <v>3286</v>
      </c>
      <c r="F1845" s="8" t="s">
        <v>378</v>
      </c>
      <c r="G1845" s="8" t="s">
        <v>3061</v>
      </c>
      <c r="H1845" s="10">
        <v>24</v>
      </c>
      <c r="I1845" s="10"/>
      <c r="J1845" s="10">
        <v>24</v>
      </c>
      <c r="K1845" s="10">
        <v>2171.14</v>
      </c>
    </row>
    <row r="1846" spans="1:11" x14ac:dyDescent="0.25">
      <c r="A1846" s="8" t="s">
        <v>3287</v>
      </c>
      <c r="B1846" s="8" t="s">
        <v>136</v>
      </c>
      <c r="C1846" s="8" t="s">
        <v>3004</v>
      </c>
      <c r="D1846" s="8">
        <v>6</v>
      </c>
      <c r="E1846" s="8" t="s">
        <v>3288</v>
      </c>
      <c r="F1846" s="8" t="s">
        <v>378</v>
      </c>
      <c r="G1846" s="8" t="s">
        <v>3006</v>
      </c>
      <c r="H1846" s="10">
        <v>42</v>
      </c>
      <c r="I1846" s="10"/>
      <c r="J1846" s="10">
        <v>42</v>
      </c>
      <c r="K1846" s="10">
        <v>528.75</v>
      </c>
    </row>
    <row r="1847" spans="1:11" x14ac:dyDescent="0.25">
      <c r="A1847" s="8" t="s">
        <v>3289</v>
      </c>
      <c r="B1847" s="8" t="s">
        <v>72</v>
      </c>
      <c r="C1847" s="8" t="s">
        <v>3004</v>
      </c>
      <c r="D1847" s="8">
        <v>6</v>
      </c>
      <c r="E1847" s="8" t="s">
        <v>3290</v>
      </c>
      <c r="F1847" s="8" t="s">
        <v>378</v>
      </c>
      <c r="G1847" s="8" t="s">
        <v>3006</v>
      </c>
      <c r="H1847" s="10">
        <v>2130</v>
      </c>
      <c r="I1847" s="10"/>
      <c r="J1847" s="10">
        <v>2130</v>
      </c>
      <c r="K1847" s="10">
        <v>553.54999999999995</v>
      </c>
    </row>
    <row r="1848" spans="1:11" x14ac:dyDescent="0.25">
      <c r="A1848" s="8" t="s">
        <v>3291</v>
      </c>
      <c r="B1848" s="8" t="s">
        <v>122</v>
      </c>
      <c r="C1848" s="8" t="s">
        <v>3004</v>
      </c>
      <c r="D1848" s="8">
        <v>6</v>
      </c>
      <c r="E1848" s="8" t="s">
        <v>3290</v>
      </c>
      <c r="F1848" s="8" t="s">
        <v>378</v>
      </c>
      <c r="G1848" s="8" t="s">
        <v>3006</v>
      </c>
      <c r="H1848" s="10">
        <v>222</v>
      </c>
      <c r="I1848" s="10"/>
      <c r="J1848" s="10">
        <v>222</v>
      </c>
      <c r="K1848" s="10">
        <v>553.54999999999995</v>
      </c>
    </row>
    <row r="1849" spans="1:11" x14ac:dyDescent="0.25">
      <c r="A1849" s="8" t="s">
        <v>3292</v>
      </c>
      <c r="B1849" s="8" t="s">
        <v>124</v>
      </c>
      <c r="C1849" s="8" t="s">
        <v>3004</v>
      </c>
      <c r="D1849" s="8">
        <v>6</v>
      </c>
      <c r="E1849" s="8" t="s">
        <v>3290</v>
      </c>
      <c r="F1849" s="8" t="s">
        <v>378</v>
      </c>
      <c r="G1849" s="8" t="s">
        <v>3006</v>
      </c>
      <c r="H1849" s="10">
        <v>588</v>
      </c>
      <c r="I1849" s="10"/>
      <c r="J1849" s="10">
        <v>588</v>
      </c>
      <c r="K1849" s="10">
        <v>553.54999999999995</v>
      </c>
    </row>
    <row r="1850" spans="1:11" x14ac:dyDescent="0.25">
      <c r="A1850" s="8" t="s">
        <v>3293</v>
      </c>
      <c r="B1850" s="8" t="s">
        <v>78</v>
      </c>
      <c r="C1850" s="8" t="s">
        <v>3004</v>
      </c>
      <c r="D1850" s="8">
        <v>6</v>
      </c>
      <c r="E1850" s="8" t="s">
        <v>3290</v>
      </c>
      <c r="F1850" s="8" t="s">
        <v>378</v>
      </c>
      <c r="G1850" s="8" t="s">
        <v>3006</v>
      </c>
      <c r="H1850" s="10">
        <v>186</v>
      </c>
      <c r="I1850" s="10"/>
      <c r="J1850" s="10">
        <v>186</v>
      </c>
      <c r="K1850" s="10">
        <v>553.54999999999995</v>
      </c>
    </row>
    <row r="1851" spans="1:11" x14ac:dyDescent="0.25">
      <c r="A1851" s="8" t="s">
        <v>3294</v>
      </c>
      <c r="B1851" s="8" t="s">
        <v>128</v>
      </c>
      <c r="C1851" s="8" t="s">
        <v>3004</v>
      </c>
      <c r="D1851" s="8">
        <v>6</v>
      </c>
      <c r="E1851" s="8" t="s">
        <v>3290</v>
      </c>
      <c r="F1851" s="8" t="s">
        <v>378</v>
      </c>
      <c r="G1851" s="8" t="s">
        <v>3006</v>
      </c>
      <c r="H1851" s="10">
        <v>150</v>
      </c>
      <c r="I1851" s="10"/>
      <c r="J1851" s="10">
        <v>150</v>
      </c>
      <c r="K1851" s="10">
        <v>553.54999999999995</v>
      </c>
    </row>
    <row r="1852" spans="1:11" x14ac:dyDescent="0.25">
      <c r="A1852" s="8" t="s">
        <v>3295</v>
      </c>
      <c r="B1852" s="8" t="s">
        <v>134</v>
      </c>
      <c r="C1852" s="8" t="s">
        <v>3004</v>
      </c>
      <c r="D1852" s="8">
        <v>6</v>
      </c>
      <c r="E1852" s="8" t="s">
        <v>3290</v>
      </c>
      <c r="F1852" s="8" t="s">
        <v>378</v>
      </c>
      <c r="G1852" s="8" t="s">
        <v>3006</v>
      </c>
      <c r="H1852" s="10">
        <v>360</v>
      </c>
      <c r="I1852" s="10"/>
      <c r="J1852" s="10">
        <v>360</v>
      </c>
      <c r="K1852" s="10">
        <v>553.54999999999995</v>
      </c>
    </row>
    <row r="1853" spans="1:11" x14ac:dyDescent="0.25">
      <c r="A1853" s="8" t="s">
        <v>3296</v>
      </c>
      <c r="B1853" s="8" t="s">
        <v>2627</v>
      </c>
      <c r="C1853" s="8" t="s">
        <v>3004</v>
      </c>
      <c r="D1853" s="8">
        <v>6</v>
      </c>
      <c r="E1853" s="8" t="s">
        <v>3290</v>
      </c>
      <c r="F1853" s="8" t="s">
        <v>378</v>
      </c>
      <c r="G1853" s="8" t="s">
        <v>3006</v>
      </c>
      <c r="H1853" s="10">
        <v>768</v>
      </c>
      <c r="I1853" s="10"/>
      <c r="J1853" s="10">
        <v>768</v>
      </c>
      <c r="K1853" s="10">
        <v>553.54999999999995</v>
      </c>
    </row>
    <row r="1854" spans="1:11" x14ac:dyDescent="0.25">
      <c r="A1854" s="8" t="s">
        <v>3297</v>
      </c>
      <c r="B1854" s="8" t="s">
        <v>118</v>
      </c>
      <c r="C1854" s="8" t="s">
        <v>3251</v>
      </c>
      <c r="D1854" s="8">
        <v>4</v>
      </c>
      <c r="E1854" s="8" t="s">
        <v>3298</v>
      </c>
      <c r="F1854" s="8" t="s">
        <v>378</v>
      </c>
      <c r="G1854" s="8" t="s">
        <v>3299</v>
      </c>
      <c r="H1854" s="10">
        <v>450</v>
      </c>
      <c r="I1854" s="10"/>
      <c r="J1854" s="10">
        <v>450</v>
      </c>
      <c r="K1854" s="10">
        <v>187.47</v>
      </c>
    </row>
    <row r="1855" spans="1:11" x14ac:dyDescent="0.25">
      <c r="A1855" s="8" t="s">
        <v>3300</v>
      </c>
      <c r="B1855" s="8" t="s">
        <v>120</v>
      </c>
      <c r="C1855" s="8" t="s">
        <v>3251</v>
      </c>
      <c r="D1855" s="8">
        <v>4</v>
      </c>
      <c r="E1855" s="8" t="s">
        <v>3298</v>
      </c>
      <c r="F1855" s="8" t="s">
        <v>378</v>
      </c>
      <c r="G1855" s="8" t="s">
        <v>3299</v>
      </c>
      <c r="H1855" s="10">
        <v>300</v>
      </c>
      <c r="I1855" s="10"/>
      <c r="J1855" s="10">
        <v>300</v>
      </c>
      <c r="K1855" s="10">
        <v>187.47</v>
      </c>
    </row>
    <row r="1856" spans="1:11" x14ac:dyDescent="0.25">
      <c r="A1856" s="8" t="s">
        <v>3301</v>
      </c>
      <c r="B1856" s="8" t="s">
        <v>132</v>
      </c>
      <c r="C1856" s="8" t="s">
        <v>3251</v>
      </c>
      <c r="D1856" s="8">
        <v>4</v>
      </c>
      <c r="E1856" s="8" t="s">
        <v>3298</v>
      </c>
      <c r="F1856" s="8" t="s">
        <v>378</v>
      </c>
      <c r="G1856" s="8" t="s">
        <v>3299</v>
      </c>
      <c r="H1856" s="10">
        <v>160</v>
      </c>
      <c r="I1856" s="10"/>
      <c r="J1856" s="10">
        <v>160</v>
      </c>
      <c r="K1856" s="10">
        <v>187.47</v>
      </c>
    </row>
    <row r="1857" spans="1:11" x14ac:dyDescent="0.25">
      <c r="A1857" s="8" t="s">
        <v>3302</v>
      </c>
      <c r="B1857" s="8" t="s">
        <v>134</v>
      </c>
      <c r="C1857" s="8" t="s">
        <v>3251</v>
      </c>
      <c r="D1857" s="8">
        <v>4</v>
      </c>
      <c r="E1857" s="8" t="s">
        <v>3298</v>
      </c>
      <c r="F1857" s="8" t="s">
        <v>378</v>
      </c>
      <c r="G1857" s="8" t="s">
        <v>3299</v>
      </c>
      <c r="H1857" s="10">
        <v>30</v>
      </c>
      <c r="I1857" s="10"/>
      <c r="J1857" s="10">
        <v>30</v>
      </c>
      <c r="K1857" s="10">
        <v>187.47</v>
      </c>
    </row>
    <row r="1858" spans="1:11" x14ac:dyDescent="0.25">
      <c r="A1858" s="8" t="s">
        <v>3303</v>
      </c>
      <c r="B1858" s="8" t="s">
        <v>136</v>
      </c>
      <c r="C1858" s="8" t="s">
        <v>3251</v>
      </c>
      <c r="D1858" s="8">
        <v>4</v>
      </c>
      <c r="E1858" s="8" t="s">
        <v>3298</v>
      </c>
      <c r="F1858" s="8" t="s">
        <v>378</v>
      </c>
      <c r="G1858" s="8" t="s">
        <v>3299</v>
      </c>
      <c r="H1858" s="10">
        <v>80</v>
      </c>
      <c r="I1858" s="10"/>
      <c r="J1858" s="10">
        <v>80</v>
      </c>
      <c r="K1858" s="10">
        <v>187.47</v>
      </c>
    </row>
    <row r="1859" spans="1:11" x14ac:dyDescent="0.25">
      <c r="A1859" s="8" t="s">
        <v>3304</v>
      </c>
      <c r="B1859" s="8" t="s">
        <v>118</v>
      </c>
      <c r="C1859" s="8" t="s">
        <v>3251</v>
      </c>
      <c r="D1859" s="8">
        <v>4</v>
      </c>
      <c r="E1859" s="8" t="s">
        <v>3305</v>
      </c>
      <c r="F1859" s="8" t="s">
        <v>378</v>
      </c>
      <c r="G1859" s="8" t="s">
        <v>3299</v>
      </c>
      <c r="H1859" s="10">
        <v>150</v>
      </c>
      <c r="I1859" s="10"/>
      <c r="J1859" s="10">
        <v>150</v>
      </c>
      <c r="K1859" s="10">
        <v>202.3</v>
      </c>
    </row>
    <row r="1860" spans="1:11" x14ac:dyDescent="0.25">
      <c r="A1860" s="8" t="s">
        <v>3306</v>
      </c>
      <c r="B1860" s="8" t="s">
        <v>120</v>
      </c>
      <c r="C1860" s="8" t="s">
        <v>3251</v>
      </c>
      <c r="D1860" s="8">
        <v>4</v>
      </c>
      <c r="E1860" s="8" t="s">
        <v>3305</v>
      </c>
      <c r="F1860" s="8" t="s">
        <v>378</v>
      </c>
      <c r="G1860" s="8" t="s">
        <v>3299</v>
      </c>
      <c r="H1860" s="10">
        <v>60</v>
      </c>
      <c r="I1860" s="10"/>
      <c r="J1860" s="10">
        <v>60</v>
      </c>
      <c r="K1860" s="10">
        <v>202.3</v>
      </c>
    </row>
    <row r="1861" spans="1:11" x14ac:dyDescent="0.25">
      <c r="A1861" s="8" t="s">
        <v>3307</v>
      </c>
      <c r="B1861" s="8" t="s">
        <v>136</v>
      </c>
      <c r="C1861" s="8" t="s">
        <v>3251</v>
      </c>
      <c r="D1861" s="8">
        <v>4</v>
      </c>
      <c r="E1861" s="8" t="s">
        <v>3305</v>
      </c>
      <c r="F1861" s="8" t="s">
        <v>378</v>
      </c>
      <c r="G1861" s="8" t="s">
        <v>3299</v>
      </c>
      <c r="H1861" s="10">
        <v>60</v>
      </c>
      <c r="I1861" s="10"/>
      <c r="J1861" s="10">
        <v>60</v>
      </c>
      <c r="K1861" s="10">
        <v>202.3</v>
      </c>
    </row>
    <row r="1862" spans="1:11" x14ac:dyDescent="0.25">
      <c r="A1862" s="8" t="s">
        <v>3308</v>
      </c>
      <c r="B1862" s="8" t="s">
        <v>120</v>
      </c>
      <c r="C1862" s="8" t="s">
        <v>3251</v>
      </c>
      <c r="D1862" s="8">
        <v>4</v>
      </c>
      <c r="E1862" s="8" t="s">
        <v>3309</v>
      </c>
      <c r="F1862" s="8" t="s">
        <v>378</v>
      </c>
      <c r="G1862" s="8" t="s">
        <v>3299</v>
      </c>
      <c r="H1862" s="10">
        <v>370</v>
      </c>
      <c r="I1862" s="10"/>
      <c r="J1862" s="10">
        <v>370</v>
      </c>
      <c r="K1862" s="10">
        <v>435.47</v>
      </c>
    </row>
    <row r="1863" spans="1:11" x14ac:dyDescent="0.25">
      <c r="A1863" s="8" t="s">
        <v>3310</v>
      </c>
      <c r="B1863" s="8" t="s">
        <v>118</v>
      </c>
      <c r="C1863" s="8" t="s">
        <v>3311</v>
      </c>
      <c r="D1863" s="8">
        <v>5</v>
      </c>
      <c r="E1863" s="8" t="s">
        <v>3312</v>
      </c>
      <c r="F1863" s="8" t="s">
        <v>215</v>
      </c>
      <c r="G1863" s="8" t="s">
        <v>3313</v>
      </c>
      <c r="H1863" s="10">
        <v>5</v>
      </c>
      <c r="I1863" s="10"/>
      <c r="J1863" s="10">
        <v>5</v>
      </c>
      <c r="K1863" s="10">
        <v>1205.05</v>
      </c>
    </row>
    <row r="1864" spans="1:11" x14ac:dyDescent="0.25">
      <c r="A1864" s="8" t="s">
        <v>3314</v>
      </c>
      <c r="B1864" s="8" t="s">
        <v>120</v>
      </c>
      <c r="C1864" s="8" t="s">
        <v>3311</v>
      </c>
      <c r="D1864" s="8">
        <v>5</v>
      </c>
      <c r="E1864" s="8" t="s">
        <v>3312</v>
      </c>
      <c r="F1864" s="8" t="s">
        <v>215</v>
      </c>
      <c r="G1864" s="8" t="s">
        <v>3313</v>
      </c>
      <c r="H1864" s="10">
        <v>10</v>
      </c>
      <c r="I1864" s="10"/>
      <c r="J1864" s="10">
        <v>10</v>
      </c>
      <c r="K1864" s="10">
        <v>1205.05</v>
      </c>
    </row>
    <row r="1865" spans="1:11" x14ac:dyDescent="0.25">
      <c r="A1865" s="8" t="s">
        <v>3315</v>
      </c>
      <c r="B1865" s="8" t="s">
        <v>124</v>
      </c>
      <c r="C1865" s="8" t="s">
        <v>3311</v>
      </c>
      <c r="D1865" s="8">
        <v>5</v>
      </c>
      <c r="E1865" s="8" t="s">
        <v>3312</v>
      </c>
      <c r="F1865" s="8" t="s">
        <v>215</v>
      </c>
      <c r="G1865" s="8" t="s">
        <v>3313</v>
      </c>
      <c r="H1865" s="10">
        <v>1</v>
      </c>
      <c r="I1865" s="10"/>
      <c r="J1865" s="10">
        <v>1</v>
      </c>
      <c r="K1865" s="10">
        <v>1205.05</v>
      </c>
    </row>
    <row r="1866" spans="1:11" x14ac:dyDescent="0.25">
      <c r="A1866" s="8" t="s">
        <v>3316</v>
      </c>
      <c r="B1866" s="8" t="s">
        <v>78</v>
      </c>
      <c r="C1866" s="8" t="s">
        <v>3311</v>
      </c>
      <c r="D1866" s="8">
        <v>5</v>
      </c>
      <c r="E1866" s="8" t="s">
        <v>3312</v>
      </c>
      <c r="F1866" s="8" t="s">
        <v>215</v>
      </c>
      <c r="G1866" s="8" t="s">
        <v>3313</v>
      </c>
      <c r="H1866" s="10">
        <v>6</v>
      </c>
      <c r="I1866" s="10"/>
      <c r="J1866" s="10">
        <v>6</v>
      </c>
      <c r="K1866" s="10">
        <v>1205.05</v>
      </c>
    </row>
    <row r="1867" spans="1:11" x14ac:dyDescent="0.25">
      <c r="A1867" s="8" t="s">
        <v>3317</v>
      </c>
      <c r="B1867" s="8" t="s">
        <v>136</v>
      </c>
      <c r="C1867" s="8" t="s">
        <v>3311</v>
      </c>
      <c r="D1867" s="8">
        <v>5</v>
      </c>
      <c r="E1867" s="8" t="s">
        <v>3312</v>
      </c>
      <c r="F1867" s="8" t="s">
        <v>215</v>
      </c>
      <c r="G1867" s="8" t="s">
        <v>3313</v>
      </c>
      <c r="H1867" s="10">
        <v>5</v>
      </c>
      <c r="I1867" s="10"/>
      <c r="J1867" s="10">
        <v>5</v>
      </c>
      <c r="K1867" s="10">
        <v>1205.05</v>
      </c>
    </row>
    <row r="1868" spans="1:11" x14ac:dyDescent="0.25">
      <c r="A1868" s="8" t="s">
        <v>3318</v>
      </c>
      <c r="B1868" s="8" t="s">
        <v>120</v>
      </c>
      <c r="C1868" s="8" t="s">
        <v>3311</v>
      </c>
      <c r="D1868" s="8">
        <v>5</v>
      </c>
      <c r="E1868" s="8" t="s">
        <v>3319</v>
      </c>
      <c r="F1868" s="8" t="s">
        <v>215</v>
      </c>
      <c r="G1868" s="8" t="s">
        <v>3313</v>
      </c>
      <c r="H1868" s="10">
        <v>9</v>
      </c>
      <c r="I1868" s="10"/>
      <c r="J1868" s="10">
        <v>9</v>
      </c>
      <c r="K1868" s="10">
        <v>1405.02</v>
      </c>
    </row>
    <row r="1869" spans="1:11" x14ac:dyDescent="0.25">
      <c r="A1869" s="8" t="s">
        <v>3320</v>
      </c>
      <c r="B1869" s="8" t="s">
        <v>120</v>
      </c>
      <c r="C1869" s="8" t="s">
        <v>3311</v>
      </c>
      <c r="D1869" s="8">
        <v>5</v>
      </c>
      <c r="E1869" s="8" t="s">
        <v>3321</v>
      </c>
      <c r="F1869" s="8" t="s">
        <v>215</v>
      </c>
      <c r="G1869" s="8" t="s">
        <v>3313</v>
      </c>
      <c r="H1869" s="10">
        <v>6</v>
      </c>
      <c r="I1869" s="10"/>
      <c r="J1869" s="10">
        <v>6</v>
      </c>
      <c r="K1869" s="10">
        <v>1604.99</v>
      </c>
    </row>
    <row r="1870" spans="1:11" x14ac:dyDescent="0.25">
      <c r="A1870" s="8" t="s">
        <v>3322</v>
      </c>
      <c r="B1870" s="8" t="s">
        <v>78</v>
      </c>
      <c r="C1870" s="8" t="s">
        <v>3311</v>
      </c>
      <c r="D1870" s="8">
        <v>5</v>
      </c>
      <c r="E1870" s="8" t="s">
        <v>3321</v>
      </c>
      <c r="F1870" s="8" t="s">
        <v>215</v>
      </c>
      <c r="G1870" s="8" t="s">
        <v>3313</v>
      </c>
      <c r="H1870" s="10">
        <v>1</v>
      </c>
      <c r="I1870" s="10"/>
      <c r="J1870" s="10">
        <v>1</v>
      </c>
      <c r="K1870" s="10">
        <v>1604.99</v>
      </c>
    </row>
    <row r="1871" spans="1:11" x14ac:dyDescent="0.25">
      <c r="A1871" s="8" t="s">
        <v>3323</v>
      </c>
      <c r="B1871" s="8" t="s">
        <v>120</v>
      </c>
      <c r="C1871" s="8" t="s">
        <v>3311</v>
      </c>
      <c r="D1871" s="8">
        <v>5</v>
      </c>
      <c r="E1871" s="8" t="s">
        <v>3324</v>
      </c>
      <c r="F1871" s="8" t="s">
        <v>215</v>
      </c>
      <c r="G1871" s="8" t="s">
        <v>3313</v>
      </c>
      <c r="H1871" s="10">
        <v>3</v>
      </c>
      <c r="I1871" s="10"/>
      <c r="J1871" s="10">
        <v>3</v>
      </c>
      <c r="K1871" s="10">
        <v>1949.65</v>
      </c>
    </row>
    <row r="1872" spans="1:11" x14ac:dyDescent="0.25">
      <c r="A1872" s="8" t="s">
        <v>3325</v>
      </c>
      <c r="B1872" s="8" t="s">
        <v>80</v>
      </c>
      <c r="C1872" s="8" t="s">
        <v>3311</v>
      </c>
      <c r="D1872" s="8">
        <v>5</v>
      </c>
      <c r="E1872" s="8" t="s">
        <v>3326</v>
      </c>
      <c r="F1872" s="8" t="s">
        <v>215</v>
      </c>
      <c r="G1872" s="8" t="s">
        <v>3313</v>
      </c>
      <c r="H1872" s="10">
        <v>2</v>
      </c>
      <c r="I1872" s="10"/>
      <c r="J1872" s="10">
        <v>2</v>
      </c>
      <c r="K1872" s="10">
        <v>2860.02</v>
      </c>
    </row>
    <row r="1873" spans="1:11" x14ac:dyDescent="0.25">
      <c r="A1873" s="8" t="s">
        <v>3327</v>
      </c>
      <c r="B1873" s="8" t="s">
        <v>80</v>
      </c>
      <c r="C1873" s="8" t="s">
        <v>3311</v>
      </c>
      <c r="D1873" s="8">
        <v>5</v>
      </c>
      <c r="E1873" s="8" t="s">
        <v>3328</v>
      </c>
      <c r="F1873" s="8" t="s">
        <v>215</v>
      </c>
      <c r="G1873" s="8" t="s">
        <v>3313</v>
      </c>
      <c r="H1873" s="10">
        <v>3</v>
      </c>
      <c r="I1873" s="10"/>
      <c r="J1873" s="10">
        <v>3</v>
      </c>
      <c r="K1873" s="10">
        <v>3467.8</v>
      </c>
    </row>
    <row r="1874" spans="1:11" x14ac:dyDescent="0.25">
      <c r="A1874" s="8" t="s">
        <v>3329</v>
      </c>
      <c r="B1874" s="8" t="s">
        <v>80</v>
      </c>
      <c r="C1874" s="8" t="s">
        <v>3311</v>
      </c>
      <c r="D1874" s="8">
        <v>5</v>
      </c>
      <c r="E1874" s="8" t="s">
        <v>3330</v>
      </c>
      <c r="F1874" s="8" t="s">
        <v>215</v>
      </c>
      <c r="G1874" s="8" t="s">
        <v>3313</v>
      </c>
      <c r="H1874" s="10">
        <v>3</v>
      </c>
      <c r="I1874" s="10"/>
      <c r="J1874" s="10">
        <v>3</v>
      </c>
      <c r="K1874" s="10">
        <v>3467.8</v>
      </c>
    </row>
    <row r="1875" spans="1:11" x14ac:dyDescent="0.25">
      <c r="A1875" s="8" t="s">
        <v>3331</v>
      </c>
      <c r="B1875" s="8" t="s">
        <v>263</v>
      </c>
      <c r="C1875" s="8" t="s">
        <v>3332</v>
      </c>
      <c r="D1875" s="8">
        <v>5</v>
      </c>
      <c r="E1875" s="8" t="s">
        <v>3333</v>
      </c>
      <c r="F1875" s="8" t="s">
        <v>460</v>
      </c>
      <c r="G1875" s="8" t="s">
        <v>3334</v>
      </c>
      <c r="H1875" s="10">
        <v>8</v>
      </c>
      <c r="I1875" s="10"/>
      <c r="J1875" s="10">
        <v>8</v>
      </c>
      <c r="K1875" s="10">
        <v>13345.28</v>
      </c>
    </row>
    <row r="1876" spans="1:11" x14ac:dyDescent="0.25">
      <c r="A1876" s="8" t="s">
        <v>3335</v>
      </c>
      <c r="B1876" s="8" t="s">
        <v>269</v>
      </c>
      <c r="C1876" s="8" t="s">
        <v>3332</v>
      </c>
      <c r="D1876" s="8">
        <v>5</v>
      </c>
      <c r="E1876" s="8" t="s">
        <v>3333</v>
      </c>
      <c r="F1876" s="8" t="s">
        <v>460</v>
      </c>
      <c r="G1876" s="8" t="s">
        <v>3334</v>
      </c>
      <c r="H1876" s="10">
        <v>8</v>
      </c>
      <c r="I1876" s="10"/>
      <c r="J1876" s="10">
        <v>8</v>
      </c>
      <c r="K1876" s="10">
        <v>13345.28</v>
      </c>
    </row>
    <row r="1877" spans="1:11" x14ac:dyDescent="0.25">
      <c r="A1877" s="8" t="s">
        <v>3336</v>
      </c>
      <c r="B1877" s="8" t="s">
        <v>120</v>
      </c>
      <c r="C1877" s="8" t="s">
        <v>3311</v>
      </c>
      <c r="D1877" s="8">
        <v>5</v>
      </c>
      <c r="E1877" s="8" t="s">
        <v>3337</v>
      </c>
      <c r="F1877" s="8" t="s">
        <v>215</v>
      </c>
      <c r="G1877" s="8" t="s">
        <v>3313</v>
      </c>
      <c r="H1877" s="10">
        <v>2</v>
      </c>
      <c r="I1877" s="10"/>
      <c r="J1877" s="10">
        <v>2</v>
      </c>
      <c r="K1877" s="10">
        <v>1205.05</v>
      </c>
    </row>
    <row r="1878" spans="1:11" x14ac:dyDescent="0.25">
      <c r="A1878" s="8" t="s">
        <v>3338</v>
      </c>
      <c r="B1878" s="8" t="s">
        <v>80</v>
      </c>
      <c r="C1878" s="8" t="s">
        <v>3311</v>
      </c>
      <c r="D1878" s="8">
        <v>5</v>
      </c>
      <c r="E1878" s="8" t="s">
        <v>3339</v>
      </c>
      <c r="F1878" s="8" t="s">
        <v>215</v>
      </c>
      <c r="G1878" s="8" t="s">
        <v>3313</v>
      </c>
      <c r="H1878" s="10">
        <v>2</v>
      </c>
      <c r="I1878" s="10"/>
      <c r="J1878" s="10">
        <v>2</v>
      </c>
      <c r="K1878" s="10">
        <v>2241.6999999999998</v>
      </c>
    </row>
    <row r="1879" spans="1:11" x14ac:dyDescent="0.25">
      <c r="A1879" s="8" t="s">
        <v>3340</v>
      </c>
      <c r="B1879" s="8" t="s">
        <v>80</v>
      </c>
      <c r="C1879" s="8" t="s">
        <v>3311</v>
      </c>
      <c r="D1879" s="8">
        <v>5</v>
      </c>
      <c r="E1879" s="8" t="s">
        <v>3341</v>
      </c>
      <c r="F1879" s="8" t="s">
        <v>215</v>
      </c>
      <c r="G1879" s="8" t="s">
        <v>3313</v>
      </c>
      <c r="H1879" s="10">
        <v>3</v>
      </c>
      <c r="I1879" s="10"/>
      <c r="J1879" s="10">
        <v>3</v>
      </c>
      <c r="K1879" s="10">
        <v>2860.02</v>
      </c>
    </row>
    <row r="1880" spans="1:11" x14ac:dyDescent="0.25">
      <c r="A1880" s="8" t="s">
        <v>3342</v>
      </c>
      <c r="B1880" s="8" t="s">
        <v>124</v>
      </c>
      <c r="C1880" s="8" t="s">
        <v>3311</v>
      </c>
      <c r="D1880" s="8">
        <v>5</v>
      </c>
      <c r="E1880" s="8" t="s">
        <v>3343</v>
      </c>
      <c r="F1880" s="8" t="s">
        <v>215</v>
      </c>
      <c r="G1880" s="8" t="s">
        <v>3313</v>
      </c>
      <c r="H1880" s="10">
        <v>2</v>
      </c>
      <c r="I1880" s="10"/>
      <c r="J1880" s="10">
        <v>2</v>
      </c>
      <c r="K1880" s="10">
        <v>1205.05</v>
      </c>
    </row>
    <row r="1881" spans="1:11" x14ac:dyDescent="0.25">
      <c r="A1881" s="8" t="s">
        <v>3344</v>
      </c>
      <c r="B1881" s="8" t="s">
        <v>128</v>
      </c>
      <c r="C1881" s="8" t="s">
        <v>3311</v>
      </c>
      <c r="D1881" s="8">
        <v>5</v>
      </c>
      <c r="E1881" s="8" t="s">
        <v>3343</v>
      </c>
      <c r="F1881" s="8" t="s">
        <v>215</v>
      </c>
      <c r="G1881" s="8" t="s">
        <v>3313</v>
      </c>
      <c r="H1881" s="10">
        <v>1</v>
      </c>
      <c r="I1881" s="10"/>
      <c r="J1881" s="10">
        <v>1</v>
      </c>
      <c r="K1881" s="10">
        <v>1205.05</v>
      </c>
    </row>
    <row r="1882" spans="1:11" x14ac:dyDescent="0.25">
      <c r="A1882" s="8" t="s">
        <v>3345</v>
      </c>
      <c r="B1882" s="8" t="s">
        <v>124</v>
      </c>
      <c r="C1882" s="8" t="s">
        <v>3311</v>
      </c>
      <c r="D1882" s="8">
        <v>5</v>
      </c>
      <c r="E1882" s="8" t="s">
        <v>3346</v>
      </c>
      <c r="F1882" s="8" t="s">
        <v>215</v>
      </c>
      <c r="G1882" s="8" t="s">
        <v>3313</v>
      </c>
      <c r="H1882" s="10">
        <v>4</v>
      </c>
      <c r="I1882" s="10"/>
      <c r="J1882" s="10">
        <v>4</v>
      </c>
      <c r="K1882" s="10">
        <v>1405.02</v>
      </c>
    </row>
    <row r="1883" spans="1:11" x14ac:dyDescent="0.25">
      <c r="A1883" s="8" t="s">
        <v>3347</v>
      </c>
      <c r="B1883" s="8" t="s">
        <v>128</v>
      </c>
      <c r="C1883" s="8" t="s">
        <v>3311</v>
      </c>
      <c r="D1883" s="8">
        <v>5</v>
      </c>
      <c r="E1883" s="8" t="s">
        <v>3346</v>
      </c>
      <c r="F1883" s="8" t="s">
        <v>215</v>
      </c>
      <c r="G1883" s="8" t="s">
        <v>3313</v>
      </c>
      <c r="H1883" s="10">
        <v>1</v>
      </c>
      <c r="I1883" s="10"/>
      <c r="J1883" s="10">
        <v>1</v>
      </c>
      <c r="K1883" s="10">
        <v>1405.02</v>
      </c>
    </row>
    <row r="1884" spans="1:11" x14ac:dyDescent="0.25">
      <c r="A1884" s="8" t="s">
        <v>3348</v>
      </c>
      <c r="B1884" s="8" t="s">
        <v>124</v>
      </c>
      <c r="C1884" s="8" t="s">
        <v>3311</v>
      </c>
      <c r="D1884" s="8">
        <v>5</v>
      </c>
      <c r="E1884" s="8" t="s">
        <v>3349</v>
      </c>
      <c r="F1884" s="8" t="s">
        <v>215</v>
      </c>
      <c r="G1884" s="8" t="s">
        <v>3313</v>
      </c>
      <c r="H1884" s="10">
        <v>8</v>
      </c>
      <c r="I1884" s="10"/>
      <c r="J1884" s="10">
        <v>8</v>
      </c>
      <c r="K1884" s="10">
        <v>1604.99</v>
      </c>
    </row>
    <row r="1885" spans="1:11" x14ac:dyDescent="0.25">
      <c r="A1885" s="8" t="s">
        <v>3350</v>
      </c>
      <c r="B1885" s="8" t="s">
        <v>124</v>
      </c>
      <c r="C1885" s="8" t="s">
        <v>3311</v>
      </c>
      <c r="D1885" s="8">
        <v>5</v>
      </c>
      <c r="E1885" s="8" t="s">
        <v>3351</v>
      </c>
      <c r="F1885" s="8" t="s">
        <v>215</v>
      </c>
      <c r="G1885" s="8" t="s">
        <v>3313</v>
      </c>
      <c r="H1885" s="10">
        <v>2</v>
      </c>
      <c r="I1885" s="10"/>
      <c r="J1885" s="10">
        <v>2</v>
      </c>
      <c r="K1885" s="10">
        <v>1405.02</v>
      </c>
    </row>
    <row r="1886" spans="1:11" x14ac:dyDescent="0.25">
      <c r="A1886" s="8" t="s">
        <v>3352</v>
      </c>
      <c r="B1886" s="8" t="s">
        <v>124</v>
      </c>
      <c r="C1886" s="8" t="s">
        <v>3311</v>
      </c>
      <c r="D1886" s="8">
        <v>5</v>
      </c>
      <c r="E1886" s="8" t="s">
        <v>3353</v>
      </c>
      <c r="F1886" s="8" t="s">
        <v>215</v>
      </c>
      <c r="G1886" s="8" t="s">
        <v>3313</v>
      </c>
      <c r="H1886" s="10">
        <v>2</v>
      </c>
      <c r="I1886" s="10"/>
      <c r="J1886" s="10">
        <v>2</v>
      </c>
      <c r="K1886" s="10">
        <v>1604.99</v>
      </c>
    </row>
    <row r="1887" spans="1:11" x14ac:dyDescent="0.25">
      <c r="A1887" s="8" t="s">
        <v>3354</v>
      </c>
      <c r="B1887" s="8" t="s">
        <v>124</v>
      </c>
      <c r="C1887" s="8" t="s">
        <v>3311</v>
      </c>
      <c r="D1887" s="8">
        <v>5</v>
      </c>
      <c r="E1887" s="8" t="s">
        <v>3355</v>
      </c>
      <c r="F1887" s="8" t="s">
        <v>215</v>
      </c>
      <c r="G1887" s="8" t="s">
        <v>3313</v>
      </c>
      <c r="H1887" s="10">
        <v>4</v>
      </c>
      <c r="I1887" s="10"/>
      <c r="J1887" s="10">
        <v>4</v>
      </c>
      <c r="K1887" s="10">
        <v>1949.65</v>
      </c>
    </row>
    <row r="1888" spans="1:11" x14ac:dyDescent="0.25">
      <c r="A1888" s="8" t="s">
        <v>3356</v>
      </c>
      <c r="B1888" s="8" t="s">
        <v>78</v>
      </c>
      <c r="C1888" s="8" t="s">
        <v>3311</v>
      </c>
      <c r="D1888" s="8">
        <v>5</v>
      </c>
      <c r="E1888" s="8" t="s">
        <v>3357</v>
      </c>
      <c r="F1888" s="8" t="s">
        <v>215</v>
      </c>
      <c r="G1888" s="8" t="s">
        <v>3313</v>
      </c>
      <c r="H1888" s="10">
        <v>2</v>
      </c>
      <c r="I1888" s="10"/>
      <c r="J1888" s="10">
        <v>2</v>
      </c>
      <c r="K1888" s="10">
        <v>2578.48</v>
      </c>
    </row>
    <row r="1889" spans="1:11" x14ac:dyDescent="0.25">
      <c r="A1889" s="8" t="s">
        <v>3358</v>
      </c>
      <c r="B1889" s="8" t="s">
        <v>78</v>
      </c>
      <c r="C1889" s="8" t="s">
        <v>3311</v>
      </c>
      <c r="D1889" s="8">
        <v>5</v>
      </c>
      <c r="E1889" s="8" t="s">
        <v>3359</v>
      </c>
      <c r="F1889" s="8" t="s">
        <v>215</v>
      </c>
      <c r="G1889" s="8" t="s">
        <v>3313</v>
      </c>
      <c r="H1889" s="10">
        <v>2</v>
      </c>
      <c r="I1889" s="10"/>
      <c r="J1889" s="10">
        <v>2</v>
      </c>
      <c r="K1889" s="10">
        <v>2686.36</v>
      </c>
    </row>
    <row r="1890" spans="1:11" x14ac:dyDescent="0.25">
      <c r="A1890" s="8" t="s">
        <v>3360</v>
      </c>
      <c r="B1890" s="8" t="s">
        <v>1650</v>
      </c>
      <c r="C1890" s="8" t="s">
        <v>3361</v>
      </c>
      <c r="D1890" s="8">
        <v>4</v>
      </c>
      <c r="E1890" s="8" t="s">
        <v>3362</v>
      </c>
      <c r="F1890" s="8" t="s">
        <v>378</v>
      </c>
      <c r="G1890" s="8" t="s">
        <v>3363</v>
      </c>
      <c r="H1890" s="10">
        <v>40</v>
      </c>
      <c r="I1890" s="10"/>
      <c r="J1890" s="10">
        <v>40</v>
      </c>
      <c r="K1890" s="10">
        <v>15.29</v>
      </c>
    </row>
    <row r="1891" spans="1:11" x14ac:dyDescent="0.25">
      <c r="A1891" s="8" t="s">
        <v>3364</v>
      </c>
      <c r="B1891" s="8" t="s">
        <v>120</v>
      </c>
      <c r="C1891" s="8" t="s">
        <v>3361</v>
      </c>
      <c r="D1891" s="8">
        <v>4</v>
      </c>
      <c r="E1891" s="8" t="s">
        <v>3362</v>
      </c>
      <c r="F1891" s="8" t="s">
        <v>378</v>
      </c>
      <c r="G1891" s="8" t="s">
        <v>3363</v>
      </c>
      <c r="H1891" s="10">
        <v>250</v>
      </c>
      <c r="I1891" s="10"/>
      <c r="J1891" s="10">
        <v>250</v>
      </c>
      <c r="K1891" s="10">
        <v>15.29</v>
      </c>
    </row>
    <row r="1892" spans="1:11" x14ac:dyDescent="0.25">
      <c r="A1892" s="8" t="s">
        <v>3365</v>
      </c>
      <c r="B1892" s="8" t="s">
        <v>1655</v>
      </c>
      <c r="C1892" s="8" t="s">
        <v>3361</v>
      </c>
      <c r="D1892" s="8">
        <v>4</v>
      </c>
      <c r="E1892" s="8" t="s">
        <v>3362</v>
      </c>
      <c r="F1892" s="8" t="s">
        <v>378</v>
      </c>
      <c r="G1892" s="8" t="s">
        <v>3363</v>
      </c>
      <c r="H1892" s="10">
        <v>50</v>
      </c>
      <c r="I1892" s="10"/>
      <c r="J1892" s="10">
        <v>50</v>
      </c>
      <c r="K1892" s="10">
        <v>15.29</v>
      </c>
    </row>
    <row r="1893" spans="1:11" x14ac:dyDescent="0.25">
      <c r="A1893" s="8" t="s">
        <v>3366</v>
      </c>
      <c r="B1893" s="8" t="s">
        <v>1650</v>
      </c>
      <c r="C1893" s="8" t="s">
        <v>3361</v>
      </c>
      <c r="D1893" s="8">
        <v>4</v>
      </c>
      <c r="E1893" s="8" t="s">
        <v>3367</v>
      </c>
      <c r="F1893" s="8" t="s">
        <v>378</v>
      </c>
      <c r="G1893" s="8" t="s">
        <v>3363</v>
      </c>
      <c r="H1893" s="10">
        <v>670</v>
      </c>
      <c r="I1893" s="10"/>
      <c r="J1893" s="10">
        <v>670</v>
      </c>
      <c r="K1893" s="10">
        <v>19.11</v>
      </c>
    </row>
    <row r="1894" spans="1:11" x14ac:dyDescent="0.25">
      <c r="A1894" s="8" t="s">
        <v>3368</v>
      </c>
      <c r="B1894" s="8" t="s">
        <v>120</v>
      </c>
      <c r="C1894" s="8" t="s">
        <v>3361</v>
      </c>
      <c r="D1894" s="8">
        <v>4</v>
      </c>
      <c r="E1894" s="8" t="s">
        <v>3367</v>
      </c>
      <c r="F1894" s="8" t="s">
        <v>378</v>
      </c>
      <c r="G1894" s="8" t="s">
        <v>3363</v>
      </c>
      <c r="H1894" s="10">
        <v>1020</v>
      </c>
      <c r="I1894" s="10"/>
      <c r="J1894" s="10">
        <v>1020</v>
      </c>
      <c r="K1894" s="10">
        <v>19.11</v>
      </c>
    </row>
    <row r="1895" spans="1:11" x14ac:dyDescent="0.25">
      <c r="A1895" s="8" t="s">
        <v>3369</v>
      </c>
      <c r="B1895" s="8" t="s">
        <v>120</v>
      </c>
      <c r="C1895" s="8" t="s">
        <v>3361</v>
      </c>
      <c r="D1895" s="8">
        <v>4</v>
      </c>
      <c r="E1895" s="8" t="s">
        <v>3370</v>
      </c>
      <c r="F1895" s="8" t="s">
        <v>378</v>
      </c>
      <c r="G1895" s="8" t="s">
        <v>3363</v>
      </c>
      <c r="H1895" s="10">
        <v>990</v>
      </c>
      <c r="I1895" s="10"/>
      <c r="J1895" s="10">
        <v>990</v>
      </c>
      <c r="K1895" s="10">
        <v>19.11</v>
      </c>
    </row>
    <row r="1896" spans="1:11" x14ac:dyDescent="0.25">
      <c r="A1896" s="8" t="s">
        <v>3371</v>
      </c>
      <c r="B1896" s="8" t="s">
        <v>1655</v>
      </c>
      <c r="C1896" s="8" t="s">
        <v>3361</v>
      </c>
      <c r="D1896" s="8">
        <v>4</v>
      </c>
      <c r="E1896" s="8" t="s">
        <v>3370</v>
      </c>
      <c r="F1896" s="8" t="s">
        <v>378</v>
      </c>
      <c r="G1896" s="8" t="s">
        <v>3363</v>
      </c>
      <c r="H1896" s="10">
        <v>120</v>
      </c>
      <c r="I1896" s="10"/>
      <c r="J1896" s="10">
        <v>120</v>
      </c>
      <c r="K1896" s="10">
        <v>19.11</v>
      </c>
    </row>
    <row r="1897" spans="1:11" x14ac:dyDescent="0.25">
      <c r="A1897" s="8" t="s">
        <v>3372</v>
      </c>
      <c r="B1897" s="8" t="s">
        <v>120</v>
      </c>
      <c r="C1897" s="8" t="s">
        <v>3361</v>
      </c>
      <c r="D1897" s="8">
        <v>4</v>
      </c>
      <c r="E1897" s="8" t="s">
        <v>3373</v>
      </c>
      <c r="F1897" s="8" t="s">
        <v>378</v>
      </c>
      <c r="G1897" s="8" t="s">
        <v>3363</v>
      </c>
      <c r="H1897" s="10">
        <v>7845</v>
      </c>
      <c r="I1897" s="10"/>
      <c r="J1897" s="10">
        <v>7845</v>
      </c>
      <c r="K1897" s="10">
        <v>22.94</v>
      </c>
    </row>
    <row r="1898" spans="1:11" x14ac:dyDescent="0.25">
      <c r="A1898" s="8" t="s">
        <v>3374</v>
      </c>
      <c r="B1898" s="8" t="s">
        <v>1655</v>
      </c>
      <c r="C1898" s="8" t="s">
        <v>3361</v>
      </c>
      <c r="D1898" s="8">
        <v>4</v>
      </c>
      <c r="E1898" s="8" t="s">
        <v>3373</v>
      </c>
      <c r="F1898" s="8" t="s">
        <v>378</v>
      </c>
      <c r="G1898" s="8" t="s">
        <v>3363</v>
      </c>
      <c r="H1898" s="10">
        <v>1000</v>
      </c>
      <c r="I1898" s="10"/>
      <c r="J1898" s="10">
        <v>1000</v>
      </c>
      <c r="K1898" s="10">
        <v>22.94</v>
      </c>
    </row>
    <row r="1899" spans="1:11" x14ac:dyDescent="0.25">
      <c r="A1899" s="8" t="s">
        <v>3375</v>
      </c>
      <c r="B1899" s="8" t="s">
        <v>3376</v>
      </c>
      <c r="C1899" s="8" t="s">
        <v>3361</v>
      </c>
      <c r="D1899" s="8">
        <v>4</v>
      </c>
      <c r="E1899" s="8" t="s">
        <v>3373</v>
      </c>
      <c r="F1899" s="8" t="s">
        <v>378</v>
      </c>
      <c r="G1899" s="8" t="s">
        <v>3363</v>
      </c>
      <c r="H1899" s="10">
        <v>100</v>
      </c>
      <c r="I1899" s="10"/>
      <c r="J1899" s="10">
        <v>100</v>
      </c>
      <c r="K1899" s="10">
        <v>22.94</v>
      </c>
    </row>
    <row r="1900" spans="1:11" x14ac:dyDescent="0.25">
      <c r="A1900" s="8" t="s">
        <v>3377</v>
      </c>
      <c r="B1900" s="8" t="s">
        <v>3378</v>
      </c>
      <c r="C1900" s="8" t="s">
        <v>3361</v>
      </c>
      <c r="D1900" s="8">
        <v>4</v>
      </c>
      <c r="E1900" s="8" t="s">
        <v>3373</v>
      </c>
      <c r="F1900" s="8" t="s">
        <v>378</v>
      </c>
      <c r="G1900" s="8" t="s">
        <v>3363</v>
      </c>
      <c r="H1900" s="10">
        <v>100</v>
      </c>
      <c r="I1900" s="10"/>
      <c r="J1900" s="10">
        <v>100</v>
      </c>
      <c r="K1900" s="10">
        <v>22.94</v>
      </c>
    </row>
    <row r="1901" spans="1:11" x14ac:dyDescent="0.25">
      <c r="A1901" s="8" t="s">
        <v>3379</v>
      </c>
      <c r="B1901" s="8" t="s">
        <v>2732</v>
      </c>
      <c r="C1901" s="8" t="s">
        <v>3361</v>
      </c>
      <c r="D1901" s="8">
        <v>4</v>
      </c>
      <c r="E1901" s="8" t="s">
        <v>3373</v>
      </c>
      <c r="F1901" s="8" t="s">
        <v>378</v>
      </c>
      <c r="G1901" s="8" t="s">
        <v>3363</v>
      </c>
      <c r="H1901" s="10">
        <v>100</v>
      </c>
      <c r="I1901" s="10"/>
      <c r="J1901" s="10">
        <v>100</v>
      </c>
      <c r="K1901" s="10">
        <v>22.94</v>
      </c>
    </row>
    <row r="1902" spans="1:11" x14ac:dyDescent="0.25">
      <c r="A1902" s="8" t="s">
        <v>3380</v>
      </c>
      <c r="B1902" s="8" t="s">
        <v>1650</v>
      </c>
      <c r="C1902" s="8" t="s">
        <v>3361</v>
      </c>
      <c r="D1902" s="8">
        <v>4</v>
      </c>
      <c r="E1902" s="8" t="s">
        <v>3381</v>
      </c>
      <c r="F1902" s="8" t="s">
        <v>378</v>
      </c>
      <c r="G1902" s="8" t="s">
        <v>3363</v>
      </c>
      <c r="H1902" s="10">
        <v>480</v>
      </c>
      <c r="I1902" s="10"/>
      <c r="J1902" s="10">
        <v>480</v>
      </c>
      <c r="K1902" s="10">
        <v>22.94</v>
      </c>
    </row>
    <row r="1903" spans="1:11" x14ac:dyDescent="0.25">
      <c r="A1903" s="8" t="s">
        <v>3382</v>
      </c>
      <c r="B1903" s="8" t="s">
        <v>120</v>
      </c>
      <c r="C1903" s="8" t="s">
        <v>3361</v>
      </c>
      <c r="D1903" s="8">
        <v>4</v>
      </c>
      <c r="E1903" s="8" t="s">
        <v>3381</v>
      </c>
      <c r="F1903" s="8" t="s">
        <v>378</v>
      </c>
      <c r="G1903" s="8" t="s">
        <v>3363</v>
      </c>
      <c r="H1903" s="10">
        <v>540</v>
      </c>
      <c r="I1903" s="10"/>
      <c r="J1903" s="10">
        <v>540</v>
      </c>
      <c r="K1903" s="10">
        <v>22.94</v>
      </c>
    </row>
    <row r="1904" spans="1:11" x14ac:dyDescent="0.25">
      <c r="A1904" s="8" t="s">
        <v>3383</v>
      </c>
      <c r="B1904" s="8" t="s">
        <v>1655</v>
      </c>
      <c r="C1904" s="8" t="s">
        <v>3361</v>
      </c>
      <c r="D1904" s="8">
        <v>4</v>
      </c>
      <c r="E1904" s="8" t="s">
        <v>3381</v>
      </c>
      <c r="F1904" s="8" t="s">
        <v>378</v>
      </c>
      <c r="G1904" s="8" t="s">
        <v>3363</v>
      </c>
      <c r="H1904" s="10">
        <v>1080</v>
      </c>
      <c r="I1904" s="10"/>
      <c r="J1904" s="10">
        <v>1080</v>
      </c>
      <c r="K1904" s="10">
        <v>22.94</v>
      </c>
    </row>
    <row r="1905" spans="1:11" x14ac:dyDescent="0.25">
      <c r="A1905" s="8" t="s">
        <v>3384</v>
      </c>
      <c r="B1905" s="8" t="s">
        <v>1650</v>
      </c>
      <c r="C1905" s="8" t="s">
        <v>3361</v>
      </c>
      <c r="D1905" s="8">
        <v>4</v>
      </c>
      <c r="E1905" s="8" t="s">
        <v>3385</v>
      </c>
      <c r="F1905" s="8" t="s">
        <v>378</v>
      </c>
      <c r="G1905" s="8" t="s">
        <v>3363</v>
      </c>
      <c r="H1905" s="10">
        <v>360</v>
      </c>
      <c r="I1905" s="10"/>
      <c r="J1905" s="10">
        <v>360</v>
      </c>
      <c r="K1905" s="10">
        <v>26.76</v>
      </c>
    </row>
    <row r="1906" spans="1:11" x14ac:dyDescent="0.25">
      <c r="A1906" s="8" t="s">
        <v>3386</v>
      </c>
      <c r="B1906" s="8" t="s">
        <v>120</v>
      </c>
      <c r="C1906" s="8" t="s">
        <v>3361</v>
      </c>
      <c r="D1906" s="8">
        <v>4</v>
      </c>
      <c r="E1906" s="8" t="s">
        <v>3385</v>
      </c>
      <c r="F1906" s="8" t="s">
        <v>378</v>
      </c>
      <c r="G1906" s="8" t="s">
        <v>3363</v>
      </c>
      <c r="H1906" s="10">
        <v>5655</v>
      </c>
      <c r="I1906" s="10"/>
      <c r="J1906" s="10">
        <v>5655</v>
      </c>
      <c r="K1906" s="10">
        <v>26.76</v>
      </c>
    </row>
    <row r="1907" spans="1:11" x14ac:dyDescent="0.25">
      <c r="A1907" s="8" t="s">
        <v>3387</v>
      </c>
      <c r="B1907" s="8" t="s">
        <v>1655</v>
      </c>
      <c r="C1907" s="8" t="s">
        <v>3361</v>
      </c>
      <c r="D1907" s="8">
        <v>4</v>
      </c>
      <c r="E1907" s="8" t="s">
        <v>3385</v>
      </c>
      <c r="F1907" s="8" t="s">
        <v>378</v>
      </c>
      <c r="G1907" s="8" t="s">
        <v>3363</v>
      </c>
      <c r="H1907" s="10">
        <v>1170</v>
      </c>
      <c r="I1907" s="10"/>
      <c r="J1907" s="10">
        <v>1170</v>
      </c>
      <c r="K1907" s="10">
        <v>26.76</v>
      </c>
    </row>
    <row r="1908" spans="1:11" x14ac:dyDescent="0.25">
      <c r="A1908" s="8" t="s">
        <v>3388</v>
      </c>
      <c r="B1908" s="8" t="s">
        <v>1655</v>
      </c>
      <c r="C1908" s="8" t="s">
        <v>3361</v>
      </c>
      <c r="D1908" s="8">
        <v>4</v>
      </c>
      <c r="E1908" s="8" t="s">
        <v>3389</v>
      </c>
      <c r="F1908" s="8" t="s">
        <v>378</v>
      </c>
      <c r="G1908" s="8" t="s">
        <v>3363</v>
      </c>
      <c r="H1908" s="10">
        <v>30</v>
      </c>
      <c r="I1908" s="10"/>
      <c r="J1908" s="10">
        <v>30</v>
      </c>
      <c r="K1908" s="10">
        <v>22.94</v>
      </c>
    </row>
    <row r="1909" spans="1:11" x14ac:dyDescent="0.25">
      <c r="A1909" s="8" t="s">
        <v>3390</v>
      </c>
      <c r="B1909" s="8" t="s">
        <v>1650</v>
      </c>
      <c r="C1909" s="8" t="s">
        <v>3391</v>
      </c>
      <c r="D1909" s="8">
        <v>5</v>
      </c>
      <c r="E1909" s="8" t="s">
        <v>3392</v>
      </c>
      <c r="F1909" s="8" t="s">
        <v>378</v>
      </c>
      <c r="G1909" s="8" t="s">
        <v>3393</v>
      </c>
      <c r="H1909" s="10">
        <v>4470</v>
      </c>
      <c r="I1909" s="10"/>
      <c r="J1909" s="10">
        <v>4470</v>
      </c>
      <c r="K1909" s="10">
        <v>22.84</v>
      </c>
    </row>
    <row r="1910" spans="1:11" x14ac:dyDescent="0.25">
      <c r="A1910" s="8" t="s">
        <v>3394</v>
      </c>
      <c r="B1910" s="8" t="s">
        <v>120</v>
      </c>
      <c r="C1910" s="8" t="s">
        <v>3391</v>
      </c>
      <c r="D1910" s="8">
        <v>5</v>
      </c>
      <c r="E1910" s="8" t="s">
        <v>3392</v>
      </c>
      <c r="F1910" s="8" t="s">
        <v>378</v>
      </c>
      <c r="G1910" s="8" t="s">
        <v>3393</v>
      </c>
      <c r="H1910" s="10">
        <v>6725</v>
      </c>
      <c r="I1910" s="10"/>
      <c r="J1910" s="10">
        <v>6725</v>
      </c>
      <c r="K1910" s="10">
        <v>22.84</v>
      </c>
    </row>
    <row r="1911" spans="1:11" x14ac:dyDescent="0.25">
      <c r="A1911" s="8" t="s">
        <v>3395</v>
      </c>
      <c r="B1911" s="8" t="s">
        <v>1655</v>
      </c>
      <c r="C1911" s="8" t="s">
        <v>3391</v>
      </c>
      <c r="D1911" s="8">
        <v>5</v>
      </c>
      <c r="E1911" s="8" t="s">
        <v>3392</v>
      </c>
      <c r="F1911" s="8" t="s">
        <v>378</v>
      </c>
      <c r="G1911" s="8" t="s">
        <v>3393</v>
      </c>
      <c r="H1911" s="10">
        <v>8155</v>
      </c>
      <c r="I1911" s="10"/>
      <c r="J1911" s="10">
        <v>8155</v>
      </c>
      <c r="K1911" s="10">
        <v>22.84</v>
      </c>
    </row>
    <row r="1912" spans="1:11" x14ac:dyDescent="0.25">
      <c r="A1912" s="8" t="s">
        <v>3396</v>
      </c>
      <c r="B1912" s="8" t="s">
        <v>1689</v>
      </c>
      <c r="C1912" s="8" t="s">
        <v>3391</v>
      </c>
      <c r="D1912" s="8">
        <v>5</v>
      </c>
      <c r="E1912" s="8" t="s">
        <v>3392</v>
      </c>
      <c r="F1912" s="8" t="s">
        <v>378</v>
      </c>
      <c r="G1912" s="8" t="s">
        <v>3393</v>
      </c>
      <c r="H1912" s="10">
        <v>200</v>
      </c>
      <c r="I1912" s="10"/>
      <c r="J1912" s="10">
        <v>200</v>
      </c>
      <c r="K1912" s="10">
        <v>22.84</v>
      </c>
    </row>
    <row r="1913" spans="1:11" x14ac:dyDescent="0.25">
      <c r="A1913" s="8" t="s">
        <v>3397</v>
      </c>
      <c r="B1913" s="8" t="s">
        <v>1650</v>
      </c>
      <c r="C1913" s="8" t="s">
        <v>3391</v>
      </c>
      <c r="D1913" s="8">
        <v>5</v>
      </c>
      <c r="E1913" s="8" t="s">
        <v>3398</v>
      </c>
      <c r="F1913" s="8" t="s">
        <v>378</v>
      </c>
      <c r="G1913" s="8" t="s">
        <v>3393</v>
      </c>
      <c r="H1913" s="10">
        <v>4550</v>
      </c>
      <c r="I1913" s="10"/>
      <c r="J1913" s="10">
        <v>4550</v>
      </c>
      <c r="K1913" s="10">
        <v>27.29</v>
      </c>
    </row>
    <row r="1914" spans="1:11" x14ac:dyDescent="0.25">
      <c r="A1914" s="8" t="s">
        <v>3399</v>
      </c>
      <c r="B1914" s="8" t="s">
        <v>120</v>
      </c>
      <c r="C1914" s="8" t="s">
        <v>3391</v>
      </c>
      <c r="D1914" s="8">
        <v>5</v>
      </c>
      <c r="E1914" s="8" t="s">
        <v>3398</v>
      </c>
      <c r="F1914" s="8" t="s">
        <v>378</v>
      </c>
      <c r="G1914" s="8" t="s">
        <v>3393</v>
      </c>
      <c r="H1914" s="10">
        <v>1635</v>
      </c>
      <c r="I1914" s="10"/>
      <c r="J1914" s="10">
        <v>1635</v>
      </c>
      <c r="K1914" s="10">
        <v>27.29</v>
      </c>
    </row>
    <row r="1915" spans="1:11" x14ac:dyDescent="0.25">
      <c r="A1915" s="8" t="s">
        <v>3400</v>
      </c>
      <c r="B1915" s="8" t="s">
        <v>1655</v>
      </c>
      <c r="C1915" s="8" t="s">
        <v>3391</v>
      </c>
      <c r="D1915" s="8">
        <v>5</v>
      </c>
      <c r="E1915" s="8" t="s">
        <v>3398</v>
      </c>
      <c r="F1915" s="8" t="s">
        <v>378</v>
      </c>
      <c r="G1915" s="8" t="s">
        <v>3393</v>
      </c>
      <c r="H1915" s="10">
        <v>2150</v>
      </c>
      <c r="I1915" s="10"/>
      <c r="J1915" s="10">
        <v>2150</v>
      </c>
      <c r="K1915" s="10">
        <v>27.29</v>
      </c>
    </row>
    <row r="1916" spans="1:11" x14ac:dyDescent="0.25">
      <c r="A1916" s="8" t="s">
        <v>3401</v>
      </c>
      <c r="B1916" s="8" t="s">
        <v>1689</v>
      </c>
      <c r="C1916" s="8" t="s">
        <v>3391</v>
      </c>
      <c r="D1916" s="8">
        <v>5</v>
      </c>
      <c r="E1916" s="8" t="s">
        <v>3398</v>
      </c>
      <c r="F1916" s="8" t="s">
        <v>378</v>
      </c>
      <c r="G1916" s="8" t="s">
        <v>3393</v>
      </c>
      <c r="H1916" s="10">
        <v>200</v>
      </c>
      <c r="I1916" s="10"/>
      <c r="J1916" s="10">
        <v>200</v>
      </c>
      <c r="K1916" s="10">
        <v>27.29</v>
      </c>
    </row>
    <row r="1917" spans="1:11" x14ac:dyDescent="0.25">
      <c r="A1917" s="8" t="s">
        <v>3402</v>
      </c>
      <c r="B1917" s="8" t="s">
        <v>1650</v>
      </c>
      <c r="C1917" s="8" t="s">
        <v>3391</v>
      </c>
      <c r="D1917" s="8">
        <v>5</v>
      </c>
      <c r="E1917" s="8" t="s">
        <v>3403</v>
      </c>
      <c r="F1917" s="8" t="s">
        <v>378</v>
      </c>
      <c r="G1917" s="8" t="s">
        <v>3393</v>
      </c>
      <c r="H1917" s="10">
        <v>1690</v>
      </c>
      <c r="I1917" s="10"/>
      <c r="J1917" s="10">
        <v>1690</v>
      </c>
      <c r="K1917" s="10">
        <v>32.130000000000003</v>
      </c>
    </row>
    <row r="1918" spans="1:11" x14ac:dyDescent="0.25">
      <c r="A1918" s="8" t="s">
        <v>3404</v>
      </c>
      <c r="B1918" s="8" t="s">
        <v>120</v>
      </c>
      <c r="C1918" s="8" t="s">
        <v>3391</v>
      </c>
      <c r="D1918" s="8">
        <v>5</v>
      </c>
      <c r="E1918" s="8" t="s">
        <v>3403</v>
      </c>
      <c r="F1918" s="8" t="s">
        <v>378</v>
      </c>
      <c r="G1918" s="8" t="s">
        <v>3393</v>
      </c>
      <c r="H1918" s="10">
        <v>2850</v>
      </c>
      <c r="I1918" s="10"/>
      <c r="J1918" s="10">
        <v>2850</v>
      </c>
      <c r="K1918" s="10">
        <v>32.130000000000003</v>
      </c>
    </row>
    <row r="1919" spans="1:11" x14ac:dyDescent="0.25">
      <c r="A1919" s="8" t="s">
        <v>3405</v>
      </c>
      <c r="B1919" s="8" t="s">
        <v>1655</v>
      </c>
      <c r="C1919" s="8" t="s">
        <v>3391</v>
      </c>
      <c r="D1919" s="8">
        <v>5</v>
      </c>
      <c r="E1919" s="8" t="s">
        <v>3403</v>
      </c>
      <c r="F1919" s="8" t="s">
        <v>378</v>
      </c>
      <c r="G1919" s="8" t="s">
        <v>3393</v>
      </c>
      <c r="H1919" s="10">
        <v>1955</v>
      </c>
      <c r="I1919" s="10"/>
      <c r="J1919" s="10">
        <v>1955</v>
      </c>
      <c r="K1919" s="10">
        <v>32.130000000000003</v>
      </c>
    </row>
    <row r="1920" spans="1:11" x14ac:dyDescent="0.25">
      <c r="A1920" s="8" t="s">
        <v>3406</v>
      </c>
      <c r="B1920" s="8" t="s">
        <v>1689</v>
      </c>
      <c r="C1920" s="8" t="s">
        <v>3391</v>
      </c>
      <c r="D1920" s="8">
        <v>5</v>
      </c>
      <c r="E1920" s="8" t="s">
        <v>3403</v>
      </c>
      <c r="F1920" s="8" t="s">
        <v>378</v>
      </c>
      <c r="G1920" s="8" t="s">
        <v>3393</v>
      </c>
      <c r="H1920" s="10">
        <v>200</v>
      </c>
      <c r="I1920" s="10"/>
      <c r="J1920" s="10">
        <v>200</v>
      </c>
      <c r="K1920" s="10">
        <v>32.130000000000003</v>
      </c>
    </row>
    <row r="1921" spans="1:11" x14ac:dyDescent="0.25">
      <c r="A1921" s="8" t="s">
        <v>3407</v>
      </c>
      <c r="B1921" s="8" t="s">
        <v>1650</v>
      </c>
      <c r="C1921" s="8" t="s">
        <v>3361</v>
      </c>
      <c r="D1921" s="8">
        <v>4</v>
      </c>
      <c r="E1921" s="8" t="s">
        <v>3408</v>
      </c>
      <c r="F1921" s="8" t="s">
        <v>378</v>
      </c>
      <c r="G1921" s="8" t="s">
        <v>3363</v>
      </c>
      <c r="H1921" s="10">
        <v>300</v>
      </c>
      <c r="I1921" s="10"/>
      <c r="J1921" s="10">
        <v>300</v>
      </c>
      <c r="K1921" s="10">
        <v>19.11</v>
      </c>
    </row>
    <row r="1922" spans="1:11" x14ac:dyDescent="0.25">
      <c r="A1922" s="8" t="s">
        <v>3409</v>
      </c>
      <c r="B1922" s="8" t="s">
        <v>120</v>
      </c>
      <c r="C1922" s="8" t="s">
        <v>3361</v>
      </c>
      <c r="D1922" s="8">
        <v>4</v>
      </c>
      <c r="E1922" s="8" t="s">
        <v>3408</v>
      </c>
      <c r="F1922" s="8" t="s">
        <v>378</v>
      </c>
      <c r="G1922" s="8" t="s">
        <v>3363</v>
      </c>
      <c r="H1922" s="10">
        <v>2050</v>
      </c>
      <c r="I1922" s="10"/>
      <c r="J1922" s="10">
        <v>2050</v>
      </c>
      <c r="K1922" s="10">
        <v>19.11</v>
      </c>
    </row>
    <row r="1923" spans="1:11" x14ac:dyDescent="0.25">
      <c r="A1923" s="8" t="s">
        <v>3410</v>
      </c>
      <c r="B1923" s="8" t="s">
        <v>1655</v>
      </c>
      <c r="C1923" s="8" t="s">
        <v>3361</v>
      </c>
      <c r="D1923" s="8">
        <v>4</v>
      </c>
      <c r="E1923" s="8" t="s">
        <v>3408</v>
      </c>
      <c r="F1923" s="8" t="s">
        <v>378</v>
      </c>
      <c r="G1923" s="8" t="s">
        <v>3363</v>
      </c>
      <c r="H1923" s="10">
        <v>140</v>
      </c>
      <c r="I1923" s="10"/>
      <c r="J1923" s="10">
        <v>140</v>
      </c>
      <c r="K1923" s="10">
        <v>19.11</v>
      </c>
    </row>
    <row r="1924" spans="1:11" x14ac:dyDescent="0.25">
      <c r="A1924" s="8" t="s">
        <v>3411</v>
      </c>
      <c r="B1924" s="8" t="s">
        <v>1650</v>
      </c>
      <c r="C1924" s="8" t="s">
        <v>3361</v>
      </c>
      <c r="D1924" s="8">
        <v>4</v>
      </c>
      <c r="E1924" s="8" t="s">
        <v>3412</v>
      </c>
      <c r="F1924" s="8" t="s">
        <v>378</v>
      </c>
      <c r="G1924" s="8" t="s">
        <v>3363</v>
      </c>
      <c r="H1924" s="10">
        <v>800</v>
      </c>
      <c r="I1924" s="10"/>
      <c r="J1924" s="10">
        <v>800</v>
      </c>
      <c r="K1924" s="10">
        <v>22.94</v>
      </c>
    </row>
    <row r="1925" spans="1:11" x14ac:dyDescent="0.25">
      <c r="A1925" s="8" t="s">
        <v>3413</v>
      </c>
      <c r="B1925" s="8" t="s">
        <v>120</v>
      </c>
      <c r="C1925" s="8" t="s">
        <v>3361</v>
      </c>
      <c r="D1925" s="8">
        <v>4</v>
      </c>
      <c r="E1925" s="8" t="s">
        <v>3412</v>
      </c>
      <c r="F1925" s="8" t="s">
        <v>378</v>
      </c>
      <c r="G1925" s="8" t="s">
        <v>3363</v>
      </c>
      <c r="H1925" s="10">
        <v>3570</v>
      </c>
      <c r="I1925" s="10"/>
      <c r="J1925" s="10">
        <v>3570</v>
      </c>
      <c r="K1925" s="10">
        <v>22.94</v>
      </c>
    </row>
    <row r="1926" spans="1:11" x14ac:dyDescent="0.25">
      <c r="A1926" s="8" t="s">
        <v>3414</v>
      </c>
      <c r="B1926" s="8" t="s">
        <v>1655</v>
      </c>
      <c r="C1926" s="8" t="s">
        <v>3361</v>
      </c>
      <c r="D1926" s="8">
        <v>4</v>
      </c>
      <c r="E1926" s="8" t="s">
        <v>3412</v>
      </c>
      <c r="F1926" s="8" t="s">
        <v>378</v>
      </c>
      <c r="G1926" s="8" t="s">
        <v>3363</v>
      </c>
      <c r="H1926" s="10">
        <v>1120</v>
      </c>
      <c r="I1926" s="10"/>
      <c r="J1926" s="10">
        <v>1120</v>
      </c>
      <c r="K1926" s="10">
        <v>22.94</v>
      </c>
    </row>
    <row r="1927" spans="1:11" x14ac:dyDescent="0.25">
      <c r="A1927" s="8" t="s">
        <v>3415</v>
      </c>
      <c r="B1927" s="8" t="s">
        <v>1650</v>
      </c>
      <c r="C1927" s="8" t="s">
        <v>3361</v>
      </c>
      <c r="D1927" s="8">
        <v>4</v>
      </c>
      <c r="E1927" s="8" t="s">
        <v>3416</v>
      </c>
      <c r="F1927" s="8" t="s">
        <v>378</v>
      </c>
      <c r="G1927" s="8" t="s">
        <v>3363</v>
      </c>
      <c r="H1927" s="10">
        <v>880</v>
      </c>
      <c r="I1927" s="10"/>
      <c r="J1927" s="10">
        <v>880</v>
      </c>
      <c r="K1927" s="10">
        <v>22.94</v>
      </c>
    </row>
    <row r="1928" spans="1:11" x14ac:dyDescent="0.25">
      <c r="A1928" s="8" t="s">
        <v>3417</v>
      </c>
      <c r="B1928" s="8" t="s">
        <v>120</v>
      </c>
      <c r="C1928" s="8" t="s">
        <v>3361</v>
      </c>
      <c r="D1928" s="8">
        <v>4</v>
      </c>
      <c r="E1928" s="8" t="s">
        <v>3416</v>
      </c>
      <c r="F1928" s="8" t="s">
        <v>378</v>
      </c>
      <c r="G1928" s="8" t="s">
        <v>3363</v>
      </c>
      <c r="H1928" s="10">
        <v>400</v>
      </c>
      <c r="I1928" s="10"/>
      <c r="J1928" s="10">
        <v>400</v>
      </c>
      <c r="K1928" s="10">
        <v>22.94</v>
      </c>
    </row>
    <row r="1929" spans="1:11" x14ac:dyDescent="0.25">
      <c r="A1929" s="8" t="s">
        <v>3418</v>
      </c>
      <c r="B1929" s="8" t="s">
        <v>1655</v>
      </c>
      <c r="C1929" s="8" t="s">
        <v>3361</v>
      </c>
      <c r="D1929" s="8">
        <v>4</v>
      </c>
      <c r="E1929" s="8" t="s">
        <v>3416</v>
      </c>
      <c r="F1929" s="8" t="s">
        <v>378</v>
      </c>
      <c r="G1929" s="8" t="s">
        <v>3363</v>
      </c>
      <c r="H1929" s="10">
        <v>1320</v>
      </c>
      <c r="I1929" s="10"/>
      <c r="J1929" s="10">
        <v>1320</v>
      </c>
      <c r="K1929" s="10">
        <v>22.94</v>
      </c>
    </row>
    <row r="1930" spans="1:11" x14ac:dyDescent="0.25">
      <c r="A1930" s="8" t="s">
        <v>3419</v>
      </c>
      <c r="B1930" s="8" t="s">
        <v>1650</v>
      </c>
      <c r="C1930" s="8" t="s">
        <v>3361</v>
      </c>
      <c r="D1930" s="8">
        <v>4</v>
      </c>
      <c r="E1930" s="8" t="s">
        <v>3420</v>
      </c>
      <c r="F1930" s="8" t="s">
        <v>378</v>
      </c>
      <c r="G1930" s="8" t="s">
        <v>3363</v>
      </c>
      <c r="H1930" s="10">
        <v>600</v>
      </c>
      <c r="I1930" s="10"/>
      <c r="J1930" s="10">
        <v>600</v>
      </c>
      <c r="K1930" s="10">
        <v>22.94</v>
      </c>
    </row>
    <row r="1931" spans="1:11" x14ac:dyDescent="0.25">
      <c r="A1931" s="8" t="s">
        <v>3421</v>
      </c>
      <c r="B1931" s="8" t="s">
        <v>120</v>
      </c>
      <c r="C1931" s="8" t="s">
        <v>3361</v>
      </c>
      <c r="D1931" s="8">
        <v>4</v>
      </c>
      <c r="E1931" s="8" t="s">
        <v>3420</v>
      </c>
      <c r="F1931" s="8" t="s">
        <v>378</v>
      </c>
      <c r="G1931" s="8" t="s">
        <v>3363</v>
      </c>
      <c r="H1931" s="10">
        <v>1980</v>
      </c>
      <c r="I1931" s="10"/>
      <c r="J1931" s="10">
        <v>1980</v>
      </c>
      <c r="K1931" s="10">
        <v>22.94</v>
      </c>
    </row>
    <row r="1932" spans="1:11" x14ac:dyDescent="0.25">
      <c r="A1932" s="8" t="s">
        <v>3422</v>
      </c>
      <c r="B1932" s="8" t="s">
        <v>2074</v>
      </c>
      <c r="C1932" s="8" t="s">
        <v>3361</v>
      </c>
      <c r="D1932" s="8">
        <v>4</v>
      </c>
      <c r="E1932" s="8" t="s">
        <v>3420</v>
      </c>
      <c r="F1932" s="8" t="s">
        <v>378</v>
      </c>
      <c r="G1932" s="8" t="s">
        <v>3363</v>
      </c>
      <c r="H1932" s="10">
        <v>100</v>
      </c>
      <c r="I1932" s="10"/>
      <c r="J1932" s="10">
        <v>100</v>
      </c>
      <c r="K1932" s="10">
        <v>22.94</v>
      </c>
    </row>
    <row r="1933" spans="1:11" x14ac:dyDescent="0.25">
      <c r="A1933" s="8" t="s">
        <v>3423</v>
      </c>
      <c r="B1933" s="8" t="s">
        <v>1650</v>
      </c>
      <c r="C1933" s="8" t="s">
        <v>3361</v>
      </c>
      <c r="D1933" s="8">
        <v>4</v>
      </c>
      <c r="E1933" s="8" t="s">
        <v>3424</v>
      </c>
      <c r="F1933" s="8" t="s">
        <v>378</v>
      </c>
      <c r="G1933" s="8" t="s">
        <v>3363</v>
      </c>
      <c r="H1933" s="10">
        <v>1020</v>
      </c>
      <c r="I1933" s="10"/>
      <c r="J1933" s="10">
        <v>1020</v>
      </c>
      <c r="K1933" s="10">
        <v>26.76</v>
      </c>
    </row>
    <row r="1934" spans="1:11" x14ac:dyDescent="0.25">
      <c r="A1934" s="8" t="s">
        <v>3425</v>
      </c>
      <c r="B1934" s="8" t="s">
        <v>120</v>
      </c>
      <c r="C1934" s="8" t="s">
        <v>3361</v>
      </c>
      <c r="D1934" s="8">
        <v>4</v>
      </c>
      <c r="E1934" s="8" t="s">
        <v>3424</v>
      </c>
      <c r="F1934" s="8" t="s">
        <v>378</v>
      </c>
      <c r="G1934" s="8" t="s">
        <v>3363</v>
      </c>
      <c r="H1934" s="10">
        <v>2760</v>
      </c>
      <c r="I1934" s="10"/>
      <c r="J1934" s="10">
        <v>2760</v>
      </c>
      <c r="K1934" s="10">
        <v>26.76</v>
      </c>
    </row>
    <row r="1935" spans="1:11" x14ac:dyDescent="0.25">
      <c r="A1935" s="8" t="s">
        <v>3426</v>
      </c>
      <c r="B1935" s="8" t="s">
        <v>1655</v>
      </c>
      <c r="C1935" s="8" t="s">
        <v>3361</v>
      </c>
      <c r="D1935" s="8">
        <v>4</v>
      </c>
      <c r="E1935" s="8" t="s">
        <v>3424</v>
      </c>
      <c r="F1935" s="8" t="s">
        <v>378</v>
      </c>
      <c r="G1935" s="8" t="s">
        <v>3363</v>
      </c>
      <c r="H1935" s="10">
        <v>150</v>
      </c>
      <c r="I1935" s="10"/>
      <c r="J1935" s="10">
        <v>150</v>
      </c>
      <c r="K1935" s="10">
        <v>26.76</v>
      </c>
    </row>
    <row r="1936" spans="1:11" x14ac:dyDescent="0.25">
      <c r="A1936" s="8" t="s">
        <v>3427</v>
      </c>
      <c r="B1936" s="8" t="s">
        <v>1650</v>
      </c>
      <c r="C1936" s="8" t="s">
        <v>3361</v>
      </c>
      <c r="D1936" s="8">
        <v>4</v>
      </c>
      <c r="E1936" s="8" t="s">
        <v>382</v>
      </c>
      <c r="F1936" s="8" t="s">
        <v>378</v>
      </c>
      <c r="G1936" s="8" t="s">
        <v>3363</v>
      </c>
      <c r="H1936" s="10">
        <v>40</v>
      </c>
      <c r="I1936" s="10"/>
      <c r="J1936" s="10">
        <v>40</v>
      </c>
      <c r="K1936" s="10">
        <v>26.28</v>
      </c>
    </row>
    <row r="1937" spans="1:11" x14ac:dyDescent="0.25">
      <c r="A1937" s="8" t="s">
        <v>3428</v>
      </c>
      <c r="B1937" s="8" t="s">
        <v>1650</v>
      </c>
      <c r="C1937" s="8" t="s">
        <v>3361</v>
      </c>
      <c r="D1937" s="8">
        <v>4</v>
      </c>
      <c r="E1937" s="8" t="s">
        <v>385</v>
      </c>
      <c r="F1937" s="8" t="s">
        <v>378</v>
      </c>
      <c r="G1937" s="8" t="s">
        <v>3363</v>
      </c>
      <c r="H1937" s="10">
        <v>100</v>
      </c>
      <c r="I1937" s="10"/>
      <c r="J1937" s="10">
        <v>100</v>
      </c>
      <c r="K1937" s="10">
        <v>28.91</v>
      </c>
    </row>
    <row r="1938" spans="1:11" x14ac:dyDescent="0.25">
      <c r="A1938" s="8" t="s">
        <v>3429</v>
      </c>
      <c r="B1938" s="8" t="s">
        <v>1650</v>
      </c>
      <c r="C1938" s="8" t="s">
        <v>3361</v>
      </c>
      <c r="D1938" s="8">
        <v>4</v>
      </c>
      <c r="E1938" s="8" t="s">
        <v>3430</v>
      </c>
      <c r="F1938" s="8" t="s">
        <v>378</v>
      </c>
      <c r="G1938" s="8" t="s">
        <v>3363</v>
      </c>
      <c r="H1938" s="10">
        <v>340</v>
      </c>
      <c r="I1938" s="10"/>
      <c r="J1938" s="10">
        <v>340</v>
      </c>
      <c r="K1938" s="10">
        <v>41.54</v>
      </c>
    </row>
    <row r="1939" spans="1:11" x14ac:dyDescent="0.25">
      <c r="A1939" s="8" t="s">
        <v>3431</v>
      </c>
      <c r="B1939" s="8" t="s">
        <v>120</v>
      </c>
      <c r="C1939" s="8" t="s">
        <v>3361</v>
      </c>
      <c r="D1939" s="8">
        <v>4</v>
      </c>
      <c r="E1939" s="8" t="s">
        <v>3430</v>
      </c>
      <c r="F1939" s="8" t="s">
        <v>378</v>
      </c>
      <c r="G1939" s="8" t="s">
        <v>3363</v>
      </c>
      <c r="H1939" s="10">
        <v>810</v>
      </c>
      <c r="I1939" s="10"/>
      <c r="J1939" s="10">
        <v>810</v>
      </c>
      <c r="K1939" s="10">
        <v>41.54</v>
      </c>
    </row>
    <row r="1940" spans="1:11" x14ac:dyDescent="0.25">
      <c r="A1940" s="8" t="s">
        <v>3432</v>
      </c>
      <c r="B1940" s="8" t="s">
        <v>1655</v>
      </c>
      <c r="C1940" s="8" t="s">
        <v>3361</v>
      </c>
      <c r="D1940" s="8">
        <v>4</v>
      </c>
      <c r="E1940" s="8" t="s">
        <v>3430</v>
      </c>
      <c r="F1940" s="8" t="s">
        <v>378</v>
      </c>
      <c r="G1940" s="8" t="s">
        <v>3363</v>
      </c>
      <c r="H1940" s="10">
        <v>200</v>
      </c>
      <c r="I1940" s="10"/>
      <c r="J1940" s="10">
        <v>200</v>
      </c>
      <c r="K1940" s="10">
        <v>41.54</v>
      </c>
    </row>
    <row r="1941" spans="1:11" x14ac:dyDescent="0.25">
      <c r="A1941" s="8" t="s">
        <v>3433</v>
      </c>
      <c r="B1941" s="8" t="s">
        <v>120</v>
      </c>
      <c r="C1941" s="8" t="s">
        <v>3361</v>
      </c>
      <c r="D1941" s="8">
        <v>4</v>
      </c>
      <c r="E1941" s="8" t="s">
        <v>3434</v>
      </c>
      <c r="F1941" s="8" t="s">
        <v>378</v>
      </c>
      <c r="G1941" s="8" t="s">
        <v>3363</v>
      </c>
      <c r="H1941" s="10">
        <v>750</v>
      </c>
      <c r="I1941" s="10"/>
      <c r="J1941" s="10">
        <v>750</v>
      </c>
      <c r="K1941" s="10">
        <v>19.11</v>
      </c>
    </row>
    <row r="1942" spans="1:11" x14ac:dyDescent="0.25">
      <c r="A1942" s="8" t="s">
        <v>3435</v>
      </c>
      <c r="B1942" s="8" t="s">
        <v>1655</v>
      </c>
      <c r="C1942" s="8" t="s">
        <v>3361</v>
      </c>
      <c r="D1942" s="8">
        <v>4</v>
      </c>
      <c r="E1942" s="8" t="s">
        <v>3434</v>
      </c>
      <c r="F1942" s="8" t="s">
        <v>378</v>
      </c>
      <c r="G1942" s="8" t="s">
        <v>3363</v>
      </c>
      <c r="H1942" s="10">
        <v>200</v>
      </c>
      <c r="I1942" s="10"/>
      <c r="J1942" s="10">
        <v>200</v>
      </c>
      <c r="K1942" s="10">
        <v>19.11</v>
      </c>
    </row>
    <row r="1943" spans="1:11" x14ac:dyDescent="0.25">
      <c r="A1943" s="8" t="s">
        <v>3436</v>
      </c>
      <c r="B1943" s="8" t="s">
        <v>1650</v>
      </c>
      <c r="C1943" s="8" t="s">
        <v>3361</v>
      </c>
      <c r="D1943" s="8">
        <v>4</v>
      </c>
      <c r="E1943" s="8" t="s">
        <v>3437</v>
      </c>
      <c r="F1943" s="8" t="s">
        <v>378</v>
      </c>
      <c r="G1943" s="8" t="s">
        <v>3363</v>
      </c>
      <c r="H1943" s="10">
        <v>750</v>
      </c>
      <c r="I1943" s="10"/>
      <c r="J1943" s="10">
        <v>750</v>
      </c>
      <c r="K1943" s="10">
        <v>22.94</v>
      </c>
    </row>
    <row r="1944" spans="1:11" x14ac:dyDescent="0.25">
      <c r="A1944" s="8" t="s">
        <v>3438</v>
      </c>
      <c r="B1944" s="8" t="s">
        <v>120</v>
      </c>
      <c r="C1944" s="8" t="s">
        <v>3361</v>
      </c>
      <c r="D1944" s="8">
        <v>4</v>
      </c>
      <c r="E1944" s="8" t="s">
        <v>3437</v>
      </c>
      <c r="F1944" s="8" t="s">
        <v>378</v>
      </c>
      <c r="G1944" s="8" t="s">
        <v>3363</v>
      </c>
      <c r="H1944" s="10">
        <v>900</v>
      </c>
      <c r="I1944" s="10"/>
      <c r="J1944" s="10">
        <v>900</v>
      </c>
      <c r="K1944" s="10">
        <v>22.94</v>
      </c>
    </row>
    <row r="1945" spans="1:11" x14ac:dyDescent="0.25">
      <c r="A1945" s="8" t="s">
        <v>3439</v>
      </c>
      <c r="B1945" s="8" t="s">
        <v>1655</v>
      </c>
      <c r="C1945" s="8" t="s">
        <v>3361</v>
      </c>
      <c r="D1945" s="8">
        <v>4</v>
      </c>
      <c r="E1945" s="8" t="s">
        <v>3437</v>
      </c>
      <c r="F1945" s="8" t="s">
        <v>378</v>
      </c>
      <c r="G1945" s="8" t="s">
        <v>3363</v>
      </c>
      <c r="H1945" s="10">
        <v>280</v>
      </c>
      <c r="I1945" s="10"/>
      <c r="J1945" s="10">
        <v>280</v>
      </c>
      <c r="K1945" s="10">
        <v>22.94</v>
      </c>
    </row>
    <row r="1946" spans="1:11" x14ac:dyDescent="0.25">
      <c r="A1946" s="8" t="s">
        <v>3440</v>
      </c>
      <c r="B1946" s="8" t="s">
        <v>120</v>
      </c>
      <c r="C1946" s="8" t="s">
        <v>3361</v>
      </c>
      <c r="D1946" s="8">
        <v>4</v>
      </c>
      <c r="E1946" s="8" t="s">
        <v>3441</v>
      </c>
      <c r="F1946" s="8" t="s">
        <v>378</v>
      </c>
      <c r="G1946" s="8" t="s">
        <v>3363</v>
      </c>
      <c r="H1946" s="10">
        <v>40</v>
      </c>
      <c r="I1946" s="10"/>
      <c r="J1946" s="10">
        <v>40</v>
      </c>
      <c r="K1946" s="10">
        <v>26.76</v>
      </c>
    </row>
    <row r="1947" spans="1:11" x14ac:dyDescent="0.25">
      <c r="A1947" s="8" t="s">
        <v>3442</v>
      </c>
      <c r="B1947" s="8" t="s">
        <v>1655</v>
      </c>
      <c r="C1947" s="8" t="s">
        <v>3361</v>
      </c>
      <c r="D1947" s="8">
        <v>4</v>
      </c>
      <c r="E1947" s="8" t="s">
        <v>3441</v>
      </c>
      <c r="F1947" s="8" t="s">
        <v>378</v>
      </c>
      <c r="G1947" s="8" t="s">
        <v>3363</v>
      </c>
      <c r="H1947" s="10">
        <v>20</v>
      </c>
      <c r="I1947" s="10"/>
      <c r="J1947" s="10">
        <v>20</v>
      </c>
      <c r="K1947" s="10">
        <v>26.76</v>
      </c>
    </row>
    <row r="1948" spans="1:11" x14ac:dyDescent="0.25">
      <c r="A1948" s="8" t="s">
        <v>3443</v>
      </c>
      <c r="B1948" s="8" t="s">
        <v>120</v>
      </c>
      <c r="C1948" s="8" t="s">
        <v>3361</v>
      </c>
      <c r="D1948" s="8">
        <v>4</v>
      </c>
      <c r="E1948" s="8" t="s">
        <v>3444</v>
      </c>
      <c r="F1948" s="8" t="s">
        <v>378</v>
      </c>
      <c r="G1948" s="8" t="s">
        <v>3363</v>
      </c>
      <c r="H1948" s="10">
        <v>700</v>
      </c>
      <c r="I1948" s="10"/>
      <c r="J1948" s="10">
        <v>700</v>
      </c>
      <c r="K1948" s="10">
        <v>30.58</v>
      </c>
    </row>
    <row r="1949" spans="1:11" x14ac:dyDescent="0.25">
      <c r="A1949" s="8" t="s">
        <v>3445</v>
      </c>
      <c r="B1949" s="8" t="s">
        <v>1655</v>
      </c>
      <c r="C1949" s="8" t="s">
        <v>3391</v>
      </c>
      <c r="D1949" s="8">
        <v>5</v>
      </c>
      <c r="E1949" s="8" t="s">
        <v>3446</v>
      </c>
      <c r="F1949" s="8" t="s">
        <v>378</v>
      </c>
      <c r="G1949" s="8" t="s">
        <v>3393</v>
      </c>
      <c r="H1949" s="10">
        <v>17580</v>
      </c>
      <c r="I1949" s="10"/>
      <c r="J1949" s="10">
        <v>17580</v>
      </c>
      <c r="K1949" s="10">
        <v>36.840000000000003</v>
      </c>
    </row>
    <row r="1950" spans="1:11" x14ac:dyDescent="0.25">
      <c r="A1950" s="8" t="s">
        <v>3447</v>
      </c>
      <c r="B1950" s="8" t="s">
        <v>1650</v>
      </c>
      <c r="C1950" s="8" t="s">
        <v>3391</v>
      </c>
      <c r="D1950" s="8">
        <v>5</v>
      </c>
      <c r="E1950" s="8" t="s">
        <v>3448</v>
      </c>
      <c r="F1950" s="8" t="s">
        <v>378</v>
      </c>
      <c r="G1950" s="8" t="s">
        <v>3393</v>
      </c>
      <c r="H1950" s="10">
        <v>340</v>
      </c>
      <c r="I1950" s="10"/>
      <c r="J1950" s="10">
        <v>340</v>
      </c>
      <c r="K1950" s="10">
        <v>50.15</v>
      </c>
    </row>
    <row r="1951" spans="1:11" x14ac:dyDescent="0.25">
      <c r="A1951" s="8" t="s">
        <v>3449</v>
      </c>
      <c r="B1951" s="8" t="s">
        <v>1655</v>
      </c>
      <c r="C1951" s="8" t="s">
        <v>3391</v>
      </c>
      <c r="D1951" s="8">
        <v>5</v>
      </c>
      <c r="E1951" s="8" t="s">
        <v>3448</v>
      </c>
      <c r="F1951" s="8" t="s">
        <v>378</v>
      </c>
      <c r="G1951" s="8" t="s">
        <v>3393</v>
      </c>
      <c r="H1951" s="10">
        <v>400</v>
      </c>
      <c r="I1951" s="10"/>
      <c r="J1951" s="10">
        <v>400</v>
      </c>
      <c r="K1951" s="10">
        <v>50.15</v>
      </c>
    </row>
    <row r="1952" spans="1:11" x14ac:dyDescent="0.25">
      <c r="A1952" s="8" t="s">
        <v>3450</v>
      </c>
      <c r="B1952" s="8" t="s">
        <v>1655</v>
      </c>
      <c r="C1952" s="8" t="s">
        <v>3361</v>
      </c>
      <c r="D1952" s="8">
        <v>4</v>
      </c>
      <c r="E1952" s="8" t="s">
        <v>3451</v>
      </c>
      <c r="F1952" s="8" t="s">
        <v>378</v>
      </c>
      <c r="G1952" s="8" t="s">
        <v>3363</v>
      </c>
      <c r="H1952" s="10">
        <v>900</v>
      </c>
      <c r="I1952" s="10"/>
      <c r="J1952" s="10">
        <v>900</v>
      </c>
      <c r="K1952" s="10">
        <v>19.11</v>
      </c>
    </row>
    <row r="1953" spans="1:11" x14ac:dyDescent="0.25">
      <c r="A1953" s="8" t="s">
        <v>3452</v>
      </c>
      <c r="B1953" s="8" t="s">
        <v>120</v>
      </c>
      <c r="C1953" s="8" t="s">
        <v>3361</v>
      </c>
      <c r="D1953" s="8">
        <v>4</v>
      </c>
      <c r="E1953" s="8" t="s">
        <v>3453</v>
      </c>
      <c r="F1953" s="8" t="s">
        <v>378</v>
      </c>
      <c r="G1953" s="8" t="s">
        <v>3363</v>
      </c>
      <c r="H1953" s="10">
        <v>940</v>
      </c>
      <c r="I1953" s="10"/>
      <c r="J1953" s="10">
        <v>940</v>
      </c>
      <c r="K1953" s="10">
        <v>22.94</v>
      </c>
    </row>
    <row r="1954" spans="1:11" x14ac:dyDescent="0.25">
      <c r="A1954" s="8" t="s">
        <v>3454</v>
      </c>
      <c r="B1954" s="8" t="s">
        <v>1655</v>
      </c>
      <c r="C1954" s="8" t="s">
        <v>3361</v>
      </c>
      <c r="D1954" s="8">
        <v>4</v>
      </c>
      <c r="E1954" s="8" t="s">
        <v>3453</v>
      </c>
      <c r="F1954" s="8" t="s">
        <v>378</v>
      </c>
      <c r="G1954" s="8" t="s">
        <v>3363</v>
      </c>
      <c r="H1954" s="10">
        <v>600</v>
      </c>
      <c r="I1954" s="10"/>
      <c r="J1954" s="10">
        <v>600</v>
      </c>
      <c r="K1954" s="10">
        <v>22.94</v>
      </c>
    </row>
    <row r="1955" spans="1:11" x14ac:dyDescent="0.25">
      <c r="A1955" s="8" t="s">
        <v>3455</v>
      </c>
      <c r="B1955" s="8" t="s">
        <v>120</v>
      </c>
      <c r="C1955" s="8" t="s">
        <v>3361</v>
      </c>
      <c r="D1955" s="8">
        <v>4</v>
      </c>
      <c r="E1955" s="8" t="s">
        <v>3456</v>
      </c>
      <c r="F1955" s="8" t="s">
        <v>378</v>
      </c>
      <c r="G1955" s="8" t="s">
        <v>3363</v>
      </c>
      <c r="H1955" s="10">
        <v>800</v>
      </c>
      <c r="I1955" s="10"/>
      <c r="J1955" s="10">
        <v>800</v>
      </c>
      <c r="K1955" s="10">
        <v>26.76</v>
      </c>
    </row>
    <row r="1956" spans="1:11" x14ac:dyDescent="0.25">
      <c r="A1956" s="8" t="s">
        <v>3457</v>
      </c>
      <c r="B1956" s="8" t="s">
        <v>1650</v>
      </c>
      <c r="C1956" s="8" t="s">
        <v>3361</v>
      </c>
      <c r="D1956" s="8">
        <v>4</v>
      </c>
      <c r="E1956" s="8" t="s">
        <v>3458</v>
      </c>
      <c r="F1956" s="8" t="s">
        <v>378</v>
      </c>
      <c r="G1956" s="8" t="s">
        <v>3363</v>
      </c>
      <c r="H1956" s="10">
        <v>1600</v>
      </c>
      <c r="I1956" s="10"/>
      <c r="J1956" s="10">
        <v>1600</v>
      </c>
      <c r="K1956" s="10">
        <v>26.76</v>
      </c>
    </row>
    <row r="1957" spans="1:11" x14ac:dyDescent="0.25">
      <c r="A1957" s="8" t="s">
        <v>3459</v>
      </c>
      <c r="B1957" s="8" t="s">
        <v>120</v>
      </c>
      <c r="C1957" s="8" t="s">
        <v>3361</v>
      </c>
      <c r="D1957" s="8">
        <v>4</v>
      </c>
      <c r="E1957" s="8" t="s">
        <v>3458</v>
      </c>
      <c r="F1957" s="8" t="s">
        <v>378</v>
      </c>
      <c r="G1957" s="8" t="s">
        <v>3363</v>
      </c>
      <c r="H1957" s="10">
        <v>580</v>
      </c>
      <c r="I1957" s="10"/>
      <c r="J1957" s="10">
        <v>580</v>
      </c>
      <c r="K1957" s="10">
        <v>26.76</v>
      </c>
    </row>
    <row r="1958" spans="1:11" x14ac:dyDescent="0.25">
      <c r="A1958" s="8" t="s">
        <v>3460</v>
      </c>
      <c r="B1958" s="8" t="s">
        <v>120</v>
      </c>
      <c r="C1958" s="8" t="s">
        <v>3361</v>
      </c>
      <c r="D1958" s="8">
        <v>4</v>
      </c>
      <c r="E1958" s="8" t="s">
        <v>3461</v>
      </c>
      <c r="F1958" s="8" t="s">
        <v>378</v>
      </c>
      <c r="G1958" s="8" t="s">
        <v>3363</v>
      </c>
      <c r="H1958" s="10">
        <v>9600</v>
      </c>
      <c r="I1958" s="10"/>
      <c r="J1958" s="10">
        <v>9600</v>
      </c>
      <c r="K1958" s="10">
        <v>30.58</v>
      </c>
    </row>
    <row r="1959" spans="1:11" x14ac:dyDescent="0.25">
      <c r="A1959" s="8" t="s">
        <v>3462</v>
      </c>
      <c r="B1959" s="8" t="s">
        <v>1655</v>
      </c>
      <c r="C1959" s="8" t="s">
        <v>3361</v>
      </c>
      <c r="D1959" s="8">
        <v>4</v>
      </c>
      <c r="E1959" s="8" t="s">
        <v>3461</v>
      </c>
      <c r="F1959" s="8" t="s">
        <v>378</v>
      </c>
      <c r="G1959" s="8" t="s">
        <v>3363</v>
      </c>
      <c r="H1959" s="10">
        <v>1440</v>
      </c>
      <c r="I1959" s="10"/>
      <c r="J1959" s="10">
        <v>1440</v>
      </c>
      <c r="K1959" s="10">
        <v>30.58</v>
      </c>
    </row>
    <row r="1960" spans="1:11" x14ac:dyDescent="0.25">
      <c r="A1960" s="8" t="s">
        <v>3463</v>
      </c>
      <c r="B1960" s="8" t="s">
        <v>1650</v>
      </c>
      <c r="C1960" s="8" t="s">
        <v>3361</v>
      </c>
      <c r="D1960" s="8">
        <v>4</v>
      </c>
      <c r="E1960" s="8" t="s">
        <v>3464</v>
      </c>
      <c r="F1960" s="8" t="s">
        <v>378</v>
      </c>
      <c r="G1960" s="8" t="s">
        <v>3363</v>
      </c>
      <c r="H1960" s="10">
        <v>390</v>
      </c>
      <c r="I1960" s="10"/>
      <c r="J1960" s="10">
        <v>390</v>
      </c>
      <c r="K1960" s="10">
        <v>34.409999999999997</v>
      </c>
    </row>
    <row r="1961" spans="1:11" x14ac:dyDescent="0.25">
      <c r="A1961" s="8" t="s">
        <v>3465</v>
      </c>
      <c r="B1961" s="8" t="s">
        <v>120</v>
      </c>
      <c r="C1961" s="8" t="s">
        <v>3361</v>
      </c>
      <c r="D1961" s="8">
        <v>4</v>
      </c>
      <c r="E1961" s="8" t="s">
        <v>3464</v>
      </c>
      <c r="F1961" s="8" t="s">
        <v>378</v>
      </c>
      <c r="G1961" s="8" t="s">
        <v>3363</v>
      </c>
      <c r="H1961" s="10">
        <v>300</v>
      </c>
      <c r="I1961" s="10"/>
      <c r="J1961" s="10">
        <v>300</v>
      </c>
      <c r="K1961" s="10">
        <v>34.409999999999997</v>
      </c>
    </row>
    <row r="1962" spans="1:11" x14ac:dyDescent="0.25">
      <c r="A1962" s="8" t="s">
        <v>3466</v>
      </c>
      <c r="B1962" s="8" t="s">
        <v>1655</v>
      </c>
      <c r="C1962" s="8" t="s">
        <v>3361</v>
      </c>
      <c r="D1962" s="8">
        <v>4</v>
      </c>
      <c r="E1962" s="8" t="s">
        <v>3464</v>
      </c>
      <c r="F1962" s="8" t="s">
        <v>378</v>
      </c>
      <c r="G1962" s="8" t="s">
        <v>3363</v>
      </c>
      <c r="H1962" s="10">
        <v>1440</v>
      </c>
      <c r="I1962" s="10"/>
      <c r="J1962" s="10">
        <v>1440</v>
      </c>
      <c r="K1962" s="10">
        <v>34.409999999999997</v>
      </c>
    </row>
    <row r="1963" spans="1:11" x14ac:dyDescent="0.25">
      <c r="A1963" s="8" t="s">
        <v>3467</v>
      </c>
      <c r="B1963" s="8" t="s">
        <v>1650</v>
      </c>
      <c r="C1963" s="8" t="s">
        <v>3361</v>
      </c>
      <c r="D1963" s="8">
        <v>4</v>
      </c>
      <c r="E1963" s="8" t="s">
        <v>391</v>
      </c>
      <c r="F1963" s="8" t="s">
        <v>378</v>
      </c>
      <c r="G1963" s="8" t="s">
        <v>3363</v>
      </c>
      <c r="H1963" s="10">
        <v>900</v>
      </c>
      <c r="I1963" s="10"/>
      <c r="J1963" s="10">
        <v>900</v>
      </c>
      <c r="K1963" s="10">
        <v>26.76</v>
      </c>
    </row>
    <row r="1964" spans="1:11" x14ac:dyDescent="0.25">
      <c r="A1964" s="8" t="s">
        <v>3468</v>
      </c>
      <c r="B1964" s="8" t="s">
        <v>120</v>
      </c>
      <c r="C1964" s="8" t="s">
        <v>3361</v>
      </c>
      <c r="D1964" s="8">
        <v>4</v>
      </c>
      <c r="E1964" s="8" t="s">
        <v>391</v>
      </c>
      <c r="F1964" s="8" t="s">
        <v>378</v>
      </c>
      <c r="G1964" s="8" t="s">
        <v>3363</v>
      </c>
      <c r="H1964" s="10">
        <v>2160</v>
      </c>
      <c r="I1964" s="10"/>
      <c r="J1964" s="10">
        <v>2160</v>
      </c>
      <c r="K1964" s="10">
        <v>26.76</v>
      </c>
    </row>
    <row r="1965" spans="1:11" x14ac:dyDescent="0.25">
      <c r="A1965" s="8" t="s">
        <v>3469</v>
      </c>
      <c r="B1965" s="8" t="s">
        <v>1650</v>
      </c>
      <c r="C1965" s="8" t="s">
        <v>3361</v>
      </c>
      <c r="D1965" s="8">
        <v>4</v>
      </c>
      <c r="E1965" s="8" t="s">
        <v>3470</v>
      </c>
      <c r="F1965" s="8" t="s">
        <v>378</v>
      </c>
      <c r="G1965" s="8" t="s">
        <v>3363</v>
      </c>
      <c r="H1965" s="10">
        <v>2700</v>
      </c>
      <c r="I1965" s="10"/>
      <c r="J1965" s="10">
        <v>2700</v>
      </c>
      <c r="K1965" s="10">
        <v>26.76</v>
      </c>
    </row>
    <row r="1966" spans="1:11" x14ac:dyDescent="0.25">
      <c r="A1966" s="8" t="s">
        <v>3471</v>
      </c>
      <c r="B1966" s="8" t="s">
        <v>1650</v>
      </c>
      <c r="C1966" s="8" t="s">
        <v>3361</v>
      </c>
      <c r="D1966" s="8">
        <v>4</v>
      </c>
      <c r="E1966" s="8" t="s">
        <v>3472</v>
      </c>
      <c r="F1966" s="8" t="s">
        <v>378</v>
      </c>
      <c r="G1966" s="8" t="s">
        <v>3363</v>
      </c>
      <c r="H1966" s="10">
        <v>180</v>
      </c>
      <c r="I1966" s="10"/>
      <c r="J1966" s="10">
        <v>180</v>
      </c>
      <c r="K1966" s="10">
        <v>26.76</v>
      </c>
    </row>
    <row r="1967" spans="1:11" x14ac:dyDescent="0.25">
      <c r="A1967" s="8" t="s">
        <v>3473</v>
      </c>
      <c r="B1967" s="8" t="s">
        <v>120</v>
      </c>
      <c r="C1967" s="8" t="s">
        <v>3361</v>
      </c>
      <c r="D1967" s="8">
        <v>4</v>
      </c>
      <c r="E1967" s="8" t="s">
        <v>3472</v>
      </c>
      <c r="F1967" s="8" t="s">
        <v>378</v>
      </c>
      <c r="G1967" s="8" t="s">
        <v>3363</v>
      </c>
      <c r="H1967" s="10">
        <v>720</v>
      </c>
      <c r="I1967" s="10"/>
      <c r="J1967" s="10">
        <v>720</v>
      </c>
      <c r="K1967" s="10">
        <v>26.76</v>
      </c>
    </row>
    <row r="1968" spans="1:11" x14ac:dyDescent="0.25">
      <c r="A1968" s="8" t="s">
        <v>3474</v>
      </c>
      <c r="B1968" s="8" t="s">
        <v>1655</v>
      </c>
      <c r="C1968" s="8" t="s">
        <v>3361</v>
      </c>
      <c r="D1968" s="8">
        <v>4</v>
      </c>
      <c r="E1968" s="8" t="s">
        <v>3472</v>
      </c>
      <c r="F1968" s="8" t="s">
        <v>378</v>
      </c>
      <c r="G1968" s="8" t="s">
        <v>3363</v>
      </c>
      <c r="H1968" s="10">
        <v>60</v>
      </c>
      <c r="I1968" s="10"/>
      <c r="J1968" s="10">
        <v>60</v>
      </c>
      <c r="K1968" s="10">
        <v>26.76</v>
      </c>
    </row>
    <row r="1969" spans="1:11" x14ac:dyDescent="0.25">
      <c r="A1969" s="8" t="s">
        <v>3475</v>
      </c>
      <c r="B1969" s="8" t="s">
        <v>1650</v>
      </c>
      <c r="C1969" s="8" t="s">
        <v>3361</v>
      </c>
      <c r="D1969" s="8">
        <v>4</v>
      </c>
      <c r="E1969" s="8" t="s">
        <v>3476</v>
      </c>
      <c r="F1969" s="8" t="s">
        <v>378</v>
      </c>
      <c r="G1969" s="8" t="s">
        <v>3363</v>
      </c>
      <c r="H1969" s="10">
        <v>360</v>
      </c>
      <c r="I1969" s="10"/>
      <c r="J1969" s="10">
        <v>360</v>
      </c>
      <c r="K1969" s="10">
        <v>30.58</v>
      </c>
    </row>
    <row r="1970" spans="1:11" x14ac:dyDescent="0.25">
      <c r="A1970" s="8" t="s">
        <v>3477</v>
      </c>
      <c r="B1970" s="8" t="s">
        <v>120</v>
      </c>
      <c r="C1970" s="8" t="s">
        <v>3361</v>
      </c>
      <c r="D1970" s="8">
        <v>4</v>
      </c>
      <c r="E1970" s="8" t="s">
        <v>3478</v>
      </c>
      <c r="F1970" s="8" t="s">
        <v>378</v>
      </c>
      <c r="G1970" s="8" t="s">
        <v>3363</v>
      </c>
      <c r="H1970" s="10">
        <v>12540</v>
      </c>
      <c r="I1970" s="10"/>
      <c r="J1970" s="10">
        <v>12540</v>
      </c>
      <c r="K1970" s="10">
        <v>30.58</v>
      </c>
    </row>
    <row r="1971" spans="1:11" x14ac:dyDescent="0.25">
      <c r="A1971" s="8" t="s">
        <v>3479</v>
      </c>
      <c r="B1971" s="8" t="s">
        <v>1650</v>
      </c>
      <c r="C1971" s="8" t="s">
        <v>3361</v>
      </c>
      <c r="D1971" s="8">
        <v>4</v>
      </c>
      <c r="E1971" s="8" t="s">
        <v>3480</v>
      </c>
      <c r="F1971" s="8" t="s">
        <v>378</v>
      </c>
      <c r="G1971" s="8" t="s">
        <v>3363</v>
      </c>
      <c r="H1971" s="10">
        <v>570</v>
      </c>
      <c r="I1971" s="10"/>
      <c r="J1971" s="10">
        <v>570</v>
      </c>
      <c r="K1971" s="10">
        <v>38.229999999999997</v>
      </c>
    </row>
    <row r="1972" spans="1:11" x14ac:dyDescent="0.25">
      <c r="A1972" s="8" t="s">
        <v>3481</v>
      </c>
      <c r="B1972" s="8" t="s">
        <v>120</v>
      </c>
      <c r="C1972" s="8" t="s">
        <v>3361</v>
      </c>
      <c r="D1972" s="8">
        <v>4</v>
      </c>
      <c r="E1972" s="8" t="s">
        <v>3482</v>
      </c>
      <c r="F1972" s="8" t="s">
        <v>378</v>
      </c>
      <c r="G1972" s="8" t="s">
        <v>3363</v>
      </c>
      <c r="H1972" s="10">
        <v>4430</v>
      </c>
      <c r="I1972" s="10"/>
      <c r="J1972" s="10">
        <v>4430</v>
      </c>
      <c r="K1972" s="10">
        <v>38.229999999999997</v>
      </c>
    </row>
    <row r="1973" spans="1:11" x14ac:dyDescent="0.25">
      <c r="A1973" s="8" t="s">
        <v>3483</v>
      </c>
      <c r="B1973" s="8" t="s">
        <v>1655</v>
      </c>
      <c r="C1973" s="8" t="s">
        <v>3361</v>
      </c>
      <c r="D1973" s="8">
        <v>4</v>
      </c>
      <c r="E1973" s="8" t="s">
        <v>3482</v>
      </c>
      <c r="F1973" s="8" t="s">
        <v>378</v>
      </c>
      <c r="G1973" s="8" t="s">
        <v>3363</v>
      </c>
      <c r="H1973" s="10">
        <v>380</v>
      </c>
      <c r="I1973" s="10"/>
      <c r="J1973" s="10">
        <v>380</v>
      </c>
      <c r="K1973" s="10">
        <v>38.229999999999997</v>
      </c>
    </row>
    <row r="1974" spans="1:11" x14ac:dyDescent="0.25">
      <c r="A1974" s="8" t="s">
        <v>3484</v>
      </c>
      <c r="B1974" s="8" t="s">
        <v>120</v>
      </c>
      <c r="C1974" s="8" t="s">
        <v>3361</v>
      </c>
      <c r="D1974" s="8">
        <v>4</v>
      </c>
      <c r="E1974" s="8" t="s">
        <v>3485</v>
      </c>
      <c r="F1974" s="8" t="s">
        <v>378</v>
      </c>
      <c r="G1974" s="8" t="s">
        <v>3363</v>
      </c>
      <c r="H1974" s="10">
        <v>480</v>
      </c>
      <c r="I1974" s="10"/>
      <c r="J1974" s="10">
        <v>480</v>
      </c>
      <c r="K1974" s="10">
        <v>30.58</v>
      </c>
    </row>
    <row r="1975" spans="1:11" x14ac:dyDescent="0.25">
      <c r="A1975" s="8" t="s">
        <v>3486</v>
      </c>
      <c r="B1975" s="8" t="s">
        <v>1650</v>
      </c>
      <c r="C1975" s="8" t="s">
        <v>3361</v>
      </c>
      <c r="D1975" s="8">
        <v>4</v>
      </c>
      <c r="E1975" s="8" t="s">
        <v>3487</v>
      </c>
      <c r="F1975" s="8" t="s">
        <v>378</v>
      </c>
      <c r="G1975" s="8" t="s">
        <v>3363</v>
      </c>
      <c r="H1975" s="10">
        <v>240</v>
      </c>
      <c r="I1975" s="10"/>
      <c r="J1975" s="10">
        <v>240</v>
      </c>
      <c r="K1975" s="10">
        <v>30.58</v>
      </c>
    </row>
    <row r="1976" spans="1:11" x14ac:dyDescent="0.25">
      <c r="A1976" s="8" t="s">
        <v>3488</v>
      </c>
      <c r="B1976" s="8" t="s">
        <v>120</v>
      </c>
      <c r="C1976" s="8" t="s">
        <v>3361</v>
      </c>
      <c r="D1976" s="8">
        <v>4</v>
      </c>
      <c r="E1976" s="8" t="s">
        <v>3487</v>
      </c>
      <c r="F1976" s="8" t="s">
        <v>378</v>
      </c>
      <c r="G1976" s="8" t="s">
        <v>3363</v>
      </c>
      <c r="H1976" s="10">
        <v>1890</v>
      </c>
      <c r="I1976" s="10"/>
      <c r="J1976" s="10">
        <v>1890</v>
      </c>
      <c r="K1976" s="10">
        <v>30.58</v>
      </c>
    </row>
    <row r="1977" spans="1:11" x14ac:dyDescent="0.25">
      <c r="A1977" s="8" t="s">
        <v>3489</v>
      </c>
      <c r="B1977" s="8" t="s">
        <v>1655</v>
      </c>
      <c r="C1977" s="8" t="s">
        <v>3361</v>
      </c>
      <c r="D1977" s="8">
        <v>4</v>
      </c>
      <c r="E1977" s="8" t="s">
        <v>3487</v>
      </c>
      <c r="F1977" s="8" t="s">
        <v>378</v>
      </c>
      <c r="G1977" s="8" t="s">
        <v>3363</v>
      </c>
      <c r="H1977" s="10">
        <v>195</v>
      </c>
      <c r="I1977" s="10"/>
      <c r="J1977" s="10">
        <v>195</v>
      </c>
      <c r="K1977" s="10">
        <v>30.58</v>
      </c>
    </row>
    <row r="1978" spans="1:11" x14ac:dyDescent="0.25">
      <c r="A1978" s="8" t="s">
        <v>3490</v>
      </c>
      <c r="B1978" s="8" t="s">
        <v>120</v>
      </c>
      <c r="C1978" s="8" t="s">
        <v>3361</v>
      </c>
      <c r="D1978" s="8">
        <v>4</v>
      </c>
      <c r="E1978" s="8" t="s">
        <v>3491</v>
      </c>
      <c r="F1978" s="8" t="s">
        <v>378</v>
      </c>
      <c r="G1978" s="8" t="s">
        <v>3363</v>
      </c>
      <c r="H1978" s="10">
        <v>420</v>
      </c>
      <c r="I1978" s="10"/>
      <c r="J1978" s="10">
        <v>420</v>
      </c>
      <c r="K1978" s="10">
        <v>30.58</v>
      </c>
    </row>
    <row r="1979" spans="1:11" x14ac:dyDescent="0.25">
      <c r="A1979" s="8" t="s">
        <v>3492</v>
      </c>
      <c r="B1979" s="8" t="s">
        <v>1650</v>
      </c>
      <c r="C1979" s="8" t="s">
        <v>3361</v>
      </c>
      <c r="D1979" s="8">
        <v>4</v>
      </c>
      <c r="E1979" s="8" t="s">
        <v>3493</v>
      </c>
      <c r="F1979" s="8" t="s">
        <v>378</v>
      </c>
      <c r="G1979" s="8" t="s">
        <v>3363</v>
      </c>
      <c r="H1979" s="10">
        <v>600</v>
      </c>
      <c r="I1979" s="10"/>
      <c r="J1979" s="10">
        <v>600</v>
      </c>
      <c r="K1979" s="10">
        <v>34.409999999999997</v>
      </c>
    </row>
    <row r="1980" spans="1:11" x14ac:dyDescent="0.25">
      <c r="A1980" s="8" t="s">
        <v>3494</v>
      </c>
      <c r="B1980" s="8" t="s">
        <v>1655</v>
      </c>
      <c r="C1980" s="8" t="s">
        <v>3361</v>
      </c>
      <c r="D1980" s="8">
        <v>4</v>
      </c>
      <c r="E1980" s="8" t="s">
        <v>3495</v>
      </c>
      <c r="F1980" s="8" t="s">
        <v>378</v>
      </c>
      <c r="G1980" s="8" t="s">
        <v>3363</v>
      </c>
      <c r="H1980" s="10">
        <v>660</v>
      </c>
      <c r="I1980" s="10"/>
      <c r="J1980" s="10">
        <v>660</v>
      </c>
      <c r="K1980" s="10">
        <v>34.409999999999997</v>
      </c>
    </row>
    <row r="1981" spans="1:11" x14ac:dyDescent="0.25">
      <c r="A1981" s="8" t="s">
        <v>3496</v>
      </c>
      <c r="B1981" s="8" t="s">
        <v>1650</v>
      </c>
      <c r="C1981" s="8" t="s">
        <v>3361</v>
      </c>
      <c r="D1981" s="8">
        <v>4</v>
      </c>
      <c r="E1981" s="8" t="s">
        <v>3497</v>
      </c>
      <c r="F1981" s="8" t="s">
        <v>378</v>
      </c>
      <c r="G1981" s="8" t="s">
        <v>3363</v>
      </c>
      <c r="H1981" s="10">
        <v>120</v>
      </c>
      <c r="I1981" s="10"/>
      <c r="J1981" s="10">
        <v>120</v>
      </c>
      <c r="K1981" s="10">
        <v>34.409999999999997</v>
      </c>
    </row>
    <row r="1982" spans="1:11" x14ac:dyDescent="0.25">
      <c r="A1982" s="8" t="s">
        <v>3498</v>
      </c>
      <c r="B1982" s="8" t="s">
        <v>120</v>
      </c>
      <c r="C1982" s="8" t="s">
        <v>3361</v>
      </c>
      <c r="D1982" s="8">
        <v>4</v>
      </c>
      <c r="E1982" s="8" t="s">
        <v>3497</v>
      </c>
      <c r="F1982" s="8" t="s">
        <v>378</v>
      </c>
      <c r="G1982" s="8" t="s">
        <v>3363</v>
      </c>
      <c r="H1982" s="10">
        <v>900</v>
      </c>
      <c r="I1982" s="10"/>
      <c r="J1982" s="10">
        <v>900</v>
      </c>
      <c r="K1982" s="10">
        <v>34.409999999999997</v>
      </c>
    </row>
    <row r="1983" spans="1:11" x14ac:dyDescent="0.25">
      <c r="A1983" s="8" t="s">
        <v>3499</v>
      </c>
      <c r="B1983" s="8" t="s">
        <v>120</v>
      </c>
      <c r="C1983" s="8" t="s">
        <v>3361</v>
      </c>
      <c r="D1983" s="8">
        <v>4</v>
      </c>
      <c r="E1983" s="8" t="s">
        <v>3500</v>
      </c>
      <c r="F1983" s="8" t="s">
        <v>378</v>
      </c>
      <c r="G1983" s="8" t="s">
        <v>3363</v>
      </c>
      <c r="H1983" s="10">
        <v>10800</v>
      </c>
      <c r="I1983" s="10"/>
      <c r="J1983" s="10">
        <v>10800</v>
      </c>
      <c r="K1983" s="10">
        <v>38.229999999999997</v>
      </c>
    </row>
    <row r="1984" spans="1:11" x14ac:dyDescent="0.25">
      <c r="A1984" s="8" t="s">
        <v>3501</v>
      </c>
      <c r="B1984" s="8" t="s">
        <v>116</v>
      </c>
      <c r="C1984" s="8" t="s">
        <v>3391</v>
      </c>
      <c r="D1984" s="8">
        <v>5</v>
      </c>
      <c r="E1984" s="8" t="s">
        <v>394</v>
      </c>
      <c r="F1984" s="8" t="s">
        <v>378</v>
      </c>
      <c r="G1984" s="8" t="s">
        <v>3393</v>
      </c>
      <c r="H1984" s="10">
        <v>3000</v>
      </c>
      <c r="I1984" s="10"/>
      <c r="J1984" s="10">
        <v>3000</v>
      </c>
      <c r="K1984" s="10">
        <v>13.02</v>
      </c>
    </row>
    <row r="1985" spans="1:11" x14ac:dyDescent="0.25">
      <c r="A1985" s="8" t="s">
        <v>3502</v>
      </c>
      <c r="B1985" s="8" t="s">
        <v>118</v>
      </c>
      <c r="C1985" s="8" t="s">
        <v>3391</v>
      </c>
      <c r="D1985" s="8">
        <v>5</v>
      </c>
      <c r="E1985" s="8" t="s">
        <v>394</v>
      </c>
      <c r="F1985" s="8" t="s">
        <v>378</v>
      </c>
      <c r="G1985" s="8" t="s">
        <v>3393</v>
      </c>
      <c r="H1985" s="10">
        <v>3000</v>
      </c>
      <c r="I1985" s="10"/>
      <c r="J1985" s="10">
        <v>3000</v>
      </c>
      <c r="K1985" s="10">
        <v>13.02</v>
      </c>
    </row>
    <row r="1986" spans="1:11" x14ac:dyDescent="0.25">
      <c r="A1986" s="8" t="s">
        <v>3503</v>
      </c>
      <c r="B1986" s="8" t="s">
        <v>1650</v>
      </c>
      <c r="C1986" s="8" t="s">
        <v>3391</v>
      </c>
      <c r="D1986" s="8">
        <v>5</v>
      </c>
      <c r="E1986" s="8" t="s">
        <v>394</v>
      </c>
      <c r="F1986" s="8" t="s">
        <v>378</v>
      </c>
      <c r="G1986" s="8" t="s">
        <v>3393</v>
      </c>
      <c r="H1986" s="10">
        <v>2000</v>
      </c>
      <c r="I1986" s="10"/>
      <c r="J1986" s="10">
        <v>2000</v>
      </c>
      <c r="K1986" s="10">
        <v>13.02</v>
      </c>
    </row>
    <row r="1987" spans="1:11" x14ac:dyDescent="0.25">
      <c r="A1987" s="8" t="s">
        <v>3504</v>
      </c>
      <c r="B1987" s="8" t="s">
        <v>120</v>
      </c>
      <c r="C1987" s="8" t="s">
        <v>3391</v>
      </c>
      <c r="D1987" s="8">
        <v>5</v>
      </c>
      <c r="E1987" s="8" t="s">
        <v>394</v>
      </c>
      <c r="F1987" s="8" t="s">
        <v>378</v>
      </c>
      <c r="G1987" s="8" t="s">
        <v>3393</v>
      </c>
      <c r="H1987" s="10">
        <v>4000</v>
      </c>
      <c r="I1987" s="10"/>
      <c r="J1987" s="10">
        <v>4000</v>
      </c>
      <c r="K1987" s="10">
        <v>13.02</v>
      </c>
    </row>
    <row r="1988" spans="1:11" x14ac:dyDescent="0.25">
      <c r="A1988" s="8" t="s">
        <v>3505</v>
      </c>
      <c r="B1988" s="8" t="s">
        <v>120</v>
      </c>
      <c r="C1988" s="8" t="s">
        <v>3391</v>
      </c>
      <c r="D1988" s="8">
        <v>5</v>
      </c>
      <c r="E1988" s="8" t="s">
        <v>394</v>
      </c>
      <c r="F1988" s="8" t="s">
        <v>378</v>
      </c>
      <c r="G1988" s="8" t="s">
        <v>3393</v>
      </c>
      <c r="H1988" s="10">
        <v>4000</v>
      </c>
      <c r="I1988" s="10"/>
      <c r="J1988" s="10">
        <v>4000</v>
      </c>
      <c r="K1988" s="10">
        <v>13.02</v>
      </c>
    </row>
    <row r="1989" spans="1:11" x14ac:dyDescent="0.25">
      <c r="A1989" s="8" t="s">
        <v>3506</v>
      </c>
      <c r="B1989" s="8" t="s">
        <v>122</v>
      </c>
      <c r="C1989" s="8" t="s">
        <v>3391</v>
      </c>
      <c r="D1989" s="8">
        <v>5</v>
      </c>
      <c r="E1989" s="8" t="s">
        <v>394</v>
      </c>
      <c r="F1989" s="8" t="s">
        <v>378</v>
      </c>
      <c r="G1989" s="8" t="s">
        <v>3393</v>
      </c>
      <c r="H1989" s="10">
        <v>4000</v>
      </c>
      <c r="I1989" s="10"/>
      <c r="J1989" s="10">
        <v>4000</v>
      </c>
      <c r="K1989" s="10">
        <v>13.02</v>
      </c>
    </row>
    <row r="1990" spans="1:11" x14ac:dyDescent="0.25">
      <c r="A1990" s="8" t="s">
        <v>3507</v>
      </c>
      <c r="B1990" s="8" t="s">
        <v>124</v>
      </c>
      <c r="C1990" s="8" t="s">
        <v>3391</v>
      </c>
      <c r="D1990" s="8">
        <v>5</v>
      </c>
      <c r="E1990" s="8" t="s">
        <v>394</v>
      </c>
      <c r="F1990" s="8" t="s">
        <v>378</v>
      </c>
      <c r="G1990" s="8" t="s">
        <v>3393</v>
      </c>
      <c r="H1990" s="10">
        <v>4000</v>
      </c>
      <c r="I1990" s="10"/>
      <c r="J1990" s="10">
        <v>4000</v>
      </c>
      <c r="K1990" s="10">
        <v>13.02</v>
      </c>
    </row>
    <row r="1991" spans="1:11" x14ac:dyDescent="0.25">
      <c r="A1991" s="8" t="s">
        <v>3508</v>
      </c>
      <c r="B1991" s="8" t="s">
        <v>78</v>
      </c>
      <c r="C1991" s="8" t="s">
        <v>3391</v>
      </c>
      <c r="D1991" s="8">
        <v>5</v>
      </c>
      <c r="E1991" s="8" t="s">
        <v>394</v>
      </c>
      <c r="F1991" s="8" t="s">
        <v>378</v>
      </c>
      <c r="G1991" s="8" t="s">
        <v>3393</v>
      </c>
      <c r="H1991" s="10">
        <v>2000</v>
      </c>
      <c r="I1991" s="10"/>
      <c r="J1991" s="10">
        <v>2000</v>
      </c>
      <c r="K1991" s="10">
        <v>13.02</v>
      </c>
    </row>
    <row r="1992" spans="1:11" x14ac:dyDescent="0.25">
      <c r="A1992" s="8" t="s">
        <v>3509</v>
      </c>
      <c r="B1992" s="8" t="s">
        <v>1655</v>
      </c>
      <c r="C1992" s="8" t="s">
        <v>3391</v>
      </c>
      <c r="D1992" s="8">
        <v>5</v>
      </c>
      <c r="E1992" s="8" t="s">
        <v>394</v>
      </c>
      <c r="F1992" s="8" t="s">
        <v>378</v>
      </c>
      <c r="G1992" s="8" t="s">
        <v>3393</v>
      </c>
      <c r="H1992" s="10">
        <v>2500</v>
      </c>
      <c r="I1992" s="10"/>
      <c r="J1992" s="10">
        <v>2500</v>
      </c>
      <c r="K1992" s="10">
        <v>13.02</v>
      </c>
    </row>
    <row r="1993" spans="1:11" x14ac:dyDescent="0.25">
      <c r="A1993" s="8" t="s">
        <v>3510</v>
      </c>
      <c r="B1993" s="8" t="s">
        <v>128</v>
      </c>
      <c r="C1993" s="8" t="s">
        <v>3391</v>
      </c>
      <c r="D1993" s="8">
        <v>5</v>
      </c>
      <c r="E1993" s="8" t="s">
        <v>394</v>
      </c>
      <c r="F1993" s="8" t="s">
        <v>378</v>
      </c>
      <c r="G1993" s="8" t="s">
        <v>3393</v>
      </c>
      <c r="H1993" s="10">
        <v>700</v>
      </c>
      <c r="I1993" s="10"/>
      <c r="J1993" s="10">
        <v>700</v>
      </c>
      <c r="K1993" s="10">
        <v>13.02</v>
      </c>
    </row>
    <row r="1994" spans="1:11" x14ac:dyDescent="0.25">
      <c r="A1994" s="8" t="s">
        <v>3511</v>
      </c>
      <c r="B1994" s="8" t="s">
        <v>949</v>
      </c>
      <c r="C1994" s="8" t="s">
        <v>3391</v>
      </c>
      <c r="D1994" s="8">
        <v>5</v>
      </c>
      <c r="E1994" s="8" t="s">
        <v>394</v>
      </c>
      <c r="F1994" s="8" t="s">
        <v>378</v>
      </c>
      <c r="G1994" s="8" t="s">
        <v>3393</v>
      </c>
      <c r="H1994" s="10">
        <v>500</v>
      </c>
      <c r="I1994" s="10"/>
      <c r="J1994" s="10">
        <v>500</v>
      </c>
      <c r="K1994" s="10">
        <v>13.02</v>
      </c>
    </row>
    <row r="1995" spans="1:11" x14ac:dyDescent="0.25">
      <c r="A1995" s="8" t="s">
        <v>3512</v>
      </c>
      <c r="B1995" s="8" t="s">
        <v>130</v>
      </c>
      <c r="C1995" s="8" t="s">
        <v>3391</v>
      </c>
      <c r="D1995" s="8">
        <v>5</v>
      </c>
      <c r="E1995" s="8" t="s">
        <v>394</v>
      </c>
      <c r="F1995" s="8" t="s">
        <v>378</v>
      </c>
      <c r="G1995" s="8" t="s">
        <v>3393</v>
      </c>
      <c r="H1995" s="10">
        <v>300</v>
      </c>
      <c r="I1995" s="10"/>
      <c r="J1995" s="10">
        <v>300</v>
      </c>
      <c r="K1995" s="10">
        <v>13.02</v>
      </c>
    </row>
    <row r="1996" spans="1:11" x14ac:dyDescent="0.25">
      <c r="A1996" s="8" t="s">
        <v>3513</v>
      </c>
      <c r="B1996" s="8" t="s">
        <v>132</v>
      </c>
      <c r="C1996" s="8" t="s">
        <v>3391</v>
      </c>
      <c r="D1996" s="8">
        <v>5</v>
      </c>
      <c r="E1996" s="8" t="s">
        <v>394</v>
      </c>
      <c r="F1996" s="8" t="s">
        <v>378</v>
      </c>
      <c r="G1996" s="8" t="s">
        <v>3393</v>
      </c>
      <c r="H1996" s="10">
        <v>800</v>
      </c>
      <c r="I1996" s="10"/>
      <c r="J1996" s="10">
        <v>800</v>
      </c>
      <c r="K1996" s="10">
        <v>13.02</v>
      </c>
    </row>
    <row r="1997" spans="1:11" x14ac:dyDescent="0.25">
      <c r="A1997" s="8" t="s">
        <v>3514</v>
      </c>
      <c r="B1997" s="8" t="s">
        <v>134</v>
      </c>
      <c r="C1997" s="8" t="s">
        <v>3391</v>
      </c>
      <c r="D1997" s="8">
        <v>5</v>
      </c>
      <c r="E1997" s="8" t="s">
        <v>394</v>
      </c>
      <c r="F1997" s="8" t="s">
        <v>378</v>
      </c>
      <c r="G1997" s="8" t="s">
        <v>3393</v>
      </c>
      <c r="H1997" s="10">
        <v>1500</v>
      </c>
      <c r="I1997" s="10"/>
      <c r="J1997" s="10">
        <v>1500</v>
      </c>
      <c r="K1997" s="10">
        <v>13.02</v>
      </c>
    </row>
    <row r="1998" spans="1:11" x14ac:dyDescent="0.25">
      <c r="A1998" s="8" t="s">
        <v>3515</v>
      </c>
      <c r="B1998" s="8" t="s">
        <v>136</v>
      </c>
      <c r="C1998" s="8" t="s">
        <v>3391</v>
      </c>
      <c r="D1998" s="8">
        <v>5</v>
      </c>
      <c r="E1998" s="8" t="s">
        <v>394</v>
      </c>
      <c r="F1998" s="8" t="s">
        <v>378</v>
      </c>
      <c r="G1998" s="8" t="s">
        <v>3393</v>
      </c>
      <c r="H1998" s="10">
        <v>600</v>
      </c>
      <c r="I1998" s="10"/>
      <c r="J1998" s="10">
        <v>600</v>
      </c>
      <c r="K1998" s="10">
        <v>13.02</v>
      </c>
    </row>
    <row r="1999" spans="1:11" x14ac:dyDescent="0.25">
      <c r="A1999" s="8" t="s">
        <v>3516</v>
      </c>
      <c r="B1999" s="8" t="s">
        <v>1689</v>
      </c>
      <c r="C1999" s="8" t="s">
        <v>3391</v>
      </c>
      <c r="D1999" s="8">
        <v>5</v>
      </c>
      <c r="E1999" s="8" t="s">
        <v>394</v>
      </c>
      <c r="F1999" s="8" t="s">
        <v>378</v>
      </c>
      <c r="G1999" s="8" t="s">
        <v>3393</v>
      </c>
      <c r="H1999" s="10">
        <v>600</v>
      </c>
      <c r="I1999" s="10"/>
      <c r="J1999" s="10">
        <v>600</v>
      </c>
      <c r="K1999" s="10">
        <v>13.02</v>
      </c>
    </row>
    <row r="2000" spans="1:11" x14ac:dyDescent="0.25">
      <c r="A2000" s="8" t="s">
        <v>3517</v>
      </c>
      <c r="B2000" s="8" t="s">
        <v>3518</v>
      </c>
      <c r="C2000" s="8" t="s">
        <v>3391</v>
      </c>
      <c r="D2000" s="8">
        <v>5</v>
      </c>
      <c r="E2000" s="8" t="s">
        <v>394</v>
      </c>
      <c r="F2000" s="8" t="s">
        <v>378</v>
      </c>
      <c r="G2000" s="8" t="s">
        <v>3393</v>
      </c>
      <c r="H2000" s="10">
        <v>100</v>
      </c>
      <c r="I2000" s="10"/>
      <c r="J2000" s="10">
        <v>100</v>
      </c>
      <c r="K2000" s="10">
        <v>13.02</v>
      </c>
    </row>
    <row r="2001" spans="1:11" x14ac:dyDescent="0.25">
      <c r="A2001" s="8" t="s">
        <v>3519</v>
      </c>
      <c r="B2001" s="8" t="s">
        <v>138</v>
      </c>
      <c r="C2001" s="8" t="s">
        <v>3391</v>
      </c>
      <c r="D2001" s="8">
        <v>5</v>
      </c>
      <c r="E2001" s="8" t="s">
        <v>394</v>
      </c>
      <c r="F2001" s="8" t="s">
        <v>378</v>
      </c>
      <c r="G2001" s="8" t="s">
        <v>3393</v>
      </c>
      <c r="H2001" s="10">
        <v>200</v>
      </c>
      <c r="I2001" s="10"/>
      <c r="J2001" s="10">
        <v>200</v>
      </c>
      <c r="K2001" s="10">
        <v>13.02</v>
      </c>
    </row>
    <row r="2002" spans="1:11" x14ac:dyDescent="0.25">
      <c r="A2002" s="8" t="s">
        <v>3520</v>
      </c>
      <c r="B2002" s="8" t="s">
        <v>3521</v>
      </c>
      <c r="C2002" s="8" t="s">
        <v>3391</v>
      </c>
      <c r="D2002" s="8">
        <v>5</v>
      </c>
      <c r="E2002" s="8" t="s">
        <v>394</v>
      </c>
      <c r="F2002" s="8" t="s">
        <v>378</v>
      </c>
      <c r="G2002" s="8" t="s">
        <v>3393</v>
      </c>
      <c r="H2002" s="10">
        <v>450</v>
      </c>
      <c r="I2002" s="10"/>
      <c r="J2002" s="10">
        <v>450</v>
      </c>
      <c r="K2002" s="10">
        <v>13.02</v>
      </c>
    </row>
    <row r="2003" spans="1:11" x14ac:dyDescent="0.25">
      <c r="A2003" s="8" t="s">
        <v>3522</v>
      </c>
      <c r="B2003" s="8" t="s">
        <v>80</v>
      </c>
      <c r="C2003" s="8" t="s">
        <v>3391</v>
      </c>
      <c r="D2003" s="8">
        <v>5</v>
      </c>
      <c r="E2003" s="8" t="s">
        <v>394</v>
      </c>
      <c r="F2003" s="8" t="s">
        <v>378</v>
      </c>
      <c r="G2003" s="8" t="s">
        <v>3393</v>
      </c>
      <c r="H2003" s="10">
        <v>400</v>
      </c>
      <c r="I2003" s="10"/>
      <c r="J2003" s="10">
        <v>400</v>
      </c>
      <c r="K2003" s="10">
        <v>13.02</v>
      </c>
    </row>
    <row r="2004" spans="1:11" x14ac:dyDescent="0.25">
      <c r="A2004" s="8" t="s">
        <v>3523</v>
      </c>
      <c r="B2004" s="8" t="s">
        <v>116</v>
      </c>
      <c r="C2004" s="8" t="s">
        <v>3391</v>
      </c>
      <c r="D2004" s="8">
        <v>5</v>
      </c>
      <c r="E2004" s="8" t="s">
        <v>3524</v>
      </c>
      <c r="F2004" s="8" t="s">
        <v>378</v>
      </c>
      <c r="G2004" s="8" t="s">
        <v>3393</v>
      </c>
      <c r="H2004" s="10">
        <v>2000</v>
      </c>
      <c r="I2004" s="10"/>
      <c r="J2004" s="10">
        <v>2000</v>
      </c>
      <c r="K2004" s="10">
        <v>14.47</v>
      </c>
    </row>
    <row r="2005" spans="1:11" x14ac:dyDescent="0.25">
      <c r="A2005" s="8" t="s">
        <v>3525</v>
      </c>
      <c r="B2005" s="8" t="s">
        <v>118</v>
      </c>
      <c r="C2005" s="8" t="s">
        <v>3391</v>
      </c>
      <c r="D2005" s="8">
        <v>5</v>
      </c>
      <c r="E2005" s="8" t="s">
        <v>3524</v>
      </c>
      <c r="F2005" s="8" t="s">
        <v>378</v>
      </c>
      <c r="G2005" s="8" t="s">
        <v>3393</v>
      </c>
      <c r="H2005" s="10">
        <v>2000</v>
      </c>
      <c r="I2005" s="10"/>
      <c r="J2005" s="10">
        <v>2000</v>
      </c>
      <c r="K2005" s="10">
        <v>14.47</v>
      </c>
    </row>
    <row r="2006" spans="1:11" x14ac:dyDescent="0.25">
      <c r="A2006" s="8" t="s">
        <v>3526</v>
      </c>
      <c r="B2006" s="8" t="s">
        <v>1650</v>
      </c>
      <c r="C2006" s="8" t="s">
        <v>3391</v>
      </c>
      <c r="D2006" s="8">
        <v>5</v>
      </c>
      <c r="E2006" s="8" t="s">
        <v>3524</v>
      </c>
      <c r="F2006" s="8" t="s">
        <v>378</v>
      </c>
      <c r="G2006" s="8" t="s">
        <v>3393</v>
      </c>
      <c r="H2006" s="10">
        <v>1500</v>
      </c>
      <c r="I2006" s="10"/>
      <c r="J2006" s="10">
        <v>1500</v>
      </c>
      <c r="K2006" s="10">
        <v>14.47</v>
      </c>
    </row>
    <row r="2007" spans="1:11" x14ac:dyDescent="0.25">
      <c r="A2007" s="8" t="s">
        <v>3527</v>
      </c>
      <c r="B2007" s="8" t="s">
        <v>120</v>
      </c>
      <c r="C2007" s="8" t="s">
        <v>3391</v>
      </c>
      <c r="D2007" s="8">
        <v>5</v>
      </c>
      <c r="E2007" s="8" t="s">
        <v>3524</v>
      </c>
      <c r="F2007" s="8" t="s">
        <v>378</v>
      </c>
      <c r="G2007" s="8" t="s">
        <v>3393</v>
      </c>
      <c r="H2007" s="10">
        <v>3000</v>
      </c>
      <c r="I2007" s="10"/>
      <c r="J2007" s="10">
        <v>3000</v>
      </c>
      <c r="K2007" s="10">
        <v>14.47</v>
      </c>
    </row>
    <row r="2008" spans="1:11" x14ac:dyDescent="0.25">
      <c r="A2008" s="8" t="s">
        <v>3528</v>
      </c>
      <c r="B2008" s="8" t="s">
        <v>120</v>
      </c>
      <c r="C2008" s="8" t="s">
        <v>3391</v>
      </c>
      <c r="D2008" s="8">
        <v>5</v>
      </c>
      <c r="E2008" s="8" t="s">
        <v>3524</v>
      </c>
      <c r="F2008" s="8" t="s">
        <v>378</v>
      </c>
      <c r="G2008" s="8" t="s">
        <v>3393</v>
      </c>
      <c r="H2008" s="10">
        <v>3000</v>
      </c>
      <c r="I2008" s="10"/>
      <c r="J2008" s="10">
        <v>3000</v>
      </c>
      <c r="K2008" s="10">
        <v>14.47</v>
      </c>
    </row>
    <row r="2009" spans="1:11" x14ac:dyDescent="0.25">
      <c r="A2009" s="8" t="s">
        <v>3529</v>
      </c>
      <c r="B2009" s="8" t="s">
        <v>122</v>
      </c>
      <c r="C2009" s="8" t="s">
        <v>3391</v>
      </c>
      <c r="D2009" s="8">
        <v>5</v>
      </c>
      <c r="E2009" s="8" t="s">
        <v>3524</v>
      </c>
      <c r="F2009" s="8" t="s">
        <v>378</v>
      </c>
      <c r="G2009" s="8" t="s">
        <v>3393</v>
      </c>
      <c r="H2009" s="10">
        <v>3000</v>
      </c>
      <c r="I2009" s="10"/>
      <c r="J2009" s="10">
        <v>3000</v>
      </c>
      <c r="K2009" s="10">
        <v>14.47</v>
      </c>
    </row>
    <row r="2010" spans="1:11" x14ac:dyDescent="0.25">
      <c r="A2010" s="8" t="s">
        <v>3530</v>
      </c>
      <c r="B2010" s="8" t="s">
        <v>124</v>
      </c>
      <c r="C2010" s="8" t="s">
        <v>3391</v>
      </c>
      <c r="D2010" s="8">
        <v>5</v>
      </c>
      <c r="E2010" s="8" t="s">
        <v>3524</v>
      </c>
      <c r="F2010" s="8" t="s">
        <v>378</v>
      </c>
      <c r="G2010" s="8" t="s">
        <v>3393</v>
      </c>
      <c r="H2010" s="10">
        <v>3000</v>
      </c>
      <c r="I2010" s="10"/>
      <c r="J2010" s="10">
        <v>3000</v>
      </c>
      <c r="K2010" s="10">
        <v>14.47</v>
      </c>
    </row>
    <row r="2011" spans="1:11" x14ac:dyDescent="0.25">
      <c r="A2011" s="8" t="s">
        <v>3531</v>
      </c>
      <c r="B2011" s="8" t="s">
        <v>78</v>
      </c>
      <c r="C2011" s="8" t="s">
        <v>3391</v>
      </c>
      <c r="D2011" s="8">
        <v>5</v>
      </c>
      <c r="E2011" s="8" t="s">
        <v>3524</v>
      </c>
      <c r="F2011" s="8" t="s">
        <v>378</v>
      </c>
      <c r="G2011" s="8" t="s">
        <v>3393</v>
      </c>
      <c r="H2011" s="10">
        <v>1500</v>
      </c>
      <c r="I2011" s="10"/>
      <c r="J2011" s="10">
        <v>1500</v>
      </c>
      <c r="K2011" s="10">
        <v>14.47</v>
      </c>
    </row>
    <row r="2012" spans="1:11" x14ac:dyDescent="0.25">
      <c r="A2012" s="8" t="s">
        <v>3532</v>
      </c>
      <c r="B2012" s="8" t="s">
        <v>1655</v>
      </c>
      <c r="C2012" s="8" t="s">
        <v>3391</v>
      </c>
      <c r="D2012" s="8">
        <v>5</v>
      </c>
      <c r="E2012" s="8" t="s">
        <v>3524</v>
      </c>
      <c r="F2012" s="8" t="s">
        <v>378</v>
      </c>
      <c r="G2012" s="8" t="s">
        <v>3393</v>
      </c>
      <c r="H2012" s="10">
        <v>1800</v>
      </c>
      <c r="I2012" s="10"/>
      <c r="J2012" s="10">
        <v>1800</v>
      </c>
      <c r="K2012" s="10">
        <v>14.47</v>
      </c>
    </row>
    <row r="2013" spans="1:11" x14ac:dyDescent="0.25">
      <c r="A2013" s="8" t="s">
        <v>3533</v>
      </c>
      <c r="B2013" s="8" t="s">
        <v>128</v>
      </c>
      <c r="C2013" s="8" t="s">
        <v>3391</v>
      </c>
      <c r="D2013" s="8">
        <v>5</v>
      </c>
      <c r="E2013" s="8" t="s">
        <v>3524</v>
      </c>
      <c r="F2013" s="8" t="s">
        <v>378</v>
      </c>
      <c r="G2013" s="8" t="s">
        <v>3393</v>
      </c>
      <c r="H2013" s="10">
        <v>400</v>
      </c>
      <c r="I2013" s="10"/>
      <c r="J2013" s="10">
        <v>400</v>
      </c>
      <c r="K2013" s="10">
        <v>14.47</v>
      </c>
    </row>
    <row r="2014" spans="1:11" x14ac:dyDescent="0.25">
      <c r="A2014" s="8" t="s">
        <v>3534</v>
      </c>
      <c r="B2014" s="8" t="s">
        <v>949</v>
      </c>
      <c r="C2014" s="8" t="s">
        <v>3391</v>
      </c>
      <c r="D2014" s="8">
        <v>5</v>
      </c>
      <c r="E2014" s="8" t="s">
        <v>3524</v>
      </c>
      <c r="F2014" s="8" t="s">
        <v>378</v>
      </c>
      <c r="G2014" s="8" t="s">
        <v>3393</v>
      </c>
      <c r="H2014" s="10">
        <v>500</v>
      </c>
      <c r="I2014" s="10"/>
      <c r="J2014" s="10">
        <v>500</v>
      </c>
      <c r="K2014" s="10">
        <v>14.47</v>
      </c>
    </row>
    <row r="2015" spans="1:11" x14ac:dyDescent="0.25">
      <c r="A2015" s="8" t="s">
        <v>3535</v>
      </c>
      <c r="B2015" s="8" t="s">
        <v>130</v>
      </c>
      <c r="C2015" s="8" t="s">
        <v>3391</v>
      </c>
      <c r="D2015" s="8">
        <v>5</v>
      </c>
      <c r="E2015" s="8" t="s">
        <v>3524</v>
      </c>
      <c r="F2015" s="8" t="s">
        <v>378</v>
      </c>
      <c r="G2015" s="8" t="s">
        <v>3393</v>
      </c>
      <c r="H2015" s="10">
        <v>200</v>
      </c>
      <c r="I2015" s="10"/>
      <c r="J2015" s="10">
        <v>200</v>
      </c>
      <c r="K2015" s="10">
        <v>14.47</v>
      </c>
    </row>
    <row r="2016" spans="1:11" x14ac:dyDescent="0.25">
      <c r="A2016" s="8" t="s">
        <v>3536</v>
      </c>
      <c r="B2016" s="8" t="s">
        <v>132</v>
      </c>
      <c r="C2016" s="8" t="s">
        <v>3391</v>
      </c>
      <c r="D2016" s="8">
        <v>5</v>
      </c>
      <c r="E2016" s="8" t="s">
        <v>3524</v>
      </c>
      <c r="F2016" s="8" t="s">
        <v>378</v>
      </c>
      <c r="G2016" s="8" t="s">
        <v>3393</v>
      </c>
      <c r="H2016" s="10">
        <v>500</v>
      </c>
      <c r="I2016" s="10"/>
      <c r="J2016" s="10">
        <v>500</v>
      </c>
      <c r="K2016" s="10">
        <v>14.47</v>
      </c>
    </row>
    <row r="2017" spans="1:11" x14ac:dyDescent="0.25">
      <c r="A2017" s="8" t="s">
        <v>3537</v>
      </c>
      <c r="B2017" s="8" t="s">
        <v>134</v>
      </c>
      <c r="C2017" s="8" t="s">
        <v>3391</v>
      </c>
      <c r="D2017" s="8">
        <v>5</v>
      </c>
      <c r="E2017" s="8" t="s">
        <v>3524</v>
      </c>
      <c r="F2017" s="8" t="s">
        <v>378</v>
      </c>
      <c r="G2017" s="8" t="s">
        <v>3393</v>
      </c>
      <c r="H2017" s="10">
        <v>1200</v>
      </c>
      <c r="I2017" s="10"/>
      <c r="J2017" s="10">
        <v>1200</v>
      </c>
      <c r="K2017" s="10">
        <v>14.47</v>
      </c>
    </row>
    <row r="2018" spans="1:11" x14ac:dyDescent="0.25">
      <c r="A2018" s="8" t="s">
        <v>3538</v>
      </c>
      <c r="B2018" s="8" t="s">
        <v>136</v>
      </c>
      <c r="C2018" s="8" t="s">
        <v>3391</v>
      </c>
      <c r="D2018" s="8">
        <v>5</v>
      </c>
      <c r="E2018" s="8" t="s">
        <v>3524</v>
      </c>
      <c r="F2018" s="8" t="s">
        <v>378</v>
      </c>
      <c r="G2018" s="8" t="s">
        <v>3393</v>
      </c>
      <c r="H2018" s="10">
        <v>400</v>
      </c>
      <c r="I2018" s="10"/>
      <c r="J2018" s="10">
        <v>400</v>
      </c>
      <c r="K2018" s="10">
        <v>14.47</v>
      </c>
    </row>
    <row r="2019" spans="1:11" x14ac:dyDescent="0.25">
      <c r="A2019" s="8" t="s">
        <v>3539</v>
      </c>
      <c r="B2019" s="8" t="s">
        <v>1689</v>
      </c>
      <c r="C2019" s="8" t="s">
        <v>3391</v>
      </c>
      <c r="D2019" s="8">
        <v>5</v>
      </c>
      <c r="E2019" s="8" t="s">
        <v>3524</v>
      </c>
      <c r="F2019" s="8" t="s">
        <v>378</v>
      </c>
      <c r="G2019" s="8" t="s">
        <v>3393</v>
      </c>
      <c r="H2019" s="10">
        <v>40</v>
      </c>
      <c r="I2019" s="10"/>
      <c r="J2019" s="10">
        <v>40</v>
      </c>
      <c r="K2019" s="10">
        <v>14.47</v>
      </c>
    </row>
    <row r="2020" spans="1:11" x14ac:dyDescent="0.25">
      <c r="A2020" s="8" t="s">
        <v>3540</v>
      </c>
      <c r="B2020" s="8" t="s">
        <v>138</v>
      </c>
      <c r="C2020" s="8" t="s">
        <v>3391</v>
      </c>
      <c r="D2020" s="8">
        <v>5</v>
      </c>
      <c r="E2020" s="8" t="s">
        <v>3524</v>
      </c>
      <c r="F2020" s="8" t="s">
        <v>378</v>
      </c>
      <c r="G2020" s="8" t="s">
        <v>3393</v>
      </c>
      <c r="H2020" s="10">
        <v>100</v>
      </c>
      <c r="I2020" s="10"/>
      <c r="J2020" s="10">
        <v>100</v>
      </c>
      <c r="K2020" s="10">
        <v>14.47</v>
      </c>
    </row>
    <row r="2021" spans="1:11" x14ac:dyDescent="0.25">
      <c r="A2021" s="8" t="s">
        <v>3541</v>
      </c>
      <c r="B2021" s="8" t="s">
        <v>3521</v>
      </c>
      <c r="C2021" s="8" t="s">
        <v>3391</v>
      </c>
      <c r="D2021" s="8">
        <v>5</v>
      </c>
      <c r="E2021" s="8" t="s">
        <v>3524</v>
      </c>
      <c r="F2021" s="8" t="s">
        <v>378</v>
      </c>
      <c r="G2021" s="8" t="s">
        <v>3393</v>
      </c>
      <c r="H2021" s="10">
        <v>200</v>
      </c>
      <c r="I2021" s="10"/>
      <c r="J2021" s="10">
        <v>200</v>
      </c>
      <c r="K2021" s="10">
        <v>14.47</v>
      </c>
    </row>
    <row r="2022" spans="1:11" x14ac:dyDescent="0.25">
      <c r="A2022" s="8" t="s">
        <v>3542</v>
      </c>
      <c r="B2022" s="8" t="s">
        <v>80</v>
      </c>
      <c r="C2022" s="8" t="s">
        <v>3391</v>
      </c>
      <c r="D2022" s="8">
        <v>5</v>
      </c>
      <c r="E2022" s="8" t="s">
        <v>3524</v>
      </c>
      <c r="F2022" s="8" t="s">
        <v>378</v>
      </c>
      <c r="G2022" s="8" t="s">
        <v>3393</v>
      </c>
      <c r="H2022" s="10">
        <v>300</v>
      </c>
      <c r="I2022" s="10"/>
      <c r="J2022" s="10">
        <v>300</v>
      </c>
      <c r="K2022" s="10">
        <v>14.47</v>
      </c>
    </row>
    <row r="2023" spans="1:11" x14ac:dyDescent="0.25">
      <c r="A2023" s="8" t="s">
        <v>3543</v>
      </c>
      <c r="B2023" s="8" t="s">
        <v>116</v>
      </c>
      <c r="C2023" s="8" t="s">
        <v>3391</v>
      </c>
      <c r="D2023" s="8">
        <v>5</v>
      </c>
      <c r="E2023" s="8" t="s">
        <v>3544</v>
      </c>
      <c r="F2023" s="8" t="s">
        <v>378</v>
      </c>
      <c r="G2023" s="8" t="s">
        <v>3393</v>
      </c>
      <c r="H2023" s="10">
        <v>1000</v>
      </c>
      <c r="I2023" s="10"/>
      <c r="J2023" s="10">
        <v>1000</v>
      </c>
      <c r="K2023" s="10">
        <v>14.51</v>
      </c>
    </row>
    <row r="2024" spans="1:11" x14ac:dyDescent="0.25">
      <c r="A2024" s="8" t="s">
        <v>3545</v>
      </c>
      <c r="B2024" s="8" t="s">
        <v>118</v>
      </c>
      <c r="C2024" s="8" t="s">
        <v>3391</v>
      </c>
      <c r="D2024" s="8">
        <v>5</v>
      </c>
      <c r="E2024" s="8" t="s">
        <v>3544</v>
      </c>
      <c r="F2024" s="8" t="s">
        <v>378</v>
      </c>
      <c r="G2024" s="8" t="s">
        <v>3393</v>
      </c>
      <c r="H2024" s="10">
        <v>1000</v>
      </c>
      <c r="I2024" s="10"/>
      <c r="J2024" s="10">
        <v>1000</v>
      </c>
      <c r="K2024" s="10">
        <v>14.51</v>
      </c>
    </row>
    <row r="2025" spans="1:11" x14ac:dyDescent="0.25">
      <c r="A2025" s="8" t="s">
        <v>3546</v>
      </c>
      <c r="B2025" s="8" t="s">
        <v>1650</v>
      </c>
      <c r="C2025" s="8" t="s">
        <v>3391</v>
      </c>
      <c r="D2025" s="8">
        <v>5</v>
      </c>
      <c r="E2025" s="8" t="s">
        <v>3544</v>
      </c>
      <c r="F2025" s="8" t="s">
        <v>378</v>
      </c>
      <c r="G2025" s="8" t="s">
        <v>3393</v>
      </c>
      <c r="H2025" s="10">
        <v>500</v>
      </c>
      <c r="I2025" s="10"/>
      <c r="J2025" s="10">
        <v>500</v>
      </c>
      <c r="K2025" s="10">
        <v>14.51</v>
      </c>
    </row>
    <row r="2026" spans="1:11" x14ac:dyDescent="0.25">
      <c r="A2026" s="8" t="s">
        <v>3547</v>
      </c>
      <c r="B2026" s="8" t="s">
        <v>120</v>
      </c>
      <c r="C2026" s="8" t="s">
        <v>3391</v>
      </c>
      <c r="D2026" s="8">
        <v>5</v>
      </c>
      <c r="E2026" s="8" t="s">
        <v>3544</v>
      </c>
      <c r="F2026" s="8" t="s">
        <v>378</v>
      </c>
      <c r="G2026" s="8" t="s">
        <v>3393</v>
      </c>
      <c r="H2026" s="10">
        <v>1000</v>
      </c>
      <c r="I2026" s="10"/>
      <c r="J2026" s="10">
        <v>1000</v>
      </c>
      <c r="K2026" s="10">
        <v>14.51</v>
      </c>
    </row>
    <row r="2027" spans="1:11" x14ac:dyDescent="0.25">
      <c r="A2027" s="8" t="s">
        <v>3548</v>
      </c>
      <c r="B2027" s="8" t="s">
        <v>120</v>
      </c>
      <c r="C2027" s="8" t="s">
        <v>3391</v>
      </c>
      <c r="D2027" s="8">
        <v>5</v>
      </c>
      <c r="E2027" s="8" t="s">
        <v>3544</v>
      </c>
      <c r="F2027" s="8" t="s">
        <v>378</v>
      </c>
      <c r="G2027" s="8" t="s">
        <v>3393</v>
      </c>
      <c r="H2027" s="10">
        <v>300</v>
      </c>
      <c r="I2027" s="10"/>
      <c r="J2027" s="10">
        <v>300</v>
      </c>
      <c r="K2027" s="10">
        <v>14.51</v>
      </c>
    </row>
    <row r="2028" spans="1:11" x14ac:dyDescent="0.25">
      <c r="A2028" s="8" t="s">
        <v>3549</v>
      </c>
      <c r="B2028" s="8" t="s">
        <v>122</v>
      </c>
      <c r="C2028" s="8" t="s">
        <v>3391</v>
      </c>
      <c r="D2028" s="8">
        <v>5</v>
      </c>
      <c r="E2028" s="8" t="s">
        <v>3544</v>
      </c>
      <c r="F2028" s="8" t="s">
        <v>378</v>
      </c>
      <c r="G2028" s="8" t="s">
        <v>3393</v>
      </c>
      <c r="H2028" s="10">
        <v>1000</v>
      </c>
      <c r="I2028" s="10"/>
      <c r="J2028" s="10">
        <v>1000</v>
      </c>
      <c r="K2028" s="10">
        <v>14.51</v>
      </c>
    </row>
    <row r="2029" spans="1:11" x14ac:dyDescent="0.25">
      <c r="A2029" s="8" t="s">
        <v>3550</v>
      </c>
      <c r="B2029" s="8" t="s">
        <v>124</v>
      </c>
      <c r="C2029" s="8" t="s">
        <v>3391</v>
      </c>
      <c r="D2029" s="8">
        <v>5</v>
      </c>
      <c r="E2029" s="8" t="s">
        <v>3544</v>
      </c>
      <c r="F2029" s="8" t="s">
        <v>378</v>
      </c>
      <c r="G2029" s="8" t="s">
        <v>3393</v>
      </c>
      <c r="H2029" s="10">
        <v>1000</v>
      </c>
      <c r="I2029" s="10"/>
      <c r="J2029" s="10">
        <v>1000</v>
      </c>
      <c r="K2029" s="10">
        <v>14.51</v>
      </c>
    </row>
    <row r="2030" spans="1:11" x14ac:dyDescent="0.25">
      <c r="A2030" s="8" t="s">
        <v>3551</v>
      </c>
      <c r="B2030" s="8" t="s">
        <v>78</v>
      </c>
      <c r="C2030" s="8" t="s">
        <v>3391</v>
      </c>
      <c r="D2030" s="8">
        <v>5</v>
      </c>
      <c r="E2030" s="8" t="s">
        <v>3544</v>
      </c>
      <c r="F2030" s="8" t="s">
        <v>378</v>
      </c>
      <c r="G2030" s="8" t="s">
        <v>3393</v>
      </c>
      <c r="H2030" s="10">
        <v>500</v>
      </c>
      <c r="I2030" s="10"/>
      <c r="J2030" s="10">
        <v>500</v>
      </c>
      <c r="K2030" s="10">
        <v>14.51</v>
      </c>
    </row>
    <row r="2031" spans="1:11" x14ac:dyDescent="0.25">
      <c r="A2031" s="8" t="s">
        <v>3552</v>
      </c>
      <c r="B2031" s="8" t="s">
        <v>1655</v>
      </c>
      <c r="C2031" s="8" t="s">
        <v>3391</v>
      </c>
      <c r="D2031" s="8">
        <v>5</v>
      </c>
      <c r="E2031" s="8" t="s">
        <v>3544</v>
      </c>
      <c r="F2031" s="8" t="s">
        <v>378</v>
      </c>
      <c r="G2031" s="8" t="s">
        <v>3393</v>
      </c>
      <c r="H2031" s="10">
        <v>300</v>
      </c>
      <c r="I2031" s="10"/>
      <c r="J2031" s="10">
        <v>300</v>
      </c>
      <c r="K2031" s="10">
        <v>14.51</v>
      </c>
    </row>
    <row r="2032" spans="1:11" x14ac:dyDescent="0.25">
      <c r="A2032" s="8" t="s">
        <v>3553</v>
      </c>
      <c r="B2032" s="8" t="s">
        <v>128</v>
      </c>
      <c r="C2032" s="8" t="s">
        <v>3391</v>
      </c>
      <c r="D2032" s="8">
        <v>5</v>
      </c>
      <c r="E2032" s="8" t="s">
        <v>3544</v>
      </c>
      <c r="F2032" s="8" t="s">
        <v>378</v>
      </c>
      <c r="G2032" s="8" t="s">
        <v>3393</v>
      </c>
      <c r="H2032" s="10">
        <v>300</v>
      </c>
      <c r="I2032" s="10"/>
      <c r="J2032" s="10">
        <v>300</v>
      </c>
      <c r="K2032" s="10">
        <v>14.51</v>
      </c>
    </row>
    <row r="2033" spans="1:11" x14ac:dyDescent="0.25">
      <c r="A2033" s="8" t="s">
        <v>3554</v>
      </c>
      <c r="B2033" s="8" t="s">
        <v>130</v>
      </c>
      <c r="C2033" s="8" t="s">
        <v>3391</v>
      </c>
      <c r="D2033" s="8">
        <v>5</v>
      </c>
      <c r="E2033" s="8" t="s">
        <v>3544</v>
      </c>
      <c r="F2033" s="8" t="s">
        <v>378</v>
      </c>
      <c r="G2033" s="8" t="s">
        <v>3393</v>
      </c>
      <c r="H2033" s="10">
        <v>200</v>
      </c>
      <c r="I2033" s="10"/>
      <c r="J2033" s="10">
        <v>200</v>
      </c>
      <c r="K2033" s="10">
        <v>14.51</v>
      </c>
    </row>
    <row r="2034" spans="1:11" x14ac:dyDescent="0.25">
      <c r="A2034" s="8" t="s">
        <v>3555</v>
      </c>
      <c r="B2034" s="8" t="s">
        <v>132</v>
      </c>
      <c r="C2034" s="8" t="s">
        <v>3391</v>
      </c>
      <c r="D2034" s="8">
        <v>5</v>
      </c>
      <c r="E2034" s="8" t="s">
        <v>3544</v>
      </c>
      <c r="F2034" s="8" t="s">
        <v>378</v>
      </c>
      <c r="G2034" s="8" t="s">
        <v>3393</v>
      </c>
      <c r="H2034" s="10">
        <v>300</v>
      </c>
      <c r="I2034" s="10"/>
      <c r="J2034" s="10">
        <v>300</v>
      </c>
      <c r="K2034" s="10">
        <v>14.51</v>
      </c>
    </row>
    <row r="2035" spans="1:11" x14ac:dyDescent="0.25">
      <c r="A2035" s="8" t="s">
        <v>3556</v>
      </c>
      <c r="B2035" s="8" t="s">
        <v>134</v>
      </c>
      <c r="C2035" s="8" t="s">
        <v>3391</v>
      </c>
      <c r="D2035" s="8">
        <v>5</v>
      </c>
      <c r="E2035" s="8" t="s">
        <v>3544</v>
      </c>
      <c r="F2035" s="8" t="s">
        <v>378</v>
      </c>
      <c r="G2035" s="8" t="s">
        <v>3393</v>
      </c>
      <c r="H2035" s="10">
        <v>500</v>
      </c>
      <c r="I2035" s="10"/>
      <c r="J2035" s="10">
        <v>500</v>
      </c>
      <c r="K2035" s="10">
        <v>14.51</v>
      </c>
    </row>
    <row r="2036" spans="1:11" x14ac:dyDescent="0.25">
      <c r="A2036" s="8" t="s">
        <v>3557</v>
      </c>
      <c r="B2036" s="8" t="s">
        <v>136</v>
      </c>
      <c r="C2036" s="8" t="s">
        <v>3391</v>
      </c>
      <c r="D2036" s="8">
        <v>5</v>
      </c>
      <c r="E2036" s="8" t="s">
        <v>3544</v>
      </c>
      <c r="F2036" s="8" t="s">
        <v>378</v>
      </c>
      <c r="G2036" s="8" t="s">
        <v>3393</v>
      </c>
      <c r="H2036" s="10">
        <v>500</v>
      </c>
      <c r="I2036" s="10"/>
      <c r="J2036" s="10">
        <v>500</v>
      </c>
      <c r="K2036" s="10">
        <v>14.51</v>
      </c>
    </row>
    <row r="2037" spans="1:11" x14ac:dyDescent="0.25">
      <c r="A2037" s="8" t="s">
        <v>3558</v>
      </c>
      <c r="B2037" s="8" t="s">
        <v>116</v>
      </c>
      <c r="C2037" s="8" t="s">
        <v>3361</v>
      </c>
      <c r="D2037" s="8">
        <v>4</v>
      </c>
      <c r="E2037" s="8" t="s">
        <v>3559</v>
      </c>
      <c r="F2037" s="8" t="s">
        <v>378</v>
      </c>
      <c r="G2037" s="8" t="s">
        <v>3363</v>
      </c>
      <c r="H2037" s="10">
        <v>200</v>
      </c>
      <c r="I2037" s="10"/>
      <c r="J2037" s="10">
        <v>200</v>
      </c>
      <c r="K2037" s="10">
        <v>19.78</v>
      </c>
    </row>
    <row r="2038" spans="1:11" x14ac:dyDescent="0.25">
      <c r="A2038" s="8" t="s">
        <v>3560</v>
      </c>
      <c r="B2038" s="8" t="s">
        <v>118</v>
      </c>
      <c r="C2038" s="8" t="s">
        <v>3361</v>
      </c>
      <c r="D2038" s="8">
        <v>4</v>
      </c>
      <c r="E2038" s="8" t="s">
        <v>3559</v>
      </c>
      <c r="F2038" s="8" t="s">
        <v>378</v>
      </c>
      <c r="G2038" s="8" t="s">
        <v>3363</v>
      </c>
      <c r="H2038" s="10">
        <v>200</v>
      </c>
      <c r="I2038" s="10"/>
      <c r="J2038" s="10">
        <v>200</v>
      </c>
      <c r="K2038" s="10">
        <v>19.78</v>
      </c>
    </row>
    <row r="2039" spans="1:11" x14ac:dyDescent="0.25">
      <c r="A2039" s="8" t="s">
        <v>3561</v>
      </c>
      <c r="B2039" s="8" t="s">
        <v>120</v>
      </c>
      <c r="C2039" s="8" t="s">
        <v>3361</v>
      </c>
      <c r="D2039" s="8">
        <v>4</v>
      </c>
      <c r="E2039" s="8" t="s">
        <v>3559</v>
      </c>
      <c r="F2039" s="8" t="s">
        <v>378</v>
      </c>
      <c r="G2039" s="8" t="s">
        <v>3363</v>
      </c>
      <c r="H2039" s="10">
        <v>300</v>
      </c>
      <c r="I2039" s="10"/>
      <c r="J2039" s="10">
        <v>300</v>
      </c>
      <c r="K2039" s="10">
        <v>19.78</v>
      </c>
    </row>
    <row r="2040" spans="1:11" x14ac:dyDescent="0.25">
      <c r="A2040" s="8" t="s">
        <v>3562</v>
      </c>
      <c r="B2040" s="8" t="s">
        <v>122</v>
      </c>
      <c r="C2040" s="8" t="s">
        <v>3361</v>
      </c>
      <c r="D2040" s="8">
        <v>4</v>
      </c>
      <c r="E2040" s="8" t="s">
        <v>3559</v>
      </c>
      <c r="F2040" s="8" t="s">
        <v>378</v>
      </c>
      <c r="G2040" s="8" t="s">
        <v>3363</v>
      </c>
      <c r="H2040" s="10">
        <v>300</v>
      </c>
      <c r="I2040" s="10"/>
      <c r="J2040" s="10">
        <v>300</v>
      </c>
      <c r="K2040" s="10">
        <v>19.78</v>
      </c>
    </row>
    <row r="2041" spans="1:11" x14ac:dyDescent="0.25">
      <c r="A2041" s="8" t="s">
        <v>3563</v>
      </c>
      <c r="B2041" s="8" t="s">
        <v>124</v>
      </c>
      <c r="C2041" s="8" t="s">
        <v>3361</v>
      </c>
      <c r="D2041" s="8">
        <v>4</v>
      </c>
      <c r="E2041" s="8" t="s">
        <v>3559</v>
      </c>
      <c r="F2041" s="8" t="s">
        <v>378</v>
      </c>
      <c r="G2041" s="8" t="s">
        <v>3363</v>
      </c>
      <c r="H2041" s="10">
        <v>300</v>
      </c>
      <c r="I2041" s="10"/>
      <c r="J2041" s="10">
        <v>300</v>
      </c>
      <c r="K2041" s="10">
        <v>19.78</v>
      </c>
    </row>
    <row r="2042" spans="1:11" x14ac:dyDescent="0.25">
      <c r="A2042" s="8" t="s">
        <v>3564</v>
      </c>
      <c r="B2042" s="8" t="s">
        <v>78</v>
      </c>
      <c r="C2042" s="8" t="s">
        <v>3361</v>
      </c>
      <c r="D2042" s="8">
        <v>4</v>
      </c>
      <c r="E2042" s="8" t="s">
        <v>3559</v>
      </c>
      <c r="F2042" s="8" t="s">
        <v>378</v>
      </c>
      <c r="G2042" s="8" t="s">
        <v>3363</v>
      </c>
      <c r="H2042" s="10">
        <v>200</v>
      </c>
      <c r="I2042" s="10"/>
      <c r="J2042" s="10">
        <v>200</v>
      </c>
      <c r="K2042" s="10">
        <v>19.78</v>
      </c>
    </row>
    <row r="2043" spans="1:11" x14ac:dyDescent="0.25">
      <c r="A2043" s="8" t="s">
        <v>3565</v>
      </c>
      <c r="B2043" s="8" t="s">
        <v>128</v>
      </c>
      <c r="C2043" s="8" t="s">
        <v>3361</v>
      </c>
      <c r="D2043" s="8">
        <v>4</v>
      </c>
      <c r="E2043" s="8" t="s">
        <v>3559</v>
      </c>
      <c r="F2043" s="8" t="s">
        <v>378</v>
      </c>
      <c r="G2043" s="8" t="s">
        <v>3363</v>
      </c>
      <c r="H2043" s="10">
        <v>100</v>
      </c>
      <c r="I2043" s="10"/>
      <c r="J2043" s="10">
        <v>100</v>
      </c>
      <c r="K2043" s="10">
        <v>19.78</v>
      </c>
    </row>
    <row r="2044" spans="1:11" x14ac:dyDescent="0.25">
      <c r="A2044" s="8" t="s">
        <v>3566</v>
      </c>
      <c r="B2044" s="8" t="s">
        <v>134</v>
      </c>
      <c r="C2044" s="8" t="s">
        <v>3361</v>
      </c>
      <c r="D2044" s="8">
        <v>4</v>
      </c>
      <c r="E2044" s="8" t="s">
        <v>3559</v>
      </c>
      <c r="F2044" s="8" t="s">
        <v>378</v>
      </c>
      <c r="G2044" s="8" t="s">
        <v>3363</v>
      </c>
      <c r="H2044" s="10">
        <v>200</v>
      </c>
      <c r="I2044" s="10"/>
      <c r="J2044" s="10">
        <v>200</v>
      </c>
      <c r="K2044" s="10">
        <v>19.78</v>
      </c>
    </row>
    <row r="2045" spans="1:11" x14ac:dyDescent="0.25">
      <c r="A2045" s="8" t="s">
        <v>3567</v>
      </c>
      <c r="B2045" s="8" t="s">
        <v>116</v>
      </c>
      <c r="C2045" s="8" t="s">
        <v>3361</v>
      </c>
      <c r="D2045" s="8">
        <v>4</v>
      </c>
      <c r="E2045" s="8" t="s">
        <v>3568</v>
      </c>
      <c r="F2045" s="8" t="s">
        <v>378</v>
      </c>
      <c r="G2045" s="8" t="s">
        <v>3363</v>
      </c>
      <c r="H2045" s="10">
        <v>200</v>
      </c>
      <c r="I2045" s="10"/>
      <c r="J2045" s="10">
        <v>200</v>
      </c>
      <c r="K2045" s="10">
        <v>15.29</v>
      </c>
    </row>
    <row r="2046" spans="1:11" x14ac:dyDescent="0.25">
      <c r="A2046" s="8" t="s">
        <v>3569</v>
      </c>
      <c r="B2046" s="8" t="s">
        <v>118</v>
      </c>
      <c r="C2046" s="8" t="s">
        <v>3361</v>
      </c>
      <c r="D2046" s="8">
        <v>4</v>
      </c>
      <c r="E2046" s="8" t="s">
        <v>3568</v>
      </c>
      <c r="F2046" s="8" t="s">
        <v>378</v>
      </c>
      <c r="G2046" s="8" t="s">
        <v>3363</v>
      </c>
      <c r="H2046" s="10">
        <v>200</v>
      </c>
      <c r="I2046" s="10"/>
      <c r="J2046" s="10">
        <v>200</v>
      </c>
      <c r="K2046" s="10">
        <v>15.29</v>
      </c>
    </row>
    <row r="2047" spans="1:11" x14ac:dyDescent="0.25">
      <c r="A2047" s="8" t="s">
        <v>3570</v>
      </c>
      <c r="B2047" s="8" t="s">
        <v>120</v>
      </c>
      <c r="C2047" s="8" t="s">
        <v>3361</v>
      </c>
      <c r="D2047" s="8">
        <v>4</v>
      </c>
      <c r="E2047" s="8" t="s">
        <v>3568</v>
      </c>
      <c r="F2047" s="8" t="s">
        <v>378</v>
      </c>
      <c r="G2047" s="8" t="s">
        <v>3363</v>
      </c>
      <c r="H2047" s="10">
        <v>100</v>
      </c>
      <c r="I2047" s="10"/>
      <c r="J2047" s="10">
        <v>100</v>
      </c>
      <c r="K2047" s="10">
        <v>15.29</v>
      </c>
    </row>
    <row r="2048" spans="1:11" x14ac:dyDescent="0.25">
      <c r="A2048" s="8" t="s">
        <v>3571</v>
      </c>
      <c r="B2048" s="8" t="s">
        <v>122</v>
      </c>
      <c r="C2048" s="8" t="s">
        <v>3361</v>
      </c>
      <c r="D2048" s="8">
        <v>4</v>
      </c>
      <c r="E2048" s="8" t="s">
        <v>3568</v>
      </c>
      <c r="F2048" s="8" t="s">
        <v>378</v>
      </c>
      <c r="G2048" s="8" t="s">
        <v>3363</v>
      </c>
      <c r="H2048" s="10">
        <v>200</v>
      </c>
      <c r="I2048" s="10"/>
      <c r="J2048" s="10">
        <v>200</v>
      </c>
      <c r="K2048" s="10">
        <v>15.29</v>
      </c>
    </row>
    <row r="2049" spans="1:11" x14ac:dyDescent="0.25">
      <c r="A2049" s="8" t="s">
        <v>3572</v>
      </c>
      <c r="B2049" s="8" t="s">
        <v>124</v>
      </c>
      <c r="C2049" s="8" t="s">
        <v>3361</v>
      </c>
      <c r="D2049" s="8">
        <v>4</v>
      </c>
      <c r="E2049" s="8" t="s">
        <v>3568</v>
      </c>
      <c r="F2049" s="8" t="s">
        <v>378</v>
      </c>
      <c r="G2049" s="8" t="s">
        <v>3363</v>
      </c>
      <c r="H2049" s="10">
        <v>200</v>
      </c>
      <c r="I2049" s="10"/>
      <c r="J2049" s="10">
        <v>200</v>
      </c>
      <c r="K2049" s="10">
        <v>15.29</v>
      </c>
    </row>
    <row r="2050" spans="1:11" x14ac:dyDescent="0.25">
      <c r="A2050" s="8" t="s">
        <v>3573</v>
      </c>
      <c r="B2050" s="8" t="s">
        <v>78</v>
      </c>
      <c r="C2050" s="8" t="s">
        <v>3361</v>
      </c>
      <c r="D2050" s="8">
        <v>4</v>
      </c>
      <c r="E2050" s="8" t="s">
        <v>3568</v>
      </c>
      <c r="F2050" s="8" t="s">
        <v>378</v>
      </c>
      <c r="G2050" s="8" t="s">
        <v>3363</v>
      </c>
      <c r="H2050" s="10">
        <v>200</v>
      </c>
      <c r="I2050" s="10"/>
      <c r="J2050" s="10">
        <v>200</v>
      </c>
      <c r="K2050" s="10">
        <v>15.29</v>
      </c>
    </row>
    <row r="2051" spans="1:11" x14ac:dyDescent="0.25">
      <c r="A2051" s="8" t="s">
        <v>3574</v>
      </c>
      <c r="B2051" s="8" t="s">
        <v>128</v>
      </c>
      <c r="C2051" s="8" t="s">
        <v>3361</v>
      </c>
      <c r="D2051" s="8">
        <v>4</v>
      </c>
      <c r="E2051" s="8" t="s">
        <v>3568</v>
      </c>
      <c r="F2051" s="8" t="s">
        <v>378</v>
      </c>
      <c r="G2051" s="8" t="s">
        <v>3363</v>
      </c>
      <c r="H2051" s="10">
        <v>100</v>
      </c>
      <c r="I2051" s="10"/>
      <c r="J2051" s="10">
        <v>100</v>
      </c>
      <c r="K2051" s="10">
        <v>15.29</v>
      </c>
    </row>
    <row r="2052" spans="1:11" x14ac:dyDescent="0.25">
      <c r="A2052" s="8" t="s">
        <v>3575</v>
      </c>
      <c r="B2052" s="8" t="s">
        <v>263</v>
      </c>
      <c r="C2052" s="8" t="s">
        <v>3361</v>
      </c>
      <c r="D2052" s="8">
        <v>4</v>
      </c>
      <c r="E2052" s="8" t="s">
        <v>394</v>
      </c>
      <c r="F2052" s="8" t="s">
        <v>378</v>
      </c>
      <c r="G2052" s="8" t="s">
        <v>3576</v>
      </c>
      <c r="H2052" s="10">
        <v>50</v>
      </c>
      <c r="I2052" s="10"/>
      <c r="J2052" s="10">
        <v>50</v>
      </c>
      <c r="K2052" s="10">
        <v>13.02</v>
      </c>
    </row>
    <row r="2053" spans="1:11" x14ac:dyDescent="0.25">
      <c r="A2053" s="8" t="s">
        <v>3577</v>
      </c>
      <c r="B2053" s="8" t="s">
        <v>269</v>
      </c>
      <c r="C2053" s="8" t="s">
        <v>3361</v>
      </c>
      <c r="D2053" s="8">
        <v>4</v>
      </c>
      <c r="E2053" s="8" t="s">
        <v>394</v>
      </c>
      <c r="F2053" s="8" t="s">
        <v>378</v>
      </c>
      <c r="G2053" s="8" t="s">
        <v>3576</v>
      </c>
      <c r="H2053" s="10">
        <v>50</v>
      </c>
      <c r="I2053" s="10"/>
      <c r="J2053" s="10">
        <v>50</v>
      </c>
      <c r="K2053" s="10">
        <v>13.02</v>
      </c>
    </row>
    <row r="2054" spans="1:11" x14ac:dyDescent="0.25">
      <c r="A2054" s="8" t="s">
        <v>3578</v>
      </c>
      <c r="B2054" s="8" t="s">
        <v>1650</v>
      </c>
      <c r="C2054" s="8" t="s">
        <v>3361</v>
      </c>
      <c r="D2054" s="8">
        <v>4</v>
      </c>
      <c r="E2054" s="8" t="s">
        <v>400</v>
      </c>
      <c r="F2054" s="8" t="s">
        <v>378</v>
      </c>
      <c r="G2054" s="8" t="s">
        <v>3363</v>
      </c>
      <c r="H2054" s="10">
        <v>100</v>
      </c>
      <c r="I2054" s="10"/>
      <c r="J2054" s="10">
        <v>100</v>
      </c>
      <c r="K2054" s="10">
        <v>15.29</v>
      </c>
    </row>
    <row r="2055" spans="1:11" x14ac:dyDescent="0.25">
      <c r="A2055" s="8" t="s">
        <v>3579</v>
      </c>
      <c r="B2055" s="8" t="s">
        <v>120</v>
      </c>
      <c r="C2055" s="8" t="s">
        <v>3361</v>
      </c>
      <c r="D2055" s="8">
        <v>4</v>
      </c>
      <c r="E2055" s="8" t="s">
        <v>400</v>
      </c>
      <c r="F2055" s="8" t="s">
        <v>378</v>
      </c>
      <c r="G2055" s="8" t="s">
        <v>3363</v>
      </c>
      <c r="H2055" s="10">
        <v>100</v>
      </c>
      <c r="I2055" s="10"/>
      <c r="J2055" s="10">
        <v>100</v>
      </c>
      <c r="K2055" s="10">
        <v>15.29</v>
      </c>
    </row>
    <row r="2056" spans="1:11" x14ac:dyDescent="0.25">
      <c r="A2056" s="8" t="s">
        <v>3580</v>
      </c>
      <c r="B2056" s="8" t="s">
        <v>1655</v>
      </c>
      <c r="C2056" s="8" t="s">
        <v>3361</v>
      </c>
      <c r="D2056" s="8">
        <v>4</v>
      </c>
      <c r="E2056" s="8" t="s">
        <v>400</v>
      </c>
      <c r="F2056" s="8" t="s">
        <v>378</v>
      </c>
      <c r="G2056" s="8" t="s">
        <v>3363</v>
      </c>
      <c r="H2056" s="10">
        <v>100</v>
      </c>
      <c r="I2056" s="10"/>
      <c r="J2056" s="10">
        <v>100</v>
      </c>
      <c r="K2056" s="10">
        <v>15.29</v>
      </c>
    </row>
    <row r="2057" spans="1:11" x14ac:dyDescent="0.25">
      <c r="A2057" s="8" t="s">
        <v>3581</v>
      </c>
      <c r="B2057" s="8" t="s">
        <v>1650</v>
      </c>
      <c r="C2057" s="8" t="s">
        <v>3361</v>
      </c>
      <c r="D2057" s="8">
        <v>4</v>
      </c>
      <c r="E2057" s="8" t="s">
        <v>3582</v>
      </c>
      <c r="F2057" s="8" t="s">
        <v>378</v>
      </c>
      <c r="G2057" s="8" t="s">
        <v>3363</v>
      </c>
      <c r="H2057" s="10">
        <v>100</v>
      </c>
      <c r="I2057" s="10"/>
      <c r="J2057" s="10">
        <v>100</v>
      </c>
      <c r="K2057" s="10">
        <v>15.29</v>
      </c>
    </row>
    <row r="2058" spans="1:11" x14ac:dyDescent="0.25">
      <c r="A2058" s="8" t="s">
        <v>3583</v>
      </c>
      <c r="B2058" s="8" t="s">
        <v>120</v>
      </c>
      <c r="C2058" s="8" t="s">
        <v>3361</v>
      </c>
      <c r="D2058" s="8">
        <v>4</v>
      </c>
      <c r="E2058" s="8" t="s">
        <v>3582</v>
      </c>
      <c r="F2058" s="8" t="s">
        <v>378</v>
      </c>
      <c r="G2058" s="8" t="s">
        <v>3363</v>
      </c>
      <c r="H2058" s="10">
        <v>100</v>
      </c>
      <c r="I2058" s="10"/>
      <c r="J2058" s="10">
        <v>100</v>
      </c>
      <c r="K2058" s="10">
        <v>15.29</v>
      </c>
    </row>
    <row r="2059" spans="1:11" x14ac:dyDescent="0.25">
      <c r="A2059" s="8" t="s">
        <v>3584</v>
      </c>
      <c r="B2059" s="8" t="s">
        <v>1655</v>
      </c>
      <c r="C2059" s="8" t="s">
        <v>3361</v>
      </c>
      <c r="D2059" s="8">
        <v>4</v>
      </c>
      <c r="E2059" s="8" t="s">
        <v>3582</v>
      </c>
      <c r="F2059" s="8" t="s">
        <v>378</v>
      </c>
      <c r="G2059" s="8" t="s">
        <v>3363</v>
      </c>
      <c r="H2059" s="10">
        <v>100</v>
      </c>
      <c r="I2059" s="10"/>
      <c r="J2059" s="10">
        <v>100</v>
      </c>
      <c r="K2059" s="10">
        <v>15.29</v>
      </c>
    </row>
    <row r="2060" spans="1:11" x14ac:dyDescent="0.25">
      <c r="A2060" s="8" t="s">
        <v>3585</v>
      </c>
      <c r="B2060" s="8" t="s">
        <v>1650</v>
      </c>
      <c r="C2060" s="8" t="s">
        <v>3361</v>
      </c>
      <c r="D2060" s="8">
        <v>4</v>
      </c>
      <c r="E2060" s="8" t="s">
        <v>3586</v>
      </c>
      <c r="F2060" s="8" t="s">
        <v>378</v>
      </c>
      <c r="G2060" s="8" t="s">
        <v>3363</v>
      </c>
      <c r="H2060" s="10">
        <v>100</v>
      </c>
      <c r="I2060" s="10"/>
      <c r="J2060" s="10">
        <v>100</v>
      </c>
      <c r="K2060" s="10">
        <v>15.29</v>
      </c>
    </row>
    <row r="2061" spans="1:11" x14ac:dyDescent="0.25">
      <c r="A2061" s="8" t="s">
        <v>3587</v>
      </c>
      <c r="B2061" s="8" t="s">
        <v>120</v>
      </c>
      <c r="C2061" s="8" t="s">
        <v>3361</v>
      </c>
      <c r="D2061" s="8">
        <v>4</v>
      </c>
      <c r="E2061" s="8" t="s">
        <v>3586</v>
      </c>
      <c r="F2061" s="8" t="s">
        <v>378</v>
      </c>
      <c r="G2061" s="8" t="s">
        <v>3363</v>
      </c>
      <c r="H2061" s="10">
        <v>100</v>
      </c>
      <c r="I2061" s="10"/>
      <c r="J2061" s="10">
        <v>100</v>
      </c>
      <c r="K2061" s="10">
        <v>15.29</v>
      </c>
    </row>
    <row r="2062" spans="1:11" x14ac:dyDescent="0.25">
      <c r="A2062" s="8" t="s">
        <v>3588</v>
      </c>
      <c r="B2062" s="8" t="s">
        <v>1655</v>
      </c>
      <c r="C2062" s="8" t="s">
        <v>3361</v>
      </c>
      <c r="D2062" s="8">
        <v>4</v>
      </c>
      <c r="E2062" s="8" t="s">
        <v>3586</v>
      </c>
      <c r="F2062" s="8" t="s">
        <v>378</v>
      </c>
      <c r="G2062" s="8" t="s">
        <v>3363</v>
      </c>
      <c r="H2062" s="10">
        <v>100</v>
      </c>
      <c r="I2062" s="10"/>
      <c r="J2062" s="10">
        <v>100</v>
      </c>
      <c r="K2062" s="10">
        <v>15.29</v>
      </c>
    </row>
    <row r="2063" spans="1:11" x14ac:dyDescent="0.25">
      <c r="A2063" s="8" t="s">
        <v>3589</v>
      </c>
      <c r="B2063" s="8" t="s">
        <v>1650</v>
      </c>
      <c r="C2063" s="8" t="s">
        <v>3361</v>
      </c>
      <c r="D2063" s="8">
        <v>4</v>
      </c>
      <c r="E2063" s="8" t="s">
        <v>3590</v>
      </c>
      <c r="F2063" s="8" t="s">
        <v>378</v>
      </c>
      <c r="G2063" s="8" t="s">
        <v>3363</v>
      </c>
      <c r="H2063" s="10">
        <v>100</v>
      </c>
      <c r="I2063" s="10"/>
      <c r="J2063" s="10">
        <v>100</v>
      </c>
      <c r="K2063" s="10">
        <v>15.29</v>
      </c>
    </row>
    <row r="2064" spans="1:11" x14ac:dyDescent="0.25">
      <c r="A2064" s="8" t="s">
        <v>3591</v>
      </c>
      <c r="B2064" s="8" t="s">
        <v>120</v>
      </c>
      <c r="C2064" s="8" t="s">
        <v>3361</v>
      </c>
      <c r="D2064" s="8">
        <v>4</v>
      </c>
      <c r="E2064" s="8" t="s">
        <v>3590</v>
      </c>
      <c r="F2064" s="8" t="s">
        <v>378</v>
      </c>
      <c r="G2064" s="8" t="s">
        <v>3363</v>
      </c>
      <c r="H2064" s="10">
        <v>100</v>
      </c>
      <c r="I2064" s="10"/>
      <c r="J2064" s="10">
        <v>100</v>
      </c>
      <c r="K2064" s="10">
        <v>15.29</v>
      </c>
    </row>
    <row r="2065" spans="1:11" x14ac:dyDescent="0.25">
      <c r="A2065" s="8" t="s">
        <v>3592</v>
      </c>
      <c r="B2065" s="8" t="s">
        <v>1655</v>
      </c>
      <c r="C2065" s="8" t="s">
        <v>3361</v>
      </c>
      <c r="D2065" s="8">
        <v>4</v>
      </c>
      <c r="E2065" s="8" t="s">
        <v>3590</v>
      </c>
      <c r="F2065" s="8" t="s">
        <v>378</v>
      </c>
      <c r="G2065" s="8" t="s">
        <v>3363</v>
      </c>
      <c r="H2065" s="10">
        <v>100</v>
      </c>
      <c r="I2065" s="10"/>
      <c r="J2065" s="10">
        <v>100</v>
      </c>
      <c r="K2065" s="10">
        <v>15.29</v>
      </c>
    </row>
    <row r="2066" spans="1:11" x14ac:dyDescent="0.25">
      <c r="A2066" s="8" t="s">
        <v>3593</v>
      </c>
      <c r="B2066" s="8" t="s">
        <v>1650</v>
      </c>
      <c r="C2066" s="8" t="s">
        <v>3361</v>
      </c>
      <c r="D2066" s="8">
        <v>4</v>
      </c>
      <c r="E2066" s="8" t="s">
        <v>403</v>
      </c>
      <c r="F2066" s="8" t="s">
        <v>378</v>
      </c>
      <c r="G2066" s="8" t="s">
        <v>3363</v>
      </c>
      <c r="H2066" s="10">
        <v>700</v>
      </c>
      <c r="I2066" s="10"/>
      <c r="J2066" s="10">
        <v>700</v>
      </c>
      <c r="K2066" s="10">
        <v>15.29</v>
      </c>
    </row>
    <row r="2067" spans="1:11" x14ac:dyDescent="0.25">
      <c r="A2067" s="8" t="s">
        <v>3594</v>
      </c>
      <c r="B2067" s="8" t="s">
        <v>120</v>
      </c>
      <c r="C2067" s="8" t="s">
        <v>3361</v>
      </c>
      <c r="D2067" s="8">
        <v>4</v>
      </c>
      <c r="E2067" s="8" t="s">
        <v>403</v>
      </c>
      <c r="F2067" s="8" t="s">
        <v>378</v>
      </c>
      <c r="G2067" s="8" t="s">
        <v>3363</v>
      </c>
      <c r="H2067" s="10">
        <v>4500</v>
      </c>
      <c r="I2067" s="10"/>
      <c r="J2067" s="10">
        <v>4500</v>
      </c>
      <c r="K2067" s="10">
        <v>15.29</v>
      </c>
    </row>
    <row r="2068" spans="1:11" x14ac:dyDescent="0.25">
      <c r="A2068" s="8" t="s">
        <v>3595</v>
      </c>
      <c r="B2068" s="8" t="s">
        <v>1650</v>
      </c>
      <c r="C2068" s="8" t="s">
        <v>3361</v>
      </c>
      <c r="D2068" s="8">
        <v>4</v>
      </c>
      <c r="E2068" s="8" t="s">
        <v>3596</v>
      </c>
      <c r="F2068" s="8" t="s">
        <v>378</v>
      </c>
      <c r="G2068" s="8" t="s">
        <v>3363</v>
      </c>
      <c r="H2068" s="10">
        <v>100</v>
      </c>
      <c r="I2068" s="10"/>
      <c r="J2068" s="10">
        <v>100</v>
      </c>
      <c r="K2068" s="10">
        <v>15.29</v>
      </c>
    </row>
    <row r="2069" spans="1:11" x14ac:dyDescent="0.25">
      <c r="A2069" s="8" t="s">
        <v>3597</v>
      </c>
      <c r="B2069" s="8" t="s">
        <v>120</v>
      </c>
      <c r="C2069" s="8" t="s">
        <v>3361</v>
      </c>
      <c r="D2069" s="8">
        <v>4</v>
      </c>
      <c r="E2069" s="8" t="s">
        <v>3596</v>
      </c>
      <c r="F2069" s="8" t="s">
        <v>378</v>
      </c>
      <c r="G2069" s="8" t="s">
        <v>3363</v>
      </c>
      <c r="H2069" s="10">
        <v>100</v>
      </c>
      <c r="I2069" s="10"/>
      <c r="J2069" s="10">
        <v>100</v>
      </c>
      <c r="K2069" s="10">
        <v>15.29</v>
      </c>
    </row>
    <row r="2070" spans="1:11" x14ac:dyDescent="0.25">
      <c r="A2070" s="8" t="s">
        <v>3598</v>
      </c>
      <c r="B2070" s="8" t="s">
        <v>1655</v>
      </c>
      <c r="C2070" s="8" t="s">
        <v>3361</v>
      </c>
      <c r="D2070" s="8">
        <v>4</v>
      </c>
      <c r="E2070" s="8" t="s">
        <v>3596</v>
      </c>
      <c r="F2070" s="8" t="s">
        <v>378</v>
      </c>
      <c r="G2070" s="8" t="s">
        <v>3363</v>
      </c>
      <c r="H2070" s="10">
        <v>100</v>
      </c>
      <c r="I2070" s="10"/>
      <c r="J2070" s="10">
        <v>100</v>
      </c>
      <c r="K2070" s="10">
        <v>15.29</v>
      </c>
    </row>
    <row r="2071" spans="1:11" x14ac:dyDescent="0.25">
      <c r="A2071" s="8" t="s">
        <v>3599</v>
      </c>
      <c r="B2071" s="8" t="s">
        <v>1650</v>
      </c>
      <c r="C2071" s="8" t="s">
        <v>3361</v>
      </c>
      <c r="D2071" s="8">
        <v>4</v>
      </c>
      <c r="E2071" s="8" t="s">
        <v>3600</v>
      </c>
      <c r="F2071" s="8" t="s">
        <v>378</v>
      </c>
      <c r="G2071" s="8" t="s">
        <v>3363</v>
      </c>
      <c r="H2071" s="10">
        <v>100</v>
      </c>
      <c r="I2071" s="10"/>
      <c r="J2071" s="10">
        <v>100</v>
      </c>
      <c r="K2071" s="10">
        <v>15.29</v>
      </c>
    </row>
    <row r="2072" spans="1:11" x14ac:dyDescent="0.25">
      <c r="A2072" s="8" t="s">
        <v>3601</v>
      </c>
      <c r="B2072" s="8" t="s">
        <v>120</v>
      </c>
      <c r="C2072" s="8" t="s">
        <v>3361</v>
      </c>
      <c r="D2072" s="8">
        <v>4</v>
      </c>
      <c r="E2072" s="8" t="s">
        <v>3600</v>
      </c>
      <c r="F2072" s="8" t="s">
        <v>378</v>
      </c>
      <c r="G2072" s="8" t="s">
        <v>3363</v>
      </c>
      <c r="H2072" s="10">
        <v>100</v>
      </c>
      <c r="I2072" s="10"/>
      <c r="J2072" s="10">
        <v>100</v>
      </c>
      <c r="K2072" s="10">
        <v>15.29</v>
      </c>
    </row>
    <row r="2073" spans="1:11" x14ac:dyDescent="0.25">
      <c r="A2073" s="8" t="s">
        <v>3602</v>
      </c>
      <c r="B2073" s="8" t="s">
        <v>1655</v>
      </c>
      <c r="C2073" s="8" t="s">
        <v>3361</v>
      </c>
      <c r="D2073" s="8">
        <v>4</v>
      </c>
      <c r="E2073" s="8" t="s">
        <v>3600</v>
      </c>
      <c r="F2073" s="8" t="s">
        <v>378</v>
      </c>
      <c r="G2073" s="8" t="s">
        <v>3363</v>
      </c>
      <c r="H2073" s="10">
        <v>100</v>
      </c>
      <c r="I2073" s="10"/>
      <c r="J2073" s="10">
        <v>100</v>
      </c>
      <c r="K2073" s="10">
        <v>15.29</v>
      </c>
    </row>
    <row r="2074" spans="1:11" x14ac:dyDescent="0.25">
      <c r="A2074" s="8" t="s">
        <v>3603</v>
      </c>
      <c r="B2074" s="8" t="s">
        <v>1650</v>
      </c>
      <c r="C2074" s="8" t="s">
        <v>3361</v>
      </c>
      <c r="D2074" s="8">
        <v>4</v>
      </c>
      <c r="E2074" s="8" t="s">
        <v>3604</v>
      </c>
      <c r="F2074" s="8" t="s">
        <v>378</v>
      </c>
      <c r="G2074" s="8" t="s">
        <v>3363</v>
      </c>
      <c r="H2074" s="10">
        <v>50</v>
      </c>
      <c r="I2074" s="10"/>
      <c r="J2074" s="10">
        <v>50</v>
      </c>
      <c r="K2074" s="10">
        <v>15.29</v>
      </c>
    </row>
    <row r="2075" spans="1:11" x14ac:dyDescent="0.25">
      <c r="A2075" s="8" t="s">
        <v>3605</v>
      </c>
      <c r="B2075" s="8" t="s">
        <v>120</v>
      </c>
      <c r="C2075" s="8" t="s">
        <v>3361</v>
      </c>
      <c r="D2075" s="8">
        <v>4</v>
      </c>
      <c r="E2075" s="8" t="s">
        <v>3604</v>
      </c>
      <c r="F2075" s="8" t="s">
        <v>378</v>
      </c>
      <c r="G2075" s="8" t="s">
        <v>3363</v>
      </c>
      <c r="H2075" s="10">
        <v>50</v>
      </c>
      <c r="I2075" s="10"/>
      <c r="J2075" s="10">
        <v>50</v>
      </c>
      <c r="K2075" s="10">
        <v>15.29</v>
      </c>
    </row>
    <row r="2076" spans="1:11" x14ac:dyDescent="0.25">
      <c r="A2076" s="8" t="s">
        <v>3606</v>
      </c>
      <c r="B2076" s="8" t="s">
        <v>1655</v>
      </c>
      <c r="C2076" s="8" t="s">
        <v>3361</v>
      </c>
      <c r="D2076" s="8">
        <v>4</v>
      </c>
      <c r="E2076" s="8" t="s">
        <v>3604</v>
      </c>
      <c r="F2076" s="8" t="s">
        <v>378</v>
      </c>
      <c r="G2076" s="8" t="s">
        <v>3363</v>
      </c>
      <c r="H2076" s="10">
        <v>50</v>
      </c>
      <c r="I2076" s="10"/>
      <c r="J2076" s="10">
        <v>50</v>
      </c>
      <c r="K2076" s="10">
        <v>15.29</v>
      </c>
    </row>
    <row r="2077" spans="1:11" x14ac:dyDescent="0.25">
      <c r="A2077" s="8" t="s">
        <v>3607</v>
      </c>
      <c r="B2077" s="8" t="s">
        <v>1650</v>
      </c>
      <c r="C2077" s="8" t="s">
        <v>3361</v>
      </c>
      <c r="D2077" s="8">
        <v>4</v>
      </c>
      <c r="E2077" s="8" t="s">
        <v>3608</v>
      </c>
      <c r="F2077" s="8" t="s">
        <v>378</v>
      </c>
      <c r="G2077" s="8" t="s">
        <v>3363</v>
      </c>
      <c r="H2077" s="10">
        <v>50</v>
      </c>
      <c r="I2077" s="10"/>
      <c r="J2077" s="10">
        <v>50</v>
      </c>
      <c r="K2077" s="10">
        <v>15.29</v>
      </c>
    </row>
    <row r="2078" spans="1:11" x14ac:dyDescent="0.25">
      <c r="A2078" s="8" t="s">
        <v>3609</v>
      </c>
      <c r="B2078" s="8" t="s">
        <v>120</v>
      </c>
      <c r="C2078" s="8" t="s">
        <v>3361</v>
      </c>
      <c r="D2078" s="8">
        <v>4</v>
      </c>
      <c r="E2078" s="8" t="s">
        <v>3608</v>
      </c>
      <c r="F2078" s="8" t="s">
        <v>378</v>
      </c>
      <c r="G2078" s="8" t="s">
        <v>3363</v>
      </c>
      <c r="H2078" s="10">
        <v>50</v>
      </c>
      <c r="I2078" s="10"/>
      <c r="J2078" s="10">
        <v>50</v>
      </c>
      <c r="K2078" s="10">
        <v>15.29</v>
      </c>
    </row>
    <row r="2079" spans="1:11" x14ac:dyDescent="0.25">
      <c r="A2079" s="8" t="s">
        <v>3610</v>
      </c>
      <c r="B2079" s="8" t="s">
        <v>1655</v>
      </c>
      <c r="C2079" s="8" t="s">
        <v>3361</v>
      </c>
      <c r="D2079" s="8">
        <v>4</v>
      </c>
      <c r="E2079" s="8" t="s">
        <v>3608</v>
      </c>
      <c r="F2079" s="8" t="s">
        <v>378</v>
      </c>
      <c r="G2079" s="8" t="s">
        <v>3363</v>
      </c>
      <c r="H2079" s="10">
        <v>50</v>
      </c>
      <c r="I2079" s="10"/>
      <c r="J2079" s="10">
        <v>50</v>
      </c>
      <c r="K2079" s="10">
        <v>15.29</v>
      </c>
    </row>
    <row r="2080" spans="1:11" x14ac:dyDescent="0.25">
      <c r="A2080" s="8" t="s">
        <v>3611</v>
      </c>
      <c r="B2080" s="8" t="s">
        <v>1650</v>
      </c>
      <c r="C2080" s="8" t="s">
        <v>3361</v>
      </c>
      <c r="D2080" s="8">
        <v>4</v>
      </c>
      <c r="E2080" s="8" t="s">
        <v>3612</v>
      </c>
      <c r="F2080" s="8" t="s">
        <v>378</v>
      </c>
      <c r="G2080" s="8" t="s">
        <v>3363</v>
      </c>
      <c r="H2080" s="10">
        <v>50</v>
      </c>
      <c r="I2080" s="10"/>
      <c r="J2080" s="10">
        <v>50</v>
      </c>
      <c r="K2080" s="10">
        <v>15.29</v>
      </c>
    </row>
    <row r="2081" spans="1:11" x14ac:dyDescent="0.25">
      <c r="A2081" s="8" t="s">
        <v>3613</v>
      </c>
      <c r="B2081" s="8" t="s">
        <v>120</v>
      </c>
      <c r="C2081" s="8" t="s">
        <v>3361</v>
      </c>
      <c r="D2081" s="8">
        <v>4</v>
      </c>
      <c r="E2081" s="8" t="s">
        <v>3612</v>
      </c>
      <c r="F2081" s="8" t="s">
        <v>378</v>
      </c>
      <c r="G2081" s="8" t="s">
        <v>3363</v>
      </c>
      <c r="H2081" s="10">
        <v>50</v>
      </c>
      <c r="I2081" s="10"/>
      <c r="J2081" s="10">
        <v>50</v>
      </c>
      <c r="K2081" s="10">
        <v>15.29</v>
      </c>
    </row>
    <row r="2082" spans="1:11" x14ac:dyDescent="0.25">
      <c r="A2082" s="8" t="s">
        <v>3614</v>
      </c>
      <c r="B2082" s="8" t="s">
        <v>1655</v>
      </c>
      <c r="C2082" s="8" t="s">
        <v>3361</v>
      </c>
      <c r="D2082" s="8">
        <v>4</v>
      </c>
      <c r="E2082" s="8" t="s">
        <v>3612</v>
      </c>
      <c r="F2082" s="8" t="s">
        <v>378</v>
      </c>
      <c r="G2082" s="8" t="s">
        <v>3363</v>
      </c>
      <c r="H2082" s="10">
        <v>50</v>
      </c>
      <c r="I2082" s="10"/>
      <c r="J2082" s="10">
        <v>50</v>
      </c>
      <c r="K2082" s="10">
        <v>15.29</v>
      </c>
    </row>
    <row r="2083" spans="1:11" x14ac:dyDescent="0.25">
      <c r="A2083" s="8" t="s">
        <v>3615</v>
      </c>
      <c r="B2083" s="8" t="s">
        <v>1650</v>
      </c>
      <c r="C2083" s="8" t="s">
        <v>3361</v>
      </c>
      <c r="D2083" s="8">
        <v>4</v>
      </c>
      <c r="E2083" s="8" t="s">
        <v>3616</v>
      </c>
      <c r="F2083" s="8" t="s">
        <v>378</v>
      </c>
      <c r="G2083" s="8" t="s">
        <v>3363</v>
      </c>
      <c r="H2083" s="10">
        <v>50</v>
      </c>
      <c r="I2083" s="10"/>
      <c r="J2083" s="10">
        <v>50</v>
      </c>
      <c r="K2083" s="10">
        <v>15.29</v>
      </c>
    </row>
    <row r="2084" spans="1:11" x14ac:dyDescent="0.25">
      <c r="A2084" s="8" t="s">
        <v>3617</v>
      </c>
      <c r="B2084" s="8" t="s">
        <v>120</v>
      </c>
      <c r="C2084" s="8" t="s">
        <v>3361</v>
      </c>
      <c r="D2084" s="8">
        <v>4</v>
      </c>
      <c r="E2084" s="8" t="s">
        <v>3616</v>
      </c>
      <c r="F2084" s="8" t="s">
        <v>378</v>
      </c>
      <c r="G2084" s="8" t="s">
        <v>3363</v>
      </c>
      <c r="H2084" s="10">
        <v>50</v>
      </c>
      <c r="I2084" s="10"/>
      <c r="J2084" s="10">
        <v>50</v>
      </c>
      <c r="K2084" s="10">
        <v>15.29</v>
      </c>
    </row>
    <row r="2085" spans="1:11" x14ac:dyDescent="0.25">
      <c r="A2085" s="8" t="s">
        <v>3618</v>
      </c>
      <c r="B2085" s="8" t="s">
        <v>1655</v>
      </c>
      <c r="C2085" s="8" t="s">
        <v>3361</v>
      </c>
      <c r="D2085" s="8">
        <v>4</v>
      </c>
      <c r="E2085" s="8" t="s">
        <v>3616</v>
      </c>
      <c r="F2085" s="8" t="s">
        <v>378</v>
      </c>
      <c r="G2085" s="8" t="s">
        <v>3363</v>
      </c>
      <c r="H2085" s="10">
        <v>50</v>
      </c>
      <c r="I2085" s="10"/>
      <c r="J2085" s="10">
        <v>50</v>
      </c>
      <c r="K2085" s="10">
        <v>15.29</v>
      </c>
    </row>
    <row r="2086" spans="1:11" x14ac:dyDescent="0.25">
      <c r="A2086" s="8" t="s">
        <v>3619</v>
      </c>
      <c r="B2086" s="8" t="s">
        <v>1650</v>
      </c>
      <c r="C2086" s="8" t="s">
        <v>3361</v>
      </c>
      <c r="D2086" s="8">
        <v>4</v>
      </c>
      <c r="E2086" s="8" t="s">
        <v>406</v>
      </c>
      <c r="F2086" s="8" t="s">
        <v>378</v>
      </c>
      <c r="G2086" s="8" t="s">
        <v>3363</v>
      </c>
      <c r="H2086" s="10">
        <v>3000</v>
      </c>
      <c r="I2086" s="10"/>
      <c r="J2086" s="10">
        <v>3000</v>
      </c>
      <c r="K2086" s="10">
        <v>15.29</v>
      </c>
    </row>
    <row r="2087" spans="1:11" x14ac:dyDescent="0.25">
      <c r="A2087" s="8" t="s">
        <v>3620</v>
      </c>
      <c r="B2087" s="8" t="s">
        <v>120</v>
      </c>
      <c r="C2087" s="8" t="s">
        <v>3361</v>
      </c>
      <c r="D2087" s="8">
        <v>4</v>
      </c>
      <c r="E2087" s="8" t="s">
        <v>406</v>
      </c>
      <c r="F2087" s="8" t="s">
        <v>378</v>
      </c>
      <c r="G2087" s="8" t="s">
        <v>3363</v>
      </c>
      <c r="H2087" s="10">
        <v>26000</v>
      </c>
      <c r="I2087" s="10"/>
      <c r="J2087" s="10">
        <v>26000</v>
      </c>
      <c r="K2087" s="10">
        <v>15.29</v>
      </c>
    </row>
    <row r="2088" spans="1:11" x14ac:dyDescent="0.25">
      <c r="A2088" s="8" t="s">
        <v>3621</v>
      </c>
      <c r="B2088" s="8" t="s">
        <v>1655</v>
      </c>
      <c r="C2088" s="8" t="s">
        <v>3361</v>
      </c>
      <c r="D2088" s="8">
        <v>4</v>
      </c>
      <c r="E2088" s="8" t="s">
        <v>406</v>
      </c>
      <c r="F2088" s="8" t="s">
        <v>378</v>
      </c>
      <c r="G2088" s="8" t="s">
        <v>3363</v>
      </c>
      <c r="H2088" s="10">
        <v>32000</v>
      </c>
      <c r="I2088" s="10"/>
      <c r="J2088" s="10">
        <v>32000</v>
      </c>
      <c r="K2088" s="10">
        <v>15.29</v>
      </c>
    </row>
    <row r="2089" spans="1:11" x14ac:dyDescent="0.25">
      <c r="A2089" s="8" t="s">
        <v>3622</v>
      </c>
      <c r="B2089" s="8" t="s">
        <v>1689</v>
      </c>
      <c r="C2089" s="8" t="s">
        <v>3361</v>
      </c>
      <c r="D2089" s="8">
        <v>4</v>
      </c>
      <c r="E2089" s="8" t="s">
        <v>406</v>
      </c>
      <c r="F2089" s="8" t="s">
        <v>378</v>
      </c>
      <c r="G2089" s="8" t="s">
        <v>3363</v>
      </c>
      <c r="H2089" s="10">
        <v>200</v>
      </c>
      <c r="I2089" s="10"/>
      <c r="J2089" s="10">
        <v>200</v>
      </c>
      <c r="K2089" s="10">
        <v>15.29</v>
      </c>
    </row>
    <row r="2090" spans="1:11" x14ac:dyDescent="0.25">
      <c r="A2090" s="8" t="s">
        <v>3623</v>
      </c>
      <c r="B2090" s="8" t="s">
        <v>1650</v>
      </c>
      <c r="C2090" s="8" t="s">
        <v>3361</v>
      </c>
      <c r="D2090" s="8">
        <v>4</v>
      </c>
      <c r="E2090" s="8" t="s">
        <v>409</v>
      </c>
      <c r="F2090" s="8" t="s">
        <v>378</v>
      </c>
      <c r="G2090" s="8" t="s">
        <v>3363</v>
      </c>
      <c r="H2090" s="10">
        <v>1700</v>
      </c>
      <c r="I2090" s="10"/>
      <c r="J2090" s="10">
        <v>1700</v>
      </c>
      <c r="K2090" s="10">
        <v>15.29</v>
      </c>
    </row>
    <row r="2091" spans="1:11" x14ac:dyDescent="0.25">
      <c r="A2091" s="8" t="s">
        <v>3624</v>
      </c>
      <c r="B2091" s="8" t="s">
        <v>120</v>
      </c>
      <c r="C2091" s="8" t="s">
        <v>3361</v>
      </c>
      <c r="D2091" s="8">
        <v>4</v>
      </c>
      <c r="E2091" s="8" t="s">
        <v>409</v>
      </c>
      <c r="F2091" s="8" t="s">
        <v>378</v>
      </c>
      <c r="G2091" s="8" t="s">
        <v>3363</v>
      </c>
      <c r="H2091" s="10">
        <v>28000</v>
      </c>
      <c r="I2091" s="10"/>
      <c r="J2091" s="10">
        <v>28000</v>
      </c>
      <c r="K2091" s="10">
        <v>15.29</v>
      </c>
    </row>
    <row r="2092" spans="1:11" x14ac:dyDescent="0.25">
      <c r="A2092" s="8" t="s">
        <v>3625</v>
      </c>
      <c r="B2092" s="8" t="s">
        <v>1655</v>
      </c>
      <c r="C2092" s="8" t="s">
        <v>3361</v>
      </c>
      <c r="D2092" s="8">
        <v>4</v>
      </c>
      <c r="E2092" s="8" t="s">
        <v>409</v>
      </c>
      <c r="F2092" s="8" t="s">
        <v>378</v>
      </c>
      <c r="G2092" s="8" t="s">
        <v>3363</v>
      </c>
      <c r="H2092" s="10">
        <v>32000</v>
      </c>
      <c r="I2092" s="10"/>
      <c r="J2092" s="10">
        <v>32000</v>
      </c>
      <c r="K2092" s="10">
        <v>15.29</v>
      </c>
    </row>
    <row r="2093" spans="1:11" x14ac:dyDescent="0.25">
      <c r="A2093" s="8" t="s">
        <v>3626</v>
      </c>
      <c r="B2093" s="8" t="s">
        <v>1689</v>
      </c>
      <c r="C2093" s="8" t="s">
        <v>3361</v>
      </c>
      <c r="D2093" s="8">
        <v>4</v>
      </c>
      <c r="E2093" s="8" t="s">
        <v>409</v>
      </c>
      <c r="F2093" s="8" t="s">
        <v>378</v>
      </c>
      <c r="G2093" s="8" t="s">
        <v>3363</v>
      </c>
      <c r="H2093" s="10">
        <v>200</v>
      </c>
      <c r="I2093" s="10"/>
      <c r="J2093" s="10">
        <v>200</v>
      </c>
      <c r="K2093" s="10">
        <v>15.29</v>
      </c>
    </row>
    <row r="2094" spans="1:11" x14ac:dyDescent="0.25">
      <c r="A2094" s="8" t="s">
        <v>3627</v>
      </c>
      <c r="B2094" s="8" t="s">
        <v>1650</v>
      </c>
      <c r="C2094" s="8" t="s">
        <v>3361</v>
      </c>
      <c r="D2094" s="8">
        <v>4</v>
      </c>
      <c r="E2094" s="8" t="s">
        <v>3628</v>
      </c>
      <c r="F2094" s="8" t="s">
        <v>378</v>
      </c>
      <c r="G2094" s="8" t="s">
        <v>3363</v>
      </c>
      <c r="H2094" s="10">
        <v>2300</v>
      </c>
      <c r="I2094" s="10"/>
      <c r="J2094" s="10">
        <v>2300</v>
      </c>
      <c r="K2094" s="10">
        <v>19.11</v>
      </c>
    </row>
    <row r="2095" spans="1:11" x14ac:dyDescent="0.25">
      <c r="A2095" s="8" t="s">
        <v>3629</v>
      </c>
      <c r="B2095" s="8" t="s">
        <v>120</v>
      </c>
      <c r="C2095" s="8" t="s">
        <v>3361</v>
      </c>
      <c r="D2095" s="8">
        <v>4</v>
      </c>
      <c r="E2095" s="8" t="s">
        <v>3628</v>
      </c>
      <c r="F2095" s="8" t="s">
        <v>378</v>
      </c>
      <c r="G2095" s="8" t="s">
        <v>3363</v>
      </c>
      <c r="H2095" s="10">
        <v>2100</v>
      </c>
      <c r="I2095" s="10"/>
      <c r="J2095" s="10">
        <v>2100</v>
      </c>
      <c r="K2095" s="10">
        <v>19.11</v>
      </c>
    </row>
    <row r="2096" spans="1:11" x14ac:dyDescent="0.25">
      <c r="A2096" s="8" t="s">
        <v>3630</v>
      </c>
      <c r="B2096" s="8" t="s">
        <v>1655</v>
      </c>
      <c r="C2096" s="8" t="s">
        <v>3361</v>
      </c>
      <c r="D2096" s="8">
        <v>4</v>
      </c>
      <c r="E2096" s="8" t="s">
        <v>3628</v>
      </c>
      <c r="F2096" s="8" t="s">
        <v>378</v>
      </c>
      <c r="G2096" s="8" t="s">
        <v>3363</v>
      </c>
      <c r="H2096" s="10">
        <v>1200</v>
      </c>
      <c r="I2096" s="10"/>
      <c r="J2096" s="10">
        <v>1200</v>
      </c>
      <c r="K2096" s="10">
        <v>19.11</v>
      </c>
    </row>
    <row r="2097" spans="1:11" x14ac:dyDescent="0.25">
      <c r="A2097" s="8" t="s">
        <v>3631</v>
      </c>
      <c r="B2097" s="8" t="s">
        <v>1689</v>
      </c>
      <c r="C2097" s="8" t="s">
        <v>3361</v>
      </c>
      <c r="D2097" s="8">
        <v>4</v>
      </c>
      <c r="E2097" s="8" t="s">
        <v>3628</v>
      </c>
      <c r="F2097" s="8" t="s">
        <v>378</v>
      </c>
      <c r="G2097" s="8" t="s">
        <v>3363</v>
      </c>
      <c r="H2097" s="10">
        <v>100</v>
      </c>
      <c r="I2097" s="10"/>
      <c r="J2097" s="10">
        <v>100</v>
      </c>
      <c r="K2097" s="10">
        <v>19.11</v>
      </c>
    </row>
    <row r="2098" spans="1:11" x14ac:dyDescent="0.25">
      <c r="A2098" s="8" t="s">
        <v>3632</v>
      </c>
      <c r="B2098" s="8" t="s">
        <v>1650</v>
      </c>
      <c r="C2098" s="8" t="s">
        <v>3361</v>
      </c>
      <c r="D2098" s="8">
        <v>4</v>
      </c>
      <c r="E2098" s="8" t="s">
        <v>3633</v>
      </c>
      <c r="F2098" s="8" t="s">
        <v>378</v>
      </c>
      <c r="G2098" s="8" t="s">
        <v>3363</v>
      </c>
      <c r="H2098" s="10">
        <v>800</v>
      </c>
      <c r="I2098" s="10"/>
      <c r="J2098" s="10">
        <v>800</v>
      </c>
      <c r="K2098" s="10">
        <v>19.11</v>
      </c>
    </row>
    <row r="2099" spans="1:11" x14ac:dyDescent="0.25">
      <c r="A2099" s="8" t="s">
        <v>3634</v>
      </c>
      <c r="B2099" s="8" t="s">
        <v>120</v>
      </c>
      <c r="C2099" s="8" t="s">
        <v>3361</v>
      </c>
      <c r="D2099" s="8">
        <v>4</v>
      </c>
      <c r="E2099" s="8" t="s">
        <v>3633</v>
      </c>
      <c r="F2099" s="8" t="s">
        <v>378</v>
      </c>
      <c r="G2099" s="8" t="s">
        <v>3363</v>
      </c>
      <c r="H2099" s="10">
        <v>3500</v>
      </c>
      <c r="I2099" s="10"/>
      <c r="J2099" s="10">
        <v>3500</v>
      </c>
      <c r="K2099" s="10">
        <v>19.11</v>
      </c>
    </row>
    <row r="2100" spans="1:11" x14ac:dyDescent="0.25">
      <c r="A2100" s="8" t="s">
        <v>3635</v>
      </c>
      <c r="B2100" s="8" t="s">
        <v>1655</v>
      </c>
      <c r="C2100" s="8" t="s">
        <v>3361</v>
      </c>
      <c r="D2100" s="8">
        <v>4</v>
      </c>
      <c r="E2100" s="8" t="s">
        <v>3633</v>
      </c>
      <c r="F2100" s="8" t="s">
        <v>378</v>
      </c>
      <c r="G2100" s="8" t="s">
        <v>3363</v>
      </c>
      <c r="H2100" s="10">
        <v>500</v>
      </c>
      <c r="I2100" s="10"/>
      <c r="J2100" s="10">
        <v>500</v>
      </c>
      <c r="K2100" s="10">
        <v>19.11</v>
      </c>
    </row>
    <row r="2101" spans="1:11" x14ac:dyDescent="0.25">
      <c r="A2101" s="8" t="s">
        <v>3636</v>
      </c>
      <c r="B2101" s="8" t="s">
        <v>1650</v>
      </c>
      <c r="C2101" s="8" t="s">
        <v>3361</v>
      </c>
      <c r="D2101" s="8">
        <v>4</v>
      </c>
      <c r="E2101" s="8" t="s">
        <v>3637</v>
      </c>
      <c r="F2101" s="8" t="s">
        <v>378</v>
      </c>
      <c r="G2101" s="8" t="s">
        <v>3363</v>
      </c>
      <c r="H2101" s="10">
        <v>700</v>
      </c>
      <c r="I2101" s="10"/>
      <c r="J2101" s="10">
        <v>700</v>
      </c>
      <c r="K2101" s="10">
        <v>19.11</v>
      </c>
    </row>
    <row r="2102" spans="1:11" x14ac:dyDescent="0.25">
      <c r="A2102" s="8" t="s">
        <v>3638</v>
      </c>
      <c r="B2102" s="8" t="s">
        <v>120</v>
      </c>
      <c r="C2102" s="8" t="s">
        <v>3361</v>
      </c>
      <c r="D2102" s="8">
        <v>4</v>
      </c>
      <c r="E2102" s="8" t="s">
        <v>3637</v>
      </c>
      <c r="F2102" s="8" t="s">
        <v>378</v>
      </c>
      <c r="G2102" s="8" t="s">
        <v>3363</v>
      </c>
      <c r="H2102" s="10">
        <v>1500</v>
      </c>
      <c r="I2102" s="10"/>
      <c r="J2102" s="10">
        <v>1500</v>
      </c>
      <c r="K2102" s="10">
        <v>19.11</v>
      </c>
    </row>
    <row r="2103" spans="1:11" x14ac:dyDescent="0.25">
      <c r="A2103" s="8" t="s">
        <v>3639</v>
      </c>
      <c r="B2103" s="8" t="s">
        <v>1655</v>
      </c>
      <c r="C2103" s="8" t="s">
        <v>3361</v>
      </c>
      <c r="D2103" s="8">
        <v>4</v>
      </c>
      <c r="E2103" s="8" t="s">
        <v>3637</v>
      </c>
      <c r="F2103" s="8" t="s">
        <v>378</v>
      </c>
      <c r="G2103" s="8" t="s">
        <v>3363</v>
      </c>
      <c r="H2103" s="10">
        <v>600</v>
      </c>
      <c r="I2103" s="10"/>
      <c r="J2103" s="10">
        <v>600</v>
      </c>
      <c r="K2103" s="10">
        <v>19.11</v>
      </c>
    </row>
    <row r="2104" spans="1:11" x14ac:dyDescent="0.25">
      <c r="A2104" s="8" t="s">
        <v>3640</v>
      </c>
      <c r="B2104" s="8" t="s">
        <v>1650</v>
      </c>
      <c r="C2104" s="8" t="s">
        <v>3361</v>
      </c>
      <c r="D2104" s="8">
        <v>4</v>
      </c>
      <c r="E2104" s="8" t="s">
        <v>3641</v>
      </c>
      <c r="F2104" s="8" t="s">
        <v>378</v>
      </c>
      <c r="G2104" s="8" t="s">
        <v>3363</v>
      </c>
      <c r="H2104" s="10">
        <v>1300</v>
      </c>
      <c r="I2104" s="10"/>
      <c r="J2104" s="10">
        <v>1300</v>
      </c>
      <c r="K2104" s="10">
        <v>15.29</v>
      </c>
    </row>
    <row r="2105" spans="1:11" x14ac:dyDescent="0.25">
      <c r="A2105" s="8" t="s">
        <v>3642</v>
      </c>
      <c r="B2105" s="8" t="s">
        <v>120</v>
      </c>
      <c r="C2105" s="8" t="s">
        <v>3361</v>
      </c>
      <c r="D2105" s="8">
        <v>4</v>
      </c>
      <c r="E2105" s="8" t="s">
        <v>3641</v>
      </c>
      <c r="F2105" s="8" t="s">
        <v>378</v>
      </c>
      <c r="G2105" s="8" t="s">
        <v>3363</v>
      </c>
      <c r="H2105" s="10">
        <v>18000</v>
      </c>
      <c r="I2105" s="10"/>
      <c r="J2105" s="10">
        <v>18000</v>
      </c>
      <c r="K2105" s="10">
        <v>15.29</v>
      </c>
    </row>
    <row r="2106" spans="1:11" x14ac:dyDescent="0.25">
      <c r="A2106" s="8" t="s">
        <v>3643</v>
      </c>
      <c r="B2106" s="8" t="s">
        <v>1655</v>
      </c>
      <c r="C2106" s="8" t="s">
        <v>3361</v>
      </c>
      <c r="D2106" s="8">
        <v>4</v>
      </c>
      <c r="E2106" s="8" t="s">
        <v>3641</v>
      </c>
      <c r="F2106" s="8" t="s">
        <v>378</v>
      </c>
      <c r="G2106" s="8" t="s">
        <v>3363</v>
      </c>
      <c r="H2106" s="10">
        <v>6000</v>
      </c>
      <c r="I2106" s="10"/>
      <c r="J2106" s="10">
        <v>6000</v>
      </c>
      <c r="K2106" s="10">
        <v>15.29</v>
      </c>
    </row>
    <row r="2107" spans="1:11" x14ac:dyDescent="0.25">
      <c r="A2107" s="8" t="s">
        <v>3644</v>
      </c>
      <c r="B2107" s="8" t="s">
        <v>263</v>
      </c>
      <c r="C2107" s="8" t="s">
        <v>3361</v>
      </c>
      <c r="D2107" s="8">
        <v>4</v>
      </c>
      <c r="E2107" s="8" t="s">
        <v>406</v>
      </c>
      <c r="F2107" s="8" t="s">
        <v>378</v>
      </c>
      <c r="G2107" s="8" t="s">
        <v>3576</v>
      </c>
      <c r="H2107" s="10">
        <v>100</v>
      </c>
      <c r="I2107" s="10"/>
      <c r="J2107" s="10">
        <v>100</v>
      </c>
      <c r="K2107" s="10">
        <v>19.440000000000001</v>
      </c>
    </row>
    <row r="2108" spans="1:11" x14ac:dyDescent="0.25">
      <c r="A2108" s="8" t="s">
        <v>3645</v>
      </c>
      <c r="B2108" s="8" t="s">
        <v>269</v>
      </c>
      <c r="C2108" s="8" t="s">
        <v>3361</v>
      </c>
      <c r="D2108" s="8">
        <v>4</v>
      </c>
      <c r="E2108" s="8" t="s">
        <v>406</v>
      </c>
      <c r="F2108" s="8" t="s">
        <v>378</v>
      </c>
      <c r="G2108" s="8" t="s">
        <v>3576</v>
      </c>
      <c r="H2108" s="10">
        <v>100</v>
      </c>
      <c r="I2108" s="10"/>
      <c r="J2108" s="10">
        <v>100</v>
      </c>
      <c r="K2108" s="10">
        <v>19.440000000000001</v>
      </c>
    </row>
    <row r="2109" spans="1:11" x14ac:dyDescent="0.25">
      <c r="A2109" s="8" t="s">
        <v>3646</v>
      </c>
      <c r="B2109" s="8" t="s">
        <v>263</v>
      </c>
      <c r="C2109" s="8" t="s">
        <v>3361</v>
      </c>
      <c r="D2109" s="8">
        <v>4</v>
      </c>
      <c r="E2109" s="8" t="s">
        <v>409</v>
      </c>
      <c r="F2109" s="8" t="s">
        <v>378</v>
      </c>
      <c r="G2109" s="8" t="s">
        <v>3576</v>
      </c>
      <c r="H2109" s="10">
        <v>300</v>
      </c>
      <c r="I2109" s="10"/>
      <c r="J2109" s="10">
        <v>300</v>
      </c>
      <c r="K2109" s="10">
        <v>21.67</v>
      </c>
    </row>
    <row r="2110" spans="1:11" x14ac:dyDescent="0.25">
      <c r="A2110" s="8" t="s">
        <v>3647</v>
      </c>
      <c r="B2110" s="8" t="s">
        <v>269</v>
      </c>
      <c r="C2110" s="8" t="s">
        <v>3361</v>
      </c>
      <c r="D2110" s="8">
        <v>4</v>
      </c>
      <c r="E2110" s="8" t="s">
        <v>409</v>
      </c>
      <c r="F2110" s="8" t="s">
        <v>378</v>
      </c>
      <c r="G2110" s="8" t="s">
        <v>3576</v>
      </c>
      <c r="H2110" s="10">
        <v>400</v>
      </c>
      <c r="I2110" s="10"/>
      <c r="J2110" s="10">
        <v>400</v>
      </c>
      <c r="K2110" s="10">
        <v>21.67</v>
      </c>
    </row>
    <row r="2111" spans="1:11" x14ac:dyDescent="0.25">
      <c r="A2111" s="8" t="s">
        <v>3648</v>
      </c>
      <c r="B2111" s="8" t="s">
        <v>263</v>
      </c>
      <c r="C2111" s="8" t="s">
        <v>3361</v>
      </c>
      <c r="D2111" s="8">
        <v>4</v>
      </c>
      <c r="E2111" s="8" t="s">
        <v>3628</v>
      </c>
      <c r="F2111" s="8" t="s">
        <v>378</v>
      </c>
      <c r="G2111" s="8" t="s">
        <v>3576</v>
      </c>
      <c r="H2111" s="10">
        <v>300</v>
      </c>
      <c r="I2111" s="10"/>
      <c r="J2111" s="10">
        <v>300</v>
      </c>
      <c r="K2111" s="10">
        <v>35.56</v>
      </c>
    </row>
    <row r="2112" spans="1:11" x14ac:dyDescent="0.25">
      <c r="A2112" s="8" t="s">
        <v>3649</v>
      </c>
      <c r="B2112" s="8" t="s">
        <v>269</v>
      </c>
      <c r="C2112" s="8" t="s">
        <v>3361</v>
      </c>
      <c r="D2112" s="8">
        <v>4</v>
      </c>
      <c r="E2112" s="8" t="s">
        <v>3628</v>
      </c>
      <c r="F2112" s="8" t="s">
        <v>378</v>
      </c>
      <c r="G2112" s="8" t="s">
        <v>3576</v>
      </c>
      <c r="H2112" s="10">
        <v>400</v>
      </c>
      <c r="I2112" s="10"/>
      <c r="J2112" s="10">
        <v>400</v>
      </c>
      <c r="K2112" s="10">
        <v>35.56</v>
      </c>
    </row>
    <row r="2113" spans="1:11" x14ac:dyDescent="0.25">
      <c r="A2113" s="8" t="s">
        <v>3650</v>
      </c>
      <c r="B2113" s="8" t="s">
        <v>3651</v>
      </c>
      <c r="C2113" s="8" t="s">
        <v>2006</v>
      </c>
      <c r="D2113" s="8">
        <v>5</v>
      </c>
      <c r="E2113" s="8" t="s">
        <v>3652</v>
      </c>
      <c r="F2113" s="8" t="s">
        <v>215</v>
      </c>
      <c r="G2113" s="8" t="s">
        <v>2748</v>
      </c>
      <c r="H2113" s="10">
        <v>180</v>
      </c>
      <c r="I2113" s="10"/>
      <c r="J2113" s="10">
        <v>180</v>
      </c>
      <c r="K2113" s="10">
        <v>50.24</v>
      </c>
    </row>
    <row r="2114" spans="1:11" x14ac:dyDescent="0.25">
      <c r="A2114" s="8" t="s">
        <v>3653</v>
      </c>
      <c r="B2114" s="8" t="s">
        <v>3651</v>
      </c>
      <c r="C2114" s="8" t="s">
        <v>2006</v>
      </c>
      <c r="D2114" s="8">
        <v>5</v>
      </c>
      <c r="E2114" s="8" t="s">
        <v>3654</v>
      </c>
      <c r="F2114" s="8" t="s">
        <v>215</v>
      </c>
      <c r="G2114" s="8" t="s">
        <v>2748</v>
      </c>
      <c r="H2114" s="10">
        <v>30</v>
      </c>
      <c r="I2114" s="10"/>
      <c r="J2114" s="10">
        <v>30</v>
      </c>
      <c r="K2114" s="10">
        <v>50.24</v>
      </c>
    </row>
    <row r="2115" spans="1:11" x14ac:dyDescent="0.25">
      <c r="A2115" s="8" t="s">
        <v>3655</v>
      </c>
      <c r="B2115" s="8" t="s">
        <v>3651</v>
      </c>
      <c r="C2115" s="8" t="s">
        <v>2006</v>
      </c>
      <c r="D2115" s="8">
        <v>5</v>
      </c>
      <c r="E2115" s="8" t="s">
        <v>3656</v>
      </c>
      <c r="F2115" s="8" t="s">
        <v>378</v>
      </c>
      <c r="G2115" s="8" t="s">
        <v>2748</v>
      </c>
      <c r="H2115" s="10">
        <v>850</v>
      </c>
      <c r="I2115" s="10"/>
      <c r="J2115" s="10">
        <v>850</v>
      </c>
      <c r="K2115" s="10">
        <v>15.29</v>
      </c>
    </row>
    <row r="2116" spans="1:11" x14ac:dyDescent="0.25">
      <c r="A2116" s="8" t="s">
        <v>3657</v>
      </c>
      <c r="B2116" s="8" t="s">
        <v>3651</v>
      </c>
      <c r="C2116" s="8" t="s">
        <v>3391</v>
      </c>
      <c r="D2116" s="8">
        <v>5</v>
      </c>
      <c r="E2116" s="8" t="s">
        <v>3658</v>
      </c>
      <c r="F2116" s="8" t="s">
        <v>378</v>
      </c>
      <c r="G2116" s="8" t="s">
        <v>3659</v>
      </c>
      <c r="H2116" s="10">
        <v>3100</v>
      </c>
      <c r="I2116" s="10"/>
      <c r="J2116" s="10">
        <v>3100</v>
      </c>
      <c r="K2116" s="10">
        <v>15.29</v>
      </c>
    </row>
    <row r="2117" spans="1:11" x14ac:dyDescent="0.25">
      <c r="A2117" s="8" t="s">
        <v>3660</v>
      </c>
      <c r="B2117" s="8" t="s">
        <v>1650</v>
      </c>
      <c r="C2117" s="8" t="s">
        <v>3391</v>
      </c>
      <c r="D2117" s="8">
        <v>5</v>
      </c>
      <c r="E2117" s="8" t="s">
        <v>3661</v>
      </c>
      <c r="F2117" s="8" t="s">
        <v>378</v>
      </c>
      <c r="G2117" s="8" t="s">
        <v>3659</v>
      </c>
      <c r="H2117" s="10">
        <v>1300</v>
      </c>
      <c r="I2117" s="10"/>
      <c r="J2117" s="10">
        <v>1300</v>
      </c>
      <c r="K2117" s="10">
        <v>15.29</v>
      </c>
    </row>
    <row r="2118" spans="1:11" x14ac:dyDescent="0.25">
      <c r="A2118" s="8" t="s">
        <v>3662</v>
      </c>
      <c r="B2118" s="8" t="s">
        <v>120</v>
      </c>
      <c r="C2118" s="8" t="s">
        <v>3391</v>
      </c>
      <c r="D2118" s="8">
        <v>5</v>
      </c>
      <c r="E2118" s="8" t="s">
        <v>3661</v>
      </c>
      <c r="F2118" s="8" t="s">
        <v>378</v>
      </c>
      <c r="G2118" s="8" t="s">
        <v>3659</v>
      </c>
      <c r="H2118" s="10">
        <v>10000</v>
      </c>
      <c r="I2118" s="10"/>
      <c r="J2118" s="10">
        <v>10000</v>
      </c>
      <c r="K2118" s="10">
        <v>15.29</v>
      </c>
    </row>
    <row r="2119" spans="1:11" x14ac:dyDescent="0.25">
      <c r="A2119" s="8" t="s">
        <v>3663</v>
      </c>
      <c r="B2119" s="8" t="s">
        <v>1655</v>
      </c>
      <c r="C2119" s="8" t="s">
        <v>3391</v>
      </c>
      <c r="D2119" s="8">
        <v>5</v>
      </c>
      <c r="E2119" s="8" t="s">
        <v>3661</v>
      </c>
      <c r="F2119" s="8" t="s">
        <v>378</v>
      </c>
      <c r="G2119" s="8" t="s">
        <v>3659</v>
      </c>
      <c r="H2119" s="10">
        <v>4000</v>
      </c>
      <c r="I2119" s="10"/>
      <c r="J2119" s="10">
        <v>4000</v>
      </c>
      <c r="K2119" s="10">
        <v>15.29</v>
      </c>
    </row>
    <row r="2120" spans="1:11" x14ac:dyDescent="0.25">
      <c r="A2120" s="8" t="s">
        <v>3664</v>
      </c>
      <c r="B2120" s="8" t="s">
        <v>3651</v>
      </c>
      <c r="C2120" s="8" t="s">
        <v>3391</v>
      </c>
      <c r="D2120" s="8">
        <v>5</v>
      </c>
      <c r="E2120" s="8" t="s">
        <v>3665</v>
      </c>
      <c r="F2120" s="8" t="s">
        <v>378</v>
      </c>
      <c r="G2120" s="8" t="s">
        <v>3659</v>
      </c>
      <c r="H2120" s="10">
        <v>700</v>
      </c>
      <c r="I2120" s="10"/>
      <c r="J2120" s="10">
        <v>700</v>
      </c>
      <c r="K2120" s="10">
        <v>15.29</v>
      </c>
    </row>
    <row r="2121" spans="1:11" x14ac:dyDescent="0.25">
      <c r="A2121" s="8" t="s">
        <v>3666</v>
      </c>
      <c r="B2121" s="8" t="s">
        <v>1650</v>
      </c>
      <c r="C2121" s="8" t="s">
        <v>3361</v>
      </c>
      <c r="D2121" s="8">
        <v>4</v>
      </c>
      <c r="E2121" s="8" t="s">
        <v>3667</v>
      </c>
      <c r="F2121" s="8" t="s">
        <v>378</v>
      </c>
      <c r="G2121" s="8" t="s">
        <v>3363</v>
      </c>
      <c r="H2121" s="10">
        <v>200</v>
      </c>
      <c r="I2121" s="10"/>
      <c r="J2121" s="10">
        <v>200</v>
      </c>
      <c r="K2121" s="10">
        <v>15.29</v>
      </c>
    </row>
    <row r="2122" spans="1:11" x14ac:dyDescent="0.25">
      <c r="A2122" s="8" t="s">
        <v>3668</v>
      </c>
      <c r="B2122" s="8" t="s">
        <v>120</v>
      </c>
      <c r="C2122" s="8" t="s">
        <v>3361</v>
      </c>
      <c r="D2122" s="8">
        <v>4</v>
      </c>
      <c r="E2122" s="8" t="s">
        <v>3667</v>
      </c>
      <c r="F2122" s="8" t="s">
        <v>378</v>
      </c>
      <c r="G2122" s="8" t="s">
        <v>3363</v>
      </c>
      <c r="H2122" s="10">
        <v>6500</v>
      </c>
      <c r="I2122" s="10"/>
      <c r="J2122" s="10">
        <v>6500</v>
      </c>
      <c r="K2122" s="10">
        <v>15.29</v>
      </c>
    </row>
    <row r="2123" spans="1:11" x14ac:dyDescent="0.25">
      <c r="A2123" s="8" t="s">
        <v>3669</v>
      </c>
      <c r="B2123" s="8" t="s">
        <v>1655</v>
      </c>
      <c r="C2123" s="8" t="s">
        <v>3361</v>
      </c>
      <c r="D2123" s="8">
        <v>4</v>
      </c>
      <c r="E2123" s="8" t="s">
        <v>3667</v>
      </c>
      <c r="F2123" s="8" t="s">
        <v>378</v>
      </c>
      <c r="G2123" s="8" t="s">
        <v>3363</v>
      </c>
      <c r="H2123" s="10">
        <v>2500</v>
      </c>
      <c r="I2123" s="10"/>
      <c r="J2123" s="10">
        <v>2500</v>
      </c>
      <c r="K2123" s="10">
        <v>15.29</v>
      </c>
    </row>
    <row r="2124" spans="1:11" x14ac:dyDescent="0.25">
      <c r="A2124" s="8" t="s">
        <v>3670</v>
      </c>
      <c r="B2124" s="8" t="s">
        <v>1650</v>
      </c>
      <c r="C2124" s="8" t="s">
        <v>3361</v>
      </c>
      <c r="D2124" s="8">
        <v>4</v>
      </c>
      <c r="E2124" s="8" t="s">
        <v>3671</v>
      </c>
      <c r="F2124" s="8" t="s">
        <v>378</v>
      </c>
      <c r="G2124" s="8" t="s">
        <v>3363</v>
      </c>
      <c r="H2124" s="10">
        <v>200</v>
      </c>
      <c r="I2124" s="10"/>
      <c r="J2124" s="10">
        <v>200</v>
      </c>
      <c r="K2124" s="10">
        <v>15.29</v>
      </c>
    </row>
    <row r="2125" spans="1:11" x14ac:dyDescent="0.25">
      <c r="A2125" s="8" t="s">
        <v>3672</v>
      </c>
      <c r="B2125" s="8" t="s">
        <v>120</v>
      </c>
      <c r="C2125" s="8" t="s">
        <v>3361</v>
      </c>
      <c r="D2125" s="8">
        <v>4</v>
      </c>
      <c r="E2125" s="8" t="s">
        <v>3671</v>
      </c>
      <c r="F2125" s="8" t="s">
        <v>378</v>
      </c>
      <c r="G2125" s="8" t="s">
        <v>3363</v>
      </c>
      <c r="H2125" s="10">
        <v>9000</v>
      </c>
      <c r="I2125" s="10"/>
      <c r="J2125" s="10">
        <v>9000</v>
      </c>
      <c r="K2125" s="10">
        <v>15.29</v>
      </c>
    </row>
    <row r="2126" spans="1:11" x14ac:dyDescent="0.25">
      <c r="A2126" s="8" t="s">
        <v>3673</v>
      </c>
      <c r="B2126" s="8" t="s">
        <v>1655</v>
      </c>
      <c r="C2126" s="8" t="s">
        <v>3361</v>
      </c>
      <c r="D2126" s="8">
        <v>4</v>
      </c>
      <c r="E2126" s="8" t="s">
        <v>3671</v>
      </c>
      <c r="F2126" s="8" t="s">
        <v>378</v>
      </c>
      <c r="G2126" s="8" t="s">
        <v>3363</v>
      </c>
      <c r="H2126" s="10">
        <v>2300</v>
      </c>
      <c r="I2126" s="10"/>
      <c r="J2126" s="10">
        <v>2300</v>
      </c>
      <c r="K2126" s="10">
        <v>15.29</v>
      </c>
    </row>
    <row r="2127" spans="1:11" x14ac:dyDescent="0.25">
      <c r="A2127" s="8" t="s">
        <v>3674</v>
      </c>
      <c r="B2127" s="8" t="s">
        <v>1650</v>
      </c>
      <c r="C2127" s="8" t="s">
        <v>3391</v>
      </c>
      <c r="D2127" s="8">
        <v>5</v>
      </c>
      <c r="E2127" s="8" t="s">
        <v>3675</v>
      </c>
      <c r="F2127" s="8" t="s">
        <v>215</v>
      </c>
      <c r="G2127" s="8" t="s">
        <v>3659</v>
      </c>
      <c r="H2127" s="10">
        <v>50</v>
      </c>
      <c r="I2127" s="10"/>
      <c r="J2127" s="10">
        <v>50</v>
      </c>
      <c r="K2127" s="10">
        <v>764.59</v>
      </c>
    </row>
    <row r="2128" spans="1:11" x14ac:dyDescent="0.25">
      <c r="A2128" s="8" t="s">
        <v>3676</v>
      </c>
      <c r="B2128" s="8" t="s">
        <v>120</v>
      </c>
      <c r="C2128" s="8" t="s">
        <v>3391</v>
      </c>
      <c r="D2128" s="8">
        <v>5</v>
      </c>
      <c r="E2128" s="8" t="s">
        <v>3675</v>
      </c>
      <c r="F2128" s="8" t="s">
        <v>215</v>
      </c>
      <c r="G2128" s="8" t="s">
        <v>3659</v>
      </c>
      <c r="H2128" s="10">
        <v>50</v>
      </c>
      <c r="I2128" s="10"/>
      <c r="J2128" s="10">
        <v>50</v>
      </c>
      <c r="K2128" s="10">
        <v>764.59</v>
      </c>
    </row>
    <row r="2129" spans="1:11" x14ac:dyDescent="0.25">
      <c r="A2129" s="8" t="s">
        <v>3677</v>
      </c>
      <c r="B2129" s="8" t="s">
        <v>1655</v>
      </c>
      <c r="C2129" s="8" t="s">
        <v>3391</v>
      </c>
      <c r="D2129" s="8">
        <v>5</v>
      </c>
      <c r="E2129" s="8" t="s">
        <v>3675</v>
      </c>
      <c r="F2129" s="8" t="s">
        <v>215</v>
      </c>
      <c r="G2129" s="8" t="s">
        <v>3659</v>
      </c>
      <c r="H2129" s="10">
        <v>50</v>
      </c>
      <c r="I2129" s="10"/>
      <c r="J2129" s="10">
        <v>50</v>
      </c>
      <c r="K2129" s="10">
        <v>764.59</v>
      </c>
    </row>
    <row r="2130" spans="1:11" x14ac:dyDescent="0.25">
      <c r="A2130" s="8" t="s">
        <v>3678</v>
      </c>
      <c r="B2130" s="8" t="s">
        <v>1650</v>
      </c>
      <c r="C2130" s="8" t="s">
        <v>3391</v>
      </c>
      <c r="D2130" s="8">
        <v>5</v>
      </c>
      <c r="E2130" s="8" t="s">
        <v>3679</v>
      </c>
      <c r="F2130" s="8" t="s">
        <v>215</v>
      </c>
      <c r="G2130" s="8" t="s">
        <v>3659</v>
      </c>
      <c r="H2130" s="10">
        <v>8</v>
      </c>
      <c r="I2130" s="10"/>
      <c r="J2130" s="10">
        <v>8</v>
      </c>
      <c r="K2130" s="10">
        <v>764.59</v>
      </c>
    </row>
    <row r="2131" spans="1:11" x14ac:dyDescent="0.25">
      <c r="A2131" s="8" t="s">
        <v>3680</v>
      </c>
      <c r="B2131" s="8" t="s">
        <v>120</v>
      </c>
      <c r="C2131" s="8" t="s">
        <v>3391</v>
      </c>
      <c r="D2131" s="8">
        <v>5</v>
      </c>
      <c r="E2131" s="8" t="s">
        <v>3679</v>
      </c>
      <c r="F2131" s="8" t="s">
        <v>215</v>
      </c>
      <c r="G2131" s="8" t="s">
        <v>3659</v>
      </c>
      <c r="H2131" s="10">
        <v>8</v>
      </c>
      <c r="I2131" s="10"/>
      <c r="J2131" s="10">
        <v>8</v>
      </c>
      <c r="K2131" s="10">
        <v>764.59</v>
      </c>
    </row>
    <row r="2132" spans="1:11" x14ac:dyDescent="0.25">
      <c r="A2132" s="8" t="s">
        <v>3681</v>
      </c>
      <c r="B2132" s="8" t="s">
        <v>1655</v>
      </c>
      <c r="C2132" s="8" t="s">
        <v>3391</v>
      </c>
      <c r="D2132" s="8">
        <v>5</v>
      </c>
      <c r="E2132" s="8" t="s">
        <v>3679</v>
      </c>
      <c r="F2132" s="8" t="s">
        <v>215</v>
      </c>
      <c r="G2132" s="8" t="s">
        <v>3659</v>
      </c>
      <c r="H2132" s="10">
        <v>8</v>
      </c>
      <c r="I2132" s="10"/>
      <c r="J2132" s="10">
        <v>8</v>
      </c>
      <c r="K2132" s="10">
        <v>764.59</v>
      </c>
    </row>
    <row r="2133" spans="1:11" x14ac:dyDescent="0.25">
      <c r="A2133" s="8" t="s">
        <v>3682</v>
      </c>
      <c r="B2133" s="8" t="s">
        <v>3651</v>
      </c>
      <c r="C2133" s="8" t="s">
        <v>3391</v>
      </c>
      <c r="D2133" s="8">
        <v>5</v>
      </c>
      <c r="E2133" s="8" t="s">
        <v>3683</v>
      </c>
      <c r="F2133" s="8" t="s">
        <v>215</v>
      </c>
      <c r="G2133" s="8" t="s">
        <v>3659</v>
      </c>
      <c r="H2133" s="10">
        <v>2</v>
      </c>
      <c r="I2133" s="10"/>
      <c r="J2133" s="10">
        <v>2</v>
      </c>
      <c r="K2133" s="10">
        <v>2009.65</v>
      </c>
    </row>
    <row r="2134" spans="1:11" x14ac:dyDescent="0.25">
      <c r="A2134" s="8" t="s">
        <v>3684</v>
      </c>
      <c r="B2134" s="8" t="s">
        <v>3651</v>
      </c>
      <c r="C2134" s="8" t="s">
        <v>3391</v>
      </c>
      <c r="D2134" s="8">
        <v>5</v>
      </c>
      <c r="E2134" s="8" t="s">
        <v>3685</v>
      </c>
      <c r="F2134" s="8" t="s">
        <v>215</v>
      </c>
      <c r="G2134" s="8" t="s">
        <v>3659</v>
      </c>
      <c r="H2134" s="10">
        <v>3</v>
      </c>
      <c r="I2134" s="10"/>
      <c r="J2134" s="10">
        <v>3</v>
      </c>
      <c r="K2134" s="10">
        <v>2009.65</v>
      </c>
    </row>
    <row r="2135" spans="1:11" x14ac:dyDescent="0.25">
      <c r="A2135" s="8" t="s">
        <v>3686</v>
      </c>
      <c r="B2135" s="8" t="s">
        <v>116</v>
      </c>
      <c r="C2135" s="8" t="s">
        <v>3687</v>
      </c>
      <c r="D2135" s="8">
        <v>3</v>
      </c>
      <c r="E2135" s="8" t="s">
        <v>418</v>
      </c>
      <c r="F2135" s="8" t="s">
        <v>378</v>
      </c>
      <c r="G2135" s="8" t="s">
        <v>3688</v>
      </c>
      <c r="H2135" s="10">
        <v>210</v>
      </c>
      <c r="I2135" s="10"/>
      <c r="J2135" s="10">
        <v>210</v>
      </c>
      <c r="K2135" s="10">
        <v>142.76</v>
      </c>
    </row>
    <row r="2136" spans="1:11" x14ac:dyDescent="0.25">
      <c r="A2136" s="8" t="s">
        <v>3689</v>
      </c>
      <c r="B2136" s="8" t="s">
        <v>118</v>
      </c>
      <c r="C2136" s="8" t="s">
        <v>3687</v>
      </c>
      <c r="D2136" s="8">
        <v>3</v>
      </c>
      <c r="E2136" s="8" t="s">
        <v>418</v>
      </c>
      <c r="F2136" s="8" t="s">
        <v>378</v>
      </c>
      <c r="G2136" s="8" t="s">
        <v>3688</v>
      </c>
      <c r="H2136" s="10">
        <v>360</v>
      </c>
      <c r="I2136" s="10"/>
      <c r="J2136" s="10">
        <v>360</v>
      </c>
      <c r="K2136" s="10">
        <v>142.76</v>
      </c>
    </row>
    <row r="2137" spans="1:11" x14ac:dyDescent="0.25">
      <c r="A2137" s="8" t="s">
        <v>3690</v>
      </c>
      <c r="B2137" s="8" t="s">
        <v>1650</v>
      </c>
      <c r="C2137" s="8" t="s">
        <v>3687</v>
      </c>
      <c r="D2137" s="8">
        <v>3</v>
      </c>
      <c r="E2137" s="8" t="s">
        <v>418</v>
      </c>
      <c r="F2137" s="8" t="s">
        <v>378</v>
      </c>
      <c r="G2137" s="8" t="s">
        <v>3688</v>
      </c>
      <c r="H2137" s="10">
        <v>240</v>
      </c>
      <c r="I2137" s="10"/>
      <c r="J2137" s="10">
        <v>240</v>
      </c>
      <c r="K2137" s="10">
        <v>142.76</v>
      </c>
    </row>
    <row r="2138" spans="1:11" x14ac:dyDescent="0.25">
      <c r="A2138" s="8" t="s">
        <v>3691</v>
      </c>
      <c r="B2138" s="8" t="s">
        <v>120</v>
      </c>
      <c r="C2138" s="8" t="s">
        <v>3687</v>
      </c>
      <c r="D2138" s="8">
        <v>3</v>
      </c>
      <c r="E2138" s="8" t="s">
        <v>418</v>
      </c>
      <c r="F2138" s="8" t="s">
        <v>378</v>
      </c>
      <c r="G2138" s="8" t="s">
        <v>3688</v>
      </c>
      <c r="H2138" s="10">
        <v>450</v>
      </c>
      <c r="I2138" s="10"/>
      <c r="J2138" s="10">
        <v>450</v>
      </c>
      <c r="K2138" s="10">
        <v>142.76</v>
      </c>
    </row>
    <row r="2139" spans="1:11" x14ac:dyDescent="0.25">
      <c r="A2139" s="8" t="s">
        <v>3692</v>
      </c>
      <c r="B2139" s="8" t="s">
        <v>120</v>
      </c>
      <c r="C2139" s="8" t="s">
        <v>3687</v>
      </c>
      <c r="D2139" s="8">
        <v>3</v>
      </c>
      <c r="E2139" s="8" t="s">
        <v>418</v>
      </c>
      <c r="F2139" s="8" t="s">
        <v>378</v>
      </c>
      <c r="G2139" s="8" t="s">
        <v>3688</v>
      </c>
      <c r="H2139" s="10">
        <v>750</v>
      </c>
      <c r="I2139" s="10"/>
      <c r="J2139" s="10">
        <v>750</v>
      </c>
      <c r="K2139" s="10">
        <v>142.76</v>
      </c>
    </row>
    <row r="2140" spans="1:11" x14ac:dyDescent="0.25">
      <c r="A2140" s="8" t="s">
        <v>3693</v>
      </c>
      <c r="B2140" s="8" t="s">
        <v>122</v>
      </c>
      <c r="C2140" s="8" t="s">
        <v>3687</v>
      </c>
      <c r="D2140" s="8">
        <v>3</v>
      </c>
      <c r="E2140" s="8" t="s">
        <v>418</v>
      </c>
      <c r="F2140" s="8" t="s">
        <v>378</v>
      </c>
      <c r="G2140" s="8" t="s">
        <v>3688</v>
      </c>
      <c r="H2140" s="10">
        <v>600</v>
      </c>
      <c r="I2140" s="10"/>
      <c r="J2140" s="10">
        <v>600</v>
      </c>
      <c r="K2140" s="10">
        <v>142.76</v>
      </c>
    </row>
    <row r="2141" spans="1:11" x14ac:dyDescent="0.25">
      <c r="A2141" s="8" t="s">
        <v>3694</v>
      </c>
      <c r="B2141" s="8" t="s">
        <v>124</v>
      </c>
      <c r="C2141" s="8" t="s">
        <v>3687</v>
      </c>
      <c r="D2141" s="8">
        <v>3</v>
      </c>
      <c r="E2141" s="8" t="s">
        <v>418</v>
      </c>
      <c r="F2141" s="8" t="s">
        <v>378</v>
      </c>
      <c r="G2141" s="8" t="s">
        <v>3688</v>
      </c>
      <c r="H2141" s="10">
        <v>450</v>
      </c>
      <c r="I2141" s="10"/>
      <c r="J2141" s="10">
        <v>450</v>
      </c>
      <c r="K2141" s="10">
        <v>142.76</v>
      </c>
    </row>
    <row r="2142" spans="1:11" x14ac:dyDescent="0.25">
      <c r="A2142" s="8" t="s">
        <v>3695</v>
      </c>
      <c r="B2142" s="8" t="s">
        <v>78</v>
      </c>
      <c r="C2142" s="8" t="s">
        <v>3687</v>
      </c>
      <c r="D2142" s="8">
        <v>3</v>
      </c>
      <c r="E2142" s="8" t="s">
        <v>418</v>
      </c>
      <c r="F2142" s="8" t="s">
        <v>378</v>
      </c>
      <c r="G2142" s="8" t="s">
        <v>3688</v>
      </c>
      <c r="H2142" s="10">
        <v>210</v>
      </c>
      <c r="I2142" s="10"/>
      <c r="J2142" s="10">
        <v>210</v>
      </c>
      <c r="K2142" s="10">
        <v>142.76</v>
      </c>
    </row>
    <row r="2143" spans="1:11" x14ac:dyDescent="0.25">
      <c r="A2143" s="8" t="s">
        <v>3696</v>
      </c>
      <c r="B2143" s="8" t="s">
        <v>1655</v>
      </c>
      <c r="C2143" s="8" t="s">
        <v>3687</v>
      </c>
      <c r="D2143" s="8">
        <v>3</v>
      </c>
      <c r="E2143" s="8" t="s">
        <v>418</v>
      </c>
      <c r="F2143" s="8" t="s">
        <v>378</v>
      </c>
      <c r="G2143" s="8" t="s">
        <v>3688</v>
      </c>
      <c r="H2143" s="10">
        <v>240</v>
      </c>
      <c r="I2143" s="10"/>
      <c r="J2143" s="10">
        <v>240</v>
      </c>
      <c r="K2143" s="10">
        <v>142.76</v>
      </c>
    </row>
    <row r="2144" spans="1:11" x14ac:dyDescent="0.25">
      <c r="A2144" s="8" t="s">
        <v>3697</v>
      </c>
      <c r="B2144" s="8" t="s">
        <v>128</v>
      </c>
      <c r="C2144" s="8" t="s">
        <v>3687</v>
      </c>
      <c r="D2144" s="8">
        <v>3</v>
      </c>
      <c r="E2144" s="8" t="s">
        <v>418</v>
      </c>
      <c r="F2144" s="8" t="s">
        <v>378</v>
      </c>
      <c r="G2144" s="8" t="s">
        <v>3688</v>
      </c>
      <c r="H2144" s="10">
        <v>90</v>
      </c>
      <c r="I2144" s="10"/>
      <c r="J2144" s="10">
        <v>90</v>
      </c>
      <c r="K2144" s="10">
        <v>142.76</v>
      </c>
    </row>
    <row r="2145" spans="1:11" x14ac:dyDescent="0.25">
      <c r="A2145" s="8" t="s">
        <v>3698</v>
      </c>
      <c r="B2145" s="8" t="s">
        <v>949</v>
      </c>
      <c r="C2145" s="8" t="s">
        <v>3687</v>
      </c>
      <c r="D2145" s="8">
        <v>3</v>
      </c>
      <c r="E2145" s="8" t="s">
        <v>418</v>
      </c>
      <c r="F2145" s="8" t="s">
        <v>378</v>
      </c>
      <c r="G2145" s="8" t="s">
        <v>3688</v>
      </c>
      <c r="H2145" s="10">
        <v>15</v>
      </c>
      <c r="I2145" s="10"/>
      <c r="J2145" s="10">
        <v>15</v>
      </c>
      <c r="K2145" s="10">
        <v>142.76</v>
      </c>
    </row>
    <row r="2146" spans="1:11" x14ac:dyDescent="0.25">
      <c r="A2146" s="8" t="s">
        <v>3699</v>
      </c>
      <c r="B2146" s="8" t="s">
        <v>130</v>
      </c>
      <c r="C2146" s="8" t="s">
        <v>3687</v>
      </c>
      <c r="D2146" s="8">
        <v>3</v>
      </c>
      <c r="E2146" s="8" t="s">
        <v>418</v>
      </c>
      <c r="F2146" s="8" t="s">
        <v>378</v>
      </c>
      <c r="G2146" s="8" t="s">
        <v>3688</v>
      </c>
      <c r="H2146" s="10">
        <v>90</v>
      </c>
      <c r="I2146" s="10"/>
      <c r="J2146" s="10">
        <v>90</v>
      </c>
      <c r="K2146" s="10">
        <v>142.76</v>
      </c>
    </row>
    <row r="2147" spans="1:11" x14ac:dyDescent="0.25">
      <c r="A2147" s="8" t="s">
        <v>3700</v>
      </c>
      <c r="B2147" s="8" t="s">
        <v>132</v>
      </c>
      <c r="C2147" s="8" t="s">
        <v>3687</v>
      </c>
      <c r="D2147" s="8">
        <v>3</v>
      </c>
      <c r="E2147" s="8" t="s">
        <v>418</v>
      </c>
      <c r="F2147" s="8" t="s">
        <v>378</v>
      </c>
      <c r="G2147" s="8" t="s">
        <v>3688</v>
      </c>
      <c r="H2147" s="10">
        <v>90</v>
      </c>
      <c r="I2147" s="10"/>
      <c r="J2147" s="10">
        <v>90</v>
      </c>
      <c r="K2147" s="10">
        <v>142.76</v>
      </c>
    </row>
    <row r="2148" spans="1:11" x14ac:dyDescent="0.25">
      <c r="A2148" s="8" t="s">
        <v>3701</v>
      </c>
      <c r="B2148" s="8" t="s">
        <v>134</v>
      </c>
      <c r="C2148" s="8" t="s">
        <v>3687</v>
      </c>
      <c r="D2148" s="8">
        <v>3</v>
      </c>
      <c r="E2148" s="8" t="s">
        <v>418</v>
      </c>
      <c r="F2148" s="8" t="s">
        <v>378</v>
      </c>
      <c r="G2148" s="8" t="s">
        <v>3688</v>
      </c>
      <c r="H2148" s="10">
        <v>300</v>
      </c>
      <c r="I2148" s="10"/>
      <c r="J2148" s="10">
        <v>300</v>
      </c>
      <c r="K2148" s="10">
        <v>142.76</v>
      </c>
    </row>
    <row r="2149" spans="1:11" x14ac:dyDescent="0.25">
      <c r="A2149" s="8" t="s">
        <v>3702</v>
      </c>
      <c r="B2149" s="8" t="s">
        <v>136</v>
      </c>
      <c r="C2149" s="8" t="s">
        <v>3687</v>
      </c>
      <c r="D2149" s="8">
        <v>3</v>
      </c>
      <c r="E2149" s="8" t="s">
        <v>418</v>
      </c>
      <c r="F2149" s="8" t="s">
        <v>378</v>
      </c>
      <c r="G2149" s="8" t="s">
        <v>3688</v>
      </c>
      <c r="H2149" s="10">
        <v>120</v>
      </c>
      <c r="I2149" s="10"/>
      <c r="J2149" s="10">
        <v>120</v>
      </c>
      <c r="K2149" s="10">
        <v>142.76</v>
      </c>
    </row>
    <row r="2150" spans="1:11" x14ac:dyDescent="0.25">
      <c r="A2150" s="8" t="s">
        <v>3703</v>
      </c>
      <c r="B2150" s="8" t="s">
        <v>1689</v>
      </c>
      <c r="C2150" s="8" t="s">
        <v>3687</v>
      </c>
      <c r="D2150" s="8">
        <v>3</v>
      </c>
      <c r="E2150" s="8" t="s">
        <v>418</v>
      </c>
      <c r="F2150" s="8" t="s">
        <v>378</v>
      </c>
      <c r="G2150" s="8" t="s">
        <v>3688</v>
      </c>
      <c r="H2150" s="10">
        <v>90</v>
      </c>
      <c r="I2150" s="10"/>
      <c r="J2150" s="10">
        <v>90</v>
      </c>
      <c r="K2150" s="10">
        <v>142.76</v>
      </c>
    </row>
    <row r="2151" spans="1:11" x14ac:dyDescent="0.25">
      <c r="A2151" s="8" t="s">
        <v>3704</v>
      </c>
      <c r="B2151" s="8" t="s">
        <v>3518</v>
      </c>
      <c r="C2151" s="8" t="s">
        <v>3687</v>
      </c>
      <c r="D2151" s="8">
        <v>3</v>
      </c>
      <c r="E2151" s="8" t="s">
        <v>418</v>
      </c>
      <c r="F2151" s="8" t="s">
        <v>378</v>
      </c>
      <c r="G2151" s="8" t="s">
        <v>3688</v>
      </c>
      <c r="H2151" s="10">
        <v>15</v>
      </c>
      <c r="I2151" s="10"/>
      <c r="J2151" s="10">
        <v>15</v>
      </c>
      <c r="K2151" s="10">
        <v>142.76</v>
      </c>
    </row>
    <row r="2152" spans="1:11" x14ac:dyDescent="0.25">
      <c r="A2152" s="8" t="s">
        <v>3705</v>
      </c>
      <c r="B2152" s="8" t="s">
        <v>138</v>
      </c>
      <c r="C2152" s="8" t="s">
        <v>3687</v>
      </c>
      <c r="D2152" s="8">
        <v>3</v>
      </c>
      <c r="E2152" s="8" t="s">
        <v>418</v>
      </c>
      <c r="F2152" s="8" t="s">
        <v>378</v>
      </c>
      <c r="G2152" s="8" t="s">
        <v>3688</v>
      </c>
      <c r="H2152" s="10">
        <v>60</v>
      </c>
      <c r="I2152" s="10"/>
      <c r="J2152" s="10">
        <v>60</v>
      </c>
      <c r="K2152" s="10">
        <v>142.76</v>
      </c>
    </row>
    <row r="2153" spans="1:11" x14ac:dyDescent="0.25">
      <c r="A2153" s="8" t="s">
        <v>3706</v>
      </c>
      <c r="B2153" s="8" t="s">
        <v>3521</v>
      </c>
      <c r="C2153" s="8" t="s">
        <v>3687</v>
      </c>
      <c r="D2153" s="8">
        <v>3</v>
      </c>
      <c r="E2153" s="8" t="s">
        <v>418</v>
      </c>
      <c r="F2153" s="8" t="s">
        <v>378</v>
      </c>
      <c r="G2153" s="8" t="s">
        <v>3688</v>
      </c>
      <c r="H2153" s="10">
        <v>150</v>
      </c>
      <c r="I2153" s="10"/>
      <c r="J2153" s="10">
        <v>150</v>
      </c>
      <c r="K2153" s="10">
        <v>142.76</v>
      </c>
    </row>
    <row r="2154" spans="1:11" x14ac:dyDescent="0.25">
      <c r="A2154" s="8" t="s">
        <v>3707</v>
      </c>
      <c r="B2154" s="8" t="s">
        <v>80</v>
      </c>
      <c r="C2154" s="8" t="s">
        <v>3687</v>
      </c>
      <c r="D2154" s="8">
        <v>3</v>
      </c>
      <c r="E2154" s="8" t="s">
        <v>418</v>
      </c>
      <c r="F2154" s="8" t="s">
        <v>378</v>
      </c>
      <c r="G2154" s="8" t="s">
        <v>3688</v>
      </c>
      <c r="H2154" s="10">
        <v>60</v>
      </c>
      <c r="I2154" s="10"/>
      <c r="J2154" s="10">
        <v>60</v>
      </c>
      <c r="K2154" s="10">
        <v>142.76</v>
      </c>
    </row>
    <row r="2155" spans="1:11" x14ac:dyDescent="0.25">
      <c r="A2155" s="8" t="s">
        <v>3708</v>
      </c>
      <c r="B2155" s="8" t="s">
        <v>116</v>
      </c>
      <c r="C2155" s="8" t="s">
        <v>3687</v>
      </c>
      <c r="D2155" s="8">
        <v>3</v>
      </c>
      <c r="E2155" s="8" t="s">
        <v>422</v>
      </c>
      <c r="F2155" s="8" t="s">
        <v>378</v>
      </c>
      <c r="G2155" s="8" t="s">
        <v>3688</v>
      </c>
      <c r="H2155" s="10">
        <v>210</v>
      </c>
      <c r="I2155" s="10"/>
      <c r="J2155" s="10">
        <v>210</v>
      </c>
      <c r="K2155" s="10">
        <v>142.76</v>
      </c>
    </row>
    <row r="2156" spans="1:11" x14ac:dyDescent="0.25">
      <c r="A2156" s="8" t="s">
        <v>3709</v>
      </c>
      <c r="B2156" s="8" t="s">
        <v>116</v>
      </c>
      <c r="C2156" s="8" t="s">
        <v>3687</v>
      </c>
      <c r="D2156" s="8">
        <v>3</v>
      </c>
      <c r="E2156" s="8" t="s">
        <v>422</v>
      </c>
      <c r="F2156" s="8" t="s">
        <v>378</v>
      </c>
      <c r="G2156" s="8" t="s">
        <v>3688</v>
      </c>
      <c r="H2156" s="10">
        <v>9</v>
      </c>
      <c r="I2156" s="10"/>
      <c r="J2156" s="10">
        <v>9</v>
      </c>
      <c r="K2156" s="10">
        <v>142.76</v>
      </c>
    </row>
    <row r="2157" spans="1:11" x14ac:dyDescent="0.25">
      <c r="A2157" s="8" t="s">
        <v>3710</v>
      </c>
      <c r="B2157" s="8" t="s">
        <v>116</v>
      </c>
      <c r="C2157" s="8" t="s">
        <v>3687</v>
      </c>
      <c r="D2157" s="8">
        <v>3</v>
      </c>
      <c r="E2157" s="8" t="s">
        <v>422</v>
      </c>
      <c r="F2157" s="8" t="s">
        <v>378</v>
      </c>
      <c r="G2157" s="8" t="s">
        <v>3688</v>
      </c>
      <c r="H2157" s="10">
        <v>9</v>
      </c>
      <c r="I2157" s="10"/>
      <c r="J2157" s="10">
        <v>9</v>
      </c>
      <c r="K2157" s="10">
        <v>142.76</v>
      </c>
    </row>
    <row r="2158" spans="1:11" x14ac:dyDescent="0.25">
      <c r="A2158" s="8" t="s">
        <v>3711</v>
      </c>
      <c r="B2158" s="8" t="s">
        <v>118</v>
      </c>
      <c r="C2158" s="8" t="s">
        <v>3687</v>
      </c>
      <c r="D2158" s="8">
        <v>3</v>
      </c>
      <c r="E2158" s="8" t="s">
        <v>422</v>
      </c>
      <c r="F2158" s="8" t="s">
        <v>378</v>
      </c>
      <c r="G2158" s="8" t="s">
        <v>3688</v>
      </c>
      <c r="H2158" s="10">
        <v>90</v>
      </c>
      <c r="I2158" s="10"/>
      <c r="J2158" s="10">
        <v>90</v>
      </c>
      <c r="K2158" s="10">
        <v>142.76</v>
      </c>
    </row>
    <row r="2159" spans="1:11" x14ac:dyDescent="0.25">
      <c r="A2159" s="8" t="s">
        <v>3712</v>
      </c>
      <c r="B2159" s="8" t="s">
        <v>1650</v>
      </c>
      <c r="C2159" s="8" t="s">
        <v>3687</v>
      </c>
      <c r="D2159" s="8">
        <v>3</v>
      </c>
      <c r="E2159" s="8" t="s">
        <v>422</v>
      </c>
      <c r="F2159" s="8" t="s">
        <v>378</v>
      </c>
      <c r="G2159" s="8" t="s">
        <v>3688</v>
      </c>
      <c r="H2159" s="10">
        <v>30</v>
      </c>
      <c r="I2159" s="10"/>
      <c r="J2159" s="10">
        <v>30</v>
      </c>
      <c r="K2159" s="10">
        <v>142.76</v>
      </c>
    </row>
    <row r="2160" spans="1:11" x14ac:dyDescent="0.25">
      <c r="A2160" s="8" t="s">
        <v>3713</v>
      </c>
      <c r="B2160" s="8" t="s">
        <v>120</v>
      </c>
      <c r="C2160" s="8" t="s">
        <v>3687</v>
      </c>
      <c r="D2160" s="8">
        <v>3</v>
      </c>
      <c r="E2160" s="8" t="s">
        <v>422</v>
      </c>
      <c r="F2160" s="8" t="s">
        <v>378</v>
      </c>
      <c r="G2160" s="8" t="s">
        <v>3688</v>
      </c>
      <c r="H2160" s="10">
        <v>120</v>
      </c>
      <c r="I2160" s="10"/>
      <c r="J2160" s="10">
        <v>120</v>
      </c>
      <c r="K2160" s="10">
        <v>142.76</v>
      </c>
    </row>
    <row r="2161" spans="1:11" x14ac:dyDescent="0.25">
      <c r="A2161" s="8" t="s">
        <v>3714</v>
      </c>
      <c r="B2161" s="8" t="s">
        <v>120</v>
      </c>
      <c r="C2161" s="8" t="s">
        <v>3687</v>
      </c>
      <c r="D2161" s="8">
        <v>3</v>
      </c>
      <c r="E2161" s="8" t="s">
        <v>422</v>
      </c>
      <c r="F2161" s="8" t="s">
        <v>378</v>
      </c>
      <c r="G2161" s="8" t="s">
        <v>3688</v>
      </c>
      <c r="H2161" s="10">
        <v>150</v>
      </c>
      <c r="I2161" s="10"/>
      <c r="J2161" s="10">
        <v>150</v>
      </c>
      <c r="K2161" s="10">
        <v>142.76</v>
      </c>
    </row>
    <row r="2162" spans="1:11" x14ac:dyDescent="0.25">
      <c r="A2162" s="8" t="s">
        <v>3715</v>
      </c>
      <c r="B2162" s="8" t="s">
        <v>122</v>
      </c>
      <c r="C2162" s="8" t="s">
        <v>3687</v>
      </c>
      <c r="D2162" s="8">
        <v>3</v>
      </c>
      <c r="E2162" s="8" t="s">
        <v>422</v>
      </c>
      <c r="F2162" s="8" t="s">
        <v>378</v>
      </c>
      <c r="G2162" s="8" t="s">
        <v>3688</v>
      </c>
      <c r="H2162" s="10">
        <v>120</v>
      </c>
      <c r="I2162" s="10"/>
      <c r="J2162" s="10">
        <v>120</v>
      </c>
      <c r="K2162" s="10">
        <v>142.76</v>
      </c>
    </row>
    <row r="2163" spans="1:11" x14ac:dyDescent="0.25">
      <c r="A2163" s="8" t="s">
        <v>3716</v>
      </c>
      <c r="B2163" s="8" t="s">
        <v>124</v>
      </c>
      <c r="C2163" s="8" t="s">
        <v>3687</v>
      </c>
      <c r="D2163" s="8">
        <v>3</v>
      </c>
      <c r="E2163" s="8" t="s">
        <v>422</v>
      </c>
      <c r="F2163" s="8" t="s">
        <v>378</v>
      </c>
      <c r="G2163" s="8" t="s">
        <v>3688</v>
      </c>
      <c r="H2163" s="10">
        <v>120</v>
      </c>
      <c r="I2163" s="10"/>
      <c r="J2163" s="10">
        <v>120</v>
      </c>
      <c r="K2163" s="10">
        <v>142.76</v>
      </c>
    </row>
    <row r="2164" spans="1:11" x14ac:dyDescent="0.25">
      <c r="A2164" s="8" t="s">
        <v>3717</v>
      </c>
      <c r="B2164" s="8" t="s">
        <v>78</v>
      </c>
      <c r="C2164" s="8" t="s">
        <v>3687</v>
      </c>
      <c r="D2164" s="8">
        <v>3</v>
      </c>
      <c r="E2164" s="8" t="s">
        <v>422</v>
      </c>
      <c r="F2164" s="8" t="s">
        <v>378</v>
      </c>
      <c r="G2164" s="8" t="s">
        <v>3688</v>
      </c>
      <c r="H2164" s="10">
        <v>60</v>
      </c>
      <c r="I2164" s="10"/>
      <c r="J2164" s="10">
        <v>60</v>
      </c>
      <c r="K2164" s="10">
        <v>142.76</v>
      </c>
    </row>
    <row r="2165" spans="1:11" x14ac:dyDescent="0.25">
      <c r="A2165" s="8" t="s">
        <v>3718</v>
      </c>
      <c r="B2165" s="8" t="s">
        <v>1655</v>
      </c>
      <c r="C2165" s="8" t="s">
        <v>3687</v>
      </c>
      <c r="D2165" s="8">
        <v>3</v>
      </c>
      <c r="E2165" s="8" t="s">
        <v>422</v>
      </c>
      <c r="F2165" s="8" t="s">
        <v>378</v>
      </c>
      <c r="G2165" s="8" t="s">
        <v>3688</v>
      </c>
      <c r="H2165" s="10">
        <v>30</v>
      </c>
      <c r="I2165" s="10"/>
      <c r="J2165" s="10">
        <v>30</v>
      </c>
      <c r="K2165" s="10">
        <v>142.76</v>
      </c>
    </row>
    <row r="2166" spans="1:11" x14ac:dyDescent="0.25">
      <c r="A2166" s="8" t="s">
        <v>3719</v>
      </c>
      <c r="B2166" s="8" t="s">
        <v>128</v>
      </c>
      <c r="C2166" s="8" t="s">
        <v>3687</v>
      </c>
      <c r="D2166" s="8">
        <v>3</v>
      </c>
      <c r="E2166" s="8" t="s">
        <v>422</v>
      </c>
      <c r="F2166" s="8" t="s">
        <v>378</v>
      </c>
      <c r="G2166" s="8" t="s">
        <v>3688</v>
      </c>
      <c r="H2166" s="10">
        <v>30</v>
      </c>
      <c r="I2166" s="10"/>
      <c r="J2166" s="10">
        <v>30</v>
      </c>
      <c r="K2166" s="10">
        <v>142.76</v>
      </c>
    </row>
    <row r="2167" spans="1:11" x14ac:dyDescent="0.25">
      <c r="A2167" s="8" t="s">
        <v>3720</v>
      </c>
      <c r="B2167" s="8" t="s">
        <v>949</v>
      </c>
      <c r="C2167" s="8" t="s">
        <v>3687</v>
      </c>
      <c r="D2167" s="8">
        <v>3</v>
      </c>
      <c r="E2167" s="8" t="s">
        <v>422</v>
      </c>
      <c r="F2167" s="8" t="s">
        <v>378</v>
      </c>
      <c r="G2167" s="8" t="s">
        <v>3688</v>
      </c>
      <c r="H2167" s="10">
        <v>15</v>
      </c>
      <c r="I2167" s="10"/>
      <c r="J2167" s="10">
        <v>15</v>
      </c>
      <c r="K2167" s="10">
        <v>142.76</v>
      </c>
    </row>
    <row r="2168" spans="1:11" x14ac:dyDescent="0.25">
      <c r="A2168" s="8" t="s">
        <v>3721</v>
      </c>
      <c r="B2168" s="8" t="s">
        <v>130</v>
      </c>
      <c r="C2168" s="8" t="s">
        <v>3687</v>
      </c>
      <c r="D2168" s="8">
        <v>3</v>
      </c>
      <c r="E2168" s="8" t="s">
        <v>422</v>
      </c>
      <c r="F2168" s="8" t="s">
        <v>378</v>
      </c>
      <c r="G2168" s="8" t="s">
        <v>3688</v>
      </c>
      <c r="H2168" s="10">
        <v>15</v>
      </c>
      <c r="I2168" s="10"/>
      <c r="J2168" s="10">
        <v>15</v>
      </c>
      <c r="K2168" s="10">
        <v>142.76</v>
      </c>
    </row>
    <row r="2169" spans="1:11" x14ac:dyDescent="0.25">
      <c r="A2169" s="8" t="s">
        <v>3722</v>
      </c>
      <c r="B2169" s="8" t="s">
        <v>132</v>
      </c>
      <c r="C2169" s="8" t="s">
        <v>3687</v>
      </c>
      <c r="D2169" s="8">
        <v>3</v>
      </c>
      <c r="E2169" s="8" t="s">
        <v>422</v>
      </c>
      <c r="F2169" s="8" t="s">
        <v>378</v>
      </c>
      <c r="G2169" s="8" t="s">
        <v>3688</v>
      </c>
      <c r="H2169" s="10">
        <v>30</v>
      </c>
      <c r="I2169" s="10"/>
      <c r="J2169" s="10">
        <v>30</v>
      </c>
      <c r="K2169" s="10">
        <v>142.76</v>
      </c>
    </row>
    <row r="2170" spans="1:11" x14ac:dyDescent="0.25">
      <c r="A2170" s="8" t="s">
        <v>3723</v>
      </c>
      <c r="B2170" s="8" t="s">
        <v>134</v>
      </c>
      <c r="C2170" s="8" t="s">
        <v>3687</v>
      </c>
      <c r="D2170" s="8">
        <v>3</v>
      </c>
      <c r="E2170" s="8" t="s">
        <v>422</v>
      </c>
      <c r="F2170" s="8" t="s">
        <v>378</v>
      </c>
      <c r="G2170" s="8" t="s">
        <v>3688</v>
      </c>
      <c r="H2170" s="10">
        <v>60</v>
      </c>
      <c r="I2170" s="10"/>
      <c r="J2170" s="10">
        <v>60</v>
      </c>
      <c r="K2170" s="10">
        <v>142.76</v>
      </c>
    </row>
    <row r="2171" spans="1:11" x14ac:dyDescent="0.25">
      <c r="A2171" s="8" t="s">
        <v>3724</v>
      </c>
      <c r="B2171" s="8" t="s">
        <v>136</v>
      </c>
      <c r="C2171" s="8" t="s">
        <v>3687</v>
      </c>
      <c r="D2171" s="8">
        <v>3</v>
      </c>
      <c r="E2171" s="8" t="s">
        <v>422</v>
      </c>
      <c r="F2171" s="8" t="s">
        <v>378</v>
      </c>
      <c r="G2171" s="8" t="s">
        <v>3688</v>
      </c>
      <c r="H2171" s="10">
        <v>30</v>
      </c>
      <c r="I2171" s="10"/>
      <c r="J2171" s="10">
        <v>30</v>
      </c>
      <c r="K2171" s="10">
        <v>142.76</v>
      </c>
    </row>
    <row r="2172" spans="1:11" x14ac:dyDescent="0.25">
      <c r="A2172" s="8" t="s">
        <v>3725</v>
      </c>
      <c r="B2172" s="8" t="s">
        <v>1689</v>
      </c>
      <c r="C2172" s="8" t="s">
        <v>3687</v>
      </c>
      <c r="D2172" s="8">
        <v>3</v>
      </c>
      <c r="E2172" s="8" t="s">
        <v>422</v>
      </c>
      <c r="F2172" s="8" t="s">
        <v>378</v>
      </c>
      <c r="G2172" s="8" t="s">
        <v>3688</v>
      </c>
      <c r="H2172" s="10">
        <v>15</v>
      </c>
      <c r="I2172" s="10"/>
      <c r="J2172" s="10">
        <v>15</v>
      </c>
      <c r="K2172" s="10">
        <v>142.76</v>
      </c>
    </row>
    <row r="2173" spans="1:11" x14ac:dyDescent="0.25">
      <c r="A2173" s="8" t="s">
        <v>3726</v>
      </c>
      <c r="B2173" s="8" t="s">
        <v>138</v>
      </c>
      <c r="C2173" s="8" t="s">
        <v>3687</v>
      </c>
      <c r="D2173" s="8">
        <v>3</v>
      </c>
      <c r="E2173" s="8" t="s">
        <v>422</v>
      </c>
      <c r="F2173" s="8" t="s">
        <v>378</v>
      </c>
      <c r="G2173" s="8" t="s">
        <v>3688</v>
      </c>
      <c r="H2173" s="10">
        <v>15</v>
      </c>
      <c r="I2173" s="10"/>
      <c r="J2173" s="10">
        <v>15</v>
      </c>
      <c r="K2173" s="10">
        <v>142.76</v>
      </c>
    </row>
    <row r="2174" spans="1:11" x14ac:dyDescent="0.25">
      <c r="A2174" s="8" t="s">
        <v>3727</v>
      </c>
      <c r="B2174" s="8" t="s">
        <v>80</v>
      </c>
      <c r="C2174" s="8" t="s">
        <v>3687</v>
      </c>
      <c r="D2174" s="8">
        <v>3</v>
      </c>
      <c r="E2174" s="8" t="s">
        <v>422</v>
      </c>
      <c r="F2174" s="8" t="s">
        <v>378</v>
      </c>
      <c r="G2174" s="8" t="s">
        <v>3688</v>
      </c>
      <c r="H2174" s="10">
        <v>15</v>
      </c>
      <c r="I2174" s="10"/>
      <c r="J2174" s="10">
        <v>15</v>
      </c>
      <c r="K2174" s="10">
        <v>142.76</v>
      </c>
    </row>
    <row r="2175" spans="1:11" x14ac:dyDescent="0.25">
      <c r="A2175" s="8" t="s">
        <v>3728</v>
      </c>
      <c r="B2175" s="8" t="s">
        <v>116</v>
      </c>
      <c r="C2175" s="8" t="s">
        <v>3687</v>
      </c>
      <c r="D2175" s="8">
        <v>3</v>
      </c>
      <c r="E2175" s="8" t="s">
        <v>425</v>
      </c>
      <c r="F2175" s="8" t="s">
        <v>378</v>
      </c>
      <c r="G2175" s="8" t="s">
        <v>3688</v>
      </c>
      <c r="H2175" s="10">
        <v>75</v>
      </c>
      <c r="I2175" s="10"/>
      <c r="J2175" s="10">
        <v>75</v>
      </c>
      <c r="K2175" s="10">
        <v>142.76</v>
      </c>
    </row>
    <row r="2176" spans="1:11" x14ac:dyDescent="0.25">
      <c r="A2176" s="8" t="s">
        <v>3729</v>
      </c>
      <c r="B2176" s="8" t="s">
        <v>116</v>
      </c>
      <c r="C2176" s="8" t="s">
        <v>3687</v>
      </c>
      <c r="D2176" s="8">
        <v>3</v>
      </c>
      <c r="E2176" s="8" t="s">
        <v>425</v>
      </c>
      <c r="F2176" s="8" t="s">
        <v>378</v>
      </c>
      <c r="G2176" s="8" t="s">
        <v>3688</v>
      </c>
      <c r="H2176" s="10">
        <v>9</v>
      </c>
      <c r="I2176" s="10"/>
      <c r="J2176" s="10">
        <v>9</v>
      </c>
      <c r="K2176" s="10">
        <v>142.76</v>
      </c>
    </row>
    <row r="2177" spans="1:11" x14ac:dyDescent="0.25">
      <c r="A2177" s="8" t="s">
        <v>3730</v>
      </c>
      <c r="B2177" s="8" t="s">
        <v>116</v>
      </c>
      <c r="C2177" s="8" t="s">
        <v>3687</v>
      </c>
      <c r="D2177" s="8">
        <v>3</v>
      </c>
      <c r="E2177" s="8" t="s">
        <v>425</v>
      </c>
      <c r="F2177" s="8" t="s">
        <v>378</v>
      </c>
      <c r="G2177" s="8" t="s">
        <v>3688</v>
      </c>
      <c r="H2177" s="10">
        <v>9</v>
      </c>
      <c r="I2177" s="10"/>
      <c r="J2177" s="10">
        <v>9</v>
      </c>
      <c r="K2177" s="10">
        <v>142.76</v>
      </c>
    </row>
    <row r="2178" spans="1:11" x14ac:dyDescent="0.25">
      <c r="A2178" s="8" t="s">
        <v>3731</v>
      </c>
      <c r="B2178" s="8" t="s">
        <v>118</v>
      </c>
      <c r="C2178" s="8" t="s">
        <v>3687</v>
      </c>
      <c r="D2178" s="8">
        <v>3</v>
      </c>
      <c r="E2178" s="8" t="s">
        <v>425</v>
      </c>
      <c r="F2178" s="8" t="s">
        <v>378</v>
      </c>
      <c r="G2178" s="8" t="s">
        <v>3688</v>
      </c>
      <c r="H2178" s="10">
        <v>45</v>
      </c>
      <c r="I2178" s="10"/>
      <c r="J2178" s="10">
        <v>45</v>
      </c>
      <c r="K2178" s="10">
        <v>142.76</v>
      </c>
    </row>
    <row r="2179" spans="1:11" x14ac:dyDescent="0.25">
      <c r="A2179" s="8" t="s">
        <v>3732</v>
      </c>
      <c r="B2179" s="8" t="s">
        <v>1650</v>
      </c>
      <c r="C2179" s="8" t="s">
        <v>3687</v>
      </c>
      <c r="D2179" s="8">
        <v>3</v>
      </c>
      <c r="E2179" s="8" t="s">
        <v>425</v>
      </c>
      <c r="F2179" s="8" t="s">
        <v>378</v>
      </c>
      <c r="G2179" s="8" t="s">
        <v>3688</v>
      </c>
      <c r="H2179" s="10">
        <v>15</v>
      </c>
      <c r="I2179" s="10"/>
      <c r="J2179" s="10">
        <v>15</v>
      </c>
      <c r="K2179" s="10">
        <v>142.76</v>
      </c>
    </row>
    <row r="2180" spans="1:11" x14ac:dyDescent="0.25">
      <c r="A2180" s="8" t="s">
        <v>3733</v>
      </c>
      <c r="B2180" s="8" t="s">
        <v>120</v>
      </c>
      <c r="C2180" s="8" t="s">
        <v>3687</v>
      </c>
      <c r="D2180" s="8">
        <v>3</v>
      </c>
      <c r="E2180" s="8" t="s">
        <v>425</v>
      </c>
      <c r="F2180" s="8" t="s">
        <v>378</v>
      </c>
      <c r="G2180" s="8" t="s">
        <v>3688</v>
      </c>
      <c r="H2180" s="10">
        <v>45</v>
      </c>
      <c r="I2180" s="10"/>
      <c r="J2180" s="10">
        <v>45</v>
      </c>
      <c r="K2180" s="10">
        <v>142.76</v>
      </c>
    </row>
    <row r="2181" spans="1:11" x14ac:dyDescent="0.25">
      <c r="A2181" s="8" t="s">
        <v>3734</v>
      </c>
      <c r="B2181" s="8" t="s">
        <v>120</v>
      </c>
      <c r="C2181" s="8" t="s">
        <v>3687</v>
      </c>
      <c r="D2181" s="8">
        <v>3</v>
      </c>
      <c r="E2181" s="8" t="s">
        <v>425</v>
      </c>
      <c r="F2181" s="8" t="s">
        <v>378</v>
      </c>
      <c r="G2181" s="8" t="s">
        <v>3688</v>
      </c>
      <c r="H2181" s="10">
        <v>15</v>
      </c>
      <c r="I2181" s="10"/>
      <c r="J2181" s="10">
        <v>15</v>
      </c>
      <c r="K2181" s="10">
        <v>142.76</v>
      </c>
    </row>
    <row r="2182" spans="1:11" x14ac:dyDescent="0.25">
      <c r="A2182" s="8" t="s">
        <v>3735</v>
      </c>
      <c r="B2182" s="8" t="s">
        <v>122</v>
      </c>
      <c r="C2182" s="8" t="s">
        <v>3687</v>
      </c>
      <c r="D2182" s="8">
        <v>3</v>
      </c>
      <c r="E2182" s="8" t="s">
        <v>425</v>
      </c>
      <c r="F2182" s="8" t="s">
        <v>378</v>
      </c>
      <c r="G2182" s="8" t="s">
        <v>3688</v>
      </c>
      <c r="H2182" s="10">
        <v>45</v>
      </c>
      <c r="I2182" s="10"/>
      <c r="J2182" s="10">
        <v>45</v>
      </c>
      <c r="K2182" s="10">
        <v>142.76</v>
      </c>
    </row>
    <row r="2183" spans="1:11" x14ac:dyDescent="0.25">
      <c r="A2183" s="8" t="s">
        <v>3736</v>
      </c>
      <c r="B2183" s="8" t="s">
        <v>124</v>
      </c>
      <c r="C2183" s="8" t="s">
        <v>3687</v>
      </c>
      <c r="D2183" s="8">
        <v>3</v>
      </c>
      <c r="E2183" s="8" t="s">
        <v>425</v>
      </c>
      <c r="F2183" s="8" t="s">
        <v>378</v>
      </c>
      <c r="G2183" s="8" t="s">
        <v>3688</v>
      </c>
      <c r="H2183" s="10">
        <v>45</v>
      </c>
      <c r="I2183" s="10"/>
      <c r="J2183" s="10">
        <v>45</v>
      </c>
      <c r="K2183" s="10">
        <v>142.76</v>
      </c>
    </row>
    <row r="2184" spans="1:11" x14ac:dyDescent="0.25">
      <c r="A2184" s="8" t="s">
        <v>3737</v>
      </c>
      <c r="B2184" s="8" t="s">
        <v>78</v>
      </c>
      <c r="C2184" s="8" t="s">
        <v>3687</v>
      </c>
      <c r="D2184" s="8">
        <v>3</v>
      </c>
      <c r="E2184" s="8" t="s">
        <v>425</v>
      </c>
      <c r="F2184" s="8" t="s">
        <v>378</v>
      </c>
      <c r="G2184" s="8" t="s">
        <v>3688</v>
      </c>
      <c r="H2184" s="10">
        <v>30</v>
      </c>
      <c r="I2184" s="10"/>
      <c r="J2184" s="10">
        <v>30</v>
      </c>
      <c r="K2184" s="10">
        <v>142.76</v>
      </c>
    </row>
    <row r="2185" spans="1:11" x14ac:dyDescent="0.25">
      <c r="A2185" s="8" t="s">
        <v>3738</v>
      </c>
      <c r="B2185" s="8" t="s">
        <v>1655</v>
      </c>
      <c r="C2185" s="8" t="s">
        <v>3687</v>
      </c>
      <c r="D2185" s="8">
        <v>3</v>
      </c>
      <c r="E2185" s="8" t="s">
        <v>425</v>
      </c>
      <c r="F2185" s="8" t="s">
        <v>378</v>
      </c>
      <c r="G2185" s="8" t="s">
        <v>3688</v>
      </c>
      <c r="H2185" s="10">
        <v>15</v>
      </c>
      <c r="I2185" s="10"/>
      <c r="J2185" s="10">
        <v>15</v>
      </c>
      <c r="K2185" s="10">
        <v>142.76</v>
      </c>
    </row>
    <row r="2186" spans="1:11" x14ac:dyDescent="0.25">
      <c r="A2186" s="8" t="s">
        <v>3739</v>
      </c>
      <c r="B2186" s="8" t="s">
        <v>128</v>
      </c>
      <c r="C2186" s="8" t="s">
        <v>3687</v>
      </c>
      <c r="D2186" s="8">
        <v>3</v>
      </c>
      <c r="E2186" s="8" t="s">
        <v>425</v>
      </c>
      <c r="F2186" s="8" t="s">
        <v>378</v>
      </c>
      <c r="G2186" s="8" t="s">
        <v>3688</v>
      </c>
      <c r="H2186" s="10">
        <v>15</v>
      </c>
      <c r="I2186" s="10"/>
      <c r="J2186" s="10">
        <v>15</v>
      </c>
      <c r="K2186" s="10">
        <v>142.76</v>
      </c>
    </row>
    <row r="2187" spans="1:11" x14ac:dyDescent="0.25">
      <c r="A2187" s="8" t="s">
        <v>3740</v>
      </c>
      <c r="B2187" s="8" t="s">
        <v>130</v>
      </c>
      <c r="C2187" s="8" t="s">
        <v>3687</v>
      </c>
      <c r="D2187" s="8">
        <v>3</v>
      </c>
      <c r="E2187" s="8" t="s">
        <v>425</v>
      </c>
      <c r="F2187" s="8" t="s">
        <v>378</v>
      </c>
      <c r="G2187" s="8" t="s">
        <v>3688</v>
      </c>
      <c r="H2187" s="10">
        <v>9</v>
      </c>
      <c r="I2187" s="10"/>
      <c r="J2187" s="10">
        <v>9</v>
      </c>
      <c r="K2187" s="10">
        <v>142.76</v>
      </c>
    </row>
    <row r="2188" spans="1:11" x14ac:dyDescent="0.25">
      <c r="A2188" s="8" t="s">
        <v>3741</v>
      </c>
      <c r="B2188" s="8" t="s">
        <v>132</v>
      </c>
      <c r="C2188" s="8" t="s">
        <v>3687</v>
      </c>
      <c r="D2188" s="8">
        <v>3</v>
      </c>
      <c r="E2188" s="8" t="s">
        <v>425</v>
      </c>
      <c r="F2188" s="8" t="s">
        <v>378</v>
      </c>
      <c r="G2188" s="8" t="s">
        <v>3688</v>
      </c>
      <c r="H2188" s="10">
        <v>15</v>
      </c>
      <c r="I2188" s="10"/>
      <c r="J2188" s="10">
        <v>15</v>
      </c>
      <c r="K2188" s="10">
        <v>142.76</v>
      </c>
    </row>
    <row r="2189" spans="1:11" x14ac:dyDescent="0.25">
      <c r="A2189" s="8" t="s">
        <v>3742</v>
      </c>
      <c r="B2189" s="8" t="s">
        <v>134</v>
      </c>
      <c r="C2189" s="8" t="s">
        <v>3687</v>
      </c>
      <c r="D2189" s="8">
        <v>3</v>
      </c>
      <c r="E2189" s="8" t="s">
        <v>425</v>
      </c>
      <c r="F2189" s="8" t="s">
        <v>378</v>
      </c>
      <c r="G2189" s="8" t="s">
        <v>3688</v>
      </c>
      <c r="H2189" s="10">
        <v>30</v>
      </c>
      <c r="I2189" s="10"/>
      <c r="J2189" s="10">
        <v>30</v>
      </c>
      <c r="K2189" s="10">
        <v>142.76</v>
      </c>
    </row>
    <row r="2190" spans="1:11" x14ac:dyDescent="0.25">
      <c r="A2190" s="8" t="s">
        <v>3743</v>
      </c>
      <c r="B2190" s="8" t="s">
        <v>136</v>
      </c>
      <c r="C2190" s="8" t="s">
        <v>3687</v>
      </c>
      <c r="D2190" s="8">
        <v>3</v>
      </c>
      <c r="E2190" s="8" t="s">
        <v>425</v>
      </c>
      <c r="F2190" s="8" t="s">
        <v>378</v>
      </c>
      <c r="G2190" s="8" t="s">
        <v>3688</v>
      </c>
      <c r="H2190" s="10">
        <v>15</v>
      </c>
      <c r="I2190" s="10"/>
      <c r="J2190" s="10">
        <v>15</v>
      </c>
      <c r="K2190" s="10">
        <v>142.76</v>
      </c>
    </row>
    <row r="2191" spans="1:11" x14ac:dyDescent="0.25">
      <c r="A2191" s="8" t="s">
        <v>3744</v>
      </c>
      <c r="B2191" s="8" t="s">
        <v>1689</v>
      </c>
      <c r="C2191" s="8" t="s">
        <v>3687</v>
      </c>
      <c r="D2191" s="8">
        <v>3</v>
      </c>
      <c r="E2191" s="8" t="s">
        <v>425</v>
      </c>
      <c r="F2191" s="8" t="s">
        <v>378</v>
      </c>
      <c r="G2191" s="8" t="s">
        <v>3688</v>
      </c>
      <c r="H2191" s="10">
        <v>9</v>
      </c>
      <c r="I2191" s="10"/>
      <c r="J2191" s="10">
        <v>9</v>
      </c>
      <c r="K2191" s="10">
        <v>142.76</v>
      </c>
    </row>
    <row r="2192" spans="1:11" x14ac:dyDescent="0.25">
      <c r="A2192" s="8" t="s">
        <v>3745</v>
      </c>
      <c r="B2192" s="8" t="s">
        <v>138</v>
      </c>
      <c r="C2192" s="8" t="s">
        <v>3687</v>
      </c>
      <c r="D2192" s="8">
        <v>3</v>
      </c>
      <c r="E2192" s="8" t="s">
        <v>425</v>
      </c>
      <c r="F2192" s="8" t="s">
        <v>378</v>
      </c>
      <c r="G2192" s="8" t="s">
        <v>3688</v>
      </c>
      <c r="H2192" s="10">
        <v>9</v>
      </c>
      <c r="I2192" s="10"/>
      <c r="J2192" s="10">
        <v>9</v>
      </c>
      <c r="K2192" s="10">
        <v>142.76</v>
      </c>
    </row>
    <row r="2193" spans="1:11" x14ac:dyDescent="0.25">
      <c r="A2193" s="8" t="s">
        <v>3746</v>
      </c>
      <c r="B2193" s="8" t="s">
        <v>80</v>
      </c>
      <c r="C2193" s="8" t="s">
        <v>3687</v>
      </c>
      <c r="D2193" s="8">
        <v>3</v>
      </c>
      <c r="E2193" s="8" t="s">
        <v>425</v>
      </c>
      <c r="F2193" s="8" t="s">
        <v>378</v>
      </c>
      <c r="G2193" s="8" t="s">
        <v>3688</v>
      </c>
      <c r="H2193" s="10">
        <v>15</v>
      </c>
      <c r="I2193" s="10"/>
      <c r="J2193" s="10">
        <v>15</v>
      </c>
      <c r="K2193" s="10">
        <v>142.76</v>
      </c>
    </row>
    <row r="2194" spans="1:11" x14ac:dyDescent="0.25">
      <c r="A2194" s="8" t="s">
        <v>3747</v>
      </c>
      <c r="B2194" s="8" t="s">
        <v>116</v>
      </c>
      <c r="C2194" s="8" t="s">
        <v>3687</v>
      </c>
      <c r="D2194" s="8">
        <v>3</v>
      </c>
      <c r="E2194" s="8" t="s">
        <v>428</v>
      </c>
      <c r="F2194" s="8" t="s">
        <v>378</v>
      </c>
      <c r="G2194" s="8" t="s">
        <v>3688</v>
      </c>
      <c r="H2194" s="10">
        <v>30</v>
      </c>
      <c r="I2194" s="10"/>
      <c r="J2194" s="10">
        <v>30</v>
      </c>
      <c r="K2194" s="10">
        <v>197.69</v>
      </c>
    </row>
    <row r="2195" spans="1:11" x14ac:dyDescent="0.25">
      <c r="A2195" s="8" t="s">
        <v>3748</v>
      </c>
      <c r="B2195" s="8" t="s">
        <v>116</v>
      </c>
      <c r="C2195" s="8" t="s">
        <v>3687</v>
      </c>
      <c r="D2195" s="8">
        <v>3</v>
      </c>
      <c r="E2195" s="8" t="s">
        <v>428</v>
      </c>
      <c r="F2195" s="8" t="s">
        <v>378</v>
      </c>
      <c r="G2195" s="8" t="s">
        <v>3688</v>
      </c>
      <c r="H2195" s="10">
        <v>9</v>
      </c>
      <c r="I2195" s="10"/>
      <c r="J2195" s="10">
        <v>9</v>
      </c>
      <c r="K2195" s="10">
        <v>197.69</v>
      </c>
    </row>
    <row r="2196" spans="1:11" x14ac:dyDescent="0.25">
      <c r="A2196" s="8" t="s">
        <v>3749</v>
      </c>
      <c r="B2196" s="8" t="s">
        <v>116</v>
      </c>
      <c r="C2196" s="8" t="s">
        <v>3687</v>
      </c>
      <c r="D2196" s="8">
        <v>3</v>
      </c>
      <c r="E2196" s="8" t="s">
        <v>428</v>
      </c>
      <c r="F2196" s="8" t="s">
        <v>378</v>
      </c>
      <c r="G2196" s="8" t="s">
        <v>3688</v>
      </c>
      <c r="H2196" s="10">
        <v>9</v>
      </c>
      <c r="I2196" s="10"/>
      <c r="J2196" s="10">
        <v>9</v>
      </c>
      <c r="K2196" s="10">
        <v>197.69</v>
      </c>
    </row>
    <row r="2197" spans="1:11" x14ac:dyDescent="0.25">
      <c r="A2197" s="8" t="s">
        <v>3750</v>
      </c>
      <c r="B2197" s="8" t="s">
        <v>118</v>
      </c>
      <c r="C2197" s="8" t="s">
        <v>3687</v>
      </c>
      <c r="D2197" s="8">
        <v>3</v>
      </c>
      <c r="E2197" s="8" t="s">
        <v>428</v>
      </c>
      <c r="F2197" s="8" t="s">
        <v>378</v>
      </c>
      <c r="G2197" s="8" t="s">
        <v>3688</v>
      </c>
      <c r="H2197" s="10">
        <v>30</v>
      </c>
      <c r="I2197" s="10"/>
      <c r="J2197" s="10">
        <v>30</v>
      </c>
      <c r="K2197" s="10">
        <v>197.69</v>
      </c>
    </row>
    <row r="2198" spans="1:11" x14ac:dyDescent="0.25">
      <c r="A2198" s="8" t="s">
        <v>3751</v>
      </c>
      <c r="B2198" s="8" t="s">
        <v>1650</v>
      </c>
      <c r="C2198" s="8" t="s">
        <v>3687</v>
      </c>
      <c r="D2198" s="8">
        <v>3</v>
      </c>
      <c r="E2198" s="8" t="s">
        <v>428</v>
      </c>
      <c r="F2198" s="8" t="s">
        <v>378</v>
      </c>
      <c r="G2198" s="8" t="s">
        <v>3688</v>
      </c>
      <c r="H2198" s="10">
        <v>15</v>
      </c>
      <c r="I2198" s="10"/>
      <c r="J2198" s="10">
        <v>15</v>
      </c>
      <c r="K2198" s="10">
        <v>197.69</v>
      </c>
    </row>
    <row r="2199" spans="1:11" x14ac:dyDescent="0.25">
      <c r="A2199" s="8" t="s">
        <v>3752</v>
      </c>
      <c r="B2199" s="8" t="s">
        <v>120</v>
      </c>
      <c r="C2199" s="8" t="s">
        <v>3687</v>
      </c>
      <c r="D2199" s="8">
        <v>3</v>
      </c>
      <c r="E2199" s="8" t="s">
        <v>428</v>
      </c>
      <c r="F2199" s="8" t="s">
        <v>378</v>
      </c>
      <c r="G2199" s="8" t="s">
        <v>3688</v>
      </c>
      <c r="H2199" s="10">
        <v>30</v>
      </c>
      <c r="I2199" s="10"/>
      <c r="J2199" s="10">
        <v>30</v>
      </c>
      <c r="K2199" s="10">
        <v>197.69</v>
      </c>
    </row>
    <row r="2200" spans="1:11" x14ac:dyDescent="0.25">
      <c r="A2200" s="8" t="s">
        <v>3753</v>
      </c>
      <c r="B2200" s="8" t="s">
        <v>120</v>
      </c>
      <c r="C2200" s="8" t="s">
        <v>3687</v>
      </c>
      <c r="D2200" s="8">
        <v>3</v>
      </c>
      <c r="E2200" s="8" t="s">
        <v>428</v>
      </c>
      <c r="F2200" s="8" t="s">
        <v>378</v>
      </c>
      <c r="G2200" s="8" t="s">
        <v>3688</v>
      </c>
      <c r="H2200" s="10">
        <v>15</v>
      </c>
      <c r="I2200" s="10"/>
      <c r="J2200" s="10">
        <v>15</v>
      </c>
      <c r="K2200" s="10">
        <v>197.69</v>
      </c>
    </row>
    <row r="2201" spans="1:11" x14ac:dyDescent="0.25">
      <c r="A2201" s="8" t="s">
        <v>3754</v>
      </c>
      <c r="B2201" s="8" t="s">
        <v>122</v>
      </c>
      <c r="C2201" s="8" t="s">
        <v>3687</v>
      </c>
      <c r="D2201" s="8">
        <v>3</v>
      </c>
      <c r="E2201" s="8" t="s">
        <v>428</v>
      </c>
      <c r="F2201" s="8" t="s">
        <v>378</v>
      </c>
      <c r="G2201" s="8" t="s">
        <v>3688</v>
      </c>
      <c r="H2201" s="10">
        <v>30</v>
      </c>
      <c r="I2201" s="10"/>
      <c r="J2201" s="10">
        <v>30</v>
      </c>
      <c r="K2201" s="10">
        <v>197.69</v>
      </c>
    </row>
    <row r="2202" spans="1:11" x14ac:dyDescent="0.25">
      <c r="A2202" s="8" t="s">
        <v>3755</v>
      </c>
      <c r="B2202" s="8" t="s">
        <v>124</v>
      </c>
      <c r="C2202" s="8" t="s">
        <v>3687</v>
      </c>
      <c r="D2202" s="8">
        <v>3</v>
      </c>
      <c r="E2202" s="8" t="s">
        <v>428</v>
      </c>
      <c r="F2202" s="8" t="s">
        <v>378</v>
      </c>
      <c r="G2202" s="8" t="s">
        <v>3688</v>
      </c>
      <c r="H2202" s="10">
        <v>30</v>
      </c>
      <c r="I2202" s="10"/>
      <c r="J2202" s="10">
        <v>30</v>
      </c>
      <c r="K2202" s="10">
        <v>197.69</v>
      </c>
    </row>
    <row r="2203" spans="1:11" x14ac:dyDescent="0.25">
      <c r="A2203" s="8" t="s">
        <v>3756</v>
      </c>
      <c r="B2203" s="8" t="s">
        <v>78</v>
      </c>
      <c r="C2203" s="8" t="s">
        <v>3687</v>
      </c>
      <c r="D2203" s="8">
        <v>3</v>
      </c>
      <c r="E2203" s="8" t="s">
        <v>428</v>
      </c>
      <c r="F2203" s="8" t="s">
        <v>378</v>
      </c>
      <c r="G2203" s="8" t="s">
        <v>3688</v>
      </c>
      <c r="H2203" s="10">
        <v>30</v>
      </c>
      <c r="I2203" s="10"/>
      <c r="J2203" s="10">
        <v>30</v>
      </c>
      <c r="K2203" s="10">
        <v>197.69</v>
      </c>
    </row>
    <row r="2204" spans="1:11" x14ac:dyDescent="0.25">
      <c r="A2204" s="8" t="s">
        <v>3757</v>
      </c>
      <c r="B2204" s="8" t="s">
        <v>1655</v>
      </c>
      <c r="C2204" s="8" t="s">
        <v>3687</v>
      </c>
      <c r="D2204" s="8">
        <v>3</v>
      </c>
      <c r="E2204" s="8" t="s">
        <v>428</v>
      </c>
      <c r="F2204" s="8" t="s">
        <v>378</v>
      </c>
      <c r="G2204" s="8" t="s">
        <v>3688</v>
      </c>
      <c r="H2204" s="10">
        <v>15</v>
      </c>
      <c r="I2204" s="10"/>
      <c r="J2204" s="10">
        <v>15</v>
      </c>
      <c r="K2204" s="10">
        <v>197.69</v>
      </c>
    </row>
    <row r="2205" spans="1:11" x14ac:dyDescent="0.25">
      <c r="A2205" s="8" t="s">
        <v>3758</v>
      </c>
      <c r="B2205" s="8" t="s">
        <v>128</v>
      </c>
      <c r="C2205" s="8" t="s">
        <v>3687</v>
      </c>
      <c r="D2205" s="8">
        <v>3</v>
      </c>
      <c r="E2205" s="8" t="s">
        <v>428</v>
      </c>
      <c r="F2205" s="8" t="s">
        <v>378</v>
      </c>
      <c r="G2205" s="8" t="s">
        <v>3688</v>
      </c>
      <c r="H2205" s="10">
        <v>15</v>
      </c>
      <c r="I2205" s="10"/>
      <c r="J2205" s="10">
        <v>15</v>
      </c>
      <c r="K2205" s="10">
        <v>197.69</v>
      </c>
    </row>
    <row r="2206" spans="1:11" x14ac:dyDescent="0.25">
      <c r="A2206" s="8" t="s">
        <v>3759</v>
      </c>
      <c r="B2206" s="8" t="s">
        <v>130</v>
      </c>
      <c r="C2206" s="8" t="s">
        <v>3687</v>
      </c>
      <c r="D2206" s="8">
        <v>3</v>
      </c>
      <c r="E2206" s="8" t="s">
        <v>428</v>
      </c>
      <c r="F2206" s="8" t="s">
        <v>378</v>
      </c>
      <c r="G2206" s="8" t="s">
        <v>3688</v>
      </c>
      <c r="H2206" s="10">
        <v>9</v>
      </c>
      <c r="I2206" s="10"/>
      <c r="J2206" s="10">
        <v>9</v>
      </c>
      <c r="K2206" s="10">
        <v>197.69</v>
      </c>
    </row>
    <row r="2207" spans="1:11" x14ac:dyDescent="0.25">
      <c r="A2207" s="8" t="s">
        <v>3760</v>
      </c>
      <c r="B2207" s="8" t="s">
        <v>132</v>
      </c>
      <c r="C2207" s="8" t="s">
        <v>3687</v>
      </c>
      <c r="D2207" s="8">
        <v>3</v>
      </c>
      <c r="E2207" s="8" t="s">
        <v>428</v>
      </c>
      <c r="F2207" s="8" t="s">
        <v>378</v>
      </c>
      <c r="G2207" s="8" t="s">
        <v>3688</v>
      </c>
      <c r="H2207" s="10">
        <v>15</v>
      </c>
      <c r="I2207" s="10"/>
      <c r="J2207" s="10">
        <v>15</v>
      </c>
      <c r="K2207" s="10">
        <v>197.69</v>
      </c>
    </row>
    <row r="2208" spans="1:11" x14ac:dyDescent="0.25">
      <c r="A2208" s="8" t="s">
        <v>3761</v>
      </c>
      <c r="B2208" s="8" t="s">
        <v>134</v>
      </c>
      <c r="C2208" s="8" t="s">
        <v>3687</v>
      </c>
      <c r="D2208" s="8">
        <v>3</v>
      </c>
      <c r="E2208" s="8" t="s">
        <v>428</v>
      </c>
      <c r="F2208" s="8" t="s">
        <v>378</v>
      </c>
      <c r="G2208" s="8" t="s">
        <v>3688</v>
      </c>
      <c r="H2208" s="10">
        <v>30</v>
      </c>
      <c r="I2208" s="10"/>
      <c r="J2208" s="10">
        <v>30</v>
      </c>
      <c r="K2208" s="10">
        <v>197.69</v>
      </c>
    </row>
    <row r="2209" spans="1:11" x14ac:dyDescent="0.25">
      <c r="A2209" s="8" t="s">
        <v>3762</v>
      </c>
      <c r="B2209" s="8" t="s">
        <v>136</v>
      </c>
      <c r="C2209" s="8" t="s">
        <v>3687</v>
      </c>
      <c r="D2209" s="8">
        <v>3</v>
      </c>
      <c r="E2209" s="8" t="s">
        <v>428</v>
      </c>
      <c r="F2209" s="8" t="s">
        <v>378</v>
      </c>
      <c r="G2209" s="8" t="s">
        <v>3688</v>
      </c>
      <c r="H2209" s="10">
        <v>15</v>
      </c>
      <c r="I2209" s="10"/>
      <c r="J2209" s="10">
        <v>15</v>
      </c>
      <c r="K2209" s="10">
        <v>197.69</v>
      </c>
    </row>
    <row r="2210" spans="1:11" x14ac:dyDescent="0.25">
      <c r="A2210" s="8" t="s">
        <v>3763</v>
      </c>
      <c r="B2210" s="8" t="s">
        <v>1689</v>
      </c>
      <c r="C2210" s="8" t="s">
        <v>3687</v>
      </c>
      <c r="D2210" s="8">
        <v>3</v>
      </c>
      <c r="E2210" s="8" t="s">
        <v>428</v>
      </c>
      <c r="F2210" s="8" t="s">
        <v>378</v>
      </c>
      <c r="G2210" s="8" t="s">
        <v>3688</v>
      </c>
      <c r="H2210" s="10">
        <v>9</v>
      </c>
      <c r="I2210" s="10"/>
      <c r="J2210" s="10">
        <v>9</v>
      </c>
      <c r="K2210" s="10">
        <v>197.69</v>
      </c>
    </row>
    <row r="2211" spans="1:11" x14ac:dyDescent="0.25">
      <c r="A2211" s="8" t="s">
        <v>3764</v>
      </c>
      <c r="B2211" s="8" t="s">
        <v>138</v>
      </c>
      <c r="C2211" s="8" t="s">
        <v>3687</v>
      </c>
      <c r="D2211" s="8">
        <v>3</v>
      </c>
      <c r="E2211" s="8" t="s">
        <v>428</v>
      </c>
      <c r="F2211" s="8" t="s">
        <v>378</v>
      </c>
      <c r="G2211" s="8" t="s">
        <v>3688</v>
      </c>
      <c r="H2211" s="10">
        <v>9</v>
      </c>
      <c r="I2211" s="10"/>
      <c r="J2211" s="10">
        <v>9</v>
      </c>
      <c r="K2211" s="10">
        <v>197.69</v>
      </c>
    </row>
    <row r="2212" spans="1:11" x14ac:dyDescent="0.25">
      <c r="A2212" s="8" t="s">
        <v>3765</v>
      </c>
      <c r="B2212" s="8" t="s">
        <v>80</v>
      </c>
      <c r="C2212" s="8" t="s">
        <v>3687</v>
      </c>
      <c r="D2212" s="8">
        <v>3</v>
      </c>
      <c r="E2212" s="8" t="s">
        <v>428</v>
      </c>
      <c r="F2212" s="8" t="s">
        <v>378</v>
      </c>
      <c r="G2212" s="8" t="s">
        <v>3688</v>
      </c>
      <c r="H2212" s="10">
        <v>15</v>
      </c>
      <c r="I2212" s="10"/>
      <c r="J2212" s="10">
        <v>15</v>
      </c>
      <c r="K2212" s="10">
        <v>197.69</v>
      </c>
    </row>
    <row r="2213" spans="1:11" x14ac:dyDescent="0.25">
      <c r="A2213" s="8" t="s">
        <v>3766</v>
      </c>
      <c r="B2213" s="8" t="s">
        <v>116</v>
      </c>
      <c r="C2213" s="8" t="s">
        <v>3687</v>
      </c>
      <c r="D2213" s="8">
        <v>3</v>
      </c>
      <c r="E2213" s="8" t="s">
        <v>431</v>
      </c>
      <c r="F2213" s="8" t="s">
        <v>378</v>
      </c>
      <c r="G2213" s="8" t="s">
        <v>3688</v>
      </c>
      <c r="H2213" s="10">
        <v>15</v>
      </c>
      <c r="I2213" s="10"/>
      <c r="J2213" s="10">
        <v>15</v>
      </c>
      <c r="K2213" s="10">
        <v>216</v>
      </c>
    </row>
    <row r="2214" spans="1:11" x14ac:dyDescent="0.25">
      <c r="A2214" s="8" t="s">
        <v>3767</v>
      </c>
      <c r="B2214" s="8" t="s">
        <v>116</v>
      </c>
      <c r="C2214" s="8" t="s">
        <v>3687</v>
      </c>
      <c r="D2214" s="8">
        <v>3</v>
      </c>
      <c r="E2214" s="8" t="s">
        <v>431</v>
      </c>
      <c r="F2214" s="8" t="s">
        <v>378</v>
      </c>
      <c r="G2214" s="8" t="s">
        <v>3688</v>
      </c>
      <c r="H2214" s="10">
        <v>9</v>
      </c>
      <c r="I2214" s="10"/>
      <c r="J2214" s="10">
        <v>9</v>
      </c>
      <c r="K2214" s="10">
        <v>216</v>
      </c>
    </row>
    <row r="2215" spans="1:11" x14ac:dyDescent="0.25">
      <c r="A2215" s="8" t="s">
        <v>3768</v>
      </c>
      <c r="B2215" s="8" t="s">
        <v>118</v>
      </c>
      <c r="C2215" s="8" t="s">
        <v>3687</v>
      </c>
      <c r="D2215" s="8">
        <v>3</v>
      </c>
      <c r="E2215" s="8" t="s">
        <v>431</v>
      </c>
      <c r="F2215" s="8" t="s">
        <v>378</v>
      </c>
      <c r="G2215" s="8" t="s">
        <v>3688</v>
      </c>
      <c r="H2215" s="10">
        <v>15</v>
      </c>
      <c r="I2215" s="10"/>
      <c r="J2215" s="10">
        <v>15</v>
      </c>
      <c r="K2215" s="10">
        <v>216</v>
      </c>
    </row>
    <row r="2216" spans="1:11" x14ac:dyDescent="0.25">
      <c r="A2216" s="8" t="s">
        <v>3769</v>
      </c>
      <c r="B2216" s="8" t="s">
        <v>1650</v>
      </c>
      <c r="C2216" s="8" t="s">
        <v>3687</v>
      </c>
      <c r="D2216" s="8">
        <v>3</v>
      </c>
      <c r="E2216" s="8" t="s">
        <v>431</v>
      </c>
      <c r="F2216" s="8" t="s">
        <v>378</v>
      </c>
      <c r="G2216" s="8" t="s">
        <v>3688</v>
      </c>
      <c r="H2216" s="10">
        <v>15</v>
      </c>
      <c r="I2216" s="10"/>
      <c r="J2216" s="10">
        <v>15</v>
      </c>
      <c r="K2216" s="10">
        <v>216</v>
      </c>
    </row>
    <row r="2217" spans="1:11" x14ac:dyDescent="0.25">
      <c r="A2217" s="8" t="s">
        <v>3770</v>
      </c>
      <c r="B2217" s="8" t="s">
        <v>120</v>
      </c>
      <c r="C2217" s="8" t="s">
        <v>3687</v>
      </c>
      <c r="D2217" s="8">
        <v>3</v>
      </c>
      <c r="E2217" s="8" t="s">
        <v>431</v>
      </c>
      <c r="F2217" s="8" t="s">
        <v>378</v>
      </c>
      <c r="G2217" s="8" t="s">
        <v>3688</v>
      </c>
      <c r="H2217" s="10">
        <v>15</v>
      </c>
      <c r="I2217" s="10"/>
      <c r="J2217" s="10">
        <v>15</v>
      </c>
      <c r="K2217" s="10">
        <v>216</v>
      </c>
    </row>
    <row r="2218" spans="1:11" x14ac:dyDescent="0.25">
      <c r="A2218" s="8" t="s">
        <v>3771</v>
      </c>
      <c r="B2218" s="8" t="s">
        <v>120</v>
      </c>
      <c r="C2218" s="8" t="s">
        <v>3687</v>
      </c>
      <c r="D2218" s="8">
        <v>3</v>
      </c>
      <c r="E2218" s="8" t="s">
        <v>431</v>
      </c>
      <c r="F2218" s="8" t="s">
        <v>378</v>
      </c>
      <c r="G2218" s="8" t="s">
        <v>3688</v>
      </c>
      <c r="H2218" s="10">
        <v>15</v>
      </c>
      <c r="I2218" s="10"/>
      <c r="J2218" s="10">
        <v>15</v>
      </c>
      <c r="K2218" s="10">
        <v>216</v>
      </c>
    </row>
    <row r="2219" spans="1:11" x14ac:dyDescent="0.25">
      <c r="A2219" s="8" t="s">
        <v>3772</v>
      </c>
      <c r="B2219" s="8" t="s">
        <v>122</v>
      </c>
      <c r="C2219" s="8" t="s">
        <v>3687</v>
      </c>
      <c r="D2219" s="8">
        <v>3</v>
      </c>
      <c r="E2219" s="8" t="s">
        <v>431</v>
      </c>
      <c r="F2219" s="8" t="s">
        <v>378</v>
      </c>
      <c r="G2219" s="8" t="s">
        <v>3688</v>
      </c>
      <c r="H2219" s="10">
        <v>90</v>
      </c>
      <c r="I2219" s="10"/>
      <c r="J2219" s="10">
        <v>90</v>
      </c>
      <c r="K2219" s="10">
        <v>216</v>
      </c>
    </row>
    <row r="2220" spans="1:11" x14ac:dyDescent="0.25">
      <c r="A2220" s="8" t="s">
        <v>3773</v>
      </c>
      <c r="B2220" s="8" t="s">
        <v>124</v>
      </c>
      <c r="C2220" s="8" t="s">
        <v>3687</v>
      </c>
      <c r="D2220" s="8">
        <v>3</v>
      </c>
      <c r="E2220" s="8" t="s">
        <v>431</v>
      </c>
      <c r="F2220" s="8" t="s">
        <v>378</v>
      </c>
      <c r="G2220" s="8" t="s">
        <v>3688</v>
      </c>
      <c r="H2220" s="10">
        <v>90</v>
      </c>
      <c r="I2220" s="10"/>
      <c r="J2220" s="10">
        <v>90</v>
      </c>
      <c r="K2220" s="10">
        <v>216</v>
      </c>
    </row>
    <row r="2221" spans="1:11" x14ac:dyDescent="0.25">
      <c r="A2221" s="8" t="s">
        <v>3774</v>
      </c>
      <c r="B2221" s="8" t="s">
        <v>78</v>
      </c>
      <c r="C2221" s="8" t="s">
        <v>3687</v>
      </c>
      <c r="D2221" s="8">
        <v>3</v>
      </c>
      <c r="E2221" s="8" t="s">
        <v>431</v>
      </c>
      <c r="F2221" s="8" t="s">
        <v>378</v>
      </c>
      <c r="G2221" s="8" t="s">
        <v>3688</v>
      </c>
      <c r="H2221" s="10">
        <v>15</v>
      </c>
      <c r="I2221" s="10"/>
      <c r="J2221" s="10">
        <v>15</v>
      </c>
      <c r="K2221" s="10">
        <v>216</v>
      </c>
    </row>
    <row r="2222" spans="1:11" x14ac:dyDescent="0.25">
      <c r="A2222" s="8" t="s">
        <v>3775</v>
      </c>
      <c r="B2222" s="8" t="s">
        <v>1655</v>
      </c>
      <c r="C2222" s="8" t="s">
        <v>3687</v>
      </c>
      <c r="D2222" s="8">
        <v>3</v>
      </c>
      <c r="E2222" s="8" t="s">
        <v>431</v>
      </c>
      <c r="F2222" s="8" t="s">
        <v>378</v>
      </c>
      <c r="G2222" s="8" t="s">
        <v>3688</v>
      </c>
      <c r="H2222" s="10">
        <v>15</v>
      </c>
      <c r="I2222" s="10"/>
      <c r="J2222" s="10">
        <v>15</v>
      </c>
      <c r="K2222" s="10">
        <v>216</v>
      </c>
    </row>
    <row r="2223" spans="1:11" x14ac:dyDescent="0.25">
      <c r="A2223" s="8" t="s">
        <v>3776</v>
      </c>
      <c r="B2223" s="8" t="s">
        <v>128</v>
      </c>
      <c r="C2223" s="8" t="s">
        <v>3687</v>
      </c>
      <c r="D2223" s="8">
        <v>3</v>
      </c>
      <c r="E2223" s="8" t="s">
        <v>431</v>
      </c>
      <c r="F2223" s="8" t="s">
        <v>378</v>
      </c>
      <c r="G2223" s="8" t="s">
        <v>3688</v>
      </c>
      <c r="H2223" s="10">
        <v>9</v>
      </c>
      <c r="I2223" s="10"/>
      <c r="J2223" s="10">
        <v>9</v>
      </c>
      <c r="K2223" s="10">
        <v>216</v>
      </c>
    </row>
    <row r="2224" spans="1:11" x14ac:dyDescent="0.25">
      <c r="A2224" s="8" t="s">
        <v>3777</v>
      </c>
      <c r="B2224" s="8" t="s">
        <v>949</v>
      </c>
      <c r="C2224" s="8" t="s">
        <v>3687</v>
      </c>
      <c r="D2224" s="8">
        <v>3</v>
      </c>
      <c r="E2224" s="8" t="s">
        <v>431</v>
      </c>
      <c r="F2224" s="8" t="s">
        <v>378</v>
      </c>
      <c r="G2224" s="8" t="s">
        <v>3688</v>
      </c>
      <c r="H2224" s="10">
        <v>15</v>
      </c>
      <c r="I2224" s="10"/>
      <c r="J2224" s="10">
        <v>15</v>
      </c>
      <c r="K2224" s="10">
        <v>216</v>
      </c>
    </row>
    <row r="2225" spans="1:11" x14ac:dyDescent="0.25">
      <c r="A2225" s="8" t="s">
        <v>3778</v>
      </c>
      <c r="B2225" s="8" t="s">
        <v>132</v>
      </c>
      <c r="C2225" s="8" t="s">
        <v>3687</v>
      </c>
      <c r="D2225" s="8">
        <v>3</v>
      </c>
      <c r="E2225" s="8" t="s">
        <v>431</v>
      </c>
      <c r="F2225" s="8" t="s">
        <v>378</v>
      </c>
      <c r="G2225" s="8" t="s">
        <v>3688</v>
      </c>
      <c r="H2225" s="10">
        <v>9</v>
      </c>
      <c r="I2225" s="10"/>
      <c r="J2225" s="10">
        <v>9</v>
      </c>
      <c r="K2225" s="10">
        <v>216</v>
      </c>
    </row>
    <row r="2226" spans="1:11" x14ac:dyDescent="0.25">
      <c r="A2226" s="8" t="s">
        <v>3779</v>
      </c>
      <c r="B2226" s="8" t="s">
        <v>134</v>
      </c>
      <c r="C2226" s="8" t="s">
        <v>3687</v>
      </c>
      <c r="D2226" s="8">
        <v>3</v>
      </c>
      <c r="E2226" s="8" t="s">
        <v>431</v>
      </c>
      <c r="F2226" s="8" t="s">
        <v>378</v>
      </c>
      <c r="G2226" s="8" t="s">
        <v>3688</v>
      </c>
      <c r="H2226" s="10">
        <v>15</v>
      </c>
      <c r="I2226" s="10"/>
      <c r="J2226" s="10">
        <v>15</v>
      </c>
      <c r="K2226" s="10">
        <v>216</v>
      </c>
    </row>
    <row r="2227" spans="1:11" x14ac:dyDescent="0.25">
      <c r="A2227" s="8" t="s">
        <v>3780</v>
      </c>
      <c r="B2227" s="8" t="s">
        <v>136</v>
      </c>
      <c r="C2227" s="8" t="s">
        <v>3687</v>
      </c>
      <c r="D2227" s="8">
        <v>3</v>
      </c>
      <c r="E2227" s="8" t="s">
        <v>431</v>
      </c>
      <c r="F2227" s="8" t="s">
        <v>378</v>
      </c>
      <c r="G2227" s="8" t="s">
        <v>3688</v>
      </c>
      <c r="H2227" s="10">
        <v>15</v>
      </c>
      <c r="I2227" s="10"/>
      <c r="J2227" s="10">
        <v>15</v>
      </c>
      <c r="K2227" s="10">
        <v>216</v>
      </c>
    </row>
    <row r="2228" spans="1:11" x14ac:dyDescent="0.25">
      <c r="A2228" s="8" t="s">
        <v>3781</v>
      </c>
      <c r="B2228" s="8" t="s">
        <v>138</v>
      </c>
      <c r="C2228" s="8" t="s">
        <v>3687</v>
      </c>
      <c r="D2228" s="8">
        <v>3</v>
      </c>
      <c r="E2228" s="8" t="s">
        <v>431</v>
      </c>
      <c r="F2228" s="8" t="s">
        <v>378</v>
      </c>
      <c r="G2228" s="8" t="s">
        <v>3688</v>
      </c>
      <c r="H2228" s="10">
        <v>15</v>
      </c>
      <c r="I2228" s="10"/>
      <c r="J2228" s="10">
        <v>15</v>
      </c>
      <c r="K2228" s="10">
        <v>216</v>
      </c>
    </row>
    <row r="2229" spans="1:11" x14ac:dyDescent="0.25">
      <c r="A2229" s="8" t="s">
        <v>3782</v>
      </c>
      <c r="B2229" s="8" t="s">
        <v>80</v>
      </c>
      <c r="C2229" s="8" t="s">
        <v>3687</v>
      </c>
      <c r="D2229" s="8">
        <v>3</v>
      </c>
      <c r="E2229" s="8" t="s">
        <v>431</v>
      </c>
      <c r="F2229" s="8" t="s">
        <v>378</v>
      </c>
      <c r="G2229" s="8" t="s">
        <v>3688</v>
      </c>
      <c r="H2229" s="10">
        <v>15</v>
      </c>
      <c r="I2229" s="10"/>
      <c r="J2229" s="10">
        <v>15</v>
      </c>
      <c r="K2229" s="10">
        <v>216</v>
      </c>
    </row>
    <row r="2230" spans="1:11" x14ac:dyDescent="0.25">
      <c r="A2230" s="8" t="s">
        <v>3783</v>
      </c>
      <c r="B2230" s="8" t="s">
        <v>118</v>
      </c>
      <c r="C2230" s="8" t="s">
        <v>3687</v>
      </c>
      <c r="D2230" s="8">
        <v>3</v>
      </c>
      <c r="E2230" s="8" t="s">
        <v>434</v>
      </c>
      <c r="F2230" s="8" t="s">
        <v>378</v>
      </c>
      <c r="G2230" s="8" t="s">
        <v>3688</v>
      </c>
      <c r="H2230" s="10">
        <v>9</v>
      </c>
      <c r="I2230" s="10"/>
      <c r="J2230" s="10">
        <v>9</v>
      </c>
      <c r="K2230" s="10">
        <v>234.32</v>
      </c>
    </row>
    <row r="2231" spans="1:11" x14ac:dyDescent="0.25">
      <c r="A2231" s="8" t="s">
        <v>3784</v>
      </c>
      <c r="B2231" s="8" t="s">
        <v>1650</v>
      </c>
      <c r="C2231" s="8" t="s">
        <v>3687</v>
      </c>
      <c r="D2231" s="8">
        <v>3</v>
      </c>
      <c r="E2231" s="8" t="s">
        <v>434</v>
      </c>
      <c r="F2231" s="8" t="s">
        <v>378</v>
      </c>
      <c r="G2231" s="8" t="s">
        <v>3688</v>
      </c>
      <c r="H2231" s="10">
        <v>15</v>
      </c>
      <c r="I2231" s="10"/>
      <c r="J2231" s="10">
        <v>15</v>
      </c>
      <c r="K2231" s="10">
        <v>234.32</v>
      </c>
    </row>
    <row r="2232" spans="1:11" x14ac:dyDescent="0.25">
      <c r="A2232" s="8" t="s">
        <v>3785</v>
      </c>
      <c r="B2232" s="8" t="s">
        <v>120</v>
      </c>
      <c r="C2232" s="8" t="s">
        <v>3687</v>
      </c>
      <c r="D2232" s="8">
        <v>3</v>
      </c>
      <c r="E2232" s="8" t="s">
        <v>434</v>
      </c>
      <c r="F2232" s="8" t="s">
        <v>378</v>
      </c>
      <c r="G2232" s="8" t="s">
        <v>3688</v>
      </c>
      <c r="H2232" s="10">
        <v>15</v>
      </c>
      <c r="I2232" s="10"/>
      <c r="J2232" s="10">
        <v>15</v>
      </c>
      <c r="K2232" s="10">
        <v>234.32</v>
      </c>
    </row>
    <row r="2233" spans="1:11" x14ac:dyDescent="0.25">
      <c r="A2233" s="8" t="s">
        <v>3786</v>
      </c>
      <c r="B2233" s="8" t="s">
        <v>120</v>
      </c>
      <c r="C2233" s="8" t="s">
        <v>3687</v>
      </c>
      <c r="D2233" s="8">
        <v>3</v>
      </c>
      <c r="E2233" s="8" t="s">
        <v>434</v>
      </c>
      <c r="F2233" s="8" t="s">
        <v>378</v>
      </c>
      <c r="G2233" s="8" t="s">
        <v>3688</v>
      </c>
      <c r="H2233" s="10">
        <v>15</v>
      </c>
      <c r="I2233" s="10"/>
      <c r="J2233" s="10">
        <v>15</v>
      </c>
      <c r="K2233" s="10">
        <v>234.32</v>
      </c>
    </row>
    <row r="2234" spans="1:11" x14ac:dyDescent="0.25">
      <c r="A2234" s="8" t="s">
        <v>3787</v>
      </c>
      <c r="B2234" s="8" t="s">
        <v>122</v>
      </c>
      <c r="C2234" s="8" t="s">
        <v>3687</v>
      </c>
      <c r="D2234" s="8">
        <v>3</v>
      </c>
      <c r="E2234" s="8" t="s">
        <v>434</v>
      </c>
      <c r="F2234" s="8" t="s">
        <v>378</v>
      </c>
      <c r="G2234" s="8" t="s">
        <v>3688</v>
      </c>
      <c r="H2234" s="10">
        <v>15</v>
      </c>
      <c r="I2234" s="10"/>
      <c r="J2234" s="10">
        <v>15</v>
      </c>
      <c r="K2234" s="10">
        <v>234.32</v>
      </c>
    </row>
    <row r="2235" spans="1:11" x14ac:dyDescent="0.25">
      <c r="A2235" s="8" t="s">
        <v>3788</v>
      </c>
      <c r="B2235" s="8" t="s">
        <v>124</v>
      </c>
      <c r="C2235" s="8" t="s">
        <v>3687</v>
      </c>
      <c r="D2235" s="8">
        <v>3</v>
      </c>
      <c r="E2235" s="8" t="s">
        <v>434</v>
      </c>
      <c r="F2235" s="8" t="s">
        <v>378</v>
      </c>
      <c r="G2235" s="8" t="s">
        <v>3688</v>
      </c>
      <c r="H2235" s="10">
        <v>15</v>
      </c>
      <c r="I2235" s="10"/>
      <c r="J2235" s="10">
        <v>15</v>
      </c>
      <c r="K2235" s="10">
        <v>234.32</v>
      </c>
    </row>
    <row r="2236" spans="1:11" x14ac:dyDescent="0.25">
      <c r="A2236" s="8" t="s">
        <v>3789</v>
      </c>
      <c r="B2236" s="8" t="s">
        <v>78</v>
      </c>
      <c r="C2236" s="8" t="s">
        <v>3687</v>
      </c>
      <c r="D2236" s="8">
        <v>3</v>
      </c>
      <c r="E2236" s="8" t="s">
        <v>434</v>
      </c>
      <c r="F2236" s="8" t="s">
        <v>378</v>
      </c>
      <c r="G2236" s="8" t="s">
        <v>3688</v>
      </c>
      <c r="H2236" s="10">
        <v>15</v>
      </c>
      <c r="I2236" s="10"/>
      <c r="J2236" s="10">
        <v>15</v>
      </c>
      <c r="K2236" s="10">
        <v>234.32</v>
      </c>
    </row>
    <row r="2237" spans="1:11" x14ac:dyDescent="0.25">
      <c r="A2237" s="8" t="s">
        <v>3790</v>
      </c>
      <c r="B2237" s="8" t="s">
        <v>1655</v>
      </c>
      <c r="C2237" s="8" t="s">
        <v>3687</v>
      </c>
      <c r="D2237" s="8">
        <v>3</v>
      </c>
      <c r="E2237" s="8" t="s">
        <v>434</v>
      </c>
      <c r="F2237" s="8" t="s">
        <v>378</v>
      </c>
      <c r="G2237" s="8" t="s">
        <v>3688</v>
      </c>
      <c r="H2237" s="10">
        <v>15</v>
      </c>
      <c r="I2237" s="10"/>
      <c r="J2237" s="10">
        <v>15</v>
      </c>
      <c r="K2237" s="10">
        <v>234.32</v>
      </c>
    </row>
    <row r="2238" spans="1:11" x14ac:dyDescent="0.25">
      <c r="A2238" s="8" t="s">
        <v>3791</v>
      </c>
      <c r="B2238" s="8" t="s">
        <v>128</v>
      </c>
      <c r="C2238" s="8" t="s">
        <v>3687</v>
      </c>
      <c r="D2238" s="8">
        <v>3</v>
      </c>
      <c r="E2238" s="8" t="s">
        <v>434</v>
      </c>
      <c r="F2238" s="8" t="s">
        <v>378</v>
      </c>
      <c r="G2238" s="8" t="s">
        <v>3688</v>
      </c>
      <c r="H2238" s="10">
        <v>9</v>
      </c>
      <c r="I2238" s="10"/>
      <c r="J2238" s="10">
        <v>9</v>
      </c>
      <c r="K2238" s="10">
        <v>234.32</v>
      </c>
    </row>
    <row r="2239" spans="1:11" x14ac:dyDescent="0.25">
      <c r="A2239" s="8" t="s">
        <v>3792</v>
      </c>
      <c r="B2239" s="8" t="s">
        <v>132</v>
      </c>
      <c r="C2239" s="8" t="s">
        <v>3687</v>
      </c>
      <c r="D2239" s="8">
        <v>3</v>
      </c>
      <c r="E2239" s="8" t="s">
        <v>434</v>
      </c>
      <c r="F2239" s="8" t="s">
        <v>378</v>
      </c>
      <c r="G2239" s="8" t="s">
        <v>3688</v>
      </c>
      <c r="H2239" s="10">
        <v>9</v>
      </c>
      <c r="I2239" s="10"/>
      <c r="J2239" s="10">
        <v>9</v>
      </c>
      <c r="K2239" s="10">
        <v>234.32</v>
      </c>
    </row>
    <row r="2240" spans="1:11" x14ac:dyDescent="0.25">
      <c r="A2240" s="8" t="s">
        <v>3793</v>
      </c>
      <c r="B2240" s="8" t="s">
        <v>134</v>
      </c>
      <c r="C2240" s="8" t="s">
        <v>3687</v>
      </c>
      <c r="D2240" s="8">
        <v>3</v>
      </c>
      <c r="E2240" s="8" t="s">
        <v>434</v>
      </c>
      <c r="F2240" s="8" t="s">
        <v>378</v>
      </c>
      <c r="G2240" s="8" t="s">
        <v>3688</v>
      </c>
      <c r="H2240" s="10">
        <v>15</v>
      </c>
      <c r="I2240" s="10"/>
      <c r="J2240" s="10">
        <v>15</v>
      </c>
      <c r="K2240" s="10">
        <v>234.32</v>
      </c>
    </row>
    <row r="2241" spans="1:11" x14ac:dyDescent="0.25">
      <c r="A2241" s="8" t="s">
        <v>3794</v>
      </c>
      <c r="B2241" s="8" t="s">
        <v>136</v>
      </c>
      <c r="C2241" s="8" t="s">
        <v>3687</v>
      </c>
      <c r="D2241" s="8">
        <v>3</v>
      </c>
      <c r="E2241" s="8" t="s">
        <v>434</v>
      </c>
      <c r="F2241" s="8" t="s">
        <v>378</v>
      </c>
      <c r="G2241" s="8" t="s">
        <v>3688</v>
      </c>
      <c r="H2241" s="10">
        <v>15</v>
      </c>
      <c r="I2241" s="10"/>
      <c r="J2241" s="10">
        <v>15</v>
      </c>
      <c r="K2241" s="10">
        <v>234.32</v>
      </c>
    </row>
    <row r="2242" spans="1:11" x14ac:dyDescent="0.25">
      <c r="A2242" s="8" t="s">
        <v>3795</v>
      </c>
      <c r="B2242" s="8" t="s">
        <v>3376</v>
      </c>
      <c r="C2242" s="8" t="s">
        <v>3687</v>
      </c>
      <c r="D2242" s="8">
        <v>3</v>
      </c>
      <c r="E2242" s="8" t="s">
        <v>434</v>
      </c>
      <c r="F2242" s="8" t="s">
        <v>378</v>
      </c>
      <c r="G2242" s="8" t="s">
        <v>3688</v>
      </c>
      <c r="H2242" s="10">
        <v>12</v>
      </c>
      <c r="I2242" s="10"/>
      <c r="J2242" s="10">
        <v>12</v>
      </c>
      <c r="K2242" s="10">
        <v>234.32</v>
      </c>
    </row>
    <row r="2243" spans="1:11" x14ac:dyDescent="0.25">
      <c r="A2243" s="8" t="s">
        <v>3796</v>
      </c>
      <c r="B2243" s="8" t="s">
        <v>3378</v>
      </c>
      <c r="C2243" s="8" t="s">
        <v>3687</v>
      </c>
      <c r="D2243" s="8">
        <v>3</v>
      </c>
      <c r="E2243" s="8" t="s">
        <v>434</v>
      </c>
      <c r="F2243" s="8" t="s">
        <v>378</v>
      </c>
      <c r="G2243" s="8" t="s">
        <v>3688</v>
      </c>
      <c r="H2243" s="10">
        <v>12</v>
      </c>
      <c r="I2243" s="10"/>
      <c r="J2243" s="10">
        <v>12</v>
      </c>
      <c r="K2243" s="10">
        <v>234.32</v>
      </c>
    </row>
    <row r="2244" spans="1:11" x14ac:dyDescent="0.25">
      <c r="A2244" s="8" t="s">
        <v>3797</v>
      </c>
      <c r="B2244" s="8" t="s">
        <v>2732</v>
      </c>
      <c r="C2244" s="8" t="s">
        <v>3687</v>
      </c>
      <c r="D2244" s="8">
        <v>3</v>
      </c>
      <c r="E2244" s="8" t="s">
        <v>434</v>
      </c>
      <c r="F2244" s="8" t="s">
        <v>378</v>
      </c>
      <c r="G2244" s="8" t="s">
        <v>3688</v>
      </c>
      <c r="H2244" s="10">
        <v>12</v>
      </c>
      <c r="I2244" s="10"/>
      <c r="J2244" s="10">
        <v>12</v>
      </c>
      <c r="K2244" s="10">
        <v>234.32</v>
      </c>
    </row>
    <row r="2245" spans="1:11" x14ac:dyDescent="0.25">
      <c r="A2245" s="8" t="s">
        <v>3798</v>
      </c>
      <c r="B2245" s="8" t="s">
        <v>2074</v>
      </c>
      <c r="C2245" s="8" t="s">
        <v>3687</v>
      </c>
      <c r="D2245" s="8">
        <v>3</v>
      </c>
      <c r="E2245" s="8" t="s">
        <v>434</v>
      </c>
      <c r="F2245" s="8" t="s">
        <v>378</v>
      </c>
      <c r="G2245" s="8" t="s">
        <v>3688</v>
      </c>
      <c r="H2245" s="10">
        <v>12</v>
      </c>
      <c r="I2245" s="10"/>
      <c r="J2245" s="10">
        <v>12</v>
      </c>
      <c r="K2245" s="10">
        <v>234.32</v>
      </c>
    </row>
    <row r="2246" spans="1:11" x14ac:dyDescent="0.25">
      <c r="A2246" s="8" t="s">
        <v>3799</v>
      </c>
      <c r="B2246" s="8" t="s">
        <v>263</v>
      </c>
      <c r="C2246" s="8" t="s">
        <v>3361</v>
      </c>
      <c r="D2246" s="8">
        <v>4</v>
      </c>
      <c r="E2246" s="8" t="s">
        <v>418</v>
      </c>
      <c r="F2246" s="8" t="s">
        <v>378</v>
      </c>
      <c r="G2246" s="8" t="s">
        <v>3800</v>
      </c>
      <c r="H2246" s="10">
        <v>21</v>
      </c>
      <c r="I2246" s="10"/>
      <c r="J2246" s="10">
        <v>21</v>
      </c>
      <c r="K2246" s="10">
        <v>168.01</v>
      </c>
    </row>
    <row r="2247" spans="1:11" x14ac:dyDescent="0.25">
      <c r="A2247" s="8" t="s">
        <v>3801</v>
      </c>
      <c r="B2247" s="8" t="s">
        <v>269</v>
      </c>
      <c r="C2247" s="8" t="s">
        <v>3361</v>
      </c>
      <c r="D2247" s="8">
        <v>4</v>
      </c>
      <c r="E2247" s="8" t="s">
        <v>418</v>
      </c>
      <c r="F2247" s="8" t="s">
        <v>378</v>
      </c>
      <c r="G2247" s="8" t="s">
        <v>3800</v>
      </c>
      <c r="H2247" s="10">
        <v>21</v>
      </c>
      <c r="I2247" s="10"/>
      <c r="J2247" s="10">
        <v>21</v>
      </c>
      <c r="K2247" s="10">
        <v>168.01</v>
      </c>
    </row>
    <row r="2248" spans="1:11" x14ac:dyDescent="0.25">
      <c r="A2248" s="8" t="s">
        <v>3802</v>
      </c>
      <c r="B2248" s="8" t="s">
        <v>263</v>
      </c>
      <c r="C2248" s="8" t="s">
        <v>3361</v>
      </c>
      <c r="D2248" s="8">
        <v>4</v>
      </c>
      <c r="E2248" s="8" t="s">
        <v>425</v>
      </c>
      <c r="F2248" s="8" t="s">
        <v>378</v>
      </c>
      <c r="G2248" s="8" t="s">
        <v>3800</v>
      </c>
      <c r="H2248" s="10">
        <v>12</v>
      </c>
      <c r="I2248" s="10"/>
      <c r="J2248" s="10">
        <v>12</v>
      </c>
      <c r="K2248" s="10">
        <v>179.85</v>
      </c>
    </row>
    <row r="2249" spans="1:11" x14ac:dyDescent="0.25">
      <c r="A2249" s="8" t="s">
        <v>3803</v>
      </c>
      <c r="B2249" s="8" t="s">
        <v>269</v>
      </c>
      <c r="C2249" s="8" t="s">
        <v>3361</v>
      </c>
      <c r="D2249" s="8">
        <v>4</v>
      </c>
      <c r="E2249" s="8" t="s">
        <v>425</v>
      </c>
      <c r="F2249" s="8" t="s">
        <v>378</v>
      </c>
      <c r="G2249" s="8" t="s">
        <v>3800</v>
      </c>
      <c r="H2249" s="10">
        <v>12</v>
      </c>
      <c r="I2249" s="10"/>
      <c r="J2249" s="10">
        <v>12</v>
      </c>
      <c r="K2249" s="10">
        <v>179.85</v>
      </c>
    </row>
    <row r="2250" spans="1:11" x14ac:dyDescent="0.25">
      <c r="A2250" s="8" t="s">
        <v>3804</v>
      </c>
      <c r="B2250" s="8" t="s">
        <v>116</v>
      </c>
      <c r="C2250" s="8" t="s">
        <v>3687</v>
      </c>
      <c r="D2250" s="8">
        <v>3</v>
      </c>
      <c r="E2250" s="8" t="s">
        <v>437</v>
      </c>
      <c r="F2250" s="8" t="s">
        <v>378</v>
      </c>
      <c r="G2250" s="8" t="s">
        <v>3688</v>
      </c>
      <c r="H2250" s="10">
        <v>30</v>
      </c>
      <c r="I2250" s="10"/>
      <c r="J2250" s="10">
        <v>30</v>
      </c>
      <c r="K2250" s="10">
        <v>170.22</v>
      </c>
    </row>
    <row r="2251" spans="1:11" x14ac:dyDescent="0.25">
      <c r="A2251" s="8" t="s">
        <v>3805</v>
      </c>
      <c r="B2251" s="8" t="s">
        <v>118</v>
      </c>
      <c r="C2251" s="8" t="s">
        <v>3687</v>
      </c>
      <c r="D2251" s="8">
        <v>3</v>
      </c>
      <c r="E2251" s="8" t="s">
        <v>437</v>
      </c>
      <c r="F2251" s="8" t="s">
        <v>378</v>
      </c>
      <c r="G2251" s="8" t="s">
        <v>3688</v>
      </c>
      <c r="H2251" s="10">
        <v>70</v>
      </c>
      <c r="I2251" s="10"/>
      <c r="J2251" s="10">
        <v>70</v>
      </c>
      <c r="K2251" s="10">
        <v>170.22</v>
      </c>
    </row>
    <row r="2252" spans="1:11" x14ac:dyDescent="0.25">
      <c r="A2252" s="8" t="s">
        <v>3806</v>
      </c>
      <c r="B2252" s="8" t="s">
        <v>1650</v>
      </c>
      <c r="C2252" s="8" t="s">
        <v>3687</v>
      </c>
      <c r="D2252" s="8">
        <v>3</v>
      </c>
      <c r="E2252" s="8" t="s">
        <v>437</v>
      </c>
      <c r="F2252" s="8" t="s">
        <v>378</v>
      </c>
      <c r="G2252" s="8" t="s">
        <v>3688</v>
      </c>
      <c r="H2252" s="10">
        <v>12</v>
      </c>
      <c r="I2252" s="10"/>
      <c r="J2252" s="10">
        <v>12</v>
      </c>
      <c r="K2252" s="10">
        <v>170.22</v>
      </c>
    </row>
    <row r="2253" spans="1:11" x14ac:dyDescent="0.25">
      <c r="A2253" s="8" t="s">
        <v>3807</v>
      </c>
      <c r="B2253" s="8" t="s">
        <v>120</v>
      </c>
      <c r="C2253" s="8" t="s">
        <v>3687</v>
      </c>
      <c r="D2253" s="8">
        <v>3</v>
      </c>
      <c r="E2253" s="8" t="s">
        <v>437</v>
      </c>
      <c r="F2253" s="8" t="s">
        <v>378</v>
      </c>
      <c r="G2253" s="8" t="s">
        <v>3688</v>
      </c>
      <c r="H2253" s="10">
        <v>80</v>
      </c>
      <c r="I2253" s="10"/>
      <c r="J2253" s="10">
        <v>80</v>
      </c>
      <c r="K2253" s="10">
        <v>170.22</v>
      </c>
    </row>
    <row r="2254" spans="1:11" x14ac:dyDescent="0.25">
      <c r="A2254" s="8" t="s">
        <v>3808</v>
      </c>
      <c r="B2254" s="8" t="s">
        <v>120</v>
      </c>
      <c r="C2254" s="8" t="s">
        <v>3687</v>
      </c>
      <c r="D2254" s="8">
        <v>3</v>
      </c>
      <c r="E2254" s="8" t="s">
        <v>437</v>
      </c>
      <c r="F2254" s="8" t="s">
        <v>378</v>
      </c>
      <c r="G2254" s="8" t="s">
        <v>3688</v>
      </c>
      <c r="H2254" s="10">
        <v>30</v>
      </c>
      <c r="I2254" s="10"/>
      <c r="J2254" s="10">
        <v>30</v>
      </c>
      <c r="K2254" s="10">
        <v>170.22</v>
      </c>
    </row>
    <row r="2255" spans="1:11" x14ac:dyDescent="0.25">
      <c r="A2255" s="8" t="s">
        <v>3809</v>
      </c>
      <c r="B2255" s="8" t="s">
        <v>122</v>
      </c>
      <c r="C2255" s="8" t="s">
        <v>3687</v>
      </c>
      <c r="D2255" s="8">
        <v>3</v>
      </c>
      <c r="E2255" s="8" t="s">
        <v>437</v>
      </c>
      <c r="F2255" s="8" t="s">
        <v>378</v>
      </c>
      <c r="G2255" s="8" t="s">
        <v>3688</v>
      </c>
      <c r="H2255" s="10">
        <v>150</v>
      </c>
      <c r="I2255" s="10"/>
      <c r="J2255" s="10">
        <v>150</v>
      </c>
      <c r="K2255" s="10">
        <v>170.22</v>
      </c>
    </row>
    <row r="2256" spans="1:11" x14ac:dyDescent="0.25">
      <c r="A2256" s="8" t="s">
        <v>3810</v>
      </c>
      <c r="B2256" s="8" t="s">
        <v>124</v>
      </c>
      <c r="C2256" s="8" t="s">
        <v>3687</v>
      </c>
      <c r="D2256" s="8">
        <v>3</v>
      </c>
      <c r="E2256" s="8" t="s">
        <v>437</v>
      </c>
      <c r="F2256" s="8" t="s">
        <v>378</v>
      </c>
      <c r="G2256" s="8" t="s">
        <v>3688</v>
      </c>
      <c r="H2256" s="10">
        <v>150</v>
      </c>
      <c r="I2256" s="10"/>
      <c r="J2256" s="10">
        <v>150</v>
      </c>
      <c r="K2256" s="10">
        <v>170.22</v>
      </c>
    </row>
    <row r="2257" spans="1:11" x14ac:dyDescent="0.25">
      <c r="A2257" s="8" t="s">
        <v>3811</v>
      </c>
      <c r="B2257" s="8" t="s">
        <v>78</v>
      </c>
      <c r="C2257" s="8" t="s">
        <v>3687</v>
      </c>
      <c r="D2257" s="8">
        <v>3</v>
      </c>
      <c r="E2257" s="8" t="s">
        <v>437</v>
      </c>
      <c r="F2257" s="8" t="s">
        <v>378</v>
      </c>
      <c r="G2257" s="8" t="s">
        <v>3688</v>
      </c>
      <c r="H2257" s="10">
        <v>50</v>
      </c>
      <c r="I2257" s="10"/>
      <c r="J2257" s="10">
        <v>50</v>
      </c>
      <c r="K2257" s="10">
        <v>170.22</v>
      </c>
    </row>
    <row r="2258" spans="1:11" x14ac:dyDescent="0.25">
      <c r="A2258" s="8" t="s">
        <v>3812</v>
      </c>
      <c r="B2258" s="8" t="s">
        <v>1655</v>
      </c>
      <c r="C2258" s="8" t="s">
        <v>3687</v>
      </c>
      <c r="D2258" s="8">
        <v>3</v>
      </c>
      <c r="E2258" s="8" t="s">
        <v>437</v>
      </c>
      <c r="F2258" s="8" t="s">
        <v>378</v>
      </c>
      <c r="G2258" s="8" t="s">
        <v>3688</v>
      </c>
      <c r="H2258" s="10">
        <v>10</v>
      </c>
      <c r="I2258" s="10"/>
      <c r="J2258" s="10">
        <v>10</v>
      </c>
      <c r="K2258" s="10">
        <v>170.22</v>
      </c>
    </row>
    <row r="2259" spans="1:11" x14ac:dyDescent="0.25">
      <c r="A2259" s="8" t="s">
        <v>3813</v>
      </c>
      <c r="B2259" s="8" t="s">
        <v>128</v>
      </c>
      <c r="C2259" s="8" t="s">
        <v>3687</v>
      </c>
      <c r="D2259" s="8">
        <v>3</v>
      </c>
      <c r="E2259" s="8" t="s">
        <v>437</v>
      </c>
      <c r="F2259" s="8" t="s">
        <v>378</v>
      </c>
      <c r="G2259" s="8" t="s">
        <v>3688</v>
      </c>
      <c r="H2259" s="10">
        <v>40</v>
      </c>
      <c r="I2259" s="10"/>
      <c r="J2259" s="10">
        <v>40</v>
      </c>
      <c r="K2259" s="10">
        <v>170.22</v>
      </c>
    </row>
    <row r="2260" spans="1:11" x14ac:dyDescent="0.25">
      <c r="A2260" s="8" t="s">
        <v>3814</v>
      </c>
      <c r="B2260" s="8" t="s">
        <v>949</v>
      </c>
      <c r="C2260" s="8" t="s">
        <v>3687</v>
      </c>
      <c r="D2260" s="8">
        <v>3</v>
      </c>
      <c r="E2260" s="8" t="s">
        <v>437</v>
      </c>
      <c r="F2260" s="8" t="s">
        <v>378</v>
      </c>
      <c r="G2260" s="8" t="s">
        <v>3688</v>
      </c>
      <c r="H2260" s="10">
        <v>10</v>
      </c>
      <c r="I2260" s="10"/>
      <c r="J2260" s="10">
        <v>10</v>
      </c>
      <c r="K2260" s="10">
        <v>170.22</v>
      </c>
    </row>
    <row r="2261" spans="1:11" x14ac:dyDescent="0.25">
      <c r="A2261" s="8" t="s">
        <v>3815</v>
      </c>
      <c r="B2261" s="8" t="s">
        <v>130</v>
      </c>
      <c r="C2261" s="8" t="s">
        <v>3687</v>
      </c>
      <c r="D2261" s="8">
        <v>3</v>
      </c>
      <c r="E2261" s="8" t="s">
        <v>437</v>
      </c>
      <c r="F2261" s="8" t="s">
        <v>378</v>
      </c>
      <c r="G2261" s="8" t="s">
        <v>3688</v>
      </c>
      <c r="H2261" s="10">
        <v>10</v>
      </c>
      <c r="I2261" s="10"/>
      <c r="J2261" s="10">
        <v>10</v>
      </c>
      <c r="K2261" s="10">
        <v>170.22</v>
      </c>
    </row>
    <row r="2262" spans="1:11" x14ac:dyDescent="0.25">
      <c r="A2262" s="8" t="s">
        <v>3816</v>
      </c>
      <c r="B2262" s="8" t="s">
        <v>132</v>
      </c>
      <c r="C2262" s="8" t="s">
        <v>3687</v>
      </c>
      <c r="D2262" s="8">
        <v>3</v>
      </c>
      <c r="E2262" s="8" t="s">
        <v>437</v>
      </c>
      <c r="F2262" s="8" t="s">
        <v>378</v>
      </c>
      <c r="G2262" s="8" t="s">
        <v>3688</v>
      </c>
      <c r="H2262" s="10">
        <v>50</v>
      </c>
      <c r="I2262" s="10"/>
      <c r="J2262" s="10">
        <v>50</v>
      </c>
      <c r="K2262" s="10">
        <v>170.22</v>
      </c>
    </row>
    <row r="2263" spans="1:11" x14ac:dyDescent="0.25">
      <c r="A2263" s="8" t="s">
        <v>3817</v>
      </c>
      <c r="B2263" s="8" t="s">
        <v>134</v>
      </c>
      <c r="C2263" s="8" t="s">
        <v>3687</v>
      </c>
      <c r="D2263" s="8">
        <v>3</v>
      </c>
      <c r="E2263" s="8" t="s">
        <v>437</v>
      </c>
      <c r="F2263" s="8" t="s">
        <v>378</v>
      </c>
      <c r="G2263" s="8" t="s">
        <v>3688</v>
      </c>
      <c r="H2263" s="10">
        <v>100</v>
      </c>
      <c r="I2263" s="10"/>
      <c r="J2263" s="10">
        <v>100</v>
      </c>
      <c r="K2263" s="10">
        <v>170.22</v>
      </c>
    </row>
    <row r="2264" spans="1:11" x14ac:dyDescent="0.25">
      <c r="A2264" s="8" t="s">
        <v>3818</v>
      </c>
      <c r="B2264" s="8" t="s">
        <v>136</v>
      </c>
      <c r="C2264" s="8" t="s">
        <v>3687</v>
      </c>
      <c r="D2264" s="8">
        <v>3</v>
      </c>
      <c r="E2264" s="8" t="s">
        <v>437</v>
      </c>
      <c r="F2264" s="8" t="s">
        <v>378</v>
      </c>
      <c r="G2264" s="8" t="s">
        <v>3688</v>
      </c>
      <c r="H2264" s="10">
        <v>20</v>
      </c>
      <c r="I2264" s="10"/>
      <c r="J2264" s="10">
        <v>20</v>
      </c>
      <c r="K2264" s="10">
        <v>170.22</v>
      </c>
    </row>
    <row r="2265" spans="1:11" x14ac:dyDescent="0.25">
      <c r="A2265" s="8" t="s">
        <v>3819</v>
      </c>
      <c r="B2265" s="8" t="s">
        <v>1689</v>
      </c>
      <c r="C2265" s="8" t="s">
        <v>3687</v>
      </c>
      <c r="D2265" s="8">
        <v>3</v>
      </c>
      <c r="E2265" s="8" t="s">
        <v>437</v>
      </c>
      <c r="F2265" s="8" t="s">
        <v>378</v>
      </c>
      <c r="G2265" s="8" t="s">
        <v>3688</v>
      </c>
      <c r="H2265" s="10">
        <v>8</v>
      </c>
      <c r="I2265" s="10"/>
      <c r="J2265" s="10">
        <v>8</v>
      </c>
      <c r="K2265" s="10">
        <v>170.22</v>
      </c>
    </row>
    <row r="2266" spans="1:11" x14ac:dyDescent="0.25">
      <c r="A2266" s="8" t="s">
        <v>3820</v>
      </c>
      <c r="B2266" s="8" t="s">
        <v>138</v>
      </c>
      <c r="C2266" s="8" t="s">
        <v>3687</v>
      </c>
      <c r="D2266" s="8">
        <v>3</v>
      </c>
      <c r="E2266" s="8" t="s">
        <v>437</v>
      </c>
      <c r="F2266" s="8" t="s">
        <v>378</v>
      </c>
      <c r="G2266" s="8" t="s">
        <v>3688</v>
      </c>
      <c r="H2266" s="10">
        <v>25</v>
      </c>
      <c r="I2266" s="10"/>
      <c r="J2266" s="10">
        <v>25</v>
      </c>
      <c r="K2266" s="10">
        <v>170.22</v>
      </c>
    </row>
    <row r="2267" spans="1:11" x14ac:dyDescent="0.25">
      <c r="A2267" s="8" t="s">
        <v>3821</v>
      </c>
      <c r="B2267" s="8" t="s">
        <v>3521</v>
      </c>
      <c r="C2267" s="8" t="s">
        <v>3687</v>
      </c>
      <c r="D2267" s="8">
        <v>3</v>
      </c>
      <c r="E2267" s="8" t="s">
        <v>437</v>
      </c>
      <c r="F2267" s="8" t="s">
        <v>378</v>
      </c>
      <c r="G2267" s="8" t="s">
        <v>3688</v>
      </c>
      <c r="H2267" s="10">
        <v>4</v>
      </c>
      <c r="I2267" s="10"/>
      <c r="J2267" s="10">
        <v>4</v>
      </c>
      <c r="K2267" s="10">
        <v>170.22</v>
      </c>
    </row>
    <row r="2268" spans="1:11" x14ac:dyDescent="0.25">
      <c r="A2268" s="8" t="s">
        <v>3822</v>
      </c>
      <c r="B2268" s="8" t="s">
        <v>80</v>
      </c>
      <c r="C2268" s="8" t="s">
        <v>3687</v>
      </c>
      <c r="D2268" s="8">
        <v>3</v>
      </c>
      <c r="E2268" s="8" t="s">
        <v>437</v>
      </c>
      <c r="F2268" s="8" t="s">
        <v>378</v>
      </c>
      <c r="G2268" s="8" t="s">
        <v>3688</v>
      </c>
      <c r="H2268" s="10">
        <v>10</v>
      </c>
      <c r="I2268" s="10"/>
      <c r="J2268" s="10">
        <v>10</v>
      </c>
      <c r="K2268" s="10">
        <v>170.22</v>
      </c>
    </row>
    <row r="2269" spans="1:11" x14ac:dyDescent="0.25">
      <c r="A2269" s="8" t="s">
        <v>3823</v>
      </c>
      <c r="B2269" s="8" t="s">
        <v>116</v>
      </c>
      <c r="C2269" s="8" t="s">
        <v>3687</v>
      </c>
      <c r="D2269" s="8">
        <v>3</v>
      </c>
      <c r="E2269" s="8" t="s">
        <v>440</v>
      </c>
      <c r="F2269" s="8" t="s">
        <v>378</v>
      </c>
      <c r="G2269" s="8" t="s">
        <v>3688</v>
      </c>
      <c r="H2269" s="10">
        <v>5</v>
      </c>
      <c r="I2269" s="10"/>
      <c r="J2269" s="10">
        <v>5</v>
      </c>
      <c r="K2269" s="10">
        <v>170.22</v>
      </c>
    </row>
    <row r="2270" spans="1:11" x14ac:dyDescent="0.25">
      <c r="A2270" s="8" t="s">
        <v>3824</v>
      </c>
      <c r="B2270" s="8" t="s">
        <v>116</v>
      </c>
      <c r="C2270" s="8" t="s">
        <v>3687</v>
      </c>
      <c r="D2270" s="8">
        <v>3</v>
      </c>
      <c r="E2270" s="8" t="s">
        <v>440</v>
      </c>
      <c r="F2270" s="8" t="s">
        <v>378</v>
      </c>
      <c r="G2270" s="8" t="s">
        <v>3688</v>
      </c>
      <c r="H2270" s="10">
        <v>2</v>
      </c>
      <c r="I2270" s="10"/>
      <c r="J2270" s="10">
        <v>2</v>
      </c>
      <c r="K2270" s="10">
        <v>170.22</v>
      </c>
    </row>
    <row r="2271" spans="1:11" x14ac:dyDescent="0.25">
      <c r="A2271" s="8" t="s">
        <v>3825</v>
      </c>
      <c r="B2271" s="8" t="s">
        <v>116</v>
      </c>
      <c r="C2271" s="8" t="s">
        <v>3687</v>
      </c>
      <c r="D2271" s="8">
        <v>3</v>
      </c>
      <c r="E2271" s="8" t="s">
        <v>440</v>
      </c>
      <c r="F2271" s="8" t="s">
        <v>378</v>
      </c>
      <c r="G2271" s="8" t="s">
        <v>3688</v>
      </c>
      <c r="H2271" s="10">
        <v>2</v>
      </c>
      <c r="I2271" s="10"/>
      <c r="J2271" s="10">
        <v>2</v>
      </c>
      <c r="K2271" s="10">
        <v>170.22</v>
      </c>
    </row>
    <row r="2272" spans="1:11" x14ac:dyDescent="0.25">
      <c r="A2272" s="8" t="s">
        <v>3826</v>
      </c>
      <c r="B2272" s="8" t="s">
        <v>118</v>
      </c>
      <c r="C2272" s="8" t="s">
        <v>3687</v>
      </c>
      <c r="D2272" s="8">
        <v>3</v>
      </c>
      <c r="E2272" s="8" t="s">
        <v>440</v>
      </c>
      <c r="F2272" s="8" t="s">
        <v>378</v>
      </c>
      <c r="G2272" s="8" t="s">
        <v>3688</v>
      </c>
      <c r="H2272" s="10">
        <v>20</v>
      </c>
      <c r="I2272" s="10"/>
      <c r="J2272" s="10">
        <v>20</v>
      </c>
      <c r="K2272" s="10">
        <v>170.22</v>
      </c>
    </row>
    <row r="2273" spans="1:11" x14ac:dyDescent="0.25">
      <c r="A2273" s="8" t="s">
        <v>3827</v>
      </c>
      <c r="B2273" s="8" t="s">
        <v>1650</v>
      </c>
      <c r="C2273" s="8" t="s">
        <v>3687</v>
      </c>
      <c r="D2273" s="8">
        <v>3</v>
      </c>
      <c r="E2273" s="8" t="s">
        <v>440</v>
      </c>
      <c r="F2273" s="8" t="s">
        <v>378</v>
      </c>
      <c r="G2273" s="8" t="s">
        <v>3688</v>
      </c>
      <c r="H2273" s="10">
        <v>5</v>
      </c>
      <c r="I2273" s="10"/>
      <c r="J2273" s="10">
        <v>5</v>
      </c>
      <c r="K2273" s="10">
        <v>170.22</v>
      </c>
    </row>
    <row r="2274" spans="1:11" x14ac:dyDescent="0.25">
      <c r="A2274" s="8" t="s">
        <v>3828</v>
      </c>
      <c r="B2274" s="8" t="s">
        <v>120</v>
      </c>
      <c r="C2274" s="8" t="s">
        <v>3687</v>
      </c>
      <c r="D2274" s="8">
        <v>3</v>
      </c>
      <c r="E2274" s="8" t="s">
        <v>440</v>
      </c>
      <c r="F2274" s="8" t="s">
        <v>378</v>
      </c>
      <c r="G2274" s="8" t="s">
        <v>3688</v>
      </c>
      <c r="H2274" s="10">
        <v>20</v>
      </c>
      <c r="I2274" s="10"/>
      <c r="J2274" s="10">
        <v>20</v>
      </c>
      <c r="K2274" s="10">
        <v>170.22</v>
      </c>
    </row>
    <row r="2275" spans="1:11" x14ac:dyDescent="0.25">
      <c r="A2275" s="8" t="s">
        <v>3829</v>
      </c>
      <c r="B2275" s="8" t="s">
        <v>120</v>
      </c>
      <c r="C2275" s="8" t="s">
        <v>3687</v>
      </c>
      <c r="D2275" s="8">
        <v>3</v>
      </c>
      <c r="E2275" s="8" t="s">
        <v>440</v>
      </c>
      <c r="F2275" s="8" t="s">
        <v>378</v>
      </c>
      <c r="G2275" s="8" t="s">
        <v>3688</v>
      </c>
      <c r="H2275" s="10">
        <v>10</v>
      </c>
      <c r="I2275" s="10"/>
      <c r="J2275" s="10">
        <v>10</v>
      </c>
      <c r="K2275" s="10">
        <v>170.22</v>
      </c>
    </row>
    <row r="2276" spans="1:11" x14ac:dyDescent="0.25">
      <c r="A2276" s="8" t="s">
        <v>3830</v>
      </c>
      <c r="B2276" s="8" t="s">
        <v>122</v>
      </c>
      <c r="C2276" s="8" t="s">
        <v>3687</v>
      </c>
      <c r="D2276" s="8">
        <v>3</v>
      </c>
      <c r="E2276" s="8" t="s">
        <v>440</v>
      </c>
      <c r="F2276" s="8" t="s">
        <v>378</v>
      </c>
      <c r="G2276" s="8" t="s">
        <v>3688</v>
      </c>
      <c r="H2276" s="10">
        <v>40</v>
      </c>
      <c r="I2276" s="10"/>
      <c r="J2276" s="10">
        <v>40</v>
      </c>
      <c r="K2276" s="10">
        <v>170.22</v>
      </c>
    </row>
    <row r="2277" spans="1:11" x14ac:dyDescent="0.25">
      <c r="A2277" s="8" t="s">
        <v>3831</v>
      </c>
      <c r="B2277" s="8" t="s">
        <v>124</v>
      </c>
      <c r="C2277" s="8" t="s">
        <v>3687</v>
      </c>
      <c r="D2277" s="8">
        <v>3</v>
      </c>
      <c r="E2277" s="8" t="s">
        <v>440</v>
      </c>
      <c r="F2277" s="8" t="s">
        <v>378</v>
      </c>
      <c r="G2277" s="8" t="s">
        <v>3688</v>
      </c>
      <c r="H2277" s="10">
        <v>40</v>
      </c>
      <c r="I2277" s="10"/>
      <c r="J2277" s="10">
        <v>40</v>
      </c>
      <c r="K2277" s="10">
        <v>170.22</v>
      </c>
    </row>
    <row r="2278" spans="1:11" x14ac:dyDescent="0.25">
      <c r="A2278" s="8" t="s">
        <v>3832</v>
      </c>
      <c r="B2278" s="8" t="s">
        <v>78</v>
      </c>
      <c r="C2278" s="8" t="s">
        <v>3687</v>
      </c>
      <c r="D2278" s="8">
        <v>3</v>
      </c>
      <c r="E2278" s="8" t="s">
        <v>440</v>
      </c>
      <c r="F2278" s="8" t="s">
        <v>378</v>
      </c>
      <c r="G2278" s="8" t="s">
        <v>3688</v>
      </c>
      <c r="H2278" s="10">
        <v>20</v>
      </c>
      <c r="I2278" s="10"/>
      <c r="J2278" s="10">
        <v>20</v>
      </c>
      <c r="K2278" s="10">
        <v>170.22</v>
      </c>
    </row>
    <row r="2279" spans="1:11" x14ac:dyDescent="0.25">
      <c r="A2279" s="8" t="s">
        <v>3833</v>
      </c>
      <c r="B2279" s="8" t="s">
        <v>1655</v>
      </c>
      <c r="C2279" s="8" t="s">
        <v>3687</v>
      </c>
      <c r="D2279" s="8">
        <v>3</v>
      </c>
      <c r="E2279" s="8" t="s">
        <v>440</v>
      </c>
      <c r="F2279" s="8" t="s">
        <v>378</v>
      </c>
      <c r="G2279" s="8" t="s">
        <v>3688</v>
      </c>
      <c r="H2279" s="10">
        <v>5</v>
      </c>
      <c r="I2279" s="10"/>
      <c r="J2279" s="10">
        <v>5</v>
      </c>
      <c r="K2279" s="10">
        <v>170.22</v>
      </c>
    </row>
    <row r="2280" spans="1:11" x14ac:dyDescent="0.25">
      <c r="A2280" s="8" t="s">
        <v>3834</v>
      </c>
      <c r="B2280" s="8" t="s">
        <v>128</v>
      </c>
      <c r="C2280" s="8" t="s">
        <v>3687</v>
      </c>
      <c r="D2280" s="8">
        <v>3</v>
      </c>
      <c r="E2280" s="8" t="s">
        <v>440</v>
      </c>
      <c r="F2280" s="8" t="s">
        <v>378</v>
      </c>
      <c r="G2280" s="8" t="s">
        <v>3688</v>
      </c>
      <c r="H2280" s="10">
        <v>20</v>
      </c>
      <c r="I2280" s="10"/>
      <c r="J2280" s="10">
        <v>20</v>
      </c>
      <c r="K2280" s="10">
        <v>170.22</v>
      </c>
    </row>
    <row r="2281" spans="1:11" x14ac:dyDescent="0.25">
      <c r="A2281" s="8" t="s">
        <v>3835</v>
      </c>
      <c r="B2281" s="8" t="s">
        <v>949</v>
      </c>
      <c r="C2281" s="8" t="s">
        <v>3687</v>
      </c>
      <c r="D2281" s="8">
        <v>3</v>
      </c>
      <c r="E2281" s="8" t="s">
        <v>440</v>
      </c>
      <c r="F2281" s="8" t="s">
        <v>378</v>
      </c>
      <c r="G2281" s="8" t="s">
        <v>3688</v>
      </c>
      <c r="H2281" s="10">
        <v>3</v>
      </c>
      <c r="I2281" s="10"/>
      <c r="J2281" s="10">
        <v>3</v>
      </c>
      <c r="K2281" s="10">
        <v>170.22</v>
      </c>
    </row>
    <row r="2282" spans="1:11" x14ac:dyDescent="0.25">
      <c r="A2282" s="8" t="s">
        <v>3836</v>
      </c>
      <c r="B2282" s="8" t="s">
        <v>130</v>
      </c>
      <c r="C2282" s="8" t="s">
        <v>3687</v>
      </c>
      <c r="D2282" s="8">
        <v>3</v>
      </c>
      <c r="E2282" s="8" t="s">
        <v>440</v>
      </c>
      <c r="F2282" s="8" t="s">
        <v>378</v>
      </c>
      <c r="G2282" s="8" t="s">
        <v>3688</v>
      </c>
      <c r="H2282" s="10">
        <v>5</v>
      </c>
      <c r="I2282" s="10"/>
      <c r="J2282" s="10">
        <v>5</v>
      </c>
      <c r="K2282" s="10">
        <v>170.22</v>
      </c>
    </row>
    <row r="2283" spans="1:11" x14ac:dyDescent="0.25">
      <c r="A2283" s="8" t="s">
        <v>3837</v>
      </c>
      <c r="B2283" s="8" t="s">
        <v>132</v>
      </c>
      <c r="C2283" s="8" t="s">
        <v>3687</v>
      </c>
      <c r="D2283" s="8">
        <v>3</v>
      </c>
      <c r="E2283" s="8" t="s">
        <v>440</v>
      </c>
      <c r="F2283" s="8" t="s">
        <v>378</v>
      </c>
      <c r="G2283" s="8" t="s">
        <v>3688</v>
      </c>
      <c r="H2283" s="10">
        <v>10</v>
      </c>
      <c r="I2283" s="10"/>
      <c r="J2283" s="10">
        <v>10</v>
      </c>
      <c r="K2283" s="10">
        <v>170.22</v>
      </c>
    </row>
    <row r="2284" spans="1:11" x14ac:dyDescent="0.25">
      <c r="A2284" s="8" t="s">
        <v>3838</v>
      </c>
      <c r="B2284" s="8" t="s">
        <v>134</v>
      </c>
      <c r="C2284" s="8" t="s">
        <v>3687</v>
      </c>
      <c r="D2284" s="8">
        <v>3</v>
      </c>
      <c r="E2284" s="8" t="s">
        <v>440</v>
      </c>
      <c r="F2284" s="8" t="s">
        <v>378</v>
      </c>
      <c r="G2284" s="8" t="s">
        <v>3688</v>
      </c>
      <c r="H2284" s="10">
        <v>20</v>
      </c>
      <c r="I2284" s="10"/>
      <c r="J2284" s="10">
        <v>20</v>
      </c>
      <c r="K2284" s="10">
        <v>170.22</v>
      </c>
    </row>
    <row r="2285" spans="1:11" x14ac:dyDescent="0.25">
      <c r="A2285" s="8" t="s">
        <v>3839</v>
      </c>
      <c r="B2285" s="8" t="s">
        <v>136</v>
      </c>
      <c r="C2285" s="8" t="s">
        <v>3687</v>
      </c>
      <c r="D2285" s="8">
        <v>3</v>
      </c>
      <c r="E2285" s="8" t="s">
        <v>440</v>
      </c>
      <c r="F2285" s="8" t="s">
        <v>378</v>
      </c>
      <c r="G2285" s="8" t="s">
        <v>3688</v>
      </c>
      <c r="H2285" s="10">
        <v>10</v>
      </c>
      <c r="I2285" s="10"/>
      <c r="J2285" s="10">
        <v>10</v>
      </c>
      <c r="K2285" s="10">
        <v>170.22</v>
      </c>
    </row>
    <row r="2286" spans="1:11" x14ac:dyDescent="0.25">
      <c r="A2286" s="8" t="s">
        <v>3840</v>
      </c>
      <c r="B2286" s="8" t="s">
        <v>1689</v>
      </c>
      <c r="C2286" s="8" t="s">
        <v>3687</v>
      </c>
      <c r="D2286" s="8">
        <v>3</v>
      </c>
      <c r="E2286" s="8" t="s">
        <v>440</v>
      </c>
      <c r="F2286" s="8" t="s">
        <v>378</v>
      </c>
      <c r="G2286" s="8" t="s">
        <v>3688</v>
      </c>
      <c r="H2286" s="10">
        <v>3</v>
      </c>
      <c r="I2286" s="10"/>
      <c r="J2286" s="10">
        <v>3</v>
      </c>
      <c r="K2286" s="10">
        <v>170.22</v>
      </c>
    </row>
    <row r="2287" spans="1:11" x14ac:dyDescent="0.25">
      <c r="A2287" s="8" t="s">
        <v>3841</v>
      </c>
      <c r="B2287" s="8" t="s">
        <v>138</v>
      </c>
      <c r="C2287" s="8" t="s">
        <v>3687</v>
      </c>
      <c r="D2287" s="8">
        <v>3</v>
      </c>
      <c r="E2287" s="8" t="s">
        <v>440</v>
      </c>
      <c r="F2287" s="8" t="s">
        <v>378</v>
      </c>
      <c r="G2287" s="8" t="s">
        <v>3688</v>
      </c>
      <c r="H2287" s="10">
        <v>5</v>
      </c>
      <c r="I2287" s="10"/>
      <c r="J2287" s="10">
        <v>5</v>
      </c>
      <c r="K2287" s="10">
        <v>170.22</v>
      </c>
    </row>
    <row r="2288" spans="1:11" x14ac:dyDescent="0.25">
      <c r="A2288" s="8" t="s">
        <v>3842</v>
      </c>
      <c r="B2288" s="8" t="s">
        <v>80</v>
      </c>
      <c r="C2288" s="8" t="s">
        <v>3687</v>
      </c>
      <c r="D2288" s="8">
        <v>3</v>
      </c>
      <c r="E2288" s="8" t="s">
        <v>440</v>
      </c>
      <c r="F2288" s="8" t="s">
        <v>378</v>
      </c>
      <c r="G2288" s="8" t="s">
        <v>3688</v>
      </c>
      <c r="H2288" s="10">
        <v>5</v>
      </c>
      <c r="I2288" s="10"/>
      <c r="J2288" s="10">
        <v>5</v>
      </c>
      <c r="K2288" s="10">
        <v>170.22</v>
      </c>
    </row>
    <row r="2289" spans="1:11" x14ac:dyDescent="0.25">
      <c r="A2289" s="8" t="s">
        <v>3843</v>
      </c>
      <c r="B2289" s="8" t="s">
        <v>116</v>
      </c>
      <c r="C2289" s="8" t="s">
        <v>3687</v>
      </c>
      <c r="D2289" s="8">
        <v>3</v>
      </c>
      <c r="E2289" s="8" t="s">
        <v>443</v>
      </c>
      <c r="F2289" s="8" t="s">
        <v>378</v>
      </c>
      <c r="G2289" s="8" t="s">
        <v>3688</v>
      </c>
      <c r="H2289" s="10">
        <v>10</v>
      </c>
      <c r="I2289" s="10"/>
      <c r="J2289" s="10">
        <v>10</v>
      </c>
      <c r="K2289" s="10">
        <v>170.22</v>
      </c>
    </row>
    <row r="2290" spans="1:11" x14ac:dyDescent="0.25">
      <c r="A2290" s="8" t="s">
        <v>3844</v>
      </c>
      <c r="B2290" s="8" t="s">
        <v>116</v>
      </c>
      <c r="C2290" s="8" t="s">
        <v>3687</v>
      </c>
      <c r="D2290" s="8">
        <v>3</v>
      </c>
      <c r="E2290" s="8" t="s">
        <v>443</v>
      </c>
      <c r="F2290" s="8" t="s">
        <v>378</v>
      </c>
      <c r="G2290" s="8" t="s">
        <v>3688</v>
      </c>
      <c r="H2290" s="10">
        <v>2</v>
      </c>
      <c r="I2290" s="10"/>
      <c r="J2290" s="10">
        <v>2</v>
      </c>
      <c r="K2290" s="10">
        <v>170.22</v>
      </c>
    </row>
    <row r="2291" spans="1:11" x14ac:dyDescent="0.25">
      <c r="A2291" s="8" t="s">
        <v>3845</v>
      </c>
      <c r="B2291" s="8" t="s">
        <v>116</v>
      </c>
      <c r="C2291" s="8" t="s">
        <v>3687</v>
      </c>
      <c r="D2291" s="8">
        <v>3</v>
      </c>
      <c r="E2291" s="8" t="s">
        <v>443</v>
      </c>
      <c r="F2291" s="8" t="s">
        <v>378</v>
      </c>
      <c r="G2291" s="8" t="s">
        <v>3688</v>
      </c>
      <c r="H2291" s="10">
        <v>2</v>
      </c>
      <c r="I2291" s="10"/>
      <c r="J2291" s="10">
        <v>2</v>
      </c>
      <c r="K2291" s="10">
        <v>170.22</v>
      </c>
    </row>
    <row r="2292" spans="1:11" x14ac:dyDescent="0.25">
      <c r="A2292" s="8" t="s">
        <v>3846</v>
      </c>
      <c r="B2292" s="8" t="s">
        <v>118</v>
      </c>
      <c r="C2292" s="8" t="s">
        <v>3687</v>
      </c>
      <c r="D2292" s="8">
        <v>3</v>
      </c>
      <c r="E2292" s="8" t="s">
        <v>443</v>
      </c>
      <c r="F2292" s="8" t="s">
        <v>378</v>
      </c>
      <c r="G2292" s="8" t="s">
        <v>3688</v>
      </c>
      <c r="H2292" s="10">
        <v>10</v>
      </c>
      <c r="I2292" s="10"/>
      <c r="J2292" s="10">
        <v>10</v>
      </c>
      <c r="K2292" s="10">
        <v>170.22</v>
      </c>
    </row>
    <row r="2293" spans="1:11" x14ac:dyDescent="0.25">
      <c r="A2293" s="8" t="s">
        <v>3847</v>
      </c>
      <c r="B2293" s="8" t="s">
        <v>1650</v>
      </c>
      <c r="C2293" s="8" t="s">
        <v>3687</v>
      </c>
      <c r="D2293" s="8">
        <v>3</v>
      </c>
      <c r="E2293" s="8" t="s">
        <v>443</v>
      </c>
      <c r="F2293" s="8" t="s">
        <v>378</v>
      </c>
      <c r="G2293" s="8" t="s">
        <v>3688</v>
      </c>
      <c r="H2293" s="10">
        <v>5</v>
      </c>
      <c r="I2293" s="10"/>
      <c r="J2293" s="10">
        <v>5</v>
      </c>
      <c r="K2293" s="10">
        <v>170.22</v>
      </c>
    </row>
    <row r="2294" spans="1:11" x14ac:dyDescent="0.25">
      <c r="A2294" s="8" t="s">
        <v>3848</v>
      </c>
      <c r="B2294" s="8" t="s">
        <v>120</v>
      </c>
      <c r="C2294" s="8" t="s">
        <v>3687</v>
      </c>
      <c r="D2294" s="8">
        <v>3</v>
      </c>
      <c r="E2294" s="8" t="s">
        <v>443</v>
      </c>
      <c r="F2294" s="8" t="s">
        <v>378</v>
      </c>
      <c r="G2294" s="8" t="s">
        <v>3688</v>
      </c>
      <c r="H2294" s="10">
        <v>15</v>
      </c>
      <c r="I2294" s="10"/>
      <c r="J2294" s="10">
        <v>15</v>
      </c>
      <c r="K2294" s="10">
        <v>170.22</v>
      </c>
    </row>
    <row r="2295" spans="1:11" x14ac:dyDescent="0.25">
      <c r="A2295" s="8" t="s">
        <v>3849</v>
      </c>
      <c r="B2295" s="8" t="s">
        <v>120</v>
      </c>
      <c r="C2295" s="8" t="s">
        <v>3687</v>
      </c>
      <c r="D2295" s="8">
        <v>3</v>
      </c>
      <c r="E2295" s="8" t="s">
        <v>443</v>
      </c>
      <c r="F2295" s="8" t="s">
        <v>378</v>
      </c>
      <c r="G2295" s="8" t="s">
        <v>3688</v>
      </c>
      <c r="H2295" s="10">
        <v>10</v>
      </c>
      <c r="I2295" s="10"/>
      <c r="J2295" s="10">
        <v>10</v>
      </c>
      <c r="K2295" s="10">
        <v>170.22</v>
      </c>
    </row>
    <row r="2296" spans="1:11" x14ac:dyDescent="0.25">
      <c r="A2296" s="8" t="s">
        <v>3850</v>
      </c>
      <c r="B2296" s="8" t="s">
        <v>122</v>
      </c>
      <c r="C2296" s="8" t="s">
        <v>3687</v>
      </c>
      <c r="D2296" s="8">
        <v>3</v>
      </c>
      <c r="E2296" s="8" t="s">
        <v>443</v>
      </c>
      <c r="F2296" s="8" t="s">
        <v>378</v>
      </c>
      <c r="G2296" s="8" t="s">
        <v>3688</v>
      </c>
      <c r="H2296" s="10">
        <v>15</v>
      </c>
      <c r="I2296" s="10"/>
      <c r="J2296" s="10">
        <v>15</v>
      </c>
      <c r="K2296" s="10">
        <v>170.22</v>
      </c>
    </row>
    <row r="2297" spans="1:11" x14ac:dyDescent="0.25">
      <c r="A2297" s="8" t="s">
        <v>3851</v>
      </c>
      <c r="B2297" s="8" t="s">
        <v>124</v>
      </c>
      <c r="C2297" s="8" t="s">
        <v>3687</v>
      </c>
      <c r="D2297" s="8">
        <v>3</v>
      </c>
      <c r="E2297" s="8" t="s">
        <v>443</v>
      </c>
      <c r="F2297" s="8" t="s">
        <v>378</v>
      </c>
      <c r="G2297" s="8" t="s">
        <v>3688</v>
      </c>
      <c r="H2297" s="10">
        <v>15</v>
      </c>
      <c r="I2297" s="10"/>
      <c r="J2297" s="10">
        <v>15</v>
      </c>
      <c r="K2297" s="10">
        <v>170.22</v>
      </c>
    </row>
    <row r="2298" spans="1:11" x14ac:dyDescent="0.25">
      <c r="A2298" s="8" t="s">
        <v>3852</v>
      </c>
      <c r="B2298" s="8" t="s">
        <v>78</v>
      </c>
      <c r="C2298" s="8" t="s">
        <v>3687</v>
      </c>
      <c r="D2298" s="8">
        <v>3</v>
      </c>
      <c r="E2298" s="8" t="s">
        <v>443</v>
      </c>
      <c r="F2298" s="8" t="s">
        <v>378</v>
      </c>
      <c r="G2298" s="8" t="s">
        <v>3688</v>
      </c>
      <c r="H2298" s="10">
        <v>10</v>
      </c>
      <c r="I2298" s="10"/>
      <c r="J2298" s="10">
        <v>10</v>
      </c>
      <c r="K2298" s="10">
        <v>170.22</v>
      </c>
    </row>
    <row r="2299" spans="1:11" x14ac:dyDescent="0.25">
      <c r="A2299" s="8" t="s">
        <v>3853</v>
      </c>
      <c r="B2299" s="8" t="s">
        <v>1655</v>
      </c>
      <c r="C2299" s="8" t="s">
        <v>3687</v>
      </c>
      <c r="D2299" s="8">
        <v>3</v>
      </c>
      <c r="E2299" s="8" t="s">
        <v>443</v>
      </c>
      <c r="F2299" s="8" t="s">
        <v>378</v>
      </c>
      <c r="G2299" s="8" t="s">
        <v>3688</v>
      </c>
      <c r="H2299" s="10">
        <v>5</v>
      </c>
      <c r="I2299" s="10"/>
      <c r="J2299" s="10">
        <v>5</v>
      </c>
      <c r="K2299" s="10">
        <v>170.22</v>
      </c>
    </row>
    <row r="2300" spans="1:11" x14ac:dyDescent="0.25">
      <c r="A2300" s="8" t="s">
        <v>3854</v>
      </c>
      <c r="B2300" s="8" t="s">
        <v>128</v>
      </c>
      <c r="C2300" s="8" t="s">
        <v>3687</v>
      </c>
      <c r="D2300" s="8">
        <v>3</v>
      </c>
      <c r="E2300" s="8" t="s">
        <v>443</v>
      </c>
      <c r="F2300" s="8" t="s">
        <v>378</v>
      </c>
      <c r="G2300" s="8" t="s">
        <v>3688</v>
      </c>
      <c r="H2300" s="10">
        <v>10</v>
      </c>
      <c r="I2300" s="10"/>
      <c r="J2300" s="10">
        <v>10</v>
      </c>
      <c r="K2300" s="10">
        <v>170.22</v>
      </c>
    </row>
    <row r="2301" spans="1:11" x14ac:dyDescent="0.25">
      <c r="A2301" s="8" t="s">
        <v>3855</v>
      </c>
      <c r="B2301" s="8" t="s">
        <v>130</v>
      </c>
      <c r="C2301" s="8" t="s">
        <v>3687</v>
      </c>
      <c r="D2301" s="8">
        <v>3</v>
      </c>
      <c r="E2301" s="8" t="s">
        <v>443</v>
      </c>
      <c r="F2301" s="8" t="s">
        <v>378</v>
      </c>
      <c r="G2301" s="8" t="s">
        <v>3688</v>
      </c>
      <c r="H2301" s="10">
        <v>3</v>
      </c>
      <c r="I2301" s="10"/>
      <c r="J2301" s="10">
        <v>3</v>
      </c>
      <c r="K2301" s="10">
        <v>170.22</v>
      </c>
    </row>
    <row r="2302" spans="1:11" x14ac:dyDescent="0.25">
      <c r="A2302" s="8" t="s">
        <v>3856</v>
      </c>
      <c r="B2302" s="8" t="s">
        <v>132</v>
      </c>
      <c r="C2302" s="8" t="s">
        <v>3687</v>
      </c>
      <c r="D2302" s="8">
        <v>3</v>
      </c>
      <c r="E2302" s="8" t="s">
        <v>443</v>
      </c>
      <c r="F2302" s="8" t="s">
        <v>378</v>
      </c>
      <c r="G2302" s="8" t="s">
        <v>3688</v>
      </c>
      <c r="H2302" s="10">
        <v>10</v>
      </c>
      <c r="I2302" s="10"/>
      <c r="J2302" s="10">
        <v>10</v>
      </c>
      <c r="K2302" s="10">
        <v>170.22</v>
      </c>
    </row>
    <row r="2303" spans="1:11" x14ac:dyDescent="0.25">
      <c r="A2303" s="8" t="s">
        <v>3857</v>
      </c>
      <c r="B2303" s="8" t="s">
        <v>134</v>
      </c>
      <c r="C2303" s="8" t="s">
        <v>3687</v>
      </c>
      <c r="D2303" s="8">
        <v>3</v>
      </c>
      <c r="E2303" s="8" t="s">
        <v>443</v>
      </c>
      <c r="F2303" s="8" t="s">
        <v>378</v>
      </c>
      <c r="G2303" s="8" t="s">
        <v>3688</v>
      </c>
      <c r="H2303" s="10">
        <v>10</v>
      </c>
      <c r="I2303" s="10"/>
      <c r="J2303" s="10">
        <v>10</v>
      </c>
      <c r="K2303" s="10">
        <v>170.22</v>
      </c>
    </row>
    <row r="2304" spans="1:11" x14ac:dyDescent="0.25">
      <c r="A2304" s="8" t="s">
        <v>3858</v>
      </c>
      <c r="B2304" s="8" t="s">
        <v>136</v>
      </c>
      <c r="C2304" s="8" t="s">
        <v>3687</v>
      </c>
      <c r="D2304" s="8">
        <v>3</v>
      </c>
      <c r="E2304" s="8" t="s">
        <v>443</v>
      </c>
      <c r="F2304" s="8" t="s">
        <v>378</v>
      </c>
      <c r="G2304" s="8" t="s">
        <v>3688</v>
      </c>
      <c r="H2304" s="10">
        <v>5</v>
      </c>
      <c r="I2304" s="10"/>
      <c r="J2304" s="10">
        <v>5</v>
      </c>
      <c r="K2304" s="10">
        <v>170.22</v>
      </c>
    </row>
    <row r="2305" spans="1:11" x14ac:dyDescent="0.25">
      <c r="A2305" s="8" t="s">
        <v>3859</v>
      </c>
      <c r="B2305" s="8" t="s">
        <v>1689</v>
      </c>
      <c r="C2305" s="8" t="s">
        <v>3687</v>
      </c>
      <c r="D2305" s="8">
        <v>3</v>
      </c>
      <c r="E2305" s="8" t="s">
        <v>443</v>
      </c>
      <c r="F2305" s="8" t="s">
        <v>378</v>
      </c>
      <c r="G2305" s="8" t="s">
        <v>3688</v>
      </c>
      <c r="H2305" s="10">
        <v>2</v>
      </c>
      <c r="I2305" s="10"/>
      <c r="J2305" s="10">
        <v>2</v>
      </c>
      <c r="K2305" s="10">
        <v>170.22</v>
      </c>
    </row>
    <row r="2306" spans="1:11" x14ac:dyDescent="0.25">
      <c r="A2306" s="8" t="s">
        <v>3860</v>
      </c>
      <c r="B2306" s="8" t="s">
        <v>138</v>
      </c>
      <c r="C2306" s="8" t="s">
        <v>3687</v>
      </c>
      <c r="D2306" s="8">
        <v>3</v>
      </c>
      <c r="E2306" s="8" t="s">
        <v>443</v>
      </c>
      <c r="F2306" s="8" t="s">
        <v>378</v>
      </c>
      <c r="G2306" s="8" t="s">
        <v>3688</v>
      </c>
      <c r="H2306" s="10">
        <v>3</v>
      </c>
      <c r="I2306" s="10"/>
      <c r="J2306" s="10">
        <v>3</v>
      </c>
      <c r="K2306" s="10">
        <v>170.22</v>
      </c>
    </row>
    <row r="2307" spans="1:11" x14ac:dyDescent="0.25">
      <c r="A2307" s="8" t="s">
        <v>3861</v>
      </c>
      <c r="B2307" s="8" t="s">
        <v>80</v>
      </c>
      <c r="C2307" s="8" t="s">
        <v>3687</v>
      </c>
      <c r="D2307" s="8">
        <v>3</v>
      </c>
      <c r="E2307" s="8" t="s">
        <v>443</v>
      </c>
      <c r="F2307" s="8" t="s">
        <v>378</v>
      </c>
      <c r="G2307" s="8" t="s">
        <v>3688</v>
      </c>
      <c r="H2307" s="10">
        <v>5</v>
      </c>
      <c r="I2307" s="10"/>
      <c r="J2307" s="10">
        <v>5</v>
      </c>
      <c r="K2307" s="10">
        <v>170.22</v>
      </c>
    </row>
    <row r="2308" spans="1:11" x14ac:dyDescent="0.25">
      <c r="A2308" s="8" t="s">
        <v>3862</v>
      </c>
      <c r="B2308" s="8" t="s">
        <v>116</v>
      </c>
      <c r="C2308" s="8" t="s">
        <v>3687</v>
      </c>
      <c r="D2308" s="8">
        <v>3</v>
      </c>
      <c r="E2308" s="8" t="s">
        <v>446</v>
      </c>
      <c r="F2308" s="8" t="s">
        <v>378</v>
      </c>
      <c r="G2308" s="8" t="s">
        <v>3688</v>
      </c>
      <c r="H2308" s="10">
        <v>5</v>
      </c>
      <c r="I2308" s="10"/>
      <c r="J2308" s="10">
        <v>5</v>
      </c>
      <c r="K2308" s="10">
        <v>197.69</v>
      </c>
    </row>
    <row r="2309" spans="1:11" x14ac:dyDescent="0.25">
      <c r="A2309" s="8" t="s">
        <v>3863</v>
      </c>
      <c r="B2309" s="8" t="s">
        <v>116</v>
      </c>
      <c r="C2309" s="8" t="s">
        <v>3687</v>
      </c>
      <c r="D2309" s="8">
        <v>3</v>
      </c>
      <c r="E2309" s="8" t="s">
        <v>446</v>
      </c>
      <c r="F2309" s="8" t="s">
        <v>378</v>
      </c>
      <c r="G2309" s="8" t="s">
        <v>3688</v>
      </c>
      <c r="H2309" s="10">
        <v>2</v>
      </c>
      <c r="I2309" s="10"/>
      <c r="J2309" s="10">
        <v>2</v>
      </c>
      <c r="K2309" s="10">
        <v>197.69</v>
      </c>
    </row>
    <row r="2310" spans="1:11" x14ac:dyDescent="0.25">
      <c r="A2310" s="8" t="s">
        <v>3864</v>
      </c>
      <c r="B2310" s="8" t="s">
        <v>116</v>
      </c>
      <c r="C2310" s="8" t="s">
        <v>3687</v>
      </c>
      <c r="D2310" s="8">
        <v>3</v>
      </c>
      <c r="E2310" s="8" t="s">
        <v>446</v>
      </c>
      <c r="F2310" s="8" t="s">
        <v>378</v>
      </c>
      <c r="G2310" s="8" t="s">
        <v>3688</v>
      </c>
      <c r="H2310" s="10">
        <v>2</v>
      </c>
      <c r="I2310" s="10"/>
      <c r="J2310" s="10">
        <v>2</v>
      </c>
      <c r="K2310" s="10">
        <v>197.69</v>
      </c>
    </row>
    <row r="2311" spans="1:11" x14ac:dyDescent="0.25">
      <c r="A2311" s="8" t="s">
        <v>3865</v>
      </c>
      <c r="B2311" s="8" t="s">
        <v>118</v>
      </c>
      <c r="C2311" s="8" t="s">
        <v>3687</v>
      </c>
      <c r="D2311" s="8">
        <v>3</v>
      </c>
      <c r="E2311" s="8" t="s">
        <v>446</v>
      </c>
      <c r="F2311" s="8" t="s">
        <v>378</v>
      </c>
      <c r="G2311" s="8" t="s">
        <v>3688</v>
      </c>
      <c r="H2311" s="10">
        <v>5</v>
      </c>
      <c r="I2311" s="10"/>
      <c r="J2311" s="10">
        <v>5</v>
      </c>
      <c r="K2311" s="10">
        <v>197.69</v>
      </c>
    </row>
    <row r="2312" spans="1:11" x14ac:dyDescent="0.25">
      <c r="A2312" s="8" t="s">
        <v>3866</v>
      </c>
      <c r="B2312" s="8" t="s">
        <v>1650</v>
      </c>
      <c r="C2312" s="8" t="s">
        <v>3687</v>
      </c>
      <c r="D2312" s="8">
        <v>3</v>
      </c>
      <c r="E2312" s="8" t="s">
        <v>446</v>
      </c>
      <c r="F2312" s="8" t="s">
        <v>378</v>
      </c>
      <c r="G2312" s="8" t="s">
        <v>3688</v>
      </c>
      <c r="H2312" s="10">
        <v>5</v>
      </c>
      <c r="I2312" s="10"/>
      <c r="J2312" s="10">
        <v>5</v>
      </c>
      <c r="K2312" s="10">
        <v>197.69</v>
      </c>
    </row>
    <row r="2313" spans="1:11" x14ac:dyDescent="0.25">
      <c r="A2313" s="8" t="s">
        <v>3867</v>
      </c>
      <c r="B2313" s="8" t="s">
        <v>120</v>
      </c>
      <c r="C2313" s="8" t="s">
        <v>3687</v>
      </c>
      <c r="D2313" s="8">
        <v>3</v>
      </c>
      <c r="E2313" s="8" t="s">
        <v>446</v>
      </c>
      <c r="F2313" s="8" t="s">
        <v>378</v>
      </c>
      <c r="G2313" s="8" t="s">
        <v>3688</v>
      </c>
      <c r="H2313" s="10">
        <v>5</v>
      </c>
      <c r="I2313" s="10"/>
      <c r="J2313" s="10">
        <v>5</v>
      </c>
      <c r="K2313" s="10">
        <v>197.69</v>
      </c>
    </row>
    <row r="2314" spans="1:11" x14ac:dyDescent="0.25">
      <c r="A2314" s="8" t="s">
        <v>3868</v>
      </c>
      <c r="B2314" s="8" t="s">
        <v>120</v>
      </c>
      <c r="C2314" s="8" t="s">
        <v>3687</v>
      </c>
      <c r="D2314" s="8">
        <v>3</v>
      </c>
      <c r="E2314" s="8" t="s">
        <v>446</v>
      </c>
      <c r="F2314" s="8" t="s">
        <v>378</v>
      </c>
      <c r="G2314" s="8" t="s">
        <v>3688</v>
      </c>
      <c r="H2314" s="10">
        <v>10</v>
      </c>
      <c r="I2314" s="10"/>
      <c r="J2314" s="10">
        <v>10</v>
      </c>
      <c r="K2314" s="10">
        <v>197.69</v>
      </c>
    </row>
    <row r="2315" spans="1:11" x14ac:dyDescent="0.25">
      <c r="A2315" s="8" t="s">
        <v>3869</v>
      </c>
      <c r="B2315" s="8" t="s">
        <v>122</v>
      </c>
      <c r="C2315" s="8" t="s">
        <v>3687</v>
      </c>
      <c r="D2315" s="8">
        <v>3</v>
      </c>
      <c r="E2315" s="8" t="s">
        <v>446</v>
      </c>
      <c r="F2315" s="8" t="s">
        <v>378</v>
      </c>
      <c r="G2315" s="8" t="s">
        <v>3688</v>
      </c>
      <c r="H2315" s="10">
        <v>10</v>
      </c>
      <c r="I2315" s="10"/>
      <c r="J2315" s="10">
        <v>10</v>
      </c>
      <c r="K2315" s="10">
        <v>197.69</v>
      </c>
    </row>
    <row r="2316" spans="1:11" x14ac:dyDescent="0.25">
      <c r="A2316" s="8" t="s">
        <v>3870</v>
      </c>
      <c r="B2316" s="8" t="s">
        <v>124</v>
      </c>
      <c r="C2316" s="8" t="s">
        <v>3687</v>
      </c>
      <c r="D2316" s="8">
        <v>3</v>
      </c>
      <c r="E2316" s="8" t="s">
        <v>446</v>
      </c>
      <c r="F2316" s="8" t="s">
        <v>378</v>
      </c>
      <c r="G2316" s="8" t="s">
        <v>3688</v>
      </c>
      <c r="H2316" s="10">
        <v>15</v>
      </c>
      <c r="I2316" s="10"/>
      <c r="J2316" s="10">
        <v>15</v>
      </c>
      <c r="K2316" s="10">
        <v>197.69</v>
      </c>
    </row>
    <row r="2317" spans="1:11" x14ac:dyDescent="0.25">
      <c r="A2317" s="8" t="s">
        <v>3871</v>
      </c>
      <c r="B2317" s="8" t="s">
        <v>78</v>
      </c>
      <c r="C2317" s="8" t="s">
        <v>3687</v>
      </c>
      <c r="D2317" s="8">
        <v>3</v>
      </c>
      <c r="E2317" s="8" t="s">
        <v>446</v>
      </c>
      <c r="F2317" s="8" t="s">
        <v>378</v>
      </c>
      <c r="G2317" s="8" t="s">
        <v>3688</v>
      </c>
      <c r="H2317" s="10">
        <v>5</v>
      </c>
      <c r="I2317" s="10"/>
      <c r="J2317" s="10">
        <v>5</v>
      </c>
      <c r="K2317" s="10">
        <v>197.69</v>
      </c>
    </row>
    <row r="2318" spans="1:11" x14ac:dyDescent="0.25">
      <c r="A2318" s="8" t="s">
        <v>3872</v>
      </c>
      <c r="B2318" s="8" t="s">
        <v>1655</v>
      </c>
      <c r="C2318" s="8" t="s">
        <v>3687</v>
      </c>
      <c r="D2318" s="8">
        <v>3</v>
      </c>
      <c r="E2318" s="8" t="s">
        <v>446</v>
      </c>
      <c r="F2318" s="8" t="s">
        <v>378</v>
      </c>
      <c r="G2318" s="8" t="s">
        <v>3688</v>
      </c>
      <c r="H2318" s="10">
        <v>5</v>
      </c>
      <c r="I2318" s="10"/>
      <c r="J2318" s="10">
        <v>5</v>
      </c>
      <c r="K2318" s="10">
        <v>197.69</v>
      </c>
    </row>
    <row r="2319" spans="1:11" x14ac:dyDescent="0.25">
      <c r="A2319" s="8" t="s">
        <v>3873</v>
      </c>
      <c r="B2319" s="8" t="s">
        <v>128</v>
      </c>
      <c r="C2319" s="8" t="s">
        <v>3687</v>
      </c>
      <c r="D2319" s="8">
        <v>3</v>
      </c>
      <c r="E2319" s="8" t="s">
        <v>446</v>
      </c>
      <c r="F2319" s="8" t="s">
        <v>378</v>
      </c>
      <c r="G2319" s="8" t="s">
        <v>3688</v>
      </c>
      <c r="H2319" s="10">
        <v>5</v>
      </c>
      <c r="I2319" s="10"/>
      <c r="J2319" s="10">
        <v>5</v>
      </c>
      <c r="K2319" s="10">
        <v>197.69</v>
      </c>
    </row>
    <row r="2320" spans="1:11" x14ac:dyDescent="0.25">
      <c r="A2320" s="8" t="s">
        <v>3874</v>
      </c>
      <c r="B2320" s="8" t="s">
        <v>130</v>
      </c>
      <c r="C2320" s="8" t="s">
        <v>3687</v>
      </c>
      <c r="D2320" s="8">
        <v>3</v>
      </c>
      <c r="E2320" s="8" t="s">
        <v>446</v>
      </c>
      <c r="F2320" s="8" t="s">
        <v>378</v>
      </c>
      <c r="G2320" s="8" t="s">
        <v>3688</v>
      </c>
      <c r="H2320" s="10">
        <v>3</v>
      </c>
      <c r="I2320" s="10"/>
      <c r="J2320" s="10">
        <v>3</v>
      </c>
      <c r="K2320" s="10">
        <v>197.69</v>
      </c>
    </row>
    <row r="2321" spans="1:11" x14ac:dyDescent="0.25">
      <c r="A2321" s="8" t="s">
        <v>3875</v>
      </c>
      <c r="B2321" s="8" t="s">
        <v>132</v>
      </c>
      <c r="C2321" s="8" t="s">
        <v>3687</v>
      </c>
      <c r="D2321" s="8">
        <v>3</v>
      </c>
      <c r="E2321" s="8" t="s">
        <v>446</v>
      </c>
      <c r="F2321" s="8" t="s">
        <v>378</v>
      </c>
      <c r="G2321" s="8" t="s">
        <v>3688</v>
      </c>
      <c r="H2321" s="10">
        <v>5</v>
      </c>
      <c r="I2321" s="10"/>
      <c r="J2321" s="10">
        <v>5</v>
      </c>
      <c r="K2321" s="10">
        <v>197.69</v>
      </c>
    </row>
    <row r="2322" spans="1:11" x14ac:dyDescent="0.25">
      <c r="A2322" s="8" t="s">
        <v>3876</v>
      </c>
      <c r="B2322" s="8" t="s">
        <v>134</v>
      </c>
      <c r="C2322" s="8" t="s">
        <v>3687</v>
      </c>
      <c r="D2322" s="8">
        <v>3</v>
      </c>
      <c r="E2322" s="8" t="s">
        <v>446</v>
      </c>
      <c r="F2322" s="8" t="s">
        <v>378</v>
      </c>
      <c r="G2322" s="8" t="s">
        <v>3688</v>
      </c>
      <c r="H2322" s="10">
        <v>5</v>
      </c>
      <c r="I2322" s="10"/>
      <c r="J2322" s="10">
        <v>5</v>
      </c>
      <c r="K2322" s="10">
        <v>197.69</v>
      </c>
    </row>
    <row r="2323" spans="1:11" x14ac:dyDescent="0.25">
      <c r="A2323" s="8" t="s">
        <v>3877</v>
      </c>
      <c r="B2323" s="8" t="s">
        <v>136</v>
      </c>
      <c r="C2323" s="8" t="s">
        <v>3687</v>
      </c>
      <c r="D2323" s="8">
        <v>3</v>
      </c>
      <c r="E2323" s="8" t="s">
        <v>446</v>
      </c>
      <c r="F2323" s="8" t="s">
        <v>378</v>
      </c>
      <c r="G2323" s="8" t="s">
        <v>3688</v>
      </c>
      <c r="H2323" s="10">
        <v>5</v>
      </c>
      <c r="I2323" s="10"/>
      <c r="J2323" s="10">
        <v>5</v>
      </c>
      <c r="K2323" s="10">
        <v>197.69</v>
      </c>
    </row>
    <row r="2324" spans="1:11" x14ac:dyDescent="0.25">
      <c r="A2324" s="8" t="s">
        <v>3878</v>
      </c>
      <c r="B2324" s="8" t="s">
        <v>1689</v>
      </c>
      <c r="C2324" s="8" t="s">
        <v>3687</v>
      </c>
      <c r="D2324" s="8">
        <v>3</v>
      </c>
      <c r="E2324" s="8" t="s">
        <v>446</v>
      </c>
      <c r="F2324" s="8" t="s">
        <v>378</v>
      </c>
      <c r="G2324" s="8" t="s">
        <v>3688</v>
      </c>
      <c r="H2324" s="10">
        <v>1</v>
      </c>
      <c r="I2324" s="10"/>
      <c r="J2324" s="10">
        <v>1</v>
      </c>
      <c r="K2324" s="10">
        <v>197.69</v>
      </c>
    </row>
    <row r="2325" spans="1:11" x14ac:dyDescent="0.25">
      <c r="A2325" s="8" t="s">
        <v>3879</v>
      </c>
      <c r="B2325" s="8" t="s">
        <v>138</v>
      </c>
      <c r="C2325" s="8" t="s">
        <v>3687</v>
      </c>
      <c r="D2325" s="8">
        <v>3</v>
      </c>
      <c r="E2325" s="8" t="s">
        <v>446</v>
      </c>
      <c r="F2325" s="8" t="s">
        <v>378</v>
      </c>
      <c r="G2325" s="8" t="s">
        <v>3688</v>
      </c>
      <c r="H2325" s="10">
        <v>3</v>
      </c>
      <c r="I2325" s="10"/>
      <c r="J2325" s="10">
        <v>3</v>
      </c>
      <c r="K2325" s="10">
        <v>197.69</v>
      </c>
    </row>
    <row r="2326" spans="1:11" x14ac:dyDescent="0.25">
      <c r="A2326" s="8" t="s">
        <v>3880</v>
      </c>
      <c r="B2326" s="8" t="s">
        <v>80</v>
      </c>
      <c r="C2326" s="8" t="s">
        <v>3687</v>
      </c>
      <c r="D2326" s="8">
        <v>3</v>
      </c>
      <c r="E2326" s="8" t="s">
        <v>446</v>
      </c>
      <c r="F2326" s="8" t="s">
        <v>378</v>
      </c>
      <c r="G2326" s="8" t="s">
        <v>3688</v>
      </c>
      <c r="H2326" s="10">
        <v>5</v>
      </c>
      <c r="I2326" s="10"/>
      <c r="J2326" s="10">
        <v>5</v>
      </c>
      <c r="K2326" s="10">
        <v>197.69</v>
      </c>
    </row>
    <row r="2327" spans="1:11" x14ac:dyDescent="0.25">
      <c r="A2327" s="8" t="s">
        <v>3881</v>
      </c>
      <c r="B2327" s="8" t="s">
        <v>116</v>
      </c>
      <c r="C2327" s="8" t="s">
        <v>3687</v>
      </c>
      <c r="D2327" s="8">
        <v>3</v>
      </c>
      <c r="E2327" s="8" t="s">
        <v>449</v>
      </c>
      <c r="F2327" s="8" t="s">
        <v>378</v>
      </c>
      <c r="G2327" s="8" t="s">
        <v>3688</v>
      </c>
      <c r="H2327" s="10">
        <v>2</v>
      </c>
      <c r="I2327" s="10"/>
      <c r="J2327" s="10">
        <v>2</v>
      </c>
      <c r="K2327" s="10">
        <v>216</v>
      </c>
    </row>
    <row r="2328" spans="1:11" x14ac:dyDescent="0.25">
      <c r="A2328" s="8" t="s">
        <v>3882</v>
      </c>
      <c r="B2328" s="8" t="s">
        <v>116</v>
      </c>
      <c r="C2328" s="8" t="s">
        <v>3687</v>
      </c>
      <c r="D2328" s="8">
        <v>3</v>
      </c>
      <c r="E2328" s="8" t="s">
        <v>449</v>
      </c>
      <c r="F2328" s="8" t="s">
        <v>378</v>
      </c>
      <c r="G2328" s="8" t="s">
        <v>3688</v>
      </c>
      <c r="H2328" s="10">
        <v>2</v>
      </c>
      <c r="I2328" s="10"/>
      <c r="J2328" s="10">
        <v>2</v>
      </c>
      <c r="K2328" s="10">
        <v>216</v>
      </c>
    </row>
    <row r="2329" spans="1:11" x14ac:dyDescent="0.25">
      <c r="A2329" s="8" t="s">
        <v>3883</v>
      </c>
      <c r="B2329" s="8" t="s">
        <v>118</v>
      </c>
      <c r="C2329" s="8" t="s">
        <v>3687</v>
      </c>
      <c r="D2329" s="8">
        <v>3</v>
      </c>
      <c r="E2329" s="8" t="s">
        <v>449</v>
      </c>
      <c r="F2329" s="8" t="s">
        <v>378</v>
      </c>
      <c r="G2329" s="8" t="s">
        <v>3688</v>
      </c>
      <c r="H2329" s="10">
        <v>5</v>
      </c>
      <c r="I2329" s="10"/>
      <c r="J2329" s="10">
        <v>5</v>
      </c>
      <c r="K2329" s="10">
        <v>216</v>
      </c>
    </row>
    <row r="2330" spans="1:11" x14ac:dyDescent="0.25">
      <c r="A2330" s="8" t="s">
        <v>3884</v>
      </c>
      <c r="B2330" s="8" t="s">
        <v>1650</v>
      </c>
      <c r="C2330" s="8" t="s">
        <v>3687</v>
      </c>
      <c r="D2330" s="8">
        <v>3</v>
      </c>
      <c r="E2330" s="8" t="s">
        <v>449</v>
      </c>
      <c r="F2330" s="8" t="s">
        <v>378</v>
      </c>
      <c r="G2330" s="8" t="s">
        <v>3688</v>
      </c>
      <c r="H2330" s="10">
        <v>3</v>
      </c>
      <c r="I2330" s="10"/>
      <c r="J2330" s="10">
        <v>3</v>
      </c>
      <c r="K2330" s="10">
        <v>216</v>
      </c>
    </row>
    <row r="2331" spans="1:11" x14ac:dyDescent="0.25">
      <c r="A2331" s="8" t="s">
        <v>3885</v>
      </c>
      <c r="B2331" s="8" t="s">
        <v>120</v>
      </c>
      <c r="C2331" s="8" t="s">
        <v>3687</v>
      </c>
      <c r="D2331" s="8">
        <v>3</v>
      </c>
      <c r="E2331" s="8" t="s">
        <v>449</v>
      </c>
      <c r="F2331" s="8" t="s">
        <v>378</v>
      </c>
      <c r="G2331" s="8" t="s">
        <v>3688</v>
      </c>
      <c r="H2331" s="10">
        <v>5</v>
      </c>
      <c r="I2331" s="10"/>
      <c r="J2331" s="10">
        <v>5</v>
      </c>
      <c r="K2331" s="10">
        <v>216</v>
      </c>
    </row>
    <row r="2332" spans="1:11" x14ac:dyDescent="0.25">
      <c r="A2332" s="8" t="s">
        <v>3886</v>
      </c>
      <c r="B2332" s="8" t="s">
        <v>120</v>
      </c>
      <c r="C2332" s="8" t="s">
        <v>3687</v>
      </c>
      <c r="D2332" s="8">
        <v>3</v>
      </c>
      <c r="E2332" s="8" t="s">
        <v>449</v>
      </c>
      <c r="F2332" s="8" t="s">
        <v>378</v>
      </c>
      <c r="G2332" s="8" t="s">
        <v>3688</v>
      </c>
      <c r="H2332" s="10">
        <v>5</v>
      </c>
      <c r="I2332" s="10"/>
      <c r="J2332" s="10">
        <v>5</v>
      </c>
      <c r="K2332" s="10">
        <v>216</v>
      </c>
    </row>
    <row r="2333" spans="1:11" x14ac:dyDescent="0.25">
      <c r="A2333" s="8" t="s">
        <v>3887</v>
      </c>
      <c r="B2333" s="8" t="s">
        <v>122</v>
      </c>
      <c r="C2333" s="8" t="s">
        <v>3687</v>
      </c>
      <c r="D2333" s="8">
        <v>3</v>
      </c>
      <c r="E2333" s="8" t="s">
        <v>449</v>
      </c>
      <c r="F2333" s="8" t="s">
        <v>378</v>
      </c>
      <c r="G2333" s="8" t="s">
        <v>3688</v>
      </c>
      <c r="H2333" s="10">
        <v>30</v>
      </c>
      <c r="I2333" s="10"/>
      <c r="J2333" s="10">
        <v>30</v>
      </c>
      <c r="K2333" s="10">
        <v>216</v>
      </c>
    </row>
    <row r="2334" spans="1:11" x14ac:dyDescent="0.25">
      <c r="A2334" s="8" t="s">
        <v>3888</v>
      </c>
      <c r="B2334" s="8" t="s">
        <v>124</v>
      </c>
      <c r="C2334" s="8" t="s">
        <v>3687</v>
      </c>
      <c r="D2334" s="8">
        <v>3</v>
      </c>
      <c r="E2334" s="8" t="s">
        <v>449</v>
      </c>
      <c r="F2334" s="8" t="s">
        <v>378</v>
      </c>
      <c r="G2334" s="8" t="s">
        <v>3688</v>
      </c>
      <c r="H2334" s="10">
        <v>15</v>
      </c>
      <c r="I2334" s="10"/>
      <c r="J2334" s="10">
        <v>15</v>
      </c>
      <c r="K2334" s="10">
        <v>216</v>
      </c>
    </row>
    <row r="2335" spans="1:11" x14ac:dyDescent="0.25">
      <c r="A2335" s="8" t="s">
        <v>3889</v>
      </c>
      <c r="B2335" s="8" t="s">
        <v>78</v>
      </c>
      <c r="C2335" s="8" t="s">
        <v>3687</v>
      </c>
      <c r="D2335" s="8">
        <v>3</v>
      </c>
      <c r="E2335" s="8" t="s">
        <v>449</v>
      </c>
      <c r="F2335" s="8" t="s">
        <v>378</v>
      </c>
      <c r="G2335" s="8" t="s">
        <v>3688</v>
      </c>
      <c r="H2335" s="10">
        <v>3</v>
      </c>
      <c r="I2335" s="10"/>
      <c r="J2335" s="10">
        <v>3</v>
      </c>
      <c r="K2335" s="10">
        <v>216</v>
      </c>
    </row>
    <row r="2336" spans="1:11" x14ac:dyDescent="0.25">
      <c r="A2336" s="8" t="s">
        <v>3890</v>
      </c>
      <c r="B2336" s="8" t="s">
        <v>1655</v>
      </c>
      <c r="C2336" s="8" t="s">
        <v>3687</v>
      </c>
      <c r="D2336" s="8">
        <v>3</v>
      </c>
      <c r="E2336" s="8" t="s">
        <v>449</v>
      </c>
      <c r="F2336" s="8" t="s">
        <v>378</v>
      </c>
      <c r="G2336" s="8" t="s">
        <v>3688</v>
      </c>
      <c r="H2336" s="10">
        <v>3</v>
      </c>
      <c r="I2336" s="10"/>
      <c r="J2336" s="10">
        <v>3</v>
      </c>
      <c r="K2336" s="10">
        <v>216</v>
      </c>
    </row>
    <row r="2337" spans="1:11" x14ac:dyDescent="0.25">
      <c r="A2337" s="8" t="s">
        <v>3891</v>
      </c>
      <c r="B2337" s="8" t="s">
        <v>128</v>
      </c>
      <c r="C2337" s="8" t="s">
        <v>3687</v>
      </c>
      <c r="D2337" s="8">
        <v>3</v>
      </c>
      <c r="E2337" s="8" t="s">
        <v>449</v>
      </c>
      <c r="F2337" s="8" t="s">
        <v>378</v>
      </c>
      <c r="G2337" s="8" t="s">
        <v>3688</v>
      </c>
      <c r="H2337" s="10">
        <v>5</v>
      </c>
      <c r="I2337" s="10"/>
      <c r="J2337" s="10">
        <v>5</v>
      </c>
      <c r="K2337" s="10">
        <v>216</v>
      </c>
    </row>
    <row r="2338" spans="1:11" x14ac:dyDescent="0.25">
      <c r="A2338" s="8" t="s">
        <v>3892</v>
      </c>
      <c r="B2338" s="8" t="s">
        <v>949</v>
      </c>
      <c r="C2338" s="8" t="s">
        <v>3687</v>
      </c>
      <c r="D2338" s="8">
        <v>3</v>
      </c>
      <c r="E2338" s="8" t="s">
        <v>449</v>
      </c>
      <c r="F2338" s="8" t="s">
        <v>378</v>
      </c>
      <c r="G2338" s="8" t="s">
        <v>3688</v>
      </c>
      <c r="H2338" s="10">
        <v>2</v>
      </c>
      <c r="I2338" s="10"/>
      <c r="J2338" s="10">
        <v>2</v>
      </c>
      <c r="K2338" s="10">
        <v>216</v>
      </c>
    </row>
    <row r="2339" spans="1:11" x14ac:dyDescent="0.25">
      <c r="A2339" s="8" t="s">
        <v>3893</v>
      </c>
      <c r="B2339" s="8" t="s">
        <v>132</v>
      </c>
      <c r="C2339" s="8" t="s">
        <v>3687</v>
      </c>
      <c r="D2339" s="8">
        <v>3</v>
      </c>
      <c r="E2339" s="8" t="s">
        <v>449</v>
      </c>
      <c r="F2339" s="8" t="s">
        <v>378</v>
      </c>
      <c r="G2339" s="8" t="s">
        <v>3688</v>
      </c>
      <c r="H2339" s="10">
        <v>3</v>
      </c>
      <c r="I2339" s="10"/>
      <c r="J2339" s="10">
        <v>3</v>
      </c>
      <c r="K2339" s="10">
        <v>216</v>
      </c>
    </row>
    <row r="2340" spans="1:11" x14ac:dyDescent="0.25">
      <c r="A2340" s="8" t="s">
        <v>3894</v>
      </c>
      <c r="B2340" s="8" t="s">
        <v>134</v>
      </c>
      <c r="C2340" s="8" t="s">
        <v>3687</v>
      </c>
      <c r="D2340" s="8">
        <v>3</v>
      </c>
      <c r="E2340" s="8" t="s">
        <v>449</v>
      </c>
      <c r="F2340" s="8" t="s">
        <v>378</v>
      </c>
      <c r="G2340" s="8" t="s">
        <v>3688</v>
      </c>
      <c r="H2340" s="10">
        <v>5</v>
      </c>
      <c r="I2340" s="10"/>
      <c r="J2340" s="10">
        <v>5</v>
      </c>
      <c r="K2340" s="10">
        <v>216</v>
      </c>
    </row>
    <row r="2341" spans="1:11" x14ac:dyDescent="0.25">
      <c r="A2341" s="8" t="s">
        <v>3895</v>
      </c>
      <c r="B2341" s="8" t="s">
        <v>136</v>
      </c>
      <c r="C2341" s="8" t="s">
        <v>3687</v>
      </c>
      <c r="D2341" s="8">
        <v>3</v>
      </c>
      <c r="E2341" s="8" t="s">
        <v>449</v>
      </c>
      <c r="F2341" s="8" t="s">
        <v>378</v>
      </c>
      <c r="G2341" s="8" t="s">
        <v>3688</v>
      </c>
      <c r="H2341" s="10">
        <v>5</v>
      </c>
      <c r="I2341" s="10"/>
      <c r="J2341" s="10">
        <v>5</v>
      </c>
      <c r="K2341" s="10">
        <v>216</v>
      </c>
    </row>
    <row r="2342" spans="1:11" x14ac:dyDescent="0.25">
      <c r="A2342" s="8" t="s">
        <v>3896</v>
      </c>
      <c r="B2342" s="8" t="s">
        <v>138</v>
      </c>
      <c r="C2342" s="8" t="s">
        <v>3687</v>
      </c>
      <c r="D2342" s="8">
        <v>3</v>
      </c>
      <c r="E2342" s="8" t="s">
        <v>449</v>
      </c>
      <c r="F2342" s="8" t="s">
        <v>378</v>
      </c>
      <c r="G2342" s="8" t="s">
        <v>3688</v>
      </c>
      <c r="H2342" s="10">
        <v>3</v>
      </c>
      <c r="I2342" s="10"/>
      <c r="J2342" s="10">
        <v>3</v>
      </c>
      <c r="K2342" s="10">
        <v>216</v>
      </c>
    </row>
    <row r="2343" spans="1:11" x14ac:dyDescent="0.25">
      <c r="A2343" s="8" t="s">
        <v>3897</v>
      </c>
      <c r="B2343" s="8" t="s">
        <v>80</v>
      </c>
      <c r="C2343" s="8" t="s">
        <v>3687</v>
      </c>
      <c r="D2343" s="8">
        <v>3</v>
      </c>
      <c r="E2343" s="8" t="s">
        <v>449</v>
      </c>
      <c r="F2343" s="8" t="s">
        <v>378</v>
      </c>
      <c r="G2343" s="8" t="s">
        <v>3688</v>
      </c>
      <c r="H2343" s="10">
        <v>5</v>
      </c>
      <c r="I2343" s="10"/>
      <c r="J2343" s="10">
        <v>5</v>
      </c>
      <c r="K2343" s="10">
        <v>216</v>
      </c>
    </row>
    <row r="2344" spans="1:11" x14ac:dyDescent="0.25">
      <c r="A2344" s="8" t="s">
        <v>3898</v>
      </c>
      <c r="B2344" s="8" t="s">
        <v>118</v>
      </c>
      <c r="C2344" s="8" t="s">
        <v>3687</v>
      </c>
      <c r="D2344" s="8">
        <v>3</v>
      </c>
      <c r="E2344" s="8" t="s">
        <v>452</v>
      </c>
      <c r="F2344" s="8" t="s">
        <v>378</v>
      </c>
      <c r="G2344" s="8" t="s">
        <v>3688</v>
      </c>
      <c r="H2344" s="10">
        <v>3</v>
      </c>
      <c r="I2344" s="10"/>
      <c r="J2344" s="10">
        <v>3</v>
      </c>
      <c r="K2344" s="10">
        <v>234.32</v>
      </c>
    </row>
    <row r="2345" spans="1:11" x14ac:dyDescent="0.25">
      <c r="A2345" s="8" t="s">
        <v>3899</v>
      </c>
      <c r="B2345" s="8" t="s">
        <v>1650</v>
      </c>
      <c r="C2345" s="8" t="s">
        <v>3687</v>
      </c>
      <c r="D2345" s="8">
        <v>3</v>
      </c>
      <c r="E2345" s="8" t="s">
        <v>452</v>
      </c>
      <c r="F2345" s="8" t="s">
        <v>378</v>
      </c>
      <c r="G2345" s="8" t="s">
        <v>3688</v>
      </c>
      <c r="H2345" s="10">
        <v>3</v>
      </c>
      <c r="I2345" s="10"/>
      <c r="J2345" s="10">
        <v>3</v>
      </c>
      <c r="K2345" s="10">
        <v>234.32</v>
      </c>
    </row>
    <row r="2346" spans="1:11" x14ac:dyDescent="0.25">
      <c r="A2346" s="8" t="s">
        <v>3900</v>
      </c>
      <c r="B2346" s="8" t="s">
        <v>120</v>
      </c>
      <c r="C2346" s="8" t="s">
        <v>3687</v>
      </c>
      <c r="D2346" s="8">
        <v>3</v>
      </c>
      <c r="E2346" s="8" t="s">
        <v>452</v>
      </c>
      <c r="F2346" s="8" t="s">
        <v>378</v>
      </c>
      <c r="G2346" s="8" t="s">
        <v>3688</v>
      </c>
      <c r="H2346" s="10">
        <v>3</v>
      </c>
      <c r="I2346" s="10"/>
      <c r="J2346" s="10">
        <v>3</v>
      </c>
      <c r="K2346" s="10">
        <v>234.32</v>
      </c>
    </row>
    <row r="2347" spans="1:11" x14ac:dyDescent="0.25">
      <c r="A2347" s="8" t="s">
        <v>3901</v>
      </c>
      <c r="B2347" s="8" t="s">
        <v>120</v>
      </c>
      <c r="C2347" s="8" t="s">
        <v>3687</v>
      </c>
      <c r="D2347" s="8">
        <v>3</v>
      </c>
      <c r="E2347" s="8" t="s">
        <v>452</v>
      </c>
      <c r="F2347" s="8" t="s">
        <v>378</v>
      </c>
      <c r="G2347" s="8" t="s">
        <v>3688</v>
      </c>
      <c r="H2347" s="10">
        <v>5</v>
      </c>
      <c r="I2347" s="10"/>
      <c r="J2347" s="10">
        <v>5</v>
      </c>
      <c r="K2347" s="10">
        <v>234.32</v>
      </c>
    </row>
    <row r="2348" spans="1:11" x14ac:dyDescent="0.25">
      <c r="A2348" s="8" t="s">
        <v>3902</v>
      </c>
      <c r="B2348" s="8" t="s">
        <v>122</v>
      </c>
      <c r="C2348" s="8" t="s">
        <v>3687</v>
      </c>
      <c r="D2348" s="8">
        <v>3</v>
      </c>
      <c r="E2348" s="8" t="s">
        <v>452</v>
      </c>
      <c r="F2348" s="8" t="s">
        <v>378</v>
      </c>
      <c r="G2348" s="8" t="s">
        <v>3688</v>
      </c>
      <c r="H2348" s="10">
        <v>3</v>
      </c>
      <c r="I2348" s="10"/>
      <c r="J2348" s="10">
        <v>3</v>
      </c>
      <c r="K2348" s="10">
        <v>234.32</v>
      </c>
    </row>
    <row r="2349" spans="1:11" x14ac:dyDescent="0.25">
      <c r="A2349" s="8" t="s">
        <v>3903</v>
      </c>
      <c r="B2349" s="8" t="s">
        <v>124</v>
      </c>
      <c r="C2349" s="8" t="s">
        <v>3687</v>
      </c>
      <c r="D2349" s="8">
        <v>3</v>
      </c>
      <c r="E2349" s="8" t="s">
        <v>452</v>
      </c>
      <c r="F2349" s="8" t="s">
        <v>378</v>
      </c>
      <c r="G2349" s="8" t="s">
        <v>3688</v>
      </c>
      <c r="H2349" s="10">
        <v>3</v>
      </c>
      <c r="I2349" s="10"/>
      <c r="J2349" s="10">
        <v>3</v>
      </c>
      <c r="K2349" s="10">
        <v>234.32</v>
      </c>
    </row>
    <row r="2350" spans="1:11" x14ac:dyDescent="0.25">
      <c r="A2350" s="8" t="s">
        <v>3904</v>
      </c>
      <c r="B2350" s="8" t="s">
        <v>78</v>
      </c>
      <c r="C2350" s="8" t="s">
        <v>3687</v>
      </c>
      <c r="D2350" s="8">
        <v>3</v>
      </c>
      <c r="E2350" s="8" t="s">
        <v>452</v>
      </c>
      <c r="F2350" s="8" t="s">
        <v>378</v>
      </c>
      <c r="G2350" s="8" t="s">
        <v>3688</v>
      </c>
      <c r="H2350" s="10">
        <v>3</v>
      </c>
      <c r="I2350" s="10"/>
      <c r="J2350" s="10">
        <v>3</v>
      </c>
      <c r="K2350" s="10">
        <v>234.32</v>
      </c>
    </row>
    <row r="2351" spans="1:11" x14ac:dyDescent="0.25">
      <c r="A2351" s="8" t="s">
        <v>3905</v>
      </c>
      <c r="B2351" s="8" t="s">
        <v>1655</v>
      </c>
      <c r="C2351" s="8" t="s">
        <v>3687</v>
      </c>
      <c r="D2351" s="8">
        <v>3</v>
      </c>
      <c r="E2351" s="8" t="s">
        <v>452</v>
      </c>
      <c r="F2351" s="8" t="s">
        <v>378</v>
      </c>
      <c r="G2351" s="8" t="s">
        <v>3688</v>
      </c>
      <c r="H2351" s="10">
        <v>3</v>
      </c>
      <c r="I2351" s="10"/>
      <c r="J2351" s="10">
        <v>3</v>
      </c>
      <c r="K2351" s="10">
        <v>234.32</v>
      </c>
    </row>
    <row r="2352" spans="1:11" x14ac:dyDescent="0.25">
      <c r="A2352" s="8" t="s">
        <v>3906</v>
      </c>
      <c r="B2352" s="8" t="s">
        <v>128</v>
      </c>
      <c r="C2352" s="8" t="s">
        <v>3687</v>
      </c>
      <c r="D2352" s="8">
        <v>3</v>
      </c>
      <c r="E2352" s="8" t="s">
        <v>452</v>
      </c>
      <c r="F2352" s="8" t="s">
        <v>378</v>
      </c>
      <c r="G2352" s="8" t="s">
        <v>3688</v>
      </c>
      <c r="H2352" s="10">
        <v>3</v>
      </c>
      <c r="I2352" s="10"/>
      <c r="J2352" s="10">
        <v>3</v>
      </c>
      <c r="K2352" s="10">
        <v>234.32</v>
      </c>
    </row>
    <row r="2353" spans="1:11" x14ac:dyDescent="0.25">
      <c r="A2353" s="8" t="s">
        <v>3907</v>
      </c>
      <c r="B2353" s="8" t="s">
        <v>132</v>
      </c>
      <c r="C2353" s="8" t="s">
        <v>3687</v>
      </c>
      <c r="D2353" s="8">
        <v>3</v>
      </c>
      <c r="E2353" s="8" t="s">
        <v>452</v>
      </c>
      <c r="F2353" s="8" t="s">
        <v>378</v>
      </c>
      <c r="G2353" s="8" t="s">
        <v>3688</v>
      </c>
      <c r="H2353" s="10">
        <v>3</v>
      </c>
      <c r="I2353" s="10"/>
      <c r="J2353" s="10">
        <v>3</v>
      </c>
      <c r="K2353" s="10">
        <v>234.32</v>
      </c>
    </row>
    <row r="2354" spans="1:11" x14ac:dyDescent="0.25">
      <c r="A2354" s="8" t="s">
        <v>3908</v>
      </c>
      <c r="B2354" s="8" t="s">
        <v>134</v>
      </c>
      <c r="C2354" s="8" t="s">
        <v>3687</v>
      </c>
      <c r="D2354" s="8">
        <v>3</v>
      </c>
      <c r="E2354" s="8" t="s">
        <v>452</v>
      </c>
      <c r="F2354" s="8" t="s">
        <v>378</v>
      </c>
      <c r="G2354" s="8" t="s">
        <v>3688</v>
      </c>
      <c r="H2354" s="10">
        <v>3</v>
      </c>
      <c r="I2354" s="10"/>
      <c r="J2354" s="10">
        <v>3</v>
      </c>
      <c r="K2354" s="10">
        <v>234.32</v>
      </c>
    </row>
    <row r="2355" spans="1:11" x14ac:dyDescent="0.25">
      <c r="A2355" s="8" t="s">
        <v>3909</v>
      </c>
      <c r="B2355" s="8" t="s">
        <v>136</v>
      </c>
      <c r="C2355" s="8" t="s">
        <v>3687</v>
      </c>
      <c r="D2355" s="8">
        <v>3</v>
      </c>
      <c r="E2355" s="8" t="s">
        <v>452</v>
      </c>
      <c r="F2355" s="8" t="s">
        <v>378</v>
      </c>
      <c r="G2355" s="8" t="s">
        <v>3688</v>
      </c>
      <c r="H2355" s="10">
        <v>5</v>
      </c>
      <c r="I2355" s="10"/>
      <c r="J2355" s="10">
        <v>5</v>
      </c>
      <c r="K2355" s="10">
        <v>234.32</v>
      </c>
    </row>
    <row r="2356" spans="1:11" x14ac:dyDescent="0.25">
      <c r="A2356" s="8" t="s">
        <v>3910</v>
      </c>
      <c r="B2356" s="8" t="s">
        <v>263</v>
      </c>
      <c r="C2356" s="8" t="s">
        <v>3361</v>
      </c>
      <c r="D2356" s="8">
        <v>4</v>
      </c>
      <c r="E2356" s="8" t="s">
        <v>437</v>
      </c>
      <c r="F2356" s="8" t="s">
        <v>378</v>
      </c>
      <c r="G2356" s="8" t="s">
        <v>3800</v>
      </c>
      <c r="H2356" s="10">
        <v>6</v>
      </c>
      <c r="I2356" s="10"/>
      <c r="J2356" s="10">
        <v>6</v>
      </c>
      <c r="K2356" s="10">
        <v>183.12</v>
      </c>
    </row>
    <row r="2357" spans="1:11" x14ac:dyDescent="0.25">
      <c r="A2357" s="8" t="s">
        <v>3911</v>
      </c>
      <c r="B2357" s="8" t="s">
        <v>269</v>
      </c>
      <c r="C2357" s="8" t="s">
        <v>3361</v>
      </c>
      <c r="D2357" s="8">
        <v>4</v>
      </c>
      <c r="E2357" s="8" t="s">
        <v>437</v>
      </c>
      <c r="F2357" s="8" t="s">
        <v>378</v>
      </c>
      <c r="G2357" s="8" t="s">
        <v>3800</v>
      </c>
      <c r="H2357" s="10">
        <v>6</v>
      </c>
      <c r="I2357" s="10"/>
      <c r="J2357" s="10">
        <v>6</v>
      </c>
      <c r="K2357" s="10">
        <v>183.12</v>
      </c>
    </row>
    <row r="2358" spans="1:11" x14ac:dyDescent="0.25">
      <c r="A2358" s="8" t="s">
        <v>3912</v>
      </c>
      <c r="B2358" s="8" t="s">
        <v>263</v>
      </c>
      <c r="C2358" s="8" t="s">
        <v>3361</v>
      </c>
      <c r="D2358" s="8">
        <v>4</v>
      </c>
      <c r="E2358" s="8" t="s">
        <v>443</v>
      </c>
      <c r="F2358" s="8" t="s">
        <v>378</v>
      </c>
      <c r="G2358" s="8" t="s">
        <v>3800</v>
      </c>
      <c r="H2358" s="10">
        <v>4</v>
      </c>
      <c r="I2358" s="10"/>
      <c r="J2358" s="10">
        <v>4</v>
      </c>
      <c r="K2358" s="10">
        <v>198.11</v>
      </c>
    </row>
    <row r="2359" spans="1:11" x14ac:dyDescent="0.25">
      <c r="A2359" s="8" t="s">
        <v>3913</v>
      </c>
      <c r="B2359" s="8" t="s">
        <v>269</v>
      </c>
      <c r="C2359" s="8" t="s">
        <v>3361</v>
      </c>
      <c r="D2359" s="8">
        <v>4</v>
      </c>
      <c r="E2359" s="8" t="s">
        <v>443</v>
      </c>
      <c r="F2359" s="8" t="s">
        <v>378</v>
      </c>
      <c r="G2359" s="8" t="s">
        <v>3800</v>
      </c>
      <c r="H2359" s="10">
        <v>4</v>
      </c>
      <c r="I2359" s="10"/>
      <c r="J2359" s="10">
        <v>4</v>
      </c>
      <c r="K2359" s="10">
        <v>198.11</v>
      </c>
    </row>
    <row r="2360" spans="1:11" x14ac:dyDescent="0.25">
      <c r="A2360" s="8" t="s">
        <v>3914</v>
      </c>
      <c r="B2360" s="8" t="s">
        <v>1650</v>
      </c>
      <c r="C2360" s="8" t="s">
        <v>3687</v>
      </c>
      <c r="D2360" s="8">
        <v>3</v>
      </c>
      <c r="E2360" s="8" t="s">
        <v>3915</v>
      </c>
      <c r="F2360" s="8" t="s">
        <v>378</v>
      </c>
      <c r="G2360" s="8" t="s">
        <v>3916</v>
      </c>
      <c r="H2360" s="10">
        <v>150</v>
      </c>
      <c r="I2360" s="10"/>
      <c r="J2360" s="10">
        <v>150</v>
      </c>
      <c r="K2360" s="10">
        <v>170.22</v>
      </c>
    </row>
    <row r="2361" spans="1:11" x14ac:dyDescent="0.25">
      <c r="A2361" s="8" t="s">
        <v>3917</v>
      </c>
      <c r="B2361" s="8" t="s">
        <v>120</v>
      </c>
      <c r="C2361" s="8" t="s">
        <v>3687</v>
      </c>
      <c r="D2361" s="8">
        <v>3</v>
      </c>
      <c r="E2361" s="8" t="s">
        <v>3915</v>
      </c>
      <c r="F2361" s="8" t="s">
        <v>378</v>
      </c>
      <c r="G2361" s="8" t="s">
        <v>3916</v>
      </c>
      <c r="H2361" s="10">
        <v>150</v>
      </c>
      <c r="I2361" s="10"/>
      <c r="J2361" s="10">
        <v>150</v>
      </c>
      <c r="K2361" s="10">
        <v>170.22</v>
      </c>
    </row>
    <row r="2362" spans="1:11" x14ac:dyDescent="0.25">
      <c r="A2362" s="8" t="s">
        <v>3918</v>
      </c>
      <c r="B2362" s="8" t="s">
        <v>1655</v>
      </c>
      <c r="C2362" s="8" t="s">
        <v>3687</v>
      </c>
      <c r="D2362" s="8">
        <v>3</v>
      </c>
      <c r="E2362" s="8" t="s">
        <v>3915</v>
      </c>
      <c r="F2362" s="8" t="s">
        <v>378</v>
      </c>
      <c r="G2362" s="8" t="s">
        <v>3916</v>
      </c>
      <c r="H2362" s="10">
        <v>120</v>
      </c>
      <c r="I2362" s="10"/>
      <c r="J2362" s="10">
        <v>120</v>
      </c>
      <c r="K2362" s="10">
        <v>170.22</v>
      </c>
    </row>
    <row r="2363" spans="1:11" x14ac:dyDescent="0.25">
      <c r="A2363" s="8" t="s">
        <v>3919</v>
      </c>
      <c r="B2363" s="8" t="s">
        <v>134</v>
      </c>
      <c r="C2363" s="8" t="s">
        <v>3687</v>
      </c>
      <c r="D2363" s="8">
        <v>3</v>
      </c>
      <c r="E2363" s="8" t="s">
        <v>3915</v>
      </c>
      <c r="F2363" s="8" t="s">
        <v>378</v>
      </c>
      <c r="G2363" s="8" t="s">
        <v>3916</v>
      </c>
      <c r="H2363" s="10">
        <v>30</v>
      </c>
      <c r="I2363" s="10"/>
      <c r="J2363" s="10">
        <v>30</v>
      </c>
      <c r="K2363" s="10">
        <v>170.22</v>
      </c>
    </row>
    <row r="2364" spans="1:11" x14ac:dyDescent="0.25">
      <c r="A2364" s="8" t="s">
        <v>3920</v>
      </c>
      <c r="B2364" s="8" t="s">
        <v>1650</v>
      </c>
      <c r="C2364" s="8" t="s">
        <v>3687</v>
      </c>
      <c r="D2364" s="8">
        <v>3</v>
      </c>
      <c r="E2364" s="8" t="s">
        <v>3921</v>
      </c>
      <c r="F2364" s="8" t="s">
        <v>378</v>
      </c>
      <c r="G2364" s="8" t="s">
        <v>3916</v>
      </c>
      <c r="H2364" s="10">
        <v>30</v>
      </c>
      <c r="I2364" s="10"/>
      <c r="J2364" s="10">
        <v>30</v>
      </c>
      <c r="K2364" s="10">
        <v>170.22</v>
      </c>
    </row>
    <row r="2365" spans="1:11" x14ac:dyDescent="0.25">
      <c r="A2365" s="8" t="s">
        <v>3922</v>
      </c>
      <c r="B2365" s="8" t="s">
        <v>120</v>
      </c>
      <c r="C2365" s="8" t="s">
        <v>3687</v>
      </c>
      <c r="D2365" s="8">
        <v>3</v>
      </c>
      <c r="E2365" s="8" t="s">
        <v>3921</v>
      </c>
      <c r="F2365" s="8" t="s">
        <v>378</v>
      </c>
      <c r="G2365" s="8" t="s">
        <v>3916</v>
      </c>
      <c r="H2365" s="10">
        <v>60</v>
      </c>
      <c r="I2365" s="10"/>
      <c r="J2365" s="10">
        <v>60</v>
      </c>
      <c r="K2365" s="10">
        <v>170.22</v>
      </c>
    </row>
    <row r="2366" spans="1:11" x14ac:dyDescent="0.25">
      <c r="A2366" s="8" t="s">
        <v>3923</v>
      </c>
      <c r="B2366" s="8" t="s">
        <v>1655</v>
      </c>
      <c r="C2366" s="8" t="s">
        <v>3687</v>
      </c>
      <c r="D2366" s="8">
        <v>3</v>
      </c>
      <c r="E2366" s="8" t="s">
        <v>3921</v>
      </c>
      <c r="F2366" s="8" t="s">
        <v>378</v>
      </c>
      <c r="G2366" s="8" t="s">
        <v>3916</v>
      </c>
      <c r="H2366" s="10">
        <v>30</v>
      </c>
      <c r="I2366" s="10"/>
      <c r="J2366" s="10">
        <v>30</v>
      </c>
      <c r="K2366" s="10">
        <v>170.22</v>
      </c>
    </row>
    <row r="2367" spans="1:11" x14ac:dyDescent="0.25">
      <c r="A2367" s="8" t="s">
        <v>3924</v>
      </c>
      <c r="B2367" s="8" t="s">
        <v>134</v>
      </c>
      <c r="C2367" s="8" t="s">
        <v>3687</v>
      </c>
      <c r="D2367" s="8">
        <v>3</v>
      </c>
      <c r="E2367" s="8" t="s">
        <v>3921</v>
      </c>
      <c r="F2367" s="8" t="s">
        <v>378</v>
      </c>
      <c r="G2367" s="8" t="s">
        <v>3916</v>
      </c>
      <c r="H2367" s="10">
        <v>15</v>
      </c>
      <c r="I2367" s="10"/>
      <c r="J2367" s="10">
        <v>15</v>
      </c>
      <c r="K2367" s="10">
        <v>170.22</v>
      </c>
    </row>
    <row r="2368" spans="1:11" x14ac:dyDescent="0.25">
      <c r="A2368" s="8" t="s">
        <v>3925</v>
      </c>
      <c r="B2368" s="8" t="s">
        <v>116</v>
      </c>
      <c r="C2368" s="8" t="s">
        <v>3687</v>
      </c>
      <c r="D2368" s="8">
        <v>3</v>
      </c>
      <c r="E2368" s="8" t="s">
        <v>3926</v>
      </c>
      <c r="F2368" s="8" t="s">
        <v>378</v>
      </c>
      <c r="G2368" s="8" t="s">
        <v>3916</v>
      </c>
      <c r="H2368" s="10">
        <v>60</v>
      </c>
      <c r="I2368" s="10"/>
      <c r="J2368" s="10">
        <v>60</v>
      </c>
      <c r="K2368" s="10">
        <v>216</v>
      </c>
    </row>
    <row r="2369" spans="1:11" x14ac:dyDescent="0.25">
      <c r="A2369" s="8" t="s">
        <v>3927</v>
      </c>
      <c r="B2369" s="8" t="s">
        <v>118</v>
      </c>
      <c r="C2369" s="8" t="s">
        <v>3687</v>
      </c>
      <c r="D2369" s="8">
        <v>3</v>
      </c>
      <c r="E2369" s="8" t="s">
        <v>3926</v>
      </c>
      <c r="F2369" s="8" t="s">
        <v>378</v>
      </c>
      <c r="G2369" s="8" t="s">
        <v>3916</v>
      </c>
      <c r="H2369" s="10">
        <v>60</v>
      </c>
      <c r="I2369" s="10"/>
      <c r="J2369" s="10">
        <v>60</v>
      </c>
      <c r="K2369" s="10">
        <v>216</v>
      </c>
    </row>
    <row r="2370" spans="1:11" x14ac:dyDescent="0.25">
      <c r="A2370" s="8" t="s">
        <v>3928</v>
      </c>
      <c r="B2370" s="8" t="s">
        <v>1650</v>
      </c>
      <c r="C2370" s="8" t="s">
        <v>3687</v>
      </c>
      <c r="D2370" s="8">
        <v>3</v>
      </c>
      <c r="E2370" s="8" t="s">
        <v>3926</v>
      </c>
      <c r="F2370" s="8" t="s">
        <v>378</v>
      </c>
      <c r="G2370" s="8" t="s">
        <v>3916</v>
      </c>
      <c r="H2370" s="10">
        <v>30</v>
      </c>
      <c r="I2370" s="10"/>
      <c r="J2370" s="10">
        <v>30</v>
      </c>
      <c r="K2370" s="10">
        <v>216</v>
      </c>
    </row>
    <row r="2371" spans="1:11" x14ac:dyDescent="0.25">
      <c r="A2371" s="8" t="s">
        <v>3929</v>
      </c>
      <c r="B2371" s="8" t="s">
        <v>120</v>
      </c>
      <c r="C2371" s="8" t="s">
        <v>3687</v>
      </c>
      <c r="D2371" s="8">
        <v>3</v>
      </c>
      <c r="E2371" s="8" t="s">
        <v>3926</v>
      </c>
      <c r="F2371" s="8" t="s">
        <v>378</v>
      </c>
      <c r="G2371" s="8" t="s">
        <v>3916</v>
      </c>
      <c r="H2371" s="10">
        <v>90</v>
      </c>
      <c r="I2371" s="10"/>
      <c r="J2371" s="10">
        <v>90</v>
      </c>
      <c r="K2371" s="10">
        <v>216</v>
      </c>
    </row>
    <row r="2372" spans="1:11" x14ac:dyDescent="0.25">
      <c r="A2372" s="8" t="s">
        <v>3930</v>
      </c>
      <c r="B2372" s="8" t="s">
        <v>122</v>
      </c>
      <c r="C2372" s="8" t="s">
        <v>3687</v>
      </c>
      <c r="D2372" s="8">
        <v>3</v>
      </c>
      <c r="E2372" s="8" t="s">
        <v>3926</v>
      </c>
      <c r="F2372" s="8" t="s">
        <v>378</v>
      </c>
      <c r="G2372" s="8" t="s">
        <v>3916</v>
      </c>
      <c r="H2372" s="10">
        <v>90</v>
      </c>
      <c r="I2372" s="10"/>
      <c r="J2372" s="10">
        <v>90</v>
      </c>
      <c r="K2372" s="10">
        <v>216</v>
      </c>
    </row>
    <row r="2373" spans="1:11" x14ac:dyDescent="0.25">
      <c r="A2373" s="8" t="s">
        <v>3931</v>
      </c>
      <c r="B2373" s="8" t="s">
        <v>124</v>
      </c>
      <c r="C2373" s="8" t="s">
        <v>3687</v>
      </c>
      <c r="D2373" s="8">
        <v>3</v>
      </c>
      <c r="E2373" s="8" t="s">
        <v>3926</v>
      </c>
      <c r="F2373" s="8" t="s">
        <v>378</v>
      </c>
      <c r="G2373" s="8" t="s">
        <v>3916</v>
      </c>
      <c r="H2373" s="10">
        <v>90</v>
      </c>
      <c r="I2373" s="10"/>
      <c r="J2373" s="10">
        <v>90</v>
      </c>
      <c r="K2373" s="10">
        <v>216</v>
      </c>
    </row>
    <row r="2374" spans="1:11" x14ac:dyDescent="0.25">
      <c r="A2374" s="8" t="s">
        <v>3932</v>
      </c>
      <c r="B2374" s="8" t="s">
        <v>78</v>
      </c>
      <c r="C2374" s="8" t="s">
        <v>3687</v>
      </c>
      <c r="D2374" s="8">
        <v>3</v>
      </c>
      <c r="E2374" s="8" t="s">
        <v>3926</v>
      </c>
      <c r="F2374" s="8" t="s">
        <v>378</v>
      </c>
      <c r="G2374" s="8" t="s">
        <v>3916</v>
      </c>
      <c r="H2374" s="10">
        <v>60</v>
      </c>
      <c r="I2374" s="10"/>
      <c r="J2374" s="10">
        <v>60</v>
      </c>
      <c r="K2374" s="10">
        <v>216</v>
      </c>
    </row>
    <row r="2375" spans="1:11" x14ac:dyDescent="0.25">
      <c r="A2375" s="8" t="s">
        <v>3933</v>
      </c>
      <c r="B2375" s="8" t="s">
        <v>1655</v>
      </c>
      <c r="C2375" s="8" t="s">
        <v>3687</v>
      </c>
      <c r="D2375" s="8">
        <v>3</v>
      </c>
      <c r="E2375" s="8" t="s">
        <v>3926</v>
      </c>
      <c r="F2375" s="8" t="s">
        <v>378</v>
      </c>
      <c r="G2375" s="8" t="s">
        <v>3916</v>
      </c>
      <c r="H2375" s="10">
        <v>30</v>
      </c>
      <c r="I2375" s="10"/>
      <c r="J2375" s="10">
        <v>30</v>
      </c>
      <c r="K2375" s="10">
        <v>216</v>
      </c>
    </row>
    <row r="2376" spans="1:11" x14ac:dyDescent="0.25">
      <c r="A2376" s="8" t="s">
        <v>3934</v>
      </c>
      <c r="B2376" s="8" t="s">
        <v>134</v>
      </c>
      <c r="C2376" s="8" t="s">
        <v>3687</v>
      </c>
      <c r="D2376" s="8">
        <v>3</v>
      </c>
      <c r="E2376" s="8" t="s">
        <v>3926</v>
      </c>
      <c r="F2376" s="8" t="s">
        <v>378</v>
      </c>
      <c r="G2376" s="8" t="s">
        <v>3916</v>
      </c>
      <c r="H2376" s="10">
        <v>30</v>
      </c>
      <c r="I2376" s="10"/>
      <c r="J2376" s="10">
        <v>30</v>
      </c>
      <c r="K2376" s="10">
        <v>216</v>
      </c>
    </row>
    <row r="2377" spans="1:11" x14ac:dyDescent="0.25">
      <c r="A2377" s="8" t="s">
        <v>3935</v>
      </c>
      <c r="B2377" s="8" t="s">
        <v>136</v>
      </c>
      <c r="C2377" s="8" t="s">
        <v>3687</v>
      </c>
      <c r="D2377" s="8">
        <v>3</v>
      </c>
      <c r="E2377" s="8" t="s">
        <v>3926</v>
      </c>
      <c r="F2377" s="8" t="s">
        <v>378</v>
      </c>
      <c r="G2377" s="8" t="s">
        <v>3916</v>
      </c>
      <c r="H2377" s="10">
        <v>30</v>
      </c>
      <c r="I2377" s="10"/>
      <c r="J2377" s="10">
        <v>30</v>
      </c>
      <c r="K2377" s="10">
        <v>216</v>
      </c>
    </row>
    <row r="2378" spans="1:11" x14ac:dyDescent="0.25">
      <c r="A2378" s="8" t="s">
        <v>3936</v>
      </c>
      <c r="B2378" s="8" t="s">
        <v>116</v>
      </c>
      <c r="C2378" s="8" t="s">
        <v>3687</v>
      </c>
      <c r="D2378" s="8">
        <v>3</v>
      </c>
      <c r="E2378" s="8" t="s">
        <v>3937</v>
      </c>
      <c r="F2378" s="8" t="s">
        <v>378</v>
      </c>
      <c r="G2378" s="8" t="s">
        <v>3916</v>
      </c>
      <c r="H2378" s="10">
        <v>30</v>
      </c>
      <c r="I2378" s="10"/>
      <c r="J2378" s="10">
        <v>30</v>
      </c>
      <c r="K2378" s="10">
        <v>216</v>
      </c>
    </row>
    <row r="2379" spans="1:11" x14ac:dyDescent="0.25">
      <c r="A2379" s="8" t="s">
        <v>3938</v>
      </c>
      <c r="B2379" s="8" t="s">
        <v>118</v>
      </c>
      <c r="C2379" s="8" t="s">
        <v>3687</v>
      </c>
      <c r="D2379" s="8">
        <v>3</v>
      </c>
      <c r="E2379" s="8" t="s">
        <v>3937</v>
      </c>
      <c r="F2379" s="8" t="s">
        <v>378</v>
      </c>
      <c r="G2379" s="8" t="s">
        <v>3916</v>
      </c>
      <c r="H2379" s="10">
        <v>30</v>
      </c>
      <c r="I2379" s="10"/>
      <c r="J2379" s="10">
        <v>30</v>
      </c>
      <c r="K2379" s="10">
        <v>216</v>
      </c>
    </row>
    <row r="2380" spans="1:11" x14ac:dyDescent="0.25">
      <c r="A2380" s="8" t="s">
        <v>3939</v>
      </c>
      <c r="B2380" s="8" t="s">
        <v>1650</v>
      </c>
      <c r="C2380" s="8" t="s">
        <v>3687</v>
      </c>
      <c r="D2380" s="8">
        <v>3</v>
      </c>
      <c r="E2380" s="8" t="s">
        <v>3937</v>
      </c>
      <c r="F2380" s="8" t="s">
        <v>378</v>
      </c>
      <c r="G2380" s="8" t="s">
        <v>3916</v>
      </c>
      <c r="H2380" s="10">
        <v>30</v>
      </c>
      <c r="I2380" s="10"/>
      <c r="J2380" s="10">
        <v>30</v>
      </c>
      <c r="K2380" s="10">
        <v>216</v>
      </c>
    </row>
    <row r="2381" spans="1:11" x14ac:dyDescent="0.25">
      <c r="A2381" s="8" t="s">
        <v>3940</v>
      </c>
      <c r="B2381" s="8" t="s">
        <v>120</v>
      </c>
      <c r="C2381" s="8" t="s">
        <v>3687</v>
      </c>
      <c r="D2381" s="8">
        <v>3</v>
      </c>
      <c r="E2381" s="8" t="s">
        <v>3937</v>
      </c>
      <c r="F2381" s="8" t="s">
        <v>378</v>
      </c>
      <c r="G2381" s="8" t="s">
        <v>3916</v>
      </c>
      <c r="H2381" s="10">
        <v>90</v>
      </c>
      <c r="I2381" s="10"/>
      <c r="J2381" s="10">
        <v>90</v>
      </c>
      <c r="K2381" s="10">
        <v>216</v>
      </c>
    </row>
    <row r="2382" spans="1:11" x14ac:dyDescent="0.25">
      <c r="A2382" s="8" t="s">
        <v>3941</v>
      </c>
      <c r="B2382" s="8" t="s">
        <v>122</v>
      </c>
      <c r="C2382" s="8" t="s">
        <v>3687</v>
      </c>
      <c r="D2382" s="8">
        <v>3</v>
      </c>
      <c r="E2382" s="8" t="s">
        <v>3937</v>
      </c>
      <c r="F2382" s="8" t="s">
        <v>378</v>
      </c>
      <c r="G2382" s="8" t="s">
        <v>3916</v>
      </c>
      <c r="H2382" s="10">
        <v>180</v>
      </c>
      <c r="I2382" s="10"/>
      <c r="J2382" s="10">
        <v>180</v>
      </c>
      <c r="K2382" s="10">
        <v>216</v>
      </c>
    </row>
    <row r="2383" spans="1:11" x14ac:dyDescent="0.25">
      <c r="A2383" s="8" t="s">
        <v>3942</v>
      </c>
      <c r="B2383" s="8" t="s">
        <v>124</v>
      </c>
      <c r="C2383" s="8" t="s">
        <v>3687</v>
      </c>
      <c r="D2383" s="8">
        <v>3</v>
      </c>
      <c r="E2383" s="8" t="s">
        <v>3937</v>
      </c>
      <c r="F2383" s="8" t="s">
        <v>378</v>
      </c>
      <c r="G2383" s="8" t="s">
        <v>3916</v>
      </c>
      <c r="H2383" s="10">
        <v>75</v>
      </c>
      <c r="I2383" s="10"/>
      <c r="J2383" s="10">
        <v>75</v>
      </c>
      <c r="K2383" s="10">
        <v>216</v>
      </c>
    </row>
    <row r="2384" spans="1:11" x14ac:dyDescent="0.25">
      <c r="A2384" s="8" t="s">
        <v>3943</v>
      </c>
      <c r="B2384" s="8" t="s">
        <v>1655</v>
      </c>
      <c r="C2384" s="8" t="s">
        <v>3687</v>
      </c>
      <c r="D2384" s="8">
        <v>3</v>
      </c>
      <c r="E2384" s="8" t="s">
        <v>3937</v>
      </c>
      <c r="F2384" s="8" t="s">
        <v>378</v>
      </c>
      <c r="G2384" s="8" t="s">
        <v>3916</v>
      </c>
      <c r="H2384" s="10">
        <v>30</v>
      </c>
      <c r="I2384" s="10"/>
      <c r="J2384" s="10">
        <v>30</v>
      </c>
      <c r="K2384" s="10">
        <v>216</v>
      </c>
    </row>
    <row r="2385" spans="1:11" x14ac:dyDescent="0.25">
      <c r="A2385" s="8" t="s">
        <v>3944</v>
      </c>
      <c r="B2385" s="8" t="s">
        <v>132</v>
      </c>
      <c r="C2385" s="8" t="s">
        <v>3687</v>
      </c>
      <c r="D2385" s="8">
        <v>3</v>
      </c>
      <c r="E2385" s="8" t="s">
        <v>3937</v>
      </c>
      <c r="F2385" s="8" t="s">
        <v>378</v>
      </c>
      <c r="G2385" s="8" t="s">
        <v>3916</v>
      </c>
      <c r="H2385" s="10">
        <v>30</v>
      </c>
      <c r="I2385" s="10"/>
      <c r="J2385" s="10">
        <v>30</v>
      </c>
      <c r="K2385" s="10">
        <v>216</v>
      </c>
    </row>
    <row r="2386" spans="1:11" x14ac:dyDescent="0.25">
      <c r="A2386" s="8" t="s">
        <v>3945</v>
      </c>
      <c r="B2386" s="8" t="s">
        <v>134</v>
      </c>
      <c r="C2386" s="8" t="s">
        <v>3687</v>
      </c>
      <c r="D2386" s="8">
        <v>3</v>
      </c>
      <c r="E2386" s="8" t="s">
        <v>3937</v>
      </c>
      <c r="F2386" s="8" t="s">
        <v>378</v>
      </c>
      <c r="G2386" s="8" t="s">
        <v>3916</v>
      </c>
      <c r="H2386" s="10">
        <v>30</v>
      </c>
      <c r="I2386" s="10"/>
      <c r="J2386" s="10">
        <v>30</v>
      </c>
      <c r="K2386" s="10">
        <v>216</v>
      </c>
    </row>
    <row r="2387" spans="1:11" x14ac:dyDescent="0.25">
      <c r="A2387" s="8" t="s">
        <v>3946</v>
      </c>
      <c r="B2387" s="8" t="s">
        <v>136</v>
      </c>
      <c r="C2387" s="8" t="s">
        <v>3687</v>
      </c>
      <c r="D2387" s="8">
        <v>3</v>
      </c>
      <c r="E2387" s="8" t="s">
        <v>3937</v>
      </c>
      <c r="F2387" s="8" t="s">
        <v>378</v>
      </c>
      <c r="G2387" s="8" t="s">
        <v>3916</v>
      </c>
      <c r="H2387" s="10">
        <v>30</v>
      </c>
      <c r="I2387" s="10"/>
      <c r="J2387" s="10">
        <v>30</v>
      </c>
      <c r="K2387" s="10">
        <v>216</v>
      </c>
    </row>
    <row r="2388" spans="1:11" x14ac:dyDescent="0.25">
      <c r="A2388" s="8" t="s">
        <v>3947</v>
      </c>
      <c r="B2388" s="8" t="s">
        <v>116</v>
      </c>
      <c r="C2388" s="8" t="s">
        <v>3687</v>
      </c>
      <c r="D2388" s="8">
        <v>3</v>
      </c>
      <c r="E2388" s="8" t="s">
        <v>3948</v>
      </c>
      <c r="F2388" s="8" t="s">
        <v>378</v>
      </c>
      <c r="G2388" s="8" t="s">
        <v>3916</v>
      </c>
      <c r="H2388" s="10">
        <v>30</v>
      </c>
      <c r="I2388" s="10"/>
      <c r="J2388" s="10">
        <v>30</v>
      </c>
      <c r="K2388" s="10">
        <v>216</v>
      </c>
    </row>
    <row r="2389" spans="1:11" x14ac:dyDescent="0.25">
      <c r="A2389" s="8" t="s">
        <v>3949</v>
      </c>
      <c r="B2389" s="8" t="s">
        <v>118</v>
      </c>
      <c r="C2389" s="8" t="s">
        <v>3687</v>
      </c>
      <c r="D2389" s="8">
        <v>3</v>
      </c>
      <c r="E2389" s="8" t="s">
        <v>3948</v>
      </c>
      <c r="F2389" s="8" t="s">
        <v>378</v>
      </c>
      <c r="G2389" s="8" t="s">
        <v>3916</v>
      </c>
      <c r="H2389" s="10">
        <v>30</v>
      </c>
      <c r="I2389" s="10"/>
      <c r="J2389" s="10">
        <v>30</v>
      </c>
      <c r="K2389" s="10">
        <v>216</v>
      </c>
    </row>
    <row r="2390" spans="1:11" x14ac:dyDescent="0.25">
      <c r="A2390" s="8" t="s">
        <v>3950</v>
      </c>
      <c r="B2390" s="8" t="s">
        <v>1650</v>
      </c>
      <c r="C2390" s="8" t="s">
        <v>3687</v>
      </c>
      <c r="D2390" s="8">
        <v>3</v>
      </c>
      <c r="E2390" s="8" t="s">
        <v>3948</v>
      </c>
      <c r="F2390" s="8" t="s">
        <v>378</v>
      </c>
      <c r="G2390" s="8" t="s">
        <v>3916</v>
      </c>
      <c r="H2390" s="10">
        <v>15</v>
      </c>
      <c r="I2390" s="10"/>
      <c r="J2390" s="10">
        <v>15</v>
      </c>
      <c r="K2390" s="10">
        <v>216</v>
      </c>
    </row>
    <row r="2391" spans="1:11" x14ac:dyDescent="0.25">
      <c r="A2391" s="8" t="s">
        <v>3951</v>
      </c>
      <c r="B2391" s="8" t="s">
        <v>120</v>
      </c>
      <c r="C2391" s="8" t="s">
        <v>3687</v>
      </c>
      <c r="D2391" s="8">
        <v>3</v>
      </c>
      <c r="E2391" s="8" t="s">
        <v>3948</v>
      </c>
      <c r="F2391" s="8" t="s">
        <v>378</v>
      </c>
      <c r="G2391" s="8" t="s">
        <v>3916</v>
      </c>
      <c r="H2391" s="10">
        <v>30</v>
      </c>
      <c r="I2391" s="10"/>
      <c r="J2391" s="10">
        <v>30</v>
      </c>
      <c r="K2391" s="10">
        <v>216</v>
      </c>
    </row>
    <row r="2392" spans="1:11" x14ac:dyDescent="0.25">
      <c r="A2392" s="8" t="s">
        <v>3952</v>
      </c>
      <c r="B2392" s="8" t="s">
        <v>122</v>
      </c>
      <c r="C2392" s="8" t="s">
        <v>3687</v>
      </c>
      <c r="D2392" s="8">
        <v>3</v>
      </c>
      <c r="E2392" s="8" t="s">
        <v>3948</v>
      </c>
      <c r="F2392" s="8" t="s">
        <v>378</v>
      </c>
      <c r="G2392" s="8" t="s">
        <v>3916</v>
      </c>
      <c r="H2392" s="10">
        <v>30</v>
      </c>
      <c r="I2392" s="10"/>
      <c r="J2392" s="10">
        <v>30</v>
      </c>
      <c r="K2392" s="10">
        <v>216</v>
      </c>
    </row>
    <row r="2393" spans="1:11" x14ac:dyDescent="0.25">
      <c r="A2393" s="8" t="s">
        <v>3953</v>
      </c>
      <c r="B2393" s="8" t="s">
        <v>124</v>
      </c>
      <c r="C2393" s="8" t="s">
        <v>3687</v>
      </c>
      <c r="D2393" s="8">
        <v>3</v>
      </c>
      <c r="E2393" s="8" t="s">
        <v>3948</v>
      </c>
      <c r="F2393" s="8" t="s">
        <v>378</v>
      </c>
      <c r="G2393" s="8" t="s">
        <v>3916</v>
      </c>
      <c r="H2393" s="10">
        <v>30</v>
      </c>
      <c r="I2393" s="10"/>
      <c r="J2393" s="10">
        <v>30</v>
      </c>
      <c r="K2393" s="10">
        <v>216</v>
      </c>
    </row>
    <row r="2394" spans="1:11" x14ac:dyDescent="0.25">
      <c r="A2394" s="8" t="s">
        <v>3954</v>
      </c>
      <c r="B2394" s="8" t="s">
        <v>78</v>
      </c>
      <c r="C2394" s="8" t="s">
        <v>3687</v>
      </c>
      <c r="D2394" s="8">
        <v>3</v>
      </c>
      <c r="E2394" s="8" t="s">
        <v>3948</v>
      </c>
      <c r="F2394" s="8" t="s">
        <v>378</v>
      </c>
      <c r="G2394" s="8" t="s">
        <v>3916</v>
      </c>
      <c r="H2394" s="10">
        <v>30</v>
      </c>
      <c r="I2394" s="10"/>
      <c r="J2394" s="10">
        <v>30</v>
      </c>
      <c r="K2394" s="10">
        <v>216</v>
      </c>
    </row>
    <row r="2395" spans="1:11" x14ac:dyDescent="0.25">
      <c r="A2395" s="8" t="s">
        <v>3955</v>
      </c>
      <c r="B2395" s="8" t="s">
        <v>1655</v>
      </c>
      <c r="C2395" s="8" t="s">
        <v>3687</v>
      </c>
      <c r="D2395" s="8">
        <v>3</v>
      </c>
      <c r="E2395" s="8" t="s">
        <v>3948</v>
      </c>
      <c r="F2395" s="8" t="s">
        <v>378</v>
      </c>
      <c r="G2395" s="8" t="s">
        <v>3916</v>
      </c>
      <c r="H2395" s="10">
        <v>15</v>
      </c>
      <c r="I2395" s="10"/>
      <c r="J2395" s="10">
        <v>15</v>
      </c>
      <c r="K2395" s="10">
        <v>216</v>
      </c>
    </row>
    <row r="2396" spans="1:11" x14ac:dyDescent="0.25">
      <c r="A2396" s="8" t="s">
        <v>3956</v>
      </c>
      <c r="B2396" s="8" t="s">
        <v>116</v>
      </c>
      <c r="C2396" s="8" t="s">
        <v>3687</v>
      </c>
      <c r="D2396" s="8">
        <v>3</v>
      </c>
      <c r="E2396" s="8" t="s">
        <v>3957</v>
      </c>
      <c r="F2396" s="8" t="s">
        <v>378</v>
      </c>
      <c r="G2396" s="8" t="s">
        <v>3916</v>
      </c>
      <c r="H2396" s="10">
        <v>30</v>
      </c>
      <c r="I2396" s="10"/>
      <c r="J2396" s="10">
        <v>30</v>
      </c>
      <c r="K2396" s="10">
        <v>307.56</v>
      </c>
    </row>
    <row r="2397" spans="1:11" x14ac:dyDescent="0.25">
      <c r="A2397" s="8" t="s">
        <v>3958</v>
      </c>
      <c r="B2397" s="8" t="s">
        <v>118</v>
      </c>
      <c r="C2397" s="8" t="s">
        <v>3687</v>
      </c>
      <c r="D2397" s="8">
        <v>3</v>
      </c>
      <c r="E2397" s="8" t="s">
        <v>3957</v>
      </c>
      <c r="F2397" s="8" t="s">
        <v>378</v>
      </c>
      <c r="G2397" s="8" t="s">
        <v>3916</v>
      </c>
      <c r="H2397" s="10">
        <v>30</v>
      </c>
      <c r="I2397" s="10"/>
      <c r="J2397" s="10">
        <v>30</v>
      </c>
      <c r="K2397" s="10">
        <v>307.56</v>
      </c>
    </row>
    <row r="2398" spans="1:11" x14ac:dyDescent="0.25">
      <c r="A2398" s="8" t="s">
        <v>3959</v>
      </c>
      <c r="B2398" s="8" t="s">
        <v>1650</v>
      </c>
      <c r="C2398" s="8" t="s">
        <v>3687</v>
      </c>
      <c r="D2398" s="8">
        <v>3</v>
      </c>
      <c r="E2398" s="8" t="s">
        <v>3957</v>
      </c>
      <c r="F2398" s="8" t="s">
        <v>378</v>
      </c>
      <c r="G2398" s="8" t="s">
        <v>3916</v>
      </c>
      <c r="H2398" s="10">
        <v>15</v>
      </c>
      <c r="I2398" s="10"/>
      <c r="J2398" s="10">
        <v>15</v>
      </c>
      <c r="K2398" s="10">
        <v>307.56</v>
      </c>
    </row>
    <row r="2399" spans="1:11" x14ac:dyDescent="0.25">
      <c r="A2399" s="8" t="s">
        <v>3960</v>
      </c>
      <c r="B2399" s="8" t="s">
        <v>120</v>
      </c>
      <c r="C2399" s="8" t="s">
        <v>3687</v>
      </c>
      <c r="D2399" s="8">
        <v>3</v>
      </c>
      <c r="E2399" s="8" t="s">
        <v>3957</v>
      </c>
      <c r="F2399" s="8" t="s">
        <v>378</v>
      </c>
      <c r="G2399" s="8" t="s">
        <v>3916</v>
      </c>
      <c r="H2399" s="10">
        <v>30</v>
      </c>
      <c r="I2399" s="10"/>
      <c r="J2399" s="10">
        <v>30</v>
      </c>
      <c r="K2399" s="10">
        <v>307.56</v>
      </c>
    </row>
    <row r="2400" spans="1:11" x14ac:dyDescent="0.25">
      <c r="A2400" s="8" t="s">
        <v>3961</v>
      </c>
      <c r="B2400" s="8" t="s">
        <v>1655</v>
      </c>
      <c r="C2400" s="8" t="s">
        <v>3687</v>
      </c>
      <c r="D2400" s="8">
        <v>3</v>
      </c>
      <c r="E2400" s="8" t="s">
        <v>3957</v>
      </c>
      <c r="F2400" s="8" t="s">
        <v>378</v>
      </c>
      <c r="G2400" s="8" t="s">
        <v>3916</v>
      </c>
      <c r="H2400" s="10">
        <v>15</v>
      </c>
      <c r="I2400" s="10"/>
      <c r="J2400" s="10">
        <v>15</v>
      </c>
      <c r="K2400" s="10">
        <v>307.56</v>
      </c>
    </row>
    <row r="2401" spans="1:11" x14ac:dyDescent="0.25">
      <c r="A2401" s="8" t="s">
        <v>3962</v>
      </c>
      <c r="B2401" s="8" t="s">
        <v>136</v>
      </c>
      <c r="C2401" s="8" t="s">
        <v>3687</v>
      </c>
      <c r="D2401" s="8">
        <v>3</v>
      </c>
      <c r="E2401" s="8" t="s">
        <v>3957</v>
      </c>
      <c r="F2401" s="8" t="s">
        <v>378</v>
      </c>
      <c r="G2401" s="8" t="s">
        <v>3916</v>
      </c>
      <c r="H2401" s="10">
        <v>15</v>
      </c>
      <c r="I2401" s="10"/>
      <c r="J2401" s="10">
        <v>15</v>
      </c>
      <c r="K2401" s="10">
        <v>307.56</v>
      </c>
    </row>
    <row r="2402" spans="1:11" x14ac:dyDescent="0.25">
      <c r="A2402" s="8" t="s">
        <v>3963</v>
      </c>
      <c r="B2402" s="8" t="s">
        <v>116</v>
      </c>
      <c r="C2402" s="8" t="s">
        <v>3687</v>
      </c>
      <c r="D2402" s="8">
        <v>3</v>
      </c>
      <c r="E2402" s="8" t="s">
        <v>3964</v>
      </c>
      <c r="F2402" s="8" t="s">
        <v>378</v>
      </c>
      <c r="G2402" s="8" t="s">
        <v>3916</v>
      </c>
      <c r="H2402" s="10">
        <v>180</v>
      </c>
      <c r="I2402" s="10"/>
      <c r="J2402" s="10">
        <v>180</v>
      </c>
      <c r="K2402" s="10">
        <v>216</v>
      </c>
    </row>
    <row r="2403" spans="1:11" x14ac:dyDescent="0.25">
      <c r="A2403" s="8" t="s">
        <v>3965</v>
      </c>
      <c r="B2403" s="8" t="s">
        <v>116</v>
      </c>
      <c r="C2403" s="8" t="s">
        <v>3687</v>
      </c>
      <c r="D2403" s="8">
        <v>3</v>
      </c>
      <c r="E2403" s="8" t="s">
        <v>3964</v>
      </c>
      <c r="F2403" s="8" t="s">
        <v>378</v>
      </c>
      <c r="G2403" s="8" t="s">
        <v>3916</v>
      </c>
      <c r="H2403" s="10">
        <v>210</v>
      </c>
      <c r="I2403" s="10"/>
      <c r="J2403" s="10">
        <v>210</v>
      </c>
      <c r="K2403" s="10">
        <v>216</v>
      </c>
    </row>
    <row r="2404" spans="1:11" x14ac:dyDescent="0.25">
      <c r="A2404" s="8" t="s">
        <v>3966</v>
      </c>
      <c r="B2404" s="8" t="s">
        <v>118</v>
      </c>
      <c r="C2404" s="8" t="s">
        <v>3687</v>
      </c>
      <c r="D2404" s="8">
        <v>3</v>
      </c>
      <c r="E2404" s="8" t="s">
        <v>3964</v>
      </c>
      <c r="F2404" s="8" t="s">
        <v>378</v>
      </c>
      <c r="G2404" s="8" t="s">
        <v>3916</v>
      </c>
      <c r="H2404" s="10">
        <v>60</v>
      </c>
      <c r="I2404" s="10"/>
      <c r="J2404" s="10">
        <v>60</v>
      </c>
      <c r="K2404" s="10">
        <v>216</v>
      </c>
    </row>
    <row r="2405" spans="1:11" x14ac:dyDescent="0.25">
      <c r="A2405" s="8" t="s">
        <v>3967</v>
      </c>
      <c r="B2405" s="8" t="s">
        <v>1650</v>
      </c>
      <c r="C2405" s="8" t="s">
        <v>3687</v>
      </c>
      <c r="D2405" s="8">
        <v>3</v>
      </c>
      <c r="E2405" s="8" t="s">
        <v>3964</v>
      </c>
      <c r="F2405" s="8" t="s">
        <v>378</v>
      </c>
      <c r="G2405" s="8" t="s">
        <v>3916</v>
      </c>
      <c r="H2405" s="10">
        <v>90</v>
      </c>
      <c r="I2405" s="10"/>
      <c r="J2405" s="10">
        <v>90</v>
      </c>
      <c r="K2405" s="10">
        <v>216</v>
      </c>
    </row>
    <row r="2406" spans="1:11" x14ac:dyDescent="0.25">
      <c r="A2406" s="8" t="s">
        <v>3968</v>
      </c>
      <c r="B2406" s="8" t="s">
        <v>120</v>
      </c>
      <c r="C2406" s="8" t="s">
        <v>3687</v>
      </c>
      <c r="D2406" s="8">
        <v>3</v>
      </c>
      <c r="E2406" s="8" t="s">
        <v>3964</v>
      </c>
      <c r="F2406" s="8" t="s">
        <v>378</v>
      </c>
      <c r="G2406" s="8" t="s">
        <v>3916</v>
      </c>
      <c r="H2406" s="10">
        <v>300</v>
      </c>
      <c r="I2406" s="10"/>
      <c r="J2406" s="10">
        <v>300</v>
      </c>
      <c r="K2406" s="10">
        <v>216</v>
      </c>
    </row>
    <row r="2407" spans="1:11" x14ac:dyDescent="0.25">
      <c r="A2407" s="8" t="s">
        <v>3969</v>
      </c>
      <c r="B2407" s="8" t="s">
        <v>120</v>
      </c>
      <c r="C2407" s="8" t="s">
        <v>3687</v>
      </c>
      <c r="D2407" s="8">
        <v>3</v>
      </c>
      <c r="E2407" s="8" t="s">
        <v>3964</v>
      </c>
      <c r="F2407" s="8" t="s">
        <v>378</v>
      </c>
      <c r="G2407" s="8" t="s">
        <v>3916</v>
      </c>
      <c r="H2407" s="10">
        <v>120</v>
      </c>
      <c r="I2407" s="10"/>
      <c r="J2407" s="10">
        <v>120</v>
      </c>
      <c r="K2407" s="10">
        <v>216</v>
      </c>
    </row>
    <row r="2408" spans="1:11" x14ac:dyDescent="0.25">
      <c r="A2408" s="8" t="s">
        <v>3970</v>
      </c>
      <c r="B2408" s="8" t="s">
        <v>1655</v>
      </c>
      <c r="C2408" s="8" t="s">
        <v>3687</v>
      </c>
      <c r="D2408" s="8">
        <v>3</v>
      </c>
      <c r="E2408" s="8" t="s">
        <v>3964</v>
      </c>
      <c r="F2408" s="8" t="s">
        <v>378</v>
      </c>
      <c r="G2408" s="8" t="s">
        <v>3916</v>
      </c>
      <c r="H2408" s="10">
        <v>15</v>
      </c>
      <c r="I2408" s="10"/>
      <c r="J2408" s="10">
        <v>15</v>
      </c>
      <c r="K2408" s="10">
        <v>216</v>
      </c>
    </row>
    <row r="2409" spans="1:11" x14ac:dyDescent="0.25">
      <c r="A2409" s="8" t="s">
        <v>3971</v>
      </c>
      <c r="B2409" s="8" t="s">
        <v>128</v>
      </c>
      <c r="C2409" s="8" t="s">
        <v>3687</v>
      </c>
      <c r="D2409" s="8">
        <v>3</v>
      </c>
      <c r="E2409" s="8" t="s">
        <v>3964</v>
      </c>
      <c r="F2409" s="8" t="s">
        <v>378</v>
      </c>
      <c r="G2409" s="8" t="s">
        <v>3916</v>
      </c>
      <c r="H2409" s="10">
        <v>210</v>
      </c>
      <c r="I2409" s="10"/>
      <c r="J2409" s="10">
        <v>210</v>
      </c>
      <c r="K2409" s="10">
        <v>216</v>
      </c>
    </row>
    <row r="2410" spans="1:11" x14ac:dyDescent="0.25">
      <c r="A2410" s="8" t="s">
        <v>3972</v>
      </c>
      <c r="B2410" s="8" t="s">
        <v>949</v>
      </c>
      <c r="C2410" s="8" t="s">
        <v>3687</v>
      </c>
      <c r="D2410" s="8">
        <v>3</v>
      </c>
      <c r="E2410" s="8" t="s">
        <v>3964</v>
      </c>
      <c r="F2410" s="8" t="s">
        <v>378</v>
      </c>
      <c r="G2410" s="8" t="s">
        <v>3916</v>
      </c>
      <c r="H2410" s="10">
        <v>30</v>
      </c>
      <c r="I2410" s="10"/>
      <c r="J2410" s="10">
        <v>30</v>
      </c>
      <c r="K2410" s="10">
        <v>216</v>
      </c>
    </row>
    <row r="2411" spans="1:11" x14ac:dyDescent="0.25">
      <c r="A2411" s="8" t="s">
        <v>3973</v>
      </c>
      <c r="B2411" s="8" t="s">
        <v>130</v>
      </c>
      <c r="C2411" s="8" t="s">
        <v>3687</v>
      </c>
      <c r="D2411" s="8">
        <v>3</v>
      </c>
      <c r="E2411" s="8" t="s">
        <v>3964</v>
      </c>
      <c r="F2411" s="8" t="s">
        <v>378</v>
      </c>
      <c r="G2411" s="8" t="s">
        <v>3916</v>
      </c>
      <c r="H2411" s="10">
        <v>60</v>
      </c>
      <c r="I2411" s="10"/>
      <c r="J2411" s="10">
        <v>60</v>
      </c>
      <c r="K2411" s="10">
        <v>216</v>
      </c>
    </row>
    <row r="2412" spans="1:11" x14ac:dyDescent="0.25">
      <c r="A2412" s="8" t="s">
        <v>3974</v>
      </c>
      <c r="B2412" s="8" t="s">
        <v>132</v>
      </c>
      <c r="C2412" s="8" t="s">
        <v>3687</v>
      </c>
      <c r="D2412" s="8">
        <v>3</v>
      </c>
      <c r="E2412" s="8" t="s">
        <v>3964</v>
      </c>
      <c r="F2412" s="8" t="s">
        <v>378</v>
      </c>
      <c r="G2412" s="8" t="s">
        <v>3916</v>
      </c>
      <c r="H2412" s="10">
        <v>60</v>
      </c>
      <c r="I2412" s="10"/>
      <c r="J2412" s="10">
        <v>60</v>
      </c>
      <c r="K2412" s="10">
        <v>216</v>
      </c>
    </row>
    <row r="2413" spans="1:11" x14ac:dyDescent="0.25">
      <c r="A2413" s="8" t="s">
        <v>3975</v>
      </c>
      <c r="B2413" s="8" t="s">
        <v>134</v>
      </c>
      <c r="C2413" s="8" t="s">
        <v>3687</v>
      </c>
      <c r="D2413" s="8">
        <v>3</v>
      </c>
      <c r="E2413" s="8" t="s">
        <v>3964</v>
      </c>
      <c r="F2413" s="8" t="s">
        <v>378</v>
      </c>
      <c r="G2413" s="8" t="s">
        <v>3916</v>
      </c>
      <c r="H2413" s="10">
        <v>150</v>
      </c>
      <c r="I2413" s="10"/>
      <c r="J2413" s="10">
        <v>150</v>
      </c>
      <c r="K2413" s="10">
        <v>216</v>
      </c>
    </row>
    <row r="2414" spans="1:11" x14ac:dyDescent="0.25">
      <c r="A2414" s="8" t="s">
        <v>3976</v>
      </c>
      <c r="B2414" s="8" t="s">
        <v>118</v>
      </c>
      <c r="C2414" s="8" t="s">
        <v>3687</v>
      </c>
      <c r="D2414" s="8">
        <v>3</v>
      </c>
      <c r="E2414" s="8" t="s">
        <v>3977</v>
      </c>
      <c r="F2414" s="8" t="s">
        <v>378</v>
      </c>
      <c r="G2414" s="8" t="s">
        <v>3916</v>
      </c>
      <c r="H2414" s="10">
        <v>60</v>
      </c>
      <c r="I2414" s="10"/>
      <c r="J2414" s="10">
        <v>60</v>
      </c>
      <c r="K2414" s="10">
        <v>307.56</v>
      </c>
    </row>
    <row r="2415" spans="1:11" x14ac:dyDescent="0.25">
      <c r="A2415" s="8" t="s">
        <v>3978</v>
      </c>
      <c r="B2415" s="8" t="s">
        <v>120</v>
      </c>
      <c r="C2415" s="8" t="s">
        <v>3687</v>
      </c>
      <c r="D2415" s="8">
        <v>3</v>
      </c>
      <c r="E2415" s="8" t="s">
        <v>3977</v>
      </c>
      <c r="F2415" s="8" t="s">
        <v>378</v>
      </c>
      <c r="G2415" s="8" t="s">
        <v>3916</v>
      </c>
      <c r="H2415" s="10">
        <v>300</v>
      </c>
      <c r="I2415" s="10"/>
      <c r="J2415" s="10">
        <v>300</v>
      </c>
      <c r="K2415" s="10">
        <v>307.56</v>
      </c>
    </row>
    <row r="2416" spans="1:11" x14ac:dyDescent="0.25">
      <c r="A2416" s="8" t="s">
        <v>3979</v>
      </c>
      <c r="B2416" s="8" t="s">
        <v>120</v>
      </c>
      <c r="C2416" s="8" t="s">
        <v>3687</v>
      </c>
      <c r="D2416" s="8">
        <v>3</v>
      </c>
      <c r="E2416" s="8" t="s">
        <v>3977</v>
      </c>
      <c r="F2416" s="8" t="s">
        <v>378</v>
      </c>
      <c r="G2416" s="8" t="s">
        <v>3916</v>
      </c>
      <c r="H2416" s="10">
        <v>60</v>
      </c>
      <c r="I2416" s="10"/>
      <c r="J2416" s="10">
        <v>60</v>
      </c>
      <c r="K2416" s="10">
        <v>307.56</v>
      </c>
    </row>
    <row r="2417" spans="1:11" x14ac:dyDescent="0.25">
      <c r="A2417" s="8" t="s">
        <v>3980</v>
      </c>
      <c r="B2417" s="8" t="s">
        <v>1655</v>
      </c>
      <c r="C2417" s="8" t="s">
        <v>3687</v>
      </c>
      <c r="D2417" s="8">
        <v>3</v>
      </c>
      <c r="E2417" s="8" t="s">
        <v>3977</v>
      </c>
      <c r="F2417" s="8" t="s">
        <v>378</v>
      </c>
      <c r="G2417" s="8" t="s">
        <v>3916</v>
      </c>
      <c r="H2417" s="10">
        <v>60</v>
      </c>
      <c r="I2417" s="10"/>
      <c r="J2417" s="10">
        <v>60</v>
      </c>
      <c r="K2417" s="10">
        <v>307.56</v>
      </c>
    </row>
    <row r="2418" spans="1:11" x14ac:dyDescent="0.25">
      <c r="A2418" s="8" t="s">
        <v>3981</v>
      </c>
      <c r="B2418" s="8" t="s">
        <v>136</v>
      </c>
      <c r="C2418" s="8" t="s">
        <v>3687</v>
      </c>
      <c r="D2418" s="8">
        <v>3</v>
      </c>
      <c r="E2418" s="8" t="s">
        <v>3977</v>
      </c>
      <c r="F2418" s="8" t="s">
        <v>378</v>
      </c>
      <c r="G2418" s="8" t="s">
        <v>3916</v>
      </c>
      <c r="H2418" s="10">
        <v>90</v>
      </c>
      <c r="I2418" s="10"/>
      <c r="J2418" s="10">
        <v>90</v>
      </c>
      <c r="K2418" s="10">
        <v>307.56</v>
      </c>
    </row>
    <row r="2419" spans="1:11" x14ac:dyDescent="0.25">
      <c r="A2419" s="8" t="s">
        <v>3982</v>
      </c>
      <c r="B2419" s="8" t="s">
        <v>1689</v>
      </c>
      <c r="C2419" s="8" t="s">
        <v>3687</v>
      </c>
      <c r="D2419" s="8">
        <v>3</v>
      </c>
      <c r="E2419" s="8" t="s">
        <v>3977</v>
      </c>
      <c r="F2419" s="8" t="s">
        <v>378</v>
      </c>
      <c r="G2419" s="8" t="s">
        <v>3916</v>
      </c>
      <c r="H2419" s="10">
        <v>15</v>
      </c>
      <c r="I2419" s="10"/>
      <c r="J2419" s="10">
        <v>15</v>
      </c>
      <c r="K2419" s="10">
        <v>307.56</v>
      </c>
    </row>
    <row r="2420" spans="1:11" x14ac:dyDescent="0.25">
      <c r="A2420" s="8" t="s">
        <v>3983</v>
      </c>
      <c r="B2420" s="8" t="s">
        <v>138</v>
      </c>
      <c r="C2420" s="8" t="s">
        <v>3687</v>
      </c>
      <c r="D2420" s="8">
        <v>3</v>
      </c>
      <c r="E2420" s="8" t="s">
        <v>3977</v>
      </c>
      <c r="F2420" s="8" t="s">
        <v>378</v>
      </c>
      <c r="G2420" s="8" t="s">
        <v>3916</v>
      </c>
      <c r="H2420" s="10">
        <v>30</v>
      </c>
      <c r="I2420" s="10"/>
      <c r="J2420" s="10">
        <v>30</v>
      </c>
      <c r="K2420" s="10">
        <v>307.56</v>
      </c>
    </row>
    <row r="2421" spans="1:11" x14ac:dyDescent="0.25">
      <c r="A2421" s="8" t="s">
        <v>3984</v>
      </c>
      <c r="B2421" s="8" t="s">
        <v>118</v>
      </c>
      <c r="C2421" s="8" t="s">
        <v>3687</v>
      </c>
      <c r="D2421" s="8">
        <v>3</v>
      </c>
      <c r="E2421" s="8" t="s">
        <v>3985</v>
      </c>
      <c r="F2421" s="8" t="s">
        <v>378</v>
      </c>
      <c r="G2421" s="8" t="s">
        <v>3916</v>
      </c>
      <c r="H2421" s="10">
        <v>120</v>
      </c>
      <c r="I2421" s="10"/>
      <c r="J2421" s="10">
        <v>120</v>
      </c>
      <c r="K2421" s="10">
        <v>399.12</v>
      </c>
    </row>
    <row r="2422" spans="1:11" x14ac:dyDescent="0.25">
      <c r="A2422" s="8" t="s">
        <v>3986</v>
      </c>
      <c r="B2422" s="8" t="s">
        <v>1650</v>
      </c>
      <c r="C2422" s="8" t="s">
        <v>3687</v>
      </c>
      <c r="D2422" s="8">
        <v>3</v>
      </c>
      <c r="E2422" s="8" t="s">
        <v>3985</v>
      </c>
      <c r="F2422" s="8" t="s">
        <v>378</v>
      </c>
      <c r="G2422" s="8" t="s">
        <v>3916</v>
      </c>
      <c r="H2422" s="10">
        <v>240</v>
      </c>
      <c r="I2422" s="10"/>
      <c r="J2422" s="10">
        <v>240</v>
      </c>
      <c r="K2422" s="10">
        <v>399.12</v>
      </c>
    </row>
    <row r="2423" spans="1:11" x14ac:dyDescent="0.25">
      <c r="A2423" s="8" t="s">
        <v>3987</v>
      </c>
      <c r="B2423" s="8" t="s">
        <v>120</v>
      </c>
      <c r="C2423" s="8" t="s">
        <v>3687</v>
      </c>
      <c r="D2423" s="8">
        <v>3</v>
      </c>
      <c r="E2423" s="8" t="s">
        <v>3985</v>
      </c>
      <c r="F2423" s="8" t="s">
        <v>378</v>
      </c>
      <c r="G2423" s="8" t="s">
        <v>3916</v>
      </c>
      <c r="H2423" s="10">
        <v>90</v>
      </c>
      <c r="I2423" s="10"/>
      <c r="J2423" s="10">
        <v>90</v>
      </c>
      <c r="K2423" s="10">
        <v>399.12</v>
      </c>
    </row>
    <row r="2424" spans="1:11" x14ac:dyDescent="0.25">
      <c r="A2424" s="8" t="s">
        <v>3988</v>
      </c>
      <c r="B2424" s="8" t="s">
        <v>120</v>
      </c>
      <c r="C2424" s="8" t="s">
        <v>3687</v>
      </c>
      <c r="D2424" s="8">
        <v>3</v>
      </c>
      <c r="E2424" s="8" t="s">
        <v>3985</v>
      </c>
      <c r="F2424" s="8" t="s">
        <v>378</v>
      </c>
      <c r="G2424" s="8" t="s">
        <v>3916</v>
      </c>
      <c r="H2424" s="10">
        <v>90</v>
      </c>
      <c r="I2424" s="10"/>
      <c r="J2424" s="10">
        <v>90</v>
      </c>
      <c r="K2424" s="10">
        <v>399.12</v>
      </c>
    </row>
    <row r="2425" spans="1:11" x14ac:dyDescent="0.25">
      <c r="A2425" s="8" t="s">
        <v>3989</v>
      </c>
      <c r="B2425" s="8" t="s">
        <v>1655</v>
      </c>
      <c r="C2425" s="8" t="s">
        <v>3687</v>
      </c>
      <c r="D2425" s="8">
        <v>3</v>
      </c>
      <c r="E2425" s="8" t="s">
        <v>3985</v>
      </c>
      <c r="F2425" s="8" t="s">
        <v>378</v>
      </c>
      <c r="G2425" s="8" t="s">
        <v>3916</v>
      </c>
      <c r="H2425" s="10">
        <v>360</v>
      </c>
      <c r="I2425" s="10"/>
      <c r="J2425" s="10">
        <v>360</v>
      </c>
      <c r="K2425" s="10">
        <v>399.12</v>
      </c>
    </row>
    <row r="2426" spans="1:11" x14ac:dyDescent="0.25">
      <c r="A2426" s="8" t="s">
        <v>3990</v>
      </c>
      <c r="B2426" s="8" t="s">
        <v>132</v>
      </c>
      <c r="C2426" s="8" t="s">
        <v>3687</v>
      </c>
      <c r="D2426" s="8">
        <v>3</v>
      </c>
      <c r="E2426" s="8" t="s">
        <v>3985</v>
      </c>
      <c r="F2426" s="8" t="s">
        <v>378</v>
      </c>
      <c r="G2426" s="8" t="s">
        <v>3916</v>
      </c>
      <c r="H2426" s="10">
        <v>120</v>
      </c>
      <c r="I2426" s="10"/>
      <c r="J2426" s="10">
        <v>120</v>
      </c>
      <c r="K2426" s="10">
        <v>399.12</v>
      </c>
    </row>
    <row r="2427" spans="1:11" x14ac:dyDescent="0.25">
      <c r="A2427" s="8" t="s">
        <v>3991</v>
      </c>
      <c r="B2427" s="8" t="s">
        <v>134</v>
      </c>
      <c r="C2427" s="8" t="s">
        <v>3687</v>
      </c>
      <c r="D2427" s="8">
        <v>3</v>
      </c>
      <c r="E2427" s="8" t="s">
        <v>3985</v>
      </c>
      <c r="F2427" s="8" t="s">
        <v>378</v>
      </c>
      <c r="G2427" s="8" t="s">
        <v>3916</v>
      </c>
      <c r="H2427" s="10">
        <v>150</v>
      </c>
      <c r="I2427" s="10"/>
      <c r="J2427" s="10">
        <v>150</v>
      </c>
      <c r="K2427" s="10">
        <v>399.12</v>
      </c>
    </row>
    <row r="2428" spans="1:11" x14ac:dyDescent="0.25">
      <c r="A2428" s="8" t="s">
        <v>3992</v>
      </c>
      <c r="B2428" s="8" t="s">
        <v>136</v>
      </c>
      <c r="C2428" s="8" t="s">
        <v>3687</v>
      </c>
      <c r="D2428" s="8">
        <v>3</v>
      </c>
      <c r="E2428" s="8" t="s">
        <v>3985</v>
      </c>
      <c r="F2428" s="8" t="s">
        <v>378</v>
      </c>
      <c r="G2428" s="8" t="s">
        <v>3916</v>
      </c>
      <c r="H2428" s="10">
        <v>30</v>
      </c>
      <c r="I2428" s="10"/>
      <c r="J2428" s="10">
        <v>30</v>
      </c>
      <c r="K2428" s="10">
        <v>399.12</v>
      </c>
    </row>
    <row r="2429" spans="1:11" x14ac:dyDescent="0.25">
      <c r="A2429" s="8" t="s">
        <v>3993</v>
      </c>
      <c r="B2429" s="8" t="s">
        <v>120</v>
      </c>
      <c r="C2429" s="8" t="s">
        <v>3687</v>
      </c>
      <c r="D2429" s="8">
        <v>3</v>
      </c>
      <c r="E2429" s="8" t="s">
        <v>3994</v>
      </c>
      <c r="F2429" s="8" t="s">
        <v>378</v>
      </c>
      <c r="G2429" s="8" t="s">
        <v>3916</v>
      </c>
      <c r="H2429" s="10">
        <v>90</v>
      </c>
      <c r="I2429" s="10"/>
      <c r="J2429" s="10">
        <v>90</v>
      </c>
      <c r="K2429" s="10">
        <v>399.12</v>
      </c>
    </row>
    <row r="2430" spans="1:11" x14ac:dyDescent="0.25">
      <c r="A2430" s="8" t="s">
        <v>3995</v>
      </c>
      <c r="B2430" s="8" t="s">
        <v>120</v>
      </c>
      <c r="C2430" s="8" t="s">
        <v>3687</v>
      </c>
      <c r="D2430" s="8">
        <v>3</v>
      </c>
      <c r="E2430" s="8" t="s">
        <v>3994</v>
      </c>
      <c r="F2430" s="8" t="s">
        <v>378</v>
      </c>
      <c r="G2430" s="8" t="s">
        <v>3916</v>
      </c>
      <c r="H2430" s="10">
        <v>900</v>
      </c>
      <c r="I2430" s="10"/>
      <c r="J2430" s="10">
        <v>900</v>
      </c>
      <c r="K2430" s="10">
        <v>399.12</v>
      </c>
    </row>
    <row r="2431" spans="1:11" x14ac:dyDescent="0.25">
      <c r="A2431" s="8" t="s">
        <v>3996</v>
      </c>
      <c r="B2431" s="8" t="s">
        <v>80</v>
      </c>
      <c r="C2431" s="8" t="s">
        <v>3687</v>
      </c>
      <c r="D2431" s="8">
        <v>3</v>
      </c>
      <c r="E2431" s="8" t="s">
        <v>3994</v>
      </c>
      <c r="F2431" s="8" t="s">
        <v>378</v>
      </c>
      <c r="G2431" s="8" t="s">
        <v>3916</v>
      </c>
      <c r="H2431" s="10">
        <v>210</v>
      </c>
      <c r="I2431" s="10"/>
      <c r="J2431" s="10">
        <v>210</v>
      </c>
      <c r="K2431" s="10">
        <v>399.12</v>
      </c>
    </row>
    <row r="2432" spans="1:11" x14ac:dyDescent="0.25">
      <c r="A2432" s="8" t="s">
        <v>3997</v>
      </c>
      <c r="B2432" s="8" t="s">
        <v>122</v>
      </c>
      <c r="C2432" s="8" t="s">
        <v>3687</v>
      </c>
      <c r="D2432" s="8">
        <v>3</v>
      </c>
      <c r="E2432" s="8" t="s">
        <v>3998</v>
      </c>
      <c r="F2432" s="8" t="s">
        <v>378</v>
      </c>
      <c r="G2432" s="8" t="s">
        <v>3916</v>
      </c>
      <c r="H2432" s="10">
        <v>30</v>
      </c>
      <c r="I2432" s="10"/>
      <c r="J2432" s="10">
        <v>30</v>
      </c>
      <c r="K2432" s="10">
        <v>216</v>
      </c>
    </row>
    <row r="2433" spans="1:11" x14ac:dyDescent="0.25">
      <c r="A2433" s="8" t="s">
        <v>3999</v>
      </c>
      <c r="B2433" s="8" t="s">
        <v>124</v>
      </c>
      <c r="C2433" s="8" t="s">
        <v>3687</v>
      </c>
      <c r="D2433" s="8">
        <v>3</v>
      </c>
      <c r="E2433" s="8" t="s">
        <v>3998</v>
      </c>
      <c r="F2433" s="8" t="s">
        <v>378</v>
      </c>
      <c r="G2433" s="8" t="s">
        <v>3916</v>
      </c>
      <c r="H2433" s="10">
        <v>60</v>
      </c>
      <c r="I2433" s="10"/>
      <c r="J2433" s="10">
        <v>60</v>
      </c>
      <c r="K2433" s="10">
        <v>216</v>
      </c>
    </row>
    <row r="2434" spans="1:11" x14ac:dyDescent="0.25">
      <c r="A2434" s="8" t="s">
        <v>4000</v>
      </c>
      <c r="B2434" s="8" t="s">
        <v>78</v>
      </c>
      <c r="C2434" s="8" t="s">
        <v>3687</v>
      </c>
      <c r="D2434" s="8">
        <v>3</v>
      </c>
      <c r="E2434" s="8" t="s">
        <v>3998</v>
      </c>
      <c r="F2434" s="8" t="s">
        <v>378</v>
      </c>
      <c r="G2434" s="8" t="s">
        <v>3916</v>
      </c>
      <c r="H2434" s="10">
        <v>180</v>
      </c>
      <c r="I2434" s="10"/>
      <c r="J2434" s="10">
        <v>180</v>
      </c>
      <c r="K2434" s="10">
        <v>216</v>
      </c>
    </row>
    <row r="2435" spans="1:11" x14ac:dyDescent="0.25">
      <c r="A2435" s="8" t="s">
        <v>4001</v>
      </c>
      <c r="B2435" s="8" t="s">
        <v>122</v>
      </c>
      <c r="C2435" s="8" t="s">
        <v>3687</v>
      </c>
      <c r="D2435" s="8">
        <v>3</v>
      </c>
      <c r="E2435" s="8" t="s">
        <v>4002</v>
      </c>
      <c r="F2435" s="8" t="s">
        <v>378</v>
      </c>
      <c r="G2435" s="8" t="s">
        <v>3916</v>
      </c>
      <c r="H2435" s="10">
        <v>240</v>
      </c>
      <c r="I2435" s="10"/>
      <c r="J2435" s="10">
        <v>240</v>
      </c>
      <c r="K2435" s="10">
        <v>307.56</v>
      </c>
    </row>
    <row r="2436" spans="1:11" x14ac:dyDescent="0.25">
      <c r="A2436" s="8" t="s">
        <v>4003</v>
      </c>
      <c r="B2436" s="8" t="s">
        <v>124</v>
      </c>
      <c r="C2436" s="8" t="s">
        <v>3687</v>
      </c>
      <c r="D2436" s="8">
        <v>3</v>
      </c>
      <c r="E2436" s="8" t="s">
        <v>4002</v>
      </c>
      <c r="F2436" s="8" t="s">
        <v>378</v>
      </c>
      <c r="G2436" s="8" t="s">
        <v>3916</v>
      </c>
      <c r="H2436" s="10">
        <v>150</v>
      </c>
      <c r="I2436" s="10"/>
      <c r="J2436" s="10">
        <v>150</v>
      </c>
      <c r="K2436" s="10">
        <v>307.56</v>
      </c>
    </row>
    <row r="2437" spans="1:11" x14ac:dyDescent="0.25">
      <c r="A2437" s="8" t="s">
        <v>4004</v>
      </c>
      <c r="B2437" s="8" t="s">
        <v>78</v>
      </c>
      <c r="C2437" s="8" t="s">
        <v>3687</v>
      </c>
      <c r="D2437" s="8">
        <v>3</v>
      </c>
      <c r="E2437" s="8" t="s">
        <v>4002</v>
      </c>
      <c r="F2437" s="8" t="s">
        <v>378</v>
      </c>
      <c r="G2437" s="8" t="s">
        <v>3916</v>
      </c>
      <c r="H2437" s="10">
        <v>45</v>
      </c>
      <c r="I2437" s="10"/>
      <c r="J2437" s="10">
        <v>45</v>
      </c>
      <c r="K2437" s="10">
        <v>307.56</v>
      </c>
    </row>
    <row r="2438" spans="1:11" x14ac:dyDescent="0.25">
      <c r="A2438" s="8" t="s">
        <v>4005</v>
      </c>
      <c r="B2438" s="8" t="s">
        <v>122</v>
      </c>
      <c r="C2438" s="8" t="s">
        <v>3687</v>
      </c>
      <c r="D2438" s="8">
        <v>3</v>
      </c>
      <c r="E2438" s="8" t="s">
        <v>4006</v>
      </c>
      <c r="F2438" s="8" t="s">
        <v>378</v>
      </c>
      <c r="G2438" s="8" t="s">
        <v>3916</v>
      </c>
      <c r="H2438" s="10">
        <v>240</v>
      </c>
      <c r="I2438" s="10"/>
      <c r="J2438" s="10">
        <v>240</v>
      </c>
      <c r="K2438" s="10">
        <v>399.12</v>
      </c>
    </row>
    <row r="2439" spans="1:11" x14ac:dyDescent="0.25">
      <c r="A2439" s="8" t="s">
        <v>4007</v>
      </c>
      <c r="B2439" s="8" t="s">
        <v>124</v>
      </c>
      <c r="C2439" s="8" t="s">
        <v>3687</v>
      </c>
      <c r="D2439" s="8">
        <v>3</v>
      </c>
      <c r="E2439" s="8" t="s">
        <v>4006</v>
      </c>
      <c r="F2439" s="8" t="s">
        <v>378</v>
      </c>
      <c r="G2439" s="8" t="s">
        <v>3916</v>
      </c>
      <c r="H2439" s="10">
        <v>60</v>
      </c>
      <c r="I2439" s="10"/>
      <c r="J2439" s="10">
        <v>60</v>
      </c>
      <c r="K2439" s="10">
        <v>399.12</v>
      </c>
    </row>
    <row r="2440" spans="1:11" x14ac:dyDescent="0.25">
      <c r="A2440" s="8" t="s">
        <v>4008</v>
      </c>
      <c r="B2440" s="8" t="s">
        <v>78</v>
      </c>
      <c r="C2440" s="8" t="s">
        <v>3687</v>
      </c>
      <c r="D2440" s="8">
        <v>3</v>
      </c>
      <c r="E2440" s="8" t="s">
        <v>4006</v>
      </c>
      <c r="F2440" s="8" t="s">
        <v>378</v>
      </c>
      <c r="G2440" s="8" t="s">
        <v>3916</v>
      </c>
      <c r="H2440" s="10">
        <v>150</v>
      </c>
      <c r="I2440" s="10"/>
      <c r="J2440" s="10">
        <v>150</v>
      </c>
      <c r="K2440" s="10">
        <v>399.12</v>
      </c>
    </row>
    <row r="2441" spans="1:11" x14ac:dyDescent="0.25">
      <c r="A2441" s="8" t="s">
        <v>4009</v>
      </c>
      <c r="B2441" s="8" t="s">
        <v>122</v>
      </c>
      <c r="C2441" s="8" t="s">
        <v>3687</v>
      </c>
      <c r="D2441" s="8">
        <v>3</v>
      </c>
      <c r="E2441" s="8" t="s">
        <v>4010</v>
      </c>
      <c r="F2441" s="8" t="s">
        <v>378</v>
      </c>
      <c r="G2441" s="8" t="s">
        <v>3916</v>
      </c>
      <c r="H2441" s="10">
        <v>270</v>
      </c>
      <c r="I2441" s="10"/>
      <c r="J2441" s="10">
        <v>270</v>
      </c>
      <c r="K2441" s="10">
        <v>399.12</v>
      </c>
    </row>
    <row r="2442" spans="1:11" x14ac:dyDescent="0.25">
      <c r="A2442" s="8" t="s">
        <v>4011</v>
      </c>
      <c r="B2442" s="8" t="s">
        <v>124</v>
      </c>
      <c r="C2442" s="8" t="s">
        <v>3687</v>
      </c>
      <c r="D2442" s="8">
        <v>3</v>
      </c>
      <c r="E2442" s="8" t="s">
        <v>4010</v>
      </c>
      <c r="F2442" s="8" t="s">
        <v>378</v>
      </c>
      <c r="G2442" s="8" t="s">
        <v>3916</v>
      </c>
      <c r="H2442" s="10">
        <v>300</v>
      </c>
      <c r="I2442" s="10"/>
      <c r="J2442" s="10">
        <v>300</v>
      </c>
      <c r="K2442" s="10">
        <v>399.12</v>
      </c>
    </row>
    <row r="2443" spans="1:11" x14ac:dyDescent="0.25">
      <c r="A2443" s="8" t="s">
        <v>4012</v>
      </c>
      <c r="B2443" s="8" t="s">
        <v>1650</v>
      </c>
      <c r="C2443" s="8" t="s">
        <v>4013</v>
      </c>
      <c r="D2443" s="8">
        <v>3</v>
      </c>
      <c r="E2443" s="8" t="s">
        <v>4014</v>
      </c>
      <c r="F2443" s="8" t="s">
        <v>460</v>
      </c>
      <c r="G2443" s="8" t="s">
        <v>4015</v>
      </c>
      <c r="H2443" s="10">
        <v>5</v>
      </c>
      <c r="I2443" s="10"/>
      <c r="J2443" s="10">
        <v>5</v>
      </c>
      <c r="K2443" s="10">
        <v>602.9</v>
      </c>
    </row>
    <row r="2444" spans="1:11" x14ac:dyDescent="0.25">
      <c r="A2444" s="8" t="s">
        <v>4016</v>
      </c>
      <c r="B2444" s="8" t="s">
        <v>120</v>
      </c>
      <c r="C2444" s="8" t="s">
        <v>4013</v>
      </c>
      <c r="D2444" s="8">
        <v>3</v>
      </c>
      <c r="E2444" s="8" t="s">
        <v>4014</v>
      </c>
      <c r="F2444" s="8" t="s">
        <v>460</v>
      </c>
      <c r="G2444" s="8" t="s">
        <v>4015</v>
      </c>
      <c r="H2444" s="10">
        <v>20</v>
      </c>
      <c r="I2444" s="10"/>
      <c r="J2444" s="10">
        <v>20</v>
      </c>
      <c r="K2444" s="10">
        <v>602.9</v>
      </c>
    </row>
    <row r="2445" spans="1:11" x14ac:dyDescent="0.25">
      <c r="A2445" s="8" t="s">
        <v>4017</v>
      </c>
      <c r="B2445" s="8" t="s">
        <v>1655</v>
      </c>
      <c r="C2445" s="8" t="s">
        <v>4013</v>
      </c>
      <c r="D2445" s="8">
        <v>3</v>
      </c>
      <c r="E2445" s="8" t="s">
        <v>4014</v>
      </c>
      <c r="F2445" s="8" t="s">
        <v>460</v>
      </c>
      <c r="G2445" s="8" t="s">
        <v>4015</v>
      </c>
      <c r="H2445" s="10">
        <v>5</v>
      </c>
      <c r="I2445" s="10"/>
      <c r="J2445" s="10">
        <v>5</v>
      </c>
      <c r="K2445" s="10">
        <v>602.9</v>
      </c>
    </row>
    <row r="2446" spans="1:11" x14ac:dyDescent="0.25">
      <c r="A2446" s="8" t="s">
        <v>4018</v>
      </c>
      <c r="B2446" s="8" t="s">
        <v>1689</v>
      </c>
      <c r="C2446" s="8" t="s">
        <v>4013</v>
      </c>
      <c r="D2446" s="8">
        <v>3</v>
      </c>
      <c r="E2446" s="8" t="s">
        <v>4014</v>
      </c>
      <c r="F2446" s="8" t="s">
        <v>460</v>
      </c>
      <c r="G2446" s="8" t="s">
        <v>4015</v>
      </c>
      <c r="H2446" s="10">
        <v>2</v>
      </c>
      <c r="I2446" s="10"/>
      <c r="J2446" s="10">
        <v>2</v>
      </c>
      <c r="K2446" s="10">
        <v>602.9</v>
      </c>
    </row>
    <row r="2447" spans="1:11" x14ac:dyDescent="0.25">
      <c r="A2447" s="8" t="s">
        <v>4019</v>
      </c>
      <c r="B2447" s="8" t="s">
        <v>1650</v>
      </c>
      <c r="C2447" s="8" t="s">
        <v>4013</v>
      </c>
      <c r="D2447" s="8">
        <v>3</v>
      </c>
      <c r="E2447" s="8" t="s">
        <v>4020</v>
      </c>
      <c r="F2447" s="8" t="s">
        <v>460</v>
      </c>
      <c r="G2447" s="8" t="s">
        <v>4015</v>
      </c>
      <c r="H2447" s="10">
        <v>60</v>
      </c>
      <c r="I2447" s="10"/>
      <c r="J2447" s="10">
        <v>60</v>
      </c>
      <c r="K2447" s="10">
        <v>602.9</v>
      </c>
    </row>
    <row r="2448" spans="1:11" x14ac:dyDescent="0.25">
      <c r="A2448" s="8" t="s">
        <v>4021</v>
      </c>
      <c r="B2448" s="8" t="s">
        <v>120</v>
      </c>
      <c r="C2448" s="8" t="s">
        <v>4013</v>
      </c>
      <c r="D2448" s="8">
        <v>3</v>
      </c>
      <c r="E2448" s="8" t="s">
        <v>4020</v>
      </c>
      <c r="F2448" s="8" t="s">
        <v>460</v>
      </c>
      <c r="G2448" s="8" t="s">
        <v>4015</v>
      </c>
      <c r="H2448" s="10">
        <v>140</v>
      </c>
      <c r="I2448" s="10"/>
      <c r="J2448" s="10">
        <v>140</v>
      </c>
      <c r="K2448" s="10">
        <v>602.9</v>
      </c>
    </row>
    <row r="2449" spans="1:11" x14ac:dyDescent="0.25">
      <c r="A2449" s="8" t="s">
        <v>4022</v>
      </c>
      <c r="B2449" s="8" t="s">
        <v>1655</v>
      </c>
      <c r="C2449" s="8" t="s">
        <v>4013</v>
      </c>
      <c r="D2449" s="8">
        <v>3</v>
      </c>
      <c r="E2449" s="8" t="s">
        <v>4020</v>
      </c>
      <c r="F2449" s="8" t="s">
        <v>460</v>
      </c>
      <c r="G2449" s="8" t="s">
        <v>4015</v>
      </c>
      <c r="H2449" s="10">
        <v>80</v>
      </c>
      <c r="I2449" s="10"/>
      <c r="J2449" s="10">
        <v>80</v>
      </c>
      <c r="K2449" s="10">
        <v>602.9</v>
      </c>
    </row>
    <row r="2450" spans="1:11" x14ac:dyDescent="0.25">
      <c r="A2450" s="8" t="s">
        <v>4023</v>
      </c>
      <c r="B2450" s="8" t="s">
        <v>1689</v>
      </c>
      <c r="C2450" s="8" t="s">
        <v>4013</v>
      </c>
      <c r="D2450" s="8">
        <v>3</v>
      </c>
      <c r="E2450" s="8" t="s">
        <v>4020</v>
      </c>
      <c r="F2450" s="8" t="s">
        <v>460</v>
      </c>
      <c r="G2450" s="8" t="s">
        <v>4015</v>
      </c>
      <c r="H2450" s="10">
        <v>5</v>
      </c>
      <c r="I2450" s="10"/>
      <c r="J2450" s="10">
        <v>5</v>
      </c>
      <c r="K2450" s="10">
        <v>602.9</v>
      </c>
    </row>
    <row r="2451" spans="1:11" x14ac:dyDescent="0.25">
      <c r="A2451" s="8" t="s">
        <v>4024</v>
      </c>
      <c r="B2451" s="8" t="s">
        <v>3521</v>
      </c>
      <c r="C2451" s="8" t="s">
        <v>4013</v>
      </c>
      <c r="D2451" s="8">
        <v>3</v>
      </c>
      <c r="E2451" s="8" t="s">
        <v>4020</v>
      </c>
      <c r="F2451" s="8" t="s">
        <v>460</v>
      </c>
      <c r="G2451" s="8" t="s">
        <v>4015</v>
      </c>
      <c r="H2451" s="10">
        <v>24</v>
      </c>
      <c r="I2451" s="10"/>
      <c r="J2451" s="10">
        <v>24</v>
      </c>
      <c r="K2451" s="10">
        <v>602.9</v>
      </c>
    </row>
    <row r="2452" spans="1:11" x14ac:dyDescent="0.25">
      <c r="A2452" s="8" t="s">
        <v>4025</v>
      </c>
      <c r="B2452" s="8" t="s">
        <v>116</v>
      </c>
      <c r="C2452" s="8" t="s">
        <v>4013</v>
      </c>
      <c r="D2452" s="8">
        <v>3</v>
      </c>
      <c r="E2452" s="8" t="s">
        <v>4026</v>
      </c>
      <c r="F2452" s="8" t="s">
        <v>460</v>
      </c>
      <c r="G2452" s="8" t="s">
        <v>4015</v>
      </c>
      <c r="H2452" s="10">
        <v>10</v>
      </c>
      <c r="I2452" s="10"/>
      <c r="J2452" s="10">
        <v>10</v>
      </c>
      <c r="K2452" s="10">
        <v>602.9</v>
      </c>
    </row>
    <row r="2453" spans="1:11" x14ac:dyDescent="0.25">
      <c r="A2453" s="8" t="s">
        <v>4027</v>
      </c>
      <c r="B2453" s="8" t="s">
        <v>118</v>
      </c>
      <c r="C2453" s="8" t="s">
        <v>4013</v>
      </c>
      <c r="D2453" s="8">
        <v>3</v>
      </c>
      <c r="E2453" s="8" t="s">
        <v>4026</v>
      </c>
      <c r="F2453" s="8" t="s">
        <v>460</v>
      </c>
      <c r="G2453" s="8" t="s">
        <v>4015</v>
      </c>
      <c r="H2453" s="10">
        <v>10</v>
      </c>
      <c r="I2453" s="10"/>
      <c r="J2453" s="10">
        <v>10</v>
      </c>
      <c r="K2453" s="10">
        <v>602.9</v>
      </c>
    </row>
    <row r="2454" spans="1:11" x14ac:dyDescent="0.25">
      <c r="A2454" s="8" t="s">
        <v>4028</v>
      </c>
      <c r="B2454" s="8" t="s">
        <v>1650</v>
      </c>
      <c r="C2454" s="8" t="s">
        <v>4013</v>
      </c>
      <c r="D2454" s="8">
        <v>3</v>
      </c>
      <c r="E2454" s="8" t="s">
        <v>4026</v>
      </c>
      <c r="F2454" s="8" t="s">
        <v>460</v>
      </c>
      <c r="G2454" s="8" t="s">
        <v>4015</v>
      </c>
      <c r="H2454" s="10">
        <v>5</v>
      </c>
      <c r="I2454" s="10"/>
      <c r="J2454" s="10">
        <v>5</v>
      </c>
      <c r="K2454" s="10">
        <v>602.9</v>
      </c>
    </row>
    <row r="2455" spans="1:11" x14ac:dyDescent="0.25">
      <c r="A2455" s="8" t="s">
        <v>4029</v>
      </c>
      <c r="B2455" s="8" t="s">
        <v>120</v>
      </c>
      <c r="C2455" s="8" t="s">
        <v>4013</v>
      </c>
      <c r="D2455" s="8">
        <v>3</v>
      </c>
      <c r="E2455" s="8" t="s">
        <v>4026</v>
      </c>
      <c r="F2455" s="8" t="s">
        <v>460</v>
      </c>
      <c r="G2455" s="8" t="s">
        <v>4015</v>
      </c>
      <c r="H2455" s="10">
        <v>20</v>
      </c>
      <c r="I2455" s="10"/>
      <c r="J2455" s="10">
        <v>20</v>
      </c>
      <c r="K2455" s="10">
        <v>602.9</v>
      </c>
    </row>
    <row r="2456" spans="1:11" x14ac:dyDescent="0.25">
      <c r="A2456" s="8" t="s">
        <v>4030</v>
      </c>
      <c r="B2456" s="8" t="s">
        <v>120</v>
      </c>
      <c r="C2456" s="8" t="s">
        <v>4013</v>
      </c>
      <c r="D2456" s="8">
        <v>3</v>
      </c>
      <c r="E2456" s="8" t="s">
        <v>4026</v>
      </c>
      <c r="F2456" s="8" t="s">
        <v>460</v>
      </c>
      <c r="G2456" s="8" t="s">
        <v>4015</v>
      </c>
      <c r="H2456" s="10">
        <v>5</v>
      </c>
      <c r="I2456" s="10"/>
      <c r="J2456" s="10">
        <v>5</v>
      </c>
      <c r="K2456" s="10">
        <v>602.9</v>
      </c>
    </row>
    <row r="2457" spans="1:11" x14ac:dyDescent="0.25">
      <c r="A2457" s="8" t="s">
        <v>4031</v>
      </c>
      <c r="B2457" s="8" t="s">
        <v>122</v>
      </c>
      <c r="C2457" s="8" t="s">
        <v>4013</v>
      </c>
      <c r="D2457" s="8">
        <v>3</v>
      </c>
      <c r="E2457" s="8" t="s">
        <v>4026</v>
      </c>
      <c r="F2457" s="8" t="s">
        <v>460</v>
      </c>
      <c r="G2457" s="8" t="s">
        <v>4015</v>
      </c>
      <c r="H2457" s="10">
        <v>5</v>
      </c>
      <c r="I2457" s="10"/>
      <c r="J2457" s="10">
        <v>5</v>
      </c>
      <c r="K2457" s="10">
        <v>602.9</v>
      </c>
    </row>
    <row r="2458" spans="1:11" x14ac:dyDescent="0.25">
      <c r="A2458" s="8" t="s">
        <v>4032</v>
      </c>
      <c r="B2458" s="8" t="s">
        <v>124</v>
      </c>
      <c r="C2458" s="8" t="s">
        <v>4013</v>
      </c>
      <c r="D2458" s="8">
        <v>3</v>
      </c>
      <c r="E2458" s="8" t="s">
        <v>4026</v>
      </c>
      <c r="F2458" s="8" t="s">
        <v>460</v>
      </c>
      <c r="G2458" s="8" t="s">
        <v>4015</v>
      </c>
      <c r="H2458" s="10">
        <v>5</v>
      </c>
      <c r="I2458" s="10"/>
      <c r="J2458" s="10">
        <v>5</v>
      </c>
      <c r="K2458" s="10">
        <v>602.9</v>
      </c>
    </row>
    <row r="2459" spans="1:11" x14ac:dyDescent="0.25">
      <c r="A2459" s="8" t="s">
        <v>4033</v>
      </c>
      <c r="B2459" s="8" t="s">
        <v>78</v>
      </c>
      <c r="C2459" s="8" t="s">
        <v>4013</v>
      </c>
      <c r="D2459" s="8">
        <v>3</v>
      </c>
      <c r="E2459" s="8" t="s">
        <v>4026</v>
      </c>
      <c r="F2459" s="8" t="s">
        <v>460</v>
      </c>
      <c r="G2459" s="8" t="s">
        <v>4015</v>
      </c>
      <c r="H2459" s="10">
        <v>5</v>
      </c>
      <c r="I2459" s="10"/>
      <c r="J2459" s="10">
        <v>5</v>
      </c>
      <c r="K2459" s="10">
        <v>602.9</v>
      </c>
    </row>
    <row r="2460" spans="1:11" x14ac:dyDescent="0.25">
      <c r="A2460" s="8" t="s">
        <v>4034</v>
      </c>
      <c r="B2460" s="8" t="s">
        <v>1655</v>
      </c>
      <c r="C2460" s="8" t="s">
        <v>4013</v>
      </c>
      <c r="D2460" s="8">
        <v>3</v>
      </c>
      <c r="E2460" s="8" t="s">
        <v>4026</v>
      </c>
      <c r="F2460" s="8" t="s">
        <v>460</v>
      </c>
      <c r="G2460" s="8" t="s">
        <v>4015</v>
      </c>
      <c r="H2460" s="10">
        <v>5</v>
      </c>
      <c r="I2460" s="10"/>
      <c r="J2460" s="10">
        <v>5</v>
      </c>
      <c r="K2460" s="10">
        <v>602.9</v>
      </c>
    </row>
    <row r="2461" spans="1:11" x14ac:dyDescent="0.25">
      <c r="A2461" s="8" t="s">
        <v>4035</v>
      </c>
      <c r="B2461" s="8" t="s">
        <v>128</v>
      </c>
      <c r="C2461" s="8" t="s">
        <v>4013</v>
      </c>
      <c r="D2461" s="8">
        <v>3</v>
      </c>
      <c r="E2461" s="8" t="s">
        <v>4026</v>
      </c>
      <c r="F2461" s="8" t="s">
        <v>460</v>
      </c>
      <c r="G2461" s="8" t="s">
        <v>4015</v>
      </c>
      <c r="H2461" s="10">
        <v>5</v>
      </c>
      <c r="I2461" s="10"/>
      <c r="J2461" s="10">
        <v>5</v>
      </c>
      <c r="K2461" s="10">
        <v>602.9</v>
      </c>
    </row>
    <row r="2462" spans="1:11" x14ac:dyDescent="0.25">
      <c r="A2462" s="8" t="s">
        <v>4036</v>
      </c>
      <c r="B2462" s="8" t="s">
        <v>130</v>
      </c>
      <c r="C2462" s="8" t="s">
        <v>4013</v>
      </c>
      <c r="D2462" s="8">
        <v>3</v>
      </c>
      <c r="E2462" s="8" t="s">
        <v>4026</v>
      </c>
      <c r="F2462" s="8" t="s">
        <v>460</v>
      </c>
      <c r="G2462" s="8" t="s">
        <v>4015</v>
      </c>
      <c r="H2462" s="10">
        <v>5</v>
      </c>
      <c r="I2462" s="10"/>
      <c r="J2462" s="10">
        <v>5</v>
      </c>
      <c r="K2462" s="10">
        <v>602.9</v>
      </c>
    </row>
    <row r="2463" spans="1:11" x14ac:dyDescent="0.25">
      <c r="A2463" s="8" t="s">
        <v>4037</v>
      </c>
      <c r="B2463" s="8" t="s">
        <v>132</v>
      </c>
      <c r="C2463" s="8" t="s">
        <v>4013</v>
      </c>
      <c r="D2463" s="8">
        <v>3</v>
      </c>
      <c r="E2463" s="8" t="s">
        <v>4026</v>
      </c>
      <c r="F2463" s="8" t="s">
        <v>460</v>
      </c>
      <c r="G2463" s="8" t="s">
        <v>4015</v>
      </c>
      <c r="H2463" s="10">
        <v>5</v>
      </c>
      <c r="I2463" s="10"/>
      <c r="J2463" s="10">
        <v>5</v>
      </c>
      <c r="K2463" s="10">
        <v>602.9</v>
      </c>
    </row>
    <row r="2464" spans="1:11" x14ac:dyDescent="0.25">
      <c r="A2464" s="8" t="s">
        <v>4038</v>
      </c>
      <c r="B2464" s="8" t="s">
        <v>134</v>
      </c>
      <c r="C2464" s="8" t="s">
        <v>4013</v>
      </c>
      <c r="D2464" s="8">
        <v>3</v>
      </c>
      <c r="E2464" s="8" t="s">
        <v>4026</v>
      </c>
      <c r="F2464" s="8" t="s">
        <v>460</v>
      </c>
      <c r="G2464" s="8" t="s">
        <v>4015</v>
      </c>
      <c r="H2464" s="10">
        <v>5</v>
      </c>
      <c r="I2464" s="10"/>
      <c r="J2464" s="10">
        <v>5</v>
      </c>
      <c r="K2464" s="10">
        <v>602.9</v>
      </c>
    </row>
    <row r="2465" spans="1:11" x14ac:dyDescent="0.25">
      <c r="A2465" s="8" t="s">
        <v>4039</v>
      </c>
      <c r="B2465" s="8" t="s">
        <v>136</v>
      </c>
      <c r="C2465" s="8" t="s">
        <v>4013</v>
      </c>
      <c r="D2465" s="8">
        <v>3</v>
      </c>
      <c r="E2465" s="8" t="s">
        <v>4026</v>
      </c>
      <c r="F2465" s="8" t="s">
        <v>460</v>
      </c>
      <c r="G2465" s="8" t="s">
        <v>4015</v>
      </c>
      <c r="H2465" s="10">
        <v>5</v>
      </c>
      <c r="I2465" s="10"/>
      <c r="J2465" s="10">
        <v>5</v>
      </c>
      <c r="K2465" s="10">
        <v>602.9</v>
      </c>
    </row>
    <row r="2466" spans="1:11" x14ac:dyDescent="0.25">
      <c r="A2466" s="8" t="s">
        <v>4040</v>
      </c>
      <c r="B2466" s="8" t="s">
        <v>138</v>
      </c>
      <c r="C2466" s="8" t="s">
        <v>4013</v>
      </c>
      <c r="D2466" s="8">
        <v>3</v>
      </c>
      <c r="E2466" s="8" t="s">
        <v>4026</v>
      </c>
      <c r="F2466" s="8" t="s">
        <v>460</v>
      </c>
      <c r="G2466" s="8" t="s">
        <v>4015</v>
      </c>
      <c r="H2466" s="10">
        <v>5</v>
      </c>
      <c r="I2466" s="10"/>
      <c r="J2466" s="10">
        <v>5</v>
      </c>
      <c r="K2466" s="10">
        <v>602.9</v>
      </c>
    </row>
    <row r="2467" spans="1:11" x14ac:dyDescent="0.25">
      <c r="A2467" s="8" t="s">
        <v>4041</v>
      </c>
      <c r="B2467" s="8" t="s">
        <v>3521</v>
      </c>
      <c r="C2467" s="8" t="s">
        <v>4013</v>
      </c>
      <c r="D2467" s="8">
        <v>3</v>
      </c>
      <c r="E2467" s="8" t="s">
        <v>4026</v>
      </c>
      <c r="F2467" s="8" t="s">
        <v>460</v>
      </c>
      <c r="G2467" s="8" t="s">
        <v>4015</v>
      </c>
      <c r="H2467" s="10">
        <v>5</v>
      </c>
      <c r="I2467" s="10"/>
      <c r="J2467" s="10">
        <v>5</v>
      </c>
      <c r="K2467" s="10">
        <v>602.9</v>
      </c>
    </row>
    <row r="2468" spans="1:11" x14ac:dyDescent="0.25">
      <c r="A2468" s="8" t="s">
        <v>4042</v>
      </c>
      <c r="B2468" s="8" t="s">
        <v>116</v>
      </c>
      <c r="C2468" s="8" t="s">
        <v>4013</v>
      </c>
      <c r="D2468" s="8">
        <v>3</v>
      </c>
      <c r="E2468" s="8" t="s">
        <v>4043</v>
      </c>
      <c r="F2468" s="8" t="s">
        <v>460</v>
      </c>
      <c r="G2468" s="8" t="s">
        <v>4015</v>
      </c>
      <c r="H2468" s="10">
        <v>10</v>
      </c>
      <c r="I2468" s="10"/>
      <c r="J2468" s="10">
        <v>10</v>
      </c>
      <c r="K2468" s="10">
        <v>602.9</v>
      </c>
    </row>
    <row r="2469" spans="1:11" x14ac:dyDescent="0.25">
      <c r="A2469" s="8" t="s">
        <v>4044</v>
      </c>
      <c r="B2469" s="8" t="s">
        <v>118</v>
      </c>
      <c r="C2469" s="8" t="s">
        <v>4013</v>
      </c>
      <c r="D2469" s="8">
        <v>3</v>
      </c>
      <c r="E2469" s="8" t="s">
        <v>4043</v>
      </c>
      <c r="F2469" s="8" t="s">
        <v>460</v>
      </c>
      <c r="G2469" s="8" t="s">
        <v>4015</v>
      </c>
      <c r="H2469" s="10">
        <v>10</v>
      </c>
      <c r="I2469" s="10"/>
      <c r="J2469" s="10">
        <v>10</v>
      </c>
      <c r="K2469" s="10">
        <v>602.9</v>
      </c>
    </row>
    <row r="2470" spans="1:11" x14ac:dyDescent="0.25">
      <c r="A2470" s="8" t="s">
        <v>4045</v>
      </c>
      <c r="B2470" s="8" t="s">
        <v>120</v>
      </c>
      <c r="C2470" s="8" t="s">
        <v>4013</v>
      </c>
      <c r="D2470" s="8">
        <v>3</v>
      </c>
      <c r="E2470" s="8" t="s">
        <v>4043</v>
      </c>
      <c r="F2470" s="8" t="s">
        <v>460</v>
      </c>
      <c r="G2470" s="8" t="s">
        <v>4015</v>
      </c>
      <c r="H2470" s="10">
        <v>20</v>
      </c>
      <c r="I2470" s="10"/>
      <c r="J2470" s="10">
        <v>20</v>
      </c>
      <c r="K2470" s="10">
        <v>602.9</v>
      </c>
    </row>
    <row r="2471" spans="1:11" x14ac:dyDescent="0.25">
      <c r="A2471" s="8" t="s">
        <v>4046</v>
      </c>
      <c r="B2471" s="8" t="s">
        <v>122</v>
      </c>
      <c r="C2471" s="8" t="s">
        <v>4013</v>
      </c>
      <c r="D2471" s="8">
        <v>3</v>
      </c>
      <c r="E2471" s="8" t="s">
        <v>4043</v>
      </c>
      <c r="F2471" s="8" t="s">
        <v>460</v>
      </c>
      <c r="G2471" s="8" t="s">
        <v>4015</v>
      </c>
      <c r="H2471" s="10">
        <v>5</v>
      </c>
      <c r="I2471" s="10"/>
      <c r="J2471" s="10">
        <v>5</v>
      </c>
      <c r="K2471" s="10">
        <v>602.9</v>
      </c>
    </row>
    <row r="2472" spans="1:11" x14ac:dyDescent="0.25">
      <c r="A2472" s="8" t="s">
        <v>4047</v>
      </c>
      <c r="B2472" s="8" t="s">
        <v>124</v>
      </c>
      <c r="C2472" s="8" t="s">
        <v>4013</v>
      </c>
      <c r="D2472" s="8">
        <v>3</v>
      </c>
      <c r="E2472" s="8" t="s">
        <v>4043</v>
      </c>
      <c r="F2472" s="8" t="s">
        <v>460</v>
      </c>
      <c r="G2472" s="8" t="s">
        <v>4015</v>
      </c>
      <c r="H2472" s="10">
        <v>5</v>
      </c>
      <c r="I2472" s="10"/>
      <c r="J2472" s="10">
        <v>5</v>
      </c>
      <c r="K2472" s="10">
        <v>602.9</v>
      </c>
    </row>
    <row r="2473" spans="1:11" x14ac:dyDescent="0.25">
      <c r="A2473" s="8" t="s">
        <v>4048</v>
      </c>
      <c r="B2473" s="8" t="s">
        <v>78</v>
      </c>
      <c r="C2473" s="8" t="s">
        <v>4013</v>
      </c>
      <c r="D2473" s="8">
        <v>3</v>
      </c>
      <c r="E2473" s="8" t="s">
        <v>4043</v>
      </c>
      <c r="F2473" s="8" t="s">
        <v>460</v>
      </c>
      <c r="G2473" s="8" t="s">
        <v>4015</v>
      </c>
      <c r="H2473" s="10">
        <v>5</v>
      </c>
      <c r="I2473" s="10"/>
      <c r="J2473" s="10">
        <v>5</v>
      </c>
      <c r="K2473" s="10">
        <v>602.9</v>
      </c>
    </row>
    <row r="2474" spans="1:11" x14ac:dyDescent="0.25">
      <c r="A2474" s="8" t="s">
        <v>4049</v>
      </c>
      <c r="B2474" s="8" t="s">
        <v>128</v>
      </c>
      <c r="C2474" s="8" t="s">
        <v>4013</v>
      </c>
      <c r="D2474" s="8">
        <v>3</v>
      </c>
      <c r="E2474" s="8" t="s">
        <v>4043</v>
      </c>
      <c r="F2474" s="8" t="s">
        <v>460</v>
      </c>
      <c r="G2474" s="8" t="s">
        <v>4015</v>
      </c>
      <c r="H2474" s="10">
        <v>5</v>
      </c>
      <c r="I2474" s="10"/>
      <c r="J2474" s="10">
        <v>5</v>
      </c>
      <c r="K2474" s="10">
        <v>602.9</v>
      </c>
    </row>
    <row r="2475" spans="1:11" x14ac:dyDescent="0.25">
      <c r="A2475" s="8" t="s">
        <v>4050</v>
      </c>
      <c r="B2475" s="8" t="s">
        <v>130</v>
      </c>
      <c r="C2475" s="8" t="s">
        <v>4013</v>
      </c>
      <c r="D2475" s="8">
        <v>3</v>
      </c>
      <c r="E2475" s="8" t="s">
        <v>4043</v>
      </c>
      <c r="F2475" s="8" t="s">
        <v>460</v>
      </c>
      <c r="G2475" s="8" t="s">
        <v>4015</v>
      </c>
      <c r="H2475" s="10">
        <v>5</v>
      </c>
      <c r="I2475" s="10"/>
      <c r="J2475" s="10">
        <v>5</v>
      </c>
      <c r="K2475" s="10">
        <v>602.9</v>
      </c>
    </row>
    <row r="2476" spans="1:11" x14ac:dyDescent="0.25">
      <c r="A2476" s="8" t="s">
        <v>4051</v>
      </c>
      <c r="B2476" s="8" t="s">
        <v>132</v>
      </c>
      <c r="C2476" s="8" t="s">
        <v>4013</v>
      </c>
      <c r="D2476" s="8">
        <v>3</v>
      </c>
      <c r="E2476" s="8" t="s">
        <v>4043</v>
      </c>
      <c r="F2476" s="8" t="s">
        <v>460</v>
      </c>
      <c r="G2476" s="8" t="s">
        <v>4015</v>
      </c>
      <c r="H2476" s="10">
        <v>5</v>
      </c>
      <c r="I2476" s="10"/>
      <c r="J2476" s="10">
        <v>5</v>
      </c>
      <c r="K2476" s="10">
        <v>602.9</v>
      </c>
    </row>
    <row r="2477" spans="1:11" x14ac:dyDescent="0.25">
      <c r="A2477" s="8" t="s">
        <v>4052</v>
      </c>
      <c r="B2477" s="8" t="s">
        <v>134</v>
      </c>
      <c r="C2477" s="8" t="s">
        <v>4013</v>
      </c>
      <c r="D2477" s="8">
        <v>3</v>
      </c>
      <c r="E2477" s="8" t="s">
        <v>4043</v>
      </c>
      <c r="F2477" s="8" t="s">
        <v>460</v>
      </c>
      <c r="G2477" s="8" t="s">
        <v>4015</v>
      </c>
      <c r="H2477" s="10">
        <v>5</v>
      </c>
      <c r="I2477" s="10"/>
      <c r="J2477" s="10">
        <v>5</v>
      </c>
      <c r="K2477" s="10">
        <v>602.9</v>
      </c>
    </row>
    <row r="2478" spans="1:11" x14ac:dyDescent="0.25">
      <c r="A2478" s="8" t="s">
        <v>4053</v>
      </c>
      <c r="B2478" s="8" t="s">
        <v>136</v>
      </c>
      <c r="C2478" s="8" t="s">
        <v>4013</v>
      </c>
      <c r="D2478" s="8">
        <v>3</v>
      </c>
      <c r="E2478" s="8" t="s">
        <v>4043</v>
      </c>
      <c r="F2478" s="8" t="s">
        <v>460</v>
      </c>
      <c r="G2478" s="8" t="s">
        <v>4015</v>
      </c>
      <c r="H2478" s="10">
        <v>5</v>
      </c>
      <c r="I2478" s="10"/>
      <c r="J2478" s="10">
        <v>5</v>
      </c>
      <c r="K2478" s="10">
        <v>602.9</v>
      </c>
    </row>
    <row r="2479" spans="1:11" x14ac:dyDescent="0.25">
      <c r="A2479" s="8" t="s">
        <v>4054</v>
      </c>
      <c r="B2479" s="8" t="s">
        <v>138</v>
      </c>
      <c r="C2479" s="8" t="s">
        <v>4013</v>
      </c>
      <c r="D2479" s="8">
        <v>3</v>
      </c>
      <c r="E2479" s="8" t="s">
        <v>4043</v>
      </c>
      <c r="F2479" s="8" t="s">
        <v>460</v>
      </c>
      <c r="G2479" s="8" t="s">
        <v>4015</v>
      </c>
      <c r="H2479" s="10">
        <v>5</v>
      </c>
      <c r="I2479" s="10"/>
      <c r="J2479" s="10">
        <v>5</v>
      </c>
      <c r="K2479" s="10">
        <v>602.9</v>
      </c>
    </row>
    <row r="2480" spans="1:11" x14ac:dyDescent="0.25">
      <c r="A2480" s="8" t="s">
        <v>4055</v>
      </c>
      <c r="B2480" s="8" t="s">
        <v>116</v>
      </c>
      <c r="C2480" s="8" t="s">
        <v>4013</v>
      </c>
      <c r="D2480" s="8">
        <v>3</v>
      </c>
      <c r="E2480" s="8" t="s">
        <v>4056</v>
      </c>
      <c r="F2480" s="8" t="s">
        <v>460</v>
      </c>
      <c r="G2480" s="8" t="s">
        <v>4015</v>
      </c>
      <c r="H2480" s="10">
        <v>10</v>
      </c>
      <c r="I2480" s="10"/>
      <c r="J2480" s="10">
        <v>10</v>
      </c>
      <c r="K2480" s="10">
        <v>602.9</v>
      </c>
    </row>
    <row r="2481" spans="1:11" x14ac:dyDescent="0.25">
      <c r="A2481" s="8" t="s">
        <v>4057</v>
      </c>
      <c r="B2481" s="8" t="s">
        <v>118</v>
      </c>
      <c r="C2481" s="8" t="s">
        <v>4013</v>
      </c>
      <c r="D2481" s="8">
        <v>3</v>
      </c>
      <c r="E2481" s="8" t="s">
        <v>4056</v>
      </c>
      <c r="F2481" s="8" t="s">
        <v>460</v>
      </c>
      <c r="G2481" s="8" t="s">
        <v>4015</v>
      </c>
      <c r="H2481" s="10">
        <v>10</v>
      </c>
      <c r="I2481" s="10"/>
      <c r="J2481" s="10">
        <v>10</v>
      </c>
      <c r="K2481" s="10">
        <v>602.9</v>
      </c>
    </row>
    <row r="2482" spans="1:11" x14ac:dyDescent="0.25">
      <c r="A2482" s="8" t="s">
        <v>4058</v>
      </c>
      <c r="B2482" s="8" t="s">
        <v>120</v>
      </c>
      <c r="C2482" s="8" t="s">
        <v>4013</v>
      </c>
      <c r="D2482" s="8">
        <v>3</v>
      </c>
      <c r="E2482" s="8" t="s">
        <v>4056</v>
      </c>
      <c r="F2482" s="8" t="s">
        <v>460</v>
      </c>
      <c r="G2482" s="8" t="s">
        <v>4015</v>
      </c>
      <c r="H2482" s="10">
        <v>20</v>
      </c>
      <c r="I2482" s="10"/>
      <c r="J2482" s="10">
        <v>20</v>
      </c>
      <c r="K2482" s="10">
        <v>602.9</v>
      </c>
    </row>
    <row r="2483" spans="1:11" x14ac:dyDescent="0.25">
      <c r="A2483" s="8" t="s">
        <v>4059</v>
      </c>
      <c r="B2483" s="8" t="s">
        <v>122</v>
      </c>
      <c r="C2483" s="8" t="s">
        <v>4013</v>
      </c>
      <c r="D2483" s="8">
        <v>3</v>
      </c>
      <c r="E2483" s="8" t="s">
        <v>4056</v>
      </c>
      <c r="F2483" s="8" t="s">
        <v>460</v>
      </c>
      <c r="G2483" s="8" t="s">
        <v>4015</v>
      </c>
      <c r="H2483" s="10">
        <v>5</v>
      </c>
      <c r="I2483" s="10"/>
      <c r="J2483" s="10">
        <v>5</v>
      </c>
      <c r="K2483" s="10">
        <v>602.9</v>
      </c>
    </row>
    <row r="2484" spans="1:11" x14ac:dyDescent="0.25">
      <c r="A2484" s="8" t="s">
        <v>4060</v>
      </c>
      <c r="B2484" s="8" t="s">
        <v>124</v>
      </c>
      <c r="C2484" s="8" t="s">
        <v>4013</v>
      </c>
      <c r="D2484" s="8">
        <v>3</v>
      </c>
      <c r="E2484" s="8" t="s">
        <v>4056</v>
      </c>
      <c r="F2484" s="8" t="s">
        <v>460</v>
      </c>
      <c r="G2484" s="8" t="s">
        <v>4015</v>
      </c>
      <c r="H2484" s="10">
        <v>5</v>
      </c>
      <c r="I2484" s="10"/>
      <c r="J2484" s="10">
        <v>5</v>
      </c>
      <c r="K2484" s="10">
        <v>602.9</v>
      </c>
    </row>
    <row r="2485" spans="1:11" x14ac:dyDescent="0.25">
      <c r="A2485" s="8" t="s">
        <v>4061</v>
      </c>
      <c r="B2485" s="8" t="s">
        <v>78</v>
      </c>
      <c r="C2485" s="8" t="s">
        <v>4013</v>
      </c>
      <c r="D2485" s="8">
        <v>3</v>
      </c>
      <c r="E2485" s="8" t="s">
        <v>4056</v>
      </c>
      <c r="F2485" s="8" t="s">
        <v>460</v>
      </c>
      <c r="G2485" s="8" t="s">
        <v>4015</v>
      </c>
      <c r="H2485" s="10">
        <v>5</v>
      </c>
      <c r="I2485" s="10"/>
      <c r="J2485" s="10">
        <v>5</v>
      </c>
      <c r="K2485" s="10">
        <v>602.9</v>
      </c>
    </row>
    <row r="2486" spans="1:11" x14ac:dyDescent="0.25">
      <c r="A2486" s="8" t="s">
        <v>4062</v>
      </c>
      <c r="B2486" s="8" t="s">
        <v>128</v>
      </c>
      <c r="C2486" s="8" t="s">
        <v>4013</v>
      </c>
      <c r="D2486" s="8">
        <v>3</v>
      </c>
      <c r="E2486" s="8" t="s">
        <v>4056</v>
      </c>
      <c r="F2486" s="8" t="s">
        <v>460</v>
      </c>
      <c r="G2486" s="8" t="s">
        <v>4015</v>
      </c>
      <c r="H2486" s="10">
        <v>5</v>
      </c>
      <c r="I2486" s="10"/>
      <c r="J2486" s="10">
        <v>5</v>
      </c>
      <c r="K2486" s="10">
        <v>602.9</v>
      </c>
    </row>
    <row r="2487" spans="1:11" x14ac:dyDescent="0.25">
      <c r="A2487" s="8" t="s">
        <v>4063</v>
      </c>
      <c r="B2487" s="8" t="s">
        <v>130</v>
      </c>
      <c r="C2487" s="8" t="s">
        <v>4013</v>
      </c>
      <c r="D2487" s="8">
        <v>3</v>
      </c>
      <c r="E2487" s="8" t="s">
        <v>4056</v>
      </c>
      <c r="F2487" s="8" t="s">
        <v>460</v>
      </c>
      <c r="G2487" s="8" t="s">
        <v>4015</v>
      </c>
      <c r="H2487" s="10">
        <v>2</v>
      </c>
      <c r="I2487" s="10"/>
      <c r="J2487" s="10">
        <v>2</v>
      </c>
      <c r="K2487" s="10">
        <v>602.9</v>
      </c>
    </row>
    <row r="2488" spans="1:11" x14ac:dyDescent="0.25">
      <c r="A2488" s="8" t="s">
        <v>4064</v>
      </c>
      <c r="B2488" s="8" t="s">
        <v>132</v>
      </c>
      <c r="C2488" s="8" t="s">
        <v>4013</v>
      </c>
      <c r="D2488" s="8">
        <v>3</v>
      </c>
      <c r="E2488" s="8" t="s">
        <v>4056</v>
      </c>
      <c r="F2488" s="8" t="s">
        <v>460</v>
      </c>
      <c r="G2488" s="8" t="s">
        <v>4015</v>
      </c>
      <c r="H2488" s="10">
        <v>5</v>
      </c>
      <c r="I2488" s="10"/>
      <c r="J2488" s="10">
        <v>5</v>
      </c>
      <c r="K2488" s="10">
        <v>602.9</v>
      </c>
    </row>
    <row r="2489" spans="1:11" x14ac:dyDescent="0.25">
      <c r="A2489" s="8" t="s">
        <v>4065</v>
      </c>
      <c r="B2489" s="8" t="s">
        <v>134</v>
      </c>
      <c r="C2489" s="8" t="s">
        <v>4013</v>
      </c>
      <c r="D2489" s="8">
        <v>3</v>
      </c>
      <c r="E2489" s="8" t="s">
        <v>4056</v>
      </c>
      <c r="F2489" s="8" t="s">
        <v>460</v>
      </c>
      <c r="G2489" s="8" t="s">
        <v>4015</v>
      </c>
      <c r="H2489" s="10">
        <v>5</v>
      </c>
      <c r="I2489" s="10"/>
      <c r="J2489" s="10">
        <v>5</v>
      </c>
      <c r="K2489" s="10">
        <v>602.9</v>
      </c>
    </row>
    <row r="2490" spans="1:11" x14ac:dyDescent="0.25">
      <c r="A2490" s="8" t="s">
        <v>4066</v>
      </c>
      <c r="B2490" s="8" t="s">
        <v>136</v>
      </c>
      <c r="C2490" s="8" t="s">
        <v>4013</v>
      </c>
      <c r="D2490" s="8">
        <v>3</v>
      </c>
      <c r="E2490" s="8" t="s">
        <v>4056</v>
      </c>
      <c r="F2490" s="8" t="s">
        <v>460</v>
      </c>
      <c r="G2490" s="8" t="s">
        <v>4015</v>
      </c>
      <c r="H2490" s="10">
        <v>5</v>
      </c>
      <c r="I2490" s="10"/>
      <c r="J2490" s="10">
        <v>5</v>
      </c>
      <c r="K2490" s="10">
        <v>602.9</v>
      </c>
    </row>
    <row r="2491" spans="1:11" x14ac:dyDescent="0.25">
      <c r="A2491" s="8" t="s">
        <v>4067</v>
      </c>
      <c r="B2491" s="8" t="s">
        <v>263</v>
      </c>
      <c r="C2491" s="8" t="s">
        <v>4068</v>
      </c>
      <c r="D2491" s="8">
        <v>4</v>
      </c>
      <c r="E2491" s="8" t="s">
        <v>459</v>
      </c>
      <c r="F2491" s="8" t="s">
        <v>460</v>
      </c>
      <c r="G2491" s="8" t="s">
        <v>4069</v>
      </c>
      <c r="H2491" s="10">
        <v>2</v>
      </c>
      <c r="I2491" s="10"/>
      <c r="J2491" s="10">
        <v>2</v>
      </c>
      <c r="K2491" s="10">
        <v>1027.49</v>
      </c>
    </row>
    <row r="2492" spans="1:11" x14ac:dyDescent="0.25">
      <c r="A2492" s="8" t="s">
        <v>4070</v>
      </c>
      <c r="B2492" s="8" t="s">
        <v>269</v>
      </c>
      <c r="C2492" s="8" t="s">
        <v>4068</v>
      </c>
      <c r="D2492" s="8">
        <v>4</v>
      </c>
      <c r="E2492" s="8" t="s">
        <v>459</v>
      </c>
      <c r="F2492" s="8" t="s">
        <v>460</v>
      </c>
      <c r="G2492" s="8" t="s">
        <v>4069</v>
      </c>
      <c r="H2492" s="10">
        <v>2</v>
      </c>
      <c r="I2492" s="10"/>
      <c r="J2492" s="10">
        <v>2</v>
      </c>
      <c r="K2492" s="10">
        <v>1027.49</v>
      </c>
    </row>
    <row r="2493" spans="1:11" x14ac:dyDescent="0.25">
      <c r="A2493" s="8" t="s">
        <v>4071</v>
      </c>
      <c r="B2493" s="8" t="s">
        <v>116</v>
      </c>
      <c r="C2493" s="8" t="s">
        <v>4013</v>
      </c>
      <c r="D2493" s="8">
        <v>3</v>
      </c>
      <c r="E2493" s="8" t="s">
        <v>4072</v>
      </c>
      <c r="F2493" s="8" t="s">
        <v>460</v>
      </c>
      <c r="G2493" s="8" t="s">
        <v>4015</v>
      </c>
      <c r="H2493" s="10">
        <v>5</v>
      </c>
      <c r="I2493" s="10"/>
      <c r="J2493" s="10">
        <v>5</v>
      </c>
      <c r="K2493" s="10">
        <v>803.86</v>
      </c>
    </row>
    <row r="2494" spans="1:11" x14ac:dyDescent="0.25">
      <c r="A2494" s="8" t="s">
        <v>4073</v>
      </c>
      <c r="B2494" s="8" t="s">
        <v>118</v>
      </c>
      <c r="C2494" s="8" t="s">
        <v>4013</v>
      </c>
      <c r="D2494" s="8">
        <v>3</v>
      </c>
      <c r="E2494" s="8" t="s">
        <v>4072</v>
      </c>
      <c r="F2494" s="8" t="s">
        <v>460</v>
      </c>
      <c r="G2494" s="8" t="s">
        <v>4015</v>
      </c>
      <c r="H2494" s="10">
        <v>5</v>
      </c>
      <c r="I2494" s="10"/>
      <c r="J2494" s="10">
        <v>5</v>
      </c>
      <c r="K2494" s="10">
        <v>803.86</v>
      </c>
    </row>
    <row r="2495" spans="1:11" x14ac:dyDescent="0.25">
      <c r="A2495" s="8" t="s">
        <v>4074</v>
      </c>
      <c r="B2495" s="8" t="s">
        <v>1650</v>
      </c>
      <c r="C2495" s="8" t="s">
        <v>4013</v>
      </c>
      <c r="D2495" s="8">
        <v>3</v>
      </c>
      <c r="E2495" s="8" t="s">
        <v>4072</v>
      </c>
      <c r="F2495" s="8" t="s">
        <v>460</v>
      </c>
      <c r="G2495" s="8" t="s">
        <v>4015</v>
      </c>
      <c r="H2495" s="10">
        <v>5</v>
      </c>
      <c r="I2495" s="10"/>
      <c r="J2495" s="10">
        <v>5</v>
      </c>
      <c r="K2495" s="10">
        <v>803.86</v>
      </c>
    </row>
    <row r="2496" spans="1:11" x14ac:dyDescent="0.25">
      <c r="A2496" s="8" t="s">
        <v>4075</v>
      </c>
      <c r="B2496" s="8" t="s">
        <v>120</v>
      </c>
      <c r="C2496" s="8" t="s">
        <v>4013</v>
      </c>
      <c r="D2496" s="8">
        <v>3</v>
      </c>
      <c r="E2496" s="8" t="s">
        <v>4072</v>
      </c>
      <c r="F2496" s="8" t="s">
        <v>460</v>
      </c>
      <c r="G2496" s="8" t="s">
        <v>4015</v>
      </c>
      <c r="H2496" s="10">
        <v>30</v>
      </c>
      <c r="I2496" s="10"/>
      <c r="J2496" s="10">
        <v>30</v>
      </c>
      <c r="K2496" s="10">
        <v>803.86</v>
      </c>
    </row>
    <row r="2497" spans="1:11" x14ac:dyDescent="0.25">
      <c r="A2497" s="8" t="s">
        <v>4076</v>
      </c>
      <c r="B2497" s="8" t="s">
        <v>120</v>
      </c>
      <c r="C2497" s="8" t="s">
        <v>4013</v>
      </c>
      <c r="D2497" s="8">
        <v>3</v>
      </c>
      <c r="E2497" s="8" t="s">
        <v>4072</v>
      </c>
      <c r="F2497" s="8" t="s">
        <v>460</v>
      </c>
      <c r="G2497" s="8" t="s">
        <v>4015</v>
      </c>
      <c r="H2497" s="10">
        <v>5</v>
      </c>
      <c r="I2497" s="10"/>
      <c r="J2497" s="10">
        <v>5</v>
      </c>
      <c r="K2497" s="10">
        <v>803.86</v>
      </c>
    </row>
    <row r="2498" spans="1:11" x14ac:dyDescent="0.25">
      <c r="A2498" s="8" t="s">
        <v>4077</v>
      </c>
      <c r="B2498" s="8" t="s">
        <v>122</v>
      </c>
      <c r="C2498" s="8" t="s">
        <v>4013</v>
      </c>
      <c r="D2498" s="8">
        <v>3</v>
      </c>
      <c r="E2498" s="8" t="s">
        <v>4072</v>
      </c>
      <c r="F2498" s="8" t="s">
        <v>460</v>
      </c>
      <c r="G2498" s="8" t="s">
        <v>4015</v>
      </c>
      <c r="H2498" s="10">
        <v>5</v>
      </c>
      <c r="I2498" s="10"/>
      <c r="J2498" s="10">
        <v>5</v>
      </c>
      <c r="K2498" s="10">
        <v>803.86</v>
      </c>
    </row>
    <row r="2499" spans="1:11" x14ac:dyDescent="0.25">
      <c r="A2499" s="8" t="s">
        <v>4078</v>
      </c>
      <c r="B2499" s="8" t="s">
        <v>124</v>
      </c>
      <c r="C2499" s="8" t="s">
        <v>4013</v>
      </c>
      <c r="D2499" s="8">
        <v>3</v>
      </c>
      <c r="E2499" s="8" t="s">
        <v>4072</v>
      </c>
      <c r="F2499" s="8" t="s">
        <v>460</v>
      </c>
      <c r="G2499" s="8" t="s">
        <v>4015</v>
      </c>
      <c r="H2499" s="10">
        <v>5</v>
      </c>
      <c r="I2499" s="10"/>
      <c r="J2499" s="10">
        <v>5</v>
      </c>
      <c r="K2499" s="10">
        <v>803.86</v>
      </c>
    </row>
    <row r="2500" spans="1:11" x14ac:dyDescent="0.25">
      <c r="A2500" s="8" t="s">
        <v>4079</v>
      </c>
      <c r="B2500" s="8" t="s">
        <v>78</v>
      </c>
      <c r="C2500" s="8" t="s">
        <v>4013</v>
      </c>
      <c r="D2500" s="8">
        <v>3</v>
      </c>
      <c r="E2500" s="8" t="s">
        <v>4072</v>
      </c>
      <c r="F2500" s="8" t="s">
        <v>460</v>
      </c>
      <c r="G2500" s="8" t="s">
        <v>4015</v>
      </c>
      <c r="H2500" s="10">
        <v>10</v>
      </c>
      <c r="I2500" s="10"/>
      <c r="J2500" s="10">
        <v>10</v>
      </c>
      <c r="K2500" s="10">
        <v>803.86</v>
      </c>
    </row>
    <row r="2501" spans="1:11" x14ac:dyDescent="0.25">
      <c r="A2501" s="8" t="s">
        <v>4080</v>
      </c>
      <c r="B2501" s="8" t="s">
        <v>1655</v>
      </c>
      <c r="C2501" s="8" t="s">
        <v>4013</v>
      </c>
      <c r="D2501" s="8">
        <v>3</v>
      </c>
      <c r="E2501" s="8" t="s">
        <v>4072</v>
      </c>
      <c r="F2501" s="8" t="s">
        <v>460</v>
      </c>
      <c r="G2501" s="8" t="s">
        <v>4015</v>
      </c>
      <c r="H2501" s="10">
        <v>5</v>
      </c>
      <c r="I2501" s="10"/>
      <c r="J2501" s="10">
        <v>5</v>
      </c>
      <c r="K2501" s="10">
        <v>803.86</v>
      </c>
    </row>
    <row r="2502" spans="1:11" x14ac:dyDescent="0.25">
      <c r="A2502" s="8" t="s">
        <v>4081</v>
      </c>
      <c r="B2502" s="8" t="s">
        <v>128</v>
      </c>
      <c r="C2502" s="8" t="s">
        <v>4013</v>
      </c>
      <c r="D2502" s="8">
        <v>3</v>
      </c>
      <c r="E2502" s="8" t="s">
        <v>4072</v>
      </c>
      <c r="F2502" s="8" t="s">
        <v>460</v>
      </c>
      <c r="G2502" s="8" t="s">
        <v>4015</v>
      </c>
      <c r="H2502" s="10">
        <v>5</v>
      </c>
      <c r="I2502" s="10"/>
      <c r="J2502" s="10">
        <v>5</v>
      </c>
      <c r="K2502" s="10">
        <v>803.86</v>
      </c>
    </row>
    <row r="2503" spans="1:11" x14ac:dyDescent="0.25">
      <c r="A2503" s="8" t="s">
        <v>4082</v>
      </c>
      <c r="B2503" s="8" t="s">
        <v>949</v>
      </c>
      <c r="C2503" s="8" t="s">
        <v>4013</v>
      </c>
      <c r="D2503" s="8">
        <v>3</v>
      </c>
      <c r="E2503" s="8" t="s">
        <v>4072</v>
      </c>
      <c r="F2503" s="8" t="s">
        <v>460</v>
      </c>
      <c r="G2503" s="8" t="s">
        <v>4015</v>
      </c>
      <c r="H2503" s="10">
        <v>5</v>
      </c>
      <c r="I2503" s="10"/>
      <c r="J2503" s="10">
        <v>5</v>
      </c>
      <c r="K2503" s="10">
        <v>803.86</v>
      </c>
    </row>
    <row r="2504" spans="1:11" x14ac:dyDescent="0.25">
      <c r="A2504" s="8" t="s">
        <v>4083</v>
      </c>
      <c r="B2504" s="8" t="s">
        <v>132</v>
      </c>
      <c r="C2504" s="8" t="s">
        <v>4013</v>
      </c>
      <c r="D2504" s="8">
        <v>3</v>
      </c>
      <c r="E2504" s="8" t="s">
        <v>4072</v>
      </c>
      <c r="F2504" s="8" t="s">
        <v>460</v>
      </c>
      <c r="G2504" s="8" t="s">
        <v>4015</v>
      </c>
      <c r="H2504" s="10">
        <v>5</v>
      </c>
      <c r="I2504" s="10"/>
      <c r="J2504" s="10">
        <v>5</v>
      </c>
      <c r="K2504" s="10">
        <v>803.86</v>
      </c>
    </row>
    <row r="2505" spans="1:11" x14ac:dyDescent="0.25">
      <c r="A2505" s="8" t="s">
        <v>4084</v>
      </c>
      <c r="B2505" s="8" t="s">
        <v>134</v>
      </c>
      <c r="C2505" s="8" t="s">
        <v>4013</v>
      </c>
      <c r="D2505" s="8">
        <v>3</v>
      </c>
      <c r="E2505" s="8" t="s">
        <v>4072</v>
      </c>
      <c r="F2505" s="8" t="s">
        <v>460</v>
      </c>
      <c r="G2505" s="8" t="s">
        <v>4015</v>
      </c>
      <c r="H2505" s="10">
        <v>10</v>
      </c>
      <c r="I2505" s="10"/>
      <c r="J2505" s="10">
        <v>10</v>
      </c>
      <c r="K2505" s="10">
        <v>803.86</v>
      </c>
    </row>
    <row r="2506" spans="1:11" x14ac:dyDescent="0.25">
      <c r="A2506" s="8" t="s">
        <v>4085</v>
      </c>
      <c r="B2506" s="8" t="s">
        <v>136</v>
      </c>
      <c r="C2506" s="8" t="s">
        <v>4013</v>
      </c>
      <c r="D2506" s="8">
        <v>3</v>
      </c>
      <c r="E2506" s="8" t="s">
        <v>4072</v>
      </c>
      <c r="F2506" s="8" t="s">
        <v>460</v>
      </c>
      <c r="G2506" s="8" t="s">
        <v>4015</v>
      </c>
      <c r="H2506" s="10">
        <v>5</v>
      </c>
      <c r="I2506" s="10"/>
      <c r="J2506" s="10">
        <v>5</v>
      </c>
      <c r="K2506" s="10">
        <v>803.86</v>
      </c>
    </row>
    <row r="2507" spans="1:11" x14ac:dyDescent="0.25">
      <c r="A2507" s="8" t="s">
        <v>4086</v>
      </c>
      <c r="B2507" s="8" t="s">
        <v>138</v>
      </c>
      <c r="C2507" s="8" t="s">
        <v>4013</v>
      </c>
      <c r="D2507" s="8">
        <v>3</v>
      </c>
      <c r="E2507" s="8" t="s">
        <v>4072</v>
      </c>
      <c r="F2507" s="8" t="s">
        <v>460</v>
      </c>
      <c r="G2507" s="8" t="s">
        <v>4015</v>
      </c>
      <c r="H2507" s="10">
        <v>5</v>
      </c>
      <c r="I2507" s="10"/>
      <c r="J2507" s="10">
        <v>5</v>
      </c>
      <c r="K2507" s="10">
        <v>803.86</v>
      </c>
    </row>
    <row r="2508" spans="1:11" x14ac:dyDescent="0.25">
      <c r="A2508" s="8" t="s">
        <v>4087</v>
      </c>
      <c r="B2508" s="8" t="s">
        <v>116</v>
      </c>
      <c r="C2508" s="8" t="s">
        <v>4013</v>
      </c>
      <c r="D2508" s="8">
        <v>3</v>
      </c>
      <c r="E2508" s="8" t="s">
        <v>4088</v>
      </c>
      <c r="F2508" s="8" t="s">
        <v>460</v>
      </c>
      <c r="G2508" s="8" t="s">
        <v>4015</v>
      </c>
      <c r="H2508" s="10">
        <v>90</v>
      </c>
      <c r="I2508" s="10"/>
      <c r="J2508" s="10">
        <v>90</v>
      </c>
      <c r="K2508" s="10">
        <v>803.86</v>
      </c>
    </row>
    <row r="2509" spans="1:11" x14ac:dyDescent="0.25">
      <c r="A2509" s="8" t="s">
        <v>4089</v>
      </c>
      <c r="B2509" s="8" t="s">
        <v>118</v>
      </c>
      <c r="C2509" s="8" t="s">
        <v>4013</v>
      </c>
      <c r="D2509" s="8">
        <v>3</v>
      </c>
      <c r="E2509" s="8" t="s">
        <v>4088</v>
      </c>
      <c r="F2509" s="8" t="s">
        <v>460</v>
      </c>
      <c r="G2509" s="8" t="s">
        <v>4015</v>
      </c>
      <c r="H2509" s="10">
        <v>15</v>
      </c>
      <c r="I2509" s="10"/>
      <c r="J2509" s="10">
        <v>15</v>
      </c>
      <c r="K2509" s="10">
        <v>803.86</v>
      </c>
    </row>
    <row r="2510" spans="1:11" x14ac:dyDescent="0.25">
      <c r="A2510" s="8" t="s">
        <v>4090</v>
      </c>
      <c r="B2510" s="8" t="s">
        <v>1650</v>
      </c>
      <c r="C2510" s="8" t="s">
        <v>4013</v>
      </c>
      <c r="D2510" s="8">
        <v>3</v>
      </c>
      <c r="E2510" s="8" t="s">
        <v>4088</v>
      </c>
      <c r="F2510" s="8" t="s">
        <v>460</v>
      </c>
      <c r="G2510" s="8" t="s">
        <v>4015</v>
      </c>
      <c r="H2510" s="10">
        <v>25</v>
      </c>
      <c r="I2510" s="10"/>
      <c r="J2510" s="10">
        <v>25</v>
      </c>
      <c r="K2510" s="10">
        <v>803.86</v>
      </c>
    </row>
    <row r="2511" spans="1:11" x14ac:dyDescent="0.25">
      <c r="A2511" s="8" t="s">
        <v>4091</v>
      </c>
      <c r="B2511" s="8" t="s">
        <v>120</v>
      </c>
      <c r="C2511" s="8" t="s">
        <v>4013</v>
      </c>
      <c r="D2511" s="8">
        <v>3</v>
      </c>
      <c r="E2511" s="8" t="s">
        <v>4088</v>
      </c>
      <c r="F2511" s="8" t="s">
        <v>460</v>
      </c>
      <c r="G2511" s="8" t="s">
        <v>4015</v>
      </c>
      <c r="H2511" s="10">
        <v>60</v>
      </c>
      <c r="I2511" s="10"/>
      <c r="J2511" s="10">
        <v>60</v>
      </c>
      <c r="K2511" s="10">
        <v>803.86</v>
      </c>
    </row>
    <row r="2512" spans="1:11" x14ac:dyDescent="0.25">
      <c r="A2512" s="8" t="s">
        <v>4092</v>
      </c>
      <c r="B2512" s="8" t="s">
        <v>120</v>
      </c>
      <c r="C2512" s="8" t="s">
        <v>4013</v>
      </c>
      <c r="D2512" s="8">
        <v>3</v>
      </c>
      <c r="E2512" s="8" t="s">
        <v>4088</v>
      </c>
      <c r="F2512" s="8" t="s">
        <v>460</v>
      </c>
      <c r="G2512" s="8" t="s">
        <v>4015</v>
      </c>
      <c r="H2512" s="10">
        <v>60</v>
      </c>
      <c r="I2512" s="10"/>
      <c r="J2512" s="10">
        <v>60</v>
      </c>
      <c r="K2512" s="10">
        <v>803.86</v>
      </c>
    </row>
    <row r="2513" spans="1:11" x14ac:dyDescent="0.25">
      <c r="A2513" s="8" t="s">
        <v>4093</v>
      </c>
      <c r="B2513" s="8" t="s">
        <v>122</v>
      </c>
      <c r="C2513" s="8" t="s">
        <v>4013</v>
      </c>
      <c r="D2513" s="8">
        <v>3</v>
      </c>
      <c r="E2513" s="8" t="s">
        <v>4088</v>
      </c>
      <c r="F2513" s="8" t="s">
        <v>460</v>
      </c>
      <c r="G2513" s="8" t="s">
        <v>4015</v>
      </c>
      <c r="H2513" s="10">
        <v>30</v>
      </c>
      <c r="I2513" s="10"/>
      <c r="J2513" s="10">
        <v>30</v>
      </c>
      <c r="K2513" s="10">
        <v>803.86</v>
      </c>
    </row>
    <row r="2514" spans="1:11" x14ac:dyDescent="0.25">
      <c r="A2514" s="8" t="s">
        <v>4094</v>
      </c>
      <c r="B2514" s="8" t="s">
        <v>124</v>
      </c>
      <c r="C2514" s="8" t="s">
        <v>4013</v>
      </c>
      <c r="D2514" s="8">
        <v>3</v>
      </c>
      <c r="E2514" s="8" t="s">
        <v>4088</v>
      </c>
      <c r="F2514" s="8" t="s">
        <v>460</v>
      </c>
      <c r="G2514" s="8" t="s">
        <v>4015</v>
      </c>
      <c r="H2514" s="10">
        <v>20</v>
      </c>
      <c r="I2514" s="10"/>
      <c r="J2514" s="10">
        <v>20</v>
      </c>
      <c r="K2514" s="10">
        <v>803.86</v>
      </c>
    </row>
    <row r="2515" spans="1:11" x14ac:dyDescent="0.25">
      <c r="A2515" s="8" t="s">
        <v>4095</v>
      </c>
      <c r="B2515" s="8" t="s">
        <v>78</v>
      </c>
      <c r="C2515" s="8" t="s">
        <v>4013</v>
      </c>
      <c r="D2515" s="8">
        <v>3</v>
      </c>
      <c r="E2515" s="8" t="s">
        <v>4088</v>
      </c>
      <c r="F2515" s="8" t="s">
        <v>460</v>
      </c>
      <c r="G2515" s="8" t="s">
        <v>4015</v>
      </c>
      <c r="H2515" s="10">
        <v>15</v>
      </c>
      <c r="I2515" s="10"/>
      <c r="J2515" s="10">
        <v>15</v>
      </c>
      <c r="K2515" s="10">
        <v>803.86</v>
      </c>
    </row>
    <row r="2516" spans="1:11" x14ac:dyDescent="0.25">
      <c r="A2516" s="8" t="s">
        <v>4096</v>
      </c>
      <c r="B2516" s="8" t="s">
        <v>1655</v>
      </c>
      <c r="C2516" s="8" t="s">
        <v>4013</v>
      </c>
      <c r="D2516" s="8">
        <v>3</v>
      </c>
      <c r="E2516" s="8" t="s">
        <v>4088</v>
      </c>
      <c r="F2516" s="8" t="s">
        <v>460</v>
      </c>
      <c r="G2516" s="8" t="s">
        <v>4015</v>
      </c>
      <c r="H2516" s="10">
        <v>30</v>
      </c>
      <c r="I2516" s="10"/>
      <c r="J2516" s="10">
        <v>30</v>
      </c>
      <c r="K2516" s="10">
        <v>803.86</v>
      </c>
    </row>
    <row r="2517" spans="1:11" x14ac:dyDescent="0.25">
      <c r="A2517" s="8" t="s">
        <v>4097</v>
      </c>
      <c r="B2517" s="8" t="s">
        <v>128</v>
      </c>
      <c r="C2517" s="8" t="s">
        <v>4013</v>
      </c>
      <c r="D2517" s="8">
        <v>3</v>
      </c>
      <c r="E2517" s="8" t="s">
        <v>4088</v>
      </c>
      <c r="F2517" s="8" t="s">
        <v>460</v>
      </c>
      <c r="G2517" s="8" t="s">
        <v>4015</v>
      </c>
      <c r="H2517" s="10">
        <v>10</v>
      </c>
      <c r="I2517" s="10"/>
      <c r="J2517" s="10">
        <v>10</v>
      </c>
      <c r="K2517" s="10">
        <v>803.86</v>
      </c>
    </row>
    <row r="2518" spans="1:11" x14ac:dyDescent="0.25">
      <c r="A2518" s="8" t="s">
        <v>4098</v>
      </c>
      <c r="B2518" s="8" t="s">
        <v>949</v>
      </c>
      <c r="C2518" s="8" t="s">
        <v>4013</v>
      </c>
      <c r="D2518" s="8">
        <v>3</v>
      </c>
      <c r="E2518" s="8" t="s">
        <v>4088</v>
      </c>
      <c r="F2518" s="8" t="s">
        <v>460</v>
      </c>
      <c r="G2518" s="8" t="s">
        <v>4015</v>
      </c>
      <c r="H2518" s="10">
        <v>20</v>
      </c>
      <c r="I2518" s="10"/>
      <c r="J2518" s="10">
        <v>20</v>
      </c>
      <c r="K2518" s="10">
        <v>803.86</v>
      </c>
    </row>
    <row r="2519" spans="1:11" x14ac:dyDescent="0.25">
      <c r="A2519" s="8" t="s">
        <v>4099</v>
      </c>
      <c r="B2519" s="8" t="s">
        <v>132</v>
      </c>
      <c r="C2519" s="8" t="s">
        <v>4013</v>
      </c>
      <c r="D2519" s="8">
        <v>3</v>
      </c>
      <c r="E2519" s="8" t="s">
        <v>4088</v>
      </c>
      <c r="F2519" s="8" t="s">
        <v>460</v>
      </c>
      <c r="G2519" s="8" t="s">
        <v>4015</v>
      </c>
      <c r="H2519" s="10">
        <v>10</v>
      </c>
      <c r="I2519" s="10"/>
      <c r="J2519" s="10">
        <v>10</v>
      </c>
      <c r="K2519" s="10">
        <v>803.86</v>
      </c>
    </row>
    <row r="2520" spans="1:11" x14ac:dyDescent="0.25">
      <c r="A2520" s="8" t="s">
        <v>4100</v>
      </c>
      <c r="B2520" s="8" t="s">
        <v>134</v>
      </c>
      <c r="C2520" s="8" t="s">
        <v>4013</v>
      </c>
      <c r="D2520" s="8">
        <v>3</v>
      </c>
      <c r="E2520" s="8" t="s">
        <v>4088</v>
      </c>
      <c r="F2520" s="8" t="s">
        <v>460</v>
      </c>
      <c r="G2520" s="8" t="s">
        <v>4015</v>
      </c>
      <c r="H2520" s="10">
        <v>20</v>
      </c>
      <c r="I2520" s="10"/>
      <c r="J2520" s="10">
        <v>20</v>
      </c>
      <c r="K2520" s="10">
        <v>803.86</v>
      </c>
    </row>
    <row r="2521" spans="1:11" x14ac:dyDescent="0.25">
      <c r="A2521" s="8" t="s">
        <v>4101</v>
      </c>
      <c r="B2521" s="8" t="s">
        <v>136</v>
      </c>
      <c r="C2521" s="8" t="s">
        <v>4013</v>
      </c>
      <c r="D2521" s="8">
        <v>3</v>
      </c>
      <c r="E2521" s="8" t="s">
        <v>4088</v>
      </c>
      <c r="F2521" s="8" t="s">
        <v>460</v>
      </c>
      <c r="G2521" s="8" t="s">
        <v>4015</v>
      </c>
      <c r="H2521" s="10">
        <v>5</v>
      </c>
      <c r="I2521" s="10"/>
      <c r="J2521" s="10">
        <v>5</v>
      </c>
      <c r="K2521" s="10">
        <v>803.86</v>
      </c>
    </row>
    <row r="2522" spans="1:11" x14ac:dyDescent="0.25">
      <c r="A2522" s="8" t="s">
        <v>4102</v>
      </c>
      <c r="B2522" s="8" t="s">
        <v>1689</v>
      </c>
      <c r="C2522" s="8" t="s">
        <v>4013</v>
      </c>
      <c r="D2522" s="8">
        <v>3</v>
      </c>
      <c r="E2522" s="8" t="s">
        <v>4088</v>
      </c>
      <c r="F2522" s="8" t="s">
        <v>460</v>
      </c>
      <c r="G2522" s="8" t="s">
        <v>4015</v>
      </c>
      <c r="H2522" s="10">
        <v>10</v>
      </c>
      <c r="I2522" s="10"/>
      <c r="J2522" s="10">
        <v>10</v>
      </c>
      <c r="K2522" s="10">
        <v>803.86</v>
      </c>
    </row>
    <row r="2523" spans="1:11" x14ac:dyDescent="0.25">
      <c r="A2523" s="8" t="s">
        <v>4103</v>
      </c>
      <c r="B2523" s="8" t="s">
        <v>3518</v>
      </c>
      <c r="C2523" s="8" t="s">
        <v>4013</v>
      </c>
      <c r="D2523" s="8">
        <v>3</v>
      </c>
      <c r="E2523" s="8" t="s">
        <v>4088</v>
      </c>
      <c r="F2523" s="8" t="s">
        <v>460</v>
      </c>
      <c r="G2523" s="8" t="s">
        <v>4015</v>
      </c>
      <c r="H2523" s="10">
        <v>4</v>
      </c>
      <c r="I2523" s="10"/>
      <c r="J2523" s="10">
        <v>4</v>
      </c>
      <c r="K2523" s="10">
        <v>803.86</v>
      </c>
    </row>
    <row r="2524" spans="1:11" x14ac:dyDescent="0.25">
      <c r="A2524" s="8" t="s">
        <v>4104</v>
      </c>
      <c r="B2524" s="8" t="s">
        <v>138</v>
      </c>
      <c r="C2524" s="8" t="s">
        <v>4013</v>
      </c>
      <c r="D2524" s="8">
        <v>3</v>
      </c>
      <c r="E2524" s="8" t="s">
        <v>4088</v>
      </c>
      <c r="F2524" s="8" t="s">
        <v>460</v>
      </c>
      <c r="G2524" s="8" t="s">
        <v>4015</v>
      </c>
      <c r="H2524" s="10">
        <v>5</v>
      </c>
      <c r="I2524" s="10"/>
      <c r="J2524" s="10">
        <v>5</v>
      </c>
      <c r="K2524" s="10">
        <v>803.86</v>
      </c>
    </row>
    <row r="2525" spans="1:11" x14ac:dyDescent="0.25">
      <c r="A2525" s="8" t="s">
        <v>4105</v>
      </c>
      <c r="B2525" s="8" t="s">
        <v>116</v>
      </c>
      <c r="C2525" s="8" t="s">
        <v>4013</v>
      </c>
      <c r="D2525" s="8">
        <v>3</v>
      </c>
      <c r="E2525" s="8" t="s">
        <v>4106</v>
      </c>
      <c r="F2525" s="8" t="s">
        <v>460</v>
      </c>
      <c r="G2525" s="8" t="s">
        <v>4015</v>
      </c>
      <c r="H2525" s="10">
        <v>5</v>
      </c>
      <c r="I2525" s="10"/>
      <c r="J2525" s="10">
        <v>5</v>
      </c>
      <c r="K2525" s="10">
        <v>803.86</v>
      </c>
    </row>
    <row r="2526" spans="1:11" x14ac:dyDescent="0.25">
      <c r="A2526" s="8" t="s">
        <v>4107</v>
      </c>
      <c r="B2526" s="8" t="s">
        <v>118</v>
      </c>
      <c r="C2526" s="8" t="s">
        <v>4013</v>
      </c>
      <c r="D2526" s="8">
        <v>3</v>
      </c>
      <c r="E2526" s="8" t="s">
        <v>4106</v>
      </c>
      <c r="F2526" s="8" t="s">
        <v>460</v>
      </c>
      <c r="G2526" s="8" t="s">
        <v>4015</v>
      </c>
      <c r="H2526" s="10">
        <v>70</v>
      </c>
      <c r="I2526" s="10"/>
      <c r="J2526" s="10">
        <v>70</v>
      </c>
      <c r="K2526" s="10">
        <v>803.86</v>
      </c>
    </row>
    <row r="2527" spans="1:11" x14ac:dyDescent="0.25">
      <c r="A2527" s="8" t="s">
        <v>4108</v>
      </c>
      <c r="B2527" s="8" t="s">
        <v>1650</v>
      </c>
      <c r="C2527" s="8" t="s">
        <v>4013</v>
      </c>
      <c r="D2527" s="8">
        <v>3</v>
      </c>
      <c r="E2527" s="8" t="s">
        <v>4106</v>
      </c>
      <c r="F2527" s="8" t="s">
        <v>460</v>
      </c>
      <c r="G2527" s="8" t="s">
        <v>4015</v>
      </c>
      <c r="H2527" s="10">
        <v>5</v>
      </c>
      <c r="I2527" s="10"/>
      <c r="J2527" s="10">
        <v>5</v>
      </c>
      <c r="K2527" s="10">
        <v>803.86</v>
      </c>
    </row>
    <row r="2528" spans="1:11" x14ac:dyDescent="0.25">
      <c r="A2528" s="8" t="s">
        <v>4109</v>
      </c>
      <c r="B2528" s="8" t="s">
        <v>120</v>
      </c>
      <c r="C2528" s="8" t="s">
        <v>4013</v>
      </c>
      <c r="D2528" s="8">
        <v>3</v>
      </c>
      <c r="E2528" s="8" t="s">
        <v>4106</v>
      </c>
      <c r="F2528" s="8" t="s">
        <v>460</v>
      </c>
      <c r="G2528" s="8" t="s">
        <v>4015</v>
      </c>
      <c r="H2528" s="10">
        <v>150</v>
      </c>
      <c r="I2528" s="10"/>
      <c r="J2528" s="10">
        <v>150</v>
      </c>
      <c r="K2528" s="10">
        <v>803.86</v>
      </c>
    </row>
    <row r="2529" spans="1:11" x14ac:dyDescent="0.25">
      <c r="A2529" s="8" t="s">
        <v>4110</v>
      </c>
      <c r="B2529" s="8" t="s">
        <v>120</v>
      </c>
      <c r="C2529" s="8" t="s">
        <v>4013</v>
      </c>
      <c r="D2529" s="8">
        <v>3</v>
      </c>
      <c r="E2529" s="8" t="s">
        <v>4106</v>
      </c>
      <c r="F2529" s="8" t="s">
        <v>460</v>
      </c>
      <c r="G2529" s="8" t="s">
        <v>4015</v>
      </c>
      <c r="H2529" s="10">
        <v>5</v>
      </c>
      <c r="I2529" s="10"/>
      <c r="J2529" s="10">
        <v>5</v>
      </c>
      <c r="K2529" s="10">
        <v>803.86</v>
      </c>
    </row>
    <row r="2530" spans="1:11" x14ac:dyDescent="0.25">
      <c r="A2530" s="8" t="s">
        <v>4111</v>
      </c>
      <c r="B2530" s="8" t="s">
        <v>122</v>
      </c>
      <c r="C2530" s="8" t="s">
        <v>4013</v>
      </c>
      <c r="D2530" s="8">
        <v>3</v>
      </c>
      <c r="E2530" s="8" t="s">
        <v>4106</v>
      </c>
      <c r="F2530" s="8" t="s">
        <v>460</v>
      </c>
      <c r="G2530" s="8" t="s">
        <v>4015</v>
      </c>
      <c r="H2530" s="10">
        <v>105</v>
      </c>
      <c r="I2530" s="10"/>
      <c r="J2530" s="10">
        <v>105</v>
      </c>
      <c r="K2530" s="10">
        <v>803.86</v>
      </c>
    </row>
    <row r="2531" spans="1:11" x14ac:dyDescent="0.25">
      <c r="A2531" s="8" t="s">
        <v>4112</v>
      </c>
      <c r="B2531" s="8" t="s">
        <v>124</v>
      </c>
      <c r="C2531" s="8" t="s">
        <v>4013</v>
      </c>
      <c r="D2531" s="8">
        <v>3</v>
      </c>
      <c r="E2531" s="8" t="s">
        <v>4106</v>
      </c>
      <c r="F2531" s="8" t="s">
        <v>460</v>
      </c>
      <c r="G2531" s="8" t="s">
        <v>4015</v>
      </c>
      <c r="H2531" s="10">
        <v>110</v>
      </c>
      <c r="I2531" s="10"/>
      <c r="J2531" s="10">
        <v>110</v>
      </c>
      <c r="K2531" s="10">
        <v>803.86</v>
      </c>
    </row>
    <row r="2532" spans="1:11" x14ac:dyDescent="0.25">
      <c r="A2532" s="8" t="s">
        <v>4113</v>
      </c>
      <c r="B2532" s="8" t="s">
        <v>78</v>
      </c>
      <c r="C2532" s="8" t="s">
        <v>4013</v>
      </c>
      <c r="D2532" s="8">
        <v>3</v>
      </c>
      <c r="E2532" s="8" t="s">
        <v>4106</v>
      </c>
      <c r="F2532" s="8" t="s">
        <v>460</v>
      </c>
      <c r="G2532" s="8" t="s">
        <v>4015</v>
      </c>
      <c r="H2532" s="10">
        <v>60</v>
      </c>
      <c r="I2532" s="10"/>
      <c r="J2532" s="10">
        <v>60</v>
      </c>
      <c r="K2532" s="10">
        <v>803.86</v>
      </c>
    </row>
    <row r="2533" spans="1:11" x14ac:dyDescent="0.25">
      <c r="A2533" s="8" t="s">
        <v>4114</v>
      </c>
      <c r="B2533" s="8" t="s">
        <v>1655</v>
      </c>
      <c r="C2533" s="8" t="s">
        <v>4013</v>
      </c>
      <c r="D2533" s="8">
        <v>3</v>
      </c>
      <c r="E2533" s="8" t="s">
        <v>4106</v>
      </c>
      <c r="F2533" s="8" t="s">
        <v>460</v>
      </c>
      <c r="G2533" s="8" t="s">
        <v>4015</v>
      </c>
      <c r="H2533" s="10">
        <v>5</v>
      </c>
      <c r="I2533" s="10"/>
      <c r="J2533" s="10">
        <v>5</v>
      </c>
      <c r="K2533" s="10">
        <v>803.86</v>
      </c>
    </row>
    <row r="2534" spans="1:11" x14ac:dyDescent="0.25">
      <c r="A2534" s="8" t="s">
        <v>4115</v>
      </c>
      <c r="B2534" s="8" t="s">
        <v>128</v>
      </c>
      <c r="C2534" s="8" t="s">
        <v>4013</v>
      </c>
      <c r="D2534" s="8">
        <v>3</v>
      </c>
      <c r="E2534" s="8" t="s">
        <v>4106</v>
      </c>
      <c r="F2534" s="8" t="s">
        <v>460</v>
      </c>
      <c r="G2534" s="8" t="s">
        <v>4015</v>
      </c>
      <c r="H2534" s="10">
        <v>5</v>
      </c>
      <c r="I2534" s="10"/>
      <c r="J2534" s="10">
        <v>5</v>
      </c>
      <c r="K2534" s="10">
        <v>803.86</v>
      </c>
    </row>
    <row r="2535" spans="1:11" x14ac:dyDescent="0.25">
      <c r="A2535" s="8" t="s">
        <v>4116</v>
      </c>
      <c r="B2535" s="8" t="s">
        <v>949</v>
      </c>
      <c r="C2535" s="8" t="s">
        <v>4013</v>
      </c>
      <c r="D2535" s="8">
        <v>3</v>
      </c>
      <c r="E2535" s="8" t="s">
        <v>4106</v>
      </c>
      <c r="F2535" s="8" t="s">
        <v>460</v>
      </c>
      <c r="G2535" s="8" t="s">
        <v>4015</v>
      </c>
      <c r="H2535" s="10">
        <v>5</v>
      </c>
      <c r="I2535" s="10"/>
      <c r="J2535" s="10">
        <v>5</v>
      </c>
      <c r="K2535" s="10">
        <v>803.86</v>
      </c>
    </row>
    <row r="2536" spans="1:11" x14ac:dyDescent="0.25">
      <c r="A2536" s="8" t="s">
        <v>4117</v>
      </c>
      <c r="B2536" s="8" t="s">
        <v>132</v>
      </c>
      <c r="C2536" s="8" t="s">
        <v>4013</v>
      </c>
      <c r="D2536" s="8">
        <v>3</v>
      </c>
      <c r="E2536" s="8" t="s">
        <v>4106</v>
      </c>
      <c r="F2536" s="8" t="s">
        <v>460</v>
      </c>
      <c r="G2536" s="8" t="s">
        <v>4015</v>
      </c>
      <c r="H2536" s="10">
        <v>10</v>
      </c>
      <c r="I2536" s="10"/>
      <c r="J2536" s="10">
        <v>10</v>
      </c>
      <c r="K2536" s="10">
        <v>803.86</v>
      </c>
    </row>
    <row r="2537" spans="1:11" x14ac:dyDescent="0.25">
      <c r="A2537" s="8" t="s">
        <v>4118</v>
      </c>
      <c r="B2537" s="8" t="s">
        <v>134</v>
      </c>
      <c r="C2537" s="8" t="s">
        <v>4013</v>
      </c>
      <c r="D2537" s="8">
        <v>3</v>
      </c>
      <c r="E2537" s="8" t="s">
        <v>4106</v>
      </c>
      <c r="F2537" s="8" t="s">
        <v>460</v>
      </c>
      <c r="G2537" s="8" t="s">
        <v>4015</v>
      </c>
      <c r="H2537" s="10">
        <v>30</v>
      </c>
      <c r="I2537" s="10"/>
      <c r="J2537" s="10">
        <v>30</v>
      </c>
      <c r="K2537" s="10">
        <v>803.86</v>
      </c>
    </row>
    <row r="2538" spans="1:11" x14ac:dyDescent="0.25">
      <c r="A2538" s="8" t="s">
        <v>4119</v>
      </c>
      <c r="B2538" s="8" t="s">
        <v>136</v>
      </c>
      <c r="C2538" s="8" t="s">
        <v>4013</v>
      </c>
      <c r="D2538" s="8">
        <v>3</v>
      </c>
      <c r="E2538" s="8" t="s">
        <v>4106</v>
      </c>
      <c r="F2538" s="8" t="s">
        <v>460</v>
      </c>
      <c r="G2538" s="8" t="s">
        <v>4015</v>
      </c>
      <c r="H2538" s="10">
        <v>10</v>
      </c>
      <c r="I2538" s="10"/>
      <c r="J2538" s="10">
        <v>10</v>
      </c>
      <c r="K2538" s="10">
        <v>803.86</v>
      </c>
    </row>
    <row r="2539" spans="1:11" x14ac:dyDescent="0.25">
      <c r="A2539" s="8" t="s">
        <v>4120</v>
      </c>
      <c r="B2539" s="8" t="s">
        <v>1689</v>
      </c>
      <c r="C2539" s="8" t="s">
        <v>4013</v>
      </c>
      <c r="D2539" s="8">
        <v>3</v>
      </c>
      <c r="E2539" s="8" t="s">
        <v>4106</v>
      </c>
      <c r="F2539" s="8" t="s">
        <v>460</v>
      </c>
      <c r="G2539" s="8" t="s">
        <v>4015</v>
      </c>
      <c r="H2539" s="10">
        <v>5</v>
      </c>
      <c r="I2539" s="10"/>
      <c r="J2539" s="10">
        <v>5</v>
      </c>
      <c r="K2539" s="10">
        <v>803.86</v>
      </c>
    </row>
    <row r="2540" spans="1:11" x14ac:dyDescent="0.25">
      <c r="A2540" s="8" t="s">
        <v>4121</v>
      </c>
      <c r="B2540" s="8" t="s">
        <v>138</v>
      </c>
      <c r="C2540" s="8" t="s">
        <v>4013</v>
      </c>
      <c r="D2540" s="8">
        <v>3</v>
      </c>
      <c r="E2540" s="8" t="s">
        <v>4106</v>
      </c>
      <c r="F2540" s="8" t="s">
        <v>460</v>
      </c>
      <c r="G2540" s="8" t="s">
        <v>4015</v>
      </c>
      <c r="H2540" s="10">
        <v>8</v>
      </c>
      <c r="I2540" s="10"/>
      <c r="J2540" s="10">
        <v>8</v>
      </c>
      <c r="K2540" s="10">
        <v>803.86</v>
      </c>
    </row>
    <row r="2541" spans="1:11" x14ac:dyDescent="0.25">
      <c r="A2541" s="8" t="s">
        <v>4122</v>
      </c>
      <c r="B2541" s="8" t="s">
        <v>80</v>
      </c>
      <c r="C2541" s="8" t="s">
        <v>4013</v>
      </c>
      <c r="D2541" s="8">
        <v>3</v>
      </c>
      <c r="E2541" s="8" t="s">
        <v>4106</v>
      </c>
      <c r="F2541" s="8" t="s">
        <v>460</v>
      </c>
      <c r="G2541" s="8" t="s">
        <v>4015</v>
      </c>
      <c r="H2541" s="10">
        <v>15</v>
      </c>
      <c r="I2541" s="10"/>
      <c r="J2541" s="10">
        <v>15</v>
      </c>
      <c r="K2541" s="10">
        <v>803.86</v>
      </c>
    </row>
    <row r="2542" spans="1:11" x14ac:dyDescent="0.25">
      <c r="A2542" s="8" t="s">
        <v>4123</v>
      </c>
      <c r="B2542" s="8" t="s">
        <v>116</v>
      </c>
      <c r="C2542" s="8" t="s">
        <v>4013</v>
      </c>
      <c r="D2542" s="8">
        <v>3</v>
      </c>
      <c r="E2542" s="8" t="s">
        <v>4124</v>
      </c>
      <c r="F2542" s="8" t="s">
        <v>460</v>
      </c>
      <c r="G2542" s="8" t="s">
        <v>4015</v>
      </c>
      <c r="H2542" s="10">
        <v>5</v>
      </c>
      <c r="I2542" s="10"/>
      <c r="J2542" s="10">
        <v>5</v>
      </c>
      <c r="K2542" s="10">
        <v>803.86</v>
      </c>
    </row>
    <row r="2543" spans="1:11" x14ac:dyDescent="0.25">
      <c r="A2543" s="8" t="s">
        <v>4125</v>
      </c>
      <c r="B2543" s="8" t="s">
        <v>118</v>
      </c>
      <c r="C2543" s="8" t="s">
        <v>4013</v>
      </c>
      <c r="D2543" s="8">
        <v>3</v>
      </c>
      <c r="E2543" s="8" t="s">
        <v>4124</v>
      </c>
      <c r="F2543" s="8" t="s">
        <v>460</v>
      </c>
      <c r="G2543" s="8" t="s">
        <v>4015</v>
      </c>
      <c r="H2543" s="10">
        <v>5</v>
      </c>
      <c r="I2543" s="10"/>
      <c r="J2543" s="10">
        <v>5</v>
      </c>
      <c r="K2543" s="10">
        <v>803.86</v>
      </c>
    </row>
    <row r="2544" spans="1:11" x14ac:dyDescent="0.25">
      <c r="A2544" s="8" t="s">
        <v>4126</v>
      </c>
      <c r="B2544" s="8" t="s">
        <v>120</v>
      </c>
      <c r="C2544" s="8" t="s">
        <v>4013</v>
      </c>
      <c r="D2544" s="8">
        <v>3</v>
      </c>
      <c r="E2544" s="8" t="s">
        <v>4124</v>
      </c>
      <c r="F2544" s="8" t="s">
        <v>460</v>
      </c>
      <c r="G2544" s="8" t="s">
        <v>4015</v>
      </c>
      <c r="H2544" s="10">
        <v>5</v>
      </c>
      <c r="I2544" s="10"/>
      <c r="J2544" s="10">
        <v>5</v>
      </c>
      <c r="K2544" s="10">
        <v>803.86</v>
      </c>
    </row>
    <row r="2545" spans="1:11" x14ac:dyDescent="0.25">
      <c r="A2545" s="8" t="s">
        <v>4127</v>
      </c>
      <c r="B2545" s="8" t="s">
        <v>122</v>
      </c>
      <c r="C2545" s="8" t="s">
        <v>4013</v>
      </c>
      <c r="D2545" s="8">
        <v>3</v>
      </c>
      <c r="E2545" s="8" t="s">
        <v>4124</v>
      </c>
      <c r="F2545" s="8" t="s">
        <v>460</v>
      </c>
      <c r="G2545" s="8" t="s">
        <v>4015</v>
      </c>
      <c r="H2545" s="10">
        <v>5</v>
      </c>
      <c r="I2545" s="10"/>
      <c r="J2545" s="10">
        <v>5</v>
      </c>
      <c r="K2545" s="10">
        <v>803.86</v>
      </c>
    </row>
    <row r="2546" spans="1:11" x14ac:dyDescent="0.25">
      <c r="A2546" s="8" t="s">
        <v>4128</v>
      </c>
      <c r="B2546" s="8" t="s">
        <v>124</v>
      </c>
      <c r="C2546" s="8" t="s">
        <v>4013</v>
      </c>
      <c r="D2546" s="8">
        <v>3</v>
      </c>
      <c r="E2546" s="8" t="s">
        <v>4124</v>
      </c>
      <c r="F2546" s="8" t="s">
        <v>460</v>
      </c>
      <c r="G2546" s="8" t="s">
        <v>4015</v>
      </c>
      <c r="H2546" s="10">
        <v>5</v>
      </c>
      <c r="I2546" s="10"/>
      <c r="J2546" s="10">
        <v>5</v>
      </c>
      <c r="K2546" s="10">
        <v>803.86</v>
      </c>
    </row>
    <row r="2547" spans="1:11" x14ac:dyDescent="0.25">
      <c r="A2547" s="8" t="s">
        <v>4129</v>
      </c>
      <c r="B2547" s="8" t="s">
        <v>78</v>
      </c>
      <c r="C2547" s="8" t="s">
        <v>4013</v>
      </c>
      <c r="D2547" s="8">
        <v>3</v>
      </c>
      <c r="E2547" s="8" t="s">
        <v>4124</v>
      </c>
      <c r="F2547" s="8" t="s">
        <v>460</v>
      </c>
      <c r="G2547" s="8" t="s">
        <v>4015</v>
      </c>
      <c r="H2547" s="10">
        <v>5</v>
      </c>
      <c r="I2547" s="10"/>
      <c r="J2547" s="10">
        <v>5</v>
      </c>
      <c r="K2547" s="10">
        <v>803.86</v>
      </c>
    </row>
    <row r="2548" spans="1:11" x14ac:dyDescent="0.25">
      <c r="A2548" s="8" t="s">
        <v>4130</v>
      </c>
      <c r="B2548" s="8" t="s">
        <v>134</v>
      </c>
      <c r="C2548" s="8" t="s">
        <v>4013</v>
      </c>
      <c r="D2548" s="8">
        <v>3</v>
      </c>
      <c r="E2548" s="8" t="s">
        <v>4124</v>
      </c>
      <c r="F2548" s="8" t="s">
        <v>460</v>
      </c>
      <c r="G2548" s="8" t="s">
        <v>4015</v>
      </c>
      <c r="H2548" s="10">
        <v>5</v>
      </c>
      <c r="I2548" s="10"/>
      <c r="J2548" s="10">
        <v>5</v>
      </c>
      <c r="K2548" s="10">
        <v>803.86</v>
      </c>
    </row>
    <row r="2549" spans="1:11" x14ac:dyDescent="0.25">
      <c r="A2549" s="8" t="s">
        <v>4131</v>
      </c>
      <c r="B2549" s="8" t="s">
        <v>136</v>
      </c>
      <c r="C2549" s="8" t="s">
        <v>4013</v>
      </c>
      <c r="D2549" s="8">
        <v>3</v>
      </c>
      <c r="E2549" s="8" t="s">
        <v>4124</v>
      </c>
      <c r="F2549" s="8" t="s">
        <v>460</v>
      </c>
      <c r="G2549" s="8" t="s">
        <v>4015</v>
      </c>
      <c r="H2549" s="10">
        <v>5</v>
      </c>
      <c r="I2549" s="10"/>
      <c r="J2549" s="10">
        <v>5</v>
      </c>
      <c r="K2549" s="10">
        <v>803.86</v>
      </c>
    </row>
    <row r="2550" spans="1:11" x14ac:dyDescent="0.25">
      <c r="A2550" s="8" t="s">
        <v>4132</v>
      </c>
      <c r="B2550" s="8" t="s">
        <v>116</v>
      </c>
      <c r="C2550" s="8" t="s">
        <v>4013</v>
      </c>
      <c r="D2550" s="8">
        <v>3</v>
      </c>
      <c r="E2550" s="8" t="s">
        <v>4133</v>
      </c>
      <c r="F2550" s="8" t="s">
        <v>460</v>
      </c>
      <c r="G2550" s="8" t="s">
        <v>4015</v>
      </c>
      <c r="H2550" s="10">
        <v>5</v>
      </c>
      <c r="I2550" s="10"/>
      <c r="J2550" s="10">
        <v>5</v>
      </c>
      <c r="K2550" s="10">
        <v>803.86</v>
      </c>
    </row>
    <row r="2551" spans="1:11" x14ac:dyDescent="0.25">
      <c r="A2551" s="8" t="s">
        <v>4134</v>
      </c>
      <c r="B2551" s="8" t="s">
        <v>118</v>
      </c>
      <c r="C2551" s="8" t="s">
        <v>4013</v>
      </c>
      <c r="D2551" s="8">
        <v>3</v>
      </c>
      <c r="E2551" s="8" t="s">
        <v>4133</v>
      </c>
      <c r="F2551" s="8" t="s">
        <v>460</v>
      </c>
      <c r="G2551" s="8" t="s">
        <v>4015</v>
      </c>
      <c r="H2551" s="10">
        <v>5</v>
      </c>
      <c r="I2551" s="10"/>
      <c r="J2551" s="10">
        <v>5</v>
      </c>
      <c r="K2551" s="10">
        <v>803.86</v>
      </c>
    </row>
    <row r="2552" spans="1:11" x14ac:dyDescent="0.25">
      <c r="A2552" s="8" t="s">
        <v>4135</v>
      </c>
      <c r="B2552" s="8" t="s">
        <v>120</v>
      </c>
      <c r="C2552" s="8" t="s">
        <v>4013</v>
      </c>
      <c r="D2552" s="8">
        <v>3</v>
      </c>
      <c r="E2552" s="8" t="s">
        <v>4133</v>
      </c>
      <c r="F2552" s="8" t="s">
        <v>460</v>
      </c>
      <c r="G2552" s="8" t="s">
        <v>4015</v>
      </c>
      <c r="H2552" s="10">
        <v>10</v>
      </c>
      <c r="I2552" s="10"/>
      <c r="J2552" s="10">
        <v>10</v>
      </c>
      <c r="K2552" s="10">
        <v>803.86</v>
      </c>
    </row>
    <row r="2553" spans="1:11" x14ac:dyDescent="0.25">
      <c r="A2553" s="8" t="s">
        <v>4136</v>
      </c>
      <c r="B2553" s="8" t="s">
        <v>122</v>
      </c>
      <c r="C2553" s="8" t="s">
        <v>4013</v>
      </c>
      <c r="D2553" s="8">
        <v>3</v>
      </c>
      <c r="E2553" s="8" t="s">
        <v>4133</v>
      </c>
      <c r="F2553" s="8" t="s">
        <v>460</v>
      </c>
      <c r="G2553" s="8" t="s">
        <v>4015</v>
      </c>
      <c r="H2553" s="10">
        <v>5</v>
      </c>
      <c r="I2553" s="10"/>
      <c r="J2553" s="10">
        <v>5</v>
      </c>
      <c r="K2553" s="10">
        <v>803.86</v>
      </c>
    </row>
    <row r="2554" spans="1:11" x14ac:dyDescent="0.25">
      <c r="A2554" s="8" t="s">
        <v>4137</v>
      </c>
      <c r="B2554" s="8" t="s">
        <v>124</v>
      </c>
      <c r="C2554" s="8" t="s">
        <v>4013</v>
      </c>
      <c r="D2554" s="8">
        <v>3</v>
      </c>
      <c r="E2554" s="8" t="s">
        <v>4133</v>
      </c>
      <c r="F2554" s="8" t="s">
        <v>460</v>
      </c>
      <c r="G2554" s="8" t="s">
        <v>4015</v>
      </c>
      <c r="H2554" s="10">
        <v>5</v>
      </c>
      <c r="I2554" s="10"/>
      <c r="J2554" s="10">
        <v>5</v>
      </c>
      <c r="K2554" s="10">
        <v>803.86</v>
      </c>
    </row>
    <row r="2555" spans="1:11" x14ac:dyDescent="0.25">
      <c r="A2555" s="8" t="s">
        <v>4138</v>
      </c>
      <c r="B2555" s="8" t="s">
        <v>78</v>
      </c>
      <c r="C2555" s="8" t="s">
        <v>4013</v>
      </c>
      <c r="D2555" s="8">
        <v>3</v>
      </c>
      <c r="E2555" s="8" t="s">
        <v>4133</v>
      </c>
      <c r="F2555" s="8" t="s">
        <v>460</v>
      </c>
      <c r="G2555" s="8" t="s">
        <v>4015</v>
      </c>
      <c r="H2555" s="10">
        <v>5</v>
      </c>
      <c r="I2555" s="10"/>
      <c r="J2555" s="10">
        <v>5</v>
      </c>
      <c r="K2555" s="10">
        <v>803.86</v>
      </c>
    </row>
    <row r="2556" spans="1:11" x14ac:dyDescent="0.25">
      <c r="A2556" s="8" t="s">
        <v>4139</v>
      </c>
      <c r="B2556" s="8" t="s">
        <v>132</v>
      </c>
      <c r="C2556" s="8" t="s">
        <v>4013</v>
      </c>
      <c r="D2556" s="8">
        <v>3</v>
      </c>
      <c r="E2556" s="8" t="s">
        <v>4133</v>
      </c>
      <c r="F2556" s="8" t="s">
        <v>460</v>
      </c>
      <c r="G2556" s="8" t="s">
        <v>4015</v>
      </c>
      <c r="H2556" s="10">
        <v>5</v>
      </c>
      <c r="I2556" s="10"/>
      <c r="J2556" s="10">
        <v>5</v>
      </c>
      <c r="K2556" s="10">
        <v>803.86</v>
      </c>
    </row>
    <row r="2557" spans="1:11" x14ac:dyDescent="0.25">
      <c r="A2557" s="8" t="s">
        <v>4140</v>
      </c>
      <c r="B2557" s="8" t="s">
        <v>134</v>
      </c>
      <c r="C2557" s="8" t="s">
        <v>4013</v>
      </c>
      <c r="D2557" s="8">
        <v>3</v>
      </c>
      <c r="E2557" s="8" t="s">
        <v>4133</v>
      </c>
      <c r="F2557" s="8" t="s">
        <v>460</v>
      </c>
      <c r="G2557" s="8" t="s">
        <v>4015</v>
      </c>
      <c r="H2557" s="10">
        <v>5</v>
      </c>
      <c r="I2557" s="10"/>
      <c r="J2557" s="10">
        <v>5</v>
      </c>
      <c r="K2557" s="10">
        <v>803.86</v>
      </c>
    </row>
    <row r="2558" spans="1:11" x14ac:dyDescent="0.25">
      <c r="A2558" s="8" t="s">
        <v>4141</v>
      </c>
      <c r="B2558" s="8" t="s">
        <v>136</v>
      </c>
      <c r="C2558" s="8" t="s">
        <v>4013</v>
      </c>
      <c r="D2558" s="8">
        <v>3</v>
      </c>
      <c r="E2558" s="8" t="s">
        <v>4133</v>
      </c>
      <c r="F2558" s="8" t="s">
        <v>460</v>
      </c>
      <c r="G2558" s="8" t="s">
        <v>4015</v>
      </c>
      <c r="H2558" s="10">
        <v>5</v>
      </c>
      <c r="I2558" s="10"/>
      <c r="J2558" s="10">
        <v>5</v>
      </c>
      <c r="K2558" s="10">
        <v>803.86</v>
      </c>
    </row>
    <row r="2559" spans="1:11" x14ac:dyDescent="0.25">
      <c r="A2559" s="8" t="s">
        <v>4142</v>
      </c>
      <c r="B2559" s="8" t="s">
        <v>118</v>
      </c>
      <c r="C2559" s="8" t="s">
        <v>4013</v>
      </c>
      <c r="D2559" s="8">
        <v>3</v>
      </c>
      <c r="E2559" s="8" t="s">
        <v>4143</v>
      </c>
      <c r="F2559" s="8" t="s">
        <v>460</v>
      </c>
      <c r="G2559" s="8" t="s">
        <v>4015</v>
      </c>
      <c r="H2559" s="10">
        <v>5</v>
      </c>
      <c r="I2559" s="10"/>
      <c r="J2559" s="10">
        <v>5</v>
      </c>
      <c r="K2559" s="10">
        <v>803.86</v>
      </c>
    </row>
    <row r="2560" spans="1:11" x14ac:dyDescent="0.25">
      <c r="A2560" s="8" t="s">
        <v>4144</v>
      </c>
      <c r="B2560" s="8" t="s">
        <v>120</v>
      </c>
      <c r="C2560" s="8" t="s">
        <v>4013</v>
      </c>
      <c r="D2560" s="8">
        <v>3</v>
      </c>
      <c r="E2560" s="8" t="s">
        <v>4143</v>
      </c>
      <c r="F2560" s="8" t="s">
        <v>460</v>
      </c>
      <c r="G2560" s="8" t="s">
        <v>4015</v>
      </c>
      <c r="H2560" s="10">
        <v>10</v>
      </c>
      <c r="I2560" s="10"/>
      <c r="J2560" s="10">
        <v>10</v>
      </c>
      <c r="K2560" s="10">
        <v>803.86</v>
      </c>
    </row>
    <row r="2561" spans="1:11" x14ac:dyDescent="0.25">
      <c r="A2561" s="8" t="s">
        <v>4145</v>
      </c>
      <c r="B2561" s="8" t="s">
        <v>122</v>
      </c>
      <c r="C2561" s="8" t="s">
        <v>4013</v>
      </c>
      <c r="D2561" s="8">
        <v>3</v>
      </c>
      <c r="E2561" s="8" t="s">
        <v>4143</v>
      </c>
      <c r="F2561" s="8" t="s">
        <v>460</v>
      </c>
      <c r="G2561" s="8" t="s">
        <v>4015</v>
      </c>
      <c r="H2561" s="10">
        <v>5</v>
      </c>
      <c r="I2561" s="10"/>
      <c r="J2561" s="10">
        <v>5</v>
      </c>
      <c r="K2561" s="10">
        <v>803.86</v>
      </c>
    </row>
    <row r="2562" spans="1:11" x14ac:dyDescent="0.25">
      <c r="A2562" s="8" t="s">
        <v>4146</v>
      </c>
      <c r="B2562" s="8" t="s">
        <v>124</v>
      </c>
      <c r="C2562" s="8" t="s">
        <v>4013</v>
      </c>
      <c r="D2562" s="8">
        <v>3</v>
      </c>
      <c r="E2562" s="8" t="s">
        <v>4143</v>
      </c>
      <c r="F2562" s="8" t="s">
        <v>460</v>
      </c>
      <c r="G2562" s="8" t="s">
        <v>4015</v>
      </c>
      <c r="H2562" s="10">
        <v>5</v>
      </c>
      <c r="I2562" s="10"/>
      <c r="J2562" s="10">
        <v>5</v>
      </c>
      <c r="K2562" s="10">
        <v>803.86</v>
      </c>
    </row>
    <row r="2563" spans="1:11" x14ac:dyDescent="0.25">
      <c r="A2563" s="8" t="s">
        <v>4147</v>
      </c>
      <c r="B2563" s="8" t="s">
        <v>78</v>
      </c>
      <c r="C2563" s="8" t="s">
        <v>4013</v>
      </c>
      <c r="D2563" s="8">
        <v>3</v>
      </c>
      <c r="E2563" s="8" t="s">
        <v>4143</v>
      </c>
      <c r="F2563" s="8" t="s">
        <v>460</v>
      </c>
      <c r="G2563" s="8" t="s">
        <v>4015</v>
      </c>
      <c r="H2563" s="10">
        <v>5</v>
      </c>
      <c r="I2563" s="10"/>
      <c r="J2563" s="10">
        <v>5</v>
      </c>
      <c r="K2563" s="10">
        <v>803.86</v>
      </c>
    </row>
    <row r="2564" spans="1:11" x14ac:dyDescent="0.25">
      <c r="A2564" s="8" t="s">
        <v>4148</v>
      </c>
      <c r="B2564" s="8" t="s">
        <v>134</v>
      </c>
      <c r="C2564" s="8" t="s">
        <v>4013</v>
      </c>
      <c r="D2564" s="8">
        <v>3</v>
      </c>
      <c r="E2564" s="8" t="s">
        <v>4143</v>
      </c>
      <c r="F2564" s="8" t="s">
        <v>460</v>
      </c>
      <c r="G2564" s="8" t="s">
        <v>4015</v>
      </c>
      <c r="H2564" s="10">
        <v>5</v>
      </c>
      <c r="I2564" s="10"/>
      <c r="J2564" s="10">
        <v>5</v>
      </c>
      <c r="K2564" s="10">
        <v>803.86</v>
      </c>
    </row>
    <row r="2565" spans="1:11" x14ac:dyDescent="0.25">
      <c r="A2565" s="8" t="s">
        <v>4149</v>
      </c>
      <c r="B2565" s="8" t="s">
        <v>136</v>
      </c>
      <c r="C2565" s="8" t="s">
        <v>4013</v>
      </c>
      <c r="D2565" s="8">
        <v>3</v>
      </c>
      <c r="E2565" s="8" t="s">
        <v>4143</v>
      </c>
      <c r="F2565" s="8" t="s">
        <v>460</v>
      </c>
      <c r="G2565" s="8" t="s">
        <v>4015</v>
      </c>
      <c r="H2565" s="10">
        <v>5</v>
      </c>
      <c r="I2565" s="10"/>
      <c r="J2565" s="10">
        <v>5</v>
      </c>
      <c r="K2565" s="10">
        <v>803.86</v>
      </c>
    </row>
    <row r="2566" spans="1:11" x14ac:dyDescent="0.25">
      <c r="A2566" s="8" t="s">
        <v>4150</v>
      </c>
      <c r="B2566" s="8" t="s">
        <v>118</v>
      </c>
      <c r="C2566" s="8" t="s">
        <v>4013</v>
      </c>
      <c r="D2566" s="8">
        <v>3</v>
      </c>
      <c r="E2566" s="8" t="s">
        <v>4151</v>
      </c>
      <c r="F2566" s="8" t="s">
        <v>460</v>
      </c>
      <c r="G2566" s="8" t="s">
        <v>4015</v>
      </c>
      <c r="H2566" s="10">
        <v>5</v>
      </c>
      <c r="I2566" s="10"/>
      <c r="J2566" s="10">
        <v>5</v>
      </c>
      <c r="K2566" s="10">
        <v>803.86</v>
      </c>
    </row>
    <row r="2567" spans="1:11" x14ac:dyDescent="0.25">
      <c r="A2567" s="8" t="s">
        <v>4152</v>
      </c>
      <c r="B2567" s="8" t="s">
        <v>120</v>
      </c>
      <c r="C2567" s="8" t="s">
        <v>4013</v>
      </c>
      <c r="D2567" s="8">
        <v>3</v>
      </c>
      <c r="E2567" s="8" t="s">
        <v>4151</v>
      </c>
      <c r="F2567" s="8" t="s">
        <v>460</v>
      </c>
      <c r="G2567" s="8" t="s">
        <v>4015</v>
      </c>
      <c r="H2567" s="10">
        <v>10</v>
      </c>
      <c r="I2567" s="10"/>
      <c r="J2567" s="10">
        <v>10</v>
      </c>
      <c r="K2567" s="10">
        <v>803.86</v>
      </c>
    </row>
    <row r="2568" spans="1:11" x14ac:dyDescent="0.25">
      <c r="A2568" s="8" t="s">
        <v>4153</v>
      </c>
      <c r="B2568" s="8" t="s">
        <v>122</v>
      </c>
      <c r="C2568" s="8" t="s">
        <v>4013</v>
      </c>
      <c r="D2568" s="8">
        <v>3</v>
      </c>
      <c r="E2568" s="8" t="s">
        <v>4151</v>
      </c>
      <c r="F2568" s="8" t="s">
        <v>460</v>
      </c>
      <c r="G2568" s="8" t="s">
        <v>4015</v>
      </c>
      <c r="H2568" s="10">
        <v>5</v>
      </c>
      <c r="I2568" s="10"/>
      <c r="J2568" s="10">
        <v>5</v>
      </c>
      <c r="K2568" s="10">
        <v>803.86</v>
      </c>
    </row>
    <row r="2569" spans="1:11" x14ac:dyDescent="0.25">
      <c r="A2569" s="8" t="s">
        <v>4154</v>
      </c>
      <c r="B2569" s="8" t="s">
        <v>124</v>
      </c>
      <c r="C2569" s="8" t="s">
        <v>4013</v>
      </c>
      <c r="D2569" s="8">
        <v>3</v>
      </c>
      <c r="E2569" s="8" t="s">
        <v>4151</v>
      </c>
      <c r="F2569" s="8" t="s">
        <v>460</v>
      </c>
      <c r="G2569" s="8" t="s">
        <v>4015</v>
      </c>
      <c r="H2569" s="10">
        <v>5</v>
      </c>
      <c r="I2569" s="10"/>
      <c r="J2569" s="10">
        <v>5</v>
      </c>
      <c r="K2569" s="10">
        <v>803.86</v>
      </c>
    </row>
    <row r="2570" spans="1:11" x14ac:dyDescent="0.25">
      <c r="A2570" s="8" t="s">
        <v>4155</v>
      </c>
      <c r="B2570" s="8" t="s">
        <v>78</v>
      </c>
      <c r="C2570" s="8" t="s">
        <v>4013</v>
      </c>
      <c r="D2570" s="8">
        <v>3</v>
      </c>
      <c r="E2570" s="8" t="s">
        <v>4151</v>
      </c>
      <c r="F2570" s="8" t="s">
        <v>460</v>
      </c>
      <c r="G2570" s="8" t="s">
        <v>4015</v>
      </c>
      <c r="H2570" s="10">
        <v>5</v>
      </c>
      <c r="I2570" s="10"/>
      <c r="J2570" s="10">
        <v>5</v>
      </c>
      <c r="K2570" s="10">
        <v>803.86</v>
      </c>
    </row>
    <row r="2571" spans="1:11" x14ac:dyDescent="0.25">
      <c r="A2571" s="8" t="s">
        <v>4156</v>
      </c>
      <c r="B2571" s="8" t="s">
        <v>134</v>
      </c>
      <c r="C2571" s="8" t="s">
        <v>4013</v>
      </c>
      <c r="D2571" s="8">
        <v>3</v>
      </c>
      <c r="E2571" s="8" t="s">
        <v>4151</v>
      </c>
      <c r="F2571" s="8" t="s">
        <v>460</v>
      </c>
      <c r="G2571" s="8" t="s">
        <v>4015</v>
      </c>
      <c r="H2571" s="10">
        <v>5</v>
      </c>
      <c r="I2571" s="10"/>
      <c r="J2571" s="10">
        <v>5</v>
      </c>
      <c r="K2571" s="10">
        <v>803.86</v>
      </c>
    </row>
    <row r="2572" spans="1:11" x14ac:dyDescent="0.25">
      <c r="A2572" s="8" t="s">
        <v>4157</v>
      </c>
      <c r="B2572" s="8" t="s">
        <v>136</v>
      </c>
      <c r="C2572" s="8" t="s">
        <v>4013</v>
      </c>
      <c r="D2572" s="8">
        <v>3</v>
      </c>
      <c r="E2572" s="8" t="s">
        <v>4151</v>
      </c>
      <c r="F2572" s="8" t="s">
        <v>460</v>
      </c>
      <c r="G2572" s="8" t="s">
        <v>4015</v>
      </c>
      <c r="H2572" s="10">
        <v>5</v>
      </c>
      <c r="I2572" s="10"/>
      <c r="J2572" s="10">
        <v>5</v>
      </c>
      <c r="K2572" s="10">
        <v>803.86</v>
      </c>
    </row>
    <row r="2573" spans="1:11" x14ac:dyDescent="0.25">
      <c r="A2573" s="8" t="s">
        <v>4158</v>
      </c>
      <c r="B2573" s="8" t="s">
        <v>80</v>
      </c>
      <c r="C2573" s="8" t="s">
        <v>4159</v>
      </c>
      <c r="D2573" s="8">
        <v>3</v>
      </c>
      <c r="E2573" s="8" t="s">
        <v>4160</v>
      </c>
      <c r="F2573" s="8" t="s">
        <v>215</v>
      </c>
      <c r="G2573" s="8" t="s">
        <v>4161</v>
      </c>
      <c r="H2573" s="10">
        <v>5</v>
      </c>
      <c r="I2573" s="10"/>
      <c r="J2573" s="10">
        <v>5</v>
      </c>
      <c r="K2573" s="10">
        <v>2009.65</v>
      </c>
    </row>
    <row r="2574" spans="1:11" x14ac:dyDescent="0.25">
      <c r="A2574" s="8" t="s">
        <v>4162</v>
      </c>
      <c r="B2574" s="8" t="s">
        <v>116</v>
      </c>
      <c r="C2574" s="8" t="s">
        <v>4013</v>
      </c>
      <c r="D2574" s="8">
        <v>3</v>
      </c>
      <c r="E2574" s="8" t="s">
        <v>4163</v>
      </c>
      <c r="F2574" s="8" t="s">
        <v>460</v>
      </c>
      <c r="G2574" s="8" t="s">
        <v>4164</v>
      </c>
      <c r="H2574" s="10">
        <v>20</v>
      </c>
      <c r="I2574" s="10"/>
      <c r="J2574" s="10">
        <v>20</v>
      </c>
      <c r="K2574" s="10">
        <v>200.97</v>
      </c>
    </row>
    <row r="2575" spans="1:11" x14ac:dyDescent="0.25">
      <c r="A2575" s="8" t="s">
        <v>4165</v>
      </c>
      <c r="B2575" s="8" t="s">
        <v>118</v>
      </c>
      <c r="C2575" s="8" t="s">
        <v>4013</v>
      </c>
      <c r="D2575" s="8">
        <v>3</v>
      </c>
      <c r="E2575" s="8" t="s">
        <v>4163</v>
      </c>
      <c r="F2575" s="8" t="s">
        <v>460</v>
      </c>
      <c r="G2575" s="8" t="s">
        <v>4164</v>
      </c>
      <c r="H2575" s="10">
        <v>20</v>
      </c>
      <c r="I2575" s="10"/>
      <c r="J2575" s="10">
        <v>20</v>
      </c>
      <c r="K2575" s="10">
        <v>200.97</v>
      </c>
    </row>
    <row r="2576" spans="1:11" x14ac:dyDescent="0.25">
      <c r="A2576" s="8" t="s">
        <v>4166</v>
      </c>
      <c r="B2576" s="8" t="s">
        <v>1650</v>
      </c>
      <c r="C2576" s="8" t="s">
        <v>4013</v>
      </c>
      <c r="D2576" s="8">
        <v>3</v>
      </c>
      <c r="E2576" s="8" t="s">
        <v>4163</v>
      </c>
      <c r="F2576" s="8" t="s">
        <v>460</v>
      </c>
      <c r="G2576" s="8" t="s">
        <v>4164</v>
      </c>
      <c r="H2576" s="10">
        <v>8</v>
      </c>
      <c r="I2576" s="10"/>
      <c r="J2576" s="10">
        <v>8</v>
      </c>
      <c r="K2576" s="10">
        <v>200.97</v>
      </c>
    </row>
    <row r="2577" spans="1:11" x14ac:dyDescent="0.25">
      <c r="A2577" s="8" t="s">
        <v>4167</v>
      </c>
      <c r="B2577" s="8" t="s">
        <v>120</v>
      </c>
      <c r="C2577" s="8" t="s">
        <v>4013</v>
      </c>
      <c r="D2577" s="8">
        <v>3</v>
      </c>
      <c r="E2577" s="8" t="s">
        <v>4163</v>
      </c>
      <c r="F2577" s="8" t="s">
        <v>460</v>
      </c>
      <c r="G2577" s="8" t="s">
        <v>4164</v>
      </c>
      <c r="H2577" s="10">
        <v>45</v>
      </c>
      <c r="I2577" s="10"/>
      <c r="J2577" s="10">
        <v>45</v>
      </c>
      <c r="K2577" s="10">
        <v>200.97</v>
      </c>
    </row>
    <row r="2578" spans="1:11" x14ac:dyDescent="0.25">
      <c r="A2578" s="8" t="s">
        <v>4168</v>
      </c>
      <c r="B2578" s="8" t="s">
        <v>120</v>
      </c>
      <c r="C2578" s="8" t="s">
        <v>4013</v>
      </c>
      <c r="D2578" s="8">
        <v>3</v>
      </c>
      <c r="E2578" s="8" t="s">
        <v>4163</v>
      </c>
      <c r="F2578" s="8" t="s">
        <v>460</v>
      </c>
      <c r="G2578" s="8" t="s">
        <v>4164</v>
      </c>
      <c r="H2578" s="10">
        <v>25</v>
      </c>
      <c r="I2578" s="10"/>
      <c r="J2578" s="10">
        <v>25</v>
      </c>
      <c r="K2578" s="10">
        <v>200.97</v>
      </c>
    </row>
    <row r="2579" spans="1:11" x14ac:dyDescent="0.25">
      <c r="A2579" s="8" t="s">
        <v>4169</v>
      </c>
      <c r="B2579" s="8" t="s">
        <v>122</v>
      </c>
      <c r="C2579" s="8" t="s">
        <v>4013</v>
      </c>
      <c r="D2579" s="8">
        <v>3</v>
      </c>
      <c r="E2579" s="8" t="s">
        <v>4163</v>
      </c>
      <c r="F2579" s="8" t="s">
        <v>460</v>
      </c>
      <c r="G2579" s="8" t="s">
        <v>4164</v>
      </c>
      <c r="H2579" s="10">
        <v>35</v>
      </c>
      <c r="I2579" s="10"/>
      <c r="J2579" s="10">
        <v>35</v>
      </c>
      <c r="K2579" s="10">
        <v>200.97</v>
      </c>
    </row>
    <row r="2580" spans="1:11" x14ac:dyDescent="0.25">
      <c r="A2580" s="8" t="s">
        <v>4170</v>
      </c>
      <c r="B2580" s="8" t="s">
        <v>124</v>
      </c>
      <c r="C2580" s="8" t="s">
        <v>4013</v>
      </c>
      <c r="D2580" s="8">
        <v>3</v>
      </c>
      <c r="E2580" s="8" t="s">
        <v>4163</v>
      </c>
      <c r="F2580" s="8" t="s">
        <v>460</v>
      </c>
      <c r="G2580" s="8" t="s">
        <v>4164</v>
      </c>
      <c r="H2580" s="10">
        <v>35</v>
      </c>
      <c r="I2580" s="10"/>
      <c r="J2580" s="10">
        <v>35</v>
      </c>
      <c r="K2580" s="10">
        <v>200.97</v>
      </c>
    </row>
    <row r="2581" spans="1:11" x14ac:dyDescent="0.25">
      <c r="A2581" s="8" t="s">
        <v>4171</v>
      </c>
      <c r="B2581" s="8" t="s">
        <v>78</v>
      </c>
      <c r="C2581" s="8" t="s">
        <v>4013</v>
      </c>
      <c r="D2581" s="8">
        <v>3</v>
      </c>
      <c r="E2581" s="8" t="s">
        <v>4163</v>
      </c>
      <c r="F2581" s="8" t="s">
        <v>460</v>
      </c>
      <c r="G2581" s="8" t="s">
        <v>4164</v>
      </c>
      <c r="H2581" s="10">
        <v>12</v>
      </c>
      <c r="I2581" s="10"/>
      <c r="J2581" s="10">
        <v>12</v>
      </c>
      <c r="K2581" s="10">
        <v>200.97</v>
      </c>
    </row>
    <row r="2582" spans="1:11" x14ac:dyDescent="0.25">
      <c r="A2582" s="8" t="s">
        <v>4172</v>
      </c>
      <c r="B2582" s="8" t="s">
        <v>1655</v>
      </c>
      <c r="C2582" s="8" t="s">
        <v>4013</v>
      </c>
      <c r="D2582" s="8">
        <v>3</v>
      </c>
      <c r="E2582" s="8" t="s">
        <v>4163</v>
      </c>
      <c r="F2582" s="8" t="s">
        <v>460</v>
      </c>
      <c r="G2582" s="8" t="s">
        <v>4164</v>
      </c>
      <c r="H2582" s="10">
        <v>10</v>
      </c>
      <c r="I2582" s="10"/>
      <c r="J2582" s="10">
        <v>10</v>
      </c>
      <c r="K2582" s="10">
        <v>200.97</v>
      </c>
    </row>
    <row r="2583" spans="1:11" x14ac:dyDescent="0.25">
      <c r="A2583" s="8" t="s">
        <v>4173</v>
      </c>
      <c r="B2583" s="8" t="s">
        <v>128</v>
      </c>
      <c r="C2583" s="8" t="s">
        <v>4013</v>
      </c>
      <c r="D2583" s="8">
        <v>3</v>
      </c>
      <c r="E2583" s="8" t="s">
        <v>4163</v>
      </c>
      <c r="F2583" s="8" t="s">
        <v>460</v>
      </c>
      <c r="G2583" s="8" t="s">
        <v>4164</v>
      </c>
      <c r="H2583" s="10">
        <v>6</v>
      </c>
      <c r="I2583" s="10"/>
      <c r="J2583" s="10">
        <v>6</v>
      </c>
      <c r="K2583" s="10">
        <v>200.97</v>
      </c>
    </row>
    <row r="2584" spans="1:11" x14ac:dyDescent="0.25">
      <c r="A2584" s="8" t="s">
        <v>4174</v>
      </c>
      <c r="B2584" s="8" t="s">
        <v>130</v>
      </c>
      <c r="C2584" s="8" t="s">
        <v>4013</v>
      </c>
      <c r="D2584" s="8">
        <v>3</v>
      </c>
      <c r="E2584" s="8" t="s">
        <v>4163</v>
      </c>
      <c r="F2584" s="8" t="s">
        <v>460</v>
      </c>
      <c r="G2584" s="8" t="s">
        <v>4164</v>
      </c>
      <c r="H2584" s="10">
        <v>4</v>
      </c>
      <c r="I2584" s="10"/>
      <c r="J2584" s="10">
        <v>4</v>
      </c>
      <c r="K2584" s="10">
        <v>200.97</v>
      </c>
    </row>
    <row r="2585" spans="1:11" x14ac:dyDescent="0.25">
      <c r="A2585" s="8" t="s">
        <v>4175</v>
      </c>
      <c r="B2585" s="8" t="s">
        <v>132</v>
      </c>
      <c r="C2585" s="8" t="s">
        <v>4013</v>
      </c>
      <c r="D2585" s="8">
        <v>3</v>
      </c>
      <c r="E2585" s="8" t="s">
        <v>4163</v>
      </c>
      <c r="F2585" s="8" t="s">
        <v>460</v>
      </c>
      <c r="G2585" s="8" t="s">
        <v>4164</v>
      </c>
      <c r="H2585" s="10">
        <v>12</v>
      </c>
      <c r="I2585" s="10"/>
      <c r="J2585" s="10">
        <v>12</v>
      </c>
      <c r="K2585" s="10">
        <v>200.97</v>
      </c>
    </row>
    <row r="2586" spans="1:11" x14ac:dyDescent="0.25">
      <c r="A2586" s="8" t="s">
        <v>4176</v>
      </c>
      <c r="B2586" s="8" t="s">
        <v>134</v>
      </c>
      <c r="C2586" s="8" t="s">
        <v>4013</v>
      </c>
      <c r="D2586" s="8">
        <v>3</v>
      </c>
      <c r="E2586" s="8" t="s">
        <v>4163</v>
      </c>
      <c r="F2586" s="8" t="s">
        <v>460</v>
      </c>
      <c r="G2586" s="8" t="s">
        <v>4164</v>
      </c>
      <c r="H2586" s="10">
        <v>20</v>
      </c>
      <c r="I2586" s="10"/>
      <c r="J2586" s="10">
        <v>20</v>
      </c>
      <c r="K2586" s="10">
        <v>200.97</v>
      </c>
    </row>
    <row r="2587" spans="1:11" x14ac:dyDescent="0.25">
      <c r="A2587" s="8" t="s">
        <v>4177</v>
      </c>
      <c r="B2587" s="8" t="s">
        <v>136</v>
      </c>
      <c r="C2587" s="8" t="s">
        <v>4013</v>
      </c>
      <c r="D2587" s="8">
        <v>3</v>
      </c>
      <c r="E2587" s="8" t="s">
        <v>4163</v>
      </c>
      <c r="F2587" s="8" t="s">
        <v>460</v>
      </c>
      <c r="G2587" s="8" t="s">
        <v>4164</v>
      </c>
      <c r="H2587" s="10">
        <v>5</v>
      </c>
      <c r="I2587" s="10"/>
      <c r="J2587" s="10">
        <v>5</v>
      </c>
      <c r="K2587" s="10">
        <v>200.97</v>
      </c>
    </row>
    <row r="2588" spans="1:11" x14ac:dyDescent="0.25">
      <c r="A2588" s="8" t="s">
        <v>4178</v>
      </c>
      <c r="B2588" s="8" t="s">
        <v>1689</v>
      </c>
      <c r="C2588" s="8" t="s">
        <v>4013</v>
      </c>
      <c r="D2588" s="8">
        <v>3</v>
      </c>
      <c r="E2588" s="8" t="s">
        <v>4163</v>
      </c>
      <c r="F2588" s="8" t="s">
        <v>460</v>
      </c>
      <c r="G2588" s="8" t="s">
        <v>4164</v>
      </c>
      <c r="H2588" s="10">
        <v>6</v>
      </c>
      <c r="I2588" s="10"/>
      <c r="J2588" s="10">
        <v>6</v>
      </c>
      <c r="K2588" s="10">
        <v>200.97</v>
      </c>
    </row>
    <row r="2589" spans="1:11" x14ac:dyDescent="0.25">
      <c r="A2589" s="8" t="s">
        <v>4179</v>
      </c>
      <c r="B2589" s="8" t="s">
        <v>138</v>
      </c>
      <c r="C2589" s="8" t="s">
        <v>4013</v>
      </c>
      <c r="D2589" s="8">
        <v>3</v>
      </c>
      <c r="E2589" s="8" t="s">
        <v>4163</v>
      </c>
      <c r="F2589" s="8" t="s">
        <v>460</v>
      </c>
      <c r="G2589" s="8" t="s">
        <v>4164</v>
      </c>
      <c r="H2589" s="10">
        <v>2</v>
      </c>
      <c r="I2589" s="10"/>
      <c r="J2589" s="10">
        <v>2</v>
      </c>
      <c r="K2589" s="10">
        <v>200.97</v>
      </c>
    </row>
    <row r="2590" spans="1:11" x14ac:dyDescent="0.25">
      <c r="A2590" s="8" t="s">
        <v>4180</v>
      </c>
      <c r="B2590" s="8" t="s">
        <v>3521</v>
      </c>
      <c r="C2590" s="8" t="s">
        <v>4013</v>
      </c>
      <c r="D2590" s="8">
        <v>3</v>
      </c>
      <c r="E2590" s="8" t="s">
        <v>4163</v>
      </c>
      <c r="F2590" s="8" t="s">
        <v>460</v>
      </c>
      <c r="G2590" s="8" t="s">
        <v>4164</v>
      </c>
      <c r="H2590" s="10">
        <v>4</v>
      </c>
      <c r="I2590" s="10"/>
      <c r="J2590" s="10">
        <v>4</v>
      </c>
      <c r="K2590" s="10">
        <v>200.97</v>
      </c>
    </row>
    <row r="2591" spans="1:11" x14ac:dyDescent="0.25">
      <c r="A2591" s="8" t="s">
        <v>4181</v>
      </c>
      <c r="B2591" s="8" t="s">
        <v>80</v>
      </c>
      <c r="C2591" s="8" t="s">
        <v>4013</v>
      </c>
      <c r="D2591" s="8">
        <v>3</v>
      </c>
      <c r="E2591" s="8" t="s">
        <v>4163</v>
      </c>
      <c r="F2591" s="8" t="s">
        <v>460</v>
      </c>
      <c r="G2591" s="8" t="s">
        <v>4164</v>
      </c>
      <c r="H2591" s="10">
        <v>5</v>
      </c>
      <c r="I2591" s="10"/>
      <c r="J2591" s="10">
        <v>5</v>
      </c>
      <c r="K2591" s="10">
        <v>200.97</v>
      </c>
    </row>
    <row r="2592" spans="1:11" x14ac:dyDescent="0.25">
      <c r="A2592" s="8" t="s">
        <v>4182</v>
      </c>
      <c r="B2592" s="8" t="s">
        <v>116</v>
      </c>
      <c r="C2592" s="8" t="s">
        <v>4013</v>
      </c>
      <c r="D2592" s="8">
        <v>3</v>
      </c>
      <c r="E2592" s="8" t="s">
        <v>4183</v>
      </c>
      <c r="F2592" s="8" t="s">
        <v>460</v>
      </c>
      <c r="G2592" s="8" t="s">
        <v>4164</v>
      </c>
      <c r="H2592" s="10">
        <v>3</v>
      </c>
      <c r="I2592" s="10"/>
      <c r="J2592" s="10">
        <v>3</v>
      </c>
      <c r="K2592" s="10">
        <v>401.93</v>
      </c>
    </row>
    <row r="2593" spans="1:11" x14ac:dyDescent="0.25">
      <c r="A2593" s="8" t="s">
        <v>4184</v>
      </c>
      <c r="B2593" s="8" t="s">
        <v>116</v>
      </c>
      <c r="C2593" s="8" t="s">
        <v>4013</v>
      </c>
      <c r="D2593" s="8">
        <v>3</v>
      </c>
      <c r="E2593" s="8" t="s">
        <v>4183</v>
      </c>
      <c r="F2593" s="8" t="s">
        <v>460</v>
      </c>
      <c r="G2593" s="8" t="s">
        <v>4164</v>
      </c>
      <c r="H2593" s="10">
        <v>1</v>
      </c>
      <c r="I2593" s="10"/>
      <c r="J2593" s="10">
        <v>1</v>
      </c>
      <c r="K2593" s="10">
        <v>401.93</v>
      </c>
    </row>
    <row r="2594" spans="1:11" x14ac:dyDescent="0.25">
      <c r="A2594" s="8" t="s">
        <v>4185</v>
      </c>
      <c r="B2594" s="8" t="s">
        <v>116</v>
      </c>
      <c r="C2594" s="8" t="s">
        <v>4013</v>
      </c>
      <c r="D2594" s="8">
        <v>3</v>
      </c>
      <c r="E2594" s="8" t="s">
        <v>4183</v>
      </c>
      <c r="F2594" s="8" t="s">
        <v>460</v>
      </c>
      <c r="G2594" s="8" t="s">
        <v>4164</v>
      </c>
      <c r="H2594" s="10">
        <v>1</v>
      </c>
      <c r="I2594" s="10"/>
      <c r="J2594" s="10">
        <v>1</v>
      </c>
      <c r="K2594" s="10">
        <v>401.93</v>
      </c>
    </row>
    <row r="2595" spans="1:11" x14ac:dyDescent="0.25">
      <c r="A2595" s="8" t="s">
        <v>4186</v>
      </c>
      <c r="B2595" s="8" t="s">
        <v>118</v>
      </c>
      <c r="C2595" s="8" t="s">
        <v>4013</v>
      </c>
      <c r="D2595" s="8">
        <v>3</v>
      </c>
      <c r="E2595" s="8" t="s">
        <v>4183</v>
      </c>
      <c r="F2595" s="8" t="s">
        <v>460</v>
      </c>
      <c r="G2595" s="8" t="s">
        <v>4164</v>
      </c>
      <c r="H2595" s="10">
        <v>6</v>
      </c>
      <c r="I2595" s="10"/>
      <c r="J2595" s="10">
        <v>6</v>
      </c>
      <c r="K2595" s="10">
        <v>401.93</v>
      </c>
    </row>
    <row r="2596" spans="1:11" x14ac:dyDescent="0.25">
      <c r="A2596" s="8" t="s">
        <v>4187</v>
      </c>
      <c r="B2596" s="8" t="s">
        <v>120</v>
      </c>
      <c r="C2596" s="8" t="s">
        <v>4013</v>
      </c>
      <c r="D2596" s="8">
        <v>3</v>
      </c>
      <c r="E2596" s="8" t="s">
        <v>4183</v>
      </c>
      <c r="F2596" s="8" t="s">
        <v>460</v>
      </c>
      <c r="G2596" s="8" t="s">
        <v>4164</v>
      </c>
      <c r="H2596" s="10">
        <v>6</v>
      </c>
      <c r="I2596" s="10"/>
      <c r="J2596" s="10">
        <v>6</v>
      </c>
      <c r="K2596" s="10">
        <v>401.93</v>
      </c>
    </row>
    <row r="2597" spans="1:11" x14ac:dyDescent="0.25">
      <c r="A2597" s="8" t="s">
        <v>4188</v>
      </c>
      <c r="B2597" s="8" t="s">
        <v>122</v>
      </c>
      <c r="C2597" s="8" t="s">
        <v>4013</v>
      </c>
      <c r="D2597" s="8">
        <v>3</v>
      </c>
      <c r="E2597" s="8" t="s">
        <v>4183</v>
      </c>
      <c r="F2597" s="8" t="s">
        <v>460</v>
      </c>
      <c r="G2597" s="8" t="s">
        <v>4164</v>
      </c>
      <c r="H2597" s="10">
        <v>6</v>
      </c>
      <c r="I2597" s="10"/>
      <c r="J2597" s="10">
        <v>6</v>
      </c>
      <c r="K2597" s="10">
        <v>401.93</v>
      </c>
    </row>
    <row r="2598" spans="1:11" x14ac:dyDescent="0.25">
      <c r="A2598" s="8" t="s">
        <v>4189</v>
      </c>
      <c r="B2598" s="8" t="s">
        <v>124</v>
      </c>
      <c r="C2598" s="8" t="s">
        <v>4013</v>
      </c>
      <c r="D2598" s="8">
        <v>3</v>
      </c>
      <c r="E2598" s="8" t="s">
        <v>4183</v>
      </c>
      <c r="F2598" s="8" t="s">
        <v>460</v>
      </c>
      <c r="G2598" s="8" t="s">
        <v>4164</v>
      </c>
      <c r="H2598" s="10">
        <v>6</v>
      </c>
      <c r="I2598" s="10"/>
      <c r="J2598" s="10">
        <v>6</v>
      </c>
      <c r="K2598" s="10">
        <v>401.93</v>
      </c>
    </row>
    <row r="2599" spans="1:11" x14ac:dyDescent="0.25">
      <c r="A2599" s="8" t="s">
        <v>4190</v>
      </c>
      <c r="B2599" s="8" t="s">
        <v>78</v>
      </c>
      <c r="C2599" s="8" t="s">
        <v>4013</v>
      </c>
      <c r="D2599" s="8">
        <v>3</v>
      </c>
      <c r="E2599" s="8" t="s">
        <v>4183</v>
      </c>
      <c r="F2599" s="8" t="s">
        <v>460</v>
      </c>
      <c r="G2599" s="8" t="s">
        <v>4164</v>
      </c>
      <c r="H2599" s="10">
        <v>6</v>
      </c>
      <c r="I2599" s="10"/>
      <c r="J2599" s="10">
        <v>6</v>
      </c>
      <c r="K2599" s="10">
        <v>401.93</v>
      </c>
    </row>
    <row r="2600" spans="1:11" x14ac:dyDescent="0.25">
      <c r="A2600" s="8" t="s">
        <v>4191</v>
      </c>
      <c r="B2600" s="8" t="s">
        <v>128</v>
      </c>
      <c r="C2600" s="8" t="s">
        <v>4013</v>
      </c>
      <c r="D2600" s="8">
        <v>3</v>
      </c>
      <c r="E2600" s="8" t="s">
        <v>4183</v>
      </c>
      <c r="F2600" s="8" t="s">
        <v>460</v>
      </c>
      <c r="G2600" s="8" t="s">
        <v>4164</v>
      </c>
      <c r="H2600" s="10">
        <v>2</v>
      </c>
      <c r="I2600" s="10"/>
      <c r="J2600" s="10">
        <v>2</v>
      </c>
      <c r="K2600" s="10">
        <v>401.93</v>
      </c>
    </row>
    <row r="2601" spans="1:11" x14ac:dyDescent="0.25">
      <c r="A2601" s="8" t="s">
        <v>4192</v>
      </c>
      <c r="B2601" s="8" t="s">
        <v>130</v>
      </c>
      <c r="C2601" s="8" t="s">
        <v>4013</v>
      </c>
      <c r="D2601" s="8">
        <v>3</v>
      </c>
      <c r="E2601" s="8" t="s">
        <v>4183</v>
      </c>
      <c r="F2601" s="8" t="s">
        <v>460</v>
      </c>
      <c r="G2601" s="8" t="s">
        <v>4164</v>
      </c>
      <c r="H2601" s="10">
        <v>1</v>
      </c>
      <c r="I2601" s="10"/>
      <c r="J2601" s="10">
        <v>1</v>
      </c>
      <c r="K2601" s="10">
        <v>401.93</v>
      </c>
    </row>
    <row r="2602" spans="1:11" x14ac:dyDescent="0.25">
      <c r="A2602" s="8" t="s">
        <v>4193</v>
      </c>
      <c r="B2602" s="8" t="s">
        <v>132</v>
      </c>
      <c r="C2602" s="8" t="s">
        <v>4013</v>
      </c>
      <c r="D2602" s="8">
        <v>3</v>
      </c>
      <c r="E2602" s="8" t="s">
        <v>4183</v>
      </c>
      <c r="F2602" s="8" t="s">
        <v>460</v>
      </c>
      <c r="G2602" s="8" t="s">
        <v>4164</v>
      </c>
      <c r="H2602" s="10">
        <v>3</v>
      </c>
      <c r="I2602" s="10"/>
      <c r="J2602" s="10">
        <v>3</v>
      </c>
      <c r="K2602" s="10">
        <v>401.93</v>
      </c>
    </row>
    <row r="2603" spans="1:11" x14ac:dyDescent="0.25">
      <c r="A2603" s="8" t="s">
        <v>4194</v>
      </c>
      <c r="B2603" s="8" t="s">
        <v>134</v>
      </c>
      <c r="C2603" s="8" t="s">
        <v>4013</v>
      </c>
      <c r="D2603" s="8">
        <v>3</v>
      </c>
      <c r="E2603" s="8" t="s">
        <v>4183</v>
      </c>
      <c r="F2603" s="8" t="s">
        <v>460</v>
      </c>
      <c r="G2603" s="8" t="s">
        <v>4164</v>
      </c>
      <c r="H2603" s="10">
        <v>3</v>
      </c>
      <c r="I2603" s="10"/>
      <c r="J2603" s="10">
        <v>3</v>
      </c>
      <c r="K2603" s="10">
        <v>401.93</v>
      </c>
    </row>
    <row r="2604" spans="1:11" x14ac:dyDescent="0.25">
      <c r="A2604" s="8" t="s">
        <v>4195</v>
      </c>
      <c r="B2604" s="8" t="s">
        <v>136</v>
      </c>
      <c r="C2604" s="8" t="s">
        <v>4013</v>
      </c>
      <c r="D2604" s="8">
        <v>3</v>
      </c>
      <c r="E2604" s="8" t="s">
        <v>4183</v>
      </c>
      <c r="F2604" s="8" t="s">
        <v>460</v>
      </c>
      <c r="G2604" s="8" t="s">
        <v>4164</v>
      </c>
      <c r="H2604" s="10">
        <v>1</v>
      </c>
      <c r="I2604" s="10"/>
      <c r="J2604" s="10">
        <v>1</v>
      </c>
      <c r="K2604" s="10">
        <v>401.93</v>
      </c>
    </row>
    <row r="2605" spans="1:11" x14ac:dyDescent="0.25">
      <c r="A2605" s="8" t="s">
        <v>4196</v>
      </c>
      <c r="B2605" s="8" t="s">
        <v>1689</v>
      </c>
      <c r="C2605" s="8" t="s">
        <v>4013</v>
      </c>
      <c r="D2605" s="8">
        <v>3</v>
      </c>
      <c r="E2605" s="8" t="s">
        <v>4183</v>
      </c>
      <c r="F2605" s="8" t="s">
        <v>460</v>
      </c>
      <c r="G2605" s="8" t="s">
        <v>4164</v>
      </c>
      <c r="H2605" s="10">
        <v>2</v>
      </c>
      <c r="I2605" s="10"/>
      <c r="J2605" s="10">
        <v>2</v>
      </c>
      <c r="K2605" s="10">
        <v>401.93</v>
      </c>
    </row>
    <row r="2606" spans="1:11" x14ac:dyDescent="0.25">
      <c r="A2606" s="8" t="s">
        <v>4197</v>
      </c>
      <c r="B2606" s="8" t="s">
        <v>138</v>
      </c>
      <c r="C2606" s="8" t="s">
        <v>4013</v>
      </c>
      <c r="D2606" s="8">
        <v>3</v>
      </c>
      <c r="E2606" s="8" t="s">
        <v>4183</v>
      </c>
      <c r="F2606" s="8" t="s">
        <v>460</v>
      </c>
      <c r="G2606" s="8" t="s">
        <v>4164</v>
      </c>
      <c r="H2606" s="10">
        <v>1</v>
      </c>
      <c r="I2606" s="10"/>
      <c r="J2606" s="10">
        <v>1</v>
      </c>
      <c r="K2606" s="10">
        <v>401.93</v>
      </c>
    </row>
    <row r="2607" spans="1:11" x14ac:dyDescent="0.25">
      <c r="A2607" s="8" t="s">
        <v>4198</v>
      </c>
      <c r="B2607" s="8" t="s">
        <v>80</v>
      </c>
      <c r="C2607" s="8" t="s">
        <v>4013</v>
      </c>
      <c r="D2607" s="8">
        <v>3</v>
      </c>
      <c r="E2607" s="8" t="s">
        <v>4183</v>
      </c>
      <c r="F2607" s="8" t="s">
        <v>460</v>
      </c>
      <c r="G2607" s="8" t="s">
        <v>4164</v>
      </c>
      <c r="H2607" s="10">
        <v>1</v>
      </c>
      <c r="I2607" s="10"/>
      <c r="J2607" s="10">
        <v>1</v>
      </c>
      <c r="K2607" s="10">
        <v>401.93</v>
      </c>
    </row>
    <row r="2608" spans="1:11" x14ac:dyDescent="0.25">
      <c r="A2608" s="8" t="s">
        <v>4199</v>
      </c>
      <c r="B2608" s="8" t="s">
        <v>116</v>
      </c>
      <c r="C2608" s="8" t="s">
        <v>4068</v>
      </c>
      <c r="D2608" s="8">
        <v>4</v>
      </c>
      <c r="E2608" s="8" t="s">
        <v>4200</v>
      </c>
      <c r="F2608" s="8" t="s">
        <v>460</v>
      </c>
      <c r="G2608" s="8" t="s">
        <v>4201</v>
      </c>
      <c r="H2608" s="10">
        <v>20</v>
      </c>
      <c r="I2608" s="10"/>
      <c r="J2608" s="10">
        <v>20</v>
      </c>
      <c r="K2608" s="10">
        <v>228.98</v>
      </c>
    </row>
    <row r="2609" spans="1:11" x14ac:dyDescent="0.25">
      <c r="A2609" s="8" t="s">
        <v>4202</v>
      </c>
      <c r="B2609" s="8" t="s">
        <v>118</v>
      </c>
      <c r="C2609" s="8" t="s">
        <v>4068</v>
      </c>
      <c r="D2609" s="8">
        <v>4</v>
      </c>
      <c r="E2609" s="8" t="s">
        <v>4200</v>
      </c>
      <c r="F2609" s="8" t="s">
        <v>460</v>
      </c>
      <c r="G2609" s="8" t="s">
        <v>4201</v>
      </c>
      <c r="H2609" s="10">
        <v>15</v>
      </c>
      <c r="I2609" s="10"/>
      <c r="J2609" s="10">
        <v>15</v>
      </c>
      <c r="K2609" s="10">
        <v>228.98</v>
      </c>
    </row>
    <row r="2610" spans="1:11" x14ac:dyDescent="0.25">
      <c r="A2610" s="8" t="s">
        <v>4203</v>
      </c>
      <c r="B2610" s="8" t="s">
        <v>1650</v>
      </c>
      <c r="C2610" s="8" t="s">
        <v>4068</v>
      </c>
      <c r="D2610" s="8">
        <v>4</v>
      </c>
      <c r="E2610" s="8" t="s">
        <v>4200</v>
      </c>
      <c r="F2610" s="8" t="s">
        <v>460</v>
      </c>
      <c r="G2610" s="8" t="s">
        <v>4201</v>
      </c>
      <c r="H2610" s="10">
        <v>25</v>
      </c>
      <c r="I2610" s="10"/>
      <c r="J2610" s="10">
        <v>25</v>
      </c>
      <c r="K2610" s="10">
        <v>228.98</v>
      </c>
    </row>
    <row r="2611" spans="1:11" x14ac:dyDescent="0.25">
      <c r="A2611" s="8" t="s">
        <v>4204</v>
      </c>
      <c r="B2611" s="8" t="s">
        <v>120</v>
      </c>
      <c r="C2611" s="8" t="s">
        <v>4068</v>
      </c>
      <c r="D2611" s="8">
        <v>4</v>
      </c>
      <c r="E2611" s="8" t="s">
        <v>4200</v>
      </c>
      <c r="F2611" s="8" t="s">
        <v>460</v>
      </c>
      <c r="G2611" s="8" t="s">
        <v>4201</v>
      </c>
      <c r="H2611" s="10">
        <v>20</v>
      </c>
      <c r="I2611" s="10"/>
      <c r="J2611" s="10">
        <v>20</v>
      </c>
      <c r="K2611" s="10">
        <v>228.98</v>
      </c>
    </row>
    <row r="2612" spans="1:11" x14ac:dyDescent="0.25">
      <c r="A2612" s="8" t="s">
        <v>4205</v>
      </c>
      <c r="B2612" s="8" t="s">
        <v>120</v>
      </c>
      <c r="C2612" s="8" t="s">
        <v>4068</v>
      </c>
      <c r="D2612" s="8">
        <v>4</v>
      </c>
      <c r="E2612" s="8" t="s">
        <v>4200</v>
      </c>
      <c r="F2612" s="8" t="s">
        <v>460</v>
      </c>
      <c r="G2612" s="8" t="s">
        <v>4201</v>
      </c>
      <c r="H2612" s="10">
        <v>45</v>
      </c>
      <c r="I2612" s="10"/>
      <c r="J2612" s="10">
        <v>45</v>
      </c>
      <c r="K2612" s="10">
        <v>228.98</v>
      </c>
    </row>
    <row r="2613" spans="1:11" x14ac:dyDescent="0.25">
      <c r="A2613" s="8" t="s">
        <v>4206</v>
      </c>
      <c r="B2613" s="8" t="s">
        <v>122</v>
      </c>
      <c r="C2613" s="8" t="s">
        <v>4068</v>
      </c>
      <c r="D2613" s="8">
        <v>4</v>
      </c>
      <c r="E2613" s="8" t="s">
        <v>4200</v>
      </c>
      <c r="F2613" s="8" t="s">
        <v>460</v>
      </c>
      <c r="G2613" s="8" t="s">
        <v>4201</v>
      </c>
      <c r="H2613" s="10">
        <v>10</v>
      </c>
      <c r="I2613" s="10"/>
      <c r="J2613" s="10">
        <v>10</v>
      </c>
      <c r="K2613" s="10">
        <v>228.98</v>
      </c>
    </row>
    <row r="2614" spans="1:11" x14ac:dyDescent="0.25">
      <c r="A2614" s="8" t="s">
        <v>4207</v>
      </c>
      <c r="B2614" s="8" t="s">
        <v>124</v>
      </c>
      <c r="C2614" s="8" t="s">
        <v>4068</v>
      </c>
      <c r="D2614" s="8">
        <v>4</v>
      </c>
      <c r="E2614" s="8" t="s">
        <v>4200</v>
      </c>
      <c r="F2614" s="8" t="s">
        <v>460</v>
      </c>
      <c r="G2614" s="8" t="s">
        <v>4201</v>
      </c>
      <c r="H2614" s="10">
        <v>15</v>
      </c>
      <c r="I2614" s="10"/>
      <c r="J2614" s="10">
        <v>15</v>
      </c>
      <c r="K2614" s="10">
        <v>228.98</v>
      </c>
    </row>
    <row r="2615" spans="1:11" x14ac:dyDescent="0.25">
      <c r="A2615" s="8" t="s">
        <v>4208</v>
      </c>
      <c r="B2615" s="8" t="s">
        <v>78</v>
      </c>
      <c r="C2615" s="8" t="s">
        <v>4068</v>
      </c>
      <c r="D2615" s="8">
        <v>4</v>
      </c>
      <c r="E2615" s="8" t="s">
        <v>4200</v>
      </c>
      <c r="F2615" s="8" t="s">
        <v>460</v>
      </c>
      <c r="G2615" s="8" t="s">
        <v>4201</v>
      </c>
      <c r="H2615" s="10">
        <v>10</v>
      </c>
      <c r="I2615" s="10"/>
      <c r="J2615" s="10">
        <v>10</v>
      </c>
      <c r="K2615" s="10">
        <v>228.98</v>
      </c>
    </row>
    <row r="2616" spans="1:11" x14ac:dyDescent="0.25">
      <c r="A2616" s="8" t="s">
        <v>4209</v>
      </c>
      <c r="B2616" s="8" t="s">
        <v>1655</v>
      </c>
      <c r="C2616" s="8" t="s">
        <v>4068</v>
      </c>
      <c r="D2616" s="8">
        <v>4</v>
      </c>
      <c r="E2616" s="8" t="s">
        <v>4200</v>
      </c>
      <c r="F2616" s="8" t="s">
        <v>460</v>
      </c>
      <c r="G2616" s="8" t="s">
        <v>4201</v>
      </c>
      <c r="H2616" s="10">
        <v>25</v>
      </c>
      <c r="I2616" s="10"/>
      <c r="J2616" s="10">
        <v>25</v>
      </c>
      <c r="K2616" s="10">
        <v>228.98</v>
      </c>
    </row>
    <row r="2617" spans="1:11" x14ac:dyDescent="0.25">
      <c r="A2617" s="8" t="s">
        <v>4210</v>
      </c>
      <c r="B2617" s="8" t="s">
        <v>128</v>
      </c>
      <c r="C2617" s="8" t="s">
        <v>4068</v>
      </c>
      <c r="D2617" s="8">
        <v>4</v>
      </c>
      <c r="E2617" s="8" t="s">
        <v>4200</v>
      </c>
      <c r="F2617" s="8" t="s">
        <v>460</v>
      </c>
      <c r="G2617" s="8" t="s">
        <v>4201</v>
      </c>
      <c r="H2617" s="10">
        <v>3</v>
      </c>
      <c r="I2617" s="10"/>
      <c r="J2617" s="10">
        <v>3</v>
      </c>
      <c r="K2617" s="10">
        <v>228.98</v>
      </c>
    </row>
    <row r="2618" spans="1:11" x14ac:dyDescent="0.25">
      <c r="A2618" s="8" t="s">
        <v>4211</v>
      </c>
      <c r="B2618" s="8" t="s">
        <v>130</v>
      </c>
      <c r="C2618" s="8" t="s">
        <v>4068</v>
      </c>
      <c r="D2618" s="8">
        <v>4</v>
      </c>
      <c r="E2618" s="8" t="s">
        <v>4200</v>
      </c>
      <c r="F2618" s="8" t="s">
        <v>460</v>
      </c>
      <c r="G2618" s="8" t="s">
        <v>4201</v>
      </c>
      <c r="H2618" s="10">
        <v>10</v>
      </c>
      <c r="I2618" s="10"/>
      <c r="J2618" s="10">
        <v>10</v>
      </c>
      <c r="K2618" s="10">
        <v>228.98</v>
      </c>
    </row>
    <row r="2619" spans="1:11" x14ac:dyDescent="0.25">
      <c r="A2619" s="8" t="s">
        <v>4212</v>
      </c>
      <c r="B2619" s="8" t="s">
        <v>132</v>
      </c>
      <c r="C2619" s="8" t="s">
        <v>4068</v>
      </c>
      <c r="D2619" s="8">
        <v>4</v>
      </c>
      <c r="E2619" s="8" t="s">
        <v>4200</v>
      </c>
      <c r="F2619" s="8" t="s">
        <v>460</v>
      </c>
      <c r="G2619" s="8" t="s">
        <v>4201</v>
      </c>
      <c r="H2619" s="10">
        <v>5</v>
      </c>
      <c r="I2619" s="10"/>
      <c r="J2619" s="10">
        <v>5</v>
      </c>
      <c r="K2619" s="10">
        <v>228.98</v>
      </c>
    </row>
    <row r="2620" spans="1:11" x14ac:dyDescent="0.25">
      <c r="A2620" s="8" t="s">
        <v>4213</v>
      </c>
      <c r="B2620" s="8" t="s">
        <v>134</v>
      </c>
      <c r="C2620" s="8" t="s">
        <v>4068</v>
      </c>
      <c r="D2620" s="8">
        <v>4</v>
      </c>
      <c r="E2620" s="8" t="s">
        <v>4200</v>
      </c>
      <c r="F2620" s="8" t="s">
        <v>460</v>
      </c>
      <c r="G2620" s="8" t="s">
        <v>4201</v>
      </c>
      <c r="H2620" s="10">
        <v>5</v>
      </c>
      <c r="I2620" s="10"/>
      <c r="J2620" s="10">
        <v>5</v>
      </c>
      <c r="K2620" s="10">
        <v>228.98</v>
      </c>
    </row>
    <row r="2621" spans="1:11" x14ac:dyDescent="0.25">
      <c r="A2621" s="8" t="s">
        <v>4214</v>
      </c>
      <c r="B2621" s="8" t="s">
        <v>136</v>
      </c>
      <c r="C2621" s="8" t="s">
        <v>4068</v>
      </c>
      <c r="D2621" s="8">
        <v>4</v>
      </c>
      <c r="E2621" s="8" t="s">
        <v>4200</v>
      </c>
      <c r="F2621" s="8" t="s">
        <v>460</v>
      </c>
      <c r="G2621" s="8" t="s">
        <v>4201</v>
      </c>
      <c r="H2621" s="10">
        <v>2</v>
      </c>
      <c r="I2621" s="10"/>
      <c r="J2621" s="10">
        <v>2</v>
      </c>
      <c r="K2621" s="10">
        <v>228.98</v>
      </c>
    </row>
    <row r="2622" spans="1:11" x14ac:dyDescent="0.25">
      <c r="A2622" s="8" t="s">
        <v>4215</v>
      </c>
      <c r="B2622" s="8" t="s">
        <v>1689</v>
      </c>
      <c r="C2622" s="8" t="s">
        <v>4068</v>
      </c>
      <c r="D2622" s="8">
        <v>4</v>
      </c>
      <c r="E2622" s="8" t="s">
        <v>4200</v>
      </c>
      <c r="F2622" s="8" t="s">
        <v>460</v>
      </c>
      <c r="G2622" s="8" t="s">
        <v>4201</v>
      </c>
      <c r="H2622" s="10">
        <v>6</v>
      </c>
      <c r="I2622" s="10"/>
      <c r="J2622" s="10">
        <v>6</v>
      </c>
      <c r="K2622" s="10">
        <v>228.98</v>
      </c>
    </row>
    <row r="2623" spans="1:11" x14ac:dyDescent="0.25">
      <c r="A2623" s="8" t="s">
        <v>4216</v>
      </c>
      <c r="B2623" s="8" t="s">
        <v>1650</v>
      </c>
      <c r="C2623" s="8" t="s">
        <v>4068</v>
      </c>
      <c r="D2623" s="8">
        <v>4</v>
      </c>
      <c r="E2623" s="8" t="s">
        <v>4217</v>
      </c>
      <c r="F2623" s="8" t="s">
        <v>460</v>
      </c>
      <c r="G2623" s="8" t="s">
        <v>4201</v>
      </c>
      <c r="H2623" s="10">
        <v>10</v>
      </c>
      <c r="I2623" s="10"/>
      <c r="J2623" s="10">
        <v>10</v>
      </c>
      <c r="K2623" s="10">
        <v>121.4</v>
      </c>
    </row>
    <row r="2624" spans="1:11" x14ac:dyDescent="0.25">
      <c r="A2624" s="8" t="s">
        <v>4218</v>
      </c>
      <c r="B2624" s="8" t="s">
        <v>120</v>
      </c>
      <c r="C2624" s="8" t="s">
        <v>4068</v>
      </c>
      <c r="D2624" s="8">
        <v>4</v>
      </c>
      <c r="E2624" s="8" t="s">
        <v>4217</v>
      </c>
      <c r="F2624" s="8" t="s">
        <v>460</v>
      </c>
      <c r="G2624" s="8" t="s">
        <v>4201</v>
      </c>
      <c r="H2624" s="10">
        <v>30</v>
      </c>
      <c r="I2624" s="10"/>
      <c r="J2624" s="10">
        <v>30</v>
      </c>
      <c r="K2624" s="10">
        <v>121.4</v>
      </c>
    </row>
    <row r="2625" spans="1:11" x14ac:dyDescent="0.25">
      <c r="A2625" s="8" t="s">
        <v>4219</v>
      </c>
      <c r="B2625" s="8" t="s">
        <v>1655</v>
      </c>
      <c r="C2625" s="8" t="s">
        <v>4068</v>
      </c>
      <c r="D2625" s="8">
        <v>4</v>
      </c>
      <c r="E2625" s="8" t="s">
        <v>4217</v>
      </c>
      <c r="F2625" s="8" t="s">
        <v>460</v>
      </c>
      <c r="G2625" s="8" t="s">
        <v>4201</v>
      </c>
      <c r="H2625" s="10">
        <v>12</v>
      </c>
      <c r="I2625" s="10"/>
      <c r="J2625" s="10">
        <v>12</v>
      </c>
      <c r="K2625" s="10">
        <v>121.4</v>
      </c>
    </row>
    <row r="2626" spans="1:11" x14ac:dyDescent="0.25">
      <c r="A2626" s="8" t="s">
        <v>4220</v>
      </c>
      <c r="B2626" s="8" t="s">
        <v>3518</v>
      </c>
      <c r="C2626" s="8" t="s">
        <v>4068</v>
      </c>
      <c r="D2626" s="8">
        <v>4</v>
      </c>
      <c r="E2626" s="8" t="s">
        <v>4217</v>
      </c>
      <c r="F2626" s="8" t="s">
        <v>460</v>
      </c>
      <c r="G2626" s="8" t="s">
        <v>4201</v>
      </c>
      <c r="H2626" s="10">
        <v>1</v>
      </c>
      <c r="I2626" s="10"/>
      <c r="J2626" s="10">
        <v>1</v>
      </c>
      <c r="K2626" s="10">
        <v>121.4</v>
      </c>
    </row>
    <row r="2627" spans="1:11" x14ac:dyDescent="0.25">
      <c r="A2627" s="8" t="s">
        <v>4221</v>
      </c>
      <c r="B2627" s="8" t="s">
        <v>116</v>
      </c>
      <c r="C2627" s="8" t="s">
        <v>4013</v>
      </c>
      <c r="D2627" s="8">
        <v>3</v>
      </c>
      <c r="E2627" s="8" t="s">
        <v>4222</v>
      </c>
      <c r="F2627" s="8" t="s">
        <v>460</v>
      </c>
      <c r="G2627" s="8" t="s">
        <v>4164</v>
      </c>
      <c r="H2627" s="10">
        <v>5</v>
      </c>
      <c r="I2627" s="10"/>
      <c r="J2627" s="10">
        <v>5</v>
      </c>
      <c r="K2627" s="10">
        <v>602.9</v>
      </c>
    </row>
    <row r="2628" spans="1:11" x14ac:dyDescent="0.25">
      <c r="A2628" s="8" t="s">
        <v>4223</v>
      </c>
      <c r="B2628" s="8" t="s">
        <v>118</v>
      </c>
      <c r="C2628" s="8" t="s">
        <v>4013</v>
      </c>
      <c r="D2628" s="8">
        <v>3</v>
      </c>
      <c r="E2628" s="8" t="s">
        <v>4222</v>
      </c>
      <c r="F2628" s="8" t="s">
        <v>460</v>
      </c>
      <c r="G2628" s="8" t="s">
        <v>4164</v>
      </c>
      <c r="H2628" s="10">
        <v>20</v>
      </c>
      <c r="I2628" s="10"/>
      <c r="J2628" s="10">
        <v>20</v>
      </c>
      <c r="K2628" s="10">
        <v>602.9</v>
      </c>
    </row>
    <row r="2629" spans="1:11" x14ac:dyDescent="0.25">
      <c r="A2629" s="8" t="s">
        <v>4224</v>
      </c>
      <c r="B2629" s="8" t="s">
        <v>120</v>
      </c>
      <c r="C2629" s="8" t="s">
        <v>4013</v>
      </c>
      <c r="D2629" s="8">
        <v>3</v>
      </c>
      <c r="E2629" s="8" t="s">
        <v>4222</v>
      </c>
      <c r="F2629" s="8" t="s">
        <v>460</v>
      </c>
      <c r="G2629" s="8" t="s">
        <v>4164</v>
      </c>
      <c r="H2629" s="10">
        <v>35</v>
      </c>
      <c r="I2629" s="10"/>
      <c r="J2629" s="10">
        <v>35</v>
      </c>
      <c r="K2629" s="10">
        <v>602.9</v>
      </c>
    </row>
    <row r="2630" spans="1:11" x14ac:dyDescent="0.25">
      <c r="A2630" s="8" t="s">
        <v>4225</v>
      </c>
      <c r="B2630" s="8" t="s">
        <v>122</v>
      </c>
      <c r="C2630" s="8" t="s">
        <v>4013</v>
      </c>
      <c r="D2630" s="8">
        <v>3</v>
      </c>
      <c r="E2630" s="8" t="s">
        <v>4222</v>
      </c>
      <c r="F2630" s="8" t="s">
        <v>460</v>
      </c>
      <c r="G2630" s="8" t="s">
        <v>4164</v>
      </c>
      <c r="H2630" s="10">
        <v>35</v>
      </c>
      <c r="I2630" s="10"/>
      <c r="J2630" s="10">
        <v>35</v>
      </c>
      <c r="K2630" s="10">
        <v>602.9</v>
      </c>
    </row>
    <row r="2631" spans="1:11" x14ac:dyDescent="0.25">
      <c r="A2631" s="8" t="s">
        <v>4226</v>
      </c>
      <c r="B2631" s="8" t="s">
        <v>124</v>
      </c>
      <c r="C2631" s="8" t="s">
        <v>4013</v>
      </c>
      <c r="D2631" s="8">
        <v>3</v>
      </c>
      <c r="E2631" s="8" t="s">
        <v>4222</v>
      </c>
      <c r="F2631" s="8" t="s">
        <v>460</v>
      </c>
      <c r="G2631" s="8" t="s">
        <v>4164</v>
      </c>
      <c r="H2631" s="10">
        <v>30</v>
      </c>
      <c r="I2631" s="10"/>
      <c r="J2631" s="10">
        <v>30</v>
      </c>
      <c r="K2631" s="10">
        <v>602.9</v>
      </c>
    </row>
    <row r="2632" spans="1:11" x14ac:dyDescent="0.25">
      <c r="A2632" s="8" t="s">
        <v>4227</v>
      </c>
      <c r="B2632" s="8" t="s">
        <v>78</v>
      </c>
      <c r="C2632" s="8" t="s">
        <v>4013</v>
      </c>
      <c r="D2632" s="8">
        <v>3</v>
      </c>
      <c r="E2632" s="8" t="s">
        <v>4222</v>
      </c>
      <c r="F2632" s="8" t="s">
        <v>460</v>
      </c>
      <c r="G2632" s="8" t="s">
        <v>4164</v>
      </c>
      <c r="H2632" s="10">
        <v>10</v>
      </c>
      <c r="I2632" s="10"/>
      <c r="J2632" s="10">
        <v>10</v>
      </c>
      <c r="K2632" s="10">
        <v>602.9</v>
      </c>
    </row>
    <row r="2633" spans="1:11" x14ac:dyDescent="0.25">
      <c r="A2633" s="8" t="s">
        <v>4228</v>
      </c>
      <c r="B2633" s="8" t="s">
        <v>128</v>
      </c>
      <c r="C2633" s="8" t="s">
        <v>4013</v>
      </c>
      <c r="D2633" s="8">
        <v>3</v>
      </c>
      <c r="E2633" s="8" t="s">
        <v>4222</v>
      </c>
      <c r="F2633" s="8" t="s">
        <v>460</v>
      </c>
      <c r="G2633" s="8" t="s">
        <v>4164</v>
      </c>
      <c r="H2633" s="10">
        <v>8</v>
      </c>
      <c r="I2633" s="10"/>
      <c r="J2633" s="10">
        <v>8</v>
      </c>
      <c r="K2633" s="10">
        <v>602.9</v>
      </c>
    </row>
    <row r="2634" spans="1:11" x14ac:dyDescent="0.25">
      <c r="A2634" s="8" t="s">
        <v>4229</v>
      </c>
      <c r="B2634" s="8" t="s">
        <v>949</v>
      </c>
      <c r="C2634" s="8" t="s">
        <v>4013</v>
      </c>
      <c r="D2634" s="8">
        <v>3</v>
      </c>
      <c r="E2634" s="8" t="s">
        <v>4222</v>
      </c>
      <c r="F2634" s="8" t="s">
        <v>460</v>
      </c>
      <c r="G2634" s="8" t="s">
        <v>4164</v>
      </c>
      <c r="H2634" s="10">
        <v>1</v>
      </c>
      <c r="I2634" s="10"/>
      <c r="J2634" s="10">
        <v>1</v>
      </c>
      <c r="K2634" s="10">
        <v>602.9</v>
      </c>
    </row>
    <row r="2635" spans="1:11" x14ac:dyDescent="0.25">
      <c r="A2635" s="8" t="s">
        <v>4230</v>
      </c>
      <c r="B2635" s="8" t="s">
        <v>132</v>
      </c>
      <c r="C2635" s="8" t="s">
        <v>4013</v>
      </c>
      <c r="D2635" s="8">
        <v>3</v>
      </c>
      <c r="E2635" s="8" t="s">
        <v>4222</v>
      </c>
      <c r="F2635" s="8" t="s">
        <v>460</v>
      </c>
      <c r="G2635" s="8" t="s">
        <v>4164</v>
      </c>
      <c r="H2635" s="10">
        <v>10</v>
      </c>
      <c r="I2635" s="10"/>
      <c r="J2635" s="10">
        <v>10</v>
      </c>
      <c r="K2635" s="10">
        <v>602.9</v>
      </c>
    </row>
    <row r="2636" spans="1:11" x14ac:dyDescent="0.25">
      <c r="A2636" s="8" t="s">
        <v>4231</v>
      </c>
      <c r="B2636" s="8" t="s">
        <v>134</v>
      </c>
      <c r="C2636" s="8" t="s">
        <v>4013</v>
      </c>
      <c r="D2636" s="8">
        <v>3</v>
      </c>
      <c r="E2636" s="8" t="s">
        <v>4222</v>
      </c>
      <c r="F2636" s="8" t="s">
        <v>460</v>
      </c>
      <c r="G2636" s="8" t="s">
        <v>4164</v>
      </c>
      <c r="H2636" s="10">
        <v>70</v>
      </c>
      <c r="I2636" s="10"/>
      <c r="J2636" s="10">
        <v>70</v>
      </c>
      <c r="K2636" s="10">
        <v>602.9</v>
      </c>
    </row>
    <row r="2637" spans="1:11" x14ac:dyDescent="0.25">
      <c r="A2637" s="8" t="s">
        <v>4232</v>
      </c>
      <c r="B2637" s="8" t="s">
        <v>1689</v>
      </c>
      <c r="C2637" s="8" t="s">
        <v>4013</v>
      </c>
      <c r="D2637" s="8">
        <v>3</v>
      </c>
      <c r="E2637" s="8" t="s">
        <v>4222</v>
      </c>
      <c r="F2637" s="8" t="s">
        <v>460</v>
      </c>
      <c r="G2637" s="8" t="s">
        <v>4164</v>
      </c>
      <c r="H2637" s="10">
        <v>5</v>
      </c>
      <c r="I2637" s="10"/>
      <c r="J2637" s="10">
        <v>5</v>
      </c>
      <c r="K2637" s="10">
        <v>602.9</v>
      </c>
    </row>
    <row r="2638" spans="1:11" x14ac:dyDescent="0.25">
      <c r="A2638" s="8" t="s">
        <v>4233</v>
      </c>
      <c r="B2638" s="8" t="s">
        <v>138</v>
      </c>
      <c r="C2638" s="8" t="s">
        <v>4013</v>
      </c>
      <c r="D2638" s="8">
        <v>3</v>
      </c>
      <c r="E2638" s="8" t="s">
        <v>4222</v>
      </c>
      <c r="F2638" s="8" t="s">
        <v>460</v>
      </c>
      <c r="G2638" s="8" t="s">
        <v>4164</v>
      </c>
      <c r="H2638" s="10">
        <v>3</v>
      </c>
      <c r="I2638" s="10"/>
      <c r="J2638" s="10">
        <v>3</v>
      </c>
      <c r="K2638" s="10">
        <v>602.9</v>
      </c>
    </row>
    <row r="2639" spans="1:11" x14ac:dyDescent="0.25">
      <c r="A2639" s="8" t="s">
        <v>4234</v>
      </c>
      <c r="B2639" s="8" t="s">
        <v>80</v>
      </c>
      <c r="C2639" s="8" t="s">
        <v>4013</v>
      </c>
      <c r="D2639" s="8">
        <v>3</v>
      </c>
      <c r="E2639" s="8" t="s">
        <v>4222</v>
      </c>
      <c r="F2639" s="8" t="s">
        <v>460</v>
      </c>
      <c r="G2639" s="8" t="s">
        <v>4164</v>
      </c>
      <c r="H2639" s="10">
        <v>11</v>
      </c>
      <c r="I2639" s="10"/>
      <c r="J2639" s="10">
        <v>11</v>
      </c>
      <c r="K2639" s="10">
        <v>602.9</v>
      </c>
    </row>
    <row r="2640" spans="1:11" x14ac:dyDescent="0.25">
      <c r="A2640" s="8" t="s">
        <v>4235</v>
      </c>
      <c r="B2640" s="8" t="s">
        <v>116</v>
      </c>
      <c r="C2640" s="8" t="s">
        <v>4013</v>
      </c>
      <c r="D2640" s="8">
        <v>3</v>
      </c>
      <c r="E2640" s="8" t="s">
        <v>4236</v>
      </c>
      <c r="F2640" s="8" t="s">
        <v>460</v>
      </c>
      <c r="G2640" s="8" t="s">
        <v>4164</v>
      </c>
      <c r="H2640" s="10">
        <v>5</v>
      </c>
      <c r="I2640" s="10"/>
      <c r="J2640" s="10">
        <v>5</v>
      </c>
      <c r="K2640" s="10">
        <v>602.9</v>
      </c>
    </row>
    <row r="2641" spans="1:11" x14ac:dyDescent="0.25">
      <c r="A2641" s="8" t="s">
        <v>4237</v>
      </c>
      <c r="B2641" s="8" t="s">
        <v>118</v>
      </c>
      <c r="C2641" s="8" t="s">
        <v>4013</v>
      </c>
      <c r="D2641" s="8">
        <v>3</v>
      </c>
      <c r="E2641" s="8" t="s">
        <v>4236</v>
      </c>
      <c r="F2641" s="8" t="s">
        <v>460</v>
      </c>
      <c r="G2641" s="8" t="s">
        <v>4164</v>
      </c>
      <c r="H2641" s="10">
        <v>20</v>
      </c>
      <c r="I2641" s="10"/>
      <c r="J2641" s="10">
        <v>20</v>
      </c>
      <c r="K2641" s="10">
        <v>602.9</v>
      </c>
    </row>
    <row r="2642" spans="1:11" x14ac:dyDescent="0.25">
      <c r="A2642" s="8" t="s">
        <v>4238</v>
      </c>
      <c r="B2642" s="8" t="s">
        <v>120</v>
      </c>
      <c r="C2642" s="8" t="s">
        <v>4013</v>
      </c>
      <c r="D2642" s="8">
        <v>3</v>
      </c>
      <c r="E2642" s="8" t="s">
        <v>4236</v>
      </c>
      <c r="F2642" s="8" t="s">
        <v>460</v>
      </c>
      <c r="G2642" s="8" t="s">
        <v>4164</v>
      </c>
      <c r="H2642" s="10">
        <v>35</v>
      </c>
      <c r="I2642" s="10"/>
      <c r="J2642" s="10">
        <v>35</v>
      </c>
      <c r="K2642" s="10">
        <v>602.9</v>
      </c>
    </row>
    <row r="2643" spans="1:11" x14ac:dyDescent="0.25">
      <c r="A2643" s="8" t="s">
        <v>4239</v>
      </c>
      <c r="B2643" s="8" t="s">
        <v>122</v>
      </c>
      <c r="C2643" s="8" t="s">
        <v>4013</v>
      </c>
      <c r="D2643" s="8">
        <v>3</v>
      </c>
      <c r="E2643" s="8" t="s">
        <v>4236</v>
      </c>
      <c r="F2643" s="8" t="s">
        <v>460</v>
      </c>
      <c r="G2643" s="8" t="s">
        <v>4164</v>
      </c>
      <c r="H2643" s="10">
        <v>35</v>
      </c>
      <c r="I2643" s="10"/>
      <c r="J2643" s="10">
        <v>35</v>
      </c>
      <c r="K2643" s="10">
        <v>602.9</v>
      </c>
    </row>
    <row r="2644" spans="1:11" x14ac:dyDescent="0.25">
      <c r="A2644" s="8" t="s">
        <v>4240</v>
      </c>
      <c r="B2644" s="8" t="s">
        <v>78</v>
      </c>
      <c r="C2644" s="8" t="s">
        <v>4013</v>
      </c>
      <c r="D2644" s="8">
        <v>3</v>
      </c>
      <c r="E2644" s="8" t="s">
        <v>4236</v>
      </c>
      <c r="F2644" s="8" t="s">
        <v>460</v>
      </c>
      <c r="G2644" s="8" t="s">
        <v>4164</v>
      </c>
      <c r="H2644" s="10">
        <v>10</v>
      </c>
      <c r="I2644" s="10"/>
      <c r="J2644" s="10">
        <v>10</v>
      </c>
      <c r="K2644" s="10">
        <v>602.9</v>
      </c>
    </row>
    <row r="2645" spans="1:11" x14ac:dyDescent="0.25">
      <c r="A2645" s="8" t="s">
        <v>4241</v>
      </c>
      <c r="B2645" s="8" t="s">
        <v>128</v>
      </c>
      <c r="C2645" s="8" t="s">
        <v>4013</v>
      </c>
      <c r="D2645" s="8">
        <v>3</v>
      </c>
      <c r="E2645" s="8" t="s">
        <v>4236</v>
      </c>
      <c r="F2645" s="8" t="s">
        <v>460</v>
      </c>
      <c r="G2645" s="8" t="s">
        <v>4164</v>
      </c>
      <c r="H2645" s="10">
        <v>8</v>
      </c>
      <c r="I2645" s="10"/>
      <c r="J2645" s="10">
        <v>8</v>
      </c>
      <c r="K2645" s="10">
        <v>602.9</v>
      </c>
    </row>
    <row r="2646" spans="1:11" x14ac:dyDescent="0.25">
      <c r="A2646" s="8" t="s">
        <v>4242</v>
      </c>
      <c r="B2646" s="8" t="s">
        <v>949</v>
      </c>
      <c r="C2646" s="8" t="s">
        <v>4013</v>
      </c>
      <c r="D2646" s="8">
        <v>3</v>
      </c>
      <c r="E2646" s="8" t="s">
        <v>4236</v>
      </c>
      <c r="F2646" s="8" t="s">
        <v>460</v>
      </c>
      <c r="G2646" s="8" t="s">
        <v>4164</v>
      </c>
      <c r="H2646" s="10">
        <v>1</v>
      </c>
      <c r="I2646" s="10"/>
      <c r="J2646" s="10">
        <v>1</v>
      </c>
      <c r="K2646" s="10">
        <v>602.9</v>
      </c>
    </row>
    <row r="2647" spans="1:11" x14ac:dyDescent="0.25">
      <c r="A2647" s="8" t="s">
        <v>4243</v>
      </c>
      <c r="B2647" s="8" t="s">
        <v>132</v>
      </c>
      <c r="C2647" s="8" t="s">
        <v>4013</v>
      </c>
      <c r="D2647" s="8">
        <v>3</v>
      </c>
      <c r="E2647" s="8" t="s">
        <v>4236</v>
      </c>
      <c r="F2647" s="8" t="s">
        <v>460</v>
      </c>
      <c r="G2647" s="8" t="s">
        <v>4164</v>
      </c>
      <c r="H2647" s="10">
        <v>10</v>
      </c>
      <c r="I2647" s="10"/>
      <c r="J2647" s="10">
        <v>10</v>
      </c>
      <c r="K2647" s="10">
        <v>602.9</v>
      </c>
    </row>
    <row r="2648" spans="1:11" x14ac:dyDescent="0.25">
      <c r="A2648" s="8" t="s">
        <v>4244</v>
      </c>
      <c r="B2648" s="8" t="s">
        <v>134</v>
      </c>
      <c r="C2648" s="8" t="s">
        <v>4013</v>
      </c>
      <c r="D2648" s="8">
        <v>3</v>
      </c>
      <c r="E2648" s="8" t="s">
        <v>4236</v>
      </c>
      <c r="F2648" s="8" t="s">
        <v>460</v>
      </c>
      <c r="G2648" s="8" t="s">
        <v>4164</v>
      </c>
      <c r="H2648" s="10">
        <v>70</v>
      </c>
      <c r="I2648" s="10"/>
      <c r="J2648" s="10">
        <v>70</v>
      </c>
      <c r="K2648" s="10">
        <v>602.9</v>
      </c>
    </row>
    <row r="2649" spans="1:11" x14ac:dyDescent="0.25">
      <c r="A2649" s="8" t="s">
        <v>4245</v>
      </c>
      <c r="B2649" s="8" t="s">
        <v>1689</v>
      </c>
      <c r="C2649" s="8" t="s">
        <v>4013</v>
      </c>
      <c r="D2649" s="8">
        <v>3</v>
      </c>
      <c r="E2649" s="8" t="s">
        <v>4236</v>
      </c>
      <c r="F2649" s="8" t="s">
        <v>460</v>
      </c>
      <c r="G2649" s="8" t="s">
        <v>4164</v>
      </c>
      <c r="H2649" s="10">
        <v>5</v>
      </c>
      <c r="I2649" s="10"/>
      <c r="J2649" s="10">
        <v>5</v>
      </c>
      <c r="K2649" s="10">
        <v>602.9</v>
      </c>
    </row>
    <row r="2650" spans="1:11" x14ac:dyDescent="0.25">
      <c r="A2650" s="8" t="s">
        <v>4246</v>
      </c>
      <c r="B2650" s="8" t="s">
        <v>138</v>
      </c>
      <c r="C2650" s="8" t="s">
        <v>4013</v>
      </c>
      <c r="D2650" s="8">
        <v>3</v>
      </c>
      <c r="E2650" s="8" t="s">
        <v>4236</v>
      </c>
      <c r="F2650" s="8" t="s">
        <v>460</v>
      </c>
      <c r="G2650" s="8" t="s">
        <v>4164</v>
      </c>
      <c r="H2650" s="10">
        <v>3</v>
      </c>
      <c r="I2650" s="10"/>
      <c r="J2650" s="10">
        <v>3</v>
      </c>
      <c r="K2650" s="10">
        <v>602.9</v>
      </c>
    </row>
    <row r="2651" spans="1:11" x14ac:dyDescent="0.25">
      <c r="A2651" s="8" t="s">
        <v>4247</v>
      </c>
      <c r="B2651" s="8" t="s">
        <v>80</v>
      </c>
      <c r="C2651" s="8" t="s">
        <v>4013</v>
      </c>
      <c r="D2651" s="8">
        <v>3</v>
      </c>
      <c r="E2651" s="8" t="s">
        <v>4236</v>
      </c>
      <c r="F2651" s="8" t="s">
        <v>460</v>
      </c>
      <c r="G2651" s="8" t="s">
        <v>4164</v>
      </c>
      <c r="H2651" s="10">
        <v>11</v>
      </c>
      <c r="I2651" s="10"/>
      <c r="J2651" s="10">
        <v>11</v>
      </c>
      <c r="K2651" s="10">
        <v>602.9</v>
      </c>
    </row>
    <row r="2652" spans="1:11" x14ac:dyDescent="0.25">
      <c r="A2652" s="8" t="s">
        <v>4248</v>
      </c>
      <c r="B2652" s="8" t="s">
        <v>118</v>
      </c>
      <c r="C2652" s="8" t="s">
        <v>4013</v>
      </c>
      <c r="D2652" s="8">
        <v>3</v>
      </c>
      <c r="E2652" s="8" t="s">
        <v>4249</v>
      </c>
      <c r="F2652" s="8" t="s">
        <v>4250</v>
      </c>
      <c r="G2652" s="8" t="s">
        <v>4164</v>
      </c>
      <c r="H2652" s="10">
        <v>1</v>
      </c>
      <c r="I2652" s="10"/>
      <c r="J2652" s="10">
        <v>1</v>
      </c>
      <c r="K2652" s="10">
        <v>683.28</v>
      </c>
    </row>
    <row r="2653" spans="1:11" x14ac:dyDescent="0.25">
      <c r="A2653" s="8" t="s">
        <v>4251</v>
      </c>
      <c r="B2653" s="8" t="s">
        <v>1650</v>
      </c>
      <c r="C2653" s="8" t="s">
        <v>4013</v>
      </c>
      <c r="D2653" s="8">
        <v>3</v>
      </c>
      <c r="E2653" s="8" t="s">
        <v>4249</v>
      </c>
      <c r="F2653" s="8" t="s">
        <v>460</v>
      </c>
      <c r="G2653" s="8" t="s">
        <v>4164</v>
      </c>
      <c r="H2653" s="10">
        <v>1</v>
      </c>
      <c r="I2653" s="10"/>
      <c r="J2653" s="10">
        <v>1</v>
      </c>
      <c r="K2653" s="10">
        <v>683.28</v>
      </c>
    </row>
    <row r="2654" spans="1:11" x14ac:dyDescent="0.25">
      <c r="A2654" s="8" t="s">
        <v>4252</v>
      </c>
      <c r="B2654" s="8" t="s">
        <v>120</v>
      </c>
      <c r="C2654" s="8" t="s">
        <v>4013</v>
      </c>
      <c r="D2654" s="8">
        <v>3</v>
      </c>
      <c r="E2654" s="8" t="s">
        <v>4249</v>
      </c>
      <c r="F2654" s="8" t="s">
        <v>460</v>
      </c>
      <c r="G2654" s="8" t="s">
        <v>4164</v>
      </c>
      <c r="H2654" s="10">
        <v>1</v>
      </c>
      <c r="I2654" s="10"/>
      <c r="J2654" s="10">
        <v>1</v>
      </c>
      <c r="K2654" s="10">
        <v>683.28</v>
      </c>
    </row>
    <row r="2655" spans="1:11" x14ac:dyDescent="0.25">
      <c r="A2655" s="8" t="s">
        <v>4253</v>
      </c>
      <c r="B2655" s="8" t="s">
        <v>120</v>
      </c>
      <c r="C2655" s="8" t="s">
        <v>4013</v>
      </c>
      <c r="D2655" s="8">
        <v>3</v>
      </c>
      <c r="E2655" s="8" t="s">
        <v>4249</v>
      </c>
      <c r="F2655" s="8" t="s">
        <v>460</v>
      </c>
      <c r="G2655" s="8" t="s">
        <v>4164</v>
      </c>
      <c r="H2655" s="10">
        <v>1</v>
      </c>
      <c r="I2655" s="10"/>
      <c r="J2655" s="10">
        <v>1</v>
      </c>
      <c r="K2655" s="10">
        <v>683.28</v>
      </c>
    </row>
    <row r="2656" spans="1:11" x14ac:dyDescent="0.25">
      <c r="A2656" s="8" t="s">
        <v>4254</v>
      </c>
      <c r="B2656" s="8" t="s">
        <v>122</v>
      </c>
      <c r="C2656" s="8" t="s">
        <v>4013</v>
      </c>
      <c r="D2656" s="8">
        <v>3</v>
      </c>
      <c r="E2656" s="8" t="s">
        <v>4249</v>
      </c>
      <c r="F2656" s="8" t="s">
        <v>460</v>
      </c>
      <c r="G2656" s="8" t="s">
        <v>4164</v>
      </c>
      <c r="H2656" s="10">
        <v>1</v>
      </c>
      <c r="I2656" s="10"/>
      <c r="J2656" s="10">
        <v>1</v>
      </c>
      <c r="K2656" s="10">
        <v>683.28</v>
      </c>
    </row>
    <row r="2657" spans="1:11" x14ac:dyDescent="0.25">
      <c r="A2657" s="8" t="s">
        <v>4255</v>
      </c>
      <c r="B2657" s="8" t="s">
        <v>124</v>
      </c>
      <c r="C2657" s="8" t="s">
        <v>4013</v>
      </c>
      <c r="D2657" s="8">
        <v>3</v>
      </c>
      <c r="E2657" s="8" t="s">
        <v>4249</v>
      </c>
      <c r="F2657" s="8" t="s">
        <v>460</v>
      </c>
      <c r="G2657" s="8" t="s">
        <v>4164</v>
      </c>
      <c r="H2657" s="10">
        <v>1</v>
      </c>
      <c r="I2657" s="10"/>
      <c r="J2657" s="10">
        <v>1</v>
      </c>
      <c r="K2657" s="10">
        <v>683.28</v>
      </c>
    </row>
    <row r="2658" spans="1:11" x14ac:dyDescent="0.25">
      <c r="A2658" s="8" t="s">
        <v>4256</v>
      </c>
      <c r="B2658" s="8" t="s">
        <v>78</v>
      </c>
      <c r="C2658" s="8" t="s">
        <v>4013</v>
      </c>
      <c r="D2658" s="8">
        <v>3</v>
      </c>
      <c r="E2658" s="8" t="s">
        <v>4249</v>
      </c>
      <c r="F2658" s="8" t="s">
        <v>460</v>
      </c>
      <c r="G2658" s="8" t="s">
        <v>4164</v>
      </c>
      <c r="H2658" s="10">
        <v>1</v>
      </c>
      <c r="I2658" s="10"/>
      <c r="J2658" s="10">
        <v>1</v>
      </c>
      <c r="K2658" s="10">
        <v>683.28</v>
      </c>
    </row>
    <row r="2659" spans="1:11" x14ac:dyDescent="0.25">
      <c r="A2659" s="8" t="s">
        <v>4257</v>
      </c>
      <c r="B2659" s="8" t="s">
        <v>1655</v>
      </c>
      <c r="C2659" s="8" t="s">
        <v>4013</v>
      </c>
      <c r="D2659" s="8">
        <v>3</v>
      </c>
      <c r="E2659" s="8" t="s">
        <v>4249</v>
      </c>
      <c r="F2659" s="8" t="s">
        <v>460</v>
      </c>
      <c r="G2659" s="8" t="s">
        <v>4164</v>
      </c>
      <c r="H2659" s="10">
        <v>1</v>
      </c>
      <c r="I2659" s="10"/>
      <c r="J2659" s="10">
        <v>1</v>
      </c>
      <c r="K2659" s="10">
        <v>683.28</v>
      </c>
    </row>
    <row r="2660" spans="1:11" x14ac:dyDescent="0.25">
      <c r="A2660" s="8" t="s">
        <v>4258</v>
      </c>
      <c r="B2660" s="8" t="s">
        <v>128</v>
      </c>
      <c r="C2660" s="8" t="s">
        <v>4013</v>
      </c>
      <c r="D2660" s="8">
        <v>3</v>
      </c>
      <c r="E2660" s="8" t="s">
        <v>4249</v>
      </c>
      <c r="F2660" s="8" t="s">
        <v>460</v>
      </c>
      <c r="G2660" s="8" t="s">
        <v>4164</v>
      </c>
      <c r="H2660" s="10">
        <v>1</v>
      </c>
      <c r="I2660" s="10"/>
      <c r="J2660" s="10">
        <v>1</v>
      </c>
      <c r="K2660" s="10">
        <v>683.28</v>
      </c>
    </row>
    <row r="2661" spans="1:11" x14ac:dyDescent="0.25">
      <c r="A2661" s="8" t="s">
        <v>4259</v>
      </c>
      <c r="B2661" s="8" t="s">
        <v>130</v>
      </c>
      <c r="C2661" s="8" t="s">
        <v>4013</v>
      </c>
      <c r="D2661" s="8">
        <v>3</v>
      </c>
      <c r="E2661" s="8" t="s">
        <v>4249</v>
      </c>
      <c r="F2661" s="8" t="s">
        <v>460</v>
      </c>
      <c r="G2661" s="8" t="s">
        <v>4164</v>
      </c>
      <c r="H2661" s="10">
        <v>1</v>
      </c>
      <c r="I2661" s="10"/>
      <c r="J2661" s="10">
        <v>1</v>
      </c>
      <c r="K2661" s="10">
        <v>683.28</v>
      </c>
    </row>
    <row r="2662" spans="1:11" x14ac:dyDescent="0.25">
      <c r="A2662" s="8" t="s">
        <v>4260</v>
      </c>
      <c r="B2662" s="8" t="s">
        <v>132</v>
      </c>
      <c r="C2662" s="8" t="s">
        <v>4013</v>
      </c>
      <c r="D2662" s="8">
        <v>3</v>
      </c>
      <c r="E2662" s="8" t="s">
        <v>4249</v>
      </c>
      <c r="F2662" s="8" t="s">
        <v>460</v>
      </c>
      <c r="G2662" s="8" t="s">
        <v>4164</v>
      </c>
      <c r="H2662" s="10">
        <v>1</v>
      </c>
      <c r="I2662" s="10"/>
      <c r="J2662" s="10">
        <v>1</v>
      </c>
      <c r="K2662" s="10">
        <v>683.28</v>
      </c>
    </row>
    <row r="2663" spans="1:11" x14ac:dyDescent="0.25">
      <c r="A2663" s="8" t="s">
        <v>4261</v>
      </c>
      <c r="B2663" s="8" t="s">
        <v>134</v>
      </c>
      <c r="C2663" s="8" t="s">
        <v>4013</v>
      </c>
      <c r="D2663" s="8">
        <v>3</v>
      </c>
      <c r="E2663" s="8" t="s">
        <v>4249</v>
      </c>
      <c r="F2663" s="8" t="s">
        <v>460</v>
      </c>
      <c r="G2663" s="8" t="s">
        <v>4164</v>
      </c>
      <c r="H2663" s="10">
        <v>1</v>
      </c>
      <c r="I2663" s="10"/>
      <c r="J2663" s="10">
        <v>1</v>
      </c>
      <c r="K2663" s="10">
        <v>683.28</v>
      </c>
    </row>
    <row r="2664" spans="1:11" x14ac:dyDescent="0.25">
      <c r="A2664" s="8" t="s">
        <v>4262</v>
      </c>
      <c r="B2664" s="8" t="s">
        <v>136</v>
      </c>
      <c r="C2664" s="8" t="s">
        <v>4013</v>
      </c>
      <c r="D2664" s="8">
        <v>3</v>
      </c>
      <c r="E2664" s="8" t="s">
        <v>4249</v>
      </c>
      <c r="F2664" s="8" t="s">
        <v>460</v>
      </c>
      <c r="G2664" s="8" t="s">
        <v>4164</v>
      </c>
      <c r="H2664" s="10">
        <v>1</v>
      </c>
      <c r="I2664" s="10"/>
      <c r="J2664" s="10">
        <v>1</v>
      </c>
      <c r="K2664" s="10">
        <v>683.28</v>
      </c>
    </row>
    <row r="2665" spans="1:11" x14ac:dyDescent="0.25">
      <c r="A2665" s="8" t="s">
        <v>4263</v>
      </c>
      <c r="B2665" s="8" t="s">
        <v>1689</v>
      </c>
      <c r="C2665" s="8" t="s">
        <v>4013</v>
      </c>
      <c r="D2665" s="8">
        <v>3</v>
      </c>
      <c r="E2665" s="8" t="s">
        <v>4249</v>
      </c>
      <c r="F2665" s="8" t="s">
        <v>460</v>
      </c>
      <c r="G2665" s="8" t="s">
        <v>4164</v>
      </c>
      <c r="H2665" s="10">
        <v>1</v>
      </c>
      <c r="I2665" s="10"/>
      <c r="J2665" s="10">
        <v>1</v>
      </c>
      <c r="K2665" s="10">
        <v>683.28</v>
      </c>
    </row>
    <row r="2666" spans="1:11" x14ac:dyDescent="0.25">
      <c r="A2666" s="8" t="s">
        <v>4264</v>
      </c>
      <c r="B2666" s="8" t="s">
        <v>138</v>
      </c>
      <c r="C2666" s="8" t="s">
        <v>4013</v>
      </c>
      <c r="D2666" s="8">
        <v>3</v>
      </c>
      <c r="E2666" s="8" t="s">
        <v>4249</v>
      </c>
      <c r="F2666" s="8" t="s">
        <v>460</v>
      </c>
      <c r="G2666" s="8" t="s">
        <v>4164</v>
      </c>
      <c r="H2666" s="10">
        <v>1</v>
      </c>
      <c r="I2666" s="10"/>
      <c r="J2666" s="10">
        <v>1</v>
      </c>
      <c r="K2666" s="10">
        <v>683.28</v>
      </c>
    </row>
    <row r="2667" spans="1:11" x14ac:dyDescent="0.25">
      <c r="A2667" s="8" t="s">
        <v>4265</v>
      </c>
      <c r="B2667" s="8" t="s">
        <v>80</v>
      </c>
      <c r="C2667" s="8" t="s">
        <v>4013</v>
      </c>
      <c r="D2667" s="8">
        <v>3</v>
      </c>
      <c r="E2667" s="8" t="s">
        <v>4249</v>
      </c>
      <c r="F2667" s="8" t="s">
        <v>460</v>
      </c>
      <c r="G2667" s="8" t="s">
        <v>4164</v>
      </c>
      <c r="H2667" s="10">
        <v>1</v>
      </c>
      <c r="I2667" s="10"/>
      <c r="J2667" s="10">
        <v>1</v>
      </c>
      <c r="K2667" s="10">
        <v>683.28</v>
      </c>
    </row>
    <row r="2668" spans="1:11" x14ac:dyDescent="0.25">
      <c r="A2668" s="8" t="s">
        <v>4266</v>
      </c>
      <c r="B2668" s="8" t="s">
        <v>116</v>
      </c>
      <c r="C2668" s="8" t="s">
        <v>4267</v>
      </c>
      <c r="D2668" s="8">
        <v>3</v>
      </c>
      <c r="E2668" s="8" t="s">
        <v>4268</v>
      </c>
      <c r="F2668" s="8" t="s">
        <v>911</v>
      </c>
      <c r="G2668" s="8" t="s">
        <v>4269</v>
      </c>
      <c r="H2668" s="10">
        <v>5</v>
      </c>
      <c r="I2668" s="10"/>
      <c r="J2668" s="10">
        <v>5</v>
      </c>
      <c r="K2668" s="10">
        <v>2411.59</v>
      </c>
    </row>
    <row r="2669" spans="1:11" x14ac:dyDescent="0.25">
      <c r="A2669" s="8" t="s">
        <v>4270</v>
      </c>
      <c r="B2669" s="8" t="s">
        <v>116</v>
      </c>
      <c r="C2669" s="8" t="s">
        <v>4267</v>
      </c>
      <c r="D2669" s="8">
        <v>3</v>
      </c>
      <c r="E2669" s="8" t="s">
        <v>4268</v>
      </c>
      <c r="F2669" s="8" t="s">
        <v>911</v>
      </c>
      <c r="G2669" s="8" t="s">
        <v>4269</v>
      </c>
      <c r="H2669" s="10">
        <v>2</v>
      </c>
      <c r="I2669" s="10"/>
      <c r="J2669" s="10">
        <v>2</v>
      </c>
      <c r="K2669" s="10">
        <v>2411.59</v>
      </c>
    </row>
    <row r="2670" spans="1:11" x14ac:dyDescent="0.25">
      <c r="A2670" s="8" t="s">
        <v>4271</v>
      </c>
      <c r="B2670" s="8" t="s">
        <v>116</v>
      </c>
      <c r="C2670" s="8" t="s">
        <v>4267</v>
      </c>
      <c r="D2670" s="8">
        <v>3</v>
      </c>
      <c r="E2670" s="8" t="s">
        <v>4268</v>
      </c>
      <c r="F2670" s="8" t="s">
        <v>911</v>
      </c>
      <c r="G2670" s="8" t="s">
        <v>4269</v>
      </c>
      <c r="H2670" s="10">
        <v>2</v>
      </c>
      <c r="I2670" s="10"/>
      <c r="J2670" s="10">
        <v>2</v>
      </c>
      <c r="K2670" s="10">
        <v>2411.59</v>
      </c>
    </row>
    <row r="2671" spans="1:11" x14ac:dyDescent="0.25">
      <c r="A2671" s="8" t="s">
        <v>4272</v>
      </c>
      <c r="B2671" s="8" t="s">
        <v>118</v>
      </c>
      <c r="C2671" s="8" t="s">
        <v>4267</v>
      </c>
      <c r="D2671" s="8">
        <v>3</v>
      </c>
      <c r="E2671" s="8" t="s">
        <v>4268</v>
      </c>
      <c r="F2671" s="8" t="s">
        <v>911</v>
      </c>
      <c r="G2671" s="8" t="s">
        <v>4269</v>
      </c>
      <c r="H2671" s="10">
        <v>4</v>
      </c>
      <c r="I2671" s="10"/>
      <c r="J2671" s="10">
        <v>4</v>
      </c>
      <c r="K2671" s="10">
        <v>2411.59</v>
      </c>
    </row>
    <row r="2672" spans="1:11" x14ac:dyDescent="0.25">
      <c r="A2672" s="8" t="s">
        <v>4273</v>
      </c>
      <c r="B2672" s="8" t="s">
        <v>120</v>
      </c>
      <c r="C2672" s="8" t="s">
        <v>4267</v>
      </c>
      <c r="D2672" s="8">
        <v>3</v>
      </c>
      <c r="E2672" s="8" t="s">
        <v>4268</v>
      </c>
      <c r="F2672" s="8" t="s">
        <v>911</v>
      </c>
      <c r="G2672" s="8" t="s">
        <v>4269</v>
      </c>
      <c r="H2672" s="10">
        <v>30</v>
      </c>
      <c r="I2672" s="10"/>
      <c r="J2672" s="10">
        <v>30</v>
      </c>
      <c r="K2672" s="10">
        <v>2411.59</v>
      </c>
    </row>
    <row r="2673" spans="1:11" x14ac:dyDescent="0.25">
      <c r="A2673" s="8" t="s">
        <v>4274</v>
      </c>
      <c r="B2673" s="8" t="s">
        <v>122</v>
      </c>
      <c r="C2673" s="8" t="s">
        <v>4267</v>
      </c>
      <c r="D2673" s="8">
        <v>3</v>
      </c>
      <c r="E2673" s="8" t="s">
        <v>4268</v>
      </c>
      <c r="F2673" s="8" t="s">
        <v>911</v>
      </c>
      <c r="G2673" s="8" t="s">
        <v>4269</v>
      </c>
      <c r="H2673" s="10">
        <v>30</v>
      </c>
      <c r="I2673" s="10"/>
      <c r="J2673" s="10">
        <v>30</v>
      </c>
      <c r="K2673" s="10">
        <v>2411.59</v>
      </c>
    </row>
    <row r="2674" spans="1:11" x14ac:dyDescent="0.25">
      <c r="A2674" s="8" t="s">
        <v>4275</v>
      </c>
      <c r="B2674" s="8" t="s">
        <v>124</v>
      </c>
      <c r="C2674" s="8" t="s">
        <v>4267</v>
      </c>
      <c r="D2674" s="8">
        <v>3</v>
      </c>
      <c r="E2674" s="8" t="s">
        <v>4268</v>
      </c>
      <c r="F2674" s="8" t="s">
        <v>911</v>
      </c>
      <c r="G2674" s="8" t="s">
        <v>4269</v>
      </c>
      <c r="H2674" s="10">
        <v>35</v>
      </c>
      <c r="I2674" s="10"/>
      <c r="J2674" s="10">
        <v>35</v>
      </c>
      <c r="K2674" s="10">
        <v>2411.59</v>
      </c>
    </row>
    <row r="2675" spans="1:11" x14ac:dyDescent="0.25">
      <c r="A2675" s="8" t="s">
        <v>4276</v>
      </c>
      <c r="B2675" s="8" t="s">
        <v>78</v>
      </c>
      <c r="C2675" s="8" t="s">
        <v>4267</v>
      </c>
      <c r="D2675" s="8">
        <v>3</v>
      </c>
      <c r="E2675" s="8" t="s">
        <v>4268</v>
      </c>
      <c r="F2675" s="8" t="s">
        <v>911</v>
      </c>
      <c r="G2675" s="8" t="s">
        <v>4269</v>
      </c>
      <c r="H2675" s="10">
        <v>10</v>
      </c>
      <c r="I2675" s="10"/>
      <c r="J2675" s="10">
        <v>10</v>
      </c>
      <c r="K2675" s="10">
        <v>2411.59</v>
      </c>
    </row>
    <row r="2676" spans="1:11" x14ac:dyDescent="0.25">
      <c r="A2676" s="8" t="s">
        <v>4277</v>
      </c>
      <c r="B2676" s="8" t="s">
        <v>128</v>
      </c>
      <c r="C2676" s="8" t="s">
        <v>4267</v>
      </c>
      <c r="D2676" s="8">
        <v>3</v>
      </c>
      <c r="E2676" s="8" t="s">
        <v>4268</v>
      </c>
      <c r="F2676" s="8" t="s">
        <v>911</v>
      </c>
      <c r="G2676" s="8" t="s">
        <v>4269</v>
      </c>
      <c r="H2676" s="10">
        <v>8</v>
      </c>
      <c r="I2676" s="10"/>
      <c r="J2676" s="10">
        <v>8</v>
      </c>
      <c r="K2676" s="10">
        <v>2411.59</v>
      </c>
    </row>
    <row r="2677" spans="1:11" x14ac:dyDescent="0.25">
      <c r="A2677" s="8" t="s">
        <v>4278</v>
      </c>
      <c r="B2677" s="8" t="s">
        <v>949</v>
      </c>
      <c r="C2677" s="8" t="s">
        <v>4267</v>
      </c>
      <c r="D2677" s="8">
        <v>3</v>
      </c>
      <c r="E2677" s="8" t="s">
        <v>4268</v>
      </c>
      <c r="F2677" s="8" t="s">
        <v>911</v>
      </c>
      <c r="G2677" s="8" t="s">
        <v>4269</v>
      </c>
      <c r="H2677" s="10">
        <v>1</v>
      </c>
      <c r="I2677" s="10"/>
      <c r="J2677" s="10">
        <v>1</v>
      </c>
      <c r="K2677" s="10">
        <v>3014.48</v>
      </c>
    </row>
    <row r="2678" spans="1:11" x14ac:dyDescent="0.25">
      <c r="A2678" s="8" t="s">
        <v>4279</v>
      </c>
      <c r="B2678" s="8" t="s">
        <v>130</v>
      </c>
      <c r="C2678" s="8" t="s">
        <v>4267</v>
      </c>
      <c r="D2678" s="8">
        <v>3</v>
      </c>
      <c r="E2678" s="8" t="s">
        <v>4268</v>
      </c>
      <c r="F2678" s="8" t="s">
        <v>911</v>
      </c>
      <c r="G2678" s="8" t="s">
        <v>4269</v>
      </c>
      <c r="H2678" s="10">
        <v>4</v>
      </c>
      <c r="I2678" s="10"/>
      <c r="J2678" s="10">
        <v>4</v>
      </c>
      <c r="K2678" s="10">
        <v>2411.59</v>
      </c>
    </row>
    <row r="2679" spans="1:11" x14ac:dyDescent="0.25">
      <c r="A2679" s="8" t="s">
        <v>4280</v>
      </c>
      <c r="B2679" s="8" t="s">
        <v>132</v>
      </c>
      <c r="C2679" s="8" t="s">
        <v>4267</v>
      </c>
      <c r="D2679" s="8">
        <v>3</v>
      </c>
      <c r="E2679" s="8" t="s">
        <v>4268</v>
      </c>
      <c r="F2679" s="8" t="s">
        <v>911</v>
      </c>
      <c r="G2679" s="8" t="s">
        <v>4269</v>
      </c>
      <c r="H2679" s="10">
        <v>5</v>
      </c>
      <c r="I2679" s="10"/>
      <c r="J2679" s="10">
        <v>5</v>
      </c>
      <c r="K2679" s="10">
        <v>2411.59</v>
      </c>
    </row>
    <row r="2680" spans="1:11" x14ac:dyDescent="0.25">
      <c r="A2680" s="8" t="s">
        <v>4281</v>
      </c>
      <c r="B2680" s="8" t="s">
        <v>134</v>
      </c>
      <c r="C2680" s="8" t="s">
        <v>4267</v>
      </c>
      <c r="D2680" s="8">
        <v>3</v>
      </c>
      <c r="E2680" s="8" t="s">
        <v>4268</v>
      </c>
      <c r="F2680" s="8" t="s">
        <v>911</v>
      </c>
      <c r="G2680" s="8" t="s">
        <v>4269</v>
      </c>
      <c r="H2680" s="10">
        <v>1</v>
      </c>
      <c r="I2680" s="10"/>
      <c r="J2680" s="10">
        <v>1</v>
      </c>
      <c r="K2680" s="10">
        <v>3014.48</v>
      </c>
    </row>
    <row r="2681" spans="1:11" x14ac:dyDescent="0.25">
      <c r="A2681" s="8" t="s">
        <v>4282</v>
      </c>
      <c r="B2681" s="8" t="s">
        <v>1689</v>
      </c>
      <c r="C2681" s="8" t="s">
        <v>4267</v>
      </c>
      <c r="D2681" s="8">
        <v>3</v>
      </c>
      <c r="E2681" s="8" t="s">
        <v>4268</v>
      </c>
      <c r="F2681" s="8" t="s">
        <v>911</v>
      </c>
      <c r="G2681" s="8" t="s">
        <v>4269</v>
      </c>
      <c r="H2681" s="10">
        <v>2</v>
      </c>
      <c r="I2681" s="10"/>
      <c r="J2681" s="10">
        <v>2</v>
      </c>
      <c r="K2681" s="10">
        <v>2411.59</v>
      </c>
    </row>
    <row r="2682" spans="1:11" x14ac:dyDescent="0.25">
      <c r="A2682" s="8" t="s">
        <v>4283</v>
      </c>
      <c r="B2682" s="8" t="s">
        <v>138</v>
      </c>
      <c r="C2682" s="8" t="s">
        <v>4267</v>
      </c>
      <c r="D2682" s="8">
        <v>3</v>
      </c>
      <c r="E2682" s="8" t="s">
        <v>4268</v>
      </c>
      <c r="F2682" s="8" t="s">
        <v>911</v>
      </c>
      <c r="G2682" s="8" t="s">
        <v>4269</v>
      </c>
      <c r="H2682" s="10">
        <v>3</v>
      </c>
      <c r="I2682" s="10"/>
      <c r="J2682" s="10">
        <v>3</v>
      </c>
      <c r="K2682" s="10">
        <v>2411.59</v>
      </c>
    </row>
    <row r="2683" spans="1:11" x14ac:dyDescent="0.25">
      <c r="A2683" s="8" t="s">
        <v>4284</v>
      </c>
      <c r="B2683" s="8" t="s">
        <v>116</v>
      </c>
      <c r="C2683" s="8" t="s">
        <v>4267</v>
      </c>
      <c r="D2683" s="8">
        <v>3</v>
      </c>
      <c r="E2683" s="8" t="s">
        <v>4285</v>
      </c>
      <c r="F2683" s="8" t="s">
        <v>911</v>
      </c>
      <c r="G2683" s="8" t="s">
        <v>4269</v>
      </c>
      <c r="H2683" s="10">
        <v>4</v>
      </c>
      <c r="I2683" s="10"/>
      <c r="J2683" s="10">
        <v>4</v>
      </c>
      <c r="K2683" s="10">
        <v>2562.31</v>
      </c>
    </row>
    <row r="2684" spans="1:11" x14ac:dyDescent="0.25">
      <c r="A2684" s="8" t="s">
        <v>4286</v>
      </c>
      <c r="B2684" s="8" t="s">
        <v>116</v>
      </c>
      <c r="C2684" s="8" t="s">
        <v>4267</v>
      </c>
      <c r="D2684" s="8">
        <v>3</v>
      </c>
      <c r="E2684" s="8" t="s">
        <v>4285</v>
      </c>
      <c r="F2684" s="8" t="s">
        <v>911</v>
      </c>
      <c r="G2684" s="8" t="s">
        <v>4269</v>
      </c>
      <c r="H2684" s="10">
        <v>1</v>
      </c>
      <c r="I2684" s="10"/>
      <c r="J2684" s="10">
        <v>1</v>
      </c>
      <c r="K2684" s="10">
        <v>3014.48</v>
      </c>
    </row>
    <row r="2685" spans="1:11" x14ac:dyDescent="0.25">
      <c r="A2685" s="8" t="s">
        <v>4287</v>
      </c>
      <c r="B2685" s="8" t="s">
        <v>116</v>
      </c>
      <c r="C2685" s="8" t="s">
        <v>4267</v>
      </c>
      <c r="D2685" s="8">
        <v>3</v>
      </c>
      <c r="E2685" s="8" t="s">
        <v>4285</v>
      </c>
      <c r="F2685" s="8" t="s">
        <v>911</v>
      </c>
      <c r="G2685" s="8" t="s">
        <v>4269</v>
      </c>
      <c r="H2685" s="10">
        <v>1</v>
      </c>
      <c r="I2685" s="10"/>
      <c r="J2685" s="10">
        <v>1</v>
      </c>
      <c r="K2685" s="10">
        <v>3014.48</v>
      </c>
    </row>
    <row r="2686" spans="1:11" x14ac:dyDescent="0.25">
      <c r="A2686" s="8" t="s">
        <v>4288</v>
      </c>
      <c r="B2686" s="8" t="s">
        <v>118</v>
      </c>
      <c r="C2686" s="8" t="s">
        <v>4267</v>
      </c>
      <c r="D2686" s="8">
        <v>3</v>
      </c>
      <c r="E2686" s="8" t="s">
        <v>4285</v>
      </c>
      <c r="F2686" s="8" t="s">
        <v>911</v>
      </c>
      <c r="G2686" s="8" t="s">
        <v>4269</v>
      </c>
      <c r="H2686" s="10">
        <v>2</v>
      </c>
      <c r="I2686" s="10"/>
      <c r="J2686" s="10">
        <v>2</v>
      </c>
      <c r="K2686" s="10">
        <v>2562.31</v>
      </c>
    </row>
    <row r="2687" spans="1:11" x14ac:dyDescent="0.25">
      <c r="A2687" s="8" t="s">
        <v>4289</v>
      </c>
      <c r="B2687" s="8" t="s">
        <v>120</v>
      </c>
      <c r="C2687" s="8" t="s">
        <v>4267</v>
      </c>
      <c r="D2687" s="8">
        <v>3</v>
      </c>
      <c r="E2687" s="8" t="s">
        <v>4285</v>
      </c>
      <c r="F2687" s="8" t="s">
        <v>911</v>
      </c>
      <c r="G2687" s="8" t="s">
        <v>4269</v>
      </c>
      <c r="H2687" s="10">
        <v>10</v>
      </c>
      <c r="I2687" s="10"/>
      <c r="J2687" s="10">
        <v>10</v>
      </c>
      <c r="K2687" s="10">
        <v>2562.31</v>
      </c>
    </row>
    <row r="2688" spans="1:11" x14ac:dyDescent="0.25">
      <c r="A2688" s="8" t="s">
        <v>4290</v>
      </c>
      <c r="B2688" s="8" t="s">
        <v>122</v>
      </c>
      <c r="C2688" s="8" t="s">
        <v>4267</v>
      </c>
      <c r="D2688" s="8">
        <v>3</v>
      </c>
      <c r="E2688" s="8" t="s">
        <v>4285</v>
      </c>
      <c r="F2688" s="8" t="s">
        <v>911</v>
      </c>
      <c r="G2688" s="8" t="s">
        <v>4269</v>
      </c>
      <c r="H2688" s="10">
        <v>5</v>
      </c>
      <c r="I2688" s="10"/>
      <c r="J2688" s="10">
        <v>5</v>
      </c>
      <c r="K2688" s="10">
        <v>2562.31</v>
      </c>
    </row>
    <row r="2689" spans="1:11" x14ac:dyDescent="0.25">
      <c r="A2689" s="8" t="s">
        <v>4291</v>
      </c>
      <c r="B2689" s="8" t="s">
        <v>124</v>
      </c>
      <c r="C2689" s="8" t="s">
        <v>4267</v>
      </c>
      <c r="D2689" s="8">
        <v>3</v>
      </c>
      <c r="E2689" s="8" t="s">
        <v>4285</v>
      </c>
      <c r="F2689" s="8" t="s">
        <v>911</v>
      </c>
      <c r="G2689" s="8" t="s">
        <v>4269</v>
      </c>
      <c r="H2689" s="10">
        <v>5</v>
      </c>
      <c r="I2689" s="10"/>
      <c r="J2689" s="10">
        <v>5</v>
      </c>
      <c r="K2689" s="10">
        <v>2562.31</v>
      </c>
    </row>
    <row r="2690" spans="1:11" x14ac:dyDescent="0.25">
      <c r="A2690" s="8" t="s">
        <v>4292</v>
      </c>
      <c r="B2690" s="8" t="s">
        <v>78</v>
      </c>
      <c r="C2690" s="8" t="s">
        <v>4267</v>
      </c>
      <c r="D2690" s="8">
        <v>3</v>
      </c>
      <c r="E2690" s="8" t="s">
        <v>4285</v>
      </c>
      <c r="F2690" s="8" t="s">
        <v>911</v>
      </c>
      <c r="G2690" s="8" t="s">
        <v>4269</v>
      </c>
      <c r="H2690" s="10">
        <v>3</v>
      </c>
      <c r="I2690" s="10"/>
      <c r="J2690" s="10">
        <v>3</v>
      </c>
      <c r="K2690" s="10">
        <v>2562.31</v>
      </c>
    </row>
    <row r="2691" spans="1:11" x14ac:dyDescent="0.25">
      <c r="A2691" s="8" t="s">
        <v>4293</v>
      </c>
      <c r="B2691" s="8" t="s">
        <v>132</v>
      </c>
      <c r="C2691" s="8" t="s">
        <v>4267</v>
      </c>
      <c r="D2691" s="8">
        <v>3</v>
      </c>
      <c r="E2691" s="8" t="s">
        <v>4285</v>
      </c>
      <c r="F2691" s="8" t="s">
        <v>911</v>
      </c>
      <c r="G2691" s="8" t="s">
        <v>4269</v>
      </c>
      <c r="H2691" s="10">
        <v>2</v>
      </c>
      <c r="I2691" s="10"/>
      <c r="J2691" s="10">
        <v>2</v>
      </c>
      <c r="K2691" s="10">
        <v>2562.31</v>
      </c>
    </row>
    <row r="2692" spans="1:11" x14ac:dyDescent="0.25">
      <c r="A2692" s="8" t="s">
        <v>4294</v>
      </c>
      <c r="B2692" s="8" t="s">
        <v>134</v>
      </c>
      <c r="C2692" s="8" t="s">
        <v>4267</v>
      </c>
      <c r="D2692" s="8">
        <v>3</v>
      </c>
      <c r="E2692" s="8" t="s">
        <v>4285</v>
      </c>
      <c r="F2692" s="8" t="s">
        <v>911</v>
      </c>
      <c r="G2692" s="8" t="s">
        <v>4269</v>
      </c>
      <c r="H2692" s="10">
        <v>1</v>
      </c>
      <c r="I2692" s="10"/>
      <c r="J2692" s="10">
        <v>1</v>
      </c>
      <c r="K2692" s="10">
        <v>366.24</v>
      </c>
    </row>
    <row r="2693" spans="1:11" x14ac:dyDescent="0.25">
      <c r="A2693" s="8" t="s">
        <v>4295</v>
      </c>
      <c r="B2693" s="8" t="s">
        <v>116</v>
      </c>
      <c r="C2693" s="8" t="s">
        <v>4267</v>
      </c>
      <c r="D2693" s="8">
        <v>3</v>
      </c>
      <c r="E2693" s="8" t="s">
        <v>4296</v>
      </c>
      <c r="F2693" s="8" t="s">
        <v>460</v>
      </c>
      <c r="G2693" s="8" t="s">
        <v>4269</v>
      </c>
      <c r="H2693" s="10">
        <v>1</v>
      </c>
      <c r="I2693" s="10"/>
      <c r="J2693" s="10">
        <v>1</v>
      </c>
      <c r="K2693" s="10">
        <v>366.24</v>
      </c>
    </row>
    <row r="2694" spans="1:11" x14ac:dyDescent="0.25">
      <c r="A2694" s="8" t="s">
        <v>4297</v>
      </c>
      <c r="B2694" s="8" t="s">
        <v>118</v>
      </c>
      <c r="C2694" s="8" t="s">
        <v>4267</v>
      </c>
      <c r="D2694" s="8">
        <v>3</v>
      </c>
      <c r="E2694" s="8" t="s">
        <v>4296</v>
      </c>
      <c r="F2694" s="8" t="s">
        <v>460</v>
      </c>
      <c r="G2694" s="8" t="s">
        <v>4269</v>
      </c>
      <c r="H2694" s="10">
        <v>2</v>
      </c>
      <c r="I2694" s="10"/>
      <c r="J2694" s="10">
        <v>2</v>
      </c>
      <c r="K2694" s="10">
        <v>366.24</v>
      </c>
    </row>
    <row r="2695" spans="1:11" x14ac:dyDescent="0.25">
      <c r="A2695" s="8" t="s">
        <v>4298</v>
      </c>
      <c r="B2695" s="8" t="s">
        <v>120</v>
      </c>
      <c r="C2695" s="8" t="s">
        <v>4267</v>
      </c>
      <c r="D2695" s="8">
        <v>3</v>
      </c>
      <c r="E2695" s="8" t="s">
        <v>4296</v>
      </c>
      <c r="F2695" s="8" t="s">
        <v>460</v>
      </c>
      <c r="G2695" s="8" t="s">
        <v>4269</v>
      </c>
      <c r="H2695" s="10">
        <v>5</v>
      </c>
      <c r="I2695" s="10"/>
      <c r="J2695" s="10">
        <v>5</v>
      </c>
      <c r="K2695" s="10">
        <v>366.24</v>
      </c>
    </row>
    <row r="2696" spans="1:11" x14ac:dyDescent="0.25">
      <c r="A2696" s="8" t="s">
        <v>4299</v>
      </c>
      <c r="B2696" s="8" t="s">
        <v>122</v>
      </c>
      <c r="C2696" s="8" t="s">
        <v>4267</v>
      </c>
      <c r="D2696" s="8">
        <v>3</v>
      </c>
      <c r="E2696" s="8" t="s">
        <v>4296</v>
      </c>
      <c r="F2696" s="8" t="s">
        <v>460</v>
      </c>
      <c r="G2696" s="8" t="s">
        <v>4269</v>
      </c>
      <c r="H2696" s="10">
        <v>5</v>
      </c>
      <c r="I2696" s="10"/>
      <c r="J2696" s="10">
        <v>5</v>
      </c>
      <c r="K2696" s="10">
        <v>366.24</v>
      </c>
    </row>
    <row r="2697" spans="1:11" x14ac:dyDescent="0.25">
      <c r="A2697" s="8" t="s">
        <v>4300</v>
      </c>
      <c r="B2697" s="8" t="s">
        <v>124</v>
      </c>
      <c r="C2697" s="8" t="s">
        <v>4267</v>
      </c>
      <c r="D2697" s="8">
        <v>3</v>
      </c>
      <c r="E2697" s="8" t="s">
        <v>4296</v>
      </c>
      <c r="F2697" s="8" t="s">
        <v>460</v>
      </c>
      <c r="G2697" s="8" t="s">
        <v>4269</v>
      </c>
      <c r="H2697" s="10">
        <v>5</v>
      </c>
      <c r="I2697" s="10"/>
      <c r="J2697" s="10">
        <v>5</v>
      </c>
      <c r="K2697" s="10">
        <v>366.24</v>
      </c>
    </row>
    <row r="2698" spans="1:11" x14ac:dyDescent="0.25">
      <c r="A2698" s="8" t="s">
        <v>4301</v>
      </c>
      <c r="B2698" s="8" t="s">
        <v>78</v>
      </c>
      <c r="C2698" s="8" t="s">
        <v>4267</v>
      </c>
      <c r="D2698" s="8">
        <v>3</v>
      </c>
      <c r="E2698" s="8" t="s">
        <v>4296</v>
      </c>
      <c r="F2698" s="8" t="s">
        <v>460</v>
      </c>
      <c r="G2698" s="8" t="s">
        <v>4269</v>
      </c>
      <c r="H2698" s="10">
        <v>2</v>
      </c>
      <c r="I2698" s="10"/>
      <c r="J2698" s="10">
        <v>2</v>
      </c>
      <c r="K2698" s="10">
        <v>366.24</v>
      </c>
    </row>
    <row r="2699" spans="1:11" x14ac:dyDescent="0.25">
      <c r="A2699" s="8" t="s">
        <v>4302</v>
      </c>
      <c r="B2699" s="8" t="s">
        <v>128</v>
      </c>
      <c r="C2699" s="8" t="s">
        <v>4267</v>
      </c>
      <c r="D2699" s="8">
        <v>3</v>
      </c>
      <c r="E2699" s="8" t="s">
        <v>4296</v>
      </c>
      <c r="F2699" s="8" t="s">
        <v>460</v>
      </c>
      <c r="G2699" s="8" t="s">
        <v>4269</v>
      </c>
      <c r="H2699" s="10">
        <v>1</v>
      </c>
      <c r="I2699" s="10"/>
      <c r="J2699" s="10">
        <v>1</v>
      </c>
      <c r="K2699" s="10">
        <v>366.24</v>
      </c>
    </row>
    <row r="2700" spans="1:11" x14ac:dyDescent="0.25">
      <c r="A2700" s="8" t="s">
        <v>4303</v>
      </c>
      <c r="B2700" s="8" t="s">
        <v>132</v>
      </c>
      <c r="C2700" s="8" t="s">
        <v>4267</v>
      </c>
      <c r="D2700" s="8">
        <v>3</v>
      </c>
      <c r="E2700" s="8" t="s">
        <v>4296</v>
      </c>
      <c r="F2700" s="8" t="s">
        <v>460</v>
      </c>
      <c r="G2700" s="8" t="s">
        <v>4269</v>
      </c>
      <c r="H2700" s="10">
        <v>1</v>
      </c>
      <c r="I2700" s="10"/>
      <c r="J2700" s="10">
        <v>1</v>
      </c>
      <c r="K2700" s="10">
        <v>366.24</v>
      </c>
    </row>
    <row r="2701" spans="1:11" x14ac:dyDescent="0.25">
      <c r="A2701" s="8" t="s">
        <v>4304</v>
      </c>
      <c r="B2701" s="8" t="s">
        <v>134</v>
      </c>
      <c r="C2701" s="8" t="s">
        <v>4267</v>
      </c>
      <c r="D2701" s="8">
        <v>3</v>
      </c>
      <c r="E2701" s="8" t="s">
        <v>4296</v>
      </c>
      <c r="F2701" s="8" t="s">
        <v>460</v>
      </c>
      <c r="G2701" s="8" t="s">
        <v>4269</v>
      </c>
      <c r="H2701" s="10">
        <v>1</v>
      </c>
      <c r="I2701" s="10"/>
      <c r="J2701" s="10">
        <v>1</v>
      </c>
      <c r="K2701" s="10">
        <v>366.24</v>
      </c>
    </row>
    <row r="2702" spans="1:11" x14ac:dyDescent="0.25">
      <c r="A2702" s="8" t="s">
        <v>4305</v>
      </c>
      <c r="B2702" s="8" t="s">
        <v>136</v>
      </c>
      <c r="C2702" s="8" t="s">
        <v>4267</v>
      </c>
      <c r="D2702" s="8">
        <v>3</v>
      </c>
      <c r="E2702" s="8" t="s">
        <v>4296</v>
      </c>
      <c r="F2702" s="8" t="s">
        <v>460</v>
      </c>
      <c r="G2702" s="8" t="s">
        <v>4269</v>
      </c>
      <c r="H2702" s="10">
        <v>1</v>
      </c>
      <c r="I2702" s="10"/>
      <c r="J2702" s="10">
        <v>1</v>
      </c>
      <c r="K2702" s="10">
        <v>366.24</v>
      </c>
    </row>
    <row r="2703" spans="1:11" x14ac:dyDescent="0.25">
      <c r="A2703" s="8" t="s">
        <v>4306</v>
      </c>
      <c r="B2703" s="8" t="s">
        <v>1689</v>
      </c>
      <c r="C2703" s="8" t="s">
        <v>4267</v>
      </c>
      <c r="D2703" s="8">
        <v>3</v>
      </c>
      <c r="E2703" s="8" t="s">
        <v>4296</v>
      </c>
      <c r="F2703" s="8" t="s">
        <v>460</v>
      </c>
      <c r="G2703" s="8" t="s">
        <v>4269</v>
      </c>
      <c r="H2703" s="10">
        <v>1</v>
      </c>
      <c r="I2703" s="10"/>
      <c r="J2703" s="10">
        <v>1</v>
      </c>
      <c r="K2703" s="10">
        <v>366.24</v>
      </c>
    </row>
    <row r="2704" spans="1:11" x14ac:dyDescent="0.25">
      <c r="A2704" s="8" t="s">
        <v>4307</v>
      </c>
      <c r="B2704" s="8" t="s">
        <v>80</v>
      </c>
      <c r="C2704" s="8" t="s">
        <v>4267</v>
      </c>
      <c r="D2704" s="8">
        <v>3</v>
      </c>
      <c r="E2704" s="8" t="s">
        <v>4296</v>
      </c>
      <c r="F2704" s="8" t="s">
        <v>460</v>
      </c>
      <c r="G2704" s="8" t="s">
        <v>4269</v>
      </c>
      <c r="H2704" s="10">
        <v>1</v>
      </c>
      <c r="I2704" s="10"/>
      <c r="J2704" s="10">
        <v>1</v>
      </c>
      <c r="K2704" s="10">
        <v>366.24</v>
      </c>
    </row>
    <row r="2705" spans="1:11" x14ac:dyDescent="0.25">
      <c r="A2705" s="8" t="s">
        <v>4308</v>
      </c>
      <c r="B2705" s="8" t="s">
        <v>116</v>
      </c>
      <c r="C2705" s="8" t="s">
        <v>4267</v>
      </c>
      <c r="D2705" s="8">
        <v>3</v>
      </c>
      <c r="E2705" s="8" t="s">
        <v>4309</v>
      </c>
      <c r="F2705" s="8" t="s">
        <v>460</v>
      </c>
      <c r="G2705" s="8" t="s">
        <v>4269</v>
      </c>
      <c r="H2705" s="10">
        <v>5</v>
      </c>
      <c r="I2705" s="10"/>
      <c r="J2705" s="10">
        <v>5</v>
      </c>
      <c r="K2705" s="10">
        <v>366.24</v>
      </c>
    </row>
    <row r="2706" spans="1:11" x14ac:dyDescent="0.25">
      <c r="A2706" s="8" t="s">
        <v>4310</v>
      </c>
      <c r="B2706" s="8" t="s">
        <v>118</v>
      </c>
      <c r="C2706" s="8" t="s">
        <v>4267</v>
      </c>
      <c r="D2706" s="8">
        <v>3</v>
      </c>
      <c r="E2706" s="8" t="s">
        <v>4309</v>
      </c>
      <c r="F2706" s="8" t="s">
        <v>460</v>
      </c>
      <c r="G2706" s="8" t="s">
        <v>4269</v>
      </c>
      <c r="H2706" s="10">
        <v>5</v>
      </c>
      <c r="I2706" s="10"/>
      <c r="J2706" s="10">
        <v>5</v>
      </c>
      <c r="K2706" s="10">
        <v>366.24</v>
      </c>
    </row>
    <row r="2707" spans="1:11" x14ac:dyDescent="0.25">
      <c r="A2707" s="8" t="s">
        <v>4311</v>
      </c>
      <c r="B2707" s="8" t="s">
        <v>120</v>
      </c>
      <c r="C2707" s="8" t="s">
        <v>4267</v>
      </c>
      <c r="D2707" s="8">
        <v>3</v>
      </c>
      <c r="E2707" s="8" t="s">
        <v>4309</v>
      </c>
      <c r="F2707" s="8" t="s">
        <v>460</v>
      </c>
      <c r="G2707" s="8" t="s">
        <v>4269</v>
      </c>
      <c r="H2707" s="10">
        <v>10</v>
      </c>
      <c r="I2707" s="10"/>
      <c r="J2707" s="10">
        <v>10</v>
      </c>
      <c r="K2707" s="10">
        <v>366.24</v>
      </c>
    </row>
    <row r="2708" spans="1:11" x14ac:dyDescent="0.25">
      <c r="A2708" s="8" t="s">
        <v>4312</v>
      </c>
      <c r="B2708" s="8" t="s">
        <v>122</v>
      </c>
      <c r="C2708" s="8" t="s">
        <v>4267</v>
      </c>
      <c r="D2708" s="8">
        <v>3</v>
      </c>
      <c r="E2708" s="8" t="s">
        <v>4309</v>
      </c>
      <c r="F2708" s="8" t="s">
        <v>460</v>
      </c>
      <c r="G2708" s="8" t="s">
        <v>4269</v>
      </c>
      <c r="H2708" s="10">
        <v>5</v>
      </c>
      <c r="I2708" s="10"/>
      <c r="J2708" s="10">
        <v>5</v>
      </c>
      <c r="K2708" s="10">
        <v>366.24</v>
      </c>
    </row>
    <row r="2709" spans="1:11" x14ac:dyDescent="0.25">
      <c r="A2709" s="8" t="s">
        <v>4313</v>
      </c>
      <c r="B2709" s="8" t="s">
        <v>124</v>
      </c>
      <c r="C2709" s="8" t="s">
        <v>4267</v>
      </c>
      <c r="D2709" s="8">
        <v>3</v>
      </c>
      <c r="E2709" s="8" t="s">
        <v>4309</v>
      </c>
      <c r="F2709" s="8" t="s">
        <v>460</v>
      </c>
      <c r="G2709" s="8" t="s">
        <v>4269</v>
      </c>
      <c r="H2709" s="10">
        <v>5</v>
      </c>
      <c r="I2709" s="10"/>
      <c r="J2709" s="10">
        <v>5</v>
      </c>
      <c r="K2709" s="10">
        <v>366.24</v>
      </c>
    </row>
    <row r="2710" spans="1:11" x14ac:dyDescent="0.25">
      <c r="A2710" s="8" t="s">
        <v>4314</v>
      </c>
      <c r="B2710" s="8" t="s">
        <v>78</v>
      </c>
      <c r="C2710" s="8" t="s">
        <v>4267</v>
      </c>
      <c r="D2710" s="8">
        <v>3</v>
      </c>
      <c r="E2710" s="8" t="s">
        <v>4309</v>
      </c>
      <c r="F2710" s="8" t="s">
        <v>460</v>
      </c>
      <c r="G2710" s="8" t="s">
        <v>4269</v>
      </c>
      <c r="H2710" s="10">
        <v>5</v>
      </c>
      <c r="I2710" s="10"/>
      <c r="J2710" s="10">
        <v>5</v>
      </c>
      <c r="K2710" s="10">
        <v>366.24</v>
      </c>
    </row>
    <row r="2711" spans="1:11" x14ac:dyDescent="0.25">
      <c r="A2711" s="8" t="s">
        <v>4315</v>
      </c>
      <c r="B2711" s="8" t="s">
        <v>128</v>
      </c>
      <c r="C2711" s="8" t="s">
        <v>4267</v>
      </c>
      <c r="D2711" s="8">
        <v>3</v>
      </c>
      <c r="E2711" s="8" t="s">
        <v>4309</v>
      </c>
      <c r="F2711" s="8" t="s">
        <v>460</v>
      </c>
      <c r="G2711" s="8" t="s">
        <v>4269</v>
      </c>
      <c r="H2711" s="10">
        <v>5</v>
      </c>
      <c r="I2711" s="10"/>
      <c r="J2711" s="10">
        <v>5</v>
      </c>
      <c r="K2711" s="10">
        <v>366.24</v>
      </c>
    </row>
    <row r="2712" spans="1:11" x14ac:dyDescent="0.25">
      <c r="A2712" s="8" t="s">
        <v>4316</v>
      </c>
      <c r="B2712" s="8" t="s">
        <v>949</v>
      </c>
      <c r="C2712" s="8" t="s">
        <v>4267</v>
      </c>
      <c r="D2712" s="8">
        <v>3</v>
      </c>
      <c r="E2712" s="8" t="s">
        <v>4309</v>
      </c>
      <c r="F2712" s="8" t="s">
        <v>460</v>
      </c>
      <c r="G2712" s="8" t="s">
        <v>4269</v>
      </c>
      <c r="H2712" s="10">
        <v>1</v>
      </c>
      <c r="I2712" s="10"/>
      <c r="J2712" s="10">
        <v>1</v>
      </c>
      <c r="K2712" s="10">
        <v>366.24</v>
      </c>
    </row>
    <row r="2713" spans="1:11" x14ac:dyDescent="0.25">
      <c r="A2713" s="8" t="s">
        <v>4317</v>
      </c>
      <c r="B2713" s="8" t="s">
        <v>130</v>
      </c>
      <c r="C2713" s="8" t="s">
        <v>4267</v>
      </c>
      <c r="D2713" s="8">
        <v>3</v>
      </c>
      <c r="E2713" s="8" t="s">
        <v>4309</v>
      </c>
      <c r="F2713" s="8" t="s">
        <v>460</v>
      </c>
      <c r="G2713" s="8" t="s">
        <v>4269</v>
      </c>
      <c r="H2713" s="10">
        <v>2</v>
      </c>
      <c r="I2713" s="10"/>
      <c r="J2713" s="10">
        <v>2</v>
      </c>
      <c r="K2713" s="10">
        <v>366.24</v>
      </c>
    </row>
    <row r="2714" spans="1:11" x14ac:dyDescent="0.25">
      <c r="A2714" s="8" t="s">
        <v>4318</v>
      </c>
      <c r="B2714" s="8" t="s">
        <v>132</v>
      </c>
      <c r="C2714" s="8" t="s">
        <v>4267</v>
      </c>
      <c r="D2714" s="8">
        <v>3</v>
      </c>
      <c r="E2714" s="8" t="s">
        <v>4309</v>
      </c>
      <c r="F2714" s="8" t="s">
        <v>460</v>
      </c>
      <c r="G2714" s="8" t="s">
        <v>4269</v>
      </c>
      <c r="H2714" s="10">
        <v>2</v>
      </c>
      <c r="I2714" s="10"/>
      <c r="J2714" s="10">
        <v>2</v>
      </c>
      <c r="K2714" s="10">
        <v>366.24</v>
      </c>
    </row>
    <row r="2715" spans="1:11" x14ac:dyDescent="0.25">
      <c r="A2715" s="8" t="s">
        <v>4319</v>
      </c>
      <c r="B2715" s="8" t="s">
        <v>134</v>
      </c>
      <c r="C2715" s="8" t="s">
        <v>4267</v>
      </c>
      <c r="D2715" s="8">
        <v>3</v>
      </c>
      <c r="E2715" s="8" t="s">
        <v>4309</v>
      </c>
      <c r="F2715" s="8" t="s">
        <v>460</v>
      </c>
      <c r="G2715" s="8" t="s">
        <v>4269</v>
      </c>
      <c r="H2715" s="10">
        <v>5</v>
      </c>
      <c r="I2715" s="10"/>
      <c r="J2715" s="10">
        <v>5</v>
      </c>
      <c r="K2715" s="10">
        <v>366.24</v>
      </c>
    </row>
    <row r="2716" spans="1:11" x14ac:dyDescent="0.25">
      <c r="A2716" s="8" t="s">
        <v>4320</v>
      </c>
      <c r="B2716" s="8" t="s">
        <v>136</v>
      </c>
      <c r="C2716" s="8" t="s">
        <v>4267</v>
      </c>
      <c r="D2716" s="8">
        <v>3</v>
      </c>
      <c r="E2716" s="8" t="s">
        <v>4309</v>
      </c>
      <c r="F2716" s="8" t="s">
        <v>460</v>
      </c>
      <c r="G2716" s="8" t="s">
        <v>4269</v>
      </c>
      <c r="H2716" s="10">
        <v>5</v>
      </c>
      <c r="I2716" s="10"/>
      <c r="J2716" s="10">
        <v>5</v>
      </c>
      <c r="K2716" s="10">
        <v>366.24</v>
      </c>
    </row>
    <row r="2717" spans="1:11" x14ac:dyDescent="0.25">
      <c r="A2717" s="8" t="s">
        <v>4321</v>
      </c>
      <c r="B2717" s="8" t="s">
        <v>138</v>
      </c>
      <c r="C2717" s="8" t="s">
        <v>4267</v>
      </c>
      <c r="D2717" s="8">
        <v>3</v>
      </c>
      <c r="E2717" s="8" t="s">
        <v>4309</v>
      </c>
      <c r="F2717" s="8" t="s">
        <v>460</v>
      </c>
      <c r="G2717" s="8" t="s">
        <v>4269</v>
      </c>
      <c r="H2717" s="10">
        <v>2</v>
      </c>
      <c r="I2717" s="10"/>
      <c r="J2717" s="10">
        <v>2</v>
      </c>
      <c r="K2717" s="10">
        <v>366.24</v>
      </c>
    </row>
    <row r="2718" spans="1:11" x14ac:dyDescent="0.25">
      <c r="A2718" s="8" t="s">
        <v>4322</v>
      </c>
      <c r="B2718" s="8" t="s">
        <v>116</v>
      </c>
      <c r="C2718" s="8" t="s">
        <v>4267</v>
      </c>
      <c r="D2718" s="8">
        <v>3</v>
      </c>
      <c r="E2718" s="8" t="s">
        <v>4323</v>
      </c>
      <c r="F2718" s="8" t="s">
        <v>460</v>
      </c>
      <c r="G2718" s="8" t="s">
        <v>4269</v>
      </c>
      <c r="H2718" s="10">
        <v>5</v>
      </c>
      <c r="I2718" s="10"/>
      <c r="J2718" s="10">
        <v>5</v>
      </c>
      <c r="K2718" s="10">
        <v>366.24</v>
      </c>
    </row>
    <row r="2719" spans="1:11" x14ac:dyDescent="0.25">
      <c r="A2719" s="8" t="s">
        <v>4324</v>
      </c>
      <c r="B2719" s="8" t="s">
        <v>118</v>
      </c>
      <c r="C2719" s="8" t="s">
        <v>4267</v>
      </c>
      <c r="D2719" s="8">
        <v>3</v>
      </c>
      <c r="E2719" s="8" t="s">
        <v>4323</v>
      </c>
      <c r="F2719" s="8" t="s">
        <v>460</v>
      </c>
      <c r="G2719" s="8" t="s">
        <v>4269</v>
      </c>
      <c r="H2719" s="10">
        <v>5</v>
      </c>
      <c r="I2719" s="10"/>
      <c r="J2719" s="10">
        <v>5</v>
      </c>
      <c r="K2719" s="10">
        <v>366.24</v>
      </c>
    </row>
    <row r="2720" spans="1:11" x14ac:dyDescent="0.25">
      <c r="A2720" s="8" t="s">
        <v>4325</v>
      </c>
      <c r="B2720" s="8" t="s">
        <v>120</v>
      </c>
      <c r="C2720" s="8" t="s">
        <v>4267</v>
      </c>
      <c r="D2720" s="8">
        <v>3</v>
      </c>
      <c r="E2720" s="8" t="s">
        <v>4323</v>
      </c>
      <c r="F2720" s="8" t="s">
        <v>460</v>
      </c>
      <c r="G2720" s="8" t="s">
        <v>4269</v>
      </c>
      <c r="H2720" s="10">
        <v>10</v>
      </c>
      <c r="I2720" s="10"/>
      <c r="J2720" s="10">
        <v>10</v>
      </c>
      <c r="K2720" s="10">
        <v>366.24</v>
      </c>
    </row>
    <row r="2721" spans="1:11" x14ac:dyDescent="0.25">
      <c r="A2721" s="8" t="s">
        <v>4326</v>
      </c>
      <c r="B2721" s="8" t="s">
        <v>122</v>
      </c>
      <c r="C2721" s="8" t="s">
        <v>4267</v>
      </c>
      <c r="D2721" s="8">
        <v>3</v>
      </c>
      <c r="E2721" s="8" t="s">
        <v>4323</v>
      </c>
      <c r="F2721" s="8" t="s">
        <v>460</v>
      </c>
      <c r="G2721" s="8" t="s">
        <v>4269</v>
      </c>
      <c r="H2721" s="10">
        <v>5</v>
      </c>
      <c r="I2721" s="10"/>
      <c r="J2721" s="10">
        <v>5</v>
      </c>
      <c r="K2721" s="10">
        <v>366.24</v>
      </c>
    </row>
    <row r="2722" spans="1:11" x14ac:dyDescent="0.25">
      <c r="A2722" s="8" t="s">
        <v>4327</v>
      </c>
      <c r="B2722" s="8" t="s">
        <v>124</v>
      </c>
      <c r="C2722" s="8" t="s">
        <v>4267</v>
      </c>
      <c r="D2722" s="8">
        <v>3</v>
      </c>
      <c r="E2722" s="8" t="s">
        <v>4323</v>
      </c>
      <c r="F2722" s="8" t="s">
        <v>460</v>
      </c>
      <c r="G2722" s="8" t="s">
        <v>4269</v>
      </c>
      <c r="H2722" s="10">
        <v>5</v>
      </c>
      <c r="I2722" s="10"/>
      <c r="J2722" s="10">
        <v>5</v>
      </c>
      <c r="K2722" s="10">
        <v>366.24</v>
      </c>
    </row>
    <row r="2723" spans="1:11" x14ac:dyDescent="0.25">
      <c r="A2723" s="8" t="s">
        <v>4328</v>
      </c>
      <c r="B2723" s="8" t="s">
        <v>78</v>
      </c>
      <c r="C2723" s="8" t="s">
        <v>4267</v>
      </c>
      <c r="D2723" s="8">
        <v>3</v>
      </c>
      <c r="E2723" s="8" t="s">
        <v>4323</v>
      </c>
      <c r="F2723" s="8" t="s">
        <v>460</v>
      </c>
      <c r="G2723" s="8" t="s">
        <v>4269</v>
      </c>
      <c r="H2723" s="10">
        <v>5</v>
      </c>
      <c r="I2723" s="10"/>
      <c r="J2723" s="10">
        <v>5</v>
      </c>
      <c r="K2723" s="10">
        <v>366.24</v>
      </c>
    </row>
    <row r="2724" spans="1:11" x14ac:dyDescent="0.25">
      <c r="A2724" s="8" t="s">
        <v>4329</v>
      </c>
      <c r="B2724" s="8" t="s">
        <v>128</v>
      </c>
      <c r="C2724" s="8" t="s">
        <v>4267</v>
      </c>
      <c r="D2724" s="8">
        <v>3</v>
      </c>
      <c r="E2724" s="8" t="s">
        <v>4323</v>
      </c>
      <c r="F2724" s="8" t="s">
        <v>460</v>
      </c>
      <c r="G2724" s="8" t="s">
        <v>4269</v>
      </c>
      <c r="H2724" s="10">
        <v>5</v>
      </c>
      <c r="I2724" s="10"/>
      <c r="J2724" s="10">
        <v>5</v>
      </c>
      <c r="K2724" s="10">
        <v>366.24</v>
      </c>
    </row>
    <row r="2725" spans="1:11" x14ac:dyDescent="0.25">
      <c r="A2725" s="8" t="s">
        <v>4330</v>
      </c>
      <c r="B2725" s="8" t="s">
        <v>949</v>
      </c>
      <c r="C2725" s="8" t="s">
        <v>4267</v>
      </c>
      <c r="D2725" s="8">
        <v>3</v>
      </c>
      <c r="E2725" s="8" t="s">
        <v>4323</v>
      </c>
      <c r="F2725" s="8" t="s">
        <v>460</v>
      </c>
      <c r="G2725" s="8" t="s">
        <v>4269</v>
      </c>
      <c r="H2725" s="10">
        <v>1</v>
      </c>
      <c r="I2725" s="10"/>
      <c r="J2725" s="10">
        <v>1</v>
      </c>
      <c r="K2725" s="10">
        <v>366.24</v>
      </c>
    </row>
    <row r="2726" spans="1:11" x14ac:dyDescent="0.25">
      <c r="A2726" s="8" t="s">
        <v>4331</v>
      </c>
      <c r="B2726" s="8" t="s">
        <v>130</v>
      </c>
      <c r="C2726" s="8" t="s">
        <v>4267</v>
      </c>
      <c r="D2726" s="8">
        <v>3</v>
      </c>
      <c r="E2726" s="8" t="s">
        <v>4323</v>
      </c>
      <c r="F2726" s="8" t="s">
        <v>460</v>
      </c>
      <c r="G2726" s="8" t="s">
        <v>4269</v>
      </c>
      <c r="H2726" s="10">
        <v>2</v>
      </c>
      <c r="I2726" s="10"/>
      <c r="J2726" s="10">
        <v>2</v>
      </c>
      <c r="K2726" s="10">
        <v>366.24</v>
      </c>
    </row>
    <row r="2727" spans="1:11" x14ac:dyDescent="0.25">
      <c r="A2727" s="8" t="s">
        <v>4332</v>
      </c>
      <c r="B2727" s="8" t="s">
        <v>132</v>
      </c>
      <c r="C2727" s="8" t="s">
        <v>4267</v>
      </c>
      <c r="D2727" s="8">
        <v>3</v>
      </c>
      <c r="E2727" s="8" t="s">
        <v>4323</v>
      </c>
      <c r="F2727" s="8" t="s">
        <v>460</v>
      </c>
      <c r="G2727" s="8" t="s">
        <v>4269</v>
      </c>
      <c r="H2727" s="10">
        <v>2</v>
      </c>
      <c r="I2727" s="10"/>
      <c r="J2727" s="10">
        <v>2</v>
      </c>
      <c r="K2727" s="10">
        <v>366.24</v>
      </c>
    </row>
    <row r="2728" spans="1:11" x14ac:dyDescent="0.25">
      <c r="A2728" s="8" t="s">
        <v>4333</v>
      </c>
      <c r="B2728" s="8" t="s">
        <v>134</v>
      </c>
      <c r="C2728" s="8" t="s">
        <v>4267</v>
      </c>
      <c r="D2728" s="8">
        <v>3</v>
      </c>
      <c r="E2728" s="8" t="s">
        <v>4323</v>
      </c>
      <c r="F2728" s="8" t="s">
        <v>460</v>
      </c>
      <c r="G2728" s="8" t="s">
        <v>4269</v>
      </c>
      <c r="H2728" s="10">
        <v>5</v>
      </c>
      <c r="I2728" s="10"/>
      <c r="J2728" s="10">
        <v>5</v>
      </c>
      <c r="K2728" s="10">
        <v>366.24</v>
      </c>
    </row>
    <row r="2729" spans="1:11" x14ac:dyDescent="0.25">
      <c r="A2729" s="8" t="s">
        <v>4334</v>
      </c>
      <c r="B2729" s="8" t="s">
        <v>136</v>
      </c>
      <c r="C2729" s="8" t="s">
        <v>4267</v>
      </c>
      <c r="D2729" s="8">
        <v>3</v>
      </c>
      <c r="E2729" s="8" t="s">
        <v>4323</v>
      </c>
      <c r="F2729" s="8" t="s">
        <v>460</v>
      </c>
      <c r="G2729" s="8" t="s">
        <v>4269</v>
      </c>
      <c r="H2729" s="10">
        <v>5</v>
      </c>
      <c r="I2729" s="10"/>
      <c r="J2729" s="10">
        <v>5</v>
      </c>
      <c r="K2729" s="10">
        <v>366.24</v>
      </c>
    </row>
    <row r="2730" spans="1:11" x14ac:dyDescent="0.25">
      <c r="A2730" s="8" t="s">
        <v>4335</v>
      </c>
      <c r="B2730" s="8" t="s">
        <v>138</v>
      </c>
      <c r="C2730" s="8" t="s">
        <v>4267</v>
      </c>
      <c r="D2730" s="8">
        <v>3</v>
      </c>
      <c r="E2730" s="8" t="s">
        <v>4323</v>
      </c>
      <c r="F2730" s="8" t="s">
        <v>460</v>
      </c>
      <c r="G2730" s="8" t="s">
        <v>4269</v>
      </c>
      <c r="H2730" s="10">
        <v>2</v>
      </c>
      <c r="I2730" s="10"/>
      <c r="J2730" s="10">
        <v>2</v>
      </c>
      <c r="K2730" s="10">
        <v>366.24</v>
      </c>
    </row>
    <row r="2731" spans="1:11" x14ac:dyDescent="0.25">
      <c r="A2731" s="8" t="s">
        <v>4336</v>
      </c>
      <c r="B2731" s="8" t="s">
        <v>1650</v>
      </c>
      <c r="C2731" s="8" t="s">
        <v>4337</v>
      </c>
      <c r="D2731" s="8">
        <v>1</v>
      </c>
      <c r="E2731" s="8" t="s">
        <v>4338</v>
      </c>
      <c r="F2731" s="8" t="s">
        <v>460</v>
      </c>
      <c r="G2731" s="8" t="s">
        <v>4339</v>
      </c>
      <c r="H2731" s="10">
        <v>36</v>
      </c>
      <c r="I2731" s="10"/>
      <c r="J2731" s="10">
        <v>36</v>
      </c>
      <c r="K2731" s="10">
        <v>518.35</v>
      </c>
    </row>
    <row r="2732" spans="1:11" x14ac:dyDescent="0.25">
      <c r="A2732" s="8" t="s">
        <v>4340</v>
      </c>
      <c r="B2732" s="8" t="s">
        <v>120</v>
      </c>
      <c r="C2732" s="8" t="s">
        <v>4337</v>
      </c>
      <c r="D2732" s="8">
        <v>1</v>
      </c>
      <c r="E2732" s="8" t="s">
        <v>4338</v>
      </c>
      <c r="F2732" s="8" t="s">
        <v>460</v>
      </c>
      <c r="G2732" s="8" t="s">
        <v>4339</v>
      </c>
      <c r="H2732" s="10">
        <v>180</v>
      </c>
      <c r="I2732" s="10"/>
      <c r="J2732" s="10">
        <v>180</v>
      </c>
      <c r="K2732" s="10">
        <v>518.35</v>
      </c>
    </row>
    <row r="2733" spans="1:11" x14ac:dyDescent="0.25">
      <c r="A2733" s="8" t="s">
        <v>4341</v>
      </c>
      <c r="B2733" s="8" t="s">
        <v>1655</v>
      </c>
      <c r="C2733" s="8" t="s">
        <v>4337</v>
      </c>
      <c r="D2733" s="8">
        <v>1</v>
      </c>
      <c r="E2733" s="8" t="s">
        <v>4342</v>
      </c>
      <c r="F2733" s="8" t="s">
        <v>460</v>
      </c>
      <c r="G2733" s="8" t="s">
        <v>4339</v>
      </c>
      <c r="H2733" s="10">
        <v>18</v>
      </c>
      <c r="I2733" s="10"/>
      <c r="J2733" s="10">
        <v>18</v>
      </c>
      <c r="K2733" s="10">
        <v>531.77</v>
      </c>
    </row>
    <row r="2734" spans="1:11" x14ac:dyDescent="0.25">
      <c r="A2734" s="8" t="s">
        <v>4343</v>
      </c>
      <c r="B2734" s="8" t="s">
        <v>1650</v>
      </c>
      <c r="C2734" s="8" t="s">
        <v>4337</v>
      </c>
      <c r="D2734" s="8">
        <v>1</v>
      </c>
      <c r="E2734" s="8" t="s">
        <v>4344</v>
      </c>
      <c r="F2734" s="8" t="s">
        <v>460</v>
      </c>
      <c r="G2734" s="8" t="s">
        <v>4339</v>
      </c>
      <c r="H2734" s="10">
        <v>72</v>
      </c>
      <c r="I2734" s="10"/>
      <c r="J2734" s="10">
        <v>72</v>
      </c>
      <c r="K2734" s="10">
        <v>600.42999999999995</v>
      </c>
    </row>
    <row r="2735" spans="1:11" x14ac:dyDescent="0.25">
      <c r="A2735" s="8" t="s">
        <v>4345</v>
      </c>
      <c r="B2735" s="8" t="s">
        <v>120</v>
      </c>
      <c r="C2735" s="8" t="s">
        <v>4337</v>
      </c>
      <c r="D2735" s="8">
        <v>1</v>
      </c>
      <c r="E2735" s="8" t="s">
        <v>4344</v>
      </c>
      <c r="F2735" s="8" t="s">
        <v>460</v>
      </c>
      <c r="G2735" s="8" t="s">
        <v>4339</v>
      </c>
      <c r="H2735" s="10">
        <v>48</v>
      </c>
      <c r="I2735" s="10"/>
      <c r="J2735" s="10">
        <v>48</v>
      </c>
      <c r="K2735" s="10">
        <v>600.42999999999995</v>
      </c>
    </row>
    <row r="2736" spans="1:11" x14ac:dyDescent="0.25">
      <c r="A2736" s="8" t="s">
        <v>4346</v>
      </c>
      <c r="B2736" s="8" t="s">
        <v>1650</v>
      </c>
      <c r="C2736" s="8" t="s">
        <v>4337</v>
      </c>
      <c r="D2736" s="8">
        <v>1</v>
      </c>
      <c r="E2736" s="8" t="s">
        <v>4347</v>
      </c>
      <c r="F2736" s="8" t="s">
        <v>460</v>
      </c>
      <c r="G2736" s="8" t="s">
        <v>4339</v>
      </c>
      <c r="H2736" s="10">
        <v>12</v>
      </c>
      <c r="I2736" s="10"/>
      <c r="J2736" s="10">
        <v>12</v>
      </c>
      <c r="K2736" s="10">
        <v>679.23</v>
      </c>
    </row>
    <row r="2737" spans="1:11" x14ac:dyDescent="0.25">
      <c r="A2737" s="8" t="s">
        <v>4348</v>
      </c>
      <c r="B2737" s="8" t="s">
        <v>1655</v>
      </c>
      <c r="C2737" s="8" t="s">
        <v>4337</v>
      </c>
      <c r="D2737" s="8">
        <v>1</v>
      </c>
      <c r="E2737" s="8" t="s">
        <v>4347</v>
      </c>
      <c r="F2737" s="8" t="s">
        <v>460</v>
      </c>
      <c r="G2737" s="8" t="s">
        <v>4339</v>
      </c>
      <c r="H2737" s="10">
        <v>12</v>
      </c>
      <c r="I2737" s="10"/>
      <c r="J2737" s="10">
        <v>12</v>
      </c>
      <c r="K2737" s="10">
        <v>679.23</v>
      </c>
    </row>
    <row r="2738" spans="1:11" x14ac:dyDescent="0.25">
      <c r="A2738" s="8" t="s">
        <v>4349</v>
      </c>
      <c r="B2738" s="8" t="s">
        <v>1650</v>
      </c>
      <c r="C2738" s="8" t="s">
        <v>4337</v>
      </c>
      <c r="D2738" s="8">
        <v>1</v>
      </c>
      <c r="E2738" s="8" t="s">
        <v>4350</v>
      </c>
      <c r="F2738" s="8" t="s">
        <v>460</v>
      </c>
      <c r="G2738" s="8" t="s">
        <v>4339</v>
      </c>
      <c r="H2738" s="10">
        <v>18</v>
      </c>
      <c r="I2738" s="10"/>
      <c r="J2738" s="10">
        <v>18</v>
      </c>
      <c r="K2738" s="10">
        <v>705.67</v>
      </c>
    </row>
    <row r="2739" spans="1:11" x14ac:dyDescent="0.25">
      <c r="A2739" s="8" t="s">
        <v>4351</v>
      </c>
      <c r="B2739" s="8" t="s">
        <v>120</v>
      </c>
      <c r="C2739" s="8" t="s">
        <v>4337</v>
      </c>
      <c r="D2739" s="8">
        <v>1</v>
      </c>
      <c r="E2739" s="8" t="s">
        <v>4352</v>
      </c>
      <c r="F2739" s="8" t="s">
        <v>460</v>
      </c>
      <c r="G2739" s="8" t="s">
        <v>4339</v>
      </c>
      <c r="H2739" s="10">
        <v>288</v>
      </c>
      <c r="I2739" s="10"/>
      <c r="J2739" s="10">
        <v>288</v>
      </c>
      <c r="K2739" s="10">
        <v>705.67</v>
      </c>
    </row>
    <row r="2740" spans="1:11" x14ac:dyDescent="0.25">
      <c r="A2740" s="8" t="s">
        <v>4353</v>
      </c>
      <c r="B2740" s="8" t="s">
        <v>120</v>
      </c>
      <c r="C2740" s="8" t="s">
        <v>4337</v>
      </c>
      <c r="D2740" s="8">
        <v>1</v>
      </c>
      <c r="E2740" s="8" t="s">
        <v>4354</v>
      </c>
      <c r="F2740" s="8" t="s">
        <v>460</v>
      </c>
      <c r="G2740" s="8" t="s">
        <v>4339</v>
      </c>
      <c r="H2740" s="10">
        <v>54</v>
      </c>
      <c r="I2740" s="10"/>
      <c r="J2740" s="10">
        <v>54</v>
      </c>
      <c r="K2740" s="10">
        <v>518.35</v>
      </c>
    </row>
    <row r="2741" spans="1:11" x14ac:dyDescent="0.25">
      <c r="A2741" s="8" t="s">
        <v>4355</v>
      </c>
      <c r="B2741" s="8" t="s">
        <v>1655</v>
      </c>
      <c r="C2741" s="8" t="s">
        <v>4337</v>
      </c>
      <c r="D2741" s="8">
        <v>1</v>
      </c>
      <c r="E2741" s="8" t="s">
        <v>4354</v>
      </c>
      <c r="F2741" s="8" t="s">
        <v>460</v>
      </c>
      <c r="G2741" s="8" t="s">
        <v>4339</v>
      </c>
      <c r="H2741" s="10">
        <v>18</v>
      </c>
      <c r="I2741" s="10"/>
      <c r="J2741" s="10">
        <v>18</v>
      </c>
      <c r="K2741" s="10">
        <v>518.35</v>
      </c>
    </row>
    <row r="2742" spans="1:11" x14ac:dyDescent="0.25">
      <c r="A2742" s="8" t="s">
        <v>4356</v>
      </c>
      <c r="B2742" s="8" t="s">
        <v>1650</v>
      </c>
      <c r="C2742" s="8" t="s">
        <v>4337</v>
      </c>
      <c r="D2742" s="8">
        <v>1</v>
      </c>
      <c r="E2742" s="8" t="s">
        <v>4357</v>
      </c>
      <c r="F2742" s="8" t="s">
        <v>460</v>
      </c>
      <c r="G2742" s="8" t="s">
        <v>4339</v>
      </c>
      <c r="H2742" s="10">
        <v>12</v>
      </c>
      <c r="I2742" s="10"/>
      <c r="J2742" s="10">
        <v>12</v>
      </c>
      <c r="K2742" s="10">
        <v>567.41</v>
      </c>
    </row>
    <row r="2743" spans="1:11" x14ac:dyDescent="0.25">
      <c r="A2743" s="8" t="s">
        <v>4358</v>
      </c>
      <c r="B2743" s="8" t="s">
        <v>1655</v>
      </c>
      <c r="C2743" s="8" t="s">
        <v>4337</v>
      </c>
      <c r="D2743" s="8">
        <v>1</v>
      </c>
      <c r="E2743" s="8" t="s">
        <v>4357</v>
      </c>
      <c r="F2743" s="8" t="s">
        <v>460</v>
      </c>
      <c r="G2743" s="8" t="s">
        <v>4339</v>
      </c>
      <c r="H2743" s="10">
        <v>6</v>
      </c>
      <c r="I2743" s="10"/>
      <c r="J2743" s="10">
        <v>6</v>
      </c>
      <c r="K2743" s="10">
        <v>567.41</v>
      </c>
    </row>
    <row r="2744" spans="1:11" x14ac:dyDescent="0.25">
      <c r="A2744" s="8" t="s">
        <v>4359</v>
      </c>
      <c r="B2744" s="8" t="s">
        <v>120</v>
      </c>
      <c r="C2744" s="8" t="s">
        <v>4337</v>
      </c>
      <c r="D2744" s="8">
        <v>1</v>
      </c>
      <c r="E2744" s="8" t="s">
        <v>4360</v>
      </c>
      <c r="F2744" s="8" t="s">
        <v>460</v>
      </c>
      <c r="G2744" s="8" t="s">
        <v>4339</v>
      </c>
      <c r="H2744" s="10">
        <v>12</v>
      </c>
      <c r="I2744" s="10"/>
      <c r="J2744" s="10">
        <v>12</v>
      </c>
      <c r="K2744" s="10">
        <v>600.42999999999995</v>
      </c>
    </row>
    <row r="2745" spans="1:11" x14ac:dyDescent="0.25">
      <c r="A2745" s="8" t="s">
        <v>4361</v>
      </c>
      <c r="B2745" s="8" t="s">
        <v>1650</v>
      </c>
      <c r="C2745" s="8" t="s">
        <v>4337</v>
      </c>
      <c r="D2745" s="8">
        <v>1</v>
      </c>
      <c r="E2745" s="8" t="s">
        <v>4362</v>
      </c>
      <c r="F2745" s="8" t="s">
        <v>460</v>
      </c>
      <c r="G2745" s="8" t="s">
        <v>4339</v>
      </c>
      <c r="H2745" s="10">
        <v>12</v>
      </c>
      <c r="I2745" s="10"/>
      <c r="J2745" s="10">
        <v>12</v>
      </c>
      <c r="K2745" s="10">
        <v>633.19000000000005</v>
      </c>
    </row>
    <row r="2746" spans="1:11" x14ac:dyDescent="0.25">
      <c r="A2746" s="8" t="s">
        <v>4363</v>
      </c>
      <c r="B2746" s="8" t="s">
        <v>1655</v>
      </c>
      <c r="C2746" s="8" t="s">
        <v>4337</v>
      </c>
      <c r="D2746" s="8">
        <v>1</v>
      </c>
      <c r="E2746" s="8" t="s">
        <v>4364</v>
      </c>
      <c r="F2746" s="8" t="s">
        <v>460</v>
      </c>
      <c r="G2746" s="8" t="s">
        <v>4339</v>
      </c>
      <c r="H2746" s="10">
        <v>6</v>
      </c>
      <c r="I2746" s="10"/>
      <c r="J2746" s="10">
        <v>6</v>
      </c>
      <c r="K2746" s="10">
        <v>663.44</v>
      </c>
    </row>
    <row r="2747" spans="1:11" x14ac:dyDescent="0.25">
      <c r="A2747" s="8" t="s">
        <v>4365</v>
      </c>
      <c r="B2747" s="8" t="s">
        <v>1650</v>
      </c>
      <c r="C2747" s="8" t="s">
        <v>4337</v>
      </c>
      <c r="D2747" s="8">
        <v>1</v>
      </c>
      <c r="E2747" s="8" t="s">
        <v>4366</v>
      </c>
      <c r="F2747" s="8" t="s">
        <v>460</v>
      </c>
      <c r="G2747" s="8" t="s">
        <v>4339</v>
      </c>
      <c r="H2747" s="10">
        <v>6</v>
      </c>
      <c r="I2747" s="10"/>
      <c r="J2747" s="10">
        <v>6</v>
      </c>
      <c r="K2747" s="10">
        <v>705.67</v>
      </c>
    </row>
    <row r="2748" spans="1:11" x14ac:dyDescent="0.25">
      <c r="A2748" s="8" t="s">
        <v>4367</v>
      </c>
      <c r="B2748" s="8" t="s">
        <v>120</v>
      </c>
      <c r="C2748" s="8" t="s">
        <v>4337</v>
      </c>
      <c r="D2748" s="8">
        <v>1</v>
      </c>
      <c r="E2748" s="8" t="s">
        <v>4366</v>
      </c>
      <c r="F2748" s="8" t="s">
        <v>460</v>
      </c>
      <c r="G2748" s="8" t="s">
        <v>4339</v>
      </c>
      <c r="H2748" s="10">
        <v>36</v>
      </c>
      <c r="I2748" s="10"/>
      <c r="J2748" s="10">
        <v>36</v>
      </c>
      <c r="K2748" s="10">
        <v>705.67</v>
      </c>
    </row>
    <row r="2749" spans="1:11" x14ac:dyDescent="0.25">
      <c r="A2749" s="8" t="s">
        <v>4368</v>
      </c>
      <c r="B2749" s="8" t="s">
        <v>120</v>
      </c>
      <c r="C2749" s="8" t="s">
        <v>4337</v>
      </c>
      <c r="D2749" s="8">
        <v>1</v>
      </c>
      <c r="E2749" s="8" t="s">
        <v>4369</v>
      </c>
      <c r="F2749" s="8" t="s">
        <v>460</v>
      </c>
      <c r="G2749" s="8" t="s">
        <v>4339</v>
      </c>
      <c r="H2749" s="10">
        <v>54</v>
      </c>
      <c r="I2749" s="10"/>
      <c r="J2749" s="10">
        <v>54</v>
      </c>
      <c r="K2749" s="10">
        <v>705.67</v>
      </c>
    </row>
    <row r="2750" spans="1:11" x14ac:dyDescent="0.25">
      <c r="A2750" s="8" t="s">
        <v>4370</v>
      </c>
      <c r="B2750" s="8" t="s">
        <v>116</v>
      </c>
      <c r="C2750" s="8" t="s">
        <v>3687</v>
      </c>
      <c r="D2750" s="8">
        <v>3</v>
      </c>
      <c r="E2750" s="8" t="s">
        <v>470</v>
      </c>
      <c r="F2750" s="8" t="s">
        <v>378</v>
      </c>
      <c r="G2750" s="8" t="s">
        <v>4371</v>
      </c>
      <c r="H2750" s="10">
        <v>50</v>
      </c>
      <c r="I2750" s="10"/>
      <c r="J2750" s="10">
        <v>50</v>
      </c>
      <c r="K2750" s="10">
        <v>38.229999999999997</v>
      </c>
    </row>
    <row r="2751" spans="1:11" x14ac:dyDescent="0.25">
      <c r="A2751" s="8" t="s">
        <v>4372</v>
      </c>
      <c r="B2751" s="8" t="s">
        <v>118</v>
      </c>
      <c r="C2751" s="8" t="s">
        <v>3687</v>
      </c>
      <c r="D2751" s="8">
        <v>3</v>
      </c>
      <c r="E2751" s="8" t="s">
        <v>470</v>
      </c>
      <c r="F2751" s="8" t="s">
        <v>378</v>
      </c>
      <c r="G2751" s="8" t="s">
        <v>4371</v>
      </c>
      <c r="H2751" s="10">
        <v>100</v>
      </c>
      <c r="I2751" s="10"/>
      <c r="J2751" s="10">
        <v>100</v>
      </c>
      <c r="K2751" s="10">
        <v>38.229999999999997</v>
      </c>
    </row>
    <row r="2752" spans="1:11" x14ac:dyDescent="0.25">
      <c r="A2752" s="8" t="s">
        <v>4373</v>
      </c>
      <c r="B2752" s="8" t="s">
        <v>1650</v>
      </c>
      <c r="C2752" s="8" t="s">
        <v>3687</v>
      </c>
      <c r="D2752" s="8">
        <v>3</v>
      </c>
      <c r="E2752" s="8" t="s">
        <v>470</v>
      </c>
      <c r="F2752" s="8" t="s">
        <v>378</v>
      </c>
      <c r="G2752" s="8" t="s">
        <v>4371</v>
      </c>
      <c r="H2752" s="10">
        <v>50</v>
      </c>
      <c r="I2752" s="10"/>
      <c r="J2752" s="10">
        <v>50</v>
      </c>
      <c r="K2752" s="10">
        <v>38.229999999999997</v>
      </c>
    </row>
    <row r="2753" spans="1:11" x14ac:dyDescent="0.25">
      <c r="A2753" s="8" t="s">
        <v>4374</v>
      </c>
      <c r="B2753" s="8" t="s">
        <v>120</v>
      </c>
      <c r="C2753" s="8" t="s">
        <v>3687</v>
      </c>
      <c r="D2753" s="8">
        <v>3</v>
      </c>
      <c r="E2753" s="8" t="s">
        <v>470</v>
      </c>
      <c r="F2753" s="8" t="s">
        <v>378</v>
      </c>
      <c r="G2753" s="8" t="s">
        <v>4371</v>
      </c>
      <c r="H2753" s="10">
        <v>200</v>
      </c>
      <c r="I2753" s="10"/>
      <c r="J2753" s="10">
        <v>200</v>
      </c>
      <c r="K2753" s="10">
        <v>38.229999999999997</v>
      </c>
    </row>
    <row r="2754" spans="1:11" x14ac:dyDescent="0.25">
      <c r="A2754" s="8" t="s">
        <v>4375</v>
      </c>
      <c r="B2754" s="8" t="s">
        <v>120</v>
      </c>
      <c r="C2754" s="8" t="s">
        <v>3687</v>
      </c>
      <c r="D2754" s="8">
        <v>3</v>
      </c>
      <c r="E2754" s="8" t="s">
        <v>470</v>
      </c>
      <c r="F2754" s="8" t="s">
        <v>378</v>
      </c>
      <c r="G2754" s="8" t="s">
        <v>4371</v>
      </c>
      <c r="H2754" s="10">
        <v>100</v>
      </c>
      <c r="I2754" s="10"/>
      <c r="J2754" s="10">
        <v>100</v>
      </c>
      <c r="K2754" s="10">
        <v>38.229999999999997</v>
      </c>
    </row>
    <row r="2755" spans="1:11" x14ac:dyDescent="0.25">
      <c r="A2755" s="8" t="s">
        <v>4376</v>
      </c>
      <c r="B2755" s="8" t="s">
        <v>122</v>
      </c>
      <c r="C2755" s="8" t="s">
        <v>3687</v>
      </c>
      <c r="D2755" s="8">
        <v>3</v>
      </c>
      <c r="E2755" s="8" t="s">
        <v>470</v>
      </c>
      <c r="F2755" s="8" t="s">
        <v>378</v>
      </c>
      <c r="G2755" s="8" t="s">
        <v>4371</v>
      </c>
      <c r="H2755" s="10">
        <v>50</v>
      </c>
      <c r="I2755" s="10"/>
      <c r="J2755" s="10">
        <v>50</v>
      </c>
      <c r="K2755" s="10">
        <v>38.229999999999997</v>
      </c>
    </row>
    <row r="2756" spans="1:11" x14ac:dyDescent="0.25">
      <c r="A2756" s="8" t="s">
        <v>4377</v>
      </c>
      <c r="B2756" s="8" t="s">
        <v>124</v>
      </c>
      <c r="C2756" s="8" t="s">
        <v>3687</v>
      </c>
      <c r="D2756" s="8">
        <v>3</v>
      </c>
      <c r="E2756" s="8" t="s">
        <v>470</v>
      </c>
      <c r="F2756" s="8" t="s">
        <v>378</v>
      </c>
      <c r="G2756" s="8" t="s">
        <v>4371</v>
      </c>
      <c r="H2756" s="10">
        <v>20</v>
      </c>
      <c r="I2756" s="10"/>
      <c r="J2756" s="10">
        <v>20</v>
      </c>
      <c r="K2756" s="10">
        <v>38.229999999999997</v>
      </c>
    </row>
    <row r="2757" spans="1:11" x14ac:dyDescent="0.25">
      <c r="A2757" s="8" t="s">
        <v>4378</v>
      </c>
      <c r="B2757" s="8" t="s">
        <v>78</v>
      </c>
      <c r="C2757" s="8" t="s">
        <v>3687</v>
      </c>
      <c r="D2757" s="8">
        <v>3</v>
      </c>
      <c r="E2757" s="8" t="s">
        <v>470</v>
      </c>
      <c r="F2757" s="8" t="s">
        <v>378</v>
      </c>
      <c r="G2757" s="8" t="s">
        <v>4371</v>
      </c>
      <c r="H2757" s="10">
        <v>50</v>
      </c>
      <c r="I2757" s="10"/>
      <c r="J2757" s="10">
        <v>50</v>
      </c>
      <c r="K2757" s="10">
        <v>38.229999999999997</v>
      </c>
    </row>
    <row r="2758" spans="1:11" x14ac:dyDescent="0.25">
      <c r="A2758" s="8" t="s">
        <v>4379</v>
      </c>
      <c r="B2758" s="8" t="s">
        <v>1655</v>
      </c>
      <c r="C2758" s="8" t="s">
        <v>3687</v>
      </c>
      <c r="D2758" s="8">
        <v>3</v>
      </c>
      <c r="E2758" s="8" t="s">
        <v>470</v>
      </c>
      <c r="F2758" s="8" t="s">
        <v>378</v>
      </c>
      <c r="G2758" s="8" t="s">
        <v>4371</v>
      </c>
      <c r="H2758" s="10">
        <v>50</v>
      </c>
      <c r="I2758" s="10"/>
      <c r="J2758" s="10">
        <v>50</v>
      </c>
      <c r="K2758" s="10">
        <v>38.229999999999997</v>
      </c>
    </row>
    <row r="2759" spans="1:11" x14ac:dyDescent="0.25">
      <c r="A2759" s="8" t="s">
        <v>4380</v>
      </c>
      <c r="B2759" s="8" t="s">
        <v>128</v>
      </c>
      <c r="C2759" s="8" t="s">
        <v>3687</v>
      </c>
      <c r="D2759" s="8">
        <v>3</v>
      </c>
      <c r="E2759" s="8" t="s">
        <v>470</v>
      </c>
      <c r="F2759" s="8" t="s">
        <v>378</v>
      </c>
      <c r="G2759" s="8" t="s">
        <v>4371</v>
      </c>
      <c r="H2759" s="10">
        <v>50</v>
      </c>
      <c r="I2759" s="10"/>
      <c r="J2759" s="10">
        <v>50</v>
      </c>
      <c r="K2759" s="10">
        <v>38.229999999999997</v>
      </c>
    </row>
    <row r="2760" spans="1:11" x14ac:dyDescent="0.25">
      <c r="A2760" s="8" t="s">
        <v>4381</v>
      </c>
      <c r="B2760" s="8" t="s">
        <v>949</v>
      </c>
      <c r="C2760" s="8" t="s">
        <v>3687</v>
      </c>
      <c r="D2760" s="8">
        <v>3</v>
      </c>
      <c r="E2760" s="8" t="s">
        <v>470</v>
      </c>
      <c r="F2760" s="8" t="s">
        <v>378</v>
      </c>
      <c r="G2760" s="8" t="s">
        <v>4371</v>
      </c>
      <c r="H2760" s="10">
        <v>10</v>
      </c>
      <c r="I2760" s="10"/>
      <c r="J2760" s="10">
        <v>10</v>
      </c>
      <c r="K2760" s="10">
        <v>38.229999999999997</v>
      </c>
    </row>
    <row r="2761" spans="1:11" x14ac:dyDescent="0.25">
      <c r="A2761" s="8" t="s">
        <v>4382</v>
      </c>
      <c r="B2761" s="8" t="s">
        <v>130</v>
      </c>
      <c r="C2761" s="8" t="s">
        <v>3687</v>
      </c>
      <c r="D2761" s="8">
        <v>3</v>
      </c>
      <c r="E2761" s="8" t="s">
        <v>470</v>
      </c>
      <c r="F2761" s="8" t="s">
        <v>378</v>
      </c>
      <c r="G2761" s="8" t="s">
        <v>4371</v>
      </c>
      <c r="H2761" s="10">
        <v>20</v>
      </c>
      <c r="I2761" s="10"/>
      <c r="J2761" s="10">
        <v>20</v>
      </c>
      <c r="K2761" s="10">
        <v>38.229999999999997</v>
      </c>
    </row>
    <row r="2762" spans="1:11" x14ac:dyDescent="0.25">
      <c r="A2762" s="8" t="s">
        <v>4383</v>
      </c>
      <c r="B2762" s="8" t="s">
        <v>132</v>
      </c>
      <c r="C2762" s="8" t="s">
        <v>3687</v>
      </c>
      <c r="D2762" s="8">
        <v>3</v>
      </c>
      <c r="E2762" s="8" t="s">
        <v>470</v>
      </c>
      <c r="F2762" s="8" t="s">
        <v>378</v>
      </c>
      <c r="G2762" s="8" t="s">
        <v>4371</v>
      </c>
      <c r="H2762" s="10">
        <v>50</v>
      </c>
      <c r="I2762" s="10"/>
      <c r="J2762" s="10">
        <v>50</v>
      </c>
      <c r="K2762" s="10">
        <v>38.229999999999997</v>
      </c>
    </row>
    <row r="2763" spans="1:11" x14ac:dyDescent="0.25">
      <c r="A2763" s="8" t="s">
        <v>4384</v>
      </c>
      <c r="B2763" s="8" t="s">
        <v>134</v>
      </c>
      <c r="C2763" s="8" t="s">
        <v>3687</v>
      </c>
      <c r="D2763" s="8">
        <v>3</v>
      </c>
      <c r="E2763" s="8" t="s">
        <v>470</v>
      </c>
      <c r="F2763" s="8" t="s">
        <v>378</v>
      </c>
      <c r="G2763" s="8" t="s">
        <v>4371</v>
      </c>
      <c r="H2763" s="10">
        <v>50</v>
      </c>
      <c r="I2763" s="10"/>
      <c r="J2763" s="10">
        <v>50</v>
      </c>
      <c r="K2763" s="10">
        <v>38.229999999999997</v>
      </c>
    </row>
    <row r="2764" spans="1:11" x14ac:dyDescent="0.25">
      <c r="A2764" s="8" t="s">
        <v>4385</v>
      </c>
      <c r="B2764" s="8" t="s">
        <v>136</v>
      </c>
      <c r="C2764" s="8" t="s">
        <v>3687</v>
      </c>
      <c r="D2764" s="8">
        <v>3</v>
      </c>
      <c r="E2764" s="8" t="s">
        <v>470</v>
      </c>
      <c r="F2764" s="8" t="s">
        <v>378</v>
      </c>
      <c r="G2764" s="8" t="s">
        <v>4371</v>
      </c>
      <c r="H2764" s="10">
        <v>20</v>
      </c>
      <c r="I2764" s="10"/>
      <c r="J2764" s="10">
        <v>20</v>
      </c>
      <c r="K2764" s="10">
        <v>38.229999999999997</v>
      </c>
    </row>
    <row r="2765" spans="1:11" x14ac:dyDescent="0.25">
      <c r="A2765" s="8" t="s">
        <v>4386</v>
      </c>
      <c r="B2765" s="8" t="s">
        <v>1689</v>
      </c>
      <c r="C2765" s="8" t="s">
        <v>3687</v>
      </c>
      <c r="D2765" s="8">
        <v>3</v>
      </c>
      <c r="E2765" s="8" t="s">
        <v>470</v>
      </c>
      <c r="F2765" s="8" t="s">
        <v>378</v>
      </c>
      <c r="G2765" s="8" t="s">
        <v>4371</v>
      </c>
      <c r="H2765" s="10">
        <v>20</v>
      </c>
      <c r="I2765" s="10"/>
      <c r="J2765" s="10">
        <v>20</v>
      </c>
      <c r="K2765" s="10">
        <v>38.229999999999997</v>
      </c>
    </row>
    <row r="2766" spans="1:11" x14ac:dyDescent="0.25">
      <c r="A2766" s="8" t="s">
        <v>4387</v>
      </c>
      <c r="B2766" s="8" t="s">
        <v>3518</v>
      </c>
      <c r="C2766" s="8" t="s">
        <v>3687</v>
      </c>
      <c r="D2766" s="8">
        <v>3</v>
      </c>
      <c r="E2766" s="8" t="s">
        <v>470</v>
      </c>
      <c r="F2766" s="8" t="s">
        <v>378</v>
      </c>
      <c r="G2766" s="8" t="s">
        <v>4371</v>
      </c>
      <c r="H2766" s="10">
        <v>10</v>
      </c>
      <c r="I2766" s="10"/>
      <c r="J2766" s="10">
        <v>10</v>
      </c>
      <c r="K2766" s="10">
        <v>38.229999999999997</v>
      </c>
    </row>
    <row r="2767" spans="1:11" x14ac:dyDescent="0.25">
      <c r="A2767" s="8" t="s">
        <v>4388</v>
      </c>
      <c r="B2767" s="8" t="s">
        <v>138</v>
      </c>
      <c r="C2767" s="8" t="s">
        <v>3687</v>
      </c>
      <c r="D2767" s="8">
        <v>3</v>
      </c>
      <c r="E2767" s="8" t="s">
        <v>470</v>
      </c>
      <c r="F2767" s="8" t="s">
        <v>378</v>
      </c>
      <c r="G2767" s="8" t="s">
        <v>4371</v>
      </c>
      <c r="H2767" s="10">
        <v>10</v>
      </c>
      <c r="I2767" s="10"/>
      <c r="J2767" s="10">
        <v>10</v>
      </c>
      <c r="K2767" s="10">
        <v>38.229999999999997</v>
      </c>
    </row>
    <row r="2768" spans="1:11" x14ac:dyDescent="0.25">
      <c r="A2768" s="8" t="s">
        <v>4389</v>
      </c>
      <c r="B2768" s="8" t="s">
        <v>3521</v>
      </c>
      <c r="C2768" s="8" t="s">
        <v>3687</v>
      </c>
      <c r="D2768" s="8">
        <v>3</v>
      </c>
      <c r="E2768" s="8" t="s">
        <v>470</v>
      </c>
      <c r="F2768" s="8" t="s">
        <v>378</v>
      </c>
      <c r="G2768" s="8" t="s">
        <v>4371</v>
      </c>
      <c r="H2768" s="10">
        <v>10</v>
      </c>
      <c r="I2768" s="10"/>
      <c r="J2768" s="10">
        <v>10</v>
      </c>
      <c r="K2768" s="10">
        <v>38.229999999999997</v>
      </c>
    </row>
    <row r="2769" spans="1:11" x14ac:dyDescent="0.25">
      <c r="A2769" s="8" t="s">
        <v>4390</v>
      </c>
      <c r="B2769" s="8" t="s">
        <v>80</v>
      </c>
      <c r="C2769" s="8" t="s">
        <v>3687</v>
      </c>
      <c r="D2769" s="8">
        <v>3</v>
      </c>
      <c r="E2769" s="8" t="s">
        <v>470</v>
      </c>
      <c r="F2769" s="8" t="s">
        <v>378</v>
      </c>
      <c r="G2769" s="8" t="s">
        <v>4371</v>
      </c>
      <c r="H2769" s="10">
        <v>30</v>
      </c>
      <c r="I2769" s="10"/>
      <c r="J2769" s="10">
        <v>30</v>
      </c>
      <c r="K2769" s="10">
        <v>38.229999999999997</v>
      </c>
    </row>
    <row r="2770" spans="1:11" x14ac:dyDescent="0.25">
      <c r="A2770" s="8" t="s">
        <v>4391</v>
      </c>
      <c r="B2770" s="8" t="s">
        <v>118</v>
      </c>
      <c r="C2770" s="8" t="s">
        <v>3687</v>
      </c>
      <c r="D2770" s="8">
        <v>3</v>
      </c>
      <c r="E2770" s="8" t="s">
        <v>474</v>
      </c>
      <c r="F2770" s="8" t="s">
        <v>378</v>
      </c>
      <c r="G2770" s="8" t="s">
        <v>4371</v>
      </c>
      <c r="H2770" s="10">
        <v>300</v>
      </c>
      <c r="I2770" s="10"/>
      <c r="J2770" s="10">
        <v>300</v>
      </c>
      <c r="K2770" s="10">
        <v>38.229999999999997</v>
      </c>
    </row>
    <row r="2771" spans="1:11" x14ac:dyDescent="0.25">
      <c r="A2771" s="8" t="s">
        <v>4392</v>
      </c>
      <c r="B2771" s="8" t="s">
        <v>1650</v>
      </c>
      <c r="C2771" s="8" t="s">
        <v>3687</v>
      </c>
      <c r="D2771" s="8">
        <v>3</v>
      </c>
      <c r="E2771" s="8" t="s">
        <v>474</v>
      </c>
      <c r="F2771" s="8" t="s">
        <v>378</v>
      </c>
      <c r="G2771" s="8" t="s">
        <v>4371</v>
      </c>
      <c r="H2771" s="10">
        <v>250</v>
      </c>
      <c r="I2771" s="10"/>
      <c r="J2771" s="10">
        <v>250</v>
      </c>
      <c r="K2771" s="10">
        <v>38.229999999999997</v>
      </c>
    </row>
    <row r="2772" spans="1:11" x14ac:dyDescent="0.25">
      <c r="A2772" s="8" t="s">
        <v>4393</v>
      </c>
      <c r="B2772" s="8" t="s">
        <v>120</v>
      </c>
      <c r="C2772" s="8" t="s">
        <v>3687</v>
      </c>
      <c r="D2772" s="8">
        <v>3</v>
      </c>
      <c r="E2772" s="8" t="s">
        <v>474</v>
      </c>
      <c r="F2772" s="8" t="s">
        <v>378</v>
      </c>
      <c r="G2772" s="8" t="s">
        <v>4371</v>
      </c>
      <c r="H2772" s="10">
        <v>50</v>
      </c>
      <c r="I2772" s="10"/>
      <c r="J2772" s="10">
        <v>50</v>
      </c>
      <c r="K2772" s="10">
        <v>38.229999999999997</v>
      </c>
    </row>
    <row r="2773" spans="1:11" x14ac:dyDescent="0.25">
      <c r="A2773" s="8" t="s">
        <v>4394</v>
      </c>
      <c r="B2773" s="8" t="s">
        <v>120</v>
      </c>
      <c r="C2773" s="8" t="s">
        <v>3687</v>
      </c>
      <c r="D2773" s="8">
        <v>3</v>
      </c>
      <c r="E2773" s="8" t="s">
        <v>474</v>
      </c>
      <c r="F2773" s="8" t="s">
        <v>378</v>
      </c>
      <c r="G2773" s="8" t="s">
        <v>4371</v>
      </c>
      <c r="H2773" s="10">
        <v>50</v>
      </c>
      <c r="I2773" s="10"/>
      <c r="J2773" s="10">
        <v>50</v>
      </c>
      <c r="K2773" s="10">
        <v>38.229999999999997</v>
      </c>
    </row>
    <row r="2774" spans="1:11" x14ac:dyDescent="0.25">
      <c r="A2774" s="8" t="s">
        <v>4395</v>
      </c>
      <c r="B2774" s="8" t="s">
        <v>122</v>
      </c>
      <c r="C2774" s="8" t="s">
        <v>3687</v>
      </c>
      <c r="D2774" s="8">
        <v>3</v>
      </c>
      <c r="E2774" s="8" t="s">
        <v>474</v>
      </c>
      <c r="F2774" s="8" t="s">
        <v>378</v>
      </c>
      <c r="G2774" s="8" t="s">
        <v>4371</v>
      </c>
      <c r="H2774" s="10">
        <v>50</v>
      </c>
      <c r="I2774" s="10"/>
      <c r="J2774" s="10">
        <v>50</v>
      </c>
      <c r="K2774" s="10">
        <v>38.229999999999997</v>
      </c>
    </row>
    <row r="2775" spans="1:11" x14ac:dyDescent="0.25">
      <c r="A2775" s="8" t="s">
        <v>4396</v>
      </c>
      <c r="B2775" s="8" t="s">
        <v>124</v>
      </c>
      <c r="C2775" s="8" t="s">
        <v>3687</v>
      </c>
      <c r="D2775" s="8">
        <v>3</v>
      </c>
      <c r="E2775" s="8" t="s">
        <v>474</v>
      </c>
      <c r="F2775" s="8" t="s">
        <v>378</v>
      </c>
      <c r="G2775" s="8" t="s">
        <v>4371</v>
      </c>
      <c r="H2775" s="10">
        <v>50</v>
      </c>
      <c r="I2775" s="10"/>
      <c r="J2775" s="10">
        <v>50</v>
      </c>
      <c r="K2775" s="10">
        <v>38.229999999999997</v>
      </c>
    </row>
    <row r="2776" spans="1:11" x14ac:dyDescent="0.25">
      <c r="A2776" s="8" t="s">
        <v>4397</v>
      </c>
      <c r="B2776" s="8" t="s">
        <v>78</v>
      </c>
      <c r="C2776" s="8" t="s">
        <v>3687</v>
      </c>
      <c r="D2776" s="8">
        <v>3</v>
      </c>
      <c r="E2776" s="8" t="s">
        <v>474</v>
      </c>
      <c r="F2776" s="8" t="s">
        <v>378</v>
      </c>
      <c r="G2776" s="8" t="s">
        <v>4371</v>
      </c>
      <c r="H2776" s="10">
        <v>50</v>
      </c>
      <c r="I2776" s="10"/>
      <c r="J2776" s="10">
        <v>50</v>
      </c>
      <c r="K2776" s="10">
        <v>38.229999999999997</v>
      </c>
    </row>
    <row r="2777" spans="1:11" x14ac:dyDescent="0.25">
      <c r="A2777" s="8" t="s">
        <v>4398</v>
      </c>
      <c r="B2777" s="8" t="s">
        <v>1655</v>
      </c>
      <c r="C2777" s="8" t="s">
        <v>3687</v>
      </c>
      <c r="D2777" s="8">
        <v>3</v>
      </c>
      <c r="E2777" s="8" t="s">
        <v>474</v>
      </c>
      <c r="F2777" s="8" t="s">
        <v>378</v>
      </c>
      <c r="G2777" s="8" t="s">
        <v>4371</v>
      </c>
      <c r="H2777" s="10">
        <v>250</v>
      </c>
      <c r="I2777" s="10"/>
      <c r="J2777" s="10">
        <v>250</v>
      </c>
      <c r="K2777" s="10">
        <v>38.229999999999997</v>
      </c>
    </row>
    <row r="2778" spans="1:11" x14ac:dyDescent="0.25">
      <c r="A2778" s="8" t="s">
        <v>4399</v>
      </c>
      <c r="B2778" s="8" t="s">
        <v>130</v>
      </c>
      <c r="C2778" s="8" t="s">
        <v>3687</v>
      </c>
      <c r="D2778" s="8">
        <v>3</v>
      </c>
      <c r="E2778" s="8" t="s">
        <v>474</v>
      </c>
      <c r="F2778" s="8" t="s">
        <v>378</v>
      </c>
      <c r="G2778" s="8" t="s">
        <v>4371</v>
      </c>
      <c r="H2778" s="10">
        <v>10</v>
      </c>
      <c r="I2778" s="10"/>
      <c r="J2778" s="10">
        <v>10</v>
      </c>
      <c r="K2778" s="10">
        <v>38.229999999999997</v>
      </c>
    </row>
    <row r="2779" spans="1:11" x14ac:dyDescent="0.25">
      <c r="A2779" s="8" t="s">
        <v>4400</v>
      </c>
      <c r="B2779" s="8" t="s">
        <v>132</v>
      </c>
      <c r="C2779" s="8" t="s">
        <v>3687</v>
      </c>
      <c r="D2779" s="8">
        <v>3</v>
      </c>
      <c r="E2779" s="8" t="s">
        <v>474</v>
      </c>
      <c r="F2779" s="8" t="s">
        <v>378</v>
      </c>
      <c r="G2779" s="8" t="s">
        <v>4371</v>
      </c>
      <c r="H2779" s="10">
        <v>50</v>
      </c>
      <c r="I2779" s="10"/>
      <c r="J2779" s="10">
        <v>50</v>
      </c>
      <c r="K2779" s="10">
        <v>38.229999999999997</v>
      </c>
    </row>
    <row r="2780" spans="1:11" x14ac:dyDescent="0.25">
      <c r="A2780" s="8" t="s">
        <v>4401</v>
      </c>
      <c r="B2780" s="8" t="s">
        <v>134</v>
      </c>
      <c r="C2780" s="8" t="s">
        <v>3687</v>
      </c>
      <c r="D2780" s="8">
        <v>3</v>
      </c>
      <c r="E2780" s="8" t="s">
        <v>474</v>
      </c>
      <c r="F2780" s="8" t="s">
        <v>378</v>
      </c>
      <c r="G2780" s="8" t="s">
        <v>4371</v>
      </c>
      <c r="H2780" s="10">
        <v>50</v>
      </c>
      <c r="I2780" s="10"/>
      <c r="J2780" s="10">
        <v>50</v>
      </c>
      <c r="K2780" s="10">
        <v>38.229999999999997</v>
      </c>
    </row>
    <row r="2781" spans="1:11" x14ac:dyDescent="0.25">
      <c r="A2781" s="8" t="s">
        <v>4402</v>
      </c>
      <c r="B2781" s="8" t="s">
        <v>136</v>
      </c>
      <c r="C2781" s="8" t="s">
        <v>3687</v>
      </c>
      <c r="D2781" s="8">
        <v>3</v>
      </c>
      <c r="E2781" s="8" t="s">
        <v>474</v>
      </c>
      <c r="F2781" s="8" t="s">
        <v>378</v>
      </c>
      <c r="G2781" s="8" t="s">
        <v>4371</v>
      </c>
      <c r="H2781" s="10">
        <v>20</v>
      </c>
      <c r="I2781" s="10"/>
      <c r="J2781" s="10">
        <v>20</v>
      </c>
      <c r="K2781" s="10">
        <v>38.229999999999997</v>
      </c>
    </row>
    <row r="2782" spans="1:11" x14ac:dyDescent="0.25">
      <c r="A2782" s="8" t="s">
        <v>4403</v>
      </c>
      <c r="B2782" s="8" t="s">
        <v>1689</v>
      </c>
      <c r="C2782" s="8" t="s">
        <v>3687</v>
      </c>
      <c r="D2782" s="8">
        <v>3</v>
      </c>
      <c r="E2782" s="8" t="s">
        <v>474</v>
      </c>
      <c r="F2782" s="8" t="s">
        <v>378</v>
      </c>
      <c r="G2782" s="8" t="s">
        <v>4371</v>
      </c>
      <c r="H2782" s="10">
        <v>50</v>
      </c>
      <c r="I2782" s="10"/>
      <c r="J2782" s="10">
        <v>50</v>
      </c>
      <c r="K2782" s="10">
        <v>38.229999999999997</v>
      </c>
    </row>
    <row r="2783" spans="1:11" x14ac:dyDescent="0.25">
      <c r="A2783" s="8" t="s">
        <v>4404</v>
      </c>
      <c r="B2783" s="8" t="s">
        <v>3518</v>
      </c>
      <c r="C2783" s="8" t="s">
        <v>3687</v>
      </c>
      <c r="D2783" s="8">
        <v>3</v>
      </c>
      <c r="E2783" s="8" t="s">
        <v>474</v>
      </c>
      <c r="F2783" s="8" t="s">
        <v>378</v>
      </c>
      <c r="G2783" s="8" t="s">
        <v>4371</v>
      </c>
      <c r="H2783" s="10">
        <v>30</v>
      </c>
      <c r="I2783" s="10"/>
      <c r="J2783" s="10">
        <v>30</v>
      </c>
      <c r="K2783" s="10">
        <v>38.229999999999997</v>
      </c>
    </row>
    <row r="2784" spans="1:11" x14ac:dyDescent="0.25">
      <c r="A2784" s="8" t="s">
        <v>4405</v>
      </c>
      <c r="B2784" s="8" t="s">
        <v>138</v>
      </c>
      <c r="C2784" s="8" t="s">
        <v>3687</v>
      </c>
      <c r="D2784" s="8">
        <v>3</v>
      </c>
      <c r="E2784" s="8" t="s">
        <v>474</v>
      </c>
      <c r="F2784" s="8" t="s">
        <v>378</v>
      </c>
      <c r="G2784" s="8" t="s">
        <v>4371</v>
      </c>
      <c r="H2784" s="10">
        <v>10</v>
      </c>
      <c r="I2784" s="10"/>
      <c r="J2784" s="10">
        <v>10</v>
      </c>
      <c r="K2784" s="10">
        <v>38.229999999999997</v>
      </c>
    </row>
    <row r="2785" spans="1:11" x14ac:dyDescent="0.25">
      <c r="A2785" s="8" t="s">
        <v>4406</v>
      </c>
      <c r="B2785" s="8" t="s">
        <v>3521</v>
      </c>
      <c r="C2785" s="8" t="s">
        <v>3687</v>
      </c>
      <c r="D2785" s="8">
        <v>3</v>
      </c>
      <c r="E2785" s="8" t="s">
        <v>474</v>
      </c>
      <c r="F2785" s="8" t="s">
        <v>378</v>
      </c>
      <c r="G2785" s="8" t="s">
        <v>4371</v>
      </c>
      <c r="H2785" s="10">
        <v>30</v>
      </c>
      <c r="I2785" s="10"/>
      <c r="J2785" s="10">
        <v>30</v>
      </c>
      <c r="K2785" s="10">
        <v>38.229999999999997</v>
      </c>
    </row>
    <row r="2786" spans="1:11" x14ac:dyDescent="0.25">
      <c r="A2786" s="8" t="s">
        <v>4407</v>
      </c>
      <c r="B2786" s="8" t="s">
        <v>80</v>
      </c>
      <c r="C2786" s="8" t="s">
        <v>3687</v>
      </c>
      <c r="D2786" s="8">
        <v>3</v>
      </c>
      <c r="E2786" s="8" t="s">
        <v>474</v>
      </c>
      <c r="F2786" s="8" t="s">
        <v>378</v>
      </c>
      <c r="G2786" s="8" t="s">
        <v>4371</v>
      </c>
      <c r="H2786" s="10">
        <v>10</v>
      </c>
      <c r="I2786" s="10"/>
      <c r="J2786" s="10">
        <v>10</v>
      </c>
      <c r="K2786" s="10">
        <v>38.229999999999997</v>
      </c>
    </row>
    <row r="2787" spans="1:11" x14ac:dyDescent="0.25">
      <c r="A2787" s="8" t="s">
        <v>4408</v>
      </c>
      <c r="B2787" s="8" t="s">
        <v>116</v>
      </c>
      <c r="C2787" s="8" t="s">
        <v>3687</v>
      </c>
      <c r="D2787" s="8">
        <v>3</v>
      </c>
      <c r="E2787" s="8" t="s">
        <v>4409</v>
      </c>
      <c r="F2787" s="8" t="s">
        <v>378</v>
      </c>
      <c r="G2787" s="8" t="s">
        <v>4371</v>
      </c>
      <c r="H2787" s="10">
        <v>300</v>
      </c>
      <c r="I2787" s="10"/>
      <c r="J2787" s="10">
        <v>300</v>
      </c>
      <c r="K2787" s="10">
        <v>38.229999999999997</v>
      </c>
    </row>
    <row r="2788" spans="1:11" x14ac:dyDescent="0.25">
      <c r="A2788" s="8" t="s">
        <v>4410</v>
      </c>
      <c r="B2788" s="8" t="s">
        <v>118</v>
      </c>
      <c r="C2788" s="8" t="s">
        <v>3687</v>
      </c>
      <c r="D2788" s="8">
        <v>3</v>
      </c>
      <c r="E2788" s="8" t="s">
        <v>4409</v>
      </c>
      <c r="F2788" s="8" t="s">
        <v>378</v>
      </c>
      <c r="G2788" s="8" t="s">
        <v>4371</v>
      </c>
      <c r="H2788" s="10">
        <v>300</v>
      </c>
      <c r="I2788" s="10"/>
      <c r="J2788" s="10">
        <v>300</v>
      </c>
      <c r="K2788" s="10">
        <v>38.229999999999997</v>
      </c>
    </row>
    <row r="2789" spans="1:11" x14ac:dyDescent="0.25">
      <c r="A2789" s="8" t="s">
        <v>4411</v>
      </c>
      <c r="B2789" s="8" t="s">
        <v>1650</v>
      </c>
      <c r="C2789" s="8" t="s">
        <v>3687</v>
      </c>
      <c r="D2789" s="8">
        <v>3</v>
      </c>
      <c r="E2789" s="8" t="s">
        <v>4409</v>
      </c>
      <c r="F2789" s="8" t="s">
        <v>378</v>
      </c>
      <c r="G2789" s="8" t="s">
        <v>4371</v>
      </c>
      <c r="H2789" s="10">
        <v>250</v>
      </c>
      <c r="I2789" s="10"/>
      <c r="J2789" s="10">
        <v>250</v>
      </c>
      <c r="K2789" s="10">
        <v>38.229999999999997</v>
      </c>
    </row>
    <row r="2790" spans="1:11" x14ac:dyDescent="0.25">
      <c r="A2790" s="8" t="s">
        <v>4412</v>
      </c>
      <c r="B2790" s="8" t="s">
        <v>120</v>
      </c>
      <c r="C2790" s="8" t="s">
        <v>3687</v>
      </c>
      <c r="D2790" s="8">
        <v>3</v>
      </c>
      <c r="E2790" s="8" t="s">
        <v>4409</v>
      </c>
      <c r="F2790" s="8" t="s">
        <v>378</v>
      </c>
      <c r="G2790" s="8" t="s">
        <v>4371</v>
      </c>
      <c r="H2790" s="10">
        <v>1500</v>
      </c>
      <c r="I2790" s="10"/>
      <c r="J2790" s="10">
        <v>1500</v>
      </c>
      <c r="K2790" s="10">
        <v>38.229999999999997</v>
      </c>
    </row>
    <row r="2791" spans="1:11" x14ac:dyDescent="0.25">
      <c r="A2791" s="8" t="s">
        <v>4413</v>
      </c>
      <c r="B2791" s="8" t="s">
        <v>120</v>
      </c>
      <c r="C2791" s="8" t="s">
        <v>3687</v>
      </c>
      <c r="D2791" s="8">
        <v>3</v>
      </c>
      <c r="E2791" s="8" t="s">
        <v>4409</v>
      </c>
      <c r="F2791" s="8" t="s">
        <v>378</v>
      </c>
      <c r="G2791" s="8" t="s">
        <v>4371</v>
      </c>
      <c r="H2791" s="10">
        <v>500</v>
      </c>
      <c r="I2791" s="10"/>
      <c r="J2791" s="10">
        <v>500</v>
      </c>
      <c r="K2791" s="10">
        <v>38.229999999999997</v>
      </c>
    </row>
    <row r="2792" spans="1:11" x14ac:dyDescent="0.25">
      <c r="A2792" s="8" t="s">
        <v>4414</v>
      </c>
      <c r="B2792" s="8" t="s">
        <v>122</v>
      </c>
      <c r="C2792" s="8" t="s">
        <v>3687</v>
      </c>
      <c r="D2792" s="8">
        <v>3</v>
      </c>
      <c r="E2792" s="8" t="s">
        <v>4409</v>
      </c>
      <c r="F2792" s="8" t="s">
        <v>378</v>
      </c>
      <c r="G2792" s="8" t="s">
        <v>4371</v>
      </c>
      <c r="H2792" s="10">
        <v>400</v>
      </c>
      <c r="I2792" s="10"/>
      <c r="J2792" s="10">
        <v>400</v>
      </c>
      <c r="K2792" s="10">
        <v>38.229999999999997</v>
      </c>
    </row>
    <row r="2793" spans="1:11" x14ac:dyDescent="0.25">
      <c r="A2793" s="8" t="s">
        <v>4415</v>
      </c>
      <c r="B2793" s="8" t="s">
        <v>124</v>
      </c>
      <c r="C2793" s="8" t="s">
        <v>3687</v>
      </c>
      <c r="D2793" s="8">
        <v>3</v>
      </c>
      <c r="E2793" s="8" t="s">
        <v>4409</v>
      </c>
      <c r="F2793" s="8" t="s">
        <v>378</v>
      </c>
      <c r="G2793" s="8" t="s">
        <v>4371</v>
      </c>
      <c r="H2793" s="10">
        <v>1000</v>
      </c>
      <c r="I2793" s="10"/>
      <c r="J2793" s="10">
        <v>1000</v>
      </c>
      <c r="K2793" s="10">
        <v>38.229999999999997</v>
      </c>
    </row>
    <row r="2794" spans="1:11" x14ac:dyDescent="0.25">
      <c r="A2794" s="8" t="s">
        <v>4416</v>
      </c>
      <c r="B2794" s="8" t="s">
        <v>78</v>
      </c>
      <c r="C2794" s="8" t="s">
        <v>3687</v>
      </c>
      <c r="D2794" s="8">
        <v>3</v>
      </c>
      <c r="E2794" s="8" t="s">
        <v>4409</v>
      </c>
      <c r="F2794" s="8" t="s">
        <v>378</v>
      </c>
      <c r="G2794" s="8" t="s">
        <v>4371</v>
      </c>
      <c r="H2794" s="10">
        <v>300</v>
      </c>
      <c r="I2794" s="10"/>
      <c r="J2794" s="10">
        <v>300</v>
      </c>
      <c r="K2794" s="10">
        <v>38.229999999999997</v>
      </c>
    </row>
    <row r="2795" spans="1:11" x14ac:dyDescent="0.25">
      <c r="A2795" s="8" t="s">
        <v>4417</v>
      </c>
      <c r="B2795" s="8" t="s">
        <v>1655</v>
      </c>
      <c r="C2795" s="8" t="s">
        <v>3687</v>
      </c>
      <c r="D2795" s="8">
        <v>3</v>
      </c>
      <c r="E2795" s="8" t="s">
        <v>4409</v>
      </c>
      <c r="F2795" s="8" t="s">
        <v>378</v>
      </c>
      <c r="G2795" s="8" t="s">
        <v>4371</v>
      </c>
      <c r="H2795" s="10">
        <v>250</v>
      </c>
      <c r="I2795" s="10"/>
      <c r="J2795" s="10">
        <v>250</v>
      </c>
      <c r="K2795" s="10">
        <v>38.229999999999997</v>
      </c>
    </row>
    <row r="2796" spans="1:11" x14ac:dyDescent="0.25">
      <c r="A2796" s="8" t="s">
        <v>4418</v>
      </c>
      <c r="B2796" s="8" t="s">
        <v>128</v>
      </c>
      <c r="C2796" s="8" t="s">
        <v>3687</v>
      </c>
      <c r="D2796" s="8">
        <v>3</v>
      </c>
      <c r="E2796" s="8" t="s">
        <v>4409</v>
      </c>
      <c r="F2796" s="8" t="s">
        <v>378</v>
      </c>
      <c r="G2796" s="8" t="s">
        <v>4371</v>
      </c>
      <c r="H2796" s="10">
        <v>150</v>
      </c>
      <c r="I2796" s="10"/>
      <c r="J2796" s="10">
        <v>150</v>
      </c>
      <c r="K2796" s="10">
        <v>38.229999999999997</v>
      </c>
    </row>
    <row r="2797" spans="1:11" x14ac:dyDescent="0.25">
      <c r="A2797" s="8" t="s">
        <v>4419</v>
      </c>
      <c r="B2797" s="8" t="s">
        <v>130</v>
      </c>
      <c r="C2797" s="8" t="s">
        <v>3687</v>
      </c>
      <c r="D2797" s="8">
        <v>3</v>
      </c>
      <c r="E2797" s="8" t="s">
        <v>4409</v>
      </c>
      <c r="F2797" s="8" t="s">
        <v>378</v>
      </c>
      <c r="G2797" s="8" t="s">
        <v>4371</v>
      </c>
      <c r="H2797" s="10">
        <v>100</v>
      </c>
      <c r="I2797" s="10"/>
      <c r="J2797" s="10">
        <v>100</v>
      </c>
      <c r="K2797" s="10">
        <v>38.229999999999997</v>
      </c>
    </row>
    <row r="2798" spans="1:11" x14ac:dyDescent="0.25">
      <c r="A2798" s="8" t="s">
        <v>4420</v>
      </c>
      <c r="B2798" s="8" t="s">
        <v>132</v>
      </c>
      <c r="C2798" s="8" t="s">
        <v>3687</v>
      </c>
      <c r="D2798" s="8">
        <v>3</v>
      </c>
      <c r="E2798" s="8" t="s">
        <v>4409</v>
      </c>
      <c r="F2798" s="8" t="s">
        <v>378</v>
      </c>
      <c r="G2798" s="8" t="s">
        <v>4371</v>
      </c>
      <c r="H2798" s="10">
        <v>200</v>
      </c>
      <c r="I2798" s="10"/>
      <c r="J2798" s="10">
        <v>200</v>
      </c>
      <c r="K2798" s="10">
        <v>38.229999999999997</v>
      </c>
    </row>
    <row r="2799" spans="1:11" x14ac:dyDescent="0.25">
      <c r="A2799" s="8" t="s">
        <v>4421</v>
      </c>
      <c r="B2799" s="8" t="s">
        <v>134</v>
      </c>
      <c r="C2799" s="8" t="s">
        <v>3687</v>
      </c>
      <c r="D2799" s="8">
        <v>3</v>
      </c>
      <c r="E2799" s="8" t="s">
        <v>4409</v>
      </c>
      <c r="F2799" s="8" t="s">
        <v>378</v>
      </c>
      <c r="G2799" s="8" t="s">
        <v>4371</v>
      </c>
      <c r="H2799" s="10">
        <v>200</v>
      </c>
      <c r="I2799" s="10"/>
      <c r="J2799" s="10">
        <v>200</v>
      </c>
      <c r="K2799" s="10">
        <v>38.229999999999997</v>
      </c>
    </row>
    <row r="2800" spans="1:11" x14ac:dyDescent="0.25">
      <c r="A2800" s="8" t="s">
        <v>4422</v>
      </c>
      <c r="B2800" s="8" t="s">
        <v>136</v>
      </c>
      <c r="C2800" s="8" t="s">
        <v>3687</v>
      </c>
      <c r="D2800" s="8">
        <v>3</v>
      </c>
      <c r="E2800" s="8" t="s">
        <v>4409</v>
      </c>
      <c r="F2800" s="8" t="s">
        <v>378</v>
      </c>
      <c r="G2800" s="8" t="s">
        <v>4371</v>
      </c>
      <c r="H2800" s="10">
        <v>150</v>
      </c>
      <c r="I2800" s="10"/>
      <c r="J2800" s="10">
        <v>150</v>
      </c>
      <c r="K2800" s="10">
        <v>38.229999999999997</v>
      </c>
    </row>
    <row r="2801" spans="1:11" x14ac:dyDescent="0.25">
      <c r="A2801" s="8" t="s">
        <v>4423</v>
      </c>
      <c r="B2801" s="8" t="s">
        <v>1689</v>
      </c>
      <c r="C2801" s="8" t="s">
        <v>3687</v>
      </c>
      <c r="D2801" s="8">
        <v>3</v>
      </c>
      <c r="E2801" s="8" t="s">
        <v>4409</v>
      </c>
      <c r="F2801" s="8" t="s">
        <v>378</v>
      </c>
      <c r="G2801" s="8" t="s">
        <v>4371</v>
      </c>
      <c r="H2801" s="10">
        <v>50</v>
      </c>
      <c r="I2801" s="10"/>
      <c r="J2801" s="10">
        <v>50</v>
      </c>
      <c r="K2801" s="10">
        <v>38.229999999999997</v>
      </c>
    </row>
    <row r="2802" spans="1:11" x14ac:dyDescent="0.25">
      <c r="A2802" s="8" t="s">
        <v>4424</v>
      </c>
      <c r="B2802" s="8" t="s">
        <v>3518</v>
      </c>
      <c r="C2802" s="8" t="s">
        <v>3687</v>
      </c>
      <c r="D2802" s="8">
        <v>3</v>
      </c>
      <c r="E2802" s="8" t="s">
        <v>4409</v>
      </c>
      <c r="F2802" s="8" t="s">
        <v>378</v>
      </c>
      <c r="G2802" s="8" t="s">
        <v>4371</v>
      </c>
      <c r="H2802" s="10">
        <v>10</v>
      </c>
      <c r="I2802" s="10"/>
      <c r="J2802" s="10">
        <v>10</v>
      </c>
      <c r="K2802" s="10">
        <v>38.229999999999997</v>
      </c>
    </row>
    <row r="2803" spans="1:11" x14ac:dyDescent="0.25">
      <c r="A2803" s="8" t="s">
        <v>4425</v>
      </c>
      <c r="B2803" s="8" t="s">
        <v>138</v>
      </c>
      <c r="C2803" s="8" t="s">
        <v>3687</v>
      </c>
      <c r="D2803" s="8">
        <v>3</v>
      </c>
      <c r="E2803" s="8" t="s">
        <v>4409</v>
      </c>
      <c r="F2803" s="8" t="s">
        <v>378</v>
      </c>
      <c r="G2803" s="8" t="s">
        <v>4371</v>
      </c>
      <c r="H2803" s="10">
        <v>100</v>
      </c>
      <c r="I2803" s="10"/>
      <c r="J2803" s="10">
        <v>100</v>
      </c>
      <c r="K2803" s="10">
        <v>38.229999999999997</v>
      </c>
    </row>
    <row r="2804" spans="1:11" x14ac:dyDescent="0.25">
      <c r="A2804" s="8" t="s">
        <v>4426</v>
      </c>
      <c r="B2804" s="8" t="s">
        <v>3521</v>
      </c>
      <c r="C2804" s="8" t="s">
        <v>3687</v>
      </c>
      <c r="D2804" s="8">
        <v>3</v>
      </c>
      <c r="E2804" s="8" t="s">
        <v>4409</v>
      </c>
      <c r="F2804" s="8" t="s">
        <v>378</v>
      </c>
      <c r="G2804" s="8" t="s">
        <v>4371</v>
      </c>
      <c r="H2804" s="10">
        <v>30</v>
      </c>
      <c r="I2804" s="10"/>
      <c r="J2804" s="10">
        <v>30</v>
      </c>
      <c r="K2804" s="10">
        <v>38.229999999999997</v>
      </c>
    </row>
    <row r="2805" spans="1:11" x14ac:dyDescent="0.25">
      <c r="A2805" s="8" t="s">
        <v>4427</v>
      </c>
      <c r="B2805" s="8" t="s">
        <v>80</v>
      </c>
      <c r="C2805" s="8" t="s">
        <v>3687</v>
      </c>
      <c r="D2805" s="8">
        <v>3</v>
      </c>
      <c r="E2805" s="8" t="s">
        <v>4409</v>
      </c>
      <c r="F2805" s="8" t="s">
        <v>378</v>
      </c>
      <c r="G2805" s="8" t="s">
        <v>4371</v>
      </c>
      <c r="H2805" s="10">
        <v>150</v>
      </c>
      <c r="I2805" s="10"/>
      <c r="J2805" s="10">
        <v>150</v>
      </c>
      <c r="K2805" s="10">
        <v>38.229999999999997</v>
      </c>
    </row>
    <row r="2806" spans="1:11" x14ac:dyDescent="0.25">
      <c r="A2806" s="8" t="s">
        <v>4428</v>
      </c>
      <c r="B2806" s="8" t="s">
        <v>116</v>
      </c>
      <c r="C2806" s="8" t="s">
        <v>3687</v>
      </c>
      <c r="D2806" s="8">
        <v>3</v>
      </c>
      <c r="E2806" s="8" t="s">
        <v>4429</v>
      </c>
      <c r="F2806" s="8" t="s">
        <v>378</v>
      </c>
      <c r="G2806" s="8" t="s">
        <v>4371</v>
      </c>
      <c r="H2806" s="10">
        <v>500</v>
      </c>
      <c r="I2806" s="10"/>
      <c r="J2806" s="10">
        <v>500</v>
      </c>
      <c r="K2806" s="10">
        <v>38.229999999999997</v>
      </c>
    </row>
    <row r="2807" spans="1:11" x14ac:dyDescent="0.25">
      <c r="A2807" s="8" t="s">
        <v>4430</v>
      </c>
      <c r="B2807" s="8" t="s">
        <v>116</v>
      </c>
      <c r="C2807" s="8" t="s">
        <v>3687</v>
      </c>
      <c r="D2807" s="8">
        <v>3</v>
      </c>
      <c r="E2807" s="8" t="s">
        <v>4429</v>
      </c>
      <c r="F2807" s="8" t="s">
        <v>378</v>
      </c>
      <c r="G2807" s="8" t="s">
        <v>4371</v>
      </c>
      <c r="H2807" s="10">
        <v>100</v>
      </c>
      <c r="I2807" s="10"/>
      <c r="J2807" s="10">
        <v>100</v>
      </c>
      <c r="K2807" s="10">
        <v>38.229999999999997</v>
      </c>
    </row>
    <row r="2808" spans="1:11" x14ac:dyDescent="0.25">
      <c r="A2808" s="8" t="s">
        <v>4431</v>
      </c>
      <c r="B2808" s="8" t="s">
        <v>118</v>
      </c>
      <c r="C2808" s="8" t="s">
        <v>3687</v>
      </c>
      <c r="D2808" s="8">
        <v>3</v>
      </c>
      <c r="E2808" s="8" t="s">
        <v>4429</v>
      </c>
      <c r="F2808" s="8" t="s">
        <v>378</v>
      </c>
      <c r="G2808" s="8" t="s">
        <v>4371</v>
      </c>
      <c r="H2808" s="10">
        <v>500</v>
      </c>
      <c r="I2808" s="10"/>
      <c r="J2808" s="10">
        <v>500</v>
      </c>
      <c r="K2808" s="10">
        <v>38.229999999999997</v>
      </c>
    </row>
    <row r="2809" spans="1:11" x14ac:dyDescent="0.25">
      <c r="A2809" s="8" t="s">
        <v>4432</v>
      </c>
      <c r="B2809" s="8" t="s">
        <v>1650</v>
      </c>
      <c r="C2809" s="8" t="s">
        <v>3687</v>
      </c>
      <c r="D2809" s="8">
        <v>3</v>
      </c>
      <c r="E2809" s="8" t="s">
        <v>4429</v>
      </c>
      <c r="F2809" s="8" t="s">
        <v>378</v>
      </c>
      <c r="G2809" s="8" t="s">
        <v>4371</v>
      </c>
      <c r="H2809" s="10">
        <v>300</v>
      </c>
      <c r="I2809" s="10"/>
      <c r="J2809" s="10">
        <v>300</v>
      </c>
      <c r="K2809" s="10">
        <v>38.229999999999997</v>
      </c>
    </row>
    <row r="2810" spans="1:11" x14ac:dyDescent="0.25">
      <c r="A2810" s="8" t="s">
        <v>4433</v>
      </c>
      <c r="B2810" s="8" t="s">
        <v>120</v>
      </c>
      <c r="C2810" s="8" t="s">
        <v>3687</v>
      </c>
      <c r="D2810" s="8">
        <v>3</v>
      </c>
      <c r="E2810" s="8" t="s">
        <v>4429</v>
      </c>
      <c r="F2810" s="8" t="s">
        <v>378</v>
      </c>
      <c r="G2810" s="8" t="s">
        <v>4371</v>
      </c>
      <c r="H2810" s="10">
        <v>50</v>
      </c>
      <c r="I2810" s="10"/>
      <c r="J2810" s="10">
        <v>50</v>
      </c>
      <c r="K2810" s="10">
        <v>38.229999999999997</v>
      </c>
    </row>
    <row r="2811" spans="1:11" x14ac:dyDescent="0.25">
      <c r="A2811" s="8" t="s">
        <v>4434</v>
      </c>
      <c r="B2811" s="8" t="s">
        <v>120</v>
      </c>
      <c r="C2811" s="8" t="s">
        <v>3687</v>
      </c>
      <c r="D2811" s="8">
        <v>3</v>
      </c>
      <c r="E2811" s="8" t="s">
        <v>4429</v>
      </c>
      <c r="F2811" s="8" t="s">
        <v>378</v>
      </c>
      <c r="G2811" s="8" t="s">
        <v>4371</v>
      </c>
      <c r="H2811" s="10">
        <v>500</v>
      </c>
      <c r="I2811" s="10"/>
      <c r="J2811" s="10">
        <v>500</v>
      </c>
      <c r="K2811" s="10">
        <v>38.229999999999997</v>
      </c>
    </row>
    <row r="2812" spans="1:11" x14ac:dyDescent="0.25">
      <c r="A2812" s="8" t="s">
        <v>4435</v>
      </c>
      <c r="B2812" s="8" t="s">
        <v>122</v>
      </c>
      <c r="C2812" s="8" t="s">
        <v>3687</v>
      </c>
      <c r="D2812" s="8">
        <v>3</v>
      </c>
      <c r="E2812" s="8" t="s">
        <v>4429</v>
      </c>
      <c r="F2812" s="8" t="s">
        <v>378</v>
      </c>
      <c r="G2812" s="8" t="s">
        <v>4371</v>
      </c>
      <c r="H2812" s="10">
        <v>500</v>
      </c>
      <c r="I2812" s="10"/>
      <c r="J2812" s="10">
        <v>500</v>
      </c>
      <c r="K2812" s="10">
        <v>38.229999999999997</v>
      </c>
    </row>
    <row r="2813" spans="1:11" x14ac:dyDescent="0.25">
      <c r="A2813" s="8" t="s">
        <v>4436</v>
      </c>
      <c r="B2813" s="8" t="s">
        <v>124</v>
      </c>
      <c r="C2813" s="8" t="s">
        <v>3687</v>
      </c>
      <c r="D2813" s="8">
        <v>3</v>
      </c>
      <c r="E2813" s="8" t="s">
        <v>4429</v>
      </c>
      <c r="F2813" s="8" t="s">
        <v>378</v>
      </c>
      <c r="G2813" s="8" t="s">
        <v>4371</v>
      </c>
      <c r="H2813" s="10">
        <v>500</v>
      </c>
      <c r="I2813" s="10"/>
      <c r="J2813" s="10">
        <v>500</v>
      </c>
      <c r="K2813" s="10">
        <v>38.229999999999997</v>
      </c>
    </row>
    <row r="2814" spans="1:11" x14ac:dyDescent="0.25">
      <c r="A2814" s="8" t="s">
        <v>4437</v>
      </c>
      <c r="B2814" s="8" t="s">
        <v>78</v>
      </c>
      <c r="C2814" s="8" t="s">
        <v>3687</v>
      </c>
      <c r="D2814" s="8">
        <v>3</v>
      </c>
      <c r="E2814" s="8" t="s">
        <v>4429</v>
      </c>
      <c r="F2814" s="8" t="s">
        <v>378</v>
      </c>
      <c r="G2814" s="8" t="s">
        <v>4371</v>
      </c>
      <c r="H2814" s="10">
        <v>500</v>
      </c>
      <c r="I2814" s="10"/>
      <c r="J2814" s="10">
        <v>500</v>
      </c>
      <c r="K2814" s="10">
        <v>38.229999999999997</v>
      </c>
    </row>
    <row r="2815" spans="1:11" x14ac:dyDescent="0.25">
      <c r="A2815" s="8" t="s">
        <v>4438</v>
      </c>
      <c r="B2815" s="8" t="s">
        <v>1655</v>
      </c>
      <c r="C2815" s="8" t="s">
        <v>3687</v>
      </c>
      <c r="D2815" s="8">
        <v>3</v>
      </c>
      <c r="E2815" s="8" t="s">
        <v>4429</v>
      </c>
      <c r="F2815" s="8" t="s">
        <v>378</v>
      </c>
      <c r="G2815" s="8" t="s">
        <v>4371</v>
      </c>
      <c r="H2815" s="10">
        <v>300</v>
      </c>
      <c r="I2815" s="10"/>
      <c r="J2815" s="10">
        <v>300</v>
      </c>
      <c r="K2815" s="10">
        <v>38.229999999999997</v>
      </c>
    </row>
    <row r="2816" spans="1:11" x14ac:dyDescent="0.25">
      <c r="A2816" s="8" t="s">
        <v>4439</v>
      </c>
      <c r="B2816" s="8" t="s">
        <v>128</v>
      </c>
      <c r="C2816" s="8" t="s">
        <v>3687</v>
      </c>
      <c r="D2816" s="8">
        <v>3</v>
      </c>
      <c r="E2816" s="8" t="s">
        <v>4429</v>
      </c>
      <c r="F2816" s="8" t="s">
        <v>378</v>
      </c>
      <c r="G2816" s="8" t="s">
        <v>4371</v>
      </c>
      <c r="H2816" s="10">
        <v>500</v>
      </c>
      <c r="I2816" s="10"/>
      <c r="J2816" s="10">
        <v>500</v>
      </c>
      <c r="K2816" s="10">
        <v>38.229999999999997</v>
      </c>
    </row>
    <row r="2817" spans="1:11" x14ac:dyDescent="0.25">
      <c r="A2817" s="8" t="s">
        <v>4440</v>
      </c>
      <c r="B2817" s="8" t="s">
        <v>949</v>
      </c>
      <c r="C2817" s="8" t="s">
        <v>3687</v>
      </c>
      <c r="D2817" s="8">
        <v>3</v>
      </c>
      <c r="E2817" s="8" t="s">
        <v>4429</v>
      </c>
      <c r="F2817" s="8" t="s">
        <v>378</v>
      </c>
      <c r="G2817" s="8" t="s">
        <v>4371</v>
      </c>
      <c r="H2817" s="10">
        <v>100</v>
      </c>
      <c r="I2817" s="10"/>
      <c r="J2817" s="10">
        <v>100</v>
      </c>
      <c r="K2817" s="10">
        <v>38.229999999999997</v>
      </c>
    </row>
    <row r="2818" spans="1:11" x14ac:dyDescent="0.25">
      <c r="A2818" s="8" t="s">
        <v>4441</v>
      </c>
      <c r="B2818" s="8" t="s">
        <v>130</v>
      </c>
      <c r="C2818" s="8" t="s">
        <v>3687</v>
      </c>
      <c r="D2818" s="8">
        <v>3</v>
      </c>
      <c r="E2818" s="8" t="s">
        <v>4429</v>
      </c>
      <c r="F2818" s="8" t="s">
        <v>378</v>
      </c>
      <c r="G2818" s="8" t="s">
        <v>4371</v>
      </c>
      <c r="H2818" s="10">
        <v>200</v>
      </c>
      <c r="I2818" s="10"/>
      <c r="J2818" s="10">
        <v>200</v>
      </c>
      <c r="K2818" s="10">
        <v>38.229999999999997</v>
      </c>
    </row>
    <row r="2819" spans="1:11" x14ac:dyDescent="0.25">
      <c r="A2819" s="8" t="s">
        <v>4442</v>
      </c>
      <c r="B2819" s="8" t="s">
        <v>132</v>
      </c>
      <c r="C2819" s="8" t="s">
        <v>3687</v>
      </c>
      <c r="D2819" s="8">
        <v>3</v>
      </c>
      <c r="E2819" s="8" t="s">
        <v>4429</v>
      </c>
      <c r="F2819" s="8" t="s">
        <v>378</v>
      </c>
      <c r="G2819" s="8" t="s">
        <v>4371</v>
      </c>
      <c r="H2819" s="10">
        <v>200</v>
      </c>
      <c r="I2819" s="10"/>
      <c r="J2819" s="10">
        <v>200</v>
      </c>
      <c r="K2819" s="10">
        <v>38.229999999999997</v>
      </c>
    </row>
    <row r="2820" spans="1:11" x14ac:dyDescent="0.25">
      <c r="A2820" s="8" t="s">
        <v>4443</v>
      </c>
      <c r="B2820" s="8" t="s">
        <v>134</v>
      </c>
      <c r="C2820" s="8" t="s">
        <v>3687</v>
      </c>
      <c r="D2820" s="8">
        <v>3</v>
      </c>
      <c r="E2820" s="8" t="s">
        <v>4429</v>
      </c>
      <c r="F2820" s="8" t="s">
        <v>378</v>
      </c>
      <c r="G2820" s="8" t="s">
        <v>4371</v>
      </c>
      <c r="H2820" s="10">
        <v>300</v>
      </c>
      <c r="I2820" s="10"/>
      <c r="J2820" s="10">
        <v>300</v>
      </c>
      <c r="K2820" s="10">
        <v>38.229999999999997</v>
      </c>
    </row>
    <row r="2821" spans="1:11" x14ac:dyDescent="0.25">
      <c r="A2821" s="8" t="s">
        <v>4444</v>
      </c>
      <c r="B2821" s="8" t="s">
        <v>136</v>
      </c>
      <c r="C2821" s="8" t="s">
        <v>3687</v>
      </c>
      <c r="D2821" s="8">
        <v>3</v>
      </c>
      <c r="E2821" s="8" t="s">
        <v>4429</v>
      </c>
      <c r="F2821" s="8" t="s">
        <v>378</v>
      </c>
      <c r="G2821" s="8" t="s">
        <v>4371</v>
      </c>
      <c r="H2821" s="10">
        <v>300</v>
      </c>
      <c r="I2821" s="10"/>
      <c r="J2821" s="10">
        <v>300</v>
      </c>
      <c r="K2821" s="10">
        <v>38.229999999999997</v>
      </c>
    </row>
    <row r="2822" spans="1:11" x14ac:dyDescent="0.25">
      <c r="A2822" s="8" t="s">
        <v>4445</v>
      </c>
      <c r="B2822" s="8" t="s">
        <v>1689</v>
      </c>
      <c r="C2822" s="8" t="s">
        <v>3687</v>
      </c>
      <c r="D2822" s="8">
        <v>3</v>
      </c>
      <c r="E2822" s="8" t="s">
        <v>4429</v>
      </c>
      <c r="F2822" s="8" t="s">
        <v>378</v>
      </c>
      <c r="G2822" s="8" t="s">
        <v>4371</v>
      </c>
      <c r="H2822" s="10">
        <v>50</v>
      </c>
      <c r="I2822" s="10"/>
      <c r="J2822" s="10">
        <v>50</v>
      </c>
      <c r="K2822" s="10">
        <v>38.229999999999997</v>
      </c>
    </row>
    <row r="2823" spans="1:11" x14ac:dyDescent="0.25">
      <c r="A2823" s="8" t="s">
        <v>4446</v>
      </c>
      <c r="B2823" s="8" t="s">
        <v>3518</v>
      </c>
      <c r="C2823" s="8" t="s">
        <v>3687</v>
      </c>
      <c r="D2823" s="8">
        <v>3</v>
      </c>
      <c r="E2823" s="8" t="s">
        <v>4429</v>
      </c>
      <c r="F2823" s="8" t="s">
        <v>378</v>
      </c>
      <c r="G2823" s="8" t="s">
        <v>4371</v>
      </c>
      <c r="H2823" s="10">
        <v>10</v>
      </c>
      <c r="I2823" s="10"/>
      <c r="J2823" s="10">
        <v>10</v>
      </c>
      <c r="K2823" s="10">
        <v>38.229999999999997</v>
      </c>
    </row>
    <row r="2824" spans="1:11" x14ac:dyDescent="0.25">
      <c r="A2824" s="8" t="s">
        <v>4447</v>
      </c>
      <c r="B2824" s="8" t="s">
        <v>138</v>
      </c>
      <c r="C2824" s="8" t="s">
        <v>3687</v>
      </c>
      <c r="D2824" s="8">
        <v>3</v>
      </c>
      <c r="E2824" s="8" t="s">
        <v>4429</v>
      </c>
      <c r="F2824" s="8" t="s">
        <v>378</v>
      </c>
      <c r="G2824" s="8" t="s">
        <v>4371</v>
      </c>
      <c r="H2824" s="10">
        <v>100</v>
      </c>
      <c r="I2824" s="10"/>
      <c r="J2824" s="10">
        <v>100</v>
      </c>
      <c r="K2824" s="10">
        <v>38.229999999999997</v>
      </c>
    </row>
    <row r="2825" spans="1:11" x14ac:dyDescent="0.25">
      <c r="A2825" s="8" t="s">
        <v>4448</v>
      </c>
      <c r="B2825" s="8" t="s">
        <v>3521</v>
      </c>
      <c r="C2825" s="8" t="s">
        <v>3687</v>
      </c>
      <c r="D2825" s="8">
        <v>3</v>
      </c>
      <c r="E2825" s="8" t="s">
        <v>4429</v>
      </c>
      <c r="F2825" s="8" t="s">
        <v>378</v>
      </c>
      <c r="G2825" s="8" t="s">
        <v>4371</v>
      </c>
      <c r="H2825" s="10">
        <v>100</v>
      </c>
      <c r="I2825" s="10"/>
      <c r="J2825" s="10">
        <v>100</v>
      </c>
      <c r="K2825" s="10">
        <v>38.229999999999997</v>
      </c>
    </row>
    <row r="2826" spans="1:11" x14ac:dyDescent="0.25">
      <c r="A2826" s="8" t="s">
        <v>4449</v>
      </c>
      <c r="B2826" s="8" t="s">
        <v>80</v>
      </c>
      <c r="C2826" s="8" t="s">
        <v>3687</v>
      </c>
      <c r="D2826" s="8">
        <v>3</v>
      </c>
      <c r="E2826" s="8" t="s">
        <v>4429</v>
      </c>
      <c r="F2826" s="8" t="s">
        <v>378</v>
      </c>
      <c r="G2826" s="8" t="s">
        <v>4371</v>
      </c>
      <c r="H2826" s="10">
        <v>200</v>
      </c>
      <c r="I2826" s="10"/>
      <c r="J2826" s="10">
        <v>200</v>
      </c>
      <c r="K2826" s="10">
        <v>38.229999999999997</v>
      </c>
    </row>
    <row r="2827" spans="1:11" x14ac:dyDescent="0.25">
      <c r="A2827" s="8" t="s">
        <v>4450</v>
      </c>
      <c r="B2827" s="8" t="s">
        <v>118</v>
      </c>
      <c r="C2827" s="8" t="s">
        <v>3687</v>
      </c>
      <c r="D2827" s="8">
        <v>3</v>
      </c>
      <c r="E2827" s="8" t="s">
        <v>4451</v>
      </c>
      <c r="F2827" s="8" t="s">
        <v>911</v>
      </c>
      <c r="G2827" s="8" t="s">
        <v>4371</v>
      </c>
      <c r="H2827" s="10">
        <v>12</v>
      </c>
      <c r="I2827" s="10"/>
      <c r="J2827" s="10">
        <v>12</v>
      </c>
      <c r="K2827" s="10">
        <v>1151.5899999999999</v>
      </c>
    </row>
    <row r="2828" spans="1:11" x14ac:dyDescent="0.25">
      <c r="A2828" s="8" t="s">
        <v>4452</v>
      </c>
      <c r="B2828" s="8" t="s">
        <v>1650</v>
      </c>
      <c r="C2828" s="8" t="s">
        <v>3687</v>
      </c>
      <c r="D2828" s="8">
        <v>3</v>
      </c>
      <c r="E2828" s="8" t="s">
        <v>4451</v>
      </c>
      <c r="F2828" s="8" t="s">
        <v>911</v>
      </c>
      <c r="G2828" s="8" t="s">
        <v>4371</v>
      </c>
      <c r="H2828" s="10">
        <v>6</v>
      </c>
      <c r="I2828" s="10"/>
      <c r="J2828" s="10">
        <v>6</v>
      </c>
      <c r="K2828" s="10">
        <v>1151.5899999999999</v>
      </c>
    </row>
    <row r="2829" spans="1:11" x14ac:dyDescent="0.25">
      <c r="A2829" s="8" t="s">
        <v>4453</v>
      </c>
      <c r="B2829" s="8" t="s">
        <v>1655</v>
      </c>
      <c r="C2829" s="8" t="s">
        <v>3687</v>
      </c>
      <c r="D2829" s="8">
        <v>3</v>
      </c>
      <c r="E2829" s="8" t="s">
        <v>4451</v>
      </c>
      <c r="F2829" s="8" t="s">
        <v>911</v>
      </c>
      <c r="G2829" s="8" t="s">
        <v>4371</v>
      </c>
      <c r="H2829" s="10">
        <v>6</v>
      </c>
      <c r="I2829" s="10"/>
      <c r="J2829" s="10">
        <v>6</v>
      </c>
      <c r="K2829" s="10">
        <v>1151.5899999999999</v>
      </c>
    </row>
    <row r="2830" spans="1:11" x14ac:dyDescent="0.25">
      <c r="A2830" s="8" t="s">
        <v>4454</v>
      </c>
      <c r="B2830" s="8" t="s">
        <v>1689</v>
      </c>
      <c r="C2830" s="8" t="s">
        <v>3687</v>
      </c>
      <c r="D2830" s="8">
        <v>3</v>
      </c>
      <c r="E2830" s="8" t="s">
        <v>4451</v>
      </c>
      <c r="F2830" s="8" t="s">
        <v>911</v>
      </c>
      <c r="G2830" s="8" t="s">
        <v>4371</v>
      </c>
      <c r="H2830" s="10">
        <v>2</v>
      </c>
      <c r="I2830" s="10"/>
      <c r="J2830" s="10">
        <v>2</v>
      </c>
      <c r="K2830" s="10">
        <v>1151.5899999999999</v>
      </c>
    </row>
    <row r="2831" spans="1:11" x14ac:dyDescent="0.25">
      <c r="A2831" s="8" t="s">
        <v>4455</v>
      </c>
      <c r="B2831" s="8" t="s">
        <v>3518</v>
      </c>
      <c r="C2831" s="8" t="s">
        <v>3687</v>
      </c>
      <c r="D2831" s="8">
        <v>3</v>
      </c>
      <c r="E2831" s="8" t="s">
        <v>4451</v>
      </c>
      <c r="F2831" s="8" t="s">
        <v>911</v>
      </c>
      <c r="G2831" s="8" t="s">
        <v>4371</v>
      </c>
      <c r="H2831" s="10">
        <v>2</v>
      </c>
      <c r="I2831" s="10"/>
      <c r="J2831" s="10">
        <v>2</v>
      </c>
      <c r="K2831" s="10">
        <v>1151.5899999999999</v>
      </c>
    </row>
    <row r="2832" spans="1:11" x14ac:dyDescent="0.25">
      <c r="A2832" s="8" t="s">
        <v>4456</v>
      </c>
      <c r="B2832" s="8" t="s">
        <v>263</v>
      </c>
      <c r="C2832" s="8" t="s">
        <v>3361</v>
      </c>
      <c r="D2832" s="8">
        <v>4</v>
      </c>
      <c r="E2832" s="8" t="s">
        <v>474</v>
      </c>
      <c r="F2832" s="8" t="s">
        <v>378</v>
      </c>
      <c r="G2832" s="8" t="s">
        <v>4457</v>
      </c>
      <c r="H2832" s="10">
        <v>30</v>
      </c>
      <c r="I2832" s="10"/>
      <c r="J2832" s="10">
        <v>30</v>
      </c>
      <c r="K2832" s="10">
        <v>52.04</v>
      </c>
    </row>
    <row r="2833" spans="1:11" x14ac:dyDescent="0.25">
      <c r="A2833" s="8" t="s">
        <v>4458</v>
      </c>
      <c r="B2833" s="8" t="s">
        <v>269</v>
      </c>
      <c r="C2833" s="8" t="s">
        <v>3361</v>
      </c>
      <c r="D2833" s="8">
        <v>4</v>
      </c>
      <c r="E2833" s="8" t="s">
        <v>474</v>
      </c>
      <c r="F2833" s="8" t="s">
        <v>378</v>
      </c>
      <c r="G2833" s="8" t="s">
        <v>4457</v>
      </c>
      <c r="H2833" s="10">
        <v>30</v>
      </c>
      <c r="I2833" s="10"/>
      <c r="J2833" s="10">
        <v>30</v>
      </c>
      <c r="K2833" s="10">
        <v>52.04</v>
      </c>
    </row>
    <row r="2834" spans="1:11" x14ac:dyDescent="0.25">
      <c r="A2834" s="8" t="s">
        <v>4459</v>
      </c>
      <c r="B2834" s="8" t="s">
        <v>1650</v>
      </c>
      <c r="C2834" s="8" t="s">
        <v>4460</v>
      </c>
      <c r="D2834" s="8">
        <v>1</v>
      </c>
      <c r="E2834" s="8" t="s">
        <v>4461</v>
      </c>
      <c r="F2834" s="8" t="s">
        <v>2998</v>
      </c>
      <c r="G2834" s="8" t="s">
        <v>4462</v>
      </c>
      <c r="H2834" s="10">
        <v>50</v>
      </c>
      <c r="I2834" s="10"/>
      <c r="J2834" s="10">
        <v>50</v>
      </c>
      <c r="K2834" s="10">
        <v>849.12</v>
      </c>
    </row>
    <row r="2835" spans="1:11" x14ac:dyDescent="0.25">
      <c r="A2835" s="8" t="s">
        <v>4463</v>
      </c>
      <c r="B2835" s="8" t="s">
        <v>120</v>
      </c>
      <c r="C2835" s="8" t="s">
        <v>4460</v>
      </c>
      <c r="D2835" s="8">
        <v>1</v>
      </c>
      <c r="E2835" s="8" t="s">
        <v>4461</v>
      </c>
      <c r="F2835" s="8" t="s">
        <v>2998</v>
      </c>
      <c r="G2835" s="8" t="s">
        <v>4462</v>
      </c>
      <c r="H2835" s="10">
        <v>130</v>
      </c>
      <c r="I2835" s="10"/>
      <c r="J2835" s="10">
        <v>130</v>
      </c>
      <c r="K2835" s="10">
        <v>849.12</v>
      </c>
    </row>
    <row r="2836" spans="1:11" x14ac:dyDescent="0.25">
      <c r="A2836" s="8" t="s">
        <v>4464</v>
      </c>
      <c r="B2836" s="8" t="s">
        <v>1655</v>
      </c>
      <c r="C2836" s="8" t="s">
        <v>4460</v>
      </c>
      <c r="D2836" s="8">
        <v>1</v>
      </c>
      <c r="E2836" s="8" t="s">
        <v>4461</v>
      </c>
      <c r="F2836" s="8" t="s">
        <v>2998</v>
      </c>
      <c r="G2836" s="8" t="s">
        <v>4462</v>
      </c>
      <c r="H2836" s="10">
        <v>60</v>
      </c>
      <c r="I2836" s="10"/>
      <c r="J2836" s="10">
        <v>60</v>
      </c>
      <c r="K2836" s="10">
        <v>849.12</v>
      </c>
    </row>
    <row r="2837" spans="1:11" x14ac:dyDescent="0.25">
      <c r="A2837" s="8" t="s">
        <v>4465</v>
      </c>
      <c r="B2837" s="8" t="s">
        <v>263</v>
      </c>
      <c r="C2837" s="8" t="s">
        <v>974</v>
      </c>
      <c r="D2837" s="8">
        <v>5</v>
      </c>
      <c r="E2837" s="8" t="s">
        <v>477</v>
      </c>
      <c r="F2837" s="8" t="s">
        <v>266</v>
      </c>
      <c r="G2837" s="8" t="s">
        <v>976</v>
      </c>
      <c r="H2837" s="10">
        <v>0.5</v>
      </c>
      <c r="I2837" s="10"/>
      <c r="J2837" s="10">
        <v>0.5</v>
      </c>
      <c r="K2837" s="10">
        <v>7827.36</v>
      </c>
    </row>
    <row r="2838" spans="1:11" x14ac:dyDescent="0.25">
      <c r="A2838" s="8" t="s">
        <v>4466</v>
      </c>
      <c r="B2838" s="8" t="s">
        <v>269</v>
      </c>
      <c r="C2838" s="8" t="s">
        <v>974</v>
      </c>
      <c r="D2838" s="8">
        <v>5</v>
      </c>
      <c r="E2838" s="8" t="s">
        <v>477</v>
      </c>
      <c r="F2838" s="8" t="s">
        <v>266</v>
      </c>
      <c r="G2838" s="8" t="s">
        <v>976</v>
      </c>
      <c r="H2838" s="10">
        <v>0.5</v>
      </c>
      <c r="I2838" s="10"/>
      <c r="J2838" s="10">
        <v>0.5</v>
      </c>
      <c r="K2838" s="10">
        <v>7827.36</v>
      </c>
    </row>
    <row r="2839" spans="1:11" x14ac:dyDescent="0.25">
      <c r="A2839" s="8" t="s">
        <v>4467</v>
      </c>
      <c r="B2839" s="8" t="s">
        <v>72</v>
      </c>
      <c r="C2839" s="8" t="s">
        <v>974</v>
      </c>
      <c r="D2839" s="8">
        <v>5</v>
      </c>
      <c r="E2839" s="8" t="s">
        <v>477</v>
      </c>
      <c r="F2839" s="8" t="s">
        <v>266</v>
      </c>
      <c r="G2839" s="8" t="s">
        <v>976</v>
      </c>
      <c r="H2839" s="10">
        <v>1</v>
      </c>
      <c r="I2839" s="10"/>
      <c r="J2839" s="10">
        <v>1</v>
      </c>
      <c r="K2839" s="10">
        <v>7827.36</v>
      </c>
    </row>
    <row r="2840" spans="1:11" x14ac:dyDescent="0.25">
      <c r="A2840" s="8" t="s">
        <v>4468</v>
      </c>
      <c r="B2840" s="8" t="s">
        <v>116</v>
      </c>
      <c r="C2840" s="8" t="s">
        <v>974</v>
      </c>
      <c r="D2840" s="8">
        <v>5</v>
      </c>
      <c r="E2840" s="8" t="s">
        <v>477</v>
      </c>
      <c r="F2840" s="8" t="s">
        <v>266</v>
      </c>
      <c r="G2840" s="8" t="s">
        <v>976</v>
      </c>
      <c r="H2840" s="10">
        <v>9.8000000000000007</v>
      </c>
      <c r="I2840" s="10"/>
      <c r="J2840" s="10">
        <v>9.8000000000000007</v>
      </c>
      <c r="K2840" s="10">
        <v>7827.36</v>
      </c>
    </row>
    <row r="2841" spans="1:11" x14ac:dyDescent="0.25">
      <c r="A2841" s="8" t="s">
        <v>4469</v>
      </c>
      <c r="B2841" s="8" t="s">
        <v>116</v>
      </c>
      <c r="C2841" s="8" t="s">
        <v>974</v>
      </c>
      <c r="D2841" s="8">
        <v>5</v>
      </c>
      <c r="E2841" s="8" t="s">
        <v>477</v>
      </c>
      <c r="F2841" s="8" t="s">
        <v>266</v>
      </c>
      <c r="G2841" s="8" t="s">
        <v>976</v>
      </c>
      <c r="H2841" s="10">
        <v>11.3</v>
      </c>
      <c r="I2841" s="10"/>
      <c r="J2841" s="10">
        <v>11.3</v>
      </c>
      <c r="K2841" s="10">
        <v>7827.36</v>
      </c>
    </row>
    <row r="2842" spans="1:11" x14ac:dyDescent="0.25">
      <c r="A2842" s="8" t="s">
        <v>4470</v>
      </c>
      <c r="B2842" s="8" t="s">
        <v>118</v>
      </c>
      <c r="C2842" s="8" t="s">
        <v>974</v>
      </c>
      <c r="D2842" s="8">
        <v>5</v>
      </c>
      <c r="E2842" s="8" t="s">
        <v>477</v>
      </c>
      <c r="F2842" s="8" t="s">
        <v>266</v>
      </c>
      <c r="G2842" s="8" t="s">
        <v>976</v>
      </c>
      <c r="H2842" s="10">
        <v>42.7</v>
      </c>
      <c r="I2842" s="10"/>
      <c r="J2842" s="10">
        <v>42.7</v>
      </c>
      <c r="K2842" s="10">
        <v>7827.36</v>
      </c>
    </row>
    <row r="2843" spans="1:11" x14ac:dyDescent="0.25">
      <c r="A2843" s="8" t="s">
        <v>4471</v>
      </c>
      <c r="B2843" s="8" t="s">
        <v>118</v>
      </c>
      <c r="C2843" s="8" t="s">
        <v>974</v>
      </c>
      <c r="D2843" s="8">
        <v>5</v>
      </c>
      <c r="E2843" s="8" t="s">
        <v>477</v>
      </c>
      <c r="F2843" s="8" t="s">
        <v>266</v>
      </c>
      <c r="G2843" s="8" t="s">
        <v>976</v>
      </c>
      <c r="H2843" s="10">
        <v>6.1</v>
      </c>
      <c r="I2843" s="10"/>
      <c r="J2843" s="10">
        <v>6.1</v>
      </c>
      <c r="K2843" s="10">
        <v>7827.36</v>
      </c>
    </row>
    <row r="2844" spans="1:11" x14ac:dyDescent="0.25">
      <c r="A2844" s="8" t="s">
        <v>4472</v>
      </c>
      <c r="B2844" s="8" t="s">
        <v>120</v>
      </c>
      <c r="C2844" s="8" t="s">
        <v>974</v>
      </c>
      <c r="D2844" s="8">
        <v>5</v>
      </c>
      <c r="E2844" s="8" t="s">
        <v>477</v>
      </c>
      <c r="F2844" s="8" t="s">
        <v>266</v>
      </c>
      <c r="G2844" s="8" t="s">
        <v>976</v>
      </c>
      <c r="H2844" s="10">
        <v>142.6</v>
      </c>
      <c r="I2844" s="10"/>
      <c r="J2844" s="10">
        <v>142.6</v>
      </c>
      <c r="K2844" s="10">
        <v>7827.36</v>
      </c>
    </row>
    <row r="2845" spans="1:11" x14ac:dyDescent="0.25">
      <c r="A2845" s="8" t="s">
        <v>4473</v>
      </c>
      <c r="B2845" s="8" t="s">
        <v>120</v>
      </c>
      <c r="C2845" s="8" t="s">
        <v>974</v>
      </c>
      <c r="D2845" s="8">
        <v>5</v>
      </c>
      <c r="E2845" s="8" t="s">
        <v>477</v>
      </c>
      <c r="F2845" s="8" t="s">
        <v>266</v>
      </c>
      <c r="G2845" s="8" t="s">
        <v>976</v>
      </c>
      <c r="H2845" s="10">
        <v>15.3</v>
      </c>
      <c r="I2845" s="10"/>
      <c r="J2845" s="10">
        <v>15.3</v>
      </c>
      <c r="K2845" s="10">
        <v>7827.36</v>
      </c>
    </row>
    <row r="2846" spans="1:11" x14ac:dyDescent="0.25">
      <c r="A2846" s="8" t="s">
        <v>4474</v>
      </c>
      <c r="B2846" s="8" t="s">
        <v>122</v>
      </c>
      <c r="C2846" s="8" t="s">
        <v>974</v>
      </c>
      <c r="D2846" s="8">
        <v>5</v>
      </c>
      <c r="E2846" s="8" t="s">
        <v>477</v>
      </c>
      <c r="F2846" s="8" t="s">
        <v>266</v>
      </c>
      <c r="G2846" s="8" t="s">
        <v>976</v>
      </c>
      <c r="H2846" s="10">
        <v>12</v>
      </c>
      <c r="I2846" s="10"/>
      <c r="J2846" s="10">
        <v>12</v>
      </c>
      <c r="K2846" s="10">
        <v>7827.36</v>
      </c>
    </row>
    <row r="2847" spans="1:11" x14ac:dyDescent="0.25">
      <c r="A2847" s="8" t="s">
        <v>4475</v>
      </c>
      <c r="B2847" s="8" t="s">
        <v>122</v>
      </c>
      <c r="C2847" s="8" t="s">
        <v>974</v>
      </c>
      <c r="D2847" s="8">
        <v>5</v>
      </c>
      <c r="E2847" s="8" t="s">
        <v>477</v>
      </c>
      <c r="F2847" s="8" t="s">
        <v>266</v>
      </c>
      <c r="G2847" s="8" t="s">
        <v>976</v>
      </c>
      <c r="H2847" s="10">
        <v>0.8</v>
      </c>
      <c r="I2847" s="10"/>
      <c r="J2847" s="10">
        <v>0.8</v>
      </c>
      <c r="K2847" s="10">
        <v>7827.36</v>
      </c>
    </row>
    <row r="2848" spans="1:11" x14ac:dyDescent="0.25">
      <c r="A2848" s="8" t="s">
        <v>4476</v>
      </c>
      <c r="B2848" s="8" t="s">
        <v>124</v>
      </c>
      <c r="C2848" s="8" t="s">
        <v>974</v>
      </c>
      <c r="D2848" s="8">
        <v>5</v>
      </c>
      <c r="E2848" s="8" t="s">
        <v>477</v>
      </c>
      <c r="F2848" s="8" t="s">
        <v>266</v>
      </c>
      <c r="G2848" s="8" t="s">
        <v>976</v>
      </c>
      <c r="H2848" s="10">
        <v>34.1</v>
      </c>
      <c r="I2848" s="10"/>
      <c r="J2848" s="10">
        <v>34.1</v>
      </c>
      <c r="K2848" s="10">
        <v>7827.36</v>
      </c>
    </row>
    <row r="2849" spans="1:11" x14ac:dyDescent="0.25">
      <c r="A2849" s="8" t="s">
        <v>4477</v>
      </c>
      <c r="B2849" s="8" t="s">
        <v>78</v>
      </c>
      <c r="C2849" s="8" t="s">
        <v>974</v>
      </c>
      <c r="D2849" s="8">
        <v>5</v>
      </c>
      <c r="E2849" s="8" t="s">
        <v>477</v>
      </c>
      <c r="F2849" s="8" t="s">
        <v>266</v>
      </c>
      <c r="G2849" s="8" t="s">
        <v>976</v>
      </c>
      <c r="H2849" s="10">
        <v>22.8</v>
      </c>
      <c r="I2849" s="10"/>
      <c r="J2849" s="10">
        <v>22.8</v>
      </c>
      <c r="K2849" s="10">
        <v>7827.36</v>
      </c>
    </row>
    <row r="2850" spans="1:11" x14ac:dyDescent="0.25">
      <c r="A2850" s="8" t="s">
        <v>4478</v>
      </c>
      <c r="B2850" s="8" t="s">
        <v>128</v>
      </c>
      <c r="C2850" s="8" t="s">
        <v>974</v>
      </c>
      <c r="D2850" s="8">
        <v>5</v>
      </c>
      <c r="E2850" s="8" t="s">
        <v>477</v>
      </c>
      <c r="F2850" s="8" t="s">
        <v>266</v>
      </c>
      <c r="G2850" s="8" t="s">
        <v>976</v>
      </c>
      <c r="H2850" s="10">
        <v>1.2</v>
      </c>
      <c r="I2850" s="10"/>
      <c r="J2850" s="10">
        <v>1.2</v>
      </c>
      <c r="K2850" s="10">
        <v>7827.36</v>
      </c>
    </row>
    <row r="2851" spans="1:11" x14ac:dyDescent="0.25">
      <c r="A2851" s="8" t="s">
        <v>4479</v>
      </c>
      <c r="B2851" s="8" t="s">
        <v>130</v>
      </c>
      <c r="C2851" s="8" t="s">
        <v>974</v>
      </c>
      <c r="D2851" s="8">
        <v>5</v>
      </c>
      <c r="E2851" s="8" t="s">
        <v>477</v>
      </c>
      <c r="F2851" s="8" t="s">
        <v>266</v>
      </c>
      <c r="G2851" s="8" t="s">
        <v>976</v>
      </c>
      <c r="H2851" s="10">
        <v>1.1000000000000001</v>
      </c>
      <c r="I2851" s="10"/>
      <c r="J2851" s="10">
        <v>1.1000000000000001</v>
      </c>
      <c r="K2851" s="10">
        <v>7827.36</v>
      </c>
    </row>
    <row r="2852" spans="1:11" x14ac:dyDescent="0.25">
      <c r="A2852" s="8" t="s">
        <v>4480</v>
      </c>
      <c r="B2852" s="8" t="s">
        <v>132</v>
      </c>
      <c r="C2852" s="8" t="s">
        <v>974</v>
      </c>
      <c r="D2852" s="8">
        <v>5</v>
      </c>
      <c r="E2852" s="8" t="s">
        <v>477</v>
      </c>
      <c r="F2852" s="8" t="s">
        <v>266</v>
      </c>
      <c r="G2852" s="8" t="s">
        <v>976</v>
      </c>
      <c r="H2852" s="10">
        <v>6.7</v>
      </c>
      <c r="I2852" s="10"/>
      <c r="J2852" s="10">
        <v>6.7</v>
      </c>
      <c r="K2852" s="10">
        <v>7827.36</v>
      </c>
    </row>
    <row r="2853" spans="1:11" x14ac:dyDescent="0.25">
      <c r="A2853" s="8" t="s">
        <v>4481</v>
      </c>
      <c r="B2853" s="8" t="s">
        <v>134</v>
      </c>
      <c r="C2853" s="8" t="s">
        <v>974</v>
      </c>
      <c r="D2853" s="8">
        <v>5</v>
      </c>
      <c r="E2853" s="8" t="s">
        <v>477</v>
      </c>
      <c r="F2853" s="8" t="s">
        <v>266</v>
      </c>
      <c r="G2853" s="8" t="s">
        <v>976</v>
      </c>
      <c r="H2853" s="10">
        <v>7.6</v>
      </c>
      <c r="I2853" s="10"/>
      <c r="J2853" s="10">
        <v>7.6</v>
      </c>
      <c r="K2853" s="10">
        <v>7827.36</v>
      </c>
    </row>
    <row r="2854" spans="1:11" x14ac:dyDescent="0.25">
      <c r="A2854" s="8" t="s">
        <v>4482</v>
      </c>
      <c r="B2854" s="8" t="s">
        <v>136</v>
      </c>
      <c r="C2854" s="8" t="s">
        <v>974</v>
      </c>
      <c r="D2854" s="8">
        <v>5</v>
      </c>
      <c r="E2854" s="8" t="s">
        <v>477</v>
      </c>
      <c r="F2854" s="8" t="s">
        <v>266</v>
      </c>
      <c r="G2854" s="8" t="s">
        <v>976</v>
      </c>
      <c r="H2854" s="10">
        <v>2.6</v>
      </c>
      <c r="I2854" s="10"/>
      <c r="J2854" s="10">
        <v>2.6</v>
      </c>
      <c r="K2854" s="10">
        <v>7827.36</v>
      </c>
    </row>
    <row r="2855" spans="1:11" x14ac:dyDescent="0.25">
      <c r="A2855" s="8" t="s">
        <v>4483</v>
      </c>
      <c r="B2855" s="8" t="s">
        <v>2627</v>
      </c>
      <c r="C2855" s="8" t="s">
        <v>974</v>
      </c>
      <c r="D2855" s="8">
        <v>5</v>
      </c>
      <c r="E2855" s="8" t="s">
        <v>477</v>
      </c>
      <c r="F2855" s="8" t="s">
        <v>266</v>
      </c>
      <c r="G2855" s="8" t="s">
        <v>976</v>
      </c>
      <c r="H2855" s="10">
        <v>3</v>
      </c>
      <c r="I2855" s="10"/>
      <c r="J2855" s="10">
        <v>3</v>
      </c>
      <c r="K2855" s="10">
        <v>7827.36</v>
      </c>
    </row>
    <row r="2856" spans="1:11" x14ac:dyDescent="0.25">
      <c r="A2856" s="8" t="s">
        <v>4484</v>
      </c>
      <c r="B2856" s="8" t="s">
        <v>2627</v>
      </c>
      <c r="C2856" s="8" t="s">
        <v>974</v>
      </c>
      <c r="D2856" s="8">
        <v>5</v>
      </c>
      <c r="E2856" s="8" t="s">
        <v>477</v>
      </c>
      <c r="F2856" s="8" t="s">
        <v>266</v>
      </c>
      <c r="G2856" s="8" t="s">
        <v>976</v>
      </c>
      <c r="H2856" s="10">
        <v>6.5</v>
      </c>
      <c r="I2856" s="10"/>
      <c r="J2856" s="10">
        <v>6.5</v>
      </c>
      <c r="K2856" s="10">
        <v>7827.36</v>
      </c>
    </row>
    <row r="2857" spans="1:11" x14ac:dyDescent="0.25">
      <c r="A2857" s="8" t="s">
        <v>4485</v>
      </c>
      <c r="B2857" s="8" t="s">
        <v>2627</v>
      </c>
      <c r="C2857" s="8" t="s">
        <v>974</v>
      </c>
      <c r="D2857" s="8">
        <v>5</v>
      </c>
      <c r="E2857" s="8" t="s">
        <v>477</v>
      </c>
      <c r="F2857" s="8" t="s">
        <v>266</v>
      </c>
      <c r="G2857" s="8" t="s">
        <v>976</v>
      </c>
      <c r="H2857" s="10">
        <v>2.7</v>
      </c>
      <c r="I2857" s="10"/>
      <c r="J2857" s="10">
        <v>2.7</v>
      </c>
      <c r="K2857" s="10">
        <v>7827.36</v>
      </c>
    </row>
    <row r="2858" spans="1:11" x14ac:dyDescent="0.25">
      <c r="A2858" s="8" t="s">
        <v>4486</v>
      </c>
      <c r="B2858" s="8" t="s">
        <v>2627</v>
      </c>
      <c r="C2858" s="8" t="s">
        <v>974</v>
      </c>
      <c r="D2858" s="8">
        <v>5</v>
      </c>
      <c r="E2858" s="8" t="s">
        <v>477</v>
      </c>
      <c r="F2858" s="8" t="s">
        <v>266</v>
      </c>
      <c r="G2858" s="8" t="s">
        <v>976</v>
      </c>
      <c r="H2858" s="10">
        <v>2.2999999999999998</v>
      </c>
      <c r="I2858" s="10"/>
      <c r="J2858" s="10">
        <v>2.2999999999999998</v>
      </c>
      <c r="K2858" s="10">
        <v>7827.36</v>
      </c>
    </row>
    <row r="2859" spans="1:11" x14ac:dyDescent="0.25">
      <c r="A2859" s="8" t="s">
        <v>4487</v>
      </c>
      <c r="B2859" s="8" t="s">
        <v>2627</v>
      </c>
      <c r="C2859" s="8" t="s">
        <v>974</v>
      </c>
      <c r="D2859" s="8">
        <v>5</v>
      </c>
      <c r="E2859" s="8" t="s">
        <v>477</v>
      </c>
      <c r="F2859" s="8" t="s">
        <v>266</v>
      </c>
      <c r="G2859" s="8" t="s">
        <v>976</v>
      </c>
      <c r="H2859" s="10">
        <v>1.5</v>
      </c>
      <c r="I2859" s="10"/>
      <c r="J2859" s="10">
        <v>1.5</v>
      </c>
      <c r="K2859" s="10">
        <v>7827.36</v>
      </c>
    </row>
    <row r="2860" spans="1:11" x14ac:dyDescent="0.25">
      <c r="A2860" s="8" t="s">
        <v>4488</v>
      </c>
      <c r="B2860" s="8" t="s">
        <v>2627</v>
      </c>
      <c r="C2860" s="8" t="s">
        <v>974</v>
      </c>
      <c r="D2860" s="8">
        <v>5</v>
      </c>
      <c r="E2860" s="8" t="s">
        <v>477</v>
      </c>
      <c r="F2860" s="8" t="s">
        <v>266</v>
      </c>
      <c r="G2860" s="8" t="s">
        <v>976</v>
      </c>
      <c r="H2860" s="10">
        <v>3.2</v>
      </c>
      <c r="I2860" s="10"/>
      <c r="J2860" s="10">
        <v>3.2</v>
      </c>
      <c r="K2860" s="10">
        <v>7827.36</v>
      </c>
    </row>
    <row r="2861" spans="1:11" x14ac:dyDescent="0.25">
      <c r="A2861" s="8" t="s">
        <v>4489</v>
      </c>
      <c r="B2861" s="8" t="s">
        <v>3518</v>
      </c>
      <c r="C2861" s="8" t="s">
        <v>974</v>
      </c>
      <c r="D2861" s="8">
        <v>5</v>
      </c>
      <c r="E2861" s="8" t="s">
        <v>477</v>
      </c>
      <c r="F2861" s="8" t="s">
        <v>266</v>
      </c>
      <c r="G2861" s="8" t="s">
        <v>976</v>
      </c>
      <c r="H2861" s="10">
        <v>0.1</v>
      </c>
      <c r="I2861" s="10"/>
      <c r="J2861" s="10">
        <v>0.1</v>
      </c>
      <c r="K2861" s="10">
        <v>7827.36</v>
      </c>
    </row>
    <row r="2862" spans="1:11" x14ac:dyDescent="0.25">
      <c r="A2862" s="8" t="s">
        <v>4490</v>
      </c>
      <c r="B2862" s="8" t="s">
        <v>4491</v>
      </c>
      <c r="C2862" s="8" t="s">
        <v>974</v>
      </c>
      <c r="D2862" s="8">
        <v>5</v>
      </c>
      <c r="E2862" s="8" t="s">
        <v>477</v>
      </c>
      <c r="F2862" s="8" t="s">
        <v>266</v>
      </c>
      <c r="G2862" s="8" t="s">
        <v>976</v>
      </c>
      <c r="H2862" s="10">
        <v>0.3</v>
      </c>
      <c r="I2862" s="10"/>
      <c r="J2862" s="10">
        <v>0.3</v>
      </c>
      <c r="K2862" s="10">
        <v>7827.36</v>
      </c>
    </row>
    <row r="2863" spans="1:11" x14ac:dyDescent="0.25">
      <c r="A2863" s="8" t="s">
        <v>4492</v>
      </c>
      <c r="B2863" s="8" t="s">
        <v>138</v>
      </c>
      <c r="C2863" s="8" t="s">
        <v>974</v>
      </c>
      <c r="D2863" s="8">
        <v>5</v>
      </c>
      <c r="E2863" s="8" t="s">
        <v>477</v>
      </c>
      <c r="F2863" s="8" t="s">
        <v>266</v>
      </c>
      <c r="G2863" s="8" t="s">
        <v>976</v>
      </c>
      <c r="H2863" s="10">
        <v>3.4</v>
      </c>
      <c r="I2863" s="10"/>
      <c r="J2863" s="10">
        <v>3.4</v>
      </c>
      <c r="K2863" s="10">
        <v>7827.36</v>
      </c>
    </row>
    <row r="2864" spans="1:11" x14ac:dyDescent="0.25">
      <c r="A2864" s="8" t="s">
        <v>4493</v>
      </c>
      <c r="B2864" s="8" t="s">
        <v>1029</v>
      </c>
      <c r="C2864" s="8" t="s">
        <v>974</v>
      </c>
      <c r="D2864" s="8">
        <v>5</v>
      </c>
      <c r="E2864" s="8" t="s">
        <v>477</v>
      </c>
      <c r="F2864" s="8" t="s">
        <v>266</v>
      </c>
      <c r="G2864" s="8" t="s">
        <v>976</v>
      </c>
      <c r="H2864" s="10">
        <v>0.5</v>
      </c>
      <c r="I2864" s="10"/>
      <c r="J2864" s="10">
        <v>0.5</v>
      </c>
      <c r="K2864" s="10">
        <v>7827.36</v>
      </c>
    </row>
    <row r="2865" spans="1:11" x14ac:dyDescent="0.25">
      <c r="A2865" s="8" t="s">
        <v>4494</v>
      </c>
      <c r="B2865" s="8" t="s">
        <v>4495</v>
      </c>
      <c r="C2865" s="8" t="s">
        <v>974</v>
      </c>
      <c r="D2865" s="8">
        <v>5</v>
      </c>
      <c r="E2865" s="8" t="s">
        <v>477</v>
      </c>
      <c r="F2865" s="8" t="s">
        <v>266</v>
      </c>
      <c r="G2865" s="8" t="s">
        <v>976</v>
      </c>
      <c r="H2865" s="10">
        <v>2.5</v>
      </c>
      <c r="I2865" s="10"/>
      <c r="J2865" s="10">
        <v>2.5</v>
      </c>
      <c r="K2865" s="10">
        <v>7827.36</v>
      </c>
    </row>
    <row r="2866" spans="1:11" x14ac:dyDescent="0.25">
      <c r="A2866" s="8" t="s">
        <v>4496</v>
      </c>
      <c r="B2866" s="8" t="s">
        <v>138</v>
      </c>
      <c r="C2866" s="8" t="s">
        <v>974</v>
      </c>
      <c r="D2866" s="8">
        <v>5</v>
      </c>
      <c r="E2866" s="8" t="s">
        <v>4497</v>
      </c>
      <c r="F2866" s="8" t="s">
        <v>266</v>
      </c>
      <c r="G2866" s="8" t="s">
        <v>976</v>
      </c>
      <c r="H2866" s="10">
        <v>4.8</v>
      </c>
      <c r="I2866" s="10"/>
      <c r="J2866" s="10">
        <v>4.8</v>
      </c>
      <c r="K2866" s="10">
        <v>6961.27</v>
      </c>
    </row>
    <row r="2867" spans="1:11" x14ac:dyDescent="0.25">
      <c r="A2867" s="8" t="s">
        <v>4498</v>
      </c>
      <c r="B2867" s="8" t="s">
        <v>116</v>
      </c>
      <c r="C2867" s="8" t="s">
        <v>974</v>
      </c>
      <c r="D2867" s="8">
        <v>5</v>
      </c>
      <c r="E2867" s="8" t="s">
        <v>483</v>
      </c>
      <c r="F2867" s="8" t="s">
        <v>266</v>
      </c>
      <c r="G2867" s="8" t="s">
        <v>976</v>
      </c>
      <c r="H2867" s="10">
        <v>6.9</v>
      </c>
      <c r="I2867" s="10"/>
      <c r="J2867" s="10">
        <v>6.9</v>
      </c>
      <c r="K2867" s="10">
        <v>6961.27</v>
      </c>
    </row>
    <row r="2868" spans="1:11" x14ac:dyDescent="0.25">
      <c r="A2868" s="8" t="s">
        <v>4499</v>
      </c>
      <c r="B2868" s="8" t="s">
        <v>118</v>
      </c>
      <c r="C2868" s="8" t="s">
        <v>974</v>
      </c>
      <c r="D2868" s="8">
        <v>5</v>
      </c>
      <c r="E2868" s="8" t="s">
        <v>483</v>
      </c>
      <c r="F2868" s="8" t="s">
        <v>266</v>
      </c>
      <c r="G2868" s="8" t="s">
        <v>976</v>
      </c>
      <c r="H2868" s="10">
        <v>6.7</v>
      </c>
      <c r="I2868" s="10"/>
      <c r="J2868" s="10">
        <v>6.7</v>
      </c>
      <c r="K2868" s="10">
        <v>6961.27</v>
      </c>
    </row>
    <row r="2869" spans="1:11" x14ac:dyDescent="0.25">
      <c r="A2869" s="8" t="s">
        <v>4500</v>
      </c>
      <c r="B2869" s="8" t="s">
        <v>120</v>
      </c>
      <c r="C2869" s="8" t="s">
        <v>974</v>
      </c>
      <c r="D2869" s="8">
        <v>5</v>
      </c>
      <c r="E2869" s="8" t="s">
        <v>483</v>
      </c>
      <c r="F2869" s="8" t="s">
        <v>266</v>
      </c>
      <c r="G2869" s="8" t="s">
        <v>976</v>
      </c>
      <c r="H2869" s="10">
        <v>167.8</v>
      </c>
      <c r="I2869" s="10"/>
      <c r="J2869" s="10">
        <v>167.8</v>
      </c>
      <c r="K2869" s="10">
        <v>6961.27</v>
      </c>
    </row>
    <row r="2870" spans="1:11" x14ac:dyDescent="0.25">
      <c r="A2870" s="8" t="s">
        <v>4501</v>
      </c>
      <c r="B2870" s="8" t="s">
        <v>130</v>
      </c>
      <c r="C2870" s="8" t="s">
        <v>974</v>
      </c>
      <c r="D2870" s="8">
        <v>5</v>
      </c>
      <c r="E2870" s="8" t="s">
        <v>483</v>
      </c>
      <c r="F2870" s="8" t="s">
        <v>266</v>
      </c>
      <c r="G2870" s="8" t="s">
        <v>976</v>
      </c>
      <c r="H2870" s="10">
        <v>0.9</v>
      </c>
      <c r="I2870" s="10"/>
      <c r="J2870" s="10">
        <v>0.9</v>
      </c>
      <c r="K2870" s="10">
        <v>6961.27</v>
      </c>
    </row>
    <row r="2871" spans="1:11" x14ac:dyDescent="0.25">
      <c r="A2871" s="8" t="s">
        <v>4502</v>
      </c>
      <c r="B2871" s="8" t="s">
        <v>136</v>
      </c>
      <c r="C2871" s="8" t="s">
        <v>974</v>
      </c>
      <c r="D2871" s="8">
        <v>5</v>
      </c>
      <c r="E2871" s="8" t="s">
        <v>483</v>
      </c>
      <c r="F2871" s="8" t="s">
        <v>266</v>
      </c>
      <c r="G2871" s="8" t="s">
        <v>976</v>
      </c>
      <c r="H2871" s="10">
        <v>4.5999999999999996</v>
      </c>
      <c r="I2871" s="10"/>
      <c r="J2871" s="10">
        <v>4.5999999999999996</v>
      </c>
      <c r="K2871" s="10">
        <v>6961.27</v>
      </c>
    </row>
    <row r="2872" spans="1:11" x14ac:dyDescent="0.25">
      <c r="A2872" s="8" t="s">
        <v>4503</v>
      </c>
      <c r="B2872" s="8" t="s">
        <v>1029</v>
      </c>
      <c r="C2872" s="8" t="s">
        <v>974</v>
      </c>
      <c r="D2872" s="8">
        <v>5</v>
      </c>
      <c r="E2872" s="8" t="s">
        <v>483</v>
      </c>
      <c r="F2872" s="8" t="s">
        <v>266</v>
      </c>
      <c r="G2872" s="8" t="s">
        <v>976</v>
      </c>
      <c r="H2872" s="10">
        <v>0.8</v>
      </c>
      <c r="I2872" s="10"/>
      <c r="J2872" s="10">
        <v>0.8</v>
      </c>
      <c r="K2872" s="10">
        <v>6961.27</v>
      </c>
    </row>
    <row r="2873" spans="1:11" x14ac:dyDescent="0.25">
      <c r="A2873" s="8" t="s">
        <v>4504</v>
      </c>
      <c r="B2873" s="8" t="s">
        <v>116</v>
      </c>
      <c r="C2873" s="8" t="s">
        <v>974</v>
      </c>
      <c r="D2873" s="8">
        <v>5</v>
      </c>
      <c r="E2873" s="8" t="s">
        <v>4505</v>
      </c>
      <c r="F2873" s="8" t="s">
        <v>266</v>
      </c>
      <c r="G2873" s="8" t="s">
        <v>976</v>
      </c>
      <c r="H2873" s="10">
        <v>35.4</v>
      </c>
      <c r="I2873" s="10"/>
      <c r="J2873" s="10">
        <v>35.4</v>
      </c>
      <c r="K2873" s="10">
        <v>6095.17</v>
      </c>
    </row>
    <row r="2874" spans="1:11" x14ac:dyDescent="0.25">
      <c r="A2874" s="8" t="s">
        <v>4506</v>
      </c>
      <c r="B2874" s="8" t="s">
        <v>118</v>
      </c>
      <c r="C2874" s="8" t="s">
        <v>974</v>
      </c>
      <c r="D2874" s="8">
        <v>5</v>
      </c>
      <c r="E2874" s="8" t="s">
        <v>4505</v>
      </c>
      <c r="F2874" s="8" t="s">
        <v>266</v>
      </c>
      <c r="G2874" s="8" t="s">
        <v>976</v>
      </c>
      <c r="H2874" s="10">
        <v>64</v>
      </c>
      <c r="I2874" s="10"/>
      <c r="J2874" s="10">
        <v>64</v>
      </c>
      <c r="K2874" s="10">
        <v>6095.17</v>
      </c>
    </row>
    <row r="2875" spans="1:11" x14ac:dyDescent="0.25">
      <c r="A2875" s="8" t="s">
        <v>4507</v>
      </c>
      <c r="B2875" s="8" t="s">
        <v>120</v>
      </c>
      <c r="C2875" s="8" t="s">
        <v>974</v>
      </c>
      <c r="D2875" s="8">
        <v>5</v>
      </c>
      <c r="E2875" s="8" t="s">
        <v>4505</v>
      </c>
      <c r="F2875" s="8" t="s">
        <v>266</v>
      </c>
      <c r="G2875" s="8" t="s">
        <v>976</v>
      </c>
      <c r="H2875" s="10">
        <v>581.1</v>
      </c>
      <c r="I2875" s="10"/>
      <c r="J2875" s="10">
        <v>581.1</v>
      </c>
      <c r="K2875" s="10">
        <v>6095.17</v>
      </c>
    </row>
    <row r="2876" spans="1:11" x14ac:dyDescent="0.25">
      <c r="A2876" s="8" t="s">
        <v>4508</v>
      </c>
      <c r="B2876" s="8" t="s">
        <v>122</v>
      </c>
      <c r="C2876" s="8" t="s">
        <v>974</v>
      </c>
      <c r="D2876" s="8">
        <v>5</v>
      </c>
      <c r="E2876" s="8" t="s">
        <v>4505</v>
      </c>
      <c r="F2876" s="8" t="s">
        <v>266</v>
      </c>
      <c r="G2876" s="8" t="s">
        <v>976</v>
      </c>
      <c r="H2876" s="10">
        <v>6.7</v>
      </c>
      <c r="I2876" s="10"/>
      <c r="J2876" s="10">
        <v>6.7</v>
      </c>
      <c r="K2876" s="10">
        <v>6095.17</v>
      </c>
    </row>
    <row r="2877" spans="1:11" x14ac:dyDescent="0.25">
      <c r="A2877" s="8" t="s">
        <v>4509</v>
      </c>
      <c r="B2877" s="8" t="s">
        <v>124</v>
      </c>
      <c r="C2877" s="8" t="s">
        <v>974</v>
      </c>
      <c r="D2877" s="8">
        <v>5</v>
      </c>
      <c r="E2877" s="8" t="s">
        <v>4505</v>
      </c>
      <c r="F2877" s="8" t="s">
        <v>266</v>
      </c>
      <c r="G2877" s="8" t="s">
        <v>976</v>
      </c>
      <c r="H2877" s="10">
        <v>18.399999999999999</v>
      </c>
      <c r="I2877" s="10"/>
      <c r="J2877" s="10">
        <v>18.399999999999999</v>
      </c>
      <c r="K2877" s="10">
        <v>6095.17</v>
      </c>
    </row>
    <row r="2878" spans="1:11" x14ac:dyDescent="0.25">
      <c r="A2878" s="8" t="s">
        <v>4510</v>
      </c>
      <c r="B2878" s="8" t="s">
        <v>78</v>
      </c>
      <c r="C2878" s="8" t="s">
        <v>974</v>
      </c>
      <c r="D2878" s="8">
        <v>5</v>
      </c>
      <c r="E2878" s="8" t="s">
        <v>4505</v>
      </c>
      <c r="F2878" s="8" t="s">
        <v>266</v>
      </c>
      <c r="G2878" s="8" t="s">
        <v>976</v>
      </c>
      <c r="H2878" s="10">
        <v>16.8</v>
      </c>
      <c r="I2878" s="10"/>
      <c r="J2878" s="10">
        <v>16.8</v>
      </c>
      <c r="K2878" s="10">
        <v>6095.17</v>
      </c>
    </row>
    <row r="2879" spans="1:11" x14ac:dyDescent="0.25">
      <c r="A2879" s="8" t="s">
        <v>4511</v>
      </c>
      <c r="B2879" s="8" t="s">
        <v>132</v>
      </c>
      <c r="C2879" s="8" t="s">
        <v>974</v>
      </c>
      <c r="D2879" s="8">
        <v>5</v>
      </c>
      <c r="E2879" s="8" t="s">
        <v>4505</v>
      </c>
      <c r="F2879" s="8" t="s">
        <v>266</v>
      </c>
      <c r="G2879" s="8" t="s">
        <v>976</v>
      </c>
      <c r="H2879" s="10">
        <v>11.3</v>
      </c>
      <c r="I2879" s="10"/>
      <c r="J2879" s="10">
        <v>11.3</v>
      </c>
      <c r="K2879" s="10">
        <v>6095.17</v>
      </c>
    </row>
    <row r="2880" spans="1:11" x14ac:dyDescent="0.25">
      <c r="A2880" s="8" t="s">
        <v>4512</v>
      </c>
      <c r="B2880" s="8" t="s">
        <v>263</v>
      </c>
      <c r="C2880" s="8" t="s">
        <v>4513</v>
      </c>
      <c r="D2880" s="8">
        <v>12</v>
      </c>
      <c r="E2880" s="8" t="s">
        <v>477</v>
      </c>
      <c r="F2880" s="8" t="s">
        <v>266</v>
      </c>
      <c r="G2880" s="8" t="s">
        <v>4514</v>
      </c>
      <c r="H2880" s="10">
        <v>1.4</v>
      </c>
      <c r="I2880" s="10"/>
      <c r="J2880" s="10">
        <v>1.4</v>
      </c>
      <c r="K2880" s="10">
        <v>24270.41</v>
      </c>
    </row>
    <row r="2881" spans="1:11" x14ac:dyDescent="0.25">
      <c r="A2881" s="8" t="s">
        <v>4515</v>
      </c>
      <c r="B2881" s="8" t="s">
        <v>269</v>
      </c>
      <c r="C2881" s="8" t="s">
        <v>4513</v>
      </c>
      <c r="D2881" s="8">
        <v>12</v>
      </c>
      <c r="E2881" s="8" t="s">
        <v>477</v>
      </c>
      <c r="F2881" s="8" t="s">
        <v>266</v>
      </c>
      <c r="G2881" s="8" t="s">
        <v>4514</v>
      </c>
      <c r="H2881" s="10">
        <v>1.4</v>
      </c>
      <c r="I2881" s="10"/>
      <c r="J2881" s="10">
        <v>1.4</v>
      </c>
      <c r="K2881" s="10">
        <v>24270.41</v>
      </c>
    </row>
    <row r="2882" spans="1:11" x14ac:dyDescent="0.25">
      <c r="A2882" s="8" t="s">
        <v>4516</v>
      </c>
      <c r="B2882" s="8" t="s">
        <v>263</v>
      </c>
      <c r="C2882" s="8" t="s">
        <v>974</v>
      </c>
      <c r="D2882" s="8">
        <v>5</v>
      </c>
      <c r="E2882" s="8" t="s">
        <v>480</v>
      </c>
      <c r="F2882" s="8" t="s">
        <v>266</v>
      </c>
      <c r="G2882" s="8" t="s">
        <v>976</v>
      </c>
      <c r="H2882" s="10">
        <v>0.9</v>
      </c>
      <c r="I2882" s="10"/>
      <c r="J2882" s="10">
        <v>0.9</v>
      </c>
      <c r="K2882" s="10">
        <v>7827.36</v>
      </c>
    </row>
    <row r="2883" spans="1:11" x14ac:dyDescent="0.25">
      <c r="A2883" s="8" t="s">
        <v>4517</v>
      </c>
      <c r="B2883" s="8" t="s">
        <v>269</v>
      </c>
      <c r="C2883" s="8" t="s">
        <v>974</v>
      </c>
      <c r="D2883" s="8">
        <v>5</v>
      </c>
      <c r="E2883" s="8" t="s">
        <v>480</v>
      </c>
      <c r="F2883" s="8" t="s">
        <v>266</v>
      </c>
      <c r="G2883" s="8" t="s">
        <v>976</v>
      </c>
      <c r="H2883" s="10">
        <v>0.9</v>
      </c>
      <c r="I2883" s="10"/>
      <c r="J2883" s="10">
        <v>0.9</v>
      </c>
      <c r="K2883" s="10">
        <v>7827.36</v>
      </c>
    </row>
    <row r="2884" spans="1:11" x14ac:dyDescent="0.25">
      <c r="A2884" s="8" t="s">
        <v>4518</v>
      </c>
      <c r="B2884" s="8" t="s">
        <v>72</v>
      </c>
      <c r="C2884" s="8" t="s">
        <v>974</v>
      </c>
      <c r="D2884" s="8">
        <v>5</v>
      </c>
      <c r="E2884" s="8" t="s">
        <v>480</v>
      </c>
      <c r="F2884" s="8" t="s">
        <v>266</v>
      </c>
      <c r="G2884" s="8" t="s">
        <v>976</v>
      </c>
      <c r="H2884" s="10">
        <v>6.7</v>
      </c>
      <c r="I2884" s="10"/>
      <c r="J2884" s="10">
        <v>6.7</v>
      </c>
      <c r="K2884" s="10">
        <v>7827.36</v>
      </c>
    </row>
    <row r="2885" spans="1:11" x14ac:dyDescent="0.25">
      <c r="A2885" s="8" t="s">
        <v>4519</v>
      </c>
      <c r="B2885" s="8" t="s">
        <v>72</v>
      </c>
      <c r="C2885" s="8" t="s">
        <v>974</v>
      </c>
      <c r="D2885" s="8">
        <v>5</v>
      </c>
      <c r="E2885" s="8" t="s">
        <v>480</v>
      </c>
      <c r="F2885" s="8" t="s">
        <v>266</v>
      </c>
      <c r="G2885" s="8" t="s">
        <v>976</v>
      </c>
      <c r="H2885" s="10">
        <v>2</v>
      </c>
      <c r="I2885" s="10"/>
      <c r="J2885" s="10">
        <v>2</v>
      </c>
      <c r="K2885" s="10">
        <v>7827.36</v>
      </c>
    </row>
    <row r="2886" spans="1:11" x14ac:dyDescent="0.25">
      <c r="A2886" s="8" t="s">
        <v>4520</v>
      </c>
      <c r="B2886" s="8" t="s">
        <v>116</v>
      </c>
      <c r="C2886" s="8" t="s">
        <v>974</v>
      </c>
      <c r="D2886" s="8">
        <v>5</v>
      </c>
      <c r="E2886" s="8" t="s">
        <v>480</v>
      </c>
      <c r="F2886" s="8" t="s">
        <v>266</v>
      </c>
      <c r="G2886" s="8" t="s">
        <v>976</v>
      </c>
      <c r="H2886" s="10">
        <v>8.6999999999999993</v>
      </c>
      <c r="I2886" s="10"/>
      <c r="J2886" s="10">
        <v>8.6999999999999993</v>
      </c>
      <c r="K2886" s="10">
        <v>7827.36</v>
      </c>
    </row>
    <row r="2887" spans="1:11" x14ac:dyDescent="0.25">
      <c r="A2887" s="8" t="s">
        <v>4521</v>
      </c>
      <c r="B2887" s="8" t="s">
        <v>116</v>
      </c>
      <c r="C2887" s="8" t="s">
        <v>974</v>
      </c>
      <c r="D2887" s="8">
        <v>5</v>
      </c>
      <c r="E2887" s="8" t="s">
        <v>480</v>
      </c>
      <c r="F2887" s="8" t="s">
        <v>266</v>
      </c>
      <c r="G2887" s="8" t="s">
        <v>976</v>
      </c>
      <c r="H2887" s="10">
        <v>11.1</v>
      </c>
      <c r="I2887" s="10"/>
      <c r="J2887" s="10">
        <v>11.1</v>
      </c>
      <c r="K2887" s="10">
        <v>7827.36</v>
      </c>
    </row>
    <row r="2888" spans="1:11" x14ac:dyDescent="0.25">
      <c r="A2888" s="8" t="s">
        <v>4522</v>
      </c>
      <c r="B2888" s="8" t="s">
        <v>118</v>
      </c>
      <c r="C2888" s="8" t="s">
        <v>974</v>
      </c>
      <c r="D2888" s="8">
        <v>5</v>
      </c>
      <c r="E2888" s="8" t="s">
        <v>480</v>
      </c>
      <c r="F2888" s="8" t="s">
        <v>266</v>
      </c>
      <c r="G2888" s="8" t="s">
        <v>976</v>
      </c>
      <c r="H2888" s="10">
        <v>18.2</v>
      </c>
      <c r="I2888" s="10"/>
      <c r="J2888" s="10">
        <v>18.2</v>
      </c>
      <c r="K2888" s="10">
        <v>7827.36</v>
      </c>
    </row>
    <row r="2889" spans="1:11" x14ac:dyDescent="0.25">
      <c r="A2889" s="8" t="s">
        <v>4523</v>
      </c>
      <c r="B2889" s="8" t="s">
        <v>118</v>
      </c>
      <c r="C2889" s="8" t="s">
        <v>974</v>
      </c>
      <c r="D2889" s="8">
        <v>5</v>
      </c>
      <c r="E2889" s="8" t="s">
        <v>480</v>
      </c>
      <c r="F2889" s="8" t="s">
        <v>266</v>
      </c>
      <c r="G2889" s="8" t="s">
        <v>976</v>
      </c>
      <c r="H2889" s="10">
        <v>5.5</v>
      </c>
      <c r="I2889" s="10"/>
      <c r="J2889" s="10">
        <v>5.5</v>
      </c>
      <c r="K2889" s="10">
        <v>7827.36</v>
      </c>
    </row>
    <row r="2890" spans="1:11" x14ac:dyDescent="0.25">
      <c r="A2890" s="8" t="s">
        <v>4524</v>
      </c>
      <c r="B2890" s="8" t="s">
        <v>1650</v>
      </c>
      <c r="C2890" s="8" t="s">
        <v>974</v>
      </c>
      <c r="D2890" s="8">
        <v>5</v>
      </c>
      <c r="E2890" s="8" t="s">
        <v>480</v>
      </c>
      <c r="F2890" s="8" t="s">
        <v>266</v>
      </c>
      <c r="G2890" s="8" t="s">
        <v>976</v>
      </c>
      <c r="H2890" s="10">
        <v>6.7</v>
      </c>
      <c r="I2890" s="10"/>
      <c r="J2890" s="10">
        <v>6.7</v>
      </c>
      <c r="K2890" s="10">
        <v>7827.36</v>
      </c>
    </row>
    <row r="2891" spans="1:11" x14ac:dyDescent="0.25">
      <c r="A2891" s="8" t="s">
        <v>4525</v>
      </c>
      <c r="B2891" s="8" t="s">
        <v>120</v>
      </c>
      <c r="C2891" s="8" t="s">
        <v>974</v>
      </c>
      <c r="D2891" s="8">
        <v>5</v>
      </c>
      <c r="E2891" s="8" t="s">
        <v>480</v>
      </c>
      <c r="F2891" s="8" t="s">
        <v>266</v>
      </c>
      <c r="G2891" s="8" t="s">
        <v>976</v>
      </c>
      <c r="H2891" s="10">
        <v>54.6</v>
      </c>
      <c r="I2891" s="10"/>
      <c r="J2891" s="10">
        <v>54.6</v>
      </c>
      <c r="K2891" s="10">
        <v>7827.36</v>
      </c>
    </row>
    <row r="2892" spans="1:11" x14ac:dyDescent="0.25">
      <c r="A2892" s="8" t="s">
        <v>4526</v>
      </c>
      <c r="B2892" s="8" t="s">
        <v>120</v>
      </c>
      <c r="C2892" s="8" t="s">
        <v>974</v>
      </c>
      <c r="D2892" s="8">
        <v>5</v>
      </c>
      <c r="E2892" s="8" t="s">
        <v>480</v>
      </c>
      <c r="F2892" s="8" t="s">
        <v>266</v>
      </c>
      <c r="G2892" s="8" t="s">
        <v>976</v>
      </c>
      <c r="H2892" s="10">
        <v>15</v>
      </c>
      <c r="I2892" s="10"/>
      <c r="J2892" s="10">
        <v>15</v>
      </c>
      <c r="K2892" s="10">
        <v>7827.36</v>
      </c>
    </row>
    <row r="2893" spans="1:11" x14ac:dyDescent="0.25">
      <c r="A2893" s="8" t="s">
        <v>4527</v>
      </c>
      <c r="B2893" s="8" t="s">
        <v>122</v>
      </c>
      <c r="C2893" s="8" t="s">
        <v>974</v>
      </c>
      <c r="D2893" s="8">
        <v>5</v>
      </c>
      <c r="E2893" s="8" t="s">
        <v>480</v>
      </c>
      <c r="F2893" s="8" t="s">
        <v>266</v>
      </c>
      <c r="G2893" s="8" t="s">
        <v>976</v>
      </c>
      <c r="H2893" s="10">
        <v>10</v>
      </c>
      <c r="I2893" s="10"/>
      <c r="J2893" s="10">
        <v>10</v>
      </c>
      <c r="K2893" s="10">
        <v>7827.36</v>
      </c>
    </row>
    <row r="2894" spans="1:11" x14ac:dyDescent="0.25">
      <c r="A2894" s="8" t="s">
        <v>4528</v>
      </c>
      <c r="B2894" s="8" t="s">
        <v>124</v>
      </c>
      <c r="C2894" s="8" t="s">
        <v>974</v>
      </c>
      <c r="D2894" s="8">
        <v>5</v>
      </c>
      <c r="E2894" s="8" t="s">
        <v>480</v>
      </c>
      <c r="F2894" s="8" t="s">
        <v>266</v>
      </c>
      <c r="G2894" s="8" t="s">
        <v>976</v>
      </c>
      <c r="H2894" s="10">
        <v>32.4</v>
      </c>
      <c r="I2894" s="10"/>
      <c r="J2894" s="10">
        <v>32.4</v>
      </c>
      <c r="K2894" s="10">
        <v>7827.36</v>
      </c>
    </row>
    <row r="2895" spans="1:11" x14ac:dyDescent="0.25">
      <c r="A2895" s="8" t="s">
        <v>4529</v>
      </c>
      <c r="B2895" s="8" t="s">
        <v>78</v>
      </c>
      <c r="C2895" s="8" t="s">
        <v>974</v>
      </c>
      <c r="D2895" s="8">
        <v>5</v>
      </c>
      <c r="E2895" s="8" t="s">
        <v>480</v>
      </c>
      <c r="F2895" s="8" t="s">
        <v>266</v>
      </c>
      <c r="G2895" s="8" t="s">
        <v>976</v>
      </c>
      <c r="H2895" s="10">
        <v>12.2</v>
      </c>
      <c r="I2895" s="10"/>
      <c r="J2895" s="10">
        <v>12.2</v>
      </c>
      <c r="K2895" s="10">
        <v>7827.36</v>
      </c>
    </row>
    <row r="2896" spans="1:11" x14ac:dyDescent="0.25">
      <c r="A2896" s="8" t="s">
        <v>4530</v>
      </c>
      <c r="B2896" s="8" t="s">
        <v>1655</v>
      </c>
      <c r="C2896" s="8" t="s">
        <v>974</v>
      </c>
      <c r="D2896" s="8">
        <v>5</v>
      </c>
      <c r="E2896" s="8" t="s">
        <v>480</v>
      </c>
      <c r="F2896" s="8" t="s">
        <v>266</v>
      </c>
      <c r="G2896" s="8" t="s">
        <v>976</v>
      </c>
      <c r="H2896" s="10">
        <v>7.4</v>
      </c>
      <c r="I2896" s="10"/>
      <c r="J2896" s="10">
        <v>7.4</v>
      </c>
      <c r="K2896" s="10">
        <v>7827.36</v>
      </c>
    </row>
    <row r="2897" spans="1:11" x14ac:dyDescent="0.25">
      <c r="A2897" s="8" t="s">
        <v>4531</v>
      </c>
      <c r="B2897" s="8" t="s">
        <v>128</v>
      </c>
      <c r="C2897" s="8" t="s">
        <v>974</v>
      </c>
      <c r="D2897" s="8">
        <v>5</v>
      </c>
      <c r="E2897" s="8" t="s">
        <v>480</v>
      </c>
      <c r="F2897" s="8" t="s">
        <v>266</v>
      </c>
      <c r="G2897" s="8" t="s">
        <v>976</v>
      </c>
      <c r="H2897" s="10">
        <v>1.4</v>
      </c>
      <c r="I2897" s="10"/>
      <c r="J2897" s="10">
        <v>1.4</v>
      </c>
      <c r="K2897" s="10">
        <v>7827.36</v>
      </c>
    </row>
    <row r="2898" spans="1:11" x14ac:dyDescent="0.25">
      <c r="A2898" s="8" t="s">
        <v>4532</v>
      </c>
      <c r="B2898" s="8" t="s">
        <v>130</v>
      </c>
      <c r="C2898" s="8" t="s">
        <v>974</v>
      </c>
      <c r="D2898" s="8">
        <v>5</v>
      </c>
      <c r="E2898" s="8" t="s">
        <v>480</v>
      </c>
      <c r="F2898" s="8" t="s">
        <v>266</v>
      </c>
      <c r="G2898" s="8" t="s">
        <v>976</v>
      </c>
      <c r="H2898" s="10">
        <v>1.6</v>
      </c>
      <c r="I2898" s="10"/>
      <c r="J2898" s="10">
        <v>1.6</v>
      </c>
      <c r="K2898" s="10">
        <v>7827.36</v>
      </c>
    </row>
    <row r="2899" spans="1:11" x14ac:dyDescent="0.25">
      <c r="A2899" s="8" t="s">
        <v>4533</v>
      </c>
      <c r="B2899" s="8" t="s">
        <v>132</v>
      </c>
      <c r="C2899" s="8" t="s">
        <v>974</v>
      </c>
      <c r="D2899" s="8">
        <v>5</v>
      </c>
      <c r="E2899" s="8" t="s">
        <v>480</v>
      </c>
      <c r="F2899" s="8" t="s">
        <v>266</v>
      </c>
      <c r="G2899" s="8" t="s">
        <v>976</v>
      </c>
      <c r="H2899" s="10">
        <v>4.5999999999999996</v>
      </c>
      <c r="I2899" s="10"/>
      <c r="J2899" s="10">
        <v>4.5999999999999996</v>
      </c>
      <c r="K2899" s="10">
        <v>7827.36</v>
      </c>
    </row>
    <row r="2900" spans="1:11" x14ac:dyDescent="0.25">
      <c r="A2900" s="8" t="s">
        <v>4534</v>
      </c>
      <c r="B2900" s="8" t="s">
        <v>134</v>
      </c>
      <c r="C2900" s="8" t="s">
        <v>974</v>
      </c>
      <c r="D2900" s="8">
        <v>5</v>
      </c>
      <c r="E2900" s="8" t="s">
        <v>480</v>
      </c>
      <c r="F2900" s="8" t="s">
        <v>266</v>
      </c>
      <c r="G2900" s="8" t="s">
        <v>976</v>
      </c>
      <c r="H2900" s="10">
        <v>7.9</v>
      </c>
      <c r="I2900" s="10"/>
      <c r="J2900" s="10">
        <v>7.9</v>
      </c>
      <c r="K2900" s="10">
        <v>7827.36</v>
      </c>
    </row>
    <row r="2901" spans="1:11" x14ac:dyDescent="0.25">
      <c r="A2901" s="8" t="s">
        <v>4535</v>
      </c>
      <c r="B2901" s="8" t="s">
        <v>136</v>
      </c>
      <c r="C2901" s="8" t="s">
        <v>974</v>
      </c>
      <c r="D2901" s="8">
        <v>5</v>
      </c>
      <c r="E2901" s="8" t="s">
        <v>480</v>
      </c>
      <c r="F2901" s="8" t="s">
        <v>266</v>
      </c>
      <c r="G2901" s="8" t="s">
        <v>976</v>
      </c>
      <c r="H2901" s="10">
        <v>6.1</v>
      </c>
      <c r="I2901" s="10"/>
      <c r="J2901" s="10">
        <v>6.1</v>
      </c>
      <c r="K2901" s="10">
        <v>7827.36</v>
      </c>
    </row>
    <row r="2902" spans="1:11" x14ac:dyDescent="0.25">
      <c r="A2902" s="8" t="s">
        <v>4536</v>
      </c>
      <c r="B2902" s="8" t="s">
        <v>2627</v>
      </c>
      <c r="C2902" s="8" t="s">
        <v>974</v>
      </c>
      <c r="D2902" s="8">
        <v>5</v>
      </c>
      <c r="E2902" s="8" t="s">
        <v>480</v>
      </c>
      <c r="F2902" s="8" t="s">
        <v>266</v>
      </c>
      <c r="G2902" s="8" t="s">
        <v>976</v>
      </c>
      <c r="H2902" s="10">
        <v>4.2</v>
      </c>
      <c r="I2902" s="10"/>
      <c r="J2902" s="10">
        <v>4.2</v>
      </c>
      <c r="K2902" s="10">
        <v>7827.36</v>
      </c>
    </row>
    <row r="2903" spans="1:11" x14ac:dyDescent="0.25">
      <c r="A2903" s="8" t="s">
        <v>4537</v>
      </c>
      <c r="B2903" s="8" t="s">
        <v>2627</v>
      </c>
      <c r="C2903" s="8" t="s">
        <v>974</v>
      </c>
      <c r="D2903" s="8">
        <v>5</v>
      </c>
      <c r="E2903" s="8" t="s">
        <v>480</v>
      </c>
      <c r="F2903" s="8" t="s">
        <v>266</v>
      </c>
      <c r="G2903" s="8" t="s">
        <v>976</v>
      </c>
      <c r="H2903" s="10">
        <v>2.2999999999999998</v>
      </c>
      <c r="I2903" s="10"/>
      <c r="J2903" s="10">
        <v>2.2999999999999998</v>
      </c>
      <c r="K2903" s="10">
        <v>7827.36</v>
      </c>
    </row>
    <row r="2904" spans="1:11" x14ac:dyDescent="0.25">
      <c r="A2904" s="8" t="s">
        <v>4538</v>
      </c>
      <c r="B2904" s="8" t="s">
        <v>2627</v>
      </c>
      <c r="C2904" s="8" t="s">
        <v>974</v>
      </c>
      <c r="D2904" s="8">
        <v>5</v>
      </c>
      <c r="E2904" s="8" t="s">
        <v>480</v>
      </c>
      <c r="F2904" s="8" t="s">
        <v>266</v>
      </c>
      <c r="G2904" s="8" t="s">
        <v>976</v>
      </c>
      <c r="H2904" s="10">
        <v>1.4</v>
      </c>
      <c r="I2904" s="10"/>
      <c r="J2904" s="10">
        <v>1.4</v>
      </c>
      <c r="K2904" s="10">
        <v>7827.36</v>
      </c>
    </row>
    <row r="2905" spans="1:11" x14ac:dyDescent="0.25">
      <c r="A2905" s="8" t="s">
        <v>4539</v>
      </c>
      <c r="B2905" s="8" t="s">
        <v>2627</v>
      </c>
      <c r="C2905" s="8" t="s">
        <v>974</v>
      </c>
      <c r="D2905" s="8">
        <v>5</v>
      </c>
      <c r="E2905" s="8" t="s">
        <v>480</v>
      </c>
      <c r="F2905" s="8" t="s">
        <v>266</v>
      </c>
      <c r="G2905" s="8" t="s">
        <v>976</v>
      </c>
      <c r="H2905" s="10">
        <v>1</v>
      </c>
      <c r="I2905" s="10"/>
      <c r="J2905" s="10">
        <v>1</v>
      </c>
      <c r="K2905" s="10">
        <v>7827.36</v>
      </c>
    </row>
    <row r="2906" spans="1:11" x14ac:dyDescent="0.25">
      <c r="A2906" s="8" t="s">
        <v>4540</v>
      </c>
      <c r="B2906" s="8" t="s">
        <v>2627</v>
      </c>
      <c r="C2906" s="8" t="s">
        <v>974</v>
      </c>
      <c r="D2906" s="8">
        <v>5</v>
      </c>
      <c r="E2906" s="8" t="s">
        <v>480</v>
      </c>
      <c r="F2906" s="8" t="s">
        <v>266</v>
      </c>
      <c r="G2906" s="8" t="s">
        <v>976</v>
      </c>
      <c r="H2906" s="10">
        <v>5.4</v>
      </c>
      <c r="I2906" s="10"/>
      <c r="J2906" s="10">
        <v>5.4</v>
      </c>
      <c r="K2906" s="10">
        <v>7827.36</v>
      </c>
    </row>
    <row r="2907" spans="1:11" x14ac:dyDescent="0.25">
      <c r="A2907" s="8" t="s">
        <v>4541</v>
      </c>
      <c r="B2907" s="8" t="s">
        <v>2627</v>
      </c>
      <c r="C2907" s="8" t="s">
        <v>974</v>
      </c>
      <c r="D2907" s="8">
        <v>5</v>
      </c>
      <c r="E2907" s="8" t="s">
        <v>480</v>
      </c>
      <c r="F2907" s="8" t="s">
        <v>266</v>
      </c>
      <c r="G2907" s="8" t="s">
        <v>976</v>
      </c>
      <c r="H2907" s="10">
        <v>13.5</v>
      </c>
      <c r="I2907" s="10"/>
      <c r="J2907" s="10">
        <v>13.5</v>
      </c>
      <c r="K2907" s="10">
        <v>7827.36</v>
      </c>
    </row>
    <row r="2908" spans="1:11" x14ac:dyDescent="0.25">
      <c r="A2908" s="8" t="s">
        <v>4542</v>
      </c>
      <c r="B2908" s="8" t="s">
        <v>3518</v>
      </c>
      <c r="C2908" s="8" t="s">
        <v>974</v>
      </c>
      <c r="D2908" s="8">
        <v>5</v>
      </c>
      <c r="E2908" s="8" t="s">
        <v>480</v>
      </c>
      <c r="F2908" s="8" t="s">
        <v>266</v>
      </c>
      <c r="G2908" s="8" t="s">
        <v>976</v>
      </c>
      <c r="H2908" s="10">
        <v>0.3</v>
      </c>
      <c r="I2908" s="10"/>
      <c r="J2908" s="10">
        <v>0.3</v>
      </c>
      <c r="K2908" s="10">
        <v>7827.36</v>
      </c>
    </row>
    <row r="2909" spans="1:11" x14ac:dyDescent="0.25">
      <c r="A2909" s="8" t="s">
        <v>4543</v>
      </c>
      <c r="B2909" s="8" t="s">
        <v>4491</v>
      </c>
      <c r="C2909" s="8" t="s">
        <v>974</v>
      </c>
      <c r="D2909" s="8">
        <v>5</v>
      </c>
      <c r="E2909" s="8" t="s">
        <v>480</v>
      </c>
      <c r="F2909" s="8" t="s">
        <v>266</v>
      </c>
      <c r="G2909" s="8" t="s">
        <v>976</v>
      </c>
      <c r="H2909" s="10">
        <v>0.4</v>
      </c>
      <c r="I2909" s="10"/>
      <c r="J2909" s="10">
        <v>0.4</v>
      </c>
      <c r="K2909" s="10">
        <v>7827.36</v>
      </c>
    </row>
    <row r="2910" spans="1:11" x14ac:dyDescent="0.25">
      <c r="A2910" s="8" t="s">
        <v>4544</v>
      </c>
      <c r="B2910" s="8" t="s">
        <v>138</v>
      </c>
      <c r="C2910" s="8" t="s">
        <v>974</v>
      </c>
      <c r="D2910" s="8">
        <v>5</v>
      </c>
      <c r="E2910" s="8" t="s">
        <v>480</v>
      </c>
      <c r="F2910" s="8" t="s">
        <v>266</v>
      </c>
      <c r="G2910" s="8" t="s">
        <v>976</v>
      </c>
      <c r="H2910" s="10">
        <v>4.0999999999999996</v>
      </c>
      <c r="I2910" s="10"/>
      <c r="J2910" s="10">
        <v>4.0999999999999996</v>
      </c>
      <c r="K2910" s="10">
        <v>7827.36</v>
      </c>
    </row>
    <row r="2911" spans="1:11" x14ac:dyDescent="0.25">
      <c r="A2911" s="8" t="s">
        <v>4545</v>
      </c>
      <c r="B2911" s="8" t="s">
        <v>1029</v>
      </c>
      <c r="C2911" s="8" t="s">
        <v>974</v>
      </c>
      <c r="D2911" s="8">
        <v>5</v>
      </c>
      <c r="E2911" s="8" t="s">
        <v>480</v>
      </c>
      <c r="F2911" s="8" t="s">
        <v>266</v>
      </c>
      <c r="G2911" s="8" t="s">
        <v>976</v>
      </c>
      <c r="H2911" s="10">
        <v>1</v>
      </c>
      <c r="I2911" s="10"/>
      <c r="J2911" s="10">
        <v>1</v>
      </c>
      <c r="K2911" s="10">
        <v>7827.36</v>
      </c>
    </row>
    <row r="2912" spans="1:11" x14ac:dyDescent="0.25">
      <c r="A2912" s="8" t="s">
        <v>4546</v>
      </c>
      <c r="B2912" s="8" t="s">
        <v>4495</v>
      </c>
      <c r="C2912" s="8" t="s">
        <v>974</v>
      </c>
      <c r="D2912" s="8">
        <v>5</v>
      </c>
      <c r="E2912" s="8" t="s">
        <v>480</v>
      </c>
      <c r="F2912" s="8" t="s">
        <v>266</v>
      </c>
      <c r="G2912" s="8" t="s">
        <v>976</v>
      </c>
      <c r="H2912" s="10">
        <v>9.6</v>
      </c>
      <c r="I2912" s="10"/>
      <c r="J2912" s="10">
        <v>9.6</v>
      </c>
      <c r="K2912" s="10">
        <v>7827.36</v>
      </c>
    </row>
    <row r="2913" spans="1:11" x14ac:dyDescent="0.25">
      <c r="A2913" s="8" t="s">
        <v>4547</v>
      </c>
      <c r="B2913" s="8" t="s">
        <v>263</v>
      </c>
      <c r="C2913" s="8" t="s">
        <v>974</v>
      </c>
      <c r="D2913" s="8">
        <v>5</v>
      </c>
      <c r="E2913" s="8" t="s">
        <v>483</v>
      </c>
      <c r="F2913" s="8" t="s">
        <v>266</v>
      </c>
      <c r="G2913" s="8" t="s">
        <v>976</v>
      </c>
      <c r="H2913" s="10">
        <v>1</v>
      </c>
      <c r="I2913" s="10"/>
      <c r="J2913" s="10">
        <v>1</v>
      </c>
      <c r="K2913" s="10">
        <v>6961.27</v>
      </c>
    </row>
    <row r="2914" spans="1:11" x14ac:dyDescent="0.25">
      <c r="A2914" s="8" t="s">
        <v>4548</v>
      </c>
      <c r="B2914" s="8" t="s">
        <v>269</v>
      </c>
      <c r="C2914" s="8" t="s">
        <v>974</v>
      </c>
      <c r="D2914" s="8">
        <v>5</v>
      </c>
      <c r="E2914" s="8" t="s">
        <v>483</v>
      </c>
      <c r="F2914" s="8" t="s">
        <v>266</v>
      </c>
      <c r="G2914" s="8" t="s">
        <v>976</v>
      </c>
      <c r="H2914" s="10">
        <v>1</v>
      </c>
      <c r="I2914" s="10"/>
      <c r="J2914" s="10">
        <v>1</v>
      </c>
      <c r="K2914" s="10">
        <v>6961.27</v>
      </c>
    </row>
    <row r="2915" spans="1:11" x14ac:dyDescent="0.25">
      <c r="A2915" s="8" t="s">
        <v>4549</v>
      </c>
      <c r="B2915" s="8" t="s">
        <v>72</v>
      </c>
      <c r="C2915" s="8" t="s">
        <v>974</v>
      </c>
      <c r="D2915" s="8">
        <v>5</v>
      </c>
      <c r="E2915" s="8" t="s">
        <v>483</v>
      </c>
      <c r="F2915" s="8" t="s">
        <v>266</v>
      </c>
      <c r="G2915" s="8" t="s">
        <v>976</v>
      </c>
      <c r="H2915" s="10">
        <v>0.5</v>
      </c>
      <c r="I2915" s="10"/>
      <c r="J2915" s="10">
        <v>0.5</v>
      </c>
      <c r="K2915" s="10">
        <v>6961.27</v>
      </c>
    </row>
    <row r="2916" spans="1:11" x14ac:dyDescent="0.25">
      <c r="A2916" s="8" t="s">
        <v>4550</v>
      </c>
      <c r="B2916" s="8" t="s">
        <v>72</v>
      </c>
      <c r="C2916" s="8" t="s">
        <v>974</v>
      </c>
      <c r="D2916" s="8">
        <v>5</v>
      </c>
      <c r="E2916" s="8" t="s">
        <v>483</v>
      </c>
      <c r="F2916" s="8" t="s">
        <v>266</v>
      </c>
      <c r="G2916" s="8" t="s">
        <v>976</v>
      </c>
      <c r="H2916" s="10">
        <v>4</v>
      </c>
      <c r="I2916" s="10"/>
      <c r="J2916" s="10">
        <v>4</v>
      </c>
      <c r="K2916" s="10">
        <v>6961.27</v>
      </c>
    </row>
    <row r="2917" spans="1:11" x14ac:dyDescent="0.25">
      <c r="A2917" s="8" t="s">
        <v>4551</v>
      </c>
      <c r="B2917" s="8" t="s">
        <v>116</v>
      </c>
      <c r="C2917" s="8" t="s">
        <v>974</v>
      </c>
      <c r="D2917" s="8">
        <v>5</v>
      </c>
      <c r="E2917" s="8" t="s">
        <v>483</v>
      </c>
      <c r="F2917" s="8" t="s">
        <v>266</v>
      </c>
      <c r="G2917" s="8" t="s">
        <v>976</v>
      </c>
      <c r="H2917" s="10">
        <v>9.5</v>
      </c>
      <c r="I2917" s="10"/>
      <c r="J2917" s="10">
        <v>9.5</v>
      </c>
      <c r="K2917" s="10">
        <v>6961.27</v>
      </c>
    </row>
    <row r="2918" spans="1:11" x14ac:dyDescent="0.25">
      <c r="A2918" s="8" t="s">
        <v>4552</v>
      </c>
      <c r="B2918" s="8" t="s">
        <v>118</v>
      </c>
      <c r="C2918" s="8" t="s">
        <v>974</v>
      </c>
      <c r="D2918" s="8">
        <v>5</v>
      </c>
      <c r="E2918" s="8" t="s">
        <v>483</v>
      </c>
      <c r="F2918" s="8" t="s">
        <v>266</v>
      </c>
      <c r="G2918" s="8" t="s">
        <v>976</v>
      </c>
      <c r="H2918" s="10">
        <v>85.5</v>
      </c>
      <c r="I2918" s="10"/>
      <c r="J2918" s="10">
        <v>85.5</v>
      </c>
      <c r="K2918" s="10">
        <v>6961.27</v>
      </c>
    </row>
    <row r="2919" spans="1:11" x14ac:dyDescent="0.25">
      <c r="A2919" s="8" t="s">
        <v>4553</v>
      </c>
      <c r="B2919" s="8" t="s">
        <v>1650</v>
      </c>
      <c r="C2919" s="8" t="s">
        <v>974</v>
      </c>
      <c r="D2919" s="8">
        <v>5</v>
      </c>
      <c r="E2919" s="8" t="s">
        <v>483</v>
      </c>
      <c r="F2919" s="8" t="s">
        <v>266</v>
      </c>
      <c r="G2919" s="8" t="s">
        <v>976</v>
      </c>
      <c r="H2919" s="10">
        <v>0.5</v>
      </c>
      <c r="I2919" s="10"/>
      <c r="J2919" s="10">
        <v>0.5</v>
      </c>
      <c r="K2919" s="10">
        <v>6961.27</v>
      </c>
    </row>
    <row r="2920" spans="1:11" x14ac:dyDescent="0.25">
      <c r="A2920" s="8" t="s">
        <v>4554</v>
      </c>
      <c r="B2920" s="8" t="s">
        <v>120</v>
      </c>
      <c r="C2920" s="8" t="s">
        <v>974</v>
      </c>
      <c r="D2920" s="8">
        <v>5</v>
      </c>
      <c r="E2920" s="8" t="s">
        <v>483</v>
      </c>
      <c r="F2920" s="8" t="s">
        <v>266</v>
      </c>
      <c r="G2920" s="8" t="s">
        <v>976</v>
      </c>
      <c r="H2920" s="10">
        <v>238.7</v>
      </c>
      <c r="I2920" s="10"/>
      <c r="J2920" s="10">
        <v>238.7</v>
      </c>
      <c r="K2920" s="10">
        <v>6961.27</v>
      </c>
    </row>
    <row r="2921" spans="1:11" x14ac:dyDescent="0.25">
      <c r="A2921" s="8" t="s">
        <v>4555</v>
      </c>
      <c r="B2921" s="8" t="s">
        <v>122</v>
      </c>
      <c r="C2921" s="8" t="s">
        <v>974</v>
      </c>
      <c r="D2921" s="8">
        <v>5</v>
      </c>
      <c r="E2921" s="8" t="s">
        <v>483</v>
      </c>
      <c r="F2921" s="8" t="s">
        <v>266</v>
      </c>
      <c r="G2921" s="8" t="s">
        <v>976</v>
      </c>
      <c r="H2921" s="10">
        <v>32</v>
      </c>
      <c r="I2921" s="10"/>
      <c r="J2921" s="10">
        <v>32</v>
      </c>
      <c r="K2921" s="10">
        <v>6961.27</v>
      </c>
    </row>
    <row r="2922" spans="1:11" x14ac:dyDescent="0.25">
      <c r="A2922" s="8" t="s">
        <v>4556</v>
      </c>
      <c r="B2922" s="8" t="s">
        <v>122</v>
      </c>
      <c r="C2922" s="8" t="s">
        <v>974</v>
      </c>
      <c r="D2922" s="8">
        <v>5</v>
      </c>
      <c r="E2922" s="8" t="s">
        <v>483</v>
      </c>
      <c r="F2922" s="8" t="s">
        <v>266</v>
      </c>
      <c r="G2922" s="8" t="s">
        <v>976</v>
      </c>
      <c r="H2922" s="10">
        <v>4</v>
      </c>
      <c r="I2922" s="10"/>
      <c r="J2922" s="10">
        <v>4</v>
      </c>
      <c r="K2922" s="10">
        <v>6961.27</v>
      </c>
    </row>
    <row r="2923" spans="1:11" x14ac:dyDescent="0.25">
      <c r="A2923" s="8" t="s">
        <v>4557</v>
      </c>
      <c r="B2923" s="8" t="s">
        <v>124</v>
      </c>
      <c r="C2923" s="8" t="s">
        <v>974</v>
      </c>
      <c r="D2923" s="8">
        <v>5</v>
      </c>
      <c r="E2923" s="8" t="s">
        <v>483</v>
      </c>
      <c r="F2923" s="8" t="s">
        <v>266</v>
      </c>
      <c r="G2923" s="8" t="s">
        <v>976</v>
      </c>
      <c r="H2923" s="10">
        <v>237.6</v>
      </c>
      <c r="I2923" s="10"/>
      <c r="J2923" s="10">
        <v>237.6</v>
      </c>
      <c r="K2923" s="10">
        <v>6961.27</v>
      </c>
    </row>
    <row r="2924" spans="1:11" x14ac:dyDescent="0.25">
      <c r="A2924" s="8" t="s">
        <v>4558</v>
      </c>
      <c r="B2924" s="8" t="s">
        <v>78</v>
      </c>
      <c r="C2924" s="8" t="s">
        <v>974</v>
      </c>
      <c r="D2924" s="8">
        <v>5</v>
      </c>
      <c r="E2924" s="8" t="s">
        <v>483</v>
      </c>
      <c r="F2924" s="8" t="s">
        <v>266</v>
      </c>
      <c r="G2924" s="8" t="s">
        <v>976</v>
      </c>
      <c r="H2924" s="10">
        <v>87.3</v>
      </c>
      <c r="I2924" s="10"/>
      <c r="J2924" s="10">
        <v>87.3</v>
      </c>
      <c r="K2924" s="10">
        <v>6961.27</v>
      </c>
    </row>
    <row r="2925" spans="1:11" x14ac:dyDescent="0.25">
      <c r="A2925" s="8" t="s">
        <v>4559</v>
      </c>
      <c r="B2925" s="8" t="s">
        <v>1655</v>
      </c>
      <c r="C2925" s="8" t="s">
        <v>974</v>
      </c>
      <c r="D2925" s="8">
        <v>5</v>
      </c>
      <c r="E2925" s="8" t="s">
        <v>483</v>
      </c>
      <c r="F2925" s="8" t="s">
        <v>266</v>
      </c>
      <c r="G2925" s="8" t="s">
        <v>976</v>
      </c>
      <c r="H2925" s="10">
        <v>0.5</v>
      </c>
      <c r="I2925" s="10"/>
      <c r="J2925" s="10">
        <v>0.5</v>
      </c>
      <c r="K2925" s="10">
        <v>6961.27</v>
      </c>
    </row>
    <row r="2926" spans="1:11" x14ac:dyDescent="0.25">
      <c r="A2926" s="8" t="s">
        <v>4560</v>
      </c>
      <c r="B2926" s="8" t="s">
        <v>128</v>
      </c>
      <c r="C2926" s="8" t="s">
        <v>974</v>
      </c>
      <c r="D2926" s="8">
        <v>5</v>
      </c>
      <c r="E2926" s="8" t="s">
        <v>483</v>
      </c>
      <c r="F2926" s="8" t="s">
        <v>266</v>
      </c>
      <c r="G2926" s="8" t="s">
        <v>976</v>
      </c>
      <c r="H2926" s="10">
        <v>3.6</v>
      </c>
      <c r="I2926" s="10"/>
      <c r="J2926" s="10">
        <v>3.6</v>
      </c>
      <c r="K2926" s="10">
        <v>6961.27</v>
      </c>
    </row>
    <row r="2927" spans="1:11" x14ac:dyDescent="0.25">
      <c r="A2927" s="8" t="s">
        <v>4561</v>
      </c>
      <c r="B2927" s="8" t="s">
        <v>130</v>
      </c>
      <c r="C2927" s="8" t="s">
        <v>974</v>
      </c>
      <c r="D2927" s="8">
        <v>5</v>
      </c>
      <c r="E2927" s="8" t="s">
        <v>483</v>
      </c>
      <c r="F2927" s="8" t="s">
        <v>266</v>
      </c>
      <c r="G2927" s="8" t="s">
        <v>976</v>
      </c>
      <c r="H2927" s="10">
        <v>2.7</v>
      </c>
      <c r="I2927" s="10"/>
      <c r="J2927" s="10">
        <v>2.7</v>
      </c>
      <c r="K2927" s="10">
        <v>6961.27</v>
      </c>
    </row>
    <row r="2928" spans="1:11" x14ac:dyDescent="0.25">
      <c r="A2928" s="8" t="s">
        <v>4562</v>
      </c>
      <c r="B2928" s="8" t="s">
        <v>132</v>
      </c>
      <c r="C2928" s="8" t="s">
        <v>974</v>
      </c>
      <c r="D2928" s="8">
        <v>5</v>
      </c>
      <c r="E2928" s="8" t="s">
        <v>483</v>
      </c>
      <c r="F2928" s="8" t="s">
        <v>266</v>
      </c>
      <c r="G2928" s="8" t="s">
        <v>976</v>
      </c>
      <c r="H2928" s="10">
        <v>33.299999999999997</v>
      </c>
      <c r="I2928" s="10"/>
      <c r="J2928" s="10">
        <v>33.299999999999997</v>
      </c>
      <c r="K2928" s="10">
        <v>6961.27</v>
      </c>
    </row>
    <row r="2929" spans="1:11" x14ac:dyDescent="0.25">
      <c r="A2929" s="8" t="s">
        <v>4563</v>
      </c>
      <c r="B2929" s="8" t="s">
        <v>134</v>
      </c>
      <c r="C2929" s="8" t="s">
        <v>974</v>
      </c>
      <c r="D2929" s="8">
        <v>5</v>
      </c>
      <c r="E2929" s="8" t="s">
        <v>483</v>
      </c>
      <c r="F2929" s="8" t="s">
        <v>266</v>
      </c>
      <c r="G2929" s="8" t="s">
        <v>976</v>
      </c>
      <c r="H2929" s="10">
        <v>26.1</v>
      </c>
      <c r="I2929" s="10"/>
      <c r="J2929" s="10">
        <v>26.1</v>
      </c>
      <c r="K2929" s="10">
        <v>6961.27</v>
      </c>
    </row>
    <row r="2930" spans="1:11" x14ac:dyDescent="0.25">
      <c r="A2930" s="8" t="s">
        <v>4564</v>
      </c>
      <c r="B2930" s="8" t="s">
        <v>136</v>
      </c>
      <c r="C2930" s="8" t="s">
        <v>974</v>
      </c>
      <c r="D2930" s="8">
        <v>5</v>
      </c>
      <c r="E2930" s="8" t="s">
        <v>483</v>
      </c>
      <c r="F2930" s="8" t="s">
        <v>266</v>
      </c>
      <c r="G2930" s="8" t="s">
        <v>976</v>
      </c>
      <c r="H2930" s="10">
        <v>10.6</v>
      </c>
      <c r="I2930" s="10"/>
      <c r="J2930" s="10">
        <v>10.6</v>
      </c>
      <c r="K2930" s="10">
        <v>6961.27</v>
      </c>
    </row>
    <row r="2931" spans="1:11" x14ac:dyDescent="0.25">
      <c r="A2931" s="8" t="s">
        <v>4565</v>
      </c>
      <c r="B2931" s="8" t="s">
        <v>2627</v>
      </c>
      <c r="C2931" s="8" t="s">
        <v>974</v>
      </c>
      <c r="D2931" s="8">
        <v>5</v>
      </c>
      <c r="E2931" s="8" t="s">
        <v>483</v>
      </c>
      <c r="F2931" s="8" t="s">
        <v>266</v>
      </c>
      <c r="G2931" s="8" t="s">
        <v>976</v>
      </c>
      <c r="H2931" s="10">
        <v>20.6</v>
      </c>
      <c r="I2931" s="10"/>
      <c r="J2931" s="10">
        <v>20.6</v>
      </c>
      <c r="K2931" s="10">
        <v>6961.27</v>
      </c>
    </row>
    <row r="2932" spans="1:11" x14ac:dyDescent="0.25">
      <c r="A2932" s="8" t="s">
        <v>4566</v>
      </c>
      <c r="B2932" s="8" t="s">
        <v>2627</v>
      </c>
      <c r="C2932" s="8" t="s">
        <v>974</v>
      </c>
      <c r="D2932" s="8">
        <v>5</v>
      </c>
      <c r="E2932" s="8" t="s">
        <v>483</v>
      </c>
      <c r="F2932" s="8" t="s">
        <v>266</v>
      </c>
      <c r="G2932" s="8" t="s">
        <v>976</v>
      </c>
      <c r="H2932" s="10">
        <v>46.7</v>
      </c>
      <c r="I2932" s="10"/>
      <c r="J2932" s="10">
        <v>46.7</v>
      </c>
      <c r="K2932" s="10">
        <v>6961.27</v>
      </c>
    </row>
    <row r="2933" spans="1:11" x14ac:dyDescent="0.25">
      <c r="A2933" s="8" t="s">
        <v>4567</v>
      </c>
      <c r="B2933" s="8" t="s">
        <v>2627</v>
      </c>
      <c r="C2933" s="8" t="s">
        <v>974</v>
      </c>
      <c r="D2933" s="8">
        <v>5</v>
      </c>
      <c r="E2933" s="8" t="s">
        <v>483</v>
      </c>
      <c r="F2933" s="8" t="s">
        <v>266</v>
      </c>
      <c r="G2933" s="8" t="s">
        <v>976</v>
      </c>
      <c r="H2933" s="10">
        <v>17.600000000000001</v>
      </c>
      <c r="I2933" s="10"/>
      <c r="J2933" s="10">
        <v>17.600000000000001</v>
      </c>
      <c r="K2933" s="10">
        <v>6961.27</v>
      </c>
    </row>
    <row r="2934" spans="1:11" x14ac:dyDescent="0.25">
      <c r="A2934" s="8" t="s">
        <v>4568</v>
      </c>
      <c r="B2934" s="8" t="s">
        <v>2627</v>
      </c>
      <c r="C2934" s="8" t="s">
        <v>974</v>
      </c>
      <c r="D2934" s="8">
        <v>5</v>
      </c>
      <c r="E2934" s="8" t="s">
        <v>483</v>
      </c>
      <c r="F2934" s="8" t="s">
        <v>266</v>
      </c>
      <c r="G2934" s="8" t="s">
        <v>976</v>
      </c>
      <c r="H2934" s="10">
        <v>14.7</v>
      </c>
      <c r="I2934" s="10"/>
      <c r="J2934" s="10">
        <v>14.7</v>
      </c>
      <c r="K2934" s="10">
        <v>6961.27</v>
      </c>
    </row>
    <row r="2935" spans="1:11" x14ac:dyDescent="0.25">
      <c r="A2935" s="8" t="s">
        <v>4569</v>
      </c>
      <c r="B2935" s="8" t="s">
        <v>2627</v>
      </c>
      <c r="C2935" s="8" t="s">
        <v>974</v>
      </c>
      <c r="D2935" s="8">
        <v>5</v>
      </c>
      <c r="E2935" s="8" t="s">
        <v>483</v>
      </c>
      <c r="F2935" s="8" t="s">
        <v>266</v>
      </c>
      <c r="G2935" s="8" t="s">
        <v>976</v>
      </c>
      <c r="H2935" s="10">
        <v>3.6</v>
      </c>
      <c r="I2935" s="10"/>
      <c r="J2935" s="10">
        <v>3.6</v>
      </c>
      <c r="K2935" s="10">
        <v>6961.27</v>
      </c>
    </row>
    <row r="2936" spans="1:11" x14ac:dyDescent="0.25">
      <c r="A2936" s="8" t="s">
        <v>4570</v>
      </c>
      <c r="B2936" s="8" t="s">
        <v>2627</v>
      </c>
      <c r="C2936" s="8" t="s">
        <v>974</v>
      </c>
      <c r="D2936" s="8">
        <v>5</v>
      </c>
      <c r="E2936" s="8" t="s">
        <v>483</v>
      </c>
      <c r="F2936" s="8" t="s">
        <v>266</v>
      </c>
      <c r="G2936" s="8" t="s">
        <v>976</v>
      </c>
      <c r="H2936" s="10">
        <v>4.2</v>
      </c>
      <c r="I2936" s="10"/>
      <c r="J2936" s="10">
        <v>4.2</v>
      </c>
      <c r="K2936" s="10">
        <v>6961.27</v>
      </c>
    </row>
    <row r="2937" spans="1:11" x14ac:dyDescent="0.25">
      <c r="A2937" s="8" t="s">
        <v>4571</v>
      </c>
      <c r="B2937" s="8" t="s">
        <v>4491</v>
      </c>
      <c r="C2937" s="8" t="s">
        <v>974</v>
      </c>
      <c r="D2937" s="8">
        <v>5</v>
      </c>
      <c r="E2937" s="8" t="s">
        <v>483</v>
      </c>
      <c r="F2937" s="8" t="s">
        <v>266</v>
      </c>
      <c r="G2937" s="8" t="s">
        <v>976</v>
      </c>
      <c r="H2937" s="10">
        <v>1.3</v>
      </c>
      <c r="I2937" s="10"/>
      <c r="J2937" s="10">
        <v>1.3</v>
      </c>
      <c r="K2937" s="10">
        <v>6961.27</v>
      </c>
    </row>
    <row r="2938" spans="1:11" x14ac:dyDescent="0.25">
      <c r="A2938" s="8" t="s">
        <v>4572</v>
      </c>
      <c r="B2938" s="8" t="s">
        <v>138</v>
      </c>
      <c r="C2938" s="8" t="s">
        <v>974</v>
      </c>
      <c r="D2938" s="8">
        <v>5</v>
      </c>
      <c r="E2938" s="8" t="s">
        <v>483</v>
      </c>
      <c r="F2938" s="8" t="s">
        <v>266</v>
      </c>
      <c r="G2938" s="8" t="s">
        <v>976</v>
      </c>
      <c r="H2938" s="10">
        <v>3</v>
      </c>
      <c r="I2938" s="10"/>
      <c r="J2938" s="10">
        <v>3</v>
      </c>
      <c r="K2938" s="10">
        <v>6961.27</v>
      </c>
    </row>
    <row r="2939" spans="1:11" x14ac:dyDescent="0.25">
      <c r="A2939" s="8" t="s">
        <v>4573</v>
      </c>
      <c r="B2939" s="8" t="s">
        <v>1029</v>
      </c>
      <c r="C2939" s="8" t="s">
        <v>974</v>
      </c>
      <c r="D2939" s="8">
        <v>5</v>
      </c>
      <c r="E2939" s="8" t="s">
        <v>483</v>
      </c>
      <c r="F2939" s="8" t="s">
        <v>266</v>
      </c>
      <c r="G2939" s="8" t="s">
        <v>976</v>
      </c>
      <c r="H2939" s="10">
        <v>1.5</v>
      </c>
      <c r="I2939" s="10"/>
      <c r="J2939" s="10">
        <v>1.5</v>
      </c>
      <c r="K2939" s="10">
        <v>6961.27</v>
      </c>
    </row>
    <row r="2940" spans="1:11" x14ac:dyDescent="0.25">
      <c r="A2940" s="8" t="s">
        <v>4574</v>
      </c>
      <c r="B2940" s="8" t="s">
        <v>72</v>
      </c>
      <c r="C2940" s="8" t="s">
        <v>974</v>
      </c>
      <c r="D2940" s="8">
        <v>5</v>
      </c>
      <c r="E2940" s="8" t="s">
        <v>4505</v>
      </c>
      <c r="F2940" s="8" t="s">
        <v>266</v>
      </c>
      <c r="G2940" s="8" t="s">
        <v>976</v>
      </c>
      <c r="H2940" s="10">
        <v>6.5</v>
      </c>
      <c r="I2940" s="10"/>
      <c r="J2940" s="10">
        <v>6.5</v>
      </c>
      <c r="K2940" s="10">
        <v>6095.17</v>
      </c>
    </row>
    <row r="2941" spans="1:11" x14ac:dyDescent="0.25">
      <c r="A2941" s="8" t="s">
        <v>4575</v>
      </c>
      <c r="B2941" s="8" t="s">
        <v>116</v>
      </c>
      <c r="C2941" s="8" t="s">
        <v>974</v>
      </c>
      <c r="D2941" s="8">
        <v>5</v>
      </c>
      <c r="E2941" s="8" t="s">
        <v>4505</v>
      </c>
      <c r="F2941" s="8" t="s">
        <v>266</v>
      </c>
      <c r="G2941" s="8" t="s">
        <v>976</v>
      </c>
      <c r="H2941" s="10">
        <v>9.4</v>
      </c>
      <c r="I2941" s="10"/>
      <c r="J2941" s="10">
        <v>9.4</v>
      </c>
      <c r="K2941" s="10">
        <v>6095.17</v>
      </c>
    </row>
    <row r="2942" spans="1:11" x14ac:dyDescent="0.25">
      <c r="A2942" s="8" t="s">
        <v>4576</v>
      </c>
      <c r="B2942" s="8" t="s">
        <v>118</v>
      </c>
      <c r="C2942" s="8" t="s">
        <v>974</v>
      </c>
      <c r="D2942" s="8">
        <v>5</v>
      </c>
      <c r="E2942" s="8" t="s">
        <v>4505</v>
      </c>
      <c r="F2942" s="8" t="s">
        <v>266</v>
      </c>
      <c r="G2942" s="8" t="s">
        <v>976</v>
      </c>
      <c r="H2942" s="10">
        <v>34.200000000000003</v>
      </c>
      <c r="I2942" s="10"/>
      <c r="J2942" s="10">
        <v>34.200000000000003</v>
      </c>
      <c r="K2942" s="10">
        <v>6095.17</v>
      </c>
    </row>
    <row r="2943" spans="1:11" x14ac:dyDescent="0.25">
      <c r="A2943" s="8" t="s">
        <v>4577</v>
      </c>
      <c r="B2943" s="8" t="s">
        <v>120</v>
      </c>
      <c r="C2943" s="8" t="s">
        <v>974</v>
      </c>
      <c r="D2943" s="8">
        <v>5</v>
      </c>
      <c r="E2943" s="8" t="s">
        <v>4505</v>
      </c>
      <c r="F2943" s="8" t="s">
        <v>266</v>
      </c>
      <c r="G2943" s="8" t="s">
        <v>976</v>
      </c>
      <c r="H2943" s="10">
        <v>68.900000000000006</v>
      </c>
      <c r="I2943" s="10"/>
      <c r="J2943" s="10">
        <v>68.900000000000006</v>
      </c>
      <c r="K2943" s="10">
        <v>6095.17</v>
      </c>
    </row>
    <row r="2944" spans="1:11" x14ac:dyDescent="0.25">
      <c r="A2944" s="8" t="s">
        <v>4578</v>
      </c>
      <c r="B2944" s="8" t="s">
        <v>122</v>
      </c>
      <c r="C2944" s="8" t="s">
        <v>974</v>
      </c>
      <c r="D2944" s="8">
        <v>5</v>
      </c>
      <c r="E2944" s="8" t="s">
        <v>4505</v>
      </c>
      <c r="F2944" s="8" t="s">
        <v>266</v>
      </c>
      <c r="G2944" s="8" t="s">
        <v>976</v>
      </c>
      <c r="H2944" s="10">
        <v>20</v>
      </c>
      <c r="I2944" s="10"/>
      <c r="J2944" s="10">
        <v>20</v>
      </c>
      <c r="K2944" s="10">
        <v>6095.17</v>
      </c>
    </row>
    <row r="2945" spans="1:11" x14ac:dyDescent="0.25">
      <c r="A2945" s="8" t="s">
        <v>4579</v>
      </c>
      <c r="B2945" s="8" t="s">
        <v>122</v>
      </c>
      <c r="C2945" s="8" t="s">
        <v>974</v>
      </c>
      <c r="D2945" s="8">
        <v>5</v>
      </c>
      <c r="E2945" s="8" t="s">
        <v>4505</v>
      </c>
      <c r="F2945" s="8" t="s">
        <v>266</v>
      </c>
      <c r="G2945" s="8" t="s">
        <v>976</v>
      </c>
      <c r="H2945" s="10">
        <v>1.4</v>
      </c>
      <c r="I2945" s="10"/>
      <c r="J2945" s="10">
        <v>1.4</v>
      </c>
      <c r="K2945" s="10">
        <v>6095.17</v>
      </c>
    </row>
    <row r="2946" spans="1:11" x14ac:dyDescent="0.25">
      <c r="A2946" s="8" t="s">
        <v>4580</v>
      </c>
      <c r="B2946" s="8" t="s">
        <v>124</v>
      </c>
      <c r="C2946" s="8" t="s">
        <v>974</v>
      </c>
      <c r="D2946" s="8">
        <v>5</v>
      </c>
      <c r="E2946" s="8" t="s">
        <v>4505</v>
      </c>
      <c r="F2946" s="8" t="s">
        <v>266</v>
      </c>
      <c r="G2946" s="8" t="s">
        <v>976</v>
      </c>
      <c r="H2946" s="10">
        <v>20.3</v>
      </c>
      <c r="I2946" s="10"/>
      <c r="J2946" s="10">
        <v>20.3</v>
      </c>
      <c r="K2946" s="10">
        <v>6095.17</v>
      </c>
    </row>
    <row r="2947" spans="1:11" x14ac:dyDescent="0.25">
      <c r="A2947" s="8" t="s">
        <v>4581</v>
      </c>
      <c r="B2947" s="8" t="s">
        <v>78</v>
      </c>
      <c r="C2947" s="8" t="s">
        <v>974</v>
      </c>
      <c r="D2947" s="8">
        <v>5</v>
      </c>
      <c r="E2947" s="8" t="s">
        <v>4505</v>
      </c>
      <c r="F2947" s="8" t="s">
        <v>266</v>
      </c>
      <c r="G2947" s="8" t="s">
        <v>976</v>
      </c>
      <c r="H2947" s="10">
        <v>57.8</v>
      </c>
      <c r="I2947" s="10"/>
      <c r="J2947" s="10">
        <v>57.8</v>
      </c>
      <c r="K2947" s="10">
        <v>6095.17</v>
      </c>
    </row>
    <row r="2948" spans="1:11" x14ac:dyDescent="0.25">
      <c r="A2948" s="8" t="s">
        <v>4582</v>
      </c>
      <c r="B2948" s="8" t="s">
        <v>132</v>
      </c>
      <c r="C2948" s="8" t="s">
        <v>974</v>
      </c>
      <c r="D2948" s="8">
        <v>5</v>
      </c>
      <c r="E2948" s="8" t="s">
        <v>4505</v>
      </c>
      <c r="F2948" s="8" t="s">
        <v>266</v>
      </c>
      <c r="G2948" s="8" t="s">
        <v>976</v>
      </c>
      <c r="H2948" s="10">
        <v>4.4000000000000004</v>
      </c>
      <c r="I2948" s="10"/>
      <c r="J2948" s="10">
        <v>4.4000000000000004</v>
      </c>
      <c r="K2948" s="10">
        <v>6095.17</v>
      </c>
    </row>
    <row r="2949" spans="1:11" x14ac:dyDescent="0.25">
      <c r="A2949" s="8" t="s">
        <v>4583</v>
      </c>
      <c r="B2949" s="8" t="s">
        <v>134</v>
      </c>
      <c r="C2949" s="8" t="s">
        <v>974</v>
      </c>
      <c r="D2949" s="8">
        <v>5</v>
      </c>
      <c r="E2949" s="8" t="s">
        <v>4505</v>
      </c>
      <c r="F2949" s="8" t="s">
        <v>266</v>
      </c>
      <c r="G2949" s="8" t="s">
        <v>976</v>
      </c>
      <c r="H2949" s="10">
        <v>9.5</v>
      </c>
      <c r="I2949" s="10"/>
      <c r="J2949" s="10">
        <v>9.5</v>
      </c>
      <c r="K2949" s="10">
        <v>6095.17</v>
      </c>
    </row>
    <row r="2950" spans="1:11" x14ac:dyDescent="0.25">
      <c r="A2950" s="8" t="s">
        <v>4584</v>
      </c>
      <c r="B2950" s="8" t="s">
        <v>120</v>
      </c>
      <c r="C2950" s="8" t="s">
        <v>4513</v>
      </c>
      <c r="D2950" s="8">
        <v>12</v>
      </c>
      <c r="E2950" s="8" t="s">
        <v>4585</v>
      </c>
      <c r="F2950" s="8" t="s">
        <v>266</v>
      </c>
      <c r="G2950" s="8" t="s">
        <v>4514</v>
      </c>
      <c r="H2950" s="10">
        <v>35</v>
      </c>
      <c r="I2950" s="10">
        <v>31.083400000000005</v>
      </c>
      <c r="J2950" s="10">
        <v>31.083400000000005</v>
      </c>
      <c r="K2950" s="10">
        <v>22746.59</v>
      </c>
    </row>
    <row r="2951" spans="1:11" x14ac:dyDescent="0.25">
      <c r="A2951" s="8" t="s">
        <v>4586</v>
      </c>
      <c r="B2951" s="8" t="s">
        <v>120</v>
      </c>
      <c r="C2951" s="8" t="s">
        <v>4513</v>
      </c>
      <c r="D2951" s="8">
        <v>12</v>
      </c>
      <c r="E2951" s="8" t="s">
        <v>4587</v>
      </c>
      <c r="F2951" s="8" t="s">
        <v>266</v>
      </c>
      <c r="G2951" s="8" t="s">
        <v>4514</v>
      </c>
      <c r="H2951" s="10">
        <v>35</v>
      </c>
      <c r="I2951" s="10">
        <v>31.083400000000005</v>
      </c>
      <c r="J2951" s="10">
        <v>31.083400000000005</v>
      </c>
      <c r="K2951" s="10">
        <v>22746.59</v>
      </c>
    </row>
    <row r="2952" spans="1:11" x14ac:dyDescent="0.25">
      <c r="A2952" s="8" t="s">
        <v>4588</v>
      </c>
      <c r="B2952" s="8" t="s">
        <v>263</v>
      </c>
      <c r="C2952" s="8" t="s">
        <v>4513</v>
      </c>
      <c r="D2952" s="8">
        <v>12</v>
      </c>
      <c r="E2952" s="8" t="s">
        <v>480</v>
      </c>
      <c r="F2952" s="8" t="s">
        <v>266</v>
      </c>
      <c r="G2952" s="8" t="s">
        <v>4514</v>
      </c>
      <c r="H2952" s="10">
        <v>3.2</v>
      </c>
      <c r="I2952" s="10"/>
      <c r="J2952" s="10">
        <v>3.2</v>
      </c>
      <c r="K2952" s="10">
        <v>24270.41</v>
      </c>
    </row>
    <row r="2953" spans="1:11" x14ac:dyDescent="0.25">
      <c r="A2953" s="8" t="s">
        <v>4589</v>
      </c>
      <c r="B2953" s="8" t="s">
        <v>269</v>
      </c>
      <c r="C2953" s="8" t="s">
        <v>4513</v>
      </c>
      <c r="D2953" s="8">
        <v>12</v>
      </c>
      <c r="E2953" s="8" t="s">
        <v>480</v>
      </c>
      <c r="F2953" s="8" t="s">
        <v>266</v>
      </c>
      <c r="G2953" s="8" t="s">
        <v>4514</v>
      </c>
      <c r="H2953" s="10">
        <v>3.2</v>
      </c>
      <c r="I2953" s="10"/>
      <c r="J2953" s="10">
        <v>3.2</v>
      </c>
      <c r="K2953" s="10">
        <v>24270.41</v>
      </c>
    </row>
    <row r="2954" spans="1:11" x14ac:dyDescent="0.25">
      <c r="A2954" s="8" t="s">
        <v>4590</v>
      </c>
      <c r="B2954" s="8" t="s">
        <v>263</v>
      </c>
      <c r="C2954" s="8" t="s">
        <v>4513</v>
      </c>
      <c r="D2954" s="8">
        <v>12</v>
      </c>
      <c r="E2954" s="8" t="s">
        <v>483</v>
      </c>
      <c r="F2954" s="8" t="s">
        <v>266</v>
      </c>
      <c r="G2954" s="8" t="s">
        <v>4514</v>
      </c>
      <c r="H2954" s="10">
        <v>2</v>
      </c>
      <c r="I2954" s="10"/>
      <c r="J2954" s="10">
        <v>2</v>
      </c>
      <c r="K2954" s="10">
        <v>22746.59</v>
      </c>
    </row>
    <row r="2955" spans="1:11" x14ac:dyDescent="0.25">
      <c r="A2955" s="8" t="s">
        <v>4591</v>
      </c>
      <c r="B2955" s="8" t="s">
        <v>269</v>
      </c>
      <c r="C2955" s="8" t="s">
        <v>4513</v>
      </c>
      <c r="D2955" s="8">
        <v>12</v>
      </c>
      <c r="E2955" s="8" t="s">
        <v>483</v>
      </c>
      <c r="F2955" s="8" t="s">
        <v>266</v>
      </c>
      <c r="G2955" s="8" t="s">
        <v>4514</v>
      </c>
      <c r="H2955" s="10">
        <v>2</v>
      </c>
      <c r="I2955" s="10"/>
      <c r="J2955" s="10">
        <v>2</v>
      </c>
      <c r="K2955" s="10">
        <v>22746.59</v>
      </c>
    </row>
    <row r="2956" spans="1:11" x14ac:dyDescent="0.25">
      <c r="A2956" s="8" t="s">
        <v>4592</v>
      </c>
      <c r="B2956" s="8" t="s">
        <v>72</v>
      </c>
      <c r="C2956" s="8" t="s">
        <v>974</v>
      </c>
      <c r="D2956" s="8">
        <v>5</v>
      </c>
      <c r="E2956" s="8" t="s">
        <v>477</v>
      </c>
      <c r="F2956" s="8" t="s">
        <v>266</v>
      </c>
      <c r="G2956" s="8" t="s">
        <v>976</v>
      </c>
      <c r="H2956" s="10">
        <v>0.4</v>
      </c>
      <c r="I2956" s="10"/>
      <c r="J2956" s="10">
        <v>0.4</v>
      </c>
      <c r="K2956" s="10">
        <v>7827.36</v>
      </c>
    </row>
    <row r="2957" spans="1:11" x14ac:dyDescent="0.25">
      <c r="A2957" s="8" t="s">
        <v>4593</v>
      </c>
      <c r="B2957" s="8" t="s">
        <v>72</v>
      </c>
      <c r="C2957" s="8" t="s">
        <v>974</v>
      </c>
      <c r="D2957" s="8">
        <v>5</v>
      </c>
      <c r="E2957" s="8" t="s">
        <v>477</v>
      </c>
      <c r="F2957" s="8" t="s">
        <v>266</v>
      </c>
      <c r="G2957" s="8" t="s">
        <v>976</v>
      </c>
      <c r="H2957" s="10">
        <v>1</v>
      </c>
      <c r="I2957" s="10"/>
      <c r="J2957" s="10">
        <v>1</v>
      </c>
      <c r="K2957" s="10">
        <v>7827.36</v>
      </c>
    </row>
    <row r="2958" spans="1:11" x14ac:dyDescent="0.25">
      <c r="A2958" s="8" t="s">
        <v>4594</v>
      </c>
      <c r="B2958" s="8" t="s">
        <v>116</v>
      </c>
      <c r="C2958" s="8" t="s">
        <v>974</v>
      </c>
      <c r="D2958" s="8">
        <v>5</v>
      </c>
      <c r="E2958" s="8" t="s">
        <v>477</v>
      </c>
      <c r="F2958" s="8" t="s">
        <v>266</v>
      </c>
      <c r="G2958" s="8" t="s">
        <v>976</v>
      </c>
      <c r="H2958" s="10">
        <v>5.3</v>
      </c>
      <c r="I2958" s="10"/>
      <c r="J2958" s="10">
        <v>5.3</v>
      </c>
      <c r="K2958" s="10">
        <v>7827.36</v>
      </c>
    </row>
    <row r="2959" spans="1:11" x14ac:dyDescent="0.25">
      <c r="A2959" s="8" t="s">
        <v>4595</v>
      </c>
      <c r="B2959" s="8" t="s">
        <v>118</v>
      </c>
      <c r="C2959" s="8" t="s">
        <v>974</v>
      </c>
      <c r="D2959" s="8">
        <v>5</v>
      </c>
      <c r="E2959" s="8" t="s">
        <v>477</v>
      </c>
      <c r="F2959" s="8" t="s">
        <v>266</v>
      </c>
      <c r="G2959" s="8" t="s">
        <v>976</v>
      </c>
      <c r="H2959" s="10">
        <v>17.899999999999999</v>
      </c>
      <c r="I2959" s="10"/>
      <c r="J2959" s="10">
        <v>17.899999999999999</v>
      </c>
      <c r="K2959" s="10">
        <v>7827.36</v>
      </c>
    </row>
    <row r="2960" spans="1:11" x14ac:dyDescent="0.25">
      <c r="A2960" s="8" t="s">
        <v>4596</v>
      </c>
      <c r="B2960" s="8" t="s">
        <v>1650</v>
      </c>
      <c r="C2960" s="8" t="s">
        <v>974</v>
      </c>
      <c r="D2960" s="8">
        <v>5</v>
      </c>
      <c r="E2960" s="8" t="s">
        <v>477</v>
      </c>
      <c r="F2960" s="8" t="s">
        <v>266</v>
      </c>
      <c r="G2960" s="8" t="s">
        <v>976</v>
      </c>
      <c r="H2960" s="10">
        <v>0.4</v>
      </c>
      <c r="I2960" s="10"/>
      <c r="J2960" s="10">
        <v>0.4</v>
      </c>
      <c r="K2960" s="10">
        <v>7827.36</v>
      </c>
    </row>
    <row r="2961" spans="1:11" x14ac:dyDescent="0.25">
      <c r="A2961" s="8" t="s">
        <v>4597</v>
      </c>
      <c r="B2961" s="8" t="s">
        <v>120</v>
      </c>
      <c r="C2961" s="8" t="s">
        <v>974</v>
      </c>
      <c r="D2961" s="8">
        <v>5</v>
      </c>
      <c r="E2961" s="8" t="s">
        <v>477</v>
      </c>
      <c r="F2961" s="8" t="s">
        <v>266</v>
      </c>
      <c r="G2961" s="8" t="s">
        <v>976</v>
      </c>
      <c r="H2961" s="10">
        <v>66.900000000000006</v>
      </c>
      <c r="I2961" s="10"/>
      <c r="J2961" s="10">
        <v>66.900000000000006</v>
      </c>
      <c r="K2961" s="10">
        <v>7827.36</v>
      </c>
    </row>
    <row r="2962" spans="1:11" x14ac:dyDescent="0.25">
      <c r="A2962" s="8" t="s">
        <v>4598</v>
      </c>
      <c r="B2962" s="8" t="s">
        <v>122</v>
      </c>
      <c r="C2962" s="8" t="s">
        <v>974</v>
      </c>
      <c r="D2962" s="8">
        <v>5</v>
      </c>
      <c r="E2962" s="8" t="s">
        <v>477</v>
      </c>
      <c r="F2962" s="8" t="s">
        <v>266</v>
      </c>
      <c r="G2962" s="8" t="s">
        <v>976</v>
      </c>
      <c r="H2962" s="10">
        <v>16.100000000000001</v>
      </c>
      <c r="I2962" s="10"/>
      <c r="J2962" s="10">
        <v>16.100000000000001</v>
      </c>
      <c r="K2962" s="10">
        <v>7827.36</v>
      </c>
    </row>
    <row r="2963" spans="1:11" x14ac:dyDescent="0.25">
      <c r="A2963" s="8" t="s">
        <v>4599</v>
      </c>
      <c r="B2963" s="8" t="s">
        <v>122</v>
      </c>
      <c r="C2963" s="8" t="s">
        <v>974</v>
      </c>
      <c r="D2963" s="8">
        <v>5</v>
      </c>
      <c r="E2963" s="8" t="s">
        <v>477</v>
      </c>
      <c r="F2963" s="8" t="s">
        <v>266</v>
      </c>
      <c r="G2963" s="8" t="s">
        <v>976</v>
      </c>
      <c r="H2963" s="10">
        <v>1.6</v>
      </c>
      <c r="I2963" s="10"/>
      <c r="J2963" s="10">
        <v>1.6</v>
      </c>
      <c r="K2963" s="10">
        <v>7827.36</v>
      </c>
    </row>
    <row r="2964" spans="1:11" x14ac:dyDescent="0.25">
      <c r="A2964" s="8" t="s">
        <v>4600</v>
      </c>
      <c r="B2964" s="8" t="s">
        <v>124</v>
      </c>
      <c r="C2964" s="8" t="s">
        <v>974</v>
      </c>
      <c r="D2964" s="8">
        <v>5</v>
      </c>
      <c r="E2964" s="8" t="s">
        <v>477</v>
      </c>
      <c r="F2964" s="8" t="s">
        <v>266</v>
      </c>
      <c r="G2964" s="8" t="s">
        <v>976</v>
      </c>
      <c r="H2964" s="10">
        <v>13</v>
      </c>
      <c r="I2964" s="10"/>
      <c r="J2964" s="10">
        <v>13</v>
      </c>
      <c r="K2964" s="10">
        <v>7827.36</v>
      </c>
    </row>
    <row r="2965" spans="1:11" x14ac:dyDescent="0.25">
      <c r="A2965" s="8" t="s">
        <v>4601</v>
      </c>
      <c r="B2965" s="8" t="s">
        <v>78</v>
      </c>
      <c r="C2965" s="8" t="s">
        <v>974</v>
      </c>
      <c r="D2965" s="8">
        <v>5</v>
      </c>
      <c r="E2965" s="8" t="s">
        <v>477</v>
      </c>
      <c r="F2965" s="8" t="s">
        <v>266</v>
      </c>
      <c r="G2965" s="8" t="s">
        <v>976</v>
      </c>
      <c r="H2965" s="10">
        <v>9.6</v>
      </c>
      <c r="I2965" s="10"/>
      <c r="J2965" s="10">
        <v>9.6</v>
      </c>
      <c r="K2965" s="10">
        <v>7827.36</v>
      </c>
    </row>
    <row r="2966" spans="1:11" x14ac:dyDescent="0.25">
      <c r="A2966" s="8" t="s">
        <v>4602</v>
      </c>
      <c r="B2966" s="8" t="s">
        <v>1655</v>
      </c>
      <c r="C2966" s="8" t="s">
        <v>974</v>
      </c>
      <c r="D2966" s="8">
        <v>5</v>
      </c>
      <c r="E2966" s="8" t="s">
        <v>477</v>
      </c>
      <c r="F2966" s="8" t="s">
        <v>266</v>
      </c>
      <c r="G2966" s="8" t="s">
        <v>976</v>
      </c>
      <c r="H2966" s="10">
        <v>1.1000000000000001</v>
      </c>
      <c r="I2966" s="10"/>
      <c r="J2966" s="10">
        <v>1.1000000000000001</v>
      </c>
      <c r="K2966" s="10">
        <v>7827.36</v>
      </c>
    </row>
    <row r="2967" spans="1:11" x14ac:dyDescent="0.25">
      <c r="A2967" s="8" t="s">
        <v>4603</v>
      </c>
      <c r="B2967" s="8" t="s">
        <v>128</v>
      </c>
      <c r="C2967" s="8" t="s">
        <v>974</v>
      </c>
      <c r="D2967" s="8">
        <v>5</v>
      </c>
      <c r="E2967" s="8" t="s">
        <v>477</v>
      </c>
      <c r="F2967" s="8" t="s">
        <v>266</v>
      </c>
      <c r="G2967" s="8" t="s">
        <v>976</v>
      </c>
      <c r="H2967" s="10">
        <v>2.5</v>
      </c>
      <c r="I2967" s="10"/>
      <c r="J2967" s="10">
        <v>2.5</v>
      </c>
      <c r="K2967" s="10">
        <v>7827.36</v>
      </c>
    </row>
    <row r="2968" spans="1:11" x14ac:dyDescent="0.25">
      <c r="A2968" s="8" t="s">
        <v>4604</v>
      </c>
      <c r="B2968" s="8" t="s">
        <v>130</v>
      </c>
      <c r="C2968" s="8" t="s">
        <v>974</v>
      </c>
      <c r="D2968" s="8">
        <v>5</v>
      </c>
      <c r="E2968" s="8" t="s">
        <v>477</v>
      </c>
      <c r="F2968" s="8" t="s">
        <v>266</v>
      </c>
      <c r="G2968" s="8" t="s">
        <v>976</v>
      </c>
      <c r="H2968" s="10">
        <v>1.4</v>
      </c>
      <c r="I2968" s="10"/>
      <c r="J2968" s="10">
        <v>1.4</v>
      </c>
      <c r="K2968" s="10">
        <v>7827.36</v>
      </c>
    </row>
    <row r="2969" spans="1:11" x14ac:dyDescent="0.25">
      <c r="A2969" s="8" t="s">
        <v>4605</v>
      </c>
      <c r="B2969" s="8" t="s">
        <v>132</v>
      </c>
      <c r="C2969" s="8" t="s">
        <v>974</v>
      </c>
      <c r="D2969" s="8">
        <v>5</v>
      </c>
      <c r="E2969" s="8" t="s">
        <v>477</v>
      </c>
      <c r="F2969" s="8" t="s">
        <v>266</v>
      </c>
      <c r="G2969" s="8" t="s">
        <v>976</v>
      </c>
      <c r="H2969" s="10">
        <v>6.9</v>
      </c>
      <c r="I2969" s="10"/>
      <c r="J2969" s="10">
        <v>6.9</v>
      </c>
      <c r="K2969" s="10">
        <v>7827.36</v>
      </c>
    </row>
    <row r="2970" spans="1:11" x14ac:dyDescent="0.25">
      <c r="A2970" s="8" t="s">
        <v>4606</v>
      </c>
      <c r="B2970" s="8" t="s">
        <v>134</v>
      </c>
      <c r="C2970" s="8" t="s">
        <v>974</v>
      </c>
      <c r="D2970" s="8">
        <v>5</v>
      </c>
      <c r="E2970" s="8" t="s">
        <v>477</v>
      </c>
      <c r="F2970" s="8" t="s">
        <v>266</v>
      </c>
      <c r="G2970" s="8" t="s">
        <v>976</v>
      </c>
      <c r="H2970" s="10">
        <v>2.6</v>
      </c>
      <c r="I2970" s="10"/>
      <c r="J2970" s="10">
        <v>2.6</v>
      </c>
      <c r="K2970" s="10">
        <v>7827.36</v>
      </c>
    </row>
    <row r="2971" spans="1:11" x14ac:dyDescent="0.25">
      <c r="A2971" s="8" t="s">
        <v>4607</v>
      </c>
      <c r="B2971" s="8" t="s">
        <v>136</v>
      </c>
      <c r="C2971" s="8" t="s">
        <v>974</v>
      </c>
      <c r="D2971" s="8">
        <v>5</v>
      </c>
      <c r="E2971" s="8" t="s">
        <v>477</v>
      </c>
      <c r="F2971" s="8" t="s">
        <v>266</v>
      </c>
      <c r="G2971" s="8" t="s">
        <v>976</v>
      </c>
      <c r="H2971" s="10">
        <v>4.5999999999999996</v>
      </c>
      <c r="I2971" s="10"/>
      <c r="J2971" s="10">
        <v>4.5999999999999996</v>
      </c>
      <c r="K2971" s="10">
        <v>7827.36</v>
      </c>
    </row>
    <row r="2972" spans="1:11" x14ac:dyDescent="0.25">
      <c r="A2972" s="8" t="s">
        <v>4608</v>
      </c>
      <c r="B2972" s="8" t="s">
        <v>2627</v>
      </c>
      <c r="C2972" s="8" t="s">
        <v>974</v>
      </c>
      <c r="D2972" s="8">
        <v>5</v>
      </c>
      <c r="E2972" s="8" t="s">
        <v>477</v>
      </c>
      <c r="F2972" s="8" t="s">
        <v>266</v>
      </c>
      <c r="G2972" s="8" t="s">
        <v>976</v>
      </c>
      <c r="H2972" s="10">
        <v>3.3</v>
      </c>
      <c r="I2972" s="10"/>
      <c r="J2972" s="10">
        <v>3.3</v>
      </c>
      <c r="K2972" s="10">
        <v>7827.36</v>
      </c>
    </row>
    <row r="2973" spans="1:11" x14ac:dyDescent="0.25">
      <c r="A2973" s="8" t="s">
        <v>4609</v>
      </c>
      <c r="B2973" s="8" t="s">
        <v>2627</v>
      </c>
      <c r="C2973" s="8" t="s">
        <v>974</v>
      </c>
      <c r="D2973" s="8">
        <v>5</v>
      </c>
      <c r="E2973" s="8" t="s">
        <v>477</v>
      </c>
      <c r="F2973" s="8" t="s">
        <v>266</v>
      </c>
      <c r="G2973" s="8" t="s">
        <v>976</v>
      </c>
      <c r="H2973" s="10">
        <v>9.9</v>
      </c>
      <c r="I2973" s="10"/>
      <c r="J2973" s="10">
        <v>9.9</v>
      </c>
      <c r="K2973" s="10">
        <v>7827.36</v>
      </c>
    </row>
    <row r="2974" spans="1:11" x14ac:dyDescent="0.25">
      <c r="A2974" s="8" t="s">
        <v>4610</v>
      </c>
      <c r="B2974" s="8" t="s">
        <v>2627</v>
      </c>
      <c r="C2974" s="8" t="s">
        <v>974</v>
      </c>
      <c r="D2974" s="8">
        <v>5</v>
      </c>
      <c r="E2974" s="8" t="s">
        <v>477</v>
      </c>
      <c r="F2974" s="8" t="s">
        <v>266</v>
      </c>
      <c r="G2974" s="8" t="s">
        <v>976</v>
      </c>
      <c r="H2974" s="10">
        <v>4.5999999999999996</v>
      </c>
      <c r="I2974" s="10"/>
      <c r="J2974" s="10">
        <v>4.5999999999999996</v>
      </c>
      <c r="K2974" s="10">
        <v>7827.36</v>
      </c>
    </row>
    <row r="2975" spans="1:11" x14ac:dyDescent="0.25">
      <c r="A2975" s="8" t="s">
        <v>4611</v>
      </c>
      <c r="B2975" s="8" t="s">
        <v>2627</v>
      </c>
      <c r="C2975" s="8" t="s">
        <v>974</v>
      </c>
      <c r="D2975" s="8">
        <v>5</v>
      </c>
      <c r="E2975" s="8" t="s">
        <v>477</v>
      </c>
      <c r="F2975" s="8" t="s">
        <v>266</v>
      </c>
      <c r="G2975" s="8" t="s">
        <v>976</v>
      </c>
      <c r="H2975" s="10">
        <v>5.8</v>
      </c>
      <c r="I2975" s="10"/>
      <c r="J2975" s="10">
        <v>5.8</v>
      </c>
      <c r="K2975" s="10">
        <v>7827.36</v>
      </c>
    </row>
    <row r="2976" spans="1:11" x14ac:dyDescent="0.25">
      <c r="A2976" s="8" t="s">
        <v>4612</v>
      </c>
      <c r="B2976" s="8" t="s">
        <v>2627</v>
      </c>
      <c r="C2976" s="8" t="s">
        <v>974</v>
      </c>
      <c r="D2976" s="8">
        <v>5</v>
      </c>
      <c r="E2976" s="8" t="s">
        <v>477</v>
      </c>
      <c r="F2976" s="8" t="s">
        <v>266</v>
      </c>
      <c r="G2976" s="8" t="s">
        <v>976</v>
      </c>
      <c r="H2976" s="10">
        <v>2.6</v>
      </c>
      <c r="I2976" s="10"/>
      <c r="J2976" s="10">
        <v>2.6</v>
      </c>
      <c r="K2976" s="10">
        <v>7827.36</v>
      </c>
    </row>
    <row r="2977" spans="1:11" x14ac:dyDescent="0.25">
      <c r="A2977" s="8" t="s">
        <v>4613</v>
      </c>
      <c r="B2977" s="8" t="s">
        <v>2627</v>
      </c>
      <c r="C2977" s="8" t="s">
        <v>974</v>
      </c>
      <c r="D2977" s="8">
        <v>5</v>
      </c>
      <c r="E2977" s="8" t="s">
        <v>477</v>
      </c>
      <c r="F2977" s="8" t="s">
        <v>266</v>
      </c>
      <c r="G2977" s="8" t="s">
        <v>976</v>
      </c>
      <c r="H2977" s="10">
        <v>5.9</v>
      </c>
      <c r="I2977" s="10"/>
      <c r="J2977" s="10">
        <v>5.9</v>
      </c>
      <c r="K2977" s="10">
        <v>7827.36</v>
      </c>
    </row>
    <row r="2978" spans="1:11" x14ac:dyDescent="0.25">
      <c r="A2978" s="8" t="s">
        <v>4614</v>
      </c>
      <c r="B2978" s="8" t="s">
        <v>3518</v>
      </c>
      <c r="C2978" s="8" t="s">
        <v>974</v>
      </c>
      <c r="D2978" s="8">
        <v>5</v>
      </c>
      <c r="E2978" s="8" t="s">
        <v>477</v>
      </c>
      <c r="F2978" s="8" t="s">
        <v>266</v>
      </c>
      <c r="G2978" s="8" t="s">
        <v>976</v>
      </c>
      <c r="H2978" s="10">
        <v>0.2</v>
      </c>
      <c r="I2978" s="10"/>
      <c r="J2978" s="10">
        <v>0.2</v>
      </c>
      <c r="K2978" s="10">
        <v>7827.36</v>
      </c>
    </row>
    <row r="2979" spans="1:11" x14ac:dyDescent="0.25">
      <c r="A2979" s="8" t="s">
        <v>4615</v>
      </c>
      <c r="B2979" s="8" t="s">
        <v>4491</v>
      </c>
      <c r="C2979" s="8" t="s">
        <v>974</v>
      </c>
      <c r="D2979" s="8">
        <v>5</v>
      </c>
      <c r="E2979" s="8" t="s">
        <v>477</v>
      </c>
      <c r="F2979" s="8" t="s">
        <v>266</v>
      </c>
      <c r="G2979" s="8" t="s">
        <v>976</v>
      </c>
      <c r="H2979" s="10">
        <v>0.6</v>
      </c>
      <c r="I2979" s="10"/>
      <c r="J2979" s="10">
        <v>0.6</v>
      </c>
      <c r="K2979" s="10">
        <v>7827.36</v>
      </c>
    </row>
    <row r="2980" spans="1:11" x14ac:dyDescent="0.25">
      <c r="A2980" s="8" t="s">
        <v>4616</v>
      </c>
      <c r="B2980" s="8" t="s">
        <v>138</v>
      </c>
      <c r="C2980" s="8" t="s">
        <v>974</v>
      </c>
      <c r="D2980" s="8">
        <v>5</v>
      </c>
      <c r="E2980" s="8" t="s">
        <v>477</v>
      </c>
      <c r="F2980" s="8" t="s">
        <v>266</v>
      </c>
      <c r="G2980" s="8" t="s">
        <v>976</v>
      </c>
      <c r="H2980" s="10">
        <v>3</v>
      </c>
      <c r="I2980" s="10"/>
      <c r="J2980" s="10">
        <v>3</v>
      </c>
      <c r="K2980" s="10">
        <v>7827.36</v>
      </c>
    </row>
    <row r="2981" spans="1:11" x14ac:dyDescent="0.25">
      <c r="A2981" s="8" t="s">
        <v>4617</v>
      </c>
      <c r="B2981" s="8" t="s">
        <v>1029</v>
      </c>
      <c r="C2981" s="8" t="s">
        <v>974</v>
      </c>
      <c r="D2981" s="8">
        <v>5</v>
      </c>
      <c r="E2981" s="8" t="s">
        <v>477</v>
      </c>
      <c r="F2981" s="8" t="s">
        <v>266</v>
      </c>
      <c r="G2981" s="8" t="s">
        <v>976</v>
      </c>
      <c r="H2981" s="10">
        <v>0.6</v>
      </c>
      <c r="I2981" s="10"/>
      <c r="J2981" s="10">
        <v>0.6</v>
      </c>
      <c r="K2981" s="10">
        <v>7827.36</v>
      </c>
    </row>
    <row r="2982" spans="1:11" x14ac:dyDescent="0.25">
      <c r="A2982" s="8" t="s">
        <v>4618</v>
      </c>
      <c r="B2982" s="8" t="s">
        <v>4495</v>
      </c>
      <c r="C2982" s="8" t="s">
        <v>974</v>
      </c>
      <c r="D2982" s="8">
        <v>5</v>
      </c>
      <c r="E2982" s="8" t="s">
        <v>477</v>
      </c>
      <c r="F2982" s="8" t="s">
        <v>266</v>
      </c>
      <c r="G2982" s="8" t="s">
        <v>976</v>
      </c>
      <c r="H2982" s="10">
        <v>1.6</v>
      </c>
      <c r="I2982" s="10"/>
      <c r="J2982" s="10">
        <v>1.6</v>
      </c>
      <c r="K2982" s="10">
        <v>7827.36</v>
      </c>
    </row>
    <row r="2983" spans="1:11" x14ac:dyDescent="0.25">
      <c r="A2983" s="8" t="s">
        <v>4619</v>
      </c>
      <c r="B2983" s="8" t="s">
        <v>72</v>
      </c>
      <c r="C2983" s="8" t="s">
        <v>974</v>
      </c>
      <c r="D2983" s="8">
        <v>5</v>
      </c>
      <c r="E2983" s="8" t="s">
        <v>4620</v>
      </c>
      <c r="F2983" s="8" t="s">
        <v>266</v>
      </c>
      <c r="G2983" s="8" t="s">
        <v>976</v>
      </c>
      <c r="H2983" s="10">
        <v>4</v>
      </c>
      <c r="I2983" s="10"/>
      <c r="J2983" s="10">
        <v>4</v>
      </c>
      <c r="K2983" s="10">
        <v>7827.36</v>
      </c>
    </row>
    <row r="2984" spans="1:11" x14ac:dyDescent="0.25">
      <c r="A2984" s="8" t="s">
        <v>4621</v>
      </c>
      <c r="B2984" s="8" t="s">
        <v>116</v>
      </c>
      <c r="C2984" s="8" t="s">
        <v>974</v>
      </c>
      <c r="D2984" s="8">
        <v>5</v>
      </c>
      <c r="E2984" s="8" t="s">
        <v>4620</v>
      </c>
      <c r="F2984" s="8" t="s">
        <v>266</v>
      </c>
      <c r="G2984" s="8" t="s">
        <v>976</v>
      </c>
      <c r="H2984" s="10">
        <v>0.3</v>
      </c>
      <c r="I2984" s="10"/>
      <c r="J2984" s="10">
        <v>0.3</v>
      </c>
      <c r="K2984" s="10">
        <v>7827.36</v>
      </c>
    </row>
    <row r="2985" spans="1:11" x14ac:dyDescent="0.25">
      <c r="A2985" s="8" t="s">
        <v>4622</v>
      </c>
      <c r="B2985" s="8" t="s">
        <v>116</v>
      </c>
      <c r="C2985" s="8" t="s">
        <v>974</v>
      </c>
      <c r="D2985" s="8">
        <v>5</v>
      </c>
      <c r="E2985" s="8" t="s">
        <v>4620</v>
      </c>
      <c r="F2985" s="8" t="s">
        <v>266</v>
      </c>
      <c r="G2985" s="8" t="s">
        <v>976</v>
      </c>
      <c r="H2985" s="10">
        <v>4.9000000000000004</v>
      </c>
      <c r="I2985" s="10"/>
      <c r="J2985" s="10">
        <v>4.9000000000000004</v>
      </c>
      <c r="K2985" s="10">
        <v>7827.36</v>
      </c>
    </row>
    <row r="2986" spans="1:11" x14ac:dyDescent="0.25">
      <c r="A2986" s="8" t="s">
        <v>4623</v>
      </c>
      <c r="B2986" s="8" t="s">
        <v>118</v>
      </c>
      <c r="C2986" s="8" t="s">
        <v>974</v>
      </c>
      <c r="D2986" s="8">
        <v>5</v>
      </c>
      <c r="E2986" s="8" t="s">
        <v>4620</v>
      </c>
      <c r="F2986" s="8" t="s">
        <v>266</v>
      </c>
      <c r="G2986" s="8" t="s">
        <v>976</v>
      </c>
      <c r="H2986" s="10">
        <v>42.7</v>
      </c>
      <c r="I2986" s="10"/>
      <c r="J2986" s="10">
        <v>42.7</v>
      </c>
      <c r="K2986" s="10">
        <v>7827.36</v>
      </c>
    </row>
    <row r="2987" spans="1:11" x14ac:dyDescent="0.25">
      <c r="A2987" s="8" t="s">
        <v>4624</v>
      </c>
      <c r="B2987" s="8" t="s">
        <v>118</v>
      </c>
      <c r="C2987" s="8" t="s">
        <v>974</v>
      </c>
      <c r="D2987" s="8">
        <v>5</v>
      </c>
      <c r="E2987" s="8" t="s">
        <v>4620</v>
      </c>
      <c r="F2987" s="8" t="s">
        <v>266</v>
      </c>
      <c r="G2987" s="8" t="s">
        <v>976</v>
      </c>
      <c r="H2987" s="10">
        <v>2.2000000000000002</v>
      </c>
      <c r="I2987" s="10"/>
      <c r="J2987" s="10">
        <v>2.2000000000000002</v>
      </c>
      <c r="K2987" s="10">
        <v>7827.36</v>
      </c>
    </row>
    <row r="2988" spans="1:11" x14ac:dyDescent="0.25">
      <c r="A2988" s="8" t="s">
        <v>4625</v>
      </c>
      <c r="B2988" s="8" t="s">
        <v>1650</v>
      </c>
      <c r="C2988" s="8" t="s">
        <v>974</v>
      </c>
      <c r="D2988" s="8">
        <v>5</v>
      </c>
      <c r="E2988" s="8" t="s">
        <v>4620</v>
      </c>
      <c r="F2988" s="8" t="s">
        <v>266</v>
      </c>
      <c r="G2988" s="8" t="s">
        <v>976</v>
      </c>
      <c r="H2988" s="10">
        <v>4</v>
      </c>
      <c r="I2988" s="10"/>
      <c r="J2988" s="10">
        <v>4</v>
      </c>
      <c r="K2988" s="10">
        <v>7827.36</v>
      </c>
    </row>
    <row r="2989" spans="1:11" x14ac:dyDescent="0.25">
      <c r="A2989" s="8" t="s">
        <v>4626</v>
      </c>
      <c r="B2989" s="8" t="s">
        <v>120</v>
      </c>
      <c r="C2989" s="8" t="s">
        <v>974</v>
      </c>
      <c r="D2989" s="8">
        <v>5</v>
      </c>
      <c r="E2989" s="8" t="s">
        <v>4620</v>
      </c>
      <c r="F2989" s="8" t="s">
        <v>266</v>
      </c>
      <c r="G2989" s="8" t="s">
        <v>976</v>
      </c>
      <c r="H2989" s="10">
        <v>40.700000000000003</v>
      </c>
      <c r="I2989" s="10"/>
      <c r="J2989" s="10">
        <v>40.700000000000003</v>
      </c>
      <c r="K2989" s="10">
        <v>7827.36</v>
      </c>
    </row>
    <row r="2990" spans="1:11" x14ac:dyDescent="0.25">
      <c r="A2990" s="8" t="s">
        <v>4627</v>
      </c>
      <c r="B2990" s="8" t="s">
        <v>120</v>
      </c>
      <c r="C2990" s="8" t="s">
        <v>974</v>
      </c>
      <c r="D2990" s="8">
        <v>5</v>
      </c>
      <c r="E2990" s="8" t="s">
        <v>4620</v>
      </c>
      <c r="F2990" s="8" t="s">
        <v>266</v>
      </c>
      <c r="G2990" s="8" t="s">
        <v>976</v>
      </c>
      <c r="H2990" s="10">
        <v>5</v>
      </c>
      <c r="I2990" s="10"/>
      <c r="J2990" s="10">
        <v>5</v>
      </c>
      <c r="K2990" s="10">
        <v>7827.36</v>
      </c>
    </row>
    <row r="2991" spans="1:11" x14ac:dyDescent="0.25">
      <c r="A2991" s="8" t="s">
        <v>4628</v>
      </c>
      <c r="B2991" s="8" t="s">
        <v>122</v>
      </c>
      <c r="C2991" s="8" t="s">
        <v>974</v>
      </c>
      <c r="D2991" s="8">
        <v>5</v>
      </c>
      <c r="E2991" s="8" t="s">
        <v>4620</v>
      </c>
      <c r="F2991" s="8" t="s">
        <v>266</v>
      </c>
      <c r="G2991" s="8" t="s">
        <v>976</v>
      </c>
      <c r="H2991" s="10">
        <v>0.5</v>
      </c>
      <c r="I2991" s="10"/>
      <c r="J2991" s="10">
        <v>0.5</v>
      </c>
      <c r="K2991" s="10">
        <v>7827.36</v>
      </c>
    </row>
    <row r="2992" spans="1:11" x14ac:dyDescent="0.25">
      <c r="A2992" s="8" t="s">
        <v>4629</v>
      </c>
      <c r="B2992" s="8" t="s">
        <v>78</v>
      </c>
      <c r="C2992" s="8" t="s">
        <v>974</v>
      </c>
      <c r="D2992" s="8">
        <v>5</v>
      </c>
      <c r="E2992" s="8" t="s">
        <v>4620</v>
      </c>
      <c r="F2992" s="8" t="s">
        <v>266</v>
      </c>
      <c r="G2992" s="8" t="s">
        <v>976</v>
      </c>
      <c r="H2992" s="10">
        <v>0.4</v>
      </c>
      <c r="I2992" s="10"/>
      <c r="J2992" s="10">
        <v>0.4</v>
      </c>
      <c r="K2992" s="10">
        <v>7827.36</v>
      </c>
    </row>
    <row r="2993" spans="1:11" x14ac:dyDescent="0.25">
      <c r="A2993" s="8" t="s">
        <v>4630</v>
      </c>
      <c r="B2993" s="8" t="s">
        <v>1655</v>
      </c>
      <c r="C2993" s="8" t="s">
        <v>974</v>
      </c>
      <c r="D2993" s="8">
        <v>5</v>
      </c>
      <c r="E2993" s="8" t="s">
        <v>4620</v>
      </c>
      <c r="F2993" s="8" t="s">
        <v>266</v>
      </c>
      <c r="G2993" s="8" t="s">
        <v>976</v>
      </c>
      <c r="H2993" s="10">
        <v>3.7</v>
      </c>
      <c r="I2993" s="10"/>
      <c r="J2993" s="10">
        <v>3.7</v>
      </c>
      <c r="K2993" s="10">
        <v>7827.36</v>
      </c>
    </row>
    <row r="2994" spans="1:11" x14ac:dyDescent="0.25">
      <c r="A2994" s="8" t="s">
        <v>4631</v>
      </c>
      <c r="B2994" s="8" t="s">
        <v>130</v>
      </c>
      <c r="C2994" s="8" t="s">
        <v>974</v>
      </c>
      <c r="D2994" s="8">
        <v>5</v>
      </c>
      <c r="E2994" s="8" t="s">
        <v>4620</v>
      </c>
      <c r="F2994" s="8" t="s">
        <v>266</v>
      </c>
      <c r="G2994" s="8" t="s">
        <v>976</v>
      </c>
      <c r="H2994" s="10">
        <v>0.7</v>
      </c>
      <c r="I2994" s="10"/>
      <c r="J2994" s="10">
        <v>0.7</v>
      </c>
      <c r="K2994" s="10">
        <v>7827.36</v>
      </c>
    </row>
    <row r="2995" spans="1:11" x14ac:dyDescent="0.25">
      <c r="A2995" s="8" t="s">
        <v>4632</v>
      </c>
      <c r="B2995" s="8" t="s">
        <v>132</v>
      </c>
      <c r="C2995" s="8" t="s">
        <v>974</v>
      </c>
      <c r="D2995" s="8">
        <v>5</v>
      </c>
      <c r="E2995" s="8" t="s">
        <v>4620</v>
      </c>
      <c r="F2995" s="8" t="s">
        <v>266</v>
      </c>
      <c r="G2995" s="8" t="s">
        <v>976</v>
      </c>
      <c r="H2995" s="10">
        <v>7.2</v>
      </c>
      <c r="I2995" s="10"/>
      <c r="J2995" s="10">
        <v>7.2</v>
      </c>
      <c r="K2995" s="10">
        <v>7827.36</v>
      </c>
    </row>
    <row r="2996" spans="1:11" x14ac:dyDescent="0.25">
      <c r="A2996" s="8" t="s">
        <v>4633</v>
      </c>
      <c r="B2996" s="8" t="s">
        <v>134</v>
      </c>
      <c r="C2996" s="8" t="s">
        <v>974</v>
      </c>
      <c r="D2996" s="8">
        <v>5</v>
      </c>
      <c r="E2996" s="8" t="s">
        <v>4620</v>
      </c>
      <c r="F2996" s="8" t="s">
        <v>266</v>
      </c>
      <c r="G2996" s="8" t="s">
        <v>976</v>
      </c>
      <c r="H2996" s="10">
        <v>6.4</v>
      </c>
      <c r="I2996" s="10"/>
      <c r="J2996" s="10">
        <v>6.4</v>
      </c>
      <c r="K2996" s="10">
        <v>7827.36</v>
      </c>
    </row>
    <row r="2997" spans="1:11" x14ac:dyDescent="0.25">
      <c r="A2997" s="8" t="s">
        <v>4634</v>
      </c>
      <c r="B2997" s="8" t="s">
        <v>136</v>
      </c>
      <c r="C2997" s="8" t="s">
        <v>974</v>
      </c>
      <c r="D2997" s="8">
        <v>5</v>
      </c>
      <c r="E2997" s="8" t="s">
        <v>4620</v>
      </c>
      <c r="F2997" s="8" t="s">
        <v>266</v>
      </c>
      <c r="G2997" s="8" t="s">
        <v>976</v>
      </c>
      <c r="H2997" s="10">
        <v>2.9</v>
      </c>
      <c r="I2997" s="10"/>
      <c r="J2997" s="10">
        <v>2.9</v>
      </c>
      <c r="K2997" s="10">
        <v>7827.36</v>
      </c>
    </row>
    <row r="2998" spans="1:11" x14ac:dyDescent="0.25">
      <c r="A2998" s="8" t="s">
        <v>4635</v>
      </c>
      <c r="B2998" s="8" t="s">
        <v>3518</v>
      </c>
      <c r="C2998" s="8" t="s">
        <v>974</v>
      </c>
      <c r="D2998" s="8">
        <v>5</v>
      </c>
      <c r="E2998" s="8" t="s">
        <v>4620</v>
      </c>
      <c r="F2998" s="8" t="s">
        <v>266</v>
      </c>
      <c r="G2998" s="8" t="s">
        <v>976</v>
      </c>
      <c r="H2998" s="10">
        <v>0.2</v>
      </c>
      <c r="I2998" s="10"/>
      <c r="J2998" s="10">
        <v>0.2</v>
      </c>
      <c r="K2998" s="10">
        <v>7827.36</v>
      </c>
    </row>
    <row r="2999" spans="1:11" x14ac:dyDescent="0.25">
      <c r="A2999" s="8" t="s">
        <v>4636</v>
      </c>
      <c r="B2999" s="8" t="s">
        <v>4491</v>
      </c>
      <c r="C2999" s="8" t="s">
        <v>974</v>
      </c>
      <c r="D2999" s="8">
        <v>5</v>
      </c>
      <c r="E2999" s="8" t="s">
        <v>4620</v>
      </c>
      <c r="F2999" s="8" t="s">
        <v>266</v>
      </c>
      <c r="G2999" s="8" t="s">
        <v>976</v>
      </c>
      <c r="H2999" s="10">
        <v>0.5</v>
      </c>
      <c r="I2999" s="10"/>
      <c r="J2999" s="10">
        <v>0.5</v>
      </c>
      <c r="K2999" s="10">
        <v>7827.36</v>
      </c>
    </row>
    <row r="3000" spans="1:11" x14ac:dyDescent="0.25">
      <c r="A3000" s="8" t="s">
        <v>4637</v>
      </c>
      <c r="B3000" s="8" t="s">
        <v>1029</v>
      </c>
      <c r="C3000" s="8" t="s">
        <v>974</v>
      </c>
      <c r="D3000" s="8">
        <v>5</v>
      </c>
      <c r="E3000" s="8" t="s">
        <v>4620</v>
      </c>
      <c r="F3000" s="8" t="s">
        <v>266</v>
      </c>
      <c r="G3000" s="8" t="s">
        <v>976</v>
      </c>
      <c r="H3000" s="10">
        <v>0.6</v>
      </c>
      <c r="I3000" s="10"/>
      <c r="J3000" s="10">
        <v>0.6</v>
      </c>
      <c r="K3000" s="10">
        <v>7827.36</v>
      </c>
    </row>
    <row r="3001" spans="1:11" x14ac:dyDescent="0.25">
      <c r="A3001" s="8" t="s">
        <v>4638</v>
      </c>
      <c r="B3001" s="8" t="s">
        <v>72</v>
      </c>
      <c r="C3001" s="8" t="s">
        <v>4639</v>
      </c>
      <c r="D3001" s="8">
        <v>3</v>
      </c>
      <c r="E3001" s="8" t="s">
        <v>4640</v>
      </c>
      <c r="F3001" s="8" t="s">
        <v>266</v>
      </c>
      <c r="G3001" s="8" t="s">
        <v>4641</v>
      </c>
      <c r="H3001" s="10">
        <v>0.3</v>
      </c>
      <c r="I3001" s="10"/>
      <c r="J3001" s="10">
        <v>0.3</v>
      </c>
      <c r="K3001" s="10">
        <v>6528.22</v>
      </c>
    </row>
    <row r="3002" spans="1:11" x14ac:dyDescent="0.25">
      <c r="A3002" s="8" t="s">
        <v>4642</v>
      </c>
      <c r="B3002" s="8" t="s">
        <v>72</v>
      </c>
      <c r="C3002" s="8" t="s">
        <v>4639</v>
      </c>
      <c r="D3002" s="8">
        <v>3</v>
      </c>
      <c r="E3002" s="8" t="s">
        <v>4640</v>
      </c>
      <c r="F3002" s="8" t="s">
        <v>266</v>
      </c>
      <c r="G3002" s="8" t="s">
        <v>4641</v>
      </c>
      <c r="H3002" s="10">
        <v>1.5</v>
      </c>
      <c r="I3002" s="10"/>
      <c r="J3002" s="10">
        <v>1.5</v>
      </c>
      <c r="K3002" s="10">
        <v>6528.22</v>
      </c>
    </row>
    <row r="3003" spans="1:11" x14ac:dyDescent="0.25">
      <c r="A3003" s="8" t="s">
        <v>4643</v>
      </c>
      <c r="B3003" s="8" t="s">
        <v>116</v>
      </c>
      <c r="C3003" s="8" t="s">
        <v>4639</v>
      </c>
      <c r="D3003" s="8">
        <v>3</v>
      </c>
      <c r="E3003" s="8" t="s">
        <v>4640</v>
      </c>
      <c r="F3003" s="8" t="s">
        <v>266</v>
      </c>
      <c r="G3003" s="8" t="s">
        <v>4641</v>
      </c>
      <c r="H3003" s="10">
        <v>10</v>
      </c>
      <c r="I3003" s="10"/>
      <c r="J3003" s="10">
        <v>10</v>
      </c>
      <c r="K3003" s="10">
        <v>6528.22</v>
      </c>
    </row>
    <row r="3004" spans="1:11" x14ac:dyDescent="0.25">
      <c r="A3004" s="8" t="s">
        <v>4644</v>
      </c>
      <c r="B3004" s="8" t="s">
        <v>1650</v>
      </c>
      <c r="C3004" s="8" t="s">
        <v>4639</v>
      </c>
      <c r="D3004" s="8">
        <v>3</v>
      </c>
      <c r="E3004" s="8" t="s">
        <v>4640</v>
      </c>
      <c r="F3004" s="8" t="s">
        <v>266</v>
      </c>
      <c r="G3004" s="8" t="s">
        <v>4641</v>
      </c>
      <c r="H3004" s="10">
        <v>0.3</v>
      </c>
      <c r="I3004" s="10"/>
      <c r="J3004" s="10">
        <v>0.3</v>
      </c>
      <c r="K3004" s="10">
        <v>6528.22</v>
      </c>
    </row>
    <row r="3005" spans="1:11" x14ac:dyDescent="0.25">
      <c r="A3005" s="8" t="s">
        <v>4645</v>
      </c>
      <c r="B3005" s="8" t="s">
        <v>120</v>
      </c>
      <c r="C3005" s="8" t="s">
        <v>4639</v>
      </c>
      <c r="D3005" s="8">
        <v>3</v>
      </c>
      <c r="E3005" s="8" t="s">
        <v>4640</v>
      </c>
      <c r="F3005" s="8" t="s">
        <v>266</v>
      </c>
      <c r="G3005" s="8" t="s">
        <v>4641</v>
      </c>
      <c r="H3005" s="10">
        <v>28.1</v>
      </c>
      <c r="I3005" s="10"/>
      <c r="J3005" s="10">
        <v>28.1</v>
      </c>
      <c r="K3005" s="10">
        <v>6528.22</v>
      </c>
    </row>
    <row r="3006" spans="1:11" x14ac:dyDescent="0.25">
      <c r="A3006" s="8" t="s">
        <v>4646</v>
      </c>
      <c r="B3006" s="8" t="s">
        <v>122</v>
      </c>
      <c r="C3006" s="8" t="s">
        <v>4639</v>
      </c>
      <c r="D3006" s="8">
        <v>3</v>
      </c>
      <c r="E3006" s="8" t="s">
        <v>4640</v>
      </c>
      <c r="F3006" s="8" t="s">
        <v>266</v>
      </c>
      <c r="G3006" s="8" t="s">
        <v>4641</v>
      </c>
      <c r="H3006" s="10">
        <v>16.100000000000001</v>
      </c>
      <c r="I3006" s="10"/>
      <c r="J3006" s="10">
        <v>16.100000000000001</v>
      </c>
      <c r="K3006" s="10">
        <v>6528.22</v>
      </c>
    </row>
    <row r="3007" spans="1:11" x14ac:dyDescent="0.25">
      <c r="A3007" s="8" t="s">
        <v>4647</v>
      </c>
      <c r="B3007" s="8" t="s">
        <v>122</v>
      </c>
      <c r="C3007" s="8" t="s">
        <v>4639</v>
      </c>
      <c r="D3007" s="8">
        <v>3</v>
      </c>
      <c r="E3007" s="8" t="s">
        <v>4640</v>
      </c>
      <c r="F3007" s="8" t="s">
        <v>266</v>
      </c>
      <c r="G3007" s="8" t="s">
        <v>4641</v>
      </c>
      <c r="H3007" s="10">
        <v>0.1</v>
      </c>
      <c r="I3007" s="10"/>
      <c r="J3007" s="10">
        <v>0.1</v>
      </c>
      <c r="K3007" s="10">
        <v>6528.22</v>
      </c>
    </row>
    <row r="3008" spans="1:11" x14ac:dyDescent="0.25">
      <c r="A3008" s="8" t="s">
        <v>4648</v>
      </c>
      <c r="B3008" s="8" t="s">
        <v>124</v>
      </c>
      <c r="C3008" s="8" t="s">
        <v>4639</v>
      </c>
      <c r="D3008" s="8">
        <v>3</v>
      </c>
      <c r="E3008" s="8" t="s">
        <v>4640</v>
      </c>
      <c r="F3008" s="8" t="s">
        <v>266</v>
      </c>
      <c r="G3008" s="8" t="s">
        <v>4641</v>
      </c>
      <c r="H3008" s="10">
        <v>57.1</v>
      </c>
      <c r="I3008" s="10"/>
      <c r="J3008" s="10">
        <v>57.1</v>
      </c>
      <c r="K3008" s="10">
        <v>6528.22</v>
      </c>
    </row>
    <row r="3009" spans="1:11" x14ac:dyDescent="0.25">
      <c r="A3009" s="8" t="s">
        <v>4649</v>
      </c>
      <c r="B3009" s="8" t="s">
        <v>78</v>
      </c>
      <c r="C3009" s="8" t="s">
        <v>4639</v>
      </c>
      <c r="D3009" s="8">
        <v>3</v>
      </c>
      <c r="E3009" s="8" t="s">
        <v>4640</v>
      </c>
      <c r="F3009" s="8" t="s">
        <v>266</v>
      </c>
      <c r="G3009" s="8" t="s">
        <v>4641</v>
      </c>
      <c r="H3009" s="10">
        <v>10.3</v>
      </c>
      <c r="I3009" s="10"/>
      <c r="J3009" s="10">
        <v>10.3</v>
      </c>
      <c r="K3009" s="10">
        <v>6528.22</v>
      </c>
    </row>
    <row r="3010" spans="1:11" x14ac:dyDescent="0.25">
      <c r="A3010" s="8" t="s">
        <v>4650</v>
      </c>
      <c r="B3010" s="8" t="s">
        <v>1655</v>
      </c>
      <c r="C3010" s="8" t="s">
        <v>4639</v>
      </c>
      <c r="D3010" s="8">
        <v>3</v>
      </c>
      <c r="E3010" s="8" t="s">
        <v>4640</v>
      </c>
      <c r="F3010" s="8" t="s">
        <v>266</v>
      </c>
      <c r="G3010" s="8" t="s">
        <v>4641</v>
      </c>
      <c r="H3010" s="10">
        <v>0.3</v>
      </c>
      <c r="I3010" s="10"/>
      <c r="J3010" s="10">
        <v>0.3</v>
      </c>
      <c r="K3010" s="10">
        <v>6528.22</v>
      </c>
    </row>
    <row r="3011" spans="1:11" x14ac:dyDescent="0.25">
      <c r="A3011" s="8" t="s">
        <v>4651</v>
      </c>
      <c r="B3011" s="8" t="s">
        <v>128</v>
      </c>
      <c r="C3011" s="8" t="s">
        <v>4639</v>
      </c>
      <c r="D3011" s="8">
        <v>3</v>
      </c>
      <c r="E3011" s="8" t="s">
        <v>4640</v>
      </c>
      <c r="F3011" s="8" t="s">
        <v>266</v>
      </c>
      <c r="G3011" s="8" t="s">
        <v>4641</v>
      </c>
      <c r="H3011" s="10">
        <v>1.6</v>
      </c>
      <c r="I3011" s="10"/>
      <c r="J3011" s="10">
        <v>1.6</v>
      </c>
      <c r="K3011" s="10">
        <v>6528.22</v>
      </c>
    </row>
    <row r="3012" spans="1:11" x14ac:dyDescent="0.25">
      <c r="A3012" s="8" t="s">
        <v>4652</v>
      </c>
      <c r="B3012" s="8" t="s">
        <v>130</v>
      </c>
      <c r="C3012" s="8" t="s">
        <v>4639</v>
      </c>
      <c r="D3012" s="8">
        <v>3</v>
      </c>
      <c r="E3012" s="8" t="s">
        <v>4640</v>
      </c>
      <c r="F3012" s="8" t="s">
        <v>266</v>
      </c>
      <c r="G3012" s="8" t="s">
        <v>4641</v>
      </c>
      <c r="H3012" s="10">
        <v>0.7</v>
      </c>
      <c r="I3012" s="10"/>
      <c r="J3012" s="10">
        <v>0.7</v>
      </c>
      <c r="K3012" s="10">
        <v>6528.22</v>
      </c>
    </row>
    <row r="3013" spans="1:11" x14ac:dyDescent="0.25">
      <c r="A3013" s="8" t="s">
        <v>4653</v>
      </c>
      <c r="B3013" s="8" t="s">
        <v>132</v>
      </c>
      <c r="C3013" s="8" t="s">
        <v>4639</v>
      </c>
      <c r="D3013" s="8">
        <v>3</v>
      </c>
      <c r="E3013" s="8" t="s">
        <v>4640</v>
      </c>
      <c r="F3013" s="8" t="s">
        <v>266</v>
      </c>
      <c r="G3013" s="8" t="s">
        <v>4641</v>
      </c>
      <c r="H3013" s="10">
        <v>5.2</v>
      </c>
      <c r="I3013" s="10"/>
      <c r="J3013" s="10">
        <v>5.2</v>
      </c>
      <c r="K3013" s="10">
        <v>6528.22</v>
      </c>
    </row>
    <row r="3014" spans="1:11" x14ac:dyDescent="0.25">
      <c r="A3014" s="8" t="s">
        <v>4654</v>
      </c>
      <c r="B3014" s="8" t="s">
        <v>134</v>
      </c>
      <c r="C3014" s="8" t="s">
        <v>4639</v>
      </c>
      <c r="D3014" s="8">
        <v>3</v>
      </c>
      <c r="E3014" s="8" t="s">
        <v>4640</v>
      </c>
      <c r="F3014" s="8" t="s">
        <v>266</v>
      </c>
      <c r="G3014" s="8" t="s">
        <v>4641</v>
      </c>
      <c r="H3014" s="10">
        <v>3</v>
      </c>
      <c r="I3014" s="10"/>
      <c r="J3014" s="10">
        <v>3</v>
      </c>
      <c r="K3014" s="10">
        <v>6528.22</v>
      </c>
    </row>
    <row r="3015" spans="1:11" x14ac:dyDescent="0.25">
      <c r="A3015" s="8" t="s">
        <v>4655</v>
      </c>
      <c r="B3015" s="8" t="s">
        <v>263</v>
      </c>
      <c r="C3015" s="8" t="s">
        <v>4639</v>
      </c>
      <c r="D3015" s="8">
        <v>3</v>
      </c>
      <c r="E3015" s="8" t="s">
        <v>486</v>
      </c>
      <c r="F3015" s="8" t="s">
        <v>266</v>
      </c>
      <c r="G3015" s="8" t="s">
        <v>4641</v>
      </c>
      <c r="H3015" s="10">
        <v>1.1000000000000001</v>
      </c>
      <c r="I3015" s="10"/>
      <c r="J3015" s="10">
        <v>1.1000000000000001</v>
      </c>
      <c r="K3015" s="10">
        <v>6528.22</v>
      </c>
    </row>
    <row r="3016" spans="1:11" x14ac:dyDescent="0.25">
      <c r="A3016" s="8" t="s">
        <v>4656</v>
      </c>
      <c r="B3016" s="8" t="s">
        <v>269</v>
      </c>
      <c r="C3016" s="8" t="s">
        <v>4639</v>
      </c>
      <c r="D3016" s="8">
        <v>3</v>
      </c>
      <c r="E3016" s="8" t="s">
        <v>486</v>
      </c>
      <c r="F3016" s="8" t="s">
        <v>266</v>
      </c>
      <c r="G3016" s="8" t="s">
        <v>4641</v>
      </c>
      <c r="H3016" s="10">
        <v>1.1000000000000001</v>
      </c>
      <c r="I3016" s="10"/>
      <c r="J3016" s="10">
        <v>1.1000000000000001</v>
      </c>
      <c r="K3016" s="10">
        <v>6528.22</v>
      </c>
    </row>
    <row r="3017" spans="1:11" x14ac:dyDescent="0.25">
      <c r="A3017" s="8" t="s">
        <v>4657</v>
      </c>
      <c r="B3017" s="8" t="s">
        <v>118</v>
      </c>
      <c r="C3017" s="8" t="s">
        <v>4639</v>
      </c>
      <c r="D3017" s="8">
        <v>3</v>
      </c>
      <c r="E3017" s="8" t="s">
        <v>486</v>
      </c>
      <c r="F3017" s="8" t="s">
        <v>266</v>
      </c>
      <c r="G3017" s="8" t="s">
        <v>4641</v>
      </c>
      <c r="H3017" s="10">
        <v>11.3</v>
      </c>
      <c r="I3017" s="10"/>
      <c r="J3017" s="10">
        <v>11.3</v>
      </c>
      <c r="K3017" s="10">
        <v>6528.22</v>
      </c>
    </row>
    <row r="3018" spans="1:11" x14ac:dyDescent="0.25">
      <c r="A3018" s="8" t="s">
        <v>4658</v>
      </c>
      <c r="B3018" s="8" t="s">
        <v>263</v>
      </c>
      <c r="C3018" s="8" t="s">
        <v>4659</v>
      </c>
      <c r="D3018" s="8">
        <v>4</v>
      </c>
      <c r="E3018" s="8" t="s">
        <v>486</v>
      </c>
      <c r="F3018" s="8" t="s">
        <v>266</v>
      </c>
      <c r="G3018" s="8" t="s">
        <v>4660</v>
      </c>
      <c r="H3018" s="10">
        <v>1.4</v>
      </c>
      <c r="I3018" s="10"/>
      <c r="J3018" s="10">
        <v>1.4</v>
      </c>
      <c r="K3018" s="10">
        <v>22971.26</v>
      </c>
    </row>
    <row r="3019" spans="1:11" x14ac:dyDescent="0.25">
      <c r="A3019" s="8" t="s">
        <v>4661</v>
      </c>
      <c r="B3019" s="8" t="s">
        <v>269</v>
      </c>
      <c r="C3019" s="8" t="s">
        <v>4659</v>
      </c>
      <c r="D3019" s="8">
        <v>4</v>
      </c>
      <c r="E3019" s="8" t="s">
        <v>486</v>
      </c>
      <c r="F3019" s="8" t="s">
        <v>266</v>
      </c>
      <c r="G3019" s="8" t="s">
        <v>4660</v>
      </c>
      <c r="H3019" s="10">
        <v>1.4</v>
      </c>
      <c r="I3019" s="10"/>
      <c r="J3019" s="10">
        <v>1.4</v>
      </c>
      <c r="K3019" s="10">
        <v>22971.26</v>
      </c>
    </row>
    <row r="3020" spans="1:11" x14ac:dyDescent="0.25">
      <c r="A3020" s="8" t="s">
        <v>4662</v>
      </c>
      <c r="B3020" s="8" t="s">
        <v>72</v>
      </c>
      <c r="C3020" s="8" t="s">
        <v>974</v>
      </c>
      <c r="D3020" s="8">
        <v>5</v>
      </c>
      <c r="E3020" s="8" t="s">
        <v>4663</v>
      </c>
      <c r="F3020" s="8" t="s">
        <v>266</v>
      </c>
      <c r="G3020" s="8" t="s">
        <v>976</v>
      </c>
      <c r="H3020" s="10">
        <v>1.9</v>
      </c>
      <c r="I3020" s="10"/>
      <c r="J3020" s="10">
        <v>1.9</v>
      </c>
      <c r="K3020" s="10">
        <v>6528.22</v>
      </c>
    </row>
    <row r="3021" spans="1:11" x14ac:dyDescent="0.25">
      <c r="A3021" s="8" t="s">
        <v>4664</v>
      </c>
      <c r="B3021" s="8" t="s">
        <v>118</v>
      </c>
      <c r="C3021" s="8" t="s">
        <v>974</v>
      </c>
      <c r="D3021" s="8">
        <v>5</v>
      </c>
      <c r="E3021" s="8" t="s">
        <v>4663</v>
      </c>
      <c r="F3021" s="8" t="s">
        <v>266</v>
      </c>
      <c r="G3021" s="8" t="s">
        <v>976</v>
      </c>
      <c r="H3021" s="10">
        <v>5.5</v>
      </c>
      <c r="I3021" s="10"/>
      <c r="J3021" s="10">
        <v>5.5</v>
      </c>
      <c r="K3021" s="10">
        <v>6528.22</v>
      </c>
    </row>
    <row r="3022" spans="1:11" x14ac:dyDescent="0.25">
      <c r="A3022" s="8" t="s">
        <v>4665</v>
      </c>
      <c r="B3022" s="8" t="s">
        <v>1650</v>
      </c>
      <c r="C3022" s="8" t="s">
        <v>974</v>
      </c>
      <c r="D3022" s="8">
        <v>5</v>
      </c>
      <c r="E3022" s="8" t="s">
        <v>4663</v>
      </c>
      <c r="F3022" s="8" t="s">
        <v>266</v>
      </c>
      <c r="G3022" s="8" t="s">
        <v>976</v>
      </c>
      <c r="H3022" s="10">
        <v>1.9</v>
      </c>
      <c r="I3022" s="10"/>
      <c r="J3022" s="10">
        <v>1.9</v>
      </c>
      <c r="K3022" s="10">
        <v>6528.22</v>
      </c>
    </row>
    <row r="3023" spans="1:11" x14ac:dyDescent="0.25">
      <c r="A3023" s="8" t="s">
        <v>4666</v>
      </c>
      <c r="B3023" s="8" t="s">
        <v>1655</v>
      </c>
      <c r="C3023" s="8" t="s">
        <v>974</v>
      </c>
      <c r="D3023" s="8">
        <v>5</v>
      </c>
      <c r="E3023" s="8" t="s">
        <v>4663</v>
      </c>
      <c r="F3023" s="8" t="s">
        <v>266</v>
      </c>
      <c r="G3023" s="8" t="s">
        <v>976</v>
      </c>
      <c r="H3023" s="10">
        <v>2</v>
      </c>
      <c r="I3023" s="10"/>
      <c r="J3023" s="10">
        <v>2</v>
      </c>
      <c r="K3023" s="10">
        <v>6469.03</v>
      </c>
    </row>
    <row r="3024" spans="1:11" x14ac:dyDescent="0.25">
      <c r="A3024" s="8" t="s">
        <v>4667</v>
      </c>
      <c r="B3024" s="8" t="s">
        <v>263</v>
      </c>
      <c r="C3024" s="8" t="s">
        <v>974</v>
      </c>
      <c r="D3024" s="8">
        <v>5</v>
      </c>
      <c r="E3024" s="8" t="s">
        <v>4668</v>
      </c>
      <c r="F3024" s="8" t="s">
        <v>266</v>
      </c>
      <c r="G3024" s="8" t="s">
        <v>4669</v>
      </c>
      <c r="H3024" s="10">
        <v>0.1</v>
      </c>
      <c r="I3024" s="10"/>
      <c r="J3024" s="10">
        <v>0.1</v>
      </c>
      <c r="K3024" s="10">
        <v>14323.07</v>
      </c>
    </row>
    <row r="3025" spans="1:11" x14ac:dyDescent="0.25">
      <c r="A3025" s="8" t="s">
        <v>4670</v>
      </c>
      <c r="B3025" s="8" t="s">
        <v>269</v>
      </c>
      <c r="C3025" s="8" t="s">
        <v>974</v>
      </c>
      <c r="D3025" s="8">
        <v>5</v>
      </c>
      <c r="E3025" s="8" t="s">
        <v>4668</v>
      </c>
      <c r="F3025" s="8" t="s">
        <v>266</v>
      </c>
      <c r="G3025" s="8" t="s">
        <v>4669</v>
      </c>
      <c r="H3025" s="10">
        <v>0.1</v>
      </c>
      <c r="I3025" s="10"/>
      <c r="J3025" s="10">
        <v>0.1</v>
      </c>
      <c r="K3025" s="10">
        <v>14323.07</v>
      </c>
    </row>
    <row r="3026" spans="1:11" x14ac:dyDescent="0.25">
      <c r="A3026" s="8" t="s">
        <v>4671</v>
      </c>
      <c r="B3026" s="8" t="s">
        <v>72</v>
      </c>
      <c r="C3026" s="8" t="s">
        <v>974</v>
      </c>
      <c r="D3026" s="8">
        <v>5</v>
      </c>
      <c r="E3026" s="8" t="s">
        <v>4672</v>
      </c>
      <c r="F3026" s="8" t="s">
        <v>266</v>
      </c>
      <c r="G3026" s="8" t="s">
        <v>4669</v>
      </c>
      <c r="H3026" s="10">
        <v>5.7</v>
      </c>
      <c r="I3026" s="10"/>
      <c r="J3026" s="10">
        <v>5.7</v>
      </c>
      <c r="K3026" s="10">
        <v>14323.07</v>
      </c>
    </row>
    <row r="3027" spans="1:11" x14ac:dyDescent="0.25">
      <c r="A3027" s="8" t="s">
        <v>4673</v>
      </c>
      <c r="B3027" s="8" t="s">
        <v>72</v>
      </c>
      <c r="C3027" s="8" t="s">
        <v>974</v>
      </c>
      <c r="D3027" s="8">
        <v>5</v>
      </c>
      <c r="E3027" s="8" t="s">
        <v>4672</v>
      </c>
      <c r="F3027" s="8" t="s">
        <v>266</v>
      </c>
      <c r="G3027" s="8" t="s">
        <v>4669</v>
      </c>
      <c r="H3027" s="10">
        <v>0.5</v>
      </c>
      <c r="I3027" s="10"/>
      <c r="J3027" s="10">
        <v>0.5</v>
      </c>
      <c r="K3027" s="10">
        <v>14323.07</v>
      </c>
    </row>
    <row r="3028" spans="1:11" x14ac:dyDescent="0.25">
      <c r="A3028" s="8" t="s">
        <v>4674</v>
      </c>
      <c r="B3028" s="8" t="s">
        <v>116</v>
      </c>
      <c r="C3028" s="8" t="s">
        <v>974</v>
      </c>
      <c r="D3028" s="8">
        <v>5</v>
      </c>
      <c r="E3028" s="8" t="s">
        <v>4672</v>
      </c>
      <c r="F3028" s="8" t="s">
        <v>266</v>
      </c>
      <c r="G3028" s="8" t="s">
        <v>4669</v>
      </c>
      <c r="H3028" s="10">
        <v>6.2</v>
      </c>
      <c r="I3028" s="10"/>
      <c r="J3028" s="10">
        <v>6.2</v>
      </c>
      <c r="K3028" s="10">
        <v>14323.07</v>
      </c>
    </row>
    <row r="3029" spans="1:11" x14ac:dyDescent="0.25">
      <c r="A3029" s="8" t="s">
        <v>4675</v>
      </c>
      <c r="B3029" s="8" t="s">
        <v>116</v>
      </c>
      <c r="C3029" s="8" t="s">
        <v>974</v>
      </c>
      <c r="D3029" s="8">
        <v>5</v>
      </c>
      <c r="E3029" s="8" t="s">
        <v>4672</v>
      </c>
      <c r="F3029" s="8" t="s">
        <v>266</v>
      </c>
      <c r="G3029" s="8" t="s">
        <v>4669</v>
      </c>
      <c r="H3029" s="10">
        <v>3.1</v>
      </c>
      <c r="I3029" s="10"/>
      <c r="J3029" s="10">
        <v>3.1</v>
      </c>
      <c r="K3029" s="10">
        <v>14323.07</v>
      </c>
    </row>
    <row r="3030" spans="1:11" x14ac:dyDescent="0.25">
      <c r="A3030" s="8" t="s">
        <v>4676</v>
      </c>
      <c r="B3030" s="8" t="s">
        <v>118</v>
      </c>
      <c r="C3030" s="8" t="s">
        <v>974</v>
      </c>
      <c r="D3030" s="8">
        <v>5</v>
      </c>
      <c r="E3030" s="8" t="s">
        <v>4672</v>
      </c>
      <c r="F3030" s="8" t="s">
        <v>266</v>
      </c>
      <c r="G3030" s="8" t="s">
        <v>4669</v>
      </c>
      <c r="H3030" s="10">
        <v>68.8</v>
      </c>
      <c r="I3030" s="10"/>
      <c r="J3030" s="10">
        <v>68.8</v>
      </c>
      <c r="K3030" s="10">
        <v>14323.07</v>
      </c>
    </row>
    <row r="3031" spans="1:11" x14ac:dyDescent="0.25">
      <c r="A3031" s="8" t="s">
        <v>4677</v>
      </c>
      <c r="B3031" s="8" t="s">
        <v>118</v>
      </c>
      <c r="C3031" s="8" t="s">
        <v>974</v>
      </c>
      <c r="D3031" s="8">
        <v>5</v>
      </c>
      <c r="E3031" s="8" t="s">
        <v>4672</v>
      </c>
      <c r="F3031" s="8" t="s">
        <v>266</v>
      </c>
      <c r="G3031" s="8" t="s">
        <v>4669</v>
      </c>
      <c r="H3031" s="10">
        <v>2.1</v>
      </c>
      <c r="I3031" s="10"/>
      <c r="J3031" s="10">
        <v>2.1</v>
      </c>
      <c r="K3031" s="10">
        <v>14323.07</v>
      </c>
    </row>
    <row r="3032" spans="1:11" x14ac:dyDescent="0.25">
      <c r="A3032" s="8" t="s">
        <v>4678</v>
      </c>
      <c r="B3032" s="8" t="s">
        <v>1650</v>
      </c>
      <c r="C3032" s="8" t="s">
        <v>974</v>
      </c>
      <c r="D3032" s="8">
        <v>5</v>
      </c>
      <c r="E3032" s="8" t="s">
        <v>4672</v>
      </c>
      <c r="F3032" s="8" t="s">
        <v>266</v>
      </c>
      <c r="G3032" s="8" t="s">
        <v>4669</v>
      </c>
      <c r="H3032" s="10">
        <v>5.7</v>
      </c>
      <c r="I3032" s="10"/>
      <c r="J3032" s="10">
        <v>5.7</v>
      </c>
      <c r="K3032" s="10">
        <v>14323.07</v>
      </c>
    </row>
    <row r="3033" spans="1:11" x14ac:dyDescent="0.25">
      <c r="A3033" s="8" t="s">
        <v>4679</v>
      </c>
      <c r="B3033" s="8" t="s">
        <v>120</v>
      </c>
      <c r="C3033" s="8" t="s">
        <v>974</v>
      </c>
      <c r="D3033" s="8">
        <v>5</v>
      </c>
      <c r="E3033" s="8" t="s">
        <v>4672</v>
      </c>
      <c r="F3033" s="8" t="s">
        <v>266</v>
      </c>
      <c r="G3033" s="8" t="s">
        <v>4669</v>
      </c>
      <c r="H3033" s="10">
        <v>103.7</v>
      </c>
      <c r="I3033" s="10"/>
      <c r="J3033" s="10">
        <v>103.7</v>
      </c>
      <c r="K3033" s="10">
        <v>14323.07</v>
      </c>
    </row>
    <row r="3034" spans="1:11" x14ac:dyDescent="0.25">
      <c r="A3034" s="8" t="s">
        <v>4680</v>
      </c>
      <c r="B3034" s="8" t="s">
        <v>120</v>
      </c>
      <c r="C3034" s="8" t="s">
        <v>974</v>
      </c>
      <c r="D3034" s="8">
        <v>5</v>
      </c>
      <c r="E3034" s="8" t="s">
        <v>4672</v>
      </c>
      <c r="F3034" s="8" t="s">
        <v>266</v>
      </c>
      <c r="G3034" s="8" t="s">
        <v>4669</v>
      </c>
      <c r="H3034" s="10">
        <v>5.5</v>
      </c>
      <c r="I3034" s="10"/>
      <c r="J3034" s="10">
        <v>5.5</v>
      </c>
      <c r="K3034" s="10">
        <v>14323.07</v>
      </c>
    </row>
    <row r="3035" spans="1:11" x14ac:dyDescent="0.25">
      <c r="A3035" s="8" t="s">
        <v>4681</v>
      </c>
      <c r="B3035" s="8" t="s">
        <v>122</v>
      </c>
      <c r="C3035" s="8" t="s">
        <v>974</v>
      </c>
      <c r="D3035" s="8">
        <v>5</v>
      </c>
      <c r="E3035" s="8" t="s">
        <v>4672</v>
      </c>
      <c r="F3035" s="8" t="s">
        <v>266</v>
      </c>
      <c r="G3035" s="8" t="s">
        <v>4669</v>
      </c>
      <c r="H3035" s="10">
        <v>38.799999999999997</v>
      </c>
      <c r="I3035" s="10"/>
      <c r="J3035" s="10">
        <v>38.799999999999997</v>
      </c>
      <c r="K3035" s="10">
        <v>14323.07</v>
      </c>
    </row>
    <row r="3036" spans="1:11" x14ac:dyDescent="0.25">
      <c r="A3036" s="8" t="s">
        <v>4682</v>
      </c>
      <c r="B3036" s="8" t="s">
        <v>122</v>
      </c>
      <c r="C3036" s="8" t="s">
        <v>974</v>
      </c>
      <c r="D3036" s="8">
        <v>5</v>
      </c>
      <c r="E3036" s="8" t="s">
        <v>4672</v>
      </c>
      <c r="F3036" s="8" t="s">
        <v>266</v>
      </c>
      <c r="G3036" s="8" t="s">
        <v>4669</v>
      </c>
      <c r="H3036" s="10">
        <v>1.4</v>
      </c>
      <c r="I3036" s="10"/>
      <c r="J3036" s="10">
        <v>1.4</v>
      </c>
      <c r="K3036" s="10">
        <v>14323.07</v>
      </c>
    </row>
    <row r="3037" spans="1:11" x14ac:dyDescent="0.25">
      <c r="A3037" s="8" t="s">
        <v>4683</v>
      </c>
      <c r="B3037" s="8" t="s">
        <v>124</v>
      </c>
      <c r="C3037" s="8" t="s">
        <v>974</v>
      </c>
      <c r="D3037" s="8">
        <v>5</v>
      </c>
      <c r="E3037" s="8" t="s">
        <v>4672</v>
      </c>
      <c r="F3037" s="8" t="s">
        <v>266</v>
      </c>
      <c r="G3037" s="8" t="s">
        <v>4669</v>
      </c>
      <c r="H3037" s="10">
        <v>73.2</v>
      </c>
      <c r="I3037" s="10"/>
      <c r="J3037" s="10">
        <v>73.2</v>
      </c>
      <c r="K3037" s="10">
        <v>14323.07</v>
      </c>
    </row>
    <row r="3038" spans="1:11" x14ac:dyDescent="0.25">
      <c r="A3038" s="8" t="s">
        <v>4684</v>
      </c>
      <c r="B3038" s="8" t="s">
        <v>78</v>
      </c>
      <c r="C3038" s="8" t="s">
        <v>974</v>
      </c>
      <c r="D3038" s="8">
        <v>5</v>
      </c>
      <c r="E3038" s="8" t="s">
        <v>4672</v>
      </c>
      <c r="F3038" s="8" t="s">
        <v>266</v>
      </c>
      <c r="G3038" s="8" t="s">
        <v>4669</v>
      </c>
      <c r="H3038" s="10">
        <v>30.1</v>
      </c>
      <c r="I3038" s="10"/>
      <c r="J3038" s="10">
        <v>30.1</v>
      </c>
      <c r="K3038" s="10">
        <v>14323.07</v>
      </c>
    </row>
    <row r="3039" spans="1:11" x14ac:dyDescent="0.25">
      <c r="A3039" s="8" t="s">
        <v>4685</v>
      </c>
      <c r="B3039" s="8" t="s">
        <v>1655</v>
      </c>
      <c r="C3039" s="8" t="s">
        <v>974</v>
      </c>
      <c r="D3039" s="8">
        <v>5</v>
      </c>
      <c r="E3039" s="8" t="s">
        <v>4672</v>
      </c>
      <c r="F3039" s="8" t="s">
        <v>266</v>
      </c>
      <c r="G3039" s="8" t="s">
        <v>4669</v>
      </c>
      <c r="H3039" s="10">
        <v>4.5999999999999996</v>
      </c>
      <c r="I3039" s="10"/>
      <c r="J3039" s="10">
        <v>4.5999999999999996</v>
      </c>
      <c r="K3039" s="10">
        <v>14323.07</v>
      </c>
    </row>
    <row r="3040" spans="1:11" x14ac:dyDescent="0.25">
      <c r="A3040" s="8" t="s">
        <v>4686</v>
      </c>
      <c r="B3040" s="8" t="s">
        <v>128</v>
      </c>
      <c r="C3040" s="8" t="s">
        <v>974</v>
      </c>
      <c r="D3040" s="8">
        <v>5</v>
      </c>
      <c r="E3040" s="8" t="s">
        <v>4672</v>
      </c>
      <c r="F3040" s="8" t="s">
        <v>266</v>
      </c>
      <c r="G3040" s="8" t="s">
        <v>4669</v>
      </c>
      <c r="H3040" s="10">
        <v>5.9</v>
      </c>
      <c r="I3040" s="10"/>
      <c r="J3040" s="10">
        <v>5.9</v>
      </c>
      <c r="K3040" s="10">
        <v>14323.07</v>
      </c>
    </row>
    <row r="3041" spans="1:11" x14ac:dyDescent="0.25">
      <c r="A3041" s="8" t="s">
        <v>4687</v>
      </c>
      <c r="B3041" s="8" t="s">
        <v>130</v>
      </c>
      <c r="C3041" s="8" t="s">
        <v>974</v>
      </c>
      <c r="D3041" s="8">
        <v>5</v>
      </c>
      <c r="E3041" s="8" t="s">
        <v>4672</v>
      </c>
      <c r="F3041" s="8" t="s">
        <v>266</v>
      </c>
      <c r="G3041" s="8" t="s">
        <v>4669</v>
      </c>
      <c r="H3041" s="10">
        <v>3.6</v>
      </c>
      <c r="I3041" s="10"/>
      <c r="J3041" s="10">
        <v>3.6</v>
      </c>
      <c r="K3041" s="10">
        <v>14323.07</v>
      </c>
    </row>
    <row r="3042" spans="1:11" x14ac:dyDescent="0.25">
      <c r="A3042" s="8" t="s">
        <v>4688</v>
      </c>
      <c r="B3042" s="8" t="s">
        <v>132</v>
      </c>
      <c r="C3042" s="8" t="s">
        <v>974</v>
      </c>
      <c r="D3042" s="8">
        <v>5</v>
      </c>
      <c r="E3042" s="8" t="s">
        <v>4672</v>
      </c>
      <c r="F3042" s="8" t="s">
        <v>266</v>
      </c>
      <c r="G3042" s="8" t="s">
        <v>4669</v>
      </c>
      <c r="H3042" s="10">
        <v>16.3</v>
      </c>
      <c r="I3042" s="10"/>
      <c r="J3042" s="10">
        <v>16.3</v>
      </c>
      <c r="K3042" s="10">
        <v>14323.07</v>
      </c>
    </row>
    <row r="3043" spans="1:11" x14ac:dyDescent="0.25">
      <c r="A3043" s="8" t="s">
        <v>4689</v>
      </c>
      <c r="B3043" s="8" t="s">
        <v>134</v>
      </c>
      <c r="C3043" s="8" t="s">
        <v>974</v>
      </c>
      <c r="D3043" s="8">
        <v>5</v>
      </c>
      <c r="E3043" s="8" t="s">
        <v>4672</v>
      </c>
      <c r="F3043" s="8" t="s">
        <v>266</v>
      </c>
      <c r="G3043" s="8" t="s">
        <v>4669</v>
      </c>
      <c r="H3043" s="10">
        <v>10.6</v>
      </c>
      <c r="I3043" s="10"/>
      <c r="J3043" s="10">
        <v>10.6</v>
      </c>
      <c r="K3043" s="10">
        <v>14323.07</v>
      </c>
    </row>
    <row r="3044" spans="1:11" x14ac:dyDescent="0.25">
      <c r="A3044" s="8" t="s">
        <v>4690</v>
      </c>
      <c r="B3044" s="8" t="s">
        <v>136</v>
      </c>
      <c r="C3044" s="8" t="s">
        <v>974</v>
      </c>
      <c r="D3044" s="8">
        <v>5</v>
      </c>
      <c r="E3044" s="8" t="s">
        <v>4672</v>
      </c>
      <c r="F3044" s="8" t="s">
        <v>266</v>
      </c>
      <c r="G3044" s="8" t="s">
        <v>4669</v>
      </c>
      <c r="H3044" s="10">
        <v>1</v>
      </c>
      <c r="I3044" s="10"/>
      <c r="J3044" s="10">
        <v>1</v>
      </c>
      <c r="K3044" s="10">
        <v>14323.07</v>
      </c>
    </row>
    <row r="3045" spans="1:11" x14ac:dyDescent="0.25">
      <c r="A3045" s="8" t="s">
        <v>4691</v>
      </c>
      <c r="B3045" s="8" t="s">
        <v>2627</v>
      </c>
      <c r="C3045" s="8" t="s">
        <v>974</v>
      </c>
      <c r="D3045" s="8">
        <v>5</v>
      </c>
      <c r="E3045" s="8" t="s">
        <v>4672</v>
      </c>
      <c r="F3045" s="8" t="s">
        <v>266</v>
      </c>
      <c r="G3045" s="8" t="s">
        <v>4669</v>
      </c>
      <c r="H3045" s="10">
        <v>0.5</v>
      </c>
      <c r="I3045" s="10"/>
      <c r="J3045" s="10">
        <v>0.5</v>
      </c>
      <c r="K3045" s="10">
        <v>14323.07</v>
      </c>
    </row>
    <row r="3046" spans="1:11" x14ac:dyDescent="0.25">
      <c r="A3046" s="8" t="s">
        <v>4692</v>
      </c>
      <c r="B3046" s="8" t="s">
        <v>2627</v>
      </c>
      <c r="C3046" s="8" t="s">
        <v>974</v>
      </c>
      <c r="D3046" s="8">
        <v>5</v>
      </c>
      <c r="E3046" s="8" t="s">
        <v>4672</v>
      </c>
      <c r="F3046" s="8" t="s">
        <v>266</v>
      </c>
      <c r="G3046" s="8" t="s">
        <v>4669</v>
      </c>
      <c r="H3046" s="10">
        <v>1</v>
      </c>
      <c r="I3046" s="10"/>
      <c r="J3046" s="10">
        <v>1</v>
      </c>
      <c r="K3046" s="10">
        <v>14323.07</v>
      </c>
    </row>
    <row r="3047" spans="1:11" x14ac:dyDescent="0.25">
      <c r="A3047" s="8" t="s">
        <v>4693</v>
      </c>
      <c r="B3047" s="8" t="s">
        <v>2627</v>
      </c>
      <c r="C3047" s="8" t="s">
        <v>974</v>
      </c>
      <c r="D3047" s="8">
        <v>5</v>
      </c>
      <c r="E3047" s="8" t="s">
        <v>4672</v>
      </c>
      <c r="F3047" s="8" t="s">
        <v>266</v>
      </c>
      <c r="G3047" s="8" t="s">
        <v>4669</v>
      </c>
      <c r="H3047" s="10">
        <v>0.4</v>
      </c>
      <c r="I3047" s="10"/>
      <c r="J3047" s="10">
        <v>0.4</v>
      </c>
      <c r="K3047" s="10">
        <v>14323.07</v>
      </c>
    </row>
    <row r="3048" spans="1:11" x14ac:dyDescent="0.25">
      <c r="A3048" s="8" t="s">
        <v>4694</v>
      </c>
      <c r="B3048" s="8" t="s">
        <v>2627</v>
      </c>
      <c r="C3048" s="8" t="s">
        <v>974</v>
      </c>
      <c r="D3048" s="8">
        <v>5</v>
      </c>
      <c r="E3048" s="8" t="s">
        <v>4672</v>
      </c>
      <c r="F3048" s="8" t="s">
        <v>266</v>
      </c>
      <c r="G3048" s="8" t="s">
        <v>4669</v>
      </c>
      <c r="H3048" s="10">
        <v>0.4</v>
      </c>
      <c r="I3048" s="10"/>
      <c r="J3048" s="10">
        <v>0.4</v>
      </c>
      <c r="K3048" s="10">
        <v>14323.07</v>
      </c>
    </row>
    <row r="3049" spans="1:11" x14ac:dyDescent="0.25">
      <c r="A3049" s="8" t="s">
        <v>4695</v>
      </c>
      <c r="B3049" s="8" t="s">
        <v>2627</v>
      </c>
      <c r="C3049" s="8" t="s">
        <v>974</v>
      </c>
      <c r="D3049" s="8">
        <v>5</v>
      </c>
      <c r="E3049" s="8" t="s">
        <v>4672</v>
      </c>
      <c r="F3049" s="8" t="s">
        <v>266</v>
      </c>
      <c r="G3049" s="8" t="s">
        <v>4669</v>
      </c>
      <c r="H3049" s="10">
        <v>0.2</v>
      </c>
      <c r="I3049" s="10"/>
      <c r="J3049" s="10">
        <v>0.2</v>
      </c>
      <c r="K3049" s="10">
        <v>14323.07</v>
      </c>
    </row>
    <row r="3050" spans="1:11" x14ac:dyDescent="0.25">
      <c r="A3050" s="8" t="s">
        <v>4696</v>
      </c>
      <c r="B3050" s="8" t="s">
        <v>2627</v>
      </c>
      <c r="C3050" s="8" t="s">
        <v>974</v>
      </c>
      <c r="D3050" s="8">
        <v>5</v>
      </c>
      <c r="E3050" s="8" t="s">
        <v>4672</v>
      </c>
      <c r="F3050" s="8" t="s">
        <v>266</v>
      </c>
      <c r="G3050" s="8" t="s">
        <v>4669</v>
      </c>
      <c r="H3050" s="10">
        <v>0.5</v>
      </c>
      <c r="I3050" s="10"/>
      <c r="J3050" s="10">
        <v>0.5</v>
      </c>
      <c r="K3050" s="10">
        <v>14323.07</v>
      </c>
    </row>
    <row r="3051" spans="1:11" x14ac:dyDescent="0.25">
      <c r="A3051" s="8" t="s">
        <v>4697</v>
      </c>
      <c r="B3051" s="8" t="s">
        <v>3518</v>
      </c>
      <c r="C3051" s="8" t="s">
        <v>974</v>
      </c>
      <c r="D3051" s="8">
        <v>5</v>
      </c>
      <c r="E3051" s="8" t="s">
        <v>4672</v>
      </c>
      <c r="F3051" s="8" t="s">
        <v>266</v>
      </c>
      <c r="G3051" s="8" t="s">
        <v>4669</v>
      </c>
      <c r="H3051" s="10">
        <v>0.1</v>
      </c>
      <c r="I3051" s="10"/>
      <c r="J3051" s="10">
        <v>0.1</v>
      </c>
      <c r="K3051" s="10">
        <v>14323.07</v>
      </c>
    </row>
    <row r="3052" spans="1:11" x14ac:dyDescent="0.25">
      <c r="A3052" s="8" t="s">
        <v>4698</v>
      </c>
      <c r="B3052" s="8" t="s">
        <v>4491</v>
      </c>
      <c r="C3052" s="8" t="s">
        <v>974</v>
      </c>
      <c r="D3052" s="8">
        <v>5</v>
      </c>
      <c r="E3052" s="8" t="s">
        <v>4672</v>
      </c>
      <c r="F3052" s="8" t="s">
        <v>266</v>
      </c>
      <c r="G3052" s="8" t="s">
        <v>4669</v>
      </c>
      <c r="H3052" s="10">
        <v>0.1</v>
      </c>
      <c r="I3052" s="10"/>
      <c r="J3052" s="10">
        <v>0.1</v>
      </c>
      <c r="K3052" s="10">
        <v>14323.07</v>
      </c>
    </row>
    <row r="3053" spans="1:11" x14ac:dyDescent="0.25">
      <c r="A3053" s="8" t="s">
        <v>4699</v>
      </c>
      <c r="B3053" s="8" t="s">
        <v>1029</v>
      </c>
      <c r="C3053" s="8" t="s">
        <v>974</v>
      </c>
      <c r="D3053" s="8">
        <v>5</v>
      </c>
      <c r="E3053" s="8" t="s">
        <v>4672</v>
      </c>
      <c r="F3053" s="8" t="s">
        <v>266</v>
      </c>
      <c r="G3053" s="8" t="s">
        <v>4669</v>
      </c>
      <c r="H3053" s="10">
        <v>0.2</v>
      </c>
      <c r="I3053" s="10"/>
      <c r="J3053" s="10">
        <v>0.2</v>
      </c>
      <c r="K3053" s="10">
        <v>14323.07</v>
      </c>
    </row>
    <row r="3054" spans="1:11" x14ac:dyDescent="0.25">
      <c r="A3054" s="8" t="s">
        <v>4700</v>
      </c>
      <c r="B3054" s="8" t="s">
        <v>4495</v>
      </c>
      <c r="C3054" s="8" t="s">
        <v>974</v>
      </c>
      <c r="D3054" s="8">
        <v>5</v>
      </c>
      <c r="E3054" s="8" t="s">
        <v>4672</v>
      </c>
      <c r="F3054" s="8" t="s">
        <v>266</v>
      </c>
      <c r="G3054" s="8" t="s">
        <v>4669</v>
      </c>
      <c r="H3054" s="10">
        <v>0.3</v>
      </c>
      <c r="I3054" s="10"/>
      <c r="J3054" s="10">
        <v>0.3</v>
      </c>
      <c r="K3054" s="10">
        <v>14323.07</v>
      </c>
    </row>
    <row r="3055" spans="1:11" x14ac:dyDescent="0.25">
      <c r="A3055" s="8" t="s">
        <v>4701</v>
      </c>
      <c r="B3055" s="8" t="s">
        <v>263</v>
      </c>
      <c r="C3055" s="8" t="s">
        <v>4702</v>
      </c>
      <c r="D3055" s="8">
        <v>5</v>
      </c>
      <c r="E3055" s="8" t="s">
        <v>4703</v>
      </c>
      <c r="F3055" s="8" t="s">
        <v>149</v>
      </c>
      <c r="G3055" s="8" t="s">
        <v>4704</v>
      </c>
      <c r="H3055" s="10">
        <v>2040</v>
      </c>
      <c r="I3055" s="10"/>
      <c r="J3055" s="10">
        <v>2040</v>
      </c>
      <c r="K3055" s="10">
        <v>30.77</v>
      </c>
    </row>
    <row r="3056" spans="1:11" x14ac:dyDescent="0.25">
      <c r="A3056" s="8" t="s">
        <v>4705</v>
      </c>
      <c r="B3056" s="8" t="s">
        <v>269</v>
      </c>
      <c r="C3056" s="8" t="s">
        <v>4702</v>
      </c>
      <c r="D3056" s="8">
        <v>5</v>
      </c>
      <c r="E3056" s="8" t="s">
        <v>4703</v>
      </c>
      <c r="F3056" s="8" t="s">
        <v>149</v>
      </c>
      <c r="G3056" s="8" t="s">
        <v>4704</v>
      </c>
      <c r="H3056" s="10">
        <v>1820</v>
      </c>
      <c r="I3056" s="10"/>
      <c r="J3056" s="10">
        <v>1820</v>
      </c>
      <c r="K3056" s="10">
        <v>30.77</v>
      </c>
    </row>
    <row r="3057" spans="1:11" x14ac:dyDescent="0.25">
      <c r="A3057" s="8" t="s">
        <v>4706</v>
      </c>
      <c r="B3057" s="8" t="s">
        <v>72</v>
      </c>
      <c r="C3057" s="8" t="s">
        <v>4702</v>
      </c>
      <c r="D3057" s="8">
        <v>5</v>
      </c>
      <c r="E3057" s="8" t="s">
        <v>4703</v>
      </c>
      <c r="F3057" s="8" t="s">
        <v>149</v>
      </c>
      <c r="G3057" s="8" t="s">
        <v>4704</v>
      </c>
      <c r="H3057" s="10">
        <v>11300</v>
      </c>
      <c r="I3057" s="10"/>
      <c r="J3057" s="10">
        <v>11300</v>
      </c>
      <c r="K3057" s="10">
        <v>30.77</v>
      </c>
    </row>
    <row r="3058" spans="1:11" x14ac:dyDescent="0.25">
      <c r="A3058" s="8" t="s">
        <v>4707</v>
      </c>
      <c r="B3058" s="8" t="s">
        <v>116</v>
      </c>
      <c r="C3058" s="8" t="s">
        <v>4702</v>
      </c>
      <c r="D3058" s="8">
        <v>5</v>
      </c>
      <c r="E3058" s="8" t="s">
        <v>4703</v>
      </c>
      <c r="F3058" s="8" t="s">
        <v>149</v>
      </c>
      <c r="G3058" s="8" t="s">
        <v>4704</v>
      </c>
      <c r="H3058" s="10">
        <v>1560</v>
      </c>
      <c r="I3058" s="10"/>
      <c r="J3058" s="10">
        <v>1560</v>
      </c>
      <c r="K3058" s="10">
        <v>30.77</v>
      </c>
    </row>
    <row r="3059" spans="1:11" x14ac:dyDescent="0.25">
      <c r="A3059" s="8" t="s">
        <v>4708</v>
      </c>
      <c r="B3059" s="8" t="s">
        <v>118</v>
      </c>
      <c r="C3059" s="8" t="s">
        <v>4702</v>
      </c>
      <c r="D3059" s="8">
        <v>5</v>
      </c>
      <c r="E3059" s="8" t="s">
        <v>4703</v>
      </c>
      <c r="F3059" s="8" t="s">
        <v>149</v>
      </c>
      <c r="G3059" s="8" t="s">
        <v>4704</v>
      </c>
      <c r="H3059" s="10">
        <v>2170</v>
      </c>
      <c r="I3059" s="10"/>
      <c r="J3059" s="10">
        <v>2170</v>
      </c>
      <c r="K3059" s="10">
        <v>30.77</v>
      </c>
    </row>
    <row r="3060" spans="1:11" x14ac:dyDescent="0.25">
      <c r="A3060" s="8" t="s">
        <v>4709</v>
      </c>
      <c r="B3060" s="8" t="s">
        <v>120</v>
      </c>
      <c r="C3060" s="8" t="s">
        <v>4702</v>
      </c>
      <c r="D3060" s="8">
        <v>5</v>
      </c>
      <c r="E3060" s="8" t="s">
        <v>4703</v>
      </c>
      <c r="F3060" s="8" t="s">
        <v>149</v>
      </c>
      <c r="G3060" s="8" t="s">
        <v>4704</v>
      </c>
      <c r="H3060" s="10">
        <v>14610</v>
      </c>
      <c r="I3060" s="10"/>
      <c r="J3060" s="10">
        <v>14610</v>
      </c>
      <c r="K3060" s="10">
        <v>30.77</v>
      </c>
    </row>
    <row r="3061" spans="1:11" x14ac:dyDescent="0.25">
      <c r="A3061" s="8" t="s">
        <v>4710</v>
      </c>
      <c r="B3061" s="8" t="s">
        <v>122</v>
      </c>
      <c r="C3061" s="8" t="s">
        <v>4702</v>
      </c>
      <c r="D3061" s="8">
        <v>5</v>
      </c>
      <c r="E3061" s="8" t="s">
        <v>4703</v>
      </c>
      <c r="F3061" s="8" t="s">
        <v>149</v>
      </c>
      <c r="G3061" s="8" t="s">
        <v>4704</v>
      </c>
      <c r="H3061" s="10">
        <v>7500</v>
      </c>
      <c r="I3061" s="10"/>
      <c r="J3061" s="10">
        <v>7500</v>
      </c>
      <c r="K3061" s="10">
        <v>30.77</v>
      </c>
    </row>
    <row r="3062" spans="1:11" x14ac:dyDescent="0.25">
      <c r="A3062" s="8" t="s">
        <v>4711</v>
      </c>
      <c r="B3062" s="8" t="s">
        <v>124</v>
      </c>
      <c r="C3062" s="8" t="s">
        <v>4702</v>
      </c>
      <c r="D3062" s="8">
        <v>5</v>
      </c>
      <c r="E3062" s="8" t="s">
        <v>4703</v>
      </c>
      <c r="F3062" s="8" t="s">
        <v>149</v>
      </c>
      <c r="G3062" s="8" t="s">
        <v>4704</v>
      </c>
      <c r="H3062" s="10">
        <v>11000</v>
      </c>
      <c r="I3062" s="10"/>
      <c r="J3062" s="10">
        <v>11000</v>
      </c>
      <c r="K3062" s="10">
        <v>30.77</v>
      </c>
    </row>
    <row r="3063" spans="1:11" x14ac:dyDescent="0.25">
      <c r="A3063" s="8" t="s">
        <v>4712</v>
      </c>
      <c r="B3063" s="8" t="s">
        <v>78</v>
      </c>
      <c r="C3063" s="8" t="s">
        <v>4702</v>
      </c>
      <c r="D3063" s="8">
        <v>5</v>
      </c>
      <c r="E3063" s="8" t="s">
        <v>4703</v>
      </c>
      <c r="F3063" s="8" t="s">
        <v>149</v>
      </c>
      <c r="G3063" s="8" t="s">
        <v>4704</v>
      </c>
      <c r="H3063" s="10">
        <v>5500</v>
      </c>
      <c r="I3063" s="10"/>
      <c r="J3063" s="10">
        <v>5500</v>
      </c>
      <c r="K3063" s="10">
        <v>30.77</v>
      </c>
    </row>
    <row r="3064" spans="1:11" x14ac:dyDescent="0.25">
      <c r="A3064" s="8" t="s">
        <v>4713</v>
      </c>
      <c r="B3064" s="8" t="s">
        <v>128</v>
      </c>
      <c r="C3064" s="8" t="s">
        <v>4702</v>
      </c>
      <c r="D3064" s="8">
        <v>5</v>
      </c>
      <c r="E3064" s="8" t="s">
        <v>4703</v>
      </c>
      <c r="F3064" s="8" t="s">
        <v>149</v>
      </c>
      <c r="G3064" s="8" t="s">
        <v>4704</v>
      </c>
      <c r="H3064" s="10">
        <v>500</v>
      </c>
      <c r="I3064" s="10"/>
      <c r="J3064" s="10">
        <v>500</v>
      </c>
      <c r="K3064" s="10">
        <v>30.77</v>
      </c>
    </row>
    <row r="3065" spans="1:11" x14ac:dyDescent="0.25">
      <c r="A3065" s="8" t="s">
        <v>4714</v>
      </c>
      <c r="B3065" s="8" t="s">
        <v>949</v>
      </c>
      <c r="C3065" s="8" t="s">
        <v>4702</v>
      </c>
      <c r="D3065" s="8">
        <v>5</v>
      </c>
      <c r="E3065" s="8" t="s">
        <v>4703</v>
      </c>
      <c r="F3065" s="8" t="s">
        <v>149</v>
      </c>
      <c r="G3065" s="8" t="s">
        <v>4704</v>
      </c>
      <c r="H3065" s="10">
        <v>635</v>
      </c>
      <c r="I3065" s="10"/>
      <c r="J3065" s="10">
        <v>635</v>
      </c>
      <c r="K3065" s="10">
        <v>30.77</v>
      </c>
    </row>
    <row r="3066" spans="1:11" x14ac:dyDescent="0.25">
      <c r="A3066" s="8" t="s">
        <v>4715</v>
      </c>
      <c r="B3066" s="8" t="s">
        <v>132</v>
      </c>
      <c r="C3066" s="8" t="s">
        <v>4702</v>
      </c>
      <c r="D3066" s="8">
        <v>5</v>
      </c>
      <c r="E3066" s="8" t="s">
        <v>4703</v>
      </c>
      <c r="F3066" s="8" t="s">
        <v>149</v>
      </c>
      <c r="G3066" s="8" t="s">
        <v>4704</v>
      </c>
      <c r="H3066" s="10">
        <v>260</v>
      </c>
      <c r="I3066" s="10"/>
      <c r="J3066" s="10">
        <v>260</v>
      </c>
      <c r="K3066" s="10">
        <v>30.77</v>
      </c>
    </row>
    <row r="3067" spans="1:11" x14ac:dyDescent="0.25">
      <c r="A3067" s="8" t="s">
        <v>4716</v>
      </c>
      <c r="B3067" s="8" t="s">
        <v>134</v>
      </c>
      <c r="C3067" s="8" t="s">
        <v>4702</v>
      </c>
      <c r="D3067" s="8">
        <v>5</v>
      </c>
      <c r="E3067" s="8" t="s">
        <v>4703</v>
      </c>
      <c r="F3067" s="8" t="s">
        <v>149</v>
      </c>
      <c r="G3067" s="8" t="s">
        <v>4704</v>
      </c>
      <c r="H3067" s="10">
        <v>500</v>
      </c>
      <c r="I3067" s="10"/>
      <c r="J3067" s="10">
        <v>500</v>
      </c>
      <c r="K3067" s="10">
        <v>30.77</v>
      </c>
    </row>
    <row r="3068" spans="1:11" x14ac:dyDescent="0.25">
      <c r="A3068" s="8" t="s">
        <v>4717</v>
      </c>
      <c r="B3068" s="8" t="s">
        <v>136</v>
      </c>
      <c r="C3068" s="8" t="s">
        <v>4702</v>
      </c>
      <c r="D3068" s="8">
        <v>5</v>
      </c>
      <c r="E3068" s="8" t="s">
        <v>4703</v>
      </c>
      <c r="F3068" s="8" t="s">
        <v>149</v>
      </c>
      <c r="G3068" s="8" t="s">
        <v>4704</v>
      </c>
      <c r="H3068" s="10">
        <v>350</v>
      </c>
      <c r="I3068" s="10"/>
      <c r="J3068" s="10">
        <v>350</v>
      </c>
      <c r="K3068" s="10">
        <v>30.77</v>
      </c>
    </row>
    <row r="3069" spans="1:11" x14ac:dyDescent="0.25">
      <c r="A3069" s="8" t="s">
        <v>4718</v>
      </c>
      <c r="B3069" s="8" t="s">
        <v>2627</v>
      </c>
      <c r="C3069" s="8" t="s">
        <v>4702</v>
      </c>
      <c r="D3069" s="8">
        <v>5</v>
      </c>
      <c r="E3069" s="8" t="s">
        <v>4703</v>
      </c>
      <c r="F3069" s="8" t="s">
        <v>149</v>
      </c>
      <c r="G3069" s="8" t="s">
        <v>4704</v>
      </c>
      <c r="H3069" s="10">
        <v>5200</v>
      </c>
      <c r="I3069" s="10"/>
      <c r="J3069" s="10">
        <v>5200</v>
      </c>
      <c r="K3069" s="10">
        <v>30.77</v>
      </c>
    </row>
    <row r="3070" spans="1:11" x14ac:dyDescent="0.25">
      <c r="A3070" s="8" t="s">
        <v>4719</v>
      </c>
      <c r="B3070" s="8" t="s">
        <v>80</v>
      </c>
      <c r="C3070" s="8" t="s">
        <v>4702</v>
      </c>
      <c r="D3070" s="8">
        <v>5</v>
      </c>
      <c r="E3070" s="8" t="s">
        <v>4703</v>
      </c>
      <c r="F3070" s="8" t="s">
        <v>149</v>
      </c>
      <c r="G3070" s="8" t="s">
        <v>4704</v>
      </c>
      <c r="H3070" s="10">
        <v>4765</v>
      </c>
      <c r="I3070" s="10"/>
      <c r="J3070" s="10">
        <v>4765</v>
      </c>
      <c r="K3070" s="10">
        <v>30.77</v>
      </c>
    </row>
    <row r="3071" spans="1:11" x14ac:dyDescent="0.25">
      <c r="A3071" s="8" t="s">
        <v>4720</v>
      </c>
      <c r="B3071" s="8" t="s">
        <v>1029</v>
      </c>
      <c r="C3071" s="8" t="s">
        <v>4702</v>
      </c>
      <c r="D3071" s="8">
        <v>5</v>
      </c>
      <c r="E3071" s="8" t="s">
        <v>4703</v>
      </c>
      <c r="F3071" s="8" t="s">
        <v>149</v>
      </c>
      <c r="G3071" s="8" t="s">
        <v>4704</v>
      </c>
      <c r="H3071" s="10">
        <v>200</v>
      </c>
      <c r="I3071" s="10"/>
      <c r="J3071" s="10">
        <v>200</v>
      </c>
      <c r="K3071" s="10">
        <v>30.77</v>
      </c>
    </row>
    <row r="3072" spans="1:11" x14ac:dyDescent="0.25">
      <c r="A3072" s="8" t="s">
        <v>4721</v>
      </c>
      <c r="B3072" s="8" t="s">
        <v>263</v>
      </c>
      <c r="C3072" s="8" t="s">
        <v>4722</v>
      </c>
      <c r="D3072" s="8">
        <v>6</v>
      </c>
      <c r="E3072" s="8" t="s">
        <v>358</v>
      </c>
      <c r="F3072" s="8" t="s">
        <v>266</v>
      </c>
      <c r="G3072" s="8" t="s">
        <v>4723</v>
      </c>
      <c r="H3072" s="10">
        <v>4</v>
      </c>
      <c r="I3072" s="10"/>
      <c r="J3072" s="10">
        <v>4</v>
      </c>
      <c r="K3072" s="10">
        <v>30766.11</v>
      </c>
    </row>
    <row r="3073" spans="1:11" x14ac:dyDescent="0.25">
      <c r="A3073" s="8" t="s">
        <v>4724</v>
      </c>
      <c r="B3073" s="8" t="s">
        <v>269</v>
      </c>
      <c r="C3073" s="8" t="s">
        <v>4722</v>
      </c>
      <c r="D3073" s="8">
        <v>6</v>
      </c>
      <c r="E3073" s="8" t="s">
        <v>358</v>
      </c>
      <c r="F3073" s="8" t="s">
        <v>266</v>
      </c>
      <c r="G3073" s="8" t="s">
        <v>4723</v>
      </c>
      <c r="H3073" s="10">
        <v>4</v>
      </c>
      <c r="I3073" s="10"/>
      <c r="J3073" s="10">
        <v>4</v>
      </c>
      <c r="K3073" s="10">
        <v>30766.11</v>
      </c>
    </row>
    <row r="3074" spans="1:11" x14ac:dyDescent="0.25">
      <c r="A3074" s="8" t="s">
        <v>4725</v>
      </c>
      <c r="B3074" s="8" t="s">
        <v>72</v>
      </c>
      <c r="C3074" s="8" t="s">
        <v>4726</v>
      </c>
      <c r="D3074" s="8">
        <v>5</v>
      </c>
      <c r="E3074" s="8" t="s">
        <v>4727</v>
      </c>
      <c r="F3074" s="8" t="s">
        <v>2998</v>
      </c>
      <c r="G3074" s="8" t="s">
        <v>4728</v>
      </c>
      <c r="H3074" s="10">
        <v>1175</v>
      </c>
      <c r="I3074" s="10"/>
      <c r="J3074" s="10">
        <v>1175</v>
      </c>
      <c r="K3074" s="10">
        <v>128.83000000000001</v>
      </c>
    </row>
    <row r="3075" spans="1:11" x14ac:dyDescent="0.25">
      <c r="A3075" s="8" t="s">
        <v>4729</v>
      </c>
      <c r="B3075" s="8" t="s">
        <v>116</v>
      </c>
      <c r="C3075" s="8" t="s">
        <v>4726</v>
      </c>
      <c r="D3075" s="8">
        <v>5</v>
      </c>
      <c r="E3075" s="8" t="s">
        <v>4727</v>
      </c>
      <c r="F3075" s="8" t="s">
        <v>2998</v>
      </c>
      <c r="G3075" s="8" t="s">
        <v>4728</v>
      </c>
      <c r="H3075" s="10">
        <v>128</v>
      </c>
      <c r="I3075" s="10"/>
      <c r="J3075" s="10">
        <v>128</v>
      </c>
      <c r="K3075" s="10">
        <v>128.83000000000001</v>
      </c>
    </row>
    <row r="3076" spans="1:11" x14ac:dyDescent="0.25">
      <c r="A3076" s="8" t="s">
        <v>4730</v>
      </c>
      <c r="B3076" s="8" t="s">
        <v>118</v>
      </c>
      <c r="C3076" s="8" t="s">
        <v>4726</v>
      </c>
      <c r="D3076" s="8">
        <v>5</v>
      </c>
      <c r="E3076" s="8" t="s">
        <v>4727</v>
      </c>
      <c r="F3076" s="8" t="s">
        <v>2998</v>
      </c>
      <c r="G3076" s="8" t="s">
        <v>4728</v>
      </c>
      <c r="H3076" s="10">
        <v>4643</v>
      </c>
      <c r="I3076" s="10"/>
      <c r="J3076" s="10">
        <v>4643</v>
      </c>
      <c r="K3076" s="10">
        <v>128.83000000000001</v>
      </c>
    </row>
    <row r="3077" spans="1:11" x14ac:dyDescent="0.25">
      <c r="A3077" s="8" t="s">
        <v>4731</v>
      </c>
      <c r="B3077" s="8" t="s">
        <v>1650</v>
      </c>
      <c r="C3077" s="8" t="s">
        <v>4726</v>
      </c>
      <c r="D3077" s="8">
        <v>5</v>
      </c>
      <c r="E3077" s="8" t="s">
        <v>4727</v>
      </c>
      <c r="F3077" s="8" t="s">
        <v>2998</v>
      </c>
      <c r="G3077" s="8" t="s">
        <v>4728</v>
      </c>
      <c r="H3077" s="10">
        <v>763</v>
      </c>
      <c r="I3077" s="10"/>
      <c r="J3077" s="10">
        <v>763</v>
      </c>
      <c r="K3077" s="10">
        <v>128.83000000000001</v>
      </c>
    </row>
    <row r="3078" spans="1:11" x14ac:dyDescent="0.25">
      <c r="A3078" s="8" t="s">
        <v>4732</v>
      </c>
      <c r="B3078" s="8" t="s">
        <v>120</v>
      </c>
      <c r="C3078" s="8" t="s">
        <v>4726</v>
      </c>
      <c r="D3078" s="8">
        <v>5</v>
      </c>
      <c r="E3078" s="8" t="s">
        <v>4727</v>
      </c>
      <c r="F3078" s="8" t="s">
        <v>2998</v>
      </c>
      <c r="G3078" s="8" t="s">
        <v>4728</v>
      </c>
      <c r="H3078" s="10">
        <v>4365</v>
      </c>
      <c r="I3078" s="10"/>
      <c r="J3078" s="10">
        <v>4365</v>
      </c>
      <c r="K3078" s="10">
        <v>128.83000000000001</v>
      </c>
    </row>
    <row r="3079" spans="1:11" x14ac:dyDescent="0.25">
      <c r="A3079" s="8" t="s">
        <v>4733</v>
      </c>
      <c r="B3079" s="8" t="s">
        <v>122</v>
      </c>
      <c r="C3079" s="8" t="s">
        <v>4726</v>
      </c>
      <c r="D3079" s="8">
        <v>5</v>
      </c>
      <c r="E3079" s="8" t="s">
        <v>4727</v>
      </c>
      <c r="F3079" s="8" t="s">
        <v>2998</v>
      </c>
      <c r="G3079" s="8" t="s">
        <v>4728</v>
      </c>
      <c r="H3079" s="10">
        <v>82</v>
      </c>
      <c r="I3079" s="10"/>
      <c r="J3079" s="10">
        <v>82</v>
      </c>
      <c r="K3079" s="10">
        <v>128.83000000000001</v>
      </c>
    </row>
    <row r="3080" spans="1:11" x14ac:dyDescent="0.25">
      <c r="A3080" s="8" t="s">
        <v>4734</v>
      </c>
      <c r="B3080" s="8" t="s">
        <v>78</v>
      </c>
      <c r="C3080" s="8" t="s">
        <v>4726</v>
      </c>
      <c r="D3080" s="8">
        <v>5</v>
      </c>
      <c r="E3080" s="8" t="s">
        <v>4727</v>
      </c>
      <c r="F3080" s="8" t="s">
        <v>2998</v>
      </c>
      <c r="G3080" s="8" t="s">
        <v>4728</v>
      </c>
      <c r="H3080" s="10">
        <v>32</v>
      </c>
      <c r="I3080" s="10"/>
      <c r="J3080" s="10">
        <v>32</v>
      </c>
      <c r="K3080" s="10">
        <v>128.83000000000001</v>
      </c>
    </row>
    <row r="3081" spans="1:11" x14ac:dyDescent="0.25">
      <c r="A3081" s="8" t="s">
        <v>4735</v>
      </c>
      <c r="B3081" s="8" t="s">
        <v>1655</v>
      </c>
      <c r="C3081" s="8" t="s">
        <v>4726</v>
      </c>
      <c r="D3081" s="8">
        <v>5</v>
      </c>
      <c r="E3081" s="8" t="s">
        <v>4727</v>
      </c>
      <c r="F3081" s="8" t="s">
        <v>2998</v>
      </c>
      <c r="G3081" s="8" t="s">
        <v>4728</v>
      </c>
      <c r="H3081" s="10">
        <v>710</v>
      </c>
      <c r="I3081" s="10"/>
      <c r="J3081" s="10">
        <v>710</v>
      </c>
      <c r="K3081" s="10">
        <v>128.83000000000001</v>
      </c>
    </row>
    <row r="3082" spans="1:11" x14ac:dyDescent="0.25">
      <c r="A3082" s="8" t="s">
        <v>4736</v>
      </c>
      <c r="B3082" s="8" t="s">
        <v>130</v>
      </c>
      <c r="C3082" s="8" t="s">
        <v>4726</v>
      </c>
      <c r="D3082" s="8">
        <v>5</v>
      </c>
      <c r="E3082" s="8" t="s">
        <v>4727</v>
      </c>
      <c r="F3082" s="8" t="s">
        <v>2998</v>
      </c>
      <c r="G3082" s="8" t="s">
        <v>4728</v>
      </c>
      <c r="H3082" s="10">
        <v>61</v>
      </c>
      <c r="I3082" s="10"/>
      <c r="J3082" s="10">
        <v>61</v>
      </c>
      <c r="K3082" s="10">
        <v>128.83000000000001</v>
      </c>
    </row>
    <row r="3083" spans="1:11" x14ac:dyDescent="0.25">
      <c r="A3083" s="8" t="s">
        <v>4737</v>
      </c>
      <c r="B3083" s="8" t="s">
        <v>132</v>
      </c>
      <c r="C3083" s="8" t="s">
        <v>4726</v>
      </c>
      <c r="D3083" s="8">
        <v>5</v>
      </c>
      <c r="E3083" s="8" t="s">
        <v>4727</v>
      </c>
      <c r="F3083" s="8" t="s">
        <v>2998</v>
      </c>
      <c r="G3083" s="8" t="s">
        <v>4728</v>
      </c>
      <c r="H3083" s="10">
        <v>324</v>
      </c>
      <c r="I3083" s="10"/>
      <c r="J3083" s="10">
        <v>324</v>
      </c>
      <c r="K3083" s="10">
        <v>128.83000000000001</v>
      </c>
    </row>
    <row r="3084" spans="1:11" x14ac:dyDescent="0.25">
      <c r="A3084" s="8" t="s">
        <v>4738</v>
      </c>
      <c r="B3084" s="8" t="s">
        <v>134</v>
      </c>
      <c r="C3084" s="8" t="s">
        <v>4726</v>
      </c>
      <c r="D3084" s="8">
        <v>5</v>
      </c>
      <c r="E3084" s="8" t="s">
        <v>4727</v>
      </c>
      <c r="F3084" s="8" t="s">
        <v>2998</v>
      </c>
      <c r="G3084" s="8" t="s">
        <v>4728</v>
      </c>
      <c r="H3084" s="10">
        <v>309</v>
      </c>
      <c r="I3084" s="10"/>
      <c r="J3084" s="10">
        <v>309</v>
      </c>
      <c r="K3084" s="10">
        <v>128.83000000000001</v>
      </c>
    </row>
    <row r="3085" spans="1:11" x14ac:dyDescent="0.25">
      <c r="A3085" s="8" t="s">
        <v>4739</v>
      </c>
      <c r="B3085" s="8" t="s">
        <v>136</v>
      </c>
      <c r="C3085" s="8" t="s">
        <v>4726</v>
      </c>
      <c r="D3085" s="8">
        <v>5</v>
      </c>
      <c r="E3085" s="8" t="s">
        <v>4727</v>
      </c>
      <c r="F3085" s="8" t="s">
        <v>2998</v>
      </c>
      <c r="G3085" s="8" t="s">
        <v>4728</v>
      </c>
      <c r="H3085" s="10">
        <v>459</v>
      </c>
      <c r="I3085" s="10"/>
      <c r="J3085" s="10">
        <v>459</v>
      </c>
      <c r="K3085" s="10">
        <v>128.83000000000001</v>
      </c>
    </row>
    <row r="3086" spans="1:11" x14ac:dyDescent="0.25">
      <c r="A3086" s="8" t="s">
        <v>4740</v>
      </c>
      <c r="B3086" s="8" t="s">
        <v>3518</v>
      </c>
      <c r="C3086" s="8" t="s">
        <v>4726</v>
      </c>
      <c r="D3086" s="8">
        <v>5</v>
      </c>
      <c r="E3086" s="8" t="s">
        <v>4727</v>
      </c>
      <c r="F3086" s="8" t="s">
        <v>2998</v>
      </c>
      <c r="G3086" s="8" t="s">
        <v>4728</v>
      </c>
      <c r="H3086" s="10">
        <v>46</v>
      </c>
      <c r="I3086" s="10"/>
      <c r="J3086" s="10">
        <v>46</v>
      </c>
      <c r="K3086" s="10">
        <v>128.83000000000001</v>
      </c>
    </row>
    <row r="3087" spans="1:11" x14ac:dyDescent="0.25">
      <c r="A3087" s="8" t="s">
        <v>4741</v>
      </c>
      <c r="B3087" s="8" t="s">
        <v>4491</v>
      </c>
      <c r="C3087" s="8" t="s">
        <v>4726</v>
      </c>
      <c r="D3087" s="8">
        <v>5</v>
      </c>
      <c r="E3087" s="8" t="s">
        <v>4727</v>
      </c>
      <c r="F3087" s="8" t="s">
        <v>2998</v>
      </c>
      <c r="G3087" s="8" t="s">
        <v>4728</v>
      </c>
      <c r="H3087" s="10">
        <v>70</v>
      </c>
      <c r="I3087" s="10"/>
      <c r="J3087" s="10">
        <v>70</v>
      </c>
      <c r="K3087" s="10">
        <v>128.83000000000001</v>
      </c>
    </row>
    <row r="3088" spans="1:11" x14ac:dyDescent="0.25">
      <c r="A3088" s="8" t="s">
        <v>4742</v>
      </c>
      <c r="B3088" s="8" t="s">
        <v>138</v>
      </c>
      <c r="C3088" s="8" t="s">
        <v>4726</v>
      </c>
      <c r="D3088" s="8">
        <v>5</v>
      </c>
      <c r="E3088" s="8" t="s">
        <v>4727</v>
      </c>
      <c r="F3088" s="8" t="s">
        <v>2998</v>
      </c>
      <c r="G3088" s="8" t="s">
        <v>4728</v>
      </c>
      <c r="H3088" s="10">
        <v>135</v>
      </c>
      <c r="I3088" s="10"/>
      <c r="J3088" s="10">
        <v>135</v>
      </c>
      <c r="K3088" s="10">
        <v>128.83000000000001</v>
      </c>
    </row>
    <row r="3089" spans="1:11" x14ac:dyDescent="0.25">
      <c r="A3089" s="8" t="s">
        <v>4743</v>
      </c>
      <c r="B3089" s="8" t="s">
        <v>1029</v>
      </c>
      <c r="C3089" s="8" t="s">
        <v>4726</v>
      </c>
      <c r="D3089" s="8">
        <v>5</v>
      </c>
      <c r="E3089" s="8" t="s">
        <v>4727</v>
      </c>
      <c r="F3089" s="8" t="s">
        <v>2998</v>
      </c>
      <c r="G3089" s="8" t="s">
        <v>4728</v>
      </c>
      <c r="H3089" s="10">
        <v>74</v>
      </c>
      <c r="I3089" s="10"/>
      <c r="J3089" s="10">
        <v>74</v>
      </c>
      <c r="K3089" s="10">
        <v>128.83000000000001</v>
      </c>
    </row>
    <row r="3090" spans="1:11" x14ac:dyDescent="0.25">
      <c r="A3090" s="8" t="s">
        <v>4744</v>
      </c>
      <c r="B3090" s="8" t="s">
        <v>120</v>
      </c>
      <c r="C3090" s="8" t="s">
        <v>4726</v>
      </c>
      <c r="D3090" s="8">
        <v>5</v>
      </c>
      <c r="E3090" s="8" t="s">
        <v>4745</v>
      </c>
      <c r="F3090" s="8" t="s">
        <v>2998</v>
      </c>
      <c r="G3090" s="8" t="s">
        <v>4728</v>
      </c>
      <c r="H3090" s="10">
        <v>3780</v>
      </c>
      <c r="I3090" s="10"/>
      <c r="J3090" s="10">
        <v>3780</v>
      </c>
      <c r="K3090" s="10">
        <v>128.83000000000001</v>
      </c>
    </row>
    <row r="3091" spans="1:11" x14ac:dyDescent="0.25">
      <c r="A3091" s="8" t="s">
        <v>4746</v>
      </c>
      <c r="B3091" s="8" t="s">
        <v>78</v>
      </c>
      <c r="C3091" s="8" t="s">
        <v>4726</v>
      </c>
      <c r="D3091" s="8">
        <v>5</v>
      </c>
      <c r="E3091" s="8" t="s">
        <v>4745</v>
      </c>
      <c r="F3091" s="8" t="s">
        <v>2998</v>
      </c>
      <c r="G3091" s="8" t="s">
        <v>4728</v>
      </c>
      <c r="H3091" s="10">
        <v>49</v>
      </c>
      <c r="I3091" s="10"/>
      <c r="J3091" s="10">
        <v>49</v>
      </c>
      <c r="K3091" s="10">
        <v>128.83000000000001</v>
      </c>
    </row>
    <row r="3092" spans="1:11" x14ac:dyDescent="0.25">
      <c r="A3092" s="8" t="s">
        <v>4747</v>
      </c>
      <c r="B3092" s="8" t="s">
        <v>130</v>
      </c>
      <c r="C3092" s="8" t="s">
        <v>4726</v>
      </c>
      <c r="D3092" s="8">
        <v>5</v>
      </c>
      <c r="E3092" s="8" t="s">
        <v>4745</v>
      </c>
      <c r="F3092" s="8" t="s">
        <v>2998</v>
      </c>
      <c r="G3092" s="8" t="s">
        <v>4728</v>
      </c>
      <c r="H3092" s="10">
        <v>97</v>
      </c>
      <c r="I3092" s="10"/>
      <c r="J3092" s="10">
        <v>97</v>
      </c>
      <c r="K3092" s="10">
        <v>128.83000000000001</v>
      </c>
    </row>
    <row r="3093" spans="1:11" x14ac:dyDescent="0.25">
      <c r="A3093" s="8" t="s">
        <v>4748</v>
      </c>
      <c r="B3093" s="8" t="s">
        <v>132</v>
      </c>
      <c r="C3093" s="8" t="s">
        <v>4726</v>
      </c>
      <c r="D3093" s="8">
        <v>5</v>
      </c>
      <c r="E3093" s="8" t="s">
        <v>4745</v>
      </c>
      <c r="F3093" s="8" t="s">
        <v>2998</v>
      </c>
      <c r="G3093" s="8" t="s">
        <v>4728</v>
      </c>
      <c r="H3093" s="10">
        <v>978</v>
      </c>
      <c r="I3093" s="10"/>
      <c r="J3093" s="10">
        <v>978</v>
      </c>
      <c r="K3093" s="10">
        <v>128.83000000000001</v>
      </c>
    </row>
    <row r="3094" spans="1:11" x14ac:dyDescent="0.25">
      <c r="A3094" s="8" t="s">
        <v>4749</v>
      </c>
      <c r="B3094" s="8" t="s">
        <v>134</v>
      </c>
      <c r="C3094" s="8" t="s">
        <v>4726</v>
      </c>
      <c r="D3094" s="8">
        <v>5</v>
      </c>
      <c r="E3094" s="8" t="s">
        <v>4745</v>
      </c>
      <c r="F3094" s="8" t="s">
        <v>2998</v>
      </c>
      <c r="G3094" s="8" t="s">
        <v>4728</v>
      </c>
      <c r="H3094" s="10">
        <v>705</v>
      </c>
      <c r="I3094" s="10"/>
      <c r="J3094" s="10">
        <v>705</v>
      </c>
      <c r="K3094" s="10">
        <v>128.83000000000001</v>
      </c>
    </row>
    <row r="3095" spans="1:11" x14ac:dyDescent="0.25">
      <c r="A3095" s="8" t="s">
        <v>4750</v>
      </c>
      <c r="B3095" s="8" t="s">
        <v>136</v>
      </c>
      <c r="C3095" s="8" t="s">
        <v>4726</v>
      </c>
      <c r="D3095" s="8">
        <v>5</v>
      </c>
      <c r="E3095" s="8" t="s">
        <v>4745</v>
      </c>
      <c r="F3095" s="8" t="s">
        <v>2998</v>
      </c>
      <c r="G3095" s="8" t="s">
        <v>4728</v>
      </c>
      <c r="H3095" s="10">
        <v>67</v>
      </c>
      <c r="I3095" s="10"/>
      <c r="J3095" s="10">
        <v>67</v>
      </c>
      <c r="K3095" s="10">
        <v>128.83000000000001</v>
      </c>
    </row>
    <row r="3096" spans="1:11" x14ac:dyDescent="0.25">
      <c r="A3096" s="8" t="s">
        <v>4751</v>
      </c>
      <c r="B3096" s="8" t="s">
        <v>138</v>
      </c>
      <c r="C3096" s="8" t="s">
        <v>4726</v>
      </c>
      <c r="D3096" s="8">
        <v>5</v>
      </c>
      <c r="E3096" s="8" t="s">
        <v>4745</v>
      </c>
      <c r="F3096" s="8" t="s">
        <v>2998</v>
      </c>
      <c r="G3096" s="8" t="s">
        <v>4728</v>
      </c>
      <c r="H3096" s="10">
        <v>49</v>
      </c>
      <c r="I3096" s="10"/>
      <c r="J3096" s="10">
        <v>49</v>
      </c>
      <c r="K3096" s="10">
        <v>128.83000000000001</v>
      </c>
    </row>
    <row r="3097" spans="1:11" x14ac:dyDescent="0.25">
      <c r="A3097" s="8" t="s">
        <v>4752</v>
      </c>
      <c r="B3097" s="8" t="s">
        <v>1029</v>
      </c>
      <c r="C3097" s="8" t="s">
        <v>4726</v>
      </c>
      <c r="D3097" s="8">
        <v>5</v>
      </c>
      <c r="E3097" s="8" t="s">
        <v>4745</v>
      </c>
      <c r="F3097" s="8" t="s">
        <v>2998</v>
      </c>
      <c r="G3097" s="8" t="s">
        <v>4728</v>
      </c>
      <c r="H3097" s="10">
        <v>81</v>
      </c>
      <c r="I3097" s="10"/>
      <c r="J3097" s="10">
        <v>81</v>
      </c>
      <c r="K3097" s="10">
        <v>128.83000000000001</v>
      </c>
    </row>
    <row r="3098" spans="1:11" x14ac:dyDescent="0.25">
      <c r="A3098" s="8" t="s">
        <v>4753</v>
      </c>
      <c r="B3098" s="8" t="s">
        <v>118</v>
      </c>
      <c r="C3098" s="8" t="s">
        <v>4726</v>
      </c>
      <c r="D3098" s="8">
        <v>5</v>
      </c>
      <c r="E3098" s="8" t="s">
        <v>4754</v>
      </c>
      <c r="F3098" s="8" t="s">
        <v>2998</v>
      </c>
      <c r="G3098" s="8" t="s">
        <v>4728</v>
      </c>
      <c r="H3098" s="10">
        <v>542</v>
      </c>
      <c r="I3098" s="10"/>
      <c r="J3098" s="10">
        <v>542</v>
      </c>
      <c r="K3098" s="10">
        <v>128.83000000000001</v>
      </c>
    </row>
    <row r="3099" spans="1:11" x14ac:dyDescent="0.25">
      <c r="A3099" s="8" t="s">
        <v>4755</v>
      </c>
      <c r="B3099" s="8" t="s">
        <v>132</v>
      </c>
      <c r="C3099" s="8" t="s">
        <v>4726</v>
      </c>
      <c r="D3099" s="8">
        <v>5</v>
      </c>
      <c r="E3099" s="8" t="s">
        <v>4754</v>
      </c>
      <c r="F3099" s="8" t="s">
        <v>2998</v>
      </c>
      <c r="G3099" s="8" t="s">
        <v>4728</v>
      </c>
      <c r="H3099" s="10">
        <v>230</v>
      </c>
      <c r="I3099" s="10"/>
      <c r="J3099" s="10">
        <v>230</v>
      </c>
      <c r="K3099" s="10">
        <v>128.83000000000001</v>
      </c>
    </row>
    <row r="3100" spans="1:11" x14ac:dyDescent="0.25">
      <c r="A3100" s="8" t="s">
        <v>4756</v>
      </c>
      <c r="B3100" s="8" t="s">
        <v>120</v>
      </c>
      <c r="C3100" s="8" t="s">
        <v>4726</v>
      </c>
      <c r="D3100" s="8">
        <v>5</v>
      </c>
      <c r="E3100" s="8" t="s">
        <v>4757</v>
      </c>
      <c r="F3100" s="8" t="s">
        <v>2998</v>
      </c>
      <c r="G3100" s="8" t="s">
        <v>4728</v>
      </c>
      <c r="H3100" s="10">
        <v>1069</v>
      </c>
      <c r="I3100" s="10"/>
      <c r="J3100" s="10">
        <v>1069</v>
      </c>
      <c r="K3100" s="10">
        <v>128.83000000000001</v>
      </c>
    </row>
    <row r="3101" spans="1:11" x14ac:dyDescent="0.25">
      <c r="A3101" s="8" t="s">
        <v>4758</v>
      </c>
      <c r="B3101" s="8" t="s">
        <v>78</v>
      </c>
      <c r="C3101" s="8" t="s">
        <v>4726</v>
      </c>
      <c r="D3101" s="8">
        <v>5</v>
      </c>
      <c r="E3101" s="8" t="s">
        <v>4757</v>
      </c>
      <c r="F3101" s="8" t="s">
        <v>2998</v>
      </c>
      <c r="G3101" s="8" t="s">
        <v>4728</v>
      </c>
      <c r="H3101" s="10">
        <v>14</v>
      </c>
      <c r="I3101" s="10"/>
      <c r="J3101" s="10">
        <v>14</v>
      </c>
      <c r="K3101" s="10">
        <v>128.83000000000001</v>
      </c>
    </row>
    <row r="3102" spans="1:11" x14ac:dyDescent="0.25">
      <c r="A3102" s="8" t="s">
        <v>4759</v>
      </c>
      <c r="B3102" s="8" t="s">
        <v>134</v>
      </c>
      <c r="C3102" s="8" t="s">
        <v>4726</v>
      </c>
      <c r="D3102" s="8">
        <v>5</v>
      </c>
      <c r="E3102" s="8" t="s">
        <v>4757</v>
      </c>
      <c r="F3102" s="8" t="s">
        <v>2998</v>
      </c>
      <c r="G3102" s="8" t="s">
        <v>4728</v>
      </c>
      <c r="H3102" s="10">
        <v>213</v>
      </c>
      <c r="I3102" s="10"/>
      <c r="J3102" s="10">
        <v>213</v>
      </c>
      <c r="K3102" s="10">
        <v>128.83000000000001</v>
      </c>
    </row>
    <row r="3103" spans="1:11" x14ac:dyDescent="0.25">
      <c r="A3103" s="8" t="s">
        <v>4760</v>
      </c>
      <c r="B3103" s="8" t="s">
        <v>3651</v>
      </c>
      <c r="C3103" s="8" t="s">
        <v>3391</v>
      </c>
      <c r="D3103" s="8">
        <v>5</v>
      </c>
      <c r="E3103" s="8" t="s">
        <v>4761</v>
      </c>
      <c r="F3103" s="8" t="s">
        <v>215</v>
      </c>
      <c r="G3103" s="8" t="s">
        <v>3659</v>
      </c>
      <c r="H3103" s="10">
        <v>100</v>
      </c>
      <c r="I3103" s="10"/>
      <c r="J3103" s="10">
        <v>100</v>
      </c>
      <c r="K3103" s="10">
        <v>76.3</v>
      </c>
    </row>
    <row r="3104" spans="1:11" x14ac:dyDescent="0.25">
      <c r="A3104" s="8" t="s">
        <v>4762</v>
      </c>
      <c r="B3104" s="8" t="s">
        <v>3651</v>
      </c>
      <c r="C3104" s="8" t="s">
        <v>3391</v>
      </c>
      <c r="D3104" s="8">
        <v>5</v>
      </c>
      <c r="E3104" s="8" t="s">
        <v>4763</v>
      </c>
      <c r="F3104" s="8" t="s">
        <v>215</v>
      </c>
      <c r="G3104" s="8" t="s">
        <v>3659</v>
      </c>
      <c r="H3104" s="10">
        <v>1200</v>
      </c>
      <c r="I3104" s="10"/>
      <c r="J3104" s="10">
        <v>1200</v>
      </c>
      <c r="K3104" s="10">
        <v>157.85</v>
      </c>
    </row>
    <row r="3105" spans="1:11" x14ac:dyDescent="0.25">
      <c r="A3105" s="8" t="s">
        <v>4764</v>
      </c>
      <c r="B3105" s="8" t="s">
        <v>3651</v>
      </c>
      <c r="C3105" s="8" t="s">
        <v>2006</v>
      </c>
      <c r="D3105" s="8">
        <v>5</v>
      </c>
      <c r="E3105" s="8" t="s">
        <v>4765</v>
      </c>
      <c r="F3105" s="8" t="s">
        <v>215</v>
      </c>
      <c r="G3105" s="8" t="s">
        <v>2748</v>
      </c>
      <c r="H3105" s="10">
        <v>400</v>
      </c>
      <c r="I3105" s="10"/>
      <c r="J3105" s="10">
        <v>400</v>
      </c>
      <c r="K3105" s="10">
        <v>76.3</v>
      </c>
    </row>
    <row r="3106" spans="1:11" x14ac:dyDescent="0.25">
      <c r="A3106" s="8" t="s">
        <v>32</v>
      </c>
      <c r="B3106" s="8" t="s">
        <v>45</v>
      </c>
      <c r="C3106" s="8" t="s">
        <v>32</v>
      </c>
      <c r="D3106" s="8">
        <v>1</v>
      </c>
      <c r="E3106" s="8" t="s">
        <v>4766</v>
      </c>
      <c r="F3106" s="8"/>
      <c r="G3106" s="8"/>
      <c r="H3106" s="10">
        <v>1</v>
      </c>
      <c r="I3106" s="10"/>
      <c r="J3106" s="10">
        <v>1</v>
      </c>
      <c r="K3106" s="10">
        <v>516908.3</v>
      </c>
    </row>
  </sheetData>
  <autoFilter ref="A1:K3106" xr:uid="{23BD5447-973B-4C96-BD00-B44831F33ECE}"/>
  <pageMargins left="0.7" right="0.7" top="0.75" bottom="0.75" header="0.3" footer="0.3"/>
  <ignoredErrors>
    <ignoredError sqref="B2 B3:B3106"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FAEA1-DF02-493C-8F0F-FF9B92952A84}">
  <sheetPr>
    <tabColor rgb="FF04745F"/>
  </sheetPr>
  <dimension ref="A1:J35"/>
  <sheetViews>
    <sheetView workbookViewId="0">
      <selection activeCell="B23" sqref="B23"/>
    </sheetView>
  </sheetViews>
  <sheetFormatPr defaultColWidth="2.7109375" defaultRowHeight="12" x14ac:dyDescent="0.25"/>
  <cols>
    <col min="1" max="1" width="5.7109375" style="16" customWidth="1"/>
    <col min="2" max="2" width="14.85546875" style="8" bestFit="1" customWidth="1"/>
    <col min="3" max="3" width="15.5703125" style="8" bestFit="1" customWidth="1"/>
    <col min="4" max="4" width="36.7109375" style="8" customWidth="1"/>
    <col min="5" max="5" width="68.42578125" style="8" bestFit="1" customWidth="1"/>
    <col min="6" max="7" width="30.7109375" style="8" bestFit="1" customWidth="1"/>
    <col min="8" max="9" width="8.28515625" style="8" bestFit="1" customWidth="1"/>
    <col min="10" max="10" width="4.85546875" style="8" bestFit="1" customWidth="1"/>
    <col min="11" max="11" width="1.85546875" style="8" bestFit="1" customWidth="1"/>
    <col min="12" max="16384" width="2.7109375" style="8"/>
  </cols>
  <sheetData>
    <row r="1" spans="1:10" x14ac:dyDescent="0.25">
      <c r="C1" s="8">
        <v>1</v>
      </c>
      <c r="D1" s="8">
        <v>2</v>
      </c>
      <c r="E1" s="8">
        <v>3</v>
      </c>
      <c r="F1" s="8">
        <v>4</v>
      </c>
      <c r="G1" s="8">
        <v>5</v>
      </c>
      <c r="H1" s="8">
        <v>6</v>
      </c>
      <c r="I1" s="8">
        <v>7</v>
      </c>
    </row>
    <row r="2" spans="1:10" s="18" customFormat="1" x14ac:dyDescent="0.25">
      <c r="A2" s="17" t="s">
        <v>4767</v>
      </c>
    </row>
    <row r="3" spans="1:10" x14ac:dyDescent="0.25">
      <c r="B3" s="1" t="s">
        <v>4768</v>
      </c>
      <c r="C3" s="1" t="s">
        <v>4769</v>
      </c>
      <c r="D3" s="1" t="s">
        <v>4770</v>
      </c>
      <c r="E3" s="1" t="s">
        <v>4771</v>
      </c>
      <c r="F3" s="1" t="s">
        <v>4772</v>
      </c>
      <c r="G3" s="1" t="s">
        <v>4773</v>
      </c>
      <c r="H3" s="1" t="s">
        <v>4774</v>
      </c>
      <c r="I3" s="1" t="s">
        <v>4775</v>
      </c>
      <c r="J3" s="1"/>
    </row>
    <row r="4" spans="1:10" x14ac:dyDescent="0.25">
      <c r="B4" s="1" t="s">
        <v>3061</v>
      </c>
      <c r="C4" s="1" t="s">
        <v>8405</v>
      </c>
      <c r="D4" s="1" t="s">
        <v>8406</v>
      </c>
      <c r="E4" s="1" t="s">
        <v>8407</v>
      </c>
      <c r="F4" s="1"/>
      <c r="G4" s="1"/>
      <c r="H4" s="1" t="s">
        <v>32</v>
      </c>
      <c r="I4" s="1" t="s">
        <v>32</v>
      </c>
      <c r="J4" s="1"/>
    </row>
    <row r="5" spans="1:10" x14ac:dyDescent="0.25">
      <c r="B5" s="397" t="s">
        <v>8408</v>
      </c>
      <c r="C5" s="397"/>
      <c r="D5" s="397" t="s">
        <v>8406</v>
      </c>
      <c r="E5" s="397" t="s">
        <v>8409</v>
      </c>
      <c r="F5" s="1"/>
      <c r="G5" s="1"/>
      <c r="H5" s="1" t="s">
        <v>32</v>
      </c>
      <c r="I5" s="1" t="s">
        <v>32</v>
      </c>
      <c r="J5" s="1"/>
    </row>
    <row r="6" spans="1:10" x14ac:dyDescent="0.25">
      <c r="B6" s="1"/>
      <c r="C6" s="1"/>
      <c r="D6" s="1"/>
      <c r="E6" s="1"/>
      <c r="F6" s="1"/>
      <c r="G6" s="1"/>
      <c r="H6" s="1"/>
      <c r="I6" s="1"/>
      <c r="J6" s="1"/>
    </row>
    <row r="7" spans="1:10" x14ac:dyDescent="0.25">
      <c r="B7" s="1"/>
      <c r="C7" s="1"/>
      <c r="D7" s="1"/>
      <c r="E7" s="1"/>
      <c r="F7" s="1"/>
      <c r="G7" s="1"/>
      <c r="H7" s="1"/>
      <c r="I7" s="1"/>
      <c r="J7" s="1"/>
    </row>
    <row r="8" spans="1:10" x14ac:dyDescent="0.25">
      <c r="B8" s="1"/>
      <c r="C8" s="1"/>
      <c r="D8" s="1"/>
      <c r="E8" s="1"/>
      <c r="F8" s="1"/>
      <c r="G8" s="1"/>
      <c r="H8" s="1"/>
      <c r="I8" s="1"/>
      <c r="J8" s="1"/>
    </row>
    <row r="9" spans="1:10" x14ac:dyDescent="0.25">
      <c r="B9" s="1"/>
      <c r="C9" s="1"/>
      <c r="D9" s="1"/>
      <c r="E9" s="1"/>
      <c r="F9" s="1"/>
      <c r="G9" s="1"/>
      <c r="H9" s="1"/>
      <c r="I9" s="1"/>
      <c r="J9" s="1"/>
    </row>
    <row r="10" spans="1:10" s="18" customFormat="1" x14ac:dyDescent="0.25">
      <c r="A10" s="17" t="s">
        <v>4776</v>
      </c>
    </row>
    <row r="11" spans="1:10" x14ac:dyDescent="0.25">
      <c r="B11" s="1" t="s">
        <v>3061</v>
      </c>
      <c r="C11" s="20">
        <v>0.4</v>
      </c>
      <c r="D11" s="20">
        <v>0.5</v>
      </c>
      <c r="E11" s="20">
        <v>0.1</v>
      </c>
      <c r="F11" s="20"/>
      <c r="G11" s="20"/>
      <c r="H11" s="20"/>
      <c r="I11" s="20"/>
      <c r="J11" s="21">
        <f>SUM(C11:I11)</f>
        <v>1</v>
      </c>
    </row>
    <row r="12" spans="1:10" x14ac:dyDescent="0.25">
      <c r="B12" s="397" t="s">
        <v>8408</v>
      </c>
      <c r="C12" s="398">
        <v>0</v>
      </c>
      <c r="D12" s="398">
        <v>0</v>
      </c>
      <c r="E12" s="398">
        <v>0</v>
      </c>
      <c r="F12" s="20"/>
      <c r="G12" s="20"/>
      <c r="H12" s="20"/>
      <c r="I12" s="20"/>
      <c r="J12" s="21">
        <f t="shared" ref="J12:J16" si="0">SUM(C12:I12)</f>
        <v>0</v>
      </c>
    </row>
    <row r="13" spans="1:10" x14ac:dyDescent="0.25">
      <c r="B13" s="399" t="s">
        <v>8414</v>
      </c>
      <c r="C13" s="400">
        <v>0.6</v>
      </c>
      <c r="D13" s="400">
        <v>0.4</v>
      </c>
      <c r="E13" s="400">
        <v>0.1</v>
      </c>
      <c r="F13" s="20"/>
      <c r="G13" s="20"/>
      <c r="H13" s="20"/>
      <c r="I13" s="20"/>
      <c r="J13" s="21">
        <f t="shared" si="0"/>
        <v>1.1000000000000001</v>
      </c>
    </row>
    <row r="14" spans="1:10" x14ac:dyDescent="0.25">
      <c r="B14" s="1"/>
      <c r="C14" s="20"/>
      <c r="D14" s="20"/>
      <c r="E14" s="20"/>
      <c r="F14" s="20"/>
      <c r="G14" s="20"/>
      <c r="H14" s="20"/>
      <c r="I14" s="20"/>
      <c r="J14" s="21">
        <f t="shared" si="0"/>
        <v>0</v>
      </c>
    </row>
    <row r="15" spans="1:10" x14ac:dyDescent="0.25">
      <c r="B15" s="1"/>
      <c r="C15" s="20"/>
      <c r="D15" s="20"/>
      <c r="E15" s="20"/>
      <c r="F15" s="20"/>
      <c r="G15" s="20"/>
      <c r="H15" s="20"/>
      <c r="I15" s="20"/>
      <c r="J15" s="21">
        <f t="shared" si="0"/>
        <v>0</v>
      </c>
    </row>
    <row r="16" spans="1:10" x14ac:dyDescent="0.25">
      <c r="B16" s="1"/>
      <c r="C16" s="20"/>
      <c r="D16" s="20"/>
      <c r="E16" s="20"/>
      <c r="F16" s="20"/>
      <c r="G16" s="20"/>
      <c r="H16" s="20"/>
      <c r="I16" s="20"/>
      <c r="J16" s="21">
        <f t="shared" si="0"/>
        <v>0</v>
      </c>
    </row>
    <row r="17" spans="1:10" s="18" customFormat="1" x14ac:dyDescent="0.25">
      <c r="A17" s="17" t="s">
        <v>4777</v>
      </c>
    </row>
    <row r="18" spans="1:10" x14ac:dyDescent="0.25">
      <c r="B18" s="1" t="s">
        <v>3061</v>
      </c>
      <c r="C18" s="20">
        <v>0</v>
      </c>
      <c r="D18" s="20">
        <v>0.9</v>
      </c>
      <c r="E18" s="20">
        <v>0.1</v>
      </c>
      <c r="F18" s="70"/>
      <c r="G18" s="70"/>
      <c r="H18" s="70"/>
      <c r="I18" s="70"/>
      <c r="J18" s="21">
        <f>SUM(C18:I18)</f>
        <v>1</v>
      </c>
    </row>
    <row r="19" spans="1:10" x14ac:dyDescent="0.25">
      <c r="B19" s="397" t="s">
        <v>8408</v>
      </c>
      <c r="C19" s="398">
        <v>0</v>
      </c>
      <c r="D19" s="398">
        <v>0.9</v>
      </c>
      <c r="E19" s="398">
        <v>0.1</v>
      </c>
      <c r="F19" s="20"/>
      <c r="G19" s="20"/>
      <c r="H19" s="20"/>
      <c r="I19" s="20"/>
      <c r="J19" s="21">
        <f t="shared" ref="J19:J21" si="1">SUM(C19:I19)</f>
        <v>1</v>
      </c>
    </row>
    <row r="20" spans="1:10" x14ac:dyDescent="0.25">
      <c r="B20" s="1" t="s">
        <v>8414</v>
      </c>
      <c r="C20" s="20">
        <v>0</v>
      </c>
      <c r="D20" s="20">
        <v>0.9</v>
      </c>
      <c r="E20" s="20">
        <v>0.1</v>
      </c>
      <c r="F20" s="20"/>
      <c r="G20" s="20"/>
      <c r="H20" s="20"/>
      <c r="I20" s="20"/>
      <c r="J20" s="21">
        <f t="shared" si="1"/>
        <v>1</v>
      </c>
    </row>
    <row r="21" spans="1:10" x14ac:dyDescent="0.25">
      <c r="B21" s="1"/>
      <c r="C21" s="20"/>
      <c r="D21" s="20"/>
      <c r="E21" s="20"/>
      <c r="F21" s="20"/>
      <c r="G21" s="20"/>
      <c r="H21" s="20"/>
      <c r="I21" s="20"/>
      <c r="J21" s="21">
        <f t="shared" si="1"/>
        <v>0</v>
      </c>
    </row>
    <row r="22" spans="1:10" s="18" customFormat="1" x14ac:dyDescent="0.25">
      <c r="A22" s="17"/>
    </row>
    <row r="23" spans="1:10" x14ac:dyDescent="0.25">
      <c r="C23" s="19"/>
      <c r="D23" s="19"/>
      <c r="E23" s="19"/>
      <c r="F23" s="19"/>
      <c r="G23" s="19"/>
      <c r="H23" s="19"/>
      <c r="I23" s="19"/>
    </row>
    <row r="24" spans="1:10" x14ac:dyDescent="0.25">
      <c r="C24" s="19"/>
      <c r="D24" s="19"/>
      <c r="E24" s="19"/>
      <c r="F24" s="19"/>
      <c r="G24" s="19"/>
      <c r="H24" s="19"/>
      <c r="I24" s="19"/>
    </row>
    <row r="25" spans="1:10" x14ac:dyDescent="0.25">
      <c r="C25" s="19"/>
      <c r="D25" s="19"/>
      <c r="E25" s="19"/>
      <c r="F25" s="19"/>
      <c r="G25" s="19"/>
      <c r="H25" s="19"/>
      <c r="I25" s="19"/>
    </row>
    <row r="26" spans="1:10" x14ac:dyDescent="0.25">
      <c r="C26" s="19"/>
      <c r="D26" s="19"/>
      <c r="E26" s="19"/>
      <c r="F26" s="19"/>
      <c r="G26" s="19"/>
      <c r="H26" s="19"/>
      <c r="I26" s="19"/>
    </row>
    <row r="27" spans="1:10" x14ac:dyDescent="0.25">
      <c r="C27" s="19"/>
      <c r="D27" s="19"/>
      <c r="E27" s="19"/>
      <c r="F27" s="19"/>
      <c r="G27" s="19"/>
      <c r="H27" s="19"/>
      <c r="I27" s="19"/>
    </row>
    <row r="28" spans="1:10" x14ac:dyDescent="0.25">
      <c r="C28" s="19"/>
      <c r="D28" s="19"/>
      <c r="E28" s="19"/>
      <c r="F28" s="19"/>
      <c r="G28" s="19"/>
      <c r="H28" s="19"/>
      <c r="I28" s="19"/>
    </row>
    <row r="29" spans="1:10" x14ac:dyDescent="0.25">
      <c r="C29" s="19"/>
      <c r="D29" s="19"/>
      <c r="E29" s="19"/>
      <c r="F29" s="19"/>
      <c r="G29" s="19"/>
      <c r="H29" s="19"/>
      <c r="I29" s="19"/>
    </row>
    <row r="30" spans="1:10" x14ac:dyDescent="0.25">
      <c r="C30" s="19"/>
      <c r="D30" s="19"/>
      <c r="E30" s="19"/>
      <c r="F30" s="19"/>
      <c r="G30" s="19"/>
      <c r="H30" s="19"/>
      <c r="I30" s="19"/>
    </row>
    <row r="31" spans="1:10" x14ac:dyDescent="0.25">
      <c r="C31" s="19"/>
      <c r="D31" s="19"/>
      <c r="E31" s="19"/>
      <c r="F31" s="19"/>
      <c r="G31" s="19"/>
      <c r="H31" s="19"/>
      <c r="I31" s="19"/>
    </row>
    <row r="32" spans="1:10" x14ac:dyDescent="0.25">
      <c r="C32" s="19"/>
      <c r="D32" s="19"/>
      <c r="E32" s="19"/>
      <c r="F32" s="19"/>
      <c r="G32" s="19"/>
      <c r="H32" s="19"/>
      <c r="I32" s="19"/>
    </row>
    <row r="33" spans="3:9" x14ac:dyDescent="0.25">
      <c r="C33" s="19"/>
      <c r="D33" s="19"/>
      <c r="E33" s="19"/>
      <c r="F33" s="19"/>
      <c r="G33" s="19"/>
      <c r="H33" s="19"/>
      <c r="I33" s="19"/>
    </row>
    <row r="34" spans="3:9" x14ac:dyDescent="0.25">
      <c r="C34" s="19"/>
      <c r="D34" s="19"/>
      <c r="E34" s="19"/>
      <c r="F34" s="19"/>
      <c r="G34" s="19"/>
      <c r="H34" s="19"/>
      <c r="I34" s="19"/>
    </row>
    <row r="35" spans="3:9" x14ac:dyDescent="0.25">
      <c r="C35" s="19"/>
      <c r="D35" s="19"/>
      <c r="E35" s="19"/>
      <c r="F35" s="19"/>
      <c r="G35" s="19"/>
      <c r="H35" s="19"/>
      <c r="I35" s="19"/>
    </row>
  </sheetData>
  <phoneticPr fontId="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27444-C9D4-4572-A87E-909805335249}">
  <dimension ref="A1:V1945"/>
  <sheetViews>
    <sheetView zoomScale="90" zoomScaleNormal="90" workbookViewId="0">
      <pane ySplit="3" topLeftCell="A4" activePane="bottomLeft" state="frozen"/>
      <selection pane="bottomLeft" activeCell="T4" sqref="T4:T10"/>
    </sheetView>
  </sheetViews>
  <sheetFormatPr defaultColWidth="2.7109375" defaultRowHeight="12" x14ac:dyDescent="0.25"/>
  <cols>
    <col min="1" max="1" width="4.140625" style="8" bestFit="1" customWidth="1"/>
    <col min="2" max="2" width="8.5703125" style="8" bestFit="1" customWidth="1"/>
    <col min="3" max="3" width="11.85546875" style="8" bestFit="1" customWidth="1"/>
    <col min="4" max="4" width="18.5703125" style="32" bestFit="1" customWidth="1"/>
    <col min="5" max="5" width="12" style="32" bestFit="1" customWidth="1"/>
    <col min="6" max="6" width="9.5703125" style="10" bestFit="1" customWidth="1"/>
    <col min="7" max="7" width="53.5703125" style="8" bestFit="1" customWidth="1"/>
    <col min="8" max="10" width="10.42578125" style="10" bestFit="1" customWidth="1"/>
    <col min="11" max="11" width="53.5703125" style="8" bestFit="1" customWidth="1"/>
    <col min="12" max="12" width="7" style="8" bestFit="1" customWidth="1"/>
    <col min="13" max="18" width="2.7109375" style="8"/>
    <col min="19" max="19" width="9" style="8" bestFit="1" customWidth="1"/>
    <col min="20" max="20" width="10.5703125" style="10" bestFit="1" customWidth="1"/>
    <col min="21" max="22" width="10.7109375" style="10" customWidth="1"/>
    <col min="23" max="16384" width="2.7109375" style="8"/>
  </cols>
  <sheetData>
    <row r="1" spans="1:22" x14ac:dyDescent="0.25">
      <c r="I1" s="10">
        <f>SUBTOTAL(9,I4:I1048576)</f>
        <v>904881.88666667009</v>
      </c>
    </row>
    <row r="2" spans="1:22" x14ac:dyDescent="0.25">
      <c r="I2" s="10">
        <f>SUM(I4:I1048576)</f>
        <v>904881.88666667009</v>
      </c>
    </row>
    <row r="3" spans="1:22" s="9" customFormat="1" ht="50.1" customHeight="1" x14ac:dyDescent="0.25">
      <c r="A3" s="9" t="s">
        <v>4929</v>
      </c>
      <c r="B3" s="9" t="s">
        <v>2</v>
      </c>
      <c r="C3" s="9" t="s">
        <v>4930</v>
      </c>
      <c r="D3" s="33" t="s">
        <v>6981</v>
      </c>
      <c r="E3" s="31" t="s">
        <v>4931</v>
      </c>
      <c r="F3" s="12" t="s">
        <v>6982</v>
      </c>
      <c r="G3" s="9" t="s">
        <v>6983</v>
      </c>
      <c r="H3" s="12" t="s">
        <v>6978</v>
      </c>
      <c r="I3" s="12" t="s">
        <v>6979</v>
      </c>
      <c r="J3" s="12" t="s">
        <v>35</v>
      </c>
      <c r="K3" s="9" t="s">
        <v>6980</v>
      </c>
      <c r="L3" s="9" t="s">
        <v>6977</v>
      </c>
      <c r="S3" s="9" t="s">
        <v>6985</v>
      </c>
      <c r="T3" s="12" t="s">
        <v>6986</v>
      </c>
      <c r="U3" s="12" t="s">
        <v>6987</v>
      </c>
      <c r="V3" s="12" t="s">
        <v>6988</v>
      </c>
    </row>
    <row r="4" spans="1:22" x14ac:dyDescent="0.25">
      <c r="A4" s="8" t="s">
        <v>4932</v>
      </c>
      <c r="B4" s="8" t="s">
        <v>14</v>
      </c>
      <c r="C4" s="8" t="s">
        <v>4933</v>
      </c>
      <c r="D4" s="32" t="s">
        <v>6984</v>
      </c>
      <c r="E4" s="32" t="s">
        <v>4933</v>
      </c>
      <c r="F4" s="10">
        <v>1</v>
      </c>
      <c r="G4" s="8" t="s">
        <v>4934</v>
      </c>
      <c r="H4" s="10">
        <v>2832.5</v>
      </c>
      <c r="I4" s="10">
        <f>F4*H4</f>
        <v>2832.5</v>
      </c>
      <c r="J4" s="10">
        <v>40.11839664</v>
      </c>
      <c r="K4" s="8" t="s">
        <v>4935</v>
      </c>
      <c r="S4" s="8" t="s">
        <v>4869</v>
      </c>
      <c r="T4" s="10">
        <f>SUMIFS($I$4:$I$1048576,$B$4:$B$1048576,$S4)/1000</f>
        <v>144.69930000000008</v>
      </c>
      <c r="U4" s="10">
        <f>T4</f>
        <v>144.69930000000008</v>
      </c>
    </row>
    <row r="5" spans="1:22" x14ac:dyDescent="0.25">
      <c r="A5" s="8" t="s">
        <v>4932</v>
      </c>
      <c r="B5" s="8" t="s">
        <v>14</v>
      </c>
      <c r="C5" s="8" t="s">
        <v>4936</v>
      </c>
      <c r="D5" s="32" t="s">
        <v>6984</v>
      </c>
      <c r="E5" s="32" t="s">
        <v>4936</v>
      </c>
      <c r="F5" s="10">
        <v>1</v>
      </c>
      <c r="G5" s="8" t="s">
        <v>4934</v>
      </c>
      <c r="H5" s="10">
        <v>2893.4</v>
      </c>
      <c r="I5" s="10">
        <f t="shared" ref="I5:I68" si="0">F5*H5</f>
        <v>2893.4</v>
      </c>
      <c r="J5" s="10">
        <v>41.552075277</v>
      </c>
      <c r="K5" s="8" t="s">
        <v>4935</v>
      </c>
      <c r="S5" s="8" t="s">
        <v>5070</v>
      </c>
      <c r="T5" s="10">
        <f t="shared" ref="T5:T10" si="1">SUMIFS($I$4:$I$1048576,$B$4:$B$1048576,$S5)/1000</f>
        <v>207.00689999999977</v>
      </c>
      <c r="U5" s="10">
        <f>T5</f>
        <v>207.00689999999977</v>
      </c>
    </row>
    <row r="6" spans="1:22" x14ac:dyDescent="0.25">
      <c r="A6" s="8" t="s">
        <v>4932</v>
      </c>
      <c r="B6" s="8" t="s">
        <v>14</v>
      </c>
      <c r="C6" s="8" t="s">
        <v>4937</v>
      </c>
      <c r="D6" s="32" t="s">
        <v>6984</v>
      </c>
      <c r="E6" s="32" t="s">
        <v>4937</v>
      </c>
      <c r="F6" s="10">
        <v>1</v>
      </c>
      <c r="G6" s="8" t="s">
        <v>4934</v>
      </c>
      <c r="H6" s="10">
        <v>2716</v>
      </c>
      <c r="I6" s="10">
        <f t="shared" si="0"/>
        <v>2716</v>
      </c>
      <c r="J6" s="10">
        <v>39.164658797000001</v>
      </c>
      <c r="K6" s="8" t="s">
        <v>4935</v>
      </c>
      <c r="S6" s="8" t="s">
        <v>6069</v>
      </c>
      <c r="T6" s="10">
        <f t="shared" si="1"/>
        <v>217.14346666666606</v>
      </c>
      <c r="U6" s="10">
        <f>+T6-V6</f>
        <v>169.01846666666606</v>
      </c>
      <c r="V6" s="10">
        <f>+V10*1.75</f>
        <v>48.125</v>
      </c>
    </row>
    <row r="7" spans="1:22" x14ac:dyDescent="0.25">
      <c r="A7" s="8" t="s">
        <v>4932</v>
      </c>
      <c r="B7" s="8" t="s">
        <v>14</v>
      </c>
      <c r="C7" s="8" t="s">
        <v>4938</v>
      </c>
      <c r="D7" s="32" t="s">
        <v>6984</v>
      </c>
      <c r="E7" s="32" t="s">
        <v>4938</v>
      </c>
      <c r="F7" s="10">
        <v>1</v>
      </c>
      <c r="G7" s="8" t="s">
        <v>4934</v>
      </c>
      <c r="H7" s="10">
        <v>2893.4</v>
      </c>
      <c r="I7" s="10">
        <f t="shared" si="0"/>
        <v>2893.4</v>
      </c>
      <c r="J7" s="10">
        <v>41.552075277</v>
      </c>
      <c r="K7" s="8" t="s">
        <v>4935</v>
      </c>
      <c r="S7" s="8" t="s">
        <v>14</v>
      </c>
      <c r="T7" s="10">
        <f t="shared" si="1"/>
        <v>82.519200000000012</v>
      </c>
      <c r="U7" s="10">
        <f>T7</f>
        <v>82.519200000000012</v>
      </c>
    </row>
    <row r="8" spans="1:22" x14ac:dyDescent="0.25">
      <c r="A8" s="8" t="s">
        <v>4932</v>
      </c>
      <c r="B8" s="8" t="s">
        <v>14</v>
      </c>
      <c r="C8" s="8" t="s">
        <v>4939</v>
      </c>
      <c r="D8" s="32" t="s">
        <v>6984</v>
      </c>
      <c r="E8" s="32" t="s">
        <v>4939</v>
      </c>
      <c r="F8" s="10">
        <v>1</v>
      </c>
      <c r="G8" s="8" t="s">
        <v>4934</v>
      </c>
      <c r="H8" s="10">
        <v>2685.7</v>
      </c>
      <c r="I8" s="10">
        <f t="shared" si="0"/>
        <v>2685.7</v>
      </c>
      <c r="J8" s="10">
        <v>38.437030399999998</v>
      </c>
      <c r="K8" s="8" t="s">
        <v>4935</v>
      </c>
      <c r="S8" s="8" t="s">
        <v>4779</v>
      </c>
      <c r="T8" s="10">
        <f t="shared" si="1"/>
        <v>107.96402000000002</v>
      </c>
      <c r="U8" s="10">
        <f t="shared" ref="U8:U9" si="2">T8</f>
        <v>107.96402000000002</v>
      </c>
    </row>
    <row r="9" spans="1:22" x14ac:dyDescent="0.25">
      <c r="A9" s="8" t="s">
        <v>4932</v>
      </c>
      <c r="B9" s="8" t="s">
        <v>14</v>
      </c>
      <c r="C9" s="8" t="s">
        <v>4940</v>
      </c>
      <c r="D9" s="32" t="s">
        <v>6984</v>
      </c>
      <c r="E9" s="32" t="s">
        <v>4940</v>
      </c>
      <c r="F9" s="10">
        <v>2</v>
      </c>
      <c r="G9" s="8" t="s">
        <v>4934</v>
      </c>
      <c r="H9" s="10">
        <v>2863.35</v>
      </c>
      <c r="I9" s="10">
        <f t="shared" si="0"/>
        <v>5726.7</v>
      </c>
      <c r="J9" s="10">
        <v>81.648893760000007</v>
      </c>
      <c r="K9" s="8" t="s">
        <v>4935</v>
      </c>
      <c r="S9" s="8" t="s">
        <v>4819</v>
      </c>
      <c r="T9" s="10">
        <f t="shared" si="1"/>
        <v>77.801800000000043</v>
      </c>
      <c r="U9" s="10">
        <f t="shared" si="2"/>
        <v>77.801800000000043</v>
      </c>
    </row>
    <row r="10" spans="1:22" x14ac:dyDescent="0.25">
      <c r="A10" s="8" t="s">
        <v>4932</v>
      </c>
      <c r="B10" s="8" t="s">
        <v>14</v>
      </c>
      <c r="C10" s="8" t="s">
        <v>4941</v>
      </c>
      <c r="D10" s="32" t="s">
        <v>6984</v>
      </c>
      <c r="E10" s="32" t="s">
        <v>4941</v>
      </c>
      <c r="F10" s="10">
        <v>1</v>
      </c>
      <c r="G10" s="8" t="s">
        <v>4934</v>
      </c>
      <c r="H10" s="10">
        <v>2836.7</v>
      </c>
      <c r="I10" s="10">
        <f t="shared" si="0"/>
        <v>2836.7</v>
      </c>
      <c r="J10" s="10">
        <v>40.626230399999997</v>
      </c>
      <c r="K10" s="8" t="s">
        <v>4935</v>
      </c>
      <c r="S10" s="8" t="s">
        <v>4847</v>
      </c>
      <c r="T10" s="10">
        <f t="shared" si="1"/>
        <v>67.747200000000021</v>
      </c>
      <c r="U10" s="10">
        <f>+T10-V10</f>
        <v>40.247200000000021</v>
      </c>
      <c r="V10" s="10">
        <v>27.5</v>
      </c>
    </row>
    <row r="11" spans="1:22" ht="15" x14ac:dyDescent="0.25">
      <c r="A11" s="8" t="s">
        <v>4932</v>
      </c>
      <c r="B11" s="8" t="s">
        <v>14</v>
      </c>
      <c r="C11" s="8" t="s">
        <v>4942</v>
      </c>
      <c r="D11" s="32" t="s">
        <v>6984</v>
      </c>
      <c r="E11" s="32" t="s">
        <v>4942</v>
      </c>
      <c r="F11" s="10">
        <v>1</v>
      </c>
      <c r="G11" s="8" t="s">
        <v>4934</v>
      </c>
      <c r="H11" s="10">
        <v>2865.6</v>
      </c>
      <c r="I11" s="10">
        <f t="shared" si="0"/>
        <v>2865.6</v>
      </c>
      <c r="J11" s="10">
        <v>41.321126120000002</v>
      </c>
      <c r="K11" s="8" t="s">
        <v>4935</v>
      </c>
      <c r="S11"/>
    </row>
    <row r="12" spans="1:22" ht="15" x14ac:dyDescent="0.25">
      <c r="A12" s="8" t="s">
        <v>4932</v>
      </c>
      <c r="B12" s="8" t="s">
        <v>14</v>
      </c>
      <c r="C12" s="8" t="s">
        <v>4943</v>
      </c>
      <c r="D12" s="32" t="s">
        <v>6984</v>
      </c>
      <c r="E12" s="32" t="s">
        <v>4943</v>
      </c>
      <c r="F12" s="10">
        <v>1</v>
      </c>
      <c r="G12" s="8" t="s">
        <v>4934</v>
      </c>
      <c r="H12" s="10">
        <v>2892</v>
      </c>
      <c r="I12" s="10">
        <f t="shared" si="0"/>
        <v>2892</v>
      </c>
      <c r="J12" s="10">
        <v>41.519342600000002</v>
      </c>
      <c r="K12" s="8" t="s">
        <v>4935</v>
      </c>
      <c r="S12"/>
    </row>
    <row r="13" spans="1:22" ht="15" x14ac:dyDescent="0.25">
      <c r="A13" s="8" t="s">
        <v>4932</v>
      </c>
      <c r="B13" s="8" t="s">
        <v>14</v>
      </c>
      <c r="C13" s="8" t="s">
        <v>4944</v>
      </c>
      <c r="D13" s="32" t="s">
        <v>6984</v>
      </c>
      <c r="E13" s="32" t="s">
        <v>4944</v>
      </c>
      <c r="F13" s="10">
        <v>1</v>
      </c>
      <c r="G13" s="8" t="s">
        <v>4934</v>
      </c>
      <c r="H13" s="10">
        <v>2865.6</v>
      </c>
      <c r="I13" s="10">
        <f t="shared" si="0"/>
        <v>2865.6</v>
      </c>
      <c r="J13" s="10">
        <v>41.321126120000002</v>
      </c>
      <c r="K13" s="8" t="s">
        <v>4935</v>
      </c>
      <c r="S13"/>
    </row>
    <row r="14" spans="1:22" ht="15" x14ac:dyDescent="0.25">
      <c r="A14" s="8" t="s">
        <v>4932</v>
      </c>
      <c r="B14" s="8" t="s">
        <v>14</v>
      </c>
      <c r="C14" s="8" t="s">
        <v>4945</v>
      </c>
      <c r="D14" s="32" t="s">
        <v>6984</v>
      </c>
      <c r="E14" s="32" t="s">
        <v>4945</v>
      </c>
      <c r="F14" s="10">
        <v>1</v>
      </c>
      <c r="G14" s="8" t="s">
        <v>4934</v>
      </c>
      <c r="H14" s="10">
        <v>2892</v>
      </c>
      <c r="I14" s="10">
        <f t="shared" si="0"/>
        <v>2892</v>
      </c>
      <c r="J14" s="10">
        <v>41.519342600000002</v>
      </c>
      <c r="K14" s="8" t="s">
        <v>4935</v>
      </c>
      <c r="S14"/>
    </row>
    <row r="15" spans="1:22" ht="15" x14ac:dyDescent="0.25">
      <c r="A15" s="8" t="s">
        <v>4932</v>
      </c>
      <c r="B15" s="8" t="s">
        <v>14</v>
      </c>
      <c r="C15" s="8" t="s">
        <v>4946</v>
      </c>
      <c r="D15" s="32" t="s">
        <v>6984</v>
      </c>
      <c r="E15" s="32" t="s">
        <v>4947</v>
      </c>
      <c r="F15" s="10">
        <v>1</v>
      </c>
      <c r="G15" s="8" t="s">
        <v>4934</v>
      </c>
      <c r="H15" s="10">
        <v>2837</v>
      </c>
      <c r="I15" s="10">
        <f t="shared" si="0"/>
        <v>2837</v>
      </c>
      <c r="J15" s="10">
        <v>40.625999999999998</v>
      </c>
      <c r="K15" s="8" t="s">
        <v>4935</v>
      </c>
      <c r="S15"/>
    </row>
    <row r="16" spans="1:22" ht="15" x14ac:dyDescent="0.25">
      <c r="A16" s="8" t="s">
        <v>4932</v>
      </c>
      <c r="B16" s="8" t="s">
        <v>14</v>
      </c>
      <c r="C16" s="8" t="s">
        <v>26</v>
      </c>
      <c r="D16" s="32" t="s">
        <v>6984</v>
      </c>
      <c r="E16" s="32" t="s">
        <v>26</v>
      </c>
      <c r="F16" s="10">
        <v>1</v>
      </c>
      <c r="G16" s="8" t="s">
        <v>16</v>
      </c>
      <c r="H16" s="10">
        <v>944.6</v>
      </c>
      <c r="I16" s="10">
        <f t="shared" si="0"/>
        <v>944.6</v>
      </c>
      <c r="J16" s="10">
        <v>19.855557636</v>
      </c>
      <c r="K16" s="8" t="s">
        <v>17</v>
      </c>
      <c r="S16"/>
    </row>
    <row r="17" spans="1:19" ht="15" x14ac:dyDescent="0.25">
      <c r="A17" s="8" t="s">
        <v>4932</v>
      </c>
      <c r="B17" s="8" t="s">
        <v>14</v>
      </c>
      <c r="C17" s="8" t="s">
        <v>27</v>
      </c>
      <c r="D17" s="32" t="s">
        <v>6984</v>
      </c>
      <c r="E17" s="32" t="s">
        <v>27</v>
      </c>
      <c r="F17" s="10">
        <v>1</v>
      </c>
      <c r="G17" s="8" t="s">
        <v>16</v>
      </c>
      <c r="H17" s="10">
        <v>946</v>
      </c>
      <c r="I17" s="10">
        <f t="shared" si="0"/>
        <v>946</v>
      </c>
      <c r="J17" s="10">
        <v>19.886382095999998</v>
      </c>
      <c r="K17" s="8" t="s">
        <v>17</v>
      </c>
      <c r="S17"/>
    </row>
    <row r="18" spans="1:19" ht="15" x14ac:dyDescent="0.25">
      <c r="A18" s="8" t="s">
        <v>4932</v>
      </c>
      <c r="B18" s="8" t="s">
        <v>14</v>
      </c>
      <c r="C18" s="8" t="s">
        <v>29</v>
      </c>
      <c r="D18" s="32" t="s">
        <v>6984</v>
      </c>
      <c r="E18" s="32" t="s">
        <v>29</v>
      </c>
      <c r="F18" s="10">
        <v>1</v>
      </c>
      <c r="G18" s="8" t="s">
        <v>16</v>
      </c>
      <c r="H18" s="10">
        <v>839.4</v>
      </c>
      <c r="I18" s="10">
        <f t="shared" si="0"/>
        <v>839.4</v>
      </c>
      <c r="J18" s="10">
        <v>17.665133176000001</v>
      </c>
      <c r="K18" s="8" t="s">
        <v>17</v>
      </c>
      <c r="S18"/>
    </row>
    <row r="19" spans="1:19" ht="15" x14ac:dyDescent="0.25">
      <c r="A19" s="8" t="s">
        <v>4932</v>
      </c>
      <c r="B19" s="8" t="s">
        <v>14</v>
      </c>
      <c r="C19" s="8" t="s">
        <v>30</v>
      </c>
      <c r="D19" s="32" t="s">
        <v>6984</v>
      </c>
      <c r="E19" s="32" t="s">
        <v>30</v>
      </c>
      <c r="F19" s="10">
        <v>1</v>
      </c>
      <c r="G19" s="8" t="s">
        <v>16</v>
      </c>
      <c r="H19" s="10">
        <v>840.5</v>
      </c>
      <c r="I19" s="10">
        <f t="shared" si="0"/>
        <v>840.5</v>
      </c>
      <c r="J19" s="10">
        <v>17.691252766000002</v>
      </c>
      <c r="K19" s="8" t="s">
        <v>17</v>
      </c>
      <c r="S19"/>
    </row>
    <row r="20" spans="1:19" ht="15" x14ac:dyDescent="0.25">
      <c r="A20" s="8" t="s">
        <v>4932</v>
      </c>
      <c r="B20" s="8" t="s">
        <v>14</v>
      </c>
      <c r="C20" s="8" t="s">
        <v>4948</v>
      </c>
      <c r="D20" s="32" t="s">
        <v>6984</v>
      </c>
      <c r="E20" s="32" t="s">
        <v>4948</v>
      </c>
      <c r="F20" s="10">
        <v>4</v>
      </c>
      <c r="G20" s="8" t="s">
        <v>4903</v>
      </c>
      <c r="H20" s="10">
        <v>222.9</v>
      </c>
      <c r="I20" s="10">
        <f t="shared" si="0"/>
        <v>891.6</v>
      </c>
      <c r="J20" s="10">
        <v>22.883952000000001</v>
      </c>
      <c r="K20" s="8" t="s">
        <v>4949</v>
      </c>
      <c r="S20"/>
    </row>
    <row r="21" spans="1:19" ht="15" x14ac:dyDescent="0.25">
      <c r="A21" s="8" t="s">
        <v>4932</v>
      </c>
      <c r="B21" s="8" t="s">
        <v>14</v>
      </c>
      <c r="C21" s="8" t="s">
        <v>4950</v>
      </c>
      <c r="D21" s="32" t="s">
        <v>6984</v>
      </c>
      <c r="E21" s="32" t="s">
        <v>4950</v>
      </c>
      <c r="F21" s="10">
        <v>2</v>
      </c>
      <c r="G21" s="8" t="s">
        <v>4903</v>
      </c>
      <c r="H21" s="10">
        <v>156.9</v>
      </c>
      <c r="I21" s="10">
        <f t="shared" si="0"/>
        <v>313.8</v>
      </c>
      <c r="J21" s="10">
        <v>8.0538640000000008</v>
      </c>
      <c r="K21" s="8" t="s">
        <v>4949</v>
      </c>
      <c r="S21"/>
    </row>
    <row r="22" spans="1:19" ht="15" x14ac:dyDescent="0.25">
      <c r="A22" s="8" t="s">
        <v>4932</v>
      </c>
      <c r="B22" s="8" t="s">
        <v>14</v>
      </c>
      <c r="C22" s="8" t="s">
        <v>4951</v>
      </c>
      <c r="D22" s="32" t="s">
        <v>6984</v>
      </c>
      <c r="E22" s="32" t="s">
        <v>4951</v>
      </c>
      <c r="F22" s="10">
        <v>4</v>
      </c>
      <c r="G22" s="8" t="s">
        <v>4903</v>
      </c>
      <c r="H22" s="10">
        <v>209.6</v>
      </c>
      <c r="I22" s="10">
        <f t="shared" si="0"/>
        <v>838.4</v>
      </c>
      <c r="J22" s="10">
        <v>21.516404000000001</v>
      </c>
      <c r="K22" s="8" t="s">
        <v>4949</v>
      </c>
      <c r="S22"/>
    </row>
    <row r="23" spans="1:19" ht="15" x14ac:dyDescent="0.25">
      <c r="A23" s="8" t="s">
        <v>4932</v>
      </c>
      <c r="B23" s="8" t="s">
        <v>14</v>
      </c>
      <c r="C23" s="8" t="s">
        <v>4952</v>
      </c>
      <c r="D23" s="32" t="s">
        <v>6984</v>
      </c>
      <c r="E23" s="32" t="s">
        <v>4952</v>
      </c>
      <c r="F23" s="10">
        <v>2</v>
      </c>
      <c r="G23" s="8" t="s">
        <v>4903</v>
      </c>
      <c r="H23" s="10">
        <v>143.30000000000001</v>
      </c>
      <c r="I23" s="10">
        <f t="shared" si="0"/>
        <v>286.60000000000002</v>
      </c>
      <c r="J23" s="10">
        <v>7.3558940000000002</v>
      </c>
      <c r="K23" s="8" t="s">
        <v>4949</v>
      </c>
      <c r="S23"/>
    </row>
    <row r="24" spans="1:19" ht="15" x14ac:dyDescent="0.25">
      <c r="A24" s="8" t="s">
        <v>4932</v>
      </c>
      <c r="B24" s="8" t="s">
        <v>14</v>
      </c>
      <c r="C24" s="8" t="s">
        <v>4953</v>
      </c>
      <c r="D24" s="32" t="s">
        <v>6984</v>
      </c>
      <c r="E24" s="32" t="s">
        <v>4953</v>
      </c>
      <c r="F24" s="10">
        <v>2</v>
      </c>
      <c r="G24" s="8" t="s">
        <v>4903</v>
      </c>
      <c r="H24" s="10">
        <v>144.5</v>
      </c>
      <c r="I24" s="10">
        <f t="shared" si="0"/>
        <v>289</v>
      </c>
      <c r="J24" s="10">
        <v>7.4174100000000003</v>
      </c>
      <c r="K24" s="8" t="s">
        <v>4949</v>
      </c>
      <c r="S24"/>
    </row>
    <row r="25" spans="1:19" ht="15" x14ac:dyDescent="0.25">
      <c r="A25" s="8" t="s">
        <v>4932</v>
      </c>
      <c r="B25" s="8" t="s">
        <v>14</v>
      </c>
      <c r="C25" s="8" t="s">
        <v>4954</v>
      </c>
      <c r="D25" s="32" t="s">
        <v>6984</v>
      </c>
      <c r="E25" s="32" t="s">
        <v>4954</v>
      </c>
      <c r="F25" s="10">
        <v>2</v>
      </c>
      <c r="G25" s="8" t="s">
        <v>4903</v>
      </c>
      <c r="H25" s="10">
        <v>132.19999999999999</v>
      </c>
      <c r="I25" s="10">
        <f t="shared" si="0"/>
        <v>264.39999999999998</v>
      </c>
      <c r="J25" s="10">
        <v>6.7833220000000001</v>
      </c>
      <c r="K25" s="8" t="s">
        <v>4949</v>
      </c>
      <c r="S25"/>
    </row>
    <row r="26" spans="1:19" ht="15" x14ac:dyDescent="0.25">
      <c r="A26" s="8" t="s">
        <v>4932</v>
      </c>
      <c r="B26" s="8" t="s">
        <v>14</v>
      </c>
      <c r="C26" s="8" t="s">
        <v>4955</v>
      </c>
      <c r="D26" s="32" t="s">
        <v>6984</v>
      </c>
      <c r="E26" s="32" t="s">
        <v>4955</v>
      </c>
      <c r="F26" s="10">
        <v>2</v>
      </c>
      <c r="G26" s="8" t="s">
        <v>4903</v>
      </c>
      <c r="H26" s="10">
        <v>88.4</v>
      </c>
      <c r="I26" s="10">
        <f t="shared" si="0"/>
        <v>176.8</v>
      </c>
      <c r="J26" s="10">
        <v>5.0667960000000001</v>
      </c>
      <c r="K26" s="8" t="s">
        <v>4956</v>
      </c>
      <c r="S26"/>
    </row>
    <row r="27" spans="1:19" ht="15" x14ac:dyDescent="0.25">
      <c r="A27" s="8" t="s">
        <v>4932</v>
      </c>
      <c r="B27" s="8" t="s">
        <v>14</v>
      </c>
      <c r="C27" s="8" t="s">
        <v>21</v>
      </c>
      <c r="D27" s="32" t="s">
        <v>6984</v>
      </c>
      <c r="E27" s="32" t="s">
        <v>21</v>
      </c>
      <c r="F27" s="10">
        <v>56</v>
      </c>
      <c r="G27" s="8" t="s">
        <v>22</v>
      </c>
      <c r="H27" s="10">
        <v>4.3339285714285714</v>
      </c>
      <c r="I27" s="10">
        <f t="shared" si="0"/>
        <v>242.7</v>
      </c>
      <c r="J27" s="10">
        <v>7.851648</v>
      </c>
      <c r="K27" s="8" t="s">
        <v>23</v>
      </c>
      <c r="S27"/>
    </row>
    <row r="28" spans="1:19" ht="15" x14ac:dyDescent="0.25">
      <c r="A28" s="8" t="s">
        <v>4932</v>
      </c>
      <c r="B28" s="8" t="s">
        <v>14</v>
      </c>
      <c r="C28" s="8" t="s">
        <v>4957</v>
      </c>
      <c r="D28" s="32" t="s">
        <v>6984</v>
      </c>
      <c r="E28" s="32" t="s">
        <v>4957</v>
      </c>
      <c r="F28" s="10">
        <v>48</v>
      </c>
      <c r="G28" s="8" t="s">
        <v>22</v>
      </c>
      <c r="H28" s="10">
        <v>3.6979166666666665</v>
      </c>
      <c r="I28" s="10">
        <f t="shared" si="0"/>
        <v>177.5</v>
      </c>
      <c r="J28" s="10">
        <v>5.74194432</v>
      </c>
      <c r="K28" s="8" t="s">
        <v>23</v>
      </c>
      <c r="S28"/>
    </row>
    <row r="29" spans="1:19" ht="15" x14ac:dyDescent="0.25">
      <c r="A29" s="8" t="s">
        <v>4932</v>
      </c>
      <c r="B29" s="8" t="s">
        <v>14</v>
      </c>
      <c r="C29" s="8" t="s">
        <v>4958</v>
      </c>
      <c r="D29" s="32" t="s">
        <v>6984</v>
      </c>
      <c r="E29" s="32" t="s">
        <v>4958</v>
      </c>
      <c r="F29" s="10">
        <v>4</v>
      </c>
      <c r="G29" s="8" t="s">
        <v>22</v>
      </c>
      <c r="H29" s="10">
        <v>3</v>
      </c>
      <c r="I29" s="10">
        <f t="shared" si="0"/>
        <v>12</v>
      </c>
      <c r="J29" s="10">
        <v>0.38892480000000001</v>
      </c>
      <c r="K29" s="8" t="s">
        <v>23</v>
      </c>
      <c r="S29"/>
    </row>
    <row r="30" spans="1:19" ht="15" x14ac:dyDescent="0.25">
      <c r="A30" s="8" t="s">
        <v>4932</v>
      </c>
      <c r="B30" s="8" t="s">
        <v>14</v>
      </c>
      <c r="C30" s="8" t="s">
        <v>4959</v>
      </c>
      <c r="D30" s="32" t="s">
        <v>6984</v>
      </c>
      <c r="E30" s="32" t="s">
        <v>4959</v>
      </c>
      <c r="F30" s="10">
        <v>104</v>
      </c>
      <c r="G30" s="8" t="s">
        <v>22</v>
      </c>
      <c r="H30" s="10">
        <v>1.2749999999999999</v>
      </c>
      <c r="I30" s="10">
        <f t="shared" si="0"/>
        <v>132.6</v>
      </c>
      <c r="J30" s="10">
        <v>4.2899583999999997</v>
      </c>
      <c r="K30" s="8" t="s">
        <v>23</v>
      </c>
      <c r="S30"/>
    </row>
    <row r="31" spans="1:19" ht="15" x14ac:dyDescent="0.25">
      <c r="A31" s="8" t="s">
        <v>4932</v>
      </c>
      <c r="B31" s="8" t="s">
        <v>14</v>
      </c>
      <c r="C31" s="8" t="s">
        <v>4960</v>
      </c>
      <c r="D31" s="32" t="s">
        <v>6984</v>
      </c>
      <c r="E31" s="32" t="s">
        <v>4960</v>
      </c>
      <c r="F31" s="10">
        <v>52</v>
      </c>
      <c r="G31" s="8" t="s">
        <v>22</v>
      </c>
      <c r="H31" s="10">
        <v>2.0076923076923077</v>
      </c>
      <c r="I31" s="10">
        <f t="shared" si="0"/>
        <v>104.4</v>
      </c>
      <c r="J31" s="10">
        <v>4.2751799999999998</v>
      </c>
      <c r="K31" s="8" t="s">
        <v>4798</v>
      </c>
      <c r="S31"/>
    </row>
    <row r="32" spans="1:19" ht="15" x14ac:dyDescent="0.25">
      <c r="A32" s="8" t="s">
        <v>4932</v>
      </c>
      <c r="B32" s="8" t="s">
        <v>14</v>
      </c>
      <c r="C32" s="8" t="s">
        <v>24</v>
      </c>
      <c r="D32" s="32" t="s">
        <v>6984</v>
      </c>
      <c r="E32" s="32" t="s">
        <v>24</v>
      </c>
      <c r="F32" s="10">
        <v>56</v>
      </c>
      <c r="G32" s="8" t="s">
        <v>22</v>
      </c>
      <c r="H32" s="10">
        <v>5.8732142857142851</v>
      </c>
      <c r="I32" s="10">
        <f t="shared" si="0"/>
        <v>328.9</v>
      </c>
      <c r="J32" s="10">
        <v>8.9875799999999995</v>
      </c>
      <c r="K32" s="8" t="s">
        <v>25</v>
      </c>
      <c r="S32"/>
    </row>
    <row r="33" spans="1:19" ht="15" x14ac:dyDescent="0.25">
      <c r="A33" s="8" t="s">
        <v>4932</v>
      </c>
      <c r="B33" s="8" t="s">
        <v>14</v>
      </c>
      <c r="C33" s="8" t="s">
        <v>4961</v>
      </c>
      <c r="D33" s="32" t="s">
        <v>6984</v>
      </c>
      <c r="E33" s="32" t="s">
        <v>4961</v>
      </c>
      <c r="F33" s="10">
        <v>7</v>
      </c>
      <c r="G33" s="8" t="s">
        <v>16</v>
      </c>
      <c r="H33" s="10">
        <v>825.34285714285704</v>
      </c>
      <c r="I33" s="10">
        <f t="shared" si="0"/>
        <v>5777.4</v>
      </c>
      <c r="J33" s="10">
        <v>146.492941</v>
      </c>
      <c r="K33" s="8" t="s">
        <v>19</v>
      </c>
      <c r="S33"/>
    </row>
    <row r="34" spans="1:19" ht="15" x14ac:dyDescent="0.25">
      <c r="A34" s="8" t="s">
        <v>4932</v>
      </c>
      <c r="B34" s="8" t="s">
        <v>14</v>
      </c>
      <c r="C34" s="8" t="s">
        <v>15</v>
      </c>
      <c r="D34" s="32" t="s">
        <v>6984</v>
      </c>
      <c r="E34" s="32" t="s">
        <v>15</v>
      </c>
      <c r="F34" s="10">
        <v>1</v>
      </c>
      <c r="G34" s="8" t="s">
        <v>16</v>
      </c>
      <c r="H34" s="10">
        <v>865.6</v>
      </c>
      <c r="I34" s="10">
        <f t="shared" si="0"/>
        <v>865.6</v>
      </c>
      <c r="J34" s="10">
        <v>17.956143636</v>
      </c>
      <c r="K34" s="8" t="s">
        <v>17</v>
      </c>
      <c r="S34"/>
    </row>
    <row r="35" spans="1:19" ht="15" x14ac:dyDescent="0.25">
      <c r="A35" s="8" t="s">
        <v>4932</v>
      </c>
      <c r="B35" s="8" t="s">
        <v>14</v>
      </c>
      <c r="C35" s="8" t="s">
        <v>28</v>
      </c>
      <c r="D35" s="32" t="s">
        <v>6984</v>
      </c>
      <c r="E35" s="32" t="s">
        <v>28</v>
      </c>
      <c r="F35" s="10">
        <v>7</v>
      </c>
      <c r="G35" s="8" t="s">
        <v>16</v>
      </c>
      <c r="H35" s="10">
        <v>764.41428571428571</v>
      </c>
      <c r="I35" s="10">
        <f t="shared" si="0"/>
        <v>5350.9</v>
      </c>
      <c r="J35" s="10">
        <v>111.07700545199999</v>
      </c>
      <c r="K35" s="8" t="s">
        <v>17</v>
      </c>
      <c r="S35"/>
    </row>
    <row r="36" spans="1:19" ht="15" x14ac:dyDescent="0.25">
      <c r="A36" s="8" t="s">
        <v>4932</v>
      </c>
      <c r="B36" s="8" t="s">
        <v>14</v>
      </c>
      <c r="C36" s="8" t="s">
        <v>31</v>
      </c>
      <c r="D36" s="32" t="s">
        <v>6984</v>
      </c>
      <c r="E36" s="32" t="s">
        <v>31</v>
      </c>
      <c r="F36" s="10">
        <v>1</v>
      </c>
      <c r="G36" s="8" t="s">
        <v>16</v>
      </c>
      <c r="H36" s="10">
        <v>771.3</v>
      </c>
      <c r="I36" s="10">
        <f t="shared" si="0"/>
        <v>771.3</v>
      </c>
      <c r="J36" s="10">
        <v>16.143195336000002</v>
      </c>
      <c r="K36" s="8" t="s">
        <v>17</v>
      </c>
      <c r="S36"/>
    </row>
    <row r="37" spans="1:19" ht="15" x14ac:dyDescent="0.25">
      <c r="A37" s="8" t="s">
        <v>4932</v>
      </c>
      <c r="B37" s="8" t="s">
        <v>14</v>
      </c>
      <c r="C37" s="8" t="s">
        <v>4962</v>
      </c>
      <c r="D37" s="32" t="s">
        <v>6984</v>
      </c>
      <c r="E37" s="32" t="s">
        <v>4962</v>
      </c>
      <c r="F37" s="10">
        <v>1</v>
      </c>
      <c r="G37" s="8" t="s">
        <v>16</v>
      </c>
      <c r="H37" s="10">
        <v>825.3</v>
      </c>
      <c r="I37" s="10">
        <f t="shared" si="0"/>
        <v>825.3</v>
      </c>
      <c r="J37" s="10">
        <v>20.927562999999999</v>
      </c>
      <c r="K37" s="8" t="s">
        <v>19</v>
      </c>
      <c r="S37"/>
    </row>
    <row r="38" spans="1:19" ht="15" x14ac:dyDescent="0.25">
      <c r="A38" s="8" t="s">
        <v>4932</v>
      </c>
      <c r="B38" s="8" t="s">
        <v>14</v>
      </c>
      <c r="C38" s="8" t="s">
        <v>18</v>
      </c>
      <c r="D38" s="32" t="s">
        <v>6984</v>
      </c>
      <c r="E38" s="32" t="s">
        <v>18</v>
      </c>
      <c r="F38" s="10">
        <v>14</v>
      </c>
      <c r="G38" s="8" t="s">
        <v>16</v>
      </c>
      <c r="H38" s="10">
        <v>846.1</v>
      </c>
      <c r="I38" s="10">
        <f t="shared" si="0"/>
        <v>11845.4</v>
      </c>
      <c r="J38" s="10">
        <v>301.25076799999999</v>
      </c>
      <c r="K38" s="8" t="s">
        <v>19</v>
      </c>
      <c r="S38"/>
    </row>
    <row r="39" spans="1:19" ht="15" x14ac:dyDescent="0.25">
      <c r="A39" s="8" t="s">
        <v>4963</v>
      </c>
      <c r="B39" s="8" t="s">
        <v>4869</v>
      </c>
      <c r="C39" s="8" t="s">
        <v>4964</v>
      </c>
      <c r="D39" s="32" t="s">
        <v>6984</v>
      </c>
      <c r="E39" s="32" t="s">
        <v>4964</v>
      </c>
      <c r="F39" s="10">
        <v>1</v>
      </c>
      <c r="G39" s="8" t="s">
        <v>4934</v>
      </c>
      <c r="H39" s="10">
        <v>3381.8</v>
      </c>
      <c r="I39" s="10">
        <f t="shared" si="0"/>
        <v>3381.8</v>
      </c>
      <c r="J39" s="10">
        <v>41.027426965559997</v>
      </c>
      <c r="K39" s="8" t="s">
        <v>4965</v>
      </c>
      <c r="S39"/>
    </row>
    <row r="40" spans="1:19" ht="15" x14ac:dyDescent="0.25">
      <c r="A40" s="8" t="s">
        <v>4963</v>
      </c>
      <c r="B40" s="8" t="s">
        <v>4869</v>
      </c>
      <c r="C40" s="8" t="s">
        <v>4966</v>
      </c>
      <c r="D40" s="32" t="s">
        <v>6984</v>
      </c>
      <c r="E40" s="32" t="s">
        <v>4966</v>
      </c>
      <c r="F40" s="10">
        <v>1</v>
      </c>
      <c r="G40" s="8" t="s">
        <v>4934</v>
      </c>
      <c r="H40" s="10">
        <v>3407.8</v>
      </c>
      <c r="I40" s="10">
        <f t="shared" si="0"/>
        <v>3407.8</v>
      </c>
      <c r="J40" s="10">
        <v>41.452386453560003</v>
      </c>
      <c r="K40" s="8" t="s">
        <v>4965</v>
      </c>
      <c r="S40"/>
    </row>
    <row r="41" spans="1:19" ht="15" x14ac:dyDescent="0.25">
      <c r="A41" s="8" t="s">
        <v>4963</v>
      </c>
      <c r="B41" s="8" t="s">
        <v>4869</v>
      </c>
      <c r="C41" s="8" t="s">
        <v>4967</v>
      </c>
      <c r="D41" s="32" t="s">
        <v>6984</v>
      </c>
      <c r="E41" s="32" t="s">
        <v>4967</v>
      </c>
      <c r="F41" s="10">
        <v>1</v>
      </c>
      <c r="G41" s="8" t="s">
        <v>4934</v>
      </c>
      <c r="H41" s="10">
        <v>3335.7</v>
      </c>
      <c r="I41" s="10">
        <f t="shared" si="0"/>
        <v>3335.7</v>
      </c>
      <c r="J41" s="10">
        <v>39.680437835600003</v>
      </c>
      <c r="K41" s="8" t="s">
        <v>4965</v>
      </c>
      <c r="S41"/>
    </row>
    <row r="42" spans="1:19" ht="15" x14ac:dyDescent="0.25">
      <c r="A42" s="8" t="s">
        <v>4963</v>
      </c>
      <c r="B42" s="8" t="s">
        <v>4869</v>
      </c>
      <c r="C42" s="8" t="s">
        <v>4968</v>
      </c>
      <c r="D42" s="32" t="s">
        <v>6984</v>
      </c>
      <c r="E42" s="32" t="s">
        <v>4968</v>
      </c>
      <c r="F42" s="10">
        <v>1</v>
      </c>
      <c r="G42" s="8" t="s">
        <v>4934</v>
      </c>
      <c r="H42" s="10">
        <v>3335.7</v>
      </c>
      <c r="I42" s="10">
        <f t="shared" si="0"/>
        <v>3335.7</v>
      </c>
      <c r="J42" s="10">
        <v>39.682879930200002</v>
      </c>
      <c r="K42" s="8" t="s">
        <v>4965</v>
      </c>
      <c r="S42"/>
    </row>
    <row r="43" spans="1:19" ht="15" x14ac:dyDescent="0.25">
      <c r="A43" s="8" t="s">
        <v>4963</v>
      </c>
      <c r="B43" s="8" t="s">
        <v>4869</v>
      </c>
      <c r="C43" s="8" t="s">
        <v>4969</v>
      </c>
      <c r="D43" s="32" t="s">
        <v>6984</v>
      </c>
      <c r="E43" s="32" t="s">
        <v>4969</v>
      </c>
      <c r="F43" s="10">
        <v>1</v>
      </c>
      <c r="G43" s="8" t="s">
        <v>4934</v>
      </c>
      <c r="H43" s="10">
        <v>2082.3000000000002</v>
      </c>
      <c r="I43" s="10">
        <f t="shared" si="0"/>
        <v>2082.3000000000002</v>
      </c>
      <c r="J43" s="10">
        <v>28.683512799999999</v>
      </c>
      <c r="K43" s="8" t="s">
        <v>4935</v>
      </c>
      <c r="S43"/>
    </row>
    <row r="44" spans="1:19" ht="15" x14ac:dyDescent="0.25">
      <c r="A44" s="8" t="s">
        <v>4963</v>
      </c>
      <c r="B44" s="8" t="s">
        <v>4869</v>
      </c>
      <c r="C44" s="8" t="s">
        <v>4970</v>
      </c>
      <c r="D44" s="32" t="s">
        <v>6984</v>
      </c>
      <c r="E44" s="32" t="s">
        <v>4970</v>
      </c>
      <c r="F44" s="10">
        <v>1</v>
      </c>
      <c r="G44" s="8" t="s">
        <v>4934</v>
      </c>
      <c r="H44" s="10">
        <v>3316.2</v>
      </c>
      <c r="I44" s="10">
        <f t="shared" si="0"/>
        <v>3316.2</v>
      </c>
      <c r="J44" s="10">
        <v>39.27678152</v>
      </c>
      <c r="K44" s="8" t="s">
        <v>4965</v>
      </c>
      <c r="S44"/>
    </row>
    <row r="45" spans="1:19" ht="15" x14ac:dyDescent="0.25">
      <c r="A45" s="8" t="s">
        <v>4963</v>
      </c>
      <c r="B45" s="8" t="s">
        <v>4869</v>
      </c>
      <c r="C45" s="8" t="s">
        <v>4971</v>
      </c>
      <c r="D45" s="32" t="s">
        <v>6984</v>
      </c>
      <c r="E45" s="32" t="s">
        <v>4971</v>
      </c>
      <c r="F45" s="10">
        <v>1</v>
      </c>
      <c r="G45" s="8" t="s">
        <v>4934</v>
      </c>
      <c r="H45" s="10">
        <v>3428.4</v>
      </c>
      <c r="I45" s="10">
        <f t="shared" si="0"/>
        <v>3428.4</v>
      </c>
      <c r="J45" s="10">
        <v>41.875189370000001</v>
      </c>
      <c r="K45" s="8" t="s">
        <v>4965</v>
      </c>
      <c r="S45"/>
    </row>
    <row r="46" spans="1:19" ht="15" x14ac:dyDescent="0.25">
      <c r="A46" s="8" t="s">
        <v>4963</v>
      </c>
      <c r="B46" s="8" t="s">
        <v>4869</v>
      </c>
      <c r="C46" s="8" t="s">
        <v>4972</v>
      </c>
      <c r="D46" s="32" t="s">
        <v>6984</v>
      </c>
      <c r="E46" s="32" t="s">
        <v>4972</v>
      </c>
      <c r="F46" s="10">
        <v>1</v>
      </c>
      <c r="G46" s="8" t="s">
        <v>4934</v>
      </c>
      <c r="H46" s="10">
        <v>3493.7</v>
      </c>
      <c r="I46" s="10">
        <f t="shared" si="0"/>
        <v>3493.7</v>
      </c>
      <c r="J46" s="10">
        <v>44.143077829760003</v>
      </c>
      <c r="K46" s="8" t="s">
        <v>4965</v>
      </c>
      <c r="S46"/>
    </row>
    <row r="47" spans="1:19" ht="15" x14ac:dyDescent="0.25">
      <c r="A47" s="8" t="s">
        <v>4963</v>
      </c>
      <c r="B47" s="8" t="s">
        <v>4869</v>
      </c>
      <c r="C47" s="8" t="s">
        <v>4973</v>
      </c>
      <c r="D47" s="32" t="s">
        <v>6984</v>
      </c>
      <c r="E47" s="32" t="s">
        <v>4973</v>
      </c>
      <c r="F47" s="10">
        <v>1</v>
      </c>
      <c r="G47" s="8" t="s">
        <v>4934</v>
      </c>
      <c r="H47" s="10">
        <v>4140.8999999999996</v>
      </c>
      <c r="I47" s="10">
        <f t="shared" si="0"/>
        <v>4140.8999999999996</v>
      </c>
      <c r="J47" s="10">
        <v>48.087730899999997</v>
      </c>
      <c r="K47" s="8" t="s">
        <v>4974</v>
      </c>
      <c r="S47"/>
    </row>
    <row r="48" spans="1:19" ht="15" x14ac:dyDescent="0.25">
      <c r="A48" s="8" t="s">
        <v>4963</v>
      </c>
      <c r="B48" s="8" t="s">
        <v>4869</v>
      </c>
      <c r="C48" s="8" t="s">
        <v>4905</v>
      </c>
      <c r="D48" s="32" t="s">
        <v>6984</v>
      </c>
      <c r="E48" s="32" t="s">
        <v>4905</v>
      </c>
      <c r="F48" s="10">
        <v>7</v>
      </c>
      <c r="G48" s="8" t="s">
        <v>16</v>
      </c>
      <c r="H48" s="10">
        <v>1846.1000000000001</v>
      </c>
      <c r="I48" s="10">
        <f t="shared" si="0"/>
        <v>12922.7</v>
      </c>
      <c r="J48" s="10">
        <v>199.09827000000001</v>
      </c>
      <c r="K48" s="8" t="s">
        <v>4871</v>
      </c>
      <c r="S48"/>
    </row>
    <row r="49" spans="1:19" ht="15" x14ac:dyDescent="0.25">
      <c r="A49" s="8" t="s">
        <v>4963</v>
      </c>
      <c r="B49" s="8" t="s">
        <v>4869</v>
      </c>
      <c r="C49" s="8" t="s">
        <v>4886</v>
      </c>
      <c r="D49" s="32" t="s">
        <v>6984</v>
      </c>
      <c r="E49" s="32" t="s">
        <v>4886</v>
      </c>
      <c r="F49" s="10">
        <v>4</v>
      </c>
      <c r="G49" s="8" t="s">
        <v>16</v>
      </c>
      <c r="H49" s="10">
        <v>301.14999999999998</v>
      </c>
      <c r="I49" s="10">
        <f t="shared" si="0"/>
        <v>1204.5999999999999</v>
      </c>
      <c r="J49" s="10">
        <v>27.503132000000001</v>
      </c>
      <c r="K49" s="8" t="s">
        <v>4887</v>
      </c>
      <c r="S49"/>
    </row>
    <row r="50" spans="1:19" ht="15" x14ac:dyDescent="0.25">
      <c r="A50" s="8" t="s">
        <v>4963</v>
      </c>
      <c r="B50" s="8" t="s">
        <v>4869</v>
      </c>
      <c r="C50" s="8" t="s">
        <v>4915</v>
      </c>
      <c r="D50" s="32" t="s">
        <v>6984</v>
      </c>
      <c r="E50" s="32" t="s">
        <v>4915</v>
      </c>
      <c r="F50" s="10">
        <v>2</v>
      </c>
      <c r="G50" s="8" t="s">
        <v>16</v>
      </c>
      <c r="H50" s="10">
        <v>67.5</v>
      </c>
      <c r="I50" s="10">
        <f t="shared" si="0"/>
        <v>135</v>
      </c>
      <c r="J50" s="10">
        <v>4.3146199999999997</v>
      </c>
      <c r="K50" s="8" t="s">
        <v>4781</v>
      </c>
      <c r="S50"/>
    </row>
    <row r="51" spans="1:19" ht="15" x14ac:dyDescent="0.25">
      <c r="A51" s="8" t="s">
        <v>4963</v>
      </c>
      <c r="B51" s="8" t="s">
        <v>4869</v>
      </c>
      <c r="C51" s="8" t="s">
        <v>4870</v>
      </c>
      <c r="D51" s="32" t="s">
        <v>6984</v>
      </c>
      <c r="E51" s="32" t="s">
        <v>4870</v>
      </c>
      <c r="F51" s="10">
        <v>3</v>
      </c>
      <c r="G51" s="8" t="s">
        <v>16</v>
      </c>
      <c r="H51" s="10">
        <v>1845.8999999999999</v>
      </c>
      <c r="I51" s="10">
        <f t="shared" si="0"/>
        <v>5537.7</v>
      </c>
      <c r="J51" s="10">
        <v>85.327830000000006</v>
      </c>
      <c r="K51" s="8" t="s">
        <v>4871</v>
      </c>
      <c r="S51"/>
    </row>
    <row r="52" spans="1:19" ht="15" x14ac:dyDescent="0.25">
      <c r="A52" s="8" t="s">
        <v>4963</v>
      </c>
      <c r="B52" s="8" t="s">
        <v>4869</v>
      </c>
      <c r="C52" s="8" t="s">
        <v>4888</v>
      </c>
      <c r="D52" s="32" t="s">
        <v>6984</v>
      </c>
      <c r="E52" s="32" t="s">
        <v>4888</v>
      </c>
      <c r="F52" s="10">
        <v>4</v>
      </c>
      <c r="G52" s="8" t="s">
        <v>16</v>
      </c>
      <c r="H52" s="10">
        <v>225.625</v>
      </c>
      <c r="I52" s="10">
        <f t="shared" si="0"/>
        <v>902.5</v>
      </c>
      <c r="J52" s="10">
        <v>20.610492000000001</v>
      </c>
      <c r="K52" s="8" t="s">
        <v>4887</v>
      </c>
      <c r="S52"/>
    </row>
    <row r="53" spans="1:19" ht="15" x14ac:dyDescent="0.25">
      <c r="A53" s="8" t="s">
        <v>4963</v>
      </c>
      <c r="B53" s="8" t="s">
        <v>4869</v>
      </c>
      <c r="C53" s="8" t="s">
        <v>4872</v>
      </c>
      <c r="D53" s="32" t="s">
        <v>6984</v>
      </c>
      <c r="E53" s="32" t="s">
        <v>4872</v>
      </c>
      <c r="F53" s="10">
        <v>4</v>
      </c>
      <c r="G53" s="8" t="s">
        <v>16</v>
      </c>
      <c r="H53" s="10">
        <v>59.7</v>
      </c>
      <c r="I53" s="10">
        <f t="shared" si="0"/>
        <v>238.8</v>
      </c>
      <c r="J53" s="10">
        <v>7.63164</v>
      </c>
      <c r="K53" s="8" t="s">
        <v>4781</v>
      </c>
      <c r="S53"/>
    </row>
    <row r="54" spans="1:19" ht="15" x14ac:dyDescent="0.25">
      <c r="A54" s="8" t="s">
        <v>4963</v>
      </c>
      <c r="B54" s="8" t="s">
        <v>4869</v>
      </c>
      <c r="C54" s="8" t="s">
        <v>4889</v>
      </c>
      <c r="D54" s="32" t="s">
        <v>6984</v>
      </c>
      <c r="E54" s="32" t="s">
        <v>4889</v>
      </c>
      <c r="F54" s="10">
        <v>4</v>
      </c>
      <c r="G54" s="8" t="s">
        <v>16</v>
      </c>
      <c r="H54" s="10">
        <v>291.25</v>
      </c>
      <c r="I54" s="10">
        <f t="shared" si="0"/>
        <v>1165</v>
      </c>
      <c r="J54" s="10">
        <v>26.596599999999999</v>
      </c>
      <c r="K54" s="8" t="s">
        <v>4887</v>
      </c>
      <c r="S54"/>
    </row>
    <row r="55" spans="1:19" ht="15" x14ac:dyDescent="0.25">
      <c r="A55" s="8" t="s">
        <v>4963</v>
      </c>
      <c r="B55" s="8" t="s">
        <v>4869</v>
      </c>
      <c r="C55" s="8" t="s">
        <v>4923</v>
      </c>
      <c r="D55" s="32" t="s">
        <v>6984</v>
      </c>
      <c r="E55" s="32" t="s">
        <v>4923</v>
      </c>
      <c r="F55" s="10">
        <v>3</v>
      </c>
      <c r="G55" s="8" t="s">
        <v>16</v>
      </c>
      <c r="H55" s="10">
        <v>131.79999999999998</v>
      </c>
      <c r="I55" s="10">
        <f t="shared" si="0"/>
        <v>395.4</v>
      </c>
      <c r="J55" s="10">
        <v>11.064669</v>
      </c>
      <c r="K55" s="8" t="s">
        <v>4852</v>
      </c>
      <c r="S55"/>
    </row>
    <row r="56" spans="1:19" ht="15" x14ac:dyDescent="0.25">
      <c r="A56" s="8" t="s">
        <v>4963</v>
      </c>
      <c r="B56" s="8" t="s">
        <v>4869</v>
      </c>
      <c r="C56" s="8" t="s">
        <v>4873</v>
      </c>
      <c r="D56" s="32" t="s">
        <v>6984</v>
      </c>
      <c r="E56" s="32" t="s">
        <v>4873</v>
      </c>
      <c r="F56" s="10">
        <v>1</v>
      </c>
      <c r="G56" s="8" t="s">
        <v>16</v>
      </c>
      <c r="H56" s="10">
        <v>86.4</v>
      </c>
      <c r="I56" s="10">
        <f t="shared" si="0"/>
        <v>86.4</v>
      </c>
      <c r="J56" s="10">
        <v>2.7608579999999998</v>
      </c>
      <c r="K56" s="8" t="s">
        <v>4781</v>
      </c>
      <c r="S56"/>
    </row>
    <row r="57" spans="1:19" ht="15" x14ac:dyDescent="0.25">
      <c r="A57" s="8" t="s">
        <v>4963</v>
      </c>
      <c r="B57" s="8" t="s">
        <v>4869</v>
      </c>
      <c r="C57" s="8" t="s">
        <v>4975</v>
      </c>
      <c r="D57" s="32" t="s">
        <v>6984</v>
      </c>
      <c r="E57" s="32" t="s">
        <v>4975</v>
      </c>
      <c r="F57" s="10">
        <v>1</v>
      </c>
      <c r="G57" s="8" t="s">
        <v>16</v>
      </c>
      <c r="H57" s="10">
        <v>2518.8000000000002</v>
      </c>
      <c r="I57" s="10">
        <f t="shared" si="0"/>
        <v>2518.8000000000002</v>
      </c>
      <c r="J57" s="10">
        <v>30.66190781832</v>
      </c>
      <c r="K57" s="8" t="s">
        <v>4976</v>
      </c>
      <c r="S57"/>
    </row>
    <row r="58" spans="1:19" ht="15" x14ac:dyDescent="0.25">
      <c r="A58" s="8" t="s">
        <v>4963</v>
      </c>
      <c r="B58" s="8" t="s">
        <v>4869</v>
      </c>
      <c r="C58" s="8" t="s">
        <v>4977</v>
      </c>
      <c r="D58" s="32" t="s">
        <v>6984</v>
      </c>
      <c r="E58" s="32" t="s">
        <v>4977</v>
      </c>
      <c r="F58" s="10">
        <v>2</v>
      </c>
      <c r="G58" s="8" t="s">
        <v>16</v>
      </c>
      <c r="H58" s="10">
        <v>2473.4499999999998</v>
      </c>
      <c r="I58" s="10">
        <f t="shared" si="0"/>
        <v>4946.8999999999996</v>
      </c>
      <c r="J58" s="10">
        <v>58.228859376000003</v>
      </c>
      <c r="K58" s="8" t="s">
        <v>4976</v>
      </c>
      <c r="S58"/>
    </row>
    <row r="59" spans="1:19" ht="15" x14ac:dyDescent="0.25">
      <c r="A59" s="8" t="s">
        <v>4963</v>
      </c>
      <c r="B59" s="8" t="s">
        <v>4869</v>
      </c>
      <c r="C59" s="8" t="s">
        <v>4978</v>
      </c>
      <c r="D59" s="32" t="s">
        <v>6984</v>
      </c>
      <c r="E59" s="32" t="s">
        <v>4978</v>
      </c>
      <c r="F59" s="10">
        <v>1</v>
      </c>
      <c r="G59" s="8" t="s">
        <v>16</v>
      </c>
      <c r="H59" s="10">
        <v>2487.8000000000002</v>
      </c>
      <c r="I59" s="10">
        <f t="shared" si="0"/>
        <v>2487.8000000000002</v>
      </c>
      <c r="J59" s="10">
        <v>29.505811284</v>
      </c>
      <c r="K59" s="8" t="s">
        <v>4976</v>
      </c>
      <c r="S59"/>
    </row>
    <row r="60" spans="1:19" ht="15" x14ac:dyDescent="0.25">
      <c r="A60" s="8" t="s">
        <v>4963</v>
      </c>
      <c r="B60" s="8" t="s">
        <v>4869</v>
      </c>
      <c r="C60" s="8" t="s">
        <v>4979</v>
      </c>
      <c r="D60" s="32" t="s">
        <v>6984</v>
      </c>
      <c r="E60" s="32" t="s">
        <v>4979</v>
      </c>
      <c r="F60" s="10">
        <v>1</v>
      </c>
      <c r="G60" s="8" t="s">
        <v>16</v>
      </c>
      <c r="H60" s="10">
        <v>2497.3000000000002</v>
      </c>
      <c r="I60" s="10">
        <f t="shared" si="0"/>
        <v>2497.3000000000002</v>
      </c>
      <c r="J60" s="10">
        <v>29.894696333999999</v>
      </c>
      <c r="K60" s="8" t="s">
        <v>4976</v>
      </c>
      <c r="S60"/>
    </row>
    <row r="61" spans="1:19" ht="15" x14ac:dyDescent="0.25">
      <c r="A61" s="8" t="s">
        <v>4963</v>
      </c>
      <c r="B61" s="8" t="s">
        <v>4869</v>
      </c>
      <c r="C61" s="8" t="s">
        <v>4908</v>
      </c>
      <c r="D61" s="32" t="s">
        <v>6984</v>
      </c>
      <c r="E61" s="32" t="s">
        <v>4908</v>
      </c>
      <c r="F61" s="10">
        <v>1</v>
      </c>
      <c r="G61" s="8" t="s">
        <v>16</v>
      </c>
      <c r="H61" s="10">
        <v>1861</v>
      </c>
      <c r="I61" s="10">
        <f t="shared" si="0"/>
        <v>1861</v>
      </c>
      <c r="J61" s="10">
        <v>28.850951832</v>
      </c>
      <c r="K61" s="8" t="s">
        <v>4871</v>
      </c>
      <c r="S61"/>
    </row>
    <row r="62" spans="1:19" ht="15" x14ac:dyDescent="0.25">
      <c r="A62" s="8" t="s">
        <v>4963</v>
      </c>
      <c r="B62" s="8" t="s">
        <v>4869</v>
      </c>
      <c r="C62" s="8" t="s">
        <v>4909</v>
      </c>
      <c r="D62" s="32" t="s">
        <v>6984</v>
      </c>
      <c r="E62" s="32" t="s">
        <v>4909</v>
      </c>
      <c r="F62" s="10">
        <v>1</v>
      </c>
      <c r="G62" s="8" t="s">
        <v>16</v>
      </c>
      <c r="H62" s="10">
        <v>2769.8</v>
      </c>
      <c r="I62" s="10">
        <f t="shared" si="0"/>
        <v>2769.8</v>
      </c>
      <c r="J62" s="10">
        <v>28.286287345000002</v>
      </c>
      <c r="K62" s="8" t="s">
        <v>4875</v>
      </c>
      <c r="S62"/>
    </row>
    <row r="63" spans="1:19" ht="15" x14ac:dyDescent="0.25">
      <c r="A63" s="8" t="s">
        <v>4963</v>
      </c>
      <c r="B63" s="8" t="s">
        <v>4869</v>
      </c>
      <c r="C63" s="8" t="s">
        <v>4906</v>
      </c>
      <c r="D63" s="32" t="s">
        <v>6984</v>
      </c>
      <c r="E63" s="32" t="s">
        <v>4906</v>
      </c>
      <c r="F63" s="10">
        <v>3</v>
      </c>
      <c r="G63" s="8" t="s">
        <v>16</v>
      </c>
      <c r="H63" s="10">
        <v>2743.2666666666664</v>
      </c>
      <c r="I63" s="10">
        <f t="shared" si="0"/>
        <v>8229.7999999999993</v>
      </c>
      <c r="J63" s="10">
        <v>82.684662494999998</v>
      </c>
      <c r="K63" s="8" t="s">
        <v>4875</v>
      </c>
      <c r="S63"/>
    </row>
    <row r="64" spans="1:19" ht="15" x14ac:dyDescent="0.25">
      <c r="A64" s="8" t="s">
        <v>4963</v>
      </c>
      <c r="B64" s="8" t="s">
        <v>4869</v>
      </c>
      <c r="C64" s="8" t="s">
        <v>4874</v>
      </c>
      <c r="D64" s="32" t="s">
        <v>6984</v>
      </c>
      <c r="E64" s="32" t="s">
        <v>4874</v>
      </c>
      <c r="F64" s="10">
        <v>1</v>
      </c>
      <c r="G64" s="8" t="s">
        <v>16</v>
      </c>
      <c r="H64" s="10">
        <v>3113.2</v>
      </c>
      <c r="I64" s="10">
        <f t="shared" si="0"/>
        <v>3113.2</v>
      </c>
      <c r="J64" s="10">
        <v>31.4921471</v>
      </c>
      <c r="K64" s="8" t="s">
        <v>4875</v>
      </c>
      <c r="S64"/>
    </row>
    <row r="65" spans="1:19" ht="15" x14ac:dyDescent="0.25">
      <c r="A65" s="8" t="s">
        <v>4963</v>
      </c>
      <c r="B65" s="8" t="s">
        <v>4869</v>
      </c>
      <c r="C65" s="8" t="s">
        <v>4890</v>
      </c>
      <c r="D65" s="32" t="s">
        <v>6984</v>
      </c>
      <c r="E65" s="32" t="s">
        <v>4890</v>
      </c>
      <c r="F65" s="10">
        <v>1</v>
      </c>
      <c r="G65" s="8" t="s">
        <v>16</v>
      </c>
      <c r="H65" s="10">
        <v>3117.9</v>
      </c>
      <c r="I65" s="10">
        <f t="shared" si="0"/>
        <v>3117.9</v>
      </c>
      <c r="J65" s="10">
        <v>31.710287345000001</v>
      </c>
      <c r="K65" s="8" t="s">
        <v>4875</v>
      </c>
      <c r="S65"/>
    </row>
    <row r="66" spans="1:19" ht="15" x14ac:dyDescent="0.25">
      <c r="A66" s="8" t="s">
        <v>4963</v>
      </c>
      <c r="B66" s="8" t="s">
        <v>4869</v>
      </c>
      <c r="C66" s="8" t="s">
        <v>4891</v>
      </c>
      <c r="D66" s="32" t="s">
        <v>6984</v>
      </c>
      <c r="E66" s="32" t="s">
        <v>4891</v>
      </c>
      <c r="F66" s="10">
        <v>1</v>
      </c>
      <c r="G66" s="8" t="s">
        <v>16</v>
      </c>
      <c r="H66" s="10">
        <v>3075.6</v>
      </c>
      <c r="I66" s="10">
        <f t="shared" si="0"/>
        <v>3075.6</v>
      </c>
      <c r="J66" s="10">
        <v>32.299486385000002</v>
      </c>
      <c r="K66" s="8" t="s">
        <v>4875</v>
      </c>
      <c r="S66"/>
    </row>
    <row r="67" spans="1:19" ht="15" x14ac:dyDescent="0.25">
      <c r="A67" s="8" t="s">
        <v>4963</v>
      </c>
      <c r="B67" s="8" t="s">
        <v>4869</v>
      </c>
      <c r="C67" s="8" t="s">
        <v>4907</v>
      </c>
      <c r="D67" s="32" t="s">
        <v>6984</v>
      </c>
      <c r="E67" s="32" t="s">
        <v>4907</v>
      </c>
      <c r="F67" s="10">
        <v>1</v>
      </c>
      <c r="G67" s="8" t="s">
        <v>16</v>
      </c>
      <c r="H67" s="10">
        <v>2689.8</v>
      </c>
      <c r="I67" s="10">
        <f t="shared" si="0"/>
        <v>2689.8</v>
      </c>
      <c r="J67" s="10">
        <v>27.789453444999999</v>
      </c>
      <c r="K67" s="8" t="s">
        <v>4875</v>
      </c>
      <c r="S67"/>
    </row>
    <row r="68" spans="1:19" ht="15" x14ac:dyDescent="0.25">
      <c r="A68" s="8" t="s">
        <v>4963</v>
      </c>
      <c r="B68" s="8" t="s">
        <v>4869</v>
      </c>
      <c r="C68" s="8" t="s">
        <v>4892</v>
      </c>
      <c r="D68" s="32" t="s">
        <v>6984</v>
      </c>
      <c r="E68" s="32" t="s">
        <v>4892</v>
      </c>
      <c r="F68" s="10">
        <v>1</v>
      </c>
      <c r="G68" s="8" t="s">
        <v>16</v>
      </c>
      <c r="H68" s="10">
        <v>1860.8</v>
      </c>
      <c r="I68" s="10">
        <f t="shared" si="0"/>
        <v>1860.8</v>
      </c>
      <c r="J68" s="10">
        <v>28.850951832</v>
      </c>
      <c r="K68" s="8" t="s">
        <v>4871</v>
      </c>
      <c r="S68"/>
    </row>
    <row r="69" spans="1:19" ht="15" x14ac:dyDescent="0.25">
      <c r="A69" s="8" t="s">
        <v>4963</v>
      </c>
      <c r="B69" s="8" t="s">
        <v>4869</v>
      </c>
      <c r="C69" s="8" t="s">
        <v>4893</v>
      </c>
      <c r="D69" s="32" t="s">
        <v>6984</v>
      </c>
      <c r="E69" s="32" t="s">
        <v>4893</v>
      </c>
      <c r="F69" s="10">
        <v>2</v>
      </c>
      <c r="G69" s="8" t="s">
        <v>16</v>
      </c>
      <c r="H69" s="10">
        <v>1875.95</v>
      </c>
      <c r="I69" s="10">
        <f t="shared" ref="I69:I132" si="3">F69*H69</f>
        <v>3751.9</v>
      </c>
      <c r="J69" s="10">
        <v>58.518587328000002</v>
      </c>
      <c r="K69" s="8" t="s">
        <v>4871</v>
      </c>
      <c r="S69"/>
    </row>
    <row r="70" spans="1:19" ht="15" x14ac:dyDescent="0.25">
      <c r="A70" s="8" t="s">
        <v>4963</v>
      </c>
      <c r="B70" s="8" t="s">
        <v>4869</v>
      </c>
      <c r="C70" s="8" t="s">
        <v>4876</v>
      </c>
      <c r="D70" s="32" t="s">
        <v>6984</v>
      </c>
      <c r="E70" s="32" t="s">
        <v>4876</v>
      </c>
      <c r="F70" s="10">
        <v>1</v>
      </c>
      <c r="G70" s="8" t="s">
        <v>16</v>
      </c>
      <c r="H70" s="10">
        <v>1875.3</v>
      </c>
      <c r="I70" s="10">
        <f t="shared" si="3"/>
        <v>1875.3</v>
      </c>
      <c r="J70" s="10">
        <v>29.646927112499998</v>
      </c>
      <c r="K70" s="8" t="s">
        <v>4871</v>
      </c>
      <c r="S70"/>
    </row>
    <row r="71" spans="1:19" ht="15" x14ac:dyDescent="0.25">
      <c r="A71" s="8" t="s">
        <v>4963</v>
      </c>
      <c r="B71" s="8" t="s">
        <v>4869</v>
      </c>
      <c r="C71" s="8" t="s">
        <v>4877</v>
      </c>
      <c r="D71" s="32" t="s">
        <v>6984</v>
      </c>
      <c r="E71" s="32" t="s">
        <v>4877</v>
      </c>
      <c r="F71" s="10">
        <v>1</v>
      </c>
      <c r="G71" s="8" t="s">
        <v>16</v>
      </c>
      <c r="H71" s="10">
        <v>1902.3</v>
      </c>
      <c r="I71" s="10">
        <f t="shared" si="3"/>
        <v>1902.3</v>
      </c>
      <c r="J71" s="10">
        <v>30.437361739</v>
      </c>
      <c r="K71" s="8" t="s">
        <v>4871</v>
      </c>
      <c r="S71"/>
    </row>
    <row r="72" spans="1:19" ht="15" x14ac:dyDescent="0.25">
      <c r="A72" s="8" t="s">
        <v>4963</v>
      </c>
      <c r="B72" s="8" t="s">
        <v>4869</v>
      </c>
      <c r="C72" s="8" t="s">
        <v>4916</v>
      </c>
      <c r="D72" s="32" t="s">
        <v>6984</v>
      </c>
      <c r="E72" s="32" t="s">
        <v>4916</v>
      </c>
      <c r="F72" s="10">
        <v>1</v>
      </c>
      <c r="G72" s="8" t="s">
        <v>16</v>
      </c>
      <c r="H72" s="10">
        <v>1870.8</v>
      </c>
      <c r="I72" s="10">
        <f t="shared" si="3"/>
        <v>1870.8</v>
      </c>
      <c r="J72" s="10">
        <v>29.252390869500001</v>
      </c>
      <c r="K72" s="8" t="s">
        <v>4871</v>
      </c>
      <c r="S72"/>
    </row>
    <row r="73" spans="1:19" ht="15" x14ac:dyDescent="0.25">
      <c r="A73" s="8" t="s">
        <v>4963</v>
      </c>
      <c r="B73" s="8" t="s">
        <v>4869</v>
      </c>
      <c r="C73" s="8" t="s">
        <v>4917</v>
      </c>
      <c r="D73" s="32" t="s">
        <v>6984</v>
      </c>
      <c r="E73" s="32" t="s">
        <v>4917</v>
      </c>
      <c r="F73" s="10">
        <v>1</v>
      </c>
      <c r="G73" s="8" t="s">
        <v>16</v>
      </c>
      <c r="H73" s="10">
        <v>1880.6</v>
      </c>
      <c r="I73" s="10">
        <f t="shared" si="3"/>
        <v>1880.6</v>
      </c>
      <c r="J73" s="10">
        <v>29.653829906999999</v>
      </c>
      <c r="K73" s="8" t="s">
        <v>4871</v>
      </c>
      <c r="S73"/>
    </row>
    <row r="74" spans="1:19" ht="15" x14ac:dyDescent="0.25">
      <c r="A74" s="8" t="s">
        <v>4963</v>
      </c>
      <c r="B74" s="8" t="s">
        <v>4869</v>
      </c>
      <c r="C74" s="8" t="s">
        <v>4910</v>
      </c>
      <c r="D74" s="32" t="s">
        <v>6984</v>
      </c>
      <c r="E74" s="32" t="s">
        <v>4910</v>
      </c>
      <c r="F74" s="10">
        <v>1</v>
      </c>
      <c r="G74" s="8" t="s">
        <v>16</v>
      </c>
      <c r="H74" s="10">
        <v>2727.4</v>
      </c>
      <c r="I74" s="10">
        <f t="shared" si="3"/>
        <v>2727.4</v>
      </c>
      <c r="J74" s="10">
        <v>28.875486384999999</v>
      </c>
      <c r="K74" s="8" t="s">
        <v>4875</v>
      </c>
      <c r="S74"/>
    </row>
    <row r="75" spans="1:19" ht="15" x14ac:dyDescent="0.25">
      <c r="A75" s="8" t="s">
        <v>4963</v>
      </c>
      <c r="B75" s="8" t="s">
        <v>4869</v>
      </c>
      <c r="C75" s="8" t="s">
        <v>4914</v>
      </c>
      <c r="D75" s="32" t="s">
        <v>6984</v>
      </c>
      <c r="E75" s="32" t="s">
        <v>4914</v>
      </c>
      <c r="F75" s="10">
        <v>1</v>
      </c>
      <c r="G75" s="8" t="s">
        <v>16</v>
      </c>
      <c r="H75" s="10">
        <v>2700.9</v>
      </c>
      <c r="I75" s="10">
        <f t="shared" si="3"/>
        <v>2700.9</v>
      </c>
      <c r="J75" s="10">
        <v>28.150753205000001</v>
      </c>
      <c r="K75" s="8" t="s">
        <v>4875</v>
      </c>
      <c r="S75"/>
    </row>
    <row r="76" spans="1:19" ht="15" x14ac:dyDescent="0.25">
      <c r="A76" s="8" t="s">
        <v>4963</v>
      </c>
      <c r="B76" s="8" t="s">
        <v>4869</v>
      </c>
      <c r="C76" s="8" t="s">
        <v>4918</v>
      </c>
      <c r="D76" s="32" t="s">
        <v>6984</v>
      </c>
      <c r="E76" s="32" t="s">
        <v>4918</v>
      </c>
      <c r="F76" s="10">
        <v>1</v>
      </c>
      <c r="G76" s="8" t="s">
        <v>16</v>
      </c>
      <c r="H76" s="10">
        <v>2712.2</v>
      </c>
      <c r="I76" s="10">
        <f t="shared" si="3"/>
        <v>2712.2</v>
      </c>
      <c r="J76" s="10">
        <v>28.517177668999999</v>
      </c>
      <c r="K76" s="8" t="s">
        <v>4875</v>
      </c>
      <c r="S76"/>
    </row>
    <row r="77" spans="1:19" ht="15" x14ac:dyDescent="0.25">
      <c r="A77" s="8" t="s">
        <v>4963</v>
      </c>
      <c r="B77" s="8" t="s">
        <v>4869</v>
      </c>
      <c r="C77" s="8" t="s">
        <v>4980</v>
      </c>
      <c r="D77" s="32" t="s">
        <v>6984</v>
      </c>
      <c r="E77" s="32" t="s">
        <v>4980</v>
      </c>
      <c r="F77" s="10">
        <v>1</v>
      </c>
      <c r="G77" s="8" t="s">
        <v>16</v>
      </c>
      <c r="H77" s="10">
        <v>2478.9</v>
      </c>
      <c r="I77" s="10">
        <f t="shared" si="3"/>
        <v>2478.9</v>
      </c>
      <c r="J77" s="10">
        <v>29.480043095999999</v>
      </c>
      <c r="K77" s="8" t="s">
        <v>4976</v>
      </c>
      <c r="S77"/>
    </row>
    <row r="78" spans="1:19" ht="15" x14ac:dyDescent="0.25">
      <c r="A78" s="8" t="s">
        <v>4963</v>
      </c>
      <c r="B78" s="8" t="s">
        <v>4869</v>
      </c>
      <c r="C78" s="8" t="s">
        <v>4981</v>
      </c>
      <c r="D78" s="32" t="s">
        <v>6984</v>
      </c>
      <c r="E78" s="32" t="s">
        <v>4981</v>
      </c>
      <c r="F78" s="10">
        <v>1</v>
      </c>
      <c r="G78" s="8" t="s">
        <v>16</v>
      </c>
      <c r="H78" s="10">
        <v>2473.3000000000002</v>
      </c>
      <c r="I78" s="10">
        <f t="shared" si="3"/>
        <v>2473.3000000000002</v>
      </c>
      <c r="J78" s="10">
        <v>29.341113668999999</v>
      </c>
      <c r="K78" s="8" t="s">
        <v>4976</v>
      </c>
      <c r="S78"/>
    </row>
    <row r="79" spans="1:19" ht="15" x14ac:dyDescent="0.25">
      <c r="A79" s="8" t="s">
        <v>4963</v>
      </c>
      <c r="B79" s="8" t="s">
        <v>4869</v>
      </c>
      <c r="C79" s="8" t="s">
        <v>4878</v>
      </c>
      <c r="D79" s="32" t="s">
        <v>6984</v>
      </c>
      <c r="E79" s="32" t="s">
        <v>4878</v>
      </c>
      <c r="F79" s="10">
        <v>1</v>
      </c>
      <c r="G79" s="8" t="s">
        <v>16</v>
      </c>
      <c r="H79" s="10">
        <v>1856.5</v>
      </c>
      <c r="I79" s="10">
        <f t="shared" si="3"/>
        <v>1856.5</v>
      </c>
      <c r="J79" s="10">
        <v>28.8305126775</v>
      </c>
      <c r="K79" s="8" t="s">
        <v>4871</v>
      </c>
      <c r="S79"/>
    </row>
    <row r="80" spans="1:19" ht="15" x14ac:dyDescent="0.25">
      <c r="A80" s="8" t="s">
        <v>4963</v>
      </c>
      <c r="B80" s="8" t="s">
        <v>4869</v>
      </c>
      <c r="C80" s="8" t="s">
        <v>4879</v>
      </c>
      <c r="D80" s="32" t="s">
        <v>6984</v>
      </c>
      <c r="E80" s="32" t="s">
        <v>4879</v>
      </c>
      <c r="F80" s="10">
        <v>1</v>
      </c>
      <c r="G80" s="8" t="s">
        <v>16</v>
      </c>
      <c r="H80" s="10">
        <v>3114.8</v>
      </c>
      <c r="I80" s="10">
        <f t="shared" si="3"/>
        <v>3114.8</v>
      </c>
      <c r="J80" s="10">
        <v>32.969139091599999</v>
      </c>
      <c r="K80" s="8" t="s">
        <v>4875</v>
      </c>
      <c r="S80"/>
    </row>
    <row r="81" spans="1:19" ht="15" x14ac:dyDescent="0.25">
      <c r="A81" s="8" t="s">
        <v>4963</v>
      </c>
      <c r="B81" s="8" t="s">
        <v>4869</v>
      </c>
      <c r="C81" s="8" t="s">
        <v>4880</v>
      </c>
      <c r="D81" s="32" t="s">
        <v>6984</v>
      </c>
      <c r="E81" s="32" t="s">
        <v>4880</v>
      </c>
      <c r="F81" s="10">
        <v>1</v>
      </c>
      <c r="G81" s="8" t="s">
        <v>16</v>
      </c>
      <c r="H81" s="10">
        <v>56.7</v>
      </c>
      <c r="I81" s="10">
        <f t="shared" si="3"/>
        <v>56.7</v>
      </c>
      <c r="J81" s="10">
        <v>1.8128681471999999</v>
      </c>
      <c r="K81" s="8" t="s">
        <v>4781</v>
      </c>
      <c r="S81"/>
    </row>
    <row r="82" spans="1:19" ht="15" x14ac:dyDescent="0.25">
      <c r="A82" s="8" t="s">
        <v>4963</v>
      </c>
      <c r="B82" s="8" t="s">
        <v>4869</v>
      </c>
      <c r="C82" s="8" t="s">
        <v>4919</v>
      </c>
      <c r="D82" s="32" t="s">
        <v>6984</v>
      </c>
      <c r="E82" s="32" t="s">
        <v>4919</v>
      </c>
      <c r="F82" s="10">
        <v>2</v>
      </c>
      <c r="G82" s="8" t="s">
        <v>16</v>
      </c>
      <c r="H82" s="10">
        <v>115.25</v>
      </c>
      <c r="I82" s="10">
        <f t="shared" si="3"/>
        <v>230.5</v>
      </c>
      <c r="J82" s="10">
        <v>5.8983876000000004</v>
      </c>
      <c r="K82" s="8" t="s">
        <v>4920</v>
      </c>
      <c r="S82"/>
    </row>
    <row r="83" spans="1:19" ht="15" x14ac:dyDescent="0.25">
      <c r="A83" s="8" t="s">
        <v>4963</v>
      </c>
      <c r="B83" s="8" t="s">
        <v>4869</v>
      </c>
      <c r="C83" s="8" t="s">
        <v>4911</v>
      </c>
      <c r="D83" s="32" t="s">
        <v>6984</v>
      </c>
      <c r="E83" s="32" t="s">
        <v>4911</v>
      </c>
      <c r="F83" s="10">
        <v>1</v>
      </c>
      <c r="G83" s="8" t="s">
        <v>16</v>
      </c>
      <c r="H83" s="10">
        <v>189.3</v>
      </c>
      <c r="I83" s="10">
        <f t="shared" si="3"/>
        <v>189.3</v>
      </c>
      <c r="J83" s="10">
        <v>4.3557999289999998</v>
      </c>
      <c r="K83" s="8" t="s">
        <v>4887</v>
      </c>
      <c r="S83"/>
    </row>
    <row r="84" spans="1:19" ht="15" x14ac:dyDescent="0.25">
      <c r="A84" s="8" t="s">
        <v>4963</v>
      </c>
      <c r="B84" s="8" t="s">
        <v>4869</v>
      </c>
      <c r="C84" s="8" t="s">
        <v>4894</v>
      </c>
      <c r="D84" s="32" t="s">
        <v>6984</v>
      </c>
      <c r="E84" s="32" t="s">
        <v>4894</v>
      </c>
      <c r="F84" s="10">
        <v>1</v>
      </c>
      <c r="G84" s="8" t="s">
        <v>16</v>
      </c>
      <c r="H84" s="10">
        <v>190.1</v>
      </c>
      <c r="I84" s="10">
        <f t="shared" si="3"/>
        <v>190.1</v>
      </c>
      <c r="J84" s="10">
        <v>4.3745299290000004</v>
      </c>
      <c r="K84" s="8" t="s">
        <v>4887</v>
      </c>
      <c r="S84"/>
    </row>
    <row r="85" spans="1:19" ht="15" x14ac:dyDescent="0.25">
      <c r="A85" s="8" t="s">
        <v>4963</v>
      </c>
      <c r="B85" s="8" t="s">
        <v>4869</v>
      </c>
      <c r="C85" s="8" t="s">
        <v>4881</v>
      </c>
      <c r="D85" s="32" t="s">
        <v>6984</v>
      </c>
      <c r="E85" s="32" t="s">
        <v>4881</v>
      </c>
      <c r="F85" s="10">
        <v>1</v>
      </c>
      <c r="G85" s="8" t="s">
        <v>16</v>
      </c>
      <c r="H85" s="10">
        <v>56.7</v>
      </c>
      <c r="I85" s="10">
        <f t="shared" si="3"/>
        <v>56.7</v>
      </c>
      <c r="J85" s="10">
        <v>1.8128681471999999</v>
      </c>
      <c r="K85" s="8" t="s">
        <v>4781</v>
      </c>
      <c r="S85"/>
    </row>
    <row r="86" spans="1:19" ht="15" x14ac:dyDescent="0.25">
      <c r="A86" s="8" t="s">
        <v>4963</v>
      </c>
      <c r="B86" s="8" t="s">
        <v>4869</v>
      </c>
      <c r="C86" s="8" t="s">
        <v>4895</v>
      </c>
      <c r="D86" s="32" t="s">
        <v>6984</v>
      </c>
      <c r="E86" s="32" t="s">
        <v>4895</v>
      </c>
      <c r="F86" s="10">
        <v>2</v>
      </c>
      <c r="G86" s="8" t="s">
        <v>16</v>
      </c>
      <c r="H86" s="10">
        <v>222.85</v>
      </c>
      <c r="I86" s="10">
        <f t="shared" si="3"/>
        <v>445.7</v>
      </c>
      <c r="J86" s="10">
        <v>10.239967858</v>
      </c>
      <c r="K86" s="8" t="s">
        <v>4887</v>
      </c>
      <c r="S86"/>
    </row>
    <row r="87" spans="1:19" ht="15" x14ac:dyDescent="0.25">
      <c r="A87" s="8" t="s">
        <v>4963</v>
      </c>
      <c r="B87" s="8" t="s">
        <v>4869</v>
      </c>
      <c r="C87" s="8" t="s">
        <v>4921</v>
      </c>
      <c r="D87" s="32" t="s">
        <v>6984</v>
      </c>
      <c r="E87" s="32" t="s">
        <v>4921</v>
      </c>
      <c r="F87" s="10">
        <v>2</v>
      </c>
      <c r="G87" s="8" t="s">
        <v>16</v>
      </c>
      <c r="H87" s="10">
        <v>68.599999999999994</v>
      </c>
      <c r="I87" s="10">
        <f t="shared" si="3"/>
        <v>137.19999999999999</v>
      </c>
      <c r="J87" s="10">
        <v>4.4060754800000002</v>
      </c>
      <c r="K87" s="8" t="s">
        <v>4781</v>
      </c>
      <c r="S87"/>
    </row>
    <row r="88" spans="1:19" ht="15" x14ac:dyDescent="0.25">
      <c r="A88" s="8" t="s">
        <v>4963</v>
      </c>
      <c r="B88" s="8" t="s">
        <v>4869</v>
      </c>
      <c r="C88" s="8" t="s">
        <v>4912</v>
      </c>
      <c r="D88" s="32" t="s">
        <v>6984</v>
      </c>
      <c r="E88" s="32" t="s">
        <v>4912</v>
      </c>
      <c r="F88" s="10">
        <v>2</v>
      </c>
      <c r="G88" s="8" t="s">
        <v>16</v>
      </c>
      <c r="H88" s="10">
        <v>197.4</v>
      </c>
      <c r="I88" s="10">
        <f t="shared" si="3"/>
        <v>394.8</v>
      </c>
      <c r="J88" s="10">
        <v>9.0824538579999992</v>
      </c>
      <c r="K88" s="8" t="s">
        <v>4887</v>
      </c>
      <c r="S88"/>
    </row>
    <row r="89" spans="1:19" ht="15" x14ac:dyDescent="0.25">
      <c r="A89" s="8" t="s">
        <v>4963</v>
      </c>
      <c r="B89" s="8" t="s">
        <v>4869</v>
      </c>
      <c r="C89" s="8" t="s">
        <v>4913</v>
      </c>
      <c r="D89" s="32" t="s">
        <v>6984</v>
      </c>
      <c r="E89" s="32" t="s">
        <v>4913</v>
      </c>
      <c r="F89" s="10">
        <v>1</v>
      </c>
      <c r="G89" s="8" t="s">
        <v>16</v>
      </c>
      <c r="H89" s="10">
        <v>189.3</v>
      </c>
      <c r="I89" s="10">
        <f t="shared" si="3"/>
        <v>189.3</v>
      </c>
      <c r="J89" s="10">
        <v>4.3557999289999998</v>
      </c>
      <c r="K89" s="8" t="s">
        <v>4887</v>
      </c>
      <c r="S89"/>
    </row>
    <row r="90" spans="1:19" ht="15" x14ac:dyDescent="0.25">
      <c r="A90" s="8" t="s">
        <v>4963</v>
      </c>
      <c r="B90" s="8" t="s">
        <v>4869</v>
      </c>
      <c r="C90" s="8" t="s">
        <v>4896</v>
      </c>
      <c r="D90" s="32" t="s">
        <v>6984</v>
      </c>
      <c r="E90" s="32" t="s">
        <v>4896</v>
      </c>
      <c r="F90" s="10">
        <v>1</v>
      </c>
      <c r="G90" s="8" t="s">
        <v>16</v>
      </c>
      <c r="H90" s="10">
        <v>190.1</v>
      </c>
      <c r="I90" s="10">
        <f t="shared" si="3"/>
        <v>190.1</v>
      </c>
      <c r="J90" s="10">
        <v>4.3745299290000004</v>
      </c>
      <c r="K90" s="8" t="s">
        <v>4887</v>
      </c>
      <c r="S90"/>
    </row>
    <row r="91" spans="1:19" ht="15" x14ac:dyDescent="0.25">
      <c r="A91" s="8" t="s">
        <v>4963</v>
      </c>
      <c r="B91" s="8" t="s">
        <v>4869</v>
      </c>
      <c r="C91" s="8" t="s">
        <v>4922</v>
      </c>
      <c r="D91" s="32" t="s">
        <v>6984</v>
      </c>
      <c r="E91" s="32" t="s">
        <v>4922</v>
      </c>
      <c r="F91" s="10">
        <v>2</v>
      </c>
      <c r="G91" s="8" t="s">
        <v>16</v>
      </c>
      <c r="H91" s="10">
        <v>37.450000000000003</v>
      </c>
      <c r="I91" s="10">
        <f t="shared" si="3"/>
        <v>74.900000000000006</v>
      </c>
      <c r="J91" s="10">
        <v>2.3996964896000001</v>
      </c>
      <c r="K91" s="8" t="s">
        <v>4781</v>
      </c>
      <c r="S91"/>
    </row>
    <row r="92" spans="1:19" ht="15" x14ac:dyDescent="0.25">
      <c r="A92" s="8" t="s">
        <v>4963</v>
      </c>
      <c r="B92" s="8" t="s">
        <v>4869</v>
      </c>
      <c r="C92" s="8" t="s">
        <v>4982</v>
      </c>
      <c r="D92" s="32" t="s">
        <v>6984</v>
      </c>
      <c r="E92" s="32" t="s">
        <v>4982</v>
      </c>
      <c r="F92" s="10">
        <v>1</v>
      </c>
      <c r="G92" s="8" t="s">
        <v>16</v>
      </c>
      <c r="H92" s="10">
        <v>645.9</v>
      </c>
      <c r="I92" s="10">
        <f t="shared" si="3"/>
        <v>645.9</v>
      </c>
      <c r="J92" s="10">
        <v>14.809368026</v>
      </c>
      <c r="K92" s="8" t="s">
        <v>4983</v>
      </c>
      <c r="S92"/>
    </row>
    <row r="93" spans="1:19" ht="15" x14ac:dyDescent="0.25">
      <c r="A93" s="8" t="s">
        <v>4963</v>
      </c>
      <c r="B93" s="8" t="s">
        <v>4869</v>
      </c>
      <c r="C93" s="8" t="s">
        <v>4984</v>
      </c>
      <c r="D93" s="32" t="s">
        <v>6984</v>
      </c>
      <c r="E93" s="32" t="s">
        <v>4984</v>
      </c>
      <c r="F93" s="10">
        <v>1</v>
      </c>
      <c r="G93" s="8" t="s">
        <v>16</v>
      </c>
      <c r="H93" s="10">
        <v>578.4</v>
      </c>
      <c r="I93" s="10">
        <f t="shared" si="3"/>
        <v>578.4</v>
      </c>
      <c r="J93" s="10">
        <v>13.25129763352</v>
      </c>
      <c r="K93" s="8" t="s">
        <v>4983</v>
      </c>
      <c r="S93"/>
    </row>
    <row r="94" spans="1:19" ht="15" x14ac:dyDescent="0.25">
      <c r="A94" s="8" t="s">
        <v>4963</v>
      </c>
      <c r="B94" s="8" t="s">
        <v>4869</v>
      </c>
      <c r="C94" s="8" t="s">
        <v>4926</v>
      </c>
      <c r="D94" s="32" t="s">
        <v>6984</v>
      </c>
      <c r="E94" s="32" t="s">
        <v>4926</v>
      </c>
      <c r="F94" s="10">
        <v>1</v>
      </c>
      <c r="G94" s="8" t="s">
        <v>16</v>
      </c>
      <c r="H94" s="10">
        <v>415.1</v>
      </c>
      <c r="I94" s="10">
        <f t="shared" si="3"/>
        <v>415.1</v>
      </c>
      <c r="J94" s="10">
        <v>11.743172983999999</v>
      </c>
      <c r="K94" s="8" t="s">
        <v>4852</v>
      </c>
      <c r="S94"/>
    </row>
    <row r="95" spans="1:19" ht="15" x14ac:dyDescent="0.25">
      <c r="A95" s="8" t="s">
        <v>4963</v>
      </c>
      <c r="B95" s="8" t="s">
        <v>4869</v>
      </c>
      <c r="C95" s="8" t="s">
        <v>4985</v>
      </c>
      <c r="D95" s="32" t="s">
        <v>6984</v>
      </c>
      <c r="E95" s="32" t="s">
        <v>4985</v>
      </c>
      <c r="F95" s="10">
        <v>1</v>
      </c>
      <c r="G95" s="8" t="s">
        <v>16</v>
      </c>
      <c r="H95" s="10">
        <v>1985.5</v>
      </c>
      <c r="I95" s="10">
        <f t="shared" si="3"/>
        <v>1985.5</v>
      </c>
      <c r="J95" s="10">
        <v>28.391001656</v>
      </c>
      <c r="K95" s="8" t="s">
        <v>4986</v>
      </c>
      <c r="S95"/>
    </row>
    <row r="96" spans="1:19" ht="15" x14ac:dyDescent="0.25">
      <c r="A96" s="8" t="s">
        <v>4963</v>
      </c>
      <c r="B96" s="8" t="s">
        <v>4869</v>
      </c>
      <c r="C96" s="8" t="s">
        <v>4897</v>
      </c>
      <c r="D96" s="32" t="s">
        <v>6984</v>
      </c>
      <c r="E96" s="32" t="s">
        <v>4897</v>
      </c>
      <c r="F96" s="10">
        <v>4</v>
      </c>
      <c r="G96" s="8" t="s">
        <v>16</v>
      </c>
      <c r="H96" s="10">
        <v>412.3</v>
      </c>
      <c r="I96" s="10">
        <f t="shared" si="3"/>
        <v>1649.2</v>
      </c>
      <c r="J96" s="10">
        <v>34.5343314912</v>
      </c>
      <c r="K96" s="8" t="s">
        <v>4898</v>
      </c>
      <c r="S96"/>
    </row>
    <row r="97" spans="1:19" ht="15" x14ac:dyDescent="0.25">
      <c r="A97" s="8" t="s">
        <v>4963</v>
      </c>
      <c r="B97" s="8" t="s">
        <v>4869</v>
      </c>
      <c r="C97" s="8" t="s">
        <v>4899</v>
      </c>
      <c r="D97" s="32" t="s">
        <v>6984</v>
      </c>
      <c r="E97" s="32" t="s">
        <v>4899</v>
      </c>
      <c r="F97" s="10">
        <v>88</v>
      </c>
      <c r="G97" s="8" t="s">
        <v>22</v>
      </c>
      <c r="H97" s="10">
        <v>4.3329545454545455</v>
      </c>
      <c r="I97" s="10">
        <f t="shared" si="3"/>
        <v>381.3</v>
      </c>
      <c r="J97" s="10">
        <v>12.338304000000001</v>
      </c>
      <c r="K97" s="8" t="s">
        <v>23</v>
      </c>
      <c r="S97"/>
    </row>
    <row r="98" spans="1:19" ht="15" x14ac:dyDescent="0.25">
      <c r="A98" s="8" t="s">
        <v>4963</v>
      </c>
      <c r="B98" s="8" t="s">
        <v>4869</v>
      </c>
      <c r="C98" s="8" t="s">
        <v>4882</v>
      </c>
      <c r="D98" s="32" t="s">
        <v>6984</v>
      </c>
      <c r="E98" s="32" t="s">
        <v>4882</v>
      </c>
      <c r="F98" s="10">
        <v>28</v>
      </c>
      <c r="G98" s="8" t="s">
        <v>22</v>
      </c>
      <c r="H98" s="10">
        <v>21.567857142857143</v>
      </c>
      <c r="I98" s="10">
        <f t="shared" si="3"/>
        <v>603.9</v>
      </c>
      <c r="J98" s="10">
        <v>12.622674399999999</v>
      </c>
      <c r="K98" s="8" t="s">
        <v>4795</v>
      </c>
      <c r="S98"/>
    </row>
    <row r="99" spans="1:19" ht="15" x14ac:dyDescent="0.25">
      <c r="A99" s="8" t="s">
        <v>4963</v>
      </c>
      <c r="B99" s="8" t="s">
        <v>4869</v>
      </c>
      <c r="C99" s="8" t="s">
        <v>4883</v>
      </c>
      <c r="D99" s="32" t="s">
        <v>6984</v>
      </c>
      <c r="E99" s="32" t="s">
        <v>4883</v>
      </c>
      <c r="F99" s="10">
        <v>64</v>
      </c>
      <c r="G99" s="8" t="s">
        <v>22</v>
      </c>
      <c r="H99" s="10">
        <v>1.484375</v>
      </c>
      <c r="I99" s="10">
        <f t="shared" si="3"/>
        <v>95</v>
      </c>
      <c r="J99" s="10">
        <v>3.8879999999999999</v>
      </c>
      <c r="K99" s="8" t="s">
        <v>4798</v>
      </c>
      <c r="S99"/>
    </row>
    <row r="100" spans="1:19" ht="15" x14ac:dyDescent="0.25">
      <c r="A100" s="8" t="s">
        <v>4963</v>
      </c>
      <c r="B100" s="8" t="s">
        <v>4869</v>
      </c>
      <c r="C100" s="8" t="s">
        <v>4987</v>
      </c>
      <c r="D100" s="32" t="s">
        <v>6984</v>
      </c>
      <c r="E100" s="32" t="s">
        <v>4987</v>
      </c>
      <c r="F100" s="10">
        <v>14</v>
      </c>
      <c r="G100" s="8" t="s">
        <v>22</v>
      </c>
      <c r="H100" s="10">
        <v>9.3071428571428587</v>
      </c>
      <c r="I100" s="10">
        <f t="shared" si="3"/>
        <v>130.30000000000001</v>
      </c>
      <c r="J100" s="10">
        <v>4.3240959999999999</v>
      </c>
      <c r="K100" s="8" t="s">
        <v>4904</v>
      </c>
      <c r="S100"/>
    </row>
    <row r="101" spans="1:19" ht="15" x14ac:dyDescent="0.25">
      <c r="A101" s="8" t="s">
        <v>4963</v>
      </c>
      <c r="B101" s="8" t="s">
        <v>4869</v>
      </c>
      <c r="C101" s="8" t="s">
        <v>4988</v>
      </c>
      <c r="D101" s="32" t="s">
        <v>6984</v>
      </c>
      <c r="E101" s="32" t="s">
        <v>4988</v>
      </c>
      <c r="F101" s="10">
        <v>32</v>
      </c>
      <c r="G101" s="8" t="s">
        <v>22</v>
      </c>
      <c r="H101" s="10">
        <v>4.1156249999999996</v>
      </c>
      <c r="I101" s="10">
        <f t="shared" si="3"/>
        <v>131.69999999999999</v>
      </c>
      <c r="J101" s="10">
        <v>4.2616729600000003</v>
      </c>
      <c r="K101" s="8" t="s">
        <v>23</v>
      </c>
      <c r="S101"/>
    </row>
    <row r="102" spans="1:19" ht="15" x14ac:dyDescent="0.25">
      <c r="A102" s="8" t="s">
        <v>4963</v>
      </c>
      <c r="B102" s="8" t="s">
        <v>4869</v>
      </c>
      <c r="C102" s="8" t="s">
        <v>4989</v>
      </c>
      <c r="D102" s="32" t="s">
        <v>6984</v>
      </c>
      <c r="E102" s="32" t="s">
        <v>4989</v>
      </c>
      <c r="F102" s="10">
        <v>64</v>
      </c>
      <c r="G102" s="8" t="s">
        <v>22</v>
      </c>
      <c r="H102" s="10">
        <v>1.2749999999999999</v>
      </c>
      <c r="I102" s="10">
        <f t="shared" si="3"/>
        <v>81.599999999999994</v>
      </c>
      <c r="J102" s="10">
        <v>2.6399743999999998</v>
      </c>
      <c r="K102" s="8" t="s">
        <v>23</v>
      </c>
      <c r="S102"/>
    </row>
    <row r="103" spans="1:19" ht="15" x14ac:dyDescent="0.25">
      <c r="A103" s="8" t="s">
        <v>4963</v>
      </c>
      <c r="B103" s="8" t="s">
        <v>4869</v>
      </c>
      <c r="C103" s="8" t="s">
        <v>4990</v>
      </c>
      <c r="D103" s="32" t="s">
        <v>6984</v>
      </c>
      <c r="E103" s="32" t="s">
        <v>4990</v>
      </c>
      <c r="F103" s="10">
        <v>32</v>
      </c>
      <c r="G103" s="8" t="s">
        <v>22</v>
      </c>
      <c r="H103" s="10">
        <v>2.0093749999999999</v>
      </c>
      <c r="I103" s="10">
        <f t="shared" si="3"/>
        <v>64.3</v>
      </c>
      <c r="J103" s="10">
        <v>2.6308799999999999</v>
      </c>
      <c r="K103" s="8" t="s">
        <v>4798</v>
      </c>
      <c r="S103"/>
    </row>
    <row r="104" spans="1:19" ht="15" x14ac:dyDescent="0.25">
      <c r="A104" s="8" t="s">
        <v>4963</v>
      </c>
      <c r="B104" s="8" t="s">
        <v>4869</v>
      </c>
      <c r="C104" s="8" t="s">
        <v>4884</v>
      </c>
      <c r="D104" s="32" t="s">
        <v>6984</v>
      </c>
      <c r="E104" s="32" t="s">
        <v>4884</v>
      </c>
      <c r="F104" s="10">
        <v>100</v>
      </c>
      <c r="G104" s="8" t="s">
        <v>22</v>
      </c>
      <c r="H104" s="10">
        <v>11.554</v>
      </c>
      <c r="I104" s="10">
        <f t="shared" si="3"/>
        <v>1155.4000000000001</v>
      </c>
      <c r="J104" s="10">
        <v>24.150524999999998</v>
      </c>
      <c r="K104" s="8" t="s">
        <v>4795</v>
      </c>
      <c r="S104"/>
    </row>
    <row r="105" spans="1:19" ht="15" x14ac:dyDescent="0.25">
      <c r="A105" s="8" t="s">
        <v>4963</v>
      </c>
      <c r="B105" s="8" t="s">
        <v>4869</v>
      </c>
      <c r="C105" s="8" t="s">
        <v>4927</v>
      </c>
      <c r="D105" s="32" t="s">
        <v>6984</v>
      </c>
      <c r="E105" s="32" t="s">
        <v>4927</v>
      </c>
      <c r="F105" s="10">
        <v>10</v>
      </c>
      <c r="G105" s="8" t="s">
        <v>22</v>
      </c>
      <c r="H105" s="10">
        <v>2.93</v>
      </c>
      <c r="I105" s="10">
        <f t="shared" si="3"/>
        <v>29.3</v>
      </c>
      <c r="J105" s="10">
        <v>1.1998124999999999</v>
      </c>
      <c r="K105" s="8" t="s">
        <v>4798</v>
      </c>
      <c r="S105"/>
    </row>
    <row r="106" spans="1:19" ht="15" x14ac:dyDescent="0.25">
      <c r="A106" s="8" t="s">
        <v>4963</v>
      </c>
      <c r="B106" s="8" t="s">
        <v>4869</v>
      </c>
      <c r="C106" s="8" t="s">
        <v>4928</v>
      </c>
      <c r="D106" s="32" t="s">
        <v>6984</v>
      </c>
      <c r="E106" s="32" t="s">
        <v>4928</v>
      </c>
      <c r="F106" s="10">
        <v>6</v>
      </c>
      <c r="G106" s="8" t="s">
        <v>22</v>
      </c>
      <c r="H106" s="10">
        <v>2.75</v>
      </c>
      <c r="I106" s="10">
        <f t="shared" si="3"/>
        <v>16.5</v>
      </c>
      <c r="J106" s="10">
        <v>0.67432499999999995</v>
      </c>
      <c r="K106" s="8" t="s">
        <v>4798</v>
      </c>
      <c r="S106"/>
    </row>
    <row r="107" spans="1:19" ht="15" x14ac:dyDescent="0.25">
      <c r="A107" s="8" t="s">
        <v>4963</v>
      </c>
      <c r="B107" s="8" t="s">
        <v>4869</v>
      </c>
      <c r="C107" s="8" t="s">
        <v>4991</v>
      </c>
      <c r="D107" s="32" t="s">
        <v>6984</v>
      </c>
      <c r="E107" s="32" t="s">
        <v>4991</v>
      </c>
      <c r="F107" s="10">
        <v>1</v>
      </c>
      <c r="G107" s="8" t="s">
        <v>4903</v>
      </c>
      <c r="H107" s="10">
        <v>66.599999999999994</v>
      </c>
      <c r="I107" s="10">
        <f t="shared" si="3"/>
        <v>66.599999999999994</v>
      </c>
      <c r="J107" s="10">
        <v>2.1259648000000002</v>
      </c>
      <c r="K107" s="8" t="s">
        <v>4904</v>
      </c>
      <c r="S107"/>
    </row>
    <row r="108" spans="1:19" ht="15" x14ac:dyDescent="0.25">
      <c r="A108" s="8" t="s">
        <v>4963</v>
      </c>
      <c r="B108" s="8" t="s">
        <v>4869</v>
      </c>
      <c r="C108" s="8" t="s">
        <v>4992</v>
      </c>
      <c r="D108" s="32" t="s">
        <v>6984</v>
      </c>
      <c r="E108" s="32" t="s">
        <v>4992</v>
      </c>
      <c r="F108" s="10">
        <v>1</v>
      </c>
      <c r="G108" s="8" t="s">
        <v>4903</v>
      </c>
      <c r="H108" s="10">
        <v>57.7</v>
      </c>
      <c r="I108" s="10">
        <f t="shared" si="3"/>
        <v>57.7</v>
      </c>
      <c r="J108" s="10">
        <v>1.8292927999999999</v>
      </c>
      <c r="K108" s="8" t="s">
        <v>4904</v>
      </c>
      <c r="S108"/>
    </row>
    <row r="109" spans="1:19" ht="15" x14ac:dyDescent="0.25">
      <c r="A109" s="8" t="s">
        <v>4963</v>
      </c>
      <c r="B109" s="8" t="s">
        <v>4869</v>
      </c>
      <c r="C109" s="8" t="s">
        <v>4993</v>
      </c>
      <c r="D109" s="32" t="s">
        <v>6984</v>
      </c>
      <c r="E109" s="32" t="s">
        <v>4993</v>
      </c>
      <c r="F109" s="10">
        <v>1</v>
      </c>
      <c r="G109" s="8" t="s">
        <v>4903</v>
      </c>
      <c r="H109" s="10">
        <v>66.599999999999994</v>
      </c>
      <c r="I109" s="10">
        <f t="shared" si="3"/>
        <v>66.599999999999994</v>
      </c>
      <c r="J109" s="10">
        <v>2.1259648000000002</v>
      </c>
      <c r="K109" s="8" t="s">
        <v>4904</v>
      </c>
      <c r="S109"/>
    </row>
    <row r="110" spans="1:19" ht="15" x14ac:dyDescent="0.25">
      <c r="A110" s="8" t="s">
        <v>4963</v>
      </c>
      <c r="B110" s="8" t="s">
        <v>4869</v>
      </c>
      <c r="C110" s="8" t="s">
        <v>4994</v>
      </c>
      <c r="D110" s="32" t="s">
        <v>6984</v>
      </c>
      <c r="E110" s="32" t="s">
        <v>4994</v>
      </c>
      <c r="F110" s="10">
        <v>1</v>
      </c>
      <c r="G110" s="8" t="s">
        <v>4903</v>
      </c>
      <c r="H110" s="10">
        <v>57.7</v>
      </c>
      <c r="I110" s="10">
        <f t="shared" si="3"/>
        <v>57.7</v>
      </c>
      <c r="J110" s="10">
        <v>1.8292927999999999</v>
      </c>
      <c r="K110" s="8" t="s">
        <v>4904</v>
      </c>
      <c r="S110"/>
    </row>
    <row r="111" spans="1:19" ht="15" x14ac:dyDescent="0.25">
      <c r="A111" s="8" t="s">
        <v>4963</v>
      </c>
      <c r="B111" s="8" t="s">
        <v>4869</v>
      </c>
      <c r="C111" s="8" t="s">
        <v>4995</v>
      </c>
      <c r="D111" s="32" t="s">
        <v>6984</v>
      </c>
      <c r="E111" s="32" t="s">
        <v>4995</v>
      </c>
      <c r="F111" s="10">
        <v>2</v>
      </c>
      <c r="G111" s="8" t="s">
        <v>4903</v>
      </c>
      <c r="H111" s="10">
        <v>263.3</v>
      </c>
      <c r="I111" s="10">
        <f t="shared" si="3"/>
        <v>526.6</v>
      </c>
      <c r="J111" s="10">
        <v>12.457763999999999</v>
      </c>
      <c r="K111" s="8" t="s">
        <v>4983</v>
      </c>
      <c r="S111"/>
    </row>
    <row r="112" spans="1:19" ht="15" x14ac:dyDescent="0.25">
      <c r="A112" s="8" t="s">
        <v>4963</v>
      </c>
      <c r="B112" s="8" t="s">
        <v>4869</v>
      </c>
      <c r="C112" s="8" t="s">
        <v>4996</v>
      </c>
      <c r="D112" s="32" t="s">
        <v>6984</v>
      </c>
      <c r="E112" s="32" t="s">
        <v>4996</v>
      </c>
      <c r="F112" s="10">
        <v>4</v>
      </c>
      <c r="G112" s="8" t="s">
        <v>4903</v>
      </c>
      <c r="H112" s="10">
        <v>95</v>
      </c>
      <c r="I112" s="10">
        <f t="shared" si="3"/>
        <v>380</v>
      </c>
      <c r="J112" s="10">
        <v>9.001512</v>
      </c>
      <c r="K112" s="8" t="s">
        <v>4983</v>
      </c>
      <c r="S112"/>
    </row>
    <row r="113" spans="1:19" ht="15" x14ac:dyDescent="0.25">
      <c r="A113" s="8" t="s">
        <v>4963</v>
      </c>
      <c r="B113" s="8" t="s">
        <v>4869</v>
      </c>
      <c r="C113" s="8" t="s">
        <v>4997</v>
      </c>
      <c r="D113" s="32" t="s">
        <v>6984</v>
      </c>
      <c r="E113" s="32" t="s">
        <v>4997</v>
      </c>
      <c r="F113" s="10">
        <v>2</v>
      </c>
      <c r="G113" s="8" t="s">
        <v>4903</v>
      </c>
      <c r="H113" s="10">
        <v>276.60000000000002</v>
      </c>
      <c r="I113" s="10">
        <f t="shared" si="3"/>
        <v>553.20000000000005</v>
      </c>
      <c r="J113" s="10">
        <v>13.088573999999999</v>
      </c>
      <c r="K113" s="8" t="s">
        <v>4983</v>
      </c>
      <c r="S113"/>
    </row>
    <row r="114" spans="1:19" ht="15" x14ac:dyDescent="0.25">
      <c r="A114" s="8" t="s">
        <v>4998</v>
      </c>
      <c r="B114" s="8" t="s">
        <v>4779</v>
      </c>
      <c r="C114" s="8" t="s">
        <v>4799</v>
      </c>
      <c r="D114" s="32" t="s">
        <v>6984</v>
      </c>
      <c r="E114" s="32" t="s">
        <v>4799</v>
      </c>
      <c r="F114" s="10">
        <v>22</v>
      </c>
      <c r="G114" s="8" t="s">
        <v>16</v>
      </c>
      <c r="H114" s="10">
        <v>334.8</v>
      </c>
      <c r="I114" s="10">
        <f t="shared" si="3"/>
        <v>7365.6</v>
      </c>
      <c r="J114" s="10">
        <v>181.31652</v>
      </c>
      <c r="K114" s="8" t="s">
        <v>4800</v>
      </c>
      <c r="S114"/>
    </row>
    <row r="115" spans="1:19" ht="15" x14ac:dyDescent="0.25">
      <c r="A115" s="8" t="s">
        <v>4998</v>
      </c>
      <c r="B115" s="8" t="s">
        <v>4779</v>
      </c>
      <c r="C115" s="8" t="s">
        <v>4806</v>
      </c>
      <c r="D115" s="32" t="s">
        <v>6984</v>
      </c>
      <c r="E115" s="32" t="s">
        <v>4806</v>
      </c>
      <c r="F115" s="10">
        <v>19</v>
      </c>
      <c r="G115" s="8" t="s">
        <v>16</v>
      </c>
      <c r="H115" s="10">
        <v>1957.921052631579</v>
      </c>
      <c r="I115" s="10">
        <f t="shared" si="3"/>
        <v>37200.5</v>
      </c>
      <c r="J115" s="10">
        <v>539.21857499999999</v>
      </c>
      <c r="K115" s="8" t="s">
        <v>4784</v>
      </c>
      <c r="S115"/>
    </row>
    <row r="116" spans="1:19" ht="15" x14ac:dyDescent="0.25">
      <c r="A116" s="8" t="s">
        <v>4998</v>
      </c>
      <c r="B116" s="8" t="s">
        <v>4779</v>
      </c>
      <c r="C116" s="8" t="s">
        <v>4818</v>
      </c>
      <c r="D116" s="32" t="s">
        <v>6984</v>
      </c>
      <c r="E116" s="32" t="s">
        <v>4818</v>
      </c>
      <c r="F116" s="10">
        <v>3</v>
      </c>
      <c r="G116" s="8" t="s">
        <v>16</v>
      </c>
      <c r="H116" s="10">
        <v>337.8</v>
      </c>
      <c r="I116" s="10">
        <f t="shared" si="3"/>
        <v>1013.4000000000001</v>
      </c>
      <c r="J116" s="10">
        <v>24.946529999999999</v>
      </c>
      <c r="K116" s="8" t="s">
        <v>4800</v>
      </c>
      <c r="S116"/>
    </row>
    <row r="117" spans="1:19" ht="15" x14ac:dyDescent="0.25">
      <c r="A117" s="8" t="s">
        <v>4998</v>
      </c>
      <c r="B117" s="8" t="s">
        <v>4779</v>
      </c>
      <c r="C117" s="8" t="s">
        <v>4780</v>
      </c>
      <c r="D117" s="32" t="s">
        <v>6984</v>
      </c>
      <c r="E117" s="32" t="s">
        <v>4780</v>
      </c>
      <c r="F117" s="10">
        <v>4</v>
      </c>
      <c r="G117" s="8" t="s">
        <v>16</v>
      </c>
      <c r="H117" s="10">
        <v>57.75</v>
      </c>
      <c r="I117" s="10">
        <f t="shared" si="3"/>
        <v>231</v>
      </c>
      <c r="J117" s="10">
        <v>7.3822400000000004</v>
      </c>
      <c r="K117" s="8" t="s">
        <v>4781</v>
      </c>
      <c r="S117"/>
    </row>
    <row r="118" spans="1:19" ht="15" x14ac:dyDescent="0.25">
      <c r="A118" s="8" t="s">
        <v>4998</v>
      </c>
      <c r="B118" s="8" t="s">
        <v>4779</v>
      </c>
      <c r="C118" s="8" t="s">
        <v>4999</v>
      </c>
      <c r="D118" s="32" t="s">
        <v>6984</v>
      </c>
      <c r="E118" s="32" t="s">
        <v>4999</v>
      </c>
      <c r="F118" s="10">
        <v>1</v>
      </c>
      <c r="G118" s="8" t="s">
        <v>16</v>
      </c>
      <c r="H118" s="10">
        <v>1962.1</v>
      </c>
      <c r="I118" s="10">
        <f t="shared" si="3"/>
        <v>1962.1</v>
      </c>
      <c r="J118" s="10">
        <v>28.440799999999999</v>
      </c>
      <c r="K118" s="8" t="s">
        <v>4784</v>
      </c>
      <c r="S118"/>
    </row>
    <row r="119" spans="1:19" ht="15" x14ac:dyDescent="0.25">
      <c r="A119" s="8" t="s">
        <v>4998</v>
      </c>
      <c r="B119" s="8" t="s">
        <v>4779</v>
      </c>
      <c r="C119" s="8" t="s">
        <v>4782</v>
      </c>
      <c r="D119" s="32" t="s">
        <v>6984</v>
      </c>
      <c r="E119" s="32" t="s">
        <v>4782</v>
      </c>
      <c r="F119" s="10">
        <v>1</v>
      </c>
      <c r="G119" s="8" t="s">
        <v>16</v>
      </c>
      <c r="H119" s="10">
        <v>57.7</v>
      </c>
      <c r="I119" s="10">
        <f t="shared" si="3"/>
        <v>57.7</v>
      </c>
      <c r="J119" s="10">
        <v>1.8455600000000001</v>
      </c>
      <c r="K119" s="8" t="s">
        <v>4781</v>
      </c>
      <c r="S119"/>
    </row>
    <row r="120" spans="1:19" ht="15" x14ac:dyDescent="0.25">
      <c r="A120" s="8" t="s">
        <v>4998</v>
      </c>
      <c r="B120" s="8" t="s">
        <v>4779</v>
      </c>
      <c r="C120" s="8" t="s">
        <v>4801</v>
      </c>
      <c r="D120" s="32" t="s">
        <v>6984</v>
      </c>
      <c r="E120" s="32" t="s">
        <v>4801</v>
      </c>
      <c r="F120" s="10">
        <v>2</v>
      </c>
      <c r="G120" s="8" t="s">
        <v>16</v>
      </c>
      <c r="H120" s="10">
        <v>62.9</v>
      </c>
      <c r="I120" s="10">
        <f t="shared" si="3"/>
        <v>125.8</v>
      </c>
      <c r="J120" s="10">
        <v>4.0203280000000001</v>
      </c>
      <c r="K120" s="8" t="s">
        <v>4781</v>
      </c>
      <c r="S120"/>
    </row>
    <row r="121" spans="1:19" ht="15" x14ac:dyDescent="0.25">
      <c r="A121" s="8" t="s">
        <v>4998</v>
      </c>
      <c r="B121" s="8" t="s">
        <v>4779</v>
      </c>
      <c r="C121" s="8" t="s">
        <v>4812</v>
      </c>
      <c r="D121" s="32" t="s">
        <v>6984</v>
      </c>
      <c r="E121" s="32" t="s">
        <v>4812</v>
      </c>
      <c r="F121" s="10">
        <v>4</v>
      </c>
      <c r="G121" s="8" t="s">
        <v>16</v>
      </c>
      <c r="H121" s="10">
        <v>1283.7750000000001</v>
      </c>
      <c r="I121" s="10">
        <f t="shared" si="3"/>
        <v>5135.1000000000004</v>
      </c>
      <c r="J121" s="10">
        <v>75.129865652000007</v>
      </c>
      <c r="K121" s="8" t="s">
        <v>4784</v>
      </c>
      <c r="S121"/>
    </row>
    <row r="122" spans="1:19" ht="15" x14ac:dyDescent="0.25">
      <c r="A122" s="8" t="s">
        <v>4998</v>
      </c>
      <c r="B122" s="8" t="s">
        <v>4779</v>
      </c>
      <c r="C122" s="8" t="s">
        <v>5000</v>
      </c>
      <c r="D122" s="32" t="s">
        <v>6984</v>
      </c>
      <c r="E122" s="32" t="s">
        <v>5000</v>
      </c>
      <c r="F122" s="10">
        <v>6</v>
      </c>
      <c r="G122" s="8" t="s">
        <v>16</v>
      </c>
      <c r="H122" s="10">
        <v>1915.1499999999999</v>
      </c>
      <c r="I122" s="10">
        <f t="shared" si="3"/>
        <v>11490.9</v>
      </c>
      <c r="J122" s="10">
        <v>166.81744800000001</v>
      </c>
      <c r="K122" s="8" t="s">
        <v>4784</v>
      </c>
      <c r="S122"/>
    </row>
    <row r="123" spans="1:19" ht="15" x14ac:dyDescent="0.25">
      <c r="A123" s="8" t="s">
        <v>4998</v>
      </c>
      <c r="B123" s="8" t="s">
        <v>4779</v>
      </c>
      <c r="C123" s="8" t="s">
        <v>5001</v>
      </c>
      <c r="D123" s="32" t="s">
        <v>6984</v>
      </c>
      <c r="E123" s="32" t="s">
        <v>5001</v>
      </c>
      <c r="F123" s="10">
        <v>6</v>
      </c>
      <c r="G123" s="8" t="s">
        <v>16</v>
      </c>
      <c r="H123" s="10">
        <v>328.13333333333333</v>
      </c>
      <c r="I123" s="10">
        <f t="shared" si="3"/>
        <v>1968.8</v>
      </c>
      <c r="J123" s="10">
        <v>48.205311000000002</v>
      </c>
      <c r="K123" s="8" t="s">
        <v>4800</v>
      </c>
      <c r="S123"/>
    </row>
    <row r="124" spans="1:19" ht="15" x14ac:dyDescent="0.25">
      <c r="A124" s="8" t="s">
        <v>4998</v>
      </c>
      <c r="B124" s="8" t="s">
        <v>4779</v>
      </c>
      <c r="C124" s="8" t="s">
        <v>4815</v>
      </c>
      <c r="D124" s="32" t="s">
        <v>6984</v>
      </c>
      <c r="E124" s="32" t="s">
        <v>4815</v>
      </c>
      <c r="F124" s="10">
        <v>1</v>
      </c>
      <c r="G124" s="8" t="s">
        <v>16</v>
      </c>
      <c r="H124" s="10">
        <v>1856.6</v>
      </c>
      <c r="I124" s="10">
        <f t="shared" si="3"/>
        <v>1856.6</v>
      </c>
      <c r="J124" s="10">
        <v>24.67221967</v>
      </c>
      <c r="K124" s="8" t="s">
        <v>4792</v>
      </c>
      <c r="S124"/>
    </row>
    <row r="125" spans="1:19" ht="15" x14ac:dyDescent="0.25">
      <c r="A125" s="8" t="s">
        <v>4998</v>
      </c>
      <c r="B125" s="8" t="s">
        <v>4779</v>
      </c>
      <c r="C125" s="8" t="s">
        <v>4813</v>
      </c>
      <c r="D125" s="32" t="s">
        <v>6984</v>
      </c>
      <c r="E125" s="32" t="s">
        <v>4813</v>
      </c>
      <c r="F125" s="10">
        <v>2</v>
      </c>
      <c r="G125" s="8" t="s">
        <v>16</v>
      </c>
      <c r="H125" s="10">
        <v>1847.85</v>
      </c>
      <c r="I125" s="10">
        <f t="shared" si="3"/>
        <v>3695.7</v>
      </c>
      <c r="J125" s="10">
        <v>48.775194859999999</v>
      </c>
      <c r="K125" s="8" t="s">
        <v>4792</v>
      </c>
      <c r="S125"/>
    </row>
    <row r="126" spans="1:19" ht="15" x14ac:dyDescent="0.25">
      <c r="A126" s="8" t="s">
        <v>4998</v>
      </c>
      <c r="B126" s="8" t="s">
        <v>4779</v>
      </c>
      <c r="C126" s="8" t="s">
        <v>5002</v>
      </c>
      <c r="D126" s="32" t="s">
        <v>6984</v>
      </c>
      <c r="E126" s="32" t="s">
        <v>5002</v>
      </c>
      <c r="F126" s="10">
        <v>1</v>
      </c>
      <c r="G126" s="8" t="s">
        <v>16</v>
      </c>
      <c r="H126" s="10">
        <v>1919.7</v>
      </c>
      <c r="I126" s="10">
        <f t="shared" si="3"/>
        <v>1919.7</v>
      </c>
      <c r="J126" s="10">
        <v>27.990060525000001</v>
      </c>
      <c r="K126" s="8" t="s">
        <v>4784</v>
      </c>
      <c r="S126"/>
    </row>
    <row r="127" spans="1:19" ht="15" x14ac:dyDescent="0.25">
      <c r="A127" s="8" t="s">
        <v>4998</v>
      </c>
      <c r="B127" s="8" t="s">
        <v>4779</v>
      </c>
      <c r="C127" s="8" t="s">
        <v>4814</v>
      </c>
      <c r="D127" s="32" t="s">
        <v>6984</v>
      </c>
      <c r="E127" s="32" t="s">
        <v>4814</v>
      </c>
      <c r="F127" s="10">
        <v>1</v>
      </c>
      <c r="G127" s="8" t="s">
        <v>16</v>
      </c>
      <c r="H127" s="10">
        <v>1856.6</v>
      </c>
      <c r="I127" s="10">
        <f t="shared" si="3"/>
        <v>1856.6</v>
      </c>
      <c r="J127" s="10">
        <v>24.67221967</v>
      </c>
      <c r="K127" s="8" t="s">
        <v>4792</v>
      </c>
      <c r="S127"/>
    </row>
    <row r="128" spans="1:19" ht="15" x14ac:dyDescent="0.25">
      <c r="A128" s="8" t="s">
        <v>4998</v>
      </c>
      <c r="B128" s="8" t="s">
        <v>4779</v>
      </c>
      <c r="C128" s="8" t="s">
        <v>4816</v>
      </c>
      <c r="D128" s="32" t="s">
        <v>6984</v>
      </c>
      <c r="E128" s="32" t="s">
        <v>4816</v>
      </c>
      <c r="F128" s="10">
        <v>1</v>
      </c>
      <c r="G128" s="8" t="s">
        <v>16</v>
      </c>
      <c r="H128" s="10">
        <v>1327.4</v>
      </c>
      <c r="I128" s="10">
        <f t="shared" si="3"/>
        <v>1327.4</v>
      </c>
      <c r="J128" s="10">
        <v>19.828386801000001</v>
      </c>
      <c r="K128" s="8" t="s">
        <v>4784</v>
      </c>
      <c r="S128"/>
    </row>
    <row r="129" spans="1:19" ht="15" x14ac:dyDescent="0.25">
      <c r="A129" s="8" t="s">
        <v>4998</v>
      </c>
      <c r="B129" s="8" t="s">
        <v>4779</v>
      </c>
      <c r="C129" s="8" t="s">
        <v>4807</v>
      </c>
      <c r="D129" s="32" t="s">
        <v>6984</v>
      </c>
      <c r="E129" s="32" t="s">
        <v>4807</v>
      </c>
      <c r="F129" s="10">
        <v>1</v>
      </c>
      <c r="G129" s="8" t="s">
        <v>16</v>
      </c>
      <c r="H129" s="10">
        <v>1503.2</v>
      </c>
      <c r="I129" s="10">
        <f t="shared" si="3"/>
        <v>1503.2</v>
      </c>
      <c r="J129" s="10">
        <v>22.427225507999999</v>
      </c>
      <c r="K129" s="8" t="s">
        <v>4784</v>
      </c>
      <c r="S129"/>
    </row>
    <row r="130" spans="1:19" ht="15" x14ac:dyDescent="0.25">
      <c r="A130" s="8" t="s">
        <v>4998</v>
      </c>
      <c r="B130" s="8" t="s">
        <v>4779</v>
      </c>
      <c r="C130" s="8" t="s">
        <v>4808</v>
      </c>
      <c r="D130" s="32" t="s">
        <v>6984</v>
      </c>
      <c r="E130" s="32" t="s">
        <v>4808</v>
      </c>
      <c r="F130" s="10">
        <v>1</v>
      </c>
      <c r="G130" s="8" t="s">
        <v>16</v>
      </c>
      <c r="H130" s="10">
        <v>2152.1</v>
      </c>
      <c r="I130" s="10">
        <f t="shared" si="3"/>
        <v>2152.1</v>
      </c>
      <c r="J130" s="10">
        <v>29.041531324000001</v>
      </c>
      <c r="K130" s="8" t="s">
        <v>4792</v>
      </c>
      <c r="S130"/>
    </row>
    <row r="131" spans="1:19" ht="15" x14ac:dyDescent="0.25">
      <c r="A131" s="8" t="s">
        <v>4998</v>
      </c>
      <c r="B131" s="8" t="s">
        <v>4779</v>
      </c>
      <c r="C131" s="8" t="s">
        <v>4817</v>
      </c>
      <c r="D131" s="32" t="s">
        <v>6984</v>
      </c>
      <c r="E131" s="32" t="s">
        <v>4817</v>
      </c>
      <c r="F131" s="10">
        <v>1</v>
      </c>
      <c r="G131" s="8" t="s">
        <v>16</v>
      </c>
      <c r="H131" s="10">
        <v>1906.8</v>
      </c>
      <c r="I131" s="10">
        <f t="shared" si="3"/>
        <v>1906.8</v>
      </c>
      <c r="J131" s="10">
        <v>25.951314432</v>
      </c>
      <c r="K131" s="8" t="s">
        <v>4792</v>
      </c>
      <c r="S131"/>
    </row>
    <row r="132" spans="1:19" ht="15" x14ac:dyDescent="0.25">
      <c r="A132" s="8" t="s">
        <v>4998</v>
      </c>
      <c r="B132" s="8" t="s">
        <v>4779</v>
      </c>
      <c r="C132" s="8" t="s">
        <v>4785</v>
      </c>
      <c r="D132" s="32" t="s">
        <v>6984</v>
      </c>
      <c r="E132" s="32" t="s">
        <v>4785</v>
      </c>
      <c r="F132" s="10">
        <v>1</v>
      </c>
      <c r="G132" s="8" t="s">
        <v>16</v>
      </c>
      <c r="H132" s="10">
        <v>50.8</v>
      </c>
      <c r="I132" s="10">
        <f t="shared" si="3"/>
        <v>50.8</v>
      </c>
      <c r="J132" s="10">
        <v>1.6266665424</v>
      </c>
      <c r="K132" s="8" t="s">
        <v>4781</v>
      </c>
      <c r="S132"/>
    </row>
    <row r="133" spans="1:19" ht="15" x14ac:dyDescent="0.25">
      <c r="A133" s="8" t="s">
        <v>4998</v>
      </c>
      <c r="B133" s="8" t="s">
        <v>4779</v>
      </c>
      <c r="C133" s="8" t="s">
        <v>4802</v>
      </c>
      <c r="D133" s="32" t="s">
        <v>6984</v>
      </c>
      <c r="E133" s="32" t="s">
        <v>4802</v>
      </c>
      <c r="F133" s="10">
        <v>1</v>
      </c>
      <c r="G133" s="8" t="s">
        <v>16</v>
      </c>
      <c r="H133" s="10">
        <v>338.1</v>
      </c>
      <c r="I133" s="10">
        <f t="shared" ref="I133:I196" si="4">F133*H133</f>
        <v>338.1</v>
      </c>
      <c r="J133" s="10">
        <v>8.3768651999999992</v>
      </c>
      <c r="K133" s="8" t="s">
        <v>4800</v>
      </c>
      <c r="S133"/>
    </row>
    <row r="134" spans="1:19" ht="15" x14ac:dyDescent="0.25">
      <c r="A134" s="8" t="s">
        <v>4998</v>
      </c>
      <c r="B134" s="8" t="s">
        <v>4779</v>
      </c>
      <c r="C134" s="8" t="s">
        <v>4803</v>
      </c>
      <c r="D134" s="32" t="s">
        <v>6984</v>
      </c>
      <c r="E134" s="32" t="s">
        <v>4803</v>
      </c>
      <c r="F134" s="10">
        <v>1</v>
      </c>
      <c r="G134" s="8" t="s">
        <v>16</v>
      </c>
      <c r="H134" s="10">
        <v>338.1</v>
      </c>
      <c r="I134" s="10">
        <f t="shared" si="4"/>
        <v>338.1</v>
      </c>
      <c r="J134" s="10">
        <v>8.3768651999999992</v>
      </c>
      <c r="K134" s="8" t="s">
        <v>4800</v>
      </c>
      <c r="S134"/>
    </row>
    <row r="135" spans="1:19" ht="15" x14ac:dyDescent="0.25">
      <c r="A135" s="8" t="s">
        <v>4998</v>
      </c>
      <c r="B135" s="8" t="s">
        <v>4779</v>
      </c>
      <c r="C135" s="8" t="s">
        <v>5003</v>
      </c>
      <c r="D135" s="32" t="s">
        <v>6984</v>
      </c>
      <c r="E135" s="32" t="s">
        <v>5003</v>
      </c>
      <c r="F135" s="10">
        <v>2</v>
      </c>
      <c r="G135" s="8" t="s">
        <v>16</v>
      </c>
      <c r="H135" s="10">
        <v>333.65</v>
      </c>
      <c r="I135" s="10">
        <f t="shared" si="4"/>
        <v>667.3</v>
      </c>
      <c r="J135" s="10">
        <v>16.424443400000001</v>
      </c>
      <c r="K135" s="8" t="s">
        <v>4800</v>
      </c>
      <c r="S135"/>
    </row>
    <row r="136" spans="1:19" ht="15" x14ac:dyDescent="0.25">
      <c r="A136" s="8" t="s">
        <v>4998</v>
      </c>
      <c r="B136" s="8" t="s">
        <v>4779</v>
      </c>
      <c r="C136" s="8" t="s">
        <v>4786</v>
      </c>
      <c r="D136" s="32" t="s">
        <v>6984</v>
      </c>
      <c r="E136" s="32" t="s">
        <v>4786</v>
      </c>
      <c r="F136" s="10">
        <v>1</v>
      </c>
      <c r="G136" s="8" t="s">
        <v>16</v>
      </c>
      <c r="H136" s="10">
        <v>47.4</v>
      </c>
      <c r="I136" s="10">
        <f t="shared" si="4"/>
        <v>47.4</v>
      </c>
      <c r="J136" s="10">
        <v>1.5149000399999999</v>
      </c>
      <c r="K136" s="8" t="s">
        <v>4781</v>
      </c>
      <c r="S136"/>
    </row>
    <row r="137" spans="1:19" ht="15" x14ac:dyDescent="0.25">
      <c r="A137" s="8" t="s">
        <v>4998</v>
      </c>
      <c r="B137" s="8" t="s">
        <v>4779</v>
      </c>
      <c r="C137" s="8" t="s">
        <v>4787</v>
      </c>
      <c r="D137" s="32" t="s">
        <v>6984</v>
      </c>
      <c r="E137" s="32" t="s">
        <v>4787</v>
      </c>
      <c r="F137" s="10">
        <v>1</v>
      </c>
      <c r="G137" s="8" t="s">
        <v>16</v>
      </c>
      <c r="H137" s="10">
        <v>1976.1</v>
      </c>
      <c r="I137" s="10">
        <f t="shared" si="4"/>
        <v>1976.1</v>
      </c>
      <c r="J137" s="10">
        <v>28.943785520999999</v>
      </c>
      <c r="K137" s="8" t="s">
        <v>4784</v>
      </c>
      <c r="S137"/>
    </row>
    <row r="138" spans="1:19" ht="15" x14ac:dyDescent="0.25">
      <c r="A138" s="8" t="s">
        <v>4998</v>
      </c>
      <c r="B138" s="8" t="s">
        <v>4779</v>
      </c>
      <c r="C138" s="8" t="s">
        <v>4788</v>
      </c>
      <c r="D138" s="32" t="s">
        <v>6984</v>
      </c>
      <c r="E138" s="32" t="s">
        <v>4788</v>
      </c>
      <c r="F138" s="10">
        <v>3</v>
      </c>
      <c r="G138" s="8" t="s">
        <v>16</v>
      </c>
      <c r="H138" s="10">
        <v>1736.0666666666666</v>
      </c>
      <c r="I138" s="10">
        <f t="shared" si="4"/>
        <v>5208.2</v>
      </c>
      <c r="J138" s="10">
        <v>76.218315149999995</v>
      </c>
      <c r="K138" s="8" t="s">
        <v>4784</v>
      </c>
      <c r="S138"/>
    </row>
    <row r="139" spans="1:19" ht="15" x14ac:dyDescent="0.25">
      <c r="A139" s="8" t="s">
        <v>4998</v>
      </c>
      <c r="B139" s="8" t="s">
        <v>4779</v>
      </c>
      <c r="C139" s="8" t="s">
        <v>4789</v>
      </c>
      <c r="D139" s="32" t="s">
        <v>6984</v>
      </c>
      <c r="E139" s="32" t="s">
        <v>4789</v>
      </c>
      <c r="F139" s="10">
        <v>1</v>
      </c>
      <c r="G139" s="8" t="s">
        <v>16</v>
      </c>
      <c r="H139" s="10">
        <v>916.4</v>
      </c>
      <c r="I139" s="10">
        <f t="shared" si="4"/>
        <v>916.4</v>
      </c>
      <c r="J139" s="10">
        <v>14.749327158750001</v>
      </c>
      <c r="K139" s="8" t="s">
        <v>4790</v>
      </c>
      <c r="S139"/>
    </row>
    <row r="140" spans="1:19" ht="15" x14ac:dyDescent="0.25">
      <c r="A140" s="8" t="s">
        <v>4998</v>
      </c>
      <c r="B140" s="8" t="s">
        <v>4779</v>
      </c>
      <c r="C140" s="8" t="s">
        <v>4791</v>
      </c>
      <c r="D140" s="32" t="s">
        <v>6984</v>
      </c>
      <c r="E140" s="32" t="s">
        <v>4791</v>
      </c>
      <c r="F140" s="10">
        <v>1</v>
      </c>
      <c r="G140" s="8" t="s">
        <v>16</v>
      </c>
      <c r="H140" s="10">
        <v>2088.3000000000002</v>
      </c>
      <c r="I140" s="10">
        <f t="shared" si="4"/>
        <v>2088.3000000000002</v>
      </c>
      <c r="J140" s="10">
        <v>27.931973150000001</v>
      </c>
      <c r="K140" s="8" t="s">
        <v>4792</v>
      </c>
      <c r="S140"/>
    </row>
    <row r="141" spans="1:19" ht="15" x14ac:dyDescent="0.25">
      <c r="A141" s="8" t="s">
        <v>4998</v>
      </c>
      <c r="B141" s="8" t="s">
        <v>4779</v>
      </c>
      <c r="C141" s="8" t="s">
        <v>5004</v>
      </c>
      <c r="D141" s="32" t="s">
        <v>6984</v>
      </c>
      <c r="E141" s="32" t="s">
        <v>5004</v>
      </c>
      <c r="F141" s="10">
        <v>1</v>
      </c>
      <c r="G141" s="8" t="s">
        <v>16</v>
      </c>
      <c r="H141" s="10">
        <v>1978.3</v>
      </c>
      <c r="I141" s="10">
        <f t="shared" si="4"/>
        <v>1978.3</v>
      </c>
      <c r="J141" s="10">
        <v>28.969932799999999</v>
      </c>
      <c r="K141" s="8" t="s">
        <v>4784</v>
      </c>
      <c r="S141"/>
    </row>
    <row r="142" spans="1:19" ht="15" x14ac:dyDescent="0.25">
      <c r="A142" s="8" t="s">
        <v>4998</v>
      </c>
      <c r="B142" s="8" t="s">
        <v>4779</v>
      </c>
      <c r="C142" s="8" t="s">
        <v>5005</v>
      </c>
      <c r="D142" s="32" t="s">
        <v>6984</v>
      </c>
      <c r="E142" s="32" t="s">
        <v>5005</v>
      </c>
      <c r="F142" s="10">
        <v>1</v>
      </c>
      <c r="G142" s="8" t="s">
        <v>16</v>
      </c>
      <c r="H142" s="10">
        <v>1933.7</v>
      </c>
      <c r="I142" s="10">
        <f t="shared" si="4"/>
        <v>1933.7</v>
      </c>
      <c r="J142" s="10">
        <v>28.338355836000002</v>
      </c>
      <c r="K142" s="8" t="s">
        <v>4784</v>
      </c>
      <c r="S142"/>
    </row>
    <row r="143" spans="1:19" ht="15" x14ac:dyDescent="0.25">
      <c r="A143" s="8" t="s">
        <v>4998</v>
      </c>
      <c r="B143" s="8" t="s">
        <v>4779</v>
      </c>
      <c r="C143" s="8" t="s">
        <v>5006</v>
      </c>
      <c r="D143" s="32" t="s">
        <v>6984</v>
      </c>
      <c r="E143" s="32" t="s">
        <v>5006</v>
      </c>
      <c r="F143" s="10">
        <v>1</v>
      </c>
      <c r="G143" s="8" t="s">
        <v>16</v>
      </c>
      <c r="H143" s="10">
        <v>412.1</v>
      </c>
      <c r="I143" s="10">
        <f t="shared" si="4"/>
        <v>412.1</v>
      </c>
      <c r="J143" s="10">
        <v>6.3233438169999996</v>
      </c>
      <c r="K143" s="8" t="s">
        <v>4784</v>
      </c>
      <c r="S143"/>
    </row>
    <row r="144" spans="1:19" ht="15" x14ac:dyDescent="0.25">
      <c r="A144" s="8" t="s">
        <v>4998</v>
      </c>
      <c r="B144" s="8" t="s">
        <v>4779</v>
      </c>
      <c r="C144" s="8" t="s">
        <v>5007</v>
      </c>
      <c r="D144" s="32" t="s">
        <v>6984</v>
      </c>
      <c r="E144" s="32" t="s">
        <v>5007</v>
      </c>
      <c r="F144" s="10">
        <v>1</v>
      </c>
      <c r="G144" s="8" t="s">
        <v>16</v>
      </c>
      <c r="H144" s="10">
        <v>429.6</v>
      </c>
      <c r="I144" s="10">
        <f t="shared" si="4"/>
        <v>429.6</v>
      </c>
      <c r="J144" s="10">
        <v>7.0406640210000004</v>
      </c>
      <c r="K144" s="8" t="s">
        <v>4784</v>
      </c>
      <c r="S144"/>
    </row>
    <row r="145" spans="1:19" ht="15" x14ac:dyDescent="0.25">
      <c r="A145" s="8" t="s">
        <v>4998</v>
      </c>
      <c r="B145" s="8" t="s">
        <v>4779</v>
      </c>
      <c r="C145" s="8" t="s">
        <v>5008</v>
      </c>
      <c r="D145" s="32" t="s">
        <v>6984</v>
      </c>
      <c r="E145" s="32" t="s">
        <v>5008</v>
      </c>
      <c r="F145" s="10">
        <v>4</v>
      </c>
      <c r="G145" s="8" t="s">
        <v>4903</v>
      </c>
      <c r="H145" s="10">
        <v>241.8</v>
      </c>
      <c r="I145" s="10">
        <f t="shared" si="4"/>
        <v>967.2</v>
      </c>
      <c r="J145" s="10">
        <v>24.824072000000001</v>
      </c>
      <c r="K145" s="8" t="s">
        <v>4949</v>
      </c>
      <c r="S145"/>
    </row>
    <row r="146" spans="1:19" ht="15" x14ac:dyDescent="0.25">
      <c r="A146" s="8" t="s">
        <v>4998</v>
      </c>
      <c r="B146" s="8" t="s">
        <v>4779</v>
      </c>
      <c r="C146" s="8" t="s">
        <v>5009</v>
      </c>
      <c r="D146" s="32" t="s">
        <v>6984</v>
      </c>
      <c r="E146" s="32" t="s">
        <v>5009</v>
      </c>
      <c r="F146" s="10">
        <v>4</v>
      </c>
      <c r="G146" s="8" t="s">
        <v>4903</v>
      </c>
      <c r="H146" s="10">
        <v>227.8</v>
      </c>
      <c r="I146" s="10">
        <f t="shared" si="4"/>
        <v>911.2</v>
      </c>
      <c r="J146" s="10">
        <v>23.390276</v>
      </c>
      <c r="K146" s="8" t="s">
        <v>4949</v>
      </c>
      <c r="S146"/>
    </row>
    <row r="147" spans="1:19" ht="15" x14ac:dyDescent="0.25">
      <c r="A147" s="8" t="s">
        <v>4998</v>
      </c>
      <c r="B147" s="8" t="s">
        <v>4779</v>
      </c>
      <c r="C147" s="8" t="s">
        <v>4804</v>
      </c>
      <c r="D147" s="32" t="s">
        <v>6984</v>
      </c>
      <c r="E147" s="32" t="s">
        <v>4804</v>
      </c>
      <c r="F147" s="10">
        <v>54</v>
      </c>
      <c r="G147" s="8" t="s">
        <v>22</v>
      </c>
      <c r="H147" s="10">
        <v>2.744444444444444</v>
      </c>
      <c r="I147" s="10">
        <f t="shared" si="4"/>
        <v>148.19999999999999</v>
      </c>
      <c r="J147" s="10">
        <v>6.0689250000000001</v>
      </c>
      <c r="K147" s="8" t="s">
        <v>4798</v>
      </c>
      <c r="S147"/>
    </row>
    <row r="148" spans="1:19" ht="15" x14ac:dyDescent="0.25">
      <c r="A148" s="8" t="s">
        <v>4998</v>
      </c>
      <c r="B148" s="8" t="s">
        <v>4779</v>
      </c>
      <c r="C148" s="8" t="s">
        <v>4793</v>
      </c>
      <c r="D148" s="32" t="s">
        <v>6984</v>
      </c>
      <c r="E148" s="32" t="s">
        <v>4793</v>
      </c>
      <c r="F148" s="10">
        <v>28</v>
      </c>
      <c r="G148" s="8" t="s">
        <v>22</v>
      </c>
      <c r="H148" s="10">
        <v>6.6000000000000005</v>
      </c>
      <c r="I148" s="10">
        <f t="shared" si="4"/>
        <v>184.8</v>
      </c>
      <c r="J148" s="10">
        <v>5.0501639999999997</v>
      </c>
      <c r="K148" s="8" t="s">
        <v>25</v>
      </c>
      <c r="S148"/>
    </row>
    <row r="149" spans="1:19" ht="15" x14ac:dyDescent="0.25">
      <c r="A149" s="8" t="s">
        <v>4998</v>
      </c>
      <c r="B149" s="8" t="s">
        <v>4779</v>
      </c>
      <c r="C149" s="8" t="s">
        <v>5010</v>
      </c>
      <c r="D149" s="32" t="s">
        <v>6984</v>
      </c>
      <c r="E149" s="32" t="s">
        <v>5010</v>
      </c>
      <c r="F149" s="10">
        <v>4</v>
      </c>
      <c r="G149" s="8" t="s">
        <v>22</v>
      </c>
      <c r="H149" s="10">
        <v>3</v>
      </c>
      <c r="I149" s="10">
        <f t="shared" si="4"/>
        <v>12</v>
      </c>
      <c r="J149" s="10">
        <v>0.38892480000000001</v>
      </c>
      <c r="K149" s="8" t="s">
        <v>23</v>
      </c>
      <c r="S149"/>
    </row>
    <row r="150" spans="1:19" ht="15" x14ac:dyDescent="0.25">
      <c r="A150" s="8" t="s">
        <v>4998</v>
      </c>
      <c r="B150" s="8" t="s">
        <v>4779</v>
      </c>
      <c r="C150" s="8" t="s">
        <v>4794</v>
      </c>
      <c r="D150" s="32" t="s">
        <v>6984</v>
      </c>
      <c r="E150" s="32" t="s">
        <v>4794</v>
      </c>
      <c r="F150" s="10">
        <v>28</v>
      </c>
      <c r="G150" s="8" t="s">
        <v>22</v>
      </c>
      <c r="H150" s="10">
        <v>21.567857142857143</v>
      </c>
      <c r="I150" s="10">
        <f t="shared" si="4"/>
        <v>603.9</v>
      </c>
      <c r="J150" s="10">
        <v>12.622674399999999</v>
      </c>
      <c r="K150" s="8" t="s">
        <v>4795</v>
      </c>
      <c r="S150"/>
    </row>
    <row r="151" spans="1:19" ht="15" x14ac:dyDescent="0.25">
      <c r="A151" s="8" t="s">
        <v>4998</v>
      </c>
      <c r="B151" s="8" t="s">
        <v>4779</v>
      </c>
      <c r="C151" s="8" t="s">
        <v>4809</v>
      </c>
      <c r="D151" s="32" t="s">
        <v>6984</v>
      </c>
      <c r="E151" s="32" t="s">
        <v>4809</v>
      </c>
      <c r="F151" s="10">
        <v>72</v>
      </c>
      <c r="G151" s="8" t="s">
        <v>22</v>
      </c>
      <c r="H151" s="10">
        <v>1.2749999999999999</v>
      </c>
      <c r="I151" s="10">
        <f t="shared" si="4"/>
        <v>91.8</v>
      </c>
      <c r="J151" s="10">
        <v>2.9699711999999998</v>
      </c>
      <c r="K151" s="8" t="s">
        <v>23</v>
      </c>
      <c r="S151"/>
    </row>
    <row r="152" spans="1:19" ht="15" x14ac:dyDescent="0.25">
      <c r="A152" s="8" t="s">
        <v>4998</v>
      </c>
      <c r="B152" s="8" t="s">
        <v>4779</v>
      </c>
      <c r="C152" s="8" t="s">
        <v>5011</v>
      </c>
      <c r="D152" s="32" t="s">
        <v>6984</v>
      </c>
      <c r="E152" s="32" t="s">
        <v>5011</v>
      </c>
      <c r="F152" s="10">
        <v>2</v>
      </c>
      <c r="G152" s="8" t="s">
        <v>22</v>
      </c>
      <c r="H152" s="10">
        <v>9.25</v>
      </c>
      <c r="I152" s="10">
        <f t="shared" si="4"/>
        <v>18.5</v>
      </c>
      <c r="J152" s="10">
        <v>0.59740800000000005</v>
      </c>
      <c r="K152" s="8" t="s">
        <v>23</v>
      </c>
      <c r="S152"/>
    </row>
    <row r="153" spans="1:19" ht="15" x14ac:dyDescent="0.25">
      <c r="A153" s="8" t="s">
        <v>4998</v>
      </c>
      <c r="B153" s="8" t="s">
        <v>4779</v>
      </c>
      <c r="C153" s="8" t="s">
        <v>5012</v>
      </c>
      <c r="D153" s="32" t="s">
        <v>6984</v>
      </c>
      <c r="E153" s="32" t="s">
        <v>5012</v>
      </c>
      <c r="F153" s="10">
        <v>4</v>
      </c>
      <c r="G153" s="8" t="s">
        <v>22</v>
      </c>
      <c r="H153" s="10">
        <v>12.525</v>
      </c>
      <c r="I153" s="10">
        <f t="shared" si="4"/>
        <v>50.1</v>
      </c>
      <c r="J153" s="10">
        <v>0.69753600000000004</v>
      </c>
      <c r="K153" s="8" t="s">
        <v>5013</v>
      </c>
      <c r="S153"/>
    </row>
    <row r="154" spans="1:19" ht="15" x14ac:dyDescent="0.25">
      <c r="A154" s="8" t="s">
        <v>4998</v>
      </c>
      <c r="B154" s="8" t="s">
        <v>4779</v>
      </c>
      <c r="C154" s="8" t="s">
        <v>5014</v>
      </c>
      <c r="D154" s="32" t="s">
        <v>6984</v>
      </c>
      <c r="E154" s="32" t="s">
        <v>5014</v>
      </c>
      <c r="F154" s="10">
        <v>8</v>
      </c>
      <c r="G154" s="8" t="s">
        <v>22</v>
      </c>
      <c r="H154" s="10">
        <v>3.3</v>
      </c>
      <c r="I154" s="10">
        <f t="shared" si="4"/>
        <v>26.4</v>
      </c>
      <c r="J154" s="10">
        <v>0.55130880000000004</v>
      </c>
      <c r="K154" s="8" t="s">
        <v>4795</v>
      </c>
      <c r="S154"/>
    </row>
    <row r="155" spans="1:19" ht="15" x14ac:dyDescent="0.25">
      <c r="A155" s="8" t="s">
        <v>4998</v>
      </c>
      <c r="B155" s="8" t="s">
        <v>4779</v>
      </c>
      <c r="C155" s="8" t="s">
        <v>4810</v>
      </c>
      <c r="D155" s="32" t="s">
        <v>6984</v>
      </c>
      <c r="E155" s="32" t="s">
        <v>4810</v>
      </c>
      <c r="F155" s="10">
        <v>32</v>
      </c>
      <c r="G155" s="8" t="s">
        <v>22</v>
      </c>
      <c r="H155" s="10">
        <v>3.6968749999999999</v>
      </c>
      <c r="I155" s="10">
        <f t="shared" si="4"/>
        <v>118.3</v>
      </c>
      <c r="J155" s="10">
        <v>3.8279628799999998</v>
      </c>
      <c r="K155" s="8" t="s">
        <v>23</v>
      </c>
      <c r="S155"/>
    </row>
    <row r="156" spans="1:19" ht="15" x14ac:dyDescent="0.25">
      <c r="A156" s="8" t="s">
        <v>4998</v>
      </c>
      <c r="B156" s="8" t="s">
        <v>4779</v>
      </c>
      <c r="C156" s="8" t="s">
        <v>4811</v>
      </c>
      <c r="D156" s="32" t="s">
        <v>6984</v>
      </c>
      <c r="E156" s="32" t="s">
        <v>4811</v>
      </c>
      <c r="F156" s="10">
        <v>36</v>
      </c>
      <c r="G156" s="8" t="s">
        <v>22</v>
      </c>
      <c r="H156" s="10">
        <v>2.0083333333333333</v>
      </c>
      <c r="I156" s="10">
        <f t="shared" si="4"/>
        <v>72.3</v>
      </c>
      <c r="J156" s="10">
        <v>2.95974</v>
      </c>
      <c r="K156" s="8" t="s">
        <v>4798</v>
      </c>
      <c r="S156"/>
    </row>
    <row r="157" spans="1:19" ht="15" x14ac:dyDescent="0.25">
      <c r="A157" s="8" t="s">
        <v>4998</v>
      </c>
      <c r="B157" s="8" t="s">
        <v>4779</v>
      </c>
      <c r="C157" s="8" t="s">
        <v>5015</v>
      </c>
      <c r="D157" s="32" t="s">
        <v>6984</v>
      </c>
      <c r="E157" s="32" t="s">
        <v>5015</v>
      </c>
      <c r="F157" s="10">
        <v>1</v>
      </c>
      <c r="G157" s="8" t="s">
        <v>22</v>
      </c>
      <c r="H157" s="10">
        <v>14.6</v>
      </c>
      <c r="I157" s="10">
        <f t="shared" si="4"/>
        <v>14.6</v>
      </c>
      <c r="J157" s="10">
        <v>0.39909135000000001</v>
      </c>
      <c r="K157" s="8" t="s">
        <v>25</v>
      </c>
      <c r="S157"/>
    </row>
    <row r="158" spans="1:19" ht="15" x14ac:dyDescent="0.25">
      <c r="A158" s="8" t="s">
        <v>4998</v>
      </c>
      <c r="B158" s="8" t="s">
        <v>4779</v>
      </c>
      <c r="C158" s="8" t="s">
        <v>5016</v>
      </c>
      <c r="D158" s="32" t="s">
        <v>6984</v>
      </c>
      <c r="E158" s="32" t="s">
        <v>5016</v>
      </c>
      <c r="F158" s="10">
        <v>1</v>
      </c>
      <c r="G158" s="8" t="s">
        <v>22</v>
      </c>
      <c r="H158" s="10">
        <v>23.7</v>
      </c>
      <c r="I158" s="10">
        <f t="shared" si="4"/>
        <v>23.7</v>
      </c>
      <c r="J158" s="10">
        <v>0.69336628087999996</v>
      </c>
      <c r="K158" s="8" t="s">
        <v>25</v>
      </c>
      <c r="S158"/>
    </row>
    <row r="159" spans="1:19" ht="15" x14ac:dyDescent="0.25">
      <c r="A159" s="8" t="s">
        <v>4998</v>
      </c>
      <c r="B159" s="8" t="s">
        <v>4779</v>
      </c>
      <c r="C159" s="8" t="s">
        <v>4796</v>
      </c>
      <c r="D159" s="32" t="s">
        <v>6984</v>
      </c>
      <c r="E159" s="32" t="s">
        <v>4796</v>
      </c>
      <c r="F159" s="10">
        <v>104</v>
      </c>
      <c r="G159" s="8" t="s">
        <v>22</v>
      </c>
      <c r="H159" s="10">
        <v>6.6</v>
      </c>
      <c r="I159" s="10">
        <f t="shared" si="4"/>
        <v>686.4</v>
      </c>
      <c r="J159" s="10">
        <v>18.757752</v>
      </c>
      <c r="K159" s="8" t="s">
        <v>25</v>
      </c>
      <c r="S159"/>
    </row>
    <row r="160" spans="1:19" ht="15" x14ac:dyDescent="0.25">
      <c r="A160" s="8" t="s">
        <v>4998</v>
      </c>
      <c r="B160" s="8" t="s">
        <v>4779</v>
      </c>
      <c r="C160" s="8" t="s">
        <v>4797</v>
      </c>
      <c r="D160" s="32" t="s">
        <v>6984</v>
      </c>
      <c r="E160" s="32" t="s">
        <v>4797</v>
      </c>
      <c r="F160" s="10">
        <v>36</v>
      </c>
      <c r="G160" s="8" t="s">
        <v>22</v>
      </c>
      <c r="H160" s="10">
        <v>1.4833333333333334</v>
      </c>
      <c r="I160" s="10">
        <f t="shared" si="4"/>
        <v>53.400000000000006</v>
      </c>
      <c r="J160" s="10">
        <v>2.1869999999999998</v>
      </c>
      <c r="K160" s="8" t="s">
        <v>4798</v>
      </c>
      <c r="S160"/>
    </row>
    <row r="161" spans="1:19" ht="15" x14ac:dyDescent="0.25">
      <c r="A161" s="8" t="s">
        <v>4998</v>
      </c>
      <c r="B161" s="8" t="s">
        <v>4779</v>
      </c>
      <c r="C161" s="8" t="s">
        <v>4805</v>
      </c>
      <c r="D161" s="32" t="s">
        <v>6984</v>
      </c>
      <c r="E161" s="32" t="s">
        <v>4805</v>
      </c>
      <c r="F161" s="10">
        <v>54</v>
      </c>
      <c r="G161" s="8" t="s">
        <v>22</v>
      </c>
      <c r="H161" s="10">
        <v>2.9296296296296296</v>
      </c>
      <c r="I161" s="10">
        <f t="shared" si="4"/>
        <v>158.19999999999999</v>
      </c>
      <c r="J161" s="10">
        <v>6.4789874999999997</v>
      </c>
      <c r="K161" s="8" t="s">
        <v>4798</v>
      </c>
      <c r="S161"/>
    </row>
    <row r="162" spans="1:19" ht="15" x14ac:dyDescent="0.25">
      <c r="A162" s="8" t="s">
        <v>4932</v>
      </c>
      <c r="B162" s="8" t="s">
        <v>14</v>
      </c>
      <c r="C162" s="8" t="s">
        <v>5017</v>
      </c>
      <c r="D162" s="32" t="s">
        <v>6984</v>
      </c>
      <c r="E162" s="32" t="s">
        <v>5017</v>
      </c>
      <c r="F162" s="10">
        <v>1</v>
      </c>
      <c r="G162" s="8" t="s">
        <v>4934</v>
      </c>
      <c r="H162" s="10">
        <v>2909.4</v>
      </c>
      <c r="I162" s="10">
        <f t="shared" si="4"/>
        <v>2909.4</v>
      </c>
      <c r="J162" s="10">
        <v>41.862916374320001</v>
      </c>
      <c r="K162" s="8" t="s">
        <v>4935</v>
      </c>
      <c r="S162"/>
    </row>
    <row r="163" spans="1:19" ht="15" x14ac:dyDescent="0.25">
      <c r="A163" s="8" t="s">
        <v>5018</v>
      </c>
      <c r="B163" s="8" t="s">
        <v>4819</v>
      </c>
      <c r="C163" s="8" t="s">
        <v>5019</v>
      </c>
      <c r="D163" s="32" t="s">
        <v>6984</v>
      </c>
      <c r="E163" s="32" t="s">
        <v>5019</v>
      </c>
      <c r="F163" s="10">
        <v>1</v>
      </c>
      <c r="G163" s="8" t="s">
        <v>4934</v>
      </c>
      <c r="H163" s="10">
        <v>2910.9</v>
      </c>
      <c r="I163" s="10">
        <f t="shared" si="4"/>
        <v>2910.9</v>
      </c>
      <c r="J163" s="10">
        <v>45.964387637039998</v>
      </c>
      <c r="K163" s="8" t="s">
        <v>4935</v>
      </c>
      <c r="S163"/>
    </row>
    <row r="164" spans="1:19" ht="15" x14ac:dyDescent="0.25">
      <c r="A164" s="8" t="s">
        <v>5018</v>
      </c>
      <c r="B164" s="8" t="s">
        <v>4819</v>
      </c>
      <c r="C164" s="8" t="s">
        <v>5020</v>
      </c>
      <c r="D164" s="32" t="s">
        <v>6984</v>
      </c>
      <c r="E164" s="32" t="s">
        <v>5020</v>
      </c>
      <c r="F164" s="10">
        <v>1</v>
      </c>
      <c r="G164" s="8" t="s">
        <v>4934</v>
      </c>
      <c r="H164" s="10">
        <v>2969.1</v>
      </c>
      <c r="I164" s="10">
        <f t="shared" si="4"/>
        <v>2969.1</v>
      </c>
      <c r="J164" s="10">
        <v>45.828718976700003</v>
      </c>
      <c r="K164" s="8" t="s">
        <v>4935</v>
      </c>
      <c r="S164"/>
    </row>
    <row r="165" spans="1:19" ht="15" x14ac:dyDescent="0.25">
      <c r="A165" s="8" t="s">
        <v>5018</v>
      </c>
      <c r="B165" s="8" t="s">
        <v>4819</v>
      </c>
      <c r="C165" s="8" t="s">
        <v>5021</v>
      </c>
      <c r="D165" s="32" t="s">
        <v>6984</v>
      </c>
      <c r="E165" s="32" t="s">
        <v>5021</v>
      </c>
      <c r="F165" s="10">
        <v>1</v>
      </c>
      <c r="G165" s="8" t="s">
        <v>4934</v>
      </c>
      <c r="H165" s="10">
        <v>3052.9</v>
      </c>
      <c r="I165" s="10">
        <f t="shared" si="4"/>
        <v>3052.9</v>
      </c>
      <c r="J165" s="10">
        <v>48.179353077519998</v>
      </c>
      <c r="K165" s="8" t="s">
        <v>4935</v>
      </c>
      <c r="S165"/>
    </row>
    <row r="166" spans="1:19" ht="15" x14ac:dyDescent="0.25">
      <c r="A166" s="8" t="s">
        <v>5018</v>
      </c>
      <c r="B166" s="8" t="s">
        <v>4819</v>
      </c>
      <c r="C166" s="8" t="s">
        <v>5022</v>
      </c>
      <c r="D166" s="32" t="s">
        <v>6984</v>
      </c>
      <c r="E166" s="32" t="s">
        <v>5022</v>
      </c>
      <c r="F166" s="10">
        <v>1</v>
      </c>
      <c r="G166" s="8" t="s">
        <v>4934</v>
      </c>
      <c r="H166" s="10">
        <v>2046.7</v>
      </c>
      <c r="I166" s="10">
        <f t="shared" si="4"/>
        <v>2046.7</v>
      </c>
      <c r="J166" s="10">
        <v>31.530224237279999</v>
      </c>
      <c r="K166" s="8" t="s">
        <v>4935</v>
      </c>
      <c r="S166"/>
    </row>
    <row r="167" spans="1:19" ht="15" x14ac:dyDescent="0.25">
      <c r="A167" s="8" t="s">
        <v>5018</v>
      </c>
      <c r="B167" s="8" t="s">
        <v>4819</v>
      </c>
      <c r="C167" s="8" t="s">
        <v>5023</v>
      </c>
      <c r="D167" s="32" t="s">
        <v>6984</v>
      </c>
      <c r="E167" s="32" t="s">
        <v>5023</v>
      </c>
      <c r="F167" s="10">
        <v>1</v>
      </c>
      <c r="G167" s="8" t="s">
        <v>4934</v>
      </c>
      <c r="H167" s="10">
        <v>2155.9</v>
      </c>
      <c r="I167" s="10">
        <f t="shared" si="4"/>
        <v>2155.9</v>
      </c>
      <c r="J167" s="10">
        <v>34.319131981760002</v>
      </c>
      <c r="K167" s="8" t="s">
        <v>4935</v>
      </c>
      <c r="S167"/>
    </row>
    <row r="168" spans="1:19" ht="15" x14ac:dyDescent="0.25">
      <c r="A168" s="8" t="s">
        <v>5018</v>
      </c>
      <c r="B168" s="8" t="s">
        <v>4819</v>
      </c>
      <c r="C168" s="8" t="s">
        <v>5024</v>
      </c>
      <c r="D168" s="32" t="s">
        <v>6984</v>
      </c>
      <c r="E168" s="32" t="s">
        <v>5024</v>
      </c>
      <c r="F168" s="10">
        <v>1</v>
      </c>
      <c r="G168" s="8" t="s">
        <v>4934</v>
      </c>
      <c r="H168" s="10">
        <v>2459.5</v>
      </c>
      <c r="I168" s="10">
        <f t="shared" si="4"/>
        <v>2459.5</v>
      </c>
      <c r="J168" s="10">
        <v>38.789496140700003</v>
      </c>
      <c r="K168" s="8" t="s">
        <v>4935</v>
      </c>
      <c r="S168"/>
    </row>
    <row r="169" spans="1:19" ht="15" x14ac:dyDescent="0.25">
      <c r="A169" s="8" t="s">
        <v>5018</v>
      </c>
      <c r="B169" s="8" t="s">
        <v>4819</v>
      </c>
      <c r="C169" s="8" t="s">
        <v>5025</v>
      </c>
      <c r="D169" s="32" t="s">
        <v>6984</v>
      </c>
      <c r="E169" s="32" t="s">
        <v>5025</v>
      </c>
      <c r="F169" s="10">
        <v>1</v>
      </c>
      <c r="G169" s="8" t="s">
        <v>4934</v>
      </c>
      <c r="H169" s="10">
        <v>2340.5</v>
      </c>
      <c r="I169" s="10">
        <f t="shared" si="4"/>
        <v>2340.5</v>
      </c>
      <c r="J169" s="10">
        <v>35.785856654920003</v>
      </c>
      <c r="K169" s="8" t="s">
        <v>4935</v>
      </c>
      <c r="S169"/>
    </row>
    <row r="170" spans="1:19" ht="15" x14ac:dyDescent="0.25">
      <c r="A170" s="8" t="s">
        <v>5018</v>
      </c>
      <c r="B170" s="8" t="s">
        <v>4819</v>
      </c>
      <c r="C170" s="8" t="s">
        <v>5026</v>
      </c>
      <c r="D170" s="32" t="s">
        <v>6984</v>
      </c>
      <c r="E170" s="32" t="s">
        <v>5026</v>
      </c>
      <c r="F170" s="10">
        <v>1</v>
      </c>
      <c r="G170" s="8" t="s">
        <v>4934</v>
      </c>
      <c r="H170" s="10">
        <v>3256.2</v>
      </c>
      <c r="I170" s="10">
        <f t="shared" si="4"/>
        <v>3256.2</v>
      </c>
      <c r="J170" s="10">
        <v>50.98491848922</v>
      </c>
      <c r="K170" s="8" t="s">
        <v>4935</v>
      </c>
      <c r="S170"/>
    </row>
    <row r="171" spans="1:19" ht="15" x14ac:dyDescent="0.25">
      <c r="A171" s="8" t="s">
        <v>5018</v>
      </c>
      <c r="B171" s="8" t="s">
        <v>4819</v>
      </c>
      <c r="C171" s="8" t="s">
        <v>5027</v>
      </c>
      <c r="D171" s="32" t="s">
        <v>6984</v>
      </c>
      <c r="E171" s="32" t="s">
        <v>5027</v>
      </c>
      <c r="F171" s="10">
        <v>1</v>
      </c>
      <c r="G171" s="8" t="s">
        <v>4934</v>
      </c>
      <c r="H171" s="10">
        <v>3189.9</v>
      </c>
      <c r="I171" s="10">
        <f t="shared" si="4"/>
        <v>3189.9</v>
      </c>
      <c r="J171" s="10">
        <v>49.777324926650003</v>
      </c>
      <c r="K171" s="8" t="s">
        <v>4935</v>
      </c>
      <c r="S171"/>
    </row>
    <row r="172" spans="1:19" ht="15" x14ac:dyDescent="0.25">
      <c r="A172" s="8" t="s">
        <v>5018</v>
      </c>
      <c r="B172" s="8" t="s">
        <v>4819</v>
      </c>
      <c r="C172" s="8" t="s">
        <v>5028</v>
      </c>
      <c r="D172" s="32" t="s">
        <v>6984</v>
      </c>
      <c r="E172" s="32" t="s">
        <v>5028</v>
      </c>
      <c r="F172" s="10">
        <v>1</v>
      </c>
      <c r="G172" s="8" t="s">
        <v>4934</v>
      </c>
      <c r="H172" s="10">
        <v>3226</v>
      </c>
      <c r="I172" s="10">
        <f t="shared" si="4"/>
        <v>3226</v>
      </c>
      <c r="J172" s="10">
        <v>50.778687112599997</v>
      </c>
      <c r="K172" s="8" t="s">
        <v>4935</v>
      </c>
      <c r="S172"/>
    </row>
    <row r="173" spans="1:19" ht="15" x14ac:dyDescent="0.25">
      <c r="A173" s="8" t="s">
        <v>5018</v>
      </c>
      <c r="B173" s="8" t="s">
        <v>4819</v>
      </c>
      <c r="C173" s="8" t="s">
        <v>5029</v>
      </c>
      <c r="D173" s="32" t="s">
        <v>6984</v>
      </c>
      <c r="E173" s="32" t="s">
        <v>5029</v>
      </c>
      <c r="F173" s="10">
        <v>1</v>
      </c>
      <c r="G173" s="8" t="s">
        <v>4934</v>
      </c>
      <c r="H173" s="10">
        <v>1113.5999999999999</v>
      </c>
      <c r="I173" s="10">
        <f t="shared" si="4"/>
        <v>1113.5999999999999</v>
      </c>
      <c r="J173" s="10">
        <v>17.659857391940001</v>
      </c>
      <c r="K173" s="8" t="s">
        <v>4935</v>
      </c>
      <c r="S173"/>
    </row>
    <row r="174" spans="1:19" ht="15" x14ac:dyDescent="0.25">
      <c r="A174" s="8" t="s">
        <v>5018</v>
      </c>
      <c r="B174" s="8" t="s">
        <v>4819</v>
      </c>
      <c r="C174" s="8" t="s">
        <v>5030</v>
      </c>
      <c r="D174" s="32" t="s">
        <v>6984</v>
      </c>
      <c r="E174" s="32" t="s">
        <v>5030</v>
      </c>
      <c r="F174" s="10">
        <v>1</v>
      </c>
      <c r="G174" s="8" t="s">
        <v>4934</v>
      </c>
      <c r="H174" s="10">
        <v>813.4</v>
      </c>
      <c r="I174" s="10">
        <f t="shared" si="4"/>
        <v>813.4</v>
      </c>
      <c r="J174" s="10">
        <v>13.14473025287</v>
      </c>
      <c r="K174" s="8" t="s">
        <v>4935</v>
      </c>
      <c r="S174"/>
    </row>
    <row r="175" spans="1:19" ht="15" x14ac:dyDescent="0.25">
      <c r="A175" s="8" t="s">
        <v>5018</v>
      </c>
      <c r="B175" s="8" t="s">
        <v>4819</v>
      </c>
      <c r="C175" s="8" t="s">
        <v>5031</v>
      </c>
      <c r="D175" s="32" t="s">
        <v>6984</v>
      </c>
      <c r="E175" s="32" t="s">
        <v>5031</v>
      </c>
      <c r="F175" s="10">
        <v>1</v>
      </c>
      <c r="G175" s="8" t="s">
        <v>4934</v>
      </c>
      <c r="H175" s="10">
        <v>750.9</v>
      </c>
      <c r="I175" s="10">
        <f t="shared" si="4"/>
        <v>750.9</v>
      </c>
      <c r="J175" s="10">
        <v>12.592464851280001</v>
      </c>
      <c r="K175" s="8" t="s">
        <v>4935</v>
      </c>
      <c r="S175"/>
    </row>
    <row r="176" spans="1:19" ht="15" x14ac:dyDescent="0.25">
      <c r="A176" s="8" t="s">
        <v>5018</v>
      </c>
      <c r="B176" s="8" t="s">
        <v>4819</v>
      </c>
      <c r="C176" s="8" t="s">
        <v>5032</v>
      </c>
      <c r="D176" s="32" t="s">
        <v>6984</v>
      </c>
      <c r="E176" s="32" t="s">
        <v>5032</v>
      </c>
      <c r="F176" s="10">
        <v>1</v>
      </c>
      <c r="G176" s="8" t="s">
        <v>4934</v>
      </c>
      <c r="H176" s="10">
        <v>734.8</v>
      </c>
      <c r="I176" s="10">
        <f t="shared" si="4"/>
        <v>734.8</v>
      </c>
      <c r="J176" s="10">
        <v>12.221552497439999</v>
      </c>
      <c r="K176" s="8" t="s">
        <v>4935</v>
      </c>
      <c r="S176"/>
    </row>
    <row r="177" spans="1:19" ht="15" x14ac:dyDescent="0.25">
      <c r="A177" s="8" t="s">
        <v>5018</v>
      </c>
      <c r="B177" s="8" t="s">
        <v>4819</v>
      </c>
      <c r="C177" s="8" t="s">
        <v>5033</v>
      </c>
      <c r="D177" s="32" t="s">
        <v>6984</v>
      </c>
      <c r="E177" s="32" t="s">
        <v>5033</v>
      </c>
      <c r="F177" s="10">
        <v>1</v>
      </c>
      <c r="G177" s="8" t="s">
        <v>4934</v>
      </c>
      <c r="H177" s="10">
        <v>1075.0999999999999</v>
      </c>
      <c r="I177" s="10">
        <f t="shared" si="4"/>
        <v>1075.0999999999999</v>
      </c>
      <c r="J177" s="10">
        <v>17.78356067228</v>
      </c>
      <c r="K177" s="8" t="s">
        <v>4935</v>
      </c>
      <c r="S177"/>
    </row>
    <row r="178" spans="1:19" ht="15" x14ac:dyDescent="0.25">
      <c r="A178" s="8" t="s">
        <v>5018</v>
      </c>
      <c r="B178" s="8" t="s">
        <v>4819</v>
      </c>
      <c r="C178" s="8" t="s">
        <v>5034</v>
      </c>
      <c r="D178" s="32" t="s">
        <v>6984</v>
      </c>
      <c r="E178" s="32" t="s">
        <v>5034</v>
      </c>
      <c r="F178" s="10">
        <v>1</v>
      </c>
      <c r="G178" s="8" t="s">
        <v>4934</v>
      </c>
      <c r="H178" s="10">
        <v>1051.2</v>
      </c>
      <c r="I178" s="10">
        <f t="shared" si="4"/>
        <v>1051.2</v>
      </c>
      <c r="J178" s="10">
        <v>17.090967037639999</v>
      </c>
      <c r="K178" s="8" t="s">
        <v>4935</v>
      </c>
      <c r="S178"/>
    </row>
    <row r="179" spans="1:19" ht="15" x14ac:dyDescent="0.25">
      <c r="A179" s="8" t="s">
        <v>5018</v>
      </c>
      <c r="B179" s="8" t="s">
        <v>4819</v>
      </c>
      <c r="C179" s="8" t="s">
        <v>4820</v>
      </c>
      <c r="D179" s="32" t="s">
        <v>6984</v>
      </c>
      <c r="E179" s="32" t="s">
        <v>4820</v>
      </c>
      <c r="F179" s="10">
        <v>1</v>
      </c>
      <c r="G179" s="8" t="s">
        <v>16</v>
      </c>
      <c r="H179" s="10">
        <v>876.5</v>
      </c>
      <c r="I179" s="10">
        <f t="shared" si="4"/>
        <v>876.5</v>
      </c>
      <c r="J179" s="10">
        <v>17.955559748999999</v>
      </c>
      <c r="K179" s="8" t="s">
        <v>17</v>
      </c>
      <c r="S179"/>
    </row>
    <row r="180" spans="1:19" ht="15" x14ac:dyDescent="0.25">
      <c r="A180" s="8" t="s">
        <v>5018</v>
      </c>
      <c r="B180" s="8" t="s">
        <v>4819</v>
      </c>
      <c r="C180" s="8" t="s">
        <v>4835</v>
      </c>
      <c r="D180" s="32" t="s">
        <v>6984</v>
      </c>
      <c r="E180" s="32" t="s">
        <v>4835</v>
      </c>
      <c r="F180" s="10">
        <v>7</v>
      </c>
      <c r="G180" s="8" t="s">
        <v>16</v>
      </c>
      <c r="H180" s="10">
        <v>774.21428571428567</v>
      </c>
      <c r="I180" s="10">
        <f t="shared" si="4"/>
        <v>5419.5</v>
      </c>
      <c r="J180" s="10">
        <v>111.072918243</v>
      </c>
      <c r="K180" s="8" t="s">
        <v>17</v>
      </c>
      <c r="S180"/>
    </row>
    <row r="181" spans="1:19" ht="15" x14ac:dyDescent="0.25">
      <c r="A181" s="8" t="s">
        <v>5018</v>
      </c>
      <c r="B181" s="8" t="s">
        <v>4819</v>
      </c>
      <c r="C181" s="8" t="s">
        <v>4836</v>
      </c>
      <c r="D181" s="32" t="s">
        <v>6984</v>
      </c>
      <c r="E181" s="32" t="s">
        <v>4836</v>
      </c>
      <c r="F181" s="10">
        <v>1</v>
      </c>
      <c r="G181" s="8" t="s">
        <v>16</v>
      </c>
      <c r="H181" s="10">
        <v>783.3</v>
      </c>
      <c r="I181" s="10">
        <f t="shared" si="4"/>
        <v>783.3</v>
      </c>
      <c r="J181" s="10">
        <v>16.116879497999999</v>
      </c>
      <c r="K181" s="8" t="s">
        <v>17</v>
      </c>
      <c r="S181"/>
    </row>
    <row r="182" spans="1:19" ht="15" x14ac:dyDescent="0.25">
      <c r="A182" s="8" t="s">
        <v>5018</v>
      </c>
      <c r="B182" s="8" t="s">
        <v>4819</v>
      </c>
      <c r="C182" s="8" t="s">
        <v>4821</v>
      </c>
      <c r="D182" s="32" t="s">
        <v>6984</v>
      </c>
      <c r="E182" s="32" t="s">
        <v>4821</v>
      </c>
      <c r="F182" s="10">
        <v>1</v>
      </c>
      <c r="G182" s="8" t="s">
        <v>16</v>
      </c>
      <c r="H182" s="10">
        <v>879.5</v>
      </c>
      <c r="I182" s="10">
        <f t="shared" si="4"/>
        <v>879.5</v>
      </c>
      <c r="J182" s="10">
        <v>18.07942444275</v>
      </c>
      <c r="K182" s="8" t="s">
        <v>17</v>
      </c>
      <c r="S182"/>
    </row>
    <row r="183" spans="1:19" ht="15" x14ac:dyDescent="0.25">
      <c r="A183" s="8" t="s">
        <v>5018</v>
      </c>
      <c r="B183" s="8" t="s">
        <v>4819</v>
      </c>
      <c r="C183" s="8" t="s">
        <v>5035</v>
      </c>
      <c r="D183" s="32" t="s">
        <v>6984</v>
      </c>
      <c r="E183" s="32" t="s">
        <v>5035</v>
      </c>
      <c r="F183" s="10">
        <v>1</v>
      </c>
      <c r="G183" s="8" t="s">
        <v>16</v>
      </c>
      <c r="H183" s="10">
        <v>826.7</v>
      </c>
      <c r="I183" s="10">
        <f t="shared" si="4"/>
        <v>826.7</v>
      </c>
      <c r="J183" s="10">
        <v>21.0262191775</v>
      </c>
      <c r="K183" s="8" t="s">
        <v>19</v>
      </c>
      <c r="S183"/>
    </row>
    <row r="184" spans="1:19" ht="15" x14ac:dyDescent="0.25">
      <c r="A184" s="8" t="s">
        <v>5018</v>
      </c>
      <c r="B184" s="8" t="s">
        <v>4819</v>
      </c>
      <c r="C184" s="8" t="s">
        <v>4826</v>
      </c>
      <c r="D184" s="32" t="s">
        <v>6984</v>
      </c>
      <c r="E184" s="32" t="s">
        <v>4826</v>
      </c>
      <c r="F184" s="10">
        <v>1</v>
      </c>
      <c r="G184" s="8" t="s">
        <v>16</v>
      </c>
      <c r="H184" s="10">
        <v>847.4</v>
      </c>
      <c r="I184" s="10">
        <f t="shared" si="4"/>
        <v>847.4</v>
      </c>
      <c r="J184" s="10">
        <v>21.6165681775</v>
      </c>
      <c r="K184" s="8" t="s">
        <v>19</v>
      </c>
      <c r="S184"/>
    </row>
    <row r="185" spans="1:19" ht="15" x14ac:dyDescent="0.25">
      <c r="A185" s="8" t="s">
        <v>5018</v>
      </c>
      <c r="B185" s="8" t="s">
        <v>4819</v>
      </c>
      <c r="C185" s="8" t="s">
        <v>4828</v>
      </c>
      <c r="D185" s="32" t="s">
        <v>6984</v>
      </c>
      <c r="E185" s="32" t="s">
        <v>4828</v>
      </c>
      <c r="F185" s="10">
        <v>1</v>
      </c>
      <c r="G185" s="8" t="s">
        <v>16</v>
      </c>
      <c r="H185" s="10">
        <v>959.1</v>
      </c>
      <c r="I185" s="10">
        <f t="shared" si="4"/>
        <v>959.1</v>
      </c>
      <c r="J185" s="10">
        <v>19.965507001999999</v>
      </c>
      <c r="K185" s="8" t="s">
        <v>17</v>
      </c>
      <c r="S185"/>
    </row>
    <row r="186" spans="1:19" ht="15" x14ac:dyDescent="0.25">
      <c r="A186" s="8" t="s">
        <v>5018</v>
      </c>
      <c r="B186" s="8" t="s">
        <v>4819</v>
      </c>
      <c r="C186" s="8" t="s">
        <v>4844</v>
      </c>
      <c r="D186" s="32" t="s">
        <v>6984</v>
      </c>
      <c r="E186" s="32" t="s">
        <v>4844</v>
      </c>
      <c r="F186" s="10">
        <v>1</v>
      </c>
      <c r="G186" s="8" t="s">
        <v>16</v>
      </c>
      <c r="H186" s="10">
        <v>812.8</v>
      </c>
      <c r="I186" s="10">
        <f t="shared" si="4"/>
        <v>812.8</v>
      </c>
      <c r="J186" s="10">
        <v>16.84399191276</v>
      </c>
      <c r="K186" s="8" t="s">
        <v>17</v>
      </c>
      <c r="S186"/>
    </row>
    <row r="187" spans="1:19" ht="15" x14ac:dyDescent="0.25">
      <c r="A187" s="8" t="s">
        <v>5018</v>
      </c>
      <c r="B187" s="8" t="s">
        <v>4819</v>
      </c>
      <c r="C187" s="8" t="s">
        <v>4829</v>
      </c>
      <c r="D187" s="32" t="s">
        <v>6984</v>
      </c>
      <c r="E187" s="32" t="s">
        <v>4829</v>
      </c>
      <c r="F187" s="10">
        <v>1</v>
      </c>
      <c r="G187" s="8" t="s">
        <v>16</v>
      </c>
      <c r="H187" s="10">
        <v>950</v>
      </c>
      <c r="I187" s="10">
        <f t="shared" si="4"/>
        <v>950</v>
      </c>
      <c r="J187" s="10">
        <v>19.716187253000001</v>
      </c>
      <c r="K187" s="8" t="s">
        <v>17</v>
      </c>
      <c r="S187"/>
    </row>
    <row r="188" spans="1:19" ht="15" x14ac:dyDescent="0.25">
      <c r="A188" s="8" t="s">
        <v>5018</v>
      </c>
      <c r="B188" s="8" t="s">
        <v>4819</v>
      </c>
      <c r="C188" s="8" t="s">
        <v>4845</v>
      </c>
      <c r="D188" s="32" t="s">
        <v>6984</v>
      </c>
      <c r="E188" s="32" t="s">
        <v>4845</v>
      </c>
      <c r="F188" s="10">
        <v>1</v>
      </c>
      <c r="G188" s="8" t="s">
        <v>16</v>
      </c>
      <c r="H188" s="10">
        <v>826.9</v>
      </c>
      <c r="I188" s="10">
        <f t="shared" si="4"/>
        <v>826.9</v>
      </c>
      <c r="J188" s="10">
        <v>17.06499557774</v>
      </c>
      <c r="K188" s="8" t="s">
        <v>17</v>
      </c>
      <c r="S188"/>
    </row>
    <row r="189" spans="1:19" ht="15" x14ac:dyDescent="0.25">
      <c r="A189" s="8" t="s">
        <v>5018</v>
      </c>
      <c r="B189" s="8" t="s">
        <v>4819</v>
      </c>
      <c r="C189" s="8" t="s">
        <v>5036</v>
      </c>
      <c r="D189" s="32" t="s">
        <v>6984</v>
      </c>
      <c r="E189" s="32" t="s">
        <v>5036</v>
      </c>
      <c r="F189" s="10">
        <v>1</v>
      </c>
      <c r="G189" s="8" t="s">
        <v>16</v>
      </c>
      <c r="H189" s="10">
        <v>824.3</v>
      </c>
      <c r="I189" s="10">
        <f t="shared" si="4"/>
        <v>824.3</v>
      </c>
      <c r="J189" s="10">
        <v>20.927562999999999</v>
      </c>
      <c r="K189" s="8" t="s">
        <v>19</v>
      </c>
      <c r="S189"/>
    </row>
    <row r="190" spans="1:19" ht="15" x14ac:dyDescent="0.25">
      <c r="A190" s="8" t="s">
        <v>5018</v>
      </c>
      <c r="B190" s="8" t="s">
        <v>4819</v>
      </c>
      <c r="C190" s="8" t="s">
        <v>5037</v>
      </c>
      <c r="D190" s="32" t="s">
        <v>6984</v>
      </c>
      <c r="E190" s="32" t="s">
        <v>5037</v>
      </c>
      <c r="F190" s="10">
        <v>1</v>
      </c>
      <c r="G190" s="8" t="s">
        <v>16</v>
      </c>
      <c r="H190" s="10">
        <v>249.3</v>
      </c>
      <c r="I190" s="10">
        <f t="shared" si="4"/>
        <v>249.3</v>
      </c>
      <c r="J190" s="10">
        <v>7.4353899863999997</v>
      </c>
      <c r="K190" s="8" t="s">
        <v>5038</v>
      </c>
      <c r="S190"/>
    </row>
    <row r="191" spans="1:19" ht="15" x14ac:dyDescent="0.25">
      <c r="A191" s="8" t="s">
        <v>5018</v>
      </c>
      <c r="B191" s="8" t="s">
        <v>4819</v>
      </c>
      <c r="C191" s="8" t="s">
        <v>5039</v>
      </c>
      <c r="D191" s="32" t="s">
        <v>6984</v>
      </c>
      <c r="E191" s="32" t="s">
        <v>5039</v>
      </c>
      <c r="F191" s="10">
        <v>1</v>
      </c>
      <c r="G191" s="8" t="s">
        <v>16</v>
      </c>
      <c r="H191" s="10">
        <v>144.80000000000001</v>
      </c>
      <c r="I191" s="10">
        <f t="shared" si="4"/>
        <v>144.80000000000001</v>
      </c>
      <c r="J191" s="10">
        <v>4.9199349999999997</v>
      </c>
      <c r="K191" s="8" t="s">
        <v>5040</v>
      </c>
      <c r="S191"/>
    </row>
    <row r="192" spans="1:19" ht="15" x14ac:dyDescent="0.25">
      <c r="A192" s="8" t="s">
        <v>5018</v>
      </c>
      <c r="B192" s="8" t="s">
        <v>4819</v>
      </c>
      <c r="C192" s="8" t="s">
        <v>5041</v>
      </c>
      <c r="D192" s="32" t="s">
        <v>6984</v>
      </c>
      <c r="E192" s="32" t="s">
        <v>5041</v>
      </c>
      <c r="F192" s="10">
        <v>2</v>
      </c>
      <c r="G192" s="8" t="s">
        <v>16</v>
      </c>
      <c r="H192" s="10">
        <v>245.05</v>
      </c>
      <c r="I192" s="10">
        <f t="shared" si="4"/>
        <v>490.1</v>
      </c>
      <c r="J192" s="10">
        <v>14.600258999999999</v>
      </c>
      <c r="K192" s="8" t="s">
        <v>5038</v>
      </c>
      <c r="S192"/>
    </row>
    <row r="193" spans="1:19" ht="15" x14ac:dyDescent="0.25">
      <c r="A193" s="8" t="s">
        <v>5018</v>
      </c>
      <c r="B193" s="8" t="s">
        <v>4819</v>
      </c>
      <c r="C193" s="8" t="s">
        <v>5042</v>
      </c>
      <c r="D193" s="32" t="s">
        <v>6984</v>
      </c>
      <c r="E193" s="32" t="s">
        <v>5042</v>
      </c>
      <c r="F193" s="10">
        <v>2</v>
      </c>
      <c r="G193" s="8" t="s">
        <v>16</v>
      </c>
      <c r="H193" s="10">
        <v>823.3</v>
      </c>
      <c r="I193" s="10">
        <f t="shared" si="4"/>
        <v>1646.6</v>
      </c>
      <c r="J193" s="10">
        <v>41.855125999999998</v>
      </c>
      <c r="K193" s="8" t="s">
        <v>19</v>
      </c>
      <c r="S193"/>
    </row>
    <row r="194" spans="1:19" ht="15" x14ac:dyDescent="0.25">
      <c r="A194" s="8" t="s">
        <v>5018</v>
      </c>
      <c r="B194" s="8" t="s">
        <v>4819</v>
      </c>
      <c r="C194" s="8" t="s">
        <v>5043</v>
      </c>
      <c r="D194" s="32" t="s">
        <v>6984</v>
      </c>
      <c r="E194" s="32" t="s">
        <v>5043</v>
      </c>
      <c r="F194" s="10">
        <v>1</v>
      </c>
      <c r="G194" s="8" t="s">
        <v>16</v>
      </c>
      <c r="H194" s="10">
        <v>830.4</v>
      </c>
      <c r="I194" s="10">
        <f t="shared" si="4"/>
        <v>830.4</v>
      </c>
      <c r="J194" s="10">
        <v>21.125455416000001</v>
      </c>
      <c r="K194" s="8" t="s">
        <v>19</v>
      </c>
      <c r="S194"/>
    </row>
    <row r="195" spans="1:19" ht="15" x14ac:dyDescent="0.25">
      <c r="A195" s="8" t="s">
        <v>5018</v>
      </c>
      <c r="B195" s="8" t="s">
        <v>4819</v>
      </c>
      <c r="C195" s="8" t="s">
        <v>5044</v>
      </c>
      <c r="D195" s="32" t="s">
        <v>6984</v>
      </c>
      <c r="E195" s="32" t="s">
        <v>5044</v>
      </c>
      <c r="F195" s="10">
        <v>2</v>
      </c>
      <c r="G195" s="8" t="s">
        <v>16</v>
      </c>
      <c r="H195" s="10">
        <v>144.80000000000001</v>
      </c>
      <c r="I195" s="10">
        <f t="shared" si="4"/>
        <v>289.60000000000002</v>
      </c>
      <c r="J195" s="10">
        <v>9.8398699999999995</v>
      </c>
      <c r="K195" s="8" t="s">
        <v>5040</v>
      </c>
      <c r="S195"/>
    </row>
    <row r="196" spans="1:19" ht="15" x14ac:dyDescent="0.25">
      <c r="A196" s="8" t="s">
        <v>5018</v>
      </c>
      <c r="B196" s="8" t="s">
        <v>4819</v>
      </c>
      <c r="C196" s="8" t="s">
        <v>5045</v>
      </c>
      <c r="D196" s="32" t="s">
        <v>6984</v>
      </c>
      <c r="E196" s="32" t="s">
        <v>5045</v>
      </c>
      <c r="F196" s="10">
        <v>1</v>
      </c>
      <c r="G196" s="8" t="s">
        <v>16</v>
      </c>
      <c r="H196" s="10">
        <v>164.6</v>
      </c>
      <c r="I196" s="10">
        <f t="shared" si="4"/>
        <v>164.6</v>
      </c>
      <c r="J196" s="10">
        <v>5.6005637952000002</v>
      </c>
      <c r="K196" s="8" t="s">
        <v>5040</v>
      </c>
      <c r="S196"/>
    </row>
    <row r="197" spans="1:19" ht="15" x14ac:dyDescent="0.25">
      <c r="A197" s="8" t="s">
        <v>5018</v>
      </c>
      <c r="B197" s="8" t="s">
        <v>4819</v>
      </c>
      <c r="C197" s="8" t="s">
        <v>5046</v>
      </c>
      <c r="D197" s="32" t="s">
        <v>6984</v>
      </c>
      <c r="E197" s="32" t="s">
        <v>5046</v>
      </c>
      <c r="F197" s="10">
        <v>1</v>
      </c>
      <c r="G197" s="8" t="s">
        <v>16</v>
      </c>
      <c r="H197" s="10">
        <v>50.4</v>
      </c>
      <c r="I197" s="10">
        <f t="shared" ref="I197:I260" si="5">F197*H197</f>
        <v>50.4</v>
      </c>
      <c r="J197" s="10">
        <v>1.5215367772799999</v>
      </c>
      <c r="K197" s="8" t="s">
        <v>5038</v>
      </c>
      <c r="S197"/>
    </row>
    <row r="198" spans="1:19" ht="15" x14ac:dyDescent="0.25">
      <c r="A198" s="8" t="s">
        <v>5018</v>
      </c>
      <c r="B198" s="8" t="s">
        <v>4819</v>
      </c>
      <c r="C198" s="8" t="s">
        <v>4830</v>
      </c>
      <c r="D198" s="32" t="s">
        <v>6984</v>
      </c>
      <c r="E198" s="32" t="s">
        <v>4830</v>
      </c>
      <c r="F198" s="10">
        <v>2</v>
      </c>
      <c r="G198" s="8" t="s">
        <v>16</v>
      </c>
      <c r="H198" s="10">
        <v>108.2</v>
      </c>
      <c r="I198" s="10">
        <f t="shared" si="5"/>
        <v>216.4</v>
      </c>
      <c r="J198" s="10">
        <v>6.9158619999999997</v>
      </c>
      <c r="K198" s="8" t="s">
        <v>4781</v>
      </c>
      <c r="S198"/>
    </row>
    <row r="199" spans="1:19" ht="15" x14ac:dyDescent="0.25">
      <c r="A199" s="8" t="s">
        <v>5018</v>
      </c>
      <c r="B199" s="8" t="s">
        <v>4819</v>
      </c>
      <c r="C199" s="8" t="s">
        <v>4842</v>
      </c>
      <c r="D199" s="32" t="s">
        <v>6984</v>
      </c>
      <c r="E199" s="32" t="s">
        <v>4842</v>
      </c>
      <c r="F199" s="10">
        <v>1</v>
      </c>
      <c r="G199" s="8" t="s">
        <v>16</v>
      </c>
      <c r="H199" s="10">
        <v>94.3</v>
      </c>
      <c r="I199" s="10">
        <f t="shared" si="5"/>
        <v>94.3</v>
      </c>
      <c r="J199" s="10">
        <v>3.0139990000000001</v>
      </c>
      <c r="K199" s="8" t="s">
        <v>4781</v>
      </c>
      <c r="S199"/>
    </row>
    <row r="200" spans="1:19" ht="15" x14ac:dyDescent="0.25">
      <c r="A200" s="8" t="s">
        <v>5018</v>
      </c>
      <c r="B200" s="8" t="s">
        <v>4819</v>
      </c>
      <c r="C200" s="8" t="s">
        <v>4837</v>
      </c>
      <c r="D200" s="32" t="s">
        <v>6984</v>
      </c>
      <c r="E200" s="32" t="s">
        <v>4837</v>
      </c>
      <c r="F200" s="10">
        <v>3</v>
      </c>
      <c r="G200" s="8" t="s">
        <v>16</v>
      </c>
      <c r="H200" s="10">
        <v>1202.0666666666666</v>
      </c>
      <c r="I200" s="10">
        <f t="shared" si="5"/>
        <v>3606.2</v>
      </c>
      <c r="J200" s="10">
        <v>73.614528000000007</v>
      </c>
      <c r="K200" s="8" t="s">
        <v>17</v>
      </c>
      <c r="S200"/>
    </row>
    <row r="201" spans="1:19" ht="15" x14ac:dyDescent="0.25">
      <c r="A201" s="8" t="s">
        <v>5018</v>
      </c>
      <c r="B201" s="8" t="s">
        <v>4819</v>
      </c>
      <c r="C201" s="8" t="s">
        <v>4840</v>
      </c>
      <c r="D201" s="32" t="s">
        <v>6984</v>
      </c>
      <c r="E201" s="32" t="s">
        <v>4840</v>
      </c>
      <c r="F201" s="10">
        <v>2</v>
      </c>
      <c r="G201" s="8" t="s">
        <v>16</v>
      </c>
      <c r="H201" s="10">
        <v>94.7</v>
      </c>
      <c r="I201" s="10">
        <f t="shared" si="5"/>
        <v>189.4</v>
      </c>
      <c r="J201" s="10">
        <v>6.0554319999999997</v>
      </c>
      <c r="K201" s="8" t="s">
        <v>4781</v>
      </c>
      <c r="S201"/>
    </row>
    <row r="202" spans="1:19" ht="15" x14ac:dyDescent="0.25">
      <c r="A202" s="8" t="s">
        <v>5018</v>
      </c>
      <c r="B202" s="8" t="s">
        <v>4819</v>
      </c>
      <c r="C202" s="8" t="s">
        <v>4822</v>
      </c>
      <c r="D202" s="32" t="s">
        <v>6984</v>
      </c>
      <c r="E202" s="32" t="s">
        <v>4822</v>
      </c>
      <c r="F202" s="10">
        <v>5</v>
      </c>
      <c r="G202" s="8" t="s">
        <v>16</v>
      </c>
      <c r="H202" s="10">
        <v>845.04</v>
      </c>
      <c r="I202" s="10">
        <f t="shared" si="5"/>
        <v>4225.2</v>
      </c>
      <c r="J202" s="10">
        <v>107.58956000000001</v>
      </c>
      <c r="K202" s="8" t="s">
        <v>19</v>
      </c>
      <c r="S202"/>
    </row>
    <row r="203" spans="1:19" ht="15" x14ac:dyDescent="0.25">
      <c r="A203" s="8" t="s">
        <v>5018</v>
      </c>
      <c r="B203" s="8" t="s">
        <v>4819</v>
      </c>
      <c r="C203" s="8" t="s">
        <v>4843</v>
      </c>
      <c r="D203" s="32" t="s">
        <v>6984</v>
      </c>
      <c r="E203" s="32" t="s">
        <v>4843</v>
      </c>
      <c r="F203" s="10">
        <v>1</v>
      </c>
      <c r="G203" s="8" t="s">
        <v>16</v>
      </c>
      <c r="H203" s="10">
        <v>95.1</v>
      </c>
      <c r="I203" s="10">
        <f t="shared" si="5"/>
        <v>95.1</v>
      </c>
      <c r="J203" s="10">
        <v>3.0401859999999998</v>
      </c>
      <c r="K203" s="8" t="s">
        <v>4781</v>
      </c>
      <c r="S203"/>
    </row>
    <row r="204" spans="1:19" ht="15" x14ac:dyDescent="0.25">
      <c r="A204" s="8" t="s">
        <v>5018</v>
      </c>
      <c r="B204" s="8" t="s">
        <v>4819</v>
      </c>
      <c r="C204" s="8" t="s">
        <v>4841</v>
      </c>
      <c r="D204" s="32" t="s">
        <v>6984</v>
      </c>
      <c r="E204" s="32" t="s">
        <v>4841</v>
      </c>
      <c r="F204" s="10">
        <v>2</v>
      </c>
      <c r="G204" s="8" t="s">
        <v>16</v>
      </c>
      <c r="H204" s="10">
        <v>94.9</v>
      </c>
      <c r="I204" s="10">
        <f t="shared" si="5"/>
        <v>189.8</v>
      </c>
      <c r="J204" s="10">
        <v>6.0679020000000001</v>
      </c>
      <c r="K204" s="8" t="s">
        <v>4781</v>
      </c>
      <c r="S204"/>
    </row>
    <row r="205" spans="1:19" ht="15" x14ac:dyDescent="0.25">
      <c r="A205" s="8" t="s">
        <v>5018</v>
      </c>
      <c r="B205" s="8" t="s">
        <v>4819</v>
      </c>
      <c r="C205" s="8" t="s">
        <v>5047</v>
      </c>
      <c r="D205" s="32" t="s">
        <v>6984</v>
      </c>
      <c r="E205" s="32" t="s">
        <v>5047</v>
      </c>
      <c r="F205" s="10">
        <v>4</v>
      </c>
      <c r="G205" s="8" t="s">
        <v>4903</v>
      </c>
      <c r="H205" s="10">
        <v>207.27500000000001</v>
      </c>
      <c r="I205" s="10">
        <f t="shared" si="5"/>
        <v>829.1</v>
      </c>
      <c r="J205" s="10">
        <v>21.322392000000001</v>
      </c>
      <c r="K205" s="8" t="s">
        <v>4949</v>
      </c>
      <c r="S205"/>
    </row>
    <row r="206" spans="1:19" ht="15" x14ac:dyDescent="0.25">
      <c r="A206" s="8" t="s">
        <v>5018</v>
      </c>
      <c r="B206" s="8" t="s">
        <v>4819</v>
      </c>
      <c r="C206" s="8" t="s">
        <v>5048</v>
      </c>
      <c r="D206" s="32" t="s">
        <v>6984</v>
      </c>
      <c r="E206" s="32" t="s">
        <v>5048</v>
      </c>
      <c r="F206" s="10">
        <v>1</v>
      </c>
      <c r="G206" s="8" t="s">
        <v>4903</v>
      </c>
      <c r="H206" s="10">
        <v>71.900000000000006</v>
      </c>
      <c r="I206" s="10">
        <f t="shared" si="5"/>
        <v>71.900000000000006</v>
      </c>
      <c r="J206" s="10">
        <v>2.7916720000000002</v>
      </c>
      <c r="K206" s="8" t="s">
        <v>5049</v>
      </c>
      <c r="S206"/>
    </row>
    <row r="207" spans="1:19" ht="15" x14ac:dyDescent="0.25">
      <c r="A207" s="8" t="s">
        <v>5018</v>
      </c>
      <c r="B207" s="8" t="s">
        <v>4819</v>
      </c>
      <c r="C207" s="8" t="s">
        <v>5050</v>
      </c>
      <c r="D207" s="32" t="s">
        <v>6984</v>
      </c>
      <c r="E207" s="32" t="s">
        <v>5050</v>
      </c>
      <c r="F207" s="10">
        <v>1</v>
      </c>
      <c r="G207" s="8" t="s">
        <v>4903</v>
      </c>
      <c r="H207" s="10">
        <v>5.7</v>
      </c>
      <c r="I207" s="10">
        <f t="shared" si="5"/>
        <v>5.7</v>
      </c>
      <c r="J207" s="10">
        <v>0.2395728</v>
      </c>
      <c r="K207" s="8" t="s">
        <v>5051</v>
      </c>
      <c r="S207"/>
    </row>
    <row r="208" spans="1:19" ht="15" x14ac:dyDescent="0.25">
      <c r="A208" s="8" t="s">
        <v>5018</v>
      </c>
      <c r="B208" s="8" t="s">
        <v>4819</v>
      </c>
      <c r="C208" s="8" t="s">
        <v>5052</v>
      </c>
      <c r="D208" s="32" t="s">
        <v>6984</v>
      </c>
      <c r="E208" s="32" t="s">
        <v>5052</v>
      </c>
      <c r="F208" s="10">
        <v>1</v>
      </c>
      <c r="G208" s="8" t="s">
        <v>4903</v>
      </c>
      <c r="H208" s="10">
        <v>5.7</v>
      </c>
      <c r="I208" s="10">
        <f t="shared" si="5"/>
        <v>5.7</v>
      </c>
      <c r="J208" s="10">
        <v>0.2395728</v>
      </c>
      <c r="K208" s="8" t="s">
        <v>5051</v>
      </c>
      <c r="S208"/>
    </row>
    <row r="209" spans="1:19" ht="15" x14ac:dyDescent="0.25">
      <c r="A209" s="8" t="s">
        <v>5018</v>
      </c>
      <c r="B209" s="8" t="s">
        <v>4819</v>
      </c>
      <c r="C209" s="8" t="s">
        <v>5053</v>
      </c>
      <c r="D209" s="32" t="s">
        <v>6984</v>
      </c>
      <c r="E209" s="32" t="s">
        <v>5053</v>
      </c>
      <c r="F209" s="10">
        <v>2</v>
      </c>
      <c r="G209" s="8" t="s">
        <v>4903</v>
      </c>
      <c r="H209" s="10">
        <v>5.75</v>
      </c>
      <c r="I209" s="10">
        <f t="shared" si="5"/>
        <v>11.5</v>
      </c>
      <c r="J209" s="10">
        <v>0.4791456</v>
      </c>
      <c r="K209" s="8" t="s">
        <v>5051</v>
      </c>
      <c r="S209"/>
    </row>
    <row r="210" spans="1:19" ht="15" x14ac:dyDescent="0.25">
      <c r="A210" s="8" t="s">
        <v>5018</v>
      </c>
      <c r="B210" s="8" t="s">
        <v>4819</v>
      </c>
      <c r="C210" s="8" t="s">
        <v>5054</v>
      </c>
      <c r="D210" s="32" t="s">
        <v>6984</v>
      </c>
      <c r="E210" s="32" t="s">
        <v>5054</v>
      </c>
      <c r="F210" s="10">
        <v>2</v>
      </c>
      <c r="G210" s="8" t="s">
        <v>4903</v>
      </c>
      <c r="H210" s="10">
        <v>8.85</v>
      </c>
      <c r="I210" s="10">
        <f t="shared" si="5"/>
        <v>17.7</v>
      </c>
      <c r="J210" s="10">
        <v>0.7400544</v>
      </c>
      <c r="K210" s="8" t="s">
        <v>5051</v>
      </c>
      <c r="S210"/>
    </row>
    <row r="211" spans="1:19" ht="15" x14ac:dyDescent="0.25">
      <c r="A211" s="8" t="s">
        <v>5018</v>
      </c>
      <c r="B211" s="8" t="s">
        <v>4819</v>
      </c>
      <c r="C211" s="8" t="s">
        <v>5055</v>
      </c>
      <c r="D211" s="32" t="s">
        <v>6984</v>
      </c>
      <c r="E211" s="32" t="s">
        <v>5055</v>
      </c>
      <c r="F211" s="10">
        <v>3</v>
      </c>
      <c r="G211" s="8" t="s">
        <v>22</v>
      </c>
      <c r="H211" s="10">
        <v>0.43333333333333335</v>
      </c>
      <c r="I211" s="10">
        <f t="shared" si="5"/>
        <v>1.3</v>
      </c>
      <c r="J211" s="10">
        <v>4.5359999999999998E-2</v>
      </c>
      <c r="K211" s="8" t="s">
        <v>5056</v>
      </c>
      <c r="S211"/>
    </row>
    <row r="212" spans="1:19" ht="15" x14ac:dyDescent="0.25">
      <c r="A212" s="8" t="s">
        <v>5018</v>
      </c>
      <c r="B212" s="8" t="s">
        <v>4819</v>
      </c>
      <c r="C212" s="8" t="s">
        <v>5057</v>
      </c>
      <c r="D212" s="32" t="s">
        <v>6984</v>
      </c>
      <c r="E212" s="32" t="s">
        <v>5057</v>
      </c>
      <c r="F212" s="10">
        <v>2</v>
      </c>
      <c r="G212" s="8" t="s">
        <v>22</v>
      </c>
      <c r="H212" s="10">
        <v>1.95</v>
      </c>
      <c r="I212" s="10">
        <f t="shared" si="5"/>
        <v>3.9</v>
      </c>
      <c r="J212" s="10">
        <v>0.16098750000000001</v>
      </c>
      <c r="K212" s="8" t="s">
        <v>4798</v>
      </c>
      <c r="S212"/>
    </row>
    <row r="213" spans="1:19" ht="15" x14ac:dyDescent="0.25">
      <c r="A213" s="8" t="s">
        <v>5018</v>
      </c>
      <c r="B213" s="8" t="s">
        <v>4819</v>
      </c>
      <c r="C213" s="8" t="s">
        <v>4831</v>
      </c>
      <c r="D213" s="32" t="s">
        <v>6984</v>
      </c>
      <c r="E213" s="32" t="s">
        <v>4831</v>
      </c>
      <c r="F213" s="10">
        <v>32</v>
      </c>
      <c r="G213" s="8" t="s">
        <v>22</v>
      </c>
      <c r="H213" s="10">
        <v>1.484375</v>
      </c>
      <c r="I213" s="10">
        <f t="shared" si="5"/>
        <v>47.5</v>
      </c>
      <c r="J213" s="10">
        <v>1.944</v>
      </c>
      <c r="K213" s="8" t="s">
        <v>4798</v>
      </c>
      <c r="S213"/>
    </row>
    <row r="214" spans="1:19" ht="15" x14ac:dyDescent="0.25">
      <c r="A214" s="8" t="s">
        <v>5018</v>
      </c>
      <c r="B214" s="8" t="s">
        <v>4819</v>
      </c>
      <c r="C214" s="8" t="s">
        <v>4846</v>
      </c>
      <c r="D214" s="32" t="s">
        <v>6984</v>
      </c>
      <c r="E214" s="32" t="s">
        <v>4846</v>
      </c>
      <c r="F214" s="10">
        <v>32</v>
      </c>
      <c r="G214" s="8" t="s">
        <v>22</v>
      </c>
      <c r="H214" s="10">
        <v>2.0093749999999999</v>
      </c>
      <c r="I214" s="10">
        <f t="shared" si="5"/>
        <v>64.3</v>
      </c>
      <c r="J214" s="10">
        <v>2.6308799999999999</v>
      </c>
      <c r="K214" s="8" t="s">
        <v>4798</v>
      </c>
      <c r="S214"/>
    </row>
    <row r="215" spans="1:19" ht="15" x14ac:dyDescent="0.25">
      <c r="A215" s="8" t="s">
        <v>5018</v>
      </c>
      <c r="B215" s="8" t="s">
        <v>4819</v>
      </c>
      <c r="C215" s="8" t="s">
        <v>5058</v>
      </c>
      <c r="D215" s="32" t="s">
        <v>6984</v>
      </c>
      <c r="E215" s="32" t="s">
        <v>5058</v>
      </c>
      <c r="F215" s="10">
        <v>2</v>
      </c>
      <c r="G215" s="8" t="s">
        <v>22</v>
      </c>
      <c r="H215" s="10">
        <v>1.6</v>
      </c>
      <c r="I215" s="10">
        <f t="shared" si="5"/>
        <v>3.2</v>
      </c>
      <c r="J215" s="10">
        <v>0.13122</v>
      </c>
      <c r="K215" s="8" t="s">
        <v>4798</v>
      </c>
      <c r="S215"/>
    </row>
    <row r="216" spans="1:19" ht="15" x14ac:dyDescent="0.25">
      <c r="A216" s="8" t="s">
        <v>5018</v>
      </c>
      <c r="B216" s="8" t="s">
        <v>4819</v>
      </c>
      <c r="C216" s="8" t="s">
        <v>4823</v>
      </c>
      <c r="D216" s="32" t="s">
        <v>6984</v>
      </c>
      <c r="E216" s="32" t="s">
        <v>4823</v>
      </c>
      <c r="F216" s="10">
        <v>4</v>
      </c>
      <c r="G216" s="8" t="s">
        <v>22</v>
      </c>
      <c r="H216" s="10">
        <v>1</v>
      </c>
      <c r="I216" s="10">
        <f t="shared" si="5"/>
        <v>4</v>
      </c>
      <c r="J216" s="10">
        <v>0.164025</v>
      </c>
      <c r="K216" s="8" t="s">
        <v>4798</v>
      </c>
      <c r="S216"/>
    </row>
    <row r="217" spans="1:19" ht="15" x14ac:dyDescent="0.25">
      <c r="A217" s="8" t="s">
        <v>5018</v>
      </c>
      <c r="B217" s="8" t="s">
        <v>4819</v>
      </c>
      <c r="C217" s="8" t="s">
        <v>5059</v>
      </c>
      <c r="D217" s="32" t="s">
        <v>6984</v>
      </c>
      <c r="E217" s="32" t="s">
        <v>5059</v>
      </c>
      <c r="F217" s="10">
        <v>32</v>
      </c>
      <c r="G217" s="8" t="s">
        <v>22</v>
      </c>
      <c r="H217" s="10">
        <v>17.956250000000001</v>
      </c>
      <c r="I217" s="10">
        <f t="shared" si="5"/>
        <v>574.6</v>
      </c>
      <c r="J217" s="10">
        <v>15.704012799999999</v>
      </c>
      <c r="K217" s="8" t="s">
        <v>25</v>
      </c>
      <c r="S217"/>
    </row>
    <row r="218" spans="1:19" ht="15" x14ac:dyDescent="0.25">
      <c r="A218" s="8" t="s">
        <v>5018</v>
      </c>
      <c r="B218" s="8" t="s">
        <v>4819</v>
      </c>
      <c r="C218" s="8" t="s">
        <v>4824</v>
      </c>
      <c r="D218" s="32" t="s">
        <v>6984</v>
      </c>
      <c r="E218" s="32" t="s">
        <v>4824</v>
      </c>
      <c r="F218" s="10">
        <v>56</v>
      </c>
      <c r="G218" s="8" t="s">
        <v>22</v>
      </c>
      <c r="H218" s="10">
        <v>5.8732142857142851</v>
      </c>
      <c r="I218" s="10">
        <f t="shared" si="5"/>
        <v>328.9</v>
      </c>
      <c r="J218" s="10">
        <v>8.9875799999999995</v>
      </c>
      <c r="K218" s="8" t="s">
        <v>25</v>
      </c>
      <c r="S218"/>
    </row>
    <row r="219" spans="1:19" ht="15" x14ac:dyDescent="0.25">
      <c r="A219" s="8" t="s">
        <v>5018</v>
      </c>
      <c r="B219" s="8" t="s">
        <v>4819</v>
      </c>
      <c r="C219" s="8" t="s">
        <v>4832</v>
      </c>
      <c r="D219" s="32" t="s">
        <v>6984</v>
      </c>
      <c r="E219" s="32" t="s">
        <v>4832</v>
      </c>
      <c r="F219" s="10">
        <v>32</v>
      </c>
      <c r="G219" s="8" t="s">
        <v>22</v>
      </c>
      <c r="H219" s="10">
        <v>3.6968749999999999</v>
      </c>
      <c r="I219" s="10">
        <f t="shared" si="5"/>
        <v>118.3</v>
      </c>
      <c r="J219" s="10">
        <v>3.8279628799999998</v>
      </c>
      <c r="K219" s="8" t="s">
        <v>23</v>
      </c>
      <c r="S219"/>
    </row>
    <row r="220" spans="1:19" ht="15" x14ac:dyDescent="0.25">
      <c r="A220" s="8" t="s">
        <v>5018</v>
      </c>
      <c r="B220" s="8" t="s">
        <v>4819</v>
      </c>
      <c r="C220" s="8" t="s">
        <v>5060</v>
      </c>
      <c r="D220" s="32" t="s">
        <v>6984</v>
      </c>
      <c r="E220" s="32" t="s">
        <v>5060</v>
      </c>
      <c r="F220" s="10">
        <v>2</v>
      </c>
      <c r="G220" s="8" t="s">
        <v>22</v>
      </c>
      <c r="H220" s="10">
        <v>3.25</v>
      </c>
      <c r="I220" s="10">
        <f t="shared" si="5"/>
        <v>6.5</v>
      </c>
      <c r="J220" s="10">
        <v>0.21002752</v>
      </c>
      <c r="K220" s="8" t="s">
        <v>23</v>
      </c>
      <c r="S220"/>
    </row>
    <row r="221" spans="1:19" ht="15" x14ac:dyDescent="0.25">
      <c r="A221" s="8" t="s">
        <v>5018</v>
      </c>
      <c r="B221" s="8" t="s">
        <v>4819</v>
      </c>
      <c r="C221" s="8" t="s">
        <v>4833</v>
      </c>
      <c r="D221" s="32" t="s">
        <v>6984</v>
      </c>
      <c r="E221" s="32" t="s">
        <v>4833</v>
      </c>
      <c r="F221" s="10">
        <v>64</v>
      </c>
      <c r="G221" s="8" t="s">
        <v>22</v>
      </c>
      <c r="H221" s="10">
        <v>1.2749999999999999</v>
      </c>
      <c r="I221" s="10">
        <f t="shared" si="5"/>
        <v>81.599999999999994</v>
      </c>
      <c r="J221" s="10">
        <v>2.6399743999999998</v>
      </c>
      <c r="K221" s="8" t="s">
        <v>23</v>
      </c>
      <c r="S221"/>
    </row>
    <row r="222" spans="1:19" ht="15" x14ac:dyDescent="0.25">
      <c r="A222" s="8" t="s">
        <v>5018</v>
      </c>
      <c r="B222" s="8" t="s">
        <v>4819</v>
      </c>
      <c r="C222" s="8" t="s">
        <v>5061</v>
      </c>
      <c r="D222" s="32" t="s">
        <v>6984</v>
      </c>
      <c r="E222" s="32" t="s">
        <v>5061</v>
      </c>
      <c r="F222" s="10">
        <v>4</v>
      </c>
      <c r="G222" s="8" t="s">
        <v>22</v>
      </c>
      <c r="H222" s="10">
        <v>1.2749999999999999</v>
      </c>
      <c r="I222" s="10">
        <f t="shared" si="5"/>
        <v>5.0999999999999996</v>
      </c>
      <c r="J222" s="10">
        <v>0.16581119999999999</v>
      </c>
      <c r="K222" s="8" t="s">
        <v>23</v>
      </c>
      <c r="S222"/>
    </row>
    <row r="223" spans="1:19" ht="15" x14ac:dyDescent="0.25">
      <c r="A223" s="8" t="s">
        <v>5018</v>
      </c>
      <c r="B223" s="8" t="s">
        <v>4819</v>
      </c>
      <c r="C223" s="8" t="s">
        <v>4825</v>
      </c>
      <c r="D223" s="32" t="s">
        <v>6984</v>
      </c>
      <c r="E223" s="32" t="s">
        <v>4825</v>
      </c>
      <c r="F223" s="10">
        <v>62</v>
      </c>
      <c r="G223" s="8" t="s">
        <v>22</v>
      </c>
      <c r="H223" s="10">
        <v>4.3016129032258066</v>
      </c>
      <c r="I223" s="10">
        <f t="shared" si="5"/>
        <v>266.7</v>
      </c>
      <c r="J223" s="10">
        <v>8.6928959999999993</v>
      </c>
      <c r="K223" s="8" t="s">
        <v>23</v>
      </c>
      <c r="S223"/>
    </row>
    <row r="224" spans="1:19" ht="15" x14ac:dyDescent="0.25">
      <c r="A224" s="8" t="s">
        <v>5018</v>
      </c>
      <c r="B224" s="8" t="s">
        <v>4819</v>
      </c>
      <c r="C224" s="8" t="s">
        <v>5062</v>
      </c>
      <c r="D224" s="32" t="s">
        <v>6984</v>
      </c>
      <c r="E224" s="32" t="s">
        <v>5062</v>
      </c>
      <c r="F224" s="10">
        <v>64</v>
      </c>
      <c r="G224" s="8" t="s">
        <v>22</v>
      </c>
      <c r="H224" s="10">
        <v>8.8609375000000004</v>
      </c>
      <c r="I224" s="10">
        <f t="shared" si="5"/>
        <v>567.1</v>
      </c>
      <c r="J224" s="10">
        <v>11.853139199999999</v>
      </c>
      <c r="K224" s="8" t="s">
        <v>4795</v>
      </c>
      <c r="S224"/>
    </row>
    <row r="225" spans="1:19" ht="15" x14ac:dyDescent="0.25">
      <c r="A225" s="8" t="s">
        <v>5018</v>
      </c>
      <c r="B225" s="8" t="s">
        <v>4819</v>
      </c>
      <c r="C225" s="8" t="s">
        <v>5063</v>
      </c>
      <c r="D225" s="32" t="s">
        <v>6984</v>
      </c>
      <c r="E225" s="32" t="s">
        <v>5063</v>
      </c>
      <c r="F225" s="10">
        <v>32</v>
      </c>
      <c r="G225" s="8" t="s">
        <v>22</v>
      </c>
      <c r="H225" s="10">
        <v>21.096875000000001</v>
      </c>
      <c r="I225" s="10">
        <f t="shared" si="5"/>
        <v>675.1</v>
      </c>
      <c r="J225" s="10">
        <v>14.11088</v>
      </c>
      <c r="K225" s="8" t="s">
        <v>4795</v>
      </c>
      <c r="S225"/>
    </row>
    <row r="226" spans="1:19" ht="15" x14ac:dyDescent="0.25">
      <c r="A226" s="8" t="s">
        <v>5018</v>
      </c>
      <c r="B226" s="8" t="s">
        <v>4819</v>
      </c>
      <c r="C226" s="8" t="s">
        <v>5064</v>
      </c>
      <c r="D226" s="32" t="s">
        <v>6984</v>
      </c>
      <c r="E226" s="32" t="s">
        <v>5064</v>
      </c>
      <c r="F226" s="10">
        <v>1</v>
      </c>
      <c r="G226" s="8" t="s">
        <v>16</v>
      </c>
      <c r="H226" s="10">
        <v>1160.9000000000001</v>
      </c>
      <c r="I226" s="10">
        <f t="shared" si="5"/>
        <v>1160.9000000000001</v>
      </c>
      <c r="J226" s="10">
        <v>23.976528693750002</v>
      </c>
      <c r="K226" s="8" t="s">
        <v>17</v>
      </c>
      <c r="S226"/>
    </row>
    <row r="227" spans="1:19" ht="15" x14ac:dyDescent="0.25">
      <c r="A227" s="8" t="s">
        <v>5018</v>
      </c>
      <c r="B227" s="8" t="s">
        <v>4819</v>
      </c>
      <c r="C227" s="8" t="s">
        <v>5065</v>
      </c>
      <c r="D227" s="32" t="s">
        <v>6984</v>
      </c>
      <c r="E227" s="32" t="s">
        <v>5065</v>
      </c>
      <c r="F227" s="10">
        <v>1</v>
      </c>
      <c r="G227" s="8" t="s">
        <v>16</v>
      </c>
      <c r="H227" s="10">
        <v>1160.9000000000001</v>
      </c>
      <c r="I227" s="10">
        <f t="shared" si="5"/>
        <v>1160.9000000000001</v>
      </c>
      <c r="J227" s="10">
        <v>23.976528693750002</v>
      </c>
      <c r="K227" s="8" t="s">
        <v>17</v>
      </c>
      <c r="S227"/>
    </row>
    <row r="228" spans="1:19" ht="15" x14ac:dyDescent="0.25">
      <c r="A228" s="8" t="s">
        <v>5018</v>
      </c>
      <c r="B228" s="8" t="s">
        <v>4819</v>
      </c>
      <c r="C228" s="8" t="s">
        <v>5066</v>
      </c>
      <c r="D228" s="32" t="s">
        <v>6984</v>
      </c>
      <c r="E228" s="32" t="s">
        <v>5066</v>
      </c>
      <c r="F228" s="10">
        <v>1</v>
      </c>
      <c r="G228" s="8" t="s">
        <v>16</v>
      </c>
      <c r="H228" s="10">
        <v>830.2</v>
      </c>
      <c r="I228" s="10">
        <f t="shared" si="5"/>
        <v>830.2</v>
      </c>
      <c r="J228" s="10">
        <v>21.124875355</v>
      </c>
      <c r="K228" s="8" t="s">
        <v>19</v>
      </c>
      <c r="S228"/>
    </row>
    <row r="229" spans="1:19" ht="15" x14ac:dyDescent="0.25">
      <c r="A229" s="8" t="s">
        <v>5018</v>
      </c>
      <c r="B229" s="8" t="s">
        <v>4819</v>
      </c>
      <c r="C229" s="8" t="s">
        <v>4827</v>
      </c>
      <c r="D229" s="32" t="s">
        <v>6984</v>
      </c>
      <c r="E229" s="32" t="s">
        <v>4827</v>
      </c>
      <c r="F229" s="10">
        <v>1</v>
      </c>
      <c r="G229" s="8" t="s">
        <v>16</v>
      </c>
      <c r="H229" s="10">
        <v>851</v>
      </c>
      <c r="I229" s="10">
        <f t="shared" si="5"/>
        <v>851</v>
      </c>
      <c r="J229" s="10">
        <v>21.715224355</v>
      </c>
      <c r="K229" s="8" t="s">
        <v>19</v>
      </c>
      <c r="S229"/>
    </row>
    <row r="230" spans="1:19" ht="15" x14ac:dyDescent="0.25">
      <c r="A230" s="8" t="s">
        <v>5018</v>
      </c>
      <c r="B230" s="8" t="s">
        <v>4819</v>
      </c>
      <c r="C230" s="8" t="s">
        <v>4838</v>
      </c>
      <c r="D230" s="32" t="s">
        <v>6984</v>
      </c>
      <c r="E230" s="32" t="s">
        <v>4838</v>
      </c>
      <c r="F230" s="10">
        <v>2</v>
      </c>
      <c r="G230" s="8" t="s">
        <v>16</v>
      </c>
      <c r="H230" s="10">
        <v>849.85</v>
      </c>
      <c r="I230" s="10">
        <f t="shared" si="5"/>
        <v>1699.7</v>
      </c>
      <c r="J230" s="10">
        <v>43.43044871</v>
      </c>
      <c r="K230" s="8" t="s">
        <v>19</v>
      </c>
      <c r="S230"/>
    </row>
    <row r="231" spans="1:19" ht="15" x14ac:dyDescent="0.25">
      <c r="A231" s="8" t="s">
        <v>5018</v>
      </c>
      <c r="B231" s="8" t="s">
        <v>4819</v>
      </c>
      <c r="C231" s="8" t="s">
        <v>4839</v>
      </c>
      <c r="D231" s="32" t="s">
        <v>6984</v>
      </c>
      <c r="E231" s="32" t="s">
        <v>4839</v>
      </c>
      <c r="F231" s="10">
        <v>2</v>
      </c>
      <c r="G231" s="8" t="s">
        <v>16</v>
      </c>
      <c r="H231" s="10">
        <v>1193.05</v>
      </c>
      <c r="I231" s="10">
        <f t="shared" si="5"/>
        <v>2386.1</v>
      </c>
      <c r="J231" s="10">
        <v>49.571810775000003</v>
      </c>
      <c r="K231" s="8" t="s">
        <v>17</v>
      </c>
      <c r="S231"/>
    </row>
    <row r="232" spans="1:19" ht="15" x14ac:dyDescent="0.25">
      <c r="A232" s="8" t="s">
        <v>5018</v>
      </c>
      <c r="B232" s="8" t="s">
        <v>4819</v>
      </c>
      <c r="C232" s="8" t="s">
        <v>5067</v>
      </c>
      <c r="D232" s="32" t="s">
        <v>6984</v>
      </c>
      <c r="E232" s="32" t="s">
        <v>5067</v>
      </c>
      <c r="F232" s="10">
        <v>1</v>
      </c>
      <c r="G232" s="8" t="s">
        <v>16</v>
      </c>
      <c r="H232" s="10">
        <v>251.3</v>
      </c>
      <c r="I232" s="10">
        <f t="shared" si="5"/>
        <v>251.3</v>
      </c>
      <c r="J232" s="10">
        <v>7.5230272500000002</v>
      </c>
      <c r="K232" s="8" t="s">
        <v>5038</v>
      </c>
      <c r="S232"/>
    </row>
    <row r="233" spans="1:19" ht="15" x14ac:dyDescent="0.25">
      <c r="A233" s="8" t="s">
        <v>5018</v>
      </c>
      <c r="B233" s="8" t="s">
        <v>4819</v>
      </c>
      <c r="C233" s="8" t="s">
        <v>5068</v>
      </c>
      <c r="D233" s="32" t="s">
        <v>6984</v>
      </c>
      <c r="E233" s="32" t="s">
        <v>5068</v>
      </c>
      <c r="F233" s="10">
        <v>4</v>
      </c>
      <c r="G233" s="8" t="s">
        <v>16</v>
      </c>
      <c r="H233" s="10">
        <v>260.07499999999999</v>
      </c>
      <c r="I233" s="10">
        <f t="shared" si="5"/>
        <v>1040.3</v>
      </c>
      <c r="J233" s="10">
        <v>31.292183999999999</v>
      </c>
      <c r="K233" s="8" t="s">
        <v>5038</v>
      </c>
      <c r="S233"/>
    </row>
    <row r="234" spans="1:19" ht="15" x14ac:dyDescent="0.25">
      <c r="A234" s="8" t="s">
        <v>5018</v>
      </c>
      <c r="B234" s="8" t="s">
        <v>4819</v>
      </c>
      <c r="C234" s="8" t="s">
        <v>4834</v>
      </c>
      <c r="D234" s="32" t="s">
        <v>6984</v>
      </c>
      <c r="E234" s="32" t="s">
        <v>4834</v>
      </c>
      <c r="F234" s="10">
        <v>18</v>
      </c>
      <c r="G234" s="8" t="s">
        <v>22</v>
      </c>
      <c r="H234" s="10">
        <v>1.9666666666666666</v>
      </c>
      <c r="I234" s="10">
        <f t="shared" si="5"/>
        <v>35.4</v>
      </c>
      <c r="J234" s="10">
        <v>1.4488875000000001</v>
      </c>
      <c r="K234" s="8" t="s">
        <v>4798</v>
      </c>
      <c r="S234"/>
    </row>
    <row r="235" spans="1:19" ht="15" x14ac:dyDescent="0.25">
      <c r="A235" s="8" t="s">
        <v>5069</v>
      </c>
      <c r="B235" s="8" t="s">
        <v>5070</v>
      </c>
      <c r="C235" s="8" t="s">
        <v>5071</v>
      </c>
      <c r="D235" s="32" t="s">
        <v>6984</v>
      </c>
      <c r="E235" s="32" t="s">
        <v>5071</v>
      </c>
      <c r="F235" s="10">
        <v>1</v>
      </c>
      <c r="G235" s="8" t="s">
        <v>4934</v>
      </c>
      <c r="H235" s="10">
        <v>2830.3</v>
      </c>
      <c r="I235" s="10">
        <f t="shared" si="5"/>
        <v>2830.3</v>
      </c>
      <c r="J235" s="10">
        <v>39.666221440000001</v>
      </c>
      <c r="K235" s="8" t="s">
        <v>4965</v>
      </c>
      <c r="S235"/>
    </row>
    <row r="236" spans="1:19" ht="15" x14ac:dyDescent="0.25">
      <c r="A236" s="8" t="s">
        <v>5069</v>
      </c>
      <c r="B236" s="8" t="s">
        <v>5070</v>
      </c>
      <c r="C236" s="8" t="s">
        <v>5072</v>
      </c>
      <c r="D236" s="32" t="s">
        <v>6984</v>
      </c>
      <c r="E236" s="32" t="s">
        <v>5072</v>
      </c>
      <c r="F236" s="10">
        <v>1</v>
      </c>
      <c r="G236" s="8" t="s">
        <v>4934</v>
      </c>
      <c r="H236" s="10">
        <v>2966.1</v>
      </c>
      <c r="I236" s="10">
        <f t="shared" si="5"/>
        <v>2966.1</v>
      </c>
      <c r="J236" s="10">
        <v>40.241357690859999</v>
      </c>
      <c r="K236" s="8" t="s">
        <v>4965</v>
      </c>
      <c r="S236"/>
    </row>
    <row r="237" spans="1:19" ht="15" x14ac:dyDescent="0.25">
      <c r="A237" s="8" t="s">
        <v>5073</v>
      </c>
      <c r="B237" s="8" t="s">
        <v>5070</v>
      </c>
      <c r="C237" s="8" t="s">
        <v>5074</v>
      </c>
      <c r="D237" s="32" t="s">
        <v>6984</v>
      </c>
      <c r="E237" s="32" t="s">
        <v>5074</v>
      </c>
      <c r="F237" s="10">
        <v>1</v>
      </c>
      <c r="G237" s="8" t="s">
        <v>4934</v>
      </c>
      <c r="H237" s="10">
        <v>2863.9</v>
      </c>
      <c r="I237" s="10">
        <f t="shared" si="5"/>
        <v>2863.9</v>
      </c>
      <c r="J237" s="10">
        <v>41.282592263220003</v>
      </c>
      <c r="K237" s="8" t="s">
        <v>4965</v>
      </c>
      <c r="S237"/>
    </row>
    <row r="238" spans="1:19" ht="15" x14ac:dyDescent="0.25">
      <c r="A238" s="8" t="s">
        <v>5073</v>
      </c>
      <c r="B238" s="8" t="s">
        <v>5070</v>
      </c>
      <c r="C238" s="8" t="s">
        <v>5075</v>
      </c>
      <c r="D238" s="32" t="s">
        <v>6984</v>
      </c>
      <c r="E238" s="32" t="s">
        <v>5075</v>
      </c>
      <c r="F238" s="10">
        <v>1</v>
      </c>
      <c r="G238" s="8" t="s">
        <v>4934</v>
      </c>
      <c r="H238" s="10">
        <v>2833.5</v>
      </c>
      <c r="I238" s="10">
        <f t="shared" si="5"/>
        <v>2833.5</v>
      </c>
      <c r="J238" s="10">
        <v>41.24910887619</v>
      </c>
      <c r="K238" s="8" t="s">
        <v>4965</v>
      </c>
      <c r="S238"/>
    </row>
    <row r="239" spans="1:19" ht="15" x14ac:dyDescent="0.25">
      <c r="A239" s="8" t="s">
        <v>5069</v>
      </c>
      <c r="B239" s="8" t="s">
        <v>5070</v>
      </c>
      <c r="C239" s="8" t="s">
        <v>5076</v>
      </c>
      <c r="D239" s="32" t="s">
        <v>6984</v>
      </c>
      <c r="E239" s="32" t="s">
        <v>5076</v>
      </c>
      <c r="F239" s="10">
        <v>1</v>
      </c>
      <c r="G239" s="8" t="s">
        <v>4934</v>
      </c>
      <c r="H239" s="10">
        <v>4133.8</v>
      </c>
      <c r="I239" s="10">
        <f t="shared" si="5"/>
        <v>4133.8</v>
      </c>
      <c r="J239" s="10">
        <v>48.7823096702</v>
      </c>
      <c r="K239" s="8" t="s">
        <v>4974</v>
      </c>
      <c r="S239"/>
    </row>
    <row r="240" spans="1:19" ht="15" x14ac:dyDescent="0.25">
      <c r="A240" s="8" t="s">
        <v>5069</v>
      </c>
      <c r="B240" s="8" t="s">
        <v>5070</v>
      </c>
      <c r="C240" s="8" t="s">
        <v>5077</v>
      </c>
      <c r="D240" s="32" t="s">
        <v>6984</v>
      </c>
      <c r="E240" s="32" t="s">
        <v>5077</v>
      </c>
      <c r="F240" s="10">
        <v>1</v>
      </c>
      <c r="G240" s="8" t="s">
        <v>4934</v>
      </c>
      <c r="H240" s="10">
        <v>4162.6000000000004</v>
      </c>
      <c r="I240" s="10">
        <f t="shared" si="5"/>
        <v>4162.6000000000004</v>
      </c>
      <c r="J240" s="10">
        <v>49.254883110199998</v>
      </c>
      <c r="K240" s="8" t="s">
        <v>4974</v>
      </c>
      <c r="S240"/>
    </row>
    <row r="241" spans="1:19" ht="15" x14ac:dyDescent="0.25">
      <c r="A241" s="8" t="s">
        <v>5069</v>
      </c>
      <c r="B241" s="8" t="s">
        <v>5070</v>
      </c>
      <c r="C241" s="8" t="s">
        <v>5078</v>
      </c>
      <c r="D241" s="32" t="s">
        <v>6984</v>
      </c>
      <c r="E241" s="32" t="s">
        <v>5078</v>
      </c>
      <c r="F241" s="10">
        <v>1</v>
      </c>
      <c r="G241" s="8" t="s">
        <v>4934</v>
      </c>
      <c r="H241" s="10">
        <v>4196.6000000000004</v>
      </c>
      <c r="I241" s="10">
        <f t="shared" si="5"/>
        <v>4196.6000000000004</v>
      </c>
      <c r="J241" s="10">
        <v>50.167153733600003</v>
      </c>
      <c r="K241" s="8" t="s">
        <v>4974</v>
      </c>
      <c r="S241"/>
    </row>
    <row r="242" spans="1:19" ht="15" x14ac:dyDescent="0.25">
      <c r="A242" s="8" t="s">
        <v>5069</v>
      </c>
      <c r="B242" s="8" t="s">
        <v>5070</v>
      </c>
      <c r="C242" s="8" t="s">
        <v>5079</v>
      </c>
      <c r="D242" s="32" t="s">
        <v>6984</v>
      </c>
      <c r="E242" s="32" t="s">
        <v>5079</v>
      </c>
      <c r="F242" s="10">
        <v>1</v>
      </c>
      <c r="G242" s="8" t="s">
        <v>4934</v>
      </c>
      <c r="H242" s="10">
        <v>4190.3999999999996</v>
      </c>
      <c r="I242" s="10">
        <f t="shared" si="5"/>
        <v>4190.3999999999996</v>
      </c>
      <c r="J242" s="10">
        <v>50.164177253600002</v>
      </c>
      <c r="K242" s="8" t="s">
        <v>4974</v>
      </c>
      <c r="S242"/>
    </row>
    <row r="243" spans="1:19" ht="15" x14ac:dyDescent="0.25">
      <c r="A243" s="8" t="s">
        <v>5073</v>
      </c>
      <c r="B243" s="8" t="s">
        <v>5070</v>
      </c>
      <c r="C243" s="8" t="s">
        <v>5080</v>
      </c>
      <c r="D243" s="32" t="s">
        <v>6984</v>
      </c>
      <c r="E243" s="32" t="s">
        <v>5080</v>
      </c>
      <c r="F243" s="10">
        <v>1</v>
      </c>
      <c r="G243" s="8" t="s">
        <v>4934</v>
      </c>
      <c r="H243" s="10">
        <v>4150</v>
      </c>
      <c r="I243" s="10">
        <f t="shared" si="5"/>
        <v>4150</v>
      </c>
      <c r="J243" s="10">
        <v>49.248930150200003</v>
      </c>
      <c r="K243" s="8" t="s">
        <v>4974</v>
      </c>
      <c r="S243"/>
    </row>
    <row r="244" spans="1:19" ht="15" x14ac:dyDescent="0.25">
      <c r="A244" s="8" t="s">
        <v>5073</v>
      </c>
      <c r="B244" s="8" t="s">
        <v>5070</v>
      </c>
      <c r="C244" s="8" t="s">
        <v>5081</v>
      </c>
      <c r="D244" s="32" t="s">
        <v>6984</v>
      </c>
      <c r="E244" s="32" t="s">
        <v>5081</v>
      </c>
      <c r="F244" s="10">
        <v>1</v>
      </c>
      <c r="G244" s="8" t="s">
        <v>4934</v>
      </c>
      <c r="H244" s="10">
        <v>4124.3</v>
      </c>
      <c r="I244" s="10">
        <f t="shared" si="5"/>
        <v>4124.3</v>
      </c>
      <c r="J244" s="10">
        <v>48.713044459999999</v>
      </c>
      <c r="K244" s="8" t="s">
        <v>4974</v>
      </c>
      <c r="S244"/>
    </row>
    <row r="245" spans="1:19" ht="15" x14ac:dyDescent="0.25">
      <c r="A245" s="8" t="s">
        <v>5073</v>
      </c>
      <c r="B245" s="8" t="s">
        <v>5070</v>
      </c>
      <c r="C245" s="8" t="s">
        <v>5082</v>
      </c>
      <c r="D245" s="32" t="s">
        <v>6984</v>
      </c>
      <c r="E245" s="32" t="s">
        <v>5082</v>
      </c>
      <c r="F245" s="10">
        <v>1</v>
      </c>
      <c r="G245" s="8" t="s">
        <v>4934</v>
      </c>
      <c r="H245" s="10">
        <v>4126.7</v>
      </c>
      <c r="I245" s="10">
        <f t="shared" si="5"/>
        <v>4126.7</v>
      </c>
      <c r="J245" s="10">
        <v>49.347546583800003</v>
      </c>
      <c r="K245" s="8" t="s">
        <v>4974</v>
      </c>
      <c r="S245"/>
    </row>
    <row r="246" spans="1:19" ht="15" x14ac:dyDescent="0.25">
      <c r="A246" s="8" t="s">
        <v>5073</v>
      </c>
      <c r="B246" s="8" t="s">
        <v>5070</v>
      </c>
      <c r="C246" s="8" t="s">
        <v>5083</v>
      </c>
      <c r="D246" s="32" t="s">
        <v>6984</v>
      </c>
      <c r="E246" s="32" t="s">
        <v>5083</v>
      </c>
      <c r="F246" s="10">
        <v>1</v>
      </c>
      <c r="G246" s="8" t="s">
        <v>4934</v>
      </c>
      <c r="H246" s="10">
        <v>2624.9</v>
      </c>
      <c r="I246" s="10">
        <f t="shared" si="5"/>
        <v>2624.9</v>
      </c>
      <c r="J246" s="10">
        <v>32.871462489599999</v>
      </c>
      <c r="K246" s="8" t="s">
        <v>4974</v>
      </c>
      <c r="S246"/>
    </row>
    <row r="247" spans="1:19" ht="15" x14ac:dyDescent="0.25">
      <c r="A247" s="8" t="s">
        <v>5069</v>
      </c>
      <c r="B247" s="8" t="s">
        <v>5070</v>
      </c>
      <c r="C247" s="8" t="s">
        <v>5084</v>
      </c>
      <c r="D247" s="32" t="s">
        <v>6984</v>
      </c>
      <c r="E247" s="32" t="s">
        <v>5084</v>
      </c>
      <c r="F247" s="10">
        <v>1</v>
      </c>
      <c r="G247" s="8" t="s">
        <v>4934</v>
      </c>
      <c r="H247" s="10">
        <v>2794.2</v>
      </c>
      <c r="I247" s="10">
        <f t="shared" si="5"/>
        <v>2794.2</v>
      </c>
      <c r="J247" s="10">
        <v>39.554032574730002</v>
      </c>
      <c r="K247" s="8" t="s">
        <v>4965</v>
      </c>
      <c r="S247"/>
    </row>
    <row r="248" spans="1:19" ht="15" x14ac:dyDescent="0.25">
      <c r="A248" s="8" t="s">
        <v>4963</v>
      </c>
      <c r="B248" s="8" t="s">
        <v>4869</v>
      </c>
      <c r="C248" s="8" t="s">
        <v>5085</v>
      </c>
      <c r="D248" s="32" t="s">
        <v>6984</v>
      </c>
      <c r="E248" s="32" t="s">
        <v>5085</v>
      </c>
      <c r="F248" s="10">
        <v>1</v>
      </c>
      <c r="G248" s="8" t="s">
        <v>5086</v>
      </c>
      <c r="H248" s="10">
        <v>39.4</v>
      </c>
      <c r="I248" s="10">
        <f t="shared" si="5"/>
        <v>39.4</v>
      </c>
      <c r="J248" s="10">
        <v>0</v>
      </c>
      <c r="K248" s="8" t="s">
        <v>5087</v>
      </c>
      <c r="S248"/>
    </row>
    <row r="249" spans="1:19" ht="15" x14ac:dyDescent="0.25">
      <c r="A249" s="8" t="s">
        <v>4963</v>
      </c>
      <c r="B249" s="8" t="s">
        <v>4869</v>
      </c>
      <c r="C249" s="8" t="s">
        <v>5088</v>
      </c>
      <c r="D249" s="32" t="s">
        <v>6984</v>
      </c>
      <c r="E249" s="32" t="s">
        <v>5088</v>
      </c>
      <c r="F249" s="10">
        <v>1</v>
      </c>
      <c r="G249" s="8" t="s">
        <v>5086</v>
      </c>
      <c r="H249" s="10">
        <v>55</v>
      </c>
      <c r="I249" s="10">
        <f t="shared" si="5"/>
        <v>55</v>
      </c>
      <c r="J249" s="10">
        <v>0</v>
      </c>
      <c r="K249" s="8" t="s">
        <v>5087</v>
      </c>
      <c r="S249"/>
    </row>
    <row r="250" spans="1:19" ht="15" x14ac:dyDescent="0.25">
      <c r="A250" s="8" t="s">
        <v>4963</v>
      </c>
      <c r="B250" s="8" t="s">
        <v>4869</v>
      </c>
      <c r="C250" s="8" t="s">
        <v>5089</v>
      </c>
      <c r="D250" s="32" t="s">
        <v>6984</v>
      </c>
      <c r="E250" s="32" t="s">
        <v>5089</v>
      </c>
      <c r="F250" s="10">
        <v>1</v>
      </c>
      <c r="G250" s="8" t="s">
        <v>5086</v>
      </c>
      <c r="H250" s="10">
        <v>49.9</v>
      </c>
      <c r="I250" s="10">
        <f t="shared" si="5"/>
        <v>49.9</v>
      </c>
      <c r="J250" s="10">
        <v>0</v>
      </c>
      <c r="K250" s="8" t="s">
        <v>5087</v>
      </c>
      <c r="S250"/>
    </row>
    <row r="251" spans="1:19" ht="15" x14ac:dyDescent="0.25">
      <c r="A251" s="8" t="s">
        <v>4963</v>
      </c>
      <c r="B251" s="8" t="s">
        <v>4869</v>
      </c>
      <c r="C251" s="8" t="s">
        <v>5090</v>
      </c>
      <c r="D251" s="32" t="s">
        <v>6984</v>
      </c>
      <c r="E251" s="32" t="s">
        <v>5090</v>
      </c>
      <c r="F251" s="10">
        <v>1</v>
      </c>
      <c r="G251" s="8" t="s">
        <v>5086</v>
      </c>
      <c r="H251" s="10">
        <v>31.2</v>
      </c>
      <c r="I251" s="10">
        <f t="shared" si="5"/>
        <v>31.2</v>
      </c>
      <c r="J251" s="10">
        <v>0</v>
      </c>
      <c r="K251" s="8" t="s">
        <v>5087</v>
      </c>
      <c r="S251"/>
    </row>
    <row r="252" spans="1:19" ht="15" x14ac:dyDescent="0.25">
      <c r="A252" s="8" t="s">
        <v>4963</v>
      </c>
      <c r="B252" s="8" t="s">
        <v>4869</v>
      </c>
      <c r="C252" s="8" t="s">
        <v>5091</v>
      </c>
      <c r="D252" s="32" t="s">
        <v>6984</v>
      </c>
      <c r="E252" s="32" t="s">
        <v>5091</v>
      </c>
      <c r="F252" s="10">
        <v>1</v>
      </c>
      <c r="G252" s="8" t="s">
        <v>5092</v>
      </c>
      <c r="H252" s="10">
        <v>653.20000000000005</v>
      </c>
      <c r="I252" s="10">
        <f t="shared" si="5"/>
        <v>653.20000000000005</v>
      </c>
      <c r="J252" s="10">
        <v>21.0063888064</v>
      </c>
      <c r="K252" s="8" t="s">
        <v>5040</v>
      </c>
      <c r="S252"/>
    </row>
    <row r="253" spans="1:19" ht="15" x14ac:dyDescent="0.25">
      <c r="A253" s="8" t="s">
        <v>4963</v>
      </c>
      <c r="B253" s="8" t="s">
        <v>4869</v>
      </c>
      <c r="C253" s="8" t="s">
        <v>5093</v>
      </c>
      <c r="D253" s="32" t="s">
        <v>6984</v>
      </c>
      <c r="E253" s="32" t="s">
        <v>5093</v>
      </c>
      <c r="F253" s="10">
        <v>1</v>
      </c>
      <c r="G253" s="8" t="s">
        <v>5092</v>
      </c>
      <c r="H253" s="10">
        <v>663.3</v>
      </c>
      <c r="I253" s="10">
        <f t="shared" si="5"/>
        <v>663.3</v>
      </c>
      <c r="J253" s="10">
        <v>20.467454786960001</v>
      </c>
      <c r="K253" s="8" t="s">
        <v>5040</v>
      </c>
      <c r="S253"/>
    </row>
    <row r="254" spans="1:19" ht="15" x14ac:dyDescent="0.25">
      <c r="A254" s="8" t="s">
        <v>4963</v>
      </c>
      <c r="B254" s="8" t="s">
        <v>4869</v>
      </c>
      <c r="C254" s="8" t="s">
        <v>5094</v>
      </c>
      <c r="D254" s="32" t="s">
        <v>6984</v>
      </c>
      <c r="E254" s="32" t="s">
        <v>5094</v>
      </c>
      <c r="F254" s="10">
        <v>1</v>
      </c>
      <c r="G254" s="8" t="s">
        <v>5095</v>
      </c>
      <c r="H254" s="10">
        <v>89.5</v>
      </c>
      <c r="I254" s="10">
        <f t="shared" si="5"/>
        <v>89.5</v>
      </c>
      <c r="J254" s="10">
        <v>3.1546450306799998</v>
      </c>
      <c r="K254" s="8" t="s">
        <v>5096</v>
      </c>
      <c r="S254"/>
    </row>
    <row r="255" spans="1:19" ht="15" x14ac:dyDescent="0.25">
      <c r="A255" s="8" t="s">
        <v>4963</v>
      </c>
      <c r="B255" s="8" t="s">
        <v>4869</v>
      </c>
      <c r="C255" s="8" t="s">
        <v>5097</v>
      </c>
      <c r="D255" s="32" t="s">
        <v>6984</v>
      </c>
      <c r="E255" s="32" t="s">
        <v>5097</v>
      </c>
      <c r="F255" s="10">
        <v>1</v>
      </c>
      <c r="G255" s="8" t="s">
        <v>5095</v>
      </c>
      <c r="H255" s="10">
        <v>89.5</v>
      </c>
      <c r="I255" s="10">
        <f t="shared" si="5"/>
        <v>89.5</v>
      </c>
      <c r="J255" s="10">
        <v>3.1546450306799998</v>
      </c>
      <c r="K255" s="8" t="s">
        <v>5096</v>
      </c>
      <c r="S255"/>
    </row>
    <row r="256" spans="1:19" ht="15" x14ac:dyDescent="0.25">
      <c r="A256" s="8" t="s">
        <v>4963</v>
      </c>
      <c r="B256" s="8" t="s">
        <v>4869</v>
      </c>
      <c r="C256" s="8" t="s">
        <v>5098</v>
      </c>
      <c r="D256" s="32" t="s">
        <v>6984</v>
      </c>
      <c r="E256" s="32" t="s">
        <v>5098</v>
      </c>
      <c r="F256" s="10">
        <v>1</v>
      </c>
      <c r="G256" s="8" t="s">
        <v>5095</v>
      </c>
      <c r="H256" s="10">
        <v>144.1</v>
      </c>
      <c r="I256" s="10">
        <f t="shared" si="5"/>
        <v>144.1</v>
      </c>
      <c r="J256" s="10">
        <v>5.0670295200000002</v>
      </c>
      <c r="K256" s="8" t="s">
        <v>5096</v>
      </c>
      <c r="S256"/>
    </row>
    <row r="257" spans="1:19" ht="15" x14ac:dyDescent="0.25">
      <c r="A257" s="8" t="s">
        <v>4963</v>
      </c>
      <c r="B257" s="8" t="s">
        <v>4869</v>
      </c>
      <c r="C257" s="8" t="s">
        <v>5099</v>
      </c>
      <c r="D257" s="32" t="s">
        <v>6984</v>
      </c>
      <c r="E257" s="32" t="s">
        <v>5099</v>
      </c>
      <c r="F257" s="10">
        <v>1</v>
      </c>
      <c r="G257" s="8" t="s">
        <v>5095</v>
      </c>
      <c r="H257" s="10">
        <v>144.19999999999999</v>
      </c>
      <c r="I257" s="10">
        <f t="shared" si="5"/>
        <v>144.19999999999999</v>
      </c>
      <c r="J257" s="10">
        <v>5.0714186400000001</v>
      </c>
      <c r="K257" s="8" t="s">
        <v>5096</v>
      </c>
      <c r="S257"/>
    </row>
    <row r="258" spans="1:19" ht="15" x14ac:dyDescent="0.25">
      <c r="A258" s="8" t="s">
        <v>4963</v>
      </c>
      <c r="B258" s="8" t="s">
        <v>4869</v>
      </c>
      <c r="C258" s="8" t="s">
        <v>5100</v>
      </c>
      <c r="D258" s="32" t="s">
        <v>6984</v>
      </c>
      <c r="E258" s="32" t="s">
        <v>5100</v>
      </c>
      <c r="F258" s="10">
        <v>1</v>
      </c>
      <c r="G258" s="8" t="s">
        <v>5101</v>
      </c>
      <c r="H258" s="10">
        <v>168</v>
      </c>
      <c r="I258" s="10">
        <f t="shared" si="5"/>
        <v>168</v>
      </c>
      <c r="J258" s="10">
        <v>10.678231797600001</v>
      </c>
      <c r="K258" s="8" t="s">
        <v>5102</v>
      </c>
      <c r="S258"/>
    </row>
    <row r="259" spans="1:19" ht="15" x14ac:dyDescent="0.25">
      <c r="A259" s="8" t="s">
        <v>4963</v>
      </c>
      <c r="B259" s="8" t="s">
        <v>4869</v>
      </c>
      <c r="C259" s="8" t="s">
        <v>5103</v>
      </c>
      <c r="D259" s="32" t="s">
        <v>6984</v>
      </c>
      <c r="E259" s="32" t="s">
        <v>5103</v>
      </c>
      <c r="F259" s="10">
        <v>1</v>
      </c>
      <c r="G259" s="8" t="s">
        <v>5101</v>
      </c>
      <c r="H259" s="10">
        <v>168</v>
      </c>
      <c r="I259" s="10">
        <f t="shared" si="5"/>
        <v>168</v>
      </c>
      <c r="J259" s="10">
        <v>10.678231797600001</v>
      </c>
      <c r="K259" s="8" t="s">
        <v>5102</v>
      </c>
      <c r="S259"/>
    </row>
    <row r="260" spans="1:19" ht="15" x14ac:dyDescent="0.25">
      <c r="A260" s="8" t="s">
        <v>4963</v>
      </c>
      <c r="B260" s="8" t="s">
        <v>4869</v>
      </c>
      <c r="C260" s="8" t="s">
        <v>5104</v>
      </c>
      <c r="D260" s="32" t="s">
        <v>6984</v>
      </c>
      <c r="E260" s="32" t="s">
        <v>5104</v>
      </c>
      <c r="F260" s="10">
        <v>1</v>
      </c>
      <c r="G260" s="8" t="s">
        <v>5101</v>
      </c>
      <c r="H260" s="10">
        <v>154</v>
      </c>
      <c r="I260" s="10">
        <f t="shared" si="5"/>
        <v>154</v>
      </c>
      <c r="J260" s="10">
        <v>9.9174232456000002</v>
      </c>
      <c r="K260" s="8" t="s">
        <v>5102</v>
      </c>
      <c r="S260"/>
    </row>
    <row r="261" spans="1:19" ht="15" x14ac:dyDescent="0.25">
      <c r="A261" s="8" t="s">
        <v>4963</v>
      </c>
      <c r="B261" s="8" t="s">
        <v>4869</v>
      </c>
      <c r="C261" s="8" t="s">
        <v>5105</v>
      </c>
      <c r="D261" s="32" t="s">
        <v>6984</v>
      </c>
      <c r="E261" s="32" t="s">
        <v>5105</v>
      </c>
      <c r="F261" s="10">
        <v>1</v>
      </c>
      <c r="G261" s="8" t="s">
        <v>5101</v>
      </c>
      <c r="H261" s="10">
        <v>154</v>
      </c>
      <c r="I261" s="10">
        <f t="shared" ref="I261:I297" si="6">F261*H261</f>
        <v>154</v>
      </c>
      <c r="J261" s="10">
        <v>9.9174232456000002</v>
      </c>
      <c r="K261" s="8" t="s">
        <v>5102</v>
      </c>
      <c r="S261"/>
    </row>
    <row r="262" spans="1:19" ht="15" x14ac:dyDescent="0.25">
      <c r="A262" s="8" t="s">
        <v>4963</v>
      </c>
      <c r="B262" s="8" t="s">
        <v>4869</v>
      </c>
      <c r="C262" s="8" t="s">
        <v>5106</v>
      </c>
      <c r="D262" s="32" t="s">
        <v>6984</v>
      </c>
      <c r="E262" s="32" t="s">
        <v>5106</v>
      </c>
      <c r="F262" s="10">
        <v>1</v>
      </c>
      <c r="G262" s="8" t="s">
        <v>5101</v>
      </c>
      <c r="H262" s="10">
        <v>112.5</v>
      </c>
      <c r="I262" s="10">
        <f t="shared" si="6"/>
        <v>112.5</v>
      </c>
      <c r="J262" s="10">
        <v>7.1741428616</v>
      </c>
      <c r="K262" s="8" t="s">
        <v>5102</v>
      </c>
      <c r="S262"/>
    </row>
    <row r="263" spans="1:19" ht="15" x14ac:dyDescent="0.25">
      <c r="A263" s="8" t="s">
        <v>4963</v>
      </c>
      <c r="B263" s="8" t="s">
        <v>4869</v>
      </c>
      <c r="C263" s="8" t="s">
        <v>5107</v>
      </c>
      <c r="D263" s="32" t="s">
        <v>6984</v>
      </c>
      <c r="E263" s="32" t="s">
        <v>5107</v>
      </c>
      <c r="F263" s="10">
        <v>1</v>
      </c>
      <c r="G263" s="8" t="s">
        <v>5101</v>
      </c>
      <c r="H263" s="10">
        <v>112.5</v>
      </c>
      <c r="I263" s="10">
        <f t="shared" si="6"/>
        <v>112.5</v>
      </c>
      <c r="J263" s="10">
        <v>7.1749048616</v>
      </c>
      <c r="K263" s="8" t="s">
        <v>5102</v>
      </c>
      <c r="S263"/>
    </row>
    <row r="264" spans="1:19" ht="15" x14ac:dyDescent="0.25">
      <c r="A264" s="8" t="s">
        <v>4963</v>
      </c>
      <c r="B264" s="8" t="s">
        <v>4869</v>
      </c>
      <c r="C264" s="8" t="s">
        <v>5108</v>
      </c>
      <c r="D264" s="32" t="s">
        <v>6984</v>
      </c>
      <c r="E264" s="32" t="s">
        <v>5108</v>
      </c>
      <c r="F264" s="10">
        <v>4</v>
      </c>
      <c r="G264" s="8" t="s">
        <v>4934</v>
      </c>
      <c r="H264" s="10">
        <v>46.5</v>
      </c>
      <c r="I264" s="10">
        <f t="shared" si="6"/>
        <v>186</v>
      </c>
      <c r="J264" s="10">
        <v>6.6601393702399996</v>
      </c>
      <c r="K264" s="8" t="s">
        <v>5049</v>
      </c>
      <c r="S264"/>
    </row>
    <row r="265" spans="1:19" ht="15" x14ac:dyDescent="0.25">
      <c r="A265" s="8" t="s">
        <v>4963</v>
      </c>
      <c r="B265" s="8" t="s">
        <v>4869</v>
      </c>
      <c r="C265" s="8" t="s">
        <v>5109</v>
      </c>
      <c r="D265" s="32" t="s">
        <v>6984</v>
      </c>
      <c r="E265" s="32" t="s">
        <v>5109</v>
      </c>
      <c r="F265" s="10">
        <v>1</v>
      </c>
      <c r="G265" s="8" t="s">
        <v>4934</v>
      </c>
      <c r="H265" s="10">
        <v>58</v>
      </c>
      <c r="I265" s="10">
        <f t="shared" si="6"/>
        <v>58</v>
      </c>
      <c r="J265" s="10">
        <v>1.8563809899199999</v>
      </c>
      <c r="K265" s="8" t="s">
        <v>5040</v>
      </c>
      <c r="S265"/>
    </row>
    <row r="266" spans="1:19" ht="15" x14ac:dyDescent="0.25">
      <c r="A266" s="8" t="s">
        <v>4963</v>
      </c>
      <c r="B266" s="8" t="s">
        <v>4869</v>
      </c>
      <c r="C266" s="8" t="s">
        <v>5110</v>
      </c>
      <c r="D266" s="32" t="s">
        <v>6984</v>
      </c>
      <c r="E266" s="32" t="s">
        <v>5110</v>
      </c>
      <c r="F266" s="10">
        <v>1</v>
      </c>
      <c r="G266" s="8" t="s">
        <v>4934</v>
      </c>
      <c r="H266" s="10">
        <v>57.8</v>
      </c>
      <c r="I266" s="10">
        <f t="shared" si="6"/>
        <v>57.8</v>
      </c>
      <c r="J266" s="10">
        <v>1.8494607904</v>
      </c>
      <c r="K266" s="8" t="s">
        <v>5040</v>
      </c>
      <c r="S266"/>
    </row>
    <row r="267" spans="1:19" ht="15" x14ac:dyDescent="0.25">
      <c r="A267" s="8" t="s">
        <v>4963</v>
      </c>
      <c r="B267" s="8" t="s">
        <v>4869</v>
      </c>
      <c r="C267" s="8" t="s">
        <v>5111</v>
      </c>
      <c r="D267" s="32" t="s">
        <v>6984</v>
      </c>
      <c r="E267" s="32" t="s">
        <v>5111</v>
      </c>
      <c r="F267" s="10">
        <v>1</v>
      </c>
      <c r="G267" s="8" t="s">
        <v>4934</v>
      </c>
      <c r="H267" s="10">
        <v>57.7</v>
      </c>
      <c r="I267" s="10">
        <f t="shared" si="6"/>
        <v>57.7</v>
      </c>
      <c r="J267" s="10">
        <v>1.8478948636800001</v>
      </c>
      <c r="K267" s="8" t="s">
        <v>5040</v>
      </c>
      <c r="S267"/>
    </row>
    <row r="268" spans="1:19" ht="15" x14ac:dyDescent="0.25">
      <c r="A268" s="8" t="s">
        <v>4963</v>
      </c>
      <c r="B268" s="8" t="s">
        <v>4869</v>
      </c>
      <c r="C268" s="8" t="s">
        <v>5112</v>
      </c>
      <c r="D268" s="32" t="s">
        <v>6984</v>
      </c>
      <c r="E268" s="32" t="s">
        <v>5112</v>
      </c>
      <c r="F268" s="10">
        <v>1</v>
      </c>
      <c r="G268" s="8" t="s">
        <v>4934</v>
      </c>
      <c r="H268" s="10">
        <v>57.7</v>
      </c>
      <c r="I268" s="10">
        <f t="shared" si="6"/>
        <v>57.7</v>
      </c>
      <c r="J268" s="10">
        <v>1.8478948636800001</v>
      </c>
      <c r="K268" s="8" t="s">
        <v>5040</v>
      </c>
      <c r="S268"/>
    </row>
    <row r="269" spans="1:19" ht="15" x14ac:dyDescent="0.25">
      <c r="A269" s="8" t="s">
        <v>4963</v>
      </c>
      <c r="B269" s="8" t="s">
        <v>4869</v>
      </c>
      <c r="C269" s="8" t="s">
        <v>5113</v>
      </c>
      <c r="D269" s="32" t="s">
        <v>6984</v>
      </c>
      <c r="E269" s="32" t="s">
        <v>5113</v>
      </c>
      <c r="F269" s="10">
        <v>1</v>
      </c>
      <c r="G269" s="8" t="s">
        <v>5095</v>
      </c>
      <c r="H269" s="10">
        <v>159.19999999999999</v>
      </c>
      <c r="I269" s="10">
        <f t="shared" si="6"/>
        <v>159.19999999999999</v>
      </c>
      <c r="J269" s="10">
        <v>5.5976503199999996</v>
      </c>
      <c r="K269" s="8" t="s">
        <v>5096</v>
      </c>
      <c r="S269"/>
    </row>
    <row r="270" spans="1:19" ht="15" x14ac:dyDescent="0.25">
      <c r="A270" s="8" t="s">
        <v>4963</v>
      </c>
      <c r="B270" s="8" t="s">
        <v>4869</v>
      </c>
      <c r="C270" s="8" t="s">
        <v>5114</v>
      </c>
      <c r="D270" s="32" t="s">
        <v>6984</v>
      </c>
      <c r="E270" s="32" t="s">
        <v>5114</v>
      </c>
      <c r="F270" s="10">
        <v>1</v>
      </c>
      <c r="G270" s="8" t="s">
        <v>5095</v>
      </c>
      <c r="H270" s="10">
        <v>157.9</v>
      </c>
      <c r="I270" s="10">
        <f t="shared" si="6"/>
        <v>157.9</v>
      </c>
      <c r="J270" s="10">
        <v>5.5557708000000003</v>
      </c>
      <c r="K270" s="8" t="s">
        <v>5096</v>
      </c>
      <c r="S270"/>
    </row>
    <row r="271" spans="1:19" ht="15" x14ac:dyDescent="0.25">
      <c r="A271" s="8" t="s">
        <v>4963</v>
      </c>
      <c r="B271" s="8" t="s">
        <v>4869</v>
      </c>
      <c r="C271" s="8" t="s">
        <v>5115</v>
      </c>
      <c r="D271" s="32" t="s">
        <v>6984</v>
      </c>
      <c r="E271" s="32" t="s">
        <v>5115</v>
      </c>
      <c r="F271" s="10">
        <v>1</v>
      </c>
      <c r="G271" s="8" t="s">
        <v>16</v>
      </c>
      <c r="H271" s="10">
        <v>49.1</v>
      </c>
      <c r="I271" s="10">
        <f t="shared" si="6"/>
        <v>49.1</v>
      </c>
      <c r="J271" s="10">
        <v>1.66085211</v>
      </c>
      <c r="K271" s="8" t="s">
        <v>5116</v>
      </c>
      <c r="S271"/>
    </row>
    <row r="272" spans="1:19" ht="15" x14ac:dyDescent="0.25">
      <c r="A272" s="8" t="s">
        <v>4963</v>
      </c>
      <c r="B272" s="8" t="s">
        <v>4869</v>
      </c>
      <c r="C272" s="8" t="s">
        <v>5117</v>
      </c>
      <c r="D272" s="32" t="s">
        <v>6984</v>
      </c>
      <c r="E272" s="32" t="s">
        <v>5117</v>
      </c>
      <c r="F272" s="10">
        <v>1</v>
      </c>
      <c r="G272" s="8" t="s">
        <v>16</v>
      </c>
      <c r="H272" s="10">
        <v>70.7</v>
      </c>
      <c r="I272" s="10">
        <f t="shared" si="6"/>
        <v>70.7</v>
      </c>
      <c r="J272" s="10">
        <v>2.4028478180000001</v>
      </c>
      <c r="K272" s="8" t="s">
        <v>5040</v>
      </c>
      <c r="S272"/>
    </row>
    <row r="273" spans="1:19" ht="15" x14ac:dyDescent="0.25">
      <c r="A273" s="8" t="s">
        <v>4963</v>
      </c>
      <c r="B273" s="8" t="s">
        <v>4869</v>
      </c>
      <c r="C273" s="8" t="s">
        <v>5118</v>
      </c>
      <c r="D273" s="32" t="s">
        <v>6984</v>
      </c>
      <c r="E273" s="32" t="s">
        <v>5118</v>
      </c>
      <c r="F273" s="10">
        <v>1</v>
      </c>
      <c r="G273" s="8" t="s">
        <v>16</v>
      </c>
      <c r="H273" s="10">
        <v>74.3</v>
      </c>
      <c r="I273" s="10">
        <f t="shared" si="6"/>
        <v>74.3</v>
      </c>
      <c r="J273" s="10">
        <v>2.5213014292000002</v>
      </c>
      <c r="K273" s="8" t="s">
        <v>5040</v>
      </c>
      <c r="S273"/>
    </row>
    <row r="274" spans="1:19" ht="15" x14ac:dyDescent="0.25">
      <c r="A274" s="8" t="s">
        <v>4963</v>
      </c>
      <c r="B274" s="8" t="s">
        <v>4869</v>
      </c>
      <c r="C274" s="8" t="s">
        <v>5119</v>
      </c>
      <c r="D274" s="32" t="s">
        <v>6984</v>
      </c>
      <c r="E274" s="32" t="s">
        <v>5119</v>
      </c>
      <c r="F274" s="10">
        <v>1</v>
      </c>
      <c r="G274" s="8" t="s">
        <v>16</v>
      </c>
      <c r="H274" s="10">
        <v>24.8</v>
      </c>
      <c r="I274" s="10">
        <f t="shared" si="6"/>
        <v>24.8</v>
      </c>
      <c r="J274" s="10">
        <v>1.1790838079999999</v>
      </c>
      <c r="K274" s="8" t="s">
        <v>5120</v>
      </c>
      <c r="S274"/>
    </row>
    <row r="275" spans="1:19" ht="15" x14ac:dyDescent="0.25">
      <c r="A275" s="8" t="s">
        <v>4963</v>
      </c>
      <c r="B275" s="8" t="s">
        <v>4869</v>
      </c>
      <c r="C275" s="8" t="s">
        <v>5121</v>
      </c>
      <c r="D275" s="32" t="s">
        <v>6984</v>
      </c>
      <c r="E275" s="32" t="s">
        <v>5121</v>
      </c>
      <c r="F275" s="10">
        <v>1</v>
      </c>
      <c r="G275" s="8" t="s">
        <v>16</v>
      </c>
      <c r="H275" s="10">
        <v>12.2</v>
      </c>
      <c r="I275" s="10">
        <f t="shared" si="6"/>
        <v>12.2</v>
      </c>
      <c r="J275" s="10">
        <v>0.51437368000000006</v>
      </c>
      <c r="K275" s="8" t="s">
        <v>5120</v>
      </c>
      <c r="S275"/>
    </row>
    <row r="276" spans="1:19" ht="15" x14ac:dyDescent="0.25">
      <c r="A276" s="8" t="s">
        <v>4963</v>
      </c>
      <c r="B276" s="8" t="s">
        <v>4869</v>
      </c>
      <c r="C276" s="8" t="s">
        <v>5122</v>
      </c>
      <c r="D276" s="32" t="s">
        <v>6984</v>
      </c>
      <c r="E276" s="32" t="s">
        <v>5122</v>
      </c>
      <c r="F276" s="10">
        <v>1</v>
      </c>
      <c r="G276" s="8" t="s">
        <v>16</v>
      </c>
      <c r="H276" s="10">
        <v>12.2</v>
      </c>
      <c r="I276" s="10">
        <f t="shared" si="6"/>
        <v>12.2</v>
      </c>
      <c r="J276" s="10">
        <v>0.62309999999999999</v>
      </c>
      <c r="K276" s="8" t="s">
        <v>5123</v>
      </c>
      <c r="S276"/>
    </row>
    <row r="277" spans="1:19" ht="15" x14ac:dyDescent="0.25">
      <c r="A277" s="8" t="s">
        <v>4963</v>
      </c>
      <c r="B277" s="8" t="s">
        <v>4869</v>
      </c>
      <c r="C277" s="8" t="s">
        <v>4885</v>
      </c>
      <c r="D277" s="32" t="s">
        <v>6984</v>
      </c>
      <c r="E277" s="32" t="s">
        <v>4885</v>
      </c>
      <c r="F277" s="10">
        <v>1</v>
      </c>
      <c r="G277" s="8" t="s">
        <v>16</v>
      </c>
      <c r="H277" s="10">
        <v>77.599999999999994</v>
      </c>
      <c r="I277" s="10">
        <f t="shared" si="6"/>
        <v>77.599999999999994</v>
      </c>
      <c r="J277" s="10">
        <v>2.4838605280000001</v>
      </c>
      <c r="K277" s="8" t="s">
        <v>4781</v>
      </c>
      <c r="S277"/>
    </row>
    <row r="278" spans="1:19" ht="15" x14ac:dyDescent="0.25">
      <c r="A278" s="8" t="s">
        <v>4963</v>
      </c>
      <c r="B278" s="8" t="s">
        <v>4869</v>
      </c>
      <c r="C278" s="8" t="s">
        <v>5124</v>
      </c>
      <c r="D278" s="32" t="s">
        <v>6984</v>
      </c>
      <c r="E278" s="32" t="s">
        <v>5124</v>
      </c>
      <c r="F278" s="10">
        <v>1</v>
      </c>
      <c r="G278" s="8" t="s">
        <v>16</v>
      </c>
      <c r="H278" s="10">
        <v>49.1</v>
      </c>
      <c r="I278" s="10">
        <f t="shared" si="6"/>
        <v>49.1</v>
      </c>
      <c r="J278" s="10">
        <v>1.66085211</v>
      </c>
      <c r="K278" s="8" t="s">
        <v>5116</v>
      </c>
      <c r="S278"/>
    </row>
    <row r="279" spans="1:19" ht="15" x14ac:dyDescent="0.25">
      <c r="A279" s="8" t="s">
        <v>4963</v>
      </c>
      <c r="B279" s="8" t="s">
        <v>4869</v>
      </c>
      <c r="C279" s="8" t="s">
        <v>5125</v>
      </c>
      <c r="D279" s="32" t="s">
        <v>6984</v>
      </c>
      <c r="E279" s="32" t="s">
        <v>5125</v>
      </c>
      <c r="F279" s="10">
        <v>1</v>
      </c>
      <c r="G279" s="8" t="s">
        <v>16</v>
      </c>
      <c r="H279" s="10">
        <v>18.5</v>
      </c>
      <c r="I279" s="10">
        <f t="shared" si="6"/>
        <v>18.5</v>
      </c>
      <c r="J279" s="10">
        <v>0.65436000000000005</v>
      </c>
      <c r="K279" s="8" t="s">
        <v>5096</v>
      </c>
      <c r="S279"/>
    </row>
    <row r="280" spans="1:19" ht="15" x14ac:dyDescent="0.25">
      <c r="A280" s="8" t="s">
        <v>4963</v>
      </c>
      <c r="B280" s="8" t="s">
        <v>4869</v>
      </c>
      <c r="C280" s="8" t="s">
        <v>5126</v>
      </c>
      <c r="D280" s="32" t="s">
        <v>6984</v>
      </c>
      <c r="E280" s="32" t="s">
        <v>5126</v>
      </c>
      <c r="F280" s="10">
        <v>1</v>
      </c>
      <c r="G280" s="8" t="s">
        <v>16</v>
      </c>
      <c r="H280" s="10">
        <v>46.4</v>
      </c>
      <c r="I280" s="10">
        <f t="shared" si="6"/>
        <v>46.4</v>
      </c>
      <c r="J280" s="10">
        <v>2.1470417945600002</v>
      </c>
      <c r="K280" s="8" t="s">
        <v>5120</v>
      </c>
      <c r="S280"/>
    </row>
    <row r="281" spans="1:19" ht="15" x14ac:dyDescent="0.25">
      <c r="A281" s="8" t="s">
        <v>4963</v>
      </c>
      <c r="B281" s="8" t="s">
        <v>4869</v>
      </c>
      <c r="C281" s="8" t="s">
        <v>5127</v>
      </c>
      <c r="D281" s="32" t="s">
        <v>6984</v>
      </c>
      <c r="E281" s="32" t="s">
        <v>5127</v>
      </c>
      <c r="F281" s="10">
        <v>1</v>
      </c>
      <c r="G281" s="8" t="s">
        <v>5101</v>
      </c>
      <c r="H281" s="10">
        <v>49.4</v>
      </c>
      <c r="I281" s="10">
        <f t="shared" si="6"/>
        <v>49.4</v>
      </c>
      <c r="J281" s="10">
        <v>3.0186134627999999</v>
      </c>
      <c r="K281" s="8" t="s">
        <v>5128</v>
      </c>
      <c r="S281"/>
    </row>
    <row r="282" spans="1:19" ht="15" x14ac:dyDescent="0.25">
      <c r="A282" s="8" t="s">
        <v>4963</v>
      </c>
      <c r="B282" s="8" t="s">
        <v>4869</v>
      </c>
      <c r="C282" s="8" t="s">
        <v>5129</v>
      </c>
      <c r="D282" s="32" t="s">
        <v>6984</v>
      </c>
      <c r="E282" s="32" t="s">
        <v>5129</v>
      </c>
      <c r="F282" s="10">
        <v>1</v>
      </c>
      <c r="G282" s="8" t="s">
        <v>5101</v>
      </c>
      <c r="H282" s="10">
        <v>85.1</v>
      </c>
      <c r="I282" s="10">
        <f t="shared" si="6"/>
        <v>85.1</v>
      </c>
      <c r="J282" s="10">
        <v>5.5322368547999998</v>
      </c>
      <c r="K282" s="8" t="s">
        <v>5130</v>
      </c>
      <c r="S282"/>
    </row>
    <row r="283" spans="1:19" ht="15" x14ac:dyDescent="0.25">
      <c r="A283" s="8" t="s">
        <v>4963</v>
      </c>
      <c r="B283" s="8" t="s">
        <v>4869</v>
      </c>
      <c r="C283" s="8" t="s">
        <v>5131</v>
      </c>
      <c r="D283" s="32" t="s">
        <v>6984</v>
      </c>
      <c r="E283" s="32" t="s">
        <v>5131</v>
      </c>
      <c r="F283" s="10">
        <v>1</v>
      </c>
      <c r="G283" s="8" t="s">
        <v>5101</v>
      </c>
      <c r="H283" s="10">
        <v>46.9</v>
      </c>
      <c r="I283" s="10">
        <f t="shared" si="6"/>
        <v>46.9</v>
      </c>
      <c r="J283" s="10">
        <v>2.7284823988000002</v>
      </c>
      <c r="K283" s="8" t="s">
        <v>5130</v>
      </c>
      <c r="S283"/>
    </row>
    <row r="284" spans="1:19" ht="15" x14ac:dyDescent="0.25">
      <c r="A284" s="8" t="s">
        <v>4963</v>
      </c>
      <c r="B284" s="8" t="s">
        <v>4869</v>
      </c>
      <c r="C284" s="8" t="s">
        <v>5132</v>
      </c>
      <c r="D284" s="32" t="s">
        <v>6984</v>
      </c>
      <c r="E284" s="32" t="s">
        <v>5132</v>
      </c>
      <c r="F284" s="10">
        <v>1</v>
      </c>
      <c r="G284" s="8" t="s">
        <v>5101</v>
      </c>
      <c r="H284" s="10">
        <v>46.4</v>
      </c>
      <c r="I284" s="10">
        <f t="shared" si="6"/>
        <v>46.4</v>
      </c>
      <c r="J284" s="10">
        <v>2.7531631027999999</v>
      </c>
      <c r="K284" s="8" t="s">
        <v>5130</v>
      </c>
      <c r="S284"/>
    </row>
    <row r="285" spans="1:19" ht="15" x14ac:dyDescent="0.25">
      <c r="A285" s="8" t="s">
        <v>4963</v>
      </c>
      <c r="B285" s="8" t="s">
        <v>4869</v>
      </c>
      <c r="C285" s="8" t="s">
        <v>5133</v>
      </c>
      <c r="D285" s="32" t="s">
        <v>6984</v>
      </c>
      <c r="E285" s="32" t="s">
        <v>5133</v>
      </c>
      <c r="F285" s="10">
        <v>1</v>
      </c>
      <c r="G285" s="8" t="s">
        <v>5101</v>
      </c>
      <c r="H285" s="10">
        <v>157.30000000000001</v>
      </c>
      <c r="I285" s="10">
        <f t="shared" si="6"/>
        <v>157.30000000000001</v>
      </c>
      <c r="J285" s="10">
        <v>10.6444607908</v>
      </c>
      <c r="K285" s="8" t="s">
        <v>5128</v>
      </c>
      <c r="S285"/>
    </row>
    <row r="286" spans="1:19" ht="15" x14ac:dyDescent="0.25">
      <c r="A286" s="8" t="s">
        <v>4963</v>
      </c>
      <c r="B286" s="8" t="s">
        <v>4869</v>
      </c>
      <c r="C286" s="8" t="s">
        <v>5134</v>
      </c>
      <c r="D286" s="32" t="s">
        <v>6984</v>
      </c>
      <c r="E286" s="32" t="s">
        <v>5134</v>
      </c>
      <c r="F286" s="10">
        <v>2</v>
      </c>
      <c r="G286" s="8" t="s">
        <v>5101</v>
      </c>
      <c r="H286" s="10">
        <v>122.35</v>
      </c>
      <c r="I286" s="10">
        <f t="shared" si="6"/>
        <v>244.7</v>
      </c>
      <c r="J286" s="10">
        <v>16.283848157600001</v>
      </c>
      <c r="K286" s="8" t="s">
        <v>5128</v>
      </c>
      <c r="S286"/>
    </row>
    <row r="287" spans="1:19" ht="15" x14ac:dyDescent="0.25">
      <c r="A287" s="8" t="s">
        <v>4963</v>
      </c>
      <c r="B287" s="8" t="s">
        <v>4869</v>
      </c>
      <c r="C287" s="8" t="s">
        <v>5135</v>
      </c>
      <c r="D287" s="32" t="s">
        <v>6984</v>
      </c>
      <c r="E287" s="32" t="s">
        <v>5135</v>
      </c>
      <c r="F287" s="10">
        <v>1</v>
      </c>
      <c r="G287" s="8" t="s">
        <v>5101</v>
      </c>
      <c r="H287" s="10">
        <v>138.80000000000001</v>
      </c>
      <c r="I287" s="10">
        <f t="shared" si="6"/>
        <v>138.80000000000001</v>
      </c>
      <c r="J287" s="10">
        <v>9.4958443587999994</v>
      </c>
      <c r="K287" s="8" t="s">
        <v>5128</v>
      </c>
      <c r="S287"/>
    </row>
    <row r="288" spans="1:19" ht="15" x14ac:dyDescent="0.25">
      <c r="A288" s="8" t="s">
        <v>4963</v>
      </c>
      <c r="B288" s="8" t="s">
        <v>4869</v>
      </c>
      <c r="C288" s="8" t="s">
        <v>5136</v>
      </c>
      <c r="D288" s="32" t="s">
        <v>6984</v>
      </c>
      <c r="E288" s="32" t="s">
        <v>5136</v>
      </c>
      <c r="F288" s="10">
        <v>2</v>
      </c>
      <c r="G288" s="8" t="s">
        <v>5101</v>
      </c>
      <c r="H288" s="10">
        <v>119.55</v>
      </c>
      <c r="I288" s="10">
        <f t="shared" si="6"/>
        <v>239.1</v>
      </c>
      <c r="J288" s="10">
        <v>15.821830797600001</v>
      </c>
      <c r="K288" s="8" t="s">
        <v>5128</v>
      </c>
      <c r="S288"/>
    </row>
    <row r="289" spans="1:19" ht="15" x14ac:dyDescent="0.25">
      <c r="A289" s="8" t="s">
        <v>4963</v>
      </c>
      <c r="B289" s="8" t="s">
        <v>4869</v>
      </c>
      <c r="C289" s="8" t="s">
        <v>5137</v>
      </c>
      <c r="D289" s="32" t="s">
        <v>6984</v>
      </c>
      <c r="E289" s="32" t="s">
        <v>5137</v>
      </c>
      <c r="F289" s="10">
        <v>1</v>
      </c>
      <c r="G289" s="8" t="s">
        <v>5101</v>
      </c>
      <c r="H289" s="10">
        <v>84.3</v>
      </c>
      <c r="I289" s="10">
        <f t="shared" si="6"/>
        <v>84.3</v>
      </c>
      <c r="J289" s="10">
        <v>5.3834748147999996</v>
      </c>
      <c r="K289" s="8" t="s">
        <v>5128</v>
      </c>
      <c r="S289"/>
    </row>
    <row r="290" spans="1:19" ht="15" x14ac:dyDescent="0.25">
      <c r="A290" s="8" t="s">
        <v>4963</v>
      </c>
      <c r="B290" s="8" t="s">
        <v>4869</v>
      </c>
      <c r="C290" s="8" t="s">
        <v>5138</v>
      </c>
      <c r="D290" s="32" t="s">
        <v>6984</v>
      </c>
      <c r="E290" s="32" t="s">
        <v>5138</v>
      </c>
      <c r="F290" s="10">
        <v>1</v>
      </c>
      <c r="G290" s="8" t="s">
        <v>5139</v>
      </c>
      <c r="H290" s="10">
        <v>54.9</v>
      </c>
      <c r="I290" s="10">
        <f t="shared" si="6"/>
        <v>54.9</v>
      </c>
      <c r="J290" s="10">
        <v>3.3159589987999998</v>
      </c>
      <c r="K290" s="8" t="s">
        <v>5128</v>
      </c>
      <c r="S290"/>
    </row>
    <row r="291" spans="1:19" ht="15" x14ac:dyDescent="0.25">
      <c r="A291" s="8" t="s">
        <v>4963</v>
      </c>
      <c r="B291" s="8" t="s">
        <v>4869</v>
      </c>
      <c r="C291" s="8" t="s">
        <v>5140</v>
      </c>
      <c r="D291" s="32" t="s">
        <v>6984</v>
      </c>
      <c r="E291" s="32" t="s">
        <v>5140</v>
      </c>
      <c r="F291" s="10">
        <v>1</v>
      </c>
      <c r="G291" s="8" t="s">
        <v>5101</v>
      </c>
      <c r="H291" s="10">
        <v>38.200000000000003</v>
      </c>
      <c r="I291" s="10">
        <f t="shared" si="6"/>
        <v>38.200000000000003</v>
      </c>
      <c r="J291" s="10">
        <v>2.0151402088000001</v>
      </c>
      <c r="K291" s="8" t="s">
        <v>5130</v>
      </c>
      <c r="S291"/>
    </row>
    <row r="292" spans="1:19" ht="15" x14ac:dyDescent="0.25">
      <c r="A292" s="8" t="s">
        <v>4963</v>
      </c>
      <c r="B292" s="8" t="s">
        <v>4869</v>
      </c>
      <c r="C292" s="8" t="s">
        <v>5141</v>
      </c>
      <c r="D292" s="32" t="s">
        <v>6984</v>
      </c>
      <c r="E292" s="32" t="s">
        <v>5141</v>
      </c>
      <c r="F292" s="10">
        <v>1</v>
      </c>
      <c r="G292" s="8" t="s">
        <v>5101</v>
      </c>
      <c r="H292" s="10">
        <v>37.299999999999997</v>
      </c>
      <c r="I292" s="10">
        <f t="shared" si="6"/>
        <v>37.299999999999997</v>
      </c>
      <c r="J292" s="10">
        <v>1.9633888928000001</v>
      </c>
      <c r="K292" s="8" t="s">
        <v>5130</v>
      </c>
      <c r="S292"/>
    </row>
    <row r="293" spans="1:19" ht="15" x14ac:dyDescent="0.25">
      <c r="A293" s="8" t="s">
        <v>4963</v>
      </c>
      <c r="B293" s="8" t="s">
        <v>4869</v>
      </c>
      <c r="C293" s="8" t="s">
        <v>5142</v>
      </c>
      <c r="D293" s="32" t="s">
        <v>6984</v>
      </c>
      <c r="E293" s="32" t="s">
        <v>5142</v>
      </c>
      <c r="F293" s="10">
        <v>1</v>
      </c>
      <c r="G293" s="8" t="s">
        <v>5101</v>
      </c>
      <c r="H293" s="10">
        <v>42.1</v>
      </c>
      <c r="I293" s="10">
        <f t="shared" si="6"/>
        <v>42.1</v>
      </c>
      <c r="J293" s="10">
        <v>2.3461772681999999</v>
      </c>
      <c r="K293" s="8" t="s">
        <v>5130</v>
      </c>
      <c r="S293"/>
    </row>
    <row r="294" spans="1:19" ht="15" x14ac:dyDescent="0.25">
      <c r="A294" s="8" t="s">
        <v>4932</v>
      </c>
      <c r="B294" s="8" t="s">
        <v>14</v>
      </c>
      <c r="C294" s="8" t="s">
        <v>5143</v>
      </c>
      <c r="D294" s="32" t="s">
        <v>6984</v>
      </c>
      <c r="E294" s="32" t="s">
        <v>5143</v>
      </c>
      <c r="F294" s="10">
        <v>1</v>
      </c>
      <c r="G294" s="8" t="s">
        <v>4934</v>
      </c>
      <c r="H294" s="10">
        <v>2810.7</v>
      </c>
      <c r="I294" s="10">
        <f t="shared" si="6"/>
        <v>2810.7</v>
      </c>
      <c r="J294" s="10">
        <v>40.01518248</v>
      </c>
      <c r="K294" s="8" t="s">
        <v>4935</v>
      </c>
      <c r="S294"/>
    </row>
    <row r="295" spans="1:19" ht="15" x14ac:dyDescent="0.25">
      <c r="A295" s="8" t="s">
        <v>4932</v>
      </c>
      <c r="B295" s="8" t="s">
        <v>14</v>
      </c>
      <c r="C295" s="8" t="s">
        <v>5144</v>
      </c>
      <c r="D295" s="32" t="s">
        <v>6984</v>
      </c>
      <c r="E295" s="32" t="s">
        <v>5144</v>
      </c>
      <c r="F295" s="10">
        <v>1</v>
      </c>
      <c r="G295" s="8" t="s">
        <v>4934</v>
      </c>
      <c r="H295" s="10">
        <v>2866.9</v>
      </c>
      <c r="I295" s="10">
        <f t="shared" si="6"/>
        <v>2866.9</v>
      </c>
      <c r="J295" s="10">
        <v>41.353858797000001</v>
      </c>
      <c r="K295" s="8" t="s">
        <v>4935</v>
      </c>
      <c r="S295"/>
    </row>
    <row r="296" spans="1:19" ht="15" x14ac:dyDescent="0.25">
      <c r="A296" s="8" t="s">
        <v>4932</v>
      </c>
      <c r="B296" s="8" t="s">
        <v>14</v>
      </c>
      <c r="C296" s="8" t="s">
        <v>20</v>
      </c>
      <c r="D296" s="32" t="s">
        <v>6984</v>
      </c>
      <c r="E296" s="32" t="s">
        <v>20</v>
      </c>
      <c r="F296" s="10">
        <v>1</v>
      </c>
      <c r="G296" s="8" t="s">
        <v>16</v>
      </c>
      <c r="H296" s="10">
        <v>865.6</v>
      </c>
      <c r="I296" s="10">
        <f t="shared" si="6"/>
        <v>865.6</v>
      </c>
      <c r="J296" s="10">
        <v>17.954055636</v>
      </c>
      <c r="K296" s="8" t="s">
        <v>17</v>
      </c>
      <c r="S296"/>
    </row>
    <row r="297" spans="1:19" ht="15" x14ac:dyDescent="0.25">
      <c r="A297" s="8" t="s">
        <v>4998</v>
      </c>
      <c r="B297" s="8" t="s">
        <v>4779</v>
      </c>
      <c r="C297" s="8" t="s">
        <v>4783</v>
      </c>
      <c r="D297" s="32" t="s">
        <v>6984</v>
      </c>
      <c r="E297" s="32" t="s">
        <v>4783</v>
      </c>
      <c r="F297" s="10">
        <v>1</v>
      </c>
      <c r="G297" s="8" t="s">
        <v>16</v>
      </c>
      <c r="H297" s="10">
        <v>1497.1</v>
      </c>
      <c r="I297" s="10">
        <f t="shared" si="6"/>
        <v>1497.1</v>
      </c>
      <c r="J297" s="10">
        <v>22.166581019999999</v>
      </c>
      <c r="K297" s="8" t="s">
        <v>4784</v>
      </c>
      <c r="S297"/>
    </row>
    <row r="298" spans="1:19" ht="15" x14ac:dyDescent="0.25">
      <c r="A298" s="8" t="s">
        <v>4963</v>
      </c>
      <c r="B298" s="8" t="s">
        <v>4869</v>
      </c>
      <c r="C298" s="8" t="s">
        <v>5145</v>
      </c>
      <c r="D298" s="32" t="s">
        <v>5146</v>
      </c>
      <c r="E298" s="32" t="s">
        <v>5145</v>
      </c>
      <c r="F298" s="10">
        <v>56</v>
      </c>
      <c r="G298" s="8" t="s">
        <v>5147</v>
      </c>
      <c r="K298" s="8" t="s">
        <v>5147</v>
      </c>
      <c r="L298" s="8" t="s">
        <v>32</v>
      </c>
      <c r="S298"/>
    </row>
    <row r="299" spans="1:19" ht="15" x14ac:dyDescent="0.25">
      <c r="A299" s="8" t="s">
        <v>4963</v>
      </c>
      <c r="B299" s="8" t="s">
        <v>4869</v>
      </c>
      <c r="C299" s="8" t="s">
        <v>5148</v>
      </c>
      <c r="D299" s="32" t="s">
        <v>5146</v>
      </c>
      <c r="E299" s="32" t="s">
        <v>5148</v>
      </c>
      <c r="F299" s="10">
        <v>56</v>
      </c>
      <c r="G299" s="8" t="s">
        <v>5149</v>
      </c>
      <c r="K299" s="8" t="s">
        <v>5149</v>
      </c>
      <c r="L299" s="8" t="s">
        <v>32</v>
      </c>
      <c r="S299"/>
    </row>
    <row r="300" spans="1:19" ht="15" x14ac:dyDescent="0.25">
      <c r="A300" s="8" t="s">
        <v>4963</v>
      </c>
      <c r="B300" s="8" t="s">
        <v>4869</v>
      </c>
      <c r="C300" s="8" t="s">
        <v>5150</v>
      </c>
      <c r="D300" s="32" t="s">
        <v>5146</v>
      </c>
      <c r="E300" s="32" t="s">
        <v>5150</v>
      </c>
      <c r="F300" s="10">
        <v>56</v>
      </c>
      <c r="G300" s="8" t="s">
        <v>5151</v>
      </c>
      <c r="K300" s="8" t="s">
        <v>5151</v>
      </c>
      <c r="L300" s="8" t="s">
        <v>32</v>
      </c>
      <c r="S300"/>
    </row>
    <row r="301" spans="1:19" ht="15" x14ac:dyDescent="0.25">
      <c r="A301" s="8" t="s">
        <v>4963</v>
      </c>
      <c r="B301" s="8" t="s">
        <v>4869</v>
      </c>
      <c r="C301" s="8" t="s">
        <v>5152</v>
      </c>
      <c r="D301" s="32" t="s">
        <v>5146</v>
      </c>
      <c r="E301" s="32" t="s">
        <v>5152</v>
      </c>
      <c r="F301" s="10">
        <v>7</v>
      </c>
      <c r="G301" s="8" t="s">
        <v>5153</v>
      </c>
      <c r="K301" s="8" t="s">
        <v>5153</v>
      </c>
      <c r="L301" s="8" t="s">
        <v>32</v>
      </c>
      <c r="S301"/>
    </row>
    <row r="302" spans="1:19" ht="15" x14ac:dyDescent="0.25">
      <c r="A302" s="8" t="s">
        <v>4963</v>
      </c>
      <c r="B302" s="8" t="s">
        <v>4869</v>
      </c>
      <c r="C302" s="8" t="s">
        <v>5154</v>
      </c>
      <c r="D302" s="32" t="s">
        <v>5146</v>
      </c>
      <c r="E302" s="32" t="s">
        <v>5154</v>
      </c>
      <c r="F302" s="10">
        <v>270</v>
      </c>
      <c r="G302" s="8" t="s">
        <v>5155</v>
      </c>
      <c r="K302" s="8" t="s">
        <v>5155</v>
      </c>
      <c r="L302" s="8" t="s">
        <v>32</v>
      </c>
      <c r="S302"/>
    </row>
    <row r="303" spans="1:19" ht="15" x14ac:dyDescent="0.25">
      <c r="A303" s="8" t="s">
        <v>4963</v>
      </c>
      <c r="B303" s="8" t="s">
        <v>4869</v>
      </c>
      <c r="C303" s="8" t="s">
        <v>5156</v>
      </c>
      <c r="D303" s="32" t="s">
        <v>5146</v>
      </c>
      <c r="E303" s="32" t="s">
        <v>5156</v>
      </c>
      <c r="F303" s="10">
        <v>833</v>
      </c>
      <c r="G303" s="8" t="s">
        <v>5157</v>
      </c>
      <c r="K303" s="8" t="s">
        <v>5157</v>
      </c>
      <c r="L303" s="8" t="s">
        <v>32</v>
      </c>
      <c r="S303"/>
    </row>
    <row r="304" spans="1:19" ht="15" x14ac:dyDescent="0.25">
      <c r="A304" s="8" t="s">
        <v>4963</v>
      </c>
      <c r="B304" s="8" t="s">
        <v>4869</v>
      </c>
      <c r="C304" s="8" t="s">
        <v>5158</v>
      </c>
      <c r="D304" s="32" t="s">
        <v>5146</v>
      </c>
      <c r="E304" s="32" t="s">
        <v>5158</v>
      </c>
      <c r="F304" s="10">
        <v>245</v>
      </c>
      <c r="G304" s="8" t="s">
        <v>5159</v>
      </c>
      <c r="K304" s="8" t="s">
        <v>5159</v>
      </c>
      <c r="L304" s="8" t="s">
        <v>32</v>
      </c>
      <c r="S304"/>
    </row>
    <row r="305" spans="1:19" ht="15" x14ac:dyDescent="0.25">
      <c r="A305" s="8" t="s">
        <v>4963</v>
      </c>
      <c r="B305" s="8" t="s">
        <v>4869</v>
      </c>
      <c r="C305" s="8" t="s">
        <v>5160</v>
      </c>
      <c r="D305" s="32" t="s">
        <v>5146</v>
      </c>
      <c r="E305" s="32" t="s">
        <v>5160</v>
      </c>
      <c r="F305" s="10">
        <v>955</v>
      </c>
      <c r="G305" s="8" t="s">
        <v>5161</v>
      </c>
      <c r="K305" s="8" t="s">
        <v>5161</v>
      </c>
      <c r="L305" s="8" t="s">
        <v>32</v>
      </c>
      <c r="S305"/>
    </row>
    <row r="306" spans="1:19" ht="15" x14ac:dyDescent="0.25">
      <c r="A306" s="8" t="s">
        <v>4963</v>
      </c>
      <c r="B306" s="8" t="s">
        <v>4869</v>
      </c>
      <c r="C306" s="8" t="s">
        <v>5162</v>
      </c>
      <c r="D306" s="32" t="s">
        <v>5146</v>
      </c>
      <c r="E306" s="32" t="s">
        <v>5162</v>
      </c>
      <c r="F306" s="10">
        <v>1159</v>
      </c>
      <c r="G306" s="8" t="s">
        <v>5163</v>
      </c>
      <c r="K306" s="8" t="s">
        <v>5163</v>
      </c>
      <c r="L306" s="8" t="s">
        <v>32</v>
      </c>
      <c r="S306"/>
    </row>
    <row r="307" spans="1:19" ht="15" x14ac:dyDescent="0.25">
      <c r="A307" s="8" t="s">
        <v>4963</v>
      </c>
      <c r="B307" s="8" t="s">
        <v>4869</v>
      </c>
      <c r="C307" s="8" t="s">
        <v>5164</v>
      </c>
      <c r="D307" s="32" t="s">
        <v>5146</v>
      </c>
      <c r="E307" s="32" t="s">
        <v>5164</v>
      </c>
      <c r="F307" s="10">
        <v>3469</v>
      </c>
      <c r="G307" s="8" t="s">
        <v>5165</v>
      </c>
      <c r="K307" s="8" t="s">
        <v>5165</v>
      </c>
      <c r="L307" s="8" t="s">
        <v>32</v>
      </c>
      <c r="S307"/>
    </row>
    <row r="308" spans="1:19" ht="15" x14ac:dyDescent="0.25">
      <c r="A308" s="8" t="s">
        <v>4963</v>
      </c>
      <c r="B308" s="8" t="s">
        <v>4869</v>
      </c>
      <c r="C308" s="8" t="s">
        <v>5166</v>
      </c>
      <c r="D308" s="32" t="s">
        <v>5146</v>
      </c>
      <c r="E308" s="32" t="s">
        <v>5166</v>
      </c>
      <c r="F308" s="10">
        <v>3469</v>
      </c>
      <c r="G308" s="8" t="s">
        <v>5167</v>
      </c>
      <c r="K308" s="8" t="s">
        <v>5167</v>
      </c>
      <c r="L308" s="8" t="s">
        <v>32</v>
      </c>
      <c r="S308"/>
    </row>
    <row r="309" spans="1:19" ht="15" x14ac:dyDescent="0.25">
      <c r="A309" s="8" t="s">
        <v>4932</v>
      </c>
      <c r="B309" s="8" t="s">
        <v>14</v>
      </c>
      <c r="C309" s="8" t="s">
        <v>5168</v>
      </c>
      <c r="D309" s="32" t="s">
        <v>5146</v>
      </c>
      <c r="E309" s="32" t="s">
        <v>5168</v>
      </c>
      <c r="F309" s="10">
        <v>6</v>
      </c>
      <c r="G309" s="8" t="s">
        <v>5153</v>
      </c>
      <c r="K309" s="8" t="s">
        <v>5153</v>
      </c>
      <c r="L309" s="8" t="s">
        <v>32</v>
      </c>
      <c r="S309"/>
    </row>
    <row r="310" spans="1:19" ht="15" x14ac:dyDescent="0.25">
      <c r="A310" s="8" t="s">
        <v>4932</v>
      </c>
      <c r="B310" s="8" t="s">
        <v>14</v>
      </c>
      <c r="C310" s="8" t="s">
        <v>5169</v>
      </c>
      <c r="D310" s="32" t="s">
        <v>5146</v>
      </c>
      <c r="E310" s="32" t="s">
        <v>5169</v>
      </c>
      <c r="F310" s="10">
        <v>213</v>
      </c>
      <c r="G310" s="8" t="s">
        <v>5155</v>
      </c>
      <c r="K310" s="8" t="s">
        <v>5155</v>
      </c>
      <c r="L310" s="8" t="s">
        <v>32</v>
      </c>
      <c r="S310"/>
    </row>
    <row r="311" spans="1:19" ht="15" x14ac:dyDescent="0.25">
      <c r="A311" s="8" t="s">
        <v>4932</v>
      </c>
      <c r="B311" s="8" t="s">
        <v>14</v>
      </c>
      <c r="C311" s="8" t="s">
        <v>5170</v>
      </c>
      <c r="D311" s="32" t="s">
        <v>5146</v>
      </c>
      <c r="E311" s="32" t="s">
        <v>5170</v>
      </c>
      <c r="F311" s="10">
        <v>400</v>
      </c>
      <c r="G311" s="8" t="s">
        <v>5157</v>
      </c>
      <c r="K311" s="8" t="s">
        <v>5157</v>
      </c>
      <c r="L311" s="8" t="s">
        <v>32</v>
      </c>
      <c r="S311"/>
    </row>
    <row r="312" spans="1:19" ht="15" x14ac:dyDescent="0.25">
      <c r="A312" s="8" t="s">
        <v>4932</v>
      </c>
      <c r="B312" s="8" t="s">
        <v>14</v>
      </c>
      <c r="C312" s="8" t="s">
        <v>5171</v>
      </c>
      <c r="D312" s="32" t="s">
        <v>5146</v>
      </c>
      <c r="E312" s="32" t="s">
        <v>5171</v>
      </c>
      <c r="F312" s="10">
        <v>1110</v>
      </c>
      <c r="G312" s="8" t="s">
        <v>5159</v>
      </c>
      <c r="K312" s="8" t="s">
        <v>5159</v>
      </c>
      <c r="L312" s="8" t="s">
        <v>32</v>
      </c>
      <c r="S312"/>
    </row>
    <row r="313" spans="1:19" ht="15" x14ac:dyDescent="0.25">
      <c r="A313" s="8" t="s">
        <v>4932</v>
      </c>
      <c r="B313" s="8" t="s">
        <v>14</v>
      </c>
      <c r="C313" s="8" t="s">
        <v>5172</v>
      </c>
      <c r="D313" s="32" t="s">
        <v>5146</v>
      </c>
      <c r="E313" s="32" t="s">
        <v>5172</v>
      </c>
      <c r="F313" s="10">
        <v>1729</v>
      </c>
      <c r="G313" s="8" t="s">
        <v>5165</v>
      </c>
      <c r="K313" s="8" t="s">
        <v>5165</v>
      </c>
      <c r="L313" s="8" t="s">
        <v>32</v>
      </c>
      <c r="S313"/>
    </row>
    <row r="314" spans="1:19" ht="15" x14ac:dyDescent="0.25">
      <c r="A314" s="8" t="s">
        <v>4932</v>
      </c>
      <c r="B314" s="8" t="s">
        <v>14</v>
      </c>
      <c r="C314" s="8" t="s">
        <v>5173</v>
      </c>
      <c r="D314" s="32" t="s">
        <v>5146</v>
      </c>
      <c r="E314" s="32" t="s">
        <v>5173</v>
      </c>
      <c r="F314" s="10">
        <v>1729</v>
      </c>
      <c r="G314" s="8" t="s">
        <v>5167</v>
      </c>
      <c r="K314" s="8" t="s">
        <v>5167</v>
      </c>
      <c r="L314" s="8" t="s">
        <v>32</v>
      </c>
      <c r="S314"/>
    </row>
    <row r="315" spans="1:19" ht="15" x14ac:dyDescent="0.25">
      <c r="A315" s="8" t="s">
        <v>4998</v>
      </c>
      <c r="B315" s="8" t="s">
        <v>4779</v>
      </c>
      <c r="C315" s="8" t="s">
        <v>5174</v>
      </c>
      <c r="D315" s="32" t="s">
        <v>5146</v>
      </c>
      <c r="E315" s="32" t="s">
        <v>5174</v>
      </c>
      <c r="F315" s="10">
        <v>74</v>
      </c>
      <c r="G315" s="8" t="s">
        <v>5175</v>
      </c>
      <c r="K315" s="8" t="s">
        <v>5175</v>
      </c>
      <c r="L315" s="8" t="s">
        <v>32</v>
      </c>
      <c r="S315"/>
    </row>
    <row r="316" spans="1:19" ht="15" x14ac:dyDescent="0.25">
      <c r="A316" s="8" t="s">
        <v>4998</v>
      </c>
      <c r="B316" s="8" t="s">
        <v>4779</v>
      </c>
      <c r="C316" s="8" t="s">
        <v>5176</v>
      </c>
      <c r="D316" s="32" t="s">
        <v>5146</v>
      </c>
      <c r="E316" s="32" t="s">
        <v>5176</v>
      </c>
      <c r="F316" s="10">
        <v>74</v>
      </c>
      <c r="G316" s="8" t="s">
        <v>5177</v>
      </c>
      <c r="K316" s="8" t="s">
        <v>5177</v>
      </c>
      <c r="L316" s="8" t="s">
        <v>32</v>
      </c>
      <c r="S316"/>
    </row>
    <row r="317" spans="1:19" ht="15" x14ac:dyDescent="0.25">
      <c r="A317" s="8" t="s">
        <v>4998</v>
      </c>
      <c r="B317" s="8" t="s">
        <v>4779</v>
      </c>
      <c r="C317" s="8" t="s">
        <v>5178</v>
      </c>
      <c r="D317" s="32" t="s">
        <v>5146</v>
      </c>
      <c r="E317" s="32" t="s">
        <v>5178</v>
      </c>
      <c r="F317" s="10">
        <v>74</v>
      </c>
      <c r="G317" s="8" t="s">
        <v>5179</v>
      </c>
      <c r="K317" s="8" t="s">
        <v>5179</v>
      </c>
      <c r="L317" s="8" t="s">
        <v>32</v>
      </c>
      <c r="S317"/>
    </row>
    <row r="318" spans="1:19" ht="15" x14ac:dyDescent="0.25">
      <c r="A318" s="8" t="s">
        <v>4998</v>
      </c>
      <c r="B318" s="8" t="s">
        <v>4779</v>
      </c>
      <c r="C318" s="8" t="s">
        <v>5180</v>
      </c>
      <c r="D318" s="32" t="s">
        <v>5146</v>
      </c>
      <c r="E318" s="32" t="s">
        <v>5180</v>
      </c>
      <c r="F318" s="10">
        <v>17</v>
      </c>
      <c r="G318" s="8" t="s">
        <v>5153</v>
      </c>
      <c r="K318" s="8" t="s">
        <v>5153</v>
      </c>
      <c r="L318" s="8" t="s">
        <v>32</v>
      </c>
      <c r="S318"/>
    </row>
    <row r="319" spans="1:19" ht="15" x14ac:dyDescent="0.25">
      <c r="A319" s="8" t="s">
        <v>4998</v>
      </c>
      <c r="B319" s="8" t="s">
        <v>4779</v>
      </c>
      <c r="C319" s="8" t="s">
        <v>5181</v>
      </c>
      <c r="D319" s="32" t="s">
        <v>5146</v>
      </c>
      <c r="E319" s="32" t="s">
        <v>5181</v>
      </c>
      <c r="F319" s="10">
        <v>918</v>
      </c>
      <c r="G319" s="8" t="s">
        <v>5155</v>
      </c>
      <c r="K319" s="8" t="s">
        <v>5155</v>
      </c>
      <c r="L319" s="8" t="s">
        <v>32</v>
      </c>
      <c r="S319"/>
    </row>
    <row r="320" spans="1:19" ht="15" x14ac:dyDescent="0.25">
      <c r="A320" s="8" t="s">
        <v>4998</v>
      </c>
      <c r="B320" s="8" t="s">
        <v>4779</v>
      </c>
      <c r="C320" s="8" t="s">
        <v>5182</v>
      </c>
      <c r="D320" s="32" t="s">
        <v>5146</v>
      </c>
      <c r="E320" s="32" t="s">
        <v>5182</v>
      </c>
      <c r="F320" s="10">
        <v>1690</v>
      </c>
      <c r="G320" s="8" t="s">
        <v>5159</v>
      </c>
      <c r="K320" s="8" t="s">
        <v>5159</v>
      </c>
      <c r="L320" s="8" t="s">
        <v>32</v>
      </c>
      <c r="S320"/>
    </row>
    <row r="321" spans="1:19" ht="15" x14ac:dyDescent="0.25">
      <c r="A321" s="8" t="s">
        <v>4998</v>
      </c>
      <c r="B321" s="8" t="s">
        <v>4779</v>
      </c>
      <c r="C321" s="8" t="s">
        <v>5183</v>
      </c>
      <c r="D321" s="32" t="s">
        <v>5146</v>
      </c>
      <c r="E321" s="32" t="s">
        <v>5183</v>
      </c>
      <c r="F321" s="10">
        <v>1065</v>
      </c>
      <c r="G321" s="8" t="s">
        <v>5161</v>
      </c>
      <c r="K321" s="8" t="s">
        <v>5161</v>
      </c>
      <c r="L321" s="8" t="s">
        <v>32</v>
      </c>
      <c r="S321"/>
    </row>
    <row r="322" spans="1:19" ht="15" x14ac:dyDescent="0.25">
      <c r="A322" s="8" t="s">
        <v>4998</v>
      </c>
      <c r="B322" s="8" t="s">
        <v>4779</v>
      </c>
      <c r="C322" s="8" t="s">
        <v>5184</v>
      </c>
      <c r="D322" s="32" t="s">
        <v>5146</v>
      </c>
      <c r="E322" s="32" t="s">
        <v>5184</v>
      </c>
      <c r="F322" s="10">
        <v>17</v>
      </c>
      <c r="G322" s="8" t="s">
        <v>5185</v>
      </c>
      <c r="K322" s="8" t="s">
        <v>5185</v>
      </c>
      <c r="L322" s="8" t="s">
        <v>32</v>
      </c>
      <c r="S322"/>
    </row>
    <row r="323" spans="1:19" ht="15" x14ac:dyDescent="0.25">
      <c r="A323" s="8" t="s">
        <v>4998</v>
      </c>
      <c r="B323" s="8" t="s">
        <v>4779</v>
      </c>
      <c r="C323" s="8" t="s">
        <v>5186</v>
      </c>
      <c r="D323" s="32" t="s">
        <v>5146</v>
      </c>
      <c r="E323" s="32" t="s">
        <v>5186</v>
      </c>
      <c r="F323" s="10">
        <v>13</v>
      </c>
      <c r="G323" s="8" t="s">
        <v>5187</v>
      </c>
      <c r="K323" s="8" t="s">
        <v>5187</v>
      </c>
      <c r="L323" s="8" t="s">
        <v>32</v>
      </c>
      <c r="S323"/>
    </row>
    <row r="324" spans="1:19" ht="15" x14ac:dyDescent="0.25">
      <c r="A324" s="8" t="s">
        <v>4998</v>
      </c>
      <c r="B324" s="8" t="s">
        <v>4779</v>
      </c>
      <c r="C324" s="8" t="s">
        <v>5188</v>
      </c>
      <c r="D324" s="32" t="s">
        <v>5146</v>
      </c>
      <c r="E324" s="32" t="s">
        <v>5188</v>
      </c>
      <c r="F324" s="10">
        <v>5</v>
      </c>
      <c r="G324" s="8" t="s">
        <v>5189</v>
      </c>
      <c r="K324" s="8" t="s">
        <v>5189</v>
      </c>
      <c r="L324" s="8" t="s">
        <v>32</v>
      </c>
      <c r="S324"/>
    </row>
    <row r="325" spans="1:19" ht="15" x14ac:dyDescent="0.25">
      <c r="A325" s="8" t="s">
        <v>4998</v>
      </c>
      <c r="B325" s="8" t="s">
        <v>4779</v>
      </c>
      <c r="C325" s="8" t="s">
        <v>5190</v>
      </c>
      <c r="D325" s="32" t="s">
        <v>5146</v>
      </c>
      <c r="E325" s="32" t="s">
        <v>5190</v>
      </c>
      <c r="F325" s="10">
        <v>3725</v>
      </c>
      <c r="G325" s="8" t="s">
        <v>5165</v>
      </c>
      <c r="K325" s="8" t="s">
        <v>5165</v>
      </c>
      <c r="L325" s="8" t="s">
        <v>32</v>
      </c>
      <c r="S325"/>
    </row>
    <row r="326" spans="1:19" ht="15" x14ac:dyDescent="0.25">
      <c r="A326" s="8" t="s">
        <v>4998</v>
      </c>
      <c r="B326" s="8" t="s">
        <v>4779</v>
      </c>
      <c r="C326" s="8" t="s">
        <v>5191</v>
      </c>
      <c r="D326" s="32" t="s">
        <v>5146</v>
      </c>
      <c r="E326" s="32" t="s">
        <v>5191</v>
      </c>
      <c r="F326" s="10">
        <v>3725</v>
      </c>
      <c r="G326" s="8" t="s">
        <v>5167</v>
      </c>
      <c r="K326" s="8" t="s">
        <v>5167</v>
      </c>
      <c r="L326" s="8" t="s">
        <v>32</v>
      </c>
      <c r="S326"/>
    </row>
    <row r="327" spans="1:19" ht="15" x14ac:dyDescent="0.25">
      <c r="A327" s="8" t="s">
        <v>5069</v>
      </c>
      <c r="B327" s="8" t="s">
        <v>5070</v>
      </c>
      <c r="C327" s="8" t="s">
        <v>5192</v>
      </c>
      <c r="D327" s="32" t="s">
        <v>6984</v>
      </c>
      <c r="E327" s="32" t="s">
        <v>5192</v>
      </c>
      <c r="F327" s="10">
        <v>1</v>
      </c>
      <c r="G327" s="8" t="s">
        <v>16</v>
      </c>
      <c r="H327" s="10">
        <v>3045</v>
      </c>
      <c r="I327" s="10">
        <f t="shared" ref="I327:I388" si="7">F327*H327</f>
        <v>3045</v>
      </c>
      <c r="J327" s="10">
        <v>31.211386009999998</v>
      </c>
      <c r="K327" s="8" t="s">
        <v>4875</v>
      </c>
      <c r="S327"/>
    </row>
    <row r="328" spans="1:19" ht="15" x14ac:dyDescent="0.25">
      <c r="A328" s="8" t="s">
        <v>5069</v>
      </c>
      <c r="B328" s="8" t="s">
        <v>5070</v>
      </c>
      <c r="C328" s="8" t="s">
        <v>5193</v>
      </c>
      <c r="D328" s="32" t="s">
        <v>6984</v>
      </c>
      <c r="E328" s="32" t="s">
        <v>5193</v>
      </c>
      <c r="F328" s="10">
        <v>1</v>
      </c>
      <c r="G328" s="8" t="s">
        <v>16</v>
      </c>
      <c r="H328" s="10">
        <v>2916.4</v>
      </c>
      <c r="I328" s="10">
        <f t="shared" si="7"/>
        <v>2916.4</v>
      </c>
      <c r="J328" s="10">
        <v>29.46703222</v>
      </c>
      <c r="K328" s="8" t="s">
        <v>4875</v>
      </c>
      <c r="S328"/>
    </row>
    <row r="329" spans="1:19" ht="15" x14ac:dyDescent="0.25">
      <c r="A329" s="8" t="s">
        <v>5069</v>
      </c>
      <c r="B329" s="8" t="s">
        <v>5070</v>
      </c>
      <c r="C329" s="8" t="s">
        <v>5194</v>
      </c>
      <c r="D329" s="32" t="s">
        <v>6984</v>
      </c>
      <c r="E329" s="32" t="s">
        <v>5194</v>
      </c>
      <c r="F329" s="10">
        <v>1</v>
      </c>
      <c r="G329" s="8" t="s">
        <v>16</v>
      </c>
      <c r="H329" s="10">
        <v>2473.6</v>
      </c>
      <c r="I329" s="10">
        <f t="shared" si="7"/>
        <v>2473.6</v>
      </c>
      <c r="J329" s="10">
        <v>39.611219112999997</v>
      </c>
      <c r="K329" s="8" t="s">
        <v>4865</v>
      </c>
      <c r="S329"/>
    </row>
    <row r="330" spans="1:19" ht="15" x14ac:dyDescent="0.25">
      <c r="A330" s="8" t="s">
        <v>5069</v>
      </c>
      <c r="B330" s="8" t="s">
        <v>5070</v>
      </c>
      <c r="C330" s="8" t="s">
        <v>5195</v>
      </c>
      <c r="D330" s="32" t="s">
        <v>6984</v>
      </c>
      <c r="E330" s="32" t="s">
        <v>5195</v>
      </c>
      <c r="F330" s="10">
        <v>1</v>
      </c>
      <c r="G330" s="8" t="s">
        <v>16</v>
      </c>
      <c r="H330" s="10">
        <v>2347.6999999999998</v>
      </c>
      <c r="I330" s="10">
        <f t="shared" si="7"/>
        <v>2347.6999999999998</v>
      </c>
      <c r="J330" s="10">
        <v>36.662385550000003</v>
      </c>
      <c r="K330" s="8" t="s">
        <v>4865</v>
      </c>
      <c r="S330"/>
    </row>
    <row r="331" spans="1:19" ht="15" x14ac:dyDescent="0.25">
      <c r="A331" s="8" t="s">
        <v>5069</v>
      </c>
      <c r="B331" s="8" t="s">
        <v>5070</v>
      </c>
      <c r="C331" s="8" t="s">
        <v>5196</v>
      </c>
      <c r="D331" s="32" t="s">
        <v>6984</v>
      </c>
      <c r="E331" s="32" t="s">
        <v>5196</v>
      </c>
      <c r="F331" s="10">
        <v>1</v>
      </c>
      <c r="G331" s="8" t="s">
        <v>16</v>
      </c>
      <c r="H331" s="10">
        <v>2484.3000000000002</v>
      </c>
      <c r="I331" s="10">
        <f t="shared" si="7"/>
        <v>2484.3000000000002</v>
      </c>
      <c r="J331" s="10">
        <v>40.175266860999997</v>
      </c>
      <c r="K331" s="8" t="s">
        <v>4865</v>
      </c>
      <c r="S331"/>
    </row>
    <row r="332" spans="1:19" ht="15" x14ac:dyDescent="0.25">
      <c r="A332" s="8" t="s">
        <v>5069</v>
      </c>
      <c r="B332" s="8" t="s">
        <v>5070</v>
      </c>
      <c r="C332" s="8" t="s">
        <v>5197</v>
      </c>
      <c r="D332" s="32" t="s">
        <v>6984</v>
      </c>
      <c r="E332" s="32" t="s">
        <v>5197</v>
      </c>
      <c r="F332" s="10">
        <v>1</v>
      </c>
      <c r="G332" s="8" t="s">
        <v>16</v>
      </c>
      <c r="H332" s="10">
        <v>2433.1</v>
      </c>
      <c r="I332" s="10">
        <f t="shared" si="7"/>
        <v>2433.1</v>
      </c>
      <c r="J332" s="10">
        <v>38.524457869000003</v>
      </c>
      <c r="K332" s="8" t="s">
        <v>4865</v>
      </c>
      <c r="S332"/>
    </row>
    <row r="333" spans="1:19" ht="15" x14ac:dyDescent="0.25">
      <c r="A333" s="8" t="s">
        <v>5073</v>
      </c>
      <c r="B333" s="8" t="s">
        <v>5070</v>
      </c>
      <c r="C333" s="8" t="s">
        <v>5198</v>
      </c>
      <c r="D333" s="32" t="s">
        <v>6984</v>
      </c>
      <c r="E333" s="32" t="s">
        <v>5198</v>
      </c>
      <c r="F333" s="10">
        <v>1</v>
      </c>
      <c r="G333" s="8" t="s">
        <v>16</v>
      </c>
      <c r="H333" s="10">
        <v>3391.7</v>
      </c>
      <c r="I333" s="10">
        <f t="shared" si="7"/>
        <v>3391.7</v>
      </c>
      <c r="J333" s="10">
        <v>38.473005155499997</v>
      </c>
      <c r="K333" s="8" t="s">
        <v>5199</v>
      </c>
      <c r="S333"/>
    </row>
    <row r="334" spans="1:19" ht="15" x14ac:dyDescent="0.25">
      <c r="A334" s="8" t="s">
        <v>5073</v>
      </c>
      <c r="B334" s="8" t="s">
        <v>5070</v>
      </c>
      <c r="C334" s="8" t="s">
        <v>5200</v>
      </c>
      <c r="D334" s="32" t="s">
        <v>6984</v>
      </c>
      <c r="E334" s="32" t="s">
        <v>5200</v>
      </c>
      <c r="F334" s="10">
        <v>1</v>
      </c>
      <c r="G334" s="8" t="s">
        <v>16</v>
      </c>
      <c r="H334" s="10">
        <v>3376.3</v>
      </c>
      <c r="I334" s="10">
        <f t="shared" si="7"/>
        <v>3376.3</v>
      </c>
      <c r="J334" s="10">
        <v>37.917594755750002</v>
      </c>
      <c r="K334" s="8" t="s">
        <v>5199</v>
      </c>
      <c r="S334"/>
    </row>
    <row r="335" spans="1:19" ht="15" x14ac:dyDescent="0.25">
      <c r="A335" s="8" t="s">
        <v>5073</v>
      </c>
      <c r="B335" s="8" t="s">
        <v>5070</v>
      </c>
      <c r="C335" s="8" t="s">
        <v>5201</v>
      </c>
      <c r="D335" s="32" t="s">
        <v>6984</v>
      </c>
      <c r="E335" s="32" t="s">
        <v>5201</v>
      </c>
      <c r="F335" s="10">
        <v>1</v>
      </c>
      <c r="G335" s="8" t="s">
        <v>16</v>
      </c>
      <c r="H335" s="10">
        <v>3450.4</v>
      </c>
      <c r="I335" s="10">
        <f t="shared" si="7"/>
        <v>3450.4</v>
      </c>
      <c r="J335" s="10">
        <v>39.872347489159999</v>
      </c>
      <c r="K335" s="8" t="s">
        <v>5199</v>
      </c>
      <c r="S335"/>
    </row>
    <row r="336" spans="1:19" ht="15" x14ac:dyDescent="0.25">
      <c r="A336" s="8" t="s">
        <v>5069</v>
      </c>
      <c r="B336" s="8" t="s">
        <v>5070</v>
      </c>
      <c r="C336" s="8" t="s">
        <v>5202</v>
      </c>
      <c r="D336" s="32" t="s">
        <v>6984</v>
      </c>
      <c r="E336" s="32" t="s">
        <v>5202</v>
      </c>
      <c r="F336" s="10">
        <v>1</v>
      </c>
      <c r="G336" s="8" t="s">
        <v>16</v>
      </c>
      <c r="H336" s="10">
        <v>1846.1</v>
      </c>
      <c r="I336" s="10">
        <f t="shared" si="7"/>
        <v>1846.1</v>
      </c>
      <c r="J336" s="10">
        <v>24.836266616</v>
      </c>
      <c r="K336" s="8" t="s">
        <v>5203</v>
      </c>
      <c r="S336"/>
    </row>
    <row r="337" spans="1:19" ht="15" x14ac:dyDescent="0.25">
      <c r="A337" s="8" t="s">
        <v>5073</v>
      </c>
      <c r="B337" s="8" t="s">
        <v>5070</v>
      </c>
      <c r="C337" s="8" t="s">
        <v>5204</v>
      </c>
      <c r="D337" s="32" t="s">
        <v>6984</v>
      </c>
      <c r="E337" s="32" t="s">
        <v>5204</v>
      </c>
      <c r="F337" s="10">
        <v>1</v>
      </c>
      <c r="G337" s="8" t="s">
        <v>16</v>
      </c>
      <c r="H337" s="10">
        <v>1172.2</v>
      </c>
      <c r="I337" s="10">
        <f t="shared" si="7"/>
        <v>1172.2</v>
      </c>
      <c r="J337" s="10">
        <v>15.9433705555</v>
      </c>
      <c r="K337" s="8" t="s">
        <v>5203</v>
      </c>
      <c r="S337"/>
    </row>
    <row r="338" spans="1:19" ht="15" x14ac:dyDescent="0.25">
      <c r="A338" s="8" t="s">
        <v>5073</v>
      </c>
      <c r="B338" s="8" t="s">
        <v>5070</v>
      </c>
      <c r="C338" s="8" t="s">
        <v>5205</v>
      </c>
      <c r="D338" s="32" t="s">
        <v>6984</v>
      </c>
      <c r="E338" s="32" t="s">
        <v>5205</v>
      </c>
      <c r="F338" s="10">
        <v>1</v>
      </c>
      <c r="G338" s="8" t="s">
        <v>16</v>
      </c>
      <c r="H338" s="10">
        <v>596.79999999999995</v>
      </c>
      <c r="I338" s="10">
        <f t="shared" si="7"/>
        <v>596.79999999999995</v>
      </c>
      <c r="J338" s="10">
        <v>11.264635774</v>
      </c>
      <c r="K338" s="8" t="s">
        <v>5206</v>
      </c>
      <c r="S338"/>
    </row>
    <row r="339" spans="1:19" ht="15" x14ac:dyDescent="0.25">
      <c r="A339" s="8" t="s">
        <v>5073</v>
      </c>
      <c r="B339" s="8" t="s">
        <v>5070</v>
      </c>
      <c r="C339" s="8" t="s">
        <v>5207</v>
      </c>
      <c r="D339" s="32" t="s">
        <v>6984</v>
      </c>
      <c r="E339" s="32" t="s">
        <v>5207</v>
      </c>
      <c r="F339" s="10">
        <v>2</v>
      </c>
      <c r="G339" s="8" t="s">
        <v>16</v>
      </c>
      <c r="H339" s="10">
        <v>46</v>
      </c>
      <c r="I339" s="10">
        <f t="shared" si="7"/>
        <v>92</v>
      </c>
      <c r="J339" s="10">
        <v>2.940426</v>
      </c>
      <c r="K339" s="8" t="s">
        <v>4781</v>
      </c>
      <c r="S339"/>
    </row>
    <row r="340" spans="1:19" ht="15" x14ac:dyDescent="0.25">
      <c r="A340" s="8" t="s">
        <v>5073</v>
      </c>
      <c r="B340" s="8" t="s">
        <v>5070</v>
      </c>
      <c r="C340" s="8" t="s">
        <v>5208</v>
      </c>
      <c r="D340" s="32" t="s">
        <v>6984</v>
      </c>
      <c r="E340" s="32" t="s">
        <v>5208</v>
      </c>
      <c r="F340" s="10">
        <v>1</v>
      </c>
      <c r="G340" s="8" t="s">
        <v>16</v>
      </c>
      <c r="H340" s="10">
        <v>398.9</v>
      </c>
      <c r="I340" s="10">
        <f t="shared" si="7"/>
        <v>398.9</v>
      </c>
      <c r="J340" s="10">
        <v>10.9221</v>
      </c>
      <c r="K340" s="8" t="s">
        <v>5209</v>
      </c>
      <c r="S340"/>
    </row>
    <row r="341" spans="1:19" ht="15" x14ac:dyDescent="0.25">
      <c r="A341" s="8" t="s">
        <v>5069</v>
      </c>
      <c r="B341" s="8" t="s">
        <v>5070</v>
      </c>
      <c r="C341" s="8" t="s">
        <v>5210</v>
      </c>
      <c r="D341" s="32" t="s">
        <v>6984</v>
      </c>
      <c r="E341" s="32" t="s">
        <v>5210</v>
      </c>
      <c r="F341" s="10">
        <v>1</v>
      </c>
      <c r="G341" s="8" t="s">
        <v>16</v>
      </c>
      <c r="H341" s="10">
        <v>266.39999999999998</v>
      </c>
      <c r="I341" s="10">
        <f t="shared" si="7"/>
        <v>266.39999999999998</v>
      </c>
      <c r="J341" s="10">
        <v>4.1275000000000004</v>
      </c>
      <c r="K341" s="8" t="s">
        <v>4865</v>
      </c>
      <c r="S341"/>
    </row>
    <row r="342" spans="1:19" ht="15" x14ac:dyDescent="0.25">
      <c r="A342" s="8" t="s">
        <v>5073</v>
      </c>
      <c r="B342" s="8" t="s">
        <v>5070</v>
      </c>
      <c r="C342" s="8" t="s">
        <v>5211</v>
      </c>
      <c r="D342" s="32" t="s">
        <v>6984</v>
      </c>
      <c r="E342" s="32" t="s">
        <v>5211</v>
      </c>
      <c r="F342" s="10">
        <v>1</v>
      </c>
      <c r="G342" s="8" t="s">
        <v>16</v>
      </c>
      <c r="H342" s="10">
        <v>268.3</v>
      </c>
      <c r="I342" s="10">
        <f t="shared" si="7"/>
        <v>268.3</v>
      </c>
      <c r="J342" s="10">
        <v>7.6969200000000004</v>
      </c>
      <c r="K342" s="8" t="s">
        <v>4956</v>
      </c>
      <c r="S342"/>
    </row>
    <row r="343" spans="1:19" ht="15" x14ac:dyDescent="0.25">
      <c r="A343" s="8" t="s">
        <v>5069</v>
      </c>
      <c r="B343" s="8" t="s">
        <v>5070</v>
      </c>
      <c r="C343" s="8" t="s">
        <v>5212</v>
      </c>
      <c r="D343" s="32" t="s">
        <v>6984</v>
      </c>
      <c r="E343" s="32" t="s">
        <v>5212</v>
      </c>
      <c r="F343" s="10">
        <v>2</v>
      </c>
      <c r="G343" s="8" t="s">
        <v>16</v>
      </c>
      <c r="H343" s="10">
        <v>19.8</v>
      </c>
      <c r="I343" s="10">
        <f t="shared" si="7"/>
        <v>39.6</v>
      </c>
      <c r="J343" s="10">
        <v>2.0150000000000001</v>
      </c>
      <c r="K343" s="8" t="s">
        <v>5123</v>
      </c>
      <c r="S343"/>
    </row>
    <row r="344" spans="1:19" ht="15" x14ac:dyDescent="0.25">
      <c r="A344" s="8" t="s">
        <v>5069</v>
      </c>
      <c r="B344" s="8" t="s">
        <v>5070</v>
      </c>
      <c r="C344" s="8" t="s">
        <v>5213</v>
      </c>
      <c r="D344" s="32" t="s">
        <v>6984</v>
      </c>
      <c r="E344" s="32" t="s">
        <v>5213</v>
      </c>
      <c r="F344" s="10">
        <v>2</v>
      </c>
      <c r="G344" s="8" t="s">
        <v>16</v>
      </c>
      <c r="H344" s="10">
        <v>44.1</v>
      </c>
      <c r="I344" s="10">
        <f t="shared" si="7"/>
        <v>88.2</v>
      </c>
      <c r="J344" s="10">
        <v>2.8182200000000002</v>
      </c>
      <c r="K344" s="8" t="s">
        <v>4781</v>
      </c>
      <c r="S344"/>
    </row>
    <row r="345" spans="1:19" ht="15" x14ac:dyDescent="0.25">
      <c r="A345" s="8" t="s">
        <v>5069</v>
      </c>
      <c r="B345" s="8" t="s">
        <v>5070</v>
      </c>
      <c r="C345" s="8" t="s">
        <v>5214</v>
      </c>
      <c r="D345" s="32" t="s">
        <v>6984</v>
      </c>
      <c r="E345" s="32" t="s">
        <v>5214</v>
      </c>
      <c r="F345" s="10">
        <v>2</v>
      </c>
      <c r="G345" s="8" t="s">
        <v>16</v>
      </c>
      <c r="H345" s="10">
        <v>71.400000000000006</v>
      </c>
      <c r="I345" s="10">
        <f t="shared" si="7"/>
        <v>142.80000000000001</v>
      </c>
      <c r="J345" s="10">
        <v>4.5640200000000002</v>
      </c>
      <c r="K345" s="8" t="s">
        <v>4781</v>
      </c>
      <c r="S345"/>
    </row>
    <row r="346" spans="1:19" ht="15" x14ac:dyDescent="0.25">
      <c r="A346" s="8" t="s">
        <v>5073</v>
      </c>
      <c r="B346" s="8" t="s">
        <v>5070</v>
      </c>
      <c r="C346" s="8" t="s">
        <v>5215</v>
      </c>
      <c r="D346" s="32" t="s">
        <v>6984</v>
      </c>
      <c r="E346" s="32" t="s">
        <v>5215</v>
      </c>
      <c r="F346" s="10">
        <v>2</v>
      </c>
      <c r="G346" s="8" t="s">
        <v>4903</v>
      </c>
      <c r="H346" s="10">
        <v>333.8</v>
      </c>
      <c r="I346" s="10">
        <f t="shared" si="7"/>
        <v>667.6</v>
      </c>
      <c r="J346" s="10">
        <v>15.673427999999999</v>
      </c>
      <c r="K346" s="8" t="s">
        <v>4983</v>
      </c>
      <c r="S346"/>
    </row>
    <row r="347" spans="1:19" ht="15" x14ac:dyDescent="0.25">
      <c r="A347" s="8" t="s">
        <v>5069</v>
      </c>
      <c r="B347" s="8" t="s">
        <v>5070</v>
      </c>
      <c r="C347" s="8" t="s">
        <v>5216</v>
      </c>
      <c r="D347" s="32" t="s">
        <v>6984</v>
      </c>
      <c r="E347" s="32" t="s">
        <v>5216</v>
      </c>
      <c r="F347" s="10">
        <v>2</v>
      </c>
      <c r="G347" s="8" t="s">
        <v>4903</v>
      </c>
      <c r="H347" s="10">
        <v>317.5</v>
      </c>
      <c r="I347" s="10">
        <f t="shared" si="7"/>
        <v>635</v>
      </c>
      <c r="J347" s="10">
        <v>14.907654000000001</v>
      </c>
      <c r="K347" s="8" t="s">
        <v>4983</v>
      </c>
      <c r="S347"/>
    </row>
    <row r="348" spans="1:19" ht="15" x14ac:dyDescent="0.25">
      <c r="A348" s="8" t="s">
        <v>5073</v>
      </c>
      <c r="B348" s="8" t="s">
        <v>5070</v>
      </c>
      <c r="C348" s="8" t="s">
        <v>5217</v>
      </c>
      <c r="D348" s="32" t="s">
        <v>6984</v>
      </c>
      <c r="E348" s="32" t="s">
        <v>5217</v>
      </c>
      <c r="F348" s="10">
        <v>3</v>
      </c>
      <c r="G348" s="8" t="s">
        <v>4903</v>
      </c>
      <c r="H348" s="10">
        <v>114.53333333333335</v>
      </c>
      <c r="I348" s="10">
        <f t="shared" si="7"/>
        <v>343.6</v>
      </c>
      <c r="J348" s="10">
        <v>8.8370099999999994</v>
      </c>
      <c r="K348" s="8" t="s">
        <v>4949</v>
      </c>
      <c r="S348"/>
    </row>
    <row r="349" spans="1:19" ht="15" x14ac:dyDescent="0.25">
      <c r="A349" s="8" t="s">
        <v>5073</v>
      </c>
      <c r="B349" s="8" t="s">
        <v>5070</v>
      </c>
      <c r="C349" s="8" t="s">
        <v>5218</v>
      </c>
      <c r="D349" s="32" t="s">
        <v>6984</v>
      </c>
      <c r="E349" s="32" t="s">
        <v>5218</v>
      </c>
      <c r="F349" s="10">
        <v>2</v>
      </c>
      <c r="G349" s="8" t="s">
        <v>4903</v>
      </c>
      <c r="H349" s="10">
        <v>171.2</v>
      </c>
      <c r="I349" s="10">
        <f t="shared" si="7"/>
        <v>342.4</v>
      </c>
      <c r="J349" s="10">
        <v>8.8038860000000003</v>
      </c>
      <c r="K349" s="8" t="s">
        <v>4949</v>
      </c>
      <c r="S349"/>
    </row>
    <row r="350" spans="1:19" ht="15" x14ac:dyDescent="0.25">
      <c r="A350" s="8" t="s">
        <v>5069</v>
      </c>
      <c r="B350" s="8" t="s">
        <v>5070</v>
      </c>
      <c r="C350" s="8" t="s">
        <v>5219</v>
      </c>
      <c r="D350" s="32" t="s">
        <v>6984</v>
      </c>
      <c r="E350" s="32" t="s">
        <v>5219</v>
      </c>
      <c r="F350" s="10">
        <v>2</v>
      </c>
      <c r="G350" s="8" t="s">
        <v>4903</v>
      </c>
      <c r="H350" s="10">
        <v>232.45</v>
      </c>
      <c r="I350" s="10">
        <f t="shared" si="7"/>
        <v>464.9</v>
      </c>
      <c r="J350" s="10">
        <v>10.914479999999999</v>
      </c>
      <c r="K350" s="8" t="s">
        <v>4983</v>
      </c>
      <c r="S350"/>
    </row>
    <row r="351" spans="1:19" ht="15" x14ac:dyDescent="0.25">
      <c r="A351" s="8" t="s">
        <v>5073</v>
      </c>
      <c r="B351" s="8" t="s">
        <v>5070</v>
      </c>
      <c r="C351" s="8" t="s">
        <v>5220</v>
      </c>
      <c r="D351" s="32" t="s">
        <v>6984</v>
      </c>
      <c r="E351" s="32" t="s">
        <v>5220</v>
      </c>
      <c r="F351" s="10">
        <v>2</v>
      </c>
      <c r="G351" s="8" t="s">
        <v>4903</v>
      </c>
      <c r="H351" s="10">
        <v>275.14999999999998</v>
      </c>
      <c r="I351" s="10">
        <f t="shared" si="7"/>
        <v>550.29999999999995</v>
      </c>
      <c r="J351" s="10">
        <v>12.918402</v>
      </c>
      <c r="K351" s="8" t="s">
        <v>4983</v>
      </c>
      <c r="S351"/>
    </row>
    <row r="352" spans="1:19" ht="15" x14ac:dyDescent="0.25">
      <c r="A352" s="8" t="s">
        <v>5073</v>
      </c>
      <c r="B352" s="8" t="s">
        <v>5070</v>
      </c>
      <c r="C352" s="8" t="s">
        <v>5221</v>
      </c>
      <c r="D352" s="32" t="s">
        <v>6984</v>
      </c>
      <c r="E352" s="32" t="s">
        <v>5221</v>
      </c>
      <c r="F352" s="10">
        <v>2</v>
      </c>
      <c r="G352" s="8" t="s">
        <v>4903</v>
      </c>
      <c r="H352" s="10">
        <v>167.1</v>
      </c>
      <c r="I352" s="10">
        <f t="shared" si="7"/>
        <v>334.2</v>
      </c>
      <c r="J352" s="10">
        <v>8.5933119999999992</v>
      </c>
      <c r="K352" s="8" t="s">
        <v>4949</v>
      </c>
      <c r="S352"/>
    </row>
    <row r="353" spans="1:19" ht="15" x14ac:dyDescent="0.25">
      <c r="A353" s="8" t="s">
        <v>5073</v>
      </c>
      <c r="B353" s="8" t="s">
        <v>5070</v>
      </c>
      <c r="C353" s="8" t="s">
        <v>5222</v>
      </c>
      <c r="D353" s="32" t="s">
        <v>6984</v>
      </c>
      <c r="E353" s="32" t="s">
        <v>5222</v>
      </c>
      <c r="F353" s="10">
        <v>1</v>
      </c>
      <c r="G353" s="8" t="s">
        <v>16</v>
      </c>
      <c r="H353" s="10">
        <v>2393.1</v>
      </c>
      <c r="I353" s="10">
        <f t="shared" si="7"/>
        <v>2393.1</v>
      </c>
      <c r="J353" s="10">
        <v>37.084000000000003</v>
      </c>
      <c r="K353" s="8" t="s">
        <v>4865</v>
      </c>
      <c r="S353"/>
    </row>
    <row r="354" spans="1:19" ht="15" x14ac:dyDescent="0.25">
      <c r="A354" s="8" t="s">
        <v>5069</v>
      </c>
      <c r="B354" s="8" t="s">
        <v>5070</v>
      </c>
      <c r="C354" s="8" t="s">
        <v>5223</v>
      </c>
      <c r="D354" s="32" t="s">
        <v>6984</v>
      </c>
      <c r="E354" s="32" t="s">
        <v>5223</v>
      </c>
      <c r="F354" s="10">
        <v>1</v>
      </c>
      <c r="G354" s="8" t="s">
        <v>16</v>
      </c>
      <c r="H354" s="10">
        <v>176.2</v>
      </c>
      <c r="I354" s="10">
        <f t="shared" si="7"/>
        <v>176.2</v>
      </c>
      <c r="J354" s="10">
        <v>2.7305000000000001</v>
      </c>
      <c r="K354" s="8" t="s">
        <v>4865</v>
      </c>
      <c r="S354"/>
    </row>
    <row r="355" spans="1:19" ht="15" x14ac:dyDescent="0.25">
      <c r="A355" s="8" t="s">
        <v>5073</v>
      </c>
      <c r="B355" s="8" t="s">
        <v>5070</v>
      </c>
      <c r="C355" s="8" t="s">
        <v>5224</v>
      </c>
      <c r="D355" s="32" t="s">
        <v>6984</v>
      </c>
      <c r="E355" s="32" t="s">
        <v>5224</v>
      </c>
      <c r="F355" s="10">
        <v>1</v>
      </c>
      <c r="G355" s="8" t="s">
        <v>16</v>
      </c>
      <c r="H355" s="10">
        <v>84.7</v>
      </c>
      <c r="I355" s="10">
        <f t="shared" si="7"/>
        <v>84.7</v>
      </c>
      <c r="J355" s="10">
        <v>2.31819</v>
      </c>
      <c r="K355" s="8" t="s">
        <v>5209</v>
      </c>
      <c r="S355"/>
    </row>
    <row r="356" spans="1:19" ht="15" x14ac:dyDescent="0.25">
      <c r="A356" s="8" t="s">
        <v>5073</v>
      </c>
      <c r="B356" s="8" t="s">
        <v>5070</v>
      </c>
      <c r="C356" s="8" t="s">
        <v>5225</v>
      </c>
      <c r="D356" s="32" t="s">
        <v>6984</v>
      </c>
      <c r="E356" s="32" t="s">
        <v>5225</v>
      </c>
      <c r="F356" s="10">
        <v>2</v>
      </c>
      <c r="G356" s="8" t="s">
        <v>16</v>
      </c>
      <c r="H356" s="10">
        <v>461.7</v>
      </c>
      <c r="I356" s="10">
        <f t="shared" si="7"/>
        <v>923.4</v>
      </c>
      <c r="J356" s="10">
        <v>17.272440178</v>
      </c>
      <c r="K356" s="8" t="s">
        <v>5206</v>
      </c>
      <c r="S356"/>
    </row>
    <row r="357" spans="1:19" ht="15" x14ac:dyDescent="0.25">
      <c r="A357" s="8" t="s">
        <v>5069</v>
      </c>
      <c r="B357" s="8" t="s">
        <v>5070</v>
      </c>
      <c r="C357" s="8" t="s">
        <v>5226</v>
      </c>
      <c r="D357" s="32" t="s">
        <v>6984</v>
      </c>
      <c r="E357" s="32" t="s">
        <v>5226</v>
      </c>
      <c r="F357" s="10">
        <v>1</v>
      </c>
      <c r="G357" s="8" t="s">
        <v>16</v>
      </c>
      <c r="H357" s="10">
        <v>498.7</v>
      </c>
      <c r="I357" s="10">
        <f t="shared" si="7"/>
        <v>498.7</v>
      </c>
      <c r="J357" s="10">
        <v>13.2598705408</v>
      </c>
      <c r="K357" s="8" t="s">
        <v>4852</v>
      </c>
      <c r="S357"/>
    </row>
    <row r="358" spans="1:19" ht="15" x14ac:dyDescent="0.25">
      <c r="A358" s="8" t="s">
        <v>5073</v>
      </c>
      <c r="B358" s="8" t="s">
        <v>5070</v>
      </c>
      <c r="C358" s="8" t="s">
        <v>5227</v>
      </c>
      <c r="D358" s="32" t="s">
        <v>6984</v>
      </c>
      <c r="E358" s="32" t="s">
        <v>5227</v>
      </c>
      <c r="F358" s="10">
        <v>1</v>
      </c>
      <c r="G358" s="8" t="s">
        <v>16</v>
      </c>
      <c r="H358" s="10">
        <v>367.4</v>
      </c>
      <c r="I358" s="10">
        <f t="shared" si="7"/>
        <v>367.4</v>
      </c>
      <c r="J358" s="10">
        <v>9.7658253530600003</v>
      </c>
      <c r="K358" s="8" t="s">
        <v>4956</v>
      </c>
      <c r="S358"/>
    </row>
    <row r="359" spans="1:19" ht="15" x14ac:dyDescent="0.25">
      <c r="A359" s="8" t="s">
        <v>5073</v>
      </c>
      <c r="B359" s="8" t="s">
        <v>5070</v>
      </c>
      <c r="C359" s="8" t="s">
        <v>5228</v>
      </c>
      <c r="D359" s="32" t="s">
        <v>6984</v>
      </c>
      <c r="E359" s="32" t="s">
        <v>5228</v>
      </c>
      <c r="F359" s="10">
        <v>1</v>
      </c>
      <c r="G359" s="8" t="s">
        <v>16</v>
      </c>
      <c r="H359" s="10">
        <v>86.2</v>
      </c>
      <c r="I359" s="10">
        <f t="shared" si="7"/>
        <v>86.2</v>
      </c>
      <c r="J359" s="10">
        <v>2.3822265749999998</v>
      </c>
      <c r="K359" s="8" t="s">
        <v>5209</v>
      </c>
      <c r="S359"/>
    </row>
    <row r="360" spans="1:19" ht="15" x14ac:dyDescent="0.25">
      <c r="A360" s="8" t="s">
        <v>5073</v>
      </c>
      <c r="B360" s="8" t="s">
        <v>5070</v>
      </c>
      <c r="C360" s="8" t="s">
        <v>5229</v>
      </c>
      <c r="D360" s="32" t="s">
        <v>6984</v>
      </c>
      <c r="E360" s="32" t="s">
        <v>5229</v>
      </c>
      <c r="F360" s="10">
        <v>1</v>
      </c>
      <c r="G360" s="8" t="s">
        <v>16</v>
      </c>
      <c r="H360" s="10">
        <v>62.7</v>
      </c>
      <c r="I360" s="10">
        <f t="shared" si="7"/>
        <v>62.7</v>
      </c>
      <c r="J360" s="10">
        <v>2.0154288249999999</v>
      </c>
      <c r="K360" s="8" t="s">
        <v>4781</v>
      </c>
      <c r="S360"/>
    </row>
    <row r="361" spans="1:19" ht="15" x14ac:dyDescent="0.25">
      <c r="A361" s="8" t="s">
        <v>5069</v>
      </c>
      <c r="B361" s="8" t="s">
        <v>5070</v>
      </c>
      <c r="C361" s="8" t="s">
        <v>5230</v>
      </c>
      <c r="D361" s="32" t="s">
        <v>6984</v>
      </c>
      <c r="E361" s="32" t="s">
        <v>5230</v>
      </c>
      <c r="F361" s="10">
        <v>1</v>
      </c>
      <c r="G361" s="8" t="s">
        <v>16</v>
      </c>
      <c r="H361" s="10">
        <v>446.7</v>
      </c>
      <c r="I361" s="10">
        <f t="shared" si="7"/>
        <v>446.7</v>
      </c>
      <c r="J361" s="10">
        <v>12.544912</v>
      </c>
      <c r="K361" s="8" t="s">
        <v>4852</v>
      </c>
      <c r="S361"/>
    </row>
    <row r="362" spans="1:19" ht="15" x14ac:dyDescent="0.25">
      <c r="A362" s="8" t="s">
        <v>5069</v>
      </c>
      <c r="B362" s="8" t="s">
        <v>5070</v>
      </c>
      <c r="C362" s="8" t="s">
        <v>5231</v>
      </c>
      <c r="D362" s="32" t="s">
        <v>6984</v>
      </c>
      <c r="E362" s="32" t="s">
        <v>5231</v>
      </c>
      <c r="F362" s="10">
        <v>1</v>
      </c>
      <c r="G362" s="8" t="s">
        <v>16</v>
      </c>
      <c r="H362" s="10">
        <v>2381.4</v>
      </c>
      <c r="I362" s="10">
        <f t="shared" si="7"/>
        <v>2381.4</v>
      </c>
      <c r="J362" s="10">
        <v>37.789336644999999</v>
      </c>
      <c r="K362" s="8" t="s">
        <v>4865</v>
      </c>
      <c r="S362"/>
    </row>
    <row r="363" spans="1:19" ht="15" x14ac:dyDescent="0.25">
      <c r="A363" s="8" t="s">
        <v>5069</v>
      </c>
      <c r="B363" s="8" t="s">
        <v>5070</v>
      </c>
      <c r="C363" s="8" t="s">
        <v>5232</v>
      </c>
      <c r="D363" s="32" t="s">
        <v>6984</v>
      </c>
      <c r="E363" s="32" t="s">
        <v>5232</v>
      </c>
      <c r="F363" s="10">
        <v>1</v>
      </c>
      <c r="G363" s="8" t="s">
        <v>16</v>
      </c>
      <c r="H363" s="10">
        <v>390.9</v>
      </c>
      <c r="I363" s="10">
        <f t="shared" si="7"/>
        <v>390.9</v>
      </c>
      <c r="J363" s="10">
        <v>10.066989747499999</v>
      </c>
      <c r="K363" s="8" t="s">
        <v>4949</v>
      </c>
      <c r="S363"/>
    </row>
    <row r="364" spans="1:19" ht="15" x14ac:dyDescent="0.25">
      <c r="A364" s="8" t="s">
        <v>5073</v>
      </c>
      <c r="B364" s="8" t="s">
        <v>5070</v>
      </c>
      <c r="C364" s="8" t="s">
        <v>5233</v>
      </c>
      <c r="D364" s="32" t="s">
        <v>6984</v>
      </c>
      <c r="E364" s="32" t="s">
        <v>5233</v>
      </c>
      <c r="F364" s="10">
        <v>1</v>
      </c>
      <c r="G364" s="8" t="s">
        <v>16</v>
      </c>
      <c r="H364" s="10">
        <v>160</v>
      </c>
      <c r="I364" s="10">
        <f t="shared" si="7"/>
        <v>160</v>
      </c>
      <c r="J364" s="10">
        <v>4.3439668109999996</v>
      </c>
      <c r="K364" s="8" t="s">
        <v>5209</v>
      </c>
      <c r="S364"/>
    </row>
    <row r="365" spans="1:19" ht="15" x14ac:dyDescent="0.25">
      <c r="A365" s="8" t="s">
        <v>5073</v>
      </c>
      <c r="B365" s="8" t="s">
        <v>5070</v>
      </c>
      <c r="C365" s="8" t="s">
        <v>5234</v>
      </c>
      <c r="D365" s="32" t="s">
        <v>6984</v>
      </c>
      <c r="E365" s="32" t="s">
        <v>5234</v>
      </c>
      <c r="F365" s="10">
        <v>1</v>
      </c>
      <c r="G365" s="8" t="s">
        <v>16</v>
      </c>
      <c r="H365" s="10">
        <v>94.5</v>
      </c>
      <c r="I365" s="10">
        <f t="shared" si="7"/>
        <v>94.5</v>
      </c>
      <c r="J365" s="10">
        <v>2.608606575</v>
      </c>
      <c r="K365" s="8" t="s">
        <v>5209</v>
      </c>
      <c r="S365"/>
    </row>
    <row r="366" spans="1:19" ht="15" x14ac:dyDescent="0.25">
      <c r="A366" s="8" t="s">
        <v>5073</v>
      </c>
      <c r="B366" s="8" t="s">
        <v>5070</v>
      </c>
      <c r="C366" s="8" t="s">
        <v>5235</v>
      </c>
      <c r="D366" s="32" t="s">
        <v>6984</v>
      </c>
      <c r="E366" s="32" t="s">
        <v>5235</v>
      </c>
      <c r="F366" s="10">
        <v>1</v>
      </c>
      <c r="G366" s="8" t="s">
        <v>16</v>
      </c>
      <c r="H366" s="10">
        <v>82.6</v>
      </c>
      <c r="I366" s="10">
        <f t="shared" si="7"/>
        <v>82.6</v>
      </c>
      <c r="J366" s="10">
        <v>2.2980779039999999</v>
      </c>
      <c r="K366" s="8" t="s">
        <v>5209</v>
      </c>
      <c r="S366"/>
    </row>
    <row r="367" spans="1:19" ht="15" x14ac:dyDescent="0.25">
      <c r="A367" s="8" t="s">
        <v>5069</v>
      </c>
      <c r="B367" s="8" t="s">
        <v>5070</v>
      </c>
      <c r="C367" s="8" t="s">
        <v>5236</v>
      </c>
      <c r="D367" s="32" t="s">
        <v>6984</v>
      </c>
      <c r="E367" s="32" t="s">
        <v>5236</v>
      </c>
      <c r="F367" s="10">
        <v>1</v>
      </c>
      <c r="G367" s="8" t="s">
        <v>16</v>
      </c>
      <c r="H367" s="10">
        <v>2407</v>
      </c>
      <c r="I367" s="10">
        <f t="shared" si="7"/>
        <v>2407</v>
      </c>
      <c r="J367" s="10">
        <v>37.375387621000002</v>
      </c>
      <c r="K367" s="8" t="s">
        <v>4865</v>
      </c>
      <c r="S367"/>
    </row>
    <row r="368" spans="1:19" ht="15" x14ac:dyDescent="0.25">
      <c r="A368" s="8" t="s">
        <v>4963</v>
      </c>
      <c r="B368" s="8" t="s">
        <v>4869</v>
      </c>
      <c r="C368" s="8" t="s">
        <v>5237</v>
      </c>
      <c r="D368" s="32" t="s">
        <v>6984</v>
      </c>
      <c r="E368" s="32" t="s">
        <v>5237</v>
      </c>
      <c r="F368" s="10">
        <v>1</v>
      </c>
      <c r="G368" s="8" t="s">
        <v>5238</v>
      </c>
      <c r="H368" s="10">
        <v>464.9</v>
      </c>
      <c r="I368" s="10">
        <f t="shared" si="7"/>
        <v>464.9</v>
      </c>
      <c r="J368" s="10">
        <v>12.410762</v>
      </c>
      <c r="K368" s="8" t="s">
        <v>5239</v>
      </c>
      <c r="S368"/>
    </row>
    <row r="369" spans="1:19" ht="15" x14ac:dyDescent="0.25">
      <c r="A369" s="8" t="s">
        <v>4963</v>
      </c>
      <c r="B369" s="8" t="s">
        <v>4869</v>
      </c>
      <c r="C369" s="8" t="s">
        <v>5240</v>
      </c>
      <c r="D369" s="32" t="s">
        <v>6984</v>
      </c>
      <c r="E369" s="32" t="s">
        <v>5240</v>
      </c>
      <c r="F369" s="10">
        <v>4</v>
      </c>
      <c r="G369" s="8" t="s">
        <v>5238</v>
      </c>
      <c r="H369" s="10">
        <v>406.85</v>
      </c>
      <c r="I369" s="10">
        <f t="shared" si="7"/>
        <v>1627.4</v>
      </c>
      <c r="J369" s="10">
        <v>43.445135999999998</v>
      </c>
      <c r="K369" s="8" t="s">
        <v>5239</v>
      </c>
      <c r="S369"/>
    </row>
    <row r="370" spans="1:19" ht="15" x14ac:dyDescent="0.25">
      <c r="A370" s="8" t="s">
        <v>4963</v>
      </c>
      <c r="B370" s="8" t="s">
        <v>4869</v>
      </c>
      <c r="C370" s="8" t="s">
        <v>5241</v>
      </c>
      <c r="D370" s="32" t="s">
        <v>6984</v>
      </c>
      <c r="E370" s="32" t="s">
        <v>5241</v>
      </c>
      <c r="F370" s="10">
        <v>1</v>
      </c>
      <c r="G370" s="8" t="s">
        <v>5238</v>
      </c>
      <c r="H370" s="10">
        <v>281</v>
      </c>
      <c r="I370" s="10">
        <f t="shared" si="7"/>
        <v>281</v>
      </c>
      <c r="J370" s="10">
        <v>7.5015919999999996</v>
      </c>
      <c r="K370" s="8" t="s">
        <v>5239</v>
      </c>
      <c r="S370"/>
    </row>
    <row r="371" spans="1:19" ht="15" x14ac:dyDescent="0.25">
      <c r="A371" s="8" t="s">
        <v>4963</v>
      </c>
      <c r="B371" s="8" t="s">
        <v>4869</v>
      </c>
      <c r="C371" s="8" t="s">
        <v>5242</v>
      </c>
      <c r="D371" s="32" t="s">
        <v>6984</v>
      </c>
      <c r="E371" s="32" t="s">
        <v>5242</v>
      </c>
      <c r="F371" s="10">
        <v>1</v>
      </c>
      <c r="G371" s="8" t="s">
        <v>5238</v>
      </c>
      <c r="H371" s="10">
        <v>281.8</v>
      </c>
      <c r="I371" s="10">
        <f t="shared" si="7"/>
        <v>281.8</v>
      </c>
      <c r="J371" s="10">
        <v>7.5219620000000003</v>
      </c>
      <c r="K371" s="8" t="s">
        <v>5239</v>
      </c>
      <c r="S371"/>
    </row>
    <row r="372" spans="1:19" ht="15" x14ac:dyDescent="0.25">
      <c r="A372" s="8" t="s">
        <v>4963</v>
      </c>
      <c r="B372" s="8" t="s">
        <v>4869</v>
      </c>
      <c r="C372" s="8" t="s">
        <v>5243</v>
      </c>
      <c r="D372" s="32" t="s">
        <v>6984</v>
      </c>
      <c r="E372" s="32" t="s">
        <v>5243</v>
      </c>
      <c r="F372" s="10">
        <v>1</v>
      </c>
      <c r="G372" s="8" t="s">
        <v>5238</v>
      </c>
      <c r="H372" s="10">
        <v>464.1</v>
      </c>
      <c r="I372" s="10">
        <f t="shared" si="7"/>
        <v>464.1</v>
      </c>
      <c r="J372" s="10">
        <v>12.390392</v>
      </c>
      <c r="K372" s="8" t="s">
        <v>5239</v>
      </c>
      <c r="S372"/>
    </row>
    <row r="373" spans="1:19" ht="15" x14ac:dyDescent="0.25">
      <c r="A373" s="8" t="s">
        <v>4963</v>
      </c>
      <c r="B373" s="8" t="s">
        <v>4869</v>
      </c>
      <c r="C373" s="8" t="s">
        <v>5244</v>
      </c>
      <c r="D373" s="32" t="s">
        <v>6984</v>
      </c>
      <c r="E373" s="32" t="s">
        <v>5244</v>
      </c>
      <c r="F373" s="10">
        <v>4</v>
      </c>
      <c r="G373" s="8" t="s">
        <v>4903</v>
      </c>
      <c r="H373" s="10">
        <v>8.3249999999999993</v>
      </c>
      <c r="I373" s="10">
        <f t="shared" si="7"/>
        <v>33.299999999999997</v>
      </c>
      <c r="J373" s="10">
        <v>1.857248</v>
      </c>
      <c r="K373" s="8" t="s">
        <v>5245</v>
      </c>
      <c r="S373"/>
    </row>
    <row r="374" spans="1:19" ht="15" x14ac:dyDescent="0.25">
      <c r="A374" s="8" t="s">
        <v>4963</v>
      </c>
      <c r="B374" s="8" t="s">
        <v>4869</v>
      </c>
      <c r="C374" s="8" t="s">
        <v>5246</v>
      </c>
      <c r="D374" s="32" t="s">
        <v>6984</v>
      </c>
      <c r="E374" s="32" t="s">
        <v>5246</v>
      </c>
      <c r="F374" s="10">
        <v>4</v>
      </c>
      <c r="G374" s="8" t="s">
        <v>4903</v>
      </c>
      <c r="H374" s="10">
        <v>8.3249999999999993</v>
      </c>
      <c r="I374" s="10">
        <f t="shared" si="7"/>
        <v>33.299999999999997</v>
      </c>
      <c r="J374" s="10">
        <v>1.857248</v>
      </c>
      <c r="K374" s="8" t="s">
        <v>5245</v>
      </c>
      <c r="S374"/>
    </row>
    <row r="375" spans="1:19" ht="15" x14ac:dyDescent="0.25">
      <c r="A375" s="8" t="s">
        <v>4963</v>
      </c>
      <c r="B375" s="8" t="s">
        <v>4869</v>
      </c>
      <c r="C375" s="8" t="s">
        <v>5247</v>
      </c>
      <c r="D375" s="32" t="s">
        <v>6984</v>
      </c>
      <c r="E375" s="32" t="s">
        <v>5247</v>
      </c>
      <c r="F375" s="10">
        <v>8</v>
      </c>
      <c r="G375" s="8" t="s">
        <v>4903</v>
      </c>
      <c r="H375" s="10">
        <v>5.0250000000000004</v>
      </c>
      <c r="I375" s="10">
        <f t="shared" si="7"/>
        <v>40.200000000000003</v>
      </c>
      <c r="J375" s="10">
        <v>2.2742144</v>
      </c>
      <c r="K375" s="8" t="s">
        <v>5248</v>
      </c>
      <c r="S375"/>
    </row>
    <row r="376" spans="1:19" ht="15" x14ac:dyDescent="0.25">
      <c r="A376" s="8" t="s">
        <v>4963</v>
      </c>
      <c r="B376" s="8" t="s">
        <v>4869</v>
      </c>
      <c r="C376" s="8" t="s">
        <v>5249</v>
      </c>
      <c r="D376" s="32" t="s">
        <v>6984</v>
      </c>
      <c r="E376" s="32" t="s">
        <v>5249</v>
      </c>
      <c r="F376" s="10">
        <v>4</v>
      </c>
      <c r="G376" s="8" t="s">
        <v>4903</v>
      </c>
      <c r="H376" s="10">
        <v>5.5</v>
      </c>
      <c r="I376" s="10">
        <f t="shared" si="7"/>
        <v>22</v>
      </c>
      <c r="J376" s="10">
        <v>1.2443968000000001</v>
      </c>
      <c r="K376" s="8" t="s">
        <v>5248</v>
      </c>
      <c r="S376"/>
    </row>
    <row r="377" spans="1:19" ht="15" x14ac:dyDescent="0.25">
      <c r="A377" s="8" t="s">
        <v>4963</v>
      </c>
      <c r="B377" s="8" t="s">
        <v>4869</v>
      </c>
      <c r="C377" s="8" t="s">
        <v>5250</v>
      </c>
      <c r="D377" s="32" t="s">
        <v>6984</v>
      </c>
      <c r="E377" s="32" t="s">
        <v>5250</v>
      </c>
      <c r="F377" s="10">
        <v>2</v>
      </c>
      <c r="G377" s="8" t="s">
        <v>4903</v>
      </c>
      <c r="H377" s="10">
        <v>6</v>
      </c>
      <c r="I377" s="10">
        <f t="shared" si="7"/>
        <v>12</v>
      </c>
      <c r="J377" s="10">
        <v>0.66852800000000001</v>
      </c>
      <c r="K377" s="8" t="s">
        <v>5245</v>
      </c>
      <c r="S377"/>
    </row>
    <row r="378" spans="1:19" ht="15" x14ac:dyDescent="0.25">
      <c r="A378" s="8" t="s">
        <v>4963</v>
      </c>
      <c r="B378" s="8" t="s">
        <v>4869</v>
      </c>
      <c r="C378" s="8" t="s">
        <v>5251</v>
      </c>
      <c r="D378" s="32" t="s">
        <v>6984</v>
      </c>
      <c r="E378" s="32" t="s">
        <v>5251</v>
      </c>
      <c r="F378" s="10">
        <v>2</v>
      </c>
      <c r="G378" s="8" t="s">
        <v>4903</v>
      </c>
      <c r="H378" s="10">
        <v>5.95</v>
      </c>
      <c r="I378" s="10">
        <f t="shared" si="7"/>
        <v>11.9</v>
      </c>
      <c r="J378" s="10">
        <v>0.66344800000000004</v>
      </c>
      <c r="K378" s="8" t="s">
        <v>5245</v>
      </c>
      <c r="S378"/>
    </row>
    <row r="379" spans="1:19" ht="15" x14ac:dyDescent="0.25">
      <c r="A379" s="8" t="s">
        <v>4963</v>
      </c>
      <c r="B379" s="8" t="s">
        <v>4869</v>
      </c>
      <c r="C379" s="8" t="s">
        <v>5252</v>
      </c>
      <c r="D379" s="32" t="s">
        <v>6984</v>
      </c>
      <c r="E379" s="32" t="s">
        <v>5252</v>
      </c>
      <c r="F379" s="10">
        <v>2</v>
      </c>
      <c r="G379" s="8" t="s">
        <v>4903</v>
      </c>
      <c r="H379" s="10">
        <v>6.35</v>
      </c>
      <c r="I379" s="10">
        <f t="shared" si="7"/>
        <v>12.7</v>
      </c>
      <c r="J379" s="10">
        <v>0.71069199999999999</v>
      </c>
      <c r="K379" s="8" t="s">
        <v>5245</v>
      </c>
      <c r="S379"/>
    </row>
    <row r="380" spans="1:19" ht="15" x14ac:dyDescent="0.25">
      <c r="A380" s="8" t="s">
        <v>4963</v>
      </c>
      <c r="B380" s="8" t="s">
        <v>4869</v>
      </c>
      <c r="C380" s="8" t="s">
        <v>5253</v>
      </c>
      <c r="D380" s="32" t="s">
        <v>6984</v>
      </c>
      <c r="E380" s="32" t="s">
        <v>5253</v>
      </c>
      <c r="F380" s="10">
        <v>1</v>
      </c>
      <c r="G380" s="8" t="s">
        <v>4903</v>
      </c>
      <c r="H380" s="10">
        <v>4.5999999999999996</v>
      </c>
      <c r="I380" s="10">
        <f t="shared" si="7"/>
        <v>4.5999999999999996</v>
      </c>
      <c r="J380" s="10">
        <v>0.25552399999999997</v>
      </c>
      <c r="K380" s="8" t="s">
        <v>5245</v>
      </c>
      <c r="S380"/>
    </row>
    <row r="381" spans="1:19" ht="15" x14ac:dyDescent="0.25">
      <c r="A381" s="8" t="s">
        <v>4963</v>
      </c>
      <c r="B381" s="8" t="s">
        <v>4869</v>
      </c>
      <c r="C381" s="8" t="s">
        <v>5254</v>
      </c>
      <c r="D381" s="32" t="s">
        <v>6984</v>
      </c>
      <c r="E381" s="32" t="s">
        <v>5254</v>
      </c>
      <c r="F381" s="10">
        <v>4</v>
      </c>
      <c r="G381" s="8" t="s">
        <v>4903</v>
      </c>
      <c r="H381" s="10">
        <v>4.875</v>
      </c>
      <c r="I381" s="10">
        <f t="shared" si="7"/>
        <v>19.5</v>
      </c>
      <c r="J381" s="10">
        <v>1.0838688000000001</v>
      </c>
      <c r="K381" s="8" t="s">
        <v>5255</v>
      </c>
      <c r="S381"/>
    </row>
    <row r="382" spans="1:19" ht="15" x14ac:dyDescent="0.25">
      <c r="A382" s="8" t="s">
        <v>4963</v>
      </c>
      <c r="B382" s="8" t="s">
        <v>4869</v>
      </c>
      <c r="C382" s="8" t="s">
        <v>5256</v>
      </c>
      <c r="D382" s="32" t="s">
        <v>6984</v>
      </c>
      <c r="E382" s="32" t="s">
        <v>5256</v>
      </c>
      <c r="F382" s="10">
        <v>4</v>
      </c>
      <c r="G382" s="8" t="s">
        <v>4903</v>
      </c>
      <c r="H382" s="10">
        <v>5.55</v>
      </c>
      <c r="I382" s="10">
        <f t="shared" si="7"/>
        <v>22.2</v>
      </c>
      <c r="J382" s="10">
        <v>1.2301728000000001</v>
      </c>
      <c r="K382" s="8" t="s">
        <v>5255</v>
      </c>
      <c r="S382"/>
    </row>
    <row r="383" spans="1:19" ht="15" x14ac:dyDescent="0.25">
      <c r="A383" s="8" t="s">
        <v>4963</v>
      </c>
      <c r="B383" s="8" t="s">
        <v>4869</v>
      </c>
      <c r="C383" s="8" t="s">
        <v>5257</v>
      </c>
      <c r="D383" s="32" t="s">
        <v>6984</v>
      </c>
      <c r="E383" s="32" t="s">
        <v>5257</v>
      </c>
      <c r="F383" s="10">
        <v>1</v>
      </c>
      <c r="G383" s="8" t="s">
        <v>4903</v>
      </c>
      <c r="H383" s="10">
        <v>20</v>
      </c>
      <c r="I383" s="10">
        <f t="shared" si="7"/>
        <v>20</v>
      </c>
      <c r="J383" s="10">
        <v>0.83606639999999999</v>
      </c>
      <c r="K383" s="8" t="s">
        <v>5051</v>
      </c>
      <c r="S383"/>
    </row>
    <row r="384" spans="1:19" ht="15" x14ac:dyDescent="0.25">
      <c r="A384" s="8" t="s">
        <v>4963</v>
      </c>
      <c r="B384" s="8" t="s">
        <v>4869</v>
      </c>
      <c r="C384" s="8" t="s">
        <v>5258</v>
      </c>
      <c r="D384" s="32" t="s">
        <v>6984</v>
      </c>
      <c r="E384" s="32" t="s">
        <v>5258</v>
      </c>
      <c r="F384" s="10">
        <v>1</v>
      </c>
      <c r="G384" s="8" t="s">
        <v>4903</v>
      </c>
      <c r="H384" s="10">
        <v>20</v>
      </c>
      <c r="I384" s="10">
        <f t="shared" si="7"/>
        <v>20</v>
      </c>
      <c r="J384" s="10">
        <v>0.83606639999999999</v>
      </c>
      <c r="K384" s="8" t="s">
        <v>5051</v>
      </c>
      <c r="S384"/>
    </row>
    <row r="385" spans="1:19" ht="15" x14ac:dyDescent="0.25">
      <c r="A385" s="8" t="s">
        <v>4963</v>
      </c>
      <c r="B385" s="8" t="s">
        <v>4869</v>
      </c>
      <c r="C385" s="8" t="s">
        <v>5259</v>
      </c>
      <c r="D385" s="32" t="s">
        <v>6984</v>
      </c>
      <c r="E385" s="32" t="s">
        <v>5259</v>
      </c>
      <c r="F385" s="10">
        <v>1</v>
      </c>
      <c r="G385" s="8" t="s">
        <v>4903</v>
      </c>
      <c r="H385" s="10">
        <v>2.7</v>
      </c>
      <c r="I385" s="10">
        <f t="shared" si="7"/>
        <v>2.7</v>
      </c>
      <c r="J385" s="10">
        <v>0.1136904</v>
      </c>
      <c r="K385" s="8" t="s">
        <v>5051</v>
      </c>
      <c r="S385"/>
    </row>
    <row r="386" spans="1:19" ht="15" x14ac:dyDescent="0.25">
      <c r="A386" s="8" t="s">
        <v>4963</v>
      </c>
      <c r="B386" s="8" t="s">
        <v>4869</v>
      </c>
      <c r="C386" s="8" t="s">
        <v>5260</v>
      </c>
      <c r="D386" s="32" t="s">
        <v>6984</v>
      </c>
      <c r="E386" s="32" t="s">
        <v>5260</v>
      </c>
      <c r="F386" s="10">
        <v>1</v>
      </c>
      <c r="G386" s="8" t="s">
        <v>4903</v>
      </c>
      <c r="H386" s="10">
        <v>2.7</v>
      </c>
      <c r="I386" s="10">
        <f t="shared" si="7"/>
        <v>2.7</v>
      </c>
      <c r="J386" s="10">
        <v>0.1136904</v>
      </c>
      <c r="K386" s="8" t="s">
        <v>5051</v>
      </c>
      <c r="S386"/>
    </row>
    <row r="387" spans="1:19" ht="15" x14ac:dyDescent="0.25">
      <c r="A387" s="8" t="s">
        <v>4963</v>
      </c>
      <c r="B387" s="8" t="s">
        <v>4869</v>
      </c>
      <c r="C387" s="8" t="s">
        <v>5261</v>
      </c>
      <c r="D387" s="32" t="s">
        <v>6984</v>
      </c>
      <c r="E387" s="32" t="s">
        <v>5261</v>
      </c>
      <c r="F387" s="10">
        <v>1</v>
      </c>
      <c r="G387" s="8" t="s">
        <v>4903</v>
      </c>
      <c r="H387" s="10">
        <v>4.2</v>
      </c>
      <c r="I387" s="10">
        <f t="shared" si="7"/>
        <v>4.2</v>
      </c>
      <c r="J387" s="10">
        <v>0.23622000000000001</v>
      </c>
      <c r="K387" s="8" t="s">
        <v>5245</v>
      </c>
      <c r="S387"/>
    </row>
    <row r="388" spans="1:19" ht="15" x14ac:dyDescent="0.25">
      <c r="A388" s="8" t="s">
        <v>4963</v>
      </c>
      <c r="B388" s="8" t="s">
        <v>4869</v>
      </c>
      <c r="C388" s="8" t="s">
        <v>5262</v>
      </c>
      <c r="D388" s="32" t="s">
        <v>6984</v>
      </c>
      <c r="E388" s="32" t="s">
        <v>5262</v>
      </c>
      <c r="F388" s="10">
        <v>4</v>
      </c>
      <c r="G388" s="8" t="s">
        <v>4903</v>
      </c>
      <c r="H388" s="10">
        <v>2.4500000000000002</v>
      </c>
      <c r="I388" s="10">
        <f t="shared" si="7"/>
        <v>9.8000000000000007</v>
      </c>
      <c r="J388" s="10">
        <v>0.32512000000000002</v>
      </c>
      <c r="K388" s="8" t="s">
        <v>4904</v>
      </c>
      <c r="S388"/>
    </row>
    <row r="389" spans="1:19" ht="15" x14ac:dyDescent="0.25">
      <c r="A389" s="8" t="s">
        <v>4963</v>
      </c>
      <c r="B389" s="8" t="s">
        <v>4869</v>
      </c>
      <c r="C389" s="8" t="s">
        <v>5263</v>
      </c>
      <c r="D389" s="32" t="s">
        <v>6984</v>
      </c>
      <c r="E389" s="32" t="s">
        <v>5263</v>
      </c>
      <c r="F389" s="10">
        <v>2</v>
      </c>
      <c r="G389" s="8" t="s">
        <v>4903</v>
      </c>
      <c r="H389" s="10">
        <v>5.95</v>
      </c>
      <c r="I389" s="10">
        <f t="shared" ref="I389:I452" si="8">F389*H389</f>
        <v>11.9</v>
      </c>
      <c r="J389" s="10">
        <v>0.66344800000000004</v>
      </c>
      <c r="K389" s="8" t="s">
        <v>5245</v>
      </c>
      <c r="S389"/>
    </row>
    <row r="390" spans="1:19" ht="15" x14ac:dyDescent="0.25">
      <c r="A390" s="8" t="s">
        <v>4963</v>
      </c>
      <c r="B390" s="8" t="s">
        <v>4869</v>
      </c>
      <c r="C390" s="8" t="s">
        <v>4902</v>
      </c>
      <c r="D390" s="32" t="s">
        <v>6984</v>
      </c>
      <c r="E390" s="32" t="s">
        <v>4902</v>
      </c>
      <c r="F390" s="10">
        <v>8</v>
      </c>
      <c r="G390" s="8" t="s">
        <v>4903</v>
      </c>
      <c r="H390" s="10">
        <v>2.5750000000000002</v>
      </c>
      <c r="I390" s="10">
        <f t="shared" si="8"/>
        <v>20.6</v>
      </c>
      <c r="J390" s="10">
        <v>0.68275200000000003</v>
      </c>
      <c r="K390" s="8" t="s">
        <v>4904</v>
      </c>
      <c r="S390"/>
    </row>
    <row r="391" spans="1:19" ht="15" x14ac:dyDescent="0.25">
      <c r="A391" s="8" t="s">
        <v>4963</v>
      </c>
      <c r="B391" s="8" t="s">
        <v>4869</v>
      </c>
      <c r="C391" s="8" t="s">
        <v>5264</v>
      </c>
      <c r="D391" s="32" t="s">
        <v>6984</v>
      </c>
      <c r="E391" s="32" t="s">
        <v>5264</v>
      </c>
      <c r="F391" s="10">
        <v>8</v>
      </c>
      <c r="G391" s="8" t="s">
        <v>22</v>
      </c>
      <c r="H391" s="10">
        <v>0.3</v>
      </c>
      <c r="I391" s="10">
        <f t="shared" si="8"/>
        <v>2.4</v>
      </c>
      <c r="J391" s="10">
        <v>7.6988416000000004E-2</v>
      </c>
      <c r="K391" s="8" t="s">
        <v>23</v>
      </c>
      <c r="S391"/>
    </row>
    <row r="392" spans="1:19" ht="15" x14ac:dyDescent="0.25">
      <c r="A392" s="8" t="s">
        <v>4963</v>
      </c>
      <c r="B392" s="8" t="s">
        <v>4869</v>
      </c>
      <c r="C392" s="8" t="s">
        <v>5265</v>
      </c>
      <c r="D392" s="32" t="s">
        <v>6984</v>
      </c>
      <c r="E392" s="32" t="s">
        <v>5265</v>
      </c>
      <c r="F392" s="10">
        <v>4</v>
      </c>
      <c r="G392" s="8" t="s">
        <v>22</v>
      </c>
      <c r="H392" s="10">
        <v>0.45</v>
      </c>
      <c r="I392" s="10">
        <f t="shared" si="8"/>
        <v>1.8</v>
      </c>
      <c r="J392" s="10">
        <v>5.8684159999999999E-2</v>
      </c>
      <c r="K392" s="8" t="s">
        <v>23</v>
      </c>
      <c r="S392"/>
    </row>
    <row r="393" spans="1:19" ht="15" x14ac:dyDescent="0.25">
      <c r="A393" s="8" t="s">
        <v>4963</v>
      </c>
      <c r="B393" s="8" t="s">
        <v>4869</v>
      </c>
      <c r="C393" s="8" t="s">
        <v>5266</v>
      </c>
      <c r="D393" s="32" t="s">
        <v>6984</v>
      </c>
      <c r="E393" s="32" t="s">
        <v>5266</v>
      </c>
      <c r="F393" s="10">
        <v>2</v>
      </c>
      <c r="G393" s="8" t="s">
        <v>22</v>
      </c>
      <c r="H393" s="10">
        <v>1.05</v>
      </c>
      <c r="I393" s="10">
        <f t="shared" si="8"/>
        <v>2.1</v>
      </c>
      <c r="J393" s="10">
        <v>8.5050000000000001E-2</v>
      </c>
      <c r="K393" s="8" t="s">
        <v>4798</v>
      </c>
      <c r="S393"/>
    </row>
    <row r="394" spans="1:19" ht="15" x14ac:dyDescent="0.25">
      <c r="A394" s="8" t="s">
        <v>4963</v>
      </c>
      <c r="B394" s="8" t="s">
        <v>4869</v>
      </c>
      <c r="C394" s="8" t="s">
        <v>5267</v>
      </c>
      <c r="D394" s="32" t="s">
        <v>6984</v>
      </c>
      <c r="E394" s="32" t="s">
        <v>5267</v>
      </c>
      <c r="F394" s="10">
        <v>8</v>
      </c>
      <c r="G394" s="8" t="s">
        <v>22</v>
      </c>
      <c r="H394" s="10">
        <v>0.33750000000000002</v>
      </c>
      <c r="I394" s="10">
        <f t="shared" si="8"/>
        <v>2.7</v>
      </c>
      <c r="J394" s="10">
        <v>0.110808</v>
      </c>
      <c r="K394" s="8" t="s">
        <v>5268</v>
      </c>
      <c r="S394"/>
    </row>
    <row r="395" spans="1:19" ht="15" x14ac:dyDescent="0.25">
      <c r="A395" s="8" t="s">
        <v>4963</v>
      </c>
      <c r="B395" s="8" t="s">
        <v>4869</v>
      </c>
      <c r="C395" s="8" t="s">
        <v>5269</v>
      </c>
      <c r="D395" s="32" t="s">
        <v>6984</v>
      </c>
      <c r="E395" s="32" t="s">
        <v>5269</v>
      </c>
      <c r="F395" s="10">
        <v>8</v>
      </c>
      <c r="G395" s="8" t="s">
        <v>22</v>
      </c>
      <c r="H395" s="10">
        <v>1.9375</v>
      </c>
      <c r="I395" s="10">
        <f t="shared" si="8"/>
        <v>15.5</v>
      </c>
      <c r="J395" s="10">
        <v>0.63504000000000005</v>
      </c>
      <c r="K395" s="8" t="s">
        <v>4798</v>
      </c>
      <c r="S395"/>
    </row>
    <row r="396" spans="1:19" ht="15" x14ac:dyDescent="0.25">
      <c r="A396" s="8" t="s">
        <v>4963</v>
      </c>
      <c r="B396" s="8" t="s">
        <v>4869</v>
      </c>
      <c r="C396" s="8" t="s">
        <v>5270</v>
      </c>
      <c r="D396" s="32" t="s">
        <v>6984</v>
      </c>
      <c r="E396" s="32" t="s">
        <v>5270</v>
      </c>
      <c r="F396" s="10">
        <v>8</v>
      </c>
      <c r="G396" s="8" t="s">
        <v>22</v>
      </c>
      <c r="H396" s="10">
        <v>1.875</v>
      </c>
      <c r="I396" s="10">
        <f t="shared" si="8"/>
        <v>15</v>
      </c>
      <c r="J396" s="10">
        <v>0.61236000000000002</v>
      </c>
      <c r="K396" s="8" t="s">
        <v>4798</v>
      </c>
      <c r="S396"/>
    </row>
    <row r="397" spans="1:19" ht="15" x14ac:dyDescent="0.25">
      <c r="A397" s="8" t="s">
        <v>4963</v>
      </c>
      <c r="B397" s="8" t="s">
        <v>4869</v>
      </c>
      <c r="C397" s="8" t="s">
        <v>5271</v>
      </c>
      <c r="D397" s="32" t="s">
        <v>6984</v>
      </c>
      <c r="E397" s="32" t="s">
        <v>5271</v>
      </c>
      <c r="F397" s="10">
        <v>12</v>
      </c>
      <c r="G397" s="8" t="s">
        <v>22</v>
      </c>
      <c r="H397" s="10">
        <v>1</v>
      </c>
      <c r="I397" s="10">
        <f t="shared" si="8"/>
        <v>12</v>
      </c>
      <c r="J397" s="10">
        <v>0.49207499999999998</v>
      </c>
      <c r="K397" s="8" t="s">
        <v>4798</v>
      </c>
      <c r="S397"/>
    </row>
    <row r="398" spans="1:19" ht="15" x14ac:dyDescent="0.25">
      <c r="A398" s="8" t="s">
        <v>4963</v>
      </c>
      <c r="B398" s="8" t="s">
        <v>4869</v>
      </c>
      <c r="C398" s="8" t="s">
        <v>5272</v>
      </c>
      <c r="D398" s="32" t="s">
        <v>6984</v>
      </c>
      <c r="E398" s="32" t="s">
        <v>5272</v>
      </c>
      <c r="F398" s="10">
        <v>16</v>
      </c>
      <c r="G398" s="8" t="s">
        <v>22</v>
      </c>
      <c r="H398" s="10">
        <v>0.83125000000000004</v>
      </c>
      <c r="I398" s="10">
        <f t="shared" si="8"/>
        <v>13.3</v>
      </c>
      <c r="J398" s="10">
        <v>0.54432000000000003</v>
      </c>
      <c r="K398" s="8" t="s">
        <v>4798</v>
      </c>
      <c r="S398"/>
    </row>
    <row r="399" spans="1:19" ht="15" x14ac:dyDescent="0.25">
      <c r="A399" s="8" t="s">
        <v>4963</v>
      </c>
      <c r="B399" s="8" t="s">
        <v>4869</v>
      </c>
      <c r="C399" s="8" t="s">
        <v>5273</v>
      </c>
      <c r="D399" s="32" t="s">
        <v>6984</v>
      </c>
      <c r="E399" s="32" t="s">
        <v>5273</v>
      </c>
      <c r="F399" s="10">
        <v>1</v>
      </c>
      <c r="G399" s="8" t="s">
        <v>22</v>
      </c>
      <c r="H399" s="10">
        <v>2</v>
      </c>
      <c r="I399" s="10">
        <f t="shared" si="8"/>
        <v>2</v>
      </c>
      <c r="J399" s="10">
        <v>6.3972155520000004E-2</v>
      </c>
      <c r="K399" s="8" t="s">
        <v>23</v>
      </c>
      <c r="S399"/>
    </row>
    <row r="400" spans="1:19" ht="15" x14ac:dyDescent="0.25">
      <c r="A400" s="8" t="s">
        <v>4963</v>
      </c>
      <c r="B400" s="8" t="s">
        <v>4869</v>
      </c>
      <c r="C400" s="8" t="s">
        <v>5274</v>
      </c>
      <c r="D400" s="32" t="s">
        <v>6984</v>
      </c>
      <c r="E400" s="32" t="s">
        <v>5274</v>
      </c>
      <c r="F400" s="10">
        <v>1</v>
      </c>
      <c r="G400" s="8" t="s">
        <v>22</v>
      </c>
      <c r="H400" s="10">
        <v>2</v>
      </c>
      <c r="I400" s="10">
        <f t="shared" si="8"/>
        <v>2</v>
      </c>
      <c r="J400" s="10">
        <v>6.5735931519999999E-2</v>
      </c>
      <c r="K400" s="8" t="s">
        <v>23</v>
      </c>
      <c r="S400"/>
    </row>
    <row r="401" spans="1:19" ht="15" x14ac:dyDescent="0.25">
      <c r="A401" s="8" t="s">
        <v>5073</v>
      </c>
      <c r="B401" s="8" t="s">
        <v>5070</v>
      </c>
      <c r="C401" s="8" t="s">
        <v>5275</v>
      </c>
      <c r="D401" s="32" t="s">
        <v>6984</v>
      </c>
      <c r="E401" s="32" t="s">
        <v>5275</v>
      </c>
      <c r="F401" s="10">
        <v>4</v>
      </c>
      <c r="G401" s="8" t="s">
        <v>16</v>
      </c>
      <c r="H401" s="10">
        <v>128.9</v>
      </c>
      <c r="I401" s="10">
        <f t="shared" si="8"/>
        <v>515.6</v>
      </c>
      <c r="J401" s="10">
        <v>9.3654399999999995</v>
      </c>
      <c r="K401" s="8" t="s">
        <v>4850</v>
      </c>
      <c r="S401"/>
    </row>
    <row r="402" spans="1:19" ht="15" x14ac:dyDescent="0.25">
      <c r="A402" s="8" t="s">
        <v>5069</v>
      </c>
      <c r="B402" s="8" t="s">
        <v>5070</v>
      </c>
      <c r="C402" s="8" t="s">
        <v>5276</v>
      </c>
      <c r="D402" s="32" t="s">
        <v>6984</v>
      </c>
      <c r="E402" s="32" t="s">
        <v>5276</v>
      </c>
      <c r="F402" s="10">
        <v>2</v>
      </c>
      <c r="G402" s="8" t="s">
        <v>16</v>
      </c>
      <c r="H402" s="10">
        <v>35.6</v>
      </c>
      <c r="I402" s="10">
        <f t="shared" si="8"/>
        <v>71.2</v>
      </c>
      <c r="J402" s="10">
        <v>2.2745280000000001</v>
      </c>
      <c r="K402" s="8" t="s">
        <v>4781</v>
      </c>
      <c r="S402"/>
    </row>
    <row r="403" spans="1:19" ht="15" x14ac:dyDescent="0.25">
      <c r="A403" s="8" t="s">
        <v>5069</v>
      </c>
      <c r="B403" s="8" t="s">
        <v>5070</v>
      </c>
      <c r="C403" s="8" t="s">
        <v>5277</v>
      </c>
      <c r="D403" s="32" t="s">
        <v>6984</v>
      </c>
      <c r="E403" s="32" t="s">
        <v>5277</v>
      </c>
      <c r="F403" s="10">
        <v>3</v>
      </c>
      <c r="G403" s="8" t="s">
        <v>16</v>
      </c>
      <c r="H403" s="10">
        <v>40.266666666666666</v>
      </c>
      <c r="I403" s="10">
        <f t="shared" si="8"/>
        <v>120.8</v>
      </c>
      <c r="J403" s="10">
        <v>3.8532299999999999</v>
      </c>
      <c r="K403" s="8" t="s">
        <v>4781</v>
      </c>
      <c r="S403"/>
    </row>
    <row r="404" spans="1:19" ht="15" x14ac:dyDescent="0.25">
      <c r="A404" s="8" t="s">
        <v>5073</v>
      </c>
      <c r="B404" s="8" t="s">
        <v>5070</v>
      </c>
      <c r="C404" s="8" t="s">
        <v>5278</v>
      </c>
      <c r="D404" s="32" t="s">
        <v>6984</v>
      </c>
      <c r="E404" s="32" t="s">
        <v>5278</v>
      </c>
      <c r="F404" s="10">
        <v>2</v>
      </c>
      <c r="G404" s="8" t="s">
        <v>16</v>
      </c>
      <c r="H404" s="10">
        <v>44.1</v>
      </c>
      <c r="I404" s="10">
        <f t="shared" si="8"/>
        <v>88.2</v>
      </c>
      <c r="J404" s="10">
        <v>2.8182200000000002</v>
      </c>
      <c r="K404" s="8" t="s">
        <v>4781</v>
      </c>
      <c r="S404"/>
    </row>
    <row r="405" spans="1:19" ht="15" x14ac:dyDescent="0.25">
      <c r="A405" s="8" t="s">
        <v>5069</v>
      </c>
      <c r="B405" s="8" t="s">
        <v>5070</v>
      </c>
      <c r="C405" s="8" t="s">
        <v>5279</v>
      </c>
      <c r="D405" s="32" t="s">
        <v>6984</v>
      </c>
      <c r="E405" s="32" t="s">
        <v>5279</v>
      </c>
      <c r="F405" s="10">
        <v>2</v>
      </c>
      <c r="G405" s="8" t="s">
        <v>16</v>
      </c>
      <c r="H405" s="10">
        <v>73.349999999999994</v>
      </c>
      <c r="I405" s="10">
        <f t="shared" si="8"/>
        <v>146.69999999999999</v>
      </c>
      <c r="J405" s="10">
        <v>4.68872</v>
      </c>
      <c r="K405" s="8" t="s">
        <v>4781</v>
      </c>
      <c r="S405"/>
    </row>
    <row r="406" spans="1:19" ht="15" x14ac:dyDescent="0.25">
      <c r="A406" s="8" t="s">
        <v>5069</v>
      </c>
      <c r="B406" s="8" t="s">
        <v>5070</v>
      </c>
      <c r="C406" s="8" t="s">
        <v>5280</v>
      </c>
      <c r="D406" s="32" t="s">
        <v>6984</v>
      </c>
      <c r="E406" s="32" t="s">
        <v>5280</v>
      </c>
      <c r="F406" s="10">
        <v>3</v>
      </c>
      <c r="G406" s="8" t="s">
        <v>16</v>
      </c>
      <c r="H406" s="10">
        <v>48.433333333333337</v>
      </c>
      <c r="I406" s="10">
        <f t="shared" si="8"/>
        <v>145.30000000000001</v>
      </c>
      <c r="J406" s="10">
        <v>4.6463219999999996</v>
      </c>
      <c r="K406" s="8" t="s">
        <v>4781</v>
      </c>
      <c r="S406"/>
    </row>
    <row r="407" spans="1:19" ht="15" x14ac:dyDescent="0.25">
      <c r="A407" s="8" t="s">
        <v>5069</v>
      </c>
      <c r="B407" s="8" t="s">
        <v>5070</v>
      </c>
      <c r="C407" s="8" t="s">
        <v>5281</v>
      </c>
      <c r="D407" s="32" t="s">
        <v>6984</v>
      </c>
      <c r="E407" s="32" t="s">
        <v>5281</v>
      </c>
      <c r="F407" s="10">
        <v>1</v>
      </c>
      <c r="G407" s="8" t="s">
        <v>16</v>
      </c>
      <c r="H407" s="10">
        <v>80</v>
      </c>
      <c r="I407" s="10">
        <f t="shared" si="8"/>
        <v>80</v>
      </c>
      <c r="J407" s="10">
        <v>2.1888299999999998</v>
      </c>
      <c r="K407" s="8" t="s">
        <v>5209</v>
      </c>
      <c r="S407"/>
    </row>
    <row r="408" spans="1:19" ht="15" x14ac:dyDescent="0.25">
      <c r="A408" s="8" t="s">
        <v>5069</v>
      </c>
      <c r="B408" s="8" t="s">
        <v>5070</v>
      </c>
      <c r="C408" s="8" t="s">
        <v>5282</v>
      </c>
      <c r="D408" s="32" t="s">
        <v>6984</v>
      </c>
      <c r="E408" s="32" t="s">
        <v>5282</v>
      </c>
      <c r="F408" s="10">
        <v>1</v>
      </c>
      <c r="G408" s="8" t="s">
        <v>16</v>
      </c>
      <c r="H408" s="10">
        <v>49</v>
      </c>
      <c r="I408" s="10">
        <f t="shared" si="8"/>
        <v>49</v>
      </c>
      <c r="J408" s="10">
        <v>1.3406400000000001</v>
      </c>
      <c r="K408" s="8" t="s">
        <v>5209</v>
      </c>
      <c r="S408"/>
    </row>
    <row r="409" spans="1:19" ht="15" x14ac:dyDescent="0.25">
      <c r="A409" s="8" t="s">
        <v>5069</v>
      </c>
      <c r="B409" s="8" t="s">
        <v>5070</v>
      </c>
      <c r="C409" s="8" t="s">
        <v>5283</v>
      </c>
      <c r="D409" s="32" t="s">
        <v>6984</v>
      </c>
      <c r="E409" s="32" t="s">
        <v>5283</v>
      </c>
      <c r="F409" s="10">
        <v>1</v>
      </c>
      <c r="G409" s="8" t="s">
        <v>16</v>
      </c>
      <c r="H409" s="10">
        <v>117.5</v>
      </c>
      <c r="I409" s="10">
        <f t="shared" si="8"/>
        <v>117.5</v>
      </c>
      <c r="J409" s="10">
        <v>2.1341600000000001</v>
      </c>
      <c r="K409" s="8" t="s">
        <v>4850</v>
      </c>
      <c r="S409"/>
    </row>
    <row r="410" spans="1:19" ht="15" x14ac:dyDescent="0.25">
      <c r="A410" s="8" t="s">
        <v>5073</v>
      </c>
      <c r="B410" s="8" t="s">
        <v>5070</v>
      </c>
      <c r="C410" s="8" t="s">
        <v>5284</v>
      </c>
      <c r="D410" s="32" t="s">
        <v>6984</v>
      </c>
      <c r="E410" s="32" t="s">
        <v>5284</v>
      </c>
      <c r="F410" s="10">
        <v>1</v>
      </c>
      <c r="G410" s="8" t="s">
        <v>16</v>
      </c>
      <c r="H410" s="10">
        <v>46.2</v>
      </c>
      <c r="I410" s="10">
        <f t="shared" si="8"/>
        <v>46.2</v>
      </c>
      <c r="J410" s="10">
        <v>1.498329</v>
      </c>
      <c r="K410" s="8" t="s">
        <v>5116</v>
      </c>
      <c r="S410"/>
    </row>
    <row r="411" spans="1:19" ht="15" x14ac:dyDescent="0.25">
      <c r="A411" s="8" t="s">
        <v>5069</v>
      </c>
      <c r="B411" s="8" t="s">
        <v>5070</v>
      </c>
      <c r="C411" s="8" t="s">
        <v>5285</v>
      </c>
      <c r="D411" s="32" t="s">
        <v>6984</v>
      </c>
      <c r="E411" s="32" t="s">
        <v>5285</v>
      </c>
      <c r="F411" s="10">
        <v>4</v>
      </c>
      <c r="G411" s="8" t="s">
        <v>16</v>
      </c>
      <c r="H411" s="10">
        <v>128.875</v>
      </c>
      <c r="I411" s="10">
        <f t="shared" si="8"/>
        <v>515.5</v>
      </c>
      <c r="J411" s="10">
        <v>9.3654399999999995</v>
      </c>
      <c r="K411" s="8" t="s">
        <v>4850</v>
      </c>
      <c r="S411"/>
    </row>
    <row r="412" spans="1:19" ht="15" x14ac:dyDescent="0.25">
      <c r="A412" s="8" t="s">
        <v>5073</v>
      </c>
      <c r="B412" s="8" t="s">
        <v>5070</v>
      </c>
      <c r="C412" s="8" t="s">
        <v>5286</v>
      </c>
      <c r="D412" s="32" t="s">
        <v>6984</v>
      </c>
      <c r="E412" s="32" t="s">
        <v>5286</v>
      </c>
      <c r="F412" s="10">
        <v>2</v>
      </c>
      <c r="G412" s="8" t="s">
        <v>16</v>
      </c>
      <c r="H412" s="10">
        <v>53.85</v>
      </c>
      <c r="I412" s="10">
        <f t="shared" si="8"/>
        <v>107.7</v>
      </c>
      <c r="J412" s="10">
        <v>3.49146</v>
      </c>
      <c r="K412" s="8" t="s">
        <v>5116</v>
      </c>
      <c r="S412"/>
    </row>
    <row r="413" spans="1:19" ht="15" x14ac:dyDescent="0.25">
      <c r="A413" s="8" t="s">
        <v>5073</v>
      </c>
      <c r="B413" s="8" t="s">
        <v>5070</v>
      </c>
      <c r="C413" s="8" t="s">
        <v>5287</v>
      </c>
      <c r="D413" s="32" t="s">
        <v>6984</v>
      </c>
      <c r="E413" s="32" t="s">
        <v>5287</v>
      </c>
      <c r="F413" s="10">
        <v>1</v>
      </c>
      <c r="G413" s="8" t="s">
        <v>16</v>
      </c>
      <c r="H413" s="10">
        <v>51.2</v>
      </c>
      <c r="I413" s="10">
        <f t="shared" si="8"/>
        <v>51.2</v>
      </c>
      <c r="J413" s="10">
        <v>1.658979</v>
      </c>
      <c r="K413" s="8" t="s">
        <v>5116</v>
      </c>
      <c r="S413"/>
    </row>
    <row r="414" spans="1:19" ht="15" x14ac:dyDescent="0.25">
      <c r="A414" s="8" t="s">
        <v>5069</v>
      </c>
      <c r="B414" s="8" t="s">
        <v>5070</v>
      </c>
      <c r="C414" s="8" t="s">
        <v>5288</v>
      </c>
      <c r="D414" s="32" t="s">
        <v>6984</v>
      </c>
      <c r="E414" s="32" t="s">
        <v>5288</v>
      </c>
      <c r="F414" s="10">
        <v>2</v>
      </c>
      <c r="G414" s="8" t="s">
        <v>16</v>
      </c>
      <c r="H414" s="10">
        <v>44.1</v>
      </c>
      <c r="I414" s="10">
        <f t="shared" si="8"/>
        <v>88.2</v>
      </c>
      <c r="J414" s="10">
        <v>2.8182200000000002</v>
      </c>
      <c r="K414" s="8" t="s">
        <v>4781</v>
      </c>
      <c r="S414"/>
    </row>
    <row r="415" spans="1:19" ht="15" x14ac:dyDescent="0.25">
      <c r="A415" s="8" t="s">
        <v>5073</v>
      </c>
      <c r="B415" s="8" t="s">
        <v>5070</v>
      </c>
      <c r="C415" s="8" t="s">
        <v>5289</v>
      </c>
      <c r="D415" s="32" t="s">
        <v>6984</v>
      </c>
      <c r="E415" s="32" t="s">
        <v>5289</v>
      </c>
      <c r="F415" s="10">
        <v>2</v>
      </c>
      <c r="G415" s="8" t="s">
        <v>16</v>
      </c>
      <c r="H415" s="10">
        <v>63.6</v>
      </c>
      <c r="I415" s="10">
        <f t="shared" si="8"/>
        <v>127.2</v>
      </c>
      <c r="J415" s="10">
        <v>4.0652200000000001</v>
      </c>
      <c r="K415" s="8" t="s">
        <v>4781</v>
      </c>
      <c r="S415"/>
    </row>
    <row r="416" spans="1:19" ht="15" x14ac:dyDescent="0.25">
      <c r="A416" s="8" t="s">
        <v>5073</v>
      </c>
      <c r="B416" s="8" t="s">
        <v>5070</v>
      </c>
      <c r="C416" s="8" t="s">
        <v>5290</v>
      </c>
      <c r="D416" s="32" t="s">
        <v>6984</v>
      </c>
      <c r="E416" s="32" t="s">
        <v>5290</v>
      </c>
      <c r="F416" s="10">
        <v>1</v>
      </c>
      <c r="G416" s="8" t="s">
        <v>16</v>
      </c>
      <c r="H416" s="10">
        <v>63.6</v>
      </c>
      <c r="I416" s="10">
        <f t="shared" si="8"/>
        <v>63.6</v>
      </c>
      <c r="J416" s="10">
        <v>2.03261</v>
      </c>
      <c r="K416" s="8" t="s">
        <v>4781</v>
      </c>
      <c r="S416"/>
    </row>
    <row r="417" spans="1:19" ht="15" x14ac:dyDescent="0.25">
      <c r="A417" s="8" t="s">
        <v>5069</v>
      </c>
      <c r="B417" s="8" t="s">
        <v>5070</v>
      </c>
      <c r="C417" s="8" t="s">
        <v>5291</v>
      </c>
      <c r="D417" s="32" t="s">
        <v>6984</v>
      </c>
      <c r="E417" s="32" t="s">
        <v>5291</v>
      </c>
      <c r="F417" s="10">
        <v>1</v>
      </c>
      <c r="G417" s="8" t="s">
        <v>16</v>
      </c>
      <c r="H417" s="10">
        <v>165.2</v>
      </c>
      <c r="I417" s="10">
        <f t="shared" si="8"/>
        <v>165.2</v>
      </c>
      <c r="J417" s="10">
        <v>3.0002559999999998</v>
      </c>
      <c r="K417" s="8" t="s">
        <v>4850</v>
      </c>
      <c r="S417"/>
    </row>
    <row r="418" spans="1:19" ht="15" x14ac:dyDescent="0.25">
      <c r="A418" s="8" t="s">
        <v>5069</v>
      </c>
      <c r="B418" s="8" t="s">
        <v>5070</v>
      </c>
      <c r="C418" s="8" t="s">
        <v>5292</v>
      </c>
      <c r="D418" s="32" t="s">
        <v>6984</v>
      </c>
      <c r="E418" s="32" t="s">
        <v>5292</v>
      </c>
      <c r="F418" s="10">
        <v>1</v>
      </c>
      <c r="G418" s="8" t="s">
        <v>16</v>
      </c>
      <c r="H418" s="10">
        <v>86.5</v>
      </c>
      <c r="I418" s="10">
        <f t="shared" si="8"/>
        <v>86.5</v>
      </c>
      <c r="J418" s="10">
        <v>2.22404</v>
      </c>
      <c r="K418" s="8" t="s">
        <v>4949</v>
      </c>
      <c r="S418"/>
    </row>
    <row r="419" spans="1:19" ht="15" x14ac:dyDescent="0.25">
      <c r="A419" s="8" t="s">
        <v>5069</v>
      </c>
      <c r="B419" s="8" t="s">
        <v>5070</v>
      </c>
      <c r="C419" s="8" t="s">
        <v>5293</v>
      </c>
      <c r="D419" s="32" t="s">
        <v>6984</v>
      </c>
      <c r="E419" s="32" t="s">
        <v>5293</v>
      </c>
      <c r="F419" s="10">
        <v>2</v>
      </c>
      <c r="G419" s="8" t="s">
        <v>16</v>
      </c>
      <c r="H419" s="10">
        <v>38.35</v>
      </c>
      <c r="I419" s="10">
        <f t="shared" si="8"/>
        <v>76.7</v>
      </c>
      <c r="J419" s="10">
        <v>2.4868619999999999</v>
      </c>
      <c r="K419" s="8" t="s">
        <v>5116</v>
      </c>
      <c r="S419"/>
    </row>
    <row r="420" spans="1:19" ht="15" x14ac:dyDescent="0.25">
      <c r="A420" s="8" t="s">
        <v>5073</v>
      </c>
      <c r="B420" s="8" t="s">
        <v>5070</v>
      </c>
      <c r="C420" s="8" t="s">
        <v>5294</v>
      </c>
      <c r="D420" s="32" t="s">
        <v>6984</v>
      </c>
      <c r="E420" s="32" t="s">
        <v>5294</v>
      </c>
      <c r="F420" s="10">
        <v>2</v>
      </c>
      <c r="G420" s="8" t="s">
        <v>16</v>
      </c>
      <c r="H420" s="10">
        <v>38.35</v>
      </c>
      <c r="I420" s="10">
        <f t="shared" si="8"/>
        <v>76.7</v>
      </c>
      <c r="J420" s="10">
        <v>2.4868619999999999</v>
      </c>
      <c r="K420" s="8" t="s">
        <v>5116</v>
      </c>
      <c r="S420"/>
    </row>
    <row r="421" spans="1:19" ht="15" x14ac:dyDescent="0.25">
      <c r="A421" s="8" t="s">
        <v>5069</v>
      </c>
      <c r="B421" s="8" t="s">
        <v>5070</v>
      </c>
      <c r="C421" s="8" t="s">
        <v>5295</v>
      </c>
      <c r="D421" s="32" t="s">
        <v>6984</v>
      </c>
      <c r="E421" s="32" t="s">
        <v>5295</v>
      </c>
      <c r="F421" s="10">
        <v>11</v>
      </c>
      <c r="G421" s="8" t="s">
        <v>16</v>
      </c>
      <c r="H421" s="10">
        <v>67.845454545454544</v>
      </c>
      <c r="I421" s="10">
        <f t="shared" si="8"/>
        <v>746.3</v>
      </c>
      <c r="J421" s="10">
        <v>24.186392999999999</v>
      </c>
      <c r="K421" s="8" t="s">
        <v>5116</v>
      </c>
      <c r="S421"/>
    </row>
    <row r="422" spans="1:19" ht="15" x14ac:dyDescent="0.25">
      <c r="A422" s="8" t="s">
        <v>5069</v>
      </c>
      <c r="B422" s="8" t="s">
        <v>5070</v>
      </c>
      <c r="C422" s="8" t="s">
        <v>5296</v>
      </c>
      <c r="D422" s="32" t="s">
        <v>6984</v>
      </c>
      <c r="E422" s="32" t="s">
        <v>5296</v>
      </c>
      <c r="F422" s="10">
        <v>3</v>
      </c>
      <c r="G422" s="8" t="s">
        <v>16</v>
      </c>
      <c r="H422" s="10">
        <v>12.4</v>
      </c>
      <c r="I422" s="10">
        <f t="shared" si="8"/>
        <v>37.200000000000003</v>
      </c>
      <c r="J422" s="10">
        <v>1.8948750000000001</v>
      </c>
      <c r="K422" s="8" t="s">
        <v>5123</v>
      </c>
      <c r="S422"/>
    </row>
    <row r="423" spans="1:19" ht="15" x14ac:dyDescent="0.25">
      <c r="A423" s="8" t="s">
        <v>5069</v>
      </c>
      <c r="B423" s="8" t="s">
        <v>5070</v>
      </c>
      <c r="C423" s="8" t="s">
        <v>5297</v>
      </c>
      <c r="D423" s="32" t="s">
        <v>6984</v>
      </c>
      <c r="E423" s="32" t="s">
        <v>5297</v>
      </c>
      <c r="F423" s="10">
        <v>2</v>
      </c>
      <c r="G423" s="8" t="s">
        <v>16</v>
      </c>
      <c r="H423" s="10">
        <v>37.15</v>
      </c>
      <c r="I423" s="10">
        <f t="shared" si="8"/>
        <v>74.3</v>
      </c>
      <c r="J423" s="10">
        <v>2.4076080000000002</v>
      </c>
      <c r="K423" s="8" t="s">
        <v>5116</v>
      </c>
      <c r="S423"/>
    </row>
    <row r="424" spans="1:19" ht="15" x14ac:dyDescent="0.25">
      <c r="A424" s="8" t="s">
        <v>5069</v>
      </c>
      <c r="B424" s="8" t="s">
        <v>5070</v>
      </c>
      <c r="C424" s="8" t="s">
        <v>5298</v>
      </c>
      <c r="D424" s="32" t="s">
        <v>6984</v>
      </c>
      <c r="E424" s="32" t="s">
        <v>5298</v>
      </c>
      <c r="F424" s="10">
        <v>8</v>
      </c>
      <c r="G424" s="8" t="s">
        <v>16</v>
      </c>
      <c r="H424" s="10">
        <v>59.587499999999999</v>
      </c>
      <c r="I424" s="10">
        <f t="shared" si="8"/>
        <v>476.7</v>
      </c>
      <c r="J424" s="10">
        <v>15.448104000000001</v>
      </c>
      <c r="K424" s="8" t="s">
        <v>5116</v>
      </c>
      <c r="S424"/>
    </row>
    <row r="425" spans="1:19" ht="15" x14ac:dyDescent="0.25">
      <c r="A425" s="8" t="s">
        <v>5073</v>
      </c>
      <c r="B425" s="8" t="s">
        <v>5070</v>
      </c>
      <c r="C425" s="8" t="s">
        <v>5299</v>
      </c>
      <c r="D425" s="32" t="s">
        <v>6984</v>
      </c>
      <c r="E425" s="32" t="s">
        <v>5299</v>
      </c>
      <c r="F425" s="10">
        <v>2</v>
      </c>
      <c r="G425" s="8" t="s">
        <v>16</v>
      </c>
      <c r="H425" s="10">
        <v>13.95</v>
      </c>
      <c r="I425" s="10">
        <f t="shared" si="8"/>
        <v>27.9</v>
      </c>
      <c r="J425" s="10">
        <v>1.41825</v>
      </c>
      <c r="K425" s="8" t="s">
        <v>5123</v>
      </c>
      <c r="S425"/>
    </row>
    <row r="426" spans="1:19" ht="15" x14ac:dyDescent="0.25">
      <c r="A426" s="8" t="s">
        <v>5069</v>
      </c>
      <c r="B426" s="8" t="s">
        <v>5070</v>
      </c>
      <c r="C426" s="8" t="s">
        <v>5300</v>
      </c>
      <c r="D426" s="32" t="s">
        <v>6984</v>
      </c>
      <c r="E426" s="32" t="s">
        <v>5300</v>
      </c>
      <c r="F426" s="10">
        <v>4</v>
      </c>
      <c r="G426" s="8" t="s">
        <v>16</v>
      </c>
      <c r="H426" s="10">
        <v>11.275</v>
      </c>
      <c r="I426" s="10">
        <f t="shared" si="8"/>
        <v>45.1</v>
      </c>
      <c r="J426" s="10">
        <v>2.294</v>
      </c>
      <c r="K426" s="8" t="s">
        <v>5123</v>
      </c>
      <c r="S426"/>
    </row>
    <row r="427" spans="1:19" ht="15" x14ac:dyDescent="0.25">
      <c r="A427" s="8" t="s">
        <v>5073</v>
      </c>
      <c r="B427" s="8" t="s">
        <v>5070</v>
      </c>
      <c r="C427" s="8" t="s">
        <v>5301</v>
      </c>
      <c r="D427" s="32" t="s">
        <v>6984</v>
      </c>
      <c r="E427" s="32" t="s">
        <v>5301</v>
      </c>
      <c r="F427" s="10">
        <v>4</v>
      </c>
      <c r="G427" s="8" t="s">
        <v>16</v>
      </c>
      <c r="H427" s="10">
        <v>8.4499999999999993</v>
      </c>
      <c r="I427" s="10">
        <f t="shared" si="8"/>
        <v>33.799999999999997</v>
      </c>
      <c r="J427" s="10">
        <v>1.1541600000000001</v>
      </c>
      <c r="K427" s="8" t="s">
        <v>5040</v>
      </c>
      <c r="S427"/>
    </row>
    <row r="428" spans="1:19" ht="15" x14ac:dyDescent="0.25">
      <c r="A428" s="8" t="s">
        <v>5073</v>
      </c>
      <c r="B428" s="8" t="s">
        <v>5070</v>
      </c>
      <c r="C428" s="8" t="s">
        <v>5302</v>
      </c>
      <c r="D428" s="32" t="s">
        <v>6984</v>
      </c>
      <c r="E428" s="32" t="s">
        <v>5302</v>
      </c>
      <c r="F428" s="10">
        <v>4</v>
      </c>
      <c r="G428" s="8" t="s">
        <v>16</v>
      </c>
      <c r="H428" s="10">
        <v>24.574999999999999</v>
      </c>
      <c r="I428" s="10">
        <f t="shared" si="8"/>
        <v>98.3</v>
      </c>
      <c r="J428" s="10">
        <v>3.35256</v>
      </c>
      <c r="K428" s="8" t="s">
        <v>5040</v>
      </c>
      <c r="S428"/>
    </row>
    <row r="429" spans="1:19" ht="15" x14ac:dyDescent="0.25">
      <c r="A429" s="8" t="s">
        <v>5069</v>
      </c>
      <c r="B429" s="8" t="s">
        <v>5070</v>
      </c>
      <c r="C429" s="8" t="s">
        <v>5303</v>
      </c>
      <c r="D429" s="32" t="s">
        <v>6984</v>
      </c>
      <c r="E429" s="32" t="s">
        <v>5303</v>
      </c>
      <c r="F429" s="10">
        <v>2</v>
      </c>
      <c r="G429" s="8" t="s">
        <v>16</v>
      </c>
      <c r="H429" s="10">
        <v>7.85</v>
      </c>
      <c r="I429" s="10">
        <f t="shared" si="8"/>
        <v>15.7</v>
      </c>
      <c r="J429" s="10">
        <v>0.79825000000000002</v>
      </c>
      <c r="K429" s="8" t="s">
        <v>5123</v>
      </c>
      <c r="S429"/>
    </row>
    <row r="430" spans="1:19" ht="15" x14ac:dyDescent="0.25">
      <c r="A430" s="8" t="s">
        <v>5073</v>
      </c>
      <c r="B430" s="8" t="s">
        <v>5070</v>
      </c>
      <c r="C430" s="8" t="s">
        <v>5304</v>
      </c>
      <c r="D430" s="32" t="s">
        <v>6984</v>
      </c>
      <c r="E430" s="32" t="s">
        <v>5304</v>
      </c>
      <c r="F430" s="10">
        <v>9</v>
      </c>
      <c r="G430" s="8" t="s">
        <v>16</v>
      </c>
      <c r="H430" s="10">
        <v>9.3666666666666671</v>
      </c>
      <c r="I430" s="10">
        <f t="shared" si="8"/>
        <v>84.300000000000011</v>
      </c>
      <c r="J430" s="10">
        <v>4.289625</v>
      </c>
      <c r="K430" s="8" t="s">
        <v>5123</v>
      </c>
      <c r="S430"/>
    </row>
    <row r="431" spans="1:19" ht="15" x14ac:dyDescent="0.25">
      <c r="A431" s="8" t="s">
        <v>5073</v>
      </c>
      <c r="B431" s="8" t="s">
        <v>5070</v>
      </c>
      <c r="C431" s="8" t="s">
        <v>5305</v>
      </c>
      <c r="D431" s="32" t="s">
        <v>6984</v>
      </c>
      <c r="E431" s="32" t="s">
        <v>5305</v>
      </c>
      <c r="F431" s="10">
        <v>2</v>
      </c>
      <c r="G431" s="8" t="s">
        <v>16</v>
      </c>
      <c r="H431" s="10">
        <v>18.05</v>
      </c>
      <c r="I431" s="10">
        <f t="shared" si="8"/>
        <v>36.1</v>
      </c>
      <c r="J431" s="10">
        <v>1.169532</v>
      </c>
      <c r="K431" s="8" t="s">
        <v>5116</v>
      </c>
      <c r="S431"/>
    </row>
    <row r="432" spans="1:19" ht="15" x14ac:dyDescent="0.25">
      <c r="A432" s="8" t="s">
        <v>5069</v>
      </c>
      <c r="B432" s="8" t="s">
        <v>5070</v>
      </c>
      <c r="C432" s="8" t="s">
        <v>5306</v>
      </c>
      <c r="D432" s="32" t="s">
        <v>6984</v>
      </c>
      <c r="E432" s="32" t="s">
        <v>5306</v>
      </c>
      <c r="F432" s="10">
        <v>2</v>
      </c>
      <c r="G432" s="8" t="s">
        <v>16</v>
      </c>
      <c r="H432" s="10">
        <v>53.65</v>
      </c>
      <c r="I432" s="10">
        <f t="shared" si="8"/>
        <v>107.3</v>
      </c>
      <c r="J432" s="10">
        <v>3.4786079999999999</v>
      </c>
      <c r="K432" s="8" t="s">
        <v>5116</v>
      </c>
      <c r="S432"/>
    </row>
    <row r="433" spans="1:19" ht="15" x14ac:dyDescent="0.25">
      <c r="A433" s="8" t="s">
        <v>5073</v>
      </c>
      <c r="B433" s="8" t="s">
        <v>5070</v>
      </c>
      <c r="C433" s="8" t="s">
        <v>5307</v>
      </c>
      <c r="D433" s="32" t="s">
        <v>6984</v>
      </c>
      <c r="E433" s="32" t="s">
        <v>5307</v>
      </c>
      <c r="F433" s="10">
        <v>2</v>
      </c>
      <c r="G433" s="8" t="s">
        <v>16</v>
      </c>
      <c r="H433" s="10">
        <v>56.1</v>
      </c>
      <c r="I433" s="10">
        <f t="shared" si="8"/>
        <v>112.2</v>
      </c>
      <c r="J433" s="10">
        <v>3.6371159999999998</v>
      </c>
      <c r="K433" s="8" t="s">
        <v>5116</v>
      </c>
      <c r="S433"/>
    </row>
    <row r="434" spans="1:19" ht="15" x14ac:dyDescent="0.25">
      <c r="A434" s="8" t="s">
        <v>5069</v>
      </c>
      <c r="B434" s="8" t="s">
        <v>5070</v>
      </c>
      <c r="C434" s="8" t="s">
        <v>5308</v>
      </c>
      <c r="D434" s="32" t="s">
        <v>6984</v>
      </c>
      <c r="E434" s="32" t="s">
        <v>5308</v>
      </c>
      <c r="F434" s="10">
        <v>1</v>
      </c>
      <c r="G434" s="8" t="s">
        <v>16</v>
      </c>
      <c r="H434" s="10">
        <v>67.8</v>
      </c>
      <c r="I434" s="10">
        <f t="shared" si="8"/>
        <v>67.8</v>
      </c>
      <c r="J434" s="10">
        <v>2.198763</v>
      </c>
      <c r="K434" s="8" t="s">
        <v>5116</v>
      </c>
      <c r="S434"/>
    </row>
    <row r="435" spans="1:19" ht="15" x14ac:dyDescent="0.25">
      <c r="A435" s="8" t="s">
        <v>5073</v>
      </c>
      <c r="B435" s="8" t="s">
        <v>5070</v>
      </c>
      <c r="C435" s="8" t="s">
        <v>5309</v>
      </c>
      <c r="D435" s="32" t="s">
        <v>6984</v>
      </c>
      <c r="E435" s="32" t="s">
        <v>5309</v>
      </c>
      <c r="F435" s="10">
        <v>2</v>
      </c>
      <c r="G435" s="8" t="s">
        <v>16</v>
      </c>
      <c r="H435" s="10">
        <v>65.650000000000006</v>
      </c>
      <c r="I435" s="10">
        <f t="shared" si="8"/>
        <v>131.30000000000001</v>
      </c>
      <c r="J435" s="10">
        <v>4.2540120000000003</v>
      </c>
      <c r="K435" s="8" t="s">
        <v>5116</v>
      </c>
      <c r="S435"/>
    </row>
    <row r="436" spans="1:19" ht="15" x14ac:dyDescent="0.25">
      <c r="A436" s="8" t="s">
        <v>5073</v>
      </c>
      <c r="B436" s="8" t="s">
        <v>5070</v>
      </c>
      <c r="C436" s="8" t="s">
        <v>5310</v>
      </c>
      <c r="D436" s="32" t="s">
        <v>6984</v>
      </c>
      <c r="E436" s="32" t="s">
        <v>5310</v>
      </c>
      <c r="F436" s="10">
        <v>4</v>
      </c>
      <c r="G436" s="8" t="s">
        <v>16</v>
      </c>
      <c r="H436" s="10">
        <v>12.125</v>
      </c>
      <c r="I436" s="10">
        <f t="shared" si="8"/>
        <v>48.5</v>
      </c>
      <c r="J436" s="10">
        <v>1.9335599999999999</v>
      </c>
      <c r="K436" s="8" t="s">
        <v>5311</v>
      </c>
      <c r="S436"/>
    </row>
    <row r="437" spans="1:19" ht="15" x14ac:dyDescent="0.25">
      <c r="A437" s="8" t="s">
        <v>5073</v>
      </c>
      <c r="B437" s="8" t="s">
        <v>5070</v>
      </c>
      <c r="C437" s="8" t="s">
        <v>5312</v>
      </c>
      <c r="D437" s="32" t="s">
        <v>6984</v>
      </c>
      <c r="E437" s="32" t="s">
        <v>5312</v>
      </c>
      <c r="F437" s="10">
        <v>2</v>
      </c>
      <c r="G437" s="8" t="s">
        <v>16</v>
      </c>
      <c r="H437" s="10">
        <v>9.5</v>
      </c>
      <c r="I437" s="10">
        <f t="shared" si="8"/>
        <v>19</v>
      </c>
      <c r="J437" s="10">
        <v>0.96875</v>
      </c>
      <c r="K437" s="8" t="s">
        <v>5123</v>
      </c>
      <c r="S437"/>
    </row>
    <row r="438" spans="1:19" ht="15" x14ac:dyDescent="0.25">
      <c r="A438" s="8" t="s">
        <v>5073</v>
      </c>
      <c r="B438" s="8" t="s">
        <v>5070</v>
      </c>
      <c r="C438" s="8" t="s">
        <v>5313</v>
      </c>
      <c r="D438" s="32" t="s">
        <v>6984</v>
      </c>
      <c r="E438" s="32" t="s">
        <v>5313</v>
      </c>
      <c r="F438" s="10">
        <v>4</v>
      </c>
      <c r="G438" s="8" t="s">
        <v>16</v>
      </c>
      <c r="H438" s="10">
        <v>10.875</v>
      </c>
      <c r="I438" s="10">
        <f t="shared" si="8"/>
        <v>43.5</v>
      </c>
      <c r="J438" s="10">
        <v>2.2164999999999999</v>
      </c>
      <c r="K438" s="8" t="s">
        <v>5123</v>
      </c>
      <c r="S438"/>
    </row>
    <row r="439" spans="1:19" ht="15" x14ac:dyDescent="0.25">
      <c r="A439" s="8" t="s">
        <v>5069</v>
      </c>
      <c r="B439" s="8" t="s">
        <v>5070</v>
      </c>
      <c r="C439" s="8" t="s">
        <v>5314</v>
      </c>
      <c r="D439" s="32" t="s">
        <v>6984</v>
      </c>
      <c r="E439" s="32" t="s">
        <v>5314</v>
      </c>
      <c r="F439" s="10">
        <v>1</v>
      </c>
      <c r="G439" s="8" t="s">
        <v>16</v>
      </c>
      <c r="H439" s="10">
        <v>3037.9</v>
      </c>
      <c r="I439" s="10">
        <f t="shared" si="8"/>
        <v>3037.9</v>
      </c>
      <c r="J439" s="10">
        <v>31.406931499999999</v>
      </c>
      <c r="K439" s="8" t="s">
        <v>4875</v>
      </c>
      <c r="S439"/>
    </row>
    <row r="440" spans="1:19" ht="15" x14ac:dyDescent="0.25">
      <c r="A440" s="8" t="s">
        <v>5073</v>
      </c>
      <c r="B440" s="8" t="s">
        <v>5070</v>
      </c>
      <c r="C440" s="8" t="s">
        <v>5315</v>
      </c>
      <c r="D440" s="32" t="s">
        <v>6984</v>
      </c>
      <c r="E440" s="32" t="s">
        <v>5315</v>
      </c>
      <c r="F440" s="10">
        <v>1</v>
      </c>
      <c r="G440" s="8" t="s">
        <v>16</v>
      </c>
      <c r="H440" s="10">
        <v>1903.4</v>
      </c>
      <c r="I440" s="10">
        <f t="shared" si="8"/>
        <v>1903.4</v>
      </c>
      <c r="J440" s="10">
        <v>23.496266101</v>
      </c>
      <c r="K440" s="8" t="s">
        <v>5203</v>
      </c>
      <c r="S440"/>
    </row>
    <row r="441" spans="1:19" ht="15" x14ac:dyDescent="0.25">
      <c r="A441" s="8" t="s">
        <v>5073</v>
      </c>
      <c r="B441" s="8" t="s">
        <v>5070</v>
      </c>
      <c r="C441" s="8" t="s">
        <v>5316</v>
      </c>
      <c r="D441" s="32" t="s">
        <v>6984</v>
      </c>
      <c r="E441" s="32" t="s">
        <v>5316</v>
      </c>
      <c r="F441" s="10">
        <v>1</v>
      </c>
      <c r="G441" s="8" t="s">
        <v>16</v>
      </c>
      <c r="H441" s="10">
        <v>1914.2</v>
      </c>
      <c r="I441" s="10">
        <f t="shared" si="8"/>
        <v>1914.2</v>
      </c>
      <c r="J441" s="10">
        <v>24.029625791499999</v>
      </c>
      <c r="K441" s="8" t="s">
        <v>5203</v>
      </c>
      <c r="S441"/>
    </row>
    <row r="442" spans="1:19" ht="15" x14ac:dyDescent="0.25">
      <c r="A442" s="8" t="s">
        <v>5073</v>
      </c>
      <c r="B442" s="8" t="s">
        <v>5070</v>
      </c>
      <c r="C442" s="8" t="s">
        <v>5317</v>
      </c>
      <c r="D442" s="32" t="s">
        <v>6984</v>
      </c>
      <c r="E442" s="32" t="s">
        <v>5317</v>
      </c>
      <c r="F442" s="10">
        <v>1</v>
      </c>
      <c r="G442" s="8" t="s">
        <v>16</v>
      </c>
      <c r="H442" s="10">
        <v>1891.8</v>
      </c>
      <c r="I442" s="10">
        <f t="shared" si="8"/>
        <v>1891.8</v>
      </c>
      <c r="J442" s="10">
        <v>23.254088635750001</v>
      </c>
      <c r="K442" s="8" t="s">
        <v>5203</v>
      </c>
      <c r="S442"/>
    </row>
    <row r="443" spans="1:19" ht="15" x14ac:dyDescent="0.25">
      <c r="A443" s="8" t="s">
        <v>5069</v>
      </c>
      <c r="B443" s="8" t="s">
        <v>5070</v>
      </c>
      <c r="C443" s="8" t="s">
        <v>5318</v>
      </c>
      <c r="D443" s="32" t="s">
        <v>6984</v>
      </c>
      <c r="E443" s="32" t="s">
        <v>5318</v>
      </c>
      <c r="F443" s="10">
        <v>1</v>
      </c>
      <c r="G443" s="8" t="s">
        <v>16</v>
      </c>
      <c r="H443" s="10">
        <v>1952.7</v>
      </c>
      <c r="I443" s="10">
        <f t="shared" si="8"/>
        <v>1952.7</v>
      </c>
      <c r="J443" s="10">
        <v>24.632975305399999</v>
      </c>
      <c r="K443" s="8" t="s">
        <v>5203</v>
      </c>
      <c r="S443"/>
    </row>
    <row r="444" spans="1:19" ht="15" x14ac:dyDescent="0.25">
      <c r="A444" s="8" t="s">
        <v>5069</v>
      </c>
      <c r="B444" s="8" t="s">
        <v>5070</v>
      </c>
      <c r="C444" s="8" t="s">
        <v>5319</v>
      </c>
      <c r="D444" s="32" t="s">
        <v>6984</v>
      </c>
      <c r="E444" s="32" t="s">
        <v>5319</v>
      </c>
      <c r="F444" s="10">
        <v>1</v>
      </c>
      <c r="G444" s="8" t="s">
        <v>16</v>
      </c>
      <c r="H444" s="10">
        <v>3049.1</v>
      </c>
      <c r="I444" s="10">
        <f t="shared" si="8"/>
        <v>3049.1</v>
      </c>
      <c r="J444" s="10">
        <v>31.76823126</v>
      </c>
      <c r="K444" s="8" t="s">
        <v>4875</v>
      </c>
      <c r="S444"/>
    </row>
    <row r="445" spans="1:19" ht="15" x14ac:dyDescent="0.25">
      <c r="A445" s="8" t="s">
        <v>5073</v>
      </c>
      <c r="B445" s="8" t="s">
        <v>5070</v>
      </c>
      <c r="C445" s="8" t="s">
        <v>5320</v>
      </c>
      <c r="D445" s="32" t="s">
        <v>6984</v>
      </c>
      <c r="E445" s="32" t="s">
        <v>5320</v>
      </c>
      <c r="F445" s="10">
        <v>1</v>
      </c>
      <c r="G445" s="8" t="s">
        <v>16</v>
      </c>
      <c r="H445" s="10">
        <v>2375.8000000000002</v>
      </c>
      <c r="I445" s="10">
        <f t="shared" si="8"/>
        <v>2375.8000000000002</v>
      </c>
      <c r="J445" s="10">
        <v>37.473379135000002</v>
      </c>
      <c r="K445" s="8" t="s">
        <v>4865</v>
      </c>
      <c r="S445"/>
    </row>
    <row r="446" spans="1:19" ht="15" x14ac:dyDescent="0.25">
      <c r="A446" s="8" t="s">
        <v>5073</v>
      </c>
      <c r="B446" s="8" t="s">
        <v>5070</v>
      </c>
      <c r="C446" s="8" t="s">
        <v>5321</v>
      </c>
      <c r="D446" s="32" t="s">
        <v>6984</v>
      </c>
      <c r="E446" s="32" t="s">
        <v>5321</v>
      </c>
      <c r="F446" s="10">
        <v>1</v>
      </c>
      <c r="G446" s="8" t="s">
        <v>16</v>
      </c>
      <c r="H446" s="10">
        <v>1229.8</v>
      </c>
      <c r="I446" s="10">
        <f t="shared" si="8"/>
        <v>1229.8</v>
      </c>
      <c r="J446" s="10">
        <v>15.9433705555</v>
      </c>
      <c r="K446" s="8" t="s">
        <v>5203</v>
      </c>
      <c r="S446"/>
    </row>
    <row r="447" spans="1:19" ht="15" x14ac:dyDescent="0.25">
      <c r="A447" s="8" t="s">
        <v>5073</v>
      </c>
      <c r="B447" s="8" t="s">
        <v>5070</v>
      </c>
      <c r="C447" s="8" t="s">
        <v>5322</v>
      </c>
      <c r="D447" s="32" t="s">
        <v>6984</v>
      </c>
      <c r="E447" s="32" t="s">
        <v>5322</v>
      </c>
      <c r="F447" s="10">
        <v>1</v>
      </c>
      <c r="G447" s="8" t="s">
        <v>16</v>
      </c>
      <c r="H447" s="10">
        <v>100.4</v>
      </c>
      <c r="I447" s="10">
        <f t="shared" si="8"/>
        <v>100.4</v>
      </c>
      <c r="J447" s="10">
        <v>2.7861179040000001</v>
      </c>
      <c r="K447" s="8" t="s">
        <v>5209</v>
      </c>
      <c r="S447"/>
    </row>
    <row r="448" spans="1:19" ht="15" x14ac:dyDescent="0.25">
      <c r="A448" s="8" t="s">
        <v>5069</v>
      </c>
      <c r="B448" s="8" t="s">
        <v>5070</v>
      </c>
      <c r="C448" s="8" t="s">
        <v>5323</v>
      </c>
      <c r="D448" s="32" t="s">
        <v>6984</v>
      </c>
      <c r="E448" s="32" t="s">
        <v>5323</v>
      </c>
      <c r="F448" s="10">
        <v>1</v>
      </c>
      <c r="G448" s="8" t="s">
        <v>16</v>
      </c>
      <c r="H448" s="10">
        <v>598.29999999999995</v>
      </c>
      <c r="I448" s="10">
        <f t="shared" si="8"/>
        <v>598.29999999999995</v>
      </c>
      <c r="J448" s="10">
        <v>13.254106368</v>
      </c>
      <c r="K448" s="8" t="s">
        <v>5324</v>
      </c>
      <c r="S448"/>
    </row>
    <row r="449" spans="1:19" ht="15" x14ac:dyDescent="0.25">
      <c r="A449" s="8" t="s">
        <v>5069</v>
      </c>
      <c r="B449" s="8" t="s">
        <v>5070</v>
      </c>
      <c r="C449" s="8" t="s">
        <v>5325</v>
      </c>
      <c r="D449" s="32" t="s">
        <v>6984</v>
      </c>
      <c r="E449" s="32" t="s">
        <v>5325</v>
      </c>
      <c r="F449" s="10">
        <v>1</v>
      </c>
      <c r="G449" s="8" t="s">
        <v>16</v>
      </c>
      <c r="H449" s="10">
        <v>672.8</v>
      </c>
      <c r="I449" s="10">
        <f t="shared" si="8"/>
        <v>672.8</v>
      </c>
      <c r="J449" s="10">
        <v>14.882106368000001</v>
      </c>
      <c r="K449" s="8" t="s">
        <v>5324</v>
      </c>
      <c r="S449"/>
    </row>
    <row r="450" spans="1:19" ht="15" x14ac:dyDescent="0.25">
      <c r="A450" s="8" t="s">
        <v>5073</v>
      </c>
      <c r="B450" s="8" t="s">
        <v>5070</v>
      </c>
      <c r="C450" s="8" t="s">
        <v>5326</v>
      </c>
      <c r="D450" s="32" t="s">
        <v>6984</v>
      </c>
      <c r="E450" s="32" t="s">
        <v>5326</v>
      </c>
      <c r="F450" s="10">
        <v>1</v>
      </c>
      <c r="G450" s="8" t="s">
        <v>16</v>
      </c>
      <c r="H450" s="10">
        <v>87.4</v>
      </c>
      <c r="I450" s="10">
        <f t="shared" si="8"/>
        <v>87.4</v>
      </c>
      <c r="J450" s="10">
        <v>2.7965146224000001</v>
      </c>
      <c r="K450" s="8" t="s">
        <v>4781</v>
      </c>
      <c r="S450"/>
    </row>
    <row r="451" spans="1:19" ht="15" x14ac:dyDescent="0.25">
      <c r="A451" s="8" t="s">
        <v>5073</v>
      </c>
      <c r="B451" s="8" t="s">
        <v>5070</v>
      </c>
      <c r="C451" s="8" t="s">
        <v>5327</v>
      </c>
      <c r="D451" s="32" t="s">
        <v>6984</v>
      </c>
      <c r="E451" s="32" t="s">
        <v>5327</v>
      </c>
      <c r="F451" s="10">
        <v>1</v>
      </c>
      <c r="G451" s="8" t="s">
        <v>16</v>
      </c>
      <c r="H451" s="10">
        <v>638.5</v>
      </c>
      <c r="I451" s="10">
        <f t="shared" si="8"/>
        <v>638.5</v>
      </c>
      <c r="J451" s="10">
        <v>14.555606431999999</v>
      </c>
      <c r="K451" s="8" t="s">
        <v>5324</v>
      </c>
      <c r="S451"/>
    </row>
    <row r="452" spans="1:19" ht="15" x14ac:dyDescent="0.25">
      <c r="A452" s="8" t="s">
        <v>5069</v>
      </c>
      <c r="B452" s="8" t="s">
        <v>5070</v>
      </c>
      <c r="C452" s="8" t="s">
        <v>5328</v>
      </c>
      <c r="D452" s="32" t="s">
        <v>6984</v>
      </c>
      <c r="E452" s="32" t="s">
        <v>5328</v>
      </c>
      <c r="F452" s="10">
        <v>1</v>
      </c>
      <c r="G452" s="8" t="s">
        <v>16</v>
      </c>
      <c r="H452" s="10">
        <v>83.5</v>
      </c>
      <c r="I452" s="10">
        <f t="shared" si="8"/>
        <v>83.5</v>
      </c>
      <c r="J452" s="10">
        <v>2.3153881759999999</v>
      </c>
      <c r="K452" s="8" t="s">
        <v>5209</v>
      </c>
      <c r="S452"/>
    </row>
    <row r="453" spans="1:19" ht="15" x14ac:dyDescent="0.25">
      <c r="A453" s="8" t="s">
        <v>5069</v>
      </c>
      <c r="B453" s="8" t="s">
        <v>5070</v>
      </c>
      <c r="C453" s="8" t="s">
        <v>5329</v>
      </c>
      <c r="D453" s="32" t="s">
        <v>6984</v>
      </c>
      <c r="E453" s="32" t="s">
        <v>5329</v>
      </c>
      <c r="F453" s="10">
        <v>1</v>
      </c>
      <c r="G453" s="8" t="s">
        <v>16</v>
      </c>
      <c r="H453" s="10">
        <v>172.8</v>
      </c>
      <c r="I453" s="10">
        <f t="shared" ref="I453:I516" si="9">F453*H453</f>
        <v>172.8</v>
      </c>
      <c r="J453" s="10">
        <v>3.2480267008000001</v>
      </c>
      <c r="K453" s="8" t="s">
        <v>4850</v>
      </c>
      <c r="S453"/>
    </row>
    <row r="454" spans="1:19" ht="15" x14ac:dyDescent="0.25">
      <c r="A454" s="8" t="s">
        <v>5069</v>
      </c>
      <c r="B454" s="8" t="s">
        <v>5070</v>
      </c>
      <c r="C454" s="8" t="s">
        <v>5330</v>
      </c>
      <c r="D454" s="32" t="s">
        <v>6984</v>
      </c>
      <c r="E454" s="32" t="s">
        <v>5330</v>
      </c>
      <c r="F454" s="10">
        <v>1</v>
      </c>
      <c r="G454" s="8" t="s">
        <v>16</v>
      </c>
      <c r="H454" s="10">
        <v>107.7</v>
      </c>
      <c r="I454" s="10">
        <f t="shared" si="9"/>
        <v>107.7</v>
      </c>
      <c r="J454" s="10">
        <v>2.9693089499999998</v>
      </c>
      <c r="K454" s="8" t="s">
        <v>5209</v>
      </c>
      <c r="S454"/>
    </row>
    <row r="455" spans="1:19" ht="15" x14ac:dyDescent="0.25">
      <c r="A455" s="8" t="s">
        <v>5073</v>
      </c>
      <c r="B455" s="8" t="s">
        <v>5070</v>
      </c>
      <c r="C455" s="8" t="s">
        <v>5331</v>
      </c>
      <c r="D455" s="32" t="s">
        <v>6984</v>
      </c>
      <c r="E455" s="32" t="s">
        <v>5331</v>
      </c>
      <c r="F455" s="10">
        <v>4</v>
      </c>
      <c r="G455" s="8" t="s">
        <v>4903</v>
      </c>
      <c r="H455" s="10">
        <v>30.5</v>
      </c>
      <c r="I455" s="10">
        <f t="shared" si="9"/>
        <v>122</v>
      </c>
      <c r="J455" s="10">
        <v>5.0950367999999999</v>
      </c>
      <c r="K455" s="8" t="s">
        <v>5051</v>
      </c>
      <c r="S455"/>
    </row>
    <row r="456" spans="1:19" ht="15" x14ac:dyDescent="0.25">
      <c r="A456" s="8" t="s">
        <v>5069</v>
      </c>
      <c r="B456" s="8" t="s">
        <v>5070</v>
      </c>
      <c r="C456" s="8" t="s">
        <v>5332</v>
      </c>
      <c r="D456" s="32" t="s">
        <v>6984</v>
      </c>
      <c r="E456" s="32" t="s">
        <v>5332</v>
      </c>
      <c r="F456" s="10">
        <v>1</v>
      </c>
      <c r="G456" s="8" t="s">
        <v>4903</v>
      </c>
      <c r="H456" s="10">
        <v>27.7</v>
      </c>
      <c r="I456" s="10">
        <f t="shared" si="9"/>
        <v>27.7</v>
      </c>
      <c r="J456" s="10">
        <v>1.1573256000000001</v>
      </c>
      <c r="K456" s="8" t="s">
        <v>5051</v>
      </c>
      <c r="S456"/>
    </row>
    <row r="457" spans="1:19" ht="15" x14ac:dyDescent="0.25">
      <c r="A457" s="8" t="s">
        <v>5069</v>
      </c>
      <c r="B457" s="8" t="s">
        <v>5070</v>
      </c>
      <c r="C457" s="8" t="s">
        <v>5333</v>
      </c>
      <c r="D457" s="32" t="s">
        <v>6984</v>
      </c>
      <c r="E457" s="32" t="s">
        <v>5333</v>
      </c>
      <c r="F457" s="10">
        <v>1</v>
      </c>
      <c r="G457" s="8" t="s">
        <v>4903</v>
      </c>
      <c r="H457" s="10">
        <v>27.7</v>
      </c>
      <c r="I457" s="10">
        <f t="shared" si="9"/>
        <v>27.7</v>
      </c>
      <c r="J457" s="10">
        <v>1.1573256000000001</v>
      </c>
      <c r="K457" s="8" t="s">
        <v>5051</v>
      </c>
      <c r="S457"/>
    </row>
    <row r="458" spans="1:19" ht="15" x14ac:dyDescent="0.25">
      <c r="A458" s="8" t="s">
        <v>5073</v>
      </c>
      <c r="B458" s="8" t="s">
        <v>5070</v>
      </c>
      <c r="C458" s="8" t="s">
        <v>5334</v>
      </c>
      <c r="D458" s="32" t="s">
        <v>6984</v>
      </c>
      <c r="E458" s="32" t="s">
        <v>5334</v>
      </c>
      <c r="F458" s="10">
        <v>8</v>
      </c>
      <c r="G458" s="8" t="s">
        <v>4903</v>
      </c>
      <c r="H458" s="10">
        <v>6.85</v>
      </c>
      <c r="I458" s="10">
        <f t="shared" si="9"/>
        <v>54.8</v>
      </c>
      <c r="J458" s="10">
        <v>2.3164799999999999</v>
      </c>
      <c r="K458" s="8" t="s">
        <v>5335</v>
      </c>
      <c r="S458"/>
    </row>
    <row r="459" spans="1:19" ht="15" x14ac:dyDescent="0.25">
      <c r="A459" s="8" t="s">
        <v>5069</v>
      </c>
      <c r="B459" s="8" t="s">
        <v>5070</v>
      </c>
      <c r="C459" s="8" t="s">
        <v>5336</v>
      </c>
      <c r="D459" s="32" t="s">
        <v>6984</v>
      </c>
      <c r="E459" s="32" t="s">
        <v>5336</v>
      </c>
      <c r="F459" s="10">
        <v>8</v>
      </c>
      <c r="G459" s="8" t="s">
        <v>4903</v>
      </c>
      <c r="H459" s="10">
        <v>8.7624999999999993</v>
      </c>
      <c r="I459" s="10">
        <f t="shared" si="9"/>
        <v>70.099999999999994</v>
      </c>
      <c r="J459" s="10">
        <v>3.9116</v>
      </c>
      <c r="K459" s="8" t="s">
        <v>5245</v>
      </c>
      <c r="S459"/>
    </row>
    <row r="460" spans="1:19" ht="15" x14ac:dyDescent="0.25">
      <c r="A460" s="8" t="s">
        <v>5073</v>
      </c>
      <c r="B460" s="8" t="s">
        <v>5070</v>
      </c>
      <c r="C460" s="8" t="s">
        <v>5337</v>
      </c>
      <c r="D460" s="32" t="s">
        <v>6984</v>
      </c>
      <c r="E460" s="32" t="s">
        <v>5337</v>
      </c>
      <c r="F460" s="10">
        <v>4</v>
      </c>
      <c r="G460" s="8" t="s">
        <v>4903</v>
      </c>
      <c r="H460" s="10">
        <v>30.5</v>
      </c>
      <c r="I460" s="10">
        <f t="shared" si="9"/>
        <v>122</v>
      </c>
      <c r="J460" s="10">
        <v>5.0950367999999999</v>
      </c>
      <c r="K460" s="8" t="s">
        <v>5051</v>
      </c>
      <c r="S460"/>
    </row>
    <row r="461" spans="1:19" ht="15" x14ac:dyDescent="0.25">
      <c r="A461" s="8" t="s">
        <v>5073</v>
      </c>
      <c r="B461" s="8" t="s">
        <v>5070</v>
      </c>
      <c r="C461" s="8" t="s">
        <v>5338</v>
      </c>
      <c r="D461" s="32" t="s">
        <v>6984</v>
      </c>
      <c r="E461" s="32" t="s">
        <v>5338</v>
      </c>
      <c r="F461" s="10">
        <v>6</v>
      </c>
      <c r="G461" s="8" t="s">
        <v>4903</v>
      </c>
      <c r="H461" s="10">
        <v>30.599999999999998</v>
      </c>
      <c r="I461" s="10">
        <f t="shared" si="9"/>
        <v>183.6</v>
      </c>
      <c r="J461" s="10">
        <v>7.6645007999999999</v>
      </c>
      <c r="K461" s="8" t="s">
        <v>5051</v>
      </c>
      <c r="S461"/>
    </row>
    <row r="462" spans="1:19" ht="15" x14ac:dyDescent="0.25">
      <c r="A462" s="8" t="s">
        <v>5073</v>
      </c>
      <c r="B462" s="8" t="s">
        <v>5070</v>
      </c>
      <c r="C462" s="8" t="s">
        <v>5339</v>
      </c>
      <c r="D462" s="32" t="s">
        <v>6984</v>
      </c>
      <c r="E462" s="32" t="s">
        <v>5339</v>
      </c>
      <c r="F462" s="10">
        <v>5</v>
      </c>
      <c r="G462" s="8" t="s">
        <v>4903</v>
      </c>
      <c r="H462" s="10">
        <v>197.26</v>
      </c>
      <c r="I462" s="10">
        <f t="shared" si="9"/>
        <v>986.3</v>
      </c>
      <c r="J462" s="10">
        <v>23.156594999999999</v>
      </c>
      <c r="K462" s="8" t="s">
        <v>4983</v>
      </c>
      <c r="S462"/>
    </row>
    <row r="463" spans="1:19" ht="15" x14ac:dyDescent="0.25">
      <c r="A463" s="8" t="s">
        <v>5069</v>
      </c>
      <c r="B463" s="8" t="s">
        <v>5070</v>
      </c>
      <c r="C463" s="8" t="s">
        <v>5340</v>
      </c>
      <c r="D463" s="32" t="s">
        <v>6984</v>
      </c>
      <c r="E463" s="32" t="s">
        <v>5340</v>
      </c>
      <c r="F463" s="10">
        <v>2</v>
      </c>
      <c r="G463" s="8" t="s">
        <v>4903</v>
      </c>
      <c r="H463" s="10">
        <v>437.5</v>
      </c>
      <c r="I463" s="10">
        <f t="shared" si="9"/>
        <v>875</v>
      </c>
      <c r="J463" s="10">
        <v>20.540934</v>
      </c>
      <c r="K463" s="8" t="s">
        <v>4983</v>
      </c>
      <c r="S463"/>
    </row>
    <row r="464" spans="1:19" ht="15" x14ac:dyDescent="0.25">
      <c r="A464" s="8" t="s">
        <v>5073</v>
      </c>
      <c r="B464" s="8" t="s">
        <v>5070</v>
      </c>
      <c r="C464" s="8" t="s">
        <v>5341</v>
      </c>
      <c r="D464" s="32" t="s">
        <v>6984</v>
      </c>
      <c r="E464" s="32" t="s">
        <v>5341</v>
      </c>
      <c r="F464" s="10">
        <v>8</v>
      </c>
      <c r="G464" s="8" t="s">
        <v>4903</v>
      </c>
      <c r="H464" s="10">
        <v>8.8625000000000007</v>
      </c>
      <c r="I464" s="10">
        <f t="shared" si="9"/>
        <v>70.900000000000006</v>
      </c>
      <c r="J464" s="10">
        <v>3.954272</v>
      </c>
      <c r="K464" s="8" t="s">
        <v>5245</v>
      </c>
      <c r="S464"/>
    </row>
    <row r="465" spans="1:19" ht="15" x14ac:dyDescent="0.25">
      <c r="A465" s="8" t="s">
        <v>5069</v>
      </c>
      <c r="B465" s="8" t="s">
        <v>5070</v>
      </c>
      <c r="C465" s="8" t="s">
        <v>5342</v>
      </c>
      <c r="D465" s="32" t="s">
        <v>6984</v>
      </c>
      <c r="E465" s="32" t="s">
        <v>5342</v>
      </c>
      <c r="F465" s="10">
        <v>4</v>
      </c>
      <c r="G465" s="8" t="s">
        <v>4903</v>
      </c>
      <c r="H465" s="10">
        <v>18.100000000000001</v>
      </c>
      <c r="I465" s="10">
        <f t="shared" si="9"/>
        <v>72.400000000000006</v>
      </c>
      <c r="J465" s="10">
        <v>4.0396159999999997</v>
      </c>
      <c r="K465" s="8" t="s">
        <v>5245</v>
      </c>
      <c r="S465"/>
    </row>
    <row r="466" spans="1:19" ht="15" x14ac:dyDescent="0.25">
      <c r="A466" s="8" t="s">
        <v>5073</v>
      </c>
      <c r="B466" s="8" t="s">
        <v>5070</v>
      </c>
      <c r="C466" s="8" t="s">
        <v>5343</v>
      </c>
      <c r="D466" s="32" t="s">
        <v>6984</v>
      </c>
      <c r="E466" s="32" t="s">
        <v>5343</v>
      </c>
      <c r="F466" s="10">
        <v>1</v>
      </c>
      <c r="G466" s="8" t="s">
        <v>4903</v>
      </c>
      <c r="H466" s="10">
        <v>620.5</v>
      </c>
      <c r="I466" s="10">
        <f t="shared" si="9"/>
        <v>620.5</v>
      </c>
      <c r="J466" s="10">
        <v>14.567310000000001</v>
      </c>
      <c r="K466" s="8" t="s">
        <v>4983</v>
      </c>
      <c r="S466"/>
    </row>
    <row r="467" spans="1:19" ht="15" x14ac:dyDescent="0.25">
      <c r="A467" s="8" t="s">
        <v>5073</v>
      </c>
      <c r="B467" s="8" t="s">
        <v>5070</v>
      </c>
      <c r="C467" s="8" t="s">
        <v>5344</v>
      </c>
      <c r="D467" s="32" t="s">
        <v>6984</v>
      </c>
      <c r="E467" s="32" t="s">
        <v>5344</v>
      </c>
      <c r="F467" s="10">
        <v>2</v>
      </c>
      <c r="G467" s="8" t="s">
        <v>4903</v>
      </c>
      <c r="H467" s="10">
        <v>18.3</v>
      </c>
      <c r="I467" s="10">
        <f t="shared" si="9"/>
        <v>36.6</v>
      </c>
      <c r="J467" s="10">
        <v>2.0406360000000001</v>
      </c>
      <c r="K467" s="8" t="s">
        <v>5245</v>
      </c>
      <c r="S467"/>
    </row>
    <row r="468" spans="1:19" ht="15" x14ac:dyDescent="0.25">
      <c r="A468" s="8" t="s">
        <v>5073</v>
      </c>
      <c r="B468" s="8" t="s">
        <v>5070</v>
      </c>
      <c r="C468" s="8" t="s">
        <v>5345</v>
      </c>
      <c r="D468" s="32" t="s">
        <v>6984</v>
      </c>
      <c r="E468" s="32" t="s">
        <v>5345</v>
      </c>
      <c r="F468" s="10">
        <v>2</v>
      </c>
      <c r="G468" s="8" t="s">
        <v>4903</v>
      </c>
      <c r="H468" s="10">
        <v>18.3</v>
      </c>
      <c r="I468" s="10">
        <f t="shared" si="9"/>
        <v>36.6</v>
      </c>
      <c r="J468" s="10">
        <v>2.0406360000000001</v>
      </c>
      <c r="K468" s="8" t="s">
        <v>5245</v>
      </c>
      <c r="S468"/>
    </row>
    <row r="469" spans="1:19" ht="15" x14ac:dyDescent="0.25">
      <c r="A469" s="8" t="s">
        <v>4963</v>
      </c>
      <c r="B469" s="8" t="s">
        <v>4869</v>
      </c>
      <c r="C469" s="8" t="s">
        <v>4924</v>
      </c>
      <c r="D469" s="32" t="s">
        <v>6984</v>
      </c>
      <c r="E469" s="32" t="s">
        <v>4924</v>
      </c>
      <c r="F469" s="10">
        <v>1</v>
      </c>
      <c r="G469" s="8" t="s">
        <v>16</v>
      </c>
      <c r="H469" s="10">
        <v>2010.7</v>
      </c>
      <c r="I469" s="10">
        <f t="shared" si="9"/>
        <v>2010.7</v>
      </c>
      <c r="J469" s="10">
        <v>26.472210159599999</v>
      </c>
      <c r="K469" s="8" t="s">
        <v>4925</v>
      </c>
      <c r="S469"/>
    </row>
    <row r="470" spans="1:19" ht="15" x14ac:dyDescent="0.25">
      <c r="A470" s="8" t="s">
        <v>5073</v>
      </c>
      <c r="B470" s="8" t="s">
        <v>5070</v>
      </c>
      <c r="C470" s="8" t="s">
        <v>5346</v>
      </c>
      <c r="D470" s="32" t="s">
        <v>6984</v>
      </c>
      <c r="E470" s="32" t="s">
        <v>5346</v>
      </c>
      <c r="F470" s="10">
        <v>1</v>
      </c>
      <c r="G470" s="8" t="s">
        <v>16</v>
      </c>
      <c r="H470" s="10">
        <v>216.6</v>
      </c>
      <c r="I470" s="10">
        <f t="shared" si="9"/>
        <v>216.6</v>
      </c>
      <c r="J470" s="10">
        <v>4.3684428031999998</v>
      </c>
      <c r="K470" s="8" t="s">
        <v>4850</v>
      </c>
      <c r="S470"/>
    </row>
    <row r="471" spans="1:19" ht="15" x14ac:dyDescent="0.25">
      <c r="A471" s="8" t="s">
        <v>5069</v>
      </c>
      <c r="B471" s="8" t="s">
        <v>5070</v>
      </c>
      <c r="C471" s="8" t="s">
        <v>5347</v>
      </c>
      <c r="D471" s="32" t="s">
        <v>6984</v>
      </c>
      <c r="E471" s="32" t="s">
        <v>5347</v>
      </c>
      <c r="F471" s="10">
        <v>2</v>
      </c>
      <c r="G471" s="8" t="s">
        <v>16</v>
      </c>
      <c r="H471" s="10">
        <v>245.1</v>
      </c>
      <c r="I471" s="10">
        <f t="shared" si="9"/>
        <v>490.2</v>
      </c>
      <c r="J471" s="10">
        <v>9.7728856063999991</v>
      </c>
      <c r="K471" s="8" t="s">
        <v>4850</v>
      </c>
      <c r="S471"/>
    </row>
    <row r="472" spans="1:19" ht="15" x14ac:dyDescent="0.25">
      <c r="A472" s="8" t="s">
        <v>5073</v>
      </c>
      <c r="B472" s="8" t="s">
        <v>5070</v>
      </c>
      <c r="C472" s="8" t="s">
        <v>5348</v>
      </c>
      <c r="D472" s="32" t="s">
        <v>6984</v>
      </c>
      <c r="E472" s="32" t="s">
        <v>5348</v>
      </c>
      <c r="F472" s="10">
        <v>1</v>
      </c>
      <c r="G472" s="8" t="s">
        <v>16</v>
      </c>
      <c r="H472" s="10">
        <v>178.5</v>
      </c>
      <c r="I472" s="10">
        <f t="shared" si="9"/>
        <v>178.5</v>
      </c>
      <c r="J472" s="10">
        <v>4.8481768110000001</v>
      </c>
      <c r="K472" s="8" t="s">
        <v>5209</v>
      </c>
      <c r="S472"/>
    </row>
    <row r="473" spans="1:19" ht="15" x14ac:dyDescent="0.25">
      <c r="A473" s="8" t="s">
        <v>5073</v>
      </c>
      <c r="B473" s="8" t="s">
        <v>5070</v>
      </c>
      <c r="C473" s="8" t="s">
        <v>5349</v>
      </c>
      <c r="D473" s="32" t="s">
        <v>6984</v>
      </c>
      <c r="E473" s="32" t="s">
        <v>5349</v>
      </c>
      <c r="F473" s="10">
        <v>1</v>
      </c>
      <c r="G473" s="8" t="s">
        <v>16</v>
      </c>
      <c r="H473" s="10">
        <v>181.6</v>
      </c>
      <c r="I473" s="10">
        <f t="shared" si="9"/>
        <v>181.6</v>
      </c>
      <c r="J473" s="10">
        <v>4.9762499609999997</v>
      </c>
      <c r="K473" s="8" t="s">
        <v>5209</v>
      </c>
      <c r="S473"/>
    </row>
    <row r="474" spans="1:19" ht="15" x14ac:dyDescent="0.25">
      <c r="A474" s="8" t="s">
        <v>5069</v>
      </c>
      <c r="B474" s="8" t="s">
        <v>5070</v>
      </c>
      <c r="C474" s="8" t="s">
        <v>5350</v>
      </c>
      <c r="D474" s="32" t="s">
        <v>6984</v>
      </c>
      <c r="E474" s="32" t="s">
        <v>5350</v>
      </c>
      <c r="F474" s="10">
        <v>1</v>
      </c>
      <c r="G474" s="8" t="s">
        <v>16</v>
      </c>
      <c r="H474" s="10">
        <v>76.2</v>
      </c>
      <c r="I474" s="10">
        <f t="shared" si="9"/>
        <v>76.2</v>
      </c>
      <c r="J474" s="10">
        <v>2.4366046720000001</v>
      </c>
      <c r="K474" s="8" t="s">
        <v>4781</v>
      </c>
      <c r="S474"/>
    </row>
    <row r="475" spans="1:19" ht="15" x14ac:dyDescent="0.25">
      <c r="A475" s="8" t="s">
        <v>5069</v>
      </c>
      <c r="B475" s="8" t="s">
        <v>5070</v>
      </c>
      <c r="C475" s="8" t="s">
        <v>5351</v>
      </c>
      <c r="D475" s="32" t="s">
        <v>6984</v>
      </c>
      <c r="E475" s="32" t="s">
        <v>5351</v>
      </c>
      <c r="F475" s="10">
        <v>2</v>
      </c>
      <c r="G475" s="8" t="s">
        <v>16</v>
      </c>
      <c r="H475" s="10">
        <v>177.55</v>
      </c>
      <c r="I475" s="10">
        <f t="shared" si="9"/>
        <v>355.1</v>
      </c>
      <c r="J475" s="10">
        <v>9.731999922</v>
      </c>
      <c r="K475" s="8" t="s">
        <v>5209</v>
      </c>
      <c r="S475"/>
    </row>
    <row r="476" spans="1:19" ht="15" x14ac:dyDescent="0.25">
      <c r="A476" s="8" t="s">
        <v>5069</v>
      </c>
      <c r="B476" s="8" t="s">
        <v>5070</v>
      </c>
      <c r="C476" s="8" t="s">
        <v>5352</v>
      </c>
      <c r="D476" s="32" t="s">
        <v>6984</v>
      </c>
      <c r="E476" s="32" t="s">
        <v>5352</v>
      </c>
      <c r="F476" s="10">
        <v>2</v>
      </c>
      <c r="G476" s="8" t="s">
        <v>16</v>
      </c>
      <c r="H476" s="10">
        <v>76.2</v>
      </c>
      <c r="I476" s="10">
        <f t="shared" si="9"/>
        <v>152.4</v>
      </c>
      <c r="J476" s="10">
        <v>4.8732093440000002</v>
      </c>
      <c r="K476" s="8" t="s">
        <v>4781</v>
      </c>
      <c r="S476"/>
    </row>
    <row r="477" spans="1:19" ht="15" x14ac:dyDescent="0.25">
      <c r="A477" s="8" t="s">
        <v>5069</v>
      </c>
      <c r="B477" s="8" t="s">
        <v>5070</v>
      </c>
      <c r="C477" s="8" t="s">
        <v>5353</v>
      </c>
      <c r="D477" s="32" t="s">
        <v>6984</v>
      </c>
      <c r="E477" s="32" t="s">
        <v>5353</v>
      </c>
      <c r="F477" s="10">
        <v>1</v>
      </c>
      <c r="G477" s="8" t="s">
        <v>16</v>
      </c>
      <c r="H477" s="10">
        <v>76.2</v>
      </c>
      <c r="I477" s="10">
        <f t="shared" si="9"/>
        <v>76.2</v>
      </c>
      <c r="J477" s="10">
        <v>2.4366046720000001</v>
      </c>
      <c r="K477" s="8" t="s">
        <v>4781</v>
      </c>
      <c r="S477"/>
    </row>
    <row r="478" spans="1:19" ht="15" x14ac:dyDescent="0.25">
      <c r="A478" s="8" t="s">
        <v>5073</v>
      </c>
      <c r="B478" s="8" t="s">
        <v>5070</v>
      </c>
      <c r="C478" s="8" t="s">
        <v>5354</v>
      </c>
      <c r="D478" s="32" t="s">
        <v>6984</v>
      </c>
      <c r="E478" s="32" t="s">
        <v>5354</v>
      </c>
      <c r="F478" s="10">
        <v>5</v>
      </c>
      <c r="G478" s="8" t="s">
        <v>16</v>
      </c>
      <c r="H478" s="10">
        <v>169.2</v>
      </c>
      <c r="I478" s="10">
        <f t="shared" si="9"/>
        <v>846</v>
      </c>
      <c r="J478" s="10">
        <v>23.587981500000001</v>
      </c>
      <c r="K478" s="8" t="s">
        <v>5209</v>
      </c>
      <c r="S478"/>
    </row>
    <row r="479" spans="1:19" ht="15" x14ac:dyDescent="0.25">
      <c r="A479" s="8" t="s">
        <v>5069</v>
      </c>
      <c r="B479" s="8" t="s">
        <v>5070</v>
      </c>
      <c r="C479" s="8" t="s">
        <v>5355</v>
      </c>
      <c r="D479" s="32" t="s">
        <v>6984</v>
      </c>
      <c r="E479" s="32" t="s">
        <v>5355</v>
      </c>
      <c r="F479" s="10">
        <v>1</v>
      </c>
      <c r="G479" s="8" t="s">
        <v>16</v>
      </c>
      <c r="H479" s="10">
        <v>3452.3</v>
      </c>
      <c r="I479" s="10">
        <f t="shared" si="9"/>
        <v>3452.3</v>
      </c>
      <c r="J479" s="10">
        <v>40.23488797625</v>
      </c>
      <c r="K479" s="8" t="s">
        <v>5199</v>
      </c>
      <c r="S479"/>
    </row>
    <row r="480" spans="1:19" ht="15" x14ac:dyDescent="0.25">
      <c r="A480" s="8" t="s">
        <v>5069</v>
      </c>
      <c r="B480" s="8" t="s">
        <v>5070</v>
      </c>
      <c r="C480" s="8" t="s">
        <v>5356</v>
      </c>
      <c r="D480" s="32" t="s">
        <v>6984</v>
      </c>
      <c r="E480" s="32" t="s">
        <v>5356</v>
      </c>
      <c r="F480" s="10">
        <v>1</v>
      </c>
      <c r="G480" s="8" t="s">
        <v>16</v>
      </c>
      <c r="H480" s="10">
        <v>3336.4</v>
      </c>
      <c r="I480" s="10">
        <f t="shared" si="9"/>
        <v>3336.4</v>
      </c>
      <c r="J480" s="10">
        <v>37.716654175000002</v>
      </c>
      <c r="K480" s="8" t="s">
        <v>5199</v>
      </c>
      <c r="S480"/>
    </row>
    <row r="481" spans="1:19" ht="15" x14ac:dyDescent="0.25">
      <c r="A481" s="8" t="s">
        <v>5073</v>
      </c>
      <c r="B481" s="8" t="s">
        <v>5070</v>
      </c>
      <c r="C481" s="8" t="s">
        <v>5357</v>
      </c>
      <c r="D481" s="32" t="s">
        <v>6984</v>
      </c>
      <c r="E481" s="32" t="s">
        <v>5357</v>
      </c>
      <c r="F481" s="10">
        <v>1</v>
      </c>
      <c r="G481" s="8" t="s">
        <v>16</v>
      </c>
      <c r="H481" s="10">
        <v>2442</v>
      </c>
      <c r="I481" s="10">
        <f t="shared" si="9"/>
        <v>2442</v>
      </c>
      <c r="J481" s="10">
        <v>38.529856567000003</v>
      </c>
      <c r="K481" s="8" t="s">
        <v>4865</v>
      </c>
      <c r="S481"/>
    </row>
    <row r="482" spans="1:19" ht="15" x14ac:dyDescent="0.25">
      <c r="A482" s="8" t="s">
        <v>5069</v>
      </c>
      <c r="B482" s="8" t="s">
        <v>5070</v>
      </c>
      <c r="C482" s="8" t="s">
        <v>5358</v>
      </c>
      <c r="D482" s="32" t="s">
        <v>6984</v>
      </c>
      <c r="E482" s="32" t="s">
        <v>5358</v>
      </c>
      <c r="F482" s="10">
        <v>1</v>
      </c>
      <c r="G482" s="8" t="s">
        <v>16</v>
      </c>
      <c r="H482" s="10">
        <v>2409.6</v>
      </c>
      <c r="I482" s="10">
        <f t="shared" si="9"/>
        <v>2409.6</v>
      </c>
      <c r="J482" s="10">
        <v>38.052754141000001</v>
      </c>
      <c r="K482" s="8" t="s">
        <v>4865</v>
      </c>
      <c r="S482"/>
    </row>
    <row r="483" spans="1:19" ht="15" x14ac:dyDescent="0.25">
      <c r="A483" s="8" t="s">
        <v>5073</v>
      </c>
      <c r="B483" s="8" t="s">
        <v>5070</v>
      </c>
      <c r="C483" s="8" t="s">
        <v>5359</v>
      </c>
      <c r="D483" s="32" t="s">
        <v>6984</v>
      </c>
      <c r="E483" s="32" t="s">
        <v>5359</v>
      </c>
      <c r="F483" s="10">
        <v>1</v>
      </c>
      <c r="G483" s="8" t="s">
        <v>16</v>
      </c>
      <c r="H483" s="10">
        <v>2442</v>
      </c>
      <c r="I483" s="10">
        <f t="shared" si="9"/>
        <v>2442</v>
      </c>
      <c r="J483" s="10">
        <v>38.529856567000003</v>
      </c>
      <c r="K483" s="8" t="s">
        <v>4865</v>
      </c>
      <c r="S483"/>
    </row>
    <row r="484" spans="1:19" ht="15" x14ac:dyDescent="0.25">
      <c r="A484" s="8" t="s">
        <v>5073</v>
      </c>
      <c r="B484" s="8" t="s">
        <v>5070</v>
      </c>
      <c r="C484" s="8" t="s">
        <v>5360</v>
      </c>
      <c r="D484" s="32" t="s">
        <v>6984</v>
      </c>
      <c r="E484" s="32" t="s">
        <v>5360</v>
      </c>
      <c r="F484" s="10">
        <v>1</v>
      </c>
      <c r="G484" s="8" t="s">
        <v>16</v>
      </c>
      <c r="H484" s="10">
        <v>2462.9</v>
      </c>
      <c r="I484" s="10">
        <f t="shared" si="9"/>
        <v>2462.9</v>
      </c>
      <c r="J484" s="10">
        <v>38.824938033999999</v>
      </c>
      <c r="K484" s="8" t="s">
        <v>4865</v>
      </c>
      <c r="S484"/>
    </row>
    <row r="485" spans="1:19" ht="15" x14ac:dyDescent="0.25">
      <c r="A485" s="8" t="s">
        <v>5069</v>
      </c>
      <c r="B485" s="8" t="s">
        <v>5070</v>
      </c>
      <c r="C485" s="8" t="s">
        <v>5361</v>
      </c>
      <c r="D485" s="32" t="s">
        <v>6984</v>
      </c>
      <c r="E485" s="32" t="s">
        <v>5361</v>
      </c>
      <c r="F485" s="10">
        <v>1</v>
      </c>
      <c r="G485" s="8" t="s">
        <v>16</v>
      </c>
      <c r="H485" s="10">
        <v>3343.1</v>
      </c>
      <c r="I485" s="10">
        <f t="shared" si="9"/>
        <v>3343.1</v>
      </c>
      <c r="J485" s="10">
        <v>37.99388021875</v>
      </c>
      <c r="K485" s="8" t="s">
        <v>5199</v>
      </c>
      <c r="S485"/>
    </row>
    <row r="486" spans="1:19" ht="15" x14ac:dyDescent="0.25">
      <c r="A486" s="8" t="s">
        <v>5069</v>
      </c>
      <c r="B486" s="8" t="s">
        <v>5070</v>
      </c>
      <c r="C486" s="8" t="s">
        <v>5362</v>
      </c>
      <c r="D486" s="32" t="s">
        <v>6984</v>
      </c>
      <c r="E486" s="32" t="s">
        <v>5362</v>
      </c>
      <c r="F486" s="10">
        <v>1</v>
      </c>
      <c r="G486" s="8" t="s">
        <v>16</v>
      </c>
      <c r="H486" s="10">
        <v>2483.1999999999998</v>
      </c>
      <c r="I486" s="10">
        <f t="shared" si="9"/>
        <v>2483.1999999999998</v>
      </c>
      <c r="J486" s="10">
        <v>39.999497026</v>
      </c>
      <c r="K486" s="8" t="s">
        <v>4865</v>
      </c>
      <c r="S486"/>
    </row>
    <row r="487" spans="1:19" ht="15" x14ac:dyDescent="0.25">
      <c r="A487" s="8" t="s">
        <v>5073</v>
      </c>
      <c r="B487" s="8" t="s">
        <v>5070</v>
      </c>
      <c r="C487" s="8" t="s">
        <v>5363</v>
      </c>
      <c r="D487" s="32" t="s">
        <v>6984</v>
      </c>
      <c r="E487" s="32" t="s">
        <v>5363</v>
      </c>
      <c r="F487" s="10">
        <v>1</v>
      </c>
      <c r="G487" s="8" t="s">
        <v>16</v>
      </c>
      <c r="H487" s="10">
        <v>2521.4</v>
      </c>
      <c r="I487" s="10">
        <f t="shared" si="9"/>
        <v>2521.4</v>
      </c>
      <c r="J487" s="10">
        <v>40.773199458999997</v>
      </c>
      <c r="K487" s="8" t="s">
        <v>4865</v>
      </c>
      <c r="S487"/>
    </row>
    <row r="488" spans="1:19" ht="15" x14ac:dyDescent="0.25">
      <c r="A488" s="8" t="s">
        <v>5073</v>
      </c>
      <c r="B488" s="8" t="s">
        <v>5070</v>
      </c>
      <c r="C488" s="8" t="s">
        <v>5364</v>
      </c>
      <c r="D488" s="32" t="s">
        <v>6984</v>
      </c>
      <c r="E488" s="32" t="s">
        <v>5364</v>
      </c>
      <c r="F488" s="10">
        <v>1</v>
      </c>
      <c r="G488" s="8" t="s">
        <v>16</v>
      </c>
      <c r="H488" s="10">
        <v>2428</v>
      </c>
      <c r="I488" s="10">
        <f t="shared" si="9"/>
        <v>2428</v>
      </c>
      <c r="J488" s="10">
        <v>37.954469017000001</v>
      </c>
      <c r="K488" s="8" t="s">
        <v>4865</v>
      </c>
      <c r="S488"/>
    </row>
    <row r="489" spans="1:19" ht="15" x14ac:dyDescent="0.25">
      <c r="A489" s="8" t="s">
        <v>5073</v>
      </c>
      <c r="B489" s="8" t="s">
        <v>5070</v>
      </c>
      <c r="C489" s="8" t="s">
        <v>5365</v>
      </c>
      <c r="D489" s="32" t="s">
        <v>6984</v>
      </c>
      <c r="E489" s="32" t="s">
        <v>5365</v>
      </c>
      <c r="F489" s="10">
        <v>1</v>
      </c>
      <c r="G489" s="8" t="s">
        <v>16</v>
      </c>
      <c r="H489" s="10">
        <v>2514.6</v>
      </c>
      <c r="I489" s="10">
        <f t="shared" si="9"/>
        <v>2514.6</v>
      </c>
      <c r="J489" s="10">
        <v>40.476958615960001</v>
      </c>
      <c r="K489" s="8" t="s">
        <v>4865</v>
      </c>
      <c r="S489"/>
    </row>
    <row r="490" spans="1:19" ht="15" x14ac:dyDescent="0.25">
      <c r="A490" s="8" t="s">
        <v>5069</v>
      </c>
      <c r="B490" s="8" t="s">
        <v>5070</v>
      </c>
      <c r="C490" s="8" t="s">
        <v>5366</v>
      </c>
      <c r="D490" s="32" t="s">
        <v>6984</v>
      </c>
      <c r="E490" s="32" t="s">
        <v>5366</v>
      </c>
      <c r="F490" s="10">
        <v>1</v>
      </c>
      <c r="G490" s="8" t="s">
        <v>16</v>
      </c>
      <c r="H490" s="10">
        <v>3430.3</v>
      </c>
      <c r="I490" s="10">
        <f t="shared" si="9"/>
        <v>3430.3</v>
      </c>
      <c r="J490" s="10">
        <v>40.21701685875</v>
      </c>
      <c r="K490" s="8" t="s">
        <v>5199</v>
      </c>
      <c r="S490"/>
    </row>
    <row r="491" spans="1:19" ht="15" x14ac:dyDescent="0.25">
      <c r="A491" s="8" t="s">
        <v>5073</v>
      </c>
      <c r="B491" s="8" t="s">
        <v>5070</v>
      </c>
      <c r="C491" s="8" t="s">
        <v>5367</v>
      </c>
      <c r="D491" s="32" t="s">
        <v>6984</v>
      </c>
      <c r="E491" s="32" t="s">
        <v>5367</v>
      </c>
      <c r="F491" s="10">
        <v>1</v>
      </c>
      <c r="G491" s="8" t="s">
        <v>16</v>
      </c>
      <c r="H491" s="10">
        <v>2373.4</v>
      </c>
      <c r="I491" s="10">
        <f t="shared" si="9"/>
        <v>2373.4</v>
      </c>
      <c r="J491" s="10">
        <v>37.046066447000001</v>
      </c>
      <c r="K491" s="8" t="s">
        <v>4865</v>
      </c>
      <c r="S491"/>
    </row>
    <row r="492" spans="1:19" ht="15" x14ac:dyDescent="0.25">
      <c r="A492" s="8" t="s">
        <v>5073</v>
      </c>
      <c r="B492" s="8" t="s">
        <v>5070</v>
      </c>
      <c r="C492" s="8" t="s">
        <v>5368</v>
      </c>
      <c r="D492" s="32" t="s">
        <v>6984</v>
      </c>
      <c r="E492" s="32" t="s">
        <v>5368</v>
      </c>
      <c r="F492" s="10">
        <v>1</v>
      </c>
      <c r="G492" s="8" t="s">
        <v>16</v>
      </c>
      <c r="H492" s="10">
        <v>2367.1999999999998</v>
      </c>
      <c r="I492" s="10">
        <f t="shared" si="9"/>
        <v>2367.1999999999998</v>
      </c>
      <c r="J492" s="10">
        <v>36.957467016999999</v>
      </c>
      <c r="K492" s="8" t="s">
        <v>4865</v>
      </c>
      <c r="S492"/>
    </row>
    <row r="493" spans="1:19" ht="15" x14ac:dyDescent="0.25">
      <c r="A493" s="8" t="s">
        <v>5073</v>
      </c>
      <c r="B493" s="8" t="s">
        <v>5070</v>
      </c>
      <c r="C493" s="8" t="s">
        <v>5369</v>
      </c>
      <c r="D493" s="32" t="s">
        <v>6984</v>
      </c>
      <c r="E493" s="32" t="s">
        <v>5369</v>
      </c>
      <c r="F493" s="10">
        <v>1</v>
      </c>
      <c r="G493" s="8" t="s">
        <v>16</v>
      </c>
      <c r="H493" s="10">
        <v>210.6</v>
      </c>
      <c r="I493" s="10">
        <f t="shared" si="9"/>
        <v>210.6</v>
      </c>
      <c r="J493" s="10">
        <v>5.4011569749000001</v>
      </c>
      <c r="K493" s="8" t="s">
        <v>5209</v>
      </c>
      <c r="S493"/>
    </row>
    <row r="494" spans="1:19" ht="15" x14ac:dyDescent="0.25">
      <c r="A494" s="8" t="s">
        <v>5069</v>
      </c>
      <c r="B494" s="8" t="s">
        <v>5070</v>
      </c>
      <c r="C494" s="8" t="s">
        <v>5370</v>
      </c>
      <c r="D494" s="32" t="s">
        <v>6984</v>
      </c>
      <c r="E494" s="32" t="s">
        <v>5370</v>
      </c>
      <c r="F494" s="10">
        <v>1</v>
      </c>
      <c r="G494" s="8" t="s">
        <v>16</v>
      </c>
      <c r="H494" s="10">
        <v>210.2</v>
      </c>
      <c r="I494" s="10">
        <f t="shared" si="9"/>
        <v>210.2</v>
      </c>
      <c r="J494" s="10">
        <v>5.4136499649000003</v>
      </c>
      <c r="K494" s="8" t="s">
        <v>5209</v>
      </c>
      <c r="S494"/>
    </row>
    <row r="495" spans="1:19" ht="15" x14ac:dyDescent="0.25">
      <c r="A495" s="8" t="s">
        <v>5073</v>
      </c>
      <c r="B495" s="8" t="s">
        <v>5070</v>
      </c>
      <c r="C495" s="8" t="s">
        <v>5371</v>
      </c>
      <c r="D495" s="32" t="s">
        <v>6984</v>
      </c>
      <c r="E495" s="32" t="s">
        <v>5371</v>
      </c>
      <c r="F495" s="10">
        <v>2</v>
      </c>
      <c r="G495" s="8" t="s">
        <v>16</v>
      </c>
      <c r="H495" s="10">
        <v>201.25</v>
      </c>
      <c r="I495" s="10">
        <f t="shared" si="9"/>
        <v>402.5</v>
      </c>
      <c r="J495" s="10">
        <v>7.7458028032000001</v>
      </c>
      <c r="K495" s="8" t="s">
        <v>4850</v>
      </c>
      <c r="S495"/>
    </row>
    <row r="496" spans="1:19" ht="15" x14ac:dyDescent="0.25">
      <c r="A496" s="8" t="s">
        <v>5073</v>
      </c>
      <c r="B496" s="8" t="s">
        <v>5070</v>
      </c>
      <c r="C496" s="8" t="s">
        <v>5372</v>
      </c>
      <c r="D496" s="32" t="s">
        <v>6984</v>
      </c>
      <c r="E496" s="32" t="s">
        <v>5372</v>
      </c>
      <c r="F496" s="10">
        <v>2</v>
      </c>
      <c r="G496" s="8" t="s">
        <v>16</v>
      </c>
      <c r="H496" s="10">
        <v>201.25</v>
      </c>
      <c r="I496" s="10">
        <f t="shared" si="9"/>
        <v>402.5</v>
      </c>
      <c r="J496" s="10">
        <v>7.7458028032000001</v>
      </c>
      <c r="K496" s="8" t="s">
        <v>4850</v>
      </c>
      <c r="S496"/>
    </row>
    <row r="497" spans="1:19" ht="15" x14ac:dyDescent="0.25">
      <c r="A497" s="8" t="s">
        <v>5069</v>
      </c>
      <c r="B497" s="8" t="s">
        <v>5070</v>
      </c>
      <c r="C497" s="8" t="s">
        <v>5373</v>
      </c>
      <c r="D497" s="32" t="s">
        <v>6984</v>
      </c>
      <c r="E497" s="32" t="s">
        <v>5373</v>
      </c>
      <c r="F497" s="10">
        <v>5</v>
      </c>
      <c r="G497" s="8" t="s">
        <v>16</v>
      </c>
      <c r="H497" s="10">
        <v>165.18</v>
      </c>
      <c r="I497" s="10">
        <f t="shared" si="9"/>
        <v>825.90000000000009</v>
      </c>
      <c r="J497" s="10">
        <v>23.036731499999998</v>
      </c>
      <c r="K497" s="8" t="s">
        <v>5209</v>
      </c>
      <c r="S497"/>
    </row>
    <row r="498" spans="1:19" ht="15" x14ac:dyDescent="0.25">
      <c r="A498" s="8" t="s">
        <v>5073</v>
      </c>
      <c r="B498" s="8" t="s">
        <v>5070</v>
      </c>
      <c r="C498" s="8" t="s">
        <v>5374</v>
      </c>
      <c r="D498" s="32" t="s">
        <v>6984</v>
      </c>
      <c r="E498" s="32" t="s">
        <v>5374</v>
      </c>
      <c r="F498" s="10">
        <v>1</v>
      </c>
      <c r="G498" s="8" t="s">
        <v>16</v>
      </c>
      <c r="H498" s="10">
        <v>208.9</v>
      </c>
      <c r="I498" s="10">
        <f t="shared" si="9"/>
        <v>208.9</v>
      </c>
      <c r="J498" s="10">
        <v>4.1206721024000004</v>
      </c>
      <c r="K498" s="8" t="s">
        <v>4850</v>
      </c>
      <c r="S498"/>
    </row>
    <row r="499" spans="1:19" ht="15" x14ac:dyDescent="0.25">
      <c r="A499" s="8" t="s">
        <v>5069</v>
      </c>
      <c r="B499" s="8" t="s">
        <v>5070</v>
      </c>
      <c r="C499" s="8" t="s">
        <v>5375</v>
      </c>
      <c r="D499" s="32" t="s">
        <v>6984</v>
      </c>
      <c r="E499" s="32" t="s">
        <v>5375</v>
      </c>
      <c r="F499" s="10">
        <v>3</v>
      </c>
      <c r="G499" s="8" t="s">
        <v>16</v>
      </c>
      <c r="H499" s="10">
        <v>215.63333333333333</v>
      </c>
      <c r="I499" s="10">
        <f t="shared" si="9"/>
        <v>646.9</v>
      </c>
      <c r="J499" s="10">
        <v>16.817930008200001</v>
      </c>
      <c r="K499" s="8" t="s">
        <v>5209</v>
      </c>
      <c r="S499"/>
    </row>
    <row r="500" spans="1:19" ht="15" x14ac:dyDescent="0.25">
      <c r="A500" s="8" t="s">
        <v>5069</v>
      </c>
      <c r="B500" s="8" t="s">
        <v>5070</v>
      </c>
      <c r="C500" s="8" t="s">
        <v>5376</v>
      </c>
      <c r="D500" s="32" t="s">
        <v>6984</v>
      </c>
      <c r="E500" s="32" t="s">
        <v>5376</v>
      </c>
      <c r="F500" s="10">
        <v>1</v>
      </c>
      <c r="G500" s="8" t="s">
        <v>16</v>
      </c>
      <c r="H500" s="10">
        <v>184.4</v>
      </c>
      <c r="I500" s="10">
        <f t="shared" si="9"/>
        <v>184.4</v>
      </c>
      <c r="J500" s="10">
        <v>3.6215456896</v>
      </c>
      <c r="K500" s="8" t="s">
        <v>4850</v>
      </c>
      <c r="S500"/>
    </row>
    <row r="501" spans="1:19" ht="15" x14ac:dyDescent="0.25">
      <c r="A501" s="8" t="s">
        <v>5073</v>
      </c>
      <c r="B501" s="8" t="s">
        <v>5070</v>
      </c>
      <c r="C501" s="8" t="s">
        <v>5377</v>
      </c>
      <c r="D501" s="32" t="s">
        <v>6984</v>
      </c>
      <c r="E501" s="32" t="s">
        <v>5377</v>
      </c>
      <c r="F501" s="10">
        <v>1</v>
      </c>
      <c r="G501" s="8" t="s">
        <v>16</v>
      </c>
      <c r="H501" s="10">
        <v>397</v>
      </c>
      <c r="I501" s="10">
        <f t="shared" si="9"/>
        <v>397</v>
      </c>
      <c r="J501" s="10">
        <v>11.147580120000001</v>
      </c>
      <c r="K501" s="8" t="s">
        <v>4852</v>
      </c>
      <c r="S501"/>
    </row>
    <row r="502" spans="1:19" ht="15" x14ac:dyDescent="0.25">
      <c r="A502" s="8" t="s">
        <v>5073</v>
      </c>
      <c r="B502" s="8" t="s">
        <v>5070</v>
      </c>
      <c r="C502" s="8" t="s">
        <v>5378</v>
      </c>
      <c r="D502" s="32" t="s">
        <v>6984</v>
      </c>
      <c r="E502" s="32" t="s">
        <v>5378</v>
      </c>
      <c r="F502" s="10">
        <v>1</v>
      </c>
      <c r="G502" s="8" t="s">
        <v>16</v>
      </c>
      <c r="H502" s="10">
        <v>1584</v>
      </c>
      <c r="I502" s="10">
        <f t="shared" si="9"/>
        <v>1584</v>
      </c>
      <c r="J502" s="10">
        <v>21.106246625499999</v>
      </c>
      <c r="K502" s="8" t="s">
        <v>5203</v>
      </c>
      <c r="S502"/>
    </row>
    <row r="503" spans="1:19" ht="15" x14ac:dyDescent="0.25">
      <c r="A503" s="8" t="s">
        <v>5073</v>
      </c>
      <c r="B503" s="8" t="s">
        <v>5070</v>
      </c>
      <c r="C503" s="8" t="s">
        <v>5379</v>
      </c>
      <c r="D503" s="32" t="s">
        <v>6984</v>
      </c>
      <c r="E503" s="32" t="s">
        <v>5379</v>
      </c>
      <c r="F503" s="10">
        <v>1</v>
      </c>
      <c r="G503" s="8" t="s">
        <v>16</v>
      </c>
      <c r="H503" s="10">
        <v>1840.2</v>
      </c>
      <c r="I503" s="10">
        <f t="shared" si="9"/>
        <v>1840.2</v>
      </c>
      <c r="J503" s="10">
        <v>23.539189540999999</v>
      </c>
      <c r="K503" s="8" t="s">
        <v>5203</v>
      </c>
      <c r="S503"/>
    </row>
    <row r="504" spans="1:19" ht="15" x14ac:dyDescent="0.25">
      <c r="A504" s="8" t="s">
        <v>5069</v>
      </c>
      <c r="B504" s="8" t="s">
        <v>5070</v>
      </c>
      <c r="C504" s="8" t="s">
        <v>5380</v>
      </c>
      <c r="D504" s="32" t="s">
        <v>6984</v>
      </c>
      <c r="E504" s="32" t="s">
        <v>5380</v>
      </c>
      <c r="F504" s="10">
        <v>1</v>
      </c>
      <c r="G504" s="8" t="s">
        <v>16</v>
      </c>
      <c r="H504" s="10">
        <v>710.7</v>
      </c>
      <c r="I504" s="10">
        <f t="shared" si="9"/>
        <v>710.7</v>
      </c>
      <c r="J504" s="10">
        <v>16.107334092799999</v>
      </c>
      <c r="K504" s="8" t="s">
        <v>5324</v>
      </c>
      <c r="S504"/>
    </row>
    <row r="505" spans="1:19" ht="15" x14ac:dyDescent="0.25">
      <c r="A505" s="8" t="s">
        <v>5073</v>
      </c>
      <c r="B505" s="8" t="s">
        <v>5070</v>
      </c>
      <c r="C505" s="8" t="s">
        <v>5381</v>
      </c>
      <c r="D505" s="32" t="s">
        <v>6984</v>
      </c>
      <c r="E505" s="32" t="s">
        <v>5381</v>
      </c>
      <c r="F505" s="10">
        <v>1</v>
      </c>
      <c r="G505" s="8" t="s">
        <v>16</v>
      </c>
      <c r="H505" s="10">
        <v>405.3</v>
      </c>
      <c r="I505" s="10">
        <f t="shared" si="9"/>
        <v>405.3</v>
      </c>
      <c r="J505" s="10">
        <v>11.402272051200001</v>
      </c>
      <c r="K505" s="8" t="s">
        <v>4852</v>
      </c>
      <c r="S505"/>
    </row>
    <row r="506" spans="1:19" ht="15" x14ac:dyDescent="0.25">
      <c r="A506" s="8" t="s">
        <v>5073</v>
      </c>
      <c r="B506" s="8" t="s">
        <v>5070</v>
      </c>
      <c r="C506" s="8" t="s">
        <v>5382</v>
      </c>
      <c r="D506" s="32" t="s">
        <v>6984</v>
      </c>
      <c r="E506" s="32" t="s">
        <v>5382</v>
      </c>
      <c r="F506" s="10">
        <v>1</v>
      </c>
      <c r="G506" s="8" t="s">
        <v>16</v>
      </c>
      <c r="H506" s="10">
        <v>2194</v>
      </c>
      <c r="I506" s="10">
        <f t="shared" si="9"/>
        <v>2194</v>
      </c>
      <c r="J506" s="10">
        <v>32.680868992000001</v>
      </c>
      <c r="K506" s="8" t="s">
        <v>5383</v>
      </c>
      <c r="S506"/>
    </row>
    <row r="507" spans="1:19" ht="15" x14ac:dyDescent="0.25">
      <c r="A507" s="8" t="s">
        <v>5069</v>
      </c>
      <c r="B507" s="8" t="s">
        <v>5070</v>
      </c>
      <c r="C507" s="8" t="s">
        <v>5384</v>
      </c>
      <c r="D507" s="32" t="s">
        <v>6984</v>
      </c>
      <c r="E507" s="32" t="s">
        <v>5385</v>
      </c>
      <c r="F507" s="10">
        <v>1</v>
      </c>
      <c r="G507" s="8" t="s">
        <v>16</v>
      </c>
      <c r="H507" s="10">
        <v>2358.1999999999998</v>
      </c>
      <c r="I507" s="10">
        <f t="shared" si="9"/>
        <v>2358.1999999999998</v>
      </c>
      <c r="J507" s="10">
        <v>36.819411070000001</v>
      </c>
      <c r="K507" s="8" t="s">
        <v>4865</v>
      </c>
      <c r="S507"/>
    </row>
    <row r="508" spans="1:19" ht="15" x14ac:dyDescent="0.25">
      <c r="A508" s="8" t="s">
        <v>5069</v>
      </c>
      <c r="B508" s="8" t="s">
        <v>5070</v>
      </c>
      <c r="C508" s="8" t="s">
        <v>5386</v>
      </c>
      <c r="D508" s="32" t="s">
        <v>6984</v>
      </c>
      <c r="E508" s="32" t="s">
        <v>5387</v>
      </c>
      <c r="F508" s="10">
        <v>1</v>
      </c>
      <c r="G508" s="8" t="s">
        <v>16</v>
      </c>
      <c r="H508" s="10">
        <v>2400.8000000000002</v>
      </c>
      <c r="I508" s="10">
        <f t="shared" si="9"/>
        <v>2400.8000000000002</v>
      </c>
      <c r="J508" s="10">
        <v>37.821166255000001</v>
      </c>
      <c r="K508" s="8" t="s">
        <v>4865</v>
      </c>
      <c r="S508"/>
    </row>
    <row r="509" spans="1:19" ht="15" x14ac:dyDescent="0.25">
      <c r="A509" s="8" t="s">
        <v>5069</v>
      </c>
      <c r="B509" s="8" t="s">
        <v>5070</v>
      </c>
      <c r="C509" s="8" t="s">
        <v>5388</v>
      </c>
      <c r="D509" s="32" t="s">
        <v>6984</v>
      </c>
      <c r="E509" s="32" t="s">
        <v>5389</v>
      </c>
      <c r="F509" s="10">
        <v>1</v>
      </c>
      <c r="G509" s="8" t="s">
        <v>16</v>
      </c>
      <c r="H509" s="10">
        <v>2425.3000000000002</v>
      </c>
      <c r="I509" s="10">
        <f t="shared" si="9"/>
        <v>2425.3000000000002</v>
      </c>
      <c r="J509" s="10">
        <v>38.628994116999998</v>
      </c>
      <c r="K509" s="8" t="s">
        <v>4865</v>
      </c>
      <c r="S509"/>
    </row>
    <row r="510" spans="1:19" ht="15" x14ac:dyDescent="0.25">
      <c r="A510" s="8" t="s">
        <v>5069</v>
      </c>
      <c r="B510" s="8" t="s">
        <v>5070</v>
      </c>
      <c r="C510" s="8" t="s">
        <v>5390</v>
      </c>
      <c r="D510" s="32" t="s">
        <v>6984</v>
      </c>
      <c r="E510" s="32" t="s">
        <v>5391</v>
      </c>
      <c r="F510" s="10">
        <v>1</v>
      </c>
      <c r="G510" s="8" t="s">
        <v>16</v>
      </c>
      <c r="H510" s="10">
        <v>2504.1999999999998</v>
      </c>
      <c r="I510" s="10">
        <f t="shared" si="9"/>
        <v>2504.1999999999998</v>
      </c>
      <c r="J510" s="10">
        <v>40.862479351959998</v>
      </c>
      <c r="K510" s="8" t="s">
        <v>4865</v>
      </c>
      <c r="S510"/>
    </row>
    <row r="511" spans="1:19" ht="15" x14ac:dyDescent="0.25">
      <c r="A511" s="8" t="s">
        <v>5073</v>
      </c>
      <c r="B511" s="8" t="s">
        <v>5070</v>
      </c>
      <c r="C511" s="8" t="s">
        <v>5392</v>
      </c>
      <c r="D511" s="32" t="s">
        <v>6984</v>
      </c>
      <c r="E511" s="32" t="s">
        <v>5393</v>
      </c>
      <c r="F511" s="10">
        <v>1</v>
      </c>
      <c r="G511" s="8" t="s">
        <v>16</v>
      </c>
      <c r="H511" s="10">
        <v>66.099999999999994</v>
      </c>
      <c r="I511" s="10">
        <f t="shared" si="9"/>
        <v>66.099999999999994</v>
      </c>
      <c r="J511" s="10">
        <v>2.2791494213600001</v>
      </c>
      <c r="K511" s="8" t="s">
        <v>5040</v>
      </c>
      <c r="S511"/>
    </row>
    <row r="512" spans="1:19" ht="15" x14ac:dyDescent="0.25">
      <c r="A512" s="8" t="s">
        <v>5073</v>
      </c>
      <c r="B512" s="8" t="s">
        <v>5070</v>
      </c>
      <c r="C512" s="8" t="s">
        <v>5394</v>
      </c>
      <c r="D512" s="32" t="s">
        <v>6984</v>
      </c>
      <c r="E512" s="32" t="s">
        <v>5395</v>
      </c>
      <c r="F512" s="10">
        <v>1</v>
      </c>
      <c r="G512" s="8" t="s">
        <v>16</v>
      </c>
      <c r="H512" s="10">
        <v>131.69999999999999</v>
      </c>
      <c r="I512" s="10">
        <f t="shared" si="9"/>
        <v>131.69999999999999</v>
      </c>
      <c r="J512" s="10">
        <v>4.2644853920000001</v>
      </c>
      <c r="K512" s="8" t="s">
        <v>4781</v>
      </c>
      <c r="S512"/>
    </row>
    <row r="513" spans="1:19" ht="15" x14ac:dyDescent="0.25">
      <c r="A513" s="8" t="s">
        <v>5073</v>
      </c>
      <c r="B513" s="8" t="s">
        <v>5070</v>
      </c>
      <c r="C513" s="8" t="s">
        <v>5396</v>
      </c>
      <c r="D513" s="32" t="s">
        <v>6984</v>
      </c>
      <c r="E513" s="32" t="s">
        <v>5397</v>
      </c>
      <c r="F513" s="10">
        <v>1</v>
      </c>
      <c r="G513" s="8" t="s">
        <v>16</v>
      </c>
      <c r="H513" s="10">
        <v>264.39999999999998</v>
      </c>
      <c r="I513" s="10">
        <f t="shared" si="9"/>
        <v>264.39999999999998</v>
      </c>
      <c r="J513" s="10">
        <v>8.51846378704</v>
      </c>
      <c r="K513" s="8" t="s">
        <v>4781</v>
      </c>
      <c r="S513"/>
    </row>
    <row r="514" spans="1:19" ht="15" x14ac:dyDescent="0.25">
      <c r="A514" s="8" t="s">
        <v>5073</v>
      </c>
      <c r="B514" s="8" t="s">
        <v>5070</v>
      </c>
      <c r="C514" s="8" t="s">
        <v>5398</v>
      </c>
      <c r="D514" s="32" t="s">
        <v>6984</v>
      </c>
      <c r="E514" s="32" t="s">
        <v>5399</v>
      </c>
      <c r="F514" s="10">
        <v>1</v>
      </c>
      <c r="G514" s="8" t="s">
        <v>16</v>
      </c>
      <c r="H514" s="10">
        <v>76.599999999999994</v>
      </c>
      <c r="I514" s="10">
        <f t="shared" si="9"/>
        <v>76.599999999999994</v>
      </c>
      <c r="J514" s="10">
        <v>2.5350237600000001</v>
      </c>
      <c r="K514" s="8" t="s">
        <v>4781</v>
      </c>
      <c r="S514"/>
    </row>
    <row r="515" spans="1:19" ht="15" x14ac:dyDescent="0.25">
      <c r="A515" s="8" t="s">
        <v>5069</v>
      </c>
      <c r="B515" s="8" t="s">
        <v>5070</v>
      </c>
      <c r="C515" s="8" t="s">
        <v>5400</v>
      </c>
      <c r="D515" s="32" t="s">
        <v>6984</v>
      </c>
      <c r="E515" s="32" t="s">
        <v>5401</v>
      </c>
      <c r="F515" s="10">
        <v>1</v>
      </c>
      <c r="G515" s="8" t="s">
        <v>16</v>
      </c>
      <c r="H515" s="10">
        <v>264.60000000000002</v>
      </c>
      <c r="I515" s="10">
        <f t="shared" si="9"/>
        <v>264.60000000000002</v>
      </c>
      <c r="J515" s="10">
        <v>8.5243103787599992</v>
      </c>
      <c r="K515" s="8" t="s">
        <v>4781</v>
      </c>
      <c r="S515"/>
    </row>
    <row r="516" spans="1:19" ht="15" x14ac:dyDescent="0.25">
      <c r="A516" s="8" t="s">
        <v>5069</v>
      </c>
      <c r="B516" s="8" t="s">
        <v>5070</v>
      </c>
      <c r="C516" s="8" t="s">
        <v>5402</v>
      </c>
      <c r="D516" s="32" t="s">
        <v>6984</v>
      </c>
      <c r="E516" s="32" t="s">
        <v>5403</v>
      </c>
      <c r="F516" s="10">
        <v>1</v>
      </c>
      <c r="G516" s="8" t="s">
        <v>16</v>
      </c>
      <c r="H516" s="10">
        <v>264.39999999999998</v>
      </c>
      <c r="I516" s="10">
        <f t="shared" si="9"/>
        <v>264.39999999999998</v>
      </c>
      <c r="J516" s="10">
        <v>8.51828761204</v>
      </c>
      <c r="K516" s="8" t="s">
        <v>4781</v>
      </c>
      <c r="S516"/>
    </row>
    <row r="517" spans="1:19" ht="15" x14ac:dyDescent="0.25">
      <c r="A517" s="8" t="s">
        <v>5073</v>
      </c>
      <c r="B517" s="8" t="s">
        <v>5070</v>
      </c>
      <c r="C517" s="8" t="s">
        <v>5404</v>
      </c>
      <c r="D517" s="32" t="s">
        <v>6984</v>
      </c>
      <c r="E517" s="32" t="s">
        <v>5405</v>
      </c>
      <c r="F517" s="10">
        <v>1</v>
      </c>
      <c r="G517" s="8" t="s">
        <v>16</v>
      </c>
      <c r="H517" s="10">
        <v>69.7</v>
      </c>
      <c r="I517" s="10">
        <f t="shared" ref="I517:I580" si="10">F517*H517</f>
        <v>69.7</v>
      </c>
      <c r="J517" s="10">
        <v>2.3825099999999999</v>
      </c>
      <c r="K517" s="8" t="s">
        <v>5040</v>
      </c>
      <c r="S517"/>
    </row>
    <row r="518" spans="1:19" ht="15" x14ac:dyDescent="0.25">
      <c r="A518" s="8" t="s">
        <v>5073</v>
      </c>
      <c r="B518" s="8" t="s">
        <v>5070</v>
      </c>
      <c r="C518" s="8" t="s">
        <v>5406</v>
      </c>
      <c r="D518" s="32" t="s">
        <v>6984</v>
      </c>
      <c r="E518" s="32" t="s">
        <v>5407</v>
      </c>
      <c r="F518" s="10">
        <v>2</v>
      </c>
      <c r="G518" s="8" t="s">
        <v>16</v>
      </c>
      <c r="H518" s="10">
        <v>225.8</v>
      </c>
      <c r="I518" s="10">
        <f t="shared" si="10"/>
        <v>451.6</v>
      </c>
      <c r="J518" s="10">
        <v>14.547244656</v>
      </c>
      <c r="K518" s="8" t="s">
        <v>4781</v>
      </c>
      <c r="S518"/>
    </row>
    <row r="519" spans="1:19" ht="15" x14ac:dyDescent="0.25">
      <c r="A519" s="8" t="s">
        <v>5073</v>
      </c>
      <c r="B519" s="8" t="s">
        <v>5070</v>
      </c>
      <c r="C519" s="8" t="s">
        <v>5408</v>
      </c>
      <c r="D519" s="32" t="s">
        <v>6984</v>
      </c>
      <c r="E519" s="32" t="s">
        <v>5409</v>
      </c>
      <c r="F519" s="10">
        <v>1</v>
      </c>
      <c r="G519" s="8" t="s">
        <v>16</v>
      </c>
      <c r="H519" s="10">
        <v>165.9</v>
      </c>
      <c r="I519" s="10">
        <f t="shared" si="10"/>
        <v>165.9</v>
      </c>
      <c r="J519" s="10">
        <v>5.47758162434</v>
      </c>
      <c r="K519" s="8" t="s">
        <v>5116</v>
      </c>
      <c r="S519"/>
    </row>
    <row r="520" spans="1:19" ht="15" x14ac:dyDescent="0.25">
      <c r="A520" s="8" t="s">
        <v>5073</v>
      </c>
      <c r="B520" s="8" t="s">
        <v>5070</v>
      </c>
      <c r="C520" s="8" t="s">
        <v>5410</v>
      </c>
      <c r="D520" s="32" t="s">
        <v>6984</v>
      </c>
      <c r="E520" s="32" t="s">
        <v>5411</v>
      </c>
      <c r="F520" s="10">
        <v>1</v>
      </c>
      <c r="G520" s="8" t="s">
        <v>16</v>
      </c>
      <c r="H520" s="10">
        <v>264.39999999999998</v>
      </c>
      <c r="I520" s="10">
        <f t="shared" si="10"/>
        <v>264.39999999999998</v>
      </c>
      <c r="J520" s="10">
        <v>8.5177606530399999</v>
      </c>
      <c r="K520" s="8" t="s">
        <v>4781</v>
      </c>
      <c r="S520"/>
    </row>
    <row r="521" spans="1:19" ht="15" x14ac:dyDescent="0.25">
      <c r="A521" s="8" t="s">
        <v>5069</v>
      </c>
      <c r="B521" s="8" t="s">
        <v>5070</v>
      </c>
      <c r="C521" s="8" t="s">
        <v>5412</v>
      </c>
      <c r="D521" s="32" t="s">
        <v>6984</v>
      </c>
      <c r="E521" s="32" t="s">
        <v>5413</v>
      </c>
      <c r="F521" s="10">
        <v>1</v>
      </c>
      <c r="G521" s="8" t="s">
        <v>16</v>
      </c>
      <c r="H521" s="10">
        <v>169.9</v>
      </c>
      <c r="I521" s="10">
        <f t="shared" si="10"/>
        <v>169.9</v>
      </c>
      <c r="J521" s="10">
        <v>5.6071657993199997</v>
      </c>
      <c r="K521" s="8" t="s">
        <v>5116</v>
      </c>
      <c r="S521"/>
    </row>
    <row r="522" spans="1:19" ht="15" x14ac:dyDescent="0.25">
      <c r="A522" s="8" t="s">
        <v>5069</v>
      </c>
      <c r="B522" s="8" t="s">
        <v>5070</v>
      </c>
      <c r="C522" s="8" t="s">
        <v>5414</v>
      </c>
      <c r="D522" s="32" t="s">
        <v>6984</v>
      </c>
      <c r="E522" s="32" t="s">
        <v>5415</v>
      </c>
      <c r="F522" s="10">
        <v>1</v>
      </c>
      <c r="G522" s="8" t="s">
        <v>16</v>
      </c>
      <c r="H522" s="10">
        <v>225.8</v>
      </c>
      <c r="I522" s="10">
        <f t="shared" si="10"/>
        <v>225.8</v>
      </c>
      <c r="J522" s="10">
        <v>7.2742194118999999</v>
      </c>
      <c r="K522" s="8" t="s">
        <v>4781</v>
      </c>
      <c r="S522"/>
    </row>
    <row r="523" spans="1:19" ht="15" x14ac:dyDescent="0.25">
      <c r="A523" s="8" t="s">
        <v>5069</v>
      </c>
      <c r="B523" s="8" t="s">
        <v>5070</v>
      </c>
      <c r="C523" s="8" t="s">
        <v>5416</v>
      </c>
      <c r="D523" s="32" t="s">
        <v>6984</v>
      </c>
      <c r="E523" s="32" t="s">
        <v>5417</v>
      </c>
      <c r="F523" s="10">
        <v>1</v>
      </c>
      <c r="G523" s="8" t="s">
        <v>16</v>
      </c>
      <c r="H523" s="10">
        <v>66.400000000000006</v>
      </c>
      <c r="I523" s="10">
        <f t="shared" si="10"/>
        <v>66.400000000000006</v>
      </c>
      <c r="J523" s="10">
        <v>2.2857664</v>
      </c>
      <c r="K523" s="8" t="s">
        <v>5040</v>
      </c>
      <c r="S523"/>
    </row>
    <row r="524" spans="1:19" ht="15" x14ac:dyDescent="0.25">
      <c r="A524" s="8" t="s">
        <v>5069</v>
      </c>
      <c r="B524" s="8" t="s">
        <v>5070</v>
      </c>
      <c r="C524" s="8" t="s">
        <v>5418</v>
      </c>
      <c r="D524" s="32" t="s">
        <v>6984</v>
      </c>
      <c r="E524" s="32" t="s">
        <v>5419</v>
      </c>
      <c r="F524" s="10">
        <v>1</v>
      </c>
      <c r="G524" s="8" t="s">
        <v>16</v>
      </c>
      <c r="H524" s="10">
        <v>165.8</v>
      </c>
      <c r="I524" s="10">
        <f t="shared" si="10"/>
        <v>165.8</v>
      </c>
      <c r="J524" s="10">
        <v>5.4856461033199997</v>
      </c>
      <c r="K524" s="8" t="s">
        <v>5116</v>
      </c>
      <c r="S524"/>
    </row>
    <row r="525" spans="1:19" ht="15" x14ac:dyDescent="0.25">
      <c r="A525" s="8" t="s">
        <v>5069</v>
      </c>
      <c r="B525" s="8" t="s">
        <v>5070</v>
      </c>
      <c r="C525" s="8" t="s">
        <v>5420</v>
      </c>
      <c r="D525" s="32" t="s">
        <v>6984</v>
      </c>
      <c r="E525" s="32" t="s">
        <v>5421</v>
      </c>
      <c r="F525" s="10">
        <v>1</v>
      </c>
      <c r="G525" s="8" t="s">
        <v>16</v>
      </c>
      <c r="H525" s="10">
        <v>165.9</v>
      </c>
      <c r="I525" s="10">
        <f t="shared" si="10"/>
        <v>165.9</v>
      </c>
      <c r="J525" s="10">
        <v>5.3835101967999996</v>
      </c>
      <c r="K525" s="8" t="s">
        <v>4781</v>
      </c>
      <c r="S525"/>
    </row>
    <row r="526" spans="1:19" ht="15" x14ac:dyDescent="0.25">
      <c r="A526" s="8" t="s">
        <v>5069</v>
      </c>
      <c r="B526" s="8" t="s">
        <v>5070</v>
      </c>
      <c r="C526" s="8" t="s">
        <v>5422</v>
      </c>
      <c r="D526" s="32" t="s">
        <v>6984</v>
      </c>
      <c r="E526" s="32" t="s">
        <v>5423</v>
      </c>
      <c r="F526" s="10">
        <v>1</v>
      </c>
      <c r="G526" s="8" t="s">
        <v>16</v>
      </c>
      <c r="H526" s="10">
        <v>74</v>
      </c>
      <c r="I526" s="10">
        <f t="shared" si="10"/>
        <v>74</v>
      </c>
      <c r="J526" s="10">
        <v>2.3835122904000001</v>
      </c>
      <c r="K526" s="8" t="s">
        <v>4781</v>
      </c>
      <c r="S526"/>
    </row>
    <row r="527" spans="1:19" ht="15" x14ac:dyDescent="0.25">
      <c r="A527" s="8" t="s">
        <v>5073</v>
      </c>
      <c r="B527" s="8" t="s">
        <v>5070</v>
      </c>
      <c r="C527" s="8" t="s">
        <v>5424</v>
      </c>
      <c r="D527" s="32" t="s">
        <v>6984</v>
      </c>
      <c r="E527" s="32" t="s">
        <v>5425</v>
      </c>
      <c r="F527" s="10">
        <v>1</v>
      </c>
      <c r="G527" s="8" t="s">
        <v>16</v>
      </c>
      <c r="H527" s="10">
        <v>160.69999999999999</v>
      </c>
      <c r="I527" s="10">
        <f t="shared" si="10"/>
        <v>160.69999999999999</v>
      </c>
      <c r="J527" s="10">
        <v>5.2185024084</v>
      </c>
      <c r="K527" s="8" t="s">
        <v>4781</v>
      </c>
      <c r="S527"/>
    </row>
    <row r="528" spans="1:19" ht="15" x14ac:dyDescent="0.25">
      <c r="A528" s="8" t="s">
        <v>5069</v>
      </c>
      <c r="B528" s="8" t="s">
        <v>5070</v>
      </c>
      <c r="C528" s="8" t="s">
        <v>5426</v>
      </c>
      <c r="D528" s="32" t="s">
        <v>6984</v>
      </c>
      <c r="E528" s="32" t="s">
        <v>5427</v>
      </c>
      <c r="F528" s="10">
        <v>1</v>
      </c>
      <c r="G528" s="8" t="s">
        <v>16</v>
      </c>
      <c r="H528" s="10">
        <v>139.4</v>
      </c>
      <c r="I528" s="10">
        <f t="shared" si="10"/>
        <v>139.4</v>
      </c>
      <c r="J528" s="10">
        <v>4.5157364498000003</v>
      </c>
      <c r="K528" s="8" t="s">
        <v>4781</v>
      </c>
      <c r="S528"/>
    </row>
    <row r="529" spans="1:19" ht="15" x14ac:dyDescent="0.25">
      <c r="A529" s="8" t="s">
        <v>5069</v>
      </c>
      <c r="B529" s="8" t="s">
        <v>5070</v>
      </c>
      <c r="C529" s="8" t="s">
        <v>5428</v>
      </c>
      <c r="D529" s="32" t="s">
        <v>6984</v>
      </c>
      <c r="E529" s="32" t="s">
        <v>5429</v>
      </c>
      <c r="F529" s="10">
        <v>1</v>
      </c>
      <c r="G529" s="8" t="s">
        <v>16</v>
      </c>
      <c r="H529" s="10">
        <v>68</v>
      </c>
      <c r="I529" s="10">
        <f t="shared" si="10"/>
        <v>68</v>
      </c>
      <c r="J529" s="10">
        <v>2.3262714400000002</v>
      </c>
      <c r="K529" s="8" t="s">
        <v>5040</v>
      </c>
      <c r="S529"/>
    </row>
    <row r="530" spans="1:19" ht="15" x14ac:dyDescent="0.25">
      <c r="A530" s="8" t="s">
        <v>5069</v>
      </c>
      <c r="B530" s="8" t="s">
        <v>5070</v>
      </c>
      <c r="C530" s="8" t="s">
        <v>5430</v>
      </c>
      <c r="D530" s="32" t="s">
        <v>6984</v>
      </c>
      <c r="E530" s="32" t="s">
        <v>5431</v>
      </c>
      <c r="F530" s="10">
        <v>1</v>
      </c>
      <c r="G530" s="8" t="s">
        <v>16</v>
      </c>
      <c r="H530" s="10">
        <v>79.400000000000006</v>
      </c>
      <c r="I530" s="10">
        <f t="shared" si="10"/>
        <v>79.400000000000006</v>
      </c>
      <c r="J530" s="10">
        <v>2.5580675928000001</v>
      </c>
      <c r="K530" s="8" t="s">
        <v>4781</v>
      </c>
      <c r="S530"/>
    </row>
    <row r="531" spans="1:19" ht="15" x14ac:dyDescent="0.25">
      <c r="A531" s="8" t="s">
        <v>5073</v>
      </c>
      <c r="B531" s="8" t="s">
        <v>5070</v>
      </c>
      <c r="C531" s="8" t="s">
        <v>5432</v>
      </c>
      <c r="D531" s="32" t="s">
        <v>6984</v>
      </c>
      <c r="E531" s="32" t="s">
        <v>5433</v>
      </c>
      <c r="F531" s="10">
        <v>1</v>
      </c>
      <c r="G531" s="8" t="s">
        <v>16</v>
      </c>
      <c r="H531" s="10">
        <v>74.8</v>
      </c>
      <c r="I531" s="10">
        <f t="shared" si="10"/>
        <v>74.8</v>
      </c>
      <c r="J531" s="10">
        <v>2.4291045408</v>
      </c>
      <c r="K531" s="8" t="s">
        <v>4781</v>
      </c>
      <c r="S531"/>
    </row>
    <row r="532" spans="1:19" ht="15" x14ac:dyDescent="0.25">
      <c r="A532" s="8" t="s">
        <v>5073</v>
      </c>
      <c r="B532" s="8" t="s">
        <v>5070</v>
      </c>
      <c r="C532" s="8" t="s">
        <v>5434</v>
      </c>
      <c r="D532" s="32" t="s">
        <v>6984</v>
      </c>
      <c r="E532" s="32" t="s">
        <v>5435</v>
      </c>
      <c r="F532" s="10">
        <v>1</v>
      </c>
      <c r="G532" s="8" t="s">
        <v>16</v>
      </c>
      <c r="H532" s="10">
        <v>68</v>
      </c>
      <c r="I532" s="10">
        <f t="shared" si="10"/>
        <v>68</v>
      </c>
      <c r="J532" s="10">
        <v>2.3407263999999999</v>
      </c>
      <c r="K532" s="8" t="s">
        <v>5040</v>
      </c>
      <c r="S532"/>
    </row>
    <row r="533" spans="1:19" ht="15" x14ac:dyDescent="0.25">
      <c r="A533" s="8" t="s">
        <v>5073</v>
      </c>
      <c r="B533" s="8" t="s">
        <v>5070</v>
      </c>
      <c r="C533" s="8" t="s">
        <v>5436</v>
      </c>
      <c r="D533" s="32" t="s">
        <v>6984</v>
      </c>
      <c r="E533" s="32" t="s">
        <v>5437</v>
      </c>
      <c r="F533" s="10">
        <v>1</v>
      </c>
      <c r="G533" s="8" t="s">
        <v>16</v>
      </c>
      <c r="H533" s="10">
        <v>225.8</v>
      </c>
      <c r="I533" s="10">
        <f t="shared" si="10"/>
        <v>225.8</v>
      </c>
      <c r="J533" s="10">
        <v>7.2748693280000003</v>
      </c>
      <c r="K533" s="8" t="s">
        <v>4781</v>
      </c>
      <c r="S533"/>
    </row>
    <row r="534" spans="1:19" ht="15" x14ac:dyDescent="0.25">
      <c r="A534" s="8" t="s">
        <v>5073</v>
      </c>
      <c r="B534" s="8" t="s">
        <v>5070</v>
      </c>
      <c r="C534" s="8" t="s">
        <v>5438</v>
      </c>
      <c r="D534" s="32" t="s">
        <v>6984</v>
      </c>
      <c r="E534" s="32" t="s">
        <v>5439</v>
      </c>
      <c r="F534" s="10">
        <v>1</v>
      </c>
      <c r="G534" s="8" t="s">
        <v>16</v>
      </c>
      <c r="H534" s="10">
        <v>66.099999999999994</v>
      </c>
      <c r="I534" s="10">
        <f t="shared" si="10"/>
        <v>66.099999999999994</v>
      </c>
      <c r="J534" s="10">
        <v>2.2797785417599998</v>
      </c>
      <c r="K534" s="8" t="s">
        <v>5040</v>
      </c>
      <c r="S534"/>
    </row>
    <row r="535" spans="1:19" ht="15" x14ac:dyDescent="0.25">
      <c r="A535" s="8" t="s">
        <v>5073</v>
      </c>
      <c r="B535" s="8" t="s">
        <v>5070</v>
      </c>
      <c r="C535" s="8" t="s">
        <v>5440</v>
      </c>
      <c r="D535" s="32" t="s">
        <v>6984</v>
      </c>
      <c r="E535" s="32" t="s">
        <v>5441</v>
      </c>
      <c r="F535" s="10">
        <v>1</v>
      </c>
      <c r="G535" s="8" t="s">
        <v>16</v>
      </c>
      <c r="H535" s="10">
        <v>75.8</v>
      </c>
      <c r="I535" s="10">
        <f t="shared" si="10"/>
        <v>75.8</v>
      </c>
      <c r="J535" s="10">
        <v>2.5807300300799998</v>
      </c>
      <c r="K535" s="8" t="s">
        <v>5040</v>
      </c>
      <c r="S535"/>
    </row>
    <row r="536" spans="1:19" ht="15" x14ac:dyDescent="0.25">
      <c r="A536" s="8" t="s">
        <v>5073</v>
      </c>
      <c r="B536" s="8" t="s">
        <v>5070</v>
      </c>
      <c r="C536" s="8" t="s">
        <v>5442</v>
      </c>
      <c r="D536" s="32" t="s">
        <v>6984</v>
      </c>
      <c r="E536" s="32" t="s">
        <v>5443</v>
      </c>
      <c r="F536" s="10">
        <v>1</v>
      </c>
      <c r="G536" s="8" t="s">
        <v>16</v>
      </c>
      <c r="H536" s="10">
        <v>77.7</v>
      </c>
      <c r="I536" s="10">
        <f t="shared" si="10"/>
        <v>77.7</v>
      </c>
      <c r="J536" s="10">
        <v>2.65365131136</v>
      </c>
      <c r="K536" s="8" t="s">
        <v>5040</v>
      </c>
      <c r="S536"/>
    </row>
    <row r="537" spans="1:19" ht="15" x14ac:dyDescent="0.25">
      <c r="A537" s="8" t="s">
        <v>5073</v>
      </c>
      <c r="B537" s="8" t="s">
        <v>5070</v>
      </c>
      <c r="C537" s="8" t="s">
        <v>5444</v>
      </c>
      <c r="D537" s="32" t="s">
        <v>6984</v>
      </c>
      <c r="E537" s="32" t="s">
        <v>5445</v>
      </c>
      <c r="F537" s="10">
        <v>1</v>
      </c>
      <c r="G537" s="8" t="s">
        <v>16</v>
      </c>
      <c r="H537" s="10">
        <v>74.8</v>
      </c>
      <c r="I537" s="10">
        <f t="shared" si="10"/>
        <v>74.8</v>
      </c>
      <c r="J537" s="10">
        <v>2.4287911919999998</v>
      </c>
      <c r="K537" s="8" t="s">
        <v>4781</v>
      </c>
      <c r="S537"/>
    </row>
    <row r="538" spans="1:19" ht="15" x14ac:dyDescent="0.25">
      <c r="A538" s="8" t="s">
        <v>5073</v>
      </c>
      <c r="B538" s="8" t="s">
        <v>5070</v>
      </c>
      <c r="C538" s="8" t="s">
        <v>5446</v>
      </c>
      <c r="D538" s="32" t="s">
        <v>6984</v>
      </c>
      <c r="E538" s="32" t="s">
        <v>5447</v>
      </c>
      <c r="F538" s="10">
        <v>2</v>
      </c>
      <c r="G538" s="8" t="s">
        <v>4903</v>
      </c>
      <c r="H538" s="10">
        <v>6.8</v>
      </c>
      <c r="I538" s="10">
        <f t="shared" si="10"/>
        <v>13.6</v>
      </c>
      <c r="J538" s="10">
        <v>0.57607200000000003</v>
      </c>
      <c r="K538" s="8" t="s">
        <v>5335</v>
      </c>
      <c r="S538"/>
    </row>
    <row r="539" spans="1:19" ht="15" x14ac:dyDescent="0.25">
      <c r="A539" s="8" t="s">
        <v>5073</v>
      </c>
      <c r="B539" s="8" t="s">
        <v>5070</v>
      </c>
      <c r="C539" s="8" t="s">
        <v>5448</v>
      </c>
      <c r="D539" s="32" t="s">
        <v>6984</v>
      </c>
      <c r="E539" s="32" t="s">
        <v>5449</v>
      </c>
      <c r="F539" s="10">
        <v>2</v>
      </c>
      <c r="G539" s="8" t="s">
        <v>4903</v>
      </c>
      <c r="H539" s="10">
        <v>5.5</v>
      </c>
      <c r="I539" s="10">
        <f t="shared" si="10"/>
        <v>11</v>
      </c>
      <c r="J539" s="10">
        <v>0.46329599999999999</v>
      </c>
      <c r="K539" s="8" t="s">
        <v>5335</v>
      </c>
      <c r="S539"/>
    </row>
    <row r="540" spans="1:19" ht="15" x14ac:dyDescent="0.25">
      <c r="A540" s="8" t="s">
        <v>5073</v>
      </c>
      <c r="B540" s="8" t="s">
        <v>5070</v>
      </c>
      <c r="C540" s="8" t="s">
        <v>5450</v>
      </c>
      <c r="D540" s="32" t="s">
        <v>6984</v>
      </c>
      <c r="E540" s="32" t="s">
        <v>5451</v>
      </c>
      <c r="F540" s="10">
        <v>2</v>
      </c>
      <c r="G540" s="8" t="s">
        <v>4903</v>
      </c>
      <c r="H540" s="10">
        <v>5.85</v>
      </c>
      <c r="I540" s="10">
        <f t="shared" si="10"/>
        <v>11.7</v>
      </c>
      <c r="J540" s="10">
        <v>0.49580800000000003</v>
      </c>
      <c r="K540" s="8" t="s">
        <v>5335</v>
      </c>
      <c r="S540"/>
    </row>
    <row r="541" spans="1:19" ht="15" x14ac:dyDescent="0.25">
      <c r="A541" s="8" t="s">
        <v>5073</v>
      </c>
      <c r="B541" s="8" t="s">
        <v>5070</v>
      </c>
      <c r="C541" s="8" t="s">
        <v>5452</v>
      </c>
      <c r="D541" s="32" t="s">
        <v>6984</v>
      </c>
      <c r="E541" s="32" t="s">
        <v>5453</v>
      </c>
      <c r="F541" s="10">
        <v>2</v>
      </c>
      <c r="G541" s="8" t="s">
        <v>4903</v>
      </c>
      <c r="H541" s="10">
        <v>4.0999999999999996</v>
      </c>
      <c r="I541" s="10">
        <f t="shared" si="10"/>
        <v>8.1999999999999993</v>
      </c>
      <c r="J541" s="10">
        <v>0.34848800000000002</v>
      </c>
      <c r="K541" s="8" t="s">
        <v>5335</v>
      </c>
      <c r="S541"/>
    </row>
    <row r="542" spans="1:19" ht="15" x14ac:dyDescent="0.25">
      <c r="A542" s="8" t="s">
        <v>5069</v>
      </c>
      <c r="B542" s="8" t="s">
        <v>5070</v>
      </c>
      <c r="C542" s="8" t="s">
        <v>5454</v>
      </c>
      <c r="D542" s="32" t="s">
        <v>6984</v>
      </c>
      <c r="E542" s="32" t="s">
        <v>5455</v>
      </c>
      <c r="F542" s="10">
        <v>2</v>
      </c>
      <c r="G542" s="8" t="s">
        <v>4903</v>
      </c>
      <c r="H542" s="10">
        <v>4.25</v>
      </c>
      <c r="I542" s="10">
        <f t="shared" si="10"/>
        <v>8.5</v>
      </c>
      <c r="J542" s="10">
        <v>0.35814000000000001</v>
      </c>
      <c r="K542" s="8" t="s">
        <v>5335</v>
      </c>
      <c r="S542"/>
    </row>
    <row r="543" spans="1:19" ht="15" x14ac:dyDescent="0.25">
      <c r="A543" s="8" t="s">
        <v>5069</v>
      </c>
      <c r="B543" s="8" t="s">
        <v>5070</v>
      </c>
      <c r="C543" s="8" t="s">
        <v>5456</v>
      </c>
      <c r="D543" s="32" t="s">
        <v>6984</v>
      </c>
      <c r="E543" s="32" t="s">
        <v>5457</v>
      </c>
      <c r="F543" s="10">
        <v>2</v>
      </c>
      <c r="G543" s="8" t="s">
        <v>4903</v>
      </c>
      <c r="H543" s="10">
        <v>6</v>
      </c>
      <c r="I543" s="10">
        <f t="shared" si="10"/>
        <v>12</v>
      </c>
      <c r="J543" s="10">
        <v>0.50698399999999999</v>
      </c>
      <c r="K543" s="8" t="s">
        <v>5335</v>
      </c>
      <c r="S543"/>
    </row>
    <row r="544" spans="1:19" ht="15" x14ac:dyDescent="0.25">
      <c r="A544" s="8" t="s">
        <v>5069</v>
      </c>
      <c r="B544" s="8" t="s">
        <v>5070</v>
      </c>
      <c r="C544" s="8" t="s">
        <v>5458</v>
      </c>
      <c r="D544" s="32" t="s">
        <v>6984</v>
      </c>
      <c r="E544" s="32" t="s">
        <v>5459</v>
      </c>
      <c r="F544" s="10">
        <v>2</v>
      </c>
      <c r="G544" s="8" t="s">
        <v>4903</v>
      </c>
      <c r="H544" s="10">
        <v>5.6</v>
      </c>
      <c r="I544" s="10">
        <f t="shared" si="10"/>
        <v>11.2</v>
      </c>
      <c r="J544" s="10">
        <v>0.47294799999999998</v>
      </c>
      <c r="K544" s="8" t="s">
        <v>5335</v>
      </c>
      <c r="S544"/>
    </row>
    <row r="545" spans="1:19" ht="15" x14ac:dyDescent="0.25">
      <c r="A545" s="8" t="s">
        <v>5069</v>
      </c>
      <c r="B545" s="8" t="s">
        <v>5070</v>
      </c>
      <c r="C545" s="8" t="s">
        <v>5460</v>
      </c>
      <c r="D545" s="32" t="s">
        <v>6984</v>
      </c>
      <c r="E545" s="32" t="s">
        <v>5461</v>
      </c>
      <c r="F545" s="10">
        <v>2</v>
      </c>
      <c r="G545" s="8" t="s">
        <v>4903</v>
      </c>
      <c r="H545" s="10">
        <v>5.85</v>
      </c>
      <c r="I545" s="10">
        <f t="shared" si="10"/>
        <v>11.7</v>
      </c>
      <c r="J545" s="10">
        <v>0.49377599999999999</v>
      </c>
      <c r="K545" s="8" t="s">
        <v>5335</v>
      </c>
      <c r="S545"/>
    </row>
    <row r="546" spans="1:19" ht="15" x14ac:dyDescent="0.25">
      <c r="A546" s="8" t="s">
        <v>5069</v>
      </c>
      <c r="B546" s="8" t="s">
        <v>5070</v>
      </c>
      <c r="C546" s="8" t="s">
        <v>5462</v>
      </c>
      <c r="D546" s="32" t="s">
        <v>6984</v>
      </c>
      <c r="E546" s="32" t="s">
        <v>5463</v>
      </c>
      <c r="F546" s="10">
        <v>2</v>
      </c>
      <c r="G546" s="8" t="s">
        <v>4903</v>
      </c>
      <c r="H546" s="10">
        <v>6.9</v>
      </c>
      <c r="I546" s="10">
        <f t="shared" si="10"/>
        <v>13.8</v>
      </c>
      <c r="J546" s="10">
        <v>0.58470800000000001</v>
      </c>
      <c r="K546" s="8" t="s">
        <v>5335</v>
      </c>
      <c r="S546"/>
    </row>
    <row r="547" spans="1:19" ht="15" x14ac:dyDescent="0.25">
      <c r="A547" s="8" t="s">
        <v>5069</v>
      </c>
      <c r="B547" s="8" t="s">
        <v>5070</v>
      </c>
      <c r="C547" s="8" t="s">
        <v>5464</v>
      </c>
      <c r="D547" s="32" t="s">
        <v>6984</v>
      </c>
      <c r="E547" s="32" t="s">
        <v>5465</v>
      </c>
      <c r="F547" s="10">
        <v>1</v>
      </c>
      <c r="G547" s="8" t="s">
        <v>4903</v>
      </c>
      <c r="H547" s="10">
        <v>5.5</v>
      </c>
      <c r="I547" s="10">
        <f t="shared" si="10"/>
        <v>5.5</v>
      </c>
      <c r="J547" s="10">
        <v>0.31028640000000002</v>
      </c>
      <c r="K547" s="8" t="s">
        <v>5248</v>
      </c>
      <c r="S547"/>
    </row>
    <row r="548" spans="1:19" ht="15" x14ac:dyDescent="0.25">
      <c r="A548" s="8" t="s">
        <v>5073</v>
      </c>
      <c r="B548" s="8" t="s">
        <v>5070</v>
      </c>
      <c r="C548" s="8" t="s">
        <v>5466</v>
      </c>
      <c r="D548" s="32" t="s">
        <v>6984</v>
      </c>
      <c r="E548" s="32" t="s">
        <v>5467</v>
      </c>
      <c r="F548" s="10">
        <v>2</v>
      </c>
      <c r="G548" s="8" t="s">
        <v>4903</v>
      </c>
      <c r="H548" s="10">
        <v>5.75</v>
      </c>
      <c r="I548" s="10">
        <f t="shared" si="10"/>
        <v>11.5</v>
      </c>
      <c r="J548" s="10">
        <v>0.48463200000000001</v>
      </c>
      <c r="K548" s="8" t="s">
        <v>5335</v>
      </c>
      <c r="S548"/>
    </row>
    <row r="549" spans="1:19" ht="15" x14ac:dyDescent="0.25">
      <c r="A549" s="8" t="s">
        <v>5069</v>
      </c>
      <c r="B549" s="8" t="s">
        <v>5070</v>
      </c>
      <c r="C549" s="8" t="s">
        <v>5468</v>
      </c>
      <c r="D549" s="32" t="s">
        <v>6984</v>
      </c>
      <c r="E549" s="32" t="s">
        <v>5469</v>
      </c>
      <c r="F549" s="10">
        <v>1</v>
      </c>
      <c r="G549" s="8" t="s">
        <v>4903</v>
      </c>
      <c r="H549" s="10">
        <v>5.5</v>
      </c>
      <c r="I549" s="10">
        <f t="shared" si="10"/>
        <v>5.5</v>
      </c>
      <c r="J549" s="10">
        <v>0.31028640000000002</v>
      </c>
      <c r="K549" s="8" t="s">
        <v>5248</v>
      </c>
      <c r="S549"/>
    </row>
    <row r="550" spans="1:19" ht="15" x14ac:dyDescent="0.25">
      <c r="A550" s="8" t="s">
        <v>5069</v>
      </c>
      <c r="B550" s="8" t="s">
        <v>5070</v>
      </c>
      <c r="C550" s="8" t="s">
        <v>5470</v>
      </c>
      <c r="D550" s="32" t="s">
        <v>6984</v>
      </c>
      <c r="E550" s="32" t="s">
        <v>5471</v>
      </c>
      <c r="F550" s="10">
        <v>1</v>
      </c>
      <c r="G550" s="8" t="s">
        <v>16</v>
      </c>
      <c r="H550" s="10">
        <v>74.2</v>
      </c>
      <c r="I550" s="10">
        <f t="shared" si="10"/>
        <v>74.2</v>
      </c>
      <c r="J550" s="10">
        <v>2.525830096</v>
      </c>
      <c r="K550" s="8" t="s">
        <v>5040</v>
      </c>
      <c r="S550"/>
    </row>
    <row r="551" spans="1:19" ht="15" x14ac:dyDescent="0.25">
      <c r="A551" s="8" t="s">
        <v>5069</v>
      </c>
      <c r="B551" s="8" t="s">
        <v>5070</v>
      </c>
      <c r="C551" s="8" t="s">
        <v>5472</v>
      </c>
      <c r="D551" s="32" t="s">
        <v>6984</v>
      </c>
      <c r="E551" s="32" t="s">
        <v>5473</v>
      </c>
      <c r="F551" s="10">
        <v>1</v>
      </c>
      <c r="G551" s="8" t="s">
        <v>16</v>
      </c>
      <c r="H551" s="10">
        <v>66.099999999999994</v>
      </c>
      <c r="I551" s="10">
        <f t="shared" si="10"/>
        <v>66.099999999999994</v>
      </c>
      <c r="J551" s="10">
        <v>2.2770811633600001</v>
      </c>
      <c r="K551" s="8" t="s">
        <v>5040</v>
      </c>
      <c r="S551"/>
    </row>
    <row r="552" spans="1:19" ht="15" x14ac:dyDescent="0.25">
      <c r="A552" s="8" t="s">
        <v>5069</v>
      </c>
      <c r="B552" s="8" t="s">
        <v>5070</v>
      </c>
      <c r="C552" s="8" t="s">
        <v>5474</v>
      </c>
      <c r="D552" s="32" t="s">
        <v>6984</v>
      </c>
      <c r="E552" s="32" t="s">
        <v>5475</v>
      </c>
      <c r="F552" s="10">
        <v>1</v>
      </c>
      <c r="G552" s="8" t="s">
        <v>16</v>
      </c>
      <c r="H552" s="10">
        <v>76.2</v>
      </c>
      <c r="I552" s="10">
        <f t="shared" si="10"/>
        <v>76.2</v>
      </c>
      <c r="J552" s="10">
        <v>2.60101315584</v>
      </c>
      <c r="K552" s="8" t="s">
        <v>5040</v>
      </c>
      <c r="S552"/>
    </row>
    <row r="553" spans="1:19" ht="15" x14ac:dyDescent="0.25">
      <c r="A553" s="8" t="s">
        <v>5069</v>
      </c>
      <c r="B553" s="8" t="s">
        <v>5070</v>
      </c>
      <c r="C553" s="8" t="s">
        <v>5476</v>
      </c>
      <c r="D553" s="32" t="s">
        <v>6984</v>
      </c>
      <c r="E553" s="32" t="s">
        <v>5477</v>
      </c>
      <c r="F553" s="10">
        <v>1</v>
      </c>
      <c r="G553" s="8" t="s">
        <v>16</v>
      </c>
      <c r="H553" s="10">
        <v>66.099999999999994</v>
      </c>
      <c r="I553" s="10">
        <f t="shared" si="10"/>
        <v>66.099999999999994</v>
      </c>
      <c r="J553" s="10">
        <v>2.2770811633600001</v>
      </c>
      <c r="K553" s="8" t="s">
        <v>5040</v>
      </c>
      <c r="S553"/>
    </row>
    <row r="554" spans="1:19" ht="15" x14ac:dyDescent="0.25">
      <c r="A554" s="8" t="s">
        <v>5069</v>
      </c>
      <c r="B554" s="8" t="s">
        <v>5070</v>
      </c>
      <c r="C554" s="8" t="s">
        <v>5478</v>
      </c>
      <c r="D554" s="32" t="s">
        <v>6984</v>
      </c>
      <c r="E554" s="32" t="s">
        <v>5479</v>
      </c>
      <c r="F554" s="10">
        <v>1</v>
      </c>
      <c r="G554" s="8" t="s">
        <v>16</v>
      </c>
      <c r="H554" s="10">
        <v>55.8</v>
      </c>
      <c r="I554" s="10">
        <f t="shared" si="10"/>
        <v>55.8</v>
      </c>
      <c r="J554" s="10">
        <v>1.8065018639999999</v>
      </c>
      <c r="K554" s="8" t="s">
        <v>4781</v>
      </c>
      <c r="S554"/>
    </row>
    <row r="555" spans="1:19" ht="15" x14ac:dyDescent="0.25">
      <c r="A555" s="8" t="s">
        <v>5069</v>
      </c>
      <c r="B555" s="8" t="s">
        <v>5070</v>
      </c>
      <c r="C555" s="8" t="s">
        <v>5480</v>
      </c>
      <c r="D555" s="32" t="s">
        <v>6984</v>
      </c>
      <c r="E555" s="32" t="s">
        <v>5481</v>
      </c>
      <c r="F555" s="10">
        <v>1</v>
      </c>
      <c r="G555" s="8" t="s">
        <v>16</v>
      </c>
      <c r="H555" s="10">
        <v>76.099999999999994</v>
      </c>
      <c r="I555" s="10">
        <f t="shared" si="10"/>
        <v>76.099999999999994</v>
      </c>
      <c r="J555" s="10">
        <v>2.456716728</v>
      </c>
      <c r="K555" s="8" t="s">
        <v>4781</v>
      </c>
      <c r="S555"/>
    </row>
    <row r="556" spans="1:19" ht="15" x14ac:dyDescent="0.25">
      <c r="A556" s="8" t="s">
        <v>5073</v>
      </c>
      <c r="B556" s="8" t="s">
        <v>5070</v>
      </c>
      <c r="C556" s="8" t="s">
        <v>5482</v>
      </c>
      <c r="D556" s="32" t="s">
        <v>6984</v>
      </c>
      <c r="E556" s="32" t="s">
        <v>5483</v>
      </c>
      <c r="F556" s="10">
        <v>1</v>
      </c>
      <c r="G556" s="8" t="s">
        <v>16</v>
      </c>
      <c r="H556" s="10">
        <v>24.6</v>
      </c>
      <c r="I556" s="10">
        <f t="shared" si="10"/>
        <v>24.6</v>
      </c>
      <c r="J556" s="10">
        <v>0.83814</v>
      </c>
      <c r="K556" s="8" t="s">
        <v>5040</v>
      </c>
      <c r="S556"/>
    </row>
    <row r="557" spans="1:19" ht="15" x14ac:dyDescent="0.25">
      <c r="A557" s="8" t="s">
        <v>5073</v>
      </c>
      <c r="B557" s="8" t="s">
        <v>5070</v>
      </c>
      <c r="C557" s="8" t="s">
        <v>5484</v>
      </c>
      <c r="D557" s="32" t="s">
        <v>6984</v>
      </c>
      <c r="E557" s="32" t="s">
        <v>5485</v>
      </c>
      <c r="F557" s="10">
        <v>4</v>
      </c>
      <c r="G557" s="8" t="s">
        <v>22</v>
      </c>
      <c r="H557" s="10">
        <v>4.6500000000000004</v>
      </c>
      <c r="I557" s="10">
        <f t="shared" si="10"/>
        <v>18.600000000000001</v>
      </c>
      <c r="J557" s="10">
        <v>0.60309760000000001</v>
      </c>
      <c r="K557" s="8" t="s">
        <v>23</v>
      </c>
      <c r="S557"/>
    </row>
    <row r="558" spans="1:19" ht="15" x14ac:dyDescent="0.25">
      <c r="A558" s="8" t="s">
        <v>5073</v>
      </c>
      <c r="B558" s="8" t="s">
        <v>5070</v>
      </c>
      <c r="C558" s="8" t="s">
        <v>5486</v>
      </c>
      <c r="D558" s="32" t="s">
        <v>6984</v>
      </c>
      <c r="E558" s="32" t="s">
        <v>5487</v>
      </c>
      <c r="F558" s="10">
        <v>4</v>
      </c>
      <c r="G558" s="8" t="s">
        <v>22</v>
      </c>
      <c r="H558" s="10">
        <v>16.475000000000001</v>
      </c>
      <c r="I558" s="10">
        <f t="shared" si="10"/>
        <v>65.900000000000006</v>
      </c>
      <c r="J558" s="10">
        <v>1.0823616</v>
      </c>
      <c r="K558" s="8" t="s">
        <v>5488</v>
      </c>
      <c r="S558"/>
    </row>
    <row r="559" spans="1:19" ht="15" x14ac:dyDescent="0.25">
      <c r="A559" s="8" t="s">
        <v>5073</v>
      </c>
      <c r="B559" s="8" t="s">
        <v>5070</v>
      </c>
      <c r="C559" s="8" t="s">
        <v>5489</v>
      </c>
      <c r="D559" s="32" t="s">
        <v>6984</v>
      </c>
      <c r="E559" s="32" t="s">
        <v>5490</v>
      </c>
      <c r="F559" s="10">
        <v>2</v>
      </c>
      <c r="G559" s="8" t="s">
        <v>22</v>
      </c>
      <c r="H559" s="10">
        <v>39.4</v>
      </c>
      <c r="I559" s="10">
        <f t="shared" si="10"/>
        <v>78.8</v>
      </c>
      <c r="J559" s="10">
        <v>1.2941279999999999</v>
      </c>
      <c r="K559" s="8" t="s">
        <v>5488</v>
      </c>
      <c r="S559"/>
    </row>
    <row r="560" spans="1:19" ht="15" x14ac:dyDescent="0.25">
      <c r="A560" s="8" t="s">
        <v>5073</v>
      </c>
      <c r="B560" s="8" t="s">
        <v>5070</v>
      </c>
      <c r="C560" s="8" t="s">
        <v>5491</v>
      </c>
      <c r="D560" s="32" t="s">
        <v>6984</v>
      </c>
      <c r="E560" s="32" t="s">
        <v>5492</v>
      </c>
      <c r="F560" s="10">
        <v>4</v>
      </c>
      <c r="G560" s="8" t="s">
        <v>22</v>
      </c>
      <c r="H560" s="10">
        <v>10.725</v>
      </c>
      <c r="I560" s="10">
        <f t="shared" si="10"/>
        <v>42.9</v>
      </c>
      <c r="J560" s="10">
        <v>0.89604088000000004</v>
      </c>
      <c r="K560" s="8" t="s">
        <v>4795</v>
      </c>
      <c r="S560"/>
    </row>
    <row r="561" spans="1:19" ht="15" x14ac:dyDescent="0.25">
      <c r="A561" s="8" t="s">
        <v>5073</v>
      </c>
      <c r="B561" s="8" t="s">
        <v>5070</v>
      </c>
      <c r="C561" s="8" t="s">
        <v>5493</v>
      </c>
      <c r="D561" s="32" t="s">
        <v>6984</v>
      </c>
      <c r="E561" s="32" t="s">
        <v>5494</v>
      </c>
      <c r="F561" s="10">
        <v>12</v>
      </c>
      <c r="G561" s="8" t="s">
        <v>22</v>
      </c>
      <c r="H561" s="10">
        <v>2.9333333333333336</v>
      </c>
      <c r="I561" s="10">
        <f t="shared" si="10"/>
        <v>35.200000000000003</v>
      </c>
      <c r="J561" s="10">
        <v>1.439775</v>
      </c>
      <c r="K561" s="8" t="s">
        <v>4798</v>
      </c>
      <c r="S561"/>
    </row>
    <row r="562" spans="1:19" ht="15" x14ac:dyDescent="0.25">
      <c r="A562" s="8" t="s">
        <v>5073</v>
      </c>
      <c r="B562" s="8" t="s">
        <v>5070</v>
      </c>
      <c r="C562" s="8" t="s">
        <v>5495</v>
      </c>
      <c r="D562" s="32" t="s">
        <v>6984</v>
      </c>
      <c r="E562" s="32" t="s">
        <v>5496</v>
      </c>
      <c r="F562" s="10">
        <v>2</v>
      </c>
      <c r="G562" s="8" t="s">
        <v>22</v>
      </c>
      <c r="H562" s="10">
        <v>20.2</v>
      </c>
      <c r="I562" s="10">
        <f t="shared" si="10"/>
        <v>40.4</v>
      </c>
      <c r="J562" s="10">
        <v>1.1041884</v>
      </c>
      <c r="K562" s="8" t="s">
        <v>25</v>
      </c>
      <c r="S562"/>
    </row>
    <row r="563" spans="1:19" ht="15" x14ac:dyDescent="0.25">
      <c r="A563" s="8" t="s">
        <v>5073</v>
      </c>
      <c r="B563" s="8" t="s">
        <v>5070</v>
      </c>
      <c r="C563" s="8" t="s">
        <v>5497</v>
      </c>
      <c r="D563" s="32" t="s">
        <v>6984</v>
      </c>
      <c r="E563" s="32" t="s">
        <v>5498</v>
      </c>
      <c r="F563" s="10">
        <v>4</v>
      </c>
      <c r="G563" s="8" t="s">
        <v>22</v>
      </c>
      <c r="H563" s="10">
        <v>3.1</v>
      </c>
      <c r="I563" s="10">
        <f t="shared" si="10"/>
        <v>12.4</v>
      </c>
      <c r="J563" s="10">
        <v>0.40233600000000003</v>
      </c>
      <c r="K563" s="8" t="s">
        <v>23</v>
      </c>
      <c r="S563"/>
    </row>
    <row r="564" spans="1:19" ht="15" x14ac:dyDescent="0.25">
      <c r="A564" s="8" t="s">
        <v>5073</v>
      </c>
      <c r="B564" s="8" t="s">
        <v>5070</v>
      </c>
      <c r="C564" s="8" t="s">
        <v>5499</v>
      </c>
      <c r="D564" s="32" t="s">
        <v>6984</v>
      </c>
      <c r="E564" s="32" t="s">
        <v>5500</v>
      </c>
      <c r="F564" s="10">
        <v>4</v>
      </c>
      <c r="G564" s="8" t="s">
        <v>22</v>
      </c>
      <c r="H564" s="10">
        <v>6.9749999999999996</v>
      </c>
      <c r="I564" s="10">
        <f t="shared" si="10"/>
        <v>27.9</v>
      </c>
      <c r="J564" s="10">
        <v>0.58346847999999996</v>
      </c>
      <c r="K564" s="8" t="s">
        <v>4795</v>
      </c>
      <c r="S564"/>
    </row>
    <row r="565" spans="1:19" ht="15" x14ac:dyDescent="0.25">
      <c r="A565" s="8" t="s">
        <v>5073</v>
      </c>
      <c r="B565" s="8" t="s">
        <v>5070</v>
      </c>
      <c r="C565" s="8" t="s">
        <v>5501</v>
      </c>
      <c r="D565" s="32" t="s">
        <v>6984</v>
      </c>
      <c r="E565" s="32" t="s">
        <v>5502</v>
      </c>
      <c r="F565" s="10">
        <v>8</v>
      </c>
      <c r="G565" s="8" t="s">
        <v>22</v>
      </c>
      <c r="H565" s="10">
        <v>2.75</v>
      </c>
      <c r="I565" s="10">
        <f t="shared" si="10"/>
        <v>22</v>
      </c>
      <c r="J565" s="10">
        <v>0.459424</v>
      </c>
      <c r="K565" s="8" t="s">
        <v>4795</v>
      </c>
      <c r="S565"/>
    </row>
    <row r="566" spans="1:19" ht="15" x14ac:dyDescent="0.25">
      <c r="A566" s="8" t="s">
        <v>5073</v>
      </c>
      <c r="B566" s="8" t="s">
        <v>5070</v>
      </c>
      <c r="C566" s="8" t="s">
        <v>5503</v>
      </c>
      <c r="D566" s="32" t="s">
        <v>6984</v>
      </c>
      <c r="E566" s="32" t="s">
        <v>5504</v>
      </c>
      <c r="F566" s="10">
        <v>8</v>
      </c>
      <c r="G566" s="8" t="s">
        <v>22</v>
      </c>
      <c r="H566" s="10">
        <v>1.875</v>
      </c>
      <c r="I566" s="10">
        <f t="shared" si="10"/>
        <v>15</v>
      </c>
      <c r="J566" s="10">
        <v>0.61236000000000002</v>
      </c>
      <c r="K566" s="8" t="s">
        <v>4798</v>
      </c>
      <c r="S566"/>
    </row>
    <row r="567" spans="1:19" ht="15" x14ac:dyDescent="0.25">
      <c r="A567" s="8" t="s">
        <v>5073</v>
      </c>
      <c r="B567" s="8" t="s">
        <v>5070</v>
      </c>
      <c r="C567" s="8" t="s">
        <v>5505</v>
      </c>
      <c r="D567" s="32" t="s">
        <v>6984</v>
      </c>
      <c r="E567" s="32" t="s">
        <v>5506</v>
      </c>
      <c r="F567" s="10">
        <v>8</v>
      </c>
      <c r="G567" s="8" t="s">
        <v>22</v>
      </c>
      <c r="H567" s="10">
        <v>4.2249999999999996</v>
      </c>
      <c r="I567" s="10">
        <f t="shared" si="10"/>
        <v>33.799999999999997</v>
      </c>
      <c r="J567" s="10">
        <v>0.70554399999999995</v>
      </c>
      <c r="K567" s="8" t="s">
        <v>4795</v>
      </c>
      <c r="S567"/>
    </row>
    <row r="568" spans="1:19" ht="15" x14ac:dyDescent="0.25">
      <c r="A568" s="8" t="s">
        <v>5073</v>
      </c>
      <c r="B568" s="8" t="s">
        <v>5070</v>
      </c>
      <c r="C568" s="8" t="s">
        <v>5507</v>
      </c>
      <c r="D568" s="32" t="s">
        <v>6984</v>
      </c>
      <c r="E568" s="32" t="s">
        <v>5508</v>
      </c>
      <c r="F568" s="10">
        <v>28</v>
      </c>
      <c r="G568" s="8" t="s">
        <v>22</v>
      </c>
      <c r="H568" s="10">
        <v>3.6964285714285716</v>
      </c>
      <c r="I568" s="10">
        <f t="shared" si="10"/>
        <v>103.5</v>
      </c>
      <c r="J568" s="10">
        <v>3.3494675200000001</v>
      </c>
      <c r="K568" s="8" t="s">
        <v>23</v>
      </c>
      <c r="S568"/>
    </row>
    <row r="569" spans="1:19" ht="15" x14ac:dyDescent="0.25">
      <c r="A569" s="8" t="s">
        <v>5073</v>
      </c>
      <c r="B569" s="8" t="s">
        <v>5070</v>
      </c>
      <c r="C569" s="8" t="s">
        <v>5509</v>
      </c>
      <c r="D569" s="32" t="s">
        <v>6984</v>
      </c>
      <c r="E569" s="32" t="s">
        <v>5510</v>
      </c>
      <c r="F569" s="10">
        <v>40</v>
      </c>
      <c r="G569" s="8" t="s">
        <v>22</v>
      </c>
      <c r="H569" s="10">
        <v>0.29749999999999999</v>
      </c>
      <c r="I569" s="10">
        <f t="shared" si="10"/>
        <v>11.899999999999999</v>
      </c>
      <c r="J569" s="10">
        <v>0.38494208000000002</v>
      </c>
      <c r="K569" s="8" t="s">
        <v>23</v>
      </c>
      <c r="S569"/>
    </row>
    <row r="570" spans="1:19" ht="15" x14ac:dyDescent="0.25">
      <c r="A570" s="8" t="s">
        <v>5073</v>
      </c>
      <c r="B570" s="8" t="s">
        <v>5070</v>
      </c>
      <c r="C570" s="8" t="s">
        <v>5511</v>
      </c>
      <c r="D570" s="32" t="s">
        <v>6984</v>
      </c>
      <c r="E570" s="32" t="s">
        <v>5512</v>
      </c>
      <c r="F570" s="10">
        <v>48</v>
      </c>
      <c r="G570" s="8" t="s">
        <v>22</v>
      </c>
      <c r="H570" s="10">
        <v>0.36458333333333331</v>
      </c>
      <c r="I570" s="10">
        <f t="shared" si="10"/>
        <v>17.5</v>
      </c>
      <c r="J570" s="10">
        <v>0.61286399999999996</v>
      </c>
      <c r="K570" s="8" t="s">
        <v>5513</v>
      </c>
      <c r="S570"/>
    </row>
    <row r="571" spans="1:19" ht="15" x14ac:dyDescent="0.25">
      <c r="A571" s="8" t="s">
        <v>5069</v>
      </c>
      <c r="B571" s="8" t="s">
        <v>5070</v>
      </c>
      <c r="C571" s="8" t="s">
        <v>5514</v>
      </c>
      <c r="D571" s="32" t="s">
        <v>6984</v>
      </c>
      <c r="E571" s="32" t="s">
        <v>5514</v>
      </c>
      <c r="F571" s="10">
        <v>2</v>
      </c>
      <c r="G571" s="8" t="s">
        <v>5101</v>
      </c>
      <c r="H571" s="10">
        <v>128.4</v>
      </c>
      <c r="I571" s="10">
        <f t="shared" si="10"/>
        <v>256.8</v>
      </c>
      <c r="J571" s="10">
        <v>16.964187629600001</v>
      </c>
      <c r="K571" s="8" t="s">
        <v>5128</v>
      </c>
      <c r="S571"/>
    </row>
    <row r="572" spans="1:19" ht="15" x14ac:dyDescent="0.25">
      <c r="A572" s="8" t="s">
        <v>5069</v>
      </c>
      <c r="B572" s="8" t="s">
        <v>5070</v>
      </c>
      <c r="C572" s="8" t="s">
        <v>5515</v>
      </c>
      <c r="D572" s="32" t="s">
        <v>6984</v>
      </c>
      <c r="E572" s="32" t="s">
        <v>5515</v>
      </c>
      <c r="F572" s="10">
        <v>2</v>
      </c>
      <c r="G572" s="8" t="s">
        <v>5101</v>
      </c>
      <c r="H572" s="10">
        <v>128.80000000000001</v>
      </c>
      <c r="I572" s="10">
        <f t="shared" si="10"/>
        <v>257.60000000000002</v>
      </c>
      <c r="J572" s="10">
        <v>17.023104109599998</v>
      </c>
      <c r="K572" s="8" t="s">
        <v>5128</v>
      </c>
      <c r="S572"/>
    </row>
    <row r="573" spans="1:19" ht="15" x14ac:dyDescent="0.25">
      <c r="A573" s="8" t="s">
        <v>5069</v>
      </c>
      <c r="B573" s="8" t="s">
        <v>5070</v>
      </c>
      <c r="C573" s="8" t="s">
        <v>5516</v>
      </c>
      <c r="D573" s="32" t="s">
        <v>6984</v>
      </c>
      <c r="E573" s="32" t="s">
        <v>5516</v>
      </c>
      <c r="F573" s="10">
        <v>1</v>
      </c>
      <c r="G573" s="8" t="s">
        <v>5101</v>
      </c>
      <c r="H573" s="10">
        <v>170.3</v>
      </c>
      <c r="I573" s="10">
        <f t="shared" si="10"/>
        <v>170.3</v>
      </c>
      <c r="J573" s="10">
        <v>11.5077868228</v>
      </c>
      <c r="K573" s="8" t="s">
        <v>5128</v>
      </c>
      <c r="S573"/>
    </row>
    <row r="574" spans="1:19" ht="15" x14ac:dyDescent="0.25">
      <c r="A574" s="8" t="s">
        <v>5069</v>
      </c>
      <c r="B574" s="8" t="s">
        <v>5070</v>
      </c>
      <c r="C574" s="8" t="s">
        <v>5517</v>
      </c>
      <c r="D574" s="32" t="s">
        <v>6984</v>
      </c>
      <c r="E574" s="32" t="s">
        <v>5517</v>
      </c>
      <c r="F574" s="10">
        <v>2</v>
      </c>
      <c r="G574" s="8" t="s">
        <v>5101</v>
      </c>
      <c r="H574" s="10">
        <v>158.05000000000001</v>
      </c>
      <c r="I574" s="10">
        <f t="shared" si="10"/>
        <v>316.10000000000002</v>
      </c>
      <c r="J574" s="10">
        <v>21.032610093599999</v>
      </c>
      <c r="K574" s="8" t="s">
        <v>5128</v>
      </c>
      <c r="S574"/>
    </row>
    <row r="575" spans="1:19" ht="15" x14ac:dyDescent="0.25">
      <c r="A575" s="8" t="s">
        <v>5069</v>
      </c>
      <c r="B575" s="8" t="s">
        <v>5070</v>
      </c>
      <c r="C575" s="8" t="s">
        <v>5518</v>
      </c>
      <c r="D575" s="32" t="s">
        <v>6984</v>
      </c>
      <c r="E575" s="32" t="s">
        <v>5518</v>
      </c>
      <c r="F575" s="10">
        <v>2</v>
      </c>
      <c r="G575" s="8" t="s">
        <v>5101</v>
      </c>
      <c r="H575" s="10">
        <v>45.95</v>
      </c>
      <c r="I575" s="10">
        <f t="shared" si="10"/>
        <v>91.9</v>
      </c>
      <c r="J575" s="10">
        <v>5.1919245256000002</v>
      </c>
      <c r="K575" s="8" t="s">
        <v>5128</v>
      </c>
      <c r="S575"/>
    </row>
    <row r="576" spans="1:19" ht="15" x14ac:dyDescent="0.25">
      <c r="A576" s="8" t="s">
        <v>5069</v>
      </c>
      <c r="B576" s="8" t="s">
        <v>5070</v>
      </c>
      <c r="C576" s="8" t="s">
        <v>5519</v>
      </c>
      <c r="D576" s="32" t="s">
        <v>6984</v>
      </c>
      <c r="E576" s="32" t="s">
        <v>5519</v>
      </c>
      <c r="F576" s="10">
        <v>1</v>
      </c>
      <c r="G576" s="8" t="s">
        <v>5101</v>
      </c>
      <c r="H576" s="10">
        <v>48.8</v>
      </c>
      <c r="I576" s="10">
        <f t="shared" si="10"/>
        <v>48.8</v>
      </c>
      <c r="J576" s="10">
        <v>2.8281325187999999</v>
      </c>
      <c r="K576" s="8" t="s">
        <v>5128</v>
      </c>
      <c r="S576"/>
    </row>
    <row r="577" spans="1:19" ht="15" x14ac:dyDescent="0.25">
      <c r="A577" s="8" t="s">
        <v>5069</v>
      </c>
      <c r="B577" s="8" t="s">
        <v>5070</v>
      </c>
      <c r="C577" s="8" t="s">
        <v>5520</v>
      </c>
      <c r="D577" s="32" t="s">
        <v>6984</v>
      </c>
      <c r="E577" s="32" t="s">
        <v>5520</v>
      </c>
      <c r="F577" s="10">
        <v>1</v>
      </c>
      <c r="G577" s="8" t="s">
        <v>5101</v>
      </c>
      <c r="H577" s="10">
        <v>43.2</v>
      </c>
      <c r="I577" s="10">
        <f t="shared" si="10"/>
        <v>43.2</v>
      </c>
      <c r="J577" s="10">
        <v>2.5313072548000002</v>
      </c>
      <c r="K577" s="8" t="s">
        <v>5128</v>
      </c>
      <c r="S577"/>
    </row>
    <row r="578" spans="1:19" ht="15" x14ac:dyDescent="0.25">
      <c r="A578" s="8" t="s">
        <v>5069</v>
      </c>
      <c r="B578" s="8" t="s">
        <v>5070</v>
      </c>
      <c r="C578" s="8" t="s">
        <v>5521</v>
      </c>
      <c r="D578" s="32" t="s">
        <v>6984</v>
      </c>
      <c r="E578" s="32" t="s">
        <v>5521</v>
      </c>
      <c r="F578" s="10">
        <v>2</v>
      </c>
      <c r="G578" s="8" t="s">
        <v>5101</v>
      </c>
      <c r="H578" s="10">
        <v>83.55</v>
      </c>
      <c r="I578" s="10">
        <f t="shared" si="10"/>
        <v>167.1</v>
      </c>
      <c r="J578" s="10">
        <v>10.606868605600001</v>
      </c>
      <c r="K578" s="8" t="s">
        <v>5128</v>
      </c>
      <c r="S578"/>
    </row>
    <row r="579" spans="1:19" ht="15" x14ac:dyDescent="0.25">
      <c r="A579" s="8" t="s">
        <v>5069</v>
      </c>
      <c r="B579" s="8" t="s">
        <v>5070</v>
      </c>
      <c r="C579" s="8" t="s">
        <v>5522</v>
      </c>
      <c r="D579" s="32" t="s">
        <v>6984</v>
      </c>
      <c r="E579" s="32" t="s">
        <v>5522</v>
      </c>
      <c r="F579" s="10">
        <v>1</v>
      </c>
      <c r="G579" s="8" t="s">
        <v>5101</v>
      </c>
      <c r="H579" s="10">
        <v>152.4</v>
      </c>
      <c r="I579" s="10">
        <f t="shared" si="10"/>
        <v>152.4</v>
      </c>
      <c r="J579" s="10">
        <v>10.2070160468</v>
      </c>
      <c r="K579" s="8" t="s">
        <v>5128</v>
      </c>
      <c r="S579"/>
    </row>
    <row r="580" spans="1:19" ht="15" x14ac:dyDescent="0.25">
      <c r="A580" s="8" t="s">
        <v>5069</v>
      </c>
      <c r="B580" s="8" t="s">
        <v>5070</v>
      </c>
      <c r="C580" s="8" t="s">
        <v>5523</v>
      </c>
      <c r="D580" s="32" t="s">
        <v>6984</v>
      </c>
      <c r="E580" s="32" t="s">
        <v>5523</v>
      </c>
      <c r="F580" s="10">
        <v>1</v>
      </c>
      <c r="G580" s="8" t="s">
        <v>5101</v>
      </c>
      <c r="H580" s="10">
        <v>58.4</v>
      </c>
      <c r="I580" s="10">
        <f t="shared" si="10"/>
        <v>58.4</v>
      </c>
      <c r="J580" s="10">
        <v>3.6025231828000002</v>
      </c>
      <c r="K580" s="8" t="s">
        <v>5128</v>
      </c>
      <c r="S580"/>
    </row>
    <row r="581" spans="1:19" ht="15" x14ac:dyDescent="0.25">
      <c r="A581" s="8" t="s">
        <v>5069</v>
      </c>
      <c r="B581" s="8" t="s">
        <v>5070</v>
      </c>
      <c r="C581" s="8" t="s">
        <v>5524</v>
      </c>
      <c r="D581" s="32" t="s">
        <v>6984</v>
      </c>
      <c r="E581" s="32" t="s">
        <v>5524</v>
      </c>
      <c r="F581" s="10">
        <v>1</v>
      </c>
      <c r="G581" s="8" t="s">
        <v>5101</v>
      </c>
      <c r="H581" s="10">
        <v>170</v>
      </c>
      <c r="I581" s="10">
        <f t="shared" ref="I581:I644" si="11">F581*H581</f>
        <v>170</v>
      </c>
      <c r="J581" s="10">
        <v>11.632153086800001</v>
      </c>
      <c r="K581" s="8" t="s">
        <v>5128</v>
      </c>
      <c r="S581"/>
    </row>
    <row r="582" spans="1:19" ht="15" x14ac:dyDescent="0.25">
      <c r="A582" s="8" t="s">
        <v>5069</v>
      </c>
      <c r="B582" s="8" t="s">
        <v>5070</v>
      </c>
      <c r="C582" s="8" t="s">
        <v>5525</v>
      </c>
      <c r="D582" s="32" t="s">
        <v>6984</v>
      </c>
      <c r="E582" s="32" t="s">
        <v>5525</v>
      </c>
      <c r="F582" s="10">
        <v>1</v>
      </c>
      <c r="G582" s="8" t="s">
        <v>5101</v>
      </c>
      <c r="H582" s="10">
        <v>152.4</v>
      </c>
      <c r="I582" s="10">
        <f t="shared" si="11"/>
        <v>152.4</v>
      </c>
      <c r="J582" s="10">
        <v>10.2070160468</v>
      </c>
      <c r="K582" s="8" t="s">
        <v>5128</v>
      </c>
      <c r="S582"/>
    </row>
    <row r="583" spans="1:19" ht="15" x14ac:dyDescent="0.25">
      <c r="A583" s="8" t="s">
        <v>5069</v>
      </c>
      <c r="B583" s="8" t="s">
        <v>5070</v>
      </c>
      <c r="C583" s="8" t="s">
        <v>5526</v>
      </c>
      <c r="D583" s="32" t="s">
        <v>6984</v>
      </c>
      <c r="E583" s="32" t="s">
        <v>5526</v>
      </c>
      <c r="F583" s="10">
        <v>1</v>
      </c>
      <c r="G583" s="8" t="s">
        <v>5101</v>
      </c>
      <c r="H583" s="10">
        <v>169.9</v>
      </c>
      <c r="I583" s="10">
        <f t="shared" si="11"/>
        <v>169.9</v>
      </c>
      <c r="J583" s="10">
        <v>11.6235484948</v>
      </c>
      <c r="K583" s="8" t="s">
        <v>5128</v>
      </c>
      <c r="S583"/>
    </row>
    <row r="584" spans="1:19" ht="15" x14ac:dyDescent="0.25">
      <c r="A584" s="8" t="s">
        <v>5069</v>
      </c>
      <c r="B584" s="8" t="s">
        <v>5070</v>
      </c>
      <c r="C584" s="8" t="s">
        <v>5527</v>
      </c>
      <c r="D584" s="32" t="s">
        <v>6984</v>
      </c>
      <c r="E584" s="32" t="s">
        <v>5527</v>
      </c>
      <c r="F584" s="10">
        <v>1</v>
      </c>
      <c r="G584" s="8" t="s">
        <v>5101</v>
      </c>
      <c r="H584" s="10">
        <v>119.6</v>
      </c>
      <c r="I584" s="10">
        <f t="shared" si="11"/>
        <v>119.6</v>
      </c>
      <c r="J584" s="10">
        <v>7.8867472548000004</v>
      </c>
      <c r="K584" s="8" t="s">
        <v>5128</v>
      </c>
      <c r="S584"/>
    </row>
    <row r="585" spans="1:19" ht="15" x14ac:dyDescent="0.25">
      <c r="A585" s="8" t="s">
        <v>5069</v>
      </c>
      <c r="B585" s="8" t="s">
        <v>5070</v>
      </c>
      <c r="C585" s="8" t="s">
        <v>5528</v>
      </c>
      <c r="D585" s="32" t="s">
        <v>6984</v>
      </c>
      <c r="E585" s="32" t="s">
        <v>5528</v>
      </c>
      <c r="F585" s="10">
        <v>1</v>
      </c>
      <c r="G585" s="8" t="s">
        <v>5101</v>
      </c>
      <c r="H585" s="10">
        <v>63.5</v>
      </c>
      <c r="I585" s="10">
        <f t="shared" si="11"/>
        <v>63.5</v>
      </c>
      <c r="J585" s="10">
        <v>4.0166910068000004</v>
      </c>
      <c r="K585" s="8" t="s">
        <v>5128</v>
      </c>
      <c r="S585"/>
    </row>
    <row r="586" spans="1:19" ht="15" x14ac:dyDescent="0.25">
      <c r="A586" s="8" t="s">
        <v>5069</v>
      </c>
      <c r="B586" s="8" t="s">
        <v>5070</v>
      </c>
      <c r="C586" s="8" t="s">
        <v>5529</v>
      </c>
      <c r="D586" s="32" t="s">
        <v>6984</v>
      </c>
      <c r="E586" s="32" t="s">
        <v>5529</v>
      </c>
      <c r="F586" s="10">
        <v>1</v>
      </c>
      <c r="G586" s="8" t="s">
        <v>5101</v>
      </c>
      <c r="H586" s="10">
        <v>39.9</v>
      </c>
      <c r="I586" s="10">
        <f t="shared" si="11"/>
        <v>39.9</v>
      </c>
      <c r="J586" s="10">
        <v>2.1125254548000001</v>
      </c>
      <c r="K586" s="8" t="s">
        <v>5102</v>
      </c>
      <c r="S586"/>
    </row>
    <row r="587" spans="1:19" ht="15" x14ac:dyDescent="0.25">
      <c r="A587" s="8" t="s">
        <v>5069</v>
      </c>
      <c r="B587" s="8" t="s">
        <v>5070</v>
      </c>
      <c r="C587" s="8" t="s">
        <v>5530</v>
      </c>
      <c r="D587" s="32" t="s">
        <v>6984</v>
      </c>
      <c r="E587" s="32" t="s">
        <v>5530</v>
      </c>
      <c r="F587" s="10">
        <v>1</v>
      </c>
      <c r="G587" s="8" t="s">
        <v>5101</v>
      </c>
      <c r="H587" s="10">
        <v>39.9</v>
      </c>
      <c r="I587" s="10">
        <f t="shared" si="11"/>
        <v>39.9</v>
      </c>
      <c r="J587" s="10">
        <v>2.1125254548000001</v>
      </c>
      <c r="K587" s="8" t="s">
        <v>5102</v>
      </c>
      <c r="S587"/>
    </row>
    <row r="588" spans="1:19" ht="15" x14ac:dyDescent="0.25">
      <c r="A588" s="8" t="s">
        <v>5069</v>
      </c>
      <c r="B588" s="8" t="s">
        <v>5070</v>
      </c>
      <c r="C588" s="8" t="s">
        <v>5531</v>
      </c>
      <c r="D588" s="32" t="s">
        <v>6984</v>
      </c>
      <c r="E588" s="32" t="s">
        <v>5531</v>
      </c>
      <c r="F588" s="10">
        <v>1</v>
      </c>
      <c r="G588" s="8" t="s">
        <v>5101</v>
      </c>
      <c r="H588" s="10">
        <v>49</v>
      </c>
      <c r="I588" s="10">
        <f t="shared" si="11"/>
        <v>49</v>
      </c>
      <c r="J588" s="10">
        <v>2.8398879747999999</v>
      </c>
      <c r="K588" s="8" t="s">
        <v>5102</v>
      </c>
      <c r="S588"/>
    </row>
    <row r="589" spans="1:19" ht="15" x14ac:dyDescent="0.25">
      <c r="A589" s="8" t="s">
        <v>5069</v>
      </c>
      <c r="B589" s="8" t="s">
        <v>5070</v>
      </c>
      <c r="C589" s="8" t="s">
        <v>5532</v>
      </c>
      <c r="D589" s="32" t="s">
        <v>6984</v>
      </c>
      <c r="E589" s="32" t="s">
        <v>5532</v>
      </c>
      <c r="F589" s="10">
        <v>1</v>
      </c>
      <c r="G589" s="8" t="s">
        <v>5101</v>
      </c>
      <c r="H589" s="10">
        <v>49.9</v>
      </c>
      <c r="I589" s="10">
        <f t="shared" si="11"/>
        <v>49.9</v>
      </c>
      <c r="J589" s="10">
        <v>2.9133595747999999</v>
      </c>
      <c r="K589" s="8" t="s">
        <v>5102</v>
      </c>
      <c r="S589"/>
    </row>
    <row r="590" spans="1:19" ht="15" x14ac:dyDescent="0.25">
      <c r="A590" s="8" t="s">
        <v>5069</v>
      </c>
      <c r="B590" s="8" t="s">
        <v>5070</v>
      </c>
      <c r="C590" s="8" t="s">
        <v>5533</v>
      </c>
      <c r="D590" s="32" t="s">
        <v>6984</v>
      </c>
      <c r="E590" s="32" t="s">
        <v>5533</v>
      </c>
      <c r="F590" s="10">
        <v>1</v>
      </c>
      <c r="G590" s="8" t="s">
        <v>5139</v>
      </c>
      <c r="H590" s="10">
        <v>94.4</v>
      </c>
      <c r="I590" s="10">
        <f t="shared" si="11"/>
        <v>94.4</v>
      </c>
      <c r="J590" s="10">
        <v>5.8547256216000001</v>
      </c>
      <c r="K590" s="8" t="s">
        <v>5102</v>
      </c>
      <c r="S590"/>
    </row>
    <row r="591" spans="1:19" ht="15" x14ac:dyDescent="0.25">
      <c r="A591" s="8" t="s">
        <v>5069</v>
      </c>
      <c r="B591" s="8" t="s">
        <v>5070</v>
      </c>
      <c r="C591" s="8" t="s">
        <v>5534</v>
      </c>
      <c r="D591" s="32" t="s">
        <v>6984</v>
      </c>
      <c r="E591" s="32" t="s">
        <v>5534</v>
      </c>
      <c r="F591" s="10">
        <v>1</v>
      </c>
      <c r="G591" s="8" t="s">
        <v>5139</v>
      </c>
      <c r="H591" s="10">
        <v>94.4</v>
      </c>
      <c r="I591" s="10">
        <f t="shared" si="11"/>
        <v>94.4</v>
      </c>
      <c r="J591" s="10">
        <v>5.8547256216000001</v>
      </c>
      <c r="K591" s="8" t="s">
        <v>5102</v>
      </c>
      <c r="S591"/>
    </row>
    <row r="592" spans="1:19" ht="15" x14ac:dyDescent="0.25">
      <c r="A592" s="8" t="s">
        <v>5069</v>
      </c>
      <c r="B592" s="8" t="s">
        <v>5070</v>
      </c>
      <c r="C592" s="8" t="s">
        <v>5535</v>
      </c>
      <c r="D592" s="32" t="s">
        <v>6984</v>
      </c>
      <c r="E592" s="32" t="s">
        <v>5535</v>
      </c>
      <c r="F592" s="10">
        <v>1</v>
      </c>
      <c r="G592" s="8" t="s">
        <v>5095</v>
      </c>
      <c r="H592" s="10">
        <v>100.6</v>
      </c>
      <c r="I592" s="10">
        <f t="shared" si="11"/>
        <v>100.6</v>
      </c>
      <c r="J592" s="10">
        <v>2.7941691999999998</v>
      </c>
      <c r="K592" s="8" t="s">
        <v>5536</v>
      </c>
      <c r="S592"/>
    </row>
    <row r="593" spans="1:19" ht="15" x14ac:dyDescent="0.25">
      <c r="A593" s="8" t="s">
        <v>5069</v>
      </c>
      <c r="B593" s="8" t="s">
        <v>5070</v>
      </c>
      <c r="C593" s="8" t="s">
        <v>5537</v>
      </c>
      <c r="D593" s="32" t="s">
        <v>6984</v>
      </c>
      <c r="E593" s="32" t="s">
        <v>5537</v>
      </c>
      <c r="F593" s="10">
        <v>1</v>
      </c>
      <c r="G593" s="8" t="s">
        <v>5095</v>
      </c>
      <c r="H593" s="10">
        <v>100.6</v>
      </c>
      <c r="I593" s="10">
        <f t="shared" si="11"/>
        <v>100.6</v>
      </c>
      <c r="J593" s="10">
        <v>2.7941691999999998</v>
      </c>
      <c r="K593" s="8" t="s">
        <v>5536</v>
      </c>
      <c r="S593"/>
    </row>
    <row r="594" spans="1:19" ht="15" x14ac:dyDescent="0.25">
      <c r="A594" s="8" t="s">
        <v>5073</v>
      </c>
      <c r="B594" s="8" t="s">
        <v>5070</v>
      </c>
      <c r="C594" s="8" t="s">
        <v>5538</v>
      </c>
      <c r="D594" s="32" t="s">
        <v>6984</v>
      </c>
      <c r="E594" s="32" t="s">
        <v>5538</v>
      </c>
      <c r="F594" s="10">
        <v>1</v>
      </c>
      <c r="G594" s="8" t="s">
        <v>5101</v>
      </c>
      <c r="H594" s="10">
        <v>120.2</v>
      </c>
      <c r="I594" s="10">
        <f t="shared" si="11"/>
        <v>120.2</v>
      </c>
      <c r="J594" s="10">
        <v>7.8165745828000004</v>
      </c>
      <c r="K594" s="8" t="s">
        <v>5128</v>
      </c>
      <c r="S594"/>
    </row>
    <row r="595" spans="1:19" ht="15" x14ac:dyDescent="0.25">
      <c r="A595" s="8" t="s">
        <v>5073</v>
      </c>
      <c r="B595" s="8" t="s">
        <v>5070</v>
      </c>
      <c r="C595" s="8" t="s">
        <v>5539</v>
      </c>
      <c r="D595" s="32" t="s">
        <v>6984</v>
      </c>
      <c r="E595" s="32" t="s">
        <v>5539</v>
      </c>
      <c r="F595" s="10">
        <v>3</v>
      </c>
      <c r="G595" s="8" t="s">
        <v>5101</v>
      </c>
      <c r="H595" s="10">
        <v>119.66666666666667</v>
      </c>
      <c r="I595" s="10">
        <f t="shared" si="11"/>
        <v>359</v>
      </c>
      <c r="J595" s="10">
        <v>23.306210612400001</v>
      </c>
      <c r="K595" s="8" t="s">
        <v>5128</v>
      </c>
      <c r="S595"/>
    </row>
    <row r="596" spans="1:19" ht="15" x14ac:dyDescent="0.25">
      <c r="A596" s="8" t="s">
        <v>5073</v>
      </c>
      <c r="B596" s="8" t="s">
        <v>5070</v>
      </c>
      <c r="C596" s="8" t="s">
        <v>5540</v>
      </c>
      <c r="D596" s="32" t="s">
        <v>6984</v>
      </c>
      <c r="E596" s="32" t="s">
        <v>5540</v>
      </c>
      <c r="F596" s="10">
        <v>2</v>
      </c>
      <c r="G596" s="8" t="s">
        <v>5101</v>
      </c>
      <c r="H596" s="10">
        <v>118.95</v>
      </c>
      <c r="I596" s="10">
        <f t="shared" si="11"/>
        <v>237.9</v>
      </c>
      <c r="J596" s="10">
        <v>15.421150061600001</v>
      </c>
      <c r="K596" s="8" t="s">
        <v>5128</v>
      </c>
      <c r="S596"/>
    </row>
    <row r="597" spans="1:19" ht="15" x14ac:dyDescent="0.25">
      <c r="A597" s="8" t="s">
        <v>5073</v>
      </c>
      <c r="B597" s="8" t="s">
        <v>5070</v>
      </c>
      <c r="C597" s="8" t="s">
        <v>5541</v>
      </c>
      <c r="D597" s="32" t="s">
        <v>6984</v>
      </c>
      <c r="E597" s="32" t="s">
        <v>5541</v>
      </c>
      <c r="F597" s="10">
        <v>2</v>
      </c>
      <c r="G597" s="8" t="s">
        <v>5101</v>
      </c>
      <c r="H597" s="10">
        <v>118.95</v>
      </c>
      <c r="I597" s="10">
        <f t="shared" si="11"/>
        <v>237.9</v>
      </c>
      <c r="J597" s="10">
        <v>15.421150061600001</v>
      </c>
      <c r="K597" s="8" t="s">
        <v>5128</v>
      </c>
      <c r="S597"/>
    </row>
    <row r="598" spans="1:19" ht="15" x14ac:dyDescent="0.25">
      <c r="A598" s="8" t="s">
        <v>5073</v>
      </c>
      <c r="B598" s="8" t="s">
        <v>5070</v>
      </c>
      <c r="C598" s="8" t="s">
        <v>5542</v>
      </c>
      <c r="D598" s="32" t="s">
        <v>6984</v>
      </c>
      <c r="E598" s="32" t="s">
        <v>5542</v>
      </c>
      <c r="F598" s="10">
        <v>1</v>
      </c>
      <c r="G598" s="8" t="s">
        <v>5101</v>
      </c>
      <c r="H598" s="10">
        <v>114.2</v>
      </c>
      <c r="I598" s="10">
        <f t="shared" si="11"/>
        <v>114.2</v>
      </c>
      <c r="J598" s="10">
        <v>7.4526933187999997</v>
      </c>
      <c r="K598" s="8" t="s">
        <v>5128</v>
      </c>
      <c r="S598"/>
    </row>
    <row r="599" spans="1:19" ht="15" x14ac:dyDescent="0.25">
      <c r="A599" s="8" t="s">
        <v>5073</v>
      </c>
      <c r="B599" s="8" t="s">
        <v>5070</v>
      </c>
      <c r="C599" s="8" t="s">
        <v>5543</v>
      </c>
      <c r="D599" s="32" t="s">
        <v>6984</v>
      </c>
      <c r="E599" s="32" t="s">
        <v>5543</v>
      </c>
      <c r="F599" s="10">
        <v>1</v>
      </c>
      <c r="G599" s="8" t="s">
        <v>5101</v>
      </c>
      <c r="H599" s="10">
        <v>114.2</v>
      </c>
      <c r="I599" s="10">
        <f t="shared" si="11"/>
        <v>114.2</v>
      </c>
      <c r="J599" s="10">
        <v>7.4526933187999997</v>
      </c>
      <c r="K599" s="8" t="s">
        <v>5128</v>
      </c>
      <c r="S599"/>
    </row>
    <row r="600" spans="1:19" ht="15" x14ac:dyDescent="0.25">
      <c r="A600" s="8" t="s">
        <v>5073</v>
      </c>
      <c r="B600" s="8" t="s">
        <v>5070</v>
      </c>
      <c r="C600" s="8" t="s">
        <v>5544</v>
      </c>
      <c r="D600" s="32" t="s">
        <v>6984</v>
      </c>
      <c r="E600" s="32" t="s">
        <v>5544</v>
      </c>
      <c r="F600" s="10">
        <v>1</v>
      </c>
      <c r="G600" s="8" t="s">
        <v>5101</v>
      </c>
      <c r="H600" s="10">
        <v>169.9</v>
      </c>
      <c r="I600" s="10">
        <f t="shared" si="11"/>
        <v>169.9</v>
      </c>
      <c r="J600" s="10">
        <v>11.6191379428</v>
      </c>
      <c r="K600" s="8" t="s">
        <v>5128</v>
      </c>
      <c r="S600"/>
    </row>
    <row r="601" spans="1:19" ht="15" x14ac:dyDescent="0.25">
      <c r="A601" s="8" t="s">
        <v>5073</v>
      </c>
      <c r="B601" s="8" t="s">
        <v>5070</v>
      </c>
      <c r="C601" s="8" t="s">
        <v>5545</v>
      </c>
      <c r="D601" s="32" t="s">
        <v>6984</v>
      </c>
      <c r="E601" s="32" t="s">
        <v>5545</v>
      </c>
      <c r="F601" s="10">
        <v>1</v>
      </c>
      <c r="G601" s="8" t="s">
        <v>5101</v>
      </c>
      <c r="H601" s="10">
        <v>137.4</v>
      </c>
      <c r="I601" s="10">
        <f t="shared" si="11"/>
        <v>137.4</v>
      </c>
      <c r="J601" s="10">
        <v>9.2019298387999999</v>
      </c>
      <c r="K601" s="8" t="s">
        <v>5128</v>
      </c>
      <c r="S601"/>
    </row>
    <row r="602" spans="1:19" ht="15" x14ac:dyDescent="0.25">
      <c r="A602" s="8" t="s">
        <v>5073</v>
      </c>
      <c r="B602" s="8" t="s">
        <v>5070</v>
      </c>
      <c r="C602" s="8" t="s">
        <v>5546</v>
      </c>
      <c r="D602" s="32" t="s">
        <v>6984</v>
      </c>
      <c r="E602" s="32" t="s">
        <v>5546</v>
      </c>
      <c r="F602" s="10">
        <v>2</v>
      </c>
      <c r="G602" s="8" t="s">
        <v>5101</v>
      </c>
      <c r="H602" s="10">
        <v>88.55</v>
      </c>
      <c r="I602" s="10">
        <f t="shared" si="11"/>
        <v>177.1</v>
      </c>
      <c r="J602" s="10">
        <v>11.2316747976</v>
      </c>
      <c r="K602" s="8" t="s">
        <v>5128</v>
      </c>
      <c r="S602"/>
    </row>
    <row r="603" spans="1:19" ht="15" x14ac:dyDescent="0.25">
      <c r="A603" s="8" t="s">
        <v>5073</v>
      </c>
      <c r="B603" s="8" t="s">
        <v>5070</v>
      </c>
      <c r="C603" s="8" t="s">
        <v>5547</v>
      </c>
      <c r="D603" s="32" t="s">
        <v>6984</v>
      </c>
      <c r="E603" s="32" t="s">
        <v>5547</v>
      </c>
      <c r="F603" s="10">
        <v>1</v>
      </c>
      <c r="G603" s="8" t="s">
        <v>5101</v>
      </c>
      <c r="H603" s="10">
        <v>97.9</v>
      </c>
      <c r="I603" s="10">
        <f t="shared" si="11"/>
        <v>97.9</v>
      </c>
      <c r="J603" s="10">
        <v>6.3694665747999997</v>
      </c>
      <c r="K603" s="8" t="s">
        <v>5128</v>
      </c>
      <c r="S603"/>
    </row>
    <row r="604" spans="1:19" ht="15" x14ac:dyDescent="0.25">
      <c r="A604" s="8" t="s">
        <v>5073</v>
      </c>
      <c r="B604" s="8" t="s">
        <v>5070</v>
      </c>
      <c r="C604" s="8" t="s">
        <v>5548</v>
      </c>
      <c r="D604" s="32" t="s">
        <v>6984</v>
      </c>
      <c r="E604" s="32" t="s">
        <v>5548</v>
      </c>
      <c r="F604" s="10">
        <v>1</v>
      </c>
      <c r="G604" s="8" t="s">
        <v>5101</v>
      </c>
      <c r="H604" s="10">
        <v>132.6</v>
      </c>
      <c r="I604" s="10">
        <f t="shared" si="11"/>
        <v>132.6</v>
      </c>
      <c r="J604" s="10">
        <v>8.9318695907999999</v>
      </c>
      <c r="K604" s="8" t="s">
        <v>5128</v>
      </c>
      <c r="S604"/>
    </row>
    <row r="605" spans="1:19" ht="15" x14ac:dyDescent="0.25">
      <c r="A605" s="8" t="s">
        <v>5073</v>
      </c>
      <c r="B605" s="8" t="s">
        <v>5070</v>
      </c>
      <c r="C605" s="8" t="s">
        <v>5549</v>
      </c>
      <c r="D605" s="32" t="s">
        <v>6984</v>
      </c>
      <c r="E605" s="32" t="s">
        <v>5549</v>
      </c>
      <c r="F605" s="10">
        <v>1</v>
      </c>
      <c r="G605" s="8" t="s">
        <v>5101</v>
      </c>
      <c r="H605" s="10">
        <v>55.1</v>
      </c>
      <c r="I605" s="10">
        <f t="shared" si="11"/>
        <v>55.1</v>
      </c>
      <c r="J605" s="10">
        <v>3.3355537507999999</v>
      </c>
      <c r="K605" s="8" t="s">
        <v>5128</v>
      </c>
      <c r="S605"/>
    </row>
    <row r="606" spans="1:19" ht="15" x14ac:dyDescent="0.25">
      <c r="A606" s="8" t="s">
        <v>5073</v>
      </c>
      <c r="B606" s="8" t="s">
        <v>5070</v>
      </c>
      <c r="C606" s="8" t="s">
        <v>5550</v>
      </c>
      <c r="D606" s="32" t="s">
        <v>6984</v>
      </c>
      <c r="E606" s="32" t="s">
        <v>5550</v>
      </c>
      <c r="F606" s="10">
        <v>1</v>
      </c>
      <c r="G606" s="8" t="s">
        <v>5101</v>
      </c>
      <c r="H606" s="10">
        <v>98.6</v>
      </c>
      <c r="I606" s="10">
        <f t="shared" si="11"/>
        <v>98.6</v>
      </c>
      <c r="J606" s="10">
        <v>6.4277552148000003</v>
      </c>
      <c r="K606" s="8" t="s">
        <v>5128</v>
      </c>
      <c r="S606"/>
    </row>
    <row r="607" spans="1:19" ht="15" x14ac:dyDescent="0.25">
      <c r="A607" s="8" t="s">
        <v>5073</v>
      </c>
      <c r="B607" s="8" t="s">
        <v>5070</v>
      </c>
      <c r="C607" s="8" t="s">
        <v>5551</v>
      </c>
      <c r="D607" s="32" t="s">
        <v>6984</v>
      </c>
      <c r="E607" s="32" t="s">
        <v>5551</v>
      </c>
      <c r="F607" s="10">
        <v>1</v>
      </c>
      <c r="G607" s="8" t="s">
        <v>5101</v>
      </c>
      <c r="H607" s="10">
        <v>133.9</v>
      </c>
      <c r="I607" s="10">
        <f t="shared" si="11"/>
        <v>133.9</v>
      </c>
      <c r="J607" s="10">
        <v>8.9220567987999999</v>
      </c>
      <c r="K607" s="8" t="s">
        <v>5128</v>
      </c>
      <c r="S607"/>
    </row>
    <row r="608" spans="1:19" ht="15" x14ac:dyDescent="0.25">
      <c r="A608" s="8" t="s">
        <v>5073</v>
      </c>
      <c r="B608" s="8" t="s">
        <v>5070</v>
      </c>
      <c r="C608" s="8" t="s">
        <v>5552</v>
      </c>
      <c r="D608" s="32" t="s">
        <v>6984</v>
      </c>
      <c r="E608" s="32" t="s">
        <v>5552</v>
      </c>
      <c r="F608" s="10">
        <v>2</v>
      </c>
      <c r="G608" s="8" t="s">
        <v>5101</v>
      </c>
      <c r="H608" s="10">
        <v>45.95</v>
      </c>
      <c r="I608" s="10">
        <f t="shared" si="11"/>
        <v>91.9</v>
      </c>
      <c r="J608" s="10">
        <v>5.1919245256000002</v>
      </c>
      <c r="K608" s="8" t="s">
        <v>5128</v>
      </c>
      <c r="S608"/>
    </row>
    <row r="609" spans="1:19" ht="15" x14ac:dyDescent="0.25">
      <c r="A609" s="8" t="s">
        <v>5073</v>
      </c>
      <c r="B609" s="8" t="s">
        <v>5070</v>
      </c>
      <c r="C609" s="8" t="s">
        <v>5553</v>
      </c>
      <c r="D609" s="32" t="s">
        <v>6984</v>
      </c>
      <c r="E609" s="32" t="s">
        <v>5553</v>
      </c>
      <c r="F609" s="10">
        <v>1</v>
      </c>
      <c r="G609" s="8" t="s">
        <v>5101</v>
      </c>
      <c r="H609" s="10">
        <v>92.7</v>
      </c>
      <c r="I609" s="10">
        <f t="shared" si="11"/>
        <v>92.7</v>
      </c>
      <c r="J609" s="10">
        <v>5.9500304308</v>
      </c>
      <c r="K609" s="8" t="s">
        <v>5128</v>
      </c>
      <c r="S609"/>
    </row>
    <row r="610" spans="1:19" ht="15" x14ac:dyDescent="0.25">
      <c r="A610" s="8" t="s">
        <v>5073</v>
      </c>
      <c r="B610" s="8" t="s">
        <v>5070</v>
      </c>
      <c r="C610" s="8" t="s">
        <v>5554</v>
      </c>
      <c r="D610" s="32" t="s">
        <v>6984</v>
      </c>
      <c r="E610" s="32" t="s">
        <v>5554</v>
      </c>
      <c r="F610" s="10">
        <v>2</v>
      </c>
      <c r="G610" s="8" t="s">
        <v>5101</v>
      </c>
      <c r="H610" s="10">
        <v>141.05000000000001</v>
      </c>
      <c r="I610" s="10">
        <f t="shared" si="11"/>
        <v>282.10000000000002</v>
      </c>
      <c r="J610" s="10">
        <v>19.004523805600002</v>
      </c>
      <c r="K610" s="8" t="s">
        <v>5128</v>
      </c>
      <c r="S610"/>
    </row>
    <row r="611" spans="1:19" ht="15" x14ac:dyDescent="0.25">
      <c r="A611" s="8" t="s">
        <v>5073</v>
      </c>
      <c r="B611" s="8" t="s">
        <v>5070</v>
      </c>
      <c r="C611" s="8" t="s">
        <v>5555</v>
      </c>
      <c r="D611" s="32" t="s">
        <v>6984</v>
      </c>
      <c r="E611" s="32" t="s">
        <v>5555</v>
      </c>
      <c r="F611" s="10">
        <v>1</v>
      </c>
      <c r="G611" s="8" t="s">
        <v>5101</v>
      </c>
      <c r="H611" s="10">
        <v>120.9</v>
      </c>
      <c r="I611" s="10">
        <f t="shared" si="11"/>
        <v>120.9</v>
      </c>
      <c r="J611" s="10">
        <v>7.9874723428000003</v>
      </c>
      <c r="K611" s="8" t="s">
        <v>5128</v>
      </c>
      <c r="S611"/>
    </row>
    <row r="612" spans="1:19" ht="15" x14ac:dyDescent="0.25">
      <c r="A612" s="8" t="s">
        <v>5073</v>
      </c>
      <c r="B612" s="8" t="s">
        <v>5070</v>
      </c>
      <c r="C612" s="8" t="s">
        <v>5556</v>
      </c>
      <c r="D612" s="32" t="s">
        <v>6984</v>
      </c>
      <c r="E612" s="32" t="s">
        <v>5556</v>
      </c>
      <c r="F612" s="10">
        <v>1</v>
      </c>
      <c r="G612" s="8" t="s">
        <v>5101</v>
      </c>
      <c r="H612" s="10">
        <v>45.2</v>
      </c>
      <c r="I612" s="10">
        <f t="shared" si="11"/>
        <v>45.2</v>
      </c>
      <c r="J612" s="10">
        <v>2.5342461188000001</v>
      </c>
      <c r="K612" s="8" t="s">
        <v>5128</v>
      </c>
      <c r="S612"/>
    </row>
    <row r="613" spans="1:19" ht="15" x14ac:dyDescent="0.25">
      <c r="A613" s="8" t="s">
        <v>5073</v>
      </c>
      <c r="B613" s="8" t="s">
        <v>5070</v>
      </c>
      <c r="C613" s="8" t="s">
        <v>5557</v>
      </c>
      <c r="D613" s="32" t="s">
        <v>6984</v>
      </c>
      <c r="E613" s="32" t="s">
        <v>5557</v>
      </c>
      <c r="F613" s="10">
        <v>1</v>
      </c>
      <c r="G613" s="8" t="s">
        <v>5101</v>
      </c>
      <c r="H613" s="10">
        <v>51.1</v>
      </c>
      <c r="I613" s="10">
        <f t="shared" si="11"/>
        <v>51.1</v>
      </c>
      <c r="J613" s="10">
        <v>3.0088726548000002</v>
      </c>
      <c r="K613" s="8" t="s">
        <v>5128</v>
      </c>
      <c r="S613"/>
    </row>
    <row r="614" spans="1:19" ht="15" x14ac:dyDescent="0.25">
      <c r="A614" s="8" t="s">
        <v>5073</v>
      </c>
      <c r="B614" s="8" t="s">
        <v>5070</v>
      </c>
      <c r="C614" s="8" t="s">
        <v>5558</v>
      </c>
      <c r="D614" s="32" t="s">
        <v>6984</v>
      </c>
      <c r="E614" s="32" t="s">
        <v>5558</v>
      </c>
      <c r="F614" s="10">
        <v>2</v>
      </c>
      <c r="G614" s="8" t="s">
        <v>5101</v>
      </c>
      <c r="H614" s="10">
        <v>58.4</v>
      </c>
      <c r="I614" s="10">
        <f t="shared" si="11"/>
        <v>116.8</v>
      </c>
      <c r="J614" s="10">
        <v>7.2050463656000003</v>
      </c>
      <c r="K614" s="8" t="s">
        <v>5559</v>
      </c>
      <c r="S614"/>
    </row>
    <row r="615" spans="1:19" ht="15" x14ac:dyDescent="0.25">
      <c r="A615" s="8" t="s">
        <v>5073</v>
      </c>
      <c r="B615" s="8" t="s">
        <v>5070</v>
      </c>
      <c r="C615" s="8" t="s">
        <v>5560</v>
      </c>
      <c r="D615" s="32" t="s">
        <v>6984</v>
      </c>
      <c r="E615" s="32" t="s">
        <v>5560</v>
      </c>
      <c r="F615" s="10">
        <v>1</v>
      </c>
      <c r="G615" s="8" t="s">
        <v>5101</v>
      </c>
      <c r="H615" s="10">
        <v>45.2</v>
      </c>
      <c r="I615" s="10">
        <f t="shared" si="11"/>
        <v>45.2</v>
      </c>
      <c r="J615" s="10">
        <v>2.5313072548000002</v>
      </c>
      <c r="K615" s="8" t="s">
        <v>5128</v>
      </c>
      <c r="S615"/>
    </row>
    <row r="616" spans="1:19" ht="15" x14ac:dyDescent="0.25">
      <c r="A616" s="8" t="s">
        <v>5073</v>
      </c>
      <c r="B616" s="8" t="s">
        <v>5070</v>
      </c>
      <c r="C616" s="8" t="s">
        <v>5561</v>
      </c>
      <c r="D616" s="32" t="s">
        <v>6984</v>
      </c>
      <c r="E616" s="32" t="s">
        <v>5561</v>
      </c>
      <c r="F616" s="10">
        <v>2</v>
      </c>
      <c r="G616" s="8" t="s">
        <v>5101</v>
      </c>
      <c r="H616" s="10">
        <v>54.5</v>
      </c>
      <c r="I616" s="10">
        <f t="shared" si="11"/>
        <v>109</v>
      </c>
      <c r="J616" s="10">
        <v>6.5731906055999998</v>
      </c>
      <c r="K616" s="8" t="s">
        <v>5128</v>
      </c>
      <c r="S616"/>
    </row>
    <row r="617" spans="1:19" ht="15" x14ac:dyDescent="0.25">
      <c r="A617" s="8" t="s">
        <v>5073</v>
      </c>
      <c r="B617" s="8" t="s">
        <v>5070</v>
      </c>
      <c r="C617" s="8" t="s">
        <v>5562</v>
      </c>
      <c r="D617" s="32" t="s">
        <v>6984</v>
      </c>
      <c r="E617" s="32" t="s">
        <v>5562</v>
      </c>
      <c r="F617" s="10">
        <v>2</v>
      </c>
      <c r="G617" s="8" t="s">
        <v>5101</v>
      </c>
      <c r="H617" s="10">
        <v>152.4</v>
      </c>
      <c r="I617" s="10">
        <f t="shared" si="11"/>
        <v>304.8</v>
      </c>
      <c r="J617" s="10">
        <v>20.414032093599999</v>
      </c>
      <c r="K617" s="8" t="s">
        <v>5128</v>
      </c>
      <c r="S617"/>
    </row>
    <row r="618" spans="1:19" ht="15" x14ac:dyDescent="0.25">
      <c r="A618" s="8" t="s">
        <v>5073</v>
      </c>
      <c r="B618" s="8" t="s">
        <v>5070</v>
      </c>
      <c r="C618" s="8" t="s">
        <v>5563</v>
      </c>
      <c r="D618" s="32" t="s">
        <v>6984</v>
      </c>
      <c r="E618" s="32" t="s">
        <v>5563</v>
      </c>
      <c r="F618" s="10">
        <v>1</v>
      </c>
      <c r="G618" s="8" t="s">
        <v>5101</v>
      </c>
      <c r="H618" s="10">
        <v>170</v>
      </c>
      <c r="I618" s="10">
        <f t="shared" si="11"/>
        <v>170</v>
      </c>
      <c r="J618" s="10">
        <v>11.632153086800001</v>
      </c>
      <c r="K618" s="8" t="s">
        <v>5128</v>
      </c>
      <c r="S618"/>
    </row>
    <row r="619" spans="1:19" ht="15" x14ac:dyDescent="0.25">
      <c r="A619" s="8" t="s">
        <v>5073</v>
      </c>
      <c r="B619" s="8" t="s">
        <v>5070</v>
      </c>
      <c r="C619" s="8" t="s">
        <v>5564</v>
      </c>
      <c r="D619" s="32" t="s">
        <v>6984</v>
      </c>
      <c r="E619" s="32" t="s">
        <v>5564</v>
      </c>
      <c r="F619" s="10">
        <v>2</v>
      </c>
      <c r="G619" s="8" t="s">
        <v>5101</v>
      </c>
      <c r="H619" s="10">
        <v>84.65</v>
      </c>
      <c r="I619" s="10">
        <f t="shared" si="11"/>
        <v>169.3</v>
      </c>
      <c r="J619" s="10">
        <v>10.7832004456</v>
      </c>
      <c r="K619" s="8" t="s">
        <v>5128</v>
      </c>
      <c r="S619"/>
    </row>
    <row r="620" spans="1:19" ht="15" x14ac:dyDescent="0.25">
      <c r="A620" s="8" t="s">
        <v>5073</v>
      </c>
      <c r="B620" s="8" t="s">
        <v>5070</v>
      </c>
      <c r="C620" s="8" t="s">
        <v>5565</v>
      </c>
      <c r="D620" s="32" t="s">
        <v>6984</v>
      </c>
      <c r="E620" s="32" t="s">
        <v>5565</v>
      </c>
      <c r="F620" s="10">
        <v>1</v>
      </c>
      <c r="G620" s="8" t="s">
        <v>5101</v>
      </c>
      <c r="H620" s="10">
        <v>52.1</v>
      </c>
      <c r="I620" s="10">
        <f t="shared" si="11"/>
        <v>52.1</v>
      </c>
      <c r="J620" s="10">
        <v>3.0968265748000001</v>
      </c>
      <c r="K620" s="8" t="s">
        <v>5128</v>
      </c>
      <c r="S620"/>
    </row>
    <row r="621" spans="1:19" ht="15" x14ac:dyDescent="0.25">
      <c r="A621" s="8" t="s">
        <v>5073</v>
      </c>
      <c r="B621" s="8" t="s">
        <v>5070</v>
      </c>
      <c r="C621" s="8" t="s">
        <v>5566</v>
      </c>
      <c r="D621" s="32" t="s">
        <v>6984</v>
      </c>
      <c r="E621" s="32" t="s">
        <v>5566</v>
      </c>
      <c r="F621" s="10">
        <v>1</v>
      </c>
      <c r="G621" s="8" t="s">
        <v>5101</v>
      </c>
      <c r="H621" s="10">
        <v>63</v>
      </c>
      <c r="I621" s="10">
        <f t="shared" si="11"/>
        <v>63</v>
      </c>
      <c r="J621" s="10">
        <v>3.9784857748000002</v>
      </c>
      <c r="K621" s="8" t="s">
        <v>5128</v>
      </c>
      <c r="S621"/>
    </row>
    <row r="622" spans="1:19" ht="15" x14ac:dyDescent="0.25">
      <c r="A622" s="8" t="s">
        <v>5073</v>
      </c>
      <c r="B622" s="8" t="s">
        <v>5070</v>
      </c>
      <c r="C622" s="8" t="s">
        <v>5567</v>
      </c>
      <c r="D622" s="32" t="s">
        <v>6984</v>
      </c>
      <c r="E622" s="32" t="s">
        <v>5567</v>
      </c>
      <c r="F622" s="10">
        <v>3</v>
      </c>
      <c r="G622" s="8" t="s">
        <v>16</v>
      </c>
      <c r="H622" s="10">
        <v>47.966666666666669</v>
      </c>
      <c r="I622" s="10">
        <f t="shared" si="11"/>
        <v>143.9</v>
      </c>
      <c r="J622" s="10">
        <v>4.6713055920000004</v>
      </c>
      <c r="K622" s="8" t="s">
        <v>4781</v>
      </c>
      <c r="S622"/>
    </row>
    <row r="623" spans="1:19" ht="15" x14ac:dyDescent="0.25">
      <c r="A623" s="8" t="s">
        <v>4963</v>
      </c>
      <c r="B623" s="8" t="s">
        <v>4869</v>
      </c>
      <c r="C623" s="8" t="s">
        <v>5568</v>
      </c>
      <c r="D623" s="32" t="s">
        <v>6984</v>
      </c>
      <c r="E623" s="32" t="s">
        <v>5568</v>
      </c>
      <c r="F623" s="10">
        <v>43</v>
      </c>
      <c r="G623" s="8" t="s">
        <v>5569</v>
      </c>
      <c r="H623" s="10">
        <v>13.1</v>
      </c>
      <c r="I623" s="10">
        <f t="shared" si="11"/>
        <v>563.29999999999995</v>
      </c>
      <c r="J623" s="10">
        <v>0</v>
      </c>
      <c r="K623" s="8" t="s">
        <v>5570</v>
      </c>
      <c r="S623"/>
    </row>
    <row r="624" spans="1:19" ht="15" x14ac:dyDescent="0.25">
      <c r="A624" s="8" t="s">
        <v>5073</v>
      </c>
      <c r="B624" s="8" t="s">
        <v>5070</v>
      </c>
      <c r="C624" s="8" t="s">
        <v>5571</v>
      </c>
      <c r="D624" s="32" t="s">
        <v>6984</v>
      </c>
      <c r="E624" s="32" t="s">
        <v>5571</v>
      </c>
      <c r="F624" s="10">
        <v>1</v>
      </c>
      <c r="G624" s="8" t="s">
        <v>5086</v>
      </c>
      <c r="H624" s="10">
        <v>38.200000000000003</v>
      </c>
      <c r="I624" s="10">
        <f t="shared" si="11"/>
        <v>38.200000000000003</v>
      </c>
      <c r="J624" s="10">
        <v>0</v>
      </c>
      <c r="K624" s="8" t="s">
        <v>5087</v>
      </c>
      <c r="S624"/>
    </row>
    <row r="625" spans="1:19" ht="15" x14ac:dyDescent="0.25">
      <c r="A625" s="8" t="s">
        <v>5073</v>
      </c>
      <c r="B625" s="8" t="s">
        <v>5070</v>
      </c>
      <c r="C625" s="8" t="s">
        <v>5572</v>
      </c>
      <c r="D625" s="32" t="s">
        <v>6984</v>
      </c>
      <c r="E625" s="32" t="s">
        <v>5572</v>
      </c>
      <c r="F625" s="10">
        <v>4</v>
      </c>
      <c r="G625" s="8" t="s">
        <v>5086</v>
      </c>
      <c r="H625" s="10">
        <v>27.824999999999999</v>
      </c>
      <c r="I625" s="10">
        <f t="shared" si="11"/>
        <v>111.3</v>
      </c>
      <c r="J625" s="10">
        <v>0</v>
      </c>
      <c r="K625" s="8" t="s">
        <v>5087</v>
      </c>
      <c r="S625"/>
    </row>
    <row r="626" spans="1:19" ht="15" x14ac:dyDescent="0.25">
      <c r="A626" s="8" t="s">
        <v>5073</v>
      </c>
      <c r="B626" s="8" t="s">
        <v>5070</v>
      </c>
      <c r="C626" s="8" t="s">
        <v>5573</v>
      </c>
      <c r="D626" s="32" t="s">
        <v>6984</v>
      </c>
      <c r="E626" s="32" t="s">
        <v>5573</v>
      </c>
      <c r="F626" s="10">
        <v>1</v>
      </c>
      <c r="G626" s="8" t="s">
        <v>5086</v>
      </c>
      <c r="H626" s="10">
        <v>27.8</v>
      </c>
      <c r="I626" s="10">
        <f t="shared" si="11"/>
        <v>27.8</v>
      </c>
      <c r="J626" s="10">
        <v>0</v>
      </c>
      <c r="K626" s="8" t="s">
        <v>5087</v>
      </c>
      <c r="S626"/>
    </row>
    <row r="627" spans="1:19" ht="15" x14ac:dyDescent="0.25">
      <c r="A627" s="8" t="s">
        <v>5073</v>
      </c>
      <c r="B627" s="8" t="s">
        <v>5070</v>
      </c>
      <c r="C627" s="8" t="s">
        <v>5574</v>
      </c>
      <c r="D627" s="32" t="s">
        <v>6984</v>
      </c>
      <c r="E627" s="32" t="s">
        <v>5574</v>
      </c>
      <c r="F627" s="10">
        <v>1</v>
      </c>
      <c r="G627" s="8" t="s">
        <v>5086</v>
      </c>
      <c r="H627" s="10">
        <v>27.8</v>
      </c>
      <c r="I627" s="10">
        <f t="shared" si="11"/>
        <v>27.8</v>
      </c>
      <c r="J627" s="10">
        <v>0</v>
      </c>
      <c r="K627" s="8" t="s">
        <v>5087</v>
      </c>
      <c r="S627"/>
    </row>
    <row r="628" spans="1:19" ht="15" x14ac:dyDescent="0.25">
      <c r="A628" s="8" t="s">
        <v>5073</v>
      </c>
      <c r="B628" s="8" t="s">
        <v>5070</v>
      </c>
      <c r="C628" s="8" t="s">
        <v>5575</v>
      </c>
      <c r="D628" s="32" t="s">
        <v>6984</v>
      </c>
      <c r="E628" s="32" t="s">
        <v>5575</v>
      </c>
      <c r="F628" s="10">
        <v>1</v>
      </c>
      <c r="G628" s="8" t="s">
        <v>5086</v>
      </c>
      <c r="H628" s="10">
        <v>27.8</v>
      </c>
      <c r="I628" s="10">
        <f t="shared" si="11"/>
        <v>27.8</v>
      </c>
      <c r="J628" s="10">
        <v>0</v>
      </c>
      <c r="K628" s="8" t="s">
        <v>5087</v>
      </c>
      <c r="S628"/>
    </row>
    <row r="629" spans="1:19" ht="15" x14ac:dyDescent="0.25">
      <c r="A629" s="8" t="s">
        <v>5073</v>
      </c>
      <c r="B629" s="8" t="s">
        <v>5070</v>
      </c>
      <c r="C629" s="8" t="s">
        <v>5576</v>
      </c>
      <c r="D629" s="32" t="s">
        <v>6984</v>
      </c>
      <c r="E629" s="32" t="s">
        <v>5576</v>
      </c>
      <c r="F629" s="10">
        <v>2</v>
      </c>
      <c r="G629" s="8" t="s">
        <v>5086</v>
      </c>
      <c r="H629" s="10">
        <v>33.200000000000003</v>
      </c>
      <c r="I629" s="10">
        <f t="shared" si="11"/>
        <v>66.400000000000006</v>
      </c>
      <c r="J629" s="10">
        <v>0</v>
      </c>
      <c r="K629" s="8" t="s">
        <v>5087</v>
      </c>
      <c r="S629"/>
    </row>
    <row r="630" spans="1:19" ht="15" x14ac:dyDescent="0.25">
      <c r="A630" s="8" t="s">
        <v>5073</v>
      </c>
      <c r="B630" s="8" t="s">
        <v>5070</v>
      </c>
      <c r="C630" s="8" t="s">
        <v>5577</v>
      </c>
      <c r="D630" s="32" t="s">
        <v>6984</v>
      </c>
      <c r="E630" s="32" t="s">
        <v>5577</v>
      </c>
      <c r="F630" s="10">
        <v>1</v>
      </c>
      <c r="G630" s="8" t="s">
        <v>5086</v>
      </c>
      <c r="H630" s="10">
        <v>33.200000000000003</v>
      </c>
      <c r="I630" s="10">
        <f t="shared" si="11"/>
        <v>33.200000000000003</v>
      </c>
      <c r="J630" s="10">
        <v>0</v>
      </c>
      <c r="K630" s="8" t="s">
        <v>5087</v>
      </c>
      <c r="S630"/>
    </row>
    <row r="631" spans="1:19" ht="15" x14ac:dyDescent="0.25">
      <c r="A631" s="8" t="s">
        <v>5073</v>
      </c>
      <c r="B631" s="8" t="s">
        <v>5070</v>
      </c>
      <c r="C631" s="8" t="s">
        <v>5578</v>
      </c>
      <c r="D631" s="32" t="s">
        <v>6984</v>
      </c>
      <c r="E631" s="32" t="s">
        <v>5578</v>
      </c>
      <c r="F631" s="10">
        <v>1</v>
      </c>
      <c r="G631" s="8" t="s">
        <v>5086</v>
      </c>
      <c r="H631" s="10">
        <v>25.4</v>
      </c>
      <c r="I631" s="10">
        <f t="shared" si="11"/>
        <v>25.4</v>
      </c>
      <c r="J631" s="10">
        <v>0</v>
      </c>
      <c r="K631" s="8" t="s">
        <v>5087</v>
      </c>
      <c r="S631"/>
    </row>
    <row r="632" spans="1:19" ht="15" x14ac:dyDescent="0.25">
      <c r="A632" s="8" t="s">
        <v>5073</v>
      </c>
      <c r="B632" s="8" t="s">
        <v>5070</v>
      </c>
      <c r="C632" s="8" t="s">
        <v>5579</v>
      </c>
      <c r="D632" s="32" t="s">
        <v>6984</v>
      </c>
      <c r="E632" s="32" t="s">
        <v>5579</v>
      </c>
      <c r="F632" s="10">
        <v>1</v>
      </c>
      <c r="G632" s="8" t="s">
        <v>5086</v>
      </c>
      <c r="H632" s="10">
        <v>10.4</v>
      </c>
      <c r="I632" s="10">
        <f t="shared" si="11"/>
        <v>10.4</v>
      </c>
      <c r="J632" s="10">
        <v>0</v>
      </c>
      <c r="K632" s="8" t="s">
        <v>5087</v>
      </c>
      <c r="S632"/>
    </row>
    <row r="633" spans="1:19" ht="15" x14ac:dyDescent="0.25">
      <c r="A633" s="8" t="s">
        <v>5069</v>
      </c>
      <c r="B633" s="8" t="s">
        <v>5070</v>
      </c>
      <c r="C633" s="8" t="s">
        <v>5580</v>
      </c>
      <c r="D633" s="32" t="s">
        <v>6984</v>
      </c>
      <c r="E633" s="32" t="s">
        <v>5580</v>
      </c>
      <c r="F633" s="10">
        <v>1</v>
      </c>
      <c r="G633" s="8" t="s">
        <v>5086</v>
      </c>
      <c r="H633" s="10">
        <v>40.299999999999997</v>
      </c>
      <c r="I633" s="10">
        <f t="shared" si="11"/>
        <v>40.299999999999997</v>
      </c>
      <c r="J633" s="10">
        <v>0</v>
      </c>
      <c r="K633" s="8" t="s">
        <v>5087</v>
      </c>
      <c r="S633"/>
    </row>
    <row r="634" spans="1:19" ht="15" x14ac:dyDescent="0.25">
      <c r="A634" s="8" t="s">
        <v>5073</v>
      </c>
      <c r="B634" s="8" t="s">
        <v>5070</v>
      </c>
      <c r="C634" s="8" t="s">
        <v>5581</v>
      </c>
      <c r="D634" s="32" t="s">
        <v>6984</v>
      </c>
      <c r="E634" s="32" t="s">
        <v>5581</v>
      </c>
      <c r="F634" s="10">
        <v>2</v>
      </c>
      <c r="G634" s="8" t="s">
        <v>5086</v>
      </c>
      <c r="H634" s="10">
        <v>31.8</v>
      </c>
      <c r="I634" s="10">
        <f t="shared" si="11"/>
        <v>63.6</v>
      </c>
      <c r="J634" s="10">
        <v>0</v>
      </c>
      <c r="K634" s="8" t="s">
        <v>5087</v>
      </c>
      <c r="S634"/>
    </row>
    <row r="635" spans="1:19" ht="15" x14ac:dyDescent="0.25">
      <c r="A635" s="8" t="s">
        <v>5073</v>
      </c>
      <c r="B635" s="8" t="s">
        <v>5070</v>
      </c>
      <c r="C635" s="8" t="s">
        <v>5582</v>
      </c>
      <c r="D635" s="32" t="s">
        <v>6984</v>
      </c>
      <c r="E635" s="32" t="s">
        <v>5582</v>
      </c>
      <c r="F635" s="10">
        <v>2</v>
      </c>
      <c r="G635" s="8" t="s">
        <v>5086</v>
      </c>
      <c r="H635" s="10">
        <v>27.7</v>
      </c>
      <c r="I635" s="10">
        <f t="shared" si="11"/>
        <v>55.4</v>
      </c>
      <c r="J635" s="10">
        <v>0</v>
      </c>
      <c r="K635" s="8" t="s">
        <v>5087</v>
      </c>
      <c r="S635"/>
    </row>
    <row r="636" spans="1:19" ht="15" x14ac:dyDescent="0.25">
      <c r="A636" s="8" t="s">
        <v>5073</v>
      </c>
      <c r="B636" s="8" t="s">
        <v>5070</v>
      </c>
      <c r="C636" s="8" t="s">
        <v>5583</v>
      </c>
      <c r="D636" s="32" t="s">
        <v>6984</v>
      </c>
      <c r="E636" s="32" t="s">
        <v>5583</v>
      </c>
      <c r="F636" s="10">
        <v>1</v>
      </c>
      <c r="G636" s="8" t="s">
        <v>5086</v>
      </c>
      <c r="H636" s="10">
        <v>27.5</v>
      </c>
      <c r="I636" s="10">
        <f t="shared" si="11"/>
        <v>27.5</v>
      </c>
      <c r="J636" s="10">
        <v>0</v>
      </c>
      <c r="K636" s="8" t="s">
        <v>5087</v>
      </c>
      <c r="S636"/>
    </row>
    <row r="637" spans="1:19" ht="15" x14ac:dyDescent="0.25">
      <c r="A637" s="8" t="s">
        <v>5073</v>
      </c>
      <c r="B637" s="8" t="s">
        <v>5070</v>
      </c>
      <c r="C637" s="8" t="s">
        <v>5584</v>
      </c>
      <c r="D637" s="32" t="s">
        <v>6984</v>
      </c>
      <c r="E637" s="32" t="s">
        <v>5584</v>
      </c>
      <c r="F637" s="10">
        <v>1</v>
      </c>
      <c r="G637" s="8" t="s">
        <v>5086</v>
      </c>
      <c r="H637" s="10">
        <v>25.4</v>
      </c>
      <c r="I637" s="10">
        <f t="shared" si="11"/>
        <v>25.4</v>
      </c>
      <c r="J637" s="10">
        <v>0</v>
      </c>
      <c r="K637" s="8" t="s">
        <v>5087</v>
      </c>
      <c r="S637"/>
    </row>
    <row r="638" spans="1:19" ht="15" x14ac:dyDescent="0.25">
      <c r="A638" s="8" t="s">
        <v>5069</v>
      </c>
      <c r="B638" s="8" t="s">
        <v>5070</v>
      </c>
      <c r="C638" s="8" t="s">
        <v>5585</v>
      </c>
      <c r="D638" s="32" t="s">
        <v>6984</v>
      </c>
      <c r="E638" s="32" t="s">
        <v>5585</v>
      </c>
      <c r="F638" s="10">
        <v>1</v>
      </c>
      <c r="G638" s="8" t="s">
        <v>5086</v>
      </c>
      <c r="H638" s="10">
        <v>31.8</v>
      </c>
      <c r="I638" s="10">
        <f t="shared" si="11"/>
        <v>31.8</v>
      </c>
      <c r="J638" s="10">
        <v>0</v>
      </c>
      <c r="K638" s="8" t="s">
        <v>5087</v>
      </c>
      <c r="S638"/>
    </row>
    <row r="639" spans="1:19" ht="15" x14ac:dyDescent="0.25">
      <c r="A639" s="8" t="s">
        <v>5069</v>
      </c>
      <c r="B639" s="8" t="s">
        <v>5070</v>
      </c>
      <c r="C639" s="8" t="s">
        <v>5586</v>
      </c>
      <c r="D639" s="32" t="s">
        <v>6984</v>
      </c>
      <c r="E639" s="32" t="s">
        <v>5586</v>
      </c>
      <c r="F639" s="10">
        <v>1</v>
      </c>
      <c r="G639" s="8" t="s">
        <v>5086</v>
      </c>
      <c r="H639" s="10">
        <v>32</v>
      </c>
      <c r="I639" s="10">
        <f t="shared" si="11"/>
        <v>32</v>
      </c>
      <c r="J639" s="10">
        <v>0</v>
      </c>
      <c r="K639" s="8" t="s">
        <v>5087</v>
      </c>
      <c r="S639"/>
    </row>
    <row r="640" spans="1:19" ht="15" x14ac:dyDescent="0.25">
      <c r="A640" s="8" t="s">
        <v>5069</v>
      </c>
      <c r="B640" s="8" t="s">
        <v>5070</v>
      </c>
      <c r="C640" s="8" t="s">
        <v>5587</v>
      </c>
      <c r="D640" s="32" t="s">
        <v>6984</v>
      </c>
      <c r="E640" s="32" t="s">
        <v>5587</v>
      </c>
      <c r="F640" s="10">
        <v>1</v>
      </c>
      <c r="G640" s="8" t="s">
        <v>5086</v>
      </c>
      <c r="H640" s="10">
        <v>38.5</v>
      </c>
      <c r="I640" s="10">
        <f t="shared" si="11"/>
        <v>38.5</v>
      </c>
      <c r="J640" s="10">
        <v>0</v>
      </c>
      <c r="K640" s="8" t="s">
        <v>5087</v>
      </c>
      <c r="S640"/>
    </row>
    <row r="641" spans="1:19" ht="15" x14ac:dyDescent="0.25">
      <c r="A641" s="8" t="s">
        <v>5069</v>
      </c>
      <c r="B641" s="8" t="s">
        <v>5070</v>
      </c>
      <c r="C641" s="8" t="s">
        <v>5588</v>
      </c>
      <c r="D641" s="32" t="s">
        <v>6984</v>
      </c>
      <c r="E641" s="32" t="s">
        <v>5588</v>
      </c>
      <c r="F641" s="10">
        <v>1</v>
      </c>
      <c r="G641" s="8" t="s">
        <v>5086</v>
      </c>
      <c r="H641" s="10">
        <v>29.6</v>
      </c>
      <c r="I641" s="10">
        <f t="shared" si="11"/>
        <v>29.6</v>
      </c>
      <c r="J641" s="10">
        <v>0</v>
      </c>
      <c r="K641" s="8" t="s">
        <v>5087</v>
      </c>
      <c r="S641"/>
    </row>
    <row r="642" spans="1:19" ht="15" x14ac:dyDescent="0.25">
      <c r="A642" s="8" t="s">
        <v>5069</v>
      </c>
      <c r="B642" s="8" t="s">
        <v>5070</v>
      </c>
      <c r="C642" s="8" t="s">
        <v>5589</v>
      </c>
      <c r="D642" s="32" t="s">
        <v>6984</v>
      </c>
      <c r="E642" s="32" t="s">
        <v>5589</v>
      </c>
      <c r="F642" s="10">
        <v>1</v>
      </c>
      <c r="G642" s="8" t="s">
        <v>5086</v>
      </c>
      <c r="H642" s="10">
        <v>31.9</v>
      </c>
      <c r="I642" s="10">
        <f t="shared" si="11"/>
        <v>31.9</v>
      </c>
      <c r="J642" s="10">
        <v>0</v>
      </c>
      <c r="K642" s="8" t="s">
        <v>5087</v>
      </c>
      <c r="S642"/>
    </row>
    <row r="643" spans="1:19" ht="15" x14ac:dyDescent="0.25">
      <c r="A643" s="8" t="s">
        <v>5073</v>
      </c>
      <c r="B643" s="8" t="s">
        <v>5070</v>
      </c>
      <c r="C643" s="8" t="s">
        <v>5590</v>
      </c>
      <c r="D643" s="32" t="s">
        <v>6984</v>
      </c>
      <c r="E643" s="32" t="s">
        <v>5590</v>
      </c>
      <c r="F643" s="10">
        <v>6</v>
      </c>
      <c r="G643" s="8" t="s">
        <v>5086</v>
      </c>
      <c r="H643" s="10">
        <v>33.216666666666669</v>
      </c>
      <c r="I643" s="10">
        <f t="shared" si="11"/>
        <v>199.3</v>
      </c>
      <c r="J643" s="10">
        <v>0</v>
      </c>
      <c r="K643" s="8" t="s">
        <v>5087</v>
      </c>
      <c r="S643"/>
    </row>
    <row r="644" spans="1:19" ht="15" x14ac:dyDescent="0.25">
      <c r="A644" s="8" t="s">
        <v>5073</v>
      </c>
      <c r="B644" s="8" t="s">
        <v>5070</v>
      </c>
      <c r="C644" s="8" t="s">
        <v>5591</v>
      </c>
      <c r="D644" s="32" t="s">
        <v>6984</v>
      </c>
      <c r="E644" s="32" t="s">
        <v>5591</v>
      </c>
      <c r="F644" s="10">
        <v>2</v>
      </c>
      <c r="G644" s="8" t="s">
        <v>5086</v>
      </c>
      <c r="H644" s="10">
        <v>22.7</v>
      </c>
      <c r="I644" s="10">
        <f t="shared" si="11"/>
        <v>45.4</v>
      </c>
      <c r="J644" s="10">
        <v>0</v>
      </c>
      <c r="K644" s="8" t="s">
        <v>5087</v>
      </c>
      <c r="S644"/>
    </row>
    <row r="645" spans="1:19" ht="15" x14ac:dyDescent="0.25">
      <c r="A645" s="8" t="s">
        <v>5069</v>
      </c>
      <c r="B645" s="8" t="s">
        <v>5070</v>
      </c>
      <c r="C645" s="8" t="s">
        <v>5592</v>
      </c>
      <c r="D645" s="32" t="s">
        <v>6984</v>
      </c>
      <c r="E645" s="32" t="s">
        <v>5592</v>
      </c>
      <c r="F645" s="10">
        <v>2</v>
      </c>
      <c r="G645" s="8" t="s">
        <v>5086</v>
      </c>
      <c r="H645" s="10">
        <v>40.25</v>
      </c>
      <c r="I645" s="10">
        <f t="shared" ref="I645:I708" si="12">F645*H645</f>
        <v>80.5</v>
      </c>
      <c r="J645" s="10">
        <v>0</v>
      </c>
      <c r="K645" s="8" t="s">
        <v>5087</v>
      </c>
      <c r="S645"/>
    </row>
    <row r="646" spans="1:19" ht="15" x14ac:dyDescent="0.25">
      <c r="A646" s="8" t="s">
        <v>5069</v>
      </c>
      <c r="B646" s="8" t="s">
        <v>5070</v>
      </c>
      <c r="C646" s="8" t="s">
        <v>5593</v>
      </c>
      <c r="D646" s="32" t="s">
        <v>6984</v>
      </c>
      <c r="E646" s="32" t="s">
        <v>5593</v>
      </c>
      <c r="F646" s="10">
        <v>1</v>
      </c>
      <c r="G646" s="8" t="s">
        <v>5086</v>
      </c>
      <c r="H646" s="10">
        <v>19.8</v>
      </c>
      <c r="I646" s="10">
        <f t="shared" si="12"/>
        <v>19.8</v>
      </c>
      <c r="J646" s="10">
        <v>0</v>
      </c>
      <c r="K646" s="8" t="s">
        <v>5087</v>
      </c>
      <c r="S646"/>
    </row>
    <row r="647" spans="1:19" ht="15" x14ac:dyDescent="0.25">
      <c r="A647" s="8" t="s">
        <v>5073</v>
      </c>
      <c r="B647" s="8" t="s">
        <v>5070</v>
      </c>
      <c r="C647" s="8" t="s">
        <v>5594</v>
      </c>
      <c r="D647" s="32" t="s">
        <v>6984</v>
      </c>
      <c r="E647" s="32" t="s">
        <v>5594</v>
      </c>
      <c r="F647" s="10">
        <v>1</v>
      </c>
      <c r="G647" s="8" t="s">
        <v>5086</v>
      </c>
      <c r="H647" s="10">
        <v>19.3</v>
      </c>
      <c r="I647" s="10">
        <f t="shared" si="12"/>
        <v>19.3</v>
      </c>
      <c r="J647" s="10">
        <v>0</v>
      </c>
      <c r="K647" s="8" t="s">
        <v>5087</v>
      </c>
      <c r="S647"/>
    </row>
    <row r="648" spans="1:19" ht="15" x14ac:dyDescent="0.25">
      <c r="A648" s="8" t="s">
        <v>5069</v>
      </c>
      <c r="B648" s="8" t="s">
        <v>5070</v>
      </c>
      <c r="C648" s="8" t="s">
        <v>5595</v>
      </c>
      <c r="D648" s="32" t="s">
        <v>6984</v>
      </c>
      <c r="E648" s="32" t="s">
        <v>5595</v>
      </c>
      <c r="F648" s="10">
        <v>1</v>
      </c>
      <c r="G648" s="8" t="s">
        <v>5086</v>
      </c>
      <c r="H648" s="10">
        <v>19.8</v>
      </c>
      <c r="I648" s="10">
        <f t="shared" si="12"/>
        <v>19.8</v>
      </c>
      <c r="J648" s="10">
        <v>0</v>
      </c>
      <c r="K648" s="8" t="s">
        <v>5087</v>
      </c>
      <c r="S648"/>
    </row>
    <row r="649" spans="1:19" ht="15" x14ac:dyDescent="0.25">
      <c r="A649" s="8" t="s">
        <v>5069</v>
      </c>
      <c r="B649" s="8" t="s">
        <v>5070</v>
      </c>
      <c r="C649" s="8" t="s">
        <v>5596</v>
      </c>
      <c r="D649" s="32" t="s">
        <v>6984</v>
      </c>
      <c r="E649" s="32" t="s">
        <v>5596</v>
      </c>
      <c r="F649" s="10">
        <v>2</v>
      </c>
      <c r="G649" s="8" t="s">
        <v>5086</v>
      </c>
      <c r="H649" s="10">
        <v>27.25</v>
      </c>
      <c r="I649" s="10">
        <f t="shared" si="12"/>
        <v>54.5</v>
      </c>
      <c r="J649" s="10">
        <v>0</v>
      </c>
      <c r="K649" s="8" t="s">
        <v>5087</v>
      </c>
      <c r="S649"/>
    </row>
    <row r="650" spans="1:19" ht="15" x14ac:dyDescent="0.25">
      <c r="A650" s="8" t="s">
        <v>5069</v>
      </c>
      <c r="B650" s="8" t="s">
        <v>5070</v>
      </c>
      <c r="C650" s="8" t="s">
        <v>5597</v>
      </c>
      <c r="D650" s="32" t="s">
        <v>6984</v>
      </c>
      <c r="E650" s="32" t="s">
        <v>5597</v>
      </c>
      <c r="F650" s="10">
        <v>1</v>
      </c>
      <c r="G650" s="8" t="s">
        <v>5086</v>
      </c>
      <c r="H650" s="10">
        <v>15.2</v>
      </c>
      <c r="I650" s="10">
        <f t="shared" si="12"/>
        <v>15.2</v>
      </c>
      <c r="J650" s="10">
        <v>0</v>
      </c>
      <c r="K650" s="8" t="s">
        <v>5087</v>
      </c>
      <c r="S650"/>
    </row>
    <row r="651" spans="1:19" ht="15" x14ac:dyDescent="0.25">
      <c r="A651" s="8" t="s">
        <v>5069</v>
      </c>
      <c r="B651" s="8" t="s">
        <v>5070</v>
      </c>
      <c r="C651" s="8" t="s">
        <v>5598</v>
      </c>
      <c r="D651" s="32" t="s">
        <v>6984</v>
      </c>
      <c r="E651" s="32" t="s">
        <v>5598</v>
      </c>
      <c r="F651" s="10">
        <v>2</v>
      </c>
      <c r="G651" s="8" t="s">
        <v>5086</v>
      </c>
      <c r="H651" s="10">
        <v>13.1</v>
      </c>
      <c r="I651" s="10">
        <f t="shared" si="12"/>
        <v>26.2</v>
      </c>
      <c r="J651" s="10">
        <v>0</v>
      </c>
      <c r="K651" s="8" t="s">
        <v>5087</v>
      </c>
      <c r="S651"/>
    </row>
    <row r="652" spans="1:19" ht="15" x14ac:dyDescent="0.25">
      <c r="A652" s="8" t="s">
        <v>5069</v>
      </c>
      <c r="B652" s="8" t="s">
        <v>5070</v>
      </c>
      <c r="C652" s="8" t="s">
        <v>5599</v>
      </c>
      <c r="D652" s="32" t="s">
        <v>6984</v>
      </c>
      <c r="E652" s="32" t="s">
        <v>5599</v>
      </c>
      <c r="F652" s="10">
        <v>1</v>
      </c>
      <c r="G652" s="8" t="s">
        <v>5086</v>
      </c>
      <c r="H652" s="10">
        <v>19.100000000000001</v>
      </c>
      <c r="I652" s="10">
        <f t="shared" si="12"/>
        <v>19.100000000000001</v>
      </c>
      <c r="J652" s="10">
        <v>0</v>
      </c>
      <c r="K652" s="8" t="s">
        <v>5087</v>
      </c>
      <c r="S652"/>
    </row>
    <row r="653" spans="1:19" ht="15" x14ac:dyDescent="0.25">
      <c r="A653" s="8" t="s">
        <v>5069</v>
      </c>
      <c r="B653" s="8" t="s">
        <v>5070</v>
      </c>
      <c r="C653" s="8" t="s">
        <v>5600</v>
      </c>
      <c r="D653" s="32" t="s">
        <v>6984</v>
      </c>
      <c r="E653" s="32" t="s">
        <v>5600</v>
      </c>
      <c r="F653" s="10">
        <v>2</v>
      </c>
      <c r="G653" s="8" t="s">
        <v>5086</v>
      </c>
      <c r="H653" s="10">
        <v>13.9</v>
      </c>
      <c r="I653" s="10">
        <f t="shared" si="12"/>
        <v>27.8</v>
      </c>
      <c r="J653" s="10">
        <v>0</v>
      </c>
      <c r="K653" s="8" t="s">
        <v>5087</v>
      </c>
      <c r="S653"/>
    </row>
    <row r="654" spans="1:19" ht="15" x14ac:dyDescent="0.25">
      <c r="A654" s="8" t="s">
        <v>5069</v>
      </c>
      <c r="B654" s="8" t="s">
        <v>5070</v>
      </c>
      <c r="C654" s="8" t="s">
        <v>5601</v>
      </c>
      <c r="D654" s="32" t="s">
        <v>6984</v>
      </c>
      <c r="E654" s="32" t="s">
        <v>5601</v>
      </c>
      <c r="F654" s="10">
        <v>1</v>
      </c>
      <c r="G654" s="8" t="s">
        <v>5086</v>
      </c>
      <c r="H654" s="10">
        <v>11.4</v>
      </c>
      <c r="I654" s="10">
        <f t="shared" si="12"/>
        <v>11.4</v>
      </c>
      <c r="J654" s="10">
        <v>0</v>
      </c>
      <c r="K654" s="8" t="s">
        <v>5087</v>
      </c>
      <c r="S654"/>
    </row>
    <row r="655" spans="1:19" ht="15" x14ac:dyDescent="0.25">
      <c r="A655" s="8" t="s">
        <v>5069</v>
      </c>
      <c r="B655" s="8" t="s">
        <v>5070</v>
      </c>
      <c r="C655" s="8" t="s">
        <v>5602</v>
      </c>
      <c r="D655" s="32" t="s">
        <v>6984</v>
      </c>
      <c r="E655" s="32" t="s">
        <v>5602</v>
      </c>
      <c r="F655" s="10">
        <v>1</v>
      </c>
      <c r="G655" s="8" t="s">
        <v>5086</v>
      </c>
      <c r="H655" s="10">
        <v>9.1999999999999993</v>
      </c>
      <c r="I655" s="10">
        <f t="shared" si="12"/>
        <v>9.1999999999999993</v>
      </c>
      <c r="J655" s="10">
        <v>0</v>
      </c>
      <c r="K655" s="8" t="s">
        <v>5087</v>
      </c>
      <c r="S655"/>
    </row>
    <row r="656" spans="1:19" ht="15" x14ac:dyDescent="0.25">
      <c r="A656" s="8" t="s">
        <v>5069</v>
      </c>
      <c r="B656" s="8" t="s">
        <v>5070</v>
      </c>
      <c r="C656" s="8" t="s">
        <v>5603</v>
      </c>
      <c r="D656" s="32" t="s">
        <v>6984</v>
      </c>
      <c r="E656" s="32" t="s">
        <v>5603</v>
      </c>
      <c r="F656" s="10">
        <v>2</v>
      </c>
      <c r="G656" s="8" t="s">
        <v>5086</v>
      </c>
      <c r="H656" s="10">
        <v>19.8</v>
      </c>
      <c r="I656" s="10">
        <f t="shared" si="12"/>
        <v>39.6</v>
      </c>
      <c r="J656" s="10">
        <v>0</v>
      </c>
      <c r="K656" s="8" t="s">
        <v>5087</v>
      </c>
      <c r="S656"/>
    </row>
    <row r="657" spans="1:19" ht="15" x14ac:dyDescent="0.25">
      <c r="A657" s="8" t="s">
        <v>5069</v>
      </c>
      <c r="B657" s="8" t="s">
        <v>5070</v>
      </c>
      <c r="C657" s="8" t="s">
        <v>5604</v>
      </c>
      <c r="D657" s="32" t="s">
        <v>6984</v>
      </c>
      <c r="E657" s="32" t="s">
        <v>5604</v>
      </c>
      <c r="F657" s="10">
        <v>1</v>
      </c>
      <c r="G657" s="8" t="s">
        <v>5086</v>
      </c>
      <c r="H657" s="10">
        <v>16.3</v>
      </c>
      <c r="I657" s="10">
        <f t="shared" si="12"/>
        <v>16.3</v>
      </c>
      <c r="J657" s="10">
        <v>0</v>
      </c>
      <c r="K657" s="8" t="s">
        <v>5087</v>
      </c>
      <c r="S657"/>
    </row>
    <row r="658" spans="1:19" ht="15" x14ac:dyDescent="0.25">
      <c r="A658" s="8" t="s">
        <v>5069</v>
      </c>
      <c r="B658" s="8" t="s">
        <v>5070</v>
      </c>
      <c r="C658" s="8" t="s">
        <v>5605</v>
      </c>
      <c r="D658" s="32" t="s">
        <v>6984</v>
      </c>
      <c r="E658" s="32" t="s">
        <v>5605</v>
      </c>
      <c r="F658" s="10">
        <v>1</v>
      </c>
      <c r="G658" s="8" t="s">
        <v>5086</v>
      </c>
      <c r="H658" s="10">
        <v>13.4</v>
      </c>
      <c r="I658" s="10">
        <f t="shared" si="12"/>
        <v>13.4</v>
      </c>
      <c r="J658" s="10">
        <v>0</v>
      </c>
      <c r="K658" s="8" t="s">
        <v>5087</v>
      </c>
      <c r="S658"/>
    </row>
    <row r="659" spans="1:19" ht="15" x14ac:dyDescent="0.25">
      <c r="A659" s="8" t="s">
        <v>5073</v>
      </c>
      <c r="B659" s="8" t="s">
        <v>5070</v>
      </c>
      <c r="C659" s="8" t="s">
        <v>5606</v>
      </c>
      <c r="D659" s="32" t="s">
        <v>6984</v>
      </c>
      <c r="E659" s="32" t="s">
        <v>5606</v>
      </c>
      <c r="F659" s="10">
        <v>1</v>
      </c>
      <c r="G659" s="8" t="s">
        <v>5086</v>
      </c>
      <c r="H659" s="10">
        <v>15.9</v>
      </c>
      <c r="I659" s="10">
        <f t="shared" si="12"/>
        <v>15.9</v>
      </c>
      <c r="J659" s="10">
        <v>0</v>
      </c>
      <c r="K659" s="8" t="s">
        <v>5087</v>
      </c>
      <c r="S659"/>
    </row>
    <row r="660" spans="1:19" ht="15" x14ac:dyDescent="0.25">
      <c r="A660" s="8" t="s">
        <v>5073</v>
      </c>
      <c r="B660" s="8" t="s">
        <v>5070</v>
      </c>
      <c r="C660" s="8" t="s">
        <v>5607</v>
      </c>
      <c r="D660" s="32" t="s">
        <v>6984</v>
      </c>
      <c r="E660" s="32" t="s">
        <v>5607</v>
      </c>
      <c r="F660" s="10">
        <v>1</v>
      </c>
      <c r="G660" s="8" t="s">
        <v>5086</v>
      </c>
      <c r="H660" s="10">
        <v>19.3</v>
      </c>
      <c r="I660" s="10">
        <f t="shared" si="12"/>
        <v>19.3</v>
      </c>
      <c r="J660" s="10">
        <v>0</v>
      </c>
      <c r="K660" s="8" t="s">
        <v>5087</v>
      </c>
      <c r="S660"/>
    </row>
    <row r="661" spans="1:19" ht="15" x14ac:dyDescent="0.25">
      <c r="A661" s="8" t="s">
        <v>5073</v>
      </c>
      <c r="B661" s="8" t="s">
        <v>5070</v>
      </c>
      <c r="C661" s="8" t="s">
        <v>5608</v>
      </c>
      <c r="D661" s="32" t="s">
        <v>6984</v>
      </c>
      <c r="E661" s="32" t="s">
        <v>5608</v>
      </c>
      <c r="F661" s="10">
        <v>2</v>
      </c>
      <c r="G661" s="8" t="s">
        <v>5086</v>
      </c>
      <c r="H661" s="10">
        <v>12.75</v>
      </c>
      <c r="I661" s="10">
        <f t="shared" si="12"/>
        <v>25.5</v>
      </c>
      <c r="J661" s="10">
        <v>0</v>
      </c>
      <c r="K661" s="8" t="s">
        <v>5087</v>
      </c>
      <c r="S661"/>
    </row>
    <row r="662" spans="1:19" ht="15" x14ac:dyDescent="0.25">
      <c r="A662" s="8" t="s">
        <v>5073</v>
      </c>
      <c r="B662" s="8" t="s">
        <v>5070</v>
      </c>
      <c r="C662" s="8" t="s">
        <v>5609</v>
      </c>
      <c r="D662" s="32" t="s">
        <v>6984</v>
      </c>
      <c r="E662" s="32" t="s">
        <v>5609</v>
      </c>
      <c r="F662" s="10">
        <v>2</v>
      </c>
      <c r="G662" s="8" t="s">
        <v>5086</v>
      </c>
      <c r="H662" s="10">
        <v>26.55</v>
      </c>
      <c r="I662" s="10">
        <f t="shared" si="12"/>
        <v>53.1</v>
      </c>
      <c r="J662" s="10">
        <v>0</v>
      </c>
      <c r="K662" s="8" t="s">
        <v>5087</v>
      </c>
      <c r="S662"/>
    </row>
    <row r="663" spans="1:19" ht="15" x14ac:dyDescent="0.25">
      <c r="A663" s="8" t="s">
        <v>5073</v>
      </c>
      <c r="B663" s="8" t="s">
        <v>5070</v>
      </c>
      <c r="C663" s="8" t="s">
        <v>5610</v>
      </c>
      <c r="D663" s="32" t="s">
        <v>6984</v>
      </c>
      <c r="E663" s="32" t="s">
        <v>5610</v>
      </c>
      <c r="F663" s="10">
        <v>1</v>
      </c>
      <c r="G663" s="8" t="s">
        <v>5086</v>
      </c>
      <c r="H663" s="10">
        <v>10.7</v>
      </c>
      <c r="I663" s="10">
        <f t="shared" si="12"/>
        <v>10.7</v>
      </c>
      <c r="J663" s="10">
        <v>0</v>
      </c>
      <c r="K663" s="8" t="s">
        <v>5087</v>
      </c>
      <c r="S663"/>
    </row>
    <row r="664" spans="1:19" ht="15" x14ac:dyDescent="0.25">
      <c r="A664" s="8" t="s">
        <v>5073</v>
      </c>
      <c r="B664" s="8" t="s">
        <v>5070</v>
      </c>
      <c r="C664" s="8" t="s">
        <v>5611</v>
      </c>
      <c r="D664" s="32" t="s">
        <v>6984</v>
      </c>
      <c r="E664" s="32" t="s">
        <v>5611</v>
      </c>
      <c r="F664" s="10">
        <v>2</v>
      </c>
      <c r="G664" s="8" t="s">
        <v>5086</v>
      </c>
      <c r="H664" s="10">
        <v>16.149999999999999</v>
      </c>
      <c r="I664" s="10">
        <f t="shared" si="12"/>
        <v>32.299999999999997</v>
      </c>
      <c r="J664" s="10">
        <v>0</v>
      </c>
      <c r="K664" s="8" t="s">
        <v>5087</v>
      </c>
      <c r="S664"/>
    </row>
    <row r="665" spans="1:19" ht="15" x14ac:dyDescent="0.25">
      <c r="A665" s="8" t="s">
        <v>5073</v>
      </c>
      <c r="B665" s="8" t="s">
        <v>5070</v>
      </c>
      <c r="C665" s="8" t="s">
        <v>5612</v>
      </c>
      <c r="D665" s="32" t="s">
        <v>6984</v>
      </c>
      <c r="E665" s="32" t="s">
        <v>5612</v>
      </c>
      <c r="F665" s="10">
        <v>1</v>
      </c>
      <c r="G665" s="8" t="s">
        <v>5086</v>
      </c>
      <c r="H665" s="10">
        <v>13.2</v>
      </c>
      <c r="I665" s="10">
        <f t="shared" si="12"/>
        <v>13.2</v>
      </c>
      <c r="J665" s="10">
        <v>0</v>
      </c>
      <c r="K665" s="8" t="s">
        <v>5087</v>
      </c>
      <c r="S665"/>
    </row>
    <row r="666" spans="1:19" ht="15" x14ac:dyDescent="0.25">
      <c r="A666" s="8" t="s">
        <v>5073</v>
      </c>
      <c r="B666" s="8" t="s">
        <v>5070</v>
      </c>
      <c r="C666" s="8" t="s">
        <v>5613</v>
      </c>
      <c r="D666" s="32" t="s">
        <v>6984</v>
      </c>
      <c r="E666" s="32" t="s">
        <v>5613</v>
      </c>
      <c r="F666" s="10">
        <v>1</v>
      </c>
      <c r="G666" s="8" t="s">
        <v>5086</v>
      </c>
      <c r="H666" s="10">
        <v>22.2</v>
      </c>
      <c r="I666" s="10">
        <f t="shared" si="12"/>
        <v>22.2</v>
      </c>
      <c r="J666" s="10">
        <v>0</v>
      </c>
      <c r="K666" s="8" t="s">
        <v>5087</v>
      </c>
      <c r="S666"/>
    </row>
    <row r="667" spans="1:19" ht="15" x14ac:dyDescent="0.25">
      <c r="A667" s="8" t="s">
        <v>5073</v>
      </c>
      <c r="B667" s="8" t="s">
        <v>5070</v>
      </c>
      <c r="C667" s="8" t="s">
        <v>5614</v>
      </c>
      <c r="D667" s="32" t="s">
        <v>6984</v>
      </c>
      <c r="E667" s="32" t="s">
        <v>5614</v>
      </c>
      <c r="F667" s="10">
        <v>2</v>
      </c>
      <c r="G667" s="8" t="s">
        <v>5086</v>
      </c>
      <c r="H667" s="10">
        <v>19.3</v>
      </c>
      <c r="I667" s="10">
        <f t="shared" si="12"/>
        <v>38.6</v>
      </c>
      <c r="J667" s="10">
        <v>0</v>
      </c>
      <c r="K667" s="8" t="s">
        <v>5087</v>
      </c>
      <c r="S667"/>
    </row>
    <row r="668" spans="1:19" ht="15" x14ac:dyDescent="0.25">
      <c r="A668" s="8" t="s">
        <v>5073</v>
      </c>
      <c r="B668" s="8" t="s">
        <v>5070</v>
      </c>
      <c r="C668" s="8" t="s">
        <v>5615</v>
      </c>
      <c r="D668" s="32" t="s">
        <v>6984</v>
      </c>
      <c r="E668" s="32" t="s">
        <v>5615</v>
      </c>
      <c r="F668" s="10">
        <v>8</v>
      </c>
      <c r="G668" s="8" t="s">
        <v>5569</v>
      </c>
      <c r="H668" s="10">
        <v>13.1</v>
      </c>
      <c r="I668" s="10">
        <f t="shared" si="12"/>
        <v>104.8</v>
      </c>
      <c r="J668" s="10">
        <v>0</v>
      </c>
      <c r="K668" s="8" t="s">
        <v>5570</v>
      </c>
      <c r="S668"/>
    </row>
    <row r="669" spans="1:19" ht="15" x14ac:dyDescent="0.25">
      <c r="A669" s="8" t="s">
        <v>5069</v>
      </c>
      <c r="B669" s="8" t="s">
        <v>5070</v>
      </c>
      <c r="C669" s="8" t="s">
        <v>5616</v>
      </c>
      <c r="D669" s="32" t="s">
        <v>6984</v>
      </c>
      <c r="E669" s="32" t="s">
        <v>5616</v>
      </c>
      <c r="F669" s="10">
        <v>1</v>
      </c>
      <c r="G669" s="8" t="s">
        <v>5086</v>
      </c>
      <c r="H669" s="10">
        <v>9.5</v>
      </c>
      <c r="I669" s="10">
        <f t="shared" si="12"/>
        <v>9.5</v>
      </c>
      <c r="J669" s="10">
        <v>0</v>
      </c>
      <c r="K669" s="8" t="s">
        <v>5087</v>
      </c>
      <c r="S669"/>
    </row>
    <row r="670" spans="1:19" ht="15" x14ac:dyDescent="0.25">
      <c r="A670" s="8" t="s">
        <v>5073</v>
      </c>
      <c r="B670" s="8" t="s">
        <v>5070</v>
      </c>
      <c r="C670" s="8" t="s">
        <v>5617</v>
      </c>
      <c r="D670" s="32" t="s">
        <v>6984</v>
      </c>
      <c r="E670" s="32" t="s">
        <v>5617</v>
      </c>
      <c r="F670" s="10">
        <v>1</v>
      </c>
      <c r="G670" s="8" t="s">
        <v>5086</v>
      </c>
      <c r="H670" s="10">
        <v>15.9</v>
      </c>
      <c r="I670" s="10">
        <f t="shared" si="12"/>
        <v>15.9</v>
      </c>
      <c r="J670" s="10">
        <v>0</v>
      </c>
      <c r="K670" s="8" t="s">
        <v>5087</v>
      </c>
      <c r="S670"/>
    </row>
    <row r="671" spans="1:19" ht="15" x14ac:dyDescent="0.25">
      <c r="A671" s="8" t="s">
        <v>5073</v>
      </c>
      <c r="B671" s="8" t="s">
        <v>5070</v>
      </c>
      <c r="C671" s="8" t="s">
        <v>5618</v>
      </c>
      <c r="D671" s="32" t="s">
        <v>6984</v>
      </c>
      <c r="E671" s="32" t="s">
        <v>5618</v>
      </c>
      <c r="F671" s="10">
        <v>1</v>
      </c>
      <c r="G671" s="8" t="s">
        <v>5619</v>
      </c>
      <c r="H671" s="10">
        <v>160.5</v>
      </c>
      <c r="I671" s="10">
        <f t="shared" si="12"/>
        <v>160.5</v>
      </c>
      <c r="K671" s="8" t="s">
        <v>5620</v>
      </c>
      <c r="S671"/>
    </row>
    <row r="672" spans="1:19" ht="15" x14ac:dyDescent="0.25">
      <c r="A672" s="8" t="s">
        <v>5073</v>
      </c>
      <c r="B672" s="8" t="s">
        <v>5070</v>
      </c>
      <c r="C672" s="8" t="s">
        <v>5621</v>
      </c>
      <c r="D672" s="32" t="s">
        <v>6984</v>
      </c>
      <c r="E672" s="32" t="s">
        <v>5621</v>
      </c>
      <c r="F672" s="10">
        <v>1</v>
      </c>
      <c r="G672" s="8" t="s">
        <v>5619</v>
      </c>
      <c r="H672" s="10">
        <v>156.30000000000001</v>
      </c>
      <c r="I672" s="10">
        <f t="shared" si="12"/>
        <v>156.30000000000001</v>
      </c>
      <c r="K672" s="8" t="s">
        <v>5620</v>
      </c>
      <c r="S672"/>
    </row>
    <row r="673" spans="1:19" ht="15" x14ac:dyDescent="0.25">
      <c r="A673" s="8" t="s">
        <v>5622</v>
      </c>
      <c r="B673" s="8" t="s">
        <v>4847</v>
      </c>
      <c r="C673" s="8" t="s">
        <v>5623</v>
      </c>
      <c r="D673" s="32" t="s">
        <v>6984</v>
      </c>
      <c r="E673" s="32" t="s">
        <v>5623</v>
      </c>
      <c r="F673" s="10">
        <v>1</v>
      </c>
      <c r="G673" s="8" t="s">
        <v>5624</v>
      </c>
      <c r="H673" s="10">
        <v>269</v>
      </c>
      <c r="I673" s="10">
        <f t="shared" si="12"/>
        <v>269</v>
      </c>
      <c r="J673" s="10">
        <v>7.4675937000000001</v>
      </c>
      <c r="K673" s="8" t="s">
        <v>5209</v>
      </c>
      <c r="S673"/>
    </row>
    <row r="674" spans="1:19" ht="15" x14ac:dyDescent="0.25">
      <c r="A674" s="8" t="s">
        <v>5622</v>
      </c>
      <c r="B674" s="8" t="s">
        <v>4847</v>
      </c>
      <c r="C674" s="8" t="s">
        <v>5625</v>
      </c>
      <c r="D674" s="32" t="s">
        <v>6984</v>
      </c>
      <c r="E674" s="32" t="s">
        <v>5625</v>
      </c>
      <c r="F674" s="10">
        <v>1</v>
      </c>
      <c r="G674" s="8" t="s">
        <v>5624</v>
      </c>
      <c r="H674" s="10">
        <v>600.70000000000005</v>
      </c>
      <c r="I674" s="10">
        <f t="shared" si="12"/>
        <v>600.70000000000005</v>
      </c>
      <c r="J674" s="10">
        <v>16.698860247999999</v>
      </c>
      <c r="K674" s="8" t="s">
        <v>5209</v>
      </c>
      <c r="S674"/>
    </row>
    <row r="675" spans="1:19" ht="15" x14ac:dyDescent="0.25">
      <c r="A675" s="8" t="s">
        <v>5622</v>
      </c>
      <c r="B675" s="8" t="s">
        <v>4847</v>
      </c>
      <c r="C675" s="8" t="s">
        <v>5626</v>
      </c>
      <c r="D675" s="32" t="s">
        <v>6984</v>
      </c>
      <c r="E675" s="32" t="s">
        <v>5626</v>
      </c>
      <c r="F675" s="10">
        <v>1</v>
      </c>
      <c r="G675" s="8" t="s">
        <v>5624</v>
      </c>
      <c r="H675" s="10">
        <v>268.5</v>
      </c>
      <c r="I675" s="10">
        <f t="shared" si="12"/>
        <v>268.5</v>
      </c>
      <c r="J675" s="10">
        <v>7.4528936999999997</v>
      </c>
      <c r="K675" s="8" t="s">
        <v>5209</v>
      </c>
      <c r="S675"/>
    </row>
    <row r="676" spans="1:19" ht="15" x14ac:dyDescent="0.25">
      <c r="A676" s="8" t="s">
        <v>5622</v>
      </c>
      <c r="B676" s="8" t="s">
        <v>4847</v>
      </c>
      <c r="C676" s="8" t="s">
        <v>5627</v>
      </c>
      <c r="D676" s="32" t="s">
        <v>6984</v>
      </c>
      <c r="E676" s="32" t="s">
        <v>5627</v>
      </c>
      <c r="F676" s="10">
        <v>3</v>
      </c>
      <c r="G676" s="8" t="s">
        <v>5624</v>
      </c>
      <c r="H676" s="10">
        <v>268.09999999999997</v>
      </c>
      <c r="I676" s="10">
        <f t="shared" si="12"/>
        <v>804.3</v>
      </c>
      <c r="J676" s="10">
        <v>22.3166817</v>
      </c>
      <c r="K676" s="8" t="s">
        <v>5209</v>
      </c>
      <c r="S676"/>
    </row>
    <row r="677" spans="1:19" ht="15" x14ac:dyDescent="0.25">
      <c r="A677" s="8" t="s">
        <v>5622</v>
      </c>
      <c r="B677" s="8" t="s">
        <v>4847</v>
      </c>
      <c r="C677" s="8" t="s">
        <v>5628</v>
      </c>
      <c r="D677" s="32" t="s">
        <v>6984</v>
      </c>
      <c r="E677" s="32" t="s">
        <v>5628</v>
      </c>
      <c r="F677" s="10">
        <v>2</v>
      </c>
      <c r="G677" s="8" t="s">
        <v>5624</v>
      </c>
      <c r="H677" s="10">
        <v>266.5</v>
      </c>
      <c r="I677" s="10">
        <f t="shared" si="12"/>
        <v>533</v>
      </c>
      <c r="J677" s="10">
        <v>14.7925278</v>
      </c>
      <c r="K677" s="8" t="s">
        <v>5209</v>
      </c>
      <c r="S677"/>
    </row>
    <row r="678" spans="1:19" ht="15" x14ac:dyDescent="0.25">
      <c r="A678" s="8" t="s">
        <v>5622</v>
      </c>
      <c r="B678" s="8" t="s">
        <v>4847</v>
      </c>
      <c r="C678" s="8" t="s">
        <v>5629</v>
      </c>
      <c r="D678" s="32" t="s">
        <v>6984</v>
      </c>
      <c r="E678" s="32" t="s">
        <v>5629</v>
      </c>
      <c r="F678" s="10">
        <v>3</v>
      </c>
      <c r="G678" s="8" t="s">
        <v>5624</v>
      </c>
      <c r="H678" s="10">
        <v>269.09999999999997</v>
      </c>
      <c r="I678" s="10">
        <f t="shared" si="12"/>
        <v>807.3</v>
      </c>
      <c r="J678" s="10">
        <v>22.421680200000001</v>
      </c>
      <c r="K678" s="8" t="s">
        <v>5209</v>
      </c>
      <c r="S678"/>
    </row>
    <row r="679" spans="1:19" ht="15" x14ac:dyDescent="0.25">
      <c r="A679" s="8" t="s">
        <v>5622</v>
      </c>
      <c r="B679" s="8" t="s">
        <v>4847</v>
      </c>
      <c r="C679" s="8" t="s">
        <v>5630</v>
      </c>
      <c r="D679" s="32" t="s">
        <v>6984</v>
      </c>
      <c r="E679" s="32" t="s">
        <v>5630</v>
      </c>
      <c r="F679" s="10">
        <v>1</v>
      </c>
      <c r="G679" s="8" t="s">
        <v>5624</v>
      </c>
      <c r="H679" s="10">
        <v>601.1</v>
      </c>
      <c r="I679" s="10">
        <f t="shared" si="12"/>
        <v>601.1</v>
      </c>
      <c r="J679" s="10">
        <v>16.667830349999999</v>
      </c>
      <c r="K679" s="8" t="s">
        <v>5209</v>
      </c>
      <c r="S679"/>
    </row>
    <row r="680" spans="1:19" ht="15" x14ac:dyDescent="0.25">
      <c r="A680" s="8" t="s">
        <v>5622</v>
      </c>
      <c r="B680" s="8" t="s">
        <v>4847</v>
      </c>
      <c r="C680" s="8" t="s">
        <v>5631</v>
      </c>
      <c r="D680" s="32" t="s">
        <v>6984</v>
      </c>
      <c r="E680" s="32" t="s">
        <v>5631</v>
      </c>
      <c r="F680" s="10">
        <v>1</v>
      </c>
      <c r="G680" s="8" t="s">
        <v>5624</v>
      </c>
      <c r="H680" s="10">
        <v>600.1</v>
      </c>
      <c r="I680" s="10">
        <f t="shared" si="12"/>
        <v>600.1</v>
      </c>
      <c r="J680" s="10">
        <v>16.627346984999999</v>
      </c>
      <c r="K680" s="8" t="s">
        <v>5209</v>
      </c>
      <c r="S680"/>
    </row>
    <row r="681" spans="1:19" ht="15" x14ac:dyDescent="0.25">
      <c r="A681" s="8" t="s">
        <v>5622</v>
      </c>
      <c r="B681" s="8" t="s">
        <v>4847</v>
      </c>
      <c r="C681" s="8" t="s">
        <v>5632</v>
      </c>
      <c r="D681" s="32" t="s">
        <v>6984</v>
      </c>
      <c r="E681" s="32" t="s">
        <v>5632</v>
      </c>
      <c r="F681" s="10">
        <v>1</v>
      </c>
      <c r="G681" s="8" t="s">
        <v>5624</v>
      </c>
      <c r="H681" s="10">
        <v>600.29999999999995</v>
      </c>
      <c r="I681" s="10">
        <f t="shared" si="12"/>
        <v>600.29999999999995</v>
      </c>
      <c r="J681" s="10">
        <v>16.671397748</v>
      </c>
      <c r="K681" s="8" t="s">
        <v>5209</v>
      </c>
      <c r="S681"/>
    </row>
    <row r="682" spans="1:19" ht="15" x14ac:dyDescent="0.25">
      <c r="A682" s="8" t="s">
        <v>5622</v>
      </c>
      <c r="B682" s="8" t="s">
        <v>4847</v>
      </c>
      <c r="C682" s="8" t="s">
        <v>5633</v>
      </c>
      <c r="D682" s="32" t="s">
        <v>6984</v>
      </c>
      <c r="E682" s="32" t="s">
        <v>5633</v>
      </c>
      <c r="F682" s="10">
        <v>1</v>
      </c>
      <c r="G682" s="8" t="s">
        <v>5624</v>
      </c>
      <c r="H682" s="10">
        <v>599.5</v>
      </c>
      <c r="I682" s="10">
        <f t="shared" si="12"/>
        <v>599.5</v>
      </c>
      <c r="J682" s="10">
        <v>16.604013985000002</v>
      </c>
      <c r="K682" s="8" t="s">
        <v>5209</v>
      </c>
      <c r="S682"/>
    </row>
    <row r="683" spans="1:19" ht="15" x14ac:dyDescent="0.25">
      <c r="A683" s="8" t="s">
        <v>5622</v>
      </c>
      <c r="B683" s="8" t="s">
        <v>4847</v>
      </c>
      <c r="C683" s="8" t="s">
        <v>5634</v>
      </c>
      <c r="D683" s="32" t="s">
        <v>6984</v>
      </c>
      <c r="E683" s="32" t="s">
        <v>5634</v>
      </c>
      <c r="F683" s="10">
        <v>1</v>
      </c>
      <c r="G683" s="8" t="s">
        <v>5624</v>
      </c>
      <c r="H683" s="10">
        <v>599</v>
      </c>
      <c r="I683" s="10">
        <f t="shared" si="12"/>
        <v>599</v>
      </c>
      <c r="J683" s="10">
        <v>16.637587748000001</v>
      </c>
      <c r="K683" s="8" t="s">
        <v>5209</v>
      </c>
      <c r="S683"/>
    </row>
    <row r="684" spans="1:19" ht="15" x14ac:dyDescent="0.25">
      <c r="A684" s="8" t="s">
        <v>5622</v>
      </c>
      <c r="B684" s="8" t="s">
        <v>4847</v>
      </c>
      <c r="C684" s="8" t="s">
        <v>5635</v>
      </c>
      <c r="D684" s="32" t="s">
        <v>6984</v>
      </c>
      <c r="E684" s="32" t="s">
        <v>5635</v>
      </c>
      <c r="F684" s="10">
        <v>1</v>
      </c>
      <c r="G684" s="8" t="s">
        <v>5624</v>
      </c>
      <c r="H684" s="10">
        <v>600.20000000000005</v>
      </c>
      <c r="I684" s="10">
        <f t="shared" si="12"/>
        <v>600.20000000000005</v>
      </c>
      <c r="J684" s="10">
        <v>16.637147349999999</v>
      </c>
      <c r="K684" s="8" t="s">
        <v>5209</v>
      </c>
      <c r="S684"/>
    </row>
    <row r="685" spans="1:19" ht="15" x14ac:dyDescent="0.25">
      <c r="A685" s="8" t="s">
        <v>5622</v>
      </c>
      <c r="B685" s="8" t="s">
        <v>4847</v>
      </c>
      <c r="C685" s="8" t="s">
        <v>5636</v>
      </c>
      <c r="D685" s="32" t="s">
        <v>6984</v>
      </c>
      <c r="E685" s="32" t="s">
        <v>5636</v>
      </c>
      <c r="F685" s="10">
        <v>1</v>
      </c>
      <c r="G685" s="8" t="s">
        <v>5624</v>
      </c>
      <c r="H685" s="10">
        <v>598.6</v>
      </c>
      <c r="I685" s="10">
        <f t="shared" si="12"/>
        <v>598.6</v>
      </c>
      <c r="J685" s="10">
        <v>16.584716985</v>
      </c>
      <c r="K685" s="8" t="s">
        <v>5209</v>
      </c>
      <c r="S685"/>
    </row>
    <row r="686" spans="1:19" ht="15" x14ac:dyDescent="0.25">
      <c r="A686" s="8" t="s">
        <v>5622</v>
      </c>
      <c r="B686" s="8" t="s">
        <v>4847</v>
      </c>
      <c r="C686" s="8" t="s">
        <v>5637</v>
      </c>
      <c r="D686" s="32" t="s">
        <v>6984</v>
      </c>
      <c r="E686" s="32" t="s">
        <v>5637</v>
      </c>
      <c r="F686" s="10">
        <v>1</v>
      </c>
      <c r="G686" s="8" t="s">
        <v>5624</v>
      </c>
      <c r="H686" s="10">
        <v>601.9</v>
      </c>
      <c r="I686" s="10">
        <f t="shared" si="12"/>
        <v>601.9</v>
      </c>
      <c r="J686" s="10">
        <v>16.698419850000001</v>
      </c>
      <c r="K686" s="8" t="s">
        <v>5209</v>
      </c>
      <c r="S686"/>
    </row>
    <row r="687" spans="1:19" ht="15" x14ac:dyDescent="0.25">
      <c r="A687" s="8" t="s">
        <v>5622</v>
      </c>
      <c r="B687" s="8" t="s">
        <v>4847</v>
      </c>
      <c r="C687" s="8" t="s">
        <v>5638</v>
      </c>
      <c r="D687" s="32" t="s">
        <v>6984</v>
      </c>
      <c r="E687" s="32" t="s">
        <v>5638</v>
      </c>
      <c r="F687" s="10">
        <v>1</v>
      </c>
      <c r="G687" s="8" t="s">
        <v>5624</v>
      </c>
      <c r="H687" s="10">
        <v>599.79999999999995</v>
      </c>
      <c r="I687" s="10">
        <f t="shared" si="12"/>
        <v>599.79999999999995</v>
      </c>
      <c r="J687" s="10">
        <v>16.607256925000002</v>
      </c>
      <c r="K687" s="8" t="s">
        <v>5209</v>
      </c>
      <c r="S687"/>
    </row>
    <row r="688" spans="1:19" ht="15" x14ac:dyDescent="0.25">
      <c r="A688" s="8" t="s">
        <v>5622</v>
      </c>
      <c r="B688" s="8" t="s">
        <v>4847</v>
      </c>
      <c r="C688" s="8" t="s">
        <v>5639</v>
      </c>
      <c r="D688" s="32" t="s">
        <v>6984</v>
      </c>
      <c r="E688" s="32" t="s">
        <v>5639</v>
      </c>
      <c r="F688" s="10">
        <v>1</v>
      </c>
      <c r="G688" s="8" t="s">
        <v>5624</v>
      </c>
      <c r="H688" s="10">
        <v>601.20000000000005</v>
      </c>
      <c r="I688" s="10">
        <f t="shared" si="12"/>
        <v>601.20000000000005</v>
      </c>
      <c r="J688" s="10">
        <v>16.665286484999999</v>
      </c>
      <c r="K688" s="8" t="s">
        <v>5209</v>
      </c>
      <c r="S688"/>
    </row>
    <row r="689" spans="1:19" ht="15" x14ac:dyDescent="0.25">
      <c r="A689" s="8" t="s">
        <v>5622</v>
      </c>
      <c r="B689" s="8" t="s">
        <v>4847</v>
      </c>
      <c r="C689" s="8" t="s">
        <v>5640</v>
      </c>
      <c r="D689" s="32" t="s">
        <v>6984</v>
      </c>
      <c r="E689" s="32" t="s">
        <v>5640</v>
      </c>
      <c r="F689" s="10">
        <v>1</v>
      </c>
      <c r="G689" s="8" t="s">
        <v>5624</v>
      </c>
      <c r="H689" s="10">
        <v>266.89999999999998</v>
      </c>
      <c r="I689" s="10">
        <f t="shared" si="12"/>
        <v>266.89999999999998</v>
      </c>
      <c r="J689" s="10">
        <v>7.4102636999999998</v>
      </c>
      <c r="K689" s="8" t="s">
        <v>5209</v>
      </c>
      <c r="S689"/>
    </row>
    <row r="690" spans="1:19" ht="15" x14ac:dyDescent="0.25">
      <c r="A690" s="8" t="s">
        <v>5622</v>
      </c>
      <c r="B690" s="8" t="s">
        <v>4847</v>
      </c>
      <c r="C690" s="8" t="s">
        <v>5641</v>
      </c>
      <c r="D690" s="32" t="s">
        <v>6984</v>
      </c>
      <c r="E690" s="32" t="s">
        <v>5641</v>
      </c>
      <c r="F690" s="10">
        <v>2</v>
      </c>
      <c r="G690" s="8" t="s">
        <v>5642</v>
      </c>
      <c r="H690" s="10">
        <v>125.35</v>
      </c>
      <c r="I690" s="10">
        <f t="shared" si="12"/>
        <v>250.7</v>
      </c>
      <c r="J690" s="10">
        <v>8.1786600000000007</v>
      </c>
      <c r="K690" s="8" t="s">
        <v>5643</v>
      </c>
      <c r="S690"/>
    </row>
    <row r="691" spans="1:19" ht="15" x14ac:dyDescent="0.25">
      <c r="A691" s="8" t="s">
        <v>5622</v>
      </c>
      <c r="B691" s="8" t="s">
        <v>4847</v>
      </c>
      <c r="C691" s="8" t="s">
        <v>5644</v>
      </c>
      <c r="D691" s="32" t="s">
        <v>6984</v>
      </c>
      <c r="E691" s="32" t="s">
        <v>5644</v>
      </c>
      <c r="F691" s="10">
        <v>2</v>
      </c>
      <c r="G691" s="8" t="s">
        <v>5642</v>
      </c>
      <c r="H691" s="10">
        <v>94.45</v>
      </c>
      <c r="I691" s="10">
        <f t="shared" si="12"/>
        <v>188.9</v>
      </c>
      <c r="J691" s="10">
        <v>6.1614000000000004</v>
      </c>
      <c r="K691" s="8" t="s">
        <v>5643</v>
      </c>
      <c r="S691"/>
    </row>
    <row r="692" spans="1:19" ht="15" x14ac:dyDescent="0.25">
      <c r="A692" s="8" t="s">
        <v>5622</v>
      </c>
      <c r="B692" s="8" t="s">
        <v>4847</v>
      </c>
      <c r="C692" s="8" t="s">
        <v>5645</v>
      </c>
      <c r="D692" s="32" t="s">
        <v>6984</v>
      </c>
      <c r="E692" s="32" t="s">
        <v>5645</v>
      </c>
      <c r="F692" s="10">
        <v>1</v>
      </c>
      <c r="G692" s="8" t="s">
        <v>5642</v>
      </c>
      <c r="H692" s="10">
        <v>131.69999999999999</v>
      </c>
      <c r="I692" s="10">
        <f t="shared" si="12"/>
        <v>131.69999999999999</v>
      </c>
      <c r="J692" s="10">
        <v>4.2965999999999998</v>
      </c>
      <c r="K692" s="8" t="s">
        <v>5643</v>
      </c>
      <c r="S692"/>
    </row>
    <row r="693" spans="1:19" ht="15" x14ac:dyDescent="0.25">
      <c r="A693" s="8" t="s">
        <v>5622</v>
      </c>
      <c r="B693" s="8" t="s">
        <v>4847</v>
      </c>
      <c r="C693" s="8" t="s">
        <v>5646</v>
      </c>
      <c r="D693" s="32" t="s">
        <v>6984</v>
      </c>
      <c r="E693" s="32" t="s">
        <v>5646</v>
      </c>
      <c r="F693" s="10">
        <v>1</v>
      </c>
      <c r="G693" s="8" t="s">
        <v>5642</v>
      </c>
      <c r="H693" s="10">
        <v>131.1</v>
      </c>
      <c r="I693" s="10">
        <f t="shared" si="12"/>
        <v>131.1</v>
      </c>
      <c r="J693" s="10">
        <v>4.2770700000000001</v>
      </c>
      <c r="K693" s="8" t="s">
        <v>5643</v>
      </c>
      <c r="S693"/>
    </row>
    <row r="694" spans="1:19" ht="15" x14ac:dyDescent="0.25">
      <c r="A694" s="8" t="s">
        <v>5622</v>
      </c>
      <c r="B694" s="8" t="s">
        <v>4847</v>
      </c>
      <c r="C694" s="8" t="s">
        <v>5647</v>
      </c>
      <c r="D694" s="32" t="s">
        <v>6984</v>
      </c>
      <c r="E694" s="32" t="s">
        <v>5647</v>
      </c>
      <c r="F694" s="10">
        <v>1</v>
      </c>
      <c r="G694" s="8" t="s">
        <v>5642</v>
      </c>
      <c r="H694" s="10">
        <v>94.2</v>
      </c>
      <c r="I694" s="10">
        <f t="shared" si="12"/>
        <v>94.2</v>
      </c>
      <c r="J694" s="10">
        <v>3.0743999999999998</v>
      </c>
      <c r="K694" s="8" t="s">
        <v>5643</v>
      </c>
      <c r="S694"/>
    </row>
    <row r="695" spans="1:19" ht="15" x14ac:dyDescent="0.25">
      <c r="A695" s="8" t="s">
        <v>5622</v>
      </c>
      <c r="B695" s="8" t="s">
        <v>4847</v>
      </c>
      <c r="C695" s="8" t="s">
        <v>5648</v>
      </c>
      <c r="D695" s="32" t="s">
        <v>6984</v>
      </c>
      <c r="E695" s="32" t="s">
        <v>5648</v>
      </c>
      <c r="F695" s="10">
        <v>1</v>
      </c>
      <c r="G695" s="8" t="s">
        <v>5642</v>
      </c>
      <c r="H695" s="10">
        <v>92.8</v>
      </c>
      <c r="I695" s="10">
        <f t="shared" si="12"/>
        <v>92.8</v>
      </c>
      <c r="J695" s="10">
        <v>3.02589</v>
      </c>
      <c r="K695" s="8" t="s">
        <v>5643</v>
      </c>
      <c r="S695"/>
    </row>
    <row r="696" spans="1:19" ht="15" x14ac:dyDescent="0.25">
      <c r="A696" s="8" t="s">
        <v>5622</v>
      </c>
      <c r="B696" s="8" t="s">
        <v>4847</v>
      </c>
      <c r="C696" s="8" t="s">
        <v>5649</v>
      </c>
      <c r="D696" s="32" t="s">
        <v>6984</v>
      </c>
      <c r="E696" s="32" t="s">
        <v>5649</v>
      </c>
      <c r="F696" s="10">
        <v>1</v>
      </c>
      <c r="G696" s="8" t="s">
        <v>5642</v>
      </c>
      <c r="H696" s="10">
        <v>131.6</v>
      </c>
      <c r="I696" s="10">
        <f t="shared" si="12"/>
        <v>131.6</v>
      </c>
      <c r="J696" s="10">
        <v>4.2928199999999999</v>
      </c>
      <c r="K696" s="8" t="s">
        <v>5643</v>
      </c>
      <c r="S696"/>
    </row>
    <row r="697" spans="1:19" ht="15" x14ac:dyDescent="0.25">
      <c r="A697" s="8" t="s">
        <v>5622</v>
      </c>
      <c r="B697" s="8" t="s">
        <v>4847</v>
      </c>
      <c r="C697" s="8" t="s">
        <v>5650</v>
      </c>
      <c r="D697" s="32" t="s">
        <v>6984</v>
      </c>
      <c r="E697" s="32" t="s">
        <v>5650</v>
      </c>
      <c r="F697" s="10">
        <v>1</v>
      </c>
      <c r="G697" s="8" t="s">
        <v>5642</v>
      </c>
      <c r="H697" s="10">
        <v>131</v>
      </c>
      <c r="I697" s="10">
        <f t="shared" si="12"/>
        <v>131</v>
      </c>
      <c r="J697" s="10">
        <v>4.2739200000000004</v>
      </c>
      <c r="K697" s="8" t="s">
        <v>5643</v>
      </c>
      <c r="S697"/>
    </row>
    <row r="698" spans="1:19" ht="15" x14ac:dyDescent="0.25">
      <c r="A698" s="8" t="s">
        <v>5622</v>
      </c>
      <c r="B698" s="8" t="s">
        <v>4847</v>
      </c>
      <c r="C698" s="8" t="s">
        <v>5651</v>
      </c>
      <c r="D698" s="32" t="s">
        <v>6984</v>
      </c>
      <c r="E698" s="32" t="s">
        <v>5651</v>
      </c>
      <c r="F698" s="10">
        <v>1</v>
      </c>
      <c r="G698" s="8" t="s">
        <v>5642</v>
      </c>
      <c r="H698" s="10">
        <v>125.4</v>
      </c>
      <c r="I698" s="10">
        <f t="shared" si="12"/>
        <v>125.4</v>
      </c>
      <c r="J698" s="10">
        <v>4.0905899999999997</v>
      </c>
      <c r="K698" s="8" t="s">
        <v>5643</v>
      </c>
      <c r="S698"/>
    </row>
    <row r="699" spans="1:19" ht="15" x14ac:dyDescent="0.25">
      <c r="A699" s="8" t="s">
        <v>5622</v>
      </c>
      <c r="B699" s="8" t="s">
        <v>4847</v>
      </c>
      <c r="C699" s="8" t="s">
        <v>5652</v>
      </c>
      <c r="D699" s="32" t="s">
        <v>6984</v>
      </c>
      <c r="E699" s="32" t="s">
        <v>5652</v>
      </c>
      <c r="F699" s="10">
        <v>9</v>
      </c>
      <c r="G699" s="8" t="s">
        <v>5642</v>
      </c>
      <c r="H699" s="10">
        <v>86.37777777777778</v>
      </c>
      <c r="I699" s="10">
        <f t="shared" si="12"/>
        <v>777.4</v>
      </c>
      <c r="J699" s="10">
        <v>25.361910000000002</v>
      </c>
      <c r="K699" s="8" t="s">
        <v>5643</v>
      </c>
      <c r="S699"/>
    </row>
    <row r="700" spans="1:19" ht="15" x14ac:dyDescent="0.25">
      <c r="A700" s="8" t="s">
        <v>5622</v>
      </c>
      <c r="B700" s="8" t="s">
        <v>4847</v>
      </c>
      <c r="C700" s="8" t="s">
        <v>5653</v>
      </c>
      <c r="D700" s="32" t="s">
        <v>6984</v>
      </c>
      <c r="E700" s="32" t="s">
        <v>5653</v>
      </c>
      <c r="F700" s="10">
        <v>4</v>
      </c>
      <c r="G700" s="8" t="s">
        <v>5642</v>
      </c>
      <c r="H700" s="10">
        <v>125.52500000000001</v>
      </c>
      <c r="I700" s="10">
        <f t="shared" si="12"/>
        <v>502.1</v>
      </c>
      <c r="J700" s="10">
        <v>16.38252</v>
      </c>
      <c r="K700" s="8" t="s">
        <v>5643</v>
      </c>
      <c r="S700"/>
    </row>
    <row r="701" spans="1:19" ht="15" x14ac:dyDescent="0.25">
      <c r="A701" s="8" t="s">
        <v>5622</v>
      </c>
      <c r="B701" s="8" t="s">
        <v>4847</v>
      </c>
      <c r="C701" s="8" t="s">
        <v>5654</v>
      </c>
      <c r="D701" s="32" t="s">
        <v>6984</v>
      </c>
      <c r="E701" s="32" t="s">
        <v>5654</v>
      </c>
      <c r="F701" s="10">
        <v>1</v>
      </c>
      <c r="G701" s="8" t="s">
        <v>5642</v>
      </c>
      <c r="H701" s="10">
        <v>86.3</v>
      </c>
      <c r="I701" s="10">
        <f t="shared" si="12"/>
        <v>86.3</v>
      </c>
      <c r="J701" s="10">
        <v>2.8142100000000001</v>
      </c>
      <c r="K701" s="8" t="s">
        <v>5643</v>
      </c>
      <c r="S701"/>
    </row>
    <row r="702" spans="1:19" ht="15" x14ac:dyDescent="0.25">
      <c r="A702" s="8" t="s">
        <v>5622</v>
      </c>
      <c r="B702" s="8" t="s">
        <v>4847</v>
      </c>
      <c r="C702" s="8" t="s">
        <v>5655</v>
      </c>
      <c r="D702" s="32" t="s">
        <v>6984</v>
      </c>
      <c r="E702" s="32" t="s">
        <v>5655</v>
      </c>
      <c r="F702" s="10">
        <v>11</v>
      </c>
      <c r="G702" s="8" t="s">
        <v>5642</v>
      </c>
      <c r="H702" s="10">
        <v>125.38181818181819</v>
      </c>
      <c r="I702" s="10">
        <f t="shared" si="12"/>
        <v>1379.2</v>
      </c>
      <c r="J702" s="10">
        <v>44.996490000000001</v>
      </c>
      <c r="K702" s="8" t="s">
        <v>5643</v>
      </c>
      <c r="S702"/>
    </row>
    <row r="703" spans="1:19" ht="15" x14ac:dyDescent="0.25">
      <c r="A703" s="8" t="s">
        <v>5622</v>
      </c>
      <c r="B703" s="8" t="s">
        <v>4847</v>
      </c>
      <c r="C703" s="8" t="s">
        <v>5656</v>
      </c>
      <c r="D703" s="32" t="s">
        <v>6984</v>
      </c>
      <c r="E703" s="32" t="s">
        <v>5656</v>
      </c>
      <c r="F703" s="10">
        <v>2</v>
      </c>
      <c r="G703" s="8" t="s">
        <v>5642</v>
      </c>
      <c r="H703" s="10">
        <v>131.44999999999999</v>
      </c>
      <c r="I703" s="10">
        <f t="shared" si="12"/>
        <v>262.89999999999998</v>
      </c>
      <c r="J703" s="10">
        <v>8.5755599999999994</v>
      </c>
      <c r="K703" s="8" t="s">
        <v>5643</v>
      </c>
      <c r="S703"/>
    </row>
    <row r="704" spans="1:19" ht="15" x14ac:dyDescent="0.25">
      <c r="A704" s="8" t="s">
        <v>5622</v>
      </c>
      <c r="B704" s="8" t="s">
        <v>4847</v>
      </c>
      <c r="C704" s="8" t="s">
        <v>5657</v>
      </c>
      <c r="D704" s="32" t="s">
        <v>6984</v>
      </c>
      <c r="E704" s="32" t="s">
        <v>5657</v>
      </c>
      <c r="F704" s="10">
        <v>2</v>
      </c>
      <c r="G704" s="8" t="s">
        <v>5642</v>
      </c>
      <c r="H704" s="10">
        <v>131.5</v>
      </c>
      <c r="I704" s="10">
        <f t="shared" si="12"/>
        <v>263</v>
      </c>
      <c r="J704" s="10">
        <v>8.5806000000000004</v>
      </c>
      <c r="K704" s="8" t="s">
        <v>5643</v>
      </c>
      <c r="S704"/>
    </row>
    <row r="705" spans="1:19" ht="15" x14ac:dyDescent="0.25">
      <c r="A705" s="8" t="s">
        <v>5622</v>
      </c>
      <c r="B705" s="8" t="s">
        <v>4847</v>
      </c>
      <c r="C705" s="8" t="s">
        <v>5658</v>
      </c>
      <c r="D705" s="32" t="s">
        <v>6984</v>
      </c>
      <c r="E705" s="32" t="s">
        <v>5658</v>
      </c>
      <c r="F705" s="10">
        <v>2</v>
      </c>
      <c r="G705" s="8" t="s">
        <v>5642</v>
      </c>
      <c r="H705" s="10">
        <v>125.4</v>
      </c>
      <c r="I705" s="10">
        <f t="shared" si="12"/>
        <v>250.8</v>
      </c>
      <c r="J705" s="10">
        <v>8.1824399999999997</v>
      </c>
      <c r="K705" s="8" t="s">
        <v>5643</v>
      </c>
      <c r="S705"/>
    </row>
    <row r="706" spans="1:19" ht="15" x14ac:dyDescent="0.25">
      <c r="A706" s="8" t="s">
        <v>5622</v>
      </c>
      <c r="B706" s="8" t="s">
        <v>4847</v>
      </c>
      <c r="C706" s="8" t="s">
        <v>5659</v>
      </c>
      <c r="D706" s="32" t="s">
        <v>6984</v>
      </c>
      <c r="E706" s="32" t="s">
        <v>5659</v>
      </c>
      <c r="F706" s="10">
        <v>1</v>
      </c>
      <c r="G706" s="8" t="s">
        <v>4903</v>
      </c>
      <c r="H706" s="10">
        <v>192.4</v>
      </c>
      <c r="I706" s="10">
        <f t="shared" si="12"/>
        <v>192.4</v>
      </c>
      <c r="J706" s="10">
        <v>4.9473060000000002</v>
      </c>
      <c r="K706" s="8" t="s">
        <v>4949</v>
      </c>
      <c r="S706"/>
    </row>
    <row r="707" spans="1:19" ht="15" x14ac:dyDescent="0.25">
      <c r="A707" s="8" t="s">
        <v>5622</v>
      </c>
      <c r="B707" s="8" t="s">
        <v>4847</v>
      </c>
      <c r="C707" s="8" t="s">
        <v>5660</v>
      </c>
      <c r="D707" s="32" t="s">
        <v>6984</v>
      </c>
      <c r="E707" s="32" t="s">
        <v>5660</v>
      </c>
      <c r="F707" s="10">
        <v>2</v>
      </c>
      <c r="G707" s="8" t="s">
        <v>4903</v>
      </c>
      <c r="H707" s="10">
        <v>274.25</v>
      </c>
      <c r="I707" s="10">
        <f t="shared" si="12"/>
        <v>548.5</v>
      </c>
      <c r="J707" s="10">
        <v>14.106092</v>
      </c>
      <c r="K707" s="8" t="s">
        <v>4949</v>
      </c>
      <c r="S707"/>
    </row>
    <row r="708" spans="1:19" ht="15" x14ac:dyDescent="0.25">
      <c r="A708" s="8" t="s">
        <v>5622</v>
      </c>
      <c r="B708" s="8" t="s">
        <v>4847</v>
      </c>
      <c r="C708" s="8" t="s">
        <v>5661</v>
      </c>
      <c r="D708" s="32" t="s">
        <v>6984</v>
      </c>
      <c r="E708" s="32" t="s">
        <v>5661</v>
      </c>
      <c r="F708" s="10">
        <v>1</v>
      </c>
      <c r="G708" s="8" t="s">
        <v>4903</v>
      </c>
      <c r="H708" s="10">
        <v>218.2</v>
      </c>
      <c r="I708" s="10">
        <f t="shared" si="12"/>
        <v>218.2</v>
      </c>
      <c r="J708" s="10">
        <v>5.612152</v>
      </c>
      <c r="K708" s="8" t="s">
        <v>4949</v>
      </c>
      <c r="S708"/>
    </row>
    <row r="709" spans="1:19" ht="15" x14ac:dyDescent="0.25">
      <c r="A709" s="8" t="s">
        <v>5622</v>
      </c>
      <c r="B709" s="8" t="s">
        <v>4847</v>
      </c>
      <c r="C709" s="8" t="s">
        <v>5662</v>
      </c>
      <c r="D709" s="32" t="s">
        <v>6984</v>
      </c>
      <c r="E709" s="32" t="s">
        <v>5662</v>
      </c>
      <c r="F709" s="10">
        <v>1</v>
      </c>
      <c r="G709" s="8" t="s">
        <v>16</v>
      </c>
      <c r="H709" s="10">
        <v>305.3</v>
      </c>
      <c r="I709" s="10">
        <f t="shared" ref="I709:I772" si="13">F709*H709</f>
        <v>305.3</v>
      </c>
      <c r="J709" s="10">
        <v>9.8531980400000005</v>
      </c>
      <c r="K709" s="8" t="s">
        <v>4781</v>
      </c>
      <c r="S709"/>
    </row>
    <row r="710" spans="1:19" ht="15" x14ac:dyDescent="0.25">
      <c r="A710" s="8" t="s">
        <v>5622</v>
      </c>
      <c r="B710" s="8" t="s">
        <v>4847</v>
      </c>
      <c r="C710" s="8" t="s">
        <v>5663</v>
      </c>
      <c r="D710" s="32" t="s">
        <v>6984</v>
      </c>
      <c r="E710" s="32" t="s">
        <v>5663</v>
      </c>
      <c r="F710" s="10">
        <v>2</v>
      </c>
      <c r="G710" s="8" t="s">
        <v>16</v>
      </c>
      <c r="H710" s="10">
        <v>120.4</v>
      </c>
      <c r="I710" s="10">
        <f t="shared" si="13"/>
        <v>240.8</v>
      </c>
      <c r="J710" s="10">
        <v>7.8825060000000002</v>
      </c>
      <c r="K710" s="8" t="s">
        <v>5116</v>
      </c>
      <c r="S710"/>
    </row>
    <row r="711" spans="1:19" ht="15" x14ac:dyDescent="0.25">
      <c r="A711" s="8" t="s">
        <v>5622</v>
      </c>
      <c r="B711" s="8" t="s">
        <v>4847</v>
      </c>
      <c r="C711" s="8" t="s">
        <v>5664</v>
      </c>
      <c r="D711" s="32" t="s">
        <v>6984</v>
      </c>
      <c r="E711" s="32" t="s">
        <v>5664</v>
      </c>
      <c r="F711" s="10">
        <v>1</v>
      </c>
      <c r="G711" s="8" t="s">
        <v>16</v>
      </c>
      <c r="H711" s="10">
        <v>318.3</v>
      </c>
      <c r="I711" s="10">
        <f t="shared" si="13"/>
        <v>318.3</v>
      </c>
      <c r="J711" s="10">
        <v>10.270943040000001</v>
      </c>
      <c r="K711" s="8" t="s">
        <v>4781</v>
      </c>
      <c r="S711"/>
    </row>
    <row r="712" spans="1:19" ht="15" x14ac:dyDescent="0.25">
      <c r="A712" s="8" t="s">
        <v>5622</v>
      </c>
      <c r="B712" s="8" t="s">
        <v>4847</v>
      </c>
      <c r="C712" s="8" t="s">
        <v>5665</v>
      </c>
      <c r="D712" s="32" t="s">
        <v>6984</v>
      </c>
      <c r="E712" s="32" t="s">
        <v>5665</v>
      </c>
      <c r="F712" s="10">
        <v>1</v>
      </c>
      <c r="G712" s="8" t="s">
        <v>16</v>
      </c>
      <c r="H712" s="10">
        <v>121.3</v>
      </c>
      <c r="I712" s="10">
        <f t="shared" si="13"/>
        <v>121.3</v>
      </c>
      <c r="J712" s="10">
        <v>3.9791609999999999</v>
      </c>
      <c r="K712" s="8" t="s">
        <v>5116</v>
      </c>
      <c r="S712"/>
    </row>
    <row r="713" spans="1:19" ht="15" x14ac:dyDescent="0.25">
      <c r="A713" s="8" t="s">
        <v>5622</v>
      </c>
      <c r="B713" s="8" t="s">
        <v>4847</v>
      </c>
      <c r="C713" s="8" t="s">
        <v>4863</v>
      </c>
      <c r="D713" s="32" t="s">
        <v>6984</v>
      </c>
      <c r="E713" s="32" t="s">
        <v>4863</v>
      </c>
      <c r="F713" s="10">
        <v>1</v>
      </c>
      <c r="G713" s="8" t="s">
        <v>16</v>
      </c>
      <c r="H713" s="10">
        <v>862.3</v>
      </c>
      <c r="I713" s="10">
        <f t="shared" si="13"/>
        <v>862.3</v>
      </c>
      <c r="J713" s="10">
        <v>15.7470623072</v>
      </c>
      <c r="K713" s="8" t="s">
        <v>4850</v>
      </c>
      <c r="S713"/>
    </row>
    <row r="714" spans="1:19" ht="15" x14ac:dyDescent="0.25">
      <c r="A714" s="8" t="s">
        <v>5622</v>
      </c>
      <c r="B714" s="8" t="s">
        <v>4847</v>
      </c>
      <c r="C714" s="8" t="s">
        <v>5666</v>
      </c>
      <c r="D714" s="32" t="s">
        <v>6984</v>
      </c>
      <c r="E714" s="32" t="s">
        <v>5666</v>
      </c>
      <c r="F714" s="10">
        <v>1</v>
      </c>
      <c r="G714" s="8" t="s">
        <v>16</v>
      </c>
      <c r="H714" s="10">
        <v>1308</v>
      </c>
      <c r="I714" s="10">
        <f t="shared" si="13"/>
        <v>1308</v>
      </c>
      <c r="J714" s="10">
        <v>23.795834580000001</v>
      </c>
      <c r="K714" s="8" t="s">
        <v>4850</v>
      </c>
      <c r="S714"/>
    </row>
    <row r="715" spans="1:19" ht="15" x14ac:dyDescent="0.25">
      <c r="A715" s="8" t="s">
        <v>5622</v>
      </c>
      <c r="B715" s="8" t="s">
        <v>4847</v>
      </c>
      <c r="C715" s="8" t="s">
        <v>5667</v>
      </c>
      <c r="D715" s="32" t="s">
        <v>6984</v>
      </c>
      <c r="E715" s="32" t="s">
        <v>5667</v>
      </c>
      <c r="F715" s="10">
        <v>1</v>
      </c>
      <c r="G715" s="8" t="s">
        <v>16</v>
      </c>
      <c r="H715" s="10">
        <v>55.3</v>
      </c>
      <c r="I715" s="10">
        <f t="shared" si="13"/>
        <v>55.3</v>
      </c>
      <c r="J715" s="10">
        <v>1.7887168784</v>
      </c>
      <c r="K715" s="8" t="s">
        <v>4781</v>
      </c>
      <c r="S715"/>
    </row>
    <row r="716" spans="1:19" ht="15" x14ac:dyDescent="0.25">
      <c r="A716" s="8" t="s">
        <v>5622</v>
      </c>
      <c r="B716" s="8" t="s">
        <v>4847</v>
      </c>
      <c r="C716" s="8" t="s">
        <v>5668</v>
      </c>
      <c r="D716" s="32" t="s">
        <v>6984</v>
      </c>
      <c r="E716" s="32" t="s">
        <v>5668</v>
      </c>
      <c r="F716" s="10">
        <v>1</v>
      </c>
      <c r="G716" s="8" t="s">
        <v>16</v>
      </c>
      <c r="H716" s="10">
        <v>670.8</v>
      </c>
      <c r="I716" s="10">
        <f t="shared" si="13"/>
        <v>670.8</v>
      </c>
      <c r="J716" s="10">
        <v>12.3638185944</v>
      </c>
      <c r="K716" s="8" t="s">
        <v>4850</v>
      </c>
      <c r="S716"/>
    </row>
    <row r="717" spans="1:19" ht="15" x14ac:dyDescent="0.25">
      <c r="A717" s="8" t="s">
        <v>5622</v>
      </c>
      <c r="B717" s="8" t="s">
        <v>4847</v>
      </c>
      <c r="C717" s="8" t="s">
        <v>5669</v>
      </c>
      <c r="D717" s="32" t="s">
        <v>6984</v>
      </c>
      <c r="E717" s="32" t="s">
        <v>5669</v>
      </c>
      <c r="F717" s="10">
        <v>1</v>
      </c>
      <c r="G717" s="8" t="s">
        <v>16</v>
      </c>
      <c r="H717" s="10">
        <v>1454.2</v>
      </c>
      <c r="I717" s="10">
        <f t="shared" si="13"/>
        <v>1454.2</v>
      </c>
      <c r="J717" s="10">
        <v>24.383328172399999</v>
      </c>
      <c r="K717" s="8" t="s">
        <v>5670</v>
      </c>
      <c r="S717"/>
    </row>
    <row r="718" spans="1:19" ht="15" x14ac:dyDescent="0.25">
      <c r="A718" s="8" t="s">
        <v>5622</v>
      </c>
      <c r="B718" s="8" t="s">
        <v>4847</v>
      </c>
      <c r="C718" s="8" t="s">
        <v>4864</v>
      </c>
      <c r="D718" s="32" t="s">
        <v>6984</v>
      </c>
      <c r="E718" s="32" t="s">
        <v>4864</v>
      </c>
      <c r="F718" s="10">
        <v>1</v>
      </c>
      <c r="G718" s="8" t="s">
        <v>16</v>
      </c>
      <c r="H718" s="10">
        <v>1574.9</v>
      </c>
      <c r="I718" s="10">
        <f t="shared" si="13"/>
        <v>1574.9</v>
      </c>
      <c r="J718" s="10">
        <v>24.907162792000001</v>
      </c>
      <c r="K718" s="8" t="s">
        <v>4865</v>
      </c>
      <c r="S718"/>
    </row>
    <row r="719" spans="1:19" ht="15" x14ac:dyDescent="0.25">
      <c r="A719" s="8" t="s">
        <v>5622</v>
      </c>
      <c r="B719" s="8" t="s">
        <v>4847</v>
      </c>
      <c r="C719" s="8" t="s">
        <v>4848</v>
      </c>
      <c r="D719" s="32" t="s">
        <v>6984</v>
      </c>
      <c r="E719" s="32" t="s">
        <v>4848</v>
      </c>
      <c r="F719" s="10">
        <v>1</v>
      </c>
      <c r="G719" s="8" t="s">
        <v>16</v>
      </c>
      <c r="H719" s="10">
        <v>878</v>
      </c>
      <c r="I719" s="10">
        <f t="shared" si="13"/>
        <v>878</v>
      </c>
      <c r="J719" s="10">
        <v>18.078629262</v>
      </c>
      <c r="K719" s="8" t="s">
        <v>17</v>
      </c>
      <c r="S719"/>
    </row>
    <row r="720" spans="1:19" ht="15" x14ac:dyDescent="0.25">
      <c r="A720" s="8" t="s">
        <v>5622</v>
      </c>
      <c r="B720" s="8" t="s">
        <v>4847</v>
      </c>
      <c r="C720" s="8" t="s">
        <v>5671</v>
      </c>
      <c r="D720" s="32" t="s">
        <v>6984</v>
      </c>
      <c r="E720" s="32" t="s">
        <v>5671</v>
      </c>
      <c r="F720" s="10">
        <v>1</v>
      </c>
      <c r="G720" s="8" t="s">
        <v>16</v>
      </c>
      <c r="H720" s="10">
        <v>153.19999999999999</v>
      </c>
      <c r="I720" s="10">
        <f t="shared" si="13"/>
        <v>153.19999999999999</v>
      </c>
      <c r="J720" s="10">
        <v>5.0004493785599999</v>
      </c>
      <c r="K720" s="8" t="s">
        <v>4781</v>
      </c>
      <c r="S720"/>
    </row>
    <row r="721" spans="1:19" ht="15" x14ac:dyDescent="0.25">
      <c r="A721" s="8" t="s">
        <v>5622</v>
      </c>
      <c r="B721" s="8" t="s">
        <v>4847</v>
      </c>
      <c r="C721" s="8" t="s">
        <v>5672</v>
      </c>
      <c r="D721" s="32" t="s">
        <v>6984</v>
      </c>
      <c r="E721" s="32" t="s">
        <v>5672</v>
      </c>
      <c r="F721" s="10">
        <v>1</v>
      </c>
      <c r="G721" s="8" t="s">
        <v>16</v>
      </c>
      <c r="H721" s="10">
        <v>188.8</v>
      </c>
      <c r="I721" s="10">
        <f t="shared" si="13"/>
        <v>188.8</v>
      </c>
      <c r="J721" s="10">
        <v>5.8545922255600003</v>
      </c>
      <c r="K721" s="8" t="s">
        <v>4781</v>
      </c>
      <c r="S721"/>
    </row>
    <row r="722" spans="1:19" ht="15" x14ac:dyDescent="0.25">
      <c r="A722" s="8" t="s">
        <v>5622</v>
      </c>
      <c r="B722" s="8" t="s">
        <v>4847</v>
      </c>
      <c r="C722" s="8" t="s">
        <v>5673</v>
      </c>
      <c r="D722" s="32" t="s">
        <v>6984</v>
      </c>
      <c r="E722" s="32" t="s">
        <v>5673</v>
      </c>
      <c r="F722" s="10">
        <v>1</v>
      </c>
      <c r="G722" s="8" t="s">
        <v>16</v>
      </c>
      <c r="H722" s="10">
        <v>1318.7</v>
      </c>
      <c r="I722" s="10">
        <f t="shared" si="13"/>
        <v>1318.7</v>
      </c>
      <c r="J722" s="10">
        <v>24.1161648</v>
      </c>
      <c r="K722" s="8" t="s">
        <v>4850</v>
      </c>
      <c r="S722"/>
    </row>
    <row r="723" spans="1:19" ht="15" x14ac:dyDescent="0.25">
      <c r="A723" s="8" t="s">
        <v>5622</v>
      </c>
      <c r="B723" s="8" t="s">
        <v>4847</v>
      </c>
      <c r="C723" s="8" t="s">
        <v>4849</v>
      </c>
      <c r="D723" s="32" t="s">
        <v>6984</v>
      </c>
      <c r="E723" s="32" t="s">
        <v>4849</v>
      </c>
      <c r="F723" s="10">
        <v>1</v>
      </c>
      <c r="G723" s="8" t="s">
        <v>16</v>
      </c>
      <c r="H723" s="10">
        <v>1355.5</v>
      </c>
      <c r="I723" s="10">
        <f t="shared" si="13"/>
        <v>1355.5</v>
      </c>
      <c r="J723" s="10">
        <v>24.863935860800002</v>
      </c>
      <c r="K723" s="8" t="s">
        <v>4850</v>
      </c>
      <c r="S723"/>
    </row>
    <row r="724" spans="1:19" ht="15" x14ac:dyDescent="0.25">
      <c r="A724" s="8" t="s">
        <v>5622</v>
      </c>
      <c r="B724" s="8" t="s">
        <v>4847</v>
      </c>
      <c r="C724" s="8" t="s">
        <v>5674</v>
      </c>
      <c r="D724" s="32" t="s">
        <v>6984</v>
      </c>
      <c r="E724" s="32" t="s">
        <v>5674</v>
      </c>
      <c r="F724" s="10">
        <v>2</v>
      </c>
      <c r="G724" s="8" t="s">
        <v>16</v>
      </c>
      <c r="H724" s="10">
        <v>660.35</v>
      </c>
      <c r="I724" s="10">
        <f t="shared" si="13"/>
        <v>1320.7</v>
      </c>
      <c r="J724" s="10">
        <v>24.425402803200001</v>
      </c>
      <c r="K724" s="8" t="s">
        <v>4850</v>
      </c>
      <c r="S724"/>
    </row>
    <row r="725" spans="1:19" ht="15" x14ac:dyDescent="0.25">
      <c r="A725" s="8" t="s">
        <v>5622</v>
      </c>
      <c r="B725" s="8" t="s">
        <v>4847</v>
      </c>
      <c r="C725" s="8" t="s">
        <v>4866</v>
      </c>
      <c r="D725" s="32" t="s">
        <v>6984</v>
      </c>
      <c r="E725" s="32" t="s">
        <v>4866</v>
      </c>
      <c r="F725" s="10">
        <v>1</v>
      </c>
      <c r="G725" s="8" t="s">
        <v>16</v>
      </c>
      <c r="H725" s="10">
        <v>1338</v>
      </c>
      <c r="I725" s="10">
        <f t="shared" si="13"/>
        <v>1338</v>
      </c>
      <c r="J725" s="10">
        <v>24.348003153600001</v>
      </c>
      <c r="K725" s="8" t="s">
        <v>4850</v>
      </c>
      <c r="S725"/>
    </row>
    <row r="726" spans="1:19" ht="15" x14ac:dyDescent="0.25">
      <c r="A726" s="8" t="s">
        <v>5622</v>
      </c>
      <c r="B726" s="8" t="s">
        <v>4847</v>
      </c>
      <c r="C726" s="8" t="s">
        <v>5675</v>
      </c>
      <c r="D726" s="32" t="s">
        <v>6984</v>
      </c>
      <c r="E726" s="32" t="s">
        <v>5675</v>
      </c>
      <c r="F726" s="10">
        <v>1</v>
      </c>
      <c r="G726" s="8" t="s">
        <v>16</v>
      </c>
      <c r="H726" s="10">
        <v>153.19999999999999</v>
      </c>
      <c r="I726" s="10">
        <f t="shared" si="13"/>
        <v>153.19999999999999</v>
      </c>
      <c r="J726" s="10">
        <v>5.00102369728</v>
      </c>
      <c r="K726" s="8" t="s">
        <v>4781</v>
      </c>
      <c r="S726"/>
    </row>
    <row r="727" spans="1:19" ht="15" x14ac:dyDescent="0.25">
      <c r="A727" s="8" t="s">
        <v>5622</v>
      </c>
      <c r="B727" s="8" t="s">
        <v>4847</v>
      </c>
      <c r="C727" s="8" t="s">
        <v>4851</v>
      </c>
      <c r="D727" s="32" t="s">
        <v>6984</v>
      </c>
      <c r="E727" s="32" t="s">
        <v>4851</v>
      </c>
      <c r="F727" s="10">
        <v>1</v>
      </c>
      <c r="G727" s="8" t="s">
        <v>16</v>
      </c>
      <c r="H727" s="10">
        <v>330.1</v>
      </c>
      <c r="I727" s="10">
        <f t="shared" si="13"/>
        <v>330.1</v>
      </c>
      <c r="J727" s="10">
        <v>9.2804181999999997</v>
      </c>
      <c r="K727" s="8" t="s">
        <v>4852</v>
      </c>
      <c r="S727"/>
    </row>
    <row r="728" spans="1:19" ht="15" x14ac:dyDescent="0.25">
      <c r="A728" s="8" t="s">
        <v>5622</v>
      </c>
      <c r="B728" s="8" t="s">
        <v>4847</v>
      </c>
      <c r="C728" s="8" t="s">
        <v>5676</v>
      </c>
      <c r="D728" s="32" t="s">
        <v>6984</v>
      </c>
      <c r="E728" s="32" t="s">
        <v>5676</v>
      </c>
      <c r="F728" s="10">
        <v>1</v>
      </c>
      <c r="G728" s="8" t="s">
        <v>16</v>
      </c>
      <c r="H728" s="10">
        <v>121.3</v>
      </c>
      <c r="I728" s="10">
        <f t="shared" si="13"/>
        <v>121.3</v>
      </c>
      <c r="J728" s="10">
        <v>3.9782133000000002</v>
      </c>
      <c r="K728" s="8" t="s">
        <v>5116</v>
      </c>
      <c r="S728"/>
    </row>
    <row r="729" spans="1:19" ht="15" x14ac:dyDescent="0.25">
      <c r="A729" s="8" t="s">
        <v>5622</v>
      </c>
      <c r="B729" s="8" t="s">
        <v>4847</v>
      </c>
      <c r="C729" s="8" t="s">
        <v>5677</v>
      </c>
      <c r="D729" s="32" t="s">
        <v>6984</v>
      </c>
      <c r="E729" s="32" t="s">
        <v>5677</v>
      </c>
      <c r="F729" s="10">
        <v>8</v>
      </c>
      <c r="G729" s="8" t="s">
        <v>16</v>
      </c>
      <c r="H729" s="10">
        <v>125.02500000000001</v>
      </c>
      <c r="I729" s="10">
        <f t="shared" si="13"/>
        <v>1000.2</v>
      </c>
      <c r="J729" s="10">
        <v>33.033707999999997</v>
      </c>
      <c r="K729" s="8" t="s">
        <v>5116</v>
      </c>
      <c r="S729"/>
    </row>
    <row r="730" spans="1:19" ht="15" x14ac:dyDescent="0.25">
      <c r="A730" s="8" t="s">
        <v>5622</v>
      </c>
      <c r="B730" s="8" t="s">
        <v>4847</v>
      </c>
      <c r="C730" s="8" t="s">
        <v>5678</v>
      </c>
      <c r="D730" s="32" t="s">
        <v>6984</v>
      </c>
      <c r="E730" s="32" t="s">
        <v>5678</v>
      </c>
      <c r="F730" s="10">
        <v>1</v>
      </c>
      <c r="G730" s="8" t="s">
        <v>16</v>
      </c>
      <c r="H730" s="10">
        <v>327.2</v>
      </c>
      <c r="I730" s="10">
        <f t="shared" si="13"/>
        <v>327.2</v>
      </c>
      <c r="J730" s="10">
        <v>8.0342184999999997</v>
      </c>
      <c r="K730" s="8" t="s">
        <v>4800</v>
      </c>
      <c r="S730"/>
    </row>
    <row r="731" spans="1:19" ht="15" x14ac:dyDescent="0.25">
      <c r="A731" s="8" t="s">
        <v>5622</v>
      </c>
      <c r="B731" s="8" t="s">
        <v>4847</v>
      </c>
      <c r="C731" s="8" t="s">
        <v>5679</v>
      </c>
      <c r="D731" s="32" t="s">
        <v>6984</v>
      </c>
      <c r="E731" s="32" t="s">
        <v>5679</v>
      </c>
      <c r="F731" s="10">
        <v>1</v>
      </c>
      <c r="G731" s="8" t="s">
        <v>16</v>
      </c>
      <c r="H731" s="10">
        <v>15.8</v>
      </c>
      <c r="I731" s="10">
        <f t="shared" si="13"/>
        <v>15.8</v>
      </c>
      <c r="J731" s="10">
        <v>0.76813427999999995</v>
      </c>
      <c r="K731" s="8" t="s">
        <v>5123</v>
      </c>
      <c r="S731"/>
    </row>
    <row r="732" spans="1:19" ht="15" x14ac:dyDescent="0.25">
      <c r="A732" s="8" t="s">
        <v>5622</v>
      </c>
      <c r="B732" s="8" t="s">
        <v>4847</v>
      </c>
      <c r="C732" s="8" t="s">
        <v>5680</v>
      </c>
      <c r="D732" s="32" t="s">
        <v>6984</v>
      </c>
      <c r="E732" s="32" t="s">
        <v>5680</v>
      </c>
      <c r="F732" s="10">
        <v>1</v>
      </c>
      <c r="G732" s="8" t="s">
        <v>16</v>
      </c>
      <c r="H732" s="10">
        <v>393.7</v>
      </c>
      <c r="I732" s="10">
        <f t="shared" si="13"/>
        <v>393.7</v>
      </c>
      <c r="J732" s="10">
        <v>10.15959904</v>
      </c>
      <c r="K732" s="8" t="s">
        <v>4949</v>
      </c>
      <c r="S732"/>
    </row>
    <row r="733" spans="1:19" ht="15" x14ac:dyDescent="0.25">
      <c r="A733" s="8" t="s">
        <v>5622</v>
      </c>
      <c r="B733" s="8" t="s">
        <v>4847</v>
      </c>
      <c r="C733" s="8" t="s">
        <v>4867</v>
      </c>
      <c r="D733" s="32" t="s">
        <v>6984</v>
      </c>
      <c r="E733" s="32" t="s">
        <v>4867</v>
      </c>
      <c r="F733" s="10">
        <v>1</v>
      </c>
      <c r="G733" s="8" t="s">
        <v>16</v>
      </c>
      <c r="H733" s="10">
        <v>1338</v>
      </c>
      <c r="I733" s="10">
        <f t="shared" si="13"/>
        <v>1338</v>
      </c>
      <c r="J733" s="10">
        <v>24.347536044000002</v>
      </c>
      <c r="K733" s="8" t="s">
        <v>4850</v>
      </c>
      <c r="S733"/>
    </row>
    <row r="734" spans="1:19" ht="15" x14ac:dyDescent="0.25">
      <c r="A734" s="8" t="s">
        <v>5622</v>
      </c>
      <c r="B734" s="8" t="s">
        <v>4847</v>
      </c>
      <c r="C734" s="8" t="s">
        <v>5681</v>
      </c>
      <c r="D734" s="32" t="s">
        <v>6984</v>
      </c>
      <c r="E734" s="32" t="s">
        <v>5681</v>
      </c>
      <c r="F734" s="10">
        <v>1</v>
      </c>
      <c r="G734" s="8" t="s">
        <v>16</v>
      </c>
      <c r="H734" s="10">
        <v>184.7</v>
      </c>
      <c r="I734" s="10">
        <f t="shared" si="13"/>
        <v>184.7</v>
      </c>
      <c r="J734" s="10">
        <v>4.789411072</v>
      </c>
      <c r="K734" s="8" t="s">
        <v>4800</v>
      </c>
      <c r="S734"/>
    </row>
    <row r="735" spans="1:19" ht="15" x14ac:dyDescent="0.25">
      <c r="A735" s="8" t="s">
        <v>5622</v>
      </c>
      <c r="B735" s="8" t="s">
        <v>4847</v>
      </c>
      <c r="C735" s="8" t="s">
        <v>5682</v>
      </c>
      <c r="D735" s="32" t="s">
        <v>6984</v>
      </c>
      <c r="E735" s="32" t="s">
        <v>5682</v>
      </c>
      <c r="F735" s="10">
        <v>1</v>
      </c>
      <c r="G735" s="8" t="s">
        <v>16</v>
      </c>
      <c r="H735" s="10">
        <v>188.8</v>
      </c>
      <c r="I735" s="10">
        <f t="shared" si="13"/>
        <v>188.8</v>
      </c>
      <c r="J735" s="10">
        <v>5.8555940015600001</v>
      </c>
      <c r="K735" s="8" t="s">
        <v>4781</v>
      </c>
      <c r="S735"/>
    </row>
    <row r="736" spans="1:19" ht="15" x14ac:dyDescent="0.25">
      <c r="A736" s="8" t="s">
        <v>5622</v>
      </c>
      <c r="B736" s="8" t="s">
        <v>4847</v>
      </c>
      <c r="C736" s="8" t="s">
        <v>4853</v>
      </c>
      <c r="D736" s="32" t="s">
        <v>6984</v>
      </c>
      <c r="E736" s="32" t="s">
        <v>4853</v>
      </c>
      <c r="F736" s="10">
        <v>1</v>
      </c>
      <c r="G736" s="8" t="s">
        <v>16</v>
      </c>
      <c r="H736" s="10">
        <v>918</v>
      </c>
      <c r="I736" s="10">
        <f t="shared" si="13"/>
        <v>918</v>
      </c>
      <c r="J736" s="10">
        <v>18.953980861000002</v>
      </c>
      <c r="K736" s="8" t="s">
        <v>17</v>
      </c>
      <c r="S736"/>
    </row>
    <row r="737" spans="1:19" ht="15" x14ac:dyDescent="0.25">
      <c r="A737" s="8" t="s">
        <v>5622</v>
      </c>
      <c r="B737" s="8" t="s">
        <v>4847</v>
      </c>
      <c r="C737" s="8" t="s">
        <v>5683</v>
      </c>
      <c r="D737" s="32" t="s">
        <v>6984</v>
      </c>
      <c r="E737" s="32" t="s">
        <v>5683</v>
      </c>
      <c r="F737" s="10">
        <v>1</v>
      </c>
      <c r="G737" s="8" t="s">
        <v>16</v>
      </c>
      <c r="H737" s="10">
        <v>652.6</v>
      </c>
      <c r="I737" s="10">
        <f t="shared" si="13"/>
        <v>652.6</v>
      </c>
      <c r="J737" s="10">
        <v>12.033139176800001</v>
      </c>
      <c r="K737" s="8" t="s">
        <v>4850</v>
      </c>
      <c r="S737"/>
    </row>
    <row r="738" spans="1:19" ht="15" x14ac:dyDescent="0.25">
      <c r="A738" s="8" t="s">
        <v>5622</v>
      </c>
      <c r="B738" s="8" t="s">
        <v>4847</v>
      </c>
      <c r="C738" s="8" t="s">
        <v>5684</v>
      </c>
      <c r="D738" s="32" t="s">
        <v>6984</v>
      </c>
      <c r="E738" s="32" t="s">
        <v>5684</v>
      </c>
      <c r="F738" s="10">
        <v>4</v>
      </c>
      <c r="G738" s="8" t="s">
        <v>16</v>
      </c>
      <c r="H738" s="10">
        <v>204.67500000000001</v>
      </c>
      <c r="I738" s="10">
        <f t="shared" si="13"/>
        <v>818.7</v>
      </c>
      <c r="J738" s="10">
        <v>26.91960288456</v>
      </c>
      <c r="K738" s="8" t="s">
        <v>5685</v>
      </c>
      <c r="S738"/>
    </row>
    <row r="739" spans="1:19" ht="15" x14ac:dyDescent="0.25">
      <c r="A739" s="8" t="s">
        <v>5622</v>
      </c>
      <c r="B739" s="8" t="s">
        <v>4847</v>
      </c>
      <c r="C739" s="8" t="s">
        <v>5686</v>
      </c>
      <c r="D739" s="32" t="s">
        <v>6984</v>
      </c>
      <c r="E739" s="32" t="s">
        <v>5686</v>
      </c>
      <c r="F739" s="10">
        <v>1</v>
      </c>
      <c r="G739" s="8" t="s">
        <v>16</v>
      </c>
      <c r="H739" s="10">
        <v>229.8</v>
      </c>
      <c r="I739" s="10">
        <f t="shared" si="13"/>
        <v>229.8</v>
      </c>
      <c r="J739" s="10">
        <v>7.5696160587000003</v>
      </c>
      <c r="K739" s="8" t="s">
        <v>5685</v>
      </c>
      <c r="S739"/>
    </row>
    <row r="740" spans="1:19" ht="15" x14ac:dyDescent="0.25">
      <c r="A740" s="8" t="s">
        <v>5622</v>
      </c>
      <c r="B740" s="8" t="s">
        <v>4847</v>
      </c>
      <c r="C740" s="8" t="s">
        <v>5687</v>
      </c>
      <c r="D740" s="32" t="s">
        <v>6984</v>
      </c>
      <c r="E740" s="32" t="s">
        <v>5687</v>
      </c>
      <c r="F740" s="10">
        <v>1</v>
      </c>
      <c r="G740" s="8" t="s">
        <v>16</v>
      </c>
      <c r="H740" s="10">
        <v>204.8</v>
      </c>
      <c r="I740" s="10">
        <f t="shared" si="13"/>
        <v>204.8</v>
      </c>
      <c r="J740" s="10">
        <v>6.7319299805400004</v>
      </c>
      <c r="K740" s="8" t="s">
        <v>5685</v>
      </c>
      <c r="S740"/>
    </row>
    <row r="741" spans="1:19" ht="15" x14ac:dyDescent="0.25">
      <c r="A741" s="8" t="s">
        <v>5622</v>
      </c>
      <c r="B741" s="8" t="s">
        <v>4847</v>
      </c>
      <c r="C741" s="8" t="s">
        <v>5688</v>
      </c>
      <c r="D741" s="32" t="s">
        <v>6984</v>
      </c>
      <c r="E741" s="32" t="s">
        <v>5688</v>
      </c>
      <c r="F741" s="10">
        <v>1</v>
      </c>
      <c r="G741" s="8" t="s">
        <v>16</v>
      </c>
      <c r="H741" s="10">
        <v>229.7</v>
      </c>
      <c r="I741" s="10">
        <f t="shared" si="13"/>
        <v>229.7</v>
      </c>
      <c r="J741" s="10">
        <v>7.5673168876999997</v>
      </c>
      <c r="K741" s="8" t="s">
        <v>5685</v>
      </c>
      <c r="S741"/>
    </row>
    <row r="742" spans="1:19" ht="15" x14ac:dyDescent="0.25">
      <c r="A742" s="8" t="s">
        <v>5622</v>
      </c>
      <c r="B742" s="8" t="s">
        <v>4847</v>
      </c>
      <c r="C742" s="8" t="s">
        <v>5689</v>
      </c>
      <c r="D742" s="32" t="s">
        <v>6984</v>
      </c>
      <c r="E742" s="32" t="s">
        <v>5689</v>
      </c>
      <c r="F742" s="10">
        <v>1</v>
      </c>
      <c r="G742" s="8" t="s">
        <v>16</v>
      </c>
      <c r="H742" s="10">
        <v>47.9</v>
      </c>
      <c r="I742" s="10">
        <f t="shared" si="13"/>
        <v>47.9</v>
      </c>
      <c r="J742" s="10">
        <v>1.55064209888</v>
      </c>
      <c r="K742" s="8" t="s">
        <v>4781</v>
      </c>
      <c r="S742"/>
    </row>
    <row r="743" spans="1:19" ht="15" x14ac:dyDescent="0.25">
      <c r="A743" s="8" t="s">
        <v>5622</v>
      </c>
      <c r="B743" s="8" t="s">
        <v>4847</v>
      </c>
      <c r="C743" s="8" t="s">
        <v>5690</v>
      </c>
      <c r="D743" s="32" t="s">
        <v>6984</v>
      </c>
      <c r="E743" s="32" t="s">
        <v>5690</v>
      </c>
      <c r="F743" s="10">
        <v>1</v>
      </c>
      <c r="G743" s="8" t="s">
        <v>16</v>
      </c>
      <c r="H743" s="10">
        <v>45</v>
      </c>
      <c r="I743" s="10">
        <f t="shared" si="13"/>
        <v>45</v>
      </c>
      <c r="J743" s="10">
        <v>1.36866626856</v>
      </c>
      <c r="K743" s="8" t="s">
        <v>4781</v>
      </c>
      <c r="S743"/>
    </row>
    <row r="744" spans="1:19" ht="15" x14ac:dyDescent="0.25">
      <c r="A744" s="8" t="s">
        <v>5622</v>
      </c>
      <c r="B744" s="8" t="s">
        <v>4847</v>
      </c>
      <c r="C744" s="8" t="s">
        <v>5691</v>
      </c>
      <c r="D744" s="32" t="s">
        <v>6984</v>
      </c>
      <c r="E744" s="32" t="s">
        <v>5691</v>
      </c>
      <c r="F744" s="10">
        <v>9</v>
      </c>
      <c r="G744" s="8" t="s">
        <v>16</v>
      </c>
      <c r="H744" s="10">
        <v>344.0888888888889</v>
      </c>
      <c r="I744" s="10">
        <f t="shared" si="13"/>
        <v>3096.8</v>
      </c>
      <c r="J744" s="10">
        <v>79.639560000000003</v>
      </c>
      <c r="K744" s="8" t="s">
        <v>4949</v>
      </c>
      <c r="S744"/>
    </row>
    <row r="745" spans="1:19" ht="15" x14ac:dyDescent="0.25">
      <c r="A745" s="8" t="s">
        <v>5622</v>
      </c>
      <c r="B745" s="8" t="s">
        <v>4847</v>
      </c>
      <c r="C745" s="8" t="s">
        <v>4854</v>
      </c>
      <c r="D745" s="32" t="s">
        <v>6984</v>
      </c>
      <c r="E745" s="32" t="s">
        <v>4854</v>
      </c>
      <c r="F745" s="10">
        <v>1</v>
      </c>
      <c r="G745" s="8" t="s">
        <v>16</v>
      </c>
      <c r="H745" s="10">
        <v>101.1</v>
      </c>
      <c r="I745" s="10">
        <f t="shared" si="13"/>
        <v>101.1</v>
      </c>
      <c r="J745" s="10">
        <v>2.82626</v>
      </c>
      <c r="K745" s="8" t="s">
        <v>4855</v>
      </c>
      <c r="S745"/>
    </row>
    <row r="746" spans="1:19" ht="15" x14ac:dyDescent="0.25">
      <c r="A746" s="8" t="s">
        <v>5622</v>
      </c>
      <c r="B746" s="8" t="s">
        <v>4847</v>
      </c>
      <c r="C746" s="8" t="s">
        <v>5692</v>
      </c>
      <c r="D746" s="32" t="s">
        <v>6984</v>
      </c>
      <c r="E746" s="32" t="s">
        <v>5692</v>
      </c>
      <c r="F746" s="10">
        <v>40</v>
      </c>
      <c r="G746" s="8" t="s">
        <v>16</v>
      </c>
      <c r="H746" s="10">
        <v>11.53</v>
      </c>
      <c r="I746" s="10">
        <f t="shared" si="13"/>
        <v>461.2</v>
      </c>
      <c r="J746" s="10">
        <v>14.95116</v>
      </c>
      <c r="K746" s="8" t="s">
        <v>5116</v>
      </c>
      <c r="S746"/>
    </row>
    <row r="747" spans="1:19" ht="15" x14ac:dyDescent="0.25">
      <c r="A747" s="8" t="s">
        <v>5622</v>
      </c>
      <c r="B747" s="8" t="s">
        <v>4847</v>
      </c>
      <c r="C747" s="8" t="s">
        <v>5693</v>
      </c>
      <c r="D747" s="32" t="s">
        <v>6984</v>
      </c>
      <c r="E747" s="32" t="s">
        <v>5693</v>
      </c>
      <c r="F747" s="10">
        <v>20</v>
      </c>
      <c r="G747" s="8" t="s">
        <v>16</v>
      </c>
      <c r="H747" s="10">
        <v>11.379999999999999</v>
      </c>
      <c r="I747" s="10">
        <f t="shared" si="13"/>
        <v>227.59999999999997</v>
      </c>
      <c r="J747" s="10">
        <v>7.3684799999999999</v>
      </c>
      <c r="K747" s="8" t="s">
        <v>5116</v>
      </c>
      <c r="S747"/>
    </row>
    <row r="748" spans="1:19" ht="15" x14ac:dyDescent="0.25">
      <c r="A748" s="8" t="s">
        <v>5622</v>
      </c>
      <c r="B748" s="8" t="s">
        <v>4847</v>
      </c>
      <c r="C748" s="8" t="s">
        <v>5694</v>
      </c>
      <c r="D748" s="32" t="s">
        <v>6984</v>
      </c>
      <c r="E748" s="32" t="s">
        <v>5694</v>
      </c>
      <c r="F748" s="10">
        <v>2</v>
      </c>
      <c r="G748" s="8" t="s">
        <v>16</v>
      </c>
      <c r="H748" s="10">
        <v>15</v>
      </c>
      <c r="I748" s="10">
        <f t="shared" si="13"/>
        <v>30</v>
      </c>
      <c r="J748" s="10">
        <v>0.972468</v>
      </c>
      <c r="K748" s="8" t="s">
        <v>5116</v>
      </c>
      <c r="S748"/>
    </row>
    <row r="749" spans="1:19" ht="15" x14ac:dyDescent="0.25">
      <c r="A749" s="8" t="s">
        <v>5622</v>
      </c>
      <c r="B749" s="8" t="s">
        <v>4847</v>
      </c>
      <c r="C749" s="8" t="s">
        <v>5695</v>
      </c>
      <c r="D749" s="32" t="s">
        <v>6984</v>
      </c>
      <c r="E749" s="32" t="s">
        <v>5695</v>
      </c>
      <c r="F749" s="10">
        <v>5</v>
      </c>
      <c r="G749" s="8" t="s">
        <v>16</v>
      </c>
      <c r="H749" s="10">
        <v>13.940000000000001</v>
      </c>
      <c r="I749" s="10">
        <f t="shared" si="13"/>
        <v>69.7</v>
      </c>
      <c r="J749" s="10">
        <v>3.5456249999999998</v>
      </c>
      <c r="K749" s="8" t="s">
        <v>5123</v>
      </c>
      <c r="S749"/>
    </row>
    <row r="750" spans="1:19" ht="15" x14ac:dyDescent="0.25">
      <c r="A750" s="8" t="s">
        <v>5622</v>
      </c>
      <c r="B750" s="8" t="s">
        <v>4847</v>
      </c>
      <c r="C750" s="8" t="s">
        <v>5696</v>
      </c>
      <c r="D750" s="32" t="s">
        <v>6984</v>
      </c>
      <c r="E750" s="32" t="s">
        <v>5696</v>
      </c>
      <c r="F750" s="10">
        <v>1</v>
      </c>
      <c r="G750" s="8" t="s">
        <v>16</v>
      </c>
      <c r="H750" s="10">
        <v>34.299999999999997</v>
      </c>
      <c r="I750" s="10">
        <f t="shared" si="13"/>
        <v>34.299999999999997</v>
      </c>
      <c r="J750" s="10">
        <v>1.7453000000000001</v>
      </c>
      <c r="K750" s="8" t="s">
        <v>5123</v>
      </c>
      <c r="S750"/>
    </row>
    <row r="751" spans="1:19" ht="15" x14ac:dyDescent="0.25">
      <c r="A751" s="8" t="s">
        <v>5622</v>
      </c>
      <c r="B751" s="8" t="s">
        <v>4847</v>
      </c>
      <c r="C751" s="8" t="s">
        <v>5697</v>
      </c>
      <c r="D751" s="32" t="s">
        <v>6984</v>
      </c>
      <c r="E751" s="32" t="s">
        <v>5697</v>
      </c>
      <c r="F751" s="10">
        <v>2</v>
      </c>
      <c r="G751" s="8" t="s">
        <v>16</v>
      </c>
      <c r="H751" s="10">
        <v>390.1</v>
      </c>
      <c r="I751" s="10">
        <f t="shared" si="13"/>
        <v>780.2</v>
      </c>
      <c r="J751" s="10">
        <v>20.063680000000002</v>
      </c>
      <c r="K751" s="8" t="s">
        <v>4949</v>
      </c>
      <c r="S751"/>
    </row>
    <row r="752" spans="1:19" ht="15" x14ac:dyDescent="0.25">
      <c r="A752" s="8" t="s">
        <v>5622</v>
      </c>
      <c r="B752" s="8" t="s">
        <v>4847</v>
      </c>
      <c r="C752" s="8" t="s">
        <v>4868</v>
      </c>
      <c r="D752" s="32" t="s">
        <v>6984</v>
      </c>
      <c r="E752" s="32" t="s">
        <v>4868</v>
      </c>
      <c r="F752" s="10">
        <v>1</v>
      </c>
      <c r="G752" s="8" t="s">
        <v>16</v>
      </c>
      <c r="H752" s="10">
        <v>252.3</v>
      </c>
      <c r="I752" s="10">
        <f t="shared" si="13"/>
        <v>252.3</v>
      </c>
      <c r="J752" s="10">
        <v>4.5832639999999998</v>
      </c>
      <c r="K752" s="8" t="s">
        <v>4850</v>
      </c>
      <c r="S752"/>
    </row>
    <row r="753" spans="1:19" ht="15" x14ac:dyDescent="0.25">
      <c r="A753" s="8" t="s">
        <v>5622</v>
      </c>
      <c r="B753" s="8" t="s">
        <v>4847</v>
      </c>
      <c r="C753" s="8" t="s">
        <v>4856</v>
      </c>
      <c r="D753" s="32" t="s">
        <v>6984</v>
      </c>
      <c r="E753" s="32" t="s">
        <v>4856</v>
      </c>
      <c r="F753" s="10">
        <v>2</v>
      </c>
      <c r="G753" s="8" t="s">
        <v>16</v>
      </c>
      <c r="H753" s="10">
        <v>149.05000000000001</v>
      </c>
      <c r="I753" s="10">
        <f t="shared" si="13"/>
        <v>298.10000000000002</v>
      </c>
      <c r="J753" s="10">
        <v>8.9557760000000002</v>
      </c>
      <c r="K753" s="8" t="s">
        <v>4857</v>
      </c>
      <c r="S753"/>
    </row>
    <row r="754" spans="1:19" ht="15" x14ac:dyDescent="0.25">
      <c r="A754" s="8" t="s">
        <v>5622</v>
      </c>
      <c r="B754" s="8" t="s">
        <v>4847</v>
      </c>
      <c r="C754" s="8" t="s">
        <v>5698</v>
      </c>
      <c r="D754" s="32" t="s">
        <v>6984</v>
      </c>
      <c r="E754" s="32" t="s">
        <v>5698</v>
      </c>
      <c r="F754" s="10">
        <v>1</v>
      </c>
      <c r="G754" s="8" t="s">
        <v>16</v>
      </c>
      <c r="H754" s="10">
        <v>481.5</v>
      </c>
      <c r="I754" s="10">
        <f t="shared" si="13"/>
        <v>481.5</v>
      </c>
      <c r="J754" s="10">
        <v>13.395503589600001</v>
      </c>
      <c r="K754" s="8" t="s">
        <v>5209</v>
      </c>
      <c r="S754"/>
    </row>
    <row r="755" spans="1:19" ht="15" x14ac:dyDescent="0.25">
      <c r="A755" s="8" t="s">
        <v>5622</v>
      </c>
      <c r="B755" s="8" t="s">
        <v>4847</v>
      </c>
      <c r="C755" s="8" t="s">
        <v>5699</v>
      </c>
      <c r="D755" s="32" t="s">
        <v>6984</v>
      </c>
      <c r="E755" s="32" t="s">
        <v>5699</v>
      </c>
      <c r="F755" s="10">
        <v>1</v>
      </c>
      <c r="G755" s="8" t="s">
        <v>16</v>
      </c>
      <c r="H755" s="10">
        <v>496.2</v>
      </c>
      <c r="I755" s="10">
        <f t="shared" si="13"/>
        <v>496.2</v>
      </c>
      <c r="J755" s="10">
        <v>13.871631669599999</v>
      </c>
      <c r="K755" s="8" t="s">
        <v>5209</v>
      </c>
      <c r="S755"/>
    </row>
    <row r="756" spans="1:19" ht="15" x14ac:dyDescent="0.25">
      <c r="A756" s="8" t="s">
        <v>5622</v>
      </c>
      <c r="B756" s="8" t="s">
        <v>4847</v>
      </c>
      <c r="C756" s="8" t="s">
        <v>5700</v>
      </c>
      <c r="D756" s="32" t="s">
        <v>6984</v>
      </c>
      <c r="E756" s="32" t="s">
        <v>5700</v>
      </c>
      <c r="F756" s="10">
        <v>3</v>
      </c>
      <c r="G756" s="8" t="s">
        <v>5642</v>
      </c>
      <c r="H756" s="10">
        <v>8.4</v>
      </c>
      <c r="I756" s="10">
        <f t="shared" si="13"/>
        <v>25.200000000000003</v>
      </c>
      <c r="J756" s="10">
        <v>1.0515600000000001</v>
      </c>
      <c r="K756" s="8" t="s">
        <v>5051</v>
      </c>
      <c r="S756"/>
    </row>
    <row r="757" spans="1:19" ht="15" x14ac:dyDescent="0.25">
      <c r="A757" s="8" t="s">
        <v>5622</v>
      </c>
      <c r="B757" s="8" t="s">
        <v>4847</v>
      </c>
      <c r="C757" s="8" t="s">
        <v>5701</v>
      </c>
      <c r="D757" s="32" t="s">
        <v>6984</v>
      </c>
      <c r="E757" s="32" t="s">
        <v>5701</v>
      </c>
      <c r="F757" s="10">
        <v>2</v>
      </c>
      <c r="G757" s="8" t="s">
        <v>5642</v>
      </c>
      <c r="H757" s="10">
        <v>6.75</v>
      </c>
      <c r="I757" s="10">
        <f t="shared" si="13"/>
        <v>13.5</v>
      </c>
      <c r="J757" s="10">
        <v>0.75234800000000002</v>
      </c>
      <c r="K757" s="8" t="s">
        <v>5245</v>
      </c>
      <c r="S757"/>
    </row>
    <row r="758" spans="1:19" ht="15" x14ac:dyDescent="0.25">
      <c r="A758" s="8" t="s">
        <v>5622</v>
      </c>
      <c r="B758" s="8" t="s">
        <v>4847</v>
      </c>
      <c r="C758" s="8" t="s">
        <v>5702</v>
      </c>
      <c r="D758" s="32" t="s">
        <v>6984</v>
      </c>
      <c r="E758" s="32" t="s">
        <v>5702</v>
      </c>
      <c r="F758" s="10">
        <v>4</v>
      </c>
      <c r="G758" s="8" t="s">
        <v>5642</v>
      </c>
      <c r="H758" s="10">
        <v>5.125</v>
      </c>
      <c r="I758" s="10">
        <f t="shared" si="13"/>
        <v>20.5</v>
      </c>
      <c r="J758" s="10">
        <v>0.85587840000000004</v>
      </c>
      <c r="K758" s="8" t="s">
        <v>5051</v>
      </c>
      <c r="S758"/>
    </row>
    <row r="759" spans="1:19" ht="15" x14ac:dyDescent="0.25">
      <c r="A759" s="8" t="s">
        <v>5622</v>
      </c>
      <c r="B759" s="8" t="s">
        <v>4847</v>
      </c>
      <c r="C759" s="8" t="s">
        <v>5703</v>
      </c>
      <c r="D759" s="32" t="s">
        <v>6984</v>
      </c>
      <c r="E759" s="32" t="s">
        <v>5703</v>
      </c>
      <c r="F759" s="10">
        <v>1</v>
      </c>
      <c r="G759" s="8" t="s">
        <v>5642</v>
      </c>
      <c r="H759" s="10">
        <v>8.4</v>
      </c>
      <c r="I759" s="10">
        <f t="shared" si="13"/>
        <v>8.4</v>
      </c>
      <c r="J759" s="10">
        <v>0.35052</v>
      </c>
      <c r="K759" s="8" t="s">
        <v>5051</v>
      </c>
      <c r="S759"/>
    </row>
    <row r="760" spans="1:19" ht="15" x14ac:dyDescent="0.25">
      <c r="A760" s="8" t="s">
        <v>5622</v>
      </c>
      <c r="B760" s="8" t="s">
        <v>4847</v>
      </c>
      <c r="C760" s="8" t="s">
        <v>5704</v>
      </c>
      <c r="D760" s="32" t="s">
        <v>6984</v>
      </c>
      <c r="E760" s="32" t="s">
        <v>5704</v>
      </c>
      <c r="F760" s="10">
        <v>1</v>
      </c>
      <c r="G760" s="8" t="s">
        <v>5642</v>
      </c>
      <c r="H760" s="10">
        <v>8.4</v>
      </c>
      <c r="I760" s="10">
        <f t="shared" si="13"/>
        <v>8.4</v>
      </c>
      <c r="J760" s="10">
        <v>0.35052</v>
      </c>
      <c r="K760" s="8" t="s">
        <v>5051</v>
      </c>
      <c r="S760"/>
    </row>
    <row r="761" spans="1:19" ht="15" x14ac:dyDescent="0.25">
      <c r="A761" s="8" t="s">
        <v>5622</v>
      </c>
      <c r="B761" s="8" t="s">
        <v>4847</v>
      </c>
      <c r="C761" s="8" t="s">
        <v>5705</v>
      </c>
      <c r="D761" s="32" t="s">
        <v>6984</v>
      </c>
      <c r="E761" s="32" t="s">
        <v>5705</v>
      </c>
      <c r="F761" s="10">
        <v>2</v>
      </c>
      <c r="G761" s="8" t="s">
        <v>5642</v>
      </c>
      <c r="H761" s="10">
        <v>7.15</v>
      </c>
      <c r="I761" s="10">
        <f t="shared" si="13"/>
        <v>14.3</v>
      </c>
      <c r="J761" s="10">
        <v>0.59557919999999998</v>
      </c>
      <c r="K761" s="8" t="s">
        <v>5051</v>
      </c>
      <c r="S761"/>
    </row>
    <row r="762" spans="1:19" ht="15" x14ac:dyDescent="0.25">
      <c r="A762" s="8" t="s">
        <v>5622</v>
      </c>
      <c r="B762" s="8" t="s">
        <v>4847</v>
      </c>
      <c r="C762" s="8" t="s">
        <v>5706</v>
      </c>
      <c r="D762" s="32" t="s">
        <v>6984</v>
      </c>
      <c r="E762" s="32" t="s">
        <v>5706</v>
      </c>
      <c r="F762" s="10">
        <v>2</v>
      </c>
      <c r="G762" s="8" t="s">
        <v>5642</v>
      </c>
      <c r="H762" s="10">
        <v>7.15</v>
      </c>
      <c r="I762" s="10">
        <f t="shared" si="13"/>
        <v>14.3</v>
      </c>
      <c r="J762" s="10">
        <v>0.59557919999999998</v>
      </c>
      <c r="K762" s="8" t="s">
        <v>5051</v>
      </c>
      <c r="S762"/>
    </row>
    <row r="763" spans="1:19" ht="15" x14ac:dyDescent="0.25">
      <c r="A763" s="8" t="s">
        <v>5622</v>
      </c>
      <c r="B763" s="8" t="s">
        <v>4847</v>
      </c>
      <c r="C763" s="8" t="s">
        <v>5707</v>
      </c>
      <c r="D763" s="32" t="s">
        <v>6984</v>
      </c>
      <c r="E763" s="32" t="s">
        <v>5707</v>
      </c>
      <c r="F763" s="10">
        <v>3</v>
      </c>
      <c r="G763" s="8" t="s">
        <v>5642</v>
      </c>
      <c r="H763" s="10">
        <v>8.4</v>
      </c>
      <c r="I763" s="10">
        <f t="shared" si="13"/>
        <v>25.200000000000003</v>
      </c>
      <c r="J763" s="10">
        <v>1.0515600000000001</v>
      </c>
      <c r="K763" s="8" t="s">
        <v>5051</v>
      </c>
      <c r="S763"/>
    </row>
    <row r="764" spans="1:19" ht="15" x14ac:dyDescent="0.25">
      <c r="A764" s="8" t="s">
        <v>5622</v>
      </c>
      <c r="B764" s="8" t="s">
        <v>4847</v>
      </c>
      <c r="C764" s="8" t="s">
        <v>5708</v>
      </c>
      <c r="D764" s="32" t="s">
        <v>6984</v>
      </c>
      <c r="E764" s="32" t="s">
        <v>5708</v>
      </c>
      <c r="F764" s="10">
        <v>4</v>
      </c>
      <c r="G764" s="8" t="s">
        <v>5642</v>
      </c>
      <c r="H764" s="10">
        <v>7.125</v>
      </c>
      <c r="I764" s="10">
        <f t="shared" si="13"/>
        <v>28.5</v>
      </c>
      <c r="J764" s="10">
        <v>1.1911584</v>
      </c>
      <c r="K764" s="8" t="s">
        <v>5051</v>
      </c>
      <c r="S764"/>
    </row>
    <row r="765" spans="1:19" ht="15" x14ac:dyDescent="0.25">
      <c r="A765" s="8" t="s">
        <v>5622</v>
      </c>
      <c r="B765" s="8" t="s">
        <v>4847</v>
      </c>
      <c r="C765" s="8" t="s">
        <v>5709</v>
      </c>
      <c r="D765" s="32" t="s">
        <v>6984</v>
      </c>
      <c r="E765" s="32" t="s">
        <v>5709</v>
      </c>
      <c r="F765" s="10">
        <v>8</v>
      </c>
      <c r="G765" s="8" t="s">
        <v>5642</v>
      </c>
      <c r="H765" s="10">
        <v>7.2125000000000004</v>
      </c>
      <c r="I765" s="10">
        <f t="shared" si="13"/>
        <v>57.7</v>
      </c>
      <c r="J765" s="10">
        <v>2.4091391999999998</v>
      </c>
      <c r="K765" s="8" t="s">
        <v>5051</v>
      </c>
      <c r="S765"/>
    </row>
    <row r="766" spans="1:19" ht="15" x14ac:dyDescent="0.25">
      <c r="A766" s="8" t="s">
        <v>5622</v>
      </c>
      <c r="B766" s="8" t="s">
        <v>4847</v>
      </c>
      <c r="C766" s="8" t="s">
        <v>5710</v>
      </c>
      <c r="D766" s="32" t="s">
        <v>6984</v>
      </c>
      <c r="E766" s="32" t="s">
        <v>5710</v>
      </c>
      <c r="F766" s="10">
        <v>8</v>
      </c>
      <c r="G766" s="8" t="s">
        <v>5642</v>
      </c>
      <c r="H766" s="10">
        <v>20.725000000000001</v>
      </c>
      <c r="I766" s="10">
        <f t="shared" si="13"/>
        <v>165.8</v>
      </c>
      <c r="J766" s="10">
        <v>6.8665343999999999</v>
      </c>
      <c r="K766" s="8" t="s">
        <v>5711</v>
      </c>
      <c r="S766"/>
    </row>
    <row r="767" spans="1:19" ht="15" x14ac:dyDescent="0.25">
      <c r="A767" s="8" t="s">
        <v>5622</v>
      </c>
      <c r="B767" s="8" t="s">
        <v>4847</v>
      </c>
      <c r="C767" s="8" t="s">
        <v>5712</v>
      </c>
      <c r="D767" s="32" t="s">
        <v>6984</v>
      </c>
      <c r="E767" s="32" t="s">
        <v>5712</v>
      </c>
      <c r="F767" s="10">
        <v>4</v>
      </c>
      <c r="G767" s="8" t="s">
        <v>5642</v>
      </c>
      <c r="H767" s="10">
        <v>4.8250000000000002</v>
      </c>
      <c r="I767" s="10">
        <f t="shared" si="13"/>
        <v>19.3</v>
      </c>
      <c r="J767" s="10">
        <v>1.093216</v>
      </c>
      <c r="K767" s="8" t="s">
        <v>5248</v>
      </c>
      <c r="S767"/>
    </row>
    <row r="768" spans="1:19" ht="15" x14ac:dyDescent="0.25">
      <c r="A768" s="8" t="s">
        <v>5622</v>
      </c>
      <c r="B768" s="8" t="s">
        <v>4847</v>
      </c>
      <c r="C768" s="8" t="s">
        <v>5713</v>
      </c>
      <c r="D768" s="32" t="s">
        <v>6984</v>
      </c>
      <c r="E768" s="32" t="s">
        <v>5713</v>
      </c>
      <c r="F768" s="10">
        <v>20</v>
      </c>
      <c r="G768" s="8" t="s">
        <v>22</v>
      </c>
      <c r="H768" s="10">
        <v>2.0100000000000002</v>
      </c>
      <c r="I768" s="10">
        <f t="shared" si="13"/>
        <v>40.200000000000003</v>
      </c>
      <c r="J768" s="10">
        <v>1.6443000000000001</v>
      </c>
      <c r="K768" s="8" t="s">
        <v>4798</v>
      </c>
      <c r="S768"/>
    </row>
    <row r="769" spans="1:19" ht="15" x14ac:dyDescent="0.25">
      <c r="A769" s="8" t="s">
        <v>5622</v>
      </c>
      <c r="B769" s="8" t="s">
        <v>4847</v>
      </c>
      <c r="C769" s="8" t="s">
        <v>5714</v>
      </c>
      <c r="D769" s="32" t="s">
        <v>6984</v>
      </c>
      <c r="E769" s="32" t="s">
        <v>5714</v>
      </c>
      <c r="F769" s="10">
        <v>2</v>
      </c>
      <c r="G769" s="8" t="s">
        <v>22</v>
      </c>
      <c r="H769" s="10">
        <v>1.6</v>
      </c>
      <c r="I769" s="10">
        <f t="shared" si="13"/>
        <v>3.2</v>
      </c>
      <c r="J769" s="10">
        <v>0.13122</v>
      </c>
      <c r="K769" s="8" t="s">
        <v>4798</v>
      </c>
      <c r="S769"/>
    </row>
    <row r="770" spans="1:19" ht="15" x14ac:dyDescent="0.25">
      <c r="A770" s="8" t="s">
        <v>5622</v>
      </c>
      <c r="B770" s="8" t="s">
        <v>4847</v>
      </c>
      <c r="C770" s="8" t="s">
        <v>5715</v>
      </c>
      <c r="D770" s="32" t="s">
        <v>6984</v>
      </c>
      <c r="E770" s="32" t="s">
        <v>5715</v>
      </c>
      <c r="F770" s="10">
        <v>56</v>
      </c>
      <c r="G770" s="8" t="s">
        <v>22</v>
      </c>
      <c r="H770" s="10">
        <v>1.2714285714285716</v>
      </c>
      <c r="I770" s="10">
        <f t="shared" si="13"/>
        <v>71.2</v>
      </c>
      <c r="J770" s="10">
        <v>2.3042880000000001</v>
      </c>
      <c r="K770" s="8" t="s">
        <v>23</v>
      </c>
      <c r="S770"/>
    </row>
    <row r="771" spans="1:19" ht="15" x14ac:dyDescent="0.25">
      <c r="A771" s="8" t="s">
        <v>5622</v>
      </c>
      <c r="B771" s="8" t="s">
        <v>4847</v>
      </c>
      <c r="C771" s="8" t="s">
        <v>5716</v>
      </c>
      <c r="D771" s="32" t="s">
        <v>6984</v>
      </c>
      <c r="E771" s="32" t="s">
        <v>5716</v>
      </c>
      <c r="F771" s="10">
        <v>2</v>
      </c>
      <c r="G771" s="8" t="s">
        <v>22</v>
      </c>
      <c r="H771" s="10">
        <v>5.25</v>
      </c>
      <c r="I771" s="10">
        <f t="shared" si="13"/>
        <v>10.5</v>
      </c>
      <c r="J771" s="10">
        <v>0.33966911999999999</v>
      </c>
      <c r="K771" s="8" t="s">
        <v>23</v>
      </c>
      <c r="S771"/>
    </row>
    <row r="772" spans="1:19" ht="15" x14ac:dyDescent="0.25">
      <c r="A772" s="8" t="s">
        <v>5622</v>
      </c>
      <c r="B772" s="8" t="s">
        <v>4847</v>
      </c>
      <c r="C772" s="8" t="s">
        <v>5717</v>
      </c>
      <c r="D772" s="32" t="s">
        <v>6984</v>
      </c>
      <c r="E772" s="32" t="s">
        <v>5717</v>
      </c>
      <c r="F772" s="10">
        <v>2</v>
      </c>
      <c r="G772" s="8" t="s">
        <v>22</v>
      </c>
      <c r="H772" s="10">
        <v>3.7</v>
      </c>
      <c r="I772" s="10">
        <f t="shared" si="13"/>
        <v>7.4</v>
      </c>
      <c r="J772" s="10">
        <v>0.24079200000000001</v>
      </c>
      <c r="K772" s="8" t="s">
        <v>23</v>
      </c>
      <c r="S772"/>
    </row>
    <row r="773" spans="1:19" ht="15" x14ac:dyDescent="0.25">
      <c r="A773" s="8" t="s">
        <v>5622</v>
      </c>
      <c r="B773" s="8" t="s">
        <v>4847</v>
      </c>
      <c r="C773" s="8" t="s">
        <v>5718</v>
      </c>
      <c r="D773" s="32" t="s">
        <v>6984</v>
      </c>
      <c r="E773" s="32" t="s">
        <v>5718</v>
      </c>
      <c r="F773" s="10">
        <v>176</v>
      </c>
      <c r="G773" s="8" t="s">
        <v>22</v>
      </c>
      <c r="H773" s="10">
        <v>1.8903409090909091</v>
      </c>
      <c r="I773" s="10">
        <f t="shared" ref="I773:I836" si="14">F773*H773</f>
        <v>332.7</v>
      </c>
      <c r="J773" s="10">
        <v>10.764723200000001</v>
      </c>
      <c r="K773" s="8" t="s">
        <v>23</v>
      </c>
      <c r="S773"/>
    </row>
    <row r="774" spans="1:19" ht="15" x14ac:dyDescent="0.25">
      <c r="A774" s="8" t="s">
        <v>5622</v>
      </c>
      <c r="B774" s="8" t="s">
        <v>4847</v>
      </c>
      <c r="C774" s="8" t="s">
        <v>5719</v>
      </c>
      <c r="D774" s="32" t="s">
        <v>6984</v>
      </c>
      <c r="E774" s="32" t="s">
        <v>5719</v>
      </c>
      <c r="F774" s="10">
        <v>88</v>
      </c>
      <c r="G774" s="8" t="s">
        <v>22</v>
      </c>
      <c r="H774" s="10">
        <v>4.5909090909090908</v>
      </c>
      <c r="I774" s="10">
        <f t="shared" si="14"/>
        <v>404</v>
      </c>
      <c r="J774" s="10">
        <v>13.071449599999999</v>
      </c>
      <c r="K774" s="8" t="s">
        <v>23</v>
      </c>
      <c r="S774"/>
    </row>
    <row r="775" spans="1:19" ht="15" x14ac:dyDescent="0.25">
      <c r="A775" s="8" t="s">
        <v>5622</v>
      </c>
      <c r="B775" s="8" t="s">
        <v>4847</v>
      </c>
      <c r="C775" s="8" t="s">
        <v>5720</v>
      </c>
      <c r="D775" s="32" t="s">
        <v>6984</v>
      </c>
      <c r="E775" s="32" t="s">
        <v>5720</v>
      </c>
      <c r="F775" s="10">
        <v>40</v>
      </c>
      <c r="G775" s="8" t="s">
        <v>22</v>
      </c>
      <c r="H775" s="10">
        <v>1.2749999999999999</v>
      </c>
      <c r="I775" s="10">
        <f t="shared" si="14"/>
        <v>51</v>
      </c>
      <c r="J775" s="10">
        <v>1.6499839999999999</v>
      </c>
      <c r="K775" s="8" t="s">
        <v>23</v>
      </c>
      <c r="S775"/>
    </row>
    <row r="776" spans="1:19" ht="15" x14ac:dyDescent="0.25">
      <c r="A776" s="8" t="s">
        <v>5622</v>
      </c>
      <c r="B776" s="8" t="s">
        <v>4847</v>
      </c>
      <c r="C776" s="8" t="s">
        <v>5721</v>
      </c>
      <c r="D776" s="32" t="s">
        <v>6984</v>
      </c>
      <c r="E776" s="32" t="s">
        <v>5721</v>
      </c>
      <c r="F776" s="10">
        <v>4</v>
      </c>
      <c r="G776" s="8" t="s">
        <v>22</v>
      </c>
      <c r="H776" s="10">
        <v>1.2749999999999999</v>
      </c>
      <c r="I776" s="10">
        <f t="shared" si="14"/>
        <v>5.0999999999999996</v>
      </c>
      <c r="J776" s="10">
        <v>0.16581119999999999</v>
      </c>
      <c r="K776" s="8" t="s">
        <v>23</v>
      </c>
      <c r="S776"/>
    </row>
    <row r="777" spans="1:19" ht="15" x14ac:dyDescent="0.25">
      <c r="A777" s="8" t="s">
        <v>5622</v>
      </c>
      <c r="B777" s="8" t="s">
        <v>4847</v>
      </c>
      <c r="C777" s="8" t="s">
        <v>5722</v>
      </c>
      <c r="D777" s="32" t="s">
        <v>6984</v>
      </c>
      <c r="E777" s="32" t="s">
        <v>5722</v>
      </c>
      <c r="F777" s="10">
        <v>20</v>
      </c>
      <c r="G777" s="8" t="s">
        <v>22</v>
      </c>
      <c r="H777" s="10">
        <v>3.6950000000000003</v>
      </c>
      <c r="I777" s="10">
        <f t="shared" si="14"/>
        <v>73.900000000000006</v>
      </c>
      <c r="J777" s="10">
        <v>2.3924767999999998</v>
      </c>
      <c r="K777" s="8" t="s">
        <v>23</v>
      </c>
      <c r="S777"/>
    </row>
    <row r="778" spans="1:19" ht="15" x14ac:dyDescent="0.25">
      <c r="A778" s="8" t="s">
        <v>5622</v>
      </c>
      <c r="B778" s="8" t="s">
        <v>4847</v>
      </c>
      <c r="C778" s="8" t="s">
        <v>5723</v>
      </c>
      <c r="D778" s="32" t="s">
        <v>6984</v>
      </c>
      <c r="E778" s="32" t="s">
        <v>5723</v>
      </c>
      <c r="F778" s="10">
        <v>4</v>
      </c>
      <c r="G778" s="8" t="s">
        <v>22</v>
      </c>
      <c r="H778" s="10">
        <v>21.574999999999999</v>
      </c>
      <c r="I778" s="10">
        <f t="shared" si="14"/>
        <v>86.3</v>
      </c>
      <c r="J778" s="10">
        <v>1.8032391999999999</v>
      </c>
      <c r="K778" s="8" t="s">
        <v>4795</v>
      </c>
      <c r="S778"/>
    </row>
    <row r="779" spans="1:19" ht="15" x14ac:dyDescent="0.25">
      <c r="A779" s="8" t="s">
        <v>5622</v>
      </c>
      <c r="B779" s="8" t="s">
        <v>4847</v>
      </c>
      <c r="C779" s="8" t="s">
        <v>5724</v>
      </c>
      <c r="D779" s="32" t="s">
        <v>6984</v>
      </c>
      <c r="E779" s="32" t="s">
        <v>5724</v>
      </c>
      <c r="F779" s="10">
        <v>88</v>
      </c>
      <c r="G779" s="8" t="s">
        <v>22</v>
      </c>
      <c r="H779" s="10">
        <v>4.0159090909090907</v>
      </c>
      <c r="I779" s="10">
        <f t="shared" si="14"/>
        <v>353.4</v>
      </c>
      <c r="J779" s="10">
        <v>14.46984</v>
      </c>
      <c r="K779" s="8" t="s">
        <v>4798</v>
      </c>
      <c r="S779"/>
    </row>
    <row r="780" spans="1:19" ht="15" x14ac:dyDescent="0.25">
      <c r="A780" s="8" t="s">
        <v>5622</v>
      </c>
      <c r="B780" s="8" t="s">
        <v>4847</v>
      </c>
      <c r="C780" s="8" t="s">
        <v>4858</v>
      </c>
      <c r="D780" s="32" t="s">
        <v>6984</v>
      </c>
      <c r="E780" s="32" t="s">
        <v>4858</v>
      </c>
      <c r="F780" s="10">
        <v>4</v>
      </c>
      <c r="G780" s="8" t="s">
        <v>22</v>
      </c>
      <c r="H780" s="10">
        <v>2.9249999999999998</v>
      </c>
      <c r="I780" s="10">
        <f t="shared" si="14"/>
        <v>11.7</v>
      </c>
      <c r="J780" s="10">
        <v>0.47992499999999999</v>
      </c>
      <c r="K780" s="8" t="s">
        <v>4798</v>
      </c>
      <c r="S780"/>
    </row>
    <row r="781" spans="1:19" ht="15" x14ac:dyDescent="0.25">
      <c r="A781" s="8" t="s">
        <v>5622</v>
      </c>
      <c r="B781" s="8" t="s">
        <v>4847</v>
      </c>
      <c r="C781" s="8" t="s">
        <v>5725</v>
      </c>
      <c r="D781" s="32" t="s">
        <v>6984</v>
      </c>
      <c r="E781" s="32" t="s">
        <v>5725</v>
      </c>
      <c r="F781" s="10">
        <v>2</v>
      </c>
      <c r="G781" s="8" t="s">
        <v>22</v>
      </c>
      <c r="H781" s="10">
        <v>3.25</v>
      </c>
      <c r="I781" s="10">
        <f t="shared" si="14"/>
        <v>6.5</v>
      </c>
      <c r="J781" s="10">
        <v>0.21002752</v>
      </c>
      <c r="K781" s="8" t="s">
        <v>23</v>
      </c>
      <c r="S781"/>
    </row>
    <row r="782" spans="1:19" ht="15" x14ac:dyDescent="0.25">
      <c r="A782" s="8" t="s">
        <v>5622</v>
      </c>
      <c r="B782" s="8" t="s">
        <v>4847</v>
      </c>
      <c r="C782" s="8" t="s">
        <v>5726</v>
      </c>
      <c r="D782" s="32" t="s">
        <v>6984</v>
      </c>
      <c r="E782" s="32" t="s">
        <v>5726</v>
      </c>
      <c r="F782" s="10">
        <v>6</v>
      </c>
      <c r="G782" s="8" t="s">
        <v>22</v>
      </c>
      <c r="H782" s="10">
        <v>1.4833333333333334</v>
      </c>
      <c r="I782" s="10">
        <f t="shared" si="14"/>
        <v>8.9</v>
      </c>
      <c r="J782" s="10">
        <v>0.36449999999999999</v>
      </c>
      <c r="K782" s="8" t="s">
        <v>4798</v>
      </c>
      <c r="S782"/>
    </row>
    <row r="783" spans="1:19" ht="15" x14ac:dyDescent="0.25">
      <c r="A783" s="8" t="s">
        <v>5622</v>
      </c>
      <c r="B783" s="8" t="s">
        <v>4847</v>
      </c>
      <c r="C783" s="8" t="s">
        <v>5727</v>
      </c>
      <c r="D783" s="32" t="s">
        <v>6984</v>
      </c>
      <c r="E783" s="32" t="s">
        <v>5727</v>
      </c>
      <c r="F783" s="10">
        <v>8</v>
      </c>
      <c r="G783" s="8" t="s">
        <v>22</v>
      </c>
      <c r="H783" s="10">
        <v>1.2124999999999999</v>
      </c>
      <c r="I783" s="10">
        <f t="shared" si="14"/>
        <v>9.6999999999999993</v>
      </c>
      <c r="J783" s="10">
        <v>0.22350400000000001</v>
      </c>
      <c r="K783" s="8" t="s">
        <v>5728</v>
      </c>
      <c r="S783"/>
    </row>
    <row r="784" spans="1:19" ht="15" x14ac:dyDescent="0.25">
      <c r="A784" s="8" t="s">
        <v>5622</v>
      </c>
      <c r="B784" s="8" t="s">
        <v>4847</v>
      </c>
      <c r="C784" s="8" t="s">
        <v>5729</v>
      </c>
      <c r="D784" s="32" t="s">
        <v>6984</v>
      </c>
      <c r="E784" s="32" t="s">
        <v>5729</v>
      </c>
      <c r="F784" s="10">
        <v>11</v>
      </c>
      <c r="G784" s="8" t="s">
        <v>22</v>
      </c>
      <c r="H784" s="10">
        <v>0.4272727272727273</v>
      </c>
      <c r="I784" s="10">
        <f t="shared" si="14"/>
        <v>4.7</v>
      </c>
      <c r="J784" s="10">
        <v>0.16632</v>
      </c>
      <c r="K784" s="8" t="s">
        <v>5513</v>
      </c>
      <c r="S784"/>
    </row>
    <row r="785" spans="1:19" ht="15" x14ac:dyDescent="0.25">
      <c r="A785" s="8" t="s">
        <v>5622</v>
      </c>
      <c r="B785" s="8" t="s">
        <v>4847</v>
      </c>
      <c r="C785" s="8" t="s">
        <v>5730</v>
      </c>
      <c r="D785" s="32" t="s">
        <v>6984</v>
      </c>
      <c r="E785" s="32" t="s">
        <v>5730</v>
      </c>
      <c r="F785" s="10">
        <v>2</v>
      </c>
      <c r="G785" s="8" t="s">
        <v>22</v>
      </c>
      <c r="H785" s="10">
        <v>0.3</v>
      </c>
      <c r="I785" s="10">
        <f t="shared" si="14"/>
        <v>0.6</v>
      </c>
      <c r="J785" s="10">
        <v>2.0807679999999999E-2</v>
      </c>
      <c r="K785" s="8" t="s">
        <v>5731</v>
      </c>
      <c r="S785"/>
    </row>
    <row r="786" spans="1:19" ht="15" x14ac:dyDescent="0.25">
      <c r="A786" s="8" t="s">
        <v>5622</v>
      </c>
      <c r="B786" s="8" t="s">
        <v>4847</v>
      </c>
      <c r="C786" s="8" t="s">
        <v>4859</v>
      </c>
      <c r="D786" s="32" t="s">
        <v>6984</v>
      </c>
      <c r="E786" s="32" t="s">
        <v>4859</v>
      </c>
      <c r="F786" s="10">
        <v>28</v>
      </c>
      <c r="G786" s="8" t="s">
        <v>22</v>
      </c>
      <c r="H786" s="10">
        <v>5.8714285714285719</v>
      </c>
      <c r="I786" s="10">
        <f t="shared" si="14"/>
        <v>164.4</v>
      </c>
      <c r="J786" s="10">
        <v>4.4937899999999997</v>
      </c>
      <c r="K786" s="8" t="s">
        <v>25</v>
      </c>
      <c r="S786"/>
    </row>
    <row r="787" spans="1:19" ht="15" x14ac:dyDescent="0.25">
      <c r="A787" s="8" t="s">
        <v>5622</v>
      </c>
      <c r="B787" s="8" t="s">
        <v>4847</v>
      </c>
      <c r="C787" s="8" t="s">
        <v>4860</v>
      </c>
      <c r="D787" s="32" t="s">
        <v>6984</v>
      </c>
      <c r="E787" s="32" t="s">
        <v>4860</v>
      </c>
      <c r="F787" s="10">
        <v>12</v>
      </c>
      <c r="G787" s="8" t="s">
        <v>22</v>
      </c>
      <c r="H787" s="10">
        <v>5.875</v>
      </c>
      <c r="I787" s="10">
        <f t="shared" si="14"/>
        <v>70.5</v>
      </c>
      <c r="J787" s="10">
        <v>1.92591</v>
      </c>
      <c r="K787" s="8" t="s">
        <v>25</v>
      </c>
      <c r="S787"/>
    </row>
    <row r="788" spans="1:19" ht="15" x14ac:dyDescent="0.25">
      <c r="A788" s="8" t="s">
        <v>5622</v>
      </c>
      <c r="B788" s="8" t="s">
        <v>4847</v>
      </c>
      <c r="C788" s="8" t="s">
        <v>4861</v>
      </c>
      <c r="D788" s="32" t="s">
        <v>6984</v>
      </c>
      <c r="E788" s="32" t="s">
        <v>4861</v>
      </c>
      <c r="F788" s="10">
        <v>314</v>
      </c>
      <c r="G788" s="8" t="s">
        <v>22</v>
      </c>
      <c r="H788" s="10">
        <v>1.4837579617834393</v>
      </c>
      <c r="I788" s="10">
        <f t="shared" si="14"/>
        <v>465.9</v>
      </c>
      <c r="J788" s="10">
        <v>19.075500000000002</v>
      </c>
      <c r="K788" s="8" t="s">
        <v>4798</v>
      </c>
      <c r="S788"/>
    </row>
    <row r="789" spans="1:19" ht="15" x14ac:dyDescent="0.25">
      <c r="A789" s="8" t="s">
        <v>5622</v>
      </c>
      <c r="B789" s="8" t="s">
        <v>4847</v>
      </c>
      <c r="C789" s="8" t="s">
        <v>5732</v>
      </c>
      <c r="D789" s="32" t="s">
        <v>6984</v>
      </c>
      <c r="E789" s="32" t="s">
        <v>5732</v>
      </c>
      <c r="F789" s="10">
        <v>36</v>
      </c>
      <c r="G789" s="8" t="s">
        <v>22</v>
      </c>
      <c r="H789" s="10">
        <v>1.0027777777777778</v>
      </c>
      <c r="I789" s="10">
        <f t="shared" si="14"/>
        <v>36.1</v>
      </c>
      <c r="J789" s="10">
        <v>1.4762249999999999</v>
      </c>
      <c r="K789" s="8" t="s">
        <v>4798</v>
      </c>
      <c r="S789"/>
    </row>
    <row r="790" spans="1:19" ht="15" x14ac:dyDescent="0.25">
      <c r="A790" s="8" t="s">
        <v>5622</v>
      </c>
      <c r="B790" s="8" t="s">
        <v>4847</v>
      </c>
      <c r="C790" s="8" t="s">
        <v>5733</v>
      </c>
      <c r="D790" s="32" t="s">
        <v>6984</v>
      </c>
      <c r="E790" s="32" t="s">
        <v>5733</v>
      </c>
      <c r="F790" s="10">
        <v>8</v>
      </c>
      <c r="G790" s="8" t="s">
        <v>22</v>
      </c>
      <c r="H790" s="10">
        <v>1.925</v>
      </c>
      <c r="I790" s="10">
        <f t="shared" si="14"/>
        <v>15.4</v>
      </c>
      <c r="J790" s="10">
        <v>0.63180000000000003</v>
      </c>
      <c r="K790" s="8" t="s">
        <v>4798</v>
      </c>
      <c r="S790"/>
    </row>
    <row r="791" spans="1:19" ht="15" x14ac:dyDescent="0.25">
      <c r="A791" s="8" t="s">
        <v>5622</v>
      </c>
      <c r="B791" s="8" t="s">
        <v>4847</v>
      </c>
      <c r="C791" s="8" t="s">
        <v>4862</v>
      </c>
      <c r="D791" s="32" t="s">
        <v>6984</v>
      </c>
      <c r="E791" s="32" t="s">
        <v>4862</v>
      </c>
      <c r="F791" s="10">
        <v>8</v>
      </c>
      <c r="G791" s="8" t="s">
        <v>22</v>
      </c>
      <c r="H791" s="10">
        <v>1.9624999999999999</v>
      </c>
      <c r="I791" s="10">
        <f t="shared" si="14"/>
        <v>15.7</v>
      </c>
      <c r="J791" s="10">
        <v>0.64395000000000002</v>
      </c>
      <c r="K791" s="8" t="s">
        <v>4798</v>
      </c>
      <c r="S791"/>
    </row>
    <row r="792" spans="1:19" ht="15" x14ac:dyDescent="0.25">
      <c r="A792" s="8" t="s">
        <v>5073</v>
      </c>
      <c r="B792" s="8" t="s">
        <v>5070</v>
      </c>
      <c r="C792" s="8" t="s">
        <v>5734</v>
      </c>
      <c r="D792" s="32" t="s">
        <v>6984</v>
      </c>
      <c r="E792" s="32" t="s">
        <v>5734</v>
      </c>
      <c r="F792" s="10">
        <v>1</v>
      </c>
      <c r="G792" s="8" t="s">
        <v>16</v>
      </c>
      <c r="H792" s="10">
        <v>166.1</v>
      </c>
      <c r="I792" s="10">
        <f t="shared" si="14"/>
        <v>166.1</v>
      </c>
      <c r="J792" s="10">
        <v>5.49084020968</v>
      </c>
      <c r="K792" s="8" t="s">
        <v>5116</v>
      </c>
      <c r="S792"/>
    </row>
    <row r="793" spans="1:19" ht="15" x14ac:dyDescent="0.25">
      <c r="A793" s="8" t="s">
        <v>4963</v>
      </c>
      <c r="B793" s="8" t="s">
        <v>4869</v>
      </c>
      <c r="C793" s="8" t="s">
        <v>5735</v>
      </c>
      <c r="D793" s="32" t="s">
        <v>5146</v>
      </c>
      <c r="E793" s="32" t="s">
        <v>5735</v>
      </c>
      <c r="F793" s="10">
        <v>176</v>
      </c>
      <c r="G793" s="8" t="s">
        <v>5736</v>
      </c>
      <c r="K793" s="8" t="s">
        <v>5736</v>
      </c>
      <c r="L793" s="8" t="s">
        <v>32</v>
      </c>
      <c r="S793"/>
    </row>
    <row r="794" spans="1:19" ht="15" x14ac:dyDescent="0.25">
      <c r="A794" s="8" t="s">
        <v>4963</v>
      </c>
      <c r="B794" s="8" t="s">
        <v>4869</v>
      </c>
      <c r="C794" s="8" t="s">
        <v>5737</v>
      </c>
      <c r="D794" s="32" t="s">
        <v>5146</v>
      </c>
      <c r="E794" s="32" t="s">
        <v>5737</v>
      </c>
      <c r="F794" s="10">
        <v>176</v>
      </c>
      <c r="G794" s="8" t="s">
        <v>5738</v>
      </c>
      <c r="K794" s="8" t="s">
        <v>5738</v>
      </c>
      <c r="L794" s="8" t="s">
        <v>32</v>
      </c>
      <c r="S794"/>
    </row>
    <row r="795" spans="1:19" ht="15" x14ac:dyDescent="0.25">
      <c r="A795" s="8" t="s">
        <v>4963</v>
      </c>
      <c r="B795" s="8" t="s">
        <v>4869</v>
      </c>
      <c r="C795" s="8" t="s">
        <v>5739</v>
      </c>
      <c r="D795" s="32" t="s">
        <v>5146</v>
      </c>
      <c r="E795" s="32" t="s">
        <v>5739</v>
      </c>
      <c r="F795" s="10">
        <v>176</v>
      </c>
      <c r="G795" s="8" t="s">
        <v>5740</v>
      </c>
      <c r="K795" s="8" t="s">
        <v>5740</v>
      </c>
      <c r="L795" s="8" t="s">
        <v>32</v>
      </c>
      <c r="S795"/>
    </row>
    <row r="796" spans="1:19" ht="15" x14ac:dyDescent="0.25">
      <c r="A796" s="8" t="s">
        <v>4963</v>
      </c>
      <c r="B796" s="8" t="s">
        <v>4869</v>
      </c>
      <c r="C796" s="8" t="s">
        <v>5741</v>
      </c>
      <c r="D796" s="32" t="s">
        <v>5146</v>
      </c>
      <c r="E796" s="32" t="s">
        <v>5741</v>
      </c>
      <c r="F796" s="10">
        <v>85</v>
      </c>
      <c r="G796" s="8" t="s">
        <v>5175</v>
      </c>
      <c r="K796" s="8" t="s">
        <v>5175</v>
      </c>
      <c r="L796" s="8" t="s">
        <v>32</v>
      </c>
      <c r="S796"/>
    </row>
    <row r="797" spans="1:19" ht="15" x14ac:dyDescent="0.25">
      <c r="A797" s="8" t="s">
        <v>4963</v>
      </c>
      <c r="B797" s="8" t="s">
        <v>4869</v>
      </c>
      <c r="C797" s="8" t="s">
        <v>5742</v>
      </c>
      <c r="D797" s="32" t="s">
        <v>5146</v>
      </c>
      <c r="E797" s="32" t="s">
        <v>5742</v>
      </c>
      <c r="F797" s="10">
        <v>85</v>
      </c>
      <c r="G797" s="8" t="s">
        <v>5743</v>
      </c>
      <c r="K797" s="8" t="s">
        <v>5743</v>
      </c>
      <c r="L797" s="8" t="s">
        <v>32</v>
      </c>
      <c r="S797"/>
    </row>
    <row r="798" spans="1:19" ht="15" x14ac:dyDescent="0.25">
      <c r="A798" s="8" t="s">
        <v>4963</v>
      </c>
      <c r="B798" s="8" t="s">
        <v>4869</v>
      </c>
      <c r="C798" s="8" t="s">
        <v>5744</v>
      </c>
      <c r="D798" s="32" t="s">
        <v>5146</v>
      </c>
      <c r="E798" s="32" t="s">
        <v>5744</v>
      </c>
      <c r="F798" s="10">
        <v>85</v>
      </c>
      <c r="G798" s="8" t="s">
        <v>5745</v>
      </c>
      <c r="K798" s="8" t="s">
        <v>5745</v>
      </c>
      <c r="L798" s="8" t="s">
        <v>32</v>
      </c>
      <c r="S798"/>
    </row>
    <row r="799" spans="1:19" ht="15" x14ac:dyDescent="0.25">
      <c r="A799" s="8" t="s">
        <v>4963</v>
      </c>
      <c r="B799" s="8" t="s">
        <v>4869</v>
      </c>
      <c r="C799" s="8" t="s">
        <v>5746</v>
      </c>
      <c r="D799" s="32" t="s">
        <v>5146</v>
      </c>
      <c r="E799" s="32" t="s">
        <v>5746</v>
      </c>
      <c r="F799" s="10">
        <v>25</v>
      </c>
      <c r="G799" s="8" t="s">
        <v>5747</v>
      </c>
      <c r="K799" s="8" t="s">
        <v>5747</v>
      </c>
      <c r="L799" s="8" t="s">
        <v>32</v>
      </c>
      <c r="S799"/>
    </row>
    <row r="800" spans="1:19" ht="15" x14ac:dyDescent="0.25">
      <c r="A800" s="8" t="s">
        <v>4963</v>
      </c>
      <c r="B800" s="8" t="s">
        <v>4869</v>
      </c>
      <c r="C800" s="8" t="s">
        <v>5748</v>
      </c>
      <c r="D800" s="32" t="s">
        <v>5146</v>
      </c>
      <c r="E800" s="32" t="s">
        <v>5748</v>
      </c>
      <c r="F800" s="10">
        <v>25</v>
      </c>
      <c r="G800" s="8" t="s">
        <v>5177</v>
      </c>
      <c r="K800" s="8" t="s">
        <v>5177</v>
      </c>
      <c r="L800" s="8" t="s">
        <v>32</v>
      </c>
      <c r="S800"/>
    </row>
    <row r="801" spans="1:19" ht="15" x14ac:dyDescent="0.25">
      <c r="A801" s="8" t="s">
        <v>4963</v>
      </c>
      <c r="B801" s="8" t="s">
        <v>4869</v>
      </c>
      <c r="C801" s="8" t="s">
        <v>5749</v>
      </c>
      <c r="D801" s="32" t="s">
        <v>5146</v>
      </c>
      <c r="E801" s="32" t="s">
        <v>5749</v>
      </c>
      <c r="F801" s="10">
        <v>25</v>
      </c>
      <c r="G801" s="8" t="s">
        <v>5750</v>
      </c>
      <c r="K801" s="8" t="s">
        <v>5750</v>
      </c>
      <c r="L801" s="8" t="s">
        <v>32</v>
      </c>
      <c r="S801"/>
    </row>
    <row r="802" spans="1:19" ht="15" x14ac:dyDescent="0.25">
      <c r="A802" s="8" t="s">
        <v>4963</v>
      </c>
      <c r="B802" s="8" t="s">
        <v>4869</v>
      </c>
      <c r="C802" s="8" t="s">
        <v>5751</v>
      </c>
      <c r="D802" s="32" t="s">
        <v>5146</v>
      </c>
      <c r="E802" s="32" t="s">
        <v>5751</v>
      </c>
      <c r="F802" s="10">
        <v>79</v>
      </c>
      <c r="G802" s="8" t="s">
        <v>5153</v>
      </c>
      <c r="K802" s="8" t="s">
        <v>5153</v>
      </c>
      <c r="L802" s="8" t="s">
        <v>32</v>
      </c>
      <c r="S802"/>
    </row>
    <row r="803" spans="1:19" ht="15" x14ac:dyDescent="0.25">
      <c r="A803" s="8" t="s">
        <v>4963</v>
      </c>
      <c r="B803" s="8" t="s">
        <v>4869</v>
      </c>
      <c r="C803" s="8" t="s">
        <v>5752</v>
      </c>
      <c r="D803" s="32" t="s">
        <v>5146</v>
      </c>
      <c r="E803" s="32" t="s">
        <v>5752</v>
      </c>
      <c r="F803" s="10">
        <v>114</v>
      </c>
      <c r="G803" s="8" t="s">
        <v>5155</v>
      </c>
      <c r="K803" s="8" t="s">
        <v>5155</v>
      </c>
      <c r="L803" s="8" t="s">
        <v>32</v>
      </c>
      <c r="S803"/>
    </row>
    <row r="804" spans="1:19" ht="15" x14ac:dyDescent="0.25">
      <c r="A804" s="8" t="s">
        <v>4963</v>
      </c>
      <c r="B804" s="8" t="s">
        <v>4869</v>
      </c>
      <c r="C804" s="8" t="s">
        <v>5753</v>
      </c>
      <c r="D804" s="32" t="s">
        <v>5146</v>
      </c>
      <c r="E804" s="32" t="s">
        <v>5753</v>
      </c>
      <c r="F804" s="10">
        <v>81</v>
      </c>
      <c r="G804" s="8" t="s">
        <v>5157</v>
      </c>
      <c r="K804" s="8" t="s">
        <v>5157</v>
      </c>
      <c r="L804" s="8" t="s">
        <v>32</v>
      </c>
      <c r="S804"/>
    </row>
    <row r="805" spans="1:19" ht="15" x14ac:dyDescent="0.25">
      <c r="A805" s="8" t="s">
        <v>4963</v>
      </c>
      <c r="B805" s="8" t="s">
        <v>4869</v>
      </c>
      <c r="C805" s="8" t="s">
        <v>5754</v>
      </c>
      <c r="D805" s="32" t="s">
        <v>5146</v>
      </c>
      <c r="E805" s="32" t="s">
        <v>5754</v>
      </c>
      <c r="F805" s="10">
        <v>274</v>
      </c>
      <c r="G805" s="8" t="s">
        <v>5165</v>
      </c>
      <c r="K805" s="8" t="s">
        <v>5165</v>
      </c>
      <c r="L805" s="8" t="s">
        <v>32</v>
      </c>
      <c r="S805"/>
    </row>
    <row r="806" spans="1:19" ht="15" x14ac:dyDescent="0.25">
      <c r="A806" s="8" t="s">
        <v>4963</v>
      </c>
      <c r="B806" s="8" t="s">
        <v>4869</v>
      </c>
      <c r="C806" s="8" t="s">
        <v>5755</v>
      </c>
      <c r="D806" s="32" t="s">
        <v>5146</v>
      </c>
      <c r="E806" s="32" t="s">
        <v>5755</v>
      </c>
      <c r="F806" s="10">
        <v>274</v>
      </c>
      <c r="G806" s="8" t="s">
        <v>5167</v>
      </c>
      <c r="K806" s="8" t="s">
        <v>5167</v>
      </c>
      <c r="L806" s="8" t="s">
        <v>32</v>
      </c>
      <c r="S806"/>
    </row>
    <row r="807" spans="1:19" ht="15" x14ac:dyDescent="0.25">
      <c r="A807" s="8" t="s">
        <v>4932</v>
      </c>
      <c r="B807" s="8" t="s">
        <v>14</v>
      </c>
      <c r="C807" s="8" t="s">
        <v>5756</v>
      </c>
      <c r="D807" s="32" t="s">
        <v>5146</v>
      </c>
      <c r="E807" s="32" t="s">
        <v>5756</v>
      </c>
      <c r="F807" s="10">
        <v>102</v>
      </c>
      <c r="G807" s="8" t="s">
        <v>5736</v>
      </c>
      <c r="K807" s="8" t="s">
        <v>5736</v>
      </c>
      <c r="L807" s="8" t="s">
        <v>32</v>
      </c>
      <c r="S807"/>
    </row>
    <row r="808" spans="1:19" ht="15" x14ac:dyDescent="0.25">
      <c r="A808" s="8" t="s">
        <v>4932</v>
      </c>
      <c r="B808" s="8" t="s">
        <v>14</v>
      </c>
      <c r="C808" s="8" t="s">
        <v>5757</v>
      </c>
      <c r="D808" s="32" t="s">
        <v>5146</v>
      </c>
      <c r="E808" s="32" t="s">
        <v>5757</v>
      </c>
      <c r="F808" s="10">
        <v>102</v>
      </c>
      <c r="G808" s="8" t="s">
        <v>5738</v>
      </c>
      <c r="K808" s="8" t="s">
        <v>5738</v>
      </c>
      <c r="L808" s="8" t="s">
        <v>32</v>
      </c>
      <c r="S808"/>
    </row>
    <row r="809" spans="1:19" ht="15" x14ac:dyDescent="0.25">
      <c r="A809" s="8" t="s">
        <v>4932</v>
      </c>
      <c r="B809" s="8" t="s">
        <v>14</v>
      </c>
      <c r="C809" s="8" t="s">
        <v>5758</v>
      </c>
      <c r="D809" s="32" t="s">
        <v>5146</v>
      </c>
      <c r="E809" s="32" t="s">
        <v>5758</v>
      </c>
      <c r="F809" s="10">
        <v>102</v>
      </c>
      <c r="G809" s="8" t="s">
        <v>5740</v>
      </c>
      <c r="K809" s="8" t="s">
        <v>5740</v>
      </c>
      <c r="L809" s="8" t="s">
        <v>32</v>
      </c>
      <c r="S809"/>
    </row>
    <row r="810" spans="1:19" ht="15" x14ac:dyDescent="0.25">
      <c r="A810" s="8" t="s">
        <v>4932</v>
      </c>
      <c r="B810" s="8" t="s">
        <v>14</v>
      </c>
      <c r="C810" s="8" t="s">
        <v>5759</v>
      </c>
      <c r="D810" s="32" t="s">
        <v>5146</v>
      </c>
      <c r="E810" s="32" t="s">
        <v>5759</v>
      </c>
      <c r="F810" s="10">
        <v>60</v>
      </c>
      <c r="G810" s="8" t="s">
        <v>5175</v>
      </c>
      <c r="K810" s="8" t="s">
        <v>5175</v>
      </c>
      <c r="L810" s="8" t="s">
        <v>32</v>
      </c>
      <c r="S810"/>
    </row>
    <row r="811" spans="1:19" ht="15" x14ac:dyDescent="0.25">
      <c r="A811" s="8" t="s">
        <v>4932</v>
      </c>
      <c r="B811" s="8" t="s">
        <v>14</v>
      </c>
      <c r="C811" s="8" t="s">
        <v>5760</v>
      </c>
      <c r="D811" s="32" t="s">
        <v>5146</v>
      </c>
      <c r="E811" s="32" t="s">
        <v>5760</v>
      </c>
      <c r="F811" s="10">
        <v>60</v>
      </c>
      <c r="G811" s="8" t="s">
        <v>5743</v>
      </c>
      <c r="K811" s="8" t="s">
        <v>5743</v>
      </c>
      <c r="L811" s="8" t="s">
        <v>32</v>
      </c>
      <c r="S811"/>
    </row>
    <row r="812" spans="1:19" ht="15" x14ac:dyDescent="0.25">
      <c r="A812" s="8" t="s">
        <v>4932</v>
      </c>
      <c r="B812" s="8" t="s">
        <v>14</v>
      </c>
      <c r="C812" s="8" t="s">
        <v>5761</v>
      </c>
      <c r="D812" s="32" t="s">
        <v>5146</v>
      </c>
      <c r="E812" s="32" t="s">
        <v>5761</v>
      </c>
      <c r="F812" s="10">
        <v>60</v>
      </c>
      <c r="G812" s="8" t="s">
        <v>5745</v>
      </c>
      <c r="K812" s="8" t="s">
        <v>5745</v>
      </c>
      <c r="L812" s="8" t="s">
        <v>32</v>
      </c>
      <c r="S812"/>
    </row>
    <row r="813" spans="1:19" ht="15" x14ac:dyDescent="0.25">
      <c r="A813" s="8" t="s">
        <v>4932</v>
      </c>
      <c r="B813" s="8" t="s">
        <v>14</v>
      </c>
      <c r="C813" s="8" t="s">
        <v>5762</v>
      </c>
      <c r="D813" s="32" t="s">
        <v>5146</v>
      </c>
      <c r="E813" s="32" t="s">
        <v>5762</v>
      </c>
      <c r="F813" s="10">
        <v>13</v>
      </c>
      <c r="G813" s="8" t="s">
        <v>5747</v>
      </c>
      <c r="K813" s="8" t="s">
        <v>5747</v>
      </c>
      <c r="L813" s="8" t="s">
        <v>32</v>
      </c>
      <c r="S813"/>
    </row>
    <row r="814" spans="1:19" ht="15" x14ac:dyDescent="0.25">
      <c r="A814" s="8" t="s">
        <v>4932</v>
      </c>
      <c r="B814" s="8" t="s">
        <v>14</v>
      </c>
      <c r="C814" s="8" t="s">
        <v>5763</v>
      </c>
      <c r="D814" s="32" t="s">
        <v>5146</v>
      </c>
      <c r="E814" s="32" t="s">
        <v>5763</v>
      </c>
      <c r="F814" s="10">
        <v>13</v>
      </c>
      <c r="G814" s="8" t="s">
        <v>5177</v>
      </c>
      <c r="K814" s="8" t="s">
        <v>5177</v>
      </c>
      <c r="L814" s="8" t="s">
        <v>32</v>
      </c>
      <c r="S814"/>
    </row>
    <row r="815" spans="1:19" ht="15" x14ac:dyDescent="0.25">
      <c r="A815" s="8" t="s">
        <v>4932</v>
      </c>
      <c r="B815" s="8" t="s">
        <v>14</v>
      </c>
      <c r="C815" s="8" t="s">
        <v>5764</v>
      </c>
      <c r="D815" s="32" t="s">
        <v>5146</v>
      </c>
      <c r="E815" s="32" t="s">
        <v>5764</v>
      </c>
      <c r="F815" s="10">
        <v>13</v>
      </c>
      <c r="G815" s="8" t="s">
        <v>5750</v>
      </c>
      <c r="K815" s="8" t="s">
        <v>5750</v>
      </c>
      <c r="L815" s="8" t="s">
        <v>32</v>
      </c>
      <c r="S815"/>
    </row>
    <row r="816" spans="1:19" ht="15" x14ac:dyDescent="0.25">
      <c r="A816" s="8" t="s">
        <v>4932</v>
      </c>
      <c r="B816" s="8" t="s">
        <v>14</v>
      </c>
      <c r="C816" s="8" t="s">
        <v>5765</v>
      </c>
      <c r="D816" s="32" t="s">
        <v>5146</v>
      </c>
      <c r="E816" s="32" t="s">
        <v>5765</v>
      </c>
      <c r="F816" s="10">
        <v>18</v>
      </c>
      <c r="G816" s="8" t="s">
        <v>5153</v>
      </c>
      <c r="K816" s="8" t="s">
        <v>5153</v>
      </c>
      <c r="L816" s="8" t="s">
        <v>32</v>
      </c>
      <c r="S816"/>
    </row>
    <row r="817" spans="1:19" ht="15" x14ac:dyDescent="0.25">
      <c r="A817" s="8" t="s">
        <v>4932</v>
      </c>
      <c r="B817" s="8" t="s">
        <v>14</v>
      </c>
      <c r="C817" s="8" t="s">
        <v>5766</v>
      </c>
      <c r="D817" s="32" t="s">
        <v>5146</v>
      </c>
      <c r="E817" s="32" t="s">
        <v>5766</v>
      </c>
      <c r="F817" s="10">
        <v>69</v>
      </c>
      <c r="G817" s="8" t="s">
        <v>5155</v>
      </c>
      <c r="K817" s="8" t="s">
        <v>5155</v>
      </c>
      <c r="L817" s="8" t="s">
        <v>32</v>
      </c>
      <c r="S817"/>
    </row>
    <row r="818" spans="1:19" ht="15" x14ac:dyDescent="0.25">
      <c r="A818" s="8" t="s">
        <v>4932</v>
      </c>
      <c r="B818" s="8" t="s">
        <v>14</v>
      </c>
      <c r="C818" s="8" t="s">
        <v>5767</v>
      </c>
      <c r="D818" s="32" t="s">
        <v>5146</v>
      </c>
      <c r="E818" s="32" t="s">
        <v>5767</v>
      </c>
      <c r="F818" s="10">
        <v>29</v>
      </c>
      <c r="G818" s="8" t="s">
        <v>5157</v>
      </c>
      <c r="K818" s="8" t="s">
        <v>5157</v>
      </c>
      <c r="L818" s="8" t="s">
        <v>32</v>
      </c>
      <c r="S818"/>
    </row>
    <row r="819" spans="1:19" ht="15" x14ac:dyDescent="0.25">
      <c r="A819" s="8" t="s">
        <v>4932</v>
      </c>
      <c r="B819" s="8" t="s">
        <v>14</v>
      </c>
      <c r="C819" s="8" t="s">
        <v>5768</v>
      </c>
      <c r="D819" s="32" t="s">
        <v>5146</v>
      </c>
      <c r="E819" s="32" t="s">
        <v>5768</v>
      </c>
      <c r="F819" s="10">
        <v>12</v>
      </c>
      <c r="G819" s="8" t="s">
        <v>5159</v>
      </c>
      <c r="K819" s="8" t="s">
        <v>5159</v>
      </c>
      <c r="L819" s="8" t="s">
        <v>32</v>
      </c>
      <c r="S819"/>
    </row>
    <row r="820" spans="1:19" ht="15" x14ac:dyDescent="0.25">
      <c r="A820" s="8" t="s">
        <v>4932</v>
      </c>
      <c r="B820" s="8" t="s">
        <v>14</v>
      </c>
      <c r="C820" s="8" t="s">
        <v>5769</v>
      </c>
      <c r="D820" s="32" t="s">
        <v>5146</v>
      </c>
      <c r="E820" s="32" t="s">
        <v>5769</v>
      </c>
      <c r="F820" s="10">
        <v>11</v>
      </c>
      <c r="G820" s="8" t="s">
        <v>5161</v>
      </c>
      <c r="K820" s="8" t="s">
        <v>5161</v>
      </c>
      <c r="L820" s="8" t="s">
        <v>32</v>
      </c>
      <c r="S820"/>
    </row>
    <row r="821" spans="1:19" ht="15" x14ac:dyDescent="0.25">
      <c r="A821" s="8" t="s">
        <v>4932</v>
      </c>
      <c r="B821" s="8" t="s">
        <v>14</v>
      </c>
      <c r="C821" s="8" t="s">
        <v>5770</v>
      </c>
      <c r="D821" s="32" t="s">
        <v>5146</v>
      </c>
      <c r="E821" s="32" t="s">
        <v>5770</v>
      </c>
      <c r="F821" s="10">
        <v>139</v>
      </c>
      <c r="G821" s="8" t="s">
        <v>5165</v>
      </c>
      <c r="K821" s="8" t="s">
        <v>5165</v>
      </c>
      <c r="L821" s="8" t="s">
        <v>32</v>
      </c>
      <c r="S821"/>
    </row>
    <row r="822" spans="1:19" ht="15" x14ac:dyDescent="0.25">
      <c r="A822" s="8" t="s">
        <v>4932</v>
      </c>
      <c r="B822" s="8" t="s">
        <v>14</v>
      </c>
      <c r="C822" s="8" t="s">
        <v>5771</v>
      </c>
      <c r="D822" s="32" t="s">
        <v>5146</v>
      </c>
      <c r="E822" s="32" t="s">
        <v>5771</v>
      </c>
      <c r="F822" s="10">
        <v>139</v>
      </c>
      <c r="G822" s="8" t="s">
        <v>5167</v>
      </c>
      <c r="K822" s="8" t="s">
        <v>5167</v>
      </c>
      <c r="L822" s="8" t="s">
        <v>32</v>
      </c>
      <c r="S822"/>
    </row>
    <row r="823" spans="1:19" ht="15" x14ac:dyDescent="0.25">
      <c r="A823" s="8" t="s">
        <v>4998</v>
      </c>
      <c r="B823" s="8" t="s">
        <v>4779</v>
      </c>
      <c r="C823" s="8" t="s">
        <v>5772</v>
      </c>
      <c r="D823" s="32" t="s">
        <v>5146</v>
      </c>
      <c r="E823" s="32" t="s">
        <v>5772</v>
      </c>
      <c r="F823" s="10">
        <v>66</v>
      </c>
      <c r="G823" s="8" t="s">
        <v>5736</v>
      </c>
      <c r="K823" s="8" t="s">
        <v>5736</v>
      </c>
      <c r="L823" s="8" t="s">
        <v>32</v>
      </c>
      <c r="S823"/>
    </row>
    <row r="824" spans="1:19" ht="15" x14ac:dyDescent="0.25">
      <c r="A824" s="8" t="s">
        <v>4998</v>
      </c>
      <c r="B824" s="8" t="s">
        <v>4779</v>
      </c>
      <c r="C824" s="8" t="s">
        <v>5773</v>
      </c>
      <c r="D824" s="32" t="s">
        <v>5146</v>
      </c>
      <c r="E824" s="32" t="s">
        <v>5773</v>
      </c>
      <c r="F824" s="10">
        <v>58</v>
      </c>
      <c r="G824" s="8" t="s">
        <v>5774</v>
      </c>
      <c r="K824" s="8" t="s">
        <v>5774</v>
      </c>
      <c r="L824" s="8" t="s">
        <v>32</v>
      </c>
      <c r="S824"/>
    </row>
    <row r="825" spans="1:19" ht="15" x14ac:dyDescent="0.25">
      <c r="A825" s="8" t="s">
        <v>4998</v>
      </c>
      <c r="B825" s="8" t="s">
        <v>4779</v>
      </c>
      <c r="C825" s="8" t="s">
        <v>5775</v>
      </c>
      <c r="D825" s="32" t="s">
        <v>5146</v>
      </c>
      <c r="E825" s="32" t="s">
        <v>5775</v>
      </c>
      <c r="F825" s="10">
        <v>124</v>
      </c>
      <c r="G825" s="8" t="s">
        <v>5738</v>
      </c>
      <c r="K825" s="8" t="s">
        <v>5738</v>
      </c>
      <c r="L825" s="8" t="s">
        <v>32</v>
      </c>
      <c r="S825"/>
    </row>
    <row r="826" spans="1:19" ht="15" x14ac:dyDescent="0.25">
      <c r="A826" s="8" t="s">
        <v>4998</v>
      </c>
      <c r="B826" s="8" t="s">
        <v>4779</v>
      </c>
      <c r="C826" s="8" t="s">
        <v>5776</v>
      </c>
      <c r="D826" s="32" t="s">
        <v>5146</v>
      </c>
      <c r="E826" s="32" t="s">
        <v>5776</v>
      </c>
      <c r="F826" s="10">
        <v>124</v>
      </c>
      <c r="G826" s="8" t="s">
        <v>5740</v>
      </c>
      <c r="K826" s="8" t="s">
        <v>5740</v>
      </c>
      <c r="L826" s="8" t="s">
        <v>32</v>
      </c>
      <c r="S826"/>
    </row>
    <row r="827" spans="1:19" ht="15" x14ac:dyDescent="0.25">
      <c r="A827" s="8" t="s">
        <v>4998</v>
      </c>
      <c r="B827" s="8" t="s">
        <v>4779</v>
      </c>
      <c r="C827" s="8" t="s">
        <v>5777</v>
      </c>
      <c r="D827" s="32" t="s">
        <v>5146</v>
      </c>
      <c r="E827" s="32" t="s">
        <v>5777</v>
      </c>
      <c r="F827" s="10">
        <v>49</v>
      </c>
      <c r="G827" s="8" t="s">
        <v>5175</v>
      </c>
      <c r="K827" s="8" t="s">
        <v>5175</v>
      </c>
      <c r="L827" s="8" t="s">
        <v>32</v>
      </c>
      <c r="S827"/>
    </row>
    <row r="828" spans="1:19" ht="15" x14ac:dyDescent="0.25">
      <c r="A828" s="8" t="s">
        <v>4998</v>
      </c>
      <c r="B828" s="8" t="s">
        <v>4779</v>
      </c>
      <c r="C828" s="8" t="s">
        <v>5778</v>
      </c>
      <c r="D828" s="32" t="s">
        <v>5146</v>
      </c>
      <c r="E828" s="32" t="s">
        <v>5778</v>
      </c>
      <c r="F828" s="10">
        <v>49</v>
      </c>
      <c r="G828" s="8" t="s">
        <v>5743</v>
      </c>
      <c r="K828" s="8" t="s">
        <v>5743</v>
      </c>
      <c r="L828" s="8" t="s">
        <v>32</v>
      </c>
      <c r="S828"/>
    </row>
    <row r="829" spans="1:19" ht="15" x14ac:dyDescent="0.25">
      <c r="A829" s="8" t="s">
        <v>4998</v>
      </c>
      <c r="B829" s="8" t="s">
        <v>4779</v>
      </c>
      <c r="C829" s="8" t="s">
        <v>5779</v>
      </c>
      <c r="D829" s="32" t="s">
        <v>5146</v>
      </c>
      <c r="E829" s="32" t="s">
        <v>5779</v>
      </c>
      <c r="F829" s="10">
        <v>49</v>
      </c>
      <c r="G829" s="8" t="s">
        <v>5745</v>
      </c>
      <c r="K829" s="8" t="s">
        <v>5745</v>
      </c>
      <c r="L829" s="8" t="s">
        <v>32</v>
      </c>
      <c r="S829"/>
    </row>
    <row r="830" spans="1:19" ht="15" x14ac:dyDescent="0.25">
      <c r="A830" s="8" t="s">
        <v>4998</v>
      </c>
      <c r="B830" s="8" t="s">
        <v>4779</v>
      </c>
      <c r="C830" s="8" t="s">
        <v>5780</v>
      </c>
      <c r="D830" s="32" t="s">
        <v>5146</v>
      </c>
      <c r="E830" s="32" t="s">
        <v>5780</v>
      </c>
      <c r="F830" s="10">
        <v>12</v>
      </c>
      <c r="G830" s="8" t="s">
        <v>5747</v>
      </c>
      <c r="K830" s="8" t="s">
        <v>5747</v>
      </c>
      <c r="L830" s="8" t="s">
        <v>32</v>
      </c>
      <c r="S830"/>
    </row>
    <row r="831" spans="1:19" ht="15" x14ac:dyDescent="0.25">
      <c r="A831" s="8" t="s">
        <v>4998</v>
      </c>
      <c r="B831" s="8" t="s">
        <v>4779</v>
      </c>
      <c r="C831" s="8" t="s">
        <v>5781</v>
      </c>
      <c r="D831" s="32" t="s">
        <v>5146</v>
      </c>
      <c r="E831" s="32" t="s">
        <v>5781</v>
      </c>
      <c r="F831" s="10">
        <v>12</v>
      </c>
      <c r="G831" s="8" t="s">
        <v>5782</v>
      </c>
      <c r="K831" s="8" t="s">
        <v>5782</v>
      </c>
      <c r="L831" s="8" t="s">
        <v>32</v>
      </c>
      <c r="S831"/>
    </row>
    <row r="832" spans="1:19" ht="15" x14ac:dyDescent="0.25">
      <c r="A832" s="8" t="s">
        <v>4998</v>
      </c>
      <c r="B832" s="8" t="s">
        <v>4779</v>
      </c>
      <c r="C832" s="8" t="s">
        <v>5783</v>
      </c>
      <c r="D832" s="32" t="s">
        <v>5146</v>
      </c>
      <c r="E832" s="32" t="s">
        <v>5783</v>
      </c>
      <c r="F832" s="10">
        <v>12</v>
      </c>
      <c r="G832" s="8" t="s">
        <v>5750</v>
      </c>
      <c r="K832" s="8" t="s">
        <v>5750</v>
      </c>
      <c r="L832" s="8" t="s">
        <v>32</v>
      </c>
      <c r="S832"/>
    </row>
    <row r="833" spans="1:19" ht="15" x14ac:dyDescent="0.25">
      <c r="A833" s="8" t="s">
        <v>4998</v>
      </c>
      <c r="B833" s="8" t="s">
        <v>4779</v>
      </c>
      <c r="C833" s="8" t="s">
        <v>5784</v>
      </c>
      <c r="D833" s="32" t="s">
        <v>5146</v>
      </c>
      <c r="E833" s="32" t="s">
        <v>5784</v>
      </c>
      <c r="F833" s="10">
        <v>14</v>
      </c>
      <c r="G833" s="8" t="s">
        <v>5153</v>
      </c>
      <c r="K833" s="8" t="s">
        <v>5153</v>
      </c>
      <c r="L833" s="8" t="s">
        <v>32</v>
      </c>
      <c r="S833"/>
    </row>
    <row r="834" spans="1:19" ht="15" x14ac:dyDescent="0.25">
      <c r="A834" s="8" t="s">
        <v>4998</v>
      </c>
      <c r="B834" s="8" t="s">
        <v>4779</v>
      </c>
      <c r="C834" s="8" t="s">
        <v>5785</v>
      </c>
      <c r="D834" s="32" t="s">
        <v>5146</v>
      </c>
      <c r="E834" s="32" t="s">
        <v>5785</v>
      </c>
      <c r="F834" s="10">
        <v>14</v>
      </c>
      <c r="G834" s="8" t="s">
        <v>5165</v>
      </c>
      <c r="K834" s="8" t="s">
        <v>5165</v>
      </c>
      <c r="L834" s="8" t="s">
        <v>32</v>
      </c>
      <c r="S834"/>
    </row>
    <row r="835" spans="1:19" ht="15" x14ac:dyDescent="0.25">
      <c r="A835" s="8" t="s">
        <v>4998</v>
      </c>
      <c r="B835" s="8" t="s">
        <v>4779</v>
      </c>
      <c r="C835" s="8" t="s">
        <v>5786</v>
      </c>
      <c r="D835" s="32" t="s">
        <v>5146</v>
      </c>
      <c r="E835" s="32" t="s">
        <v>5786</v>
      </c>
      <c r="F835" s="10">
        <v>14</v>
      </c>
      <c r="G835" s="8" t="s">
        <v>5167</v>
      </c>
      <c r="K835" s="8" t="s">
        <v>5167</v>
      </c>
      <c r="L835" s="8" t="s">
        <v>32</v>
      </c>
      <c r="S835"/>
    </row>
    <row r="836" spans="1:19" ht="15" x14ac:dyDescent="0.25">
      <c r="A836" s="8" t="s">
        <v>4932</v>
      </c>
      <c r="B836" s="8" t="s">
        <v>14</v>
      </c>
      <c r="C836" s="8" t="s">
        <v>5787</v>
      </c>
      <c r="D836" s="32" t="s">
        <v>6984</v>
      </c>
      <c r="E836" s="32" t="s">
        <v>5787</v>
      </c>
      <c r="F836" s="10">
        <v>1</v>
      </c>
      <c r="G836" s="8" t="s">
        <v>5095</v>
      </c>
      <c r="H836" s="10">
        <v>312.5</v>
      </c>
      <c r="I836" s="10">
        <f t="shared" si="14"/>
        <v>312.5</v>
      </c>
      <c r="J836" s="10">
        <v>8.7025726257200002</v>
      </c>
      <c r="K836" s="8" t="s">
        <v>5536</v>
      </c>
      <c r="S836"/>
    </row>
    <row r="837" spans="1:19" ht="15" x14ac:dyDescent="0.25">
      <c r="A837" s="8" t="s">
        <v>4932</v>
      </c>
      <c r="B837" s="8" t="s">
        <v>14</v>
      </c>
      <c r="C837" s="8" t="s">
        <v>5788</v>
      </c>
      <c r="D837" s="32" t="s">
        <v>6984</v>
      </c>
      <c r="E837" s="32" t="s">
        <v>5788</v>
      </c>
      <c r="F837" s="10">
        <v>1</v>
      </c>
      <c r="G837" s="8" t="s">
        <v>5095</v>
      </c>
      <c r="H837" s="10">
        <v>313.3</v>
      </c>
      <c r="I837" s="10">
        <f t="shared" ref="I837:I900" si="15">F837*H837</f>
        <v>313.3</v>
      </c>
      <c r="J837" s="10">
        <v>8.7284806257199996</v>
      </c>
      <c r="K837" s="8" t="s">
        <v>5536</v>
      </c>
      <c r="S837"/>
    </row>
    <row r="838" spans="1:19" ht="15" x14ac:dyDescent="0.25">
      <c r="A838" s="8" t="s">
        <v>4932</v>
      </c>
      <c r="B838" s="8" t="s">
        <v>14</v>
      </c>
      <c r="C838" s="8" t="s">
        <v>5789</v>
      </c>
      <c r="D838" s="32" t="s">
        <v>6984</v>
      </c>
      <c r="E838" s="32" t="s">
        <v>5789</v>
      </c>
      <c r="F838" s="10">
        <v>1</v>
      </c>
      <c r="G838" s="8" t="s">
        <v>5139</v>
      </c>
      <c r="H838" s="10">
        <v>142</v>
      </c>
      <c r="I838" s="10">
        <f t="shared" si="15"/>
        <v>142</v>
      </c>
      <c r="J838" s="10">
        <v>8.5983825815999992</v>
      </c>
      <c r="K838" s="8" t="s">
        <v>5335</v>
      </c>
      <c r="S838"/>
    </row>
    <row r="839" spans="1:19" ht="15" x14ac:dyDescent="0.25">
      <c r="A839" s="8" t="s">
        <v>4932</v>
      </c>
      <c r="B839" s="8" t="s">
        <v>14</v>
      </c>
      <c r="C839" s="8" t="s">
        <v>5790</v>
      </c>
      <c r="D839" s="32" t="s">
        <v>6984</v>
      </c>
      <c r="E839" s="32" t="s">
        <v>5790</v>
      </c>
      <c r="F839" s="10">
        <v>1</v>
      </c>
      <c r="G839" s="8" t="s">
        <v>5139</v>
      </c>
      <c r="H839" s="10">
        <v>142</v>
      </c>
      <c r="I839" s="10">
        <f t="shared" si="15"/>
        <v>142</v>
      </c>
      <c r="J839" s="10">
        <v>8.5983825815999992</v>
      </c>
      <c r="K839" s="8" t="s">
        <v>5335</v>
      </c>
      <c r="S839"/>
    </row>
    <row r="840" spans="1:19" ht="15" x14ac:dyDescent="0.25">
      <c r="A840" s="8" t="s">
        <v>4932</v>
      </c>
      <c r="B840" s="8" t="s">
        <v>14</v>
      </c>
      <c r="C840" s="8" t="s">
        <v>5791</v>
      </c>
      <c r="D840" s="32" t="s">
        <v>6984</v>
      </c>
      <c r="E840" s="32" t="s">
        <v>5791</v>
      </c>
      <c r="F840" s="10">
        <v>1</v>
      </c>
      <c r="G840" s="8" t="s">
        <v>5139</v>
      </c>
      <c r="H840" s="10">
        <v>119.1</v>
      </c>
      <c r="I840" s="10">
        <f t="shared" si="15"/>
        <v>119.1</v>
      </c>
      <c r="J840" s="10">
        <v>7.2616085015999996</v>
      </c>
      <c r="K840" s="8" t="s">
        <v>5130</v>
      </c>
      <c r="S840"/>
    </row>
    <row r="841" spans="1:19" ht="15" x14ac:dyDescent="0.25">
      <c r="A841" s="8" t="s">
        <v>4932</v>
      </c>
      <c r="B841" s="8" t="s">
        <v>14</v>
      </c>
      <c r="C841" s="8" t="s">
        <v>5792</v>
      </c>
      <c r="D841" s="32" t="s">
        <v>6984</v>
      </c>
      <c r="E841" s="32" t="s">
        <v>5792</v>
      </c>
      <c r="F841" s="10">
        <v>1</v>
      </c>
      <c r="G841" s="8" t="s">
        <v>5139</v>
      </c>
      <c r="H841" s="10">
        <v>119.1</v>
      </c>
      <c r="I841" s="10">
        <f t="shared" si="15"/>
        <v>119.1</v>
      </c>
      <c r="J841" s="10">
        <v>7.2616085015999996</v>
      </c>
      <c r="K841" s="8" t="s">
        <v>5130</v>
      </c>
      <c r="S841"/>
    </row>
    <row r="842" spans="1:19" ht="15" x14ac:dyDescent="0.25">
      <c r="A842" s="8" t="s">
        <v>4932</v>
      </c>
      <c r="B842" s="8" t="s">
        <v>14</v>
      </c>
      <c r="C842" s="8" t="s">
        <v>5793</v>
      </c>
      <c r="D842" s="32" t="s">
        <v>6984</v>
      </c>
      <c r="E842" s="32" t="s">
        <v>5793</v>
      </c>
      <c r="F842" s="10">
        <v>1</v>
      </c>
      <c r="G842" s="8" t="s">
        <v>5139</v>
      </c>
      <c r="H842" s="10">
        <v>41.4</v>
      </c>
      <c r="I842" s="10">
        <f t="shared" si="15"/>
        <v>41.4</v>
      </c>
      <c r="J842" s="10">
        <v>2.2254426091999999</v>
      </c>
      <c r="K842" s="8" t="s">
        <v>5335</v>
      </c>
      <c r="S842"/>
    </row>
    <row r="843" spans="1:19" ht="15" x14ac:dyDescent="0.25">
      <c r="A843" s="8" t="s">
        <v>4932</v>
      </c>
      <c r="B843" s="8" t="s">
        <v>14</v>
      </c>
      <c r="C843" s="8" t="s">
        <v>5794</v>
      </c>
      <c r="D843" s="32" t="s">
        <v>6984</v>
      </c>
      <c r="E843" s="32" t="s">
        <v>5794</v>
      </c>
      <c r="F843" s="10">
        <v>1</v>
      </c>
      <c r="G843" s="8" t="s">
        <v>5139</v>
      </c>
      <c r="H843" s="10">
        <v>126.3</v>
      </c>
      <c r="I843" s="10">
        <f t="shared" si="15"/>
        <v>126.3</v>
      </c>
      <c r="J843" s="10">
        <v>8.4289456511999994</v>
      </c>
      <c r="K843" s="8" t="s">
        <v>5335</v>
      </c>
      <c r="S843"/>
    </row>
    <row r="844" spans="1:19" ht="15" x14ac:dyDescent="0.25">
      <c r="A844" s="8" t="s">
        <v>4932</v>
      </c>
      <c r="B844" s="8" t="s">
        <v>14</v>
      </c>
      <c r="C844" s="8" t="s">
        <v>5795</v>
      </c>
      <c r="D844" s="32" t="s">
        <v>6984</v>
      </c>
      <c r="E844" s="32" t="s">
        <v>5795</v>
      </c>
      <c r="F844" s="10">
        <v>1</v>
      </c>
      <c r="G844" s="8" t="s">
        <v>5139</v>
      </c>
      <c r="H844" s="10">
        <v>156.6</v>
      </c>
      <c r="I844" s="10">
        <f t="shared" si="15"/>
        <v>156.6</v>
      </c>
      <c r="J844" s="10">
        <v>10.549692393200001</v>
      </c>
      <c r="K844" s="8" t="s">
        <v>5335</v>
      </c>
      <c r="S844"/>
    </row>
    <row r="845" spans="1:19" ht="15" x14ac:dyDescent="0.25">
      <c r="A845" s="8" t="s">
        <v>4932</v>
      </c>
      <c r="B845" s="8" t="s">
        <v>14</v>
      </c>
      <c r="C845" s="8" t="s">
        <v>5796</v>
      </c>
      <c r="D845" s="32" t="s">
        <v>6984</v>
      </c>
      <c r="E845" s="32" t="s">
        <v>5796</v>
      </c>
      <c r="F845" s="10">
        <v>1</v>
      </c>
      <c r="G845" s="8" t="s">
        <v>5139</v>
      </c>
      <c r="H845" s="10">
        <v>41.6</v>
      </c>
      <c r="I845" s="10">
        <f t="shared" si="15"/>
        <v>41.6</v>
      </c>
      <c r="J845" s="10">
        <v>2.2461631835999998</v>
      </c>
      <c r="K845" s="8" t="s">
        <v>5335</v>
      </c>
      <c r="S845"/>
    </row>
    <row r="846" spans="1:19" ht="15" x14ac:dyDescent="0.25">
      <c r="A846" s="8" t="s">
        <v>4932</v>
      </c>
      <c r="B846" s="8" t="s">
        <v>14</v>
      </c>
      <c r="C846" s="8" t="s">
        <v>5797</v>
      </c>
      <c r="D846" s="32" t="s">
        <v>6984</v>
      </c>
      <c r="E846" s="32" t="s">
        <v>5797</v>
      </c>
      <c r="F846" s="10">
        <v>1</v>
      </c>
      <c r="G846" s="8" t="s">
        <v>5139</v>
      </c>
      <c r="H846" s="10">
        <v>41.6</v>
      </c>
      <c r="I846" s="10">
        <f t="shared" si="15"/>
        <v>41.6</v>
      </c>
      <c r="J846" s="10">
        <v>2.2461631835999998</v>
      </c>
      <c r="K846" s="8" t="s">
        <v>5128</v>
      </c>
      <c r="S846"/>
    </row>
    <row r="847" spans="1:19" ht="15" x14ac:dyDescent="0.25">
      <c r="A847" s="8" t="s">
        <v>5622</v>
      </c>
      <c r="B847" s="8" t="s">
        <v>4847</v>
      </c>
      <c r="C847" s="8" t="s">
        <v>5798</v>
      </c>
      <c r="D847" s="32" t="s">
        <v>6984</v>
      </c>
      <c r="E847" s="32" t="s">
        <v>5798</v>
      </c>
      <c r="F847" s="10">
        <v>1</v>
      </c>
      <c r="G847" s="8" t="s">
        <v>5095</v>
      </c>
      <c r="H847" s="10">
        <v>139.4</v>
      </c>
      <c r="I847" s="10">
        <f t="shared" si="15"/>
        <v>139.4</v>
      </c>
      <c r="J847" s="10">
        <v>3.8770175168800001</v>
      </c>
      <c r="K847" s="8" t="s">
        <v>5536</v>
      </c>
      <c r="S847"/>
    </row>
    <row r="848" spans="1:19" ht="15" x14ac:dyDescent="0.25">
      <c r="A848" s="8" t="s">
        <v>5622</v>
      </c>
      <c r="B848" s="8" t="s">
        <v>4847</v>
      </c>
      <c r="C848" s="8" t="s">
        <v>5799</v>
      </c>
      <c r="D848" s="32" t="s">
        <v>6984</v>
      </c>
      <c r="E848" s="32" t="s">
        <v>5799</v>
      </c>
      <c r="F848" s="10">
        <v>2</v>
      </c>
      <c r="G848" s="8" t="s">
        <v>5095</v>
      </c>
      <c r="H848" s="10">
        <v>42.7</v>
      </c>
      <c r="I848" s="10">
        <f t="shared" si="15"/>
        <v>85.4</v>
      </c>
      <c r="J848" s="10">
        <v>2.3968386641600001</v>
      </c>
      <c r="K848" s="8" t="s">
        <v>5536</v>
      </c>
      <c r="S848"/>
    </row>
    <row r="849" spans="1:19" ht="15" x14ac:dyDescent="0.25">
      <c r="A849" s="8" t="s">
        <v>5622</v>
      </c>
      <c r="B849" s="8" t="s">
        <v>4847</v>
      </c>
      <c r="C849" s="8" t="s">
        <v>5800</v>
      </c>
      <c r="D849" s="32" t="s">
        <v>6984</v>
      </c>
      <c r="E849" s="32" t="s">
        <v>5800</v>
      </c>
      <c r="F849" s="10">
        <v>1</v>
      </c>
      <c r="G849" s="8" t="s">
        <v>5095</v>
      </c>
      <c r="H849" s="10">
        <v>139.30000000000001</v>
      </c>
      <c r="I849" s="10">
        <f t="shared" si="15"/>
        <v>139.30000000000001</v>
      </c>
      <c r="J849" s="10">
        <v>3.8785555168800001</v>
      </c>
      <c r="K849" s="8" t="s">
        <v>5536</v>
      </c>
      <c r="S849"/>
    </row>
    <row r="850" spans="1:19" ht="15" x14ac:dyDescent="0.25">
      <c r="A850" s="8" t="s">
        <v>5622</v>
      </c>
      <c r="B850" s="8" t="s">
        <v>4847</v>
      </c>
      <c r="C850" s="8" t="s">
        <v>5801</v>
      </c>
      <c r="D850" s="32" t="s">
        <v>6984</v>
      </c>
      <c r="E850" s="32" t="s">
        <v>5801</v>
      </c>
      <c r="F850" s="10">
        <v>2</v>
      </c>
      <c r="G850" s="8" t="s">
        <v>5095</v>
      </c>
      <c r="H850" s="10">
        <v>21.35</v>
      </c>
      <c r="I850" s="10">
        <f t="shared" si="15"/>
        <v>42.7</v>
      </c>
      <c r="J850" s="10">
        <v>2.3968386641600001</v>
      </c>
      <c r="K850" s="8" t="s">
        <v>5536</v>
      </c>
      <c r="S850"/>
    </row>
    <row r="851" spans="1:19" ht="15" x14ac:dyDescent="0.25">
      <c r="A851" s="8" t="s">
        <v>5622</v>
      </c>
      <c r="B851" s="8" t="s">
        <v>4847</v>
      </c>
      <c r="C851" s="8" t="s">
        <v>5802</v>
      </c>
      <c r="D851" s="32" t="s">
        <v>6984</v>
      </c>
      <c r="E851" s="32" t="s">
        <v>5802</v>
      </c>
      <c r="F851" s="10">
        <v>2</v>
      </c>
      <c r="G851" s="8" t="s">
        <v>4934</v>
      </c>
      <c r="H851" s="10">
        <v>54.9</v>
      </c>
      <c r="I851" s="10">
        <f t="shared" si="15"/>
        <v>109.8</v>
      </c>
      <c r="J851" s="10">
        <v>3.0616687705599999</v>
      </c>
      <c r="K851" s="8" t="s">
        <v>4781</v>
      </c>
      <c r="S851"/>
    </row>
    <row r="852" spans="1:19" ht="15" x14ac:dyDescent="0.25">
      <c r="A852" s="8" t="s">
        <v>5622</v>
      </c>
      <c r="B852" s="8" t="s">
        <v>4847</v>
      </c>
      <c r="C852" s="8" t="s">
        <v>5803</v>
      </c>
      <c r="D852" s="32" t="s">
        <v>6984</v>
      </c>
      <c r="E852" s="32" t="s">
        <v>5803</v>
      </c>
      <c r="F852" s="10">
        <v>2</v>
      </c>
      <c r="G852" s="8" t="s">
        <v>4934</v>
      </c>
      <c r="H852" s="10">
        <v>54.9</v>
      </c>
      <c r="I852" s="10">
        <f t="shared" si="15"/>
        <v>109.8</v>
      </c>
      <c r="J852" s="10">
        <v>3.0616687705599999</v>
      </c>
      <c r="K852" s="8" t="s">
        <v>4781</v>
      </c>
      <c r="S852"/>
    </row>
    <row r="853" spans="1:19" ht="15" x14ac:dyDescent="0.25">
      <c r="A853" s="8" t="s">
        <v>5622</v>
      </c>
      <c r="B853" s="8" t="s">
        <v>4847</v>
      </c>
      <c r="C853" s="8" t="s">
        <v>5804</v>
      </c>
      <c r="D853" s="32" t="s">
        <v>6984</v>
      </c>
      <c r="E853" s="32" t="s">
        <v>5804</v>
      </c>
      <c r="F853" s="10">
        <v>4</v>
      </c>
      <c r="G853" s="8" t="s">
        <v>4934</v>
      </c>
      <c r="H853" s="10">
        <v>48.174999999999997</v>
      </c>
      <c r="I853" s="10">
        <f t="shared" si="15"/>
        <v>192.7</v>
      </c>
      <c r="J853" s="10">
        <v>5.3008913926399996</v>
      </c>
      <c r="K853" s="8" t="s">
        <v>4781</v>
      </c>
      <c r="S853"/>
    </row>
    <row r="854" spans="1:19" ht="15" x14ac:dyDescent="0.25">
      <c r="A854" s="8" t="s">
        <v>5622</v>
      </c>
      <c r="B854" s="8" t="s">
        <v>4847</v>
      </c>
      <c r="C854" s="8" t="s">
        <v>5805</v>
      </c>
      <c r="D854" s="32" t="s">
        <v>6984</v>
      </c>
      <c r="E854" s="32" t="s">
        <v>5805</v>
      </c>
      <c r="F854" s="10">
        <v>2</v>
      </c>
      <c r="G854" s="8" t="s">
        <v>5101</v>
      </c>
      <c r="H854" s="10">
        <v>55.45</v>
      </c>
      <c r="I854" s="10">
        <f t="shared" si="15"/>
        <v>110.9</v>
      </c>
      <c r="J854" s="10">
        <v>6.3221176432000004</v>
      </c>
      <c r="K854" s="8" t="s">
        <v>5102</v>
      </c>
      <c r="S854"/>
    </row>
    <row r="855" spans="1:19" ht="15" x14ac:dyDescent="0.25">
      <c r="A855" s="8" t="s">
        <v>5622</v>
      </c>
      <c r="B855" s="8" t="s">
        <v>4847</v>
      </c>
      <c r="C855" s="8" t="s">
        <v>5806</v>
      </c>
      <c r="D855" s="32" t="s">
        <v>6984</v>
      </c>
      <c r="E855" s="32" t="s">
        <v>5806</v>
      </c>
      <c r="F855" s="10">
        <v>2</v>
      </c>
      <c r="G855" s="8" t="s">
        <v>5101</v>
      </c>
      <c r="H855" s="10">
        <v>55.45</v>
      </c>
      <c r="I855" s="10">
        <f t="shared" si="15"/>
        <v>110.9</v>
      </c>
      <c r="J855" s="10">
        <v>6.3221176432000004</v>
      </c>
      <c r="K855" s="8" t="s">
        <v>5102</v>
      </c>
      <c r="S855"/>
    </row>
    <row r="856" spans="1:19" ht="15" x14ac:dyDescent="0.25">
      <c r="A856" s="8" t="s">
        <v>5622</v>
      </c>
      <c r="B856" s="8" t="s">
        <v>4847</v>
      </c>
      <c r="C856" s="8" t="s">
        <v>5807</v>
      </c>
      <c r="D856" s="32" t="s">
        <v>6984</v>
      </c>
      <c r="E856" s="32" t="s">
        <v>5807</v>
      </c>
      <c r="F856" s="10">
        <v>1</v>
      </c>
      <c r="G856" s="8" t="s">
        <v>5101</v>
      </c>
      <c r="H856" s="10">
        <v>136.19999999999999</v>
      </c>
      <c r="I856" s="10">
        <f t="shared" si="15"/>
        <v>136.19999999999999</v>
      </c>
      <c r="J856" s="10">
        <v>8.2085005255999999</v>
      </c>
      <c r="K856" s="8" t="s">
        <v>5102</v>
      </c>
      <c r="S856"/>
    </row>
    <row r="857" spans="1:19" ht="15" x14ac:dyDescent="0.25">
      <c r="A857" s="8" t="s">
        <v>5622</v>
      </c>
      <c r="B857" s="8" t="s">
        <v>4847</v>
      </c>
      <c r="C857" s="8" t="s">
        <v>5808</v>
      </c>
      <c r="D857" s="32" t="s">
        <v>6984</v>
      </c>
      <c r="E857" s="32" t="s">
        <v>5808</v>
      </c>
      <c r="F857" s="10">
        <v>1</v>
      </c>
      <c r="G857" s="8" t="s">
        <v>5101</v>
      </c>
      <c r="H857" s="10">
        <v>136.19999999999999</v>
      </c>
      <c r="I857" s="10">
        <f t="shared" si="15"/>
        <v>136.19999999999999</v>
      </c>
      <c r="J857" s="10">
        <v>8.2085005255999999</v>
      </c>
      <c r="K857" s="8" t="s">
        <v>5335</v>
      </c>
      <c r="S857"/>
    </row>
    <row r="858" spans="1:19" ht="15" x14ac:dyDescent="0.25">
      <c r="A858" s="8" t="s">
        <v>5622</v>
      </c>
      <c r="B858" s="8" t="s">
        <v>4847</v>
      </c>
      <c r="C858" s="8" t="s">
        <v>5809</v>
      </c>
      <c r="D858" s="32" t="s">
        <v>6984</v>
      </c>
      <c r="E858" s="32" t="s">
        <v>5809</v>
      </c>
      <c r="F858" s="10">
        <v>1</v>
      </c>
      <c r="G858" s="8" t="s">
        <v>5101</v>
      </c>
      <c r="H858" s="10">
        <v>146.80000000000001</v>
      </c>
      <c r="I858" s="10">
        <f t="shared" si="15"/>
        <v>146.80000000000001</v>
      </c>
      <c r="J858" s="10">
        <v>9.7509057507999994</v>
      </c>
      <c r="K858" s="8" t="s">
        <v>5130</v>
      </c>
      <c r="S858"/>
    </row>
    <row r="859" spans="1:19" ht="15" x14ac:dyDescent="0.25">
      <c r="A859" s="8" t="s">
        <v>5622</v>
      </c>
      <c r="B859" s="8" t="s">
        <v>4847</v>
      </c>
      <c r="C859" s="8" t="s">
        <v>5810</v>
      </c>
      <c r="D859" s="32" t="s">
        <v>6984</v>
      </c>
      <c r="E859" s="32" t="s">
        <v>5810</v>
      </c>
      <c r="F859" s="10">
        <v>1</v>
      </c>
      <c r="G859" s="8" t="s">
        <v>5101</v>
      </c>
      <c r="H859" s="10">
        <v>119</v>
      </c>
      <c r="I859" s="10">
        <f t="shared" si="15"/>
        <v>119</v>
      </c>
      <c r="J859" s="10">
        <v>7.8376612708</v>
      </c>
      <c r="K859" s="8" t="s">
        <v>5130</v>
      </c>
      <c r="S859"/>
    </row>
    <row r="860" spans="1:19" ht="15" x14ac:dyDescent="0.25">
      <c r="A860" s="8" t="s">
        <v>5622</v>
      </c>
      <c r="B860" s="8" t="s">
        <v>4847</v>
      </c>
      <c r="C860" s="8" t="s">
        <v>5811</v>
      </c>
      <c r="D860" s="32" t="s">
        <v>6984</v>
      </c>
      <c r="E860" s="32" t="s">
        <v>5811</v>
      </c>
      <c r="F860" s="10">
        <v>1</v>
      </c>
      <c r="G860" s="8" t="s">
        <v>5101</v>
      </c>
      <c r="H860" s="10">
        <v>119</v>
      </c>
      <c r="I860" s="10">
        <f t="shared" si="15"/>
        <v>119</v>
      </c>
      <c r="J860" s="10">
        <v>7.8376612708</v>
      </c>
      <c r="K860" s="8" t="s">
        <v>5130</v>
      </c>
      <c r="S860"/>
    </row>
    <row r="861" spans="1:19" ht="15" x14ac:dyDescent="0.25">
      <c r="A861" s="8" t="s">
        <v>5622</v>
      </c>
      <c r="B861" s="8" t="s">
        <v>4847</v>
      </c>
      <c r="C861" s="8" t="s">
        <v>5812</v>
      </c>
      <c r="D861" s="32" t="s">
        <v>6984</v>
      </c>
      <c r="E861" s="32" t="s">
        <v>5812</v>
      </c>
      <c r="F861" s="10">
        <v>1</v>
      </c>
      <c r="G861" s="8" t="s">
        <v>5101</v>
      </c>
      <c r="H861" s="10">
        <v>48.9</v>
      </c>
      <c r="I861" s="10">
        <f t="shared" si="15"/>
        <v>48.9</v>
      </c>
      <c r="J861" s="10">
        <v>2.8347147748000001</v>
      </c>
      <c r="K861" s="8" t="s">
        <v>5130</v>
      </c>
      <c r="S861"/>
    </row>
    <row r="862" spans="1:19" ht="15" x14ac:dyDescent="0.25">
      <c r="A862" s="8" t="s">
        <v>5622</v>
      </c>
      <c r="B862" s="8" t="s">
        <v>4847</v>
      </c>
      <c r="C862" s="8" t="s">
        <v>5813</v>
      </c>
      <c r="D862" s="32" t="s">
        <v>6984</v>
      </c>
      <c r="E862" s="32" t="s">
        <v>5813</v>
      </c>
      <c r="F862" s="10">
        <v>1</v>
      </c>
      <c r="G862" s="8" t="s">
        <v>5101</v>
      </c>
      <c r="H862" s="10">
        <v>114.8</v>
      </c>
      <c r="I862" s="10">
        <f t="shared" si="15"/>
        <v>114.8</v>
      </c>
      <c r="J862" s="10">
        <v>7.4954457828000001</v>
      </c>
      <c r="K862" s="8" t="s">
        <v>5130</v>
      </c>
      <c r="S862"/>
    </row>
    <row r="863" spans="1:19" ht="15" x14ac:dyDescent="0.25">
      <c r="A863" s="8" t="s">
        <v>5622</v>
      </c>
      <c r="B863" s="8" t="s">
        <v>4847</v>
      </c>
      <c r="C863" s="8" t="s">
        <v>5814</v>
      </c>
      <c r="D863" s="32" t="s">
        <v>6984</v>
      </c>
      <c r="E863" s="32" t="s">
        <v>5814</v>
      </c>
      <c r="F863" s="10">
        <v>1</v>
      </c>
      <c r="G863" s="8" t="s">
        <v>5101</v>
      </c>
      <c r="H863" s="10">
        <v>38.799999999999997</v>
      </c>
      <c r="I863" s="10">
        <f t="shared" si="15"/>
        <v>38.799999999999997</v>
      </c>
      <c r="J863" s="10">
        <v>2.0171170547999999</v>
      </c>
      <c r="K863" s="8" t="s">
        <v>5130</v>
      </c>
      <c r="S863"/>
    </row>
    <row r="864" spans="1:19" ht="15" x14ac:dyDescent="0.25">
      <c r="A864" s="8" t="s">
        <v>5622</v>
      </c>
      <c r="B864" s="8" t="s">
        <v>4847</v>
      </c>
      <c r="C864" s="8" t="s">
        <v>5815</v>
      </c>
      <c r="D864" s="32" t="s">
        <v>6984</v>
      </c>
      <c r="E864" s="32" t="s">
        <v>5815</v>
      </c>
      <c r="F864" s="10">
        <v>1</v>
      </c>
      <c r="G864" s="8" t="s">
        <v>5101</v>
      </c>
      <c r="H864" s="10">
        <v>35.1</v>
      </c>
      <c r="I864" s="10">
        <f t="shared" si="15"/>
        <v>35.1</v>
      </c>
      <c r="J864" s="10">
        <v>1.7124793028</v>
      </c>
      <c r="K864" s="8" t="s">
        <v>5335</v>
      </c>
      <c r="S864"/>
    </row>
    <row r="865" spans="1:19" ht="15" x14ac:dyDescent="0.25">
      <c r="A865" s="8" t="s">
        <v>5622</v>
      </c>
      <c r="B865" s="8" t="s">
        <v>4847</v>
      </c>
      <c r="C865" s="8" t="s">
        <v>5816</v>
      </c>
      <c r="D865" s="32" t="s">
        <v>6984</v>
      </c>
      <c r="E865" s="32" t="s">
        <v>5816</v>
      </c>
      <c r="F865" s="10">
        <v>1</v>
      </c>
      <c r="G865" s="8" t="s">
        <v>5101</v>
      </c>
      <c r="H865" s="10">
        <v>51.8</v>
      </c>
      <c r="I865" s="10">
        <f t="shared" si="15"/>
        <v>51.8</v>
      </c>
      <c r="J865" s="10">
        <v>3.0709692708</v>
      </c>
      <c r="K865" s="8" t="s">
        <v>5130</v>
      </c>
      <c r="S865"/>
    </row>
    <row r="866" spans="1:19" ht="15" x14ac:dyDescent="0.25">
      <c r="A866" s="8" t="s">
        <v>5622</v>
      </c>
      <c r="B866" s="8" t="s">
        <v>4847</v>
      </c>
      <c r="C866" s="8" t="s">
        <v>5817</v>
      </c>
      <c r="D866" s="32" t="s">
        <v>6984</v>
      </c>
      <c r="E866" s="32" t="s">
        <v>5817</v>
      </c>
      <c r="F866" s="10">
        <v>1</v>
      </c>
      <c r="G866" s="8" t="s">
        <v>5101</v>
      </c>
      <c r="H866" s="10">
        <v>118.2</v>
      </c>
      <c r="I866" s="10">
        <f t="shared" si="15"/>
        <v>118.2</v>
      </c>
      <c r="J866" s="10">
        <v>7.7715681508000003</v>
      </c>
      <c r="K866" s="8" t="s">
        <v>5130</v>
      </c>
      <c r="S866"/>
    </row>
    <row r="867" spans="1:19" ht="15" x14ac:dyDescent="0.25">
      <c r="A867" s="8" t="s">
        <v>5622</v>
      </c>
      <c r="B867" s="8" t="s">
        <v>4847</v>
      </c>
      <c r="C867" s="8" t="s">
        <v>5818</v>
      </c>
      <c r="D867" s="32" t="s">
        <v>6984</v>
      </c>
      <c r="E867" s="32" t="s">
        <v>5818</v>
      </c>
      <c r="F867" s="10">
        <v>2</v>
      </c>
      <c r="G867" s="8" t="s">
        <v>5101</v>
      </c>
      <c r="H867" s="10">
        <v>114.2</v>
      </c>
      <c r="I867" s="10">
        <f t="shared" si="15"/>
        <v>228.4</v>
      </c>
      <c r="J867" s="10">
        <v>14.8968924616</v>
      </c>
      <c r="K867" s="8" t="s">
        <v>5130</v>
      </c>
      <c r="S867"/>
    </row>
    <row r="868" spans="1:19" ht="15" x14ac:dyDescent="0.25">
      <c r="A868" s="8" t="s">
        <v>5622</v>
      </c>
      <c r="B868" s="8" t="s">
        <v>4847</v>
      </c>
      <c r="C868" s="8" t="s">
        <v>5819</v>
      </c>
      <c r="D868" s="32" t="s">
        <v>6984</v>
      </c>
      <c r="E868" s="32" t="s">
        <v>5819</v>
      </c>
      <c r="F868" s="10">
        <v>1</v>
      </c>
      <c r="G868" s="8" t="s">
        <v>5101</v>
      </c>
      <c r="H868" s="10">
        <v>37</v>
      </c>
      <c r="I868" s="10">
        <f t="shared" si="15"/>
        <v>37</v>
      </c>
      <c r="J868" s="10">
        <v>1.8746058908000001</v>
      </c>
      <c r="K868" s="8" t="s">
        <v>5335</v>
      </c>
      <c r="S868"/>
    </row>
    <row r="869" spans="1:19" ht="15" x14ac:dyDescent="0.25">
      <c r="A869" s="8" t="s">
        <v>5622</v>
      </c>
      <c r="B869" s="8" t="s">
        <v>4847</v>
      </c>
      <c r="C869" s="8" t="s">
        <v>5820</v>
      </c>
      <c r="D869" s="32" t="s">
        <v>6984</v>
      </c>
      <c r="E869" s="32" t="s">
        <v>5820</v>
      </c>
      <c r="F869" s="10">
        <v>1</v>
      </c>
      <c r="G869" s="8" t="s">
        <v>5101</v>
      </c>
      <c r="H869" s="10">
        <v>117.1</v>
      </c>
      <c r="I869" s="10">
        <f t="shared" si="15"/>
        <v>117.1</v>
      </c>
      <c r="J869" s="10">
        <v>7.6790377828</v>
      </c>
      <c r="K869" s="8" t="s">
        <v>5130</v>
      </c>
      <c r="S869"/>
    </row>
    <row r="870" spans="1:19" ht="15" x14ac:dyDescent="0.25">
      <c r="A870" s="8" t="s">
        <v>5622</v>
      </c>
      <c r="B870" s="8" t="s">
        <v>4847</v>
      </c>
      <c r="C870" s="8" t="s">
        <v>5821</v>
      </c>
      <c r="D870" s="32" t="s">
        <v>6984</v>
      </c>
      <c r="E870" s="32" t="s">
        <v>5821</v>
      </c>
      <c r="F870" s="10">
        <v>1</v>
      </c>
      <c r="G870" s="8" t="s">
        <v>5101</v>
      </c>
      <c r="H870" s="10">
        <v>130.69999999999999</v>
      </c>
      <c r="I870" s="10">
        <f t="shared" si="15"/>
        <v>130.69999999999999</v>
      </c>
      <c r="J870" s="10">
        <v>5.6338963908000004</v>
      </c>
      <c r="K870" s="8" t="s">
        <v>5130</v>
      </c>
      <c r="S870"/>
    </row>
    <row r="871" spans="1:19" ht="15" x14ac:dyDescent="0.25">
      <c r="A871" s="8" t="s">
        <v>4932</v>
      </c>
      <c r="B871" s="8" t="s">
        <v>14</v>
      </c>
      <c r="C871" s="8" t="s">
        <v>5822</v>
      </c>
      <c r="D871" s="32" t="s">
        <v>6984</v>
      </c>
      <c r="E871" s="32" t="s">
        <v>5822</v>
      </c>
      <c r="F871" s="10">
        <v>1</v>
      </c>
      <c r="G871" s="8" t="s">
        <v>16</v>
      </c>
      <c r="H871" s="10">
        <v>7</v>
      </c>
      <c r="I871" s="10">
        <f t="shared" si="15"/>
        <v>7</v>
      </c>
      <c r="J871" s="10">
        <v>0.19148100000000001</v>
      </c>
      <c r="K871" s="8" t="s">
        <v>5536</v>
      </c>
      <c r="S871"/>
    </row>
    <row r="872" spans="1:19" ht="15" x14ac:dyDescent="0.25">
      <c r="A872" s="8" t="s">
        <v>4932</v>
      </c>
      <c r="B872" s="8" t="s">
        <v>14</v>
      </c>
      <c r="C872" s="8" t="s">
        <v>5823</v>
      </c>
      <c r="D872" s="32" t="s">
        <v>6984</v>
      </c>
      <c r="E872" s="32" t="s">
        <v>5823</v>
      </c>
      <c r="F872" s="10">
        <v>1</v>
      </c>
      <c r="G872" s="8" t="s">
        <v>16</v>
      </c>
      <c r="H872" s="10">
        <v>234.2</v>
      </c>
      <c r="I872" s="10">
        <f t="shared" si="15"/>
        <v>234.2</v>
      </c>
      <c r="J872" s="10">
        <v>8.0272724800000006</v>
      </c>
      <c r="K872" s="8" t="s">
        <v>5824</v>
      </c>
      <c r="S872"/>
    </row>
    <row r="873" spans="1:19" ht="15" x14ac:dyDescent="0.25">
      <c r="A873" s="8" t="s">
        <v>4932</v>
      </c>
      <c r="B873" s="8" t="s">
        <v>14</v>
      </c>
      <c r="C873" s="8" t="s">
        <v>5825</v>
      </c>
      <c r="D873" s="32" t="s">
        <v>6984</v>
      </c>
      <c r="E873" s="32" t="s">
        <v>5825</v>
      </c>
      <c r="F873" s="10">
        <v>1</v>
      </c>
      <c r="G873" s="8" t="s">
        <v>16</v>
      </c>
      <c r="H873" s="10">
        <v>45.8</v>
      </c>
      <c r="I873" s="10">
        <f t="shared" si="15"/>
        <v>45.8</v>
      </c>
      <c r="J873" s="10">
        <v>0.62981100000000001</v>
      </c>
      <c r="K873" s="8" t="s">
        <v>5536</v>
      </c>
      <c r="S873"/>
    </row>
    <row r="874" spans="1:19" ht="15" x14ac:dyDescent="0.25">
      <c r="A874" s="8" t="s">
        <v>4932</v>
      </c>
      <c r="B874" s="8" t="s">
        <v>14</v>
      </c>
      <c r="C874" s="8" t="s">
        <v>5826</v>
      </c>
      <c r="D874" s="32" t="s">
        <v>6984</v>
      </c>
      <c r="E874" s="32" t="s">
        <v>5826</v>
      </c>
      <c r="F874" s="10">
        <v>4</v>
      </c>
      <c r="G874" s="8" t="s">
        <v>16</v>
      </c>
      <c r="H874" s="10">
        <v>12.4</v>
      </c>
      <c r="I874" s="10">
        <f t="shared" si="15"/>
        <v>49.6</v>
      </c>
      <c r="J874" s="10">
        <v>2.5234000000000001</v>
      </c>
      <c r="K874" s="8" t="s">
        <v>5123</v>
      </c>
      <c r="S874"/>
    </row>
    <row r="875" spans="1:19" ht="15" x14ac:dyDescent="0.25">
      <c r="A875" s="8" t="s">
        <v>4932</v>
      </c>
      <c r="B875" s="8" t="s">
        <v>14</v>
      </c>
      <c r="C875" s="8" t="s">
        <v>5827</v>
      </c>
      <c r="D875" s="32" t="s">
        <v>6984</v>
      </c>
      <c r="E875" s="32" t="s">
        <v>5827</v>
      </c>
      <c r="F875" s="10">
        <v>1</v>
      </c>
      <c r="G875" s="8" t="s">
        <v>16</v>
      </c>
      <c r="H875" s="10">
        <v>226.4</v>
      </c>
      <c r="I875" s="10">
        <f t="shared" si="15"/>
        <v>226.4</v>
      </c>
      <c r="J875" s="10">
        <v>7.6391721924000002</v>
      </c>
      <c r="K875" s="8" t="s">
        <v>5824</v>
      </c>
      <c r="S875"/>
    </row>
    <row r="876" spans="1:19" ht="15" x14ac:dyDescent="0.25">
      <c r="A876" s="8" t="s">
        <v>4932</v>
      </c>
      <c r="B876" s="8" t="s">
        <v>14</v>
      </c>
      <c r="C876" s="8" t="s">
        <v>5828</v>
      </c>
      <c r="D876" s="32" t="s">
        <v>6984</v>
      </c>
      <c r="E876" s="32" t="s">
        <v>5828</v>
      </c>
      <c r="F876" s="10">
        <v>1</v>
      </c>
      <c r="G876" s="8" t="s">
        <v>16</v>
      </c>
      <c r="H876" s="10">
        <v>90.4</v>
      </c>
      <c r="I876" s="10">
        <f t="shared" si="15"/>
        <v>90.4</v>
      </c>
      <c r="J876" s="10">
        <v>2.9290299904000001</v>
      </c>
      <c r="K876" s="8" t="s">
        <v>5116</v>
      </c>
      <c r="S876"/>
    </row>
    <row r="877" spans="1:19" ht="15" x14ac:dyDescent="0.25">
      <c r="A877" s="8" t="s">
        <v>4932</v>
      </c>
      <c r="B877" s="8" t="s">
        <v>14</v>
      </c>
      <c r="C877" s="8" t="s">
        <v>5829</v>
      </c>
      <c r="D877" s="32" t="s">
        <v>6984</v>
      </c>
      <c r="E877" s="32" t="s">
        <v>5829</v>
      </c>
      <c r="F877" s="10">
        <v>1</v>
      </c>
      <c r="G877" s="8" t="s">
        <v>16</v>
      </c>
      <c r="H877" s="10">
        <v>36.299999999999997</v>
      </c>
      <c r="I877" s="10">
        <f t="shared" si="15"/>
        <v>36.299999999999997</v>
      </c>
      <c r="J877" s="10">
        <v>1.1776718488</v>
      </c>
      <c r="K877" s="8" t="s">
        <v>5116</v>
      </c>
      <c r="S877"/>
    </row>
    <row r="878" spans="1:19" ht="15" x14ac:dyDescent="0.25">
      <c r="A878" s="8" t="s">
        <v>4932</v>
      </c>
      <c r="B878" s="8" t="s">
        <v>14</v>
      </c>
      <c r="C878" s="8" t="s">
        <v>5830</v>
      </c>
      <c r="D878" s="32" t="s">
        <v>6984</v>
      </c>
      <c r="E878" s="32" t="s">
        <v>5830</v>
      </c>
      <c r="F878" s="10">
        <v>1</v>
      </c>
      <c r="G878" s="8" t="s">
        <v>16</v>
      </c>
      <c r="H878" s="10">
        <v>39</v>
      </c>
      <c r="I878" s="10">
        <f t="shared" si="15"/>
        <v>39</v>
      </c>
      <c r="J878" s="10">
        <v>1.30622183088</v>
      </c>
      <c r="K878" s="8" t="s">
        <v>5824</v>
      </c>
      <c r="S878"/>
    </row>
    <row r="879" spans="1:19" ht="15" x14ac:dyDescent="0.25">
      <c r="A879" s="8" t="s">
        <v>5622</v>
      </c>
      <c r="B879" s="8" t="s">
        <v>4847</v>
      </c>
      <c r="C879" s="8" t="s">
        <v>5831</v>
      </c>
      <c r="D879" s="32" t="s">
        <v>6984</v>
      </c>
      <c r="E879" s="32" t="s">
        <v>5831</v>
      </c>
      <c r="F879" s="10">
        <v>10</v>
      </c>
      <c r="G879" s="8" t="s">
        <v>5832</v>
      </c>
      <c r="H879" s="10">
        <v>3.6700000000000004</v>
      </c>
      <c r="I879" s="10">
        <f t="shared" si="15"/>
        <v>36.700000000000003</v>
      </c>
      <c r="J879" s="10">
        <v>1.218</v>
      </c>
      <c r="K879" s="8" t="s">
        <v>5833</v>
      </c>
      <c r="S879"/>
    </row>
    <row r="880" spans="1:19" ht="15" x14ac:dyDescent="0.25">
      <c r="A880" s="8" t="s">
        <v>5622</v>
      </c>
      <c r="B880" s="8" t="s">
        <v>4847</v>
      </c>
      <c r="C880" s="8" t="s">
        <v>5834</v>
      </c>
      <c r="D880" s="32" t="s">
        <v>6984</v>
      </c>
      <c r="E880" s="32" t="s">
        <v>5834</v>
      </c>
      <c r="F880" s="10">
        <v>12</v>
      </c>
      <c r="G880" s="8" t="s">
        <v>5832</v>
      </c>
      <c r="H880" s="10">
        <v>4.3500000000000005</v>
      </c>
      <c r="I880" s="10">
        <f t="shared" si="15"/>
        <v>52.2</v>
      </c>
      <c r="J880" s="10">
        <v>1.7322</v>
      </c>
      <c r="K880" s="8" t="s">
        <v>5833</v>
      </c>
      <c r="S880"/>
    </row>
    <row r="881" spans="1:19" ht="15" x14ac:dyDescent="0.25">
      <c r="A881" s="8" t="s">
        <v>5622</v>
      </c>
      <c r="B881" s="8" t="s">
        <v>4847</v>
      </c>
      <c r="C881" s="8" t="s">
        <v>5835</v>
      </c>
      <c r="D881" s="32" t="s">
        <v>6984</v>
      </c>
      <c r="E881" s="32" t="s">
        <v>5835</v>
      </c>
      <c r="F881" s="10">
        <v>4</v>
      </c>
      <c r="G881" s="8" t="s">
        <v>5832</v>
      </c>
      <c r="H881" s="10">
        <v>3.8</v>
      </c>
      <c r="I881" s="10">
        <f t="shared" si="15"/>
        <v>15.2</v>
      </c>
      <c r="J881" s="10">
        <v>0.505</v>
      </c>
      <c r="K881" s="8" t="s">
        <v>5833</v>
      </c>
      <c r="S881"/>
    </row>
    <row r="882" spans="1:19" ht="15" x14ac:dyDescent="0.25">
      <c r="A882" s="8" t="s">
        <v>5622</v>
      </c>
      <c r="B882" s="8" t="s">
        <v>4847</v>
      </c>
      <c r="C882" s="8" t="s">
        <v>5836</v>
      </c>
      <c r="D882" s="32" t="s">
        <v>6984</v>
      </c>
      <c r="E882" s="32" t="s">
        <v>5836</v>
      </c>
      <c r="F882" s="10">
        <v>12</v>
      </c>
      <c r="G882" s="8" t="s">
        <v>5832</v>
      </c>
      <c r="H882" s="10">
        <v>2.5833333333333335</v>
      </c>
      <c r="I882" s="10">
        <f t="shared" si="15"/>
        <v>31</v>
      </c>
      <c r="J882" s="10">
        <v>1.0278</v>
      </c>
      <c r="K882" s="8" t="s">
        <v>5833</v>
      </c>
      <c r="S882"/>
    </row>
    <row r="883" spans="1:19" ht="15" x14ac:dyDescent="0.25">
      <c r="A883" s="8" t="s">
        <v>5622</v>
      </c>
      <c r="B883" s="8" t="s">
        <v>4847</v>
      </c>
      <c r="C883" s="8" t="s">
        <v>5837</v>
      </c>
      <c r="D883" s="32" t="s">
        <v>6984</v>
      </c>
      <c r="E883" s="32" t="s">
        <v>5837</v>
      </c>
      <c r="F883" s="10">
        <v>8</v>
      </c>
      <c r="G883" s="8" t="s">
        <v>5832</v>
      </c>
      <c r="H883" s="10">
        <v>4.3624999999999998</v>
      </c>
      <c r="I883" s="10">
        <f t="shared" si="15"/>
        <v>34.9</v>
      </c>
      <c r="J883" s="10">
        <v>1.1572</v>
      </c>
      <c r="K883" s="8" t="s">
        <v>5833</v>
      </c>
      <c r="S883"/>
    </row>
    <row r="884" spans="1:19" ht="15" x14ac:dyDescent="0.25">
      <c r="A884" s="8" t="s">
        <v>5622</v>
      </c>
      <c r="B884" s="8" t="s">
        <v>4847</v>
      </c>
      <c r="C884" s="8" t="s">
        <v>5838</v>
      </c>
      <c r="D884" s="32" t="s">
        <v>6984</v>
      </c>
      <c r="E884" s="32" t="s">
        <v>5838</v>
      </c>
      <c r="F884" s="10">
        <v>2</v>
      </c>
      <c r="G884" s="8" t="s">
        <v>5832</v>
      </c>
      <c r="H884" s="10">
        <v>4.3499999999999996</v>
      </c>
      <c r="I884" s="10">
        <f t="shared" si="15"/>
        <v>8.6999999999999993</v>
      </c>
      <c r="J884" s="10">
        <v>0.2873</v>
      </c>
      <c r="K884" s="8" t="s">
        <v>5833</v>
      </c>
      <c r="S884"/>
    </row>
    <row r="885" spans="1:19" ht="15" x14ac:dyDescent="0.25">
      <c r="A885" s="8" t="s">
        <v>5622</v>
      </c>
      <c r="B885" s="8" t="s">
        <v>4847</v>
      </c>
      <c r="C885" s="8" t="s">
        <v>5839</v>
      </c>
      <c r="D885" s="32" t="s">
        <v>6984</v>
      </c>
      <c r="E885" s="32" t="s">
        <v>5839</v>
      </c>
      <c r="F885" s="10">
        <v>24</v>
      </c>
      <c r="G885" s="8" t="s">
        <v>5832</v>
      </c>
      <c r="H885" s="10">
        <v>3.4499999999999997</v>
      </c>
      <c r="I885" s="10">
        <f t="shared" si="15"/>
        <v>82.8</v>
      </c>
      <c r="J885" s="10">
        <v>2.7480000000000002</v>
      </c>
      <c r="K885" s="8" t="s">
        <v>5833</v>
      </c>
      <c r="S885"/>
    </row>
    <row r="886" spans="1:19" ht="15" x14ac:dyDescent="0.25">
      <c r="A886" s="8" t="s">
        <v>5622</v>
      </c>
      <c r="B886" s="8" t="s">
        <v>4847</v>
      </c>
      <c r="C886" s="8" t="s">
        <v>5840</v>
      </c>
      <c r="D886" s="32" t="s">
        <v>6984</v>
      </c>
      <c r="E886" s="32" t="s">
        <v>5840</v>
      </c>
      <c r="F886" s="10">
        <v>48</v>
      </c>
      <c r="G886" s="8" t="s">
        <v>5832</v>
      </c>
      <c r="H886" s="10">
        <v>3.3229166666666665</v>
      </c>
      <c r="I886" s="10">
        <f t="shared" si="15"/>
        <v>159.5</v>
      </c>
      <c r="J886" s="10">
        <v>5.2919999999999998</v>
      </c>
      <c r="K886" s="8" t="s">
        <v>5833</v>
      </c>
      <c r="S886"/>
    </row>
    <row r="887" spans="1:19" ht="15" x14ac:dyDescent="0.25">
      <c r="A887" s="8" t="s">
        <v>5622</v>
      </c>
      <c r="B887" s="8" t="s">
        <v>4847</v>
      </c>
      <c r="C887" s="8" t="s">
        <v>5841</v>
      </c>
      <c r="D887" s="32" t="s">
        <v>6984</v>
      </c>
      <c r="E887" s="32" t="s">
        <v>5841</v>
      </c>
      <c r="F887" s="10">
        <v>72</v>
      </c>
      <c r="G887" s="8" t="s">
        <v>5832</v>
      </c>
      <c r="H887" s="10">
        <v>3.4361111111111113</v>
      </c>
      <c r="I887" s="10">
        <f t="shared" si="15"/>
        <v>247.4</v>
      </c>
      <c r="J887" s="10">
        <v>8.2080000000000002</v>
      </c>
      <c r="K887" s="8" t="s">
        <v>5833</v>
      </c>
      <c r="S887"/>
    </row>
    <row r="888" spans="1:19" ht="15" x14ac:dyDescent="0.25">
      <c r="A888" s="8" t="s">
        <v>5622</v>
      </c>
      <c r="B888" s="8" t="s">
        <v>4847</v>
      </c>
      <c r="C888" s="8" t="s">
        <v>5842</v>
      </c>
      <c r="D888" s="32" t="s">
        <v>6984</v>
      </c>
      <c r="E888" s="32" t="s">
        <v>5842</v>
      </c>
      <c r="F888" s="10">
        <v>24</v>
      </c>
      <c r="G888" s="8" t="s">
        <v>5832</v>
      </c>
      <c r="H888" s="10">
        <v>3.0958333333333332</v>
      </c>
      <c r="I888" s="10">
        <f t="shared" si="15"/>
        <v>74.3</v>
      </c>
      <c r="J888" s="10">
        <v>2.4660000000000002</v>
      </c>
      <c r="K888" s="8" t="s">
        <v>5833</v>
      </c>
      <c r="S888"/>
    </row>
    <row r="889" spans="1:19" ht="15" x14ac:dyDescent="0.25">
      <c r="A889" s="8" t="s">
        <v>5622</v>
      </c>
      <c r="B889" s="8" t="s">
        <v>4847</v>
      </c>
      <c r="C889" s="8" t="s">
        <v>5843</v>
      </c>
      <c r="D889" s="32" t="s">
        <v>6984</v>
      </c>
      <c r="E889" s="32" t="s">
        <v>5843</v>
      </c>
      <c r="F889" s="10">
        <v>12</v>
      </c>
      <c r="G889" s="8" t="s">
        <v>5832</v>
      </c>
      <c r="H889" s="10">
        <v>2.8416666666666668</v>
      </c>
      <c r="I889" s="10">
        <f t="shared" si="15"/>
        <v>34.1</v>
      </c>
      <c r="J889" s="10">
        <v>1.1328</v>
      </c>
      <c r="K889" s="8" t="s">
        <v>5833</v>
      </c>
      <c r="S889"/>
    </row>
    <row r="890" spans="1:19" ht="15" x14ac:dyDescent="0.25">
      <c r="A890" s="8" t="s">
        <v>5622</v>
      </c>
      <c r="B890" s="8" t="s">
        <v>4847</v>
      </c>
      <c r="C890" s="8" t="s">
        <v>5844</v>
      </c>
      <c r="D890" s="32" t="s">
        <v>6984</v>
      </c>
      <c r="E890" s="32" t="s">
        <v>5844</v>
      </c>
      <c r="F890" s="10">
        <v>12</v>
      </c>
      <c r="G890" s="8" t="s">
        <v>5832</v>
      </c>
      <c r="H890" s="10">
        <v>2.4666666666666668</v>
      </c>
      <c r="I890" s="10">
        <f t="shared" si="15"/>
        <v>29.6</v>
      </c>
      <c r="J890" s="10">
        <v>0.98280000000000001</v>
      </c>
      <c r="K890" s="8" t="s">
        <v>5833</v>
      </c>
      <c r="S890"/>
    </row>
    <row r="891" spans="1:19" ht="15" x14ac:dyDescent="0.25">
      <c r="A891" s="8" t="s">
        <v>5622</v>
      </c>
      <c r="B891" s="8" t="s">
        <v>4847</v>
      </c>
      <c r="C891" s="8" t="s">
        <v>5845</v>
      </c>
      <c r="D891" s="32" t="s">
        <v>6984</v>
      </c>
      <c r="E891" s="32" t="s">
        <v>5845</v>
      </c>
      <c r="F891" s="10">
        <v>3</v>
      </c>
      <c r="G891" s="8" t="s">
        <v>5832</v>
      </c>
      <c r="H891" s="10">
        <v>3.4</v>
      </c>
      <c r="I891" s="10">
        <f t="shared" si="15"/>
        <v>10.199999999999999</v>
      </c>
      <c r="J891" s="10">
        <v>0.33900000000000002</v>
      </c>
      <c r="K891" s="8" t="s">
        <v>5833</v>
      </c>
      <c r="S891"/>
    </row>
    <row r="892" spans="1:19" ht="15" x14ac:dyDescent="0.25">
      <c r="A892" s="8" t="s">
        <v>5622</v>
      </c>
      <c r="B892" s="8" t="s">
        <v>4847</v>
      </c>
      <c r="C892" s="8" t="s">
        <v>5846</v>
      </c>
      <c r="D892" s="32" t="s">
        <v>6984</v>
      </c>
      <c r="E892" s="32" t="s">
        <v>5846</v>
      </c>
      <c r="F892" s="10">
        <v>8</v>
      </c>
      <c r="G892" s="8" t="s">
        <v>5832</v>
      </c>
      <c r="H892" s="10">
        <v>4.2874999999999996</v>
      </c>
      <c r="I892" s="10">
        <f t="shared" si="15"/>
        <v>34.299999999999997</v>
      </c>
      <c r="J892" s="10">
        <v>1.1384000000000001</v>
      </c>
      <c r="K892" s="8" t="s">
        <v>5833</v>
      </c>
      <c r="S892"/>
    </row>
    <row r="893" spans="1:19" ht="15" x14ac:dyDescent="0.25">
      <c r="A893" s="8" t="s">
        <v>5622</v>
      </c>
      <c r="B893" s="8" t="s">
        <v>4847</v>
      </c>
      <c r="C893" s="8" t="s">
        <v>5847</v>
      </c>
      <c r="D893" s="32" t="s">
        <v>6984</v>
      </c>
      <c r="E893" s="32" t="s">
        <v>5847</v>
      </c>
      <c r="F893" s="10">
        <v>8</v>
      </c>
      <c r="G893" s="8" t="s">
        <v>5832</v>
      </c>
      <c r="H893" s="10">
        <v>4.3250000000000002</v>
      </c>
      <c r="I893" s="10">
        <f t="shared" si="15"/>
        <v>34.6</v>
      </c>
      <c r="J893" s="10">
        <v>1.1476</v>
      </c>
      <c r="K893" s="8" t="s">
        <v>5833</v>
      </c>
      <c r="S893"/>
    </row>
    <row r="894" spans="1:19" ht="15" x14ac:dyDescent="0.25">
      <c r="A894" s="8" t="s">
        <v>5622</v>
      </c>
      <c r="B894" s="8" t="s">
        <v>4847</v>
      </c>
      <c r="C894" s="8" t="s">
        <v>5848</v>
      </c>
      <c r="D894" s="32" t="s">
        <v>6984</v>
      </c>
      <c r="E894" s="32" t="s">
        <v>5848</v>
      </c>
      <c r="F894" s="10">
        <v>12</v>
      </c>
      <c r="G894" s="8" t="s">
        <v>5832</v>
      </c>
      <c r="H894" s="10">
        <v>3.0833333333333335</v>
      </c>
      <c r="I894" s="10">
        <f t="shared" si="15"/>
        <v>37</v>
      </c>
      <c r="J894" s="10">
        <v>1.2270000000000001</v>
      </c>
      <c r="K894" s="8" t="s">
        <v>5833</v>
      </c>
      <c r="S894"/>
    </row>
    <row r="895" spans="1:19" ht="15" x14ac:dyDescent="0.25">
      <c r="A895" s="8" t="s">
        <v>5622</v>
      </c>
      <c r="B895" s="8" t="s">
        <v>4847</v>
      </c>
      <c r="C895" s="8" t="s">
        <v>5849</v>
      </c>
      <c r="D895" s="32" t="s">
        <v>6984</v>
      </c>
      <c r="E895" s="32" t="s">
        <v>5849</v>
      </c>
      <c r="F895" s="10">
        <v>24</v>
      </c>
      <c r="G895" s="8" t="s">
        <v>5832</v>
      </c>
      <c r="H895" s="10">
        <v>3.4208333333333329</v>
      </c>
      <c r="I895" s="10">
        <f t="shared" si="15"/>
        <v>82.1</v>
      </c>
      <c r="J895" s="10">
        <v>2.7240000000000002</v>
      </c>
      <c r="K895" s="8" t="s">
        <v>5833</v>
      </c>
      <c r="S895"/>
    </row>
    <row r="896" spans="1:19" ht="15" x14ac:dyDescent="0.25">
      <c r="A896" s="8" t="s">
        <v>5622</v>
      </c>
      <c r="B896" s="8" t="s">
        <v>4847</v>
      </c>
      <c r="C896" s="8" t="s">
        <v>5850</v>
      </c>
      <c r="D896" s="32" t="s">
        <v>6984</v>
      </c>
      <c r="E896" s="32" t="s">
        <v>5850</v>
      </c>
      <c r="F896" s="10">
        <v>36</v>
      </c>
      <c r="G896" s="8" t="s">
        <v>5832</v>
      </c>
      <c r="H896" s="10">
        <v>3.3083333333333331</v>
      </c>
      <c r="I896" s="10">
        <f t="shared" si="15"/>
        <v>119.1</v>
      </c>
      <c r="J896" s="10">
        <v>3.9510000000000001</v>
      </c>
      <c r="K896" s="8" t="s">
        <v>5833</v>
      </c>
      <c r="S896"/>
    </row>
    <row r="897" spans="1:19" ht="15" x14ac:dyDescent="0.25">
      <c r="A897" s="8" t="s">
        <v>5622</v>
      </c>
      <c r="B897" s="8" t="s">
        <v>4847</v>
      </c>
      <c r="C897" s="8" t="s">
        <v>5851</v>
      </c>
      <c r="D897" s="32" t="s">
        <v>6984</v>
      </c>
      <c r="E897" s="32" t="s">
        <v>5851</v>
      </c>
      <c r="F897" s="10">
        <v>12</v>
      </c>
      <c r="G897" s="8" t="s">
        <v>5832</v>
      </c>
      <c r="H897" s="10">
        <v>3.8000000000000003</v>
      </c>
      <c r="I897" s="10">
        <f t="shared" si="15"/>
        <v>45.6</v>
      </c>
      <c r="J897" s="10">
        <v>1.512</v>
      </c>
      <c r="K897" s="8" t="s">
        <v>5833</v>
      </c>
      <c r="S897"/>
    </row>
    <row r="898" spans="1:19" ht="15" x14ac:dyDescent="0.25">
      <c r="A898" s="8" t="s">
        <v>5622</v>
      </c>
      <c r="B898" s="8" t="s">
        <v>4847</v>
      </c>
      <c r="C898" s="8" t="s">
        <v>5852</v>
      </c>
      <c r="D898" s="32" t="s">
        <v>6984</v>
      </c>
      <c r="E898" s="32" t="s">
        <v>5852</v>
      </c>
      <c r="F898" s="10">
        <v>4</v>
      </c>
      <c r="G898" s="8" t="s">
        <v>5832</v>
      </c>
      <c r="H898" s="10">
        <v>4.5750000000000002</v>
      </c>
      <c r="I898" s="10">
        <f t="shared" si="15"/>
        <v>18.3</v>
      </c>
      <c r="J898" s="10">
        <v>0.60860000000000003</v>
      </c>
      <c r="K898" s="8" t="s">
        <v>5833</v>
      </c>
      <c r="S898"/>
    </row>
    <row r="899" spans="1:19" ht="15" x14ac:dyDescent="0.25">
      <c r="A899" s="8" t="s">
        <v>5622</v>
      </c>
      <c r="B899" s="8" t="s">
        <v>4847</v>
      </c>
      <c r="C899" s="8" t="s">
        <v>5853</v>
      </c>
      <c r="D899" s="32" t="s">
        <v>6984</v>
      </c>
      <c r="E899" s="32" t="s">
        <v>5853</v>
      </c>
      <c r="F899" s="10">
        <v>4</v>
      </c>
      <c r="G899" s="8" t="s">
        <v>5832</v>
      </c>
      <c r="H899" s="10">
        <v>4.55</v>
      </c>
      <c r="I899" s="10">
        <f t="shared" si="15"/>
        <v>18.2</v>
      </c>
      <c r="J899" s="10">
        <v>0.6038</v>
      </c>
      <c r="K899" s="8" t="s">
        <v>5833</v>
      </c>
      <c r="S899"/>
    </row>
    <row r="900" spans="1:19" ht="15" x14ac:dyDescent="0.25">
      <c r="A900" s="8" t="s">
        <v>5622</v>
      </c>
      <c r="B900" s="8" t="s">
        <v>4847</v>
      </c>
      <c r="C900" s="8" t="s">
        <v>5854</v>
      </c>
      <c r="D900" s="32" t="s">
        <v>6984</v>
      </c>
      <c r="E900" s="32" t="s">
        <v>5854</v>
      </c>
      <c r="F900" s="10">
        <v>6</v>
      </c>
      <c r="G900" s="8" t="s">
        <v>5832</v>
      </c>
      <c r="H900" s="10">
        <v>3.0833333333333335</v>
      </c>
      <c r="I900" s="10">
        <f t="shared" si="15"/>
        <v>18.5</v>
      </c>
      <c r="J900" s="10">
        <v>0.61439999999999995</v>
      </c>
      <c r="K900" s="8" t="s">
        <v>5833</v>
      </c>
      <c r="S900"/>
    </row>
    <row r="901" spans="1:19" ht="15" x14ac:dyDescent="0.25">
      <c r="A901" s="8" t="s">
        <v>5622</v>
      </c>
      <c r="B901" s="8" t="s">
        <v>4847</v>
      </c>
      <c r="C901" s="8" t="s">
        <v>5855</v>
      </c>
      <c r="D901" s="32" t="s">
        <v>6984</v>
      </c>
      <c r="E901" s="32" t="s">
        <v>5855</v>
      </c>
      <c r="F901" s="10">
        <v>8</v>
      </c>
      <c r="G901" s="8" t="s">
        <v>5832</v>
      </c>
      <c r="H901" s="10">
        <v>4.625</v>
      </c>
      <c r="I901" s="10">
        <f t="shared" ref="I901:I964" si="16">F901*H901</f>
        <v>37</v>
      </c>
      <c r="J901" s="10">
        <v>1.2267999999999999</v>
      </c>
      <c r="K901" s="8" t="s">
        <v>5833</v>
      </c>
      <c r="S901"/>
    </row>
    <row r="902" spans="1:19" ht="15" x14ac:dyDescent="0.25">
      <c r="A902" s="8" t="s">
        <v>5622</v>
      </c>
      <c r="B902" s="8" t="s">
        <v>4847</v>
      </c>
      <c r="C902" s="8" t="s">
        <v>5856</v>
      </c>
      <c r="D902" s="32" t="s">
        <v>6984</v>
      </c>
      <c r="E902" s="32" t="s">
        <v>5856</v>
      </c>
      <c r="F902" s="10">
        <v>12</v>
      </c>
      <c r="G902" s="8" t="s">
        <v>5832</v>
      </c>
      <c r="H902" s="10">
        <v>3.4250000000000003</v>
      </c>
      <c r="I902" s="10">
        <f t="shared" si="16"/>
        <v>41.1</v>
      </c>
      <c r="J902" s="10">
        <v>1.3637999999999999</v>
      </c>
      <c r="K902" s="8" t="s">
        <v>5833</v>
      </c>
      <c r="S902"/>
    </row>
    <row r="903" spans="1:19" ht="15" x14ac:dyDescent="0.25">
      <c r="A903" s="8" t="s">
        <v>5622</v>
      </c>
      <c r="B903" s="8" t="s">
        <v>4847</v>
      </c>
      <c r="C903" s="8" t="s">
        <v>5857</v>
      </c>
      <c r="D903" s="32" t="s">
        <v>6984</v>
      </c>
      <c r="E903" s="32" t="s">
        <v>5857</v>
      </c>
      <c r="F903" s="10">
        <v>18</v>
      </c>
      <c r="G903" s="8" t="s">
        <v>5832</v>
      </c>
      <c r="H903" s="10">
        <v>3.3111111111111113</v>
      </c>
      <c r="I903" s="10">
        <f t="shared" si="16"/>
        <v>59.6</v>
      </c>
      <c r="J903" s="10">
        <v>1.9782</v>
      </c>
      <c r="K903" s="8" t="s">
        <v>5833</v>
      </c>
      <c r="S903"/>
    </row>
    <row r="904" spans="1:19" ht="15" x14ac:dyDescent="0.25">
      <c r="A904" s="8" t="s">
        <v>5622</v>
      </c>
      <c r="B904" s="8" t="s">
        <v>4847</v>
      </c>
      <c r="C904" s="8" t="s">
        <v>5858</v>
      </c>
      <c r="D904" s="32" t="s">
        <v>6984</v>
      </c>
      <c r="E904" s="32" t="s">
        <v>5858</v>
      </c>
      <c r="F904" s="10">
        <v>6</v>
      </c>
      <c r="G904" s="8" t="s">
        <v>5832</v>
      </c>
      <c r="H904" s="10">
        <v>3.5500000000000003</v>
      </c>
      <c r="I904" s="10">
        <f t="shared" si="16"/>
        <v>21.3</v>
      </c>
      <c r="J904" s="10">
        <v>0.7056</v>
      </c>
      <c r="K904" s="8" t="s">
        <v>5833</v>
      </c>
      <c r="S904"/>
    </row>
    <row r="905" spans="1:19" ht="15" x14ac:dyDescent="0.25">
      <c r="A905" s="8" t="s">
        <v>5622</v>
      </c>
      <c r="B905" s="8" t="s">
        <v>4847</v>
      </c>
      <c r="C905" s="8" t="s">
        <v>5859</v>
      </c>
      <c r="D905" s="32" t="s">
        <v>6984</v>
      </c>
      <c r="E905" s="32" t="s">
        <v>5859</v>
      </c>
      <c r="F905" s="10">
        <v>6</v>
      </c>
      <c r="G905" s="8" t="s">
        <v>5832</v>
      </c>
      <c r="H905" s="10">
        <v>4.3166666666666664</v>
      </c>
      <c r="I905" s="10">
        <f t="shared" si="16"/>
        <v>25.9</v>
      </c>
      <c r="J905" s="10">
        <v>0.85950000000000004</v>
      </c>
      <c r="K905" s="8" t="s">
        <v>5833</v>
      </c>
      <c r="S905"/>
    </row>
    <row r="906" spans="1:19" ht="15" x14ac:dyDescent="0.25">
      <c r="A906" s="8" t="s">
        <v>5622</v>
      </c>
      <c r="B906" s="8" t="s">
        <v>4847</v>
      </c>
      <c r="C906" s="8" t="s">
        <v>5860</v>
      </c>
      <c r="D906" s="32" t="s">
        <v>6984</v>
      </c>
      <c r="E906" s="32" t="s">
        <v>5860</v>
      </c>
      <c r="F906" s="10">
        <v>4</v>
      </c>
      <c r="G906" s="8" t="s">
        <v>5832</v>
      </c>
      <c r="H906" s="10">
        <v>4.5999999999999996</v>
      </c>
      <c r="I906" s="10">
        <f t="shared" si="16"/>
        <v>18.399999999999999</v>
      </c>
      <c r="J906" s="10">
        <v>0.61180000000000001</v>
      </c>
      <c r="K906" s="8" t="s">
        <v>5833</v>
      </c>
      <c r="S906"/>
    </row>
    <row r="907" spans="1:19" ht="15" x14ac:dyDescent="0.25">
      <c r="A907" s="8" t="s">
        <v>5622</v>
      </c>
      <c r="B907" s="8" t="s">
        <v>4847</v>
      </c>
      <c r="C907" s="8" t="s">
        <v>5861</v>
      </c>
      <c r="D907" s="32" t="s">
        <v>6984</v>
      </c>
      <c r="E907" s="32" t="s">
        <v>5861</v>
      </c>
      <c r="F907" s="10">
        <v>4</v>
      </c>
      <c r="G907" s="8" t="s">
        <v>5832</v>
      </c>
      <c r="H907" s="10">
        <v>4.5750000000000002</v>
      </c>
      <c r="I907" s="10">
        <f t="shared" si="16"/>
        <v>18.3</v>
      </c>
      <c r="J907" s="10">
        <v>0.60680000000000001</v>
      </c>
      <c r="K907" s="8" t="s">
        <v>5833</v>
      </c>
      <c r="S907"/>
    </row>
    <row r="908" spans="1:19" ht="15" x14ac:dyDescent="0.25">
      <c r="A908" s="8" t="s">
        <v>5622</v>
      </c>
      <c r="B908" s="8" t="s">
        <v>4847</v>
      </c>
      <c r="C908" s="8" t="s">
        <v>5862</v>
      </c>
      <c r="D908" s="32" t="s">
        <v>6984</v>
      </c>
      <c r="E908" s="32" t="s">
        <v>5862</v>
      </c>
      <c r="F908" s="10">
        <v>16</v>
      </c>
      <c r="G908" s="8" t="s">
        <v>5832</v>
      </c>
      <c r="H908" s="10">
        <v>4.0875000000000004</v>
      </c>
      <c r="I908" s="10">
        <f t="shared" si="16"/>
        <v>65.400000000000006</v>
      </c>
      <c r="J908" s="10">
        <v>2.1703999999999999</v>
      </c>
      <c r="K908" s="8" t="s">
        <v>5833</v>
      </c>
      <c r="S908"/>
    </row>
    <row r="909" spans="1:19" ht="15" x14ac:dyDescent="0.25">
      <c r="A909" s="8" t="s">
        <v>5622</v>
      </c>
      <c r="B909" s="8" t="s">
        <v>4847</v>
      </c>
      <c r="C909" s="8" t="s">
        <v>5863</v>
      </c>
      <c r="D909" s="32" t="s">
        <v>6984</v>
      </c>
      <c r="E909" s="32" t="s">
        <v>5863</v>
      </c>
      <c r="F909" s="10">
        <v>4</v>
      </c>
      <c r="G909" s="8" t="s">
        <v>5832</v>
      </c>
      <c r="H909" s="10">
        <v>4.3</v>
      </c>
      <c r="I909" s="10">
        <f t="shared" si="16"/>
        <v>17.2</v>
      </c>
      <c r="J909" s="10">
        <v>0.57199999999999995</v>
      </c>
      <c r="K909" s="8" t="s">
        <v>5833</v>
      </c>
      <c r="S909"/>
    </row>
    <row r="910" spans="1:19" ht="15" x14ac:dyDescent="0.25">
      <c r="A910" s="8" t="s">
        <v>5622</v>
      </c>
      <c r="B910" s="8" t="s">
        <v>4847</v>
      </c>
      <c r="C910" s="8" t="s">
        <v>5864</v>
      </c>
      <c r="D910" s="32" t="s">
        <v>6984</v>
      </c>
      <c r="E910" s="32" t="s">
        <v>5864</v>
      </c>
      <c r="F910" s="10">
        <v>12</v>
      </c>
      <c r="G910" s="8" t="s">
        <v>5832</v>
      </c>
      <c r="H910" s="10">
        <v>4.3166666666666664</v>
      </c>
      <c r="I910" s="10">
        <f t="shared" si="16"/>
        <v>51.8</v>
      </c>
      <c r="J910" s="10">
        <v>1.7183999999999999</v>
      </c>
      <c r="K910" s="8" t="s">
        <v>5833</v>
      </c>
      <c r="S910"/>
    </row>
    <row r="911" spans="1:19" ht="15" x14ac:dyDescent="0.25">
      <c r="A911" s="8" t="s">
        <v>5622</v>
      </c>
      <c r="B911" s="8" t="s">
        <v>4847</v>
      </c>
      <c r="C911" s="8" t="s">
        <v>5865</v>
      </c>
      <c r="D911" s="32" t="s">
        <v>6984</v>
      </c>
      <c r="E911" s="32" t="s">
        <v>5865</v>
      </c>
      <c r="F911" s="10">
        <v>2</v>
      </c>
      <c r="G911" s="8" t="s">
        <v>5086</v>
      </c>
      <c r="H911" s="10">
        <v>13.95</v>
      </c>
      <c r="I911" s="10">
        <f t="shared" si="16"/>
        <v>27.9</v>
      </c>
      <c r="J911" s="10">
        <v>0</v>
      </c>
      <c r="K911" s="8" t="s">
        <v>5087</v>
      </c>
      <c r="S911"/>
    </row>
    <row r="912" spans="1:19" ht="15" x14ac:dyDescent="0.25">
      <c r="A912" s="8" t="s">
        <v>5622</v>
      </c>
      <c r="B912" s="8" t="s">
        <v>4847</v>
      </c>
      <c r="C912" s="8" t="s">
        <v>5866</v>
      </c>
      <c r="D912" s="32" t="s">
        <v>6984</v>
      </c>
      <c r="E912" s="32" t="s">
        <v>5866</v>
      </c>
      <c r="F912" s="10">
        <v>2</v>
      </c>
      <c r="G912" s="8" t="s">
        <v>5086</v>
      </c>
      <c r="H912" s="10">
        <v>12.25</v>
      </c>
      <c r="I912" s="10">
        <f t="shared" si="16"/>
        <v>24.5</v>
      </c>
      <c r="J912" s="10">
        <v>0</v>
      </c>
      <c r="K912" s="8" t="s">
        <v>5087</v>
      </c>
      <c r="S912"/>
    </row>
    <row r="913" spans="1:19" ht="15" x14ac:dyDescent="0.25">
      <c r="A913" s="8" t="s">
        <v>5622</v>
      </c>
      <c r="B913" s="8" t="s">
        <v>4847</v>
      </c>
      <c r="C913" s="8" t="s">
        <v>5867</v>
      </c>
      <c r="D913" s="32" t="s">
        <v>6984</v>
      </c>
      <c r="E913" s="32" t="s">
        <v>5867</v>
      </c>
      <c r="F913" s="10">
        <v>2</v>
      </c>
      <c r="G913" s="8" t="s">
        <v>5086</v>
      </c>
      <c r="H913" s="10">
        <v>12.35</v>
      </c>
      <c r="I913" s="10">
        <f t="shared" si="16"/>
        <v>24.7</v>
      </c>
      <c r="J913" s="10">
        <v>0</v>
      </c>
      <c r="K913" s="8" t="s">
        <v>5087</v>
      </c>
      <c r="S913"/>
    </row>
    <row r="914" spans="1:19" ht="15" x14ac:dyDescent="0.25">
      <c r="A914" s="8" t="s">
        <v>5622</v>
      </c>
      <c r="B914" s="8" t="s">
        <v>4847</v>
      </c>
      <c r="C914" s="8" t="s">
        <v>5868</v>
      </c>
      <c r="D914" s="32" t="s">
        <v>6984</v>
      </c>
      <c r="E914" s="32" t="s">
        <v>5868</v>
      </c>
      <c r="F914" s="10">
        <v>1</v>
      </c>
      <c r="G914" s="8" t="s">
        <v>5086</v>
      </c>
      <c r="H914" s="10">
        <v>9.6</v>
      </c>
      <c r="I914" s="10">
        <f t="shared" si="16"/>
        <v>9.6</v>
      </c>
      <c r="J914" s="10">
        <v>0</v>
      </c>
      <c r="K914" s="8" t="s">
        <v>5087</v>
      </c>
      <c r="S914"/>
    </row>
    <row r="915" spans="1:19" ht="15" x14ac:dyDescent="0.25">
      <c r="A915" s="8" t="s">
        <v>5622</v>
      </c>
      <c r="B915" s="8" t="s">
        <v>4847</v>
      </c>
      <c r="C915" s="8" t="s">
        <v>5869</v>
      </c>
      <c r="D915" s="32" t="s">
        <v>6984</v>
      </c>
      <c r="E915" s="32" t="s">
        <v>5869</v>
      </c>
      <c r="F915" s="10">
        <v>2</v>
      </c>
      <c r="G915" s="8" t="s">
        <v>5086</v>
      </c>
      <c r="H915" s="10">
        <v>39.450000000000003</v>
      </c>
      <c r="I915" s="10">
        <f t="shared" si="16"/>
        <v>78.900000000000006</v>
      </c>
      <c r="J915" s="10">
        <v>0</v>
      </c>
      <c r="K915" s="8" t="s">
        <v>5087</v>
      </c>
      <c r="S915"/>
    </row>
    <row r="916" spans="1:19" ht="15" x14ac:dyDescent="0.25">
      <c r="A916" s="8" t="s">
        <v>5622</v>
      </c>
      <c r="B916" s="8" t="s">
        <v>4847</v>
      </c>
      <c r="C916" s="8" t="s">
        <v>5870</v>
      </c>
      <c r="D916" s="32" t="s">
        <v>6984</v>
      </c>
      <c r="E916" s="32" t="s">
        <v>5870</v>
      </c>
      <c r="F916" s="10">
        <v>2</v>
      </c>
      <c r="G916" s="8" t="s">
        <v>5086</v>
      </c>
      <c r="H916" s="10">
        <v>39.75</v>
      </c>
      <c r="I916" s="10">
        <f t="shared" si="16"/>
        <v>79.5</v>
      </c>
      <c r="J916" s="10">
        <v>0</v>
      </c>
      <c r="K916" s="8" t="s">
        <v>5087</v>
      </c>
      <c r="S916"/>
    </row>
    <row r="917" spans="1:19" ht="15" x14ac:dyDescent="0.25">
      <c r="A917" s="8" t="s">
        <v>5622</v>
      </c>
      <c r="B917" s="8" t="s">
        <v>4847</v>
      </c>
      <c r="C917" s="8" t="s">
        <v>5871</v>
      </c>
      <c r="D917" s="32" t="s">
        <v>6984</v>
      </c>
      <c r="E917" s="32" t="s">
        <v>5871</v>
      </c>
      <c r="F917" s="10">
        <v>1</v>
      </c>
      <c r="G917" s="8" t="s">
        <v>5086</v>
      </c>
      <c r="H917" s="10">
        <v>41.9</v>
      </c>
      <c r="I917" s="10">
        <f t="shared" si="16"/>
        <v>41.9</v>
      </c>
      <c r="J917" s="10">
        <v>0</v>
      </c>
      <c r="K917" s="8" t="s">
        <v>5087</v>
      </c>
      <c r="S917"/>
    </row>
    <row r="918" spans="1:19" ht="15" x14ac:dyDescent="0.25">
      <c r="A918" s="8" t="s">
        <v>5622</v>
      </c>
      <c r="B918" s="8" t="s">
        <v>4847</v>
      </c>
      <c r="C918" s="8" t="s">
        <v>5872</v>
      </c>
      <c r="D918" s="32" t="s">
        <v>6984</v>
      </c>
      <c r="E918" s="32" t="s">
        <v>5872</v>
      </c>
      <c r="F918" s="10">
        <v>1</v>
      </c>
      <c r="G918" s="8" t="s">
        <v>5086</v>
      </c>
      <c r="H918" s="10">
        <v>39.4</v>
      </c>
      <c r="I918" s="10">
        <f t="shared" si="16"/>
        <v>39.4</v>
      </c>
      <c r="J918" s="10">
        <v>0</v>
      </c>
      <c r="K918" s="8" t="s">
        <v>5087</v>
      </c>
      <c r="S918"/>
    </row>
    <row r="919" spans="1:19" ht="15" x14ac:dyDescent="0.25">
      <c r="A919" s="8" t="s">
        <v>5622</v>
      </c>
      <c r="B919" s="8" t="s">
        <v>4847</v>
      </c>
      <c r="C919" s="8" t="s">
        <v>5873</v>
      </c>
      <c r="D919" s="32" t="s">
        <v>6984</v>
      </c>
      <c r="E919" s="32" t="s">
        <v>5873</v>
      </c>
      <c r="F919" s="10">
        <v>1</v>
      </c>
      <c r="G919" s="8" t="s">
        <v>5086</v>
      </c>
      <c r="H919" s="10">
        <v>40.5</v>
      </c>
      <c r="I919" s="10">
        <f t="shared" si="16"/>
        <v>40.5</v>
      </c>
      <c r="J919" s="10">
        <v>0</v>
      </c>
      <c r="K919" s="8" t="s">
        <v>5087</v>
      </c>
      <c r="S919"/>
    </row>
    <row r="920" spans="1:19" ht="15" x14ac:dyDescent="0.25">
      <c r="A920" s="8" t="s">
        <v>5622</v>
      </c>
      <c r="B920" s="8" t="s">
        <v>4847</v>
      </c>
      <c r="C920" s="8" t="s">
        <v>5874</v>
      </c>
      <c r="D920" s="32" t="s">
        <v>6984</v>
      </c>
      <c r="E920" s="32" t="s">
        <v>5874</v>
      </c>
      <c r="F920" s="10">
        <v>5</v>
      </c>
      <c r="G920" s="8" t="s">
        <v>5086</v>
      </c>
      <c r="H920" s="10">
        <v>8.6</v>
      </c>
      <c r="I920" s="10">
        <f t="shared" si="16"/>
        <v>43</v>
      </c>
      <c r="J920" s="10">
        <v>0</v>
      </c>
      <c r="K920" s="8" t="s">
        <v>5087</v>
      </c>
      <c r="S920"/>
    </row>
    <row r="921" spans="1:19" ht="15" x14ac:dyDescent="0.25">
      <c r="A921" s="8" t="s">
        <v>5622</v>
      </c>
      <c r="B921" s="8" t="s">
        <v>4847</v>
      </c>
      <c r="C921" s="8" t="s">
        <v>5875</v>
      </c>
      <c r="D921" s="32" t="s">
        <v>6984</v>
      </c>
      <c r="E921" s="32" t="s">
        <v>5875</v>
      </c>
      <c r="F921" s="10">
        <v>7</v>
      </c>
      <c r="G921" s="8" t="s">
        <v>5086</v>
      </c>
      <c r="H921" s="10">
        <v>7.5428571428571427</v>
      </c>
      <c r="I921" s="10">
        <f t="shared" si="16"/>
        <v>52.8</v>
      </c>
      <c r="J921" s="10">
        <v>0</v>
      </c>
      <c r="K921" s="8" t="s">
        <v>5087</v>
      </c>
      <c r="S921"/>
    </row>
    <row r="922" spans="1:19" ht="15" x14ac:dyDescent="0.25">
      <c r="A922" s="8" t="s">
        <v>5622</v>
      </c>
      <c r="B922" s="8" t="s">
        <v>4847</v>
      </c>
      <c r="C922" s="8" t="s">
        <v>5876</v>
      </c>
      <c r="D922" s="32" t="s">
        <v>6984</v>
      </c>
      <c r="E922" s="32" t="s">
        <v>5876</v>
      </c>
      <c r="F922" s="10">
        <v>6</v>
      </c>
      <c r="G922" s="8" t="s">
        <v>5086</v>
      </c>
      <c r="H922" s="10">
        <v>7.6166666666666671</v>
      </c>
      <c r="I922" s="10">
        <f t="shared" si="16"/>
        <v>45.7</v>
      </c>
      <c r="J922" s="10">
        <v>0</v>
      </c>
      <c r="K922" s="8" t="s">
        <v>5087</v>
      </c>
      <c r="S922"/>
    </row>
    <row r="923" spans="1:19" ht="15" x14ac:dyDescent="0.25">
      <c r="A923" s="8" t="s">
        <v>5622</v>
      </c>
      <c r="B923" s="8" t="s">
        <v>4847</v>
      </c>
      <c r="C923" s="8" t="s">
        <v>5877</v>
      </c>
      <c r="D923" s="32" t="s">
        <v>6984</v>
      </c>
      <c r="E923" s="32" t="s">
        <v>5877</v>
      </c>
      <c r="F923" s="10">
        <v>13</v>
      </c>
      <c r="G923" s="8" t="s">
        <v>5086</v>
      </c>
      <c r="H923" s="10">
        <v>8.6769230769230763</v>
      </c>
      <c r="I923" s="10">
        <f t="shared" si="16"/>
        <v>112.8</v>
      </c>
      <c r="J923" s="10">
        <v>0</v>
      </c>
      <c r="K923" s="8" t="s">
        <v>5087</v>
      </c>
      <c r="S923"/>
    </row>
    <row r="924" spans="1:19" ht="15" x14ac:dyDescent="0.25">
      <c r="A924" s="8" t="s">
        <v>5622</v>
      </c>
      <c r="B924" s="8" t="s">
        <v>4847</v>
      </c>
      <c r="C924" s="8" t="s">
        <v>5878</v>
      </c>
      <c r="D924" s="32" t="s">
        <v>6984</v>
      </c>
      <c r="E924" s="32" t="s">
        <v>5878</v>
      </c>
      <c r="F924" s="10">
        <v>15</v>
      </c>
      <c r="G924" s="8" t="s">
        <v>5086</v>
      </c>
      <c r="H924" s="10">
        <v>7.62</v>
      </c>
      <c r="I924" s="10">
        <f t="shared" si="16"/>
        <v>114.3</v>
      </c>
      <c r="J924" s="10">
        <v>0</v>
      </c>
      <c r="K924" s="8" t="s">
        <v>5087</v>
      </c>
      <c r="S924"/>
    </row>
    <row r="925" spans="1:19" ht="15" x14ac:dyDescent="0.25">
      <c r="A925" s="8" t="s">
        <v>5622</v>
      </c>
      <c r="B925" s="8" t="s">
        <v>4847</v>
      </c>
      <c r="C925" s="8" t="s">
        <v>5879</v>
      </c>
      <c r="D925" s="32" t="s">
        <v>6984</v>
      </c>
      <c r="E925" s="32" t="s">
        <v>5879</v>
      </c>
      <c r="F925" s="10">
        <v>16</v>
      </c>
      <c r="G925" s="8" t="s">
        <v>5086</v>
      </c>
      <c r="H925" s="10">
        <v>7.6875</v>
      </c>
      <c r="I925" s="10">
        <f t="shared" si="16"/>
        <v>123</v>
      </c>
      <c r="J925" s="10">
        <v>0</v>
      </c>
      <c r="K925" s="8" t="s">
        <v>5087</v>
      </c>
      <c r="S925"/>
    </row>
    <row r="926" spans="1:19" ht="15" x14ac:dyDescent="0.25">
      <c r="A926" s="8" t="s">
        <v>5622</v>
      </c>
      <c r="B926" s="8" t="s">
        <v>4847</v>
      </c>
      <c r="C926" s="8" t="s">
        <v>5880</v>
      </c>
      <c r="D926" s="32" t="s">
        <v>6984</v>
      </c>
      <c r="E926" s="32" t="s">
        <v>5880</v>
      </c>
      <c r="F926" s="10">
        <v>1</v>
      </c>
      <c r="G926" s="8" t="s">
        <v>5086</v>
      </c>
      <c r="H926" s="10">
        <v>8.6999999999999993</v>
      </c>
      <c r="I926" s="10">
        <f t="shared" si="16"/>
        <v>8.6999999999999993</v>
      </c>
      <c r="J926" s="10">
        <v>0</v>
      </c>
      <c r="K926" s="8" t="s">
        <v>5087</v>
      </c>
      <c r="S926"/>
    </row>
    <row r="927" spans="1:19" ht="15" x14ac:dyDescent="0.25">
      <c r="A927" s="8" t="s">
        <v>5622</v>
      </c>
      <c r="B927" s="8" t="s">
        <v>4847</v>
      </c>
      <c r="C927" s="8" t="s">
        <v>5881</v>
      </c>
      <c r="D927" s="32" t="s">
        <v>6984</v>
      </c>
      <c r="E927" s="32" t="s">
        <v>5881</v>
      </c>
      <c r="F927" s="10">
        <v>1</v>
      </c>
      <c r="G927" s="8" t="s">
        <v>5086</v>
      </c>
      <c r="H927" s="10">
        <v>8.6999999999999993</v>
      </c>
      <c r="I927" s="10">
        <f t="shared" si="16"/>
        <v>8.6999999999999993</v>
      </c>
      <c r="J927" s="10">
        <v>0</v>
      </c>
      <c r="K927" s="8" t="s">
        <v>5087</v>
      </c>
      <c r="S927"/>
    </row>
    <row r="928" spans="1:19" ht="15" x14ac:dyDescent="0.25">
      <c r="A928" s="8" t="s">
        <v>5622</v>
      </c>
      <c r="B928" s="8" t="s">
        <v>4847</v>
      </c>
      <c r="C928" s="8" t="s">
        <v>5882</v>
      </c>
      <c r="D928" s="32" t="s">
        <v>6984</v>
      </c>
      <c r="E928" s="32" t="s">
        <v>5882</v>
      </c>
      <c r="F928" s="10">
        <v>1</v>
      </c>
      <c r="G928" s="8" t="s">
        <v>5086</v>
      </c>
      <c r="H928" s="10">
        <v>32.700000000000003</v>
      </c>
      <c r="I928" s="10">
        <f t="shared" si="16"/>
        <v>32.700000000000003</v>
      </c>
      <c r="J928" s="10">
        <v>0</v>
      </c>
      <c r="K928" s="8" t="s">
        <v>5087</v>
      </c>
      <c r="S928"/>
    </row>
    <row r="929" spans="1:19" ht="15" x14ac:dyDescent="0.25">
      <c r="A929" s="8" t="s">
        <v>5622</v>
      </c>
      <c r="B929" s="8" t="s">
        <v>4847</v>
      </c>
      <c r="C929" s="8" t="s">
        <v>5883</v>
      </c>
      <c r="D929" s="32" t="s">
        <v>6984</v>
      </c>
      <c r="E929" s="32" t="s">
        <v>5883</v>
      </c>
      <c r="F929" s="10">
        <v>2</v>
      </c>
      <c r="G929" s="8" t="s">
        <v>5086</v>
      </c>
      <c r="H929" s="10">
        <v>32.65</v>
      </c>
      <c r="I929" s="10">
        <f t="shared" si="16"/>
        <v>65.3</v>
      </c>
      <c r="J929" s="10">
        <v>0</v>
      </c>
      <c r="K929" s="8" t="s">
        <v>5087</v>
      </c>
      <c r="S929"/>
    </row>
    <row r="930" spans="1:19" ht="15" x14ac:dyDescent="0.25">
      <c r="A930" s="8" t="s">
        <v>5622</v>
      </c>
      <c r="B930" s="8" t="s">
        <v>4847</v>
      </c>
      <c r="C930" s="8" t="s">
        <v>5884</v>
      </c>
      <c r="D930" s="32" t="s">
        <v>6984</v>
      </c>
      <c r="E930" s="32" t="s">
        <v>5884</v>
      </c>
      <c r="F930" s="10">
        <v>2</v>
      </c>
      <c r="G930" s="8" t="s">
        <v>5086</v>
      </c>
      <c r="H930" s="10">
        <v>7.6</v>
      </c>
      <c r="I930" s="10">
        <f t="shared" si="16"/>
        <v>15.2</v>
      </c>
      <c r="J930" s="10">
        <v>0</v>
      </c>
      <c r="K930" s="8" t="s">
        <v>5087</v>
      </c>
      <c r="S930"/>
    </row>
    <row r="931" spans="1:19" ht="15" x14ac:dyDescent="0.25">
      <c r="A931" s="8" t="s">
        <v>5622</v>
      </c>
      <c r="B931" s="8" t="s">
        <v>4847</v>
      </c>
      <c r="C931" s="8" t="s">
        <v>5885</v>
      </c>
      <c r="D931" s="32" t="s">
        <v>6984</v>
      </c>
      <c r="E931" s="32" t="s">
        <v>5885</v>
      </c>
      <c r="F931" s="10">
        <v>1</v>
      </c>
      <c r="G931" s="8" t="s">
        <v>5086</v>
      </c>
      <c r="H931" s="10">
        <v>32.700000000000003</v>
      </c>
      <c r="I931" s="10">
        <f t="shared" si="16"/>
        <v>32.700000000000003</v>
      </c>
      <c r="J931" s="10">
        <v>0</v>
      </c>
      <c r="K931" s="8" t="s">
        <v>5087</v>
      </c>
      <c r="S931"/>
    </row>
    <row r="932" spans="1:19" ht="15" x14ac:dyDescent="0.25">
      <c r="A932" s="8" t="s">
        <v>5622</v>
      </c>
      <c r="B932" s="8" t="s">
        <v>4847</v>
      </c>
      <c r="C932" s="8" t="s">
        <v>5886</v>
      </c>
      <c r="D932" s="32" t="s">
        <v>6984</v>
      </c>
      <c r="E932" s="32" t="s">
        <v>5886</v>
      </c>
      <c r="F932" s="10">
        <v>21</v>
      </c>
      <c r="G932" s="8" t="s">
        <v>5569</v>
      </c>
      <c r="H932" s="10">
        <v>13.100000000000001</v>
      </c>
      <c r="I932" s="10">
        <f t="shared" si="16"/>
        <v>275.10000000000002</v>
      </c>
      <c r="J932" s="10">
        <v>0</v>
      </c>
      <c r="K932" s="8" t="s">
        <v>5570</v>
      </c>
      <c r="S932"/>
    </row>
    <row r="933" spans="1:19" ht="15" x14ac:dyDescent="0.25">
      <c r="A933" s="8" t="s">
        <v>4932</v>
      </c>
      <c r="B933" s="8" t="s">
        <v>14</v>
      </c>
      <c r="C933" s="8" t="s">
        <v>5887</v>
      </c>
      <c r="D933" s="32" t="s">
        <v>6984</v>
      </c>
      <c r="E933" s="32" t="s">
        <v>5887</v>
      </c>
      <c r="F933" s="10">
        <v>1</v>
      </c>
      <c r="G933" s="8" t="s">
        <v>5086</v>
      </c>
      <c r="H933" s="10">
        <v>33.6</v>
      </c>
      <c r="I933" s="10">
        <f t="shared" si="16"/>
        <v>33.6</v>
      </c>
      <c r="J933" s="10">
        <v>0</v>
      </c>
      <c r="K933" s="8" t="s">
        <v>5087</v>
      </c>
      <c r="S933"/>
    </row>
    <row r="934" spans="1:19" ht="15" x14ac:dyDescent="0.25">
      <c r="A934" s="8" t="s">
        <v>4932</v>
      </c>
      <c r="B934" s="8" t="s">
        <v>14</v>
      </c>
      <c r="C934" s="8" t="s">
        <v>5888</v>
      </c>
      <c r="D934" s="32" t="s">
        <v>6984</v>
      </c>
      <c r="E934" s="32" t="s">
        <v>5888</v>
      </c>
      <c r="F934" s="10">
        <v>3</v>
      </c>
      <c r="G934" s="8" t="s">
        <v>5086</v>
      </c>
      <c r="H934" s="10">
        <v>32.133333333333333</v>
      </c>
      <c r="I934" s="10">
        <f t="shared" si="16"/>
        <v>96.4</v>
      </c>
      <c r="J934" s="10">
        <v>0</v>
      </c>
      <c r="K934" s="8" t="s">
        <v>5087</v>
      </c>
      <c r="S934"/>
    </row>
    <row r="935" spans="1:19" ht="15" x14ac:dyDescent="0.25">
      <c r="A935" s="8" t="s">
        <v>4932</v>
      </c>
      <c r="B935" s="8" t="s">
        <v>14</v>
      </c>
      <c r="C935" s="8" t="s">
        <v>5889</v>
      </c>
      <c r="D935" s="32" t="s">
        <v>6984</v>
      </c>
      <c r="E935" s="32" t="s">
        <v>5889</v>
      </c>
      <c r="F935" s="10">
        <v>1</v>
      </c>
      <c r="G935" s="8" t="s">
        <v>5086</v>
      </c>
      <c r="H935" s="10">
        <v>32.1</v>
      </c>
      <c r="I935" s="10">
        <f t="shared" si="16"/>
        <v>32.1</v>
      </c>
      <c r="J935" s="10">
        <v>0</v>
      </c>
      <c r="K935" s="8" t="s">
        <v>5087</v>
      </c>
      <c r="S935"/>
    </row>
    <row r="936" spans="1:19" ht="15" x14ac:dyDescent="0.25">
      <c r="A936" s="8" t="s">
        <v>4932</v>
      </c>
      <c r="B936" s="8" t="s">
        <v>14</v>
      </c>
      <c r="C936" s="8" t="s">
        <v>5890</v>
      </c>
      <c r="D936" s="32" t="s">
        <v>6984</v>
      </c>
      <c r="E936" s="32" t="s">
        <v>5890</v>
      </c>
      <c r="F936" s="10">
        <v>1</v>
      </c>
      <c r="G936" s="8" t="s">
        <v>5086</v>
      </c>
      <c r="H936" s="10">
        <v>34.1</v>
      </c>
      <c r="I936" s="10">
        <f t="shared" si="16"/>
        <v>34.1</v>
      </c>
      <c r="J936" s="10">
        <v>0</v>
      </c>
      <c r="K936" s="8" t="s">
        <v>5087</v>
      </c>
      <c r="S936"/>
    </row>
    <row r="937" spans="1:19" ht="15" x14ac:dyDescent="0.25">
      <c r="A937" s="8" t="s">
        <v>4932</v>
      </c>
      <c r="B937" s="8" t="s">
        <v>14</v>
      </c>
      <c r="C937" s="8" t="s">
        <v>5891</v>
      </c>
      <c r="D937" s="32" t="s">
        <v>6984</v>
      </c>
      <c r="E937" s="32" t="s">
        <v>5891</v>
      </c>
      <c r="F937" s="10">
        <v>1</v>
      </c>
      <c r="G937" s="8" t="s">
        <v>5086</v>
      </c>
      <c r="H937" s="10">
        <v>38.6</v>
      </c>
      <c r="I937" s="10">
        <f t="shared" si="16"/>
        <v>38.6</v>
      </c>
      <c r="J937" s="10">
        <v>0</v>
      </c>
      <c r="K937" s="8" t="s">
        <v>5087</v>
      </c>
      <c r="S937"/>
    </row>
    <row r="938" spans="1:19" ht="15" x14ac:dyDescent="0.25">
      <c r="A938" s="8" t="s">
        <v>4932</v>
      </c>
      <c r="B938" s="8" t="s">
        <v>14</v>
      </c>
      <c r="C938" s="8" t="s">
        <v>5892</v>
      </c>
      <c r="D938" s="32" t="s">
        <v>6984</v>
      </c>
      <c r="E938" s="32" t="s">
        <v>5892</v>
      </c>
      <c r="F938" s="10">
        <v>1</v>
      </c>
      <c r="G938" s="8" t="s">
        <v>5086</v>
      </c>
      <c r="H938" s="10">
        <v>28</v>
      </c>
      <c r="I938" s="10">
        <f t="shared" si="16"/>
        <v>28</v>
      </c>
      <c r="J938" s="10">
        <v>0</v>
      </c>
      <c r="K938" s="8" t="s">
        <v>5087</v>
      </c>
      <c r="S938"/>
    </row>
    <row r="939" spans="1:19" ht="15" x14ac:dyDescent="0.25">
      <c r="A939" s="8" t="s">
        <v>4932</v>
      </c>
      <c r="B939" s="8" t="s">
        <v>14</v>
      </c>
      <c r="C939" s="8" t="s">
        <v>5893</v>
      </c>
      <c r="D939" s="32" t="s">
        <v>6984</v>
      </c>
      <c r="E939" s="32" t="s">
        <v>5893</v>
      </c>
      <c r="F939" s="10">
        <v>25</v>
      </c>
      <c r="G939" s="8" t="s">
        <v>5569</v>
      </c>
      <c r="H939" s="10">
        <v>13.1</v>
      </c>
      <c r="I939" s="10">
        <f t="shared" si="16"/>
        <v>327.5</v>
      </c>
      <c r="J939" s="10">
        <v>0</v>
      </c>
      <c r="K939" s="8" t="s">
        <v>5570</v>
      </c>
      <c r="S939"/>
    </row>
    <row r="940" spans="1:19" ht="15" x14ac:dyDescent="0.25">
      <c r="A940" s="8" t="s">
        <v>5073</v>
      </c>
      <c r="B940" s="8" t="s">
        <v>5070</v>
      </c>
      <c r="C940" s="8" t="s">
        <v>5894</v>
      </c>
      <c r="D940" s="32" t="s">
        <v>5895</v>
      </c>
      <c r="E940" s="32" t="s">
        <v>5894</v>
      </c>
      <c r="F940" s="10">
        <v>1</v>
      </c>
      <c r="G940" s="8" t="s">
        <v>5896</v>
      </c>
      <c r="J940" s="10">
        <v>0</v>
      </c>
      <c r="K940" s="8" t="s">
        <v>5896</v>
      </c>
      <c r="L940" s="8" t="s">
        <v>32</v>
      </c>
      <c r="S940"/>
    </row>
    <row r="941" spans="1:19" ht="15" x14ac:dyDescent="0.25">
      <c r="A941" s="8" t="s">
        <v>5073</v>
      </c>
      <c r="B941" s="8" t="s">
        <v>5070</v>
      </c>
      <c r="C941" s="8" t="s">
        <v>5897</v>
      </c>
      <c r="D941" s="32" t="s">
        <v>5895</v>
      </c>
      <c r="E941" s="32" t="s">
        <v>5897</v>
      </c>
      <c r="F941" s="10">
        <v>1</v>
      </c>
      <c r="G941" s="8" t="s">
        <v>5898</v>
      </c>
      <c r="J941" s="10">
        <v>0</v>
      </c>
      <c r="K941" s="8" t="s">
        <v>5898</v>
      </c>
      <c r="L941" s="8" t="s">
        <v>32</v>
      </c>
      <c r="S941"/>
    </row>
    <row r="942" spans="1:19" ht="15" x14ac:dyDescent="0.25">
      <c r="A942" s="8" t="s">
        <v>5073</v>
      </c>
      <c r="B942" s="8" t="s">
        <v>5070</v>
      </c>
      <c r="C942" s="8" t="s">
        <v>5899</v>
      </c>
      <c r="D942" s="32" t="s">
        <v>5146</v>
      </c>
      <c r="E942" s="32" t="s">
        <v>5899</v>
      </c>
      <c r="F942" s="10">
        <v>6</v>
      </c>
      <c r="G942" s="8" t="s">
        <v>5900</v>
      </c>
      <c r="J942" s="10">
        <v>0</v>
      </c>
      <c r="K942" s="8" t="s">
        <v>5900</v>
      </c>
      <c r="L942" s="8" t="s">
        <v>32</v>
      </c>
      <c r="S942"/>
    </row>
    <row r="943" spans="1:19" ht="15" x14ac:dyDescent="0.25">
      <c r="A943" s="8" t="s">
        <v>5073</v>
      </c>
      <c r="B943" s="8" t="s">
        <v>5070</v>
      </c>
      <c r="C943" s="8" t="s">
        <v>5901</v>
      </c>
      <c r="D943" s="32" t="s">
        <v>5895</v>
      </c>
      <c r="E943" s="32" t="s">
        <v>5901</v>
      </c>
      <c r="F943" s="10">
        <v>1</v>
      </c>
      <c r="G943" s="8" t="s">
        <v>5902</v>
      </c>
      <c r="J943" s="10">
        <v>0</v>
      </c>
      <c r="K943" s="8" t="s">
        <v>5902</v>
      </c>
      <c r="L943" s="8" t="s">
        <v>32</v>
      </c>
      <c r="S943"/>
    </row>
    <row r="944" spans="1:19" ht="15" x14ac:dyDescent="0.25">
      <c r="A944" s="8" t="s">
        <v>5073</v>
      </c>
      <c r="B944" s="8" t="s">
        <v>5070</v>
      </c>
      <c r="C944" s="8" t="s">
        <v>5903</v>
      </c>
      <c r="D944" s="32" t="s">
        <v>5146</v>
      </c>
      <c r="E944" s="32" t="s">
        <v>5903</v>
      </c>
      <c r="F944" s="10">
        <v>1</v>
      </c>
      <c r="G944" s="8" t="s">
        <v>5904</v>
      </c>
      <c r="J944" s="10">
        <v>0</v>
      </c>
      <c r="K944" s="8" t="s">
        <v>5904</v>
      </c>
      <c r="L944" s="8" t="s">
        <v>32</v>
      </c>
      <c r="S944"/>
    </row>
    <row r="945" spans="1:19" ht="15" x14ac:dyDescent="0.25">
      <c r="A945" s="8" t="s">
        <v>5073</v>
      </c>
      <c r="B945" s="8" t="s">
        <v>5070</v>
      </c>
      <c r="C945" s="8" t="s">
        <v>5905</v>
      </c>
      <c r="D945" s="32" t="s">
        <v>5146</v>
      </c>
      <c r="E945" s="32" t="s">
        <v>5905</v>
      </c>
      <c r="F945" s="10">
        <v>1</v>
      </c>
      <c r="G945" s="8" t="s">
        <v>5906</v>
      </c>
      <c r="J945" s="10">
        <v>0</v>
      </c>
      <c r="K945" s="8" t="s">
        <v>5906</v>
      </c>
      <c r="L945" s="8" t="s">
        <v>32</v>
      </c>
      <c r="S945"/>
    </row>
    <row r="946" spans="1:19" ht="15" x14ac:dyDescent="0.25">
      <c r="A946" s="8" t="s">
        <v>5073</v>
      </c>
      <c r="B946" s="8" t="s">
        <v>5070</v>
      </c>
      <c r="C946" s="8" t="s">
        <v>5907</v>
      </c>
      <c r="D946" s="32" t="s">
        <v>5895</v>
      </c>
      <c r="E946" s="32" t="s">
        <v>5907</v>
      </c>
      <c r="F946" s="10">
        <v>1</v>
      </c>
      <c r="G946" s="8" t="s">
        <v>5896</v>
      </c>
      <c r="J946" s="10">
        <v>0</v>
      </c>
      <c r="K946" s="8" t="s">
        <v>5896</v>
      </c>
      <c r="L946" s="8" t="s">
        <v>32</v>
      </c>
      <c r="S946"/>
    </row>
    <row r="947" spans="1:19" ht="15" x14ac:dyDescent="0.25">
      <c r="A947" s="8" t="s">
        <v>5073</v>
      </c>
      <c r="B947" s="8" t="s">
        <v>5070</v>
      </c>
      <c r="C947" s="8" t="s">
        <v>5908</v>
      </c>
      <c r="D947" s="32" t="s">
        <v>5895</v>
      </c>
      <c r="E947" s="32" t="s">
        <v>5908</v>
      </c>
      <c r="F947" s="10">
        <v>1</v>
      </c>
      <c r="G947" s="8" t="s">
        <v>5898</v>
      </c>
      <c r="J947" s="10">
        <v>0</v>
      </c>
      <c r="K947" s="8" t="s">
        <v>5898</v>
      </c>
      <c r="L947" s="8" t="s">
        <v>32</v>
      </c>
      <c r="S947"/>
    </row>
    <row r="948" spans="1:19" ht="15" x14ac:dyDescent="0.25">
      <c r="A948" s="8" t="s">
        <v>5073</v>
      </c>
      <c r="B948" s="8" t="s">
        <v>5070</v>
      </c>
      <c r="C948" s="8" t="s">
        <v>5909</v>
      </c>
      <c r="D948" s="32" t="s">
        <v>5146</v>
      </c>
      <c r="E948" s="32" t="s">
        <v>5909</v>
      </c>
      <c r="F948" s="10">
        <v>6</v>
      </c>
      <c r="G948" s="8" t="s">
        <v>5900</v>
      </c>
      <c r="J948" s="10">
        <v>0</v>
      </c>
      <c r="K948" s="8" t="s">
        <v>5900</v>
      </c>
      <c r="L948" s="8" t="s">
        <v>32</v>
      </c>
      <c r="S948"/>
    </row>
    <row r="949" spans="1:19" ht="15" x14ac:dyDescent="0.25">
      <c r="A949" s="8" t="s">
        <v>5073</v>
      </c>
      <c r="B949" s="8" t="s">
        <v>5070</v>
      </c>
      <c r="C949" s="8" t="s">
        <v>5910</v>
      </c>
      <c r="D949" s="32" t="s">
        <v>5895</v>
      </c>
      <c r="E949" s="32" t="s">
        <v>5910</v>
      </c>
      <c r="F949" s="10">
        <v>1</v>
      </c>
      <c r="G949" s="8" t="s">
        <v>5902</v>
      </c>
      <c r="J949" s="10">
        <v>0</v>
      </c>
      <c r="K949" s="8" t="s">
        <v>5902</v>
      </c>
      <c r="L949" s="8" t="s">
        <v>32</v>
      </c>
      <c r="S949"/>
    </row>
    <row r="950" spans="1:19" ht="15" x14ac:dyDescent="0.25">
      <c r="A950" s="8" t="s">
        <v>5073</v>
      </c>
      <c r="B950" s="8" t="s">
        <v>5070</v>
      </c>
      <c r="C950" s="8" t="s">
        <v>5911</v>
      </c>
      <c r="D950" s="32" t="s">
        <v>5146</v>
      </c>
      <c r="E950" s="32" t="s">
        <v>5911</v>
      </c>
      <c r="F950" s="10">
        <v>1</v>
      </c>
      <c r="G950" s="8" t="s">
        <v>5904</v>
      </c>
      <c r="J950" s="10">
        <v>0</v>
      </c>
      <c r="K950" s="8" t="s">
        <v>5904</v>
      </c>
      <c r="L950" s="8" t="s">
        <v>32</v>
      </c>
      <c r="S950"/>
    </row>
    <row r="951" spans="1:19" ht="15" x14ac:dyDescent="0.25">
      <c r="A951" s="8" t="s">
        <v>5073</v>
      </c>
      <c r="B951" s="8" t="s">
        <v>5070</v>
      </c>
      <c r="C951" s="8" t="s">
        <v>5912</v>
      </c>
      <c r="D951" s="32" t="s">
        <v>5146</v>
      </c>
      <c r="E951" s="32" t="s">
        <v>5912</v>
      </c>
      <c r="F951" s="10">
        <v>1</v>
      </c>
      <c r="G951" s="8" t="s">
        <v>5906</v>
      </c>
      <c r="J951" s="10">
        <v>0</v>
      </c>
      <c r="K951" s="8" t="s">
        <v>5906</v>
      </c>
      <c r="L951" s="8" t="s">
        <v>32</v>
      </c>
      <c r="S951"/>
    </row>
    <row r="952" spans="1:19" ht="15" x14ac:dyDescent="0.25">
      <c r="A952" s="8" t="s">
        <v>5069</v>
      </c>
      <c r="B952" s="8" t="s">
        <v>5070</v>
      </c>
      <c r="C952" s="8" t="s">
        <v>5913</v>
      </c>
      <c r="D952" s="32" t="s">
        <v>6984</v>
      </c>
      <c r="E952" s="32" t="s">
        <v>5913</v>
      </c>
      <c r="F952" s="10">
        <v>1</v>
      </c>
      <c r="G952" s="8" t="s">
        <v>4934</v>
      </c>
      <c r="H952" s="10">
        <v>3037.8</v>
      </c>
      <c r="I952" s="10">
        <f t="shared" si="16"/>
        <v>3037.8</v>
      </c>
      <c r="J952" s="10">
        <v>43.650424373299998</v>
      </c>
      <c r="K952" s="8" t="s">
        <v>4965</v>
      </c>
      <c r="S952"/>
    </row>
    <row r="953" spans="1:19" ht="15" x14ac:dyDescent="0.25">
      <c r="A953" s="8" t="s">
        <v>5073</v>
      </c>
      <c r="B953" s="8" t="s">
        <v>5070</v>
      </c>
      <c r="C953" s="8" t="s">
        <v>5914</v>
      </c>
      <c r="D953" s="32" t="s">
        <v>6984</v>
      </c>
      <c r="E953" s="32" t="s">
        <v>5914</v>
      </c>
      <c r="F953" s="10">
        <v>1</v>
      </c>
      <c r="G953" s="8" t="s">
        <v>4934</v>
      </c>
      <c r="H953" s="10">
        <v>3042.3</v>
      </c>
      <c r="I953" s="10">
        <f t="shared" si="16"/>
        <v>3042.3</v>
      </c>
      <c r="J953" s="10">
        <v>41.655657508730002</v>
      </c>
      <c r="K953" s="8" t="s">
        <v>4965</v>
      </c>
      <c r="S953"/>
    </row>
    <row r="954" spans="1:19" ht="15" x14ac:dyDescent="0.25">
      <c r="A954" s="8" t="s">
        <v>5073</v>
      </c>
      <c r="B954" s="8" t="s">
        <v>5070</v>
      </c>
      <c r="C954" s="8" t="s">
        <v>5915</v>
      </c>
      <c r="D954" s="32" t="s">
        <v>6984</v>
      </c>
      <c r="E954" s="32" t="s">
        <v>5915</v>
      </c>
      <c r="F954" s="10">
        <v>1</v>
      </c>
      <c r="G954" s="8" t="s">
        <v>4934</v>
      </c>
      <c r="H954" s="10">
        <v>87.5</v>
      </c>
      <c r="I954" s="10">
        <f t="shared" si="16"/>
        <v>87.5</v>
      </c>
      <c r="J954" s="10">
        <v>3.2803057968</v>
      </c>
      <c r="K954" s="8" t="s">
        <v>5049</v>
      </c>
      <c r="S954"/>
    </row>
    <row r="955" spans="1:19" ht="15" x14ac:dyDescent="0.25">
      <c r="A955" s="8" t="s">
        <v>5073</v>
      </c>
      <c r="B955" s="8" t="s">
        <v>5070</v>
      </c>
      <c r="C955" s="8" t="s">
        <v>5916</v>
      </c>
      <c r="D955" s="32" t="s">
        <v>6984</v>
      </c>
      <c r="E955" s="32" t="s">
        <v>5916</v>
      </c>
      <c r="F955" s="10">
        <v>1</v>
      </c>
      <c r="G955" s="8" t="s">
        <v>4934</v>
      </c>
      <c r="H955" s="10">
        <v>89.8</v>
      </c>
      <c r="I955" s="10">
        <f t="shared" si="16"/>
        <v>89.8</v>
      </c>
      <c r="J955" s="10">
        <v>3.3570802025600002</v>
      </c>
      <c r="K955" s="8" t="s">
        <v>5049</v>
      </c>
      <c r="S955"/>
    </row>
    <row r="956" spans="1:19" ht="15" x14ac:dyDescent="0.25">
      <c r="A956" s="8" t="s">
        <v>5073</v>
      </c>
      <c r="B956" s="8" t="s">
        <v>5070</v>
      </c>
      <c r="C956" s="8" t="s">
        <v>5917</v>
      </c>
      <c r="D956" s="32" t="s">
        <v>6984</v>
      </c>
      <c r="E956" s="32" t="s">
        <v>5917</v>
      </c>
      <c r="F956" s="10">
        <v>1</v>
      </c>
      <c r="G956" s="8" t="s">
        <v>4934</v>
      </c>
      <c r="H956" s="10">
        <v>89.8</v>
      </c>
      <c r="I956" s="10">
        <f t="shared" si="16"/>
        <v>89.8</v>
      </c>
      <c r="J956" s="10">
        <v>3.3570802025600002</v>
      </c>
      <c r="K956" s="8" t="s">
        <v>5049</v>
      </c>
      <c r="S956"/>
    </row>
    <row r="957" spans="1:19" ht="15" x14ac:dyDescent="0.25">
      <c r="A957" s="8" t="s">
        <v>5073</v>
      </c>
      <c r="B957" s="8" t="s">
        <v>5070</v>
      </c>
      <c r="C957" s="8" t="s">
        <v>5918</v>
      </c>
      <c r="D957" s="32" t="s">
        <v>6984</v>
      </c>
      <c r="E957" s="32" t="s">
        <v>5918</v>
      </c>
      <c r="F957" s="10">
        <v>1</v>
      </c>
      <c r="G957" s="8" t="s">
        <v>4934</v>
      </c>
      <c r="H957" s="10">
        <v>87.5</v>
      </c>
      <c r="I957" s="10">
        <f t="shared" si="16"/>
        <v>87.5</v>
      </c>
      <c r="J957" s="10">
        <v>3.2803057968</v>
      </c>
      <c r="K957" s="8" t="s">
        <v>5049</v>
      </c>
      <c r="S957"/>
    </row>
    <row r="958" spans="1:19" ht="15" x14ac:dyDescent="0.25">
      <c r="A958" s="8" t="s">
        <v>5069</v>
      </c>
      <c r="B958" s="8" t="s">
        <v>5070</v>
      </c>
      <c r="C958" s="8" t="s">
        <v>5919</v>
      </c>
      <c r="D958" s="32" t="s">
        <v>6984</v>
      </c>
      <c r="E958" s="32" t="s">
        <v>5919</v>
      </c>
      <c r="F958" s="10">
        <v>1</v>
      </c>
      <c r="G958" s="8" t="s">
        <v>4934</v>
      </c>
      <c r="H958" s="10">
        <v>89.8</v>
      </c>
      <c r="I958" s="10">
        <f t="shared" si="16"/>
        <v>89.8</v>
      </c>
      <c r="J958" s="10">
        <v>3.3792179296399998</v>
      </c>
      <c r="K958" s="8" t="s">
        <v>5049</v>
      </c>
      <c r="S958"/>
    </row>
    <row r="959" spans="1:19" ht="15" x14ac:dyDescent="0.25">
      <c r="A959" s="8" t="s">
        <v>5069</v>
      </c>
      <c r="B959" s="8" t="s">
        <v>5070</v>
      </c>
      <c r="C959" s="8" t="s">
        <v>5920</v>
      </c>
      <c r="D959" s="32" t="s">
        <v>6984</v>
      </c>
      <c r="E959" s="32" t="s">
        <v>5920</v>
      </c>
      <c r="F959" s="10">
        <v>1</v>
      </c>
      <c r="G959" s="8" t="s">
        <v>4934</v>
      </c>
      <c r="H959" s="10">
        <v>89.9</v>
      </c>
      <c r="I959" s="10">
        <f t="shared" si="16"/>
        <v>89.9</v>
      </c>
      <c r="J959" s="10">
        <v>3.35875113648</v>
      </c>
      <c r="K959" s="8" t="s">
        <v>5049</v>
      </c>
      <c r="S959"/>
    </row>
    <row r="960" spans="1:19" ht="15" x14ac:dyDescent="0.25">
      <c r="A960" s="8" t="s">
        <v>5069</v>
      </c>
      <c r="B960" s="8" t="s">
        <v>5070</v>
      </c>
      <c r="C960" s="8" t="s">
        <v>5921</v>
      </c>
      <c r="D960" s="32" t="s">
        <v>6984</v>
      </c>
      <c r="E960" s="32" t="s">
        <v>5921</v>
      </c>
      <c r="F960" s="10">
        <v>1</v>
      </c>
      <c r="G960" s="8" t="s">
        <v>4934</v>
      </c>
      <c r="H960" s="10">
        <v>87.4</v>
      </c>
      <c r="I960" s="10">
        <f t="shared" si="16"/>
        <v>87.4</v>
      </c>
      <c r="J960" s="10">
        <v>3.3024435238800001</v>
      </c>
      <c r="K960" s="8" t="s">
        <v>5049</v>
      </c>
      <c r="S960"/>
    </row>
    <row r="961" spans="1:19" ht="15" x14ac:dyDescent="0.25">
      <c r="A961" s="8" t="s">
        <v>5069</v>
      </c>
      <c r="B961" s="8" t="s">
        <v>5070</v>
      </c>
      <c r="C961" s="8" t="s">
        <v>5922</v>
      </c>
      <c r="D961" s="32" t="s">
        <v>6984</v>
      </c>
      <c r="E961" s="32" t="s">
        <v>5922</v>
      </c>
      <c r="F961" s="10">
        <v>1</v>
      </c>
      <c r="G961" s="8" t="s">
        <v>4934</v>
      </c>
      <c r="H961" s="10">
        <v>87.5</v>
      </c>
      <c r="I961" s="10">
        <f t="shared" si="16"/>
        <v>87.5</v>
      </c>
      <c r="J961" s="10">
        <v>3.2819767307199998</v>
      </c>
      <c r="K961" s="8" t="s">
        <v>5049</v>
      </c>
      <c r="S961"/>
    </row>
    <row r="962" spans="1:19" ht="15" x14ac:dyDescent="0.25">
      <c r="A962" s="8" t="s">
        <v>5073</v>
      </c>
      <c r="B962" s="8" t="s">
        <v>5070</v>
      </c>
      <c r="C962" s="8" t="s">
        <v>5923</v>
      </c>
      <c r="D962" s="32" t="s">
        <v>6984</v>
      </c>
      <c r="E962" s="32" t="s">
        <v>5923</v>
      </c>
      <c r="F962" s="10">
        <v>3</v>
      </c>
      <c r="G962" s="8" t="s">
        <v>4934</v>
      </c>
      <c r="H962" s="10">
        <v>61.933333333333337</v>
      </c>
      <c r="I962" s="10">
        <f t="shared" si="16"/>
        <v>185.8</v>
      </c>
      <c r="J962" s="10">
        <v>7.0725945599999998</v>
      </c>
      <c r="K962" s="8" t="s">
        <v>5049</v>
      </c>
      <c r="S962"/>
    </row>
    <row r="963" spans="1:19" ht="15" x14ac:dyDescent="0.25">
      <c r="A963" s="8" t="s">
        <v>5073</v>
      </c>
      <c r="B963" s="8" t="s">
        <v>5070</v>
      </c>
      <c r="C963" s="8" t="s">
        <v>5924</v>
      </c>
      <c r="D963" s="32" t="s">
        <v>6984</v>
      </c>
      <c r="E963" s="32" t="s">
        <v>5924</v>
      </c>
      <c r="F963" s="10">
        <v>3</v>
      </c>
      <c r="G963" s="8" t="s">
        <v>4934</v>
      </c>
      <c r="H963" s="10">
        <v>74.166666666666671</v>
      </c>
      <c r="I963" s="10">
        <f t="shared" si="16"/>
        <v>222.5</v>
      </c>
      <c r="J963" s="10">
        <v>8.4562492799999998</v>
      </c>
      <c r="K963" s="8" t="s">
        <v>5049</v>
      </c>
      <c r="S963"/>
    </row>
    <row r="964" spans="1:19" ht="15" x14ac:dyDescent="0.25">
      <c r="A964" s="8" t="s">
        <v>5073</v>
      </c>
      <c r="B964" s="8" t="s">
        <v>5070</v>
      </c>
      <c r="C964" s="8" t="s">
        <v>5925</v>
      </c>
      <c r="D964" s="32" t="s">
        <v>6984</v>
      </c>
      <c r="E964" s="32" t="s">
        <v>5925</v>
      </c>
      <c r="F964" s="10">
        <v>1</v>
      </c>
      <c r="G964" s="8" t="s">
        <v>4934</v>
      </c>
      <c r="H964" s="10">
        <v>78.599999999999994</v>
      </c>
      <c r="I964" s="10">
        <f t="shared" si="16"/>
        <v>78.599999999999994</v>
      </c>
      <c r="J964" s="10">
        <v>2.9855053267199998</v>
      </c>
      <c r="K964" s="8" t="s">
        <v>5049</v>
      </c>
      <c r="S964"/>
    </row>
    <row r="965" spans="1:19" ht="15" x14ac:dyDescent="0.25">
      <c r="A965" s="8" t="s">
        <v>5073</v>
      </c>
      <c r="B965" s="8" t="s">
        <v>5070</v>
      </c>
      <c r="C965" s="8" t="s">
        <v>5926</v>
      </c>
      <c r="D965" s="32" t="s">
        <v>6984</v>
      </c>
      <c r="E965" s="32" t="s">
        <v>5926</v>
      </c>
      <c r="F965" s="10">
        <v>1</v>
      </c>
      <c r="G965" s="8" t="s">
        <v>4934</v>
      </c>
      <c r="H965" s="10">
        <v>75.400000000000006</v>
      </c>
      <c r="I965" s="10">
        <f t="shared" ref="I965:I1028" si="17">F965*H965</f>
        <v>75.400000000000006</v>
      </c>
      <c r="J965" s="10">
        <v>0.11217152</v>
      </c>
      <c r="K965" s="8" t="s">
        <v>5049</v>
      </c>
      <c r="S965"/>
    </row>
    <row r="966" spans="1:19" ht="15" x14ac:dyDescent="0.25">
      <c r="A966" s="8" t="s">
        <v>5073</v>
      </c>
      <c r="B966" s="8" t="s">
        <v>5070</v>
      </c>
      <c r="C966" s="8" t="s">
        <v>5927</v>
      </c>
      <c r="D966" s="32" t="s">
        <v>6984</v>
      </c>
      <c r="E966" s="32" t="s">
        <v>5927</v>
      </c>
      <c r="F966" s="10">
        <v>1</v>
      </c>
      <c r="G966" s="8" t="s">
        <v>4934</v>
      </c>
      <c r="H966" s="10">
        <v>73.2</v>
      </c>
      <c r="I966" s="10">
        <f t="shared" si="17"/>
        <v>73.2</v>
      </c>
      <c r="J966" s="10">
        <v>0.11217152</v>
      </c>
      <c r="K966" s="8" t="s">
        <v>5049</v>
      </c>
      <c r="S966"/>
    </row>
    <row r="967" spans="1:19" ht="15" x14ac:dyDescent="0.25">
      <c r="A967" s="8" t="s">
        <v>5073</v>
      </c>
      <c r="B967" s="8" t="s">
        <v>5070</v>
      </c>
      <c r="C967" s="8" t="s">
        <v>5928</v>
      </c>
      <c r="D967" s="32" t="s">
        <v>6984</v>
      </c>
      <c r="E967" s="32" t="s">
        <v>5928</v>
      </c>
      <c r="F967" s="10">
        <v>4</v>
      </c>
      <c r="G967" s="8" t="s">
        <v>4934</v>
      </c>
      <c r="H967" s="10">
        <v>72.025000000000006</v>
      </c>
      <c r="I967" s="10">
        <f t="shared" si="17"/>
        <v>288.10000000000002</v>
      </c>
      <c r="J967" s="10">
        <v>11.000110080000001</v>
      </c>
      <c r="K967" s="8" t="s">
        <v>5049</v>
      </c>
      <c r="S967"/>
    </row>
    <row r="968" spans="1:19" ht="15" x14ac:dyDescent="0.25">
      <c r="A968" s="8" t="s">
        <v>5069</v>
      </c>
      <c r="B968" s="8" t="s">
        <v>5070</v>
      </c>
      <c r="C968" s="8" t="s">
        <v>5929</v>
      </c>
      <c r="D968" s="32" t="s">
        <v>6984</v>
      </c>
      <c r="E968" s="32" t="s">
        <v>5929</v>
      </c>
      <c r="F968" s="10">
        <v>1</v>
      </c>
      <c r="G968" s="8" t="s">
        <v>4934</v>
      </c>
      <c r="H968" s="10">
        <v>64.599999999999994</v>
      </c>
      <c r="I968" s="10">
        <f t="shared" si="17"/>
        <v>64.599999999999994</v>
      </c>
      <c r="J968" s="10">
        <v>2.4420410995199999</v>
      </c>
      <c r="K968" s="8" t="s">
        <v>5049</v>
      </c>
      <c r="S968"/>
    </row>
    <row r="969" spans="1:19" ht="15" x14ac:dyDescent="0.25">
      <c r="A969" s="8" t="s">
        <v>5069</v>
      </c>
      <c r="B969" s="8" t="s">
        <v>5070</v>
      </c>
      <c r="C969" s="8" t="s">
        <v>5930</v>
      </c>
      <c r="D969" s="32" t="s">
        <v>6984</v>
      </c>
      <c r="E969" s="32" t="s">
        <v>5930</v>
      </c>
      <c r="F969" s="10">
        <v>1</v>
      </c>
      <c r="G969" s="8" t="s">
        <v>4934</v>
      </c>
      <c r="H969" s="10">
        <v>74.2</v>
      </c>
      <c r="I969" s="10">
        <f t="shared" si="17"/>
        <v>74.2</v>
      </c>
      <c r="J969" s="10">
        <v>2.8187497600000002</v>
      </c>
      <c r="K969" s="8" t="s">
        <v>5049</v>
      </c>
      <c r="S969"/>
    </row>
    <row r="970" spans="1:19" ht="15" x14ac:dyDescent="0.25">
      <c r="A970" s="8" t="s">
        <v>5069</v>
      </c>
      <c r="B970" s="8" t="s">
        <v>5070</v>
      </c>
      <c r="C970" s="8" t="s">
        <v>5931</v>
      </c>
      <c r="D970" s="32" t="s">
        <v>6984</v>
      </c>
      <c r="E970" s="32" t="s">
        <v>5931</v>
      </c>
      <c r="F970" s="10">
        <v>1</v>
      </c>
      <c r="G970" s="8" t="s">
        <v>4934</v>
      </c>
      <c r="H970" s="10">
        <v>76.5</v>
      </c>
      <c r="I970" s="10">
        <f t="shared" si="17"/>
        <v>76.5</v>
      </c>
      <c r="J970" s="10">
        <v>2.9046096156800001</v>
      </c>
      <c r="K970" s="8" t="s">
        <v>5049</v>
      </c>
      <c r="S970"/>
    </row>
    <row r="971" spans="1:19" ht="15" x14ac:dyDescent="0.25">
      <c r="A971" s="8" t="s">
        <v>5073</v>
      </c>
      <c r="B971" s="8" t="s">
        <v>5070</v>
      </c>
      <c r="C971" s="8" t="s">
        <v>5932</v>
      </c>
      <c r="D971" s="32" t="s">
        <v>6984</v>
      </c>
      <c r="E971" s="32" t="s">
        <v>5932</v>
      </c>
      <c r="F971" s="10">
        <v>2</v>
      </c>
      <c r="G971" s="8" t="s">
        <v>22</v>
      </c>
      <c r="H971" s="10">
        <v>2.2999999999999998</v>
      </c>
      <c r="I971" s="10">
        <f t="shared" si="17"/>
        <v>4.5999999999999996</v>
      </c>
      <c r="J971" s="10">
        <v>0.14971369600000001</v>
      </c>
      <c r="K971" s="8" t="s">
        <v>23</v>
      </c>
      <c r="S971"/>
    </row>
    <row r="972" spans="1:19" ht="15" x14ac:dyDescent="0.25">
      <c r="A972" s="8" t="s">
        <v>5073</v>
      </c>
      <c r="B972" s="8" t="s">
        <v>5070</v>
      </c>
      <c r="C972" s="8" t="s">
        <v>5933</v>
      </c>
      <c r="D972" s="32" t="s">
        <v>6984</v>
      </c>
      <c r="E972" s="32" t="s">
        <v>5933</v>
      </c>
      <c r="F972" s="10">
        <v>92</v>
      </c>
      <c r="G972" s="8" t="s">
        <v>22</v>
      </c>
      <c r="H972" s="10">
        <v>2.0076086956521739</v>
      </c>
      <c r="I972" s="10">
        <f t="shared" si="17"/>
        <v>184.7</v>
      </c>
      <c r="J972" s="10">
        <v>7.5637800000000004</v>
      </c>
      <c r="K972" s="8" t="s">
        <v>4798</v>
      </c>
      <c r="S972"/>
    </row>
    <row r="973" spans="1:19" ht="15" x14ac:dyDescent="0.25">
      <c r="A973" s="8" t="s">
        <v>5073</v>
      </c>
      <c r="B973" s="8" t="s">
        <v>5070</v>
      </c>
      <c r="C973" s="8" t="s">
        <v>5934</v>
      </c>
      <c r="D973" s="32" t="s">
        <v>6984</v>
      </c>
      <c r="E973" s="32" t="s">
        <v>5934</v>
      </c>
      <c r="F973" s="10">
        <v>236</v>
      </c>
      <c r="G973" s="8" t="s">
        <v>22</v>
      </c>
      <c r="H973" s="10">
        <v>1.4834745762711865</v>
      </c>
      <c r="I973" s="10">
        <f t="shared" si="17"/>
        <v>350.1</v>
      </c>
      <c r="J973" s="10">
        <v>14.337</v>
      </c>
      <c r="K973" s="8" t="s">
        <v>4798</v>
      </c>
      <c r="S973"/>
    </row>
    <row r="974" spans="1:19" ht="15" x14ac:dyDescent="0.25">
      <c r="A974" s="8" t="s">
        <v>5073</v>
      </c>
      <c r="B974" s="8" t="s">
        <v>5070</v>
      </c>
      <c r="C974" s="8" t="s">
        <v>5935</v>
      </c>
      <c r="D974" s="32" t="s">
        <v>6984</v>
      </c>
      <c r="E974" s="32" t="s">
        <v>5935</v>
      </c>
      <c r="F974" s="10">
        <v>11</v>
      </c>
      <c r="G974" s="8" t="s">
        <v>22</v>
      </c>
      <c r="H974" s="10">
        <v>35.800000000000004</v>
      </c>
      <c r="I974" s="10">
        <f t="shared" si="17"/>
        <v>393.80000000000007</v>
      </c>
      <c r="J974" s="10">
        <v>6.4706400000000004</v>
      </c>
      <c r="K974" s="8" t="s">
        <v>5488</v>
      </c>
      <c r="S974"/>
    </row>
    <row r="975" spans="1:19" ht="15" x14ac:dyDescent="0.25">
      <c r="A975" s="8" t="s">
        <v>5073</v>
      </c>
      <c r="B975" s="8" t="s">
        <v>5070</v>
      </c>
      <c r="C975" s="8" t="s">
        <v>5936</v>
      </c>
      <c r="D975" s="32" t="s">
        <v>6984</v>
      </c>
      <c r="E975" s="32" t="s">
        <v>5936</v>
      </c>
      <c r="F975" s="10">
        <v>22</v>
      </c>
      <c r="G975" s="8" t="s">
        <v>22</v>
      </c>
      <c r="H975" s="10">
        <v>15.036363636363637</v>
      </c>
      <c r="I975" s="10">
        <f t="shared" si="17"/>
        <v>330.8</v>
      </c>
      <c r="J975" s="10">
        <v>5.4353376000000004</v>
      </c>
      <c r="K975" s="8" t="s">
        <v>5488</v>
      </c>
      <c r="S975"/>
    </row>
    <row r="976" spans="1:19" ht="15" x14ac:dyDescent="0.25">
      <c r="A976" s="8" t="s">
        <v>5073</v>
      </c>
      <c r="B976" s="8" t="s">
        <v>5070</v>
      </c>
      <c r="C976" s="8" t="s">
        <v>5937</v>
      </c>
      <c r="D976" s="32" t="s">
        <v>6984</v>
      </c>
      <c r="E976" s="32" t="s">
        <v>5937</v>
      </c>
      <c r="F976" s="10">
        <v>6</v>
      </c>
      <c r="G976" s="8" t="s">
        <v>22</v>
      </c>
      <c r="H976" s="10">
        <v>15.033333333333333</v>
      </c>
      <c r="I976" s="10">
        <f t="shared" si="17"/>
        <v>90.2</v>
      </c>
      <c r="J976" s="10">
        <v>1.4823648</v>
      </c>
      <c r="K976" s="8" t="s">
        <v>5488</v>
      </c>
      <c r="S976"/>
    </row>
    <row r="977" spans="1:19" ht="15" x14ac:dyDescent="0.25">
      <c r="A977" s="8" t="s">
        <v>5073</v>
      </c>
      <c r="B977" s="8" t="s">
        <v>5070</v>
      </c>
      <c r="C977" s="8" t="s">
        <v>5938</v>
      </c>
      <c r="D977" s="32" t="s">
        <v>6984</v>
      </c>
      <c r="E977" s="32" t="s">
        <v>5938</v>
      </c>
      <c r="F977" s="10">
        <v>3</v>
      </c>
      <c r="G977" s="8" t="s">
        <v>22</v>
      </c>
      <c r="H977" s="10">
        <v>35.800000000000004</v>
      </c>
      <c r="I977" s="10">
        <f t="shared" si="17"/>
        <v>107.4</v>
      </c>
      <c r="J977" s="10">
        <v>1.7647200000000001</v>
      </c>
      <c r="K977" s="8" t="s">
        <v>5488</v>
      </c>
      <c r="S977"/>
    </row>
    <row r="978" spans="1:19" ht="15" x14ac:dyDescent="0.25">
      <c r="A978" s="8" t="s">
        <v>5073</v>
      </c>
      <c r="B978" s="8" t="s">
        <v>5070</v>
      </c>
      <c r="C978" s="8" t="s">
        <v>5939</v>
      </c>
      <c r="D978" s="32" t="s">
        <v>6984</v>
      </c>
      <c r="E978" s="32" t="s">
        <v>5939</v>
      </c>
      <c r="F978" s="10">
        <v>14</v>
      </c>
      <c r="G978" s="8" t="s">
        <v>22</v>
      </c>
      <c r="H978" s="10">
        <v>17.957142857142859</v>
      </c>
      <c r="I978" s="10">
        <f t="shared" si="17"/>
        <v>251.40000000000003</v>
      </c>
      <c r="J978" s="10">
        <v>6.8705056000000004</v>
      </c>
      <c r="K978" s="8" t="s">
        <v>25</v>
      </c>
      <c r="S978"/>
    </row>
    <row r="979" spans="1:19" ht="15" x14ac:dyDescent="0.25">
      <c r="A979" s="8" t="s">
        <v>5073</v>
      </c>
      <c r="B979" s="8" t="s">
        <v>5070</v>
      </c>
      <c r="C979" s="8" t="s">
        <v>5940</v>
      </c>
      <c r="D979" s="32" t="s">
        <v>6984</v>
      </c>
      <c r="E979" s="32" t="s">
        <v>5940</v>
      </c>
      <c r="F979" s="10">
        <v>36</v>
      </c>
      <c r="G979" s="8" t="s">
        <v>22</v>
      </c>
      <c r="H979" s="10">
        <v>4.1166666666666663</v>
      </c>
      <c r="I979" s="10">
        <f t="shared" si="17"/>
        <v>148.19999999999999</v>
      </c>
      <c r="J979" s="10">
        <v>4.7943820800000001</v>
      </c>
      <c r="K979" s="8" t="s">
        <v>23</v>
      </c>
      <c r="S979"/>
    </row>
    <row r="980" spans="1:19" ht="15" x14ac:dyDescent="0.25">
      <c r="A980" s="8" t="s">
        <v>5073</v>
      </c>
      <c r="B980" s="8" t="s">
        <v>5070</v>
      </c>
      <c r="C980" s="8" t="s">
        <v>5941</v>
      </c>
      <c r="D980" s="32" t="s">
        <v>6984</v>
      </c>
      <c r="E980" s="32" t="s">
        <v>5941</v>
      </c>
      <c r="F980" s="10">
        <v>62</v>
      </c>
      <c r="G980" s="8" t="s">
        <v>22</v>
      </c>
      <c r="H980" s="10">
        <v>1.8209677419354839</v>
      </c>
      <c r="I980" s="10">
        <f t="shared" si="17"/>
        <v>112.9</v>
      </c>
      <c r="J980" s="10">
        <v>3.6535359999999999</v>
      </c>
      <c r="K980" s="8" t="s">
        <v>23</v>
      </c>
      <c r="S980"/>
    </row>
    <row r="981" spans="1:19" ht="15" x14ac:dyDescent="0.25">
      <c r="A981" s="8" t="s">
        <v>5073</v>
      </c>
      <c r="B981" s="8" t="s">
        <v>5070</v>
      </c>
      <c r="C981" s="8" t="s">
        <v>5942</v>
      </c>
      <c r="D981" s="32" t="s">
        <v>6984</v>
      </c>
      <c r="E981" s="32" t="s">
        <v>5942</v>
      </c>
      <c r="F981" s="10">
        <v>27</v>
      </c>
      <c r="G981" s="8" t="s">
        <v>22</v>
      </c>
      <c r="H981" s="10">
        <v>4.662962962962963</v>
      </c>
      <c r="I981" s="10">
        <f t="shared" si="17"/>
        <v>125.9</v>
      </c>
      <c r="J981" s="10">
        <v>4.0731033600000002</v>
      </c>
      <c r="K981" s="8" t="s">
        <v>23</v>
      </c>
      <c r="S981"/>
    </row>
    <row r="982" spans="1:19" ht="15" x14ac:dyDescent="0.25">
      <c r="A982" s="8" t="s">
        <v>5073</v>
      </c>
      <c r="B982" s="8" t="s">
        <v>5070</v>
      </c>
      <c r="C982" s="8" t="s">
        <v>5943</v>
      </c>
      <c r="D982" s="32" t="s">
        <v>6984</v>
      </c>
      <c r="E982" s="32" t="s">
        <v>5943</v>
      </c>
      <c r="F982" s="10">
        <v>32</v>
      </c>
      <c r="G982" s="8" t="s">
        <v>22</v>
      </c>
      <c r="H982" s="10">
        <v>21.293749999999999</v>
      </c>
      <c r="I982" s="10">
        <f t="shared" si="17"/>
        <v>681.4</v>
      </c>
      <c r="J982" s="10">
        <v>14.242144</v>
      </c>
      <c r="K982" s="8" t="s">
        <v>4795</v>
      </c>
      <c r="S982"/>
    </row>
    <row r="983" spans="1:19" ht="15" x14ac:dyDescent="0.25">
      <c r="A983" s="8" t="s">
        <v>5073</v>
      </c>
      <c r="B983" s="8" t="s">
        <v>5070</v>
      </c>
      <c r="C983" s="8" t="s">
        <v>5944</v>
      </c>
      <c r="D983" s="32" t="s">
        <v>6984</v>
      </c>
      <c r="E983" s="32" t="s">
        <v>5944</v>
      </c>
      <c r="F983" s="10">
        <v>4</v>
      </c>
      <c r="G983" s="8" t="s">
        <v>22</v>
      </c>
      <c r="H983" s="10">
        <v>11.525</v>
      </c>
      <c r="I983" s="10">
        <f t="shared" si="17"/>
        <v>46.1</v>
      </c>
      <c r="J983" s="10">
        <v>1.4906752000000001</v>
      </c>
      <c r="K983" s="8" t="s">
        <v>23</v>
      </c>
      <c r="S983"/>
    </row>
    <row r="984" spans="1:19" ht="15" x14ac:dyDescent="0.25">
      <c r="A984" s="8" t="s">
        <v>5073</v>
      </c>
      <c r="B984" s="8" t="s">
        <v>5070</v>
      </c>
      <c r="C984" s="8" t="s">
        <v>5945</v>
      </c>
      <c r="D984" s="32" t="s">
        <v>6984</v>
      </c>
      <c r="E984" s="32" t="s">
        <v>5945</v>
      </c>
      <c r="F984" s="10">
        <v>220</v>
      </c>
      <c r="G984" s="8" t="s">
        <v>22</v>
      </c>
      <c r="H984" s="10">
        <v>1.0013636363636365</v>
      </c>
      <c r="I984" s="10">
        <f t="shared" si="17"/>
        <v>220.3</v>
      </c>
      <c r="J984" s="10">
        <v>9.0213750000000008</v>
      </c>
      <c r="K984" s="8" t="s">
        <v>4798</v>
      </c>
      <c r="S984"/>
    </row>
    <row r="985" spans="1:19" ht="15" x14ac:dyDescent="0.25">
      <c r="A985" s="8" t="s">
        <v>5069</v>
      </c>
      <c r="B985" s="8" t="s">
        <v>5070</v>
      </c>
      <c r="C985" s="8" t="s">
        <v>5946</v>
      </c>
      <c r="D985" s="32" t="s">
        <v>6984</v>
      </c>
      <c r="E985" s="32" t="s">
        <v>5946</v>
      </c>
      <c r="F985" s="10">
        <v>8</v>
      </c>
      <c r="G985" s="8" t="s">
        <v>22</v>
      </c>
      <c r="H985" s="10">
        <v>21.5625</v>
      </c>
      <c r="I985" s="10">
        <f t="shared" si="17"/>
        <v>172.5</v>
      </c>
      <c r="J985" s="10">
        <v>3.6064783999999999</v>
      </c>
      <c r="K985" s="8" t="s">
        <v>4795</v>
      </c>
      <c r="S985"/>
    </row>
    <row r="986" spans="1:19" ht="15" x14ac:dyDescent="0.25">
      <c r="A986" s="8" t="s">
        <v>5073</v>
      </c>
      <c r="B986" s="8" t="s">
        <v>5070</v>
      </c>
      <c r="C986" s="8" t="s">
        <v>5947</v>
      </c>
      <c r="D986" s="32" t="s">
        <v>6984</v>
      </c>
      <c r="E986" s="32" t="s">
        <v>5947</v>
      </c>
      <c r="F986" s="10">
        <v>28</v>
      </c>
      <c r="G986" s="8" t="s">
        <v>22</v>
      </c>
      <c r="H986" s="10">
        <v>11.407142857142857</v>
      </c>
      <c r="I986" s="10">
        <f t="shared" si="17"/>
        <v>319.39999999999998</v>
      </c>
      <c r="J986" s="10">
        <v>6.676005</v>
      </c>
      <c r="K986" s="8" t="s">
        <v>4795</v>
      </c>
      <c r="S986"/>
    </row>
    <row r="987" spans="1:19" ht="15" x14ac:dyDescent="0.25">
      <c r="A987" s="8" t="s">
        <v>5073</v>
      </c>
      <c r="B987" s="8" t="s">
        <v>5070</v>
      </c>
      <c r="C987" s="8" t="s">
        <v>5948</v>
      </c>
      <c r="D987" s="32" t="s">
        <v>6984</v>
      </c>
      <c r="E987" s="32" t="s">
        <v>5948</v>
      </c>
      <c r="F987" s="10">
        <v>68</v>
      </c>
      <c r="G987" s="8" t="s">
        <v>22</v>
      </c>
      <c r="H987" s="10">
        <v>11.554411764705883</v>
      </c>
      <c r="I987" s="10">
        <f t="shared" si="17"/>
        <v>785.7</v>
      </c>
      <c r="J987" s="10">
        <v>16.422357000000002</v>
      </c>
      <c r="K987" s="8" t="s">
        <v>4795</v>
      </c>
      <c r="S987"/>
    </row>
    <row r="988" spans="1:19" ht="15" x14ac:dyDescent="0.25">
      <c r="A988" s="8" t="s">
        <v>5073</v>
      </c>
      <c r="B988" s="8" t="s">
        <v>5070</v>
      </c>
      <c r="C988" s="8" t="s">
        <v>5949</v>
      </c>
      <c r="D988" s="32" t="s">
        <v>6984</v>
      </c>
      <c r="E988" s="32" t="s">
        <v>5949</v>
      </c>
      <c r="F988" s="10">
        <v>4</v>
      </c>
      <c r="G988" s="8" t="s">
        <v>22</v>
      </c>
      <c r="H988" s="10">
        <v>19.25</v>
      </c>
      <c r="I988" s="10">
        <f t="shared" si="17"/>
        <v>77</v>
      </c>
      <c r="J988" s="10">
        <v>1.0712159999999999</v>
      </c>
      <c r="K988" s="8" t="s">
        <v>5013</v>
      </c>
      <c r="S988"/>
    </row>
    <row r="989" spans="1:19" ht="15" x14ac:dyDescent="0.25">
      <c r="A989" s="8" t="s">
        <v>5073</v>
      </c>
      <c r="B989" s="8" t="s">
        <v>5070</v>
      </c>
      <c r="C989" s="8" t="s">
        <v>5950</v>
      </c>
      <c r="D989" s="32" t="s">
        <v>6984</v>
      </c>
      <c r="E989" s="32" t="s">
        <v>5950</v>
      </c>
      <c r="F989" s="10">
        <v>8</v>
      </c>
      <c r="G989" s="8" t="s">
        <v>22</v>
      </c>
      <c r="H989" s="10">
        <v>8.6624999999999996</v>
      </c>
      <c r="I989" s="10">
        <f t="shared" si="17"/>
        <v>69.3</v>
      </c>
      <c r="J989" s="10">
        <v>0.96409440000000002</v>
      </c>
      <c r="K989" s="8" t="s">
        <v>5013</v>
      </c>
      <c r="S989"/>
    </row>
    <row r="990" spans="1:19" ht="15" x14ac:dyDescent="0.25">
      <c r="A990" s="8" t="s">
        <v>5073</v>
      </c>
      <c r="B990" s="8" t="s">
        <v>5070</v>
      </c>
      <c r="C990" s="8" t="s">
        <v>5951</v>
      </c>
      <c r="D990" s="32" t="s">
        <v>6984</v>
      </c>
      <c r="E990" s="32" t="s">
        <v>5951</v>
      </c>
      <c r="F990" s="10">
        <v>4</v>
      </c>
      <c r="G990" s="8" t="s">
        <v>22</v>
      </c>
      <c r="H990" s="10">
        <v>12.525</v>
      </c>
      <c r="I990" s="10">
        <f t="shared" si="17"/>
        <v>50.1</v>
      </c>
      <c r="J990" s="10">
        <v>0.69753600000000004</v>
      </c>
      <c r="K990" s="8" t="s">
        <v>5013</v>
      </c>
      <c r="S990"/>
    </row>
    <row r="991" spans="1:19" ht="15" x14ac:dyDescent="0.25">
      <c r="A991" s="8" t="s">
        <v>5073</v>
      </c>
      <c r="B991" s="8" t="s">
        <v>5070</v>
      </c>
      <c r="C991" s="8" t="s">
        <v>5952</v>
      </c>
      <c r="D991" s="32" t="s">
        <v>6984</v>
      </c>
      <c r="E991" s="32" t="s">
        <v>5952</v>
      </c>
      <c r="F991" s="10">
        <v>8</v>
      </c>
      <c r="G991" s="8" t="s">
        <v>22</v>
      </c>
      <c r="H991" s="10">
        <v>5.6375000000000002</v>
      </c>
      <c r="I991" s="10">
        <f t="shared" si="17"/>
        <v>45.1</v>
      </c>
      <c r="J991" s="10">
        <v>0.62778239999999996</v>
      </c>
      <c r="K991" s="8" t="s">
        <v>5013</v>
      </c>
      <c r="S991"/>
    </row>
    <row r="992" spans="1:19" ht="15" x14ac:dyDescent="0.25">
      <c r="A992" s="8" t="s">
        <v>5073</v>
      </c>
      <c r="B992" s="8" t="s">
        <v>5070</v>
      </c>
      <c r="C992" s="8" t="s">
        <v>5953</v>
      </c>
      <c r="D992" s="32" t="s">
        <v>6984</v>
      </c>
      <c r="E992" s="32" t="s">
        <v>5953</v>
      </c>
      <c r="F992" s="10">
        <v>80</v>
      </c>
      <c r="G992" s="8" t="s">
        <v>22</v>
      </c>
      <c r="H992" s="10">
        <v>5.8725000000000005</v>
      </c>
      <c r="I992" s="10">
        <f t="shared" si="17"/>
        <v>469.80000000000007</v>
      </c>
      <c r="J992" s="10">
        <v>12.839399999999999</v>
      </c>
      <c r="K992" s="8" t="s">
        <v>25</v>
      </c>
      <c r="S992"/>
    </row>
    <row r="993" spans="1:19" ht="15" x14ac:dyDescent="0.25">
      <c r="A993" s="8" t="s">
        <v>5073</v>
      </c>
      <c r="B993" s="8" t="s">
        <v>5070</v>
      </c>
      <c r="C993" s="8" t="s">
        <v>5954</v>
      </c>
      <c r="D993" s="32" t="s">
        <v>6984</v>
      </c>
      <c r="E993" s="32" t="s">
        <v>5954</v>
      </c>
      <c r="F993" s="10">
        <v>120</v>
      </c>
      <c r="G993" s="8" t="s">
        <v>22</v>
      </c>
      <c r="H993" s="10">
        <v>1.2749999999999999</v>
      </c>
      <c r="I993" s="10">
        <f t="shared" si="17"/>
        <v>153</v>
      </c>
      <c r="J993" s="10">
        <v>4.9499519999999997</v>
      </c>
      <c r="K993" s="8" t="s">
        <v>23</v>
      </c>
      <c r="S993"/>
    </row>
    <row r="994" spans="1:19" ht="15" x14ac:dyDescent="0.25">
      <c r="A994" s="8" t="s">
        <v>5073</v>
      </c>
      <c r="B994" s="8" t="s">
        <v>5070</v>
      </c>
      <c r="C994" s="8" t="s">
        <v>5955</v>
      </c>
      <c r="D994" s="32" t="s">
        <v>6984</v>
      </c>
      <c r="E994" s="32" t="s">
        <v>5955</v>
      </c>
      <c r="F994" s="10">
        <v>4</v>
      </c>
      <c r="G994" s="8" t="s">
        <v>22</v>
      </c>
      <c r="H994" s="10">
        <v>5.0999999999999996</v>
      </c>
      <c r="I994" s="10">
        <f t="shared" si="17"/>
        <v>20.399999999999999</v>
      </c>
      <c r="J994" s="10">
        <v>0.65999359999999996</v>
      </c>
      <c r="K994" s="8" t="s">
        <v>23</v>
      </c>
      <c r="S994"/>
    </row>
    <row r="995" spans="1:19" ht="15" x14ac:dyDescent="0.25">
      <c r="A995" s="8" t="s">
        <v>5073</v>
      </c>
      <c r="B995" s="8" t="s">
        <v>5070</v>
      </c>
      <c r="C995" s="8" t="s">
        <v>5956</v>
      </c>
      <c r="D995" s="32" t="s">
        <v>6984</v>
      </c>
      <c r="E995" s="32" t="s">
        <v>5956</v>
      </c>
      <c r="F995" s="10">
        <v>92</v>
      </c>
      <c r="G995" s="8" t="s">
        <v>22</v>
      </c>
      <c r="H995" s="10">
        <v>1.409782608695652</v>
      </c>
      <c r="I995" s="10">
        <f t="shared" si="17"/>
        <v>129.69999999999999</v>
      </c>
      <c r="J995" s="10">
        <v>5.3095499999999998</v>
      </c>
      <c r="K995" s="8" t="s">
        <v>4798</v>
      </c>
      <c r="S995"/>
    </row>
    <row r="996" spans="1:19" ht="15" x14ac:dyDescent="0.25">
      <c r="A996" s="8" t="s">
        <v>5073</v>
      </c>
      <c r="B996" s="8" t="s">
        <v>5070</v>
      </c>
      <c r="C996" s="8" t="s">
        <v>5957</v>
      </c>
      <c r="D996" s="32" t="s">
        <v>6984</v>
      </c>
      <c r="E996" s="32" t="s">
        <v>5957</v>
      </c>
      <c r="F996" s="10">
        <v>20</v>
      </c>
      <c r="G996" s="8" t="s">
        <v>22</v>
      </c>
      <c r="H996" s="10">
        <v>2.375</v>
      </c>
      <c r="I996" s="10">
        <f t="shared" si="17"/>
        <v>47.5</v>
      </c>
      <c r="J996" s="10">
        <v>1.944</v>
      </c>
      <c r="K996" s="8" t="s">
        <v>4798</v>
      </c>
      <c r="S996"/>
    </row>
    <row r="997" spans="1:19" ht="15" x14ac:dyDescent="0.25">
      <c r="A997" s="8" t="s">
        <v>5073</v>
      </c>
      <c r="B997" s="8" t="s">
        <v>5070</v>
      </c>
      <c r="C997" s="8" t="s">
        <v>5958</v>
      </c>
      <c r="D997" s="32" t="s">
        <v>6984</v>
      </c>
      <c r="E997" s="32" t="s">
        <v>5958</v>
      </c>
      <c r="F997" s="10">
        <v>88</v>
      </c>
      <c r="G997" s="8" t="s">
        <v>22</v>
      </c>
      <c r="H997" s="10">
        <v>2.4477272727272728</v>
      </c>
      <c r="I997" s="10">
        <f t="shared" si="17"/>
        <v>215.4</v>
      </c>
      <c r="J997" s="10">
        <v>8.8209</v>
      </c>
      <c r="K997" s="8" t="s">
        <v>4798</v>
      </c>
      <c r="S997"/>
    </row>
    <row r="998" spans="1:19" ht="15" x14ac:dyDescent="0.25">
      <c r="A998" s="8" t="s">
        <v>5069</v>
      </c>
      <c r="B998" s="8" t="s">
        <v>5070</v>
      </c>
      <c r="C998" s="8" t="s">
        <v>5959</v>
      </c>
      <c r="D998" s="32" t="s">
        <v>6984</v>
      </c>
      <c r="E998" s="32" t="s">
        <v>5959</v>
      </c>
      <c r="F998" s="10">
        <v>2</v>
      </c>
      <c r="G998" s="8" t="s">
        <v>22</v>
      </c>
      <c r="H998" s="10">
        <v>2.2999999999999998</v>
      </c>
      <c r="I998" s="10">
        <f t="shared" si="17"/>
        <v>4.5999999999999996</v>
      </c>
      <c r="J998" s="10">
        <v>0.15047366400000001</v>
      </c>
      <c r="K998" s="8" t="s">
        <v>23</v>
      </c>
      <c r="S998"/>
    </row>
    <row r="999" spans="1:19" ht="15" x14ac:dyDescent="0.25">
      <c r="A999" s="8" t="s">
        <v>5073</v>
      </c>
      <c r="B999" s="8" t="s">
        <v>5070</v>
      </c>
      <c r="C999" s="8" t="s">
        <v>5960</v>
      </c>
      <c r="D999" s="32" t="s">
        <v>6984</v>
      </c>
      <c r="E999" s="32" t="s">
        <v>5960</v>
      </c>
      <c r="F999" s="10">
        <v>4</v>
      </c>
      <c r="G999" s="8" t="s">
        <v>22</v>
      </c>
      <c r="H999" s="10">
        <v>12.75</v>
      </c>
      <c r="I999" s="10">
        <f t="shared" si="17"/>
        <v>51</v>
      </c>
      <c r="J999" s="10">
        <v>1.6499839999999999</v>
      </c>
      <c r="K999" s="8" t="s">
        <v>23</v>
      </c>
      <c r="S999"/>
    </row>
    <row r="1000" spans="1:19" ht="15" x14ac:dyDescent="0.25">
      <c r="A1000" s="8" t="s">
        <v>5622</v>
      </c>
      <c r="B1000" s="8" t="s">
        <v>4847</v>
      </c>
      <c r="C1000" s="8" t="s">
        <v>5961</v>
      </c>
      <c r="D1000" s="32" t="s">
        <v>6984</v>
      </c>
      <c r="E1000" s="32" t="s">
        <v>5961</v>
      </c>
      <c r="F1000" s="10">
        <v>1</v>
      </c>
      <c r="G1000" s="8" t="s">
        <v>5962</v>
      </c>
      <c r="H1000" s="10">
        <v>76.5</v>
      </c>
      <c r="I1000" s="10">
        <f t="shared" si="17"/>
        <v>76.5</v>
      </c>
      <c r="J1000" s="10">
        <v>6.8618350000000001</v>
      </c>
      <c r="K1000" s="8" t="s">
        <v>5963</v>
      </c>
      <c r="S1000"/>
    </row>
    <row r="1001" spans="1:19" ht="15" x14ac:dyDescent="0.25">
      <c r="A1001" s="8" t="s">
        <v>5622</v>
      </c>
      <c r="B1001" s="8" t="s">
        <v>4847</v>
      </c>
      <c r="C1001" s="8" t="s">
        <v>5964</v>
      </c>
      <c r="D1001" s="32" t="s">
        <v>6984</v>
      </c>
      <c r="E1001" s="32" t="s">
        <v>5964</v>
      </c>
      <c r="F1001" s="10">
        <v>2</v>
      </c>
      <c r="G1001" s="8" t="s">
        <v>5962</v>
      </c>
      <c r="H1001" s="10">
        <v>103.8</v>
      </c>
      <c r="I1001" s="10">
        <f t="shared" si="17"/>
        <v>207.6</v>
      </c>
      <c r="J1001" s="10">
        <v>18.61655</v>
      </c>
      <c r="K1001" s="8" t="s">
        <v>5963</v>
      </c>
      <c r="S1001"/>
    </row>
    <row r="1002" spans="1:19" ht="15" x14ac:dyDescent="0.25">
      <c r="A1002" s="8" t="s">
        <v>5622</v>
      </c>
      <c r="B1002" s="8" t="s">
        <v>4847</v>
      </c>
      <c r="C1002" s="8" t="s">
        <v>5965</v>
      </c>
      <c r="D1002" s="32" t="s">
        <v>6984</v>
      </c>
      <c r="E1002" s="32" t="s">
        <v>5965</v>
      </c>
      <c r="F1002" s="10">
        <v>6</v>
      </c>
      <c r="G1002" s="8" t="s">
        <v>5962</v>
      </c>
      <c r="H1002" s="10">
        <v>127.3</v>
      </c>
      <c r="I1002" s="10">
        <f t="shared" si="17"/>
        <v>763.8</v>
      </c>
      <c r="J1002" s="10">
        <v>61.40043</v>
      </c>
      <c r="K1002" s="8" t="s">
        <v>5966</v>
      </c>
      <c r="S1002"/>
    </row>
    <row r="1003" spans="1:19" ht="15" x14ac:dyDescent="0.25">
      <c r="A1003" s="8" t="s">
        <v>5622</v>
      </c>
      <c r="B1003" s="8" t="s">
        <v>4847</v>
      </c>
      <c r="C1003" s="8" t="s">
        <v>5967</v>
      </c>
      <c r="D1003" s="32" t="s">
        <v>6984</v>
      </c>
      <c r="E1003" s="32" t="s">
        <v>5967</v>
      </c>
      <c r="F1003" s="10">
        <v>1</v>
      </c>
      <c r="G1003" s="8" t="s">
        <v>5962</v>
      </c>
      <c r="H1003" s="10">
        <v>120.7</v>
      </c>
      <c r="I1003" s="10">
        <f t="shared" si="17"/>
        <v>120.7</v>
      </c>
      <c r="J1003" s="10">
        <v>4.0183610999999999</v>
      </c>
      <c r="K1003" s="8" t="s">
        <v>4904</v>
      </c>
      <c r="S1003"/>
    </row>
    <row r="1004" spans="1:19" ht="15" x14ac:dyDescent="0.25">
      <c r="A1004" s="8" t="s">
        <v>5622</v>
      </c>
      <c r="B1004" s="8" t="s">
        <v>4847</v>
      </c>
      <c r="C1004" s="8" t="s">
        <v>5968</v>
      </c>
      <c r="D1004" s="32" t="s">
        <v>6984</v>
      </c>
      <c r="E1004" s="32" t="s">
        <v>5968</v>
      </c>
      <c r="F1004" s="10">
        <v>1</v>
      </c>
      <c r="G1004" s="8" t="s">
        <v>5962</v>
      </c>
      <c r="H1004" s="10">
        <v>94.6</v>
      </c>
      <c r="I1004" s="10">
        <f t="shared" si="17"/>
        <v>94.6</v>
      </c>
      <c r="J1004" s="10">
        <v>8.4874299999999998</v>
      </c>
      <c r="K1004" s="8" t="s">
        <v>5963</v>
      </c>
      <c r="S1004"/>
    </row>
    <row r="1005" spans="1:19" ht="15" x14ac:dyDescent="0.25">
      <c r="A1005" s="8" t="s">
        <v>5622</v>
      </c>
      <c r="B1005" s="8" t="s">
        <v>4847</v>
      </c>
      <c r="C1005" s="8" t="s">
        <v>5969</v>
      </c>
      <c r="D1005" s="32" t="s">
        <v>6984</v>
      </c>
      <c r="E1005" s="32" t="s">
        <v>5969</v>
      </c>
      <c r="F1005" s="10">
        <v>6</v>
      </c>
      <c r="G1005" s="8" t="s">
        <v>5962</v>
      </c>
      <c r="H1005" s="10">
        <v>96.850000000000009</v>
      </c>
      <c r="I1005" s="10">
        <f t="shared" si="17"/>
        <v>581.1</v>
      </c>
      <c r="J1005" s="10">
        <v>52.115609999999997</v>
      </c>
      <c r="K1005" s="8" t="s">
        <v>5963</v>
      </c>
      <c r="S1005"/>
    </row>
    <row r="1006" spans="1:19" ht="15" x14ac:dyDescent="0.25">
      <c r="A1006" s="8" t="s">
        <v>5622</v>
      </c>
      <c r="B1006" s="8" t="s">
        <v>4847</v>
      </c>
      <c r="C1006" s="8" t="s">
        <v>5970</v>
      </c>
      <c r="D1006" s="32" t="s">
        <v>6984</v>
      </c>
      <c r="E1006" s="32" t="s">
        <v>5970</v>
      </c>
      <c r="F1006" s="10">
        <v>2</v>
      </c>
      <c r="G1006" s="8" t="s">
        <v>5962</v>
      </c>
      <c r="H1006" s="10">
        <v>127.3</v>
      </c>
      <c r="I1006" s="10">
        <f t="shared" si="17"/>
        <v>254.6</v>
      </c>
      <c r="J1006" s="10">
        <v>20.466809999999999</v>
      </c>
      <c r="K1006" s="8" t="s">
        <v>5966</v>
      </c>
      <c r="S1006"/>
    </row>
    <row r="1007" spans="1:19" ht="15" x14ac:dyDescent="0.25">
      <c r="A1007" s="8" t="s">
        <v>5622</v>
      </c>
      <c r="B1007" s="8" t="s">
        <v>4847</v>
      </c>
      <c r="C1007" s="8" t="s">
        <v>5971</v>
      </c>
      <c r="D1007" s="32" t="s">
        <v>6984</v>
      </c>
      <c r="E1007" s="32" t="s">
        <v>5971</v>
      </c>
      <c r="F1007" s="10">
        <v>1</v>
      </c>
      <c r="G1007" s="8" t="s">
        <v>5962</v>
      </c>
      <c r="H1007" s="10">
        <v>71.8</v>
      </c>
      <c r="I1007" s="10">
        <f t="shared" si="17"/>
        <v>71.8</v>
      </c>
      <c r="J1007" s="10">
        <v>6.4412190000000002</v>
      </c>
      <c r="K1007" s="8" t="s">
        <v>5963</v>
      </c>
      <c r="S1007"/>
    </row>
    <row r="1008" spans="1:19" ht="15" x14ac:dyDescent="0.25">
      <c r="A1008" s="8" t="s">
        <v>5622</v>
      </c>
      <c r="B1008" s="8" t="s">
        <v>4847</v>
      </c>
      <c r="C1008" s="8" t="s">
        <v>5972</v>
      </c>
      <c r="D1008" s="32" t="s">
        <v>6984</v>
      </c>
      <c r="E1008" s="32" t="s">
        <v>5972</v>
      </c>
      <c r="F1008" s="10">
        <v>1</v>
      </c>
      <c r="G1008" s="8" t="s">
        <v>5973</v>
      </c>
      <c r="H1008" s="10">
        <v>68.400000000000006</v>
      </c>
      <c r="I1008" s="10">
        <f t="shared" si="17"/>
        <v>68.400000000000006</v>
      </c>
      <c r="J1008" s="10">
        <v>2.3230634999999999</v>
      </c>
      <c r="K1008" s="8" t="s">
        <v>5974</v>
      </c>
      <c r="S1008"/>
    </row>
    <row r="1009" spans="1:19" ht="15" x14ac:dyDescent="0.25">
      <c r="A1009" s="8" t="s">
        <v>5622</v>
      </c>
      <c r="B1009" s="8" t="s">
        <v>4847</v>
      </c>
      <c r="C1009" s="8" t="s">
        <v>5975</v>
      </c>
      <c r="D1009" s="32" t="s">
        <v>6984</v>
      </c>
      <c r="E1009" s="32" t="s">
        <v>5975</v>
      </c>
      <c r="F1009" s="10">
        <v>1</v>
      </c>
      <c r="G1009" s="8" t="s">
        <v>5962</v>
      </c>
      <c r="H1009" s="10">
        <v>122.5</v>
      </c>
      <c r="I1009" s="10">
        <f t="shared" si="17"/>
        <v>122.5</v>
      </c>
      <c r="J1009" s="10">
        <v>4.0635935999999999</v>
      </c>
      <c r="K1009" s="8" t="s">
        <v>4904</v>
      </c>
      <c r="S1009"/>
    </row>
    <row r="1010" spans="1:19" ht="15" x14ac:dyDescent="0.25">
      <c r="A1010" s="8" t="s">
        <v>5622</v>
      </c>
      <c r="B1010" s="8" t="s">
        <v>4847</v>
      </c>
      <c r="C1010" s="8" t="s">
        <v>5976</v>
      </c>
      <c r="D1010" s="32" t="s">
        <v>6984</v>
      </c>
      <c r="E1010" s="32" t="s">
        <v>5976</v>
      </c>
      <c r="F1010" s="10">
        <v>1</v>
      </c>
      <c r="G1010" s="8" t="s">
        <v>5962</v>
      </c>
      <c r="H1010" s="10">
        <v>120.7</v>
      </c>
      <c r="I1010" s="10">
        <f t="shared" si="17"/>
        <v>120.7</v>
      </c>
      <c r="J1010" s="10">
        <v>4.0183610999999999</v>
      </c>
      <c r="K1010" s="8" t="s">
        <v>4904</v>
      </c>
      <c r="S1010"/>
    </row>
    <row r="1011" spans="1:19" ht="15" x14ac:dyDescent="0.25">
      <c r="A1011" s="8" t="s">
        <v>5622</v>
      </c>
      <c r="B1011" s="8" t="s">
        <v>4847</v>
      </c>
      <c r="C1011" s="8" t="s">
        <v>5977</v>
      </c>
      <c r="D1011" s="32" t="s">
        <v>6984</v>
      </c>
      <c r="E1011" s="32" t="s">
        <v>5977</v>
      </c>
      <c r="F1011" s="10">
        <v>2</v>
      </c>
      <c r="G1011" s="8" t="s">
        <v>5962</v>
      </c>
      <c r="H1011" s="10">
        <v>68.45</v>
      </c>
      <c r="I1011" s="10">
        <f t="shared" si="17"/>
        <v>136.9</v>
      </c>
      <c r="J1011" s="10">
        <v>4.6461269999999999</v>
      </c>
      <c r="K1011" s="8" t="s">
        <v>5974</v>
      </c>
      <c r="S1011"/>
    </row>
    <row r="1012" spans="1:19" ht="15" x14ac:dyDescent="0.25">
      <c r="A1012" s="8" t="s">
        <v>5622</v>
      </c>
      <c r="B1012" s="8" t="s">
        <v>4847</v>
      </c>
      <c r="C1012" s="8" t="s">
        <v>5978</v>
      </c>
      <c r="D1012" s="32" t="s">
        <v>6984</v>
      </c>
      <c r="E1012" s="32" t="s">
        <v>5978</v>
      </c>
      <c r="F1012" s="10">
        <v>1</v>
      </c>
      <c r="G1012" s="8" t="s">
        <v>5962</v>
      </c>
      <c r="H1012" s="10">
        <v>98.3</v>
      </c>
      <c r="I1012" s="10">
        <f t="shared" si="17"/>
        <v>98.3</v>
      </c>
      <c r="J1012" s="10">
        <v>3.2613599999999998</v>
      </c>
      <c r="K1012" s="8" t="s">
        <v>4904</v>
      </c>
      <c r="S1012"/>
    </row>
    <row r="1013" spans="1:19" ht="15" x14ac:dyDescent="0.25">
      <c r="A1013" s="8" t="s">
        <v>5622</v>
      </c>
      <c r="B1013" s="8" t="s">
        <v>4847</v>
      </c>
      <c r="C1013" s="8" t="s">
        <v>5979</v>
      </c>
      <c r="D1013" s="32" t="s">
        <v>6984</v>
      </c>
      <c r="E1013" s="32" t="s">
        <v>5979</v>
      </c>
      <c r="F1013" s="10">
        <v>1</v>
      </c>
      <c r="G1013" s="8" t="s">
        <v>5962</v>
      </c>
      <c r="H1013" s="10">
        <v>98.3</v>
      </c>
      <c r="I1013" s="10">
        <f t="shared" si="17"/>
        <v>98.3</v>
      </c>
      <c r="J1013" s="10">
        <v>3.2613599999999998</v>
      </c>
      <c r="K1013" s="8" t="s">
        <v>4904</v>
      </c>
      <c r="S1013"/>
    </row>
    <row r="1014" spans="1:19" ht="15" x14ac:dyDescent="0.25">
      <c r="A1014" s="8" t="s">
        <v>5622</v>
      </c>
      <c r="B1014" s="8" t="s">
        <v>4847</v>
      </c>
      <c r="C1014" s="8" t="s">
        <v>5980</v>
      </c>
      <c r="D1014" s="32" t="s">
        <v>6984</v>
      </c>
      <c r="E1014" s="32" t="s">
        <v>5980</v>
      </c>
      <c r="F1014" s="10">
        <v>1</v>
      </c>
      <c r="G1014" s="8" t="s">
        <v>5962</v>
      </c>
      <c r="H1014" s="10">
        <v>70.599999999999994</v>
      </c>
      <c r="I1014" s="10">
        <f t="shared" si="17"/>
        <v>70.599999999999994</v>
      </c>
      <c r="J1014" s="10">
        <v>6.3296270000000003</v>
      </c>
      <c r="K1014" s="8" t="s">
        <v>5963</v>
      </c>
      <c r="S1014"/>
    </row>
    <row r="1015" spans="1:19" ht="15" x14ac:dyDescent="0.25">
      <c r="A1015" s="8" t="s">
        <v>5622</v>
      </c>
      <c r="B1015" s="8" t="s">
        <v>4847</v>
      </c>
      <c r="C1015" s="8" t="s">
        <v>5981</v>
      </c>
      <c r="D1015" s="32" t="s">
        <v>6984</v>
      </c>
      <c r="E1015" s="32" t="s">
        <v>5981</v>
      </c>
      <c r="F1015" s="10">
        <v>1</v>
      </c>
      <c r="G1015" s="8" t="s">
        <v>5962</v>
      </c>
      <c r="H1015" s="10">
        <v>90.3</v>
      </c>
      <c r="I1015" s="10">
        <f t="shared" si="17"/>
        <v>90.3</v>
      </c>
      <c r="J1015" s="10">
        <v>3.0476952000000002</v>
      </c>
      <c r="K1015" s="8" t="s">
        <v>5974</v>
      </c>
      <c r="S1015"/>
    </row>
    <row r="1016" spans="1:19" ht="15" x14ac:dyDescent="0.25">
      <c r="A1016" s="8" t="s">
        <v>5622</v>
      </c>
      <c r="B1016" s="8" t="s">
        <v>4847</v>
      </c>
      <c r="C1016" s="8" t="s">
        <v>5982</v>
      </c>
      <c r="D1016" s="32" t="s">
        <v>6984</v>
      </c>
      <c r="E1016" s="32" t="s">
        <v>5982</v>
      </c>
      <c r="F1016" s="10">
        <v>1</v>
      </c>
      <c r="G1016" s="8" t="s">
        <v>5962</v>
      </c>
      <c r="H1016" s="10">
        <v>72.099999999999994</v>
      </c>
      <c r="I1016" s="10">
        <f t="shared" si="17"/>
        <v>72.099999999999994</v>
      </c>
      <c r="J1016" s="10">
        <v>2.4446786999999999</v>
      </c>
      <c r="K1016" s="8" t="s">
        <v>5974</v>
      </c>
      <c r="S1016"/>
    </row>
    <row r="1017" spans="1:19" ht="15" x14ac:dyDescent="0.25">
      <c r="A1017" s="8" t="s">
        <v>5622</v>
      </c>
      <c r="B1017" s="8" t="s">
        <v>4847</v>
      </c>
      <c r="C1017" s="8" t="s">
        <v>5983</v>
      </c>
      <c r="D1017" s="32" t="s">
        <v>6984</v>
      </c>
      <c r="E1017" s="32" t="s">
        <v>5983</v>
      </c>
      <c r="F1017" s="10">
        <v>1</v>
      </c>
      <c r="G1017" s="8" t="s">
        <v>5962</v>
      </c>
      <c r="H1017" s="10">
        <v>102.3</v>
      </c>
      <c r="I1017" s="10">
        <f t="shared" si="17"/>
        <v>102.3</v>
      </c>
      <c r="J1017" s="10">
        <v>9.1784420000000004</v>
      </c>
      <c r="K1017" s="8" t="s">
        <v>5963</v>
      </c>
      <c r="S1017"/>
    </row>
    <row r="1018" spans="1:19" ht="15" x14ac:dyDescent="0.25">
      <c r="A1018" s="8" t="s">
        <v>5622</v>
      </c>
      <c r="B1018" s="8" t="s">
        <v>4847</v>
      </c>
      <c r="C1018" s="8" t="s">
        <v>5984</v>
      </c>
      <c r="D1018" s="32" t="s">
        <v>6984</v>
      </c>
      <c r="E1018" s="32" t="s">
        <v>5984</v>
      </c>
      <c r="F1018" s="10">
        <v>1</v>
      </c>
      <c r="G1018" s="8" t="s">
        <v>5962</v>
      </c>
      <c r="H1018" s="10">
        <v>74</v>
      </c>
      <c r="I1018" s="10">
        <f t="shared" si="17"/>
        <v>74</v>
      </c>
      <c r="J1018" s="10">
        <v>6.6365049999999997</v>
      </c>
      <c r="K1018" s="8" t="s">
        <v>5963</v>
      </c>
      <c r="S1018"/>
    </row>
    <row r="1019" spans="1:19" ht="15" x14ac:dyDescent="0.25">
      <c r="A1019" s="8" t="s">
        <v>5622</v>
      </c>
      <c r="B1019" s="8" t="s">
        <v>4847</v>
      </c>
      <c r="C1019" s="8" t="s">
        <v>5985</v>
      </c>
      <c r="D1019" s="32" t="s">
        <v>6984</v>
      </c>
      <c r="E1019" s="32" t="s">
        <v>5985</v>
      </c>
      <c r="F1019" s="10">
        <v>1</v>
      </c>
      <c r="G1019" s="8" t="s">
        <v>5962</v>
      </c>
      <c r="H1019" s="10">
        <v>103.8</v>
      </c>
      <c r="I1019" s="10">
        <f t="shared" si="17"/>
        <v>103.8</v>
      </c>
      <c r="J1019" s="10">
        <v>9.3082750000000001</v>
      </c>
      <c r="K1019" s="8" t="s">
        <v>5963</v>
      </c>
      <c r="S1019"/>
    </row>
    <row r="1020" spans="1:19" ht="15" x14ac:dyDescent="0.25">
      <c r="A1020" s="8" t="s">
        <v>5622</v>
      </c>
      <c r="B1020" s="8" t="s">
        <v>4847</v>
      </c>
      <c r="C1020" s="8" t="s">
        <v>5986</v>
      </c>
      <c r="D1020" s="32" t="s">
        <v>6984</v>
      </c>
      <c r="E1020" s="32" t="s">
        <v>5986</v>
      </c>
      <c r="F1020" s="10">
        <v>1</v>
      </c>
      <c r="G1020" s="8" t="s">
        <v>5962</v>
      </c>
      <c r="H1020" s="10">
        <v>125.5</v>
      </c>
      <c r="I1020" s="10">
        <f t="shared" si="17"/>
        <v>125.5</v>
      </c>
      <c r="J1020" s="10">
        <v>10.08882</v>
      </c>
      <c r="K1020" s="8" t="s">
        <v>5966</v>
      </c>
      <c r="S1020"/>
    </row>
    <row r="1021" spans="1:19" ht="15" x14ac:dyDescent="0.25">
      <c r="A1021" s="8" t="s">
        <v>5622</v>
      </c>
      <c r="B1021" s="8" t="s">
        <v>4847</v>
      </c>
      <c r="C1021" s="8" t="s">
        <v>5987</v>
      </c>
      <c r="D1021" s="32" t="s">
        <v>6984</v>
      </c>
      <c r="E1021" s="32" t="s">
        <v>5987</v>
      </c>
      <c r="F1021" s="10">
        <v>2</v>
      </c>
      <c r="G1021" s="8" t="s">
        <v>5962</v>
      </c>
      <c r="H1021" s="10">
        <v>63.6</v>
      </c>
      <c r="I1021" s="10">
        <f t="shared" si="17"/>
        <v>127.2</v>
      </c>
      <c r="J1021" s="10">
        <v>11.403843999999999</v>
      </c>
      <c r="K1021" s="8" t="s">
        <v>5963</v>
      </c>
      <c r="S1021"/>
    </row>
    <row r="1022" spans="1:19" ht="15" x14ac:dyDescent="0.25">
      <c r="A1022" s="8" t="s">
        <v>5622</v>
      </c>
      <c r="B1022" s="8" t="s">
        <v>4847</v>
      </c>
      <c r="C1022" s="8" t="s">
        <v>5988</v>
      </c>
      <c r="D1022" s="32" t="s">
        <v>6984</v>
      </c>
      <c r="E1022" s="32" t="s">
        <v>5988</v>
      </c>
      <c r="F1022" s="10">
        <v>6</v>
      </c>
      <c r="G1022" s="8" t="s">
        <v>5973</v>
      </c>
      <c r="H1022" s="10">
        <v>130.56666666666666</v>
      </c>
      <c r="I1022" s="10">
        <f t="shared" si="17"/>
        <v>783.4</v>
      </c>
      <c r="J1022" s="10">
        <v>62.974800000000002</v>
      </c>
      <c r="K1022" s="8" t="s">
        <v>5966</v>
      </c>
      <c r="S1022"/>
    </row>
    <row r="1023" spans="1:19" ht="15" x14ac:dyDescent="0.25">
      <c r="A1023" s="8" t="s">
        <v>5622</v>
      </c>
      <c r="B1023" s="8" t="s">
        <v>4847</v>
      </c>
      <c r="C1023" s="8" t="s">
        <v>5989</v>
      </c>
      <c r="D1023" s="32" t="s">
        <v>6984</v>
      </c>
      <c r="E1023" s="32" t="s">
        <v>5989</v>
      </c>
      <c r="F1023" s="10">
        <v>1</v>
      </c>
      <c r="G1023" s="8" t="s">
        <v>5973</v>
      </c>
      <c r="H1023" s="10">
        <v>130.6</v>
      </c>
      <c r="I1023" s="10">
        <f t="shared" si="17"/>
        <v>130.6</v>
      </c>
      <c r="J1023" s="10">
        <v>10.495799999999999</v>
      </c>
      <c r="K1023" s="8" t="s">
        <v>5966</v>
      </c>
      <c r="S1023"/>
    </row>
    <row r="1024" spans="1:19" ht="15" x14ac:dyDescent="0.25">
      <c r="A1024" s="8" t="s">
        <v>5622</v>
      </c>
      <c r="B1024" s="8" t="s">
        <v>4847</v>
      </c>
      <c r="C1024" s="8" t="s">
        <v>5990</v>
      </c>
      <c r="D1024" s="32" t="s">
        <v>6984</v>
      </c>
      <c r="E1024" s="32" t="s">
        <v>5990</v>
      </c>
      <c r="F1024" s="10">
        <v>1</v>
      </c>
      <c r="G1024" s="8" t="s">
        <v>5973</v>
      </c>
      <c r="H1024" s="10">
        <v>75.900000000000006</v>
      </c>
      <c r="I1024" s="10">
        <f t="shared" si="17"/>
        <v>75.900000000000006</v>
      </c>
      <c r="J1024" s="10">
        <v>6.8081849999999999</v>
      </c>
      <c r="K1024" s="8" t="s">
        <v>5963</v>
      </c>
      <c r="S1024"/>
    </row>
    <row r="1025" spans="1:19" ht="15" x14ac:dyDescent="0.25">
      <c r="A1025" s="8" t="s">
        <v>5622</v>
      </c>
      <c r="B1025" s="8" t="s">
        <v>4847</v>
      </c>
      <c r="C1025" s="8" t="s">
        <v>5991</v>
      </c>
      <c r="D1025" s="32" t="s">
        <v>6984</v>
      </c>
      <c r="E1025" s="32" t="s">
        <v>5991</v>
      </c>
      <c r="F1025" s="10">
        <v>1</v>
      </c>
      <c r="G1025" s="8" t="s">
        <v>5973</v>
      </c>
      <c r="H1025" s="10">
        <v>102.3</v>
      </c>
      <c r="I1025" s="10">
        <f t="shared" si="17"/>
        <v>102.3</v>
      </c>
      <c r="J1025" s="10">
        <v>9.1795150000000003</v>
      </c>
      <c r="K1025" s="8" t="s">
        <v>5963</v>
      </c>
      <c r="S1025"/>
    </row>
    <row r="1026" spans="1:19" ht="15" x14ac:dyDescent="0.25">
      <c r="A1026" s="8" t="s">
        <v>5622</v>
      </c>
      <c r="B1026" s="8" t="s">
        <v>4847</v>
      </c>
      <c r="C1026" s="8" t="s">
        <v>5992</v>
      </c>
      <c r="D1026" s="32" t="s">
        <v>6984</v>
      </c>
      <c r="E1026" s="32" t="s">
        <v>5992</v>
      </c>
      <c r="F1026" s="10">
        <v>1</v>
      </c>
      <c r="G1026" s="8" t="s">
        <v>5973</v>
      </c>
      <c r="H1026" s="10">
        <v>102.3</v>
      </c>
      <c r="I1026" s="10">
        <f t="shared" si="17"/>
        <v>102.3</v>
      </c>
      <c r="J1026" s="10">
        <v>9.1795150000000003</v>
      </c>
      <c r="K1026" s="8" t="s">
        <v>5963</v>
      </c>
      <c r="S1026"/>
    </row>
    <row r="1027" spans="1:19" ht="15" x14ac:dyDescent="0.25">
      <c r="A1027" s="8" t="s">
        <v>5622</v>
      </c>
      <c r="B1027" s="8" t="s">
        <v>4847</v>
      </c>
      <c r="C1027" s="8" t="s">
        <v>5993</v>
      </c>
      <c r="D1027" s="32" t="s">
        <v>6984</v>
      </c>
      <c r="E1027" s="32" t="s">
        <v>5993</v>
      </c>
      <c r="F1027" s="10">
        <v>2</v>
      </c>
      <c r="G1027" s="8" t="s">
        <v>5973</v>
      </c>
      <c r="H1027" s="10">
        <v>90.25</v>
      </c>
      <c r="I1027" s="10">
        <f t="shared" si="17"/>
        <v>180.5</v>
      </c>
      <c r="J1027" s="10">
        <v>6.0960000000000001</v>
      </c>
      <c r="K1027" s="8" t="s">
        <v>5974</v>
      </c>
      <c r="S1027"/>
    </row>
    <row r="1028" spans="1:19" ht="15" x14ac:dyDescent="0.25">
      <c r="A1028" s="8" t="s">
        <v>5622</v>
      </c>
      <c r="B1028" s="8" t="s">
        <v>4847</v>
      </c>
      <c r="C1028" s="8" t="s">
        <v>5994</v>
      </c>
      <c r="D1028" s="32" t="s">
        <v>6984</v>
      </c>
      <c r="E1028" s="32" t="s">
        <v>5994</v>
      </c>
      <c r="F1028" s="10">
        <v>1</v>
      </c>
      <c r="G1028" s="8" t="s">
        <v>5973</v>
      </c>
      <c r="H1028" s="10">
        <v>69.8</v>
      </c>
      <c r="I1028" s="10">
        <f t="shared" si="17"/>
        <v>69.8</v>
      </c>
      <c r="J1028" s="10">
        <v>6.260955</v>
      </c>
      <c r="K1028" s="8" t="s">
        <v>5963</v>
      </c>
      <c r="S1028"/>
    </row>
    <row r="1029" spans="1:19" ht="15" x14ac:dyDescent="0.25">
      <c r="A1029" s="8" t="s">
        <v>5622</v>
      </c>
      <c r="B1029" s="8" t="s">
        <v>4847</v>
      </c>
      <c r="C1029" s="8" t="s">
        <v>5995</v>
      </c>
      <c r="D1029" s="32" t="s">
        <v>6984</v>
      </c>
      <c r="E1029" s="32" t="s">
        <v>5995</v>
      </c>
      <c r="F1029" s="10">
        <v>2</v>
      </c>
      <c r="G1029" s="8" t="s">
        <v>5973</v>
      </c>
      <c r="H1029" s="10">
        <v>96.85</v>
      </c>
      <c r="I1029" s="10">
        <f t="shared" ref="I1029:I1092" si="18">F1029*H1029</f>
        <v>193.7</v>
      </c>
      <c r="J1029" s="10">
        <v>17.371870000000001</v>
      </c>
      <c r="K1029" s="8" t="s">
        <v>5963</v>
      </c>
      <c r="S1029"/>
    </row>
    <row r="1030" spans="1:19" ht="15" x14ac:dyDescent="0.25">
      <c r="A1030" s="8" t="s">
        <v>5622</v>
      </c>
      <c r="B1030" s="8" t="s">
        <v>4847</v>
      </c>
      <c r="C1030" s="8" t="s">
        <v>5996</v>
      </c>
      <c r="D1030" s="32" t="s">
        <v>6984</v>
      </c>
      <c r="E1030" s="32" t="s">
        <v>5996</v>
      </c>
      <c r="F1030" s="10">
        <v>1</v>
      </c>
      <c r="G1030" s="8" t="s">
        <v>5973</v>
      </c>
      <c r="H1030" s="10">
        <v>72.5</v>
      </c>
      <c r="I1030" s="10">
        <f t="shared" si="18"/>
        <v>72.5</v>
      </c>
      <c r="J1030" s="10">
        <v>6.5023799999999996</v>
      </c>
      <c r="K1030" s="8" t="s">
        <v>5963</v>
      </c>
      <c r="S1030"/>
    </row>
    <row r="1031" spans="1:19" ht="15" x14ac:dyDescent="0.25">
      <c r="A1031" s="8" t="s">
        <v>5622</v>
      </c>
      <c r="B1031" s="8" t="s">
        <v>4847</v>
      </c>
      <c r="C1031" s="8" t="s">
        <v>5997</v>
      </c>
      <c r="D1031" s="32" t="s">
        <v>6984</v>
      </c>
      <c r="E1031" s="32" t="s">
        <v>5997</v>
      </c>
      <c r="F1031" s="10">
        <v>2</v>
      </c>
      <c r="G1031" s="8" t="s">
        <v>5973</v>
      </c>
      <c r="H1031" s="10">
        <v>103.8</v>
      </c>
      <c r="I1031" s="10">
        <f t="shared" si="18"/>
        <v>207.6</v>
      </c>
      <c r="J1031" s="10">
        <v>18.61655</v>
      </c>
      <c r="K1031" s="8" t="s">
        <v>5963</v>
      </c>
      <c r="S1031"/>
    </row>
    <row r="1032" spans="1:19" ht="15" x14ac:dyDescent="0.25">
      <c r="A1032" s="8" t="s">
        <v>5622</v>
      </c>
      <c r="B1032" s="8" t="s">
        <v>4847</v>
      </c>
      <c r="C1032" s="8" t="s">
        <v>5998</v>
      </c>
      <c r="D1032" s="32" t="s">
        <v>6984</v>
      </c>
      <c r="E1032" s="32" t="s">
        <v>5998</v>
      </c>
      <c r="F1032" s="10">
        <v>1</v>
      </c>
      <c r="G1032" s="8" t="s">
        <v>5973</v>
      </c>
      <c r="H1032" s="10">
        <v>72.5</v>
      </c>
      <c r="I1032" s="10">
        <f t="shared" si="18"/>
        <v>72.5</v>
      </c>
      <c r="J1032" s="10">
        <v>6.5023799999999996</v>
      </c>
      <c r="K1032" s="8" t="s">
        <v>5963</v>
      </c>
      <c r="S1032"/>
    </row>
    <row r="1033" spans="1:19" ht="15" x14ac:dyDescent="0.25">
      <c r="A1033" s="8" t="s">
        <v>5622</v>
      </c>
      <c r="B1033" s="8" t="s">
        <v>4847</v>
      </c>
      <c r="C1033" s="8" t="s">
        <v>5999</v>
      </c>
      <c r="D1033" s="32" t="s">
        <v>6984</v>
      </c>
      <c r="E1033" s="32" t="s">
        <v>5999</v>
      </c>
      <c r="F1033" s="10">
        <v>1</v>
      </c>
      <c r="G1033" s="8" t="s">
        <v>5973</v>
      </c>
      <c r="H1033" s="10">
        <v>72.5</v>
      </c>
      <c r="I1033" s="10">
        <f t="shared" si="18"/>
        <v>72.5</v>
      </c>
      <c r="J1033" s="10">
        <v>6.5023799999999996</v>
      </c>
      <c r="K1033" s="8" t="s">
        <v>5963</v>
      </c>
      <c r="S1033"/>
    </row>
    <row r="1034" spans="1:19" ht="15" x14ac:dyDescent="0.25">
      <c r="A1034" s="8" t="s">
        <v>5622</v>
      </c>
      <c r="B1034" s="8" t="s">
        <v>4847</v>
      </c>
      <c r="C1034" s="8" t="s">
        <v>6000</v>
      </c>
      <c r="D1034" s="32" t="s">
        <v>6984</v>
      </c>
      <c r="E1034" s="32" t="s">
        <v>6000</v>
      </c>
      <c r="F1034" s="10">
        <v>2</v>
      </c>
      <c r="G1034" s="8" t="s">
        <v>5973</v>
      </c>
      <c r="H1034" s="10">
        <v>103.8</v>
      </c>
      <c r="I1034" s="10">
        <f t="shared" si="18"/>
        <v>207.6</v>
      </c>
      <c r="J1034" s="10">
        <v>18.61655</v>
      </c>
      <c r="K1034" s="8" t="s">
        <v>5963</v>
      </c>
      <c r="S1034"/>
    </row>
    <row r="1035" spans="1:19" ht="15" x14ac:dyDescent="0.25">
      <c r="A1035" s="8" t="s">
        <v>5622</v>
      </c>
      <c r="B1035" s="8" t="s">
        <v>4847</v>
      </c>
      <c r="C1035" s="8" t="s">
        <v>6001</v>
      </c>
      <c r="D1035" s="32" t="s">
        <v>6984</v>
      </c>
      <c r="E1035" s="32" t="s">
        <v>6001</v>
      </c>
      <c r="F1035" s="10">
        <v>1</v>
      </c>
      <c r="G1035" s="8" t="s">
        <v>5973</v>
      </c>
      <c r="H1035" s="10">
        <v>96.8</v>
      </c>
      <c r="I1035" s="10">
        <f t="shared" si="18"/>
        <v>96.8</v>
      </c>
      <c r="J1035" s="10">
        <v>8.6859350000000006</v>
      </c>
      <c r="K1035" s="8" t="s">
        <v>5963</v>
      </c>
      <c r="S1035"/>
    </row>
    <row r="1036" spans="1:19" ht="15" x14ac:dyDescent="0.25">
      <c r="A1036" s="8" t="s">
        <v>5622</v>
      </c>
      <c r="B1036" s="8" t="s">
        <v>4847</v>
      </c>
      <c r="C1036" s="8" t="s">
        <v>6002</v>
      </c>
      <c r="D1036" s="32" t="s">
        <v>6984</v>
      </c>
      <c r="E1036" s="32" t="s">
        <v>6002</v>
      </c>
      <c r="F1036" s="10">
        <v>1</v>
      </c>
      <c r="G1036" s="8" t="s">
        <v>5973</v>
      </c>
      <c r="H1036" s="10">
        <v>127.3</v>
      </c>
      <c r="I1036" s="10">
        <f t="shared" si="18"/>
        <v>127.3</v>
      </c>
      <c r="J1036" s="10">
        <v>10.233404999999999</v>
      </c>
      <c r="K1036" s="8" t="s">
        <v>5966</v>
      </c>
      <c r="S1036"/>
    </row>
    <row r="1037" spans="1:19" ht="15" x14ac:dyDescent="0.25">
      <c r="A1037" s="8" t="s">
        <v>5622</v>
      </c>
      <c r="B1037" s="8" t="s">
        <v>4847</v>
      </c>
      <c r="C1037" s="8" t="s">
        <v>6003</v>
      </c>
      <c r="D1037" s="32" t="s">
        <v>6984</v>
      </c>
      <c r="E1037" s="32" t="s">
        <v>6003</v>
      </c>
      <c r="F1037" s="10">
        <v>1</v>
      </c>
      <c r="G1037" s="8" t="s">
        <v>5973</v>
      </c>
      <c r="H1037" s="10">
        <v>127.3</v>
      </c>
      <c r="I1037" s="10">
        <f t="shared" si="18"/>
        <v>127.3</v>
      </c>
      <c r="J1037" s="10">
        <v>10.233404999999999</v>
      </c>
      <c r="K1037" s="8" t="s">
        <v>5966</v>
      </c>
      <c r="S1037"/>
    </row>
    <row r="1038" spans="1:19" ht="15" x14ac:dyDescent="0.25">
      <c r="A1038" s="8" t="s">
        <v>5622</v>
      </c>
      <c r="B1038" s="8" t="s">
        <v>4847</v>
      </c>
      <c r="C1038" s="8" t="s">
        <v>6004</v>
      </c>
      <c r="D1038" s="32" t="s">
        <v>6984</v>
      </c>
      <c r="E1038" s="32" t="s">
        <v>6004</v>
      </c>
      <c r="F1038" s="10">
        <v>1</v>
      </c>
      <c r="G1038" s="8" t="s">
        <v>5973</v>
      </c>
      <c r="H1038" s="10">
        <v>127.3</v>
      </c>
      <c r="I1038" s="10">
        <f t="shared" si="18"/>
        <v>127.3</v>
      </c>
      <c r="J1038" s="10">
        <v>10.233404999999999</v>
      </c>
      <c r="K1038" s="8" t="s">
        <v>5966</v>
      </c>
      <c r="S1038"/>
    </row>
    <row r="1039" spans="1:19" ht="15" x14ac:dyDescent="0.25">
      <c r="A1039" s="8" t="s">
        <v>5622</v>
      </c>
      <c r="B1039" s="8" t="s">
        <v>4847</v>
      </c>
      <c r="C1039" s="8" t="s">
        <v>6005</v>
      </c>
      <c r="D1039" s="32" t="s">
        <v>6984</v>
      </c>
      <c r="E1039" s="32" t="s">
        <v>6005</v>
      </c>
      <c r="F1039" s="10">
        <v>1</v>
      </c>
      <c r="G1039" s="8" t="s">
        <v>5973</v>
      </c>
      <c r="H1039" s="10">
        <v>130.6</v>
      </c>
      <c r="I1039" s="10">
        <f t="shared" si="18"/>
        <v>130.6</v>
      </c>
      <c r="J1039" s="10">
        <v>10.495799999999999</v>
      </c>
      <c r="K1039" s="8" t="s">
        <v>5966</v>
      </c>
      <c r="S1039"/>
    </row>
    <row r="1040" spans="1:19" ht="15" x14ac:dyDescent="0.25">
      <c r="A1040" s="8" t="s">
        <v>5622</v>
      </c>
      <c r="B1040" s="8" t="s">
        <v>4847</v>
      </c>
      <c r="C1040" s="8" t="s">
        <v>6006</v>
      </c>
      <c r="D1040" s="32" t="s">
        <v>6984</v>
      </c>
      <c r="E1040" s="32" t="s">
        <v>6006</v>
      </c>
      <c r="F1040" s="10">
        <v>1</v>
      </c>
      <c r="G1040" s="8" t="s">
        <v>5973</v>
      </c>
      <c r="H1040" s="10">
        <v>102.3</v>
      </c>
      <c r="I1040" s="10">
        <f t="shared" si="18"/>
        <v>102.3</v>
      </c>
      <c r="J1040" s="10">
        <v>9.1795150000000003</v>
      </c>
      <c r="K1040" s="8" t="s">
        <v>5963</v>
      </c>
      <c r="S1040"/>
    </row>
    <row r="1041" spans="1:19" ht="15" x14ac:dyDescent="0.25">
      <c r="A1041" s="8" t="s">
        <v>5622</v>
      </c>
      <c r="B1041" s="8" t="s">
        <v>4847</v>
      </c>
      <c r="C1041" s="8" t="s">
        <v>6007</v>
      </c>
      <c r="D1041" s="32" t="s">
        <v>6984</v>
      </c>
      <c r="E1041" s="32" t="s">
        <v>6007</v>
      </c>
      <c r="F1041" s="10">
        <v>2</v>
      </c>
      <c r="G1041" s="8" t="s">
        <v>5973</v>
      </c>
      <c r="H1041" s="10">
        <v>103.8</v>
      </c>
      <c r="I1041" s="10">
        <f t="shared" si="18"/>
        <v>207.6</v>
      </c>
      <c r="J1041" s="10">
        <v>18.61655</v>
      </c>
      <c r="K1041" s="8" t="s">
        <v>5963</v>
      </c>
      <c r="S1041"/>
    </row>
    <row r="1042" spans="1:19" ht="15" x14ac:dyDescent="0.25">
      <c r="A1042" s="8" t="s">
        <v>5622</v>
      </c>
      <c r="B1042" s="8" t="s">
        <v>4847</v>
      </c>
      <c r="C1042" s="8" t="s">
        <v>6008</v>
      </c>
      <c r="D1042" s="32" t="s">
        <v>6984</v>
      </c>
      <c r="E1042" s="32" t="s">
        <v>6008</v>
      </c>
      <c r="F1042" s="10">
        <v>6</v>
      </c>
      <c r="G1042" s="8" t="s">
        <v>5973</v>
      </c>
      <c r="H1042" s="10">
        <v>102.35000000000001</v>
      </c>
      <c r="I1042" s="10">
        <f t="shared" si="18"/>
        <v>614.1</v>
      </c>
      <c r="J1042" s="10">
        <v>55.077089999999998</v>
      </c>
      <c r="K1042" s="8" t="s">
        <v>5963</v>
      </c>
      <c r="S1042"/>
    </row>
    <row r="1043" spans="1:19" ht="15" x14ac:dyDescent="0.25">
      <c r="A1043" s="8" t="s">
        <v>5622</v>
      </c>
      <c r="B1043" s="8" t="s">
        <v>4847</v>
      </c>
      <c r="C1043" s="8" t="s">
        <v>6009</v>
      </c>
      <c r="D1043" s="32" t="s">
        <v>6984</v>
      </c>
      <c r="E1043" s="32" t="s">
        <v>6009</v>
      </c>
      <c r="F1043" s="10">
        <v>1</v>
      </c>
      <c r="G1043" s="8" t="s">
        <v>5973</v>
      </c>
      <c r="H1043" s="10">
        <v>96.8</v>
      </c>
      <c r="I1043" s="10">
        <f t="shared" si="18"/>
        <v>96.8</v>
      </c>
      <c r="J1043" s="10">
        <v>8.6859350000000006</v>
      </c>
      <c r="K1043" s="8" t="s">
        <v>5963</v>
      </c>
      <c r="S1043"/>
    </row>
    <row r="1044" spans="1:19" ht="15" x14ac:dyDescent="0.25">
      <c r="A1044" s="8" t="s">
        <v>5622</v>
      </c>
      <c r="B1044" s="8" t="s">
        <v>4847</v>
      </c>
      <c r="C1044" s="8" t="s">
        <v>6010</v>
      </c>
      <c r="D1044" s="32" t="s">
        <v>6984</v>
      </c>
      <c r="E1044" s="32" t="s">
        <v>6010</v>
      </c>
      <c r="F1044" s="10">
        <v>1</v>
      </c>
      <c r="G1044" s="8" t="s">
        <v>5973</v>
      </c>
      <c r="H1044" s="10">
        <v>89.1</v>
      </c>
      <c r="I1044" s="10">
        <f t="shared" si="18"/>
        <v>89.1</v>
      </c>
      <c r="J1044" s="10">
        <v>2.9565600000000001</v>
      </c>
      <c r="K1044" s="8" t="s">
        <v>4904</v>
      </c>
      <c r="S1044"/>
    </row>
    <row r="1045" spans="1:19" ht="15" x14ac:dyDescent="0.25">
      <c r="A1045" s="8" t="s">
        <v>5622</v>
      </c>
      <c r="B1045" s="8" t="s">
        <v>4847</v>
      </c>
      <c r="C1045" s="8" t="s">
        <v>6011</v>
      </c>
      <c r="D1045" s="32" t="s">
        <v>6984</v>
      </c>
      <c r="E1045" s="32" t="s">
        <v>6011</v>
      </c>
      <c r="F1045" s="10">
        <v>1</v>
      </c>
      <c r="G1045" s="8" t="s">
        <v>5973</v>
      </c>
      <c r="H1045" s="10">
        <v>96.8</v>
      </c>
      <c r="I1045" s="10">
        <f t="shared" si="18"/>
        <v>96.8</v>
      </c>
      <c r="J1045" s="10">
        <v>8.6859350000000006</v>
      </c>
      <c r="K1045" s="8" t="s">
        <v>5963</v>
      </c>
      <c r="S1045"/>
    </row>
    <row r="1046" spans="1:19" ht="15" x14ac:dyDescent="0.25">
      <c r="A1046" s="8" t="s">
        <v>5622</v>
      </c>
      <c r="B1046" s="8" t="s">
        <v>4847</v>
      </c>
      <c r="C1046" s="8" t="s">
        <v>6012</v>
      </c>
      <c r="D1046" s="32" t="s">
        <v>6984</v>
      </c>
      <c r="E1046" s="32" t="s">
        <v>6012</v>
      </c>
      <c r="F1046" s="10">
        <v>1</v>
      </c>
      <c r="G1046" s="8" t="s">
        <v>5973</v>
      </c>
      <c r="H1046" s="10">
        <v>90.3</v>
      </c>
      <c r="I1046" s="10">
        <f t="shared" si="18"/>
        <v>90.3</v>
      </c>
      <c r="J1046" s="10">
        <v>3.048</v>
      </c>
      <c r="K1046" s="8" t="s">
        <v>5974</v>
      </c>
      <c r="S1046"/>
    </row>
    <row r="1047" spans="1:19" ht="15" x14ac:dyDescent="0.25">
      <c r="A1047" s="8" t="s">
        <v>5622</v>
      </c>
      <c r="B1047" s="8" t="s">
        <v>4847</v>
      </c>
      <c r="C1047" s="8" t="s">
        <v>6013</v>
      </c>
      <c r="D1047" s="32" t="s">
        <v>6984</v>
      </c>
      <c r="E1047" s="32" t="s">
        <v>6013</v>
      </c>
      <c r="F1047" s="10">
        <v>6</v>
      </c>
      <c r="G1047" s="8" t="s">
        <v>5973</v>
      </c>
      <c r="H1047" s="10">
        <v>96.850000000000009</v>
      </c>
      <c r="I1047" s="10">
        <f t="shared" si="18"/>
        <v>581.1</v>
      </c>
      <c r="J1047" s="10">
        <v>52.115609999999997</v>
      </c>
      <c r="K1047" s="8" t="s">
        <v>5963</v>
      </c>
      <c r="S1047"/>
    </row>
    <row r="1048" spans="1:19" ht="15" x14ac:dyDescent="0.25">
      <c r="A1048" s="8" t="s">
        <v>5622</v>
      </c>
      <c r="B1048" s="8" t="s">
        <v>4847</v>
      </c>
      <c r="C1048" s="8" t="s">
        <v>6014</v>
      </c>
      <c r="D1048" s="32" t="s">
        <v>6984</v>
      </c>
      <c r="E1048" s="32" t="s">
        <v>6014</v>
      </c>
      <c r="F1048" s="10">
        <v>11</v>
      </c>
      <c r="G1048" s="8" t="s">
        <v>5973</v>
      </c>
      <c r="H1048" s="10">
        <v>103.78181818181817</v>
      </c>
      <c r="I1048" s="10">
        <f t="shared" si="18"/>
        <v>1141.5999999999999</v>
      </c>
      <c r="J1048" s="10">
        <v>102.391025</v>
      </c>
      <c r="K1048" s="8" t="s">
        <v>5963</v>
      </c>
      <c r="S1048"/>
    </row>
    <row r="1049" spans="1:19" ht="15" x14ac:dyDescent="0.25">
      <c r="A1049" s="8" t="s">
        <v>5622</v>
      </c>
      <c r="B1049" s="8" t="s">
        <v>4847</v>
      </c>
      <c r="C1049" s="8" t="s">
        <v>6015</v>
      </c>
      <c r="D1049" s="32" t="s">
        <v>6984</v>
      </c>
      <c r="E1049" s="32" t="s">
        <v>6015</v>
      </c>
      <c r="F1049" s="10">
        <v>1</v>
      </c>
      <c r="G1049" s="8" t="s">
        <v>5973</v>
      </c>
      <c r="H1049" s="10">
        <v>96.8</v>
      </c>
      <c r="I1049" s="10">
        <f t="shared" si="18"/>
        <v>96.8</v>
      </c>
      <c r="J1049" s="10">
        <v>8.6859350000000006</v>
      </c>
      <c r="K1049" s="8" t="s">
        <v>5963</v>
      </c>
      <c r="S1049"/>
    </row>
    <row r="1050" spans="1:19" ht="15" x14ac:dyDescent="0.25">
      <c r="A1050" s="8" t="s">
        <v>5622</v>
      </c>
      <c r="B1050" s="8" t="s">
        <v>4847</v>
      </c>
      <c r="C1050" s="8" t="s">
        <v>6016</v>
      </c>
      <c r="D1050" s="32" t="s">
        <v>6984</v>
      </c>
      <c r="E1050" s="32" t="s">
        <v>6016</v>
      </c>
      <c r="F1050" s="10">
        <v>1</v>
      </c>
      <c r="G1050" s="8" t="s">
        <v>5973</v>
      </c>
      <c r="H1050" s="10">
        <v>96.8</v>
      </c>
      <c r="I1050" s="10">
        <f t="shared" si="18"/>
        <v>96.8</v>
      </c>
      <c r="J1050" s="10">
        <v>8.6859350000000006</v>
      </c>
      <c r="K1050" s="8" t="s">
        <v>5963</v>
      </c>
      <c r="S1050"/>
    </row>
    <row r="1051" spans="1:19" ht="15" x14ac:dyDescent="0.25">
      <c r="A1051" s="8" t="s">
        <v>5622</v>
      </c>
      <c r="B1051" s="8" t="s">
        <v>4847</v>
      </c>
      <c r="C1051" s="8" t="s">
        <v>6017</v>
      </c>
      <c r="D1051" s="32" t="s">
        <v>6984</v>
      </c>
      <c r="E1051" s="32" t="s">
        <v>6017</v>
      </c>
      <c r="F1051" s="10">
        <v>2</v>
      </c>
      <c r="G1051" s="8" t="s">
        <v>5973</v>
      </c>
      <c r="H1051" s="10">
        <v>71.650000000000006</v>
      </c>
      <c r="I1051" s="10">
        <f t="shared" si="18"/>
        <v>143.30000000000001</v>
      </c>
      <c r="J1051" s="10">
        <v>12.85454</v>
      </c>
      <c r="K1051" s="8" t="s">
        <v>5963</v>
      </c>
      <c r="S1051"/>
    </row>
    <row r="1052" spans="1:19" ht="15" x14ac:dyDescent="0.25">
      <c r="A1052" s="8" t="s">
        <v>5622</v>
      </c>
      <c r="B1052" s="8" t="s">
        <v>4847</v>
      </c>
      <c r="C1052" s="8" t="s">
        <v>6018</v>
      </c>
      <c r="D1052" s="32" t="s">
        <v>6984</v>
      </c>
      <c r="E1052" s="32" t="s">
        <v>6018</v>
      </c>
      <c r="F1052" s="10">
        <v>4</v>
      </c>
      <c r="G1052" s="8" t="s">
        <v>5973</v>
      </c>
      <c r="H1052" s="10">
        <v>75.900000000000006</v>
      </c>
      <c r="I1052" s="10">
        <f t="shared" si="18"/>
        <v>303.60000000000002</v>
      </c>
      <c r="J1052" s="10">
        <v>27.23274</v>
      </c>
      <c r="K1052" s="8" t="s">
        <v>5963</v>
      </c>
      <c r="S1052"/>
    </row>
    <row r="1053" spans="1:19" ht="15" x14ac:dyDescent="0.25">
      <c r="A1053" s="8" t="s">
        <v>5622</v>
      </c>
      <c r="B1053" s="8" t="s">
        <v>4847</v>
      </c>
      <c r="C1053" s="8" t="s">
        <v>6019</v>
      </c>
      <c r="D1053" s="32" t="s">
        <v>6984</v>
      </c>
      <c r="E1053" s="32" t="s">
        <v>6019</v>
      </c>
      <c r="F1053" s="10">
        <v>1</v>
      </c>
      <c r="G1053" s="8" t="s">
        <v>5973</v>
      </c>
      <c r="H1053" s="10">
        <v>102.3</v>
      </c>
      <c r="I1053" s="10">
        <f t="shared" si="18"/>
        <v>102.3</v>
      </c>
      <c r="J1053" s="10">
        <v>9.1795150000000003</v>
      </c>
      <c r="K1053" s="8" t="s">
        <v>5963</v>
      </c>
      <c r="S1053"/>
    </row>
    <row r="1054" spans="1:19" ht="15" x14ac:dyDescent="0.25">
      <c r="A1054" s="8" t="s">
        <v>5622</v>
      </c>
      <c r="B1054" s="8" t="s">
        <v>4847</v>
      </c>
      <c r="C1054" s="8" t="s">
        <v>6020</v>
      </c>
      <c r="D1054" s="32" t="s">
        <v>6984</v>
      </c>
      <c r="E1054" s="32" t="s">
        <v>6020</v>
      </c>
      <c r="F1054" s="10">
        <v>1</v>
      </c>
      <c r="G1054" s="8" t="s">
        <v>5973</v>
      </c>
      <c r="H1054" s="10">
        <v>75.900000000000006</v>
      </c>
      <c r="I1054" s="10">
        <f t="shared" si="18"/>
        <v>75.900000000000006</v>
      </c>
      <c r="J1054" s="10">
        <v>6.8081849999999999</v>
      </c>
      <c r="K1054" s="8" t="s">
        <v>5963</v>
      </c>
      <c r="S1054"/>
    </row>
    <row r="1055" spans="1:19" ht="15" x14ac:dyDescent="0.25">
      <c r="A1055" s="8" t="s">
        <v>5622</v>
      </c>
      <c r="B1055" s="8" t="s">
        <v>4847</v>
      </c>
      <c r="C1055" s="8" t="s">
        <v>6021</v>
      </c>
      <c r="D1055" s="32" t="s">
        <v>6984</v>
      </c>
      <c r="E1055" s="32" t="s">
        <v>6021</v>
      </c>
      <c r="F1055" s="10">
        <v>2</v>
      </c>
      <c r="G1055" s="8" t="s">
        <v>5973</v>
      </c>
      <c r="H1055" s="10">
        <v>68.95</v>
      </c>
      <c r="I1055" s="10">
        <f t="shared" si="18"/>
        <v>137.9</v>
      </c>
      <c r="J1055" s="10">
        <v>12.369543999999999</v>
      </c>
      <c r="K1055" s="8" t="s">
        <v>5963</v>
      </c>
      <c r="S1055"/>
    </row>
    <row r="1056" spans="1:19" ht="15" x14ac:dyDescent="0.25">
      <c r="A1056" s="8" t="s">
        <v>5622</v>
      </c>
      <c r="B1056" s="8" t="s">
        <v>4847</v>
      </c>
      <c r="C1056" s="8" t="s">
        <v>6022</v>
      </c>
      <c r="D1056" s="32" t="s">
        <v>6984</v>
      </c>
      <c r="E1056" s="32" t="s">
        <v>6022</v>
      </c>
      <c r="F1056" s="10">
        <v>2</v>
      </c>
      <c r="G1056" s="8" t="s">
        <v>5973</v>
      </c>
      <c r="H1056" s="10">
        <v>75.900000000000006</v>
      </c>
      <c r="I1056" s="10">
        <f t="shared" si="18"/>
        <v>151.80000000000001</v>
      </c>
      <c r="J1056" s="10">
        <v>13.61637</v>
      </c>
      <c r="K1056" s="8" t="s">
        <v>5963</v>
      </c>
      <c r="S1056"/>
    </row>
    <row r="1057" spans="1:19" ht="15" x14ac:dyDescent="0.25">
      <c r="A1057" s="8" t="s">
        <v>5622</v>
      </c>
      <c r="B1057" s="8" t="s">
        <v>4847</v>
      </c>
      <c r="C1057" s="8" t="s">
        <v>6023</v>
      </c>
      <c r="D1057" s="32" t="s">
        <v>6984</v>
      </c>
      <c r="E1057" s="32" t="s">
        <v>6023</v>
      </c>
      <c r="F1057" s="10">
        <v>1</v>
      </c>
      <c r="G1057" s="8" t="s">
        <v>5973</v>
      </c>
      <c r="H1057" s="10">
        <v>71.7</v>
      </c>
      <c r="I1057" s="10">
        <f t="shared" si="18"/>
        <v>71.7</v>
      </c>
      <c r="J1057" s="10">
        <v>6.42727</v>
      </c>
      <c r="K1057" s="8" t="s">
        <v>5963</v>
      </c>
      <c r="S1057"/>
    </row>
    <row r="1058" spans="1:19" ht="15" x14ac:dyDescent="0.25">
      <c r="A1058" s="8" t="s">
        <v>5622</v>
      </c>
      <c r="B1058" s="8" t="s">
        <v>4847</v>
      </c>
      <c r="C1058" s="8" t="s">
        <v>6024</v>
      </c>
      <c r="D1058" s="32" t="s">
        <v>6984</v>
      </c>
      <c r="E1058" s="32" t="s">
        <v>6024</v>
      </c>
      <c r="F1058" s="10">
        <v>4</v>
      </c>
      <c r="G1058" s="8" t="s">
        <v>5973</v>
      </c>
      <c r="H1058" s="10">
        <v>71.650000000000006</v>
      </c>
      <c r="I1058" s="10">
        <f t="shared" si="18"/>
        <v>286.60000000000002</v>
      </c>
      <c r="J1058" s="10">
        <v>25.70908</v>
      </c>
      <c r="K1058" s="8" t="s">
        <v>5963</v>
      </c>
      <c r="S1058"/>
    </row>
    <row r="1059" spans="1:19" ht="15" x14ac:dyDescent="0.25">
      <c r="A1059" s="8" t="s">
        <v>5622</v>
      </c>
      <c r="B1059" s="8" t="s">
        <v>4847</v>
      </c>
      <c r="C1059" s="8" t="s">
        <v>6025</v>
      </c>
      <c r="D1059" s="32" t="s">
        <v>6984</v>
      </c>
      <c r="E1059" s="32" t="s">
        <v>6025</v>
      </c>
      <c r="F1059" s="10">
        <v>1</v>
      </c>
      <c r="G1059" s="8" t="s">
        <v>5973</v>
      </c>
      <c r="H1059" s="10">
        <v>71.7</v>
      </c>
      <c r="I1059" s="10">
        <f t="shared" si="18"/>
        <v>71.7</v>
      </c>
      <c r="J1059" s="10">
        <v>6.42727</v>
      </c>
      <c r="K1059" s="8" t="s">
        <v>5963</v>
      </c>
      <c r="S1059"/>
    </row>
    <row r="1060" spans="1:19" ht="15" x14ac:dyDescent="0.25">
      <c r="A1060" s="8" t="s">
        <v>5622</v>
      </c>
      <c r="B1060" s="8" t="s">
        <v>4847</v>
      </c>
      <c r="C1060" s="8" t="s">
        <v>6026</v>
      </c>
      <c r="D1060" s="32" t="s">
        <v>6984</v>
      </c>
      <c r="E1060" s="32" t="s">
        <v>6026</v>
      </c>
      <c r="F1060" s="10">
        <v>1</v>
      </c>
      <c r="G1060" s="8" t="s">
        <v>16</v>
      </c>
      <c r="H1060" s="10">
        <v>671.3</v>
      </c>
      <c r="I1060" s="10">
        <f t="shared" si="18"/>
        <v>671.3</v>
      </c>
      <c r="J1060" s="10">
        <v>12.32987723976</v>
      </c>
      <c r="K1060" s="8" t="s">
        <v>4850</v>
      </c>
      <c r="S1060"/>
    </row>
    <row r="1061" spans="1:19" ht="15" x14ac:dyDescent="0.25">
      <c r="A1061" s="8" t="s">
        <v>5622</v>
      </c>
      <c r="B1061" s="8" t="s">
        <v>4847</v>
      </c>
      <c r="C1061" s="8" t="s">
        <v>6027</v>
      </c>
      <c r="D1061" s="32" t="s">
        <v>6984</v>
      </c>
      <c r="E1061" s="32" t="s">
        <v>6027</v>
      </c>
      <c r="F1061" s="10">
        <v>1</v>
      </c>
      <c r="G1061" s="8" t="s">
        <v>16</v>
      </c>
      <c r="H1061" s="10">
        <v>44.1</v>
      </c>
      <c r="I1061" s="10">
        <f t="shared" si="18"/>
        <v>44.1</v>
      </c>
      <c r="J1061" s="10">
        <v>1.32931295956</v>
      </c>
      <c r="K1061" s="8" t="s">
        <v>4781</v>
      </c>
      <c r="S1061"/>
    </row>
    <row r="1062" spans="1:19" ht="15" x14ac:dyDescent="0.25">
      <c r="A1062" s="8" t="s">
        <v>5622</v>
      </c>
      <c r="B1062" s="8" t="s">
        <v>4847</v>
      </c>
      <c r="C1062" s="8" t="s">
        <v>6028</v>
      </c>
      <c r="D1062" s="32" t="s">
        <v>6984</v>
      </c>
      <c r="E1062" s="32" t="s">
        <v>6028</v>
      </c>
      <c r="F1062" s="10">
        <v>1</v>
      </c>
      <c r="G1062" s="8" t="s">
        <v>16</v>
      </c>
      <c r="H1062" s="10">
        <v>364.8</v>
      </c>
      <c r="I1062" s="10">
        <f t="shared" si="18"/>
        <v>364.8</v>
      </c>
      <c r="J1062" s="10">
        <v>9.28261895232</v>
      </c>
      <c r="K1062" s="8" t="s">
        <v>4949</v>
      </c>
      <c r="S1062"/>
    </row>
    <row r="1063" spans="1:19" ht="15" x14ac:dyDescent="0.25">
      <c r="A1063" s="8" t="s">
        <v>5622</v>
      </c>
      <c r="B1063" s="8" t="s">
        <v>4847</v>
      </c>
      <c r="C1063" s="8" t="s">
        <v>6029</v>
      </c>
      <c r="D1063" s="32" t="s">
        <v>6984</v>
      </c>
      <c r="E1063" s="32" t="s">
        <v>6029</v>
      </c>
      <c r="F1063" s="10">
        <v>1</v>
      </c>
      <c r="G1063" s="8" t="s">
        <v>16</v>
      </c>
      <c r="H1063" s="10">
        <v>419.7</v>
      </c>
      <c r="I1063" s="10">
        <f t="shared" si="18"/>
        <v>419.7</v>
      </c>
      <c r="J1063" s="10">
        <v>10.738039339</v>
      </c>
      <c r="K1063" s="8" t="s">
        <v>4949</v>
      </c>
      <c r="S1063"/>
    </row>
    <row r="1064" spans="1:19" ht="15" x14ac:dyDescent="0.25">
      <c r="A1064" s="8" t="s">
        <v>5622</v>
      </c>
      <c r="B1064" s="8" t="s">
        <v>4847</v>
      </c>
      <c r="C1064" s="8" t="s">
        <v>6030</v>
      </c>
      <c r="D1064" s="32" t="s">
        <v>6984</v>
      </c>
      <c r="E1064" s="32" t="s">
        <v>6030</v>
      </c>
      <c r="F1064" s="10">
        <v>3</v>
      </c>
      <c r="G1064" s="8" t="s">
        <v>5642</v>
      </c>
      <c r="H1064" s="10">
        <v>157.4</v>
      </c>
      <c r="I1064" s="10">
        <f t="shared" si="18"/>
        <v>472.20000000000005</v>
      </c>
      <c r="J1064" s="10">
        <v>18.096519104999999</v>
      </c>
      <c r="K1064" s="8" t="s">
        <v>5643</v>
      </c>
      <c r="S1064"/>
    </row>
    <row r="1065" spans="1:19" ht="15" x14ac:dyDescent="0.25">
      <c r="A1065" s="8" t="s">
        <v>5622</v>
      </c>
      <c r="B1065" s="8" t="s">
        <v>4847</v>
      </c>
      <c r="C1065" s="8" t="s">
        <v>6031</v>
      </c>
      <c r="D1065" s="32" t="s">
        <v>6984</v>
      </c>
      <c r="E1065" s="32" t="s">
        <v>6031</v>
      </c>
      <c r="F1065" s="10">
        <v>1</v>
      </c>
      <c r="G1065" s="8" t="s">
        <v>5642</v>
      </c>
      <c r="H1065" s="10">
        <v>566.9</v>
      </c>
      <c r="I1065" s="10">
        <f t="shared" si="18"/>
        <v>566.9</v>
      </c>
      <c r="J1065" s="10">
        <v>6.5915343899999996</v>
      </c>
      <c r="K1065" s="8" t="s">
        <v>5643</v>
      </c>
      <c r="S1065"/>
    </row>
    <row r="1066" spans="1:19" ht="15" x14ac:dyDescent="0.25">
      <c r="A1066" s="8" t="s">
        <v>5622</v>
      </c>
      <c r="B1066" s="8" t="s">
        <v>4847</v>
      </c>
      <c r="C1066" s="8" t="s">
        <v>6032</v>
      </c>
      <c r="D1066" s="32" t="s">
        <v>6984</v>
      </c>
      <c r="E1066" s="32" t="s">
        <v>6032</v>
      </c>
      <c r="F1066" s="10">
        <v>1</v>
      </c>
      <c r="G1066" s="8" t="s">
        <v>5642</v>
      </c>
      <c r="H1066" s="10">
        <v>206.4</v>
      </c>
      <c r="I1066" s="10">
        <f t="shared" si="18"/>
        <v>206.4</v>
      </c>
      <c r="J1066" s="10">
        <v>6.5619243899999997</v>
      </c>
      <c r="K1066" s="8" t="s">
        <v>5643</v>
      </c>
      <c r="S1066"/>
    </row>
    <row r="1067" spans="1:19" ht="15" x14ac:dyDescent="0.25">
      <c r="A1067" s="8" t="s">
        <v>5622</v>
      </c>
      <c r="B1067" s="8" t="s">
        <v>4847</v>
      </c>
      <c r="C1067" s="8" t="s">
        <v>6033</v>
      </c>
      <c r="D1067" s="32" t="s">
        <v>6984</v>
      </c>
      <c r="E1067" s="32" t="s">
        <v>6033</v>
      </c>
      <c r="F1067" s="10">
        <v>2</v>
      </c>
      <c r="G1067" s="8" t="s">
        <v>5642</v>
      </c>
      <c r="H1067" s="10">
        <v>102.5</v>
      </c>
      <c r="I1067" s="10">
        <f t="shared" si="18"/>
        <v>205</v>
      </c>
      <c r="J1067" s="10">
        <v>12.056786069999999</v>
      </c>
      <c r="K1067" s="8" t="s">
        <v>5643</v>
      </c>
      <c r="S1067"/>
    </row>
    <row r="1068" spans="1:19" ht="15" x14ac:dyDescent="0.25">
      <c r="A1068" s="8" t="s">
        <v>5622</v>
      </c>
      <c r="B1068" s="8" t="s">
        <v>4847</v>
      </c>
      <c r="C1068" s="8" t="s">
        <v>6034</v>
      </c>
      <c r="D1068" s="32" t="s">
        <v>6984</v>
      </c>
      <c r="E1068" s="32" t="s">
        <v>6034</v>
      </c>
      <c r="F1068" s="10">
        <v>1</v>
      </c>
      <c r="G1068" s="8" t="s">
        <v>4903</v>
      </c>
      <c r="H1068" s="10">
        <v>377.7</v>
      </c>
      <c r="I1068" s="10">
        <f t="shared" si="18"/>
        <v>377.7</v>
      </c>
      <c r="J1068" s="10">
        <v>12.061126826000001</v>
      </c>
      <c r="K1068" s="8" t="s">
        <v>4949</v>
      </c>
      <c r="S1068"/>
    </row>
    <row r="1069" spans="1:19" ht="15" x14ac:dyDescent="0.25">
      <c r="A1069" s="8" t="s">
        <v>5622</v>
      </c>
      <c r="B1069" s="8" t="s">
        <v>4847</v>
      </c>
      <c r="C1069" s="8" t="s">
        <v>6035</v>
      </c>
      <c r="D1069" s="32" t="s">
        <v>6984</v>
      </c>
      <c r="E1069" s="32" t="s">
        <v>6035</v>
      </c>
      <c r="F1069" s="10">
        <v>1</v>
      </c>
      <c r="G1069" s="8" t="s">
        <v>4934</v>
      </c>
      <c r="H1069" s="10">
        <v>141.5</v>
      </c>
      <c r="I1069" s="10">
        <f t="shared" si="18"/>
        <v>141.5</v>
      </c>
      <c r="J1069" s="10">
        <v>5.3784072639999998</v>
      </c>
      <c r="K1069" s="8" t="s">
        <v>5049</v>
      </c>
      <c r="S1069"/>
    </row>
    <row r="1070" spans="1:19" ht="15" x14ac:dyDescent="0.25">
      <c r="A1070" s="8" t="s">
        <v>5622</v>
      </c>
      <c r="B1070" s="8" t="s">
        <v>4847</v>
      </c>
      <c r="C1070" s="8" t="s">
        <v>6036</v>
      </c>
      <c r="D1070" s="32" t="s">
        <v>6984</v>
      </c>
      <c r="E1070" s="32" t="s">
        <v>6036</v>
      </c>
      <c r="F1070" s="10">
        <v>1</v>
      </c>
      <c r="G1070" s="8" t="s">
        <v>4934</v>
      </c>
      <c r="H1070" s="10">
        <v>28.8</v>
      </c>
      <c r="I1070" s="10">
        <f t="shared" si="18"/>
        <v>28.8</v>
      </c>
      <c r="J1070" s="10">
        <v>1.050056259</v>
      </c>
      <c r="K1070" s="8" t="s">
        <v>5049</v>
      </c>
      <c r="S1070"/>
    </row>
    <row r="1071" spans="1:19" ht="15" x14ac:dyDescent="0.25">
      <c r="A1071" s="8" t="s">
        <v>5622</v>
      </c>
      <c r="B1071" s="8" t="s">
        <v>4847</v>
      </c>
      <c r="C1071" s="8" t="s">
        <v>6037</v>
      </c>
      <c r="D1071" s="32" t="s">
        <v>6984</v>
      </c>
      <c r="E1071" s="32" t="s">
        <v>6037</v>
      </c>
      <c r="F1071" s="10">
        <v>1</v>
      </c>
      <c r="G1071" s="8" t="s">
        <v>4934</v>
      </c>
      <c r="H1071" s="10">
        <v>40.5</v>
      </c>
      <c r="I1071" s="10">
        <f t="shared" si="18"/>
        <v>40.5</v>
      </c>
      <c r="J1071" s="10">
        <v>1.5283384440000001</v>
      </c>
      <c r="K1071" s="8" t="s">
        <v>5049</v>
      </c>
      <c r="S1071"/>
    </row>
    <row r="1072" spans="1:19" ht="15" x14ac:dyDescent="0.25">
      <c r="A1072" s="8" t="s">
        <v>5622</v>
      </c>
      <c r="B1072" s="8" t="s">
        <v>4847</v>
      </c>
      <c r="C1072" s="8" t="s">
        <v>6038</v>
      </c>
      <c r="D1072" s="32" t="s">
        <v>6984</v>
      </c>
      <c r="E1072" s="32" t="s">
        <v>6038</v>
      </c>
      <c r="F1072" s="10">
        <v>1</v>
      </c>
      <c r="G1072" s="8" t="s">
        <v>4934</v>
      </c>
      <c r="H1072" s="10">
        <v>140.30000000000001</v>
      </c>
      <c r="I1072" s="10">
        <f t="shared" si="18"/>
        <v>140.30000000000001</v>
      </c>
      <c r="J1072" s="10">
        <v>5.3447776640000004</v>
      </c>
      <c r="K1072" s="8" t="s">
        <v>5049</v>
      </c>
      <c r="S1072"/>
    </row>
    <row r="1073" spans="1:19" ht="15" x14ac:dyDescent="0.25">
      <c r="A1073" s="8" t="s">
        <v>5622</v>
      </c>
      <c r="B1073" s="8" t="s">
        <v>4847</v>
      </c>
      <c r="C1073" s="8" t="s">
        <v>6039</v>
      </c>
      <c r="D1073" s="32" t="s">
        <v>6984</v>
      </c>
      <c r="E1073" s="32" t="s">
        <v>6039</v>
      </c>
      <c r="F1073" s="10">
        <v>1</v>
      </c>
      <c r="G1073" s="8" t="s">
        <v>4934</v>
      </c>
      <c r="H1073" s="10">
        <v>63.8</v>
      </c>
      <c r="I1073" s="10">
        <f t="shared" si="18"/>
        <v>63.8</v>
      </c>
      <c r="J1073" s="10">
        <v>2.4138821840000002</v>
      </c>
      <c r="K1073" s="8" t="s">
        <v>5049</v>
      </c>
      <c r="S1073"/>
    </row>
    <row r="1074" spans="1:19" ht="15" x14ac:dyDescent="0.25">
      <c r="A1074" s="8" t="s">
        <v>5622</v>
      </c>
      <c r="B1074" s="8" t="s">
        <v>4847</v>
      </c>
      <c r="C1074" s="8" t="s">
        <v>6040</v>
      </c>
      <c r="D1074" s="32" t="s">
        <v>6984</v>
      </c>
      <c r="E1074" s="32" t="s">
        <v>6040</v>
      </c>
      <c r="F1074" s="10">
        <v>6</v>
      </c>
      <c r="G1074" s="8" t="s">
        <v>5832</v>
      </c>
      <c r="H1074" s="10">
        <v>8.9333333333333336</v>
      </c>
      <c r="I1074" s="10">
        <f t="shared" si="18"/>
        <v>53.6</v>
      </c>
      <c r="J1074" s="10">
        <v>2.944566</v>
      </c>
      <c r="K1074" s="8" t="s">
        <v>5245</v>
      </c>
      <c r="S1074"/>
    </row>
    <row r="1075" spans="1:19" ht="15" x14ac:dyDescent="0.25">
      <c r="A1075" s="8" t="s">
        <v>5622</v>
      </c>
      <c r="B1075" s="8" t="s">
        <v>4847</v>
      </c>
      <c r="C1075" s="8" t="s">
        <v>6041</v>
      </c>
      <c r="D1075" s="32" t="s">
        <v>6984</v>
      </c>
      <c r="E1075" s="32" t="s">
        <v>6041</v>
      </c>
      <c r="F1075" s="10">
        <v>18</v>
      </c>
      <c r="G1075" s="8" t="s">
        <v>5832</v>
      </c>
      <c r="H1075" s="10">
        <v>10.088888888888889</v>
      </c>
      <c r="I1075" s="10">
        <f t="shared" si="18"/>
        <v>181.6</v>
      </c>
      <c r="J1075" s="10">
        <v>9.9995580000000004</v>
      </c>
      <c r="K1075" s="8" t="s">
        <v>5245</v>
      </c>
      <c r="S1075"/>
    </row>
    <row r="1076" spans="1:19" ht="15" x14ac:dyDescent="0.25">
      <c r="A1076" s="8" t="s">
        <v>5622</v>
      </c>
      <c r="B1076" s="8" t="s">
        <v>4847</v>
      </c>
      <c r="C1076" s="8" t="s">
        <v>6042</v>
      </c>
      <c r="D1076" s="32" t="s">
        <v>6984</v>
      </c>
      <c r="E1076" s="32" t="s">
        <v>6042</v>
      </c>
      <c r="F1076" s="10">
        <v>12</v>
      </c>
      <c r="G1076" s="8" t="s">
        <v>5832</v>
      </c>
      <c r="H1076" s="10">
        <v>10.066666666666666</v>
      </c>
      <c r="I1076" s="10">
        <f t="shared" si="18"/>
        <v>120.8</v>
      </c>
      <c r="J1076" s="10">
        <v>6.6511319999999996</v>
      </c>
      <c r="K1076" s="8" t="s">
        <v>5245</v>
      </c>
      <c r="S1076"/>
    </row>
    <row r="1077" spans="1:19" ht="15" x14ac:dyDescent="0.25">
      <c r="A1077" s="8" t="s">
        <v>5622</v>
      </c>
      <c r="B1077" s="8" t="s">
        <v>4847</v>
      </c>
      <c r="C1077" s="8" t="s">
        <v>6043</v>
      </c>
      <c r="D1077" s="32" t="s">
        <v>6984</v>
      </c>
      <c r="E1077" s="32" t="s">
        <v>6043</v>
      </c>
      <c r="F1077" s="10">
        <v>6</v>
      </c>
      <c r="G1077" s="8" t="s">
        <v>5832</v>
      </c>
      <c r="H1077" s="10">
        <v>7.25</v>
      </c>
      <c r="I1077" s="10">
        <f t="shared" si="18"/>
        <v>43.5</v>
      </c>
      <c r="J1077" s="10">
        <v>2.3806859999999999</v>
      </c>
      <c r="K1077" s="8" t="s">
        <v>5245</v>
      </c>
      <c r="S1077"/>
    </row>
    <row r="1078" spans="1:19" ht="15" x14ac:dyDescent="0.25">
      <c r="A1078" s="8" t="s">
        <v>5622</v>
      </c>
      <c r="B1078" s="8" t="s">
        <v>4847</v>
      </c>
      <c r="C1078" s="8" t="s">
        <v>6044</v>
      </c>
      <c r="D1078" s="32" t="s">
        <v>6984</v>
      </c>
      <c r="E1078" s="32" t="s">
        <v>6044</v>
      </c>
      <c r="F1078" s="10">
        <v>2</v>
      </c>
      <c r="G1078" s="8" t="s">
        <v>5832</v>
      </c>
      <c r="H1078" s="10">
        <v>7.75</v>
      </c>
      <c r="I1078" s="10">
        <f t="shared" si="18"/>
        <v>15.5</v>
      </c>
      <c r="J1078" s="10">
        <v>0.84944200000000003</v>
      </c>
      <c r="K1078" s="8" t="s">
        <v>5245</v>
      </c>
      <c r="S1078"/>
    </row>
    <row r="1079" spans="1:19" ht="15" x14ac:dyDescent="0.25">
      <c r="A1079" s="8" t="s">
        <v>5622</v>
      </c>
      <c r="B1079" s="8" t="s">
        <v>4847</v>
      </c>
      <c r="C1079" s="8" t="s">
        <v>6045</v>
      </c>
      <c r="D1079" s="32" t="s">
        <v>6984</v>
      </c>
      <c r="E1079" s="32" t="s">
        <v>6045</v>
      </c>
      <c r="F1079" s="10">
        <v>3</v>
      </c>
      <c r="G1079" s="8" t="s">
        <v>5832</v>
      </c>
      <c r="H1079" s="10">
        <v>10.1</v>
      </c>
      <c r="I1079" s="10">
        <f t="shared" si="18"/>
        <v>30.299999999999997</v>
      </c>
      <c r="J1079" s="10">
        <v>1.666593</v>
      </c>
      <c r="K1079" s="8" t="s">
        <v>5245</v>
      </c>
      <c r="S1079"/>
    </row>
    <row r="1080" spans="1:19" ht="15" x14ac:dyDescent="0.25">
      <c r="A1080" s="8" t="s">
        <v>5622</v>
      </c>
      <c r="B1080" s="8" t="s">
        <v>4847</v>
      </c>
      <c r="C1080" s="8" t="s">
        <v>6046</v>
      </c>
      <c r="D1080" s="32" t="s">
        <v>6984</v>
      </c>
      <c r="E1080" s="32" t="s">
        <v>6046</v>
      </c>
      <c r="F1080" s="10">
        <v>2</v>
      </c>
      <c r="G1080" s="8" t="s">
        <v>5642</v>
      </c>
      <c r="H1080" s="10">
        <v>4.75</v>
      </c>
      <c r="I1080" s="10">
        <f t="shared" si="18"/>
        <v>9.5</v>
      </c>
      <c r="J1080" s="10">
        <v>0.53888639999999999</v>
      </c>
      <c r="K1080" s="8" t="s">
        <v>5248</v>
      </c>
      <c r="S1080"/>
    </row>
    <row r="1081" spans="1:19" ht="15" x14ac:dyDescent="0.25">
      <c r="A1081" s="8" t="s">
        <v>4932</v>
      </c>
      <c r="B1081" s="8" t="s">
        <v>14</v>
      </c>
      <c r="C1081" s="8" t="s">
        <v>6047</v>
      </c>
      <c r="D1081" s="32" t="s">
        <v>6984</v>
      </c>
      <c r="E1081" s="32" t="s">
        <v>6047</v>
      </c>
      <c r="F1081" s="10">
        <v>1</v>
      </c>
      <c r="G1081" s="8" t="s">
        <v>5642</v>
      </c>
      <c r="H1081" s="10">
        <v>6.7</v>
      </c>
      <c r="I1081" s="10">
        <f t="shared" si="18"/>
        <v>6.7</v>
      </c>
      <c r="J1081" s="10">
        <v>0.28270200000000001</v>
      </c>
      <c r="K1081" s="8" t="s">
        <v>5335</v>
      </c>
      <c r="S1081"/>
    </row>
    <row r="1082" spans="1:19" ht="15" x14ac:dyDescent="0.25">
      <c r="A1082" s="8" t="s">
        <v>4932</v>
      </c>
      <c r="B1082" s="8" t="s">
        <v>14</v>
      </c>
      <c r="C1082" s="8" t="s">
        <v>6048</v>
      </c>
      <c r="D1082" s="32" t="s">
        <v>6984</v>
      </c>
      <c r="E1082" s="32" t="s">
        <v>6048</v>
      </c>
      <c r="F1082" s="10">
        <v>2</v>
      </c>
      <c r="G1082" s="8" t="s">
        <v>5642</v>
      </c>
      <c r="H1082" s="10">
        <v>4.75</v>
      </c>
      <c r="I1082" s="10">
        <f t="shared" si="18"/>
        <v>9.5</v>
      </c>
      <c r="J1082" s="10">
        <v>0.53522879999999995</v>
      </c>
      <c r="K1082" s="8" t="s">
        <v>5248</v>
      </c>
      <c r="S1082"/>
    </row>
    <row r="1083" spans="1:19" ht="15" x14ac:dyDescent="0.25">
      <c r="A1083" s="8" t="s">
        <v>4932</v>
      </c>
      <c r="B1083" s="8" t="s">
        <v>14</v>
      </c>
      <c r="C1083" s="8" t="s">
        <v>6049</v>
      </c>
      <c r="D1083" s="32" t="s">
        <v>6984</v>
      </c>
      <c r="E1083" s="32" t="s">
        <v>6049</v>
      </c>
      <c r="F1083" s="10">
        <v>2</v>
      </c>
      <c r="G1083" s="8" t="s">
        <v>5642</v>
      </c>
      <c r="H1083" s="10">
        <v>8.5</v>
      </c>
      <c r="I1083" s="10">
        <f t="shared" si="18"/>
        <v>17</v>
      </c>
      <c r="J1083" s="10">
        <v>0.70896479999999995</v>
      </c>
      <c r="K1083" s="8" t="s">
        <v>5051</v>
      </c>
      <c r="S1083"/>
    </row>
    <row r="1084" spans="1:19" ht="15" x14ac:dyDescent="0.25">
      <c r="A1084" s="8" t="s">
        <v>4932</v>
      </c>
      <c r="B1084" s="8" t="s">
        <v>14</v>
      </c>
      <c r="C1084" s="8" t="s">
        <v>6050</v>
      </c>
      <c r="D1084" s="32" t="s">
        <v>6984</v>
      </c>
      <c r="E1084" s="32" t="s">
        <v>6050</v>
      </c>
      <c r="F1084" s="10">
        <v>4</v>
      </c>
      <c r="G1084" s="8" t="s">
        <v>5642</v>
      </c>
      <c r="H1084" s="10">
        <v>4.7</v>
      </c>
      <c r="I1084" s="10">
        <f t="shared" si="18"/>
        <v>18.8</v>
      </c>
      <c r="J1084" s="10">
        <v>1.0655808</v>
      </c>
      <c r="K1084" s="8" t="s">
        <v>5248</v>
      </c>
      <c r="S1084"/>
    </row>
    <row r="1085" spans="1:19" ht="15" x14ac:dyDescent="0.25">
      <c r="A1085" s="8" t="s">
        <v>4932</v>
      </c>
      <c r="B1085" s="8" t="s">
        <v>14</v>
      </c>
      <c r="C1085" s="8" t="s">
        <v>6051</v>
      </c>
      <c r="D1085" s="32" t="s">
        <v>6984</v>
      </c>
      <c r="E1085" s="32" t="s">
        <v>6051</v>
      </c>
      <c r="F1085" s="10">
        <v>2</v>
      </c>
      <c r="G1085" s="8" t="s">
        <v>5642</v>
      </c>
      <c r="H1085" s="10">
        <v>4.75</v>
      </c>
      <c r="I1085" s="10">
        <f t="shared" si="18"/>
        <v>9.5</v>
      </c>
      <c r="J1085" s="10">
        <v>0.53522879999999995</v>
      </c>
      <c r="K1085" s="8" t="s">
        <v>5248</v>
      </c>
      <c r="S1085"/>
    </row>
    <row r="1086" spans="1:19" ht="15" x14ac:dyDescent="0.25">
      <c r="A1086" s="8" t="s">
        <v>4932</v>
      </c>
      <c r="B1086" s="8" t="s">
        <v>14</v>
      </c>
      <c r="C1086" s="8" t="s">
        <v>6052</v>
      </c>
      <c r="D1086" s="32" t="s">
        <v>6984</v>
      </c>
      <c r="E1086" s="32" t="s">
        <v>6052</v>
      </c>
      <c r="F1086" s="10">
        <v>1</v>
      </c>
      <c r="G1086" s="8" t="s">
        <v>5642</v>
      </c>
      <c r="H1086" s="10">
        <v>21.9</v>
      </c>
      <c r="I1086" s="10">
        <f t="shared" si="18"/>
        <v>21.9</v>
      </c>
      <c r="J1086" s="10">
        <v>0.91257120000000003</v>
      </c>
      <c r="K1086" s="8" t="s">
        <v>5051</v>
      </c>
      <c r="S1086"/>
    </row>
    <row r="1087" spans="1:19" ht="15" x14ac:dyDescent="0.25">
      <c r="A1087" s="8" t="s">
        <v>4932</v>
      </c>
      <c r="B1087" s="8" t="s">
        <v>14</v>
      </c>
      <c r="C1087" s="8" t="s">
        <v>6053</v>
      </c>
      <c r="D1087" s="32" t="s">
        <v>6984</v>
      </c>
      <c r="E1087" s="32" t="s">
        <v>6053</v>
      </c>
      <c r="F1087" s="10">
        <v>1</v>
      </c>
      <c r="G1087" s="8" t="s">
        <v>5642</v>
      </c>
      <c r="H1087" s="10">
        <v>21.9</v>
      </c>
      <c r="I1087" s="10">
        <f t="shared" si="18"/>
        <v>21.9</v>
      </c>
      <c r="J1087" s="10">
        <v>0.91257120000000003</v>
      </c>
      <c r="K1087" s="8" t="s">
        <v>5051</v>
      </c>
      <c r="S1087"/>
    </row>
    <row r="1088" spans="1:19" ht="15" x14ac:dyDescent="0.25">
      <c r="A1088" s="8" t="s">
        <v>4932</v>
      </c>
      <c r="B1088" s="8" t="s">
        <v>14</v>
      </c>
      <c r="C1088" s="8" t="s">
        <v>6054</v>
      </c>
      <c r="D1088" s="32" t="s">
        <v>6984</v>
      </c>
      <c r="E1088" s="32" t="s">
        <v>6054</v>
      </c>
      <c r="F1088" s="10">
        <v>1</v>
      </c>
      <c r="G1088" s="8" t="s">
        <v>5642</v>
      </c>
      <c r="H1088" s="10">
        <v>6.7</v>
      </c>
      <c r="I1088" s="10">
        <f t="shared" si="18"/>
        <v>6.7</v>
      </c>
      <c r="J1088" s="10">
        <v>0.28244799999999998</v>
      </c>
      <c r="K1088" s="8" t="s">
        <v>5335</v>
      </c>
      <c r="S1088"/>
    </row>
    <row r="1089" spans="1:19" ht="15" x14ac:dyDescent="0.25">
      <c r="A1089" s="8" t="s">
        <v>4932</v>
      </c>
      <c r="B1089" s="8" t="s">
        <v>14</v>
      </c>
      <c r="C1089" s="8" t="s">
        <v>6055</v>
      </c>
      <c r="D1089" s="32" t="s">
        <v>6984</v>
      </c>
      <c r="E1089" s="32" t="s">
        <v>6055</v>
      </c>
      <c r="F1089" s="10">
        <v>2</v>
      </c>
      <c r="G1089" s="8" t="s">
        <v>5642</v>
      </c>
      <c r="H1089" s="10">
        <v>5.95</v>
      </c>
      <c r="I1089" s="10">
        <f t="shared" si="18"/>
        <v>11.9</v>
      </c>
      <c r="J1089" s="10">
        <v>0.504444</v>
      </c>
      <c r="K1089" s="8" t="s">
        <v>5335</v>
      </c>
      <c r="S1089"/>
    </row>
    <row r="1090" spans="1:19" ht="15" x14ac:dyDescent="0.25">
      <c r="A1090" s="8" t="s">
        <v>4932</v>
      </c>
      <c r="B1090" s="8" t="s">
        <v>14</v>
      </c>
      <c r="C1090" s="8" t="s">
        <v>6056</v>
      </c>
      <c r="D1090" s="32" t="s">
        <v>6984</v>
      </c>
      <c r="E1090" s="32" t="s">
        <v>6056</v>
      </c>
      <c r="F1090" s="10">
        <v>4</v>
      </c>
      <c r="G1090" s="8" t="s">
        <v>22</v>
      </c>
      <c r="H1090" s="10">
        <v>0.42499999999999999</v>
      </c>
      <c r="I1090" s="10">
        <f t="shared" si="18"/>
        <v>1.7</v>
      </c>
      <c r="J1090" s="10">
        <v>5.5595520000000002E-2</v>
      </c>
      <c r="K1090" s="8" t="s">
        <v>23</v>
      </c>
      <c r="S1090"/>
    </row>
    <row r="1091" spans="1:19" ht="15" x14ac:dyDescent="0.25">
      <c r="A1091" s="8" t="s">
        <v>4932</v>
      </c>
      <c r="B1091" s="8" t="s">
        <v>14</v>
      </c>
      <c r="C1091" s="8" t="s">
        <v>6057</v>
      </c>
      <c r="D1091" s="32" t="s">
        <v>6984</v>
      </c>
      <c r="E1091" s="32" t="s">
        <v>6057</v>
      </c>
      <c r="F1091" s="10">
        <v>2</v>
      </c>
      <c r="G1091" s="8" t="s">
        <v>22</v>
      </c>
      <c r="H1091" s="10">
        <v>2.4500000000000002</v>
      </c>
      <c r="I1091" s="10">
        <f t="shared" si="18"/>
        <v>4.9000000000000004</v>
      </c>
      <c r="J1091" s="10">
        <v>0.20047499999999999</v>
      </c>
      <c r="K1091" s="8" t="s">
        <v>4798</v>
      </c>
      <c r="S1091"/>
    </row>
    <row r="1092" spans="1:19" ht="15" x14ac:dyDescent="0.25">
      <c r="A1092" s="8" t="s">
        <v>4932</v>
      </c>
      <c r="B1092" s="8" t="s">
        <v>14</v>
      </c>
      <c r="C1092" s="8" t="s">
        <v>6058</v>
      </c>
      <c r="D1092" s="32" t="s">
        <v>6984</v>
      </c>
      <c r="E1092" s="32" t="s">
        <v>6058</v>
      </c>
      <c r="F1092" s="10">
        <v>16</v>
      </c>
      <c r="G1092" s="8" t="s">
        <v>22</v>
      </c>
      <c r="H1092" s="10">
        <v>1</v>
      </c>
      <c r="I1092" s="10">
        <f t="shared" si="18"/>
        <v>16</v>
      </c>
      <c r="J1092" s="10">
        <v>0.65610000000000002</v>
      </c>
      <c r="K1092" s="8" t="s">
        <v>4798</v>
      </c>
      <c r="S1092"/>
    </row>
    <row r="1093" spans="1:19" ht="15" x14ac:dyDescent="0.25">
      <c r="A1093" s="8" t="s">
        <v>4932</v>
      </c>
      <c r="B1093" s="8" t="s">
        <v>14</v>
      </c>
      <c r="C1093" s="8" t="s">
        <v>6059</v>
      </c>
      <c r="D1093" s="32" t="s">
        <v>6984</v>
      </c>
      <c r="E1093" s="32" t="s">
        <v>6059</v>
      </c>
      <c r="F1093" s="10">
        <v>4</v>
      </c>
      <c r="G1093" s="8" t="s">
        <v>22</v>
      </c>
      <c r="H1093" s="10">
        <v>5.875</v>
      </c>
      <c r="I1093" s="10">
        <f t="shared" ref="I1093:I1156" si="19">F1093*H1093</f>
        <v>23.5</v>
      </c>
      <c r="J1093" s="10">
        <v>0.25224000000000002</v>
      </c>
      <c r="K1093" s="8" t="s">
        <v>6060</v>
      </c>
      <c r="S1093"/>
    </row>
    <row r="1094" spans="1:19" ht="15" x14ac:dyDescent="0.25">
      <c r="A1094" s="8" t="s">
        <v>4932</v>
      </c>
      <c r="B1094" s="8" t="s">
        <v>14</v>
      </c>
      <c r="C1094" s="8" t="s">
        <v>6061</v>
      </c>
      <c r="D1094" s="32" t="s">
        <v>6984</v>
      </c>
      <c r="E1094" s="32" t="s">
        <v>6061</v>
      </c>
      <c r="F1094" s="10">
        <v>2</v>
      </c>
      <c r="G1094" s="8" t="s">
        <v>22</v>
      </c>
      <c r="H1094" s="10">
        <v>9.6999999999999993</v>
      </c>
      <c r="I1094" s="10">
        <f t="shared" si="19"/>
        <v>19.399999999999999</v>
      </c>
      <c r="J1094" s="10">
        <v>0.20809800000000001</v>
      </c>
      <c r="K1094" s="8" t="s">
        <v>6060</v>
      </c>
      <c r="S1094"/>
    </row>
    <row r="1095" spans="1:19" ht="15" x14ac:dyDescent="0.25">
      <c r="A1095" s="8" t="s">
        <v>4932</v>
      </c>
      <c r="B1095" s="8" t="s">
        <v>14</v>
      </c>
      <c r="C1095" s="8" t="s">
        <v>6062</v>
      </c>
      <c r="D1095" s="32" t="s">
        <v>6984</v>
      </c>
      <c r="E1095" s="32" t="s">
        <v>6062</v>
      </c>
      <c r="F1095" s="10">
        <v>1</v>
      </c>
      <c r="G1095" s="8" t="s">
        <v>22</v>
      </c>
      <c r="H1095" s="10">
        <v>1</v>
      </c>
      <c r="I1095" s="10">
        <f t="shared" si="19"/>
        <v>1</v>
      </c>
      <c r="J1095" s="10">
        <v>1.02998E-2</v>
      </c>
      <c r="K1095" s="8" t="s">
        <v>6063</v>
      </c>
      <c r="S1095"/>
    </row>
    <row r="1096" spans="1:19" ht="15" x14ac:dyDescent="0.25">
      <c r="A1096" s="8" t="s">
        <v>5622</v>
      </c>
      <c r="B1096" s="8" t="s">
        <v>4847</v>
      </c>
      <c r="C1096" s="8" t="s">
        <v>6064</v>
      </c>
      <c r="D1096" s="32" t="s">
        <v>6984</v>
      </c>
      <c r="E1096" s="32" t="s">
        <v>6064</v>
      </c>
      <c r="F1096" s="10">
        <v>2</v>
      </c>
      <c r="G1096" s="8" t="s">
        <v>5139</v>
      </c>
      <c r="H1096" s="10">
        <v>158.94999999999999</v>
      </c>
      <c r="I1096" s="10">
        <f t="shared" si="19"/>
        <v>317.89999999999998</v>
      </c>
      <c r="J1096" s="10">
        <v>21.169720685600002</v>
      </c>
      <c r="K1096" s="8" t="s">
        <v>5128</v>
      </c>
      <c r="S1096"/>
    </row>
    <row r="1097" spans="1:19" ht="15" x14ac:dyDescent="0.25">
      <c r="A1097" s="8" t="s">
        <v>5622</v>
      </c>
      <c r="B1097" s="8" t="s">
        <v>4847</v>
      </c>
      <c r="C1097" s="8" t="s">
        <v>6065</v>
      </c>
      <c r="D1097" s="32" t="s">
        <v>6984</v>
      </c>
      <c r="E1097" s="32" t="s">
        <v>6065</v>
      </c>
      <c r="F1097" s="10">
        <v>1</v>
      </c>
      <c r="G1097" s="8" t="s">
        <v>5139</v>
      </c>
      <c r="H1097" s="10">
        <v>194.9</v>
      </c>
      <c r="I1097" s="10">
        <f t="shared" si="19"/>
        <v>194.9</v>
      </c>
      <c r="J1097" s="10">
        <v>13.1308414868</v>
      </c>
      <c r="K1097" s="8" t="s">
        <v>5128</v>
      </c>
      <c r="S1097"/>
    </row>
    <row r="1098" spans="1:19" ht="15" x14ac:dyDescent="0.25">
      <c r="A1098" s="8" t="s">
        <v>5622</v>
      </c>
      <c r="B1098" s="8" t="s">
        <v>4847</v>
      </c>
      <c r="C1098" s="8" t="s">
        <v>6066</v>
      </c>
      <c r="D1098" s="32" t="s">
        <v>6984</v>
      </c>
      <c r="E1098" s="32" t="s">
        <v>6066</v>
      </c>
      <c r="F1098" s="10">
        <v>1</v>
      </c>
      <c r="G1098" s="8" t="s">
        <v>5139</v>
      </c>
      <c r="H1098" s="10">
        <v>158.6</v>
      </c>
      <c r="I1098" s="10">
        <f t="shared" si="19"/>
        <v>158.6</v>
      </c>
      <c r="J1098" s="10">
        <v>10.559832670800001</v>
      </c>
      <c r="K1098" s="8" t="s">
        <v>5128</v>
      </c>
      <c r="S1098"/>
    </row>
    <row r="1099" spans="1:19" ht="15" x14ac:dyDescent="0.25">
      <c r="A1099" s="8" t="s">
        <v>5622</v>
      </c>
      <c r="B1099" s="8" t="s">
        <v>4847</v>
      </c>
      <c r="C1099" s="8" t="s">
        <v>6067</v>
      </c>
      <c r="D1099" s="32" t="s">
        <v>6984</v>
      </c>
      <c r="E1099" s="32" t="s">
        <v>6067</v>
      </c>
      <c r="F1099" s="10">
        <v>1</v>
      </c>
      <c r="G1099" s="8" t="s">
        <v>5101</v>
      </c>
      <c r="H1099" s="10">
        <v>42.3</v>
      </c>
      <c r="I1099" s="10">
        <f t="shared" si="19"/>
        <v>42.3</v>
      </c>
      <c r="J1099" s="10">
        <v>2.3013332308000001</v>
      </c>
      <c r="K1099" s="8" t="s">
        <v>5130</v>
      </c>
      <c r="S1099"/>
    </row>
    <row r="1100" spans="1:19" ht="15" x14ac:dyDescent="0.25">
      <c r="A1100" s="8" t="s">
        <v>6068</v>
      </c>
      <c r="B1100" s="8" t="s">
        <v>6069</v>
      </c>
      <c r="C1100" s="8" t="s">
        <v>6070</v>
      </c>
      <c r="D1100" s="32" t="s">
        <v>6984</v>
      </c>
      <c r="E1100" s="32" t="s">
        <v>6070</v>
      </c>
      <c r="F1100" s="10">
        <v>1</v>
      </c>
      <c r="G1100" s="8" t="s">
        <v>16</v>
      </c>
      <c r="H1100" s="10">
        <v>353.9</v>
      </c>
      <c r="I1100" s="10">
        <f t="shared" si="19"/>
        <v>353.9</v>
      </c>
      <c r="J1100" s="10">
        <v>10.763436584999999</v>
      </c>
      <c r="K1100" s="8" t="s">
        <v>5038</v>
      </c>
      <c r="S1100"/>
    </row>
    <row r="1101" spans="1:19" ht="15" x14ac:dyDescent="0.25">
      <c r="A1101" s="8" t="s">
        <v>6071</v>
      </c>
      <c r="B1101" s="8" t="s">
        <v>6069</v>
      </c>
      <c r="C1101" s="8" t="s">
        <v>6072</v>
      </c>
      <c r="D1101" s="32" t="s">
        <v>6984</v>
      </c>
      <c r="E1101" s="32" t="s">
        <v>6072</v>
      </c>
      <c r="F1101" s="10">
        <v>1</v>
      </c>
      <c r="G1101" s="8" t="s">
        <v>16</v>
      </c>
      <c r="H1101" s="10">
        <v>358.4</v>
      </c>
      <c r="I1101" s="10">
        <f t="shared" si="19"/>
        <v>358.4</v>
      </c>
      <c r="J1101" s="10">
        <v>10.902950625000001</v>
      </c>
      <c r="K1101" s="8" t="s">
        <v>5038</v>
      </c>
      <c r="S1101"/>
    </row>
    <row r="1102" spans="1:19" ht="15" x14ac:dyDescent="0.25">
      <c r="A1102" s="8" t="s">
        <v>6068</v>
      </c>
      <c r="B1102" s="8" t="s">
        <v>6069</v>
      </c>
      <c r="C1102" s="8" t="s">
        <v>6073</v>
      </c>
      <c r="D1102" s="32" t="s">
        <v>6984</v>
      </c>
      <c r="E1102" s="32" t="s">
        <v>6073</v>
      </c>
      <c r="F1102" s="10">
        <v>1</v>
      </c>
      <c r="G1102" s="8" t="s">
        <v>16</v>
      </c>
      <c r="H1102" s="10">
        <v>391.1</v>
      </c>
      <c r="I1102" s="10">
        <f t="shared" si="19"/>
        <v>391.1</v>
      </c>
      <c r="J1102" s="10">
        <v>11.83208838</v>
      </c>
      <c r="K1102" s="8" t="s">
        <v>5038</v>
      </c>
      <c r="S1102"/>
    </row>
    <row r="1103" spans="1:19" ht="15" x14ac:dyDescent="0.25">
      <c r="A1103" s="8" t="s">
        <v>6068</v>
      </c>
      <c r="B1103" s="8" t="s">
        <v>6069</v>
      </c>
      <c r="C1103" s="8" t="s">
        <v>6074</v>
      </c>
      <c r="D1103" s="32" t="s">
        <v>6984</v>
      </c>
      <c r="E1103" s="32" t="s">
        <v>6074</v>
      </c>
      <c r="F1103" s="10">
        <v>1</v>
      </c>
      <c r="G1103" s="8" t="s">
        <v>16</v>
      </c>
      <c r="H1103" s="10">
        <v>402.7</v>
      </c>
      <c r="I1103" s="10">
        <f t="shared" si="19"/>
        <v>402.7</v>
      </c>
      <c r="J1103" s="10">
        <v>12.262110855</v>
      </c>
      <c r="K1103" s="8" t="s">
        <v>5038</v>
      </c>
      <c r="S1103"/>
    </row>
    <row r="1104" spans="1:19" ht="15" x14ac:dyDescent="0.25">
      <c r="A1104" s="8" t="s">
        <v>6071</v>
      </c>
      <c r="B1104" s="8" t="s">
        <v>6069</v>
      </c>
      <c r="C1104" s="8" t="s">
        <v>6075</v>
      </c>
      <c r="D1104" s="32" t="s">
        <v>6984</v>
      </c>
      <c r="E1104" s="32" t="s">
        <v>6075</v>
      </c>
      <c r="F1104" s="10">
        <v>1</v>
      </c>
      <c r="G1104" s="8" t="s">
        <v>16</v>
      </c>
      <c r="H1104" s="10">
        <v>358.4</v>
      </c>
      <c r="I1104" s="10">
        <f t="shared" si="19"/>
        <v>358.4</v>
      </c>
      <c r="J1104" s="10">
        <v>10.930872992999999</v>
      </c>
      <c r="K1104" s="8" t="s">
        <v>5038</v>
      </c>
      <c r="S1104"/>
    </row>
    <row r="1105" spans="1:19" ht="15" x14ac:dyDescent="0.25">
      <c r="A1105" s="8" t="s">
        <v>6071</v>
      </c>
      <c r="B1105" s="8" t="s">
        <v>6069</v>
      </c>
      <c r="C1105" s="8" t="s">
        <v>6076</v>
      </c>
      <c r="D1105" s="32" t="s">
        <v>6984</v>
      </c>
      <c r="E1105" s="32" t="s">
        <v>6076</v>
      </c>
      <c r="F1105" s="10">
        <v>1</v>
      </c>
      <c r="G1105" s="8" t="s">
        <v>16</v>
      </c>
      <c r="H1105" s="10">
        <v>367.2</v>
      </c>
      <c r="I1105" s="10">
        <f t="shared" si="19"/>
        <v>367.2</v>
      </c>
      <c r="J1105" s="10">
        <v>11.168138624999999</v>
      </c>
      <c r="K1105" s="8" t="s">
        <v>5038</v>
      </c>
      <c r="S1105"/>
    </row>
    <row r="1106" spans="1:19" ht="15" x14ac:dyDescent="0.25">
      <c r="A1106" s="8" t="s">
        <v>6071</v>
      </c>
      <c r="B1106" s="8" t="s">
        <v>6069</v>
      </c>
      <c r="C1106" s="8" t="s">
        <v>6077</v>
      </c>
      <c r="D1106" s="32" t="s">
        <v>6984</v>
      </c>
      <c r="E1106" s="32" t="s">
        <v>6077</v>
      </c>
      <c r="F1106" s="10">
        <v>1</v>
      </c>
      <c r="G1106" s="8" t="s">
        <v>16</v>
      </c>
      <c r="H1106" s="10">
        <v>358.6</v>
      </c>
      <c r="I1106" s="10">
        <f t="shared" si="19"/>
        <v>358.6</v>
      </c>
      <c r="J1106" s="10">
        <v>10.9187292</v>
      </c>
      <c r="K1106" s="8" t="s">
        <v>5038</v>
      </c>
      <c r="S1106"/>
    </row>
    <row r="1107" spans="1:19" ht="15" x14ac:dyDescent="0.25">
      <c r="A1107" s="8" t="s">
        <v>6071</v>
      </c>
      <c r="B1107" s="8" t="s">
        <v>6069</v>
      </c>
      <c r="C1107" s="8" t="s">
        <v>6078</v>
      </c>
      <c r="D1107" s="32" t="s">
        <v>6984</v>
      </c>
      <c r="E1107" s="32" t="s">
        <v>6078</v>
      </c>
      <c r="F1107" s="10">
        <v>1</v>
      </c>
      <c r="G1107" s="8" t="s">
        <v>16</v>
      </c>
      <c r="H1107" s="10">
        <v>357.5</v>
      </c>
      <c r="I1107" s="10">
        <f t="shared" si="19"/>
        <v>357.5</v>
      </c>
      <c r="J1107" s="10">
        <v>10.879504425</v>
      </c>
      <c r="K1107" s="8" t="s">
        <v>5038</v>
      </c>
      <c r="S1107"/>
    </row>
    <row r="1108" spans="1:19" ht="15" x14ac:dyDescent="0.25">
      <c r="A1108" s="8" t="s">
        <v>6068</v>
      </c>
      <c r="B1108" s="8" t="s">
        <v>6069</v>
      </c>
      <c r="C1108" s="8" t="s">
        <v>6079</v>
      </c>
      <c r="D1108" s="32" t="s">
        <v>6984</v>
      </c>
      <c r="E1108" s="32" t="s">
        <v>6079</v>
      </c>
      <c r="F1108" s="10">
        <v>1</v>
      </c>
      <c r="G1108" s="8" t="s">
        <v>16</v>
      </c>
      <c r="H1108" s="10">
        <v>1145.9000000000001</v>
      </c>
      <c r="I1108" s="10">
        <f t="shared" si="19"/>
        <v>1145.9000000000001</v>
      </c>
      <c r="J1108" s="10">
        <v>20.039937970499999</v>
      </c>
      <c r="K1108" s="8" t="s">
        <v>5670</v>
      </c>
      <c r="S1108"/>
    </row>
    <row r="1109" spans="1:19" ht="15" x14ac:dyDescent="0.25">
      <c r="A1109" s="8" t="s">
        <v>6071</v>
      </c>
      <c r="B1109" s="8" t="s">
        <v>6069</v>
      </c>
      <c r="C1109" s="8" t="s">
        <v>6080</v>
      </c>
      <c r="D1109" s="32" t="s">
        <v>6984</v>
      </c>
      <c r="E1109" s="32" t="s">
        <v>6080</v>
      </c>
      <c r="F1109" s="10">
        <v>1</v>
      </c>
      <c r="G1109" s="8" t="s">
        <v>16</v>
      </c>
      <c r="H1109" s="10">
        <v>1017.1</v>
      </c>
      <c r="I1109" s="10">
        <f t="shared" si="19"/>
        <v>1017.1</v>
      </c>
      <c r="J1109" s="10">
        <v>17.756856887200001</v>
      </c>
      <c r="K1109" s="8" t="s">
        <v>5670</v>
      </c>
      <c r="S1109"/>
    </row>
    <row r="1110" spans="1:19" ht="15" x14ac:dyDescent="0.25">
      <c r="A1110" s="8" t="s">
        <v>6068</v>
      </c>
      <c r="B1110" s="8" t="s">
        <v>6069</v>
      </c>
      <c r="C1110" s="8" t="s">
        <v>6081</v>
      </c>
      <c r="D1110" s="32" t="s">
        <v>6984</v>
      </c>
      <c r="E1110" s="32" t="s">
        <v>6081</v>
      </c>
      <c r="F1110" s="10">
        <v>1</v>
      </c>
      <c r="G1110" s="8" t="s">
        <v>16</v>
      </c>
      <c r="H1110" s="10">
        <v>1142.8</v>
      </c>
      <c r="I1110" s="10">
        <f t="shared" si="19"/>
        <v>1142.8</v>
      </c>
      <c r="J1110" s="10">
        <v>19.837856887200001</v>
      </c>
      <c r="K1110" s="8" t="s">
        <v>5670</v>
      </c>
      <c r="S1110"/>
    </row>
    <row r="1111" spans="1:19" ht="15" x14ac:dyDescent="0.25">
      <c r="A1111" s="8" t="s">
        <v>6068</v>
      </c>
      <c r="B1111" s="8" t="s">
        <v>6069</v>
      </c>
      <c r="C1111" s="8" t="s">
        <v>6082</v>
      </c>
      <c r="D1111" s="32" t="s">
        <v>6984</v>
      </c>
      <c r="E1111" s="32" t="s">
        <v>6082</v>
      </c>
      <c r="F1111" s="10">
        <v>1</v>
      </c>
      <c r="G1111" s="8" t="s">
        <v>16</v>
      </c>
      <c r="H1111" s="10">
        <v>869.6</v>
      </c>
      <c r="I1111" s="10">
        <f t="shared" si="19"/>
        <v>869.6</v>
      </c>
      <c r="J1111" s="10">
        <v>17.8152576345</v>
      </c>
      <c r="K1111" s="8" t="s">
        <v>17</v>
      </c>
      <c r="S1111"/>
    </row>
    <row r="1112" spans="1:19" ht="15" x14ac:dyDescent="0.25">
      <c r="A1112" s="8" t="s">
        <v>6068</v>
      </c>
      <c r="B1112" s="8" t="s">
        <v>6069</v>
      </c>
      <c r="C1112" s="8" t="s">
        <v>6083</v>
      </c>
      <c r="D1112" s="32" t="s">
        <v>6984</v>
      </c>
      <c r="E1112" s="32" t="s">
        <v>6083</v>
      </c>
      <c r="F1112" s="10">
        <v>1</v>
      </c>
      <c r="G1112" s="8" t="s">
        <v>16</v>
      </c>
      <c r="H1112" s="10">
        <v>704.4</v>
      </c>
      <c r="I1112" s="10">
        <f t="shared" si="19"/>
        <v>704.4</v>
      </c>
      <c r="J1112" s="10">
        <v>16.226034378750001</v>
      </c>
      <c r="K1112" s="8" t="s">
        <v>4887</v>
      </c>
      <c r="S1112"/>
    </row>
    <row r="1113" spans="1:19" ht="15" x14ac:dyDescent="0.25">
      <c r="A1113" s="8" t="s">
        <v>6071</v>
      </c>
      <c r="B1113" s="8" t="s">
        <v>6069</v>
      </c>
      <c r="C1113" s="8" t="s">
        <v>6084</v>
      </c>
      <c r="D1113" s="32" t="s">
        <v>6984</v>
      </c>
      <c r="E1113" s="32" t="s">
        <v>6084</v>
      </c>
      <c r="F1113" s="10">
        <v>2</v>
      </c>
      <c r="G1113" s="8" t="s">
        <v>16</v>
      </c>
      <c r="H1113" s="10">
        <v>320.8</v>
      </c>
      <c r="I1113" s="10">
        <f t="shared" si="19"/>
        <v>641.6</v>
      </c>
      <c r="J1113" s="10">
        <v>18.257032937999998</v>
      </c>
      <c r="K1113" s="8" t="s">
        <v>4956</v>
      </c>
      <c r="S1113"/>
    </row>
    <row r="1114" spans="1:19" ht="15" x14ac:dyDescent="0.25">
      <c r="A1114" s="8" t="s">
        <v>6071</v>
      </c>
      <c r="B1114" s="8" t="s">
        <v>6069</v>
      </c>
      <c r="C1114" s="8" t="s">
        <v>6085</v>
      </c>
      <c r="D1114" s="32" t="s">
        <v>6984</v>
      </c>
      <c r="E1114" s="32" t="s">
        <v>6085</v>
      </c>
      <c r="F1114" s="10">
        <v>1</v>
      </c>
      <c r="G1114" s="8" t="s">
        <v>16</v>
      </c>
      <c r="H1114" s="10">
        <v>768.7</v>
      </c>
      <c r="I1114" s="10">
        <f t="shared" si="19"/>
        <v>768.7</v>
      </c>
      <c r="J1114" s="10">
        <v>15.771636514500001</v>
      </c>
      <c r="K1114" s="8" t="s">
        <v>17</v>
      </c>
      <c r="S1114"/>
    </row>
    <row r="1115" spans="1:19" ht="15" x14ac:dyDescent="0.25">
      <c r="A1115" s="8" t="s">
        <v>6071</v>
      </c>
      <c r="B1115" s="8" t="s">
        <v>6069</v>
      </c>
      <c r="C1115" s="8" t="s">
        <v>6086</v>
      </c>
      <c r="D1115" s="32" t="s">
        <v>6984</v>
      </c>
      <c r="E1115" s="32" t="s">
        <v>6086</v>
      </c>
      <c r="F1115" s="10">
        <v>1</v>
      </c>
      <c r="G1115" s="8" t="s">
        <v>16</v>
      </c>
      <c r="H1115" s="10">
        <v>772.8</v>
      </c>
      <c r="I1115" s="10">
        <f t="shared" si="19"/>
        <v>772.8</v>
      </c>
      <c r="J1115" s="10">
        <v>15.904773154500001</v>
      </c>
      <c r="K1115" s="8" t="s">
        <v>17</v>
      </c>
      <c r="S1115"/>
    </row>
    <row r="1116" spans="1:19" ht="15" x14ac:dyDescent="0.25">
      <c r="A1116" s="8" t="s">
        <v>6068</v>
      </c>
      <c r="B1116" s="8" t="s">
        <v>6069</v>
      </c>
      <c r="C1116" s="8" t="s">
        <v>6087</v>
      </c>
      <c r="D1116" s="32" t="s">
        <v>6984</v>
      </c>
      <c r="E1116" s="32" t="s">
        <v>6087</v>
      </c>
      <c r="F1116" s="10">
        <v>1</v>
      </c>
      <c r="G1116" s="8" t="s">
        <v>16</v>
      </c>
      <c r="H1116" s="10">
        <v>200.4</v>
      </c>
      <c r="I1116" s="10">
        <f t="shared" si="19"/>
        <v>200.4</v>
      </c>
      <c r="J1116" s="10">
        <v>6.9543699999999999</v>
      </c>
      <c r="K1116" s="8" t="s">
        <v>5685</v>
      </c>
      <c r="S1116"/>
    </row>
    <row r="1117" spans="1:19" ht="15" x14ac:dyDescent="0.25">
      <c r="A1117" s="8" t="s">
        <v>6068</v>
      </c>
      <c r="B1117" s="8" t="s">
        <v>6069</v>
      </c>
      <c r="C1117" s="8" t="s">
        <v>6088</v>
      </c>
      <c r="D1117" s="32" t="s">
        <v>6984</v>
      </c>
      <c r="E1117" s="32" t="s">
        <v>6088</v>
      </c>
      <c r="F1117" s="10">
        <v>2</v>
      </c>
      <c r="G1117" s="8" t="s">
        <v>16</v>
      </c>
      <c r="H1117" s="10">
        <v>98.1</v>
      </c>
      <c r="I1117" s="10">
        <f t="shared" si="19"/>
        <v>196.2</v>
      </c>
      <c r="J1117" s="10">
        <v>6.8066399999999998</v>
      </c>
      <c r="K1117" s="8" t="s">
        <v>5685</v>
      </c>
      <c r="S1117"/>
    </row>
    <row r="1118" spans="1:19" ht="15" x14ac:dyDescent="0.25">
      <c r="A1118" s="8" t="s">
        <v>6071</v>
      </c>
      <c r="B1118" s="8" t="s">
        <v>6069</v>
      </c>
      <c r="C1118" s="8" t="s">
        <v>6089</v>
      </c>
      <c r="D1118" s="32" t="s">
        <v>6984</v>
      </c>
      <c r="E1118" s="32" t="s">
        <v>6089</v>
      </c>
      <c r="F1118" s="10">
        <v>4</v>
      </c>
      <c r="G1118" s="8" t="s">
        <v>16</v>
      </c>
      <c r="H1118" s="10">
        <v>177.625</v>
      </c>
      <c r="I1118" s="10">
        <f t="shared" si="19"/>
        <v>710.5</v>
      </c>
      <c r="J1118" s="10">
        <v>24.65748</v>
      </c>
      <c r="K1118" s="8" t="s">
        <v>5685</v>
      </c>
      <c r="S1118"/>
    </row>
    <row r="1119" spans="1:19" ht="15" x14ac:dyDescent="0.25">
      <c r="A1119" s="8" t="s">
        <v>6071</v>
      </c>
      <c r="B1119" s="8" t="s">
        <v>6069</v>
      </c>
      <c r="C1119" s="8" t="s">
        <v>6090</v>
      </c>
      <c r="D1119" s="32" t="s">
        <v>6984</v>
      </c>
      <c r="E1119" s="32" t="s">
        <v>6090</v>
      </c>
      <c r="F1119" s="10">
        <v>2</v>
      </c>
      <c r="G1119" s="8" t="s">
        <v>16</v>
      </c>
      <c r="H1119" s="10">
        <v>86.7</v>
      </c>
      <c r="I1119" s="10">
        <f t="shared" si="19"/>
        <v>173.4</v>
      </c>
      <c r="J1119" s="10">
        <v>6.0166399999999998</v>
      </c>
      <c r="K1119" s="8" t="s">
        <v>5685</v>
      </c>
      <c r="S1119"/>
    </row>
    <row r="1120" spans="1:19" ht="15" x14ac:dyDescent="0.25">
      <c r="A1120" s="8" t="s">
        <v>6071</v>
      </c>
      <c r="B1120" s="8" t="s">
        <v>6069</v>
      </c>
      <c r="C1120" s="8" t="s">
        <v>6091</v>
      </c>
      <c r="D1120" s="32" t="s">
        <v>6984</v>
      </c>
      <c r="E1120" s="32" t="s">
        <v>6091</v>
      </c>
      <c r="F1120" s="10">
        <v>7</v>
      </c>
      <c r="G1120" s="8" t="s">
        <v>16</v>
      </c>
      <c r="H1120" s="10">
        <v>27.585714285714285</v>
      </c>
      <c r="I1120" s="10">
        <f t="shared" si="19"/>
        <v>193.1</v>
      </c>
      <c r="J1120" s="10">
        <v>9.8300999999999998</v>
      </c>
      <c r="K1120" s="8" t="s">
        <v>5123</v>
      </c>
      <c r="S1120"/>
    </row>
    <row r="1121" spans="1:19" ht="15" x14ac:dyDescent="0.25">
      <c r="A1121" s="8" t="s">
        <v>6068</v>
      </c>
      <c r="B1121" s="8" t="s">
        <v>6069</v>
      </c>
      <c r="C1121" s="8" t="s">
        <v>6092</v>
      </c>
      <c r="D1121" s="32" t="s">
        <v>6984</v>
      </c>
      <c r="E1121" s="32" t="s">
        <v>6092</v>
      </c>
      <c r="F1121" s="10">
        <v>3</v>
      </c>
      <c r="G1121" s="8" t="s">
        <v>16</v>
      </c>
      <c r="H1121" s="10">
        <v>27.099999999999998</v>
      </c>
      <c r="I1121" s="10">
        <f t="shared" si="19"/>
        <v>81.3</v>
      </c>
      <c r="J1121" s="10">
        <v>4.1384999999999996</v>
      </c>
      <c r="K1121" s="8" t="s">
        <v>5123</v>
      </c>
      <c r="S1121"/>
    </row>
    <row r="1122" spans="1:19" ht="15" x14ac:dyDescent="0.25">
      <c r="A1122" s="8" t="s">
        <v>6071</v>
      </c>
      <c r="B1122" s="8" t="s">
        <v>6069</v>
      </c>
      <c r="C1122" s="8" t="s">
        <v>6093</v>
      </c>
      <c r="D1122" s="32" t="s">
        <v>6984</v>
      </c>
      <c r="E1122" s="32" t="s">
        <v>6093</v>
      </c>
      <c r="F1122" s="10">
        <v>24</v>
      </c>
      <c r="G1122" s="8" t="s">
        <v>16</v>
      </c>
      <c r="H1122" s="10">
        <v>27.108333333333334</v>
      </c>
      <c r="I1122" s="10">
        <f t="shared" si="19"/>
        <v>650.6</v>
      </c>
      <c r="J1122" s="10">
        <v>33.107999999999997</v>
      </c>
      <c r="K1122" s="8" t="s">
        <v>5123</v>
      </c>
      <c r="S1122"/>
    </row>
    <row r="1123" spans="1:19" ht="15" x14ac:dyDescent="0.25">
      <c r="A1123" s="8" t="s">
        <v>6071</v>
      </c>
      <c r="B1123" s="8" t="s">
        <v>6069</v>
      </c>
      <c r="C1123" s="8" t="s">
        <v>6094</v>
      </c>
      <c r="D1123" s="32" t="s">
        <v>6984</v>
      </c>
      <c r="E1123" s="32" t="s">
        <v>6094</v>
      </c>
      <c r="F1123" s="10">
        <v>14</v>
      </c>
      <c r="G1123" s="8" t="s">
        <v>16</v>
      </c>
      <c r="H1123" s="10">
        <v>27.55</v>
      </c>
      <c r="I1123" s="10">
        <f t="shared" si="19"/>
        <v>385.7</v>
      </c>
      <c r="J1123" s="10">
        <v>19.627649999999999</v>
      </c>
      <c r="K1123" s="8" t="s">
        <v>5123</v>
      </c>
      <c r="S1123"/>
    </row>
    <row r="1124" spans="1:19" ht="15" x14ac:dyDescent="0.25">
      <c r="A1124" s="8" t="s">
        <v>6068</v>
      </c>
      <c r="B1124" s="8" t="s">
        <v>6069</v>
      </c>
      <c r="C1124" s="8" t="s">
        <v>6095</v>
      </c>
      <c r="D1124" s="32" t="s">
        <v>6984</v>
      </c>
      <c r="E1124" s="32" t="s">
        <v>6095</v>
      </c>
      <c r="F1124" s="10">
        <v>2</v>
      </c>
      <c r="G1124" s="8" t="s">
        <v>16</v>
      </c>
      <c r="H1124" s="10">
        <v>332.45</v>
      </c>
      <c r="I1124" s="10">
        <f t="shared" si="19"/>
        <v>664.9</v>
      </c>
      <c r="J1124" s="10">
        <v>18.20448</v>
      </c>
      <c r="K1124" s="8" t="s">
        <v>5209</v>
      </c>
      <c r="S1124"/>
    </row>
    <row r="1125" spans="1:19" ht="15" x14ac:dyDescent="0.25">
      <c r="A1125" s="8" t="s">
        <v>6071</v>
      </c>
      <c r="B1125" s="8" t="s">
        <v>6069</v>
      </c>
      <c r="C1125" s="8" t="s">
        <v>6096</v>
      </c>
      <c r="D1125" s="32" t="s">
        <v>6984</v>
      </c>
      <c r="E1125" s="32" t="s">
        <v>6096</v>
      </c>
      <c r="F1125" s="10">
        <v>1</v>
      </c>
      <c r="G1125" s="8" t="s">
        <v>16</v>
      </c>
      <c r="H1125" s="10">
        <v>266.5</v>
      </c>
      <c r="I1125" s="10">
        <f t="shared" si="19"/>
        <v>266.5</v>
      </c>
      <c r="J1125" s="10">
        <v>7.6454700000000004</v>
      </c>
      <c r="K1125" s="8" t="s">
        <v>4956</v>
      </c>
      <c r="S1125"/>
    </row>
    <row r="1126" spans="1:19" ht="15" x14ac:dyDescent="0.25">
      <c r="A1126" s="8" t="s">
        <v>6071</v>
      </c>
      <c r="B1126" s="8" t="s">
        <v>6069</v>
      </c>
      <c r="C1126" s="8" t="s">
        <v>6097</v>
      </c>
      <c r="D1126" s="32" t="s">
        <v>6984</v>
      </c>
      <c r="E1126" s="32" t="s">
        <v>6097</v>
      </c>
      <c r="F1126" s="10">
        <v>3</v>
      </c>
      <c r="G1126" s="8" t="s">
        <v>16</v>
      </c>
      <c r="H1126" s="10">
        <v>351</v>
      </c>
      <c r="I1126" s="10">
        <f t="shared" si="19"/>
        <v>1053</v>
      </c>
      <c r="J1126" s="10">
        <v>27.078869999999998</v>
      </c>
      <c r="K1126" s="8" t="s">
        <v>4949</v>
      </c>
      <c r="S1126"/>
    </row>
    <row r="1127" spans="1:19" ht="15" x14ac:dyDescent="0.25">
      <c r="A1127" s="8" t="s">
        <v>6071</v>
      </c>
      <c r="B1127" s="8" t="s">
        <v>6069</v>
      </c>
      <c r="C1127" s="8" t="s">
        <v>6098</v>
      </c>
      <c r="D1127" s="32" t="s">
        <v>6984</v>
      </c>
      <c r="E1127" s="32" t="s">
        <v>6098</v>
      </c>
      <c r="F1127" s="10">
        <v>7</v>
      </c>
      <c r="G1127" s="8" t="s">
        <v>16</v>
      </c>
      <c r="H1127" s="10">
        <v>35.514285714285712</v>
      </c>
      <c r="I1127" s="10">
        <f t="shared" si="19"/>
        <v>248.6</v>
      </c>
      <c r="J1127" s="10">
        <v>12.6511</v>
      </c>
      <c r="K1127" s="8" t="s">
        <v>5123</v>
      </c>
      <c r="S1127"/>
    </row>
    <row r="1128" spans="1:19" ht="15" x14ac:dyDescent="0.25">
      <c r="A1128" s="8" t="s">
        <v>6071</v>
      </c>
      <c r="B1128" s="8" t="s">
        <v>6069</v>
      </c>
      <c r="C1128" s="8" t="s">
        <v>6099</v>
      </c>
      <c r="D1128" s="32" t="s">
        <v>6984</v>
      </c>
      <c r="E1128" s="32" t="s">
        <v>6099</v>
      </c>
      <c r="F1128" s="10">
        <v>2</v>
      </c>
      <c r="G1128" s="8" t="s">
        <v>16</v>
      </c>
      <c r="H1128" s="10">
        <v>342.6</v>
      </c>
      <c r="I1128" s="10">
        <f t="shared" si="19"/>
        <v>685.2</v>
      </c>
      <c r="J1128" s="10">
        <v>19.151299999999999</v>
      </c>
      <c r="K1128" s="8" t="s">
        <v>4855</v>
      </c>
      <c r="S1128"/>
    </row>
    <row r="1129" spans="1:19" ht="15" x14ac:dyDescent="0.25">
      <c r="A1129" s="8" t="s">
        <v>6068</v>
      </c>
      <c r="B1129" s="8" t="s">
        <v>6069</v>
      </c>
      <c r="C1129" s="8" t="s">
        <v>6100</v>
      </c>
      <c r="D1129" s="32" t="s">
        <v>6984</v>
      </c>
      <c r="E1129" s="32" t="s">
        <v>6100</v>
      </c>
      <c r="F1129" s="10">
        <v>1</v>
      </c>
      <c r="G1129" s="8" t="s">
        <v>16</v>
      </c>
      <c r="H1129" s="10">
        <v>387.5</v>
      </c>
      <c r="I1129" s="10">
        <f t="shared" si="19"/>
        <v>387.5</v>
      </c>
      <c r="J1129" s="10">
        <v>10.83065</v>
      </c>
      <c r="K1129" s="8" t="s">
        <v>4855</v>
      </c>
      <c r="S1129"/>
    </row>
    <row r="1130" spans="1:19" ht="15" x14ac:dyDescent="0.25">
      <c r="A1130" s="8" t="s">
        <v>6068</v>
      </c>
      <c r="B1130" s="8" t="s">
        <v>6069</v>
      </c>
      <c r="C1130" s="8" t="s">
        <v>6101</v>
      </c>
      <c r="D1130" s="32" t="s">
        <v>6984</v>
      </c>
      <c r="E1130" s="32" t="s">
        <v>6101</v>
      </c>
      <c r="F1130" s="10">
        <v>10</v>
      </c>
      <c r="G1130" s="8" t="s">
        <v>16</v>
      </c>
      <c r="H1130" s="10">
        <v>35.510000000000005</v>
      </c>
      <c r="I1130" s="10">
        <f t="shared" si="19"/>
        <v>355.1</v>
      </c>
      <c r="J1130" s="10">
        <v>18.065249999999999</v>
      </c>
      <c r="K1130" s="8" t="s">
        <v>5123</v>
      </c>
      <c r="S1130"/>
    </row>
    <row r="1131" spans="1:19" ht="15" x14ac:dyDescent="0.25">
      <c r="A1131" s="8" t="s">
        <v>6068</v>
      </c>
      <c r="B1131" s="8" t="s">
        <v>6069</v>
      </c>
      <c r="C1131" s="8" t="s">
        <v>6102</v>
      </c>
      <c r="D1131" s="32" t="s">
        <v>6984</v>
      </c>
      <c r="E1131" s="32" t="s">
        <v>6102</v>
      </c>
      <c r="F1131" s="10">
        <v>1</v>
      </c>
      <c r="G1131" s="8" t="s">
        <v>16</v>
      </c>
      <c r="H1131" s="10">
        <v>11.3</v>
      </c>
      <c r="I1131" s="10">
        <f t="shared" si="19"/>
        <v>11.3</v>
      </c>
      <c r="J1131" s="10">
        <v>0.57504999999999995</v>
      </c>
      <c r="K1131" s="8" t="s">
        <v>5123</v>
      </c>
      <c r="S1131"/>
    </row>
    <row r="1132" spans="1:19" ht="15" x14ac:dyDescent="0.25">
      <c r="A1132" s="8" t="s">
        <v>6071</v>
      </c>
      <c r="B1132" s="8" t="s">
        <v>6069</v>
      </c>
      <c r="C1132" s="8" t="s">
        <v>6103</v>
      </c>
      <c r="D1132" s="32" t="s">
        <v>6984</v>
      </c>
      <c r="E1132" s="32" t="s">
        <v>6103</v>
      </c>
      <c r="F1132" s="10">
        <v>1</v>
      </c>
      <c r="G1132" s="8" t="s">
        <v>4903</v>
      </c>
      <c r="H1132" s="10">
        <v>265</v>
      </c>
      <c r="I1132" s="10">
        <f t="shared" si="19"/>
        <v>265</v>
      </c>
      <c r="J1132" s="10">
        <v>6.223014</v>
      </c>
      <c r="K1132" s="8" t="s">
        <v>4983</v>
      </c>
      <c r="S1132"/>
    </row>
    <row r="1133" spans="1:19" ht="15" x14ac:dyDescent="0.25">
      <c r="A1133" s="8" t="s">
        <v>6071</v>
      </c>
      <c r="B1133" s="8" t="s">
        <v>6069</v>
      </c>
      <c r="C1133" s="8" t="s">
        <v>6104</v>
      </c>
      <c r="D1133" s="32" t="s">
        <v>6984</v>
      </c>
      <c r="E1133" s="32" t="s">
        <v>6104</v>
      </c>
      <c r="F1133" s="10">
        <v>1</v>
      </c>
      <c r="G1133" s="8" t="s">
        <v>4903</v>
      </c>
      <c r="H1133" s="10">
        <v>265.2</v>
      </c>
      <c r="I1133" s="10">
        <f t="shared" si="19"/>
        <v>265.2</v>
      </c>
      <c r="J1133" s="10">
        <v>6.2259479999999998</v>
      </c>
      <c r="K1133" s="8" t="s">
        <v>4983</v>
      </c>
      <c r="S1133"/>
    </row>
    <row r="1134" spans="1:19" ht="15" x14ac:dyDescent="0.25">
      <c r="A1134" s="8" t="s">
        <v>6068</v>
      </c>
      <c r="B1134" s="8" t="s">
        <v>6069</v>
      </c>
      <c r="C1134" s="8" t="s">
        <v>6105</v>
      </c>
      <c r="D1134" s="32" t="s">
        <v>6984</v>
      </c>
      <c r="E1134" s="32" t="s">
        <v>6105</v>
      </c>
      <c r="F1134" s="10">
        <v>1</v>
      </c>
      <c r="G1134" s="8" t="s">
        <v>4903</v>
      </c>
      <c r="H1134" s="10">
        <v>287.10000000000002</v>
      </c>
      <c r="I1134" s="10">
        <f t="shared" si="19"/>
        <v>287.10000000000002</v>
      </c>
      <c r="J1134" s="10">
        <v>6.7408650000000003</v>
      </c>
      <c r="K1134" s="8" t="s">
        <v>4983</v>
      </c>
      <c r="S1134"/>
    </row>
    <row r="1135" spans="1:19" ht="15" x14ac:dyDescent="0.25">
      <c r="A1135" s="8" t="s">
        <v>6068</v>
      </c>
      <c r="B1135" s="8" t="s">
        <v>6069</v>
      </c>
      <c r="C1135" s="8" t="s">
        <v>6106</v>
      </c>
      <c r="D1135" s="32" t="s">
        <v>6984</v>
      </c>
      <c r="E1135" s="32" t="s">
        <v>6106</v>
      </c>
      <c r="F1135" s="10">
        <v>1</v>
      </c>
      <c r="G1135" s="8" t="s">
        <v>4903</v>
      </c>
      <c r="H1135" s="10">
        <v>211.8</v>
      </c>
      <c r="I1135" s="10">
        <f t="shared" si="19"/>
        <v>211.8</v>
      </c>
      <c r="J1135" s="10">
        <v>5.4477149999999996</v>
      </c>
      <c r="K1135" s="8" t="s">
        <v>4949</v>
      </c>
      <c r="S1135"/>
    </row>
    <row r="1136" spans="1:19" ht="15" x14ac:dyDescent="0.25">
      <c r="A1136" s="8" t="s">
        <v>6071</v>
      </c>
      <c r="B1136" s="8" t="s">
        <v>6069</v>
      </c>
      <c r="C1136" s="8" t="s">
        <v>6107</v>
      </c>
      <c r="D1136" s="32" t="s">
        <v>6984</v>
      </c>
      <c r="E1136" s="32" t="s">
        <v>6107</v>
      </c>
      <c r="F1136" s="10">
        <v>1</v>
      </c>
      <c r="G1136" s="8" t="s">
        <v>4903</v>
      </c>
      <c r="H1136" s="10">
        <v>196.9</v>
      </c>
      <c r="I1136" s="10">
        <f t="shared" si="19"/>
        <v>196.9</v>
      </c>
      <c r="J1136" s="10">
        <v>5.0632400000000004</v>
      </c>
      <c r="K1136" s="8" t="s">
        <v>4949</v>
      </c>
      <c r="S1136"/>
    </row>
    <row r="1137" spans="1:19" ht="15" x14ac:dyDescent="0.25">
      <c r="A1137" s="8" t="s">
        <v>6071</v>
      </c>
      <c r="B1137" s="8" t="s">
        <v>6069</v>
      </c>
      <c r="C1137" s="8" t="s">
        <v>6108</v>
      </c>
      <c r="D1137" s="32" t="s">
        <v>6984</v>
      </c>
      <c r="E1137" s="32" t="s">
        <v>6108</v>
      </c>
      <c r="F1137" s="10">
        <v>4</v>
      </c>
      <c r="G1137" s="8" t="s">
        <v>4903</v>
      </c>
      <c r="H1137" s="10">
        <v>161.77500000000001</v>
      </c>
      <c r="I1137" s="10">
        <f t="shared" si="19"/>
        <v>647.1</v>
      </c>
      <c r="J1137" s="10">
        <v>18.56316</v>
      </c>
      <c r="K1137" s="8" t="s">
        <v>4956</v>
      </c>
      <c r="S1137"/>
    </row>
    <row r="1138" spans="1:19" ht="15" x14ac:dyDescent="0.25">
      <c r="A1138" s="8" t="s">
        <v>6071</v>
      </c>
      <c r="B1138" s="8" t="s">
        <v>6069</v>
      </c>
      <c r="C1138" s="8" t="s">
        <v>6109</v>
      </c>
      <c r="D1138" s="32" t="s">
        <v>6984</v>
      </c>
      <c r="E1138" s="32" t="s">
        <v>6109</v>
      </c>
      <c r="F1138" s="10">
        <v>4</v>
      </c>
      <c r="G1138" s="8" t="s">
        <v>4903</v>
      </c>
      <c r="H1138" s="10">
        <v>237.125</v>
      </c>
      <c r="I1138" s="10">
        <f t="shared" si="19"/>
        <v>948.5</v>
      </c>
      <c r="J1138" s="10">
        <v>27.206759999999999</v>
      </c>
      <c r="K1138" s="8" t="s">
        <v>4956</v>
      </c>
      <c r="S1138"/>
    </row>
    <row r="1139" spans="1:19" ht="15" x14ac:dyDescent="0.25">
      <c r="A1139" s="8" t="s">
        <v>6071</v>
      </c>
      <c r="B1139" s="8" t="s">
        <v>6069</v>
      </c>
      <c r="C1139" s="8" t="s">
        <v>6110</v>
      </c>
      <c r="D1139" s="32" t="s">
        <v>6984</v>
      </c>
      <c r="E1139" s="32" t="s">
        <v>6110</v>
      </c>
      <c r="F1139" s="10">
        <v>2</v>
      </c>
      <c r="G1139" s="8" t="s">
        <v>4903</v>
      </c>
      <c r="H1139" s="10">
        <v>29.1</v>
      </c>
      <c r="I1139" s="10">
        <f t="shared" si="19"/>
        <v>58.2</v>
      </c>
      <c r="J1139" s="10">
        <v>2.2612719999999999</v>
      </c>
      <c r="K1139" s="8" t="s">
        <v>5049</v>
      </c>
      <c r="S1139"/>
    </row>
    <row r="1140" spans="1:19" ht="15" x14ac:dyDescent="0.25">
      <c r="A1140" s="8" t="s">
        <v>6068</v>
      </c>
      <c r="B1140" s="8" t="s">
        <v>6069</v>
      </c>
      <c r="C1140" s="8" t="s">
        <v>6111</v>
      </c>
      <c r="D1140" s="32" t="s">
        <v>6984</v>
      </c>
      <c r="E1140" s="32" t="s">
        <v>6111</v>
      </c>
      <c r="F1140" s="10">
        <v>1</v>
      </c>
      <c r="G1140" s="8" t="s">
        <v>4903</v>
      </c>
      <c r="H1140" s="10">
        <v>283.60000000000002</v>
      </c>
      <c r="I1140" s="10">
        <f t="shared" si="19"/>
        <v>283.60000000000002</v>
      </c>
      <c r="J1140" s="10">
        <v>6.6572459999999998</v>
      </c>
      <c r="K1140" s="8" t="s">
        <v>4983</v>
      </c>
      <c r="S1140"/>
    </row>
    <row r="1141" spans="1:19" ht="15" x14ac:dyDescent="0.25">
      <c r="A1141" s="8" t="s">
        <v>6071</v>
      </c>
      <c r="B1141" s="8" t="s">
        <v>6069</v>
      </c>
      <c r="C1141" s="8" t="s">
        <v>6112</v>
      </c>
      <c r="D1141" s="32" t="s">
        <v>6984</v>
      </c>
      <c r="E1141" s="32" t="s">
        <v>6112</v>
      </c>
      <c r="F1141" s="10">
        <v>1</v>
      </c>
      <c r="G1141" s="8" t="s">
        <v>4903</v>
      </c>
      <c r="H1141" s="10">
        <v>185.1</v>
      </c>
      <c r="I1141" s="10">
        <f t="shared" si="19"/>
        <v>185.1</v>
      </c>
      <c r="J1141" s="10">
        <v>4.7615749999999997</v>
      </c>
      <c r="K1141" s="8" t="s">
        <v>4949</v>
      </c>
      <c r="S1141"/>
    </row>
    <row r="1142" spans="1:19" ht="15" x14ac:dyDescent="0.25">
      <c r="A1142" s="8" t="s">
        <v>6068</v>
      </c>
      <c r="B1142" s="8" t="s">
        <v>6069</v>
      </c>
      <c r="C1142" s="8" t="s">
        <v>6113</v>
      </c>
      <c r="D1142" s="32" t="s">
        <v>6984</v>
      </c>
      <c r="E1142" s="32" t="s">
        <v>6113</v>
      </c>
      <c r="F1142" s="10">
        <v>1</v>
      </c>
      <c r="G1142" s="8" t="s">
        <v>4903</v>
      </c>
      <c r="H1142" s="10">
        <v>204.5</v>
      </c>
      <c r="I1142" s="10">
        <f t="shared" si="19"/>
        <v>204.5</v>
      </c>
      <c r="J1142" s="10">
        <v>5.2584350000000004</v>
      </c>
      <c r="K1142" s="8" t="s">
        <v>4949</v>
      </c>
      <c r="S1142"/>
    </row>
    <row r="1143" spans="1:19" ht="15" x14ac:dyDescent="0.25">
      <c r="A1143" s="8" t="s">
        <v>6068</v>
      </c>
      <c r="B1143" s="8" t="s">
        <v>6069</v>
      </c>
      <c r="C1143" s="8" t="s">
        <v>6114</v>
      </c>
      <c r="D1143" s="32" t="s">
        <v>6984</v>
      </c>
      <c r="E1143" s="32" t="s">
        <v>6114</v>
      </c>
      <c r="F1143" s="10">
        <v>1</v>
      </c>
      <c r="G1143" s="8" t="s">
        <v>16</v>
      </c>
      <c r="H1143" s="10">
        <v>1675.1</v>
      </c>
      <c r="I1143" s="10">
        <f t="shared" si="19"/>
        <v>1675.1</v>
      </c>
      <c r="J1143" s="10">
        <v>27.377815732799998</v>
      </c>
      <c r="K1143" s="8" t="s">
        <v>5670</v>
      </c>
      <c r="S1143"/>
    </row>
    <row r="1144" spans="1:19" ht="15" x14ac:dyDescent="0.25">
      <c r="A1144" s="8" t="s">
        <v>6068</v>
      </c>
      <c r="B1144" s="8" t="s">
        <v>6069</v>
      </c>
      <c r="C1144" s="8" t="s">
        <v>6115</v>
      </c>
      <c r="D1144" s="32" t="s">
        <v>6984</v>
      </c>
      <c r="E1144" s="32" t="s">
        <v>6115</v>
      </c>
      <c r="F1144" s="10">
        <v>1</v>
      </c>
      <c r="G1144" s="8" t="s">
        <v>16</v>
      </c>
      <c r="H1144" s="10">
        <v>1675.1</v>
      </c>
      <c r="I1144" s="10">
        <f t="shared" si="19"/>
        <v>1675.1</v>
      </c>
      <c r="J1144" s="10">
        <v>27.409755509610001</v>
      </c>
      <c r="K1144" s="8" t="s">
        <v>5670</v>
      </c>
      <c r="S1144"/>
    </row>
    <row r="1145" spans="1:19" ht="15" x14ac:dyDescent="0.25">
      <c r="A1145" s="8" t="s">
        <v>6071</v>
      </c>
      <c r="B1145" s="8" t="s">
        <v>6069</v>
      </c>
      <c r="C1145" s="8" t="s">
        <v>6116</v>
      </c>
      <c r="D1145" s="32" t="s">
        <v>6984</v>
      </c>
      <c r="E1145" s="32" t="s">
        <v>6116</v>
      </c>
      <c r="F1145" s="10">
        <v>1</v>
      </c>
      <c r="G1145" s="8" t="s">
        <v>16</v>
      </c>
      <c r="H1145" s="10">
        <v>82.9</v>
      </c>
      <c r="I1145" s="10">
        <f t="shared" si="19"/>
        <v>82.9</v>
      </c>
      <c r="J1145" s="10">
        <v>2.7700184960000001</v>
      </c>
      <c r="K1145" s="8" t="s">
        <v>5040</v>
      </c>
      <c r="S1145"/>
    </row>
    <row r="1146" spans="1:19" ht="15" x14ac:dyDescent="0.25">
      <c r="A1146" s="8" t="s">
        <v>6071</v>
      </c>
      <c r="B1146" s="8" t="s">
        <v>6069</v>
      </c>
      <c r="C1146" s="8" t="s">
        <v>6117</v>
      </c>
      <c r="D1146" s="32" t="s">
        <v>6984</v>
      </c>
      <c r="E1146" s="32" t="s">
        <v>6117</v>
      </c>
      <c r="F1146" s="10">
        <v>1</v>
      </c>
      <c r="G1146" s="8" t="s">
        <v>16</v>
      </c>
      <c r="H1146" s="10">
        <v>82.9</v>
      </c>
      <c r="I1146" s="10">
        <f t="shared" si="19"/>
        <v>82.9</v>
      </c>
      <c r="J1146" s="10">
        <v>2.7700184960000001</v>
      </c>
      <c r="K1146" s="8" t="s">
        <v>5040</v>
      </c>
      <c r="S1146"/>
    </row>
    <row r="1147" spans="1:19" ht="15" x14ac:dyDescent="0.25">
      <c r="A1147" s="8" t="s">
        <v>6071</v>
      </c>
      <c r="B1147" s="8" t="s">
        <v>6069</v>
      </c>
      <c r="C1147" s="8" t="s">
        <v>6118</v>
      </c>
      <c r="D1147" s="32" t="s">
        <v>6984</v>
      </c>
      <c r="E1147" s="32" t="s">
        <v>6118</v>
      </c>
      <c r="F1147" s="10">
        <v>1</v>
      </c>
      <c r="G1147" s="8" t="s">
        <v>16</v>
      </c>
      <c r="H1147" s="10">
        <v>1676.5</v>
      </c>
      <c r="I1147" s="10">
        <f t="shared" si="19"/>
        <v>1676.5</v>
      </c>
      <c r="J1147" s="10">
        <v>27.291857474130001</v>
      </c>
      <c r="K1147" s="8" t="s">
        <v>5670</v>
      </c>
      <c r="S1147"/>
    </row>
    <row r="1148" spans="1:19" ht="15" x14ac:dyDescent="0.25">
      <c r="A1148" s="8" t="s">
        <v>6071</v>
      </c>
      <c r="B1148" s="8" t="s">
        <v>6069</v>
      </c>
      <c r="C1148" s="8" t="s">
        <v>6119</v>
      </c>
      <c r="D1148" s="32" t="s">
        <v>6984</v>
      </c>
      <c r="E1148" s="32" t="s">
        <v>6119</v>
      </c>
      <c r="F1148" s="10">
        <v>1</v>
      </c>
      <c r="G1148" s="8" t="s">
        <v>16</v>
      </c>
      <c r="H1148" s="10">
        <v>1663.9</v>
      </c>
      <c r="I1148" s="10">
        <f t="shared" si="19"/>
        <v>1663.9</v>
      </c>
      <c r="J1148" s="10">
        <v>27.08375747413</v>
      </c>
      <c r="K1148" s="8" t="s">
        <v>5670</v>
      </c>
      <c r="S1148"/>
    </row>
    <row r="1149" spans="1:19" ht="15" x14ac:dyDescent="0.25">
      <c r="A1149" s="8" t="s">
        <v>6071</v>
      </c>
      <c r="B1149" s="8" t="s">
        <v>6069</v>
      </c>
      <c r="C1149" s="8" t="s">
        <v>6120</v>
      </c>
      <c r="D1149" s="32" t="s">
        <v>6984</v>
      </c>
      <c r="E1149" s="32" t="s">
        <v>6120</v>
      </c>
      <c r="F1149" s="10">
        <v>1</v>
      </c>
      <c r="G1149" s="8" t="s">
        <v>16</v>
      </c>
      <c r="H1149" s="10">
        <v>83.1</v>
      </c>
      <c r="I1149" s="10">
        <f t="shared" si="19"/>
        <v>83.1</v>
      </c>
      <c r="J1149" s="10">
        <v>2.7773464959999998</v>
      </c>
      <c r="K1149" s="8" t="s">
        <v>5040</v>
      </c>
      <c r="S1149"/>
    </row>
    <row r="1150" spans="1:19" ht="15" x14ac:dyDescent="0.25">
      <c r="A1150" s="8" t="s">
        <v>6071</v>
      </c>
      <c r="B1150" s="8" t="s">
        <v>6069</v>
      </c>
      <c r="C1150" s="8" t="s">
        <v>6121</v>
      </c>
      <c r="D1150" s="32" t="s">
        <v>6984</v>
      </c>
      <c r="E1150" s="32" t="s">
        <v>6121</v>
      </c>
      <c r="F1150" s="10">
        <v>1</v>
      </c>
      <c r="G1150" s="8" t="s">
        <v>16</v>
      </c>
      <c r="H1150" s="10">
        <v>83.1</v>
      </c>
      <c r="I1150" s="10">
        <f t="shared" si="19"/>
        <v>83.1</v>
      </c>
      <c r="J1150" s="10">
        <v>2.7773464959999998</v>
      </c>
      <c r="K1150" s="8" t="s">
        <v>5040</v>
      </c>
      <c r="S1150"/>
    </row>
    <row r="1151" spans="1:19" ht="15" x14ac:dyDescent="0.25">
      <c r="A1151" s="8" t="s">
        <v>6068</v>
      </c>
      <c r="B1151" s="8" t="s">
        <v>6069</v>
      </c>
      <c r="C1151" s="8" t="s">
        <v>6122</v>
      </c>
      <c r="D1151" s="32" t="s">
        <v>6984</v>
      </c>
      <c r="E1151" s="32" t="s">
        <v>6122</v>
      </c>
      <c r="F1151" s="10">
        <v>1</v>
      </c>
      <c r="G1151" s="8" t="s">
        <v>16</v>
      </c>
      <c r="H1151" s="10">
        <v>1693.3</v>
      </c>
      <c r="I1151" s="10">
        <f t="shared" si="19"/>
        <v>1693.3</v>
      </c>
      <c r="J1151" s="10">
        <v>27.95490458638</v>
      </c>
      <c r="K1151" s="8" t="s">
        <v>5670</v>
      </c>
      <c r="S1151"/>
    </row>
    <row r="1152" spans="1:19" ht="15" x14ac:dyDescent="0.25">
      <c r="A1152" s="8" t="s">
        <v>6071</v>
      </c>
      <c r="B1152" s="8" t="s">
        <v>6069</v>
      </c>
      <c r="C1152" s="8" t="s">
        <v>6123</v>
      </c>
      <c r="D1152" s="32" t="s">
        <v>6984</v>
      </c>
      <c r="E1152" s="32" t="s">
        <v>6123</v>
      </c>
      <c r="F1152" s="10">
        <v>1</v>
      </c>
      <c r="G1152" s="8" t="s">
        <v>16</v>
      </c>
      <c r="H1152" s="10">
        <v>1671.6</v>
      </c>
      <c r="I1152" s="10">
        <f t="shared" si="19"/>
        <v>1671.6</v>
      </c>
      <c r="J1152" s="10">
        <v>27.349214716030001</v>
      </c>
      <c r="K1152" s="8" t="s">
        <v>5670</v>
      </c>
      <c r="S1152"/>
    </row>
    <row r="1153" spans="1:19" ht="15" x14ac:dyDescent="0.25">
      <c r="A1153" s="8" t="s">
        <v>6071</v>
      </c>
      <c r="B1153" s="8" t="s">
        <v>6069</v>
      </c>
      <c r="C1153" s="8" t="s">
        <v>6124</v>
      </c>
      <c r="D1153" s="32" t="s">
        <v>6984</v>
      </c>
      <c r="E1153" s="32" t="s">
        <v>6124</v>
      </c>
      <c r="F1153" s="10">
        <v>1</v>
      </c>
      <c r="G1153" s="8" t="s">
        <v>16</v>
      </c>
      <c r="H1153" s="10">
        <v>221.5</v>
      </c>
      <c r="I1153" s="10">
        <f t="shared" si="19"/>
        <v>221.5</v>
      </c>
      <c r="J1153" s="10">
        <v>7.5772381400000004</v>
      </c>
      <c r="K1153" s="8" t="s">
        <v>5040</v>
      </c>
      <c r="S1153"/>
    </row>
    <row r="1154" spans="1:19" ht="15" x14ac:dyDescent="0.25">
      <c r="A1154" s="8" t="s">
        <v>6071</v>
      </c>
      <c r="B1154" s="8" t="s">
        <v>6069</v>
      </c>
      <c r="C1154" s="8" t="s">
        <v>6125</v>
      </c>
      <c r="D1154" s="32" t="s">
        <v>6984</v>
      </c>
      <c r="E1154" s="32" t="s">
        <v>6125</v>
      </c>
      <c r="F1154" s="10">
        <v>1</v>
      </c>
      <c r="G1154" s="8" t="s">
        <v>16</v>
      </c>
      <c r="H1154" s="10">
        <v>1017.6</v>
      </c>
      <c r="I1154" s="10">
        <f t="shared" si="19"/>
        <v>1017.6</v>
      </c>
      <c r="J1154" s="10">
        <v>17.826606624699998</v>
      </c>
      <c r="K1154" s="8" t="s">
        <v>5670</v>
      </c>
      <c r="S1154"/>
    </row>
    <row r="1155" spans="1:19" ht="15" x14ac:dyDescent="0.25">
      <c r="A1155" s="8" t="s">
        <v>6068</v>
      </c>
      <c r="B1155" s="8" t="s">
        <v>6069</v>
      </c>
      <c r="C1155" s="8" t="s">
        <v>6126</v>
      </c>
      <c r="D1155" s="32" t="s">
        <v>6984</v>
      </c>
      <c r="E1155" s="32" t="s">
        <v>6126</v>
      </c>
      <c r="F1155" s="10">
        <v>1</v>
      </c>
      <c r="G1155" s="8" t="s">
        <v>16</v>
      </c>
      <c r="H1155" s="10">
        <v>374.8</v>
      </c>
      <c r="I1155" s="10">
        <f t="shared" si="19"/>
        <v>374.8</v>
      </c>
      <c r="J1155" s="10">
        <v>11.32689574674</v>
      </c>
      <c r="K1155" s="8" t="s">
        <v>5038</v>
      </c>
      <c r="S1155"/>
    </row>
    <row r="1156" spans="1:19" ht="15" x14ac:dyDescent="0.25">
      <c r="A1156" s="8" t="s">
        <v>6068</v>
      </c>
      <c r="B1156" s="8" t="s">
        <v>6069</v>
      </c>
      <c r="C1156" s="8" t="s">
        <v>6127</v>
      </c>
      <c r="D1156" s="32" t="s">
        <v>6984</v>
      </c>
      <c r="E1156" s="32" t="s">
        <v>6127</v>
      </c>
      <c r="F1156" s="10">
        <v>1</v>
      </c>
      <c r="G1156" s="8" t="s">
        <v>16</v>
      </c>
      <c r="H1156" s="10">
        <v>357.2</v>
      </c>
      <c r="I1156" s="10">
        <f t="shared" si="19"/>
        <v>357.2</v>
      </c>
      <c r="J1156" s="10">
        <v>10.666168754559999</v>
      </c>
      <c r="K1156" s="8" t="s">
        <v>5038</v>
      </c>
      <c r="S1156"/>
    </row>
    <row r="1157" spans="1:19" ht="15" x14ac:dyDescent="0.25">
      <c r="A1157" s="8" t="s">
        <v>6068</v>
      </c>
      <c r="B1157" s="8" t="s">
        <v>6069</v>
      </c>
      <c r="C1157" s="8" t="s">
        <v>6128</v>
      </c>
      <c r="D1157" s="32" t="s">
        <v>6984</v>
      </c>
      <c r="E1157" s="32" t="s">
        <v>6128</v>
      </c>
      <c r="F1157" s="10">
        <v>1</v>
      </c>
      <c r="G1157" s="8" t="s">
        <v>16</v>
      </c>
      <c r="H1157" s="10">
        <v>376.8</v>
      </c>
      <c r="I1157" s="10">
        <f t="shared" ref="I1157:I1220" si="20">F1157*H1157</f>
        <v>376.8</v>
      </c>
      <c r="J1157" s="10">
        <v>10.544456094479999</v>
      </c>
      <c r="K1157" s="8" t="s">
        <v>5209</v>
      </c>
      <c r="S1157"/>
    </row>
    <row r="1158" spans="1:19" ht="15" x14ac:dyDescent="0.25">
      <c r="A1158" s="8" t="s">
        <v>6071</v>
      </c>
      <c r="B1158" s="8" t="s">
        <v>6069</v>
      </c>
      <c r="C1158" s="8" t="s">
        <v>6129</v>
      </c>
      <c r="D1158" s="32" t="s">
        <v>6984</v>
      </c>
      <c r="E1158" s="32" t="s">
        <v>6129</v>
      </c>
      <c r="F1158" s="10">
        <v>1</v>
      </c>
      <c r="G1158" s="8" t="s">
        <v>16</v>
      </c>
      <c r="H1158" s="10">
        <v>364.4</v>
      </c>
      <c r="I1158" s="10">
        <f t="shared" si="20"/>
        <v>364.4</v>
      </c>
      <c r="J1158" s="10">
        <v>10.141973546639999</v>
      </c>
      <c r="K1158" s="8" t="s">
        <v>5209</v>
      </c>
      <c r="S1158"/>
    </row>
    <row r="1159" spans="1:19" ht="15" x14ac:dyDescent="0.25">
      <c r="A1159" s="8" t="s">
        <v>6071</v>
      </c>
      <c r="B1159" s="8" t="s">
        <v>6069</v>
      </c>
      <c r="C1159" s="8" t="s">
        <v>6130</v>
      </c>
      <c r="D1159" s="32" t="s">
        <v>6984</v>
      </c>
      <c r="E1159" s="32" t="s">
        <v>6130</v>
      </c>
      <c r="F1159" s="10">
        <v>1</v>
      </c>
      <c r="G1159" s="8" t="s">
        <v>16</v>
      </c>
      <c r="H1159" s="10">
        <v>344.8</v>
      </c>
      <c r="I1159" s="10">
        <f t="shared" si="20"/>
        <v>344.8</v>
      </c>
      <c r="J1159" s="10">
        <v>9.5001053155200008</v>
      </c>
      <c r="K1159" s="8" t="s">
        <v>5209</v>
      </c>
      <c r="S1159"/>
    </row>
    <row r="1160" spans="1:19" ht="15" x14ac:dyDescent="0.25">
      <c r="A1160" s="8" t="s">
        <v>6071</v>
      </c>
      <c r="B1160" s="8" t="s">
        <v>6069</v>
      </c>
      <c r="C1160" s="8" t="s">
        <v>6131</v>
      </c>
      <c r="D1160" s="32" t="s">
        <v>6984</v>
      </c>
      <c r="E1160" s="32" t="s">
        <v>6131</v>
      </c>
      <c r="F1160" s="10">
        <v>1</v>
      </c>
      <c r="G1160" s="8" t="s">
        <v>16</v>
      </c>
      <c r="H1160" s="10">
        <v>1315.1</v>
      </c>
      <c r="I1160" s="10">
        <f t="shared" si="20"/>
        <v>1315.1</v>
      </c>
      <c r="J1160" s="10">
        <v>22.429468571680001</v>
      </c>
      <c r="K1160" s="8" t="s">
        <v>5670</v>
      </c>
      <c r="S1160"/>
    </row>
    <row r="1161" spans="1:19" ht="15" x14ac:dyDescent="0.25">
      <c r="A1161" s="8" t="s">
        <v>6071</v>
      </c>
      <c r="B1161" s="8" t="s">
        <v>6069</v>
      </c>
      <c r="C1161" s="8" t="s">
        <v>6132</v>
      </c>
      <c r="D1161" s="32" t="s">
        <v>6984</v>
      </c>
      <c r="E1161" s="32" t="s">
        <v>6132</v>
      </c>
      <c r="F1161" s="10">
        <v>1</v>
      </c>
      <c r="G1161" s="8" t="s">
        <v>16</v>
      </c>
      <c r="H1161" s="10">
        <v>1085.7</v>
      </c>
      <c r="I1161" s="10">
        <f t="shared" si="20"/>
        <v>1085.7</v>
      </c>
      <c r="J1161" s="10">
        <v>22.501443815399998</v>
      </c>
      <c r="K1161" s="8" t="s">
        <v>17</v>
      </c>
      <c r="S1161"/>
    </row>
    <row r="1162" spans="1:19" ht="15" x14ac:dyDescent="0.25">
      <c r="A1162" s="8" t="s">
        <v>6068</v>
      </c>
      <c r="B1162" s="8" t="s">
        <v>6069</v>
      </c>
      <c r="C1162" s="8" t="s">
        <v>6133</v>
      </c>
      <c r="D1162" s="32" t="s">
        <v>6984</v>
      </c>
      <c r="E1162" s="32" t="s">
        <v>6133</v>
      </c>
      <c r="F1162" s="10">
        <v>1</v>
      </c>
      <c r="G1162" s="8" t="s">
        <v>16</v>
      </c>
      <c r="H1162" s="10">
        <v>1195.3</v>
      </c>
      <c r="I1162" s="10">
        <f t="shared" si="20"/>
        <v>1195.3</v>
      </c>
      <c r="J1162" s="10">
        <v>25.990671393589999</v>
      </c>
      <c r="K1162" s="8" t="s">
        <v>17</v>
      </c>
      <c r="S1162"/>
    </row>
    <row r="1163" spans="1:19" ht="15" x14ac:dyDescent="0.25">
      <c r="A1163" s="8" t="s">
        <v>6071</v>
      </c>
      <c r="B1163" s="8" t="s">
        <v>6069</v>
      </c>
      <c r="C1163" s="8" t="s">
        <v>6134</v>
      </c>
      <c r="D1163" s="32" t="s">
        <v>6984</v>
      </c>
      <c r="E1163" s="32" t="s">
        <v>6134</v>
      </c>
      <c r="F1163" s="10">
        <v>1</v>
      </c>
      <c r="G1163" s="8" t="s">
        <v>16</v>
      </c>
      <c r="H1163" s="10">
        <v>980.4</v>
      </c>
      <c r="I1163" s="10">
        <f t="shared" si="20"/>
        <v>980.4</v>
      </c>
      <c r="J1163" s="10">
        <v>21.302211095499999</v>
      </c>
      <c r="K1163" s="8" t="s">
        <v>17</v>
      </c>
      <c r="S1163"/>
    </row>
    <row r="1164" spans="1:19" ht="15" x14ac:dyDescent="0.25">
      <c r="A1164" s="8" t="s">
        <v>6071</v>
      </c>
      <c r="B1164" s="8" t="s">
        <v>6069</v>
      </c>
      <c r="C1164" s="8" t="s">
        <v>6135</v>
      </c>
      <c r="D1164" s="32" t="s">
        <v>6984</v>
      </c>
      <c r="E1164" s="32" t="s">
        <v>6135</v>
      </c>
      <c r="F1164" s="10">
        <v>1</v>
      </c>
      <c r="G1164" s="8" t="s">
        <v>16</v>
      </c>
      <c r="H1164" s="10">
        <v>377.2</v>
      </c>
      <c r="I1164" s="10">
        <f t="shared" si="20"/>
        <v>377.2</v>
      </c>
      <c r="J1164" s="10">
        <v>10.558230656719999</v>
      </c>
      <c r="K1164" s="8" t="s">
        <v>5209</v>
      </c>
      <c r="S1164"/>
    </row>
    <row r="1165" spans="1:19" ht="15" x14ac:dyDescent="0.25">
      <c r="A1165" s="8" t="s">
        <v>6068</v>
      </c>
      <c r="B1165" s="8" t="s">
        <v>6069</v>
      </c>
      <c r="C1165" s="8" t="s">
        <v>6136</v>
      </c>
      <c r="D1165" s="32" t="s">
        <v>6984</v>
      </c>
      <c r="E1165" s="32" t="s">
        <v>6136</v>
      </c>
      <c r="F1165" s="10">
        <v>1</v>
      </c>
      <c r="G1165" s="8" t="s">
        <v>16</v>
      </c>
      <c r="H1165" s="10">
        <v>377.3</v>
      </c>
      <c r="I1165" s="10">
        <f t="shared" si="20"/>
        <v>377.3</v>
      </c>
      <c r="J1165" s="10">
        <v>10.56037787112</v>
      </c>
      <c r="K1165" s="8" t="s">
        <v>5209</v>
      </c>
      <c r="S1165"/>
    </row>
    <row r="1166" spans="1:19" ht="15" x14ac:dyDescent="0.25">
      <c r="A1166" s="8" t="s">
        <v>6068</v>
      </c>
      <c r="B1166" s="8" t="s">
        <v>6069</v>
      </c>
      <c r="C1166" s="8" t="s">
        <v>6137</v>
      </c>
      <c r="D1166" s="32" t="s">
        <v>6984</v>
      </c>
      <c r="E1166" s="32" t="s">
        <v>6137</v>
      </c>
      <c r="F1166" s="10">
        <v>1</v>
      </c>
      <c r="G1166" s="8" t="s">
        <v>16</v>
      </c>
      <c r="H1166" s="10">
        <v>379.5</v>
      </c>
      <c r="I1166" s="10">
        <f t="shared" si="20"/>
        <v>379.5</v>
      </c>
      <c r="J1166" s="10">
        <v>10.173198751999999</v>
      </c>
      <c r="K1166" s="8" t="s">
        <v>5209</v>
      </c>
      <c r="S1166"/>
    </row>
    <row r="1167" spans="1:19" ht="15" x14ac:dyDescent="0.25">
      <c r="A1167" s="8" t="s">
        <v>6068</v>
      </c>
      <c r="B1167" s="8" t="s">
        <v>6069</v>
      </c>
      <c r="C1167" s="8" t="s">
        <v>6138</v>
      </c>
      <c r="D1167" s="32" t="s">
        <v>6984</v>
      </c>
      <c r="E1167" s="32" t="s">
        <v>6138</v>
      </c>
      <c r="F1167" s="10">
        <v>1</v>
      </c>
      <c r="G1167" s="8" t="s">
        <v>16</v>
      </c>
      <c r="H1167" s="10">
        <v>1315.6</v>
      </c>
      <c r="I1167" s="10">
        <f t="shared" si="20"/>
        <v>1315.6</v>
      </c>
      <c r="J1167" s="10">
        <v>22.447056495199998</v>
      </c>
      <c r="K1167" s="8" t="s">
        <v>5670</v>
      </c>
      <c r="S1167"/>
    </row>
    <row r="1168" spans="1:19" ht="15" x14ac:dyDescent="0.25">
      <c r="A1168" s="8" t="s">
        <v>6068</v>
      </c>
      <c r="B1168" s="8" t="s">
        <v>6069</v>
      </c>
      <c r="C1168" s="8" t="s">
        <v>6139</v>
      </c>
      <c r="D1168" s="32" t="s">
        <v>6984</v>
      </c>
      <c r="E1168" s="32" t="s">
        <v>6139</v>
      </c>
      <c r="F1168" s="10">
        <v>1</v>
      </c>
      <c r="G1168" s="8" t="s">
        <v>16</v>
      </c>
      <c r="H1168" s="10">
        <v>83</v>
      </c>
      <c r="I1168" s="10">
        <f t="shared" si="20"/>
        <v>83</v>
      </c>
      <c r="J1168" s="10">
        <v>2.772766496</v>
      </c>
      <c r="K1168" s="8" t="s">
        <v>5040</v>
      </c>
      <c r="S1168"/>
    </row>
    <row r="1169" spans="1:19" ht="15" x14ac:dyDescent="0.25">
      <c r="A1169" s="8" t="s">
        <v>6068</v>
      </c>
      <c r="B1169" s="8" t="s">
        <v>6069</v>
      </c>
      <c r="C1169" s="8" t="s">
        <v>6140</v>
      </c>
      <c r="D1169" s="32" t="s">
        <v>6984</v>
      </c>
      <c r="E1169" s="32" t="s">
        <v>6140</v>
      </c>
      <c r="F1169" s="10">
        <v>1</v>
      </c>
      <c r="G1169" s="8" t="s">
        <v>16</v>
      </c>
      <c r="H1169" s="10">
        <v>83</v>
      </c>
      <c r="I1169" s="10">
        <f t="shared" si="20"/>
        <v>83</v>
      </c>
      <c r="J1169" s="10">
        <v>2.772766496</v>
      </c>
      <c r="K1169" s="8" t="s">
        <v>5040</v>
      </c>
      <c r="S1169"/>
    </row>
    <row r="1170" spans="1:19" ht="15" x14ac:dyDescent="0.25">
      <c r="A1170" s="8" t="s">
        <v>6068</v>
      </c>
      <c r="B1170" s="8" t="s">
        <v>6069</v>
      </c>
      <c r="C1170" s="8" t="s">
        <v>6141</v>
      </c>
      <c r="D1170" s="32" t="s">
        <v>6984</v>
      </c>
      <c r="E1170" s="32" t="s">
        <v>6141</v>
      </c>
      <c r="F1170" s="10">
        <v>1</v>
      </c>
      <c r="G1170" s="8" t="s">
        <v>16</v>
      </c>
      <c r="H1170" s="10">
        <v>82.8</v>
      </c>
      <c r="I1170" s="10">
        <f t="shared" si="20"/>
        <v>82.8</v>
      </c>
      <c r="J1170" s="10">
        <v>2.7681864960000002</v>
      </c>
      <c r="K1170" s="8" t="s">
        <v>5040</v>
      </c>
      <c r="S1170"/>
    </row>
    <row r="1171" spans="1:19" ht="15" x14ac:dyDescent="0.25">
      <c r="A1171" s="8" t="s">
        <v>6068</v>
      </c>
      <c r="B1171" s="8" t="s">
        <v>6069</v>
      </c>
      <c r="C1171" s="8" t="s">
        <v>6142</v>
      </c>
      <c r="D1171" s="32" t="s">
        <v>6984</v>
      </c>
      <c r="E1171" s="32" t="s">
        <v>6142</v>
      </c>
      <c r="F1171" s="10">
        <v>1</v>
      </c>
      <c r="G1171" s="8" t="s">
        <v>16</v>
      </c>
      <c r="H1171" s="10">
        <v>82.8</v>
      </c>
      <c r="I1171" s="10">
        <f t="shared" si="20"/>
        <v>82.8</v>
      </c>
      <c r="J1171" s="10">
        <v>2.7681864960000002</v>
      </c>
      <c r="K1171" s="8" t="s">
        <v>5040</v>
      </c>
      <c r="S1171"/>
    </row>
    <row r="1172" spans="1:19" ht="15" x14ac:dyDescent="0.25">
      <c r="A1172" s="8" t="s">
        <v>6068</v>
      </c>
      <c r="B1172" s="8" t="s">
        <v>6069</v>
      </c>
      <c r="C1172" s="8" t="s">
        <v>6143</v>
      </c>
      <c r="D1172" s="32" t="s">
        <v>6984</v>
      </c>
      <c r="E1172" s="32" t="s">
        <v>6143</v>
      </c>
      <c r="F1172" s="10">
        <v>1</v>
      </c>
      <c r="G1172" s="8" t="s">
        <v>16</v>
      </c>
      <c r="H1172" s="10">
        <v>1169.5999999999999</v>
      </c>
      <c r="I1172" s="10">
        <f t="shared" si="20"/>
        <v>1169.5999999999999</v>
      </c>
      <c r="J1172" s="10">
        <v>24.87890089183</v>
      </c>
      <c r="K1172" s="8" t="s">
        <v>17</v>
      </c>
      <c r="S1172"/>
    </row>
    <row r="1173" spans="1:19" ht="15" x14ac:dyDescent="0.25">
      <c r="A1173" s="8" t="s">
        <v>6071</v>
      </c>
      <c r="B1173" s="8" t="s">
        <v>6069</v>
      </c>
      <c r="C1173" s="8" t="s">
        <v>6144</v>
      </c>
      <c r="D1173" s="32" t="s">
        <v>6984</v>
      </c>
      <c r="E1173" s="32" t="s">
        <v>6144</v>
      </c>
      <c r="F1173" s="10">
        <v>1</v>
      </c>
      <c r="G1173" s="8" t="s">
        <v>16</v>
      </c>
      <c r="H1173" s="10">
        <v>960.8</v>
      </c>
      <c r="I1173" s="10">
        <f t="shared" si="20"/>
        <v>960.8</v>
      </c>
      <c r="J1173" s="10">
        <v>20.437809940000001</v>
      </c>
      <c r="K1173" s="8" t="s">
        <v>17</v>
      </c>
      <c r="S1173"/>
    </row>
    <row r="1174" spans="1:19" ht="15" x14ac:dyDescent="0.25">
      <c r="A1174" s="8" t="s">
        <v>6068</v>
      </c>
      <c r="B1174" s="8" t="s">
        <v>6069</v>
      </c>
      <c r="C1174" s="8" t="s">
        <v>6145</v>
      </c>
      <c r="D1174" s="32" t="s">
        <v>6984</v>
      </c>
      <c r="E1174" s="32" t="s">
        <v>6145</v>
      </c>
      <c r="F1174" s="10">
        <v>1</v>
      </c>
      <c r="G1174" s="8" t="s">
        <v>16</v>
      </c>
      <c r="H1174" s="10">
        <v>63.3</v>
      </c>
      <c r="I1174" s="10">
        <f t="shared" si="20"/>
        <v>63.3</v>
      </c>
      <c r="J1174" s="10">
        <v>2.0514164384</v>
      </c>
      <c r="K1174" s="8" t="s">
        <v>5116</v>
      </c>
      <c r="S1174"/>
    </row>
    <row r="1175" spans="1:19" ht="15" x14ac:dyDescent="0.25">
      <c r="A1175" s="8" t="s">
        <v>6071</v>
      </c>
      <c r="B1175" s="8" t="s">
        <v>6069</v>
      </c>
      <c r="C1175" s="8" t="s">
        <v>6146</v>
      </c>
      <c r="D1175" s="32" t="s">
        <v>6984</v>
      </c>
      <c r="E1175" s="32" t="s">
        <v>6146</v>
      </c>
      <c r="F1175" s="10">
        <v>2</v>
      </c>
      <c r="G1175" s="8" t="s">
        <v>16</v>
      </c>
      <c r="H1175" s="10">
        <v>245.7</v>
      </c>
      <c r="I1175" s="10">
        <f t="shared" si="20"/>
        <v>491.4</v>
      </c>
      <c r="J1175" s="10">
        <v>8.6685271188000002</v>
      </c>
      <c r="K1175" s="8" t="s">
        <v>5670</v>
      </c>
      <c r="S1175"/>
    </row>
    <row r="1176" spans="1:19" ht="15" x14ac:dyDescent="0.25">
      <c r="A1176" s="8" t="s">
        <v>6071</v>
      </c>
      <c r="B1176" s="8" t="s">
        <v>6069</v>
      </c>
      <c r="C1176" s="8" t="s">
        <v>6147</v>
      </c>
      <c r="D1176" s="32" t="s">
        <v>6984</v>
      </c>
      <c r="E1176" s="32" t="s">
        <v>6147</v>
      </c>
      <c r="F1176" s="10">
        <v>1</v>
      </c>
      <c r="G1176" s="8" t="s">
        <v>16</v>
      </c>
      <c r="H1176" s="10">
        <v>343.8</v>
      </c>
      <c r="I1176" s="10">
        <f t="shared" si="20"/>
        <v>343.8</v>
      </c>
      <c r="J1176" s="10">
        <v>9.6252220000000008</v>
      </c>
      <c r="K1176" s="8" t="s">
        <v>4855</v>
      </c>
      <c r="S1176"/>
    </row>
    <row r="1177" spans="1:19" ht="15" x14ac:dyDescent="0.25">
      <c r="A1177" s="8" t="s">
        <v>6071</v>
      </c>
      <c r="B1177" s="8" t="s">
        <v>6069</v>
      </c>
      <c r="C1177" s="8" t="s">
        <v>6148</v>
      </c>
      <c r="D1177" s="32" t="s">
        <v>6984</v>
      </c>
      <c r="E1177" s="32" t="s">
        <v>6148</v>
      </c>
      <c r="F1177" s="10">
        <v>2</v>
      </c>
      <c r="G1177" s="8" t="s">
        <v>16</v>
      </c>
      <c r="H1177" s="10">
        <v>369.2</v>
      </c>
      <c r="I1177" s="10">
        <f t="shared" si="20"/>
        <v>738.4</v>
      </c>
      <c r="J1177" s="10">
        <v>20.605577955720001</v>
      </c>
      <c r="K1177" s="8" t="s">
        <v>4855</v>
      </c>
      <c r="S1177"/>
    </row>
    <row r="1178" spans="1:19" ht="15" x14ac:dyDescent="0.25">
      <c r="A1178" s="8" t="s">
        <v>6071</v>
      </c>
      <c r="B1178" s="8" t="s">
        <v>6069</v>
      </c>
      <c r="C1178" s="8" t="s">
        <v>6149</v>
      </c>
      <c r="D1178" s="32" t="s">
        <v>6984</v>
      </c>
      <c r="E1178" s="32" t="s">
        <v>6149</v>
      </c>
      <c r="F1178" s="10">
        <v>1</v>
      </c>
      <c r="G1178" s="8" t="s">
        <v>16</v>
      </c>
      <c r="H1178" s="10">
        <v>379.8</v>
      </c>
      <c r="I1178" s="10">
        <f t="shared" si="20"/>
        <v>379.8</v>
      </c>
      <c r="J1178" s="10">
        <v>9.8140224473999993</v>
      </c>
      <c r="K1178" s="8" t="s">
        <v>4949</v>
      </c>
      <c r="S1178"/>
    </row>
    <row r="1179" spans="1:19" ht="15" x14ac:dyDescent="0.25">
      <c r="A1179" s="8" t="s">
        <v>6068</v>
      </c>
      <c r="B1179" s="8" t="s">
        <v>6069</v>
      </c>
      <c r="C1179" s="8" t="s">
        <v>6150</v>
      </c>
      <c r="D1179" s="32" t="s">
        <v>6984</v>
      </c>
      <c r="E1179" s="32" t="s">
        <v>6150</v>
      </c>
      <c r="F1179" s="10">
        <v>1</v>
      </c>
      <c r="G1179" s="8" t="s">
        <v>16</v>
      </c>
      <c r="H1179" s="10">
        <v>427.9</v>
      </c>
      <c r="I1179" s="10">
        <f t="shared" si="20"/>
        <v>427.9</v>
      </c>
      <c r="J1179" s="10">
        <v>11.94994749392</v>
      </c>
      <c r="K1179" s="8" t="s">
        <v>4855</v>
      </c>
      <c r="S1179"/>
    </row>
    <row r="1180" spans="1:19" ht="15" x14ac:dyDescent="0.25">
      <c r="A1180" s="8" t="s">
        <v>6071</v>
      </c>
      <c r="B1180" s="8" t="s">
        <v>6069</v>
      </c>
      <c r="C1180" s="8" t="s">
        <v>6151</v>
      </c>
      <c r="D1180" s="32" t="s">
        <v>6984</v>
      </c>
      <c r="E1180" s="32" t="s">
        <v>6151</v>
      </c>
      <c r="F1180" s="10">
        <v>1</v>
      </c>
      <c r="G1180" s="8" t="s">
        <v>16</v>
      </c>
      <c r="H1180" s="10">
        <v>345</v>
      </c>
      <c r="I1180" s="10">
        <f t="shared" si="20"/>
        <v>345</v>
      </c>
      <c r="J1180" s="10">
        <v>9.6747940000000003</v>
      </c>
      <c r="K1180" s="8" t="s">
        <v>4855</v>
      </c>
      <c r="S1180"/>
    </row>
    <row r="1181" spans="1:19" ht="15" x14ac:dyDescent="0.25">
      <c r="A1181" s="8" t="s">
        <v>6068</v>
      </c>
      <c r="B1181" s="8" t="s">
        <v>6069</v>
      </c>
      <c r="C1181" s="8" t="s">
        <v>6152</v>
      </c>
      <c r="D1181" s="32" t="s">
        <v>6984</v>
      </c>
      <c r="E1181" s="32" t="s">
        <v>6152</v>
      </c>
      <c r="F1181" s="10">
        <v>1</v>
      </c>
      <c r="G1181" s="8" t="s">
        <v>16</v>
      </c>
      <c r="H1181" s="10">
        <v>389.9</v>
      </c>
      <c r="I1181" s="10">
        <f t="shared" si="20"/>
        <v>389.9</v>
      </c>
      <c r="J1181" s="10">
        <v>10.929793999999999</v>
      </c>
      <c r="K1181" s="8" t="s">
        <v>4855</v>
      </c>
      <c r="S1181"/>
    </row>
    <row r="1182" spans="1:19" ht="15" x14ac:dyDescent="0.25">
      <c r="A1182" s="8" t="s">
        <v>6068</v>
      </c>
      <c r="B1182" s="8" t="s">
        <v>6069</v>
      </c>
      <c r="C1182" s="8" t="s">
        <v>6153</v>
      </c>
      <c r="D1182" s="32" t="s">
        <v>6984</v>
      </c>
      <c r="E1182" s="32" t="s">
        <v>6153</v>
      </c>
      <c r="F1182" s="10">
        <v>1</v>
      </c>
      <c r="G1182" s="8" t="s">
        <v>16</v>
      </c>
      <c r="H1182" s="10">
        <v>36.4</v>
      </c>
      <c r="I1182" s="10">
        <f t="shared" si="20"/>
        <v>36.4</v>
      </c>
      <c r="J1182" s="10">
        <v>1.8565962</v>
      </c>
      <c r="K1182" s="8" t="s">
        <v>5123</v>
      </c>
      <c r="S1182"/>
    </row>
    <row r="1183" spans="1:19" ht="15" x14ac:dyDescent="0.25">
      <c r="A1183" s="8" t="s">
        <v>6071</v>
      </c>
      <c r="B1183" s="8" t="s">
        <v>6069</v>
      </c>
      <c r="C1183" s="8" t="s">
        <v>6154</v>
      </c>
      <c r="D1183" s="32" t="s">
        <v>6984</v>
      </c>
      <c r="E1183" s="32" t="s">
        <v>6154</v>
      </c>
      <c r="F1183" s="10">
        <v>1</v>
      </c>
      <c r="G1183" s="8" t="s">
        <v>16</v>
      </c>
      <c r="H1183" s="10">
        <v>35.9</v>
      </c>
      <c r="I1183" s="10">
        <f t="shared" si="20"/>
        <v>35.9</v>
      </c>
      <c r="J1183" s="10">
        <v>0.87944699999999998</v>
      </c>
      <c r="K1183" s="8" t="s">
        <v>4920</v>
      </c>
      <c r="S1183"/>
    </row>
    <row r="1184" spans="1:19" ht="15" x14ac:dyDescent="0.25">
      <c r="A1184" s="8" t="s">
        <v>6068</v>
      </c>
      <c r="B1184" s="8" t="s">
        <v>6069</v>
      </c>
      <c r="C1184" s="8" t="s">
        <v>6155</v>
      </c>
      <c r="D1184" s="32" t="s">
        <v>6984</v>
      </c>
      <c r="E1184" s="32" t="s">
        <v>6155</v>
      </c>
      <c r="F1184" s="10">
        <v>1</v>
      </c>
      <c r="G1184" s="8" t="s">
        <v>16</v>
      </c>
      <c r="H1184" s="10">
        <v>35.9</v>
      </c>
      <c r="I1184" s="10">
        <f t="shared" si="20"/>
        <v>35.9</v>
      </c>
      <c r="J1184" s="10">
        <v>0.87944699999999998</v>
      </c>
      <c r="K1184" s="8" t="s">
        <v>4920</v>
      </c>
      <c r="S1184"/>
    </row>
    <row r="1185" spans="1:19" ht="15" x14ac:dyDescent="0.25">
      <c r="A1185" s="8" t="s">
        <v>6071</v>
      </c>
      <c r="B1185" s="8" t="s">
        <v>6069</v>
      </c>
      <c r="C1185" s="8" t="s">
        <v>6156</v>
      </c>
      <c r="D1185" s="32" t="s">
        <v>6984</v>
      </c>
      <c r="E1185" s="32" t="s">
        <v>6156</v>
      </c>
      <c r="F1185" s="10">
        <v>1</v>
      </c>
      <c r="G1185" s="8" t="s">
        <v>16</v>
      </c>
      <c r="H1185" s="10">
        <v>36</v>
      </c>
      <c r="I1185" s="10">
        <f t="shared" si="20"/>
        <v>36</v>
      </c>
      <c r="J1185" s="10">
        <v>1.8453268</v>
      </c>
      <c r="K1185" s="8" t="s">
        <v>5123</v>
      </c>
      <c r="S1185"/>
    </row>
    <row r="1186" spans="1:19" ht="15" x14ac:dyDescent="0.25">
      <c r="A1186" s="8" t="s">
        <v>6068</v>
      </c>
      <c r="B1186" s="8" t="s">
        <v>6069</v>
      </c>
      <c r="C1186" s="8" t="s">
        <v>6157</v>
      </c>
      <c r="D1186" s="32" t="s">
        <v>6984</v>
      </c>
      <c r="E1186" s="32" t="s">
        <v>6157</v>
      </c>
      <c r="F1186" s="10">
        <v>1</v>
      </c>
      <c r="G1186" s="8" t="s">
        <v>5624</v>
      </c>
      <c r="H1186" s="10">
        <v>650.4</v>
      </c>
      <c r="I1186" s="10">
        <f t="shared" si="20"/>
        <v>650.4</v>
      </c>
      <c r="J1186" s="10">
        <v>17.809837250739999</v>
      </c>
      <c r="K1186" s="8" t="s">
        <v>5209</v>
      </c>
      <c r="S1186"/>
    </row>
    <row r="1187" spans="1:19" ht="15" x14ac:dyDescent="0.25">
      <c r="A1187" s="8" t="s">
        <v>6071</v>
      </c>
      <c r="B1187" s="8" t="s">
        <v>6069</v>
      </c>
      <c r="C1187" s="8" t="s">
        <v>6158</v>
      </c>
      <c r="D1187" s="32" t="s">
        <v>6984</v>
      </c>
      <c r="E1187" s="32" t="s">
        <v>6158</v>
      </c>
      <c r="F1187" s="10">
        <v>1</v>
      </c>
      <c r="G1187" s="8" t="s">
        <v>5624</v>
      </c>
      <c r="H1187" s="10">
        <v>634.20000000000005</v>
      </c>
      <c r="I1187" s="10">
        <f t="shared" si="20"/>
        <v>634.20000000000005</v>
      </c>
      <c r="J1187" s="10">
        <v>17.459295132699999</v>
      </c>
      <c r="K1187" s="8" t="s">
        <v>5209</v>
      </c>
      <c r="S1187"/>
    </row>
    <row r="1188" spans="1:19" ht="15" x14ac:dyDescent="0.25">
      <c r="A1188" s="8" t="s">
        <v>6068</v>
      </c>
      <c r="B1188" s="8" t="s">
        <v>6069</v>
      </c>
      <c r="C1188" s="8" t="s">
        <v>6159</v>
      </c>
      <c r="D1188" s="32" t="s">
        <v>6984</v>
      </c>
      <c r="E1188" s="32" t="s">
        <v>6159</v>
      </c>
      <c r="F1188" s="10">
        <v>1</v>
      </c>
      <c r="G1188" s="8" t="s">
        <v>5624</v>
      </c>
      <c r="H1188" s="10">
        <v>652.29999999999995</v>
      </c>
      <c r="I1188" s="10">
        <f t="shared" si="20"/>
        <v>652.29999999999995</v>
      </c>
      <c r="J1188" s="10">
        <v>17.84829009608</v>
      </c>
      <c r="K1188" s="8" t="s">
        <v>5209</v>
      </c>
      <c r="S1188"/>
    </row>
    <row r="1189" spans="1:19" ht="15" x14ac:dyDescent="0.25">
      <c r="A1189" s="8" t="s">
        <v>6068</v>
      </c>
      <c r="B1189" s="8" t="s">
        <v>6069</v>
      </c>
      <c r="C1189" s="8" t="s">
        <v>6160</v>
      </c>
      <c r="D1189" s="32" t="s">
        <v>6984</v>
      </c>
      <c r="E1189" s="32" t="s">
        <v>6160</v>
      </c>
      <c r="F1189" s="10">
        <v>1</v>
      </c>
      <c r="G1189" s="8" t="s">
        <v>5624</v>
      </c>
      <c r="H1189" s="10">
        <v>636.1</v>
      </c>
      <c r="I1189" s="10">
        <f t="shared" si="20"/>
        <v>636.1</v>
      </c>
      <c r="J1189" s="10">
        <v>17.49774797804</v>
      </c>
      <c r="K1189" s="8" t="s">
        <v>5209</v>
      </c>
      <c r="S1189"/>
    </row>
    <row r="1190" spans="1:19" ht="15" x14ac:dyDescent="0.25">
      <c r="A1190" s="8" t="s">
        <v>6071</v>
      </c>
      <c r="B1190" s="8" t="s">
        <v>6069</v>
      </c>
      <c r="C1190" s="8" t="s">
        <v>6161</v>
      </c>
      <c r="D1190" s="32" t="s">
        <v>6984</v>
      </c>
      <c r="E1190" s="32" t="s">
        <v>6161</v>
      </c>
      <c r="F1190" s="10">
        <v>4</v>
      </c>
      <c r="G1190" s="8" t="s">
        <v>5624</v>
      </c>
      <c r="H1190" s="10">
        <v>648.54999999999995</v>
      </c>
      <c r="I1190" s="10">
        <f t="shared" si="20"/>
        <v>2594.1999999999998</v>
      </c>
      <c r="J1190" s="10">
        <v>71.085537621599997</v>
      </c>
      <c r="K1190" s="8" t="s">
        <v>5209</v>
      </c>
      <c r="S1190"/>
    </row>
    <row r="1191" spans="1:19" ht="15" x14ac:dyDescent="0.25">
      <c r="A1191" s="8" t="s">
        <v>6071</v>
      </c>
      <c r="B1191" s="8" t="s">
        <v>6069</v>
      </c>
      <c r="C1191" s="8" t="s">
        <v>6162</v>
      </c>
      <c r="D1191" s="32" t="s">
        <v>6984</v>
      </c>
      <c r="E1191" s="32" t="s">
        <v>6162</v>
      </c>
      <c r="F1191" s="10">
        <v>1</v>
      </c>
      <c r="G1191" s="8" t="s">
        <v>5624</v>
      </c>
      <c r="H1191" s="10">
        <v>608.1</v>
      </c>
      <c r="I1191" s="10">
        <f t="shared" si="20"/>
        <v>608.1</v>
      </c>
      <c r="J1191" s="10">
        <v>16.551680544850001</v>
      </c>
      <c r="K1191" s="8" t="s">
        <v>4855</v>
      </c>
      <c r="S1191"/>
    </row>
    <row r="1192" spans="1:19" ht="15" x14ac:dyDescent="0.25">
      <c r="A1192" s="8" t="s">
        <v>6068</v>
      </c>
      <c r="B1192" s="8" t="s">
        <v>6069</v>
      </c>
      <c r="C1192" s="8" t="s">
        <v>6163</v>
      </c>
      <c r="D1192" s="32" t="s">
        <v>6984</v>
      </c>
      <c r="E1192" s="32" t="s">
        <v>6163</v>
      </c>
      <c r="F1192" s="10">
        <v>1</v>
      </c>
      <c r="G1192" s="8" t="s">
        <v>5624</v>
      </c>
      <c r="H1192" s="10">
        <v>602.70000000000005</v>
      </c>
      <c r="I1192" s="10">
        <f t="shared" si="20"/>
        <v>602.70000000000005</v>
      </c>
      <c r="J1192" s="10">
        <v>16.43917250914</v>
      </c>
      <c r="K1192" s="8" t="s">
        <v>4855</v>
      </c>
      <c r="S1192"/>
    </row>
    <row r="1193" spans="1:19" ht="15" x14ac:dyDescent="0.25">
      <c r="A1193" s="8" t="s">
        <v>6068</v>
      </c>
      <c r="B1193" s="8" t="s">
        <v>6069</v>
      </c>
      <c r="C1193" s="8" t="s">
        <v>6164</v>
      </c>
      <c r="D1193" s="32" t="s">
        <v>6984</v>
      </c>
      <c r="E1193" s="32" t="s">
        <v>6164</v>
      </c>
      <c r="F1193" s="10">
        <v>1</v>
      </c>
      <c r="G1193" s="8" t="s">
        <v>4903</v>
      </c>
      <c r="H1193" s="10">
        <v>97.4</v>
      </c>
      <c r="I1193" s="10">
        <f t="shared" si="20"/>
        <v>97.4</v>
      </c>
      <c r="J1193" s="10">
        <v>3.1764600000000001</v>
      </c>
      <c r="K1193" s="8" t="s">
        <v>5643</v>
      </c>
      <c r="S1193"/>
    </row>
    <row r="1194" spans="1:19" ht="15" x14ac:dyDescent="0.25">
      <c r="A1194" s="8" t="s">
        <v>6068</v>
      </c>
      <c r="B1194" s="8" t="s">
        <v>6069</v>
      </c>
      <c r="C1194" s="8" t="s">
        <v>6165</v>
      </c>
      <c r="D1194" s="32" t="s">
        <v>6984</v>
      </c>
      <c r="E1194" s="32" t="s">
        <v>6165</v>
      </c>
      <c r="F1194" s="10">
        <v>1</v>
      </c>
      <c r="G1194" s="8" t="s">
        <v>4903</v>
      </c>
      <c r="H1194" s="10">
        <v>95.5</v>
      </c>
      <c r="I1194" s="10">
        <f t="shared" si="20"/>
        <v>95.5</v>
      </c>
      <c r="J1194" s="10">
        <v>3.1147200000000002</v>
      </c>
      <c r="K1194" s="8" t="s">
        <v>5643</v>
      </c>
      <c r="S1194"/>
    </row>
    <row r="1195" spans="1:19" ht="15" x14ac:dyDescent="0.25">
      <c r="A1195" s="8" t="s">
        <v>6071</v>
      </c>
      <c r="B1195" s="8" t="s">
        <v>6069</v>
      </c>
      <c r="C1195" s="8" t="s">
        <v>6166</v>
      </c>
      <c r="D1195" s="32" t="s">
        <v>6984</v>
      </c>
      <c r="E1195" s="32" t="s">
        <v>6166</v>
      </c>
      <c r="F1195" s="10">
        <v>4</v>
      </c>
      <c r="G1195" s="8" t="s">
        <v>4903</v>
      </c>
      <c r="H1195" s="10">
        <v>88.35</v>
      </c>
      <c r="I1195" s="10">
        <f t="shared" si="20"/>
        <v>353.4</v>
      </c>
      <c r="J1195" s="10">
        <v>11.529</v>
      </c>
      <c r="K1195" s="8" t="s">
        <v>5643</v>
      </c>
      <c r="S1195"/>
    </row>
    <row r="1196" spans="1:19" ht="15" x14ac:dyDescent="0.25">
      <c r="A1196" s="8" t="s">
        <v>6068</v>
      </c>
      <c r="B1196" s="8" t="s">
        <v>6069</v>
      </c>
      <c r="C1196" s="8" t="s">
        <v>6167</v>
      </c>
      <c r="D1196" s="32" t="s">
        <v>6984</v>
      </c>
      <c r="E1196" s="32" t="s">
        <v>6167</v>
      </c>
      <c r="F1196" s="10">
        <v>2</v>
      </c>
      <c r="G1196" s="8" t="s">
        <v>4903</v>
      </c>
      <c r="H1196" s="10">
        <v>95</v>
      </c>
      <c r="I1196" s="10">
        <f t="shared" si="20"/>
        <v>190</v>
      </c>
      <c r="J1196" s="10">
        <v>6.19794</v>
      </c>
      <c r="K1196" s="8" t="s">
        <v>5643</v>
      </c>
      <c r="S1196"/>
    </row>
    <row r="1197" spans="1:19" ht="15" x14ac:dyDescent="0.25">
      <c r="A1197" s="8" t="s">
        <v>6071</v>
      </c>
      <c r="B1197" s="8" t="s">
        <v>6069</v>
      </c>
      <c r="C1197" s="8" t="s">
        <v>6168</v>
      </c>
      <c r="D1197" s="32" t="s">
        <v>6984</v>
      </c>
      <c r="E1197" s="32" t="s">
        <v>6168</v>
      </c>
      <c r="F1197" s="10">
        <v>4</v>
      </c>
      <c r="G1197" s="8" t="s">
        <v>4903</v>
      </c>
      <c r="H1197" s="10">
        <v>89.474999999999994</v>
      </c>
      <c r="I1197" s="10">
        <f t="shared" si="20"/>
        <v>357.9</v>
      </c>
      <c r="J1197" s="10">
        <v>11.677680000000001</v>
      </c>
      <c r="K1197" s="8" t="s">
        <v>5643</v>
      </c>
      <c r="S1197"/>
    </row>
    <row r="1198" spans="1:19" ht="15" x14ac:dyDescent="0.25">
      <c r="A1198" s="8" t="s">
        <v>6071</v>
      </c>
      <c r="B1198" s="8" t="s">
        <v>6069</v>
      </c>
      <c r="C1198" s="8" t="s">
        <v>6169</v>
      </c>
      <c r="D1198" s="32" t="s">
        <v>6984</v>
      </c>
      <c r="E1198" s="32" t="s">
        <v>6169</v>
      </c>
      <c r="F1198" s="10">
        <v>8</v>
      </c>
      <c r="G1198" s="8" t="s">
        <v>4903</v>
      </c>
      <c r="H1198" s="10">
        <v>88.912499999999994</v>
      </c>
      <c r="I1198" s="10">
        <f t="shared" si="20"/>
        <v>711.3</v>
      </c>
      <c r="J1198" s="10">
        <v>23.204160000000002</v>
      </c>
      <c r="K1198" s="8" t="s">
        <v>5643</v>
      </c>
      <c r="S1198"/>
    </row>
    <row r="1199" spans="1:19" ht="15" x14ac:dyDescent="0.25">
      <c r="A1199" s="8" t="s">
        <v>6068</v>
      </c>
      <c r="B1199" s="8" t="s">
        <v>6069</v>
      </c>
      <c r="C1199" s="8" t="s">
        <v>6170</v>
      </c>
      <c r="D1199" s="32" t="s">
        <v>6984</v>
      </c>
      <c r="E1199" s="32" t="s">
        <v>6170</v>
      </c>
      <c r="F1199" s="10">
        <v>2</v>
      </c>
      <c r="G1199" s="8" t="s">
        <v>4903</v>
      </c>
      <c r="H1199" s="10">
        <v>95.45</v>
      </c>
      <c r="I1199" s="10">
        <f t="shared" si="20"/>
        <v>190.9</v>
      </c>
      <c r="J1199" s="10">
        <v>6.22818</v>
      </c>
      <c r="K1199" s="8" t="s">
        <v>5643</v>
      </c>
      <c r="S1199"/>
    </row>
    <row r="1200" spans="1:19" ht="15" x14ac:dyDescent="0.25">
      <c r="A1200" s="8" t="s">
        <v>6068</v>
      </c>
      <c r="B1200" s="8" t="s">
        <v>6069</v>
      </c>
      <c r="C1200" s="8" t="s">
        <v>6171</v>
      </c>
      <c r="D1200" s="32" t="s">
        <v>6984</v>
      </c>
      <c r="E1200" s="32" t="s">
        <v>6171</v>
      </c>
      <c r="F1200" s="10">
        <v>2</v>
      </c>
      <c r="G1200" s="8" t="s">
        <v>4903</v>
      </c>
      <c r="H1200" s="10">
        <v>96.35</v>
      </c>
      <c r="I1200" s="10">
        <f t="shared" si="20"/>
        <v>192.7</v>
      </c>
      <c r="J1200" s="10">
        <v>6.2861399999999996</v>
      </c>
      <c r="K1200" s="8" t="s">
        <v>5643</v>
      </c>
      <c r="S1200"/>
    </row>
    <row r="1201" spans="1:19" ht="15" x14ac:dyDescent="0.25">
      <c r="A1201" s="8" t="s">
        <v>6071</v>
      </c>
      <c r="B1201" s="8" t="s">
        <v>6069</v>
      </c>
      <c r="C1201" s="8" t="s">
        <v>6172</v>
      </c>
      <c r="D1201" s="32" t="s">
        <v>6984</v>
      </c>
      <c r="E1201" s="32" t="s">
        <v>6172</v>
      </c>
      <c r="F1201" s="10">
        <v>2</v>
      </c>
      <c r="G1201" s="8" t="s">
        <v>4903</v>
      </c>
      <c r="H1201" s="10">
        <v>88.4</v>
      </c>
      <c r="I1201" s="10">
        <f t="shared" si="20"/>
        <v>176.8</v>
      </c>
      <c r="J1201" s="10">
        <v>5.7682799999999999</v>
      </c>
      <c r="K1201" s="8" t="s">
        <v>5643</v>
      </c>
      <c r="S1201"/>
    </row>
    <row r="1202" spans="1:19" ht="15" x14ac:dyDescent="0.25">
      <c r="A1202" s="8" t="s">
        <v>6068</v>
      </c>
      <c r="B1202" s="8" t="s">
        <v>6069</v>
      </c>
      <c r="C1202" s="8" t="s">
        <v>6173</v>
      </c>
      <c r="D1202" s="32" t="s">
        <v>6984</v>
      </c>
      <c r="E1202" s="32" t="s">
        <v>6173</v>
      </c>
      <c r="F1202" s="10">
        <v>1</v>
      </c>
      <c r="G1202" s="8" t="s">
        <v>4903</v>
      </c>
      <c r="H1202" s="10">
        <v>96</v>
      </c>
      <c r="I1202" s="10">
        <f t="shared" si="20"/>
        <v>96</v>
      </c>
      <c r="J1202" s="10">
        <v>3.1323599999999998</v>
      </c>
      <c r="K1202" s="8" t="s">
        <v>5643</v>
      </c>
      <c r="S1202"/>
    </row>
    <row r="1203" spans="1:19" ht="15" x14ac:dyDescent="0.25">
      <c r="A1203" s="8" t="s">
        <v>6071</v>
      </c>
      <c r="B1203" s="8" t="s">
        <v>6069</v>
      </c>
      <c r="C1203" s="8" t="s">
        <v>6174</v>
      </c>
      <c r="D1203" s="32" t="s">
        <v>6984</v>
      </c>
      <c r="E1203" s="32" t="s">
        <v>6174</v>
      </c>
      <c r="F1203" s="10">
        <v>2</v>
      </c>
      <c r="G1203" s="8" t="s">
        <v>4903</v>
      </c>
      <c r="H1203" s="10">
        <v>87.85</v>
      </c>
      <c r="I1203" s="10">
        <f t="shared" si="20"/>
        <v>175.7</v>
      </c>
      <c r="J1203" s="10">
        <v>5.7317400000000003</v>
      </c>
      <c r="K1203" s="8" t="s">
        <v>5643</v>
      </c>
      <c r="S1203"/>
    </row>
    <row r="1204" spans="1:19" ht="15" x14ac:dyDescent="0.25">
      <c r="A1204" s="8" t="s">
        <v>6071</v>
      </c>
      <c r="B1204" s="8" t="s">
        <v>6069</v>
      </c>
      <c r="C1204" s="8" t="s">
        <v>6175</v>
      </c>
      <c r="D1204" s="32" t="s">
        <v>6984</v>
      </c>
      <c r="E1204" s="32" t="s">
        <v>6175</v>
      </c>
      <c r="F1204" s="10">
        <v>2</v>
      </c>
      <c r="G1204" s="8" t="s">
        <v>4903</v>
      </c>
      <c r="H1204" s="10">
        <v>87.35</v>
      </c>
      <c r="I1204" s="10">
        <f t="shared" si="20"/>
        <v>174.7</v>
      </c>
      <c r="J1204" s="10">
        <v>5.6989799999999997</v>
      </c>
      <c r="K1204" s="8" t="s">
        <v>5643</v>
      </c>
      <c r="S1204"/>
    </row>
    <row r="1205" spans="1:19" ht="15" x14ac:dyDescent="0.25">
      <c r="A1205" s="8" t="s">
        <v>6068</v>
      </c>
      <c r="B1205" s="8" t="s">
        <v>6069</v>
      </c>
      <c r="C1205" s="8" t="s">
        <v>6176</v>
      </c>
      <c r="D1205" s="32" t="s">
        <v>6984</v>
      </c>
      <c r="E1205" s="32" t="s">
        <v>6176</v>
      </c>
      <c r="F1205" s="10">
        <v>3</v>
      </c>
      <c r="G1205" s="8" t="s">
        <v>4903</v>
      </c>
      <c r="H1205" s="10">
        <v>96.8</v>
      </c>
      <c r="I1205" s="10">
        <f t="shared" si="20"/>
        <v>290.39999999999998</v>
      </c>
      <c r="J1205" s="10">
        <v>9.4745699999999999</v>
      </c>
      <c r="K1205" s="8" t="s">
        <v>5643</v>
      </c>
      <c r="S1205"/>
    </row>
    <row r="1206" spans="1:19" ht="15" x14ac:dyDescent="0.25">
      <c r="A1206" s="8" t="s">
        <v>6071</v>
      </c>
      <c r="B1206" s="8" t="s">
        <v>6069</v>
      </c>
      <c r="C1206" s="8" t="s">
        <v>6177</v>
      </c>
      <c r="D1206" s="32" t="s">
        <v>6984</v>
      </c>
      <c r="E1206" s="32" t="s">
        <v>6177</v>
      </c>
      <c r="F1206" s="10">
        <v>2</v>
      </c>
      <c r="G1206" s="8" t="s">
        <v>4903</v>
      </c>
      <c r="H1206" s="10">
        <v>87.9</v>
      </c>
      <c r="I1206" s="10">
        <f t="shared" si="20"/>
        <v>175.8</v>
      </c>
      <c r="J1206" s="10">
        <v>5.7367800000000004</v>
      </c>
      <c r="K1206" s="8" t="s">
        <v>5643</v>
      </c>
      <c r="S1206"/>
    </row>
    <row r="1207" spans="1:19" ht="15" x14ac:dyDescent="0.25">
      <c r="A1207" s="8" t="s">
        <v>6068</v>
      </c>
      <c r="B1207" s="8" t="s">
        <v>6069</v>
      </c>
      <c r="C1207" s="8" t="s">
        <v>6178</v>
      </c>
      <c r="D1207" s="32" t="s">
        <v>6984</v>
      </c>
      <c r="E1207" s="32" t="s">
        <v>6178</v>
      </c>
      <c r="F1207" s="10">
        <v>1</v>
      </c>
      <c r="G1207" s="8" t="s">
        <v>4903</v>
      </c>
      <c r="H1207" s="10">
        <v>209.8</v>
      </c>
      <c r="I1207" s="10">
        <f t="shared" si="20"/>
        <v>209.8</v>
      </c>
      <c r="J1207" s="10">
        <v>6.71006021</v>
      </c>
      <c r="K1207" s="8" t="s">
        <v>5643</v>
      </c>
      <c r="S1207"/>
    </row>
    <row r="1208" spans="1:19" ht="15" x14ac:dyDescent="0.25">
      <c r="A1208" s="8" t="s">
        <v>6071</v>
      </c>
      <c r="B1208" s="8" t="s">
        <v>6069</v>
      </c>
      <c r="C1208" s="8" t="s">
        <v>6179</v>
      </c>
      <c r="D1208" s="32" t="s">
        <v>6984</v>
      </c>
      <c r="E1208" s="32" t="s">
        <v>6179</v>
      </c>
      <c r="F1208" s="10">
        <v>4</v>
      </c>
      <c r="G1208" s="8" t="s">
        <v>4903</v>
      </c>
      <c r="H1208" s="10">
        <v>193.67500000000001</v>
      </c>
      <c r="I1208" s="10">
        <f t="shared" si="20"/>
        <v>774.7</v>
      </c>
      <c r="J1208" s="10">
        <v>24.766108639999999</v>
      </c>
      <c r="K1208" s="8" t="s">
        <v>5643</v>
      </c>
      <c r="S1208"/>
    </row>
    <row r="1209" spans="1:19" ht="15" x14ac:dyDescent="0.25">
      <c r="A1209" s="8" t="s">
        <v>6071</v>
      </c>
      <c r="B1209" s="8" t="s">
        <v>6069</v>
      </c>
      <c r="C1209" s="8" t="s">
        <v>6180</v>
      </c>
      <c r="D1209" s="32" t="s">
        <v>6984</v>
      </c>
      <c r="E1209" s="32" t="s">
        <v>6180</v>
      </c>
      <c r="F1209" s="10">
        <v>4</v>
      </c>
      <c r="G1209" s="8" t="s">
        <v>4903</v>
      </c>
      <c r="H1209" s="10">
        <v>192.67500000000001</v>
      </c>
      <c r="I1209" s="10">
        <f t="shared" si="20"/>
        <v>770.7</v>
      </c>
      <c r="J1209" s="10">
        <v>24.635097340000002</v>
      </c>
      <c r="K1209" s="8" t="s">
        <v>5643</v>
      </c>
      <c r="S1209"/>
    </row>
    <row r="1210" spans="1:19" ht="15" x14ac:dyDescent="0.25">
      <c r="A1210" s="8" t="s">
        <v>6068</v>
      </c>
      <c r="B1210" s="8" t="s">
        <v>6069</v>
      </c>
      <c r="C1210" s="8" t="s">
        <v>6181</v>
      </c>
      <c r="D1210" s="32" t="s">
        <v>6984</v>
      </c>
      <c r="E1210" s="32" t="s">
        <v>6181</v>
      </c>
      <c r="F1210" s="10">
        <v>1</v>
      </c>
      <c r="G1210" s="8" t="s">
        <v>4903</v>
      </c>
      <c r="H1210" s="10">
        <v>208.9</v>
      </c>
      <c r="I1210" s="10">
        <f t="shared" si="20"/>
        <v>208.9</v>
      </c>
      <c r="J1210" s="10">
        <v>6.6798273850000003</v>
      </c>
      <c r="K1210" s="8" t="s">
        <v>5643</v>
      </c>
      <c r="S1210"/>
    </row>
    <row r="1211" spans="1:19" ht="15" x14ac:dyDescent="0.25">
      <c r="A1211" s="8" t="s">
        <v>6068</v>
      </c>
      <c r="B1211" s="8" t="s">
        <v>6069</v>
      </c>
      <c r="C1211" s="8" t="s">
        <v>6182</v>
      </c>
      <c r="D1211" s="32" t="s">
        <v>6984</v>
      </c>
      <c r="E1211" s="32" t="s">
        <v>6182</v>
      </c>
      <c r="F1211" s="10">
        <v>1</v>
      </c>
      <c r="G1211" s="8" t="s">
        <v>4903</v>
      </c>
      <c r="H1211" s="10">
        <v>662.7</v>
      </c>
      <c r="I1211" s="10">
        <f t="shared" si="20"/>
        <v>662.7</v>
      </c>
      <c r="J1211" s="10">
        <v>15.4411263176</v>
      </c>
      <c r="K1211" s="8" t="s">
        <v>4983</v>
      </c>
      <c r="S1211"/>
    </row>
    <row r="1212" spans="1:19" ht="15" x14ac:dyDescent="0.25">
      <c r="A1212" s="8" t="s">
        <v>6071</v>
      </c>
      <c r="B1212" s="8" t="s">
        <v>6069</v>
      </c>
      <c r="C1212" s="8" t="s">
        <v>6183</v>
      </c>
      <c r="D1212" s="32" t="s">
        <v>6984</v>
      </c>
      <c r="E1212" s="32" t="s">
        <v>6183</v>
      </c>
      <c r="F1212" s="10">
        <v>1</v>
      </c>
      <c r="G1212" s="8" t="s">
        <v>4903</v>
      </c>
      <c r="H1212" s="10">
        <v>622.20000000000005</v>
      </c>
      <c r="I1212" s="10">
        <f t="shared" si="20"/>
        <v>622.20000000000005</v>
      </c>
      <c r="J1212" s="10">
        <v>14.4908101738</v>
      </c>
      <c r="K1212" s="8" t="s">
        <v>4983</v>
      </c>
      <c r="S1212"/>
    </row>
    <row r="1213" spans="1:19" ht="15" x14ac:dyDescent="0.25">
      <c r="A1213" s="8" t="s">
        <v>6068</v>
      </c>
      <c r="B1213" s="8" t="s">
        <v>6069</v>
      </c>
      <c r="C1213" s="8" t="s">
        <v>6184</v>
      </c>
      <c r="D1213" s="32" t="s">
        <v>6984</v>
      </c>
      <c r="E1213" s="32" t="s">
        <v>6184</v>
      </c>
      <c r="F1213" s="10">
        <v>1</v>
      </c>
      <c r="G1213" s="8" t="s">
        <v>4903</v>
      </c>
      <c r="H1213" s="10">
        <v>479</v>
      </c>
      <c r="I1213" s="10">
        <f t="shared" si="20"/>
        <v>479</v>
      </c>
      <c r="J1213" s="10">
        <v>12.239345522000001</v>
      </c>
      <c r="K1213" s="8" t="s">
        <v>4949</v>
      </c>
      <c r="S1213"/>
    </row>
    <row r="1214" spans="1:19" ht="15" x14ac:dyDescent="0.25">
      <c r="A1214" s="8" t="s">
        <v>6071</v>
      </c>
      <c r="B1214" s="8" t="s">
        <v>6069</v>
      </c>
      <c r="C1214" s="8" t="s">
        <v>6185</v>
      </c>
      <c r="D1214" s="32" t="s">
        <v>6984</v>
      </c>
      <c r="E1214" s="32" t="s">
        <v>6185</v>
      </c>
      <c r="F1214" s="10">
        <v>1</v>
      </c>
      <c r="G1214" s="8" t="s">
        <v>4903</v>
      </c>
      <c r="H1214" s="10">
        <v>444.8</v>
      </c>
      <c r="I1214" s="10">
        <f t="shared" si="20"/>
        <v>444.8</v>
      </c>
      <c r="J1214" s="10">
        <v>11.356133664</v>
      </c>
      <c r="K1214" s="8" t="s">
        <v>4949</v>
      </c>
      <c r="S1214"/>
    </row>
    <row r="1215" spans="1:19" ht="15" x14ac:dyDescent="0.25">
      <c r="A1215" s="8" t="s">
        <v>6071</v>
      </c>
      <c r="B1215" s="8" t="s">
        <v>6069</v>
      </c>
      <c r="C1215" s="8" t="s">
        <v>6186</v>
      </c>
      <c r="D1215" s="32" t="s">
        <v>6984</v>
      </c>
      <c r="E1215" s="32" t="s">
        <v>6186</v>
      </c>
      <c r="F1215" s="10">
        <v>1</v>
      </c>
      <c r="G1215" s="8" t="s">
        <v>4903</v>
      </c>
      <c r="H1215" s="10">
        <v>115.5</v>
      </c>
      <c r="I1215" s="10">
        <f t="shared" si="20"/>
        <v>115.5</v>
      </c>
      <c r="J1215" s="10">
        <v>3.8135583999999998</v>
      </c>
      <c r="K1215" s="8" t="s">
        <v>4904</v>
      </c>
      <c r="S1215"/>
    </row>
    <row r="1216" spans="1:19" ht="15" x14ac:dyDescent="0.25">
      <c r="A1216" s="8" t="s">
        <v>6071</v>
      </c>
      <c r="B1216" s="8" t="s">
        <v>6069</v>
      </c>
      <c r="C1216" s="8" t="s">
        <v>6187</v>
      </c>
      <c r="D1216" s="32" t="s">
        <v>6984</v>
      </c>
      <c r="E1216" s="32" t="s">
        <v>6187</v>
      </c>
      <c r="F1216" s="10">
        <v>1</v>
      </c>
      <c r="G1216" s="8" t="s">
        <v>4903</v>
      </c>
      <c r="H1216" s="10">
        <v>115.5</v>
      </c>
      <c r="I1216" s="10">
        <f t="shared" si="20"/>
        <v>115.5</v>
      </c>
      <c r="J1216" s="10">
        <v>3.8135583999999998</v>
      </c>
      <c r="K1216" s="8" t="s">
        <v>4904</v>
      </c>
      <c r="S1216"/>
    </row>
    <row r="1217" spans="1:19" ht="15" x14ac:dyDescent="0.25">
      <c r="A1217" s="8" t="s">
        <v>6068</v>
      </c>
      <c r="B1217" s="8" t="s">
        <v>6069</v>
      </c>
      <c r="C1217" s="8" t="s">
        <v>6188</v>
      </c>
      <c r="D1217" s="32" t="s">
        <v>6984</v>
      </c>
      <c r="E1217" s="32" t="s">
        <v>6188</v>
      </c>
      <c r="F1217" s="10">
        <v>1</v>
      </c>
      <c r="G1217" s="8" t="s">
        <v>4903</v>
      </c>
      <c r="H1217" s="10">
        <v>121.7</v>
      </c>
      <c r="I1217" s="10">
        <f t="shared" si="20"/>
        <v>121.7</v>
      </c>
      <c r="J1217" s="10">
        <v>4.0148288000000001</v>
      </c>
      <c r="K1217" s="8" t="s">
        <v>4904</v>
      </c>
      <c r="S1217"/>
    </row>
    <row r="1218" spans="1:19" ht="15" x14ac:dyDescent="0.25">
      <c r="A1218" s="8" t="s">
        <v>6068</v>
      </c>
      <c r="B1218" s="8" t="s">
        <v>6069</v>
      </c>
      <c r="C1218" s="8" t="s">
        <v>6189</v>
      </c>
      <c r="D1218" s="32" t="s">
        <v>6984</v>
      </c>
      <c r="E1218" s="32" t="s">
        <v>6189</v>
      </c>
      <c r="F1218" s="10">
        <v>1</v>
      </c>
      <c r="G1218" s="8" t="s">
        <v>4903</v>
      </c>
      <c r="H1218" s="10">
        <v>121.7</v>
      </c>
      <c r="I1218" s="10">
        <f t="shared" si="20"/>
        <v>121.7</v>
      </c>
      <c r="J1218" s="10">
        <v>4.0148288000000001</v>
      </c>
      <c r="K1218" s="8" t="s">
        <v>4904</v>
      </c>
      <c r="S1218"/>
    </row>
    <row r="1219" spans="1:19" ht="15" x14ac:dyDescent="0.25">
      <c r="A1219" s="8" t="s">
        <v>6068</v>
      </c>
      <c r="B1219" s="8" t="s">
        <v>6069</v>
      </c>
      <c r="C1219" s="8" t="s">
        <v>6190</v>
      </c>
      <c r="D1219" s="32" t="s">
        <v>6984</v>
      </c>
      <c r="E1219" s="32" t="s">
        <v>6190</v>
      </c>
      <c r="F1219" s="10">
        <v>1</v>
      </c>
      <c r="G1219" s="8" t="s">
        <v>4934</v>
      </c>
      <c r="H1219" s="10">
        <v>3237.7</v>
      </c>
      <c r="I1219" s="10">
        <f t="shared" si="20"/>
        <v>3237.7</v>
      </c>
      <c r="J1219" s="10">
        <v>49.96888800376</v>
      </c>
      <c r="K1219" s="8" t="s">
        <v>6191</v>
      </c>
      <c r="S1219"/>
    </row>
    <row r="1220" spans="1:19" ht="15" x14ac:dyDescent="0.25">
      <c r="A1220" s="8" t="s">
        <v>6068</v>
      </c>
      <c r="B1220" s="8" t="s">
        <v>6069</v>
      </c>
      <c r="C1220" s="8" t="s">
        <v>6192</v>
      </c>
      <c r="D1220" s="32" t="s">
        <v>6984</v>
      </c>
      <c r="E1220" s="32" t="s">
        <v>6192</v>
      </c>
      <c r="F1220" s="10">
        <v>1</v>
      </c>
      <c r="G1220" s="8" t="s">
        <v>4934</v>
      </c>
      <c r="H1220" s="10">
        <v>5106.5</v>
      </c>
      <c r="I1220" s="10">
        <f t="shared" si="20"/>
        <v>5106.5</v>
      </c>
      <c r="J1220" s="10">
        <v>63.2067376368</v>
      </c>
      <c r="K1220" s="8" t="s">
        <v>4974</v>
      </c>
      <c r="S1220"/>
    </row>
    <row r="1221" spans="1:19" ht="15" x14ac:dyDescent="0.25">
      <c r="A1221" s="8" t="s">
        <v>6068</v>
      </c>
      <c r="B1221" s="8" t="s">
        <v>6069</v>
      </c>
      <c r="C1221" s="8" t="s">
        <v>6193</v>
      </c>
      <c r="D1221" s="32" t="s">
        <v>6984</v>
      </c>
      <c r="E1221" s="32" t="s">
        <v>6193</v>
      </c>
      <c r="F1221" s="10">
        <v>1</v>
      </c>
      <c r="G1221" s="8" t="s">
        <v>4934</v>
      </c>
      <c r="H1221" s="10">
        <v>3291.7</v>
      </c>
      <c r="I1221" s="10">
        <f t="shared" ref="I1221:I1225" si="21">F1221*H1221</f>
        <v>3291.7</v>
      </c>
      <c r="J1221" s="10">
        <v>50.033650044479998</v>
      </c>
      <c r="K1221" s="8" t="s">
        <v>6191</v>
      </c>
      <c r="S1221"/>
    </row>
    <row r="1222" spans="1:19" ht="15" x14ac:dyDescent="0.25">
      <c r="A1222" s="8" t="s">
        <v>6068</v>
      </c>
      <c r="B1222" s="8" t="s">
        <v>6069</v>
      </c>
      <c r="C1222" s="8" t="s">
        <v>6194</v>
      </c>
      <c r="D1222" s="32" t="s">
        <v>6984</v>
      </c>
      <c r="E1222" s="32" t="s">
        <v>6194</v>
      </c>
      <c r="F1222" s="10">
        <v>1</v>
      </c>
      <c r="G1222" s="8" t="s">
        <v>4934</v>
      </c>
      <c r="H1222" s="10">
        <v>3290.6</v>
      </c>
      <c r="I1222" s="10">
        <f t="shared" si="21"/>
        <v>3290.6</v>
      </c>
      <c r="J1222" s="10">
        <v>50.064863310329997</v>
      </c>
      <c r="K1222" s="8" t="s">
        <v>6191</v>
      </c>
      <c r="S1222"/>
    </row>
    <row r="1223" spans="1:19" ht="15" x14ac:dyDescent="0.25">
      <c r="A1223" s="8" t="s">
        <v>6071</v>
      </c>
      <c r="B1223" s="8" t="s">
        <v>6069</v>
      </c>
      <c r="C1223" s="8" t="s">
        <v>6195</v>
      </c>
      <c r="D1223" s="32" t="s">
        <v>6984</v>
      </c>
      <c r="E1223" s="32" t="s">
        <v>6195</v>
      </c>
      <c r="F1223" s="10">
        <v>1</v>
      </c>
      <c r="G1223" s="8" t="s">
        <v>4934</v>
      </c>
      <c r="H1223" s="10">
        <v>3281.1</v>
      </c>
      <c r="I1223" s="10">
        <f t="shared" si="21"/>
        <v>3281.1</v>
      </c>
      <c r="J1223" s="10">
        <v>50.3981305804</v>
      </c>
      <c r="K1223" s="8" t="s">
        <v>6191</v>
      </c>
      <c r="S1223"/>
    </row>
    <row r="1224" spans="1:19" ht="15" x14ac:dyDescent="0.25">
      <c r="A1224" s="8" t="s">
        <v>6071</v>
      </c>
      <c r="B1224" s="8" t="s">
        <v>6069</v>
      </c>
      <c r="C1224" s="8" t="s">
        <v>6196</v>
      </c>
      <c r="D1224" s="32" t="s">
        <v>6984</v>
      </c>
      <c r="E1224" s="32" t="s">
        <v>6196</v>
      </c>
      <c r="F1224" s="10">
        <v>1</v>
      </c>
      <c r="G1224" s="8" t="s">
        <v>4934</v>
      </c>
      <c r="H1224" s="10">
        <v>3335.8</v>
      </c>
      <c r="I1224" s="10">
        <f t="shared" si="21"/>
        <v>3335.8</v>
      </c>
      <c r="J1224" s="10">
        <v>51.063355217080002</v>
      </c>
      <c r="K1224" s="8" t="s">
        <v>6191</v>
      </c>
      <c r="S1224"/>
    </row>
    <row r="1225" spans="1:19" ht="15" x14ac:dyDescent="0.25">
      <c r="A1225" s="8" t="s">
        <v>6071</v>
      </c>
      <c r="B1225" s="8" t="s">
        <v>6069</v>
      </c>
      <c r="C1225" s="8" t="s">
        <v>6197</v>
      </c>
      <c r="D1225" s="32" t="s">
        <v>6984</v>
      </c>
      <c r="E1225" s="32" t="s">
        <v>6197</v>
      </c>
      <c r="F1225" s="10">
        <v>1</v>
      </c>
      <c r="G1225" s="8" t="s">
        <v>4934</v>
      </c>
      <c r="H1225" s="10">
        <v>3323.1</v>
      </c>
      <c r="I1225" s="10">
        <f t="shared" si="21"/>
        <v>3323.1</v>
      </c>
      <c r="J1225" s="10">
        <v>51.283795228450003</v>
      </c>
      <c r="K1225" s="8" t="s">
        <v>6191</v>
      </c>
      <c r="S1225"/>
    </row>
    <row r="1226" spans="1:19" ht="15" x14ac:dyDescent="0.25">
      <c r="A1226" s="8" t="s">
        <v>5069</v>
      </c>
      <c r="B1226" s="8" t="s">
        <v>5070</v>
      </c>
      <c r="C1226" s="8" t="s">
        <v>6198</v>
      </c>
      <c r="D1226" s="32" t="s">
        <v>5146</v>
      </c>
      <c r="E1226" s="32" t="s">
        <v>6198</v>
      </c>
      <c r="F1226" s="10">
        <v>33</v>
      </c>
      <c r="G1226" s="8" t="s">
        <v>5736</v>
      </c>
      <c r="K1226" s="8" t="s">
        <v>6199</v>
      </c>
      <c r="L1226" s="8" t="s">
        <v>32</v>
      </c>
      <c r="S1226"/>
    </row>
    <row r="1227" spans="1:19" ht="15" x14ac:dyDescent="0.25">
      <c r="A1227" s="8" t="s">
        <v>5069</v>
      </c>
      <c r="B1227" s="8" t="s">
        <v>5070</v>
      </c>
      <c r="C1227" s="8" t="s">
        <v>6200</v>
      </c>
      <c r="D1227" s="32" t="s">
        <v>5146</v>
      </c>
      <c r="E1227" s="32" t="s">
        <v>6200</v>
      </c>
      <c r="F1227" s="10">
        <v>33</v>
      </c>
      <c r="G1227" s="8" t="s">
        <v>6201</v>
      </c>
      <c r="K1227" s="8" t="s">
        <v>6199</v>
      </c>
      <c r="L1227" s="8" t="s">
        <v>32</v>
      </c>
      <c r="S1227"/>
    </row>
    <row r="1228" spans="1:19" ht="15" x14ac:dyDescent="0.25">
      <c r="A1228" s="8" t="s">
        <v>5069</v>
      </c>
      <c r="B1228" s="8" t="s">
        <v>5070</v>
      </c>
      <c r="C1228" s="8" t="s">
        <v>6202</v>
      </c>
      <c r="D1228" s="32" t="s">
        <v>5146</v>
      </c>
      <c r="E1228" s="32" t="s">
        <v>6202</v>
      </c>
      <c r="F1228" s="10">
        <v>33</v>
      </c>
      <c r="G1228" s="8" t="s">
        <v>5740</v>
      </c>
      <c r="K1228" s="8" t="s">
        <v>6199</v>
      </c>
      <c r="L1228" s="8" t="s">
        <v>32</v>
      </c>
      <c r="S1228"/>
    </row>
    <row r="1229" spans="1:19" ht="15" x14ac:dyDescent="0.25">
      <c r="A1229" s="8" t="s">
        <v>5069</v>
      </c>
      <c r="B1229" s="8" t="s">
        <v>5070</v>
      </c>
      <c r="C1229" s="8" t="s">
        <v>6203</v>
      </c>
      <c r="D1229" s="32" t="s">
        <v>5146</v>
      </c>
      <c r="E1229" s="32" t="s">
        <v>6203</v>
      </c>
      <c r="F1229" s="10">
        <v>441</v>
      </c>
      <c r="G1229" s="8" t="s">
        <v>5175</v>
      </c>
      <c r="K1229" s="8" t="s">
        <v>6199</v>
      </c>
      <c r="L1229" s="8" t="s">
        <v>32</v>
      </c>
      <c r="S1229"/>
    </row>
    <row r="1230" spans="1:19" ht="15" x14ac:dyDescent="0.25">
      <c r="A1230" s="8" t="s">
        <v>5069</v>
      </c>
      <c r="B1230" s="8" t="s">
        <v>5070</v>
      </c>
      <c r="C1230" s="8" t="s">
        <v>6204</v>
      </c>
      <c r="D1230" s="32" t="s">
        <v>5146</v>
      </c>
      <c r="E1230" s="32" t="s">
        <v>6204</v>
      </c>
      <c r="F1230" s="10">
        <v>441</v>
      </c>
      <c r="G1230" s="8" t="s">
        <v>6205</v>
      </c>
      <c r="K1230" s="8" t="s">
        <v>6199</v>
      </c>
      <c r="L1230" s="8" t="s">
        <v>32</v>
      </c>
      <c r="S1230"/>
    </row>
    <row r="1231" spans="1:19" ht="15" x14ac:dyDescent="0.25">
      <c r="A1231" s="8" t="s">
        <v>5069</v>
      </c>
      <c r="B1231" s="8" t="s">
        <v>5070</v>
      </c>
      <c r="C1231" s="8" t="s">
        <v>6206</v>
      </c>
      <c r="D1231" s="32" t="s">
        <v>5146</v>
      </c>
      <c r="E1231" s="32" t="s">
        <v>6206</v>
      </c>
      <c r="F1231" s="10">
        <v>441</v>
      </c>
      <c r="G1231" s="8" t="s">
        <v>5745</v>
      </c>
      <c r="K1231" s="8" t="s">
        <v>6199</v>
      </c>
      <c r="L1231" s="8" t="s">
        <v>32</v>
      </c>
      <c r="S1231"/>
    </row>
    <row r="1232" spans="1:19" ht="15" x14ac:dyDescent="0.25">
      <c r="A1232" s="8" t="s">
        <v>5069</v>
      </c>
      <c r="B1232" s="8" t="s">
        <v>5070</v>
      </c>
      <c r="C1232" s="8" t="s">
        <v>6207</v>
      </c>
      <c r="D1232" s="32" t="s">
        <v>5146</v>
      </c>
      <c r="E1232" s="32" t="s">
        <v>6207</v>
      </c>
      <c r="F1232" s="10">
        <v>9</v>
      </c>
      <c r="G1232" s="8" t="s">
        <v>5747</v>
      </c>
      <c r="K1232" s="8" t="s">
        <v>6199</v>
      </c>
      <c r="L1232" s="8" t="s">
        <v>32</v>
      </c>
      <c r="S1232"/>
    </row>
    <row r="1233" spans="1:19" ht="15" x14ac:dyDescent="0.25">
      <c r="A1233" s="8" t="s">
        <v>5069</v>
      </c>
      <c r="B1233" s="8" t="s">
        <v>5070</v>
      </c>
      <c r="C1233" s="8" t="s">
        <v>6208</v>
      </c>
      <c r="D1233" s="32" t="s">
        <v>5146</v>
      </c>
      <c r="E1233" s="32" t="s">
        <v>6208</v>
      </c>
      <c r="F1233" s="10">
        <v>3</v>
      </c>
      <c r="G1233" s="8" t="s">
        <v>6209</v>
      </c>
      <c r="K1233" s="8" t="s">
        <v>6199</v>
      </c>
      <c r="L1233" s="8" t="s">
        <v>32</v>
      </c>
      <c r="S1233"/>
    </row>
    <row r="1234" spans="1:19" ht="15" x14ac:dyDescent="0.25">
      <c r="A1234" s="8" t="s">
        <v>5069</v>
      </c>
      <c r="B1234" s="8" t="s">
        <v>5070</v>
      </c>
      <c r="C1234" s="8" t="s">
        <v>6210</v>
      </c>
      <c r="D1234" s="32" t="s">
        <v>5146</v>
      </c>
      <c r="E1234" s="32" t="s">
        <v>6210</v>
      </c>
      <c r="F1234" s="10">
        <v>12</v>
      </c>
      <c r="G1234" s="8" t="s">
        <v>5177</v>
      </c>
      <c r="K1234" s="8" t="s">
        <v>6199</v>
      </c>
      <c r="L1234" s="8" t="s">
        <v>32</v>
      </c>
      <c r="S1234"/>
    </row>
    <row r="1235" spans="1:19" ht="15" x14ac:dyDescent="0.25">
      <c r="A1235" s="8" t="s">
        <v>5069</v>
      </c>
      <c r="B1235" s="8" t="s">
        <v>5070</v>
      </c>
      <c r="C1235" s="8" t="s">
        <v>6211</v>
      </c>
      <c r="D1235" s="32" t="s">
        <v>5146</v>
      </c>
      <c r="E1235" s="32" t="s">
        <v>6211</v>
      </c>
      <c r="F1235" s="10">
        <v>12</v>
      </c>
      <c r="G1235" s="8" t="s">
        <v>5750</v>
      </c>
      <c r="K1235" s="8" t="s">
        <v>6199</v>
      </c>
      <c r="L1235" s="8" t="s">
        <v>32</v>
      </c>
      <c r="S1235"/>
    </row>
    <row r="1236" spans="1:19" ht="15" x14ac:dyDescent="0.25">
      <c r="A1236" s="8" t="s">
        <v>5069</v>
      </c>
      <c r="B1236" s="8" t="s">
        <v>5070</v>
      </c>
      <c r="C1236" s="8" t="s">
        <v>6212</v>
      </c>
      <c r="D1236" s="32" t="s">
        <v>5146</v>
      </c>
      <c r="E1236" s="32" t="s">
        <v>6212</v>
      </c>
      <c r="F1236" s="10">
        <v>45</v>
      </c>
      <c r="G1236" s="8" t="s">
        <v>5153</v>
      </c>
      <c r="K1236" s="8" t="s">
        <v>6199</v>
      </c>
      <c r="L1236" s="8" t="s">
        <v>32</v>
      </c>
      <c r="S1236"/>
    </row>
    <row r="1237" spans="1:19" ht="15" x14ac:dyDescent="0.25">
      <c r="A1237" s="8" t="s">
        <v>5069</v>
      </c>
      <c r="B1237" s="8" t="s">
        <v>5070</v>
      </c>
      <c r="C1237" s="8" t="s">
        <v>6213</v>
      </c>
      <c r="D1237" s="32" t="s">
        <v>5146</v>
      </c>
      <c r="E1237" s="32" t="s">
        <v>6213</v>
      </c>
      <c r="F1237" s="10">
        <v>2502</v>
      </c>
      <c r="G1237" s="8" t="s">
        <v>5155</v>
      </c>
      <c r="K1237" s="8" t="s">
        <v>6199</v>
      </c>
      <c r="L1237" s="8" t="s">
        <v>32</v>
      </c>
      <c r="S1237"/>
    </row>
    <row r="1238" spans="1:19" ht="15" x14ac:dyDescent="0.25">
      <c r="A1238" s="8" t="s">
        <v>5069</v>
      </c>
      <c r="B1238" s="8" t="s">
        <v>5070</v>
      </c>
      <c r="C1238" s="8" t="s">
        <v>6214</v>
      </c>
      <c r="D1238" s="32" t="s">
        <v>5146</v>
      </c>
      <c r="E1238" s="32" t="s">
        <v>6214</v>
      </c>
      <c r="F1238" s="10">
        <v>164</v>
      </c>
      <c r="G1238" s="8" t="s">
        <v>6215</v>
      </c>
      <c r="K1238" s="8" t="s">
        <v>6199</v>
      </c>
      <c r="L1238" s="8" t="s">
        <v>32</v>
      </c>
      <c r="S1238"/>
    </row>
    <row r="1239" spans="1:19" ht="15" x14ac:dyDescent="0.25">
      <c r="A1239" s="8" t="s">
        <v>5069</v>
      </c>
      <c r="B1239" s="8" t="s">
        <v>5070</v>
      </c>
      <c r="C1239" s="8" t="s">
        <v>6216</v>
      </c>
      <c r="D1239" s="32" t="s">
        <v>5146</v>
      </c>
      <c r="E1239" s="32" t="s">
        <v>6216</v>
      </c>
      <c r="F1239" s="10">
        <v>510</v>
      </c>
      <c r="G1239" s="8" t="s">
        <v>5157</v>
      </c>
      <c r="K1239" s="8" t="s">
        <v>6199</v>
      </c>
      <c r="L1239" s="8" t="s">
        <v>32</v>
      </c>
      <c r="S1239"/>
    </row>
    <row r="1240" spans="1:19" ht="15" x14ac:dyDescent="0.25">
      <c r="A1240" s="8" t="s">
        <v>5069</v>
      </c>
      <c r="B1240" s="8" t="s">
        <v>5070</v>
      </c>
      <c r="C1240" s="8" t="s">
        <v>6217</v>
      </c>
      <c r="D1240" s="32" t="s">
        <v>5146</v>
      </c>
      <c r="E1240" s="32" t="s">
        <v>6217</v>
      </c>
      <c r="F1240" s="10">
        <v>1579</v>
      </c>
      <c r="G1240" s="8" t="s">
        <v>5159</v>
      </c>
      <c r="K1240" s="8" t="s">
        <v>6199</v>
      </c>
      <c r="L1240" s="8" t="s">
        <v>32</v>
      </c>
      <c r="S1240"/>
    </row>
    <row r="1241" spans="1:19" ht="15" x14ac:dyDescent="0.25">
      <c r="A1241" s="8" t="s">
        <v>5069</v>
      </c>
      <c r="B1241" s="8" t="s">
        <v>5070</v>
      </c>
      <c r="C1241" s="8" t="s">
        <v>6218</v>
      </c>
      <c r="D1241" s="32" t="s">
        <v>5146</v>
      </c>
      <c r="E1241" s="32" t="s">
        <v>6218</v>
      </c>
      <c r="F1241" s="10">
        <v>2185</v>
      </c>
      <c r="G1241" s="8" t="s">
        <v>5161</v>
      </c>
      <c r="K1241" s="8" t="s">
        <v>6199</v>
      </c>
      <c r="L1241" s="8" t="s">
        <v>32</v>
      </c>
      <c r="S1241"/>
    </row>
    <row r="1242" spans="1:19" ht="15" x14ac:dyDescent="0.25">
      <c r="A1242" s="8" t="s">
        <v>5069</v>
      </c>
      <c r="B1242" s="8" t="s">
        <v>5070</v>
      </c>
      <c r="C1242" s="8" t="s">
        <v>6219</v>
      </c>
      <c r="D1242" s="32" t="s">
        <v>5146</v>
      </c>
      <c r="E1242" s="32" t="s">
        <v>6219</v>
      </c>
      <c r="F1242" s="10">
        <v>896</v>
      </c>
      <c r="G1242" s="8" t="s">
        <v>5163</v>
      </c>
      <c r="K1242" s="8" t="s">
        <v>6199</v>
      </c>
      <c r="L1242" s="8" t="s">
        <v>32</v>
      </c>
      <c r="S1242"/>
    </row>
    <row r="1243" spans="1:19" ht="15" x14ac:dyDescent="0.25">
      <c r="A1243" s="8" t="s">
        <v>5069</v>
      </c>
      <c r="B1243" s="8" t="s">
        <v>5070</v>
      </c>
      <c r="C1243" s="8" t="s">
        <v>6220</v>
      </c>
      <c r="D1243" s="32" t="s">
        <v>5146</v>
      </c>
      <c r="E1243" s="32" t="s">
        <v>6220</v>
      </c>
      <c r="F1243" s="10">
        <v>17</v>
      </c>
      <c r="G1243" s="8" t="s">
        <v>5185</v>
      </c>
      <c r="K1243" s="8" t="s">
        <v>6199</v>
      </c>
      <c r="L1243" s="8" t="s">
        <v>32</v>
      </c>
      <c r="S1243"/>
    </row>
    <row r="1244" spans="1:19" ht="15" x14ac:dyDescent="0.25">
      <c r="A1244" s="8" t="s">
        <v>5069</v>
      </c>
      <c r="B1244" s="8" t="s">
        <v>5070</v>
      </c>
      <c r="C1244" s="8" t="s">
        <v>6221</v>
      </c>
      <c r="D1244" s="32" t="s">
        <v>5146</v>
      </c>
      <c r="E1244" s="32" t="s">
        <v>6221</v>
      </c>
      <c r="F1244" s="10">
        <v>784</v>
      </c>
      <c r="G1244" s="8" t="s">
        <v>5187</v>
      </c>
      <c r="K1244" s="8" t="s">
        <v>6199</v>
      </c>
      <c r="L1244" s="8" t="s">
        <v>32</v>
      </c>
      <c r="S1244"/>
    </row>
    <row r="1245" spans="1:19" ht="15" x14ac:dyDescent="0.25">
      <c r="A1245" s="8" t="s">
        <v>5069</v>
      </c>
      <c r="B1245" s="8" t="s">
        <v>5070</v>
      </c>
      <c r="C1245" s="8" t="s">
        <v>6222</v>
      </c>
      <c r="D1245" s="32" t="s">
        <v>5146</v>
      </c>
      <c r="E1245" s="32" t="s">
        <v>6222</v>
      </c>
      <c r="F1245" s="10">
        <v>8682</v>
      </c>
      <c r="G1245" s="8" t="s">
        <v>5165</v>
      </c>
      <c r="K1245" s="8" t="s">
        <v>6199</v>
      </c>
      <c r="L1245" s="8" t="s">
        <v>32</v>
      </c>
      <c r="S1245"/>
    </row>
    <row r="1246" spans="1:19" ht="15" x14ac:dyDescent="0.25">
      <c r="A1246" s="8" t="s">
        <v>5069</v>
      </c>
      <c r="B1246" s="8" t="s">
        <v>5070</v>
      </c>
      <c r="C1246" s="8" t="s">
        <v>6223</v>
      </c>
      <c r="D1246" s="32" t="s">
        <v>5146</v>
      </c>
      <c r="E1246" s="32" t="s">
        <v>6223</v>
      </c>
      <c r="F1246" s="10">
        <v>8682</v>
      </c>
      <c r="G1246" s="8" t="s">
        <v>5167</v>
      </c>
      <c r="K1246" s="8" t="s">
        <v>6199</v>
      </c>
      <c r="L1246" s="8" t="s">
        <v>32</v>
      </c>
      <c r="S1246"/>
    </row>
    <row r="1247" spans="1:19" ht="15" x14ac:dyDescent="0.25">
      <c r="A1247" s="8" t="s">
        <v>5069</v>
      </c>
      <c r="B1247" s="8" t="s">
        <v>5070</v>
      </c>
      <c r="C1247" s="8" t="s">
        <v>6224</v>
      </c>
      <c r="D1247" s="32" t="s">
        <v>5146</v>
      </c>
      <c r="E1247" s="32" t="s">
        <v>6224</v>
      </c>
      <c r="F1247" s="10">
        <v>510</v>
      </c>
      <c r="G1247" s="8" t="s">
        <v>6225</v>
      </c>
      <c r="K1247" s="8" t="s">
        <v>6199</v>
      </c>
      <c r="L1247" s="8" t="s">
        <v>32</v>
      </c>
      <c r="S1247"/>
    </row>
    <row r="1248" spans="1:19" ht="15" x14ac:dyDescent="0.25">
      <c r="A1248" s="8" t="s">
        <v>5069</v>
      </c>
      <c r="B1248" s="8" t="s">
        <v>5070</v>
      </c>
      <c r="C1248" s="8" t="s">
        <v>6226</v>
      </c>
      <c r="D1248" s="32" t="s">
        <v>5146</v>
      </c>
      <c r="E1248" s="32" t="s">
        <v>6226</v>
      </c>
      <c r="F1248" s="10">
        <v>510</v>
      </c>
      <c r="G1248" s="8" t="s">
        <v>5167</v>
      </c>
      <c r="K1248" s="8" t="s">
        <v>6199</v>
      </c>
      <c r="L1248" s="8" t="s">
        <v>32</v>
      </c>
      <c r="S1248"/>
    </row>
    <row r="1249" spans="1:19" ht="15" x14ac:dyDescent="0.25">
      <c r="A1249" s="8" t="s">
        <v>5018</v>
      </c>
      <c r="B1249" s="8" t="s">
        <v>4819</v>
      </c>
      <c r="C1249" s="8" t="s">
        <v>6227</v>
      </c>
      <c r="D1249" s="32" t="s">
        <v>5146</v>
      </c>
      <c r="E1249" s="32" t="s">
        <v>6227</v>
      </c>
      <c r="F1249" s="10">
        <v>204</v>
      </c>
      <c r="G1249" s="8" t="s">
        <v>5736</v>
      </c>
      <c r="K1249" s="8" t="s">
        <v>6199</v>
      </c>
      <c r="L1249" s="8" t="s">
        <v>32</v>
      </c>
      <c r="S1249"/>
    </row>
    <row r="1250" spans="1:19" ht="15" x14ac:dyDescent="0.25">
      <c r="A1250" s="8" t="s">
        <v>5018</v>
      </c>
      <c r="B1250" s="8" t="s">
        <v>4819</v>
      </c>
      <c r="C1250" s="8" t="s">
        <v>6228</v>
      </c>
      <c r="D1250" s="32" t="s">
        <v>5146</v>
      </c>
      <c r="E1250" s="32" t="s">
        <v>6228</v>
      </c>
      <c r="F1250" s="10">
        <v>204</v>
      </c>
      <c r="G1250" s="8" t="s">
        <v>6201</v>
      </c>
      <c r="K1250" s="8" t="s">
        <v>6199</v>
      </c>
      <c r="L1250" s="8" t="s">
        <v>32</v>
      </c>
      <c r="S1250"/>
    </row>
    <row r="1251" spans="1:19" ht="15" x14ac:dyDescent="0.25">
      <c r="A1251" s="8" t="s">
        <v>5018</v>
      </c>
      <c r="B1251" s="8" t="s">
        <v>4819</v>
      </c>
      <c r="C1251" s="8" t="s">
        <v>6229</v>
      </c>
      <c r="D1251" s="32" t="s">
        <v>5146</v>
      </c>
      <c r="E1251" s="32" t="s">
        <v>6229</v>
      </c>
      <c r="F1251" s="10">
        <v>204</v>
      </c>
      <c r="G1251" s="8" t="s">
        <v>5740</v>
      </c>
      <c r="K1251" s="8" t="s">
        <v>6199</v>
      </c>
      <c r="L1251" s="8" t="s">
        <v>32</v>
      </c>
      <c r="S1251"/>
    </row>
    <row r="1252" spans="1:19" ht="15" x14ac:dyDescent="0.25">
      <c r="A1252" s="8" t="s">
        <v>5018</v>
      </c>
      <c r="B1252" s="8" t="s">
        <v>4819</v>
      </c>
      <c r="C1252" s="8" t="s">
        <v>6230</v>
      </c>
      <c r="D1252" s="32" t="s">
        <v>5146</v>
      </c>
      <c r="E1252" s="32" t="s">
        <v>6230</v>
      </c>
      <c r="F1252" s="10">
        <v>119</v>
      </c>
      <c r="G1252" s="8" t="s">
        <v>5175</v>
      </c>
      <c r="K1252" s="8" t="s">
        <v>6199</v>
      </c>
      <c r="L1252" s="8" t="s">
        <v>32</v>
      </c>
      <c r="S1252"/>
    </row>
    <row r="1253" spans="1:19" ht="15" x14ac:dyDescent="0.25">
      <c r="A1253" s="8" t="s">
        <v>5018</v>
      </c>
      <c r="B1253" s="8" t="s">
        <v>4819</v>
      </c>
      <c r="C1253" s="8" t="s">
        <v>6231</v>
      </c>
      <c r="D1253" s="32" t="s">
        <v>5146</v>
      </c>
      <c r="E1253" s="32" t="s">
        <v>6231</v>
      </c>
      <c r="F1253" s="10">
        <v>119</v>
      </c>
      <c r="G1253" s="8" t="s">
        <v>6205</v>
      </c>
      <c r="K1253" s="8" t="s">
        <v>6199</v>
      </c>
      <c r="L1253" s="8" t="s">
        <v>32</v>
      </c>
      <c r="S1253"/>
    </row>
    <row r="1254" spans="1:19" ht="15" x14ac:dyDescent="0.25">
      <c r="A1254" s="8" t="s">
        <v>5018</v>
      </c>
      <c r="B1254" s="8" t="s">
        <v>4819</v>
      </c>
      <c r="C1254" s="8" t="s">
        <v>6232</v>
      </c>
      <c r="D1254" s="32" t="s">
        <v>5146</v>
      </c>
      <c r="E1254" s="32" t="s">
        <v>6232</v>
      </c>
      <c r="F1254" s="10">
        <v>119</v>
      </c>
      <c r="G1254" s="8" t="s">
        <v>5745</v>
      </c>
      <c r="K1254" s="8" t="s">
        <v>6199</v>
      </c>
      <c r="L1254" s="8" t="s">
        <v>32</v>
      </c>
      <c r="S1254"/>
    </row>
    <row r="1255" spans="1:19" ht="15" x14ac:dyDescent="0.25">
      <c r="A1255" s="8" t="s">
        <v>5018</v>
      </c>
      <c r="B1255" s="8" t="s">
        <v>4819</v>
      </c>
      <c r="C1255" s="8" t="s">
        <v>6233</v>
      </c>
      <c r="D1255" s="32" t="s">
        <v>5146</v>
      </c>
      <c r="E1255" s="32" t="s">
        <v>6233</v>
      </c>
      <c r="F1255" s="10">
        <v>31</v>
      </c>
      <c r="G1255" s="8" t="s">
        <v>5747</v>
      </c>
      <c r="K1255" s="8" t="s">
        <v>6199</v>
      </c>
      <c r="L1255" s="8" t="s">
        <v>32</v>
      </c>
      <c r="S1255"/>
    </row>
    <row r="1256" spans="1:19" ht="15" x14ac:dyDescent="0.25">
      <c r="A1256" s="8" t="s">
        <v>5018</v>
      </c>
      <c r="B1256" s="8" t="s">
        <v>4819</v>
      </c>
      <c r="C1256" s="8" t="s">
        <v>6234</v>
      </c>
      <c r="D1256" s="32" t="s">
        <v>5146</v>
      </c>
      <c r="E1256" s="32" t="s">
        <v>6234</v>
      </c>
      <c r="F1256" s="10">
        <v>31</v>
      </c>
      <c r="G1256" s="8" t="s">
        <v>5177</v>
      </c>
      <c r="K1256" s="8" t="s">
        <v>6199</v>
      </c>
      <c r="L1256" s="8" t="s">
        <v>32</v>
      </c>
      <c r="S1256"/>
    </row>
    <row r="1257" spans="1:19" ht="15" x14ac:dyDescent="0.25">
      <c r="A1257" s="8" t="s">
        <v>5018</v>
      </c>
      <c r="B1257" s="8" t="s">
        <v>4819</v>
      </c>
      <c r="C1257" s="8" t="s">
        <v>6235</v>
      </c>
      <c r="D1257" s="32" t="s">
        <v>5146</v>
      </c>
      <c r="E1257" s="32" t="s">
        <v>6235</v>
      </c>
      <c r="F1257" s="10">
        <v>31</v>
      </c>
      <c r="G1257" s="8" t="s">
        <v>5750</v>
      </c>
      <c r="K1257" s="8" t="s">
        <v>6199</v>
      </c>
      <c r="L1257" s="8" t="s">
        <v>32</v>
      </c>
      <c r="S1257"/>
    </row>
    <row r="1258" spans="1:19" ht="15" x14ac:dyDescent="0.25">
      <c r="A1258" s="8" t="s">
        <v>5018</v>
      </c>
      <c r="B1258" s="8" t="s">
        <v>4819</v>
      </c>
      <c r="C1258" s="8" t="s">
        <v>6236</v>
      </c>
      <c r="D1258" s="32" t="s">
        <v>5146</v>
      </c>
      <c r="E1258" s="32" t="s">
        <v>6236</v>
      </c>
      <c r="F1258" s="10">
        <v>82</v>
      </c>
      <c r="G1258" s="8" t="s">
        <v>5153</v>
      </c>
      <c r="K1258" s="8" t="s">
        <v>6199</v>
      </c>
      <c r="L1258" s="8" t="s">
        <v>32</v>
      </c>
      <c r="S1258"/>
    </row>
    <row r="1259" spans="1:19" ht="15" x14ac:dyDescent="0.25">
      <c r="A1259" s="8" t="s">
        <v>5018</v>
      </c>
      <c r="B1259" s="8" t="s">
        <v>4819</v>
      </c>
      <c r="C1259" s="8" t="s">
        <v>6237</v>
      </c>
      <c r="D1259" s="32" t="s">
        <v>5146</v>
      </c>
      <c r="E1259" s="32" t="s">
        <v>6237</v>
      </c>
      <c r="F1259" s="10">
        <v>332</v>
      </c>
      <c r="G1259" s="8" t="s">
        <v>5155</v>
      </c>
      <c r="K1259" s="8" t="s">
        <v>6199</v>
      </c>
      <c r="L1259" s="8" t="s">
        <v>32</v>
      </c>
      <c r="S1259"/>
    </row>
    <row r="1260" spans="1:19" ht="15" x14ac:dyDescent="0.25">
      <c r="A1260" s="8" t="s">
        <v>5018</v>
      </c>
      <c r="B1260" s="8" t="s">
        <v>4819</v>
      </c>
      <c r="C1260" s="8" t="s">
        <v>6238</v>
      </c>
      <c r="D1260" s="32" t="s">
        <v>5146</v>
      </c>
      <c r="E1260" s="32" t="s">
        <v>6238</v>
      </c>
      <c r="F1260" s="10">
        <v>436</v>
      </c>
      <c r="G1260" s="8" t="s">
        <v>5157</v>
      </c>
      <c r="K1260" s="8" t="s">
        <v>6199</v>
      </c>
      <c r="L1260" s="8" t="s">
        <v>32</v>
      </c>
      <c r="S1260"/>
    </row>
    <row r="1261" spans="1:19" ht="15" x14ac:dyDescent="0.25">
      <c r="A1261" s="8" t="s">
        <v>5018</v>
      </c>
      <c r="B1261" s="8" t="s">
        <v>4819</v>
      </c>
      <c r="C1261" s="8" t="s">
        <v>6239</v>
      </c>
      <c r="D1261" s="32" t="s">
        <v>5146</v>
      </c>
      <c r="E1261" s="32" t="s">
        <v>6239</v>
      </c>
      <c r="F1261" s="10">
        <v>947</v>
      </c>
      <c r="G1261" s="8" t="s">
        <v>5159</v>
      </c>
      <c r="K1261" s="8" t="s">
        <v>6199</v>
      </c>
      <c r="L1261" s="8" t="s">
        <v>32</v>
      </c>
      <c r="S1261"/>
    </row>
    <row r="1262" spans="1:19" ht="15" x14ac:dyDescent="0.25">
      <c r="A1262" s="8" t="s">
        <v>5018</v>
      </c>
      <c r="B1262" s="8" t="s">
        <v>4819</v>
      </c>
      <c r="C1262" s="8" t="s">
        <v>6240</v>
      </c>
      <c r="D1262" s="32" t="s">
        <v>5146</v>
      </c>
      <c r="E1262" s="32" t="s">
        <v>6240</v>
      </c>
      <c r="F1262" s="10">
        <v>892</v>
      </c>
      <c r="G1262" s="8" t="s">
        <v>5161</v>
      </c>
      <c r="K1262" s="8" t="s">
        <v>6199</v>
      </c>
      <c r="L1262" s="8" t="s">
        <v>32</v>
      </c>
      <c r="S1262"/>
    </row>
    <row r="1263" spans="1:19" ht="15" x14ac:dyDescent="0.25">
      <c r="A1263" s="8" t="s">
        <v>5018</v>
      </c>
      <c r="B1263" s="8" t="s">
        <v>4819</v>
      </c>
      <c r="C1263" s="8" t="s">
        <v>6241</v>
      </c>
      <c r="D1263" s="32" t="s">
        <v>5146</v>
      </c>
      <c r="E1263" s="32" t="s">
        <v>6241</v>
      </c>
      <c r="F1263" s="10">
        <v>1176</v>
      </c>
      <c r="G1263" s="8" t="s">
        <v>5163</v>
      </c>
      <c r="K1263" s="8" t="s">
        <v>6199</v>
      </c>
      <c r="L1263" s="8" t="s">
        <v>32</v>
      </c>
      <c r="S1263"/>
    </row>
    <row r="1264" spans="1:19" ht="15" x14ac:dyDescent="0.25">
      <c r="A1264" s="8" t="s">
        <v>5018</v>
      </c>
      <c r="B1264" s="8" t="s">
        <v>4819</v>
      </c>
      <c r="C1264" s="8" t="s">
        <v>6242</v>
      </c>
      <c r="D1264" s="32" t="s">
        <v>5146</v>
      </c>
      <c r="E1264" s="32" t="s">
        <v>6242</v>
      </c>
      <c r="F1264" s="10">
        <v>3865</v>
      </c>
      <c r="G1264" s="8" t="s">
        <v>5165</v>
      </c>
      <c r="K1264" s="8" t="s">
        <v>6199</v>
      </c>
      <c r="L1264" s="8" t="s">
        <v>32</v>
      </c>
      <c r="S1264"/>
    </row>
    <row r="1265" spans="1:19" ht="15" x14ac:dyDescent="0.25">
      <c r="A1265" s="8" t="s">
        <v>5018</v>
      </c>
      <c r="B1265" s="8" t="s">
        <v>4819</v>
      </c>
      <c r="C1265" s="8" t="s">
        <v>6243</v>
      </c>
      <c r="D1265" s="32" t="s">
        <v>5146</v>
      </c>
      <c r="E1265" s="32" t="s">
        <v>6243</v>
      </c>
      <c r="F1265" s="10">
        <v>3865</v>
      </c>
      <c r="G1265" s="8" t="s">
        <v>5167</v>
      </c>
      <c r="K1265" s="8" t="s">
        <v>6199</v>
      </c>
      <c r="L1265" s="8" t="s">
        <v>32</v>
      </c>
      <c r="S1265"/>
    </row>
    <row r="1266" spans="1:19" ht="15" x14ac:dyDescent="0.25">
      <c r="A1266" s="8" t="s">
        <v>5622</v>
      </c>
      <c r="B1266" s="8" t="s">
        <v>4847</v>
      </c>
      <c r="C1266" s="8" t="s">
        <v>6244</v>
      </c>
      <c r="D1266" s="32" t="s">
        <v>5146</v>
      </c>
      <c r="E1266" s="32" t="s">
        <v>6244</v>
      </c>
      <c r="F1266" s="10">
        <v>86</v>
      </c>
      <c r="G1266" s="8" t="s">
        <v>5736</v>
      </c>
      <c r="K1266" s="8" t="s">
        <v>6199</v>
      </c>
      <c r="L1266" s="8" t="s">
        <v>32</v>
      </c>
      <c r="S1266"/>
    </row>
    <row r="1267" spans="1:19" ht="15" x14ac:dyDescent="0.25">
      <c r="A1267" s="8" t="s">
        <v>5622</v>
      </c>
      <c r="B1267" s="8" t="s">
        <v>4847</v>
      </c>
      <c r="C1267" s="8" t="s">
        <v>6245</v>
      </c>
      <c r="D1267" s="32" t="s">
        <v>5146</v>
      </c>
      <c r="E1267" s="32" t="s">
        <v>6245</v>
      </c>
      <c r="F1267" s="10">
        <v>86</v>
      </c>
      <c r="G1267" s="8" t="s">
        <v>6201</v>
      </c>
      <c r="K1267" s="8" t="s">
        <v>6199</v>
      </c>
      <c r="L1267" s="8" t="s">
        <v>32</v>
      </c>
      <c r="S1267"/>
    </row>
    <row r="1268" spans="1:19" ht="15" x14ac:dyDescent="0.25">
      <c r="A1268" s="8" t="s">
        <v>5622</v>
      </c>
      <c r="B1268" s="8" t="s">
        <v>4847</v>
      </c>
      <c r="C1268" s="8" t="s">
        <v>6246</v>
      </c>
      <c r="D1268" s="32" t="s">
        <v>5146</v>
      </c>
      <c r="E1268" s="32" t="s">
        <v>6246</v>
      </c>
      <c r="F1268" s="10">
        <v>86</v>
      </c>
      <c r="G1268" s="8" t="s">
        <v>5740</v>
      </c>
      <c r="K1268" s="8" t="s">
        <v>6199</v>
      </c>
      <c r="L1268" s="8" t="s">
        <v>32</v>
      </c>
      <c r="S1268"/>
    </row>
    <row r="1269" spans="1:19" ht="15" x14ac:dyDescent="0.25">
      <c r="A1269" s="8" t="s">
        <v>5622</v>
      </c>
      <c r="B1269" s="8" t="s">
        <v>4847</v>
      </c>
      <c r="C1269" s="8" t="s">
        <v>6247</v>
      </c>
      <c r="D1269" s="32" t="s">
        <v>5146</v>
      </c>
      <c r="E1269" s="32" t="s">
        <v>6247</v>
      </c>
      <c r="F1269" s="10">
        <v>7</v>
      </c>
      <c r="G1269" s="8" t="s">
        <v>6248</v>
      </c>
      <c r="K1269" s="8" t="s">
        <v>6199</v>
      </c>
      <c r="L1269" s="8" t="s">
        <v>32</v>
      </c>
      <c r="S1269"/>
    </row>
    <row r="1270" spans="1:19" ht="15" x14ac:dyDescent="0.25">
      <c r="A1270" s="8" t="s">
        <v>5622</v>
      </c>
      <c r="B1270" s="8" t="s">
        <v>4847</v>
      </c>
      <c r="C1270" s="8" t="s">
        <v>6249</v>
      </c>
      <c r="D1270" s="32" t="s">
        <v>5146</v>
      </c>
      <c r="E1270" s="32" t="s">
        <v>6249</v>
      </c>
      <c r="F1270" s="10">
        <v>217</v>
      </c>
      <c r="G1270" s="8" t="s">
        <v>5175</v>
      </c>
      <c r="K1270" s="8" t="s">
        <v>6199</v>
      </c>
      <c r="L1270" s="8" t="s">
        <v>32</v>
      </c>
      <c r="S1270"/>
    </row>
    <row r="1271" spans="1:19" ht="15" x14ac:dyDescent="0.25">
      <c r="A1271" s="8" t="s">
        <v>5622</v>
      </c>
      <c r="B1271" s="8" t="s">
        <v>4847</v>
      </c>
      <c r="C1271" s="8" t="s">
        <v>6250</v>
      </c>
      <c r="D1271" s="32" t="s">
        <v>5146</v>
      </c>
      <c r="E1271" s="32" t="s">
        <v>6250</v>
      </c>
      <c r="F1271" s="10">
        <v>224</v>
      </c>
      <c r="G1271" s="8" t="s">
        <v>6205</v>
      </c>
      <c r="K1271" s="8" t="s">
        <v>6199</v>
      </c>
      <c r="L1271" s="8" t="s">
        <v>32</v>
      </c>
      <c r="S1271"/>
    </row>
    <row r="1272" spans="1:19" ht="15" x14ac:dyDescent="0.25">
      <c r="A1272" s="8" t="s">
        <v>5622</v>
      </c>
      <c r="B1272" s="8" t="s">
        <v>4847</v>
      </c>
      <c r="C1272" s="8" t="s">
        <v>6251</v>
      </c>
      <c r="D1272" s="32" t="s">
        <v>5146</v>
      </c>
      <c r="E1272" s="32" t="s">
        <v>6251</v>
      </c>
      <c r="F1272" s="10">
        <v>224</v>
      </c>
      <c r="G1272" s="8" t="s">
        <v>5745</v>
      </c>
      <c r="K1272" s="8" t="s">
        <v>6199</v>
      </c>
      <c r="L1272" s="8" t="s">
        <v>32</v>
      </c>
      <c r="S1272"/>
    </row>
    <row r="1273" spans="1:19" ht="15" x14ac:dyDescent="0.25">
      <c r="A1273" s="8" t="s">
        <v>5622</v>
      </c>
      <c r="B1273" s="8" t="s">
        <v>4847</v>
      </c>
      <c r="C1273" s="8" t="s">
        <v>6252</v>
      </c>
      <c r="D1273" s="32" t="s">
        <v>5146</v>
      </c>
      <c r="E1273" s="32" t="s">
        <v>6252</v>
      </c>
      <c r="F1273" s="10">
        <v>642</v>
      </c>
      <c r="G1273" s="8" t="s">
        <v>6253</v>
      </c>
      <c r="K1273" s="8" t="s">
        <v>6199</v>
      </c>
      <c r="L1273" s="8" t="s">
        <v>32</v>
      </c>
      <c r="S1273"/>
    </row>
    <row r="1274" spans="1:19" ht="15" x14ac:dyDescent="0.25">
      <c r="A1274" s="8" t="s">
        <v>5622</v>
      </c>
      <c r="B1274" s="8" t="s">
        <v>4847</v>
      </c>
      <c r="C1274" s="8" t="s">
        <v>6254</v>
      </c>
      <c r="D1274" s="32" t="s">
        <v>5146</v>
      </c>
      <c r="E1274" s="32" t="s">
        <v>6254</v>
      </c>
      <c r="F1274" s="10">
        <v>202</v>
      </c>
      <c r="G1274" s="8" t="s">
        <v>5747</v>
      </c>
      <c r="K1274" s="8" t="s">
        <v>6199</v>
      </c>
      <c r="L1274" s="8" t="s">
        <v>32</v>
      </c>
      <c r="S1274"/>
    </row>
    <row r="1275" spans="1:19" ht="15" x14ac:dyDescent="0.25">
      <c r="A1275" s="8" t="s">
        <v>5622</v>
      </c>
      <c r="B1275" s="8" t="s">
        <v>4847</v>
      </c>
      <c r="C1275" s="8" t="s">
        <v>6255</v>
      </c>
      <c r="D1275" s="32" t="s">
        <v>5146</v>
      </c>
      <c r="E1275" s="32" t="s">
        <v>6255</v>
      </c>
      <c r="F1275" s="10">
        <v>844</v>
      </c>
      <c r="G1275" s="8" t="s">
        <v>5177</v>
      </c>
      <c r="K1275" s="8" t="s">
        <v>6199</v>
      </c>
      <c r="L1275" s="8" t="s">
        <v>32</v>
      </c>
      <c r="S1275"/>
    </row>
    <row r="1276" spans="1:19" ht="15" x14ac:dyDescent="0.25">
      <c r="A1276" s="8" t="s">
        <v>5622</v>
      </c>
      <c r="B1276" s="8" t="s">
        <v>4847</v>
      </c>
      <c r="C1276" s="8" t="s">
        <v>6256</v>
      </c>
      <c r="D1276" s="32" t="s">
        <v>5146</v>
      </c>
      <c r="E1276" s="32" t="s">
        <v>6256</v>
      </c>
      <c r="F1276" s="10">
        <v>844</v>
      </c>
      <c r="G1276" s="8" t="s">
        <v>5750</v>
      </c>
      <c r="K1276" s="8" t="s">
        <v>6199</v>
      </c>
      <c r="L1276" s="8" t="s">
        <v>32</v>
      </c>
      <c r="S1276"/>
    </row>
    <row r="1277" spans="1:19" ht="15" x14ac:dyDescent="0.25">
      <c r="A1277" s="8" t="s">
        <v>5622</v>
      </c>
      <c r="B1277" s="8" t="s">
        <v>4847</v>
      </c>
      <c r="C1277" s="8" t="s">
        <v>6257</v>
      </c>
      <c r="D1277" s="32" t="s">
        <v>5146</v>
      </c>
      <c r="E1277" s="32" t="s">
        <v>6257</v>
      </c>
      <c r="F1277" s="10">
        <v>29</v>
      </c>
      <c r="G1277" s="8" t="s">
        <v>5153</v>
      </c>
      <c r="K1277" s="8" t="s">
        <v>6199</v>
      </c>
      <c r="L1277" s="8" t="s">
        <v>32</v>
      </c>
      <c r="S1277"/>
    </row>
    <row r="1278" spans="1:19" ht="15" x14ac:dyDescent="0.25">
      <c r="A1278" s="8" t="s">
        <v>5622</v>
      </c>
      <c r="B1278" s="8" t="s">
        <v>4847</v>
      </c>
      <c r="C1278" s="8" t="s">
        <v>6258</v>
      </c>
      <c r="D1278" s="32" t="s">
        <v>5146</v>
      </c>
      <c r="E1278" s="32" t="s">
        <v>6258</v>
      </c>
      <c r="F1278" s="10">
        <v>1976</v>
      </c>
      <c r="G1278" s="8" t="s">
        <v>5155</v>
      </c>
      <c r="K1278" s="8" t="s">
        <v>6199</v>
      </c>
      <c r="L1278" s="8" t="s">
        <v>32</v>
      </c>
      <c r="S1278"/>
    </row>
    <row r="1279" spans="1:19" ht="15" x14ac:dyDescent="0.25">
      <c r="A1279" s="8" t="s">
        <v>5622</v>
      </c>
      <c r="B1279" s="8" t="s">
        <v>4847</v>
      </c>
      <c r="C1279" s="8" t="s">
        <v>6259</v>
      </c>
      <c r="D1279" s="32" t="s">
        <v>5146</v>
      </c>
      <c r="E1279" s="32" t="s">
        <v>6259</v>
      </c>
      <c r="F1279" s="10">
        <v>1305</v>
      </c>
      <c r="G1279" s="8" t="s">
        <v>5157</v>
      </c>
      <c r="K1279" s="8" t="s">
        <v>6199</v>
      </c>
      <c r="L1279" s="8" t="s">
        <v>32</v>
      </c>
      <c r="S1279"/>
    </row>
    <row r="1280" spans="1:19" ht="15" x14ac:dyDescent="0.25">
      <c r="A1280" s="8" t="s">
        <v>5622</v>
      </c>
      <c r="B1280" s="8" t="s">
        <v>4847</v>
      </c>
      <c r="C1280" s="8" t="s">
        <v>6260</v>
      </c>
      <c r="D1280" s="32" t="s">
        <v>5146</v>
      </c>
      <c r="E1280" s="32" t="s">
        <v>6260</v>
      </c>
      <c r="F1280" s="10">
        <v>943</v>
      </c>
      <c r="G1280" s="8" t="s">
        <v>5159</v>
      </c>
      <c r="K1280" s="8" t="s">
        <v>6199</v>
      </c>
      <c r="L1280" s="8" t="s">
        <v>32</v>
      </c>
      <c r="S1280"/>
    </row>
    <row r="1281" spans="1:19" ht="15" x14ac:dyDescent="0.25">
      <c r="A1281" s="8" t="s">
        <v>5622</v>
      </c>
      <c r="B1281" s="8" t="s">
        <v>4847</v>
      </c>
      <c r="C1281" s="8" t="s">
        <v>6261</v>
      </c>
      <c r="D1281" s="32" t="s">
        <v>5146</v>
      </c>
      <c r="E1281" s="32" t="s">
        <v>6261</v>
      </c>
      <c r="F1281" s="10">
        <v>241</v>
      </c>
      <c r="G1281" s="8" t="s">
        <v>5161</v>
      </c>
      <c r="K1281" s="8" t="s">
        <v>6199</v>
      </c>
      <c r="L1281" s="8" t="s">
        <v>32</v>
      </c>
      <c r="S1281"/>
    </row>
    <row r="1282" spans="1:19" ht="15" x14ac:dyDescent="0.25">
      <c r="A1282" s="8" t="s">
        <v>5622</v>
      </c>
      <c r="B1282" s="8" t="s">
        <v>4847</v>
      </c>
      <c r="C1282" s="8" t="s">
        <v>6262</v>
      </c>
      <c r="D1282" s="32" t="s">
        <v>5146</v>
      </c>
      <c r="E1282" s="32" t="s">
        <v>6262</v>
      </c>
      <c r="F1282" s="10">
        <v>33</v>
      </c>
      <c r="G1282" s="8" t="s">
        <v>5163</v>
      </c>
      <c r="K1282" s="8" t="s">
        <v>6199</v>
      </c>
      <c r="L1282" s="8" t="s">
        <v>32</v>
      </c>
      <c r="S1282"/>
    </row>
    <row r="1283" spans="1:19" ht="15" x14ac:dyDescent="0.25">
      <c r="A1283" s="8" t="s">
        <v>5622</v>
      </c>
      <c r="B1283" s="8" t="s">
        <v>4847</v>
      </c>
      <c r="C1283" s="8" t="s">
        <v>6263</v>
      </c>
      <c r="D1283" s="32" t="s">
        <v>5146</v>
      </c>
      <c r="E1283" s="32" t="s">
        <v>6263</v>
      </c>
      <c r="F1283" s="10">
        <v>4527</v>
      </c>
      <c r="G1283" s="8" t="s">
        <v>5165</v>
      </c>
      <c r="K1283" s="8" t="s">
        <v>6199</v>
      </c>
      <c r="L1283" s="8" t="s">
        <v>32</v>
      </c>
      <c r="S1283"/>
    </row>
    <row r="1284" spans="1:19" ht="15" x14ac:dyDescent="0.25">
      <c r="A1284" s="8" t="s">
        <v>5622</v>
      </c>
      <c r="B1284" s="8" t="s">
        <v>4847</v>
      </c>
      <c r="C1284" s="8" t="s">
        <v>6264</v>
      </c>
      <c r="D1284" s="32" t="s">
        <v>5146</v>
      </c>
      <c r="E1284" s="32" t="s">
        <v>6264</v>
      </c>
      <c r="F1284" s="10">
        <v>4527</v>
      </c>
      <c r="G1284" s="8" t="s">
        <v>5167</v>
      </c>
      <c r="K1284" s="8" t="s">
        <v>6199</v>
      </c>
      <c r="L1284" s="8" t="s">
        <v>32</v>
      </c>
      <c r="S1284"/>
    </row>
    <row r="1285" spans="1:19" ht="15" x14ac:dyDescent="0.25">
      <c r="A1285" s="8" t="s">
        <v>6071</v>
      </c>
      <c r="B1285" s="8" t="s">
        <v>6069</v>
      </c>
      <c r="C1285" s="8" t="s">
        <v>6265</v>
      </c>
      <c r="D1285" s="32" t="s">
        <v>6984</v>
      </c>
      <c r="E1285" s="32" t="s">
        <v>6265</v>
      </c>
      <c r="F1285" s="10">
        <v>1</v>
      </c>
      <c r="G1285" s="8" t="s">
        <v>6266</v>
      </c>
      <c r="H1285" s="10">
        <v>84</v>
      </c>
      <c r="I1285" s="10">
        <f t="shared" ref="I1285:I1348" si="22">F1285*H1285</f>
        <v>84</v>
      </c>
      <c r="J1285" s="10">
        <v>0</v>
      </c>
      <c r="K1285" s="8" t="s">
        <v>5087</v>
      </c>
      <c r="S1285"/>
    </row>
    <row r="1286" spans="1:19" ht="15" x14ac:dyDescent="0.25">
      <c r="A1286" s="8" t="s">
        <v>6071</v>
      </c>
      <c r="B1286" s="8" t="s">
        <v>6069</v>
      </c>
      <c r="C1286" s="8" t="s">
        <v>6267</v>
      </c>
      <c r="D1286" s="32" t="s">
        <v>6984</v>
      </c>
      <c r="E1286" s="32" t="s">
        <v>6267</v>
      </c>
      <c r="F1286" s="10">
        <v>2</v>
      </c>
      <c r="G1286" s="8" t="s">
        <v>6266</v>
      </c>
      <c r="H1286" s="10">
        <v>25.45</v>
      </c>
      <c r="I1286" s="10">
        <f t="shared" si="22"/>
        <v>50.9</v>
      </c>
      <c r="J1286" s="10">
        <v>0</v>
      </c>
      <c r="K1286" s="8" t="s">
        <v>5087</v>
      </c>
      <c r="S1286"/>
    </row>
    <row r="1287" spans="1:19" ht="15" x14ac:dyDescent="0.25">
      <c r="A1287" s="8" t="s">
        <v>6071</v>
      </c>
      <c r="B1287" s="8" t="s">
        <v>6069</v>
      </c>
      <c r="C1287" s="8" t="s">
        <v>6268</v>
      </c>
      <c r="D1287" s="32" t="s">
        <v>6984</v>
      </c>
      <c r="E1287" s="32" t="s">
        <v>6268</v>
      </c>
      <c r="F1287" s="10">
        <v>1</v>
      </c>
      <c r="G1287" s="8" t="s">
        <v>6266</v>
      </c>
      <c r="H1287" s="10">
        <v>84</v>
      </c>
      <c r="I1287" s="10">
        <f t="shared" si="22"/>
        <v>84</v>
      </c>
      <c r="J1287" s="10">
        <v>0</v>
      </c>
      <c r="K1287" s="8" t="s">
        <v>5087</v>
      </c>
      <c r="S1287"/>
    </row>
    <row r="1288" spans="1:19" ht="15" x14ac:dyDescent="0.25">
      <c r="A1288" s="8" t="s">
        <v>6071</v>
      </c>
      <c r="B1288" s="8" t="s">
        <v>6069</v>
      </c>
      <c r="C1288" s="8" t="s">
        <v>6269</v>
      </c>
      <c r="D1288" s="32" t="s">
        <v>6984</v>
      </c>
      <c r="E1288" s="32" t="s">
        <v>6269</v>
      </c>
      <c r="F1288" s="10">
        <v>1</v>
      </c>
      <c r="G1288" s="8" t="s">
        <v>6266</v>
      </c>
      <c r="H1288" s="10">
        <v>71.099999999999994</v>
      </c>
      <c r="I1288" s="10">
        <f t="shared" si="22"/>
        <v>71.099999999999994</v>
      </c>
      <c r="J1288" s="10">
        <v>0</v>
      </c>
      <c r="K1288" s="8" t="s">
        <v>5087</v>
      </c>
      <c r="S1288"/>
    </row>
    <row r="1289" spans="1:19" ht="15" x14ac:dyDescent="0.25">
      <c r="A1289" s="8" t="s">
        <v>6071</v>
      </c>
      <c r="B1289" s="8" t="s">
        <v>6069</v>
      </c>
      <c r="C1289" s="8" t="s">
        <v>6270</v>
      </c>
      <c r="D1289" s="32" t="s">
        <v>6984</v>
      </c>
      <c r="E1289" s="32" t="s">
        <v>6270</v>
      </c>
      <c r="F1289" s="10">
        <v>1</v>
      </c>
      <c r="G1289" s="8" t="s">
        <v>6266</v>
      </c>
      <c r="H1289" s="10">
        <v>24.6</v>
      </c>
      <c r="I1289" s="10">
        <f t="shared" si="22"/>
        <v>24.6</v>
      </c>
      <c r="J1289" s="10">
        <v>0</v>
      </c>
      <c r="K1289" s="8" t="s">
        <v>5087</v>
      </c>
      <c r="S1289"/>
    </row>
    <row r="1290" spans="1:19" ht="15" x14ac:dyDescent="0.25">
      <c r="A1290" s="8" t="s">
        <v>6068</v>
      </c>
      <c r="B1290" s="8" t="s">
        <v>6069</v>
      </c>
      <c r="C1290" s="8" t="s">
        <v>6271</v>
      </c>
      <c r="D1290" s="32" t="s">
        <v>6984</v>
      </c>
      <c r="E1290" s="32" t="s">
        <v>6271</v>
      </c>
      <c r="F1290" s="10">
        <v>2</v>
      </c>
      <c r="G1290" s="8" t="s">
        <v>6266</v>
      </c>
      <c r="H1290" s="10">
        <v>47.55</v>
      </c>
      <c r="I1290" s="10">
        <f t="shared" si="22"/>
        <v>95.1</v>
      </c>
      <c r="J1290" s="10">
        <v>0</v>
      </c>
      <c r="K1290" s="8" t="s">
        <v>5087</v>
      </c>
      <c r="S1290"/>
    </row>
    <row r="1291" spans="1:19" ht="15" x14ac:dyDescent="0.25">
      <c r="A1291" s="8" t="s">
        <v>6068</v>
      </c>
      <c r="B1291" s="8" t="s">
        <v>6069</v>
      </c>
      <c r="C1291" s="8" t="s">
        <v>6272</v>
      </c>
      <c r="D1291" s="32" t="s">
        <v>6984</v>
      </c>
      <c r="E1291" s="32" t="s">
        <v>6272</v>
      </c>
      <c r="F1291" s="10">
        <v>3</v>
      </c>
      <c r="G1291" s="8" t="s">
        <v>6266</v>
      </c>
      <c r="H1291" s="10">
        <v>39.333333333333336</v>
      </c>
      <c r="I1291" s="10">
        <f t="shared" si="22"/>
        <v>118</v>
      </c>
      <c r="J1291" s="10">
        <v>0</v>
      </c>
      <c r="K1291" s="8" t="s">
        <v>5087</v>
      </c>
      <c r="S1291"/>
    </row>
    <row r="1292" spans="1:19" ht="15" x14ac:dyDescent="0.25">
      <c r="A1292" s="8" t="s">
        <v>6068</v>
      </c>
      <c r="B1292" s="8" t="s">
        <v>6069</v>
      </c>
      <c r="C1292" s="8" t="s">
        <v>6273</v>
      </c>
      <c r="D1292" s="32" t="s">
        <v>6984</v>
      </c>
      <c r="E1292" s="32" t="s">
        <v>6273</v>
      </c>
      <c r="F1292" s="10">
        <v>6</v>
      </c>
      <c r="G1292" s="8" t="s">
        <v>6266</v>
      </c>
      <c r="H1292" s="10">
        <v>35.133333333333333</v>
      </c>
      <c r="I1292" s="10">
        <f t="shared" si="22"/>
        <v>210.8</v>
      </c>
      <c r="J1292" s="10">
        <v>0</v>
      </c>
      <c r="K1292" s="8" t="s">
        <v>5087</v>
      </c>
      <c r="S1292"/>
    </row>
    <row r="1293" spans="1:19" ht="15" x14ac:dyDescent="0.25">
      <c r="A1293" s="8" t="s">
        <v>6068</v>
      </c>
      <c r="B1293" s="8" t="s">
        <v>6069</v>
      </c>
      <c r="C1293" s="8" t="s">
        <v>6274</v>
      </c>
      <c r="D1293" s="32" t="s">
        <v>6984</v>
      </c>
      <c r="E1293" s="32" t="s">
        <v>6274</v>
      </c>
      <c r="F1293" s="10">
        <v>2</v>
      </c>
      <c r="G1293" s="8" t="s">
        <v>6266</v>
      </c>
      <c r="H1293" s="10">
        <v>36.450000000000003</v>
      </c>
      <c r="I1293" s="10">
        <f t="shared" si="22"/>
        <v>72.900000000000006</v>
      </c>
      <c r="J1293" s="10">
        <v>0</v>
      </c>
      <c r="K1293" s="8" t="s">
        <v>5087</v>
      </c>
      <c r="S1293"/>
    </row>
    <row r="1294" spans="1:19" ht="15" x14ac:dyDescent="0.25">
      <c r="A1294" s="8" t="s">
        <v>6068</v>
      </c>
      <c r="B1294" s="8" t="s">
        <v>6069</v>
      </c>
      <c r="C1294" s="8" t="s">
        <v>6275</v>
      </c>
      <c r="D1294" s="32" t="s">
        <v>6984</v>
      </c>
      <c r="E1294" s="32" t="s">
        <v>6275</v>
      </c>
      <c r="F1294" s="10">
        <v>2</v>
      </c>
      <c r="G1294" s="8" t="s">
        <v>6266</v>
      </c>
      <c r="H1294" s="10">
        <v>33.85</v>
      </c>
      <c r="I1294" s="10">
        <f t="shared" si="22"/>
        <v>67.7</v>
      </c>
      <c r="J1294" s="10">
        <v>0</v>
      </c>
      <c r="K1294" s="8" t="s">
        <v>5087</v>
      </c>
      <c r="S1294"/>
    </row>
    <row r="1295" spans="1:19" ht="15" x14ac:dyDescent="0.25">
      <c r="A1295" s="8" t="s">
        <v>6071</v>
      </c>
      <c r="B1295" s="8" t="s">
        <v>6069</v>
      </c>
      <c r="C1295" s="8" t="s">
        <v>6276</v>
      </c>
      <c r="D1295" s="32" t="s">
        <v>6984</v>
      </c>
      <c r="E1295" s="32" t="s">
        <v>6276</v>
      </c>
      <c r="F1295" s="10">
        <v>2</v>
      </c>
      <c r="G1295" s="8" t="s">
        <v>6266</v>
      </c>
      <c r="H1295" s="10">
        <v>47.9</v>
      </c>
      <c r="I1295" s="10">
        <f t="shared" si="22"/>
        <v>95.8</v>
      </c>
      <c r="J1295" s="10">
        <v>0</v>
      </c>
      <c r="K1295" s="8" t="s">
        <v>5087</v>
      </c>
      <c r="S1295"/>
    </row>
    <row r="1296" spans="1:19" ht="15" x14ac:dyDescent="0.25">
      <c r="A1296" s="8" t="s">
        <v>6071</v>
      </c>
      <c r="B1296" s="8" t="s">
        <v>6069</v>
      </c>
      <c r="C1296" s="8" t="s">
        <v>6277</v>
      </c>
      <c r="D1296" s="32" t="s">
        <v>6984</v>
      </c>
      <c r="E1296" s="32" t="s">
        <v>6277</v>
      </c>
      <c r="F1296" s="10">
        <v>2</v>
      </c>
      <c r="G1296" s="8" t="s">
        <v>6266</v>
      </c>
      <c r="H1296" s="10">
        <v>36.450000000000003</v>
      </c>
      <c r="I1296" s="10">
        <f t="shared" si="22"/>
        <v>72.900000000000006</v>
      </c>
      <c r="J1296" s="10">
        <v>0</v>
      </c>
      <c r="K1296" s="8" t="s">
        <v>5087</v>
      </c>
      <c r="S1296"/>
    </row>
    <row r="1297" spans="1:19" ht="15" x14ac:dyDescent="0.25">
      <c r="A1297" s="8" t="s">
        <v>6068</v>
      </c>
      <c r="B1297" s="8" t="s">
        <v>6069</v>
      </c>
      <c r="C1297" s="8" t="s">
        <v>6278</v>
      </c>
      <c r="D1297" s="32" t="s">
        <v>6984</v>
      </c>
      <c r="E1297" s="32" t="s">
        <v>6278</v>
      </c>
      <c r="F1297" s="10">
        <v>5</v>
      </c>
      <c r="G1297" s="8" t="s">
        <v>6266</v>
      </c>
      <c r="H1297" s="10">
        <v>19.399999999999999</v>
      </c>
      <c r="I1297" s="10">
        <f t="shared" si="22"/>
        <v>97</v>
      </c>
      <c r="J1297" s="10">
        <v>0</v>
      </c>
      <c r="K1297" s="8" t="s">
        <v>5087</v>
      </c>
      <c r="S1297"/>
    </row>
    <row r="1298" spans="1:19" ht="15" x14ac:dyDescent="0.25">
      <c r="A1298" s="8" t="s">
        <v>6071</v>
      </c>
      <c r="B1298" s="8" t="s">
        <v>6069</v>
      </c>
      <c r="C1298" s="8" t="s">
        <v>6279</v>
      </c>
      <c r="D1298" s="32" t="s">
        <v>6984</v>
      </c>
      <c r="E1298" s="32" t="s">
        <v>6279</v>
      </c>
      <c r="F1298" s="10">
        <v>5</v>
      </c>
      <c r="G1298" s="8" t="s">
        <v>6266</v>
      </c>
      <c r="H1298" s="10">
        <v>20.64</v>
      </c>
      <c r="I1298" s="10">
        <f t="shared" si="22"/>
        <v>103.2</v>
      </c>
      <c r="J1298" s="10">
        <v>0</v>
      </c>
      <c r="K1298" s="8" t="s">
        <v>5087</v>
      </c>
      <c r="S1298"/>
    </row>
    <row r="1299" spans="1:19" ht="15" x14ac:dyDescent="0.25">
      <c r="A1299" s="8" t="s">
        <v>6068</v>
      </c>
      <c r="B1299" s="8" t="s">
        <v>6069</v>
      </c>
      <c r="C1299" s="8" t="s">
        <v>6280</v>
      </c>
      <c r="D1299" s="32" t="s">
        <v>6984</v>
      </c>
      <c r="E1299" s="32" t="s">
        <v>6280</v>
      </c>
      <c r="F1299" s="10">
        <v>1</v>
      </c>
      <c r="G1299" s="8" t="s">
        <v>6266</v>
      </c>
      <c r="H1299" s="10">
        <v>18.5</v>
      </c>
      <c r="I1299" s="10">
        <f t="shared" si="22"/>
        <v>18.5</v>
      </c>
      <c r="J1299" s="10">
        <v>0</v>
      </c>
      <c r="K1299" s="8" t="s">
        <v>5087</v>
      </c>
      <c r="S1299"/>
    </row>
    <row r="1300" spans="1:19" ht="15" x14ac:dyDescent="0.25">
      <c r="A1300" s="8" t="s">
        <v>6071</v>
      </c>
      <c r="B1300" s="8" t="s">
        <v>6069</v>
      </c>
      <c r="C1300" s="8" t="s">
        <v>6281</v>
      </c>
      <c r="D1300" s="32" t="s">
        <v>6984</v>
      </c>
      <c r="E1300" s="32" t="s">
        <v>6281</v>
      </c>
      <c r="F1300" s="10">
        <v>1</v>
      </c>
      <c r="G1300" s="8" t="s">
        <v>6266</v>
      </c>
      <c r="H1300" s="10">
        <v>34.1</v>
      </c>
      <c r="I1300" s="10">
        <f t="shared" si="22"/>
        <v>34.1</v>
      </c>
      <c r="J1300" s="10">
        <v>0</v>
      </c>
      <c r="K1300" s="8" t="s">
        <v>5087</v>
      </c>
      <c r="S1300"/>
    </row>
    <row r="1301" spans="1:19" ht="15" x14ac:dyDescent="0.25">
      <c r="A1301" s="8" t="s">
        <v>6071</v>
      </c>
      <c r="B1301" s="8" t="s">
        <v>6069</v>
      </c>
      <c r="C1301" s="8" t="s">
        <v>6282</v>
      </c>
      <c r="D1301" s="32" t="s">
        <v>6984</v>
      </c>
      <c r="E1301" s="32" t="s">
        <v>6282</v>
      </c>
      <c r="F1301" s="10">
        <v>1</v>
      </c>
      <c r="G1301" s="8" t="s">
        <v>6266</v>
      </c>
      <c r="H1301" s="10">
        <v>34.1</v>
      </c>
      <c r="I1301" s="10">
        <f t="shared" si="22"/>
        <v>34.1</v>
      </c>
      <c r="J1301" s="10">
        <v>0</v>
      </c>
      <c r="K1301" s="8" t="s">
        <v>5087</v>
      </c>
      <c r="S1301"/>
    </row>
    <row r="1302" spans="1:19" ht="15" x14ac:dyDescent="0.25">
      <c r="A1302" s="8" t="s">
        <v>6071</v>
      </c>
      <c r="B1302" s="8" t="s">
        <v>6069</v>
      </c>
      <c r="C1302" s="8" t="s">
        <v>6283</v>
      </c>
      <c r="D1302" s="32" t="s">
        <v>6984</v>
      </c>
      <c r="E1302" s="32" t="s">
        <v>6283</v>
      </c>
      <c r="F1302" s="10">
        <v>1</v>
      </c>
      <c r="G1302" s="8" t="s">
        <v>6266</v>
      </c>
      <c r="H1302" s="10">
        <v>25.9</v>
      </c>
      <c r="I1302" s="10">
        <f t="shared" si="22"/>
        <v>25.9</v>
      </c>
      <c r="J1302" s="10">
        <v>0</v>
      </c>
      <c r="K1302" s="8" t="s">
        <v>5087</v>
      </c>
      <c r="S1302"/>
    </row>
    <row r="1303" spans="1:19" ht="15" x14ac:dyDescent="0.25">
      <c r="A1303" s="8" t="s">
        <v>6071</v>
      </c>
      <c r="B1303" s="8" t="s">
        <v>6069</v>
      </c>
      <c r="C1303" s="8" t="s">
        <v>6284</v>
      </c>
      <c r="D1303" s="32" t="s">
        <v>6984</v>
      </c>
      <c r="E1303" s="32" t="s">
        <v>6284</v>
      </c>
      <c r="F1303" s="10">
        <v>1</v>
      </c>
      <c r="G1303" s="8" t="s">
        <v>6266</v>
      </c>
      <c r="H1303" s="10">
        <v>36.9</v>
      </c>
      <c r="I1303" s="10">
        <f t="shared" si="22"/>
        <v>36.9</v>
      </c>
      <c r="J1303" s="10">
        <v>0</v>
      </c>
      <c r="K1303" s="8" t="s">
        <v>5087</v>
      </c>
      <c r="S1303"/>
    </row>
    <row r="1304" spans="1:19" ht="15" x14ac:dyDescent="0.25">
      <c r="A1304" s="8" t="s">
        <v>6071</v>
      </c>
      <c r="B1304" s="8" t="s">
        <v>6069</v>
      </c>
      <c r="C1304" s="8" t="s">
        <v>6285</v>
      </c>
      <c r="D1304" s="32" t="s">
        <v>6984</v>
      </c>
      <c r="E1304" s="32" t="s">
        <v>6285</v>
      </c>
      <c r="F1304" s="10">
        <v>1</v>
      </c>
      <c r="G1304" s="8" t="s">
        <v>6266</v>
      </c>
      <c r="H1304" s="10">
        <v>47.3</v>
      </c>
      <c r="I1304" s="10">
        <f t="shared" si="22"/>
        <v>47.3</v>
      </c>
      <c r="J1304" s="10">
        <v>0</v>
      </c>
      <c r="K1304" s="8" t="s">
        <v>5087</v>
      </c>
      <c r="S1304"/>
    </row>
    <row r="1305" spans="1:19" ht="15" x14ac:dyDescent="0.25">
      <c r="A1305" s="8" t="s">
        <v>6068</v>
      </c>
      <c r="B1305" s="8" t="s">
        <v>6069</v>
      </c>
      <c r="C1305" s="8" t="s">
        <v>6286</v>
      </c>
      <c r="D1305" s="32" t="s">
        <v>6984</v>
      </c>
      <c r="E1305" s="32" t="s">
        <v>6286</v>
      </c>
      <c r="F1305" s="10">
        <v>2</v>
      </c>
      <c r="G1305" s="8" t="s">
        <v>6266</v>
      </c>
      <c r="H1305" s="10">
        <v>26.15</v>
      </c>
      <c r="I1305" s="10">
        <f t="shared" si="22"/>
        <v>52.3</v>
      </c>
      <c r="J1305" s="10">
        <v>0</v>
      </c>
      <c r="K1305" s="8" t="s">
        <v>5087</v>
      </c>
      <c r="S1305"/>
    </row>
    <row r="1306" spans="1:19" ht="15" x14ac:dyDescent="0.25">
      <c r="A1306" s="8" t="s">
        <v>6071</v>
      </c>
      <c r="B1306" s="8" t="s">
        <v>6069</v>
      </c>
      <c r="C1306" s="8" t="s">
        <v>6287</v>
      </c>
      <c r="D1306" s="32" t="s">
        <v>6984</v>
      </c>
      <c r="E1306" s="32" t="s">
        <v>6287</v>
      </c>
      <c r="F1306" s="10">
        <v>1</v>
      </c>
      <c r="G1306" s="8" t="s">
        <v>6266</v>
      </c>
      <c r="H1306" s="10">
        <v>34.1</v>
      </c>
      <c r="I1306" s="10">
        <f t="shared" si="22"/>
        <v>34.1</v>
      </c>
      <c r="J1306" s="10">
        <v>0</v>
      </c>
      <c r="K1306" s="8" t="s">
        <v>5087</v>
      </c>
      <c r="S1306"/>
    </row>
    <row r="1307" spans="1:19" ht="15" x14ac:dyDescent="0.25">
      <c r="A1307" s="8" t="s">
        <v>6068</v>
      </c>
      <c r="B1307" s="8" t="s">
        <v>6069</v>
      </c>
      <c r="C1307" s="8" t="s">
        <v>6288</v>
      </c>
      <c r="D1307" s="32" t="s">
        <v>6984</v>
      </c>
      <c r="E1307" s="32" t="s">
        <v>6288</v>
      </c>
      <c r="F1307" s="10">
        <v>1</v>
      </c>
      <c r="G1307" s="8" t="s">
        <v>6266</v>
      </c>
      <c r="H1307" s="10">
        <v>20.6</v>
      </c>
      <c r="I1307" s="10">
        <f t="shared" si="22"/>
        <v>20.6</v>
      </c>
      <c r="J1307" s="10">
        <v>0</v>
      </c>
      <c r="K1307" s="8" t="s">
        <v>5087</v>
      </c>
      <c r="S1307"/>
    </row>
    <row r="1308" spans="1:19" ht="15" x14ac:dyDescent="0.25">
      <c r="A1308" s="8" t="s">
        <v>6071</v>
      </c>
      <c r="B1308" s="8" t="s">
        <v>6069</v>
      </c>
      <c r="C1308" s="8" t="s">
        <v>6289</v>
      </c>
      <c r="D1308" s="32" t="s">
        <v>6984</v>
      </c>
      <c r="E1308" s="32" t="s">
        <v>6289</v>
      </c>
      <c r="F1308" s="10">
        <v>1</v>
      </c>
      <c r="G1308" s="8" t="s">
        <v>6266</v>
      </c>
      <c r="H1308" s="10">
        <v>23.6</v>
      </c>
      <c r="I1308" s="10">
        <f t="shared" si="22"/>
        <v>23.6</v>
      </c>
      <c r="J1308" s="10">
        <v>0</v>
      </c>
      <c r="K1308" s="8" t="s">
        <v>5087</v>
      </c>
      <c r="S1308"/>
    </row>
    <row r="1309" spans="1:19" ht="15" x14ac:dyDescent="0.25">
      <c r="A1309" s="8" t="s">
        <v>6068</v>
      </c>
      <c r="B1309" s="8" t="s">
        <v>6069</v>
      </c>
      <c r="C1309" s="8" t="s">
        <v>6290</v>
      </c>
      <c r="D1309" s="32" t="s">
        <v>6984</v>
      </c>
      <c r="E1309" s="32" t="s">
        <v>6290</v>
      </c>
      <c r="F1309" s="10">
        <v>1</v>
      </c>
      <c r="G1309" s="8" t="s">
        <v>6266</v>
      </c>
      <c r="H1309" s="10">
        <v>25.4</v>
      </c>
      <c r="I1309" s="10">
        <f t="shared" si="22"/>
        <v>25.4</v>
      </c>
      <c r="J1309" s="10">
        <v>0</v>
      </c>
      <c r="K1309" s="8" t="s">
        <v>5087</v>
      </c>
      <c r="S1309"/>
    </row>
    <row r="1310" spans="1:19" ht="15" x14ac:dyDescent="0.25">
      <c r="A1310" s="8" t="s">
        <v>6068</v>
      </c>
      <c r="B1310" s="8" t="s">
        <v>6069</v>
      </c>
      <c r="C1310" s="8" t="s">
        <v>6291</v>
      </c>
      <c r="D1310" s="32" t="s">
        <v>6984</v>
      </c>
      <c r="E1310" s="32" t="s">
        <v>6291</v>
      </c>
      <c r="F1310" s="10">
        <v>1</v>
      </c>
      <c r="G1310" s="8" t="s">
        <v>6266</v>
      </c>
      <c r="H1310" s="10">
        <v>24.1</v>
      </c>
      <c r="I1310" s="10">
        <f t="shared" si="22"/>
        <v>24.1</v>
      </c>
      <c r="J1310" s="10">
        <v>0</v>
      </c>
      <c r="K1310" s="8" t="s">
        <v>5087</v>
      </c>
      <c r="S1310"/>
    </row>
    <row r="1311" spans="1:19" ht="15" x14ac:dyDescent="0.25">
      <c r="A1311" s="8" t="s">
        <v>6071</v>
      </c>
      <c r="B1311" s="8" t="s">
        <v>6069</v>
      </c>
      <c r="C1311" s="8" t="s">
        <v>6292</v>
      </c>
      <c r="D1311" s="32" t="s">
        <v>6984</v>
      </c>
      <c r="E1311" s="32" t="s">
        <v>6292</v>
      </c>
      <c r="F1311" s="10">
        <v>1</v>
      </c>
      <c r="G1311" s="8" t="s">
        <v>6266</v>
      </c>
      <c r="H1311" s="10">
        <v>25</v>
      </c>
      <c r="I1311" s="10">
        <f t="shared" si="22"/>
        <v>25</v>
      </c>
      <c r="J1311" s="10">
        <v>0</v>
      </c>
      <c r="K1311" s="8" t="s">
        <v>5087</v>
      </c>
      <c r="S1311"/>
    </row>
    <row r="1312" spans="1:19" ht="15" x14ac:dyDescent="0.25">
      <c r="A1312" s="8" t="s">
        <v>6071</v>
      </c>
      <c r="B1312" s="8" t="s">
        <v>6069</v>
      </c>
      <c r="C1312" s="8" t="s">
        <v>6293</v>
      </c>
      <c r="D1312" s="32" t="s">
        <v>6984</v>
      </c>
      <c r="E1312" s="32" t="s">
        <v>6293</v>
      </c>
      <c r="F1312" s="10">
        <v>1</v>
      </c>
      <c r="G1312" s="8" t="s">
        <v>6266</v>
      </c>
      <c r="H1312" s="10">
        <v>25.2</v>
      </c>
      <c r="I1312" s="10">
        <f t="shared" si="22"/>
        <v>25.2</v>
      </c>
      <c r="J1312" s="10">
        <v>0</v>
      </c>
      <c r="K1312" s="8" t="s">
        <v>5087</v>
      </c>
      <c r="S1312"/>
    </row>
    <row r="1313" spans="1:19" ht="15" x14ac:dyDescent="0.25">
      <c r="A1313" s="8" t="s">
        <v>6068</v>
      </c>
      <c r="B1313" s="8" t="s">
        <v>6069</v>
      </c>
      <c r="C1313" s="8" t="s">
        <v>6294</v>
      </c>
      <c r="D1313" s="32" t="s">
        <v>6984</v>
      </c>
      <c r="E1313" s="32" t="s">
        <v>6294</v>
      </c>
      <c r="F1313" s="10">
        <v>1</v>
      </c>
      <c r="G1313" s="8" t="s">
        <v>6266</v>
      </c>
      <c r="H1313" s="10">
        <v>24.8</v>
      </c>
      <c r="I1313" s="10">
        <f t="shared" si="22"/>
        <v>24.8</v>
      </c>
      <c r="J1313" s="10">
        <v>0</v>
      </c>
      <c r="K1313" s="8" t="s">
        <v>5087</v>
      </c>
      <c r="S1313"/>
    </row>
    <row r="1314" spans="1:19" ht="15" x14ac:dyDescent="0.25">
      <c r="A1314" s="8" t="s">
        <v>6071</v>
      </c>
      <c r="B1314" s="8" t="s">
        <v>6069</v>
      </c>
      <c r="C1314" s="8" t="s">
        <v>6295</v>
      </c>
      <c r="D1314" s="32" t="s">
        <v>6984</v>
      </c>
      <c r="E1314" s="32" t="s">
        <v>6295</v>
      </c>
      <c r="F1314" s="10">
        <v>1</v>
      </c>
      <c r="G1314" s="8" t="s">
        <v>6266</v>
      </c>
      <c r="H1314" s="10">
        <v>38.299999999999997</v>
      </c>
      <c r="I1314" s="10">
        <f t="shared" si="22"/>
        <v>38.299999999999997</v>
      </c>
      <c r="J1314" s="10">
        <v>0</v>
      </c>
      <c r="K1314" s="8" t="s">
        <v>5087</v>
      </c>
      <c r="S1314"/>
    </row>
    <row r="1315" spans="1:19" ht="15" x14ac:dyDescent="0.25">
      <c r="A1315" s="8" t="s">
        <v>6068</v>
      </c>
      <c r="B1315" s="8" t="s">
        <v>6069</v>
      </c>
      <c r="C1315" s="8" t="s">
        <v>6296</v>
      </c>
      <c r="D1315" s="32" t="s">
        <v>6984</v>
      </c>
      <c r="E1315" s="32" t="s">
        <v>6296</v>
      </c>
      <c r="F1315" s="10">
        <v>1</v>
      </c>
      <c r="G1315" s="8" t="s">
        <v>6266</v>
      </c>
      <c r="H1315" s="10">
        <v>40</v>
      </c>
      <c r="I1315" s="10">
        <f t="shared" si="22"/>
        <v>40</v>
      </c>
      <c r="J1315" s="10">
        <v>0</v>
      </c>
      <c r="K1315" s="8" t="s">
        <v>5087</v>
      </c>
      <c r="S1315"/>
    </row>
    <row r="1316" spans="1:19" ht="15" x14ac:dyDescent="0.25">
      <c r="A1316" s="8" t="s">
        <v>6068</v>
      </c>
      <c r="B1316" s="8" t="s">
        <v>6069</v>
      </c>
      <c r="C1316" s="8" t="s">
        <v>6297</v>
      </c>
      <c r="D1316" s="32" t="s">
        <v>6984</v>
      </c>
      <c r="E1316" s="32" t="s">
        <v>6297</v>
      </c>
      <c r="F1316" s="10">
        <v>1</v>
      </c>
      <c r="G1316" s="8" t="s">
        <v>6266</v>
      </c>
      <c r="H1316" s="10">
        <v>50.5</v>
      </c>
      <c r="I1316" s="10">
        <f t="shared" si="22"/>
        <v>50.5</v>
      </c>
      <c r="J1316" s="10">
        <v>0</v>
      </c>
      <c r="K1316" s="8" t="s">
        <v>5087</v>
      </c>
      <c r="S1316"/>
    </row>
    <row r="1317" spans="1:19" ht="15" x14ac:dyDescent="0.25">
      <c r="A1317" s="8" t="s">
        <v>6068</v>
      </c>
      <c r="B1317" s="8" t="s">
        <v>6069</v>
      </c>
      <c r="C1317" s="8" t="s">
        <v>6298</v>
      </c>
      <c r="D1317" s="32" t="s">
        <v>6984</v>
      </c>
      <c r="E1317" s="32" t="s">
        <v>6298</v>
      </c>
      <c r="F1317" s="10">
        <v>1</v>
      </c>
      <c r="G1317" s="8" t="s">
        <v>6266</v>
      </c>
      <c r="H1317" s="10">
        <v>37.200000000000003</v>
      </c>
      <c r="I1317" s="10">
        <f t="shared" si="22"/>
        <v>37.200000000000003</v>
      </c>
      <c r="J1317" s="10">
        <v>0</v>
      </c>
      <c r="K1317" s="8" t="s">
        <v>5087</v>
      </c>
      <c r="S1317"/>
    </row>
    <row r="1318" spans="1:19" ht="15" x14ac:dyDescent="0.25">
      <c r="A1318" s="8" t="s">
        <v>6068</v>
      </c>
      <c r="B1318" s="8" t="s">
        <v>6069</v>
      </c>
      <c r="C1318" s="8" t="s">
        <v>6299</v>
      </c>
      <c r="D1318" s="32" t="s">
        <v>6984</v>
      </c>
      <c r="E1318" s="32" t="s">
        <v>6299</v>
      </c>
      <c r="F1318" s="10">
        <v>1</v>
      </c>
      <c r="G1318" s="8" t="s">
        <v>6266</v>
      </c>
      <c r="H1318" s="10">
        <v>37.5</v>
      </c>
      <c r="I1318" s="10">
        <f t="shared" si="22"/>
        <v>37.5</v>
      </c>
      <c r="J1318" s="10">
        <v>0</v>
      </c>
      <c r="K1318" s="8" t="s">
        <v>5087</v>
      </c>
      <c r="S1318"/>
    </row>
    <row r="1319" spans="1:19" ht="15" x14ac:dyDescent="0.25">
      <c r="A1319" s="8" t="s">
        <v>6071</v>
      </c>
      <c r="B1319" s="8" t="s">
        <v>6069</v>
      </c>
      <c r="C1319" s="8" t="s">
        <v>6300</v>
      </c>
      <c r="D1319" s="32" t="s">
        <v>6984</v>
      </c>
      <c r="E1319" s="32" t="s">
        <v>6300</v>
      </c>
      <c r="F1319" s="10">
        <v>1</v>
      </c>
      <c r="G1319" s="8" t="s">
        <v>6266</v>
      </c>
      <c r="H1319" s="10">
        <v>38</v>
      </c>
      <c r="I1319" s="10">
        <f t="shared" si="22"/>
        <v>38</v>
      </c>
      <c r="J1319" s="10">
        <v>0</v>
      </c>
      <c r="K1319" s="8" t="s">
        <v>5087</v>
      </c>
      <c r="S1319"/>
    </row>
    <row r="1320" spans="1:19" ht="15" x14ac:dyDescent="0.25">
      <c r="A1320" s="8" t="s">
        <v>6068</v>
      </c>
      <c r="B1320" s="8" t="s">
        <v>6069</v>
      </c>
      <c r="C1320" s="8" t="s">
        <v>6301</v>
      </c>
      <c r="D1320" s="32" t="s">
        <v>6984</v>
      </c>
      <c r="E1320" s="32" t="s">
        <v>6301</v>
      </c>
      <c r="F1320" s="10">
        <v>1</v>
      </c>
      <c r="G1320" s="8" t="s">
        <v>6266</v>
      </c>
      <c r="H1320" s="10">
        <v>39.299999999999997</v>
      </c>
      <c r="I1320" s="10">
        <f t="shared" si="22"/>
        <v>39.299999999999997</v>
      </c>
      <c r="J1320" s="10">
        <v>0</v>
      </c>
      <c r="K1320" s="8" t="s">
        <v>5087</v>
      </c>
      <c r="S1320"/>
    </row>
    <row r="1321" spans="1:19" ht="15" x14ac:dyDescent="0.25">
      <c r="A1321" s="8" t="s">
        <v>6068</v>
      </c>
      <c r="B1321" s="8" t="s">
        <v>6069</v>
      </c>
      <c r="C1321" s="8" t="s">
        <v>6302</v>
      </c>
      <c r="D1321" s="32" t="s">
        <v>6984</v>
      </c>
      <c r="E1321" s="32" t="s">
        <v>6302</v>
      </c>
      <c r="F1321" s="10">
        <v>1</v>
      </c>
      <c r="G1321" s="8" t="s">
        <v>6266</v>
      </c>
      <c r="H1321" s="10">
        <v>35.1</v>
      </c>
      <c r="I1321" s="10">
        <f t="shared" si="22"/>
        <v>35.1</v>
      </c>
      <c r="J1321" s="10">
        <v>0</v>
      </c>
      <c r="K1321" s="8" t="s">
        <v>5087</v>
      </c>
      <c r="S1321"/>
    </row>
    <row r="1322" spans="1:19" ht="15" x14ac:dyDescent="0.25">
      <c r="A1322" s="8" t="s">
        <v>6068</v>
      </c>
      <c r="B1322" s="8" t="s">
        <v>6069</v>
      </c>
      <c r="C1322" s="8" t="s">
        <v>6303</v>
      </c>
      <c r="D1322" s="32" t="s">
        <v>6984</v>
      </c>
      <c r="E1322" s="32" t="s">
        <v>6303</v>
      </c>
      <c r="F1322" s="10">
        <v>1</v>
      </c>
      <c r="G1322" s="8" t="s">
        <v>6266</v>
      </c>
      <c r="H1322" s="10">
        <v>35.1</v>
      </c>
      <c r="I1322" s="10">
        <f t="shared" si="22"/>
        <v>35.1</v>
      </c>
      <c r="J1322" s="10">
        <v>0</v>
      </c>
      <c r="K1322" s="8" t="s">
        <v>5087</v>
      </c>
      <c r="S1322"/>
    </row>
    <row r="1323" spans="1:19" ht="15" x14ac:dyDescent="0.25">
      <c r="A1323" s="8" t="s">
        <v>6068</v>
      </c>
      <c r="B1323" s="8" t="s">
        <v>6069</v>
      </c>
      <c r="C1323" s="8" t="s">
        <v>6304</v>
      </c>
      <c r="D1323" s="32" t="s">
        <v>6984</v>
      </c>
      <c r="E1323" s="32" t="s">
        <v>6304</v>
      </c>
      <c r="F1323" s="10">
        <v>1</v>
      </c>
      <c r="G1323" s="8" t="s">
        <v>6266</v>
      </c>
      <c r="H1323" s="10">
        <v>36.4</v>
      </c>
      <c r="I1323" s="10">
        <f t="shared" si="22"/>
        <v>36.4</v>
      </c>
      <c r="J1323" s="10">
        <v>0</v>
      </c>
      <c r="K1323" s="8" t="s">
        <v>5087</v>
      </c>
      <c r="S1323"/>
    </row>
    <row r="1324" spans="1:19" ht="15" x14ac:dyDescent="0.25">
      <c r="A1324" s="8" t="s">
        <v>6068</v>
      </c>
      <c r="B1324" s="8" t="s">
        <v>6069</v>
      </c>
      <c r="C1324" s="8" t="s">
        <v>6305</v>
      </c>
      <c r="D1324" s="32" t="s">
        <v>6984</v>
      </c>
      <c r="E1324" s="32" t="s">
        <v>6305</v>
      </c>
      <c r="F1324" s="10">
        <v>1</v>
      </c>
      <c r="G1324" s="8" t="s">
        <v>6266</v>
      </c>
      <c r="H1324" s="10">
        <v>26.2</v>
      </c>
      <c r="I1324" s="10">
        <f t="shared" si="22"/>
        <v>26.2</v>
      </c>
      <c r="J1324" s="10">
        <v>0</v>
      </c>
      <c r="K1324" s="8" t="s">
        <v>5087</v>
      </c>
      <c r="S1324"/>
    </row>
    <row r="1325" spans="1:19" ht="15" x14ac:dyDescent="0.25">
      <c r="A1325" s="8" t="s">
        <v>6071</v>
      </c>
      <c r="B1325" s="8" t="s">
        <v>6069</v>
      </c>
      <c r="C1325" s="8" t="s">
        <v>6306</v>
      </c>
      <c r="D1325" s="32" t="s">
        <v>6984</v>
      </c>
      <c r="E1325" s="32" t="s">
        <v>6306</v>
      </c>
      <c r="F1325" s="10">
        <v>1</v>
      </c>
      <c r="G1325" s="8" t="s">
        <v>6266</v>
      </c>
      <c r="H1325" s="10">
        <v>37.4</v>
      </c>
      <c r="I1325" s="10">
        <f t="shared" si="22"/>
        <v>37.4</v>
      </c>
      <c r="J1325" s="10">
        <v>0</v>
      </c>
      <c r="K1325" s="8" t="s">
        <v>5087</v>
      </c>
      <c r="S1325"/>
    </row>
    <row r="1326" spans="1:19" ht="15" x14ac:dyDescent="0.25">
      <c r="A1326" s="8" t="s">
        <v>6071</v>
      </c>
      <c r="B1326" s="8" t="s">
        <v>6069</v>
      </c>
      <c r="C1326" s="8" t="s">
        <v>6307</v>
      </c>
      <c r="D1326" s="32" t="s">
        <v>6984</v>
      </c>
      <c r="E1326" s="32" t="s">
        <v>6307</v>
      </c>
      <c r="F1326" s="10">
        <v>1</v>
      </c>
      <c r="G1326" s="8" t="s">
        <v>6266</v>
      </c>
      <c r="H1326" s="10">
        <v>37.4</v>
      </c>
      <c r="I1326" s="10">
        <f t="shared" si="22"/>
        <v>37.4</v>
      </c>
      <c r="J1326" s="10">
        <v>0</v>
      </c>
      <c r="K1326" s="8" t="s">
        <v>5087</v>
      </c>
      <c r="S1326"/>
    </row>
    <row r="1327" spans="1:19" ht="15" x14ac:dyDescent="0.25">
      <c r="A1327" s="8" t="s">
        <v>6071</v>
      </c>
      <c r="B1327" s="8" t="s">
        <v>6069</v>
      </c>
      <c r="C1327" s="8" t="s">
        <v>6308</v>
      </c>
      <c r="D1327" s="32" t="s">
        <v>6984</v>
      </c>
      <c r="E1327" s="32" t="s">
        <v>6308</v>
      </c>
      <c r="F1327" s="10">
        <v>1</v>
      </c>
      <c r="G1327" s="8" t="s">
        <v>6266</v>
      </c>
      <c r="H1327" s="10">
        <v>25.2</v>
      </c>
      <c r="I1327" s="10">
        <f t="shared" si="22"/>
        <v>25.2</v>
      </c>
      <c r="J1327" s="10">
        <v>0</v>
      </c>
      <c r="K1327" s="8" t="s">
        <v>5087</v>
      </c>
      <c r="S1327"/>
    </row>
    <row r="1328" spans="1:19" ht="15" x14ac:dyDescent="0.25">
      <c r="A1328" s="8" t="s">
        <v>6071</v>
      </c>
      <c r="B1328" s="8" t="s">
        <v>6069</v>
      </c>
      <c r="C1328" s="8" t="s">
        <v>6309</v>
      </c>
      <c r="D1328" s="32" t="s">
        <v>6984</v>
      </c>
      <c r="E1328" s="32" t="s">
        <v>6309</v>
      </c>
      <c r="F1328" s="10">
        <v>1</v>
      </c>
      <c r="G1328" s="8" t="s">
        <v>6266</v>
      </c>
      <c r="H1328" s="10">
        <v>23.1</v>
      </c>
      <c r="I1328" s="10">
        <f t="shared" si="22"/>
        <v>23.1</v>
      </c>
      <c r="J1328" s="10">
        <v>0</v>
      </c>
      <c r="K1328" s="8" t="s">
        <v>5087</v>
      </c>
      <c r="S1328"/>
    </row>
    <row r="1329" spans="1:19" ht="15" x14ac:dyDescent="0.25">
      <c r="A1329" s="8" t="s">
        <v>6071</v>
      </c>
      <c r="B1329" s="8" t="s">
        <v>6069</v>
      </c>
      <c r="C1329" s="8" t="s">
        <v>6310</v>
      </c>
      <c r="D1329" s="32" t="s">
        <v>6984</v>
      </c>
      <c r="E1329" s="32" t="s">
        <v>6310</v>
      </c>
      <c r="F1329" s="10">
        <v>1</v>
      </c>
      <c r="G1329" s="8" t="s">
        <v>6266</v>
      </c>
      <c r="H1329" s="10">
        <v>25.6</v>
      </c>
      <c r="I1329" s="10">
        <f t="shared" si="22"/>
        <v>25.6</v>
      </c>
      <c r="J1329" s="10">
        <v>0</v>
      </c>
      <c r="K1329" s="8" t="s">
        <v>5087</v>
      </c>
      <c r="S1329"/>
    </row>
    <row r="1330" spans="1:19" ht="15" x14ac:dyDescent="0.25">
      <c r="A1330" s="8" t="s">
        <v>6071</v>
      </c>
      <c r="B1330" s="8" t="s">
        <v>6069</v>
      </c>
      <c r="C1330" s="8" t="s">
        <v>6311</v>
      </c>
      <c r="D1330" s="32" t="s">
        <v>6984</v>
      </c>
      <c r="E1330" s="32" t="s">
        <v>6311</v>
      </c>
      <c r="F1330" s="10">
        <v>1</v>
      </c>
      <c r="G1330" s="8" t="s">
        <v>6266</v>
      </c>
      <c r="H1330" s="10">
        <v>23.4</v>
      </c>
      <c r="I1330" s="10">
        <f t="shared" si="22"/>
        <v>23.4</v>
      </c>
      <c r="J1330" s="10">
        <v>0</v>
      </c>
      <c r="K1330" s="8" t="s">
        <v>5087</v>
      </c>
      <c r="S1330"/>
    </row>
    <row r="1331" spans="1:19" ht="15" x14ac:dyDescent="0.25">
      <c r="A1331" s="8" t="s">
        <v>6071</v>
      </c>
      <c r="B1331" s="8" t="s">
        <v>6069</v>
      </c>
      <c r="C1331" s="8" t="s">
        <v>6312</v>
      </c>
      <c r="D1331" s="32" t="s">
        <v>6984</v>
      </c>
      <c r="E1331" s="32" t="s">
        <v>6312</v>
      </c>
      <c r="F1331" s="10">
        <v>1</v>
      </c>
      <c r="G1331" s="8" t="s">
        <v>6266</v>
      </c>
      <c r="H1331" s="10">
        <v>25.4</v>
      </c>
      <c r="I1331" s="10">
        <f t="shared" si="22"/>
        <v>25.4</v>
      </c>
      <c r="J1331" s="10">
        <v>0</v>
      </c>
      <c r="K1331" s="8" t="s">
        <v>5087</v>
      </c>
      <c r="S1331"/>
    </row>
    <row r="1332" spans="1:19" ht="15" x14ac:dyDescent="0.25">
      <c r="A1332" s="8" t="s">
        <v>6068</v>
      </c>
      <c r="B1332" s="8" t="s">
        <v>6069</v>
      </c>
      <c r="C1332" s="8" t="s">
        <v>6313</v>
      </c>
      <c r="D1332" s="32" t="s">
        <v>6984</v>
      </c>
      <c r="E1332" s="32" t="s">
        <v>6313</v>
      </c>
      <c r="F1332" s="10">
        <v>1</v>
      </c>
      <c r="G1332" s="8" t="s">
        <v>6266</v>
      </c>
      <c r="H1332" s="10">
        <v>23.8</v>
      </c>
      <c r="I1332" s="10">
        <f t="shared" si="22"/>
        <v>23.8</v>
      </c>
      <c r="J1332" s="10">
        <v>0</v>
      </c>
      <c r="K1332" s="8" t="s">
        <v>5087</v>
      </c>
      <c r="S1332"/>
    </row>
    <row r="1333" spans="1:19" ht="15" x14ac:dyDescent="0.25">
      <c r="A1333" s="8" t="s">
        <v>6071</v>
      </c>
      <c r="B1333" s="8" t="s">
        <v>6069</v>
      </c>
      <c r="C1333" s="8" t="s">
        <v>6314</v>
      </c>
      <c r="D1333" s="32" t="s">
        <v>6984</v>
      </c>
      <c r="E1333" s="32" t="s">
        <v>6314</v>
      </c>
      <c r="F1333" s="10">
        <v>1</v>
      </c>
      <c r="G1333" s="8" t="s">
        <v>6266</v>
      </c>
      <c r="H1333" s="10">
        <v>20.6</v>
      </c>
      <c r="I1333" s="10">
        <f t="shared" si="22"/>
        <v>20.6</v>
      </c>
      <c r="J1333" s="10">
        <v>0</v>
      </c>
      <c r="K1333" s="8" t="s">
        <v>5087</v>
      </c>
      <c r="S1333"/>
    </row>
    <row r="1334" spans="1:19" ht="15" x14ac:dyDescent="0.25">
      <c r="A1334" s="8" t="s">
        <v>6068</v>
      </c>
      <c r="B1334" s="8" t="s">
        <v>6069</v>
      </c>
      <c r="C1334" s="8" t="s">
        <v>6315</v>
      </c>
      <c r="D1334" s="32" t="s">
        <v>6984</v>
      </c>
      <c r="E1334" s="32" t="s">
        <v>6315</v>
      </c>
      <c r="F1334" s="10">
        <v>1</v>
      </c>
      <c r="G1334" s="8" t="s">
        <v>6266</v>
      </c>
      <c r="H1334" s="10">
        <v>19.399999999999999</v>
      </c>
      <c r="I1334" s="10">
        <f t="shared" si="22"/>
        <v>19.399999999999999</v>
      </c>
      <c r="J1334" s="10">
        <v>0</v>
      </c>
      <c r="K1334" s="8" t="s">
        <v>5087</v>
      </c>
      <c r="S1334"/>
    </row>
    <row r="1335" spans="1:19" ht="15" x14ac:dyDescent="0.25">
      <c r="A1335" s="8" t="s">
        <v>6068</v>
      </c>
      <c r="B1335" s="8" t="s">
        <v>6069</v>
      </c>
      <c r="C1335" s="8" t="s">
        <v>6316</v>
      </c>
      <c r="D1335" s="32" t="s">
        <v>6984</v>
      </c>
      <c r="E1335" s="32" t="s">
        <v>6316</v>
      </c>
      <c r="F1335" s="10">
        <v>1</v>
      </c>
      <c r="G1335" s="8" t="s">
        <v>6266</v>
      </c>
      <c r="H1335" s="10">
        <v>24.8</v>
      </c>
      <c r="I1335" s="10">
        <f t="shared" si="22"/>
        <v>24.8</v>
      </c>
      <c r="J1335" s="10">
        <v>0</v>
      </c>
      <c r="K1335" s="8" t="s">
        <v>5087</v>
      </c>
      <c r="S1335"/>
    </row>
    <row r="1336" spans="1:19" ht="15" x14ac:dyDescent="0.25">
      <c r="A1336" s="8" t="s">
        <v>6068</v>
      </c>
      <c r="B1336" s="8" t="s">
        <v>6069</v>
      </c>
      <c r="C1336" s="8" t="s">
        <v>6317</v>
      </c>
      <c r="D1336" s="32" t="s">
        <v>6984</v>
      </c>
      <c r="E1336" s="32" t="s">
        <v>6317</v>
      </c>
      <c r="F1336" s="10">
        <v>1</v>
      </c>
      <c r="G1336" s="8" t="s">
        <v>6266</v>
      </c>
      <c r="H1336" s="10">
        <v>20.5</v>
      </c>
      <c r="I1336" s="10">
        <f t="shared" si="22"/>
        <v>20.5</v>
      </c>
      <c r="J1336" s="10">
        <v>0</v>
      </c>
      <c r="K1336" s="8" t="s">
        <v>5087</v>
      </c>
      <c r="S1336"/>
    </row>
    <row r="1337" spans="1:19" ht="15" x14ac:dyDescent="0.25">
      <c r="A1337" s="8" t="s">
        <v>6068</v>
      </c>
      <c r="B1337" s="8" t="s">
        <v>6069</v>
      </c>
      <c r="C1337" s="8" t="s">
        <v>6318</v>
      </c>
      <c r="D1337" s="32" t="s">
        <v>6984</v>
      </c>
      <c r="E1337" s="32" t="s">
        <v>6318</v>
      </c>
      <c r="F1337" s="10">
        <v>1</v>
      </c>
      <c r="G1337" s="8" t="s">
        <v>6266</v>
      </c>
      <c r="H1337" s="10">
        <v>51.8</v>
      </c>
      <c r="I1337" s="10">
        <f t="shared" si="22"/>
        <v>51.8</v>
      </c>
      <c r="J1337" s="10">
        <v>0</v>
      </c>
      <c r="K1337" s="8" t="s">
        <v>5087</v>
      </c>
      <c r="S1337"/>
    </row>
    <row r="1338" spans="1:19" ht="15" x14ac:dyDescent="0.25">
      <c r="A1338" s="8" t="s">
        <v>6068</v>
      </c>
      <c r="B1338" s="8" t="s">
        <v>6069</v>
      </c>
      <c r="C1338" s="8" t="s">
        <v>6319</v>
      </c>
      <c r="D1338" s="32" t="s">
        <v>6984</v>
      </c>
      <c r="E1338" s="32" t="s">
        <v>6319</v>
      </c>
      <c r="F1338" s="10">
        <v>1</v>
      </c>
      <c r="G1338" s="8" t="s">
        <v>6266</v>
      </c>
      <c r="H1338" s="10">
        <v>49</v>
      </c>
      <c r="I1338" s="10">
        <f t="shared" si="22"/>
        <v>49</v>
      </c>
      <c r="J1338" s="10">
        <v>0</v>
      </c>
      <c r="K1338" s="8" t="s">
        <v>5087</v>
      </c>
      <c r="S1338"/>
    </row>
    <row r="1339" spans="1:19" ht="15" x14ac:dyDescent="0.25">
      <c r="A1339" s="8" t="s">
        <v>6071</v>
      </c>
      <c r="B1339" s="8" t="s">
        <v>6069</v>
      </c>
      <c r="C1339" s="8" t="s">
        <v>6320</v>
      </c>
      <c r="D1339" s="32" t="s">
        <v>6984</v>
      </c>
      <c r="E1339" s="32" t="s">
        <v>6320</v>
      </c>
      <c r="F1339" s="10">
        <v>1</v>
      </c>
      <c r="G1339" s="8" t="s">
        <v>6266</v>
      </c>
      <c r="H1339" s="10">
        <v>48</v>
      </c>
      <c r="I1339" s="10">
        <f t="shared" si="22"/>
        <v>48</v>
      </c>
      <c r="J1339" s="10">
        <v>0</v>
      </c>
      <c r="K1339" s="8" t="s">
        <v>5087</v>
      </c>
      <c r="S1339"/>
    </row>
    <row r="1340" spans="1:19" ht="15" x14ac:dyDescent="0.25">
      <c r="A1340" s="8" t="s">
        <v>6068</v>
      </c>
      <c r="B1340" s="8" t="s">
        <v>6069</v>
      </c>
      <c r="C1340" s="8" t="s">
        <v>6321</v>
      </c>
      <c r="D1340" s="32" t="s">
        <v>6984</v>
      </c>
      <c r="E1340" s="32" t="s">
        <v>6321</v>
      </c>
      <c r="F1340" s="10">
        <v>1</v>
      </c>
      <c r="G1340" s="8" t="s">
        <v>6266</v>
      </c>
      <c r="H1340" s="10">
        <v>70.599999999999994</v>
      </c>
      <c r="I1340" s="10">
        <f t="shared" si="22"/>
        <v>70.599999999999994</v>
      </c>
      <c r="J1340" s="10">
        <v>0</v>
      </c>
      <c r="K1340" s="8" t="s">
        <v>5087</v>
      </c>
      <c r="S1340"/>
    </row>
    <row r="1341" spans="1:19" ht="15" x14ac:dyDescent="0.25">
      <c r="A1341" s="8" t="s">
        <v>6071</v>
      </c>
      <c r="B1341" s="8" t="s">
        <v>6069</v>
      </c>
      <c r="C1341" s="8" t="s">
        <v>6322</v>
      </c>
      <c r="D1341" s="32" t="s">
        <v>6984</v>
      </c>
      <c r="E1341" s="32" t="s">
        <v>6322</v>
      </c>
      <c r="F1341" s="10">
        <v>2</v>
      </c>
      <c r="G1341" s="8" t="s">
        <v>6266</v>
      </c>
      <c r="H1341" s="10">
        <v>71.099999999999994</v>
      </c>
      <c r="I1341" s="10">
        <f t="shared" si="22"/>
        <v>142.19999999999999</v>
      </c>
      <c r="J1341" s="10">
        <v>0</v>
      </c>
      <c r="K1341" s="8" t="s">
        <v>5087</v>
      </c>
      <c r="S1341"/>
    </row>
    <row r="1342" spans="1:19" ht="15" x14ac:dyDescent="0.25">
      <c r="A1342" s="8" t="s">
        <v>6071</v>
      </c>
      <c r="B1342" s="8" t="s">
        <v>6069</v>
      </c>
      <c r="C1342" s="8" t="s">
        <v>6323</v>
      </c>
      <c r="D1342" s="32" t="s">
        <v>6984</v>
      </c>
      <c r="E1342" s="32" t="s">
        <v>6323</v>
      </c>
      <c r="F1342" s="10">
        <v>1</v>
      </c>
      <c r="G1342" s="8" t="s">
        <v>6266</v>
      </c>
      <c r="H1342" s="10">
        <v>50.9</v>
      </c>
      <c r="I1342" s="10">
        <f t="shared" si="22"/>
        <v>50.9</v>
      </c>
      <c r="J1342" s="10">
        <v>0</v>
      </c>
      <c r="K1342" s="8" t="s">
        <v>5087</v>
      </c>
      <c r="S1342"/>
    </row>
    <row r="1343" spans="1:19" ht="15" x14ac:dyDescent="0.25">
      <c r="A1343" s="8" t="s">
        <v>6071</v>
      </c>
      <c r="B1343" s="8" t="s">
        <v>6069</v>
      </c>
      <c r="C1343" s="8" t="s">
        <v>6324</v>
      </c>
      <c r="D1343" s="32" t="s">
        <v>6984</v>
      </c>
      <c r="E1343" s="32" t="s">
        <v>6324</v>
      </c>
      <c r="F1343" s="10">
        <v>1</v>
      </c>
      <c r="G1343" s="8" t="s">
        <v>6266</v>
      </c>
      <c r="H1343" s="10">
        <v>40.299999999999997</v>
      </c>
      <c r="I1343" s="10">
        <f t="shared" si="22"/>
        <v>40.299999999999997</v>
      </c>
      <c r="J1343" s="10">
        <v>0</v>
      </c>
      <c r="K1343" s="8" t="s">
        <v>5087</v>
      </c>
      <c r="S1343"/>
    </row>
    <row r="1344" spans="1:19" ht="15" x14ac:dyDescent="0.25">
      <c r="A1344" s="8" t="s">
        <v>6068</v>
      </c>
      <c r="B1344" s="8" t="s">
        <v>6069</v>
      </c>
      <c r="C1344" s="8" t="s">
        <v>6325</v>
      </c>
      <c r="D1344" s="32" t="s">
        <v>6984</v>
      </c>
      <c r="E1344" s="32" t="s">
        <v>6325</v>
      </c>
      <c r="F1344" s="10">
        <v>1</v>
      </c>
      <c r="G1344" s="8" t="s">
        <v>6266</v>
      </c>
      <c r="H1344" s="10">
        <v>84</v>
      </c>
      <c r="I1344" s="10">
        <f t="shared" si="22"/>
        <v>84</v>
      </c>
      <c r="J1344" s="10">
        <v>0</v>
      </c>
      <c r="K1344" s="8" t="s">
        <v>5087</v>
      </c>
      <c r="S1344"/>
    </row>
    <row r="1345" spans="1:19" ht="15" x14ac:dyDescent="0.25">
      <c r="A1345" s="8" t="s">
        <v>6068</v>
      </c>
      <c r="B1345" s="8" t="s">
        <v>6069</v>
      </c>
      <c r="C1345" s="8" t="s">
        <v>6326</v>
      </c>
      <c r="D1345" s="32" t="s">
        <v>6984</v>
      </c>
      <c r="E1345" s="32" t="s">
        <v>6326</v>
      </c>
      <c r="F1345" s="10">
        <v>1</v>
      </c>
      <c r="G1345" s="8" t="s">
        <v>6266</v>
      </c>
      <c r="H1345" s="10">
        <v>48.4</v>
      </c>
      <c r="I1345" s="10">
        <f t="shared" si="22"/>
        <v>48.4</v>
      </c>
      <c r="J1345" s="10">
        <v>0</v>
      </c>
      <c r="K1345" s="8" t="s">
        <v>5087</v>
      </c>
      <c r="S1345"/>
    </row>
    <row r="1346" spans="1:19" ht="15" x14ac:dyDescent="0.25">
      <c r="A1346" s="8" t="s">
        <v>6068</v>
      </c>
      <c r="B1346" s="8" t="s">
        <v>6069</v>
      </c>
      <c r="C1346" s="8" t="s">
        <v>6327</v>
      </c>
      <c r="D1346" s="32" t="s">
        <v>6984</v>
      </c>
      <c r="E1346" s="32" t="s">
        <v>6327</v>
      </c>
      <c r="F1346" s="10">
        <v>1</v>
      </c>
      <c r="G1346" s="8" t="s">
        <v>6266</v>
      </c>
      <c r="H1346" s="10">
        <v>37.200000000000003</v>
      </c>
      <c r="I1346" s="10">
        <f t="shared" si="22"/>
        <v>37.200000000000003</v>
      </c>
      <c r="J1346" s="10">
        <v>0</v>
      </c>
      <c r="K1346" s="8" t="s">
        <v>5087</v>
      </c>
      <c r="S1346"/>
    </row>
    <row r="1347" spans="1:19" ht="15" x14ac:dyDescent="0.25">
      <c r="A1347" s="8" t="s">
        <v>6068</v>
      </c>
      <c r="B1347" s="8" t="s">
        <v>6069</v>
      </c>
      <c r="C1347" s="8" t="s">
        <v>6328</v>
      </c>
      <c r="D1347" s="32" t="s">
        <v>6984</v>
      </c>
      <c r="E1347" s="32" t="s">
        <v>6328</v>
      </c>
      <c r="F1347" s="10">
        <v>1</v>
      </c>
      <c r="G1347" s="8" t="s">
        <v>6266</v>
      </c>
      <c r="H1347" s="10">
        <v>32.799999999999997</v>
      </c>
      <c r="I1347" s="10">
        <f t="shared" si="22"/>
        <v>32.799999999999997</v>
      </c>
      <c r="J1347" s="10">
        <v>0</v>
      </c>
      <c r="K1347" s="8" t="s">
        <v>5087</v>
      </c>
      <c r="S1347"/>
    </row>
    <row r="1348" spans="1:19" ht="15" x14ac:dyDescent="0.25">
      <c r="A1348" s="8" t="s">
        <v>6068</v>
      </c>
      <c r="B1348" s="8" t="s">
        <v>6069</v>
      </c>
      <c r="C1348" s="8" t="s">
        <v>6329</v>
      </c>
      <c r="D1348" s="32" t="s">
        <v>6984</v>
      </c>
      <c r="E1348" s="32" t="s">
        <v>6329</v>
      </c>
      <c r="F1348" s="10">
        <v>1</v>
      </c>
      <c r="G1348" s="8" t="s">
        <v>6266</v>
      </c>
      <c r="H1348" s="10">
        <v>32.799999999999997</v>
      </c>
      <c r="I1348" s="10">
        <f t="shared" si="22"/>
        <v>32.799999999999997</v>
      </c>
      <c r="J1348" s="10">
        <v>0</v>
      </c>
      <c r="K1348" s="8" t="s">
        <v>5087</v>
      </c>
      <c r="S1348"/>
    </row>
    <row r="1349" spans="1:19" ht="15" x14ac:dyDescent="0.25">
      <c r="A1349" s="8" t="s">
        <v>6068</v>
      </c>
      <c r="B1349" s="8" t="s">
        <v>6069</v>
      </c>
      <c r="C1349" s="8" t="s">
        <v>6330</v>
      </c>
      <c r="D1349" s="32" t="s">
        <v>6984</v>
      </c>
      <c r="E1349" s="32" t="s">
        <v>6330</v>
      </c>
      <c r="F1349" s="10">
        <v>3</v>
      </c>
      <c r="G1349" s="8" t="s">
        <v>6266</v>
      </c>
      <c r="H1349" s="10">
        <v>29.3</v>
      </c>
      <c r="I1349" s="10">
        <f t="shared" ref="I1349:I1412" si="23">F1349*H1349</f>
        <v>87.9</v>
      </c>
      <c r="J1349" s="10">
        <v>0</v>
      </c>
      <c r="K1349" s="8" t="s">
        <v>5087</v>
      </c>
      <c r="S1349"/>
    </row>
    <row r="1350" spans="1:19" ht="15" x14ac:dyDescent="0.25">
      <c r="A1350" s="8" t="s">
        <v>6068</v>
      </c>
      <c r="B1350" s="8" t="s">
        <v>6069</v>
      </c>
      <c r="C1350" s="8" t="s">
        <v>6331</v>
      </c>
      <c r="D1350" s="32" t="s">
        <v>6984</v>
      </c>
      <c r="E1350" s="32" t="s">
        <v>6331</v>
      </c>
      <c r="F1350" s="10">
        <v>3</v>
      </c>
      <c r="G1350" s="8" t="s">
        <v>6266</v>
      </c>
      <c r="H1350" s="10">
        <v>29.3</v>
      </c>
      <c r="I1350" s="10">
        <f t="shared" si="23"/>
        <v>87.9</v>
      </c>
      <c r="J1350" s="10">
        <v>0</v>
      </c>
      <c r="K1350" s="8" t="s">
        <v>5087</v>
      </c>
      <c r="S1350"/>
    </row>
    <row r="1351" spans="1:19" ht="15" x14ac:dyDescent="0.25">
      <c r="A1351" s="8" t="s">
        <v>6068</v>
      </c>
      <c r="B1351" s="8" t="s">
        <v>6069</v>
      </c>
      <c r="C1351" s="8" t="s">
        <v>6332</v>
      </c>
      <c r="D1351" s="32" t="s">
        <v>6984</v>
      </c>
      <c r="E1351" s="32" t="s">
        <v>6332</v>
      </c>
      <c r="F1351" s="10">
        <v>1</v>
      </c>
      <c r="G1351" s="8" t="s">
        <v>6266</v>
      </c>
      <c r="H1351" s="10">
        <v>33.6</v>
      </c>
      <c r="I1351" s="10">
        <f t="shared" si="23"/>
        <v>33.6</v>
      </c>
      <c r="J1351" s="10">
        <v>0</v>
      </c>
      <c r="K1351" s="8" t="s">
        <v>5087</v>
      </c>
      <c r="S1351"/>
    </row>
    <row r="1352" spans="1:19" ht="15" x14ac:dyDescent="0.25">
      <c r="A1352" s="8" t="s">
        <v>6068</v>
      </c>
      <c r="B1352" s="8" t="s">
        <v>6069</v>
      </c>
      <c r="C1352" s="8" t="s">
        <v>6333</v>
      </c>
      <c r="D1352" s="32" t="s">
        <v>6984</v>
      </c>
      <c r="E1352" s="32" t="s">
        <v>6333</v>
      </c>
      <c r="F1352" s="10">
        <v>2</v>
      </c>
      <c r="G1352" s="8" t="s">
        <v>6266</v>
      </c>
      <c r="H1352" s="10">
        <v>33.65</v>
      </c>
      <c r="I1352" s="10">
        <f t="shared" si="23"/>
        <v>67.3</v>
      </c>
      <c r="J1352" s="10">
        <v>0</v>
      </c>
      <c r="K1352" s="8" t="s">
        <v>5087</v>
      </c>
      <c r="S1352"/>
    </row>
    <row r="1353" spans="1:19" ht="15" x14ac:dyDescent="0.25">
      <c r="A1353" s="8" t="s">
        <v>6068</v>
      </c>
      <c r="B1353" s="8" t="s">
        <v>6069</v>
      </c>
      <c r="C1353" s="8" t="s">
        <v>6334</v>
      </c>
      <c r="D1353" s="32" t="s">
        <v>6984</v>
      </c>
      <c r="E1353" s="32" t="s">
        <v>6334</v>
      </c>
      <c r="F1353" s="10">
        <v>2</v>
      </c>
      <c r="G1353" s="8" t="s">
        <v>6266</v>
      </c>
      <c r="H1353" s="10">
        <v>36.85</v>
      </c>
      <c r="I1353" s="10">
        <f t="shared" si="23"/>
        <v>73.7</v>
      </c>
      <c r="J1353" s="10">
        <v>0</v>
      </c>
      <c r="K1353" s="8" t="s">
        <v>5087</v>
      </c>
      <c r="S1353"/>
    </row>
    <row r="1354" spans="1:19" ht="15" x14ac:dyDescent="0.25">
      <c r="A1354" s="8" t="s">
        <v>6068</v>
      </c>
      <c r="B1354" s="8" t="s">
        <v>6069</v>
      </c>
      <c r="C1354" s="8" t="s">
        <v>6335</v>
      </c>
      <c r="D1354" s="32" t="s">
        <v>6984</v>
      </c>
      <c r="E1354" s="32" t="s">
        <v>6335</v>
      </c>
      <c r="F1354" s="10">
        <v>1</v>
      </c>
      <c r="G1354" s="8" t="s">
        <v>6266</v>
      </c>
      <c r="H1354" s="10">
        <v>84</v>
      </c>
      <c r="I1354" s="10">
        <f t="shared" si="23"/>
        <v>84</v>
      </c>
      <c r="J1354" s="10">
        <v>0</v>
      </c>
      <c r="K1354" s="8" t="s">
        <v>5087</v>
      </c>
      <c r="S1354"/>
    </row>
    <row r="1355" spans="1:19" ht="15" x14ac:dyDescent="0.25">
      <c r="A1355" s="8" t="s">
        <v>6068</v>
      </c>
      <c r="B1355" s="8" t="s">
        <v>6069</v>
      </c>
      <c r="C1355" s="8" t="s">
        <v>6336</v>
      </c>
      <c r="D1355" s="32" t="s">
        <v>6984</v>
      </c>
      <c r="E1355" s="32" t="s">
        <v>6336</v>
      </c>
      <c r="F1355" s="10">
        <v>1</v>
      </c>
      <c r="G1355" s="8" t="s">
        <v>6266</v>
      </c>
      <c r="H1355" s="10">
        <v>14.9</v>
      </c>
      <c r="I1355" s="10">
        <f t="shared" si="23"/>
        <v>14.9</v>
      </c>
      <c r="J1355" s="10">
        <v>0</v>
      </c>
      <c r="K1355" s="8" t="s">
        <v>5087</v>
      </c>
      <c r="S1355"/>
    </row>
    <row r="1356" spans="1:19" ht="15" x14ac:dyDescent="0.25">
      <c r="A1356" s="8" t="s">
        <v>6071</v>
      </c>
      <c r="B1356" s="8" t="s">
        <v>6069</v>
      </c>
      <c r="C1356" s="8" t="s">
        <v>6337</v>
      </c>
      <c r="D1356" s="32" t="s">
        <v>6984</v>
      </c>
      <c r="E1356" s="32" t="s">
        <v>6337</v>
      </c>
      <c r="F1356" s="10">
        <v>12</v>
      </c>
      <c r="G1356" s="8" t="s">
        <v>6266</v>
      </c>
      <c r="H1356" s="10">
        <v>25.208333333333332</v>
      </c>
      <c r="I1356" s="10">
        <f t="shared" si="23"/>
        <v>302.5</v>
      </c>
      <c r="J1356" s="10">
        <v>0</v>
      </c>
      <c r="K1356" s="8" t="s">
        <v>5087</v>
      </c>
      <c r="S1356"/>
    </row>
    <row r="1357" spans="1:19" ht="15" x14ac:dyDescent="0.25">
      <c r="A1357" s="8" t="s">
        <v>6071</v>
      </c>
      <c r="B1357" s="8" t="s">
        <v>6069</v>
      </c>
      <c r="C1357" s="8" t="s">
        <v>6338</v>
      </c>
      <c r="D1357" s="32" t="s">
        <v>6984</v>
      </c>
      <c r="E1357" s="32" t="s">
        <v>6338</v>
      </c>
      <c r="F1357" s="10">
        <v>1</v>
      </c>
      <c r="G1357" s="8" t="s">
        <v>6266</v>
      </c>
      <c r="H1357" s="10">
        <v>28</v>
      </c>
      <c r="I1357" s="10">
        <f t="shared" si="23"/>
        <v>28</v>
      </c>
      <c r="J1357" s="10">
        <v>0</v>
      </c>
      <c r="K1357" s="8" t="s">
        <v>5087</v>
      </c>
      <c r="S1357"/>
    </row>
    <row r="1358" spans="1:19" ht="15" x14ac:dyDescent="0.25">
      <c r="A1358" s="8" t="s">
        <v>6071</v>
      </c>
      <c r="B1358" s="8" t="s">
        <v>6069</v>
      </c>
      <c r="C1358" s="8" t="s">
        <v>6339</v>
      </c>
      <c r="D1358" s="32" t="s">
        <v>6984</v>
      </c>
      <c r="E1358" s="32" t="s">
        <v>6339</v>
      </c>
      <c r="F1358" s="10">
        <v>1</v>
      </c>
      <c r="G1358" s="8" t="s">
        <v>6266</v>
      </c>
      <c r="H1358" s="10">
        <v>25.6</v>
      </c>
      <c r="I1358" s="10">
        <f t="shared" si="23"/>
        <v>25.6</v>
      </c>
      <c r="J1358" s="10">
        <v>0</v>
      </c>
      <c r="K1358" s="8" t="s">
        <v>5087</v>
      </c>
      <c r="S1358"/>
    </row>
    <row r="1359" spans="1:19" ht="15" x14ac:dyDescent="0.25">
      <c r="A1359" s="8" t="s">
        <v>6071</v>
      </c>
      <c r="B1359" s="8" t="s">
        <v>6069</v>
      </c>
      <c r="C1359" s="8" t="s">
        <v>6340</v>
      </c>
      <c r="D1359" s="32" t="s">
        <v>6984</v>
      </c>
      <c r="E1359" s="32" t="s">
        <v>6340</v>
      </c>
      <c r="F1359" s="10">
        <v>1</v>
      </c>
      <c r="G1359" s="8" t="s">
        <v>6266</v>
      </c>
      <c r="H1359" s="10">
        <v>23.1</v>
      </c>
      <c r="I1359" s="10">
        <f t="shared" si="23"/>
        <v>23.1</v>
      </c>
      <c r="J1359" s="10">
        <v>0</v>
      </c>
      <c r="K1359" s="8" t="s">
        <v>5087</v>
      </c>
      <c r="S1359"/>
    </row>
    <row r="1360" spans="1:19" ht="15" x14ac:dyDescent="0.25">
      <c r="A1360" s="8" t="s">
        <v>6071</v>
      </c>
      <c r="B1360" s="8" t="s">
        <v>6069</v>
      </c>
      <c r="C1360" s="8" t="s">
        <v>6341</v>
      </c>
      <c r="D1360" s="32" t="s">
        <v>6984</v>
      </c>
      <c r="E1360" s="32" t="s">
        <v>6341</v>
      </c>
      <c r="F1360" s="10">
        <v>2</v>
      </c>
      <c r="G1360" s="8" t="s">
        <v>6266</v>
      </c>
      <c r="H1360" s="10">
        <v>24.7</v>
      </c>
      <c r="I1360" s="10">
        <f t="shared" si="23"/>
        <v>49.4</v>
      </c>
      <c r="J1360" s="10">
        <v>0</v>
      </c>
      <c r="K1360" s="8" t="s">
        <v>5087</v>
      </c>
      <c r="S1360"/>
    </row>
    <row r="1361" spans="1:19" ht="15" x14ac:dyDescent="0.25">
      <c r="A1361" s="8" t="s">
        <v>6071</v>
      </c>
      <c r="B1361" s="8" t="s">
        <v>6069</v>
      </c>
      <c r="C1361" s="8" t="s">
        <v>6342</v>
      </c>
      <c r="D1361" s="32" t="s">
        <v>6984</v>
      </c>
      <c r="E1361" s="32" t="s">
        <v>6342</v>
      </c>
      <c r="F1361" s="10">
        <v>9</v>
      </c>
      <c r="G1361" s="8" t="s">
        <v>6266</v>
      </c>
      <c r="H1361" s="10">
        <v>24.966666666666665</v>
      </c>
      <c r="I1361" s="10">
        <f t="shared" si="23"/>
        <v>224.7</v>
      </c>
      <c r="J1361" s="10">
        <v>0</v>
      </c>
      <c r="K1361" s="8" t="s">
        <v>5087</v>
      </c>
      <c r="S1361"/>
    </row>
    <row r="1362" spans="1:19" ht="15" x14ac:dyDescent="0.25">
      <c r="A1362" s="8" t="s">
        <v>6071</v>
      </c>
      <c r="B1362" s="8" t="s">
        <v>6069</v>
      </c>
      <c r="C1362" s="8" t="s">
        <v>6343</v>
      </c>
      <c r="D1362" s="32" t="s">
        <v>6984</v>
      </c>
      <c r="E1362" s="32" t="s">
        <v>6343</v>
      </c>
      <c r="F1362" s="10">
        <v>9</v>
      </c>
      <c r="G1362" s="8" t="s">
        <v>6266</v>
      </c>
      <c r="H1362" s="10">
        <v>23.433333333333334</v>
      </c>
      <c r="I1362" s="10">
        <f t="shared" si="23"/>
        <v>210.9</v>
      </c>
      <c r="J1362" s="10">
        <v>0</v>
      </c>
      <c r="K1362" s="8" t="s">
        <v>5087</v>
      </c>
      <c r="S1362"/>
    </row>
    <row r="1363" spans="1:19" ht="15" x14ac:dyDescent="0.25">
      <c r="A1363" s="8" t="s">
        <v>6071</v>
      </c>
      <c r="B1363" s="8" t="s">
        <v>6069</v>
      </c>
      <c r="C1363" s="8" t="s">
        <v>6344</v>
      </c>
      <c r="D1363" s="32" t="s">
        <v>6984</v>
      </c>
      <c r="E1363" s="32" t="s">
        <v>6344</v>
      </c>
      <c r="F1363" s="10">
        <v>1</v>
      </c>
      <c r="G1363" s="8" t="s">
        <v>6266</v>
      </c>
      <c r="H1363" s="10">
        <v>23.6</v>
      </c>
      <c r="I1363" s="10">
        <f t="shared" si="23"/>
        <v>23.6</v>
      </c>
      <c r="J1363" s="10">
        <v>0</v>
      </c>
      <c r="K1363" s="8" t="s">
        <v>5087</v>
      </c>
      <c r="S1363"/>
    </row>
    <row r="1364" spans="1:19" ht="15" x14ac:dyDescent="0.25">
      <c r="A1364" s="8" t="s">
        <v>6071</v>
      </c>
      <c r="B1364" s="8" t="s">
        <v>6069</v>
      </c>
      <c r="C1364" s="8" t="s">
        <v>6345</v>
      </c>
      <c r="D1364" s="32" t="s">
        <v>6984</v>
      </c>
      <c r="E1364" s="32" t="s">
        <v>6345</v>
      </c>
      <c r="F1364" s="10">
        <v>28</v>
      </c>
      <c r="G1364" s="8" t="s">
        <v>6266</v>
      </c>
      <c r="H1364" s="10">
        <v>25.432142857142857</v>
      </c>
      <c r="I1364" s="10">
        <f t="shared" si="23"/>
        <v>712.1</v>
      </c>
      <c r="J1364" s="10">
        <v>0</v>
      </c>
      <c r="K1364" s="8" t="s">
        <v>5087</v>
      </c>
      <c r="S1364"/>
    </row>
    <row r="1365" spans="1:19" ht="15" x14ac:dyDescent="0.25">
      <c r="A1365" s="8" t="s">
        <v>6068</v>
      </c>
      <c r="B1365" s="8" t="s">
        <v>6069</v>
      </c>
      <c r="C1365" s="8" t="s">
        <v>6346</v>
      </c>
      <c r="D1365" s="32" t="s">
        <v>6984</v>
      </c>
      <c r="E1365" s="32" t="s">
        <v>6346</v>
      </c>
      <c r="F1365" s="10">
        <v>1</v>
      </c>
      <c r="G1365" s="8" t="s">
        <v>6266</v>
      </c>
      <c r="H1365" s="10">
        <v>24.1</v>
      </c>
      <c r="I1365" s="10">
        <f t="shared" si="23"/>
        <v>24.1</v>
      </c>
      <c r="J1365" s="10">
        <v>0</v>
      </c>
      <c r="K1365" s="8" t="s">
        <v>5087</v>
      </c>
      <c r="S1365"/>
    </row>
    <row r="1366" spans="1:19" ht="15" x14ac:dyDescent="0.25">
      <c r="A1366" s="8" t="s">
        <v>6068</v>
      </c>
      <c r="B1366" s="8" t="s">
        <v>6069</v>
      </c>
      <c r="C1366" s="8" t="s">
        <v>6347</v>
      </c>
      <c r="D1366" s="32" t="s">
        <v>6984</v>
      </c>
      <c r="E1366" s="32" t="s">
        <v>6347</v>
      </c>
      <c r="F1366" s="10">
        <v>13</v>
      </c>
      <c r="G1366" s="8" t="s">
        <v>6266</v>
      </c>
      <c r="H1366" s="10">
        <v>23.823076923076922</v>
      </c>
      <c r="I1366" s="10">
        <f t="shared" si="23"/>
        <v>309.7</v>
      </c>
      <c r="J1366" s="10">
        <v>0</v>
      </c>
      <c r="K1366" s="8" t="s">
        <v>5087</v>
      </c>
      <c r="S1366"/>
    </row>
    <row r="1367" spans="1:19" ht="15" x14ac:dyDescent="0.25">
      <c r="A1367" s="8" t="s">
        <v>6068</v>
      </c>
      <c r="B1367" s="8" t="s">
        <v>6069</v>
      </c>
      <c r="C1367" s="8" t="s">
        <v>6348</v>
      </c>
      <c r="D1367" s="32" t="s">
        <v>6984</v>
      </c>
      <c r="E1367" s="32" t="s">
        <v>6348</v>
      </c>
      <c r="F1367" s="10">
        <v>1</v>
      </c>
      <c r="G1367" s="8" t="s">
        <v>6266</v>
      </c>
      <c r="H1367" s="10">
        <v>20.3</v>
      </c>
      <c r="I1367" s="10">
        <f t="shared" si="23"/>
        <v>20.3</v>
      </c>
      <c r="J1367" s="10">
        <v>0</v>
      </c>
      <c r="K1367" s="8" t="s">
        <v>5087</v>
      </c>
      <c r="S1367"/>
    </row>
    <row r="1368" spans="1:19" ht="15" x14ac:dyDescent="0.25">
      <c r="A1368" s="8" t="s">
        <v>6068</v>
      </c>
      <c r="B1368" s="8" t="s">
        <v>6069</v>
      </c>
      <c r="C1368" s="8" t="s">
        <v>6349</v>
      </c>
      <c r="D1368" s="32" t="s">
        <v>6984</v>
      </c>
      <c r="E1368" s="32" t="s">
        <v>6349</v>
      </c>
      <c r="F1368" s="10">
        <v>1</v>
      </c>
      <c r="G1368" s="8" t="s">
        <v>6266</v>
      </c>
      <c r="H1368" s="10">
        <v>18.3</v>
      </c>
      <c r="I1368" s="10">
        <f t="shared" si="23"/>
        <v>18.3</v>
      </c>
      <c r="J1368" s="10">
        <v>0</v>
      </c>
      <c r="K1368" s="8" t="s">
        <v>5087</v>
      </c>
      <c r="S1368"/>
    </row>
    <row r="1369" spans="1:19" ht="15" x14ac:dyDescent="0.25">
      <c r="A1369" s="8" t="s">
        <v>6071</v>
      </c>
      <c r="B1369" s="8" t="s">
        <v>6069</v>
      </c>
      <c r="C1369" s="8" t="s">
        <v>6350</v>
      </c>
      <c r="D1369" s="32" t="s">
        <v>6984</v>
      </c>
      <c r="E1369" s="32" t="s">
        <v>6350</v>
      </c>
      <c r="F1369" s="10">
        <v>4</v>
      </c>
      <c r="G1369" s="8" t="s">
        <v>6266</v>
      </c>
      <c r="H1369" s="10">
        <v>25.65</v>
      </c>
      <c r="I1369" s="10">
        <f t="shared" si="23"/>
        <v>102.6</v>
      </c>
      <c r="J1369" s="10">
        <v>0</v>
      </c>
      <c r="K1369" s="8" t="s">
        <v>5087</v>
      </c>
      <c r="S1369"/>
    </row>
    <row r="1370" spans="1:19" ht="15" x14ac:dyDescent="0.25">
      <c r="A1370" s="8" t="s">
        <v>6071</v>
      </c>
      <c r="B1370" s="8" t="s">
        <v>6069</v>
      </c>
      <c r="C1370" s="8" t="s">
        <v>6351</v>
      </c>
      <c r="D1370" s="32" t="s">
        <v>6984</v>
      </c>
      <c r="E1370" s="32" t="s">
        <v>6351</v>
      </c>
      <c r="F1370" s="10">
        <v>2</v>
      </c>
      <c r="G1370" s="8" t="s">
        <v>6266</v>
      </c>
      <c r="H1370" s="10">
        <v>34.549999999999997</v>
      </c>
      <c r="I1370" s="10">
        <f t="shared" si="23"/>
        <v>69.099999999999994</v>
      </c>
      <c r="J1370" s="10">
        <v>0</v>
      </c>
      <c r="K1370" s="8" t="s">
        <v>5087</v>
      </c>
      <c r="S1370"/>
    </row>
    <row r="1371" spans="1:19" ht="15" x14ac:dyDescent="0.25">
      <c r="A1371" s="8" t="s">
        <v>6071</v>
      </c>
      <c r="B1371" s="8" t="s">
        <v>6069</v>
      </c>
      <c r="C1371" s="8" t="s">
        <v>6352</v>
      </c>
      <c r="D1371" s="32" t="s">
        <v>6984</v>
      </c>
      <c r="E1371" s="32" t="s">
        <v>6352</v>
      </c>
      <c r="F1371" s="10">
        <v>7</v>
      </c>
      <c r="G1371" s="8" t="s">
        <v>6266</v>
      </c>
      <c r="H1371" s="10">
        <v>31.028571428571428</v>
      </c>
      <c r="I1371" s="10">
        <f t="shared" si="23"/>
        <v>217.2</v>
      </c>
      <c r="J1371" s="10">
        <v>0</v>
      </c>
      <c r="K1371" s="8" t="s">
        <v>5087</v>
      </c>
      <c r="S1371"/>
    </row>
    <row r="1372" spans="1:19" ht="15" x14ac:dyDescent="0.25">
      <c r="A1372" s="8" t="s">
        <v>6071</v>
      </c>
      <c r="B1372" s="8" t="s">
        <v>6069</v>
      </c>
      <c r="C1372" s="8" t="s">
        <v>6353</v>
      </c>
      <c r="D1372" s="32" t="s">
        <v>6984</v>
      </c>
      <c r="E1372" s="32" t="s">
        <v>6353</v>
      </c>
      <c r="F1372" s="10">
        <v>2</v>
      </c>
      <c r="G1372" s="8" t="s">
        <v>6266</v>
      </c>
      <c r="H1372" s="10">
        <v>39</v>
      </c>
      <c r="I1372" s="10">
        <f t="shared" si="23"/>
        <v>78</v>
      </c>
      <c r="J1372" s="10">
        <v>0</v>
      </c>
      <c r="K1372" s="8" t="s">
        <v>5087</v>
      </c>
      <c r="S1372"/>
    </row>
    <row r="1373" spans="1:19" ht="15" x14ac:dyDescent="0.25">
      <c r="A1373" s="8" t="s">
        <v>6071</v>
      </c>
      <c r="B1373" s="8" t="s">
        <v>6069</v>
      </c>
      <c r="C1373" s="8" t="s">
        <v>6354</v>
      </c>
      <c r="D1373" s="32" t="s">
        <v>6984</v>
      </c>
      <c r="E1373" s="32" t="s">
        <v>6354</v>
      </c>
      <c r="F1373" s="10">
        <v>2</v>
      </c>
      <c r="G1373" s="8" t="s">
        <v>6266</v>
      </c>
      <c r="H1373" s="10">
        <v>37.4</v>
      </c>
      <c r="I1373" s="10">
        <f t="shared" si="23"/>
        <v>74.8</v>
      </c>
      <c r="J1373" s="10">
        <v>0</v>
      </c>
      <c r="K1373" s="8" t="s">
        <v>5087</v>
      </c>
      <c r="S1373"/>
    </row>
    <row r="1374" spans="1:19" ht="15" x14ac:dyDescent="0.25">
      <c r="A1374" s="8" t="s">
        <v>6071</v>
      </c>
      <c r="B1374" s="8" t="s">
        <v>6069</v>
      </c>
      <c r="C1374" s="8" t="s">
        <v>6355</v>
      </c>
      <c r="D1374" s="32" t="s">
        <v>6984</v>
      </c>
      <c r="E1374" s="32" t="s">
        <v>6355</v>
      </c>
      <c r="F1374" s="10">
        <v>2</v>
      </c>
      <c r="G1374" s="8" t="s">
        <v>6266</v>
      </c>
      <c r="H1374" s="10">
        <v>33.200000000000003</v>
      </c>
      <c r="I1374" s="10">
        <f t="shared" si="23"/>
        <v>66.400000000000006</v>
      </c>
      <c r="J1374" s="10">
        <v>0</v>
      </c>
      <c r="K1374" s="8" t="s">
        <v>5087</v>
      </c>
      <c r="S1374"/>
    </row>
    <row r="1375" spans="1:19" ht="15" x14ac:dyDescent="0.25">
      <c r="A1375" s="8" t="s">
        <v>6068</v>
      </c>
      <c r="B1375" s="8" t="s">
        <v>6069</v>
      </c>
      <c r="C1375" s="8" t="s">
        <v>6356</v>
      </c>
      <c r="D1375" s="32" t="s">
        <v>6984</v>
      </c>
      <c r="E1375" s="32" t="s">
        <v>6356</v>
      </c>
      <c r="F1375" s="10">
        <v>5</v>
      </c>
      <c r="G1375" s="8" t="s">
        <v>6266</v>
      </c>
      <c r="H1375" s="10">
        <v>24.119999999999997</v>
      </c>
      <c r="I1375" s="10">
        <f t="shared" si="23"/>
        <v>120.6</v>
      </c>
      <c r="J1375" s="10">
        <v>0</v>
      </c>
      <c r="K1375" s="8" t="s">
        <v>5087</v>
      </c>
      <c r="S1375"/>
    </row>
    <row r="1376" spans="1:19" ht="15" x14ac:dyDescent="0.25">
      <c r="A1376" s="8" t="s">
        <v>6068</v>
      </c>
      <c r="B1376" s="8" t="s">
        <v>6069</v>
      </c>
      <c r="C1376" s="8" t="s">
        <v>6357</v>
      </c>
      <c r="D1376" s="32" t="s">
        <v>6984</v>
      </c>
      <c r="E1376" s="32" t="s">
        <v>6357</v>
      </c>
      <c r="F1376" s="10">
        <v>2</v>
      </c>
      <c r="G1376" s="8" t="s">
        <v>6266</v>
      </c>
      <c r="H1376" s="10">
        <v>24.25</v>
      </c>
      <c r="I1376" s="10">
        <f t="shared" si="23"/>
        <v>48.5</v>
      </c>
      <c r="J1376" s="10">
        <v>0</v>
      </c>
      <c r="K1376" s="8" t="s">
        <v>5087</v>
      </c>
      <c r="S1376"/>
    </row>
    <row r="1377" spans="1:19" ht="15" x14ac:dyDescent="0.25">
      <c r="A1377" s="8" t="s">
        <v>6071</v>
      </c>
      <c r="B1377" s="8" t="s">
        <v>6069</v>
      </c>
      <c r="C1377" s="8" t="s">
        <v>6358</v>
      </c>
      <c r="D1377" s="32" t="s">
        <v>6984</v>
      </c>
      <c r="E1377" s="32" t="s">
        <v>6358</v>
      </c>
      <c r="F1377" s="10">
        <v>1</v>
      </c>
      <c r="G1377" s="8" t="s">
        <v>4934</v>
      </c>
      <c r="H1377" s="10">
        <v>1784</v>
      </c>
      <c r="I1377" s="10">
        <f t="shared" si="23"/>
        <v>1784</v>
      </c>
      <c r="J1377" s="10">
        <v>24.112703389</v>
      </c>
      <c r="K1377" s="8" t="s">
        <v>6359</v>
      </c>
      <c r="S1377"/>
    </row>
    <row r="1378" spans="1:19" ht="15" x14ac:dyDescent="0.25">
      <c r="A1378" s="8" t="s">
        <v>6071</v>
      </c>
      <c r="B1378" s="8" t="s">
        <v>6069</v>
      </c>
      <c r="C1378" s="8" t="s">
        <v>6360</v>
      </c>
      <c r="D1378" s="32" t="s">
        <v>6984</v>
      </c>
      <c r="E1378" s="32" t="s">
        <v>6360</v>
      </c>
      <c r="F1378" s="10">
        <v>1</v>
      </c>
      <c r="G1378" s="8" t="s">
        <v>4934</v>
      </c>
      <c r="H1378" s="10">
        <v>5179.2</v>
      </c>
      <c r="I1378" s="10">
        <f t="shared" si="23"/>
        <v>5179.2</v>
      </c>
      <c r="J1378" s="10">
        <v>64.203720144299993</v>
      </c>
      <c r="K1378" s="8" t="s">
        <v>4974</v>
      </c>
      <c r="S1378"/>
    </row>
    <row r="1379" spans="1:19" ht="15" x14ac:dyDescent="0.25">
      <c r="A1379" s="8" t="s">
        <v>6071</v>
      </c>
      <c r="B1379" s="8" t="s">
        <v>6069</v>
      </c>
      <c r="C1379" s="8" t="s">
        <v>6361</v>
      </c>
      <c r="D1379" s="32" t="s">
        <v>6984</v>
      </c>
      <c r="E1379" s="32" t="s">
        <v>6361</v>
      </c>
      <c r="F1379" s="10">
        <v>1</v>
      </c>
      <c r="G1379" s="8" t="s">
        <v>4934</v>
      </c>
      <c r="H1379" s="10">
        <v>5108.2</v>
      </c>
      <c r="I1379" s="10">
        <f t="shared" si="23"/>
        <v>5108.2</v>
      </c>
      <c r="J1379" s="10">
        <v>64.071023239780004</v>
      </c>
      <c r="K1379" s="8" t="s">
        <v>4974</v>
      </c>
      <c r="S1379"/>
    </row>
    <row r="1380" spans="1:19" ht="15" x14ac:dyDescent="0.25">
      <c r="A1380" s="8" t="s">
        <v>6068</v>
      </c>
      <c r="B1380" s="8" t="s">
        <v>6069</v>
      </c>
      <c r="C1380" s="8" t="s">
        <v>6362</v>
      </c>
      <c r="D1380" s="32" t="s">
        <v>6984</v>
      </c>
      <c r="E1380" s="32" t="s">
        <v>6362</v>
      </c>
      <c r="F1380" s="10">
        <v>1</v>
      </c>
      <c r="G1380" s="8" t="s">
        <v>4934</v>
      </c>
      <c r="H1380" s="10">
        <v>5221.2</v>
      </c>
      <c r="I1380" s="10">
        <f t="shared" si="23"/>
        <v>5221.2</v>
      </c>
      <c r="J1380" s="10">
        <v>65.342478777279993</v>
      </c>
      <c r="K1380" s="8" t="s">
        <v>4974</v>
      </c>
      <c r="S1380"/>
    </row>
    <row r="1381" spans="1:19" ht="15" x14ac:dyDescent="0.25">
      <c r="A1381" s="8" t="s">
        <v>6068</v>
      </c>
      <c r="B1381" s="8" t="s">
        <v>6069</v>
      </c>
      <c r="C1381" s="8" t="s">
        <v>6363</v>
      </c>
      <c r="D1381" s="32" t="s">
        <v>6984</v>
      </c>
      <c r="E1381" s="32" t="s">
        <v>6363</v>
      </c>
      <c r="F1381" s="10">
        <v>1</v>
      </c>
      <c r="G1381" s="8" t="s">
        <v>4934</v>
      </c>
      <c r="H1381" s="10">
        <v>604.70000000000005</v>
      </c>
      <c r="I1381" s="10">
        <f t="shared" si="23"/>
        <v>604.70000000000005</v>
      </c>
      <c r="J1381" s="10">
        <v>9.1609590515600008</v>
      </c>
      <c r="K1381" s="8" t="s">
        <v>6359</v>
      </c>
      <c r="S1381"/>
    </row>
    <row r="1382" spans="1:19" ht="15" x14ac:dyDescent="0.25">
      <c r="A1382" s="8" t="s">
        <v>6068</v>
      </c>
      <c r="B1382" s="8" t="s">
        <v>6069</v>
      </c>
      <c r="C1382" s="8" t="s">
        <v>6364</v>
      </c>
      <c r="D1382" s="32" t="s">
        <v>6984</v>
      </c>
      <c r="E1382" s="32" t="s">
        <v>6364</v>
      </c>
      <c r="F1382" s="10">
        <v>1</v>
      </c>
      <c r="G1382" s="8" t="s">
        <v>4934</v>
      </c>
      <c r="H1382" s="10">
        <v>5228.7</v>
      </c>
      <c r="I1382" s="10">
        <f t="shared" si="23"/>
        <v>5228.7</v>
      </c>
      <c r="J1382" s="10">
        <v>65.53103837978</v>
      </c>
      <c r="K1382" s="8" t="s">
        <v>4974</v>
      </c>
      <c r="S1382"/>
    </row>
    <row r="1383" spans="1:19" ht="15" x14ac:dyDescent="0.25">
      <c r="A1383" s="8" t="s">
        <v>6068</v>
      </c>
      <c r="B1383" s="8" t="s">
        <v>6069</v>
      </c>
      <c r="C1383" s="8" t="s">
        <v>6365</v>
      </c>
      <c r="D1383" s="32" t="s">
        <v>6984</v>
      </c>
      <c r="E1383" s="32" t="s">
        <v>6365</v>
      </c>
      <c r="F1383" s="10">
        <v>1</v>
      </c>
      <c r="G1383" s="8" t="s">
        <v>4934</v>
      </c>
      <c r="H1383" s="10">
        <v>605.20000000000005</v>
      </c>
      <c r="I1383" s="10">
        <f t="shared" si="23"/>
        <v>605.20000000000005</v>
      </c>
      <c r="J1383" s="10">
        <v>9.1172068386599996</v>
      </c>
      <c r="K1383" s="8" t="s">
        <v>6359</v>
      </c>
      <c r="S1383"/>
    </row>
    <row r="1384" spans="1:19" ht="15" x14ac:dyDescent="0.25">
      <c r="A1384" s="8" t="s">
        <v>6071</v>
      </c>
      <c r="B1384" s="8" t="s">
        <v>6069</v>
      </c>
      <c r="C1384" s="8" t="s">
        <v>6366</v>
      </c>
      <c r="D1384" s="32" t="s">
        <v>6984</v>
      </c>
      <c r="E1384" s="32" t="s">
        <v>6366</v>
      </c>
      <c r="F1384" s="10">
        <v>1</v>
      </c>
      <c r="G1384" s="8" t="s">
        <v>4934</v>
      </c>
      <c r="H1384" s="10">
        <v>5220.7</v>
      </c>
      <c r="I1384" s="10">
        <f t="shared" si="23"/>
        <v>5220.7</v>
      </c>
      <c r="J1384" s="10">
        <v>65.327967565120005</v>
      </c>
      <c r="K1384" s="8" t="s">
        <v>4974</v>
      </c>
      <c r="S1384"/>
    </row>
    <row r="1385" spans="1:19" ht="15" x14ac:dyDescent="0.25">
      <c r="A1385" s="8" t="s">
        <v>6068</v>
      </c>
      <c r="B1385" s="8" t="s">
        <v>6069</v>
      </c>
      <c r="C1385" s="8" t="s">
        <v>6367</v>
      </c>
      <c r="D1385" s="32" t="s">
        <v>6984</v>
      </c>
      <c r="E1385" s="32" t="s">
        <v>6367</v>
      </c>
      <c r="F1385" s="10">
        <v>1</v>
      </c>
      <c r="G1385" s="8" t="s">
        <v>4934</v>
      </c>
      <c r="H1385" s="10">
        <v>599.79999999999995</v>
      </c>
      <c r="I1385" s="10">
        <f t="shared" si="23"/>
        <v>599.79999999999995</v>
      </c>
      <c r="J1385" s="10">
        <v>9.0034894102899994</v>
      </c>
      <c r="K1385" s="8" t="s">
        <v>6359</v>
      </c>
      <c r="S1385"/>
    </row>
    <row r="1386" spans="1:19" ht="15" x14ac:dyDescent="0.25">
      <c r="A1386" s="8" t="s">
        <v>6071</v>
      </c>
      <c r="B1386" s="8" t="s">
        <v>6069</v>
      </c>
      <c r="C1386" s="8" t="s">
        <v>6368</v>
      </c>
      <c r="D1386" s="32" t="s">
        <v>6984</v>
      </c>
      <c r="E1386" s="32" t="s">
        <v>6368</v>
      </c>
      <c r="F1386" s="10">
        <v>3</v>
      </c>
      <c r="G1386" s="8" t="s">
        <v>4934</v>
      </c>
      <c r="H1386" s="10">
        <v>600.26666666666665</v>
      </c>
      <c r="I1386" s="10">
        <f t="shared" si="23"/>
        <v>1800.8</v>
      </c>
      <c r="J1386" s="10">
        <v>27.041317096259998</v>
      </c>
      <c r="K1386" s="8" t="s">
        <v>6359</v>
      </c>
      <c r="S1386"/>
    </row>
    <row r="1387" spans="1:19" ht="15" x14ac:dyDescent="0.25">
      <c r="A1387" s="8" t="s">
        <v>6071</v>
      </c>
      <c r="B1387" s="8" t="s">
        <v>6069</v>
      </c>
      <c r="C1387" s="8" t="s">
        <v>6369</v>
      </c>
      <c r="D1387" s="32" t="s">
        <v>6984</v>
      </c>
      <c r="E1387" s="32" t="s">
        <v>6369</v>
      </c>
      <c r="F1387" s="10">
        <v>1</v>
      </c>
      <c r="G1387" s="8" t="s">
        <v>4934</v>
      </c>
      <c r="H1387" s="10">
        <v>606.79999999999995</v>
      </c>
      <c r="I1387" s="10">
        <f t="shared" si="23"/>
        <v>606.79999999999995</v>
      </c>
      <c r="J1387" s="10">
        <v>9.1495095964199997</v>
      </c>
      <c r="K1387" s="8" t="s">
        <v>6359</v>
      </c>
      <c r="S1387"/>
    </row>
    <row r="1388" spans="1:19" ht="15" x14ac:dyDescent="0.25">
      <c r="A1388" s="8" t="s">
        <v>6071</v>
      </c>
      <c r="B1388" s="8" t="s">
        <v>6069</v>
      </c>
      <c r="C1388" s="8" t="s">
        <v>6370</v>
      </c>
      <c r="D1388" s="32" t="s">
        <v>6984</v>
      </c>
      <c r="E1388" s="32" t="s">
        <v>6370</v>
      </c>
      <c r="F1388" s="10">
        <v>1</v>
      </c>
      <c r="G1388" s="8" t="s">
        <v>4934</v>
      </c>
      <c r="H1388" s="10">
        <v>601.29999999999995</v>
      </c>
      <c r="I1388" s="10">
        <f t="shared" si="23"/>
        <v>601.29999999999995</v>
      </c>
      <c r="J1388" s="10">
        <v>9.0502087271999994</v>
      </c>
      <c r="K1388" s="8" t="s">
        <v>6359</v>
      </c>
      <c r="S1388"/>
    </row>
    <row r="1389" spans="1:19" ht="15" x14ac:dyDescent="0.25">
      <c r="A1389" s="8" t="s">
        <v>6068</v>
      </c>
      <c r="B1389" s="8" t="s">
        <v>6069</v>
      </c>
      <c r="C1389" s="8" t="s">
        <v>6371</v>
      </c>
      <c r="D1389" s="32" t="s">
        <v>6984</v>
      </c>
      <c r="E1389" s="32" t="s">
        <v>6371</v>
      </c>
      <c r="F1389" s="10">
        <v>1</v>
      </c>
      <c r="G1389" s="8" t="s">
        <v>4934</v>
      </c>
      <c r="H1389" s="10">
        <v>5190.8999999999996</v>
      </c>
      <c r="I1389" s="10">
        <f t="shared" si="23"/>
        <v>5190.8999999999996</v>
      </c>
      <c r="J1389" s="10">
        <v>64.519601321799996</v>
      </c>
      <c r="K1389" s="8" t="s">
        <v>4974</v>
      </c>
      <c r="S1389"/>
    </row>
    <row r="1390" spans="1:19" ht="15" x14ac:dyDescent="0.25">
      <c r="A1390" s="8" t="s">
        <v>6071</v>
      </c>
      <c r="B1390" s="8" t="s">
        <v>6069</v>
      </c>
      <c r="C1390" s="8" t="s">
        <v>6372</v>
      </c>
      <c r="D1390" s="32" t="s">
        <v>6984</v>
      </c>
      <c r="E1390" s="32" t="s">
        <v>6372</v>
      </c>
      <c r="F1390" s="10">
        <v>1</v>
      </c>
      <c r="G1390" s="8" t="s">
        <v>4934</v>
      </c>
      <c r="H1390" s="10">
        <v>5111.7</v>
      </c>
      <c r="I1390" s="10">
        <f t="shared" si="23"/>
        <v>5111.7</v>
      </c>
      <c r="J1390" s="10">
        <v>64.029645797300006</v>
      </c>
      <c r="K1390" s="8" t="s">
        <v>4974</v>
      </c>
      <c r="S1390"/>
    </row>
    <row r="1391" spans="1:19" ht="15" x14ac:dyDescent="0.25">
      <c r="A1391" s="8" t="s">
        <v>6071</v>
      </c>
      <c r="B1391" s="8" t="s">
        <v>6069</v>
      </c>
      <c r="C1391" s="8" t="s">
        <v>6373</v>
      </c>
      <c r="D1391" s="32" t="s">
        <v>6984</v>
      </c>
      <c r="E1391" s="32" t="s">
        <v>6373</v>
      </c>
      <c r="F1391" s="10">
        <v>1</v>
      </c>
      <c r="G1391" s="8" t="s">
        <v>4934</v>
      </c>
      <c r="H1391" s="10">
        <v>2219.1999999999998</v>
      </c>
      <c r="I1391" s="10">
        <f t="shared" si="23"/>
        <v>2219.1999999999998</v>
      </c>
      <c r="J1391" s="10">
        <v>32.04171304162</v>
      </c>
      <c r="K1391" s="8" t="s">
        <v>6359</v>
      </c>
      <c r="S1391"/>
    </row>
    <row r="1392" spans="1:19" ht="15" x14ac:dyDescent="0.25">
      <c r="A1392" s="8" t="s">
        <v>6068</v>
      </c>
      <c r="B1392" s="8" t="s">
        <v>6069</v>
      </c>
      <c r="C1392" s="8" t="s">
        <v>6374</v>
      </c>
      <c r="D1392" s="32" t="s">
        <v>6984</v>
      </c>
      <c r="E1392" s="32" t="s">
        <v>6374</v>
      </c>
      <c r="F1392" s="10">
        <v>1</v>
      </c>
      <c r="G1392" s="8" t="s">
        <v>4934</v>
      </c>
      <c r="H1392" s="10">
        <v>3526.2</v>
      </c>
      <c r="I1392" s="10">
        <f t="shared" si="23"/>
        <v>3526.2</v>
      </c>
      <c r="J1392" s="10">
        <v>55.330038153579999</v>
      </c>
      <c r="K1392" s="8" t="s">
        <v>6191</v>
      </c>
      <c r="S1392"/>
    </row>
    <row r="1393" spans="1:19" ht="15" x14ac:dyDescent="0.25">
      <c r="A1393" s="8" t="s">
        <v>6071</v>
      </c>
      <c r="B1393" s="8" t="s">
        <v>6069</v>
      </c>
      <c r="C1393" s="8" t="s">
        <v>6375</v>
      </c>
      <c r="D1393" s="32" t="s">
        <v>6984</v>
      </c>
      <c r="E1393" s="32" t="s">
        <v>6375</v>
      </c>
      <c r="F1393" s="10">
        <v>8</v>
      </c>
      <c r="G1393" s="8" t="s">
        <v>4934</v>
      </c>
      <c r="H1393" s="10">
        <v>263.97500000000002</v>
      </c>
      <c r="I1393" s="10">
        <f t="shared" si="23"/>
        <v>2111.8000000000002</v>
      </c>
      <c r="J1393" s="10">
        <v>29.136691200000001</v>
      </c>
      <c r="K1393" s="8" t="s">
        <v>6376</v>
      </c>
      <c r="S1393"/>
    </row>
    <row r="1394" spans="1:19" ht="15" x14ac:dyDescent="0.25">
      <c r="A1394" s="8" t="s">
        <v>6071</v>
      </c>
      <c r="B1394" s="8" t="s">
        <v>6069</v>
      </c>
      <c r="C1394" s="8" t="s">
        <v>6377</v>
      </c>
      <c r="D1394" s="32" t="s">
        <v>6984</v>
      </c>
      <c r="E1394" s="32" t="s">
        <v>6377</v>
      </c>
      <c r="F1394" s="10">
        <v>1</v>
      </c>
      <c r="G1394" s="8" t="s">
        <v>4934</v>
      </c>
      <c r="H1394" s="10">
        <v>268.10000000000002</v>
      </c>
      <c r="I1394" s="10">
        <f t="shared" si="23"/>
        <v>268.10000000000002</v>
      </c>
      <c r="J1394" s="10">
        <v>6.8726197190000002</v>
      </c>
      <c r="K1394" s="8" t="s">
        <v>4949</v>
      </c>
      <c r="S1394"/>
    </row>
    <row r="1395" spans="1:19" ht="15" x14ac:dyDescent="0.25">
      <c r="A1395" s="8" t="s">
        <v>6068</v>
      </c>
      <c r="B1395" s="8" t="s">
        <v>6069</v>
      </c>
      <c r="C1395" s="8" t="s">
        <v>6378</v>
      </c>
      <c r="D1395" s="32" t="s">
        <v>6984</v>
      </c>
      <c r="E1395" s="32" t="s">
        <v>6378</v>
      </c>
      <c r="F1395" s="10">
        <v>1</v>
      </c>
      <c r="G1395" s="8" t="s">
        <v>4934</v>
      </c>
      <c r="H1395" s="10">
        <v>271</v>
      </c>
      <c r="I1395" s="10">
        <f t="shared" si="23"/>
        <v>271</v>
      </c>
      <c r="J1395" s="10">
        <v>6.9660920649999998</v>
      </c>
      <c r="K1395" s="8" t="s">
        <v>4949</v>
      </c>
      <c r="S1395"/>
    </row>
    <row r="1396" spans="1:19" ht="15" x14ac:dyDescent="0.25">
      <c r="A1396" s="8" t="s">
        <v>6071</v>
      </c>
      <c r="B1396" s="8" t="s">
        <v>6069</v>
      </c>
      <c r="C1396" s="8" t="s">
        <v>6379</v>
      </c>
      <c r="D1396" s="32" t="s">
        <v>6984</v>
      </c>
      <c r="E1396" s="32" t="s">
        <v>6379</v>
      </c>
      <c r="F1396" s="10">
        <v>2</v>
      </c>
      <c r="G1396" s="8" t="s">
        <v>4934</v>
      </c>
      <c r="H1396" s="10">
        <v>443.85</v>
      </c>
      <c r="I1396" s="10">
        <f t="shared" si="23"/>
        <v>887.7</v>
      </c>
      <c r="J1396" s="10">
        <v>22.785725438</v>
      </c>
      <c r="K1396" s="8" t="s">
        <v>4949</v>
      </c>
      <c r="S1396"/>
    </row>
    <row r="1397" spans="1:19" ht="15" x14ac:dyDescent="0.25">
      <c r="A1397" s="8" t="s">
        <v>6068</v>
      </c>
      <c r="B1397" s="8" t="s">
        <v>6069</v>
      </c>
      <c r="C1397" s="8" t="s">
        <v>6380</v>
      </c>
      <c r="D1397" s="32" t="s">
        <v>6984</v>
      </c>
      <c r="E1397" s="32" t="s">
        <v>6380</v>
      </c>
      <c r="F1397" s="10">
        <v>1</v>
      </c>
      <c r="G1397" s="8" t="s">
        <v>5973</v>
      </c>
      <c r="H1397" s="10">
        <v>4.2666666666666666</v>
      </c>
      <c r="I1397" s="10">
        <f t="shared" si="23"/>
        <v>4.2666666666666666</v>
      </c>
      <c r="J1397" s="10">
        <v>0.38306100000000004</v>
      </c>
      <c r="K1397" s="8" t="s">
        <v>5963</v>
      </c>
      <c r="S1397"/>
    </row>
    <row r="1398" spans="1:19" ht="15" x14ac:dyDescent="0.25">
      <c r="A1398" s="8" t="s">
        <v>6068</v>
      </c>
      <c r="B1398" s="8" t="s">
        <v>6069</v>
      </c>
      <c r="C1398" s="8" t="s">
        <v>6381</v>
      </c>
      <c r="D1398" s="32" t="s">
        <v>6984</v>
      </c>
      <c r="E1398" s="32" t="s">
        <v>6381</v>
      </c>
      <c r="F1398" s="10">
        <v>1</v>
      </c>
      <c r="G1398" s="8" t="s">
        <v>5973</v>
      </c>
      <c r="H1398" s="10">
        <v>143.4</v>
      </c>
      <c r="I1398" s="10">
        <f t="shared" si="23"/>
        <v>143.4</v>
      </c>
      <c r="J1398" s="10">
        <v>12.865270000000001</v>
      </c>
      <c r="K1398" s="8" t="s">
        <v>5963</v>
      </c>
      <c r="S1398"/>
    </row>
    <row r="1399" spans="1:19" ht="15" x14ac:dyDescent="0.25">
      <c r="A1399" s="8" t="s">
        <v>6068</v>
      </c>
      <c r="B1399" s="8" t="s">
        <v>6069</v>
      </c>
      <c r="C1399" s="8" t="s">
        <v>6382</v>
      </c>
      <c r="D1399" s="32" t="s">
        <v>6984</v>
      </c>
      <c r="E1399" s="32" t="s">
        <v>6382</v>
      </c>
      <c r="F1399" s="10">
        <v>5</v>
      </c>
      <c r="G1399" s="8" t="s">
        <v>5973</v>
      </c>
      <c r="H1399" s="10">
        <v>129.16</v>
      </c>
      <c r="I1399" s="10">
        <f t="shared" si="23"/>
        <v>645.79999999999995</v>
      </c>
      <c r="J1399" s="10">
        <v>51.916725</v>
      </c>
      <c r="K1399" s="8" t="s">
        <v>5966</v>
      </c>
      <c r="S1399"/>
    </row>
    <row r="1400" spans="1:19" ht="15" x14ac:dyDescent="0.25">
      <c r="A1400" s="8" t="s">
        <v>6071</v>
      </c>
      <c r="B1400" s="8" t="s">
        <v>6069</v>
      </c>
      <c r="C1400" s="8" t="s">
        <v>6383</v>
      </c>
      <c r="D1400" s="32" t="s">
        <v>6984</v>
      </c>
      <c r="E1400" s="32" t="s">
        <v>6383</v>
      </c>
      <c r="F1400" s="10">
        <v>5</v>
      </c>
      <c r="G1400" s="8" t="s">
        <v>5973</v>
      </c>
      <c r="H1400" s="10">
        <v>103.78</v>
      </c>
      <c r="I1400" s="10">
        <f t="shared" si="23"/>
        <v>518.9</v>
      </c>
      <c r="J1400" s="10">
        <v>46.541375000000002</v>
      </c>
      <c r="K1400" s="8" t="s">
        <v>5963</v>
      </c>
      <c r="S1400"/>
    </row>
    <row r="1401" spans="1:19" ht="15" x14ac:dyDescent="0.25">
      <c r="A1401" s="8" t="s">
        <v>6071</v>
      </c>
      <c r="B1401" s="8" t="s">
        <v>6069</v>
      </c>
      <c r="C1401" s="8" t="s">
        <v>6384</v>
      </c>
      <c r="D1401" s="32" t="s">
        <v>6984</v>
      </c>
      <c r="E1401" s="32" t="s">
        <v>6384</v>
      </c>
      <c r="F1401" s="10">
        <v>1</v>
      </c>
      <c r="G1401" s="8" t="s">
        <v>5973</v>
      </c>
      <c r="H1401" s="10">
        <v>143.9</v>
      </c>
      <c r="I1401" s="10">
        <f t="shared" si="23"/>
        <v>143.9</v>
      </c>
      <c r="J1401" s="10">
        <v>12.902825</v>
      </c>
      <c r="K1401" s="8" t="s">
        <v>5963</v>
      </c>
      <c r="S1401"/>
    </row>
    <row r="1402" spans="1:19" ht="15" x14ac:dyDescent="0.25">
      <c r="A1402" s="8" t="s">
        <v>6071</v>
      </c>
      <c r="B1402" s="8" t="s">
        <v>6069</v>
      </c>
      <c r="C1402" s="8" t="s">
        <v>6385</v>
      </c>
      <c r="D1402" s="32" t="s">
        <v>6984</v>
      </c>
      <c r="E1402" s="32" t="s">
        <v>6385</v>
      </c>
      <c r="F1402" s="10">
        <v>6</v>
      </c>
      <c r="G1402" s="8" t="s">
        <v>5973</v>
      </c>
      <c r="H1402" s="10">
        <v>143.43333333333334</v>
      </c>
      <c r="I1402" s="10">
        <f t="shared" si="23"/>
        <v>860.6</v>
      </c>
      <c r="J1402" s="10">
        <v>77.19162</v>
      </c>
      <c r="K1402" s="8" t="s">
        <v>5963</v>
      </c>
      <c r="S1402"/>
    </row>
    <row r="1403" spans="1:19" ht="15" x14ac:dyDescent="0.25">
      <c r="A1403" s="8" t="s">
        <v>6068</v>
      </c>
      <c r="B1403" s="8" t="s">
        <v>6069</v>
      </c>
      <c r="C1403" s="8" t="s">
        <v>6386</v>
      </c>
      <c r="D1403" s="32" t="s">
        <v>6984</v>
      </c>
      <c r="E1403" s="32" t="s">
        <v>6386</v>
      </c>
      <c r="F1403" s="10">
        <v>1</v>
      </c>
      <c r="G1403" s="8" t="s">
        <v>5973</v>
      </c>
      <c r="H1403" s="10">
        <v>110.8</v>
      </c>
      <c r="I1403" s="10">
        <f t="shared" si="23"/>
        <v>110.8</v>
      </c>
      <c r="J1403" s="10">
        <v>3.7414200000000002</v>
      </c>
      <c r="K1403" s="8" t="s">
        <v>5974</v>
      </c>
      <c r="S1403"/>
    </row>
    <row r="1404" spans="1:19" ht="15" x14ac:dyDescent="0.25">
      <c r="A1404" s="8" t="s">
        <v>6071</v>
      </c>
      <c r="B1404" s="8" t="s">
        <v>6069</v>
      </c>
      <c r="C1404" s="8" t="s">
        <v>6387</v>
      </c>
      <c r="D1404" s="32" t="s">
        <v>6984</v>
      </c>
      <c r="E1404" s="32" t="s">
        <v>6387</v>
      </c>
      <c r="F1404" s="10">
        <v>1</v>
      </c>
      <c r="G1404" s="8" t="s">
        <v>5973</v>
      </c>
      <c r="H1404" s="10">
        <v>110.8</v>
      </c>
      <c r="I1404" s="10">
        <f t="shared" si="23"/>
        <v>110.8</v>
      </c>
      <c r="J1404" s="10">
        <v>3.7405056000000001</v>
      </c>
      <c r="K1404" s="8" t="s">
        <v>5974</v>
      </c>
      <c r="S1404"/>
    </row>
    <row r="1405" spans="1:19" ht="15" x14ac:dyDescent="0.25">
      <c r="A1405" s="8" t="s">
        <v>6071</v>
      </c>
      <c r="B1405" s="8" t="s">
        <v>6069</v>
      </c>
      <c r="C1405" s="8" t="s">
        <v>6388</v>
      </c>
      <c r="D1405" s="32" t="s">
        <v>6984</v>
      </c>
      <c r="E1405" s="32" t="s">
        <v>6388</v>
      </c>
      <c r="F1405" s="10">
        <v>4</v>
      </c>
      <c r="G1405" s="8" t="s">
        <v>5973</v>
      </c>
      <c r="H1405" s="10">
        <v>95.6</v>
      </c>
      <c r="I1405" s="10">
        <f t="shared" si="23"/>
        <v>382.4</v>
      </c>
      <c r="J1405" s="10">
        <v>32.700000000000003</v>
      </c>
      <c r="K1405" s="8" t="s">
        <v>5963</v>
      </c>
      <c r="S1405"/>
    </row>
    <row r="1406" spans="1:19" ht="15" x14ac:dyDescent="0.25">
      <c r="A1406" s="8" t="s">
        <v>6071</v>
      </c>
      <c r="B1406" s="8" t="s">
        <v>6069</v>
      </c>
      <c r="C1406" s="8" t="s">
        <v>6389</v>
      </c>
      <c r="D1406" s="32" t="s">
        <v>6984</v>
      </c>
      <c r="E1406" s="32" t="s">
        <v>6389</v>
      </c>
      <c r="F1406" s="10">
        <v>1</v>
      </c>
      <c r="G1406" s="8" t="s">
        <v>5973</v>
      </c>
      <c r="H1406" s="10">
        <v>103.8</v>
      </c>
      <c r="I1406" s="10">
        <f t="shared" si="23"/>
        <v>103.8</v>
      </c>
      <c r="J1406" s="10">
        <v>9.3082750000000001</v>
      </c>
      <c r="K1406" s="8" t="s">
        <v>5963</v>
      </c>
      <c r="S1406"/>
    </row>
    <row r="1407" spans="1:19" ht="15" x14ac:dyDescent="0.25">
      <c r="A1407" s="8" t="s">
        <v>6068</v>
      </c>
      <c r="B1407" s="8" t="s">
        <v>6069</v>
      </c>
      <c r="C1407" s="8" t="s">
        <v>6390</v>
      </c>
      <c r="D1407" s="32" t="s">
        <v>6984</v>
      </c>
      <c r="E1407" s="32" t="s">
        <v>6390</v>
      </c>
      <c r="F1407" s="10">
        <v>1</v>
      </c>
      <c r="G1407" s="8" t="s">
        <v>5973</v>
      </c>
      <c r="H1407" s="10">
        <v>129.19999999999999</v>
      </c>
      <c r="I1407" s="10">
        <f t="shared" si="23"/>
        <v>129.19999999999999</v>
      </c>
      <c r="J1407" s="10">
        <v>10.383345</v>
      </c>
      <c r="K1407" s="8" t="s">
        <v>5966</v>
      </c>
      <c r="S1407"/>
    </row>
    <row r="1408" spans="1:19" ht="15" x14ac:dyDescent="0.25">
      <c r="A1408" s="8" t="s">
        <v>6071</v>
      </c>
      <c r="B1408" s="8" t="s">
        <v>6069</v>
      </c>
      <c r="C1408" s="8" t="s">
        <v>6391</v>
      </c>
      <c r="D1408" s="32" t="s">
        <v>6984</v>
      </c>
      <c r="E1408" s="32" t="s">
        <v>6391</v>
      </c>
      <c r="F1408" s="10">
        <v>20</v>
      </c>
      <c r="G1408" s="8" t="s">
        <v>5973</v>
      </c>
      <c r="H1408" s="10">
        <v>95.59</v>
      </c>
      <c r="I1408" s="10">
        <f t="shared" si="23"/>
        <v>1911.8000000000002</v>
      </c>
      <c r="J1408" s="10">
        <v>164.3</v>
      </c>
      <c r="K1408" s="8" t="s">
        <v>5963</v>
      </c>
      <c r="S1408"/>
    </row>
    <row r="1409" spans="1:19" ht="15" x14ac:dyDescent="0.25">
      <c r="A1409" s="8" t="s">
        <v>6068</v>
      </c>
      <c r="B1409" s="8" t="s">
        <v>6069</v>
      </c>
      <c r="C1409" s="8" t="s">
        <v>6392</v>
      </c>
      <c r="D1409" s="32" t="s">
        <v>6984</v>
      </c>
      <c r="E1409" s="32" t="s">
        <v>6392</v>
      </c>
      <c r="F1409" s="10">
        <v>1</v>
      </c>
      <c r="G1409" s="8" t="s">
        <v>5973</v>
      </c>
      <c r="H1409" s="10">
        <v>119.8</v>
      </c>
      <c r="I1409" s="10">
        <f t="shared" si="23"/>
        <v>119.8</v>
      </c>
      <c r="J1409" s="10">
        <v>9.6282899999999998</v>
      </c>
      <c r="K1409" s="8" t="s">
        <v>5966</v>
      </c>
      <c r="S1409"/>
    </row>
    <row r="1410" spans="1:19" ht="15" x14ac:dyDescent="0.25">
      <c r="A1410" s="8" t="s">
        <v>6071</v>
      </c>
      <c r="B1410" s="8" t="s">
        <v>6069</v>
      </c>
      <c r="C1410" s="8" t="s">
        <v>6393</v>
      </c>
      <c r="D1410" s="32" t="s">
        <v>6984</v>
      </c>
      <c r="E1410" s="32" t="s">
        <v>6393</v>
      </c>
      <c r="F1410" s="10">
        <v>2</v>
      </c>
      <c r="G1410" s="8" t="s">
        <v>5973</v>
      </c>
      <c r="H1410" s="10">
        <v>7.95</v>
      </c>
      <c r="I1410" s="10">
        <f t="shared" si="23"/>
        <v>15.9</v>
      </c>
      <c r="J1410" s="10">
        <v>1.42709</v>
      </c>
      <c r="K1410" s="8" t="s">
        <v>5963</v>
      </c>
      <c r="S1410"/>
    </row>
    <row r="1411" spans="1:19" ht="15" x14ac:dyDescent="0.25">
      <c r="A1411" s="8" t="s">
        <v>6071</v>
      </c>
      <c r="B1411" s="8" t="s">
        <v>6069</v>
      </c>
      <c r="C1411" s="8" t="s">
        <v>6394</v>
      </c>
      <c r="D1411" s="32" t="s">
        <v>6984</v>
      </c>
      <c r="E1411" s="32" t="s">
        <v>6394</v>
      </c>
      <c r="F1411" s="10">
        <v>4</v>
      </c>
      <c r="G1411" s="8" t="s">
        <v>5973</v>
      </c>
      <c r="H1411" s="10">
        <v>7.95</v>
      </c>
      <c r="I1411" s="10">
        <f t="shared" si="23"/>
        <v>31.8</v>
      </c>
      <c r="J1411" s="10">
        <v>2.8541799999999999</v>
      </c>
      <c r="K1411" s="8" t="s">
        <v>5963</v>
      </c>
      <c r="S1411"/>
    </row>
    <row r="1412" spans="1:19" ht="15" x14ac:dyDescent="0.25">
      <c r="A1412" s="8" t="s">
        <v>6068</v>
      </c>
      <c r="B1412" s="8" t="s">
        <v>6069</v>
      </c>
      <c r="C1412" s="8" t="s">
        <v>6395</v>
      </c>
      <c r="D1412" s="32" t="s">
        <v>6984</v>
      </c>
      <c r="E1412" s="32" t="s">
        <v>6395</v>
      </c>
      <c r="F1412" s="10">
        <v>1</v>
      </c>
      <c r="G1412" s="8" t="s">
        <v>5973</v>
      </c>
      <c r="H1412" s="10">
        <v>8</v>
      </c>
      <c r="I1412" s="10">
        <f t="shared" si="23"/>
        <v>8</v>
      </c>
      <c r="J1412" s="10">
        <v>0.71354499999999998</v>
      </c>
      <c r="K1412" s="8" t="s">
        <v>5963</v>
      </c>
      <c r="S1412"/>
    </row>
    <row r="1413" spans="1:19" ht="15" x14ac:dyDescent="0.25">
      <c r="A1413" s="8" t="s">
        <v>6071</v>
      </c>
      <c r="B1413" s="8" t="s">
        <v>6069</v>
      </c>
      <c r="C1413" s="8" t="s">
        <v>6396</v>
      </c>
      <c r="D1413" s="32" t="s">
        <v>6984</v>
      </c>
      <c r="E1413" s="32" t="s">
        <v>6396</v>
      </c>
      <c r="F1413" s="10">
        <v>1</v>
      </c>
      <c r="G1413" s="8" t="s">
        <v>5973</v>
      </c>
      <c r="H1413" s="10">
        <v>9.6</v>
      </c>
      <c r="I1413" s="10">
        <f t="shared" ref="I1413:I1472" si="24">F1413*H1413</f>
        <v>9.6</v>
      </c>
      <c r="J1413" s="10">
        <v>0.86269200000000001</v>
      </c>
      <c r="K1413" s="8" t="s">
        <v>5963</v>
      </c>
      <c r="S1413"/>
    </row>
    <row r="1414" spans="1:19" ht="15" x14ac:dyDescent="0.25">
      <c r="A1414" s="8" t="s">
        <v>6071</v>
      </c>
      <c r="B1414" s="8" t="s">
        <v>6069</v>
      </c>
      <c r="C1414" s="8" t="s">
        <v>6397</v>
      </c>
      <c r="D1414" s="32" t="s">
        <v>6984</v>
      </c>
      <c r="E1414" s="32" t="s">
        <v>6397</v>
      </c>
      <c r="F1414" s="10">
        <v>1</v>
      </c>
      <c r="G1414" s="8" t="s">
        <v>5973</v>
      </c>
      <c r="H1414" s="10">
        <v>141.80000000000001</v>
      </c>
      <c r="I1414" s="10">
        <f t="shared" si="24"/>
        <v>141.80000000000001</v>
      </c>
      <c r="J1414" s="10">
        <v>12.716123</v>
      </c>
      <c r="K1414" s="8" t="s">
        <v>5963</v>
      </c>
      <c r="S1414"/>
    </row>
    <row r="1415" spans="1:19" ht="15" x14ac:dyDescent="0.25">
      <c r="A1415" s="8" t="s">
        <v>6068</v>
      </c>
      <c r="B1415" s="8" t="s">
        <v>6069</v>
      </c>
      <c r="C1415" s="8" t="s">
        <v>6398</v>
      </c>
      <c r="D1415" s="32" t="s">
        <v>6984</v>
      </c>
      <c r="E1415" s="32" t="s">
        <v>6398</v>
      </c>
      <c r="F1415" s="10">
        <v>1</v>
      </c>
      <c r="G1415" s="8" t="s">
        <v>5973</v>
      </c>
      <c r="H1415" s="10">
        <v>140.19999999999999</v>
      </c>
      <c r="I1415" s="10">
        <f t="shared" si="24"/>
        <v>140.19999999999999</v>
      </c>
      <c r="J1415" s="10">
        <v>12.578779000000001</v>
      </c>
      <c r="K1415" s="8" t="s">
        <v>5963</v>
      </c>
      <c r="S1415"/>
    </row>
    <row r="1416" spans="1:19" ht="15" x14ac:dyDescent="0.25">
      <c r="A1416" s="8" t="s">
        <v>6068</v>
      </c>
      <c r="B1416" s="8" t="s">
        <v>6069</v>
      </c>
      <c r="C1416" s="8" t="s">
        <v>6399</v>
      </c>
      <c r="D1416" s="32" t="s">
        <v>6984</v>
      </c>
      <c r="E1416" s="32" t="s">
        <v>6399</v>
      </c>
      <c r="F1416" s="10">
        <v>5</v>
      </c>
      <c r="G1416" s="8" t="s">
        <v>5973</v>
      </c>
      <c r="H1416" s="10">
        <v>119.75999999999999</v>
      </c>
      <c r="I1416" s="10">
        <f t="shared" si="24"/>
        <v>598.79999999999995</v>
      </c>
      <c r="J1416" s="10">
        <v>45.9</v>
      </c>
      <c r="K1416" s="8" t="s">
        <v>5966</v>
      </c>
      <c r="S1416"/>
    </row>
    <row r="1417" spans="1:19" ht="15" x14ac:dyDescent="0.25">
      <c r="A1417" s="8" t="s">
        <v>6071</v>
      </c>
      <c r="B1417" s="8" t="s">
        <v>6069</v>
      </c>
      <c r="C1417" s="8" t="s">
        <v>6400</v>
      </c>
      <c r="D1417" s="32" t="s">
        <v>6984</v>
      </c>
      <c r="E1417" s="32" t="s">
        <v>6400</v>
      </c>
      <c r="F1417" s="10">
        <v>1</v>
      </c>
      <c r="G1417" s="8" t="s">
        <v>5973</v>
      </c>
      <c r="H1417" s="10">
        <v>8</v>
      </c>
      <c r="I1417" s="10">
        <f t="shared" si="24"/>
        <v>8</v>
      </c>
      <c r="J1417" s="10">
        <v>0.71354499999999998</v>
      </c>
      <c r="K1417" s="8" t="s">
        <v>5963</v>
      </c>
      <c r="S1417"/>
    </row>
    <row r="1418" spans="1:19" ht="15" x14ac:dyDescent="0.25">
      <c r="A1418" s="8" t="s">
        <v>4963</v>
      </c>
      <c r="B1418" s="8" t="s">
        <v>4869</v>
      </c>
      <c r="C1418" s="8" t="s">
        <v>4900</v>
      </c>
      <c r="D1418" s="32" t="s">
        <v>6984</v>
      </c>
      <c r="E1418" s="32" t="s">
        <v>4900</v>
      </c>
      <c r="F1418" s="10">
        <v>4</v>
      </c>
      <c r="G1418" s="8" t="s">
        <v>4901</v>
      </c>
      <c r="H1418" s="10">
        <v>78.86</v>
      </c>
      <c r="I1418" s="10">
        <f t="shared" si="24"/>
        <v>315.44</v>
      </c>
      <c r="J1418" s="10">
        <v>2.5535999999999999</v>
      </c>
      <c r="K1418" s="8" t="s">
        <v>6401</v>
      </c>
      <c r="S1418"/>
    </row>
    <row r="1419" spans="1:19" ht="15" x14ac:dyDescent="0.25">
      <c r="A1419" s="8" t="s">
        <v>6068</v>
      </c>
      <c r="B1419" s="8" t="s">
        <v>6069</v>
      </c>
      <c r="C1419" s="8" t="s">
        <v>6402</v>
      </c>
      <c r="D1419" s="32" t="s">
        <v>5146</v>
      </c>
      <c r="E1419" s="32" t="s">
        <v>6402</v>
      </c>
      <c r="F1419" s="10">
        <v>303</v>
      </c>
      <c r="G1419" s="8" t="s">
        <v>6403</v>
      </c>
      <c r="K1419" s="8" t="s">
        <v>6403</v>
      </c>
      <c r="L1419" s="8" t="s">
        <v>32</v>
      </c>
      <c r="S1419"/>
    </row>
    <row r="1420" spans="1:19" ht="15" x14ac:dyDescent="0.25">
      <c r="A1420" s="8" t="s">
        <v>6068</v>
      </c>
      <c r="B1420" s="8" t="s">
        <v>6069</v>
      </c>
      <c r="C1420" s="8" t="s">
        <v>6404</v>
      </c>
      <c r="D1420" s="32" t="s">
        <v>5146</v>
      </c>
      <c r="E1420" s="32" t="s">
        <v>6404</v>
      </c>
      <c r="F1420" s="10">
        <v>570</v>
      </c>
      <c r="G1420" s="8" t="s">
        <v>6405</v>
      </c>
      <c r="K1420" s="8" t="s">
        <v>6405</v>
      </c>
      <c r="L1420" s="8" t="s">
        <v>32</v>
      </c>
      <c r="S1420"/>
    </row>
    <row r="1421" spans="1:19" ht="15" x14ac:dyDescent="0.25">
      <c r="A1421" s="8" t="s">
        <v>6068</v>
      </c>
      <c r="B1421" s="8" t="s">
        <v>6069</v>
      </c>
      <c r="C1421" s="8" t="s">
        <v>6406</v>
      </c>
      <c r="D1421" s="32" t="s">
        <v>5146</v>
      </c>
      <c r="E1421" s="32" t="s">
        <v>6406</v>
      </c>
      <c r="F1421" s="10">
        <v>272</v>
      </c>
      <c r="G1421" s="8" t="s">
        <v>6407</v>
      </c>
      <c r="K1421" s="8" t="s">
        <v>6407</v>
      </c>
      <c r="L1421" s="8" t="s">
        <v>32</v>
      </c>
      <c r="S1421"/>
    </row>
    <row r="1422" spans="1:19" ht="15" x14ac:dyDescent="0.25">
      <c r="A1422" s="8" t="s">
        <v>6068</v>
      </c>
      <c r="B1422" s="8" t="s">
        <v>6069</v>
      </c>
      <c r="C1422" s="8" t="s">
        <v>6408</v>
      </c>
      <c r="D1422" s="32" t="s">
        <v>5146</v>
      </c>
      <c r="E1422" s="32" t="s">
        <v>6408</v>
      </c>
      <c r="F1422" s="10">
        <v>292</v>
      </c>
      <c r="G1422" s="8" t="s">
        <v>6409</v>
      </c>
      <c r="K1422" s="8" t="s">
        <v>6409</v>
      </c>
      <c r="L1422" s="8" t="s">
        <v>32</v>
      </c>
      <c r="S1422"/>
    </row>
    <row r="1423" spans="1:19" ht="15" x14ac:dyDescent="0.25">
      <c r="A1423" s="8" t="s">
        <v>6068</v>
      </c>
      <c r="B1423" s="8" t="s">
        <v>6069</v>
      </c>
      <c r="C1423" s="8" t="s">
        <v>6410</v>
      </c>
      <c r="D1423" s="32" t="s">
        <v>5146</v>
      </c>
      <c r="E1423" s="32" t="s">
        <v>6410</v>
      </c>
      <c r="F1423" s="10">
        <v>100</v>
      </c>
      <c r="G1423" s="8" t="s">
        <v>6411</v>
      </c>
      <c r="K1423" s="8" t="s">
        <v>6411</v>
      </c>
      <c r="L1423" s="8" t="s">
        <v>32</v>
      </c>
      <c r="S1423"/>
    </row>
    <row r="1424" spans="1:19" ht="15" x14ac:dyDescent="0.25">
      <c r="A1424" s="8" t="s">
        <v>6068</v>
      </c>
      <c r="B1424" s="8" t="s">
        <v>6069</v>
      </c>
      <c r="C1424" s="8" t="s">
        <v>6412</v>
      </c>
      <c r="D1424" s="32" t="s">
        <v>5146</v>
      </c>
      <c r="E1424" s="32" t="s">
        <v>6412</v>
      </c>
      <c r="F1424" s="10">
        <v>2537</v>
      </c>
      <c r="G1424" s="8" t="s">
        <v>6413</v>
      </c>
      <c r="K1424" s="8" t="s">
        <v>6413</v>
      </c>
      <c r="L1424" s="8" t="s">
        <v>32</v>
      </c>
      <c r="S1424"/>
    </row>
    <row r="1425" spans="1:19" ht="15" x14ac:dyDescent="0.25">
      <c r="A1425" s="8" t="s">
        <v>6068</v>
      </c>
      <c r="B1425" s="8" t="s">
        <v>6069</v>
      </c>
      <c r="C1425" s="8" t="s">
        <v>6414</v>
      </c>
      <c r="D1425" s="32" t="s">
        <v>5146</v>
      </c>
      <c r="E1425" s="32" t="s">
        <v>6414</v>
      </c>
      <c r="F1425" s="10">
        <v>1041</v>
      </c>
      <c r="G1425" s="8" t="s">
        <v>6415</v>
      </c>
      <c r="K1425" s="8" t="s">
        <v>6415</v>
      </c>
      <c r="L1425" s="8" t="s">
        <v>32</v>
      </c>
      <c r="S1425"/>
    </row>
    <row r="1426" spans="1:19" ht="15" x14ac:dyDescent="0.25">
      <c r="A1426" s="8" t="s">
        <v>6068</v>
      </c>
      <c r="B1426" s="8" t="s">
        <v>6069</v>
      </c>
      <c r="C1426" s="8" t="s">
        <v>6416</v>
      </c>
      <c r="D1426" s="32" t="s">
        <v>5146</v>
      </c>
      <c r="E1426" s="32" t="s">
        <v>6416</v>
      </c>
      <c r="F1426" s="10">
        <v>1498</v>
      </c>
      <c r="G1426" s="8" t="s">
        <v>6417</v>
      </c>
      <c r="K1426" s="8" t="s">
        <v>6417</v>
      </c>
      <c r="L1426" s="8" t="s">
        <v>32</v>
      </c>
      <c r="S1426"/>
    </row>
    <row r="1427" spans="1:19" ht="15" x14ac:dyDescent="0.25">
      <c r="A1427" s="8" t="s">
        <v>6068</v>
      </c>
      <c r="B1427" s="8" t="s">
        <v>6069</v>
      </c>
      <c r="C1427" s="8" t="s">
        <v>6418</v>
      </c>
      <c r="D1427" s="32" t="s">
        <v>5146</v>
      </c>
      <c r="E1427" s="32" t="s">
        <v>6418</v>
      </c>
      <c r="F1427" s="10">
        <v>976</v>
      </c>
      <c r="G1427" s="8" t="s">
        <v>6419</v>
      </c>
      <c r="K1427" s="8" t="s">
        <v>6419</v>
      </c>
      <c r="L1427" s="8" t="s">
        <v>32</v>
      </c>
      <c r="S1427"/>
    </row>
    <row r="1428" spans="1:19" ht="15" x14ac:dyDescent="0.25">
      <c r="A1428" s="8" t="s">
        <v>6068</v>
      </c>
      <c r="B1428" s="8" t="s">
        <v>6069</v>
      </c>
      <c r="C1428" s="8" t="s">
        <v>6420</v>
      </c>
      <c r="D1428" s="32" t="s">
        <v>5146</v>
      </c>
      <c r="E1428" s="32" t="s">
        <v>6420</v>
      </c>
      <c r="F1428" s="10">
        <v>229</v>
      </c>
      <c r="G1428" s="8" t="s">
        <v>6421</v>
      </c>
      <c r="K1428" s="8" t="s">
        <v>6421</v>
      </c>
      <c r="L1428" s="8" t="s">
        <v>32</v>
      </c>
      <c r="S1428"/>
    </row>
    <row r="1429" spans="1:19" ht="15" x14ac:dyDescent="0.25">
      <c r="A1429" s="8" t="s">
        <v>6068</v>
      </c>
      <c r="B1429" s="8" t="s">
        <v>6069</v>
      </c>
      <c r="C1429" s="8" t="s">
        <v>6422</v>
      </c>
      <c r="D1429" s="32" t="s">
        <v>5146</v>
      </c>
      <c r="E1429" s="32" t="s">
        <v>6422</v>
      </c>
      <c r="F1429" s="10">
        <v>1031</v>
      </c>
      <c r="G1429" s="8" t="s">
        <v>6423</v>
      </c>
      <c r="K1429" s="8" t="s">
        <v>6423</v>
      </c>
      <c r="L1429" s="8" t="s">
        <v>32</v>
      </c>
      <c r="S1429"/>
    </row>
    <row r="1430" spans="1:19" ht="15" x14ac:dyDescent="0.25">
      <c r="A1430" s="8" t="s">
        <v>6068</v>
      </c>
      <c r="B1430" s="8" t="s">
        <v>6069</v>
      </c>
      <c r="C1430" s="8" t="s">
        <v>6424</v>
      </c>
      <c r="D1430" s="32" t="s">
        <v>5146</v>
      </c>
      <c r="E1430" s="32" t="s">
        <v>6424</v>
      </c>
      <c r="F1430" s="10">
        <v>790</v>
      </c>
      <c r="G1430" s="8" t="s">
        <v>6425</v>
      </c>
      <c r="K1430" s="8" t="s">
        <v>6425</v>
      </c>
      <c r="L1430" s="8" t="s">
        <v>32</v>
      </c>
      <c r="S1430"/>
    </row>
    <row r="1431" spans="1:19" ht="15" x14ac:dyDescent="0.25">
      <c r="A1431" s="8" t="s">
        <v>6068</v>
      </c>
      <c r="B1431" s="8" t="s">
        <v>6069</v>
      </c>
      <c r="C1431" s="8" t="s">
        <v>6426</v>
      </c>
      <c r="D1431" s="32" t="s">
        <v>5146</v>
      </c>
      <c r="E1431" s="32" t="s">
        <v>6426</v>
      </c>
      <c r="F1431" s="10">
        <v>9</v>
      </c>
      <c r="G1431" s="8" t="s">
        <v>6427</v>
      </c>
      <c r="K1431" s="8" t="s">
        <v>6427</v>
      </c>
      <c r="L1431" s="8" t="s">
        <v>32</v>
      </c>
      <c r="S1431"/>
    </row>
    <row r="1432" spans="1:19" ht="15" x14ac:dyDescent="0.25">
      <c r="A1432" s="8" t="s">
        <v>6068</v>
      </c>
      <c r="B1432" s="8" t="s">
        <v>6069</v>
      </c>
      <c r="C1432" s="8" t="s">
        <v>6428</v>
      </c>
      <c r="D1432" s="32" t="s">
        <v>5146</v>
      </c>
      <c r="E1432" s="32" t="s">
        <v>6428</v>
      </c>
      <c r="F1432" s="10">
        <v>74</v>
      </c>
      <c r="G1432" s="8" t="s">
        <v>6429</v>
      </c>
      <c r="K1432" s="8" t="s">
        <v>6429</v>
      </c>
      <c r="L1432" s="8" t="s">
        <v>32</v>
      </c>
      <c r="S1432"/>
    </row>
    <row r="1433" spans="1:19" ht="15" x14ac:dyDescent="0.25">
      <c r="A1433" s="8" t="s">
        <v>6068</v>
      </c>
      <c r="B1433" s="8" t="s">
        <v>6069</v>
      </c>
      <c r="C1433" s="8" t="s">
        <v>6430</v>
      </c>
      <c r="D1433" s="32" t="s">
        <v>5146</v>
      </c>
      <c r="E1433" s="32" t="s">
        <v>6430</v>
      </c>
      <c r="F1433" s="10">
        <v>873</v>
      </c>
      <c r="G1433" s="8" t="s">
        <v>6431</v>
      </c>
      <c r="K1433" s="8" t="s">
        <v>6431</v>
      </c>
      <c r="L1433" s="8" t="s">
        <v>32</v>
      </c>
      <c r="S1433"/>
    </row>
    <row r="1434" spans="1:19" ht="15" x14ac:dyDescent="0.25">
      <c r="A1434" s="8" t="s">
        <v>6068</v>
      </c>
      <c r="B1434" s="8" t="s">
        <v>6069</v>
      </c>
      <c r="C1434" s="8" t="s">
        <v>6432</v>
      </c>
      <c r="D1434" s="32" t="s">
        <v>5146</v>
      </c>
      <c r="E1434" s="32" t="s">
        <v>6432</v>
      </c>
      <c r="F1434" s="10">
        <v>564</v>
      </c>
      <c r="G1434" s="8" t="s">
        <v>6433</v>
      </c>
      <c r="K1434" s="8" t="s">
        <v>6433</v>
      </c>
      <c r="L1434" s="8" t="s">
        <v>32</v>
      </c>
      <c r="S1434"/>
    </row>
    <row r="1435" spans="1:19" ht="15" x14ac:dyDescent="0.25">
      <c r="A1435" s="8" t="s">
        <v>6068</v>
      </c>
      <c r="B1435" s="8" t="s">
        <v>6069</v>
      </c>
      <c r="C1435" s="8" t="s">
        <v>6434</v>
      </c>
      <c r="D1435" s="32" t="s">
        <v>5146</v>
      </c>
      <c r="E1435" s="32" t="s">
        <v>6434</v>
      </c>
      <c r="F1435" s="10">
        <v>8211</v>
      </c>
      <c r="G1435" s="8" t="s">
        <v>6435</v>
      </c>
      <c r="K1435" s="8" t="s">
        <v>6435</v>
      </c>
      <c r="L1435" s="8" t="s">
        <v>32</v>
      </c>
      <c r="S1435"/>
    </row>
    <row r="1436" spans="1:19" ht="15" x14ac:dyDescent="0.25">
      <c r="A1436" s="8" t="s">
        <v>6068</v>
      </c>
      <c r="B1436" s="8" t="s">
        <v>6069</v>
      </c>
      <c r="C1436" s="8" t="s">
        <v>6436</v>
      </c>
      <c r="D1436" s="32" t="s">
        <v>5146</v>
      </c>
      <c r="E1436" s="32" t="s">
        <v>6436</v>
      </c>
      <c r="F1436" s="10">
        <v>74</v>
      </c>
      <c r="G1436" s="8" t="s">
        <v>6437</v>
      </c>
      <c r="K1436" s="8" t="s">
        <v>6437</v>
      </c>
      <c r="L1436" s="8" t="s">
        <v>32</v>
      </c>
      <c r="S1436"/>
    </row>
    <row r="1437" spans="1:19" ht="15" x14ac:dyDescent="0.25">
      <c r="A1437" s="8" t="s">
        <v>6068</v>
      </c>
      <c r="B1437" s="8" t="s">
        <v>6069</v>
      </c>
      <c r="C1437" s="8" t="s">
        <v>6438</v>
      </c>
      <c r="D1437" s="32" t="s">
        <v>5146</v>
      </c>
      <c r="E1437" s="32" t="s">
        <v>6438</v>
      </c>
      <c r="F1437" s="10">
        <v>873</v>
      </c>
      <c r="G1437" s="8" t="s">
        <v>6439</v>
      </c>
      <c r="K1437" s="8" t="s">
        <v>6439</v>
      </c>
      <c r="L1437" s="8" t="s">
        <v>32</v>
      </c>
      <c r="S1437"/>
    </row>
    <row r="1438" spans="1:19" ht="15" x14ac:dyDescent="0.25">
      <c r="A1438" s="8" t="s">
        <v>6068</v>
      </c>
      <c r="B1438" s="8" t="s">
        <v>6069</v>
      </c>
      <c r="C1438" s="8" t="s">
        <v>6440</v>
      </c>
      <c r="D1438" s="32" t="s">
        <v>5146</v>
      </c>
      <c r="E1438" s="32" t="s">
        <v>6440</v>
      </c>
      <c r="F1438" s="10">
        <v>564</v>
      </c>
      <c r="G1438" s="8" t="s">
        <v>6441</v>
      </c>
      <c r="K1438" s="8" t="s">
        <v>6441</v>
      </c>
      <c r="L1438" s="8" t="s">
        <v>32</v>
      </c>
      <c r="S1438"/>
    </row>
    <row r="1439" spans="1:19" ht="15" x14ac:dyDescent="0.25">
      <c r="A1439" s="8" t="s">
        <v>6068</v>
      </c>
      <c r="B1439" s="8" t="s">
        <v>6069</v>
      </c>
      <c r="C1439" s="8" t="s">
        <v>6442</v>
      </c>
      <c r="D1439" s="32" t="s">
        <v>5146</v>
      </c>
      <c r="E1439" s="32" t="s">
        <v>6442</v>
      </c>
      <c r="F1439" s="10">
        <v>8211</v>
      </c>
      <c r="G1439" s="8" t="s">
        <v>6443</v>
      </c>
      <c r="K1439" s="8" t="s">
        <v>6443</v>
      </c>
      <c r="L1439" s="8" t="s">
        <v>32</v>
      </c>
      <c r="S1439"/>
    </row>
    <row r="1440" spans="1:19" ht="15" x14ac:dyDescent="0.25">
      <c r="A1440" s="8" t="s">
        <v>6068</v>
      </c>
      <c r="B1440" s="8" t="s">
        <v>6069</v>
      </c>
      <c r="C1440" s="8" t="s">
        <v>6444</v>
      </c>
      <c r="D1440" s="32" t="s">
        <v>5146</v>
      </c>
      <c r="E1440" s="32" t="s">
        <v>6444</v>
      </c>
      <c r="F1440" s="10">
        <v>74</v>
      </c>
      <c r="G1440" s="8" t="s">
        <v>6445</v>
      </c>
      <c r="K1440" s="8" t="s">
        <v>6445</v>
      </c>
      <c r="L1440" s="8" t="s">
        <v>32</v>
      </c>
      <c r="S1440"/>
    </row>
    <row r="1441" spans="1:19" ht="15" x14ac:dyDescent="0.25">
      <c r="A1441" s="8" t="s">
        <v>4998</v>
      </c>
      <c r="B1441" s="8" t="s">
        <v>4779</v>
      </c>
      <c r="C1441" s="8" t="s">
        <v>6446</v>
      </c>
      <c r="D1441" s="32" t="s">
        <v>6984</v>
      </c>
      <c r="E1441" s="32" t="s">
        <v>6446</v>
      </c>
      <c r="F1441" s="10">
        <v>1</v>
      </c>
      <c r="G1441" s="8" t="s">
        <v>6447</v>
      </c>
      <c r="H1441" s="10">
        <v>18.5</v>
      </c>
      <c r="I1441" s="10">
        <f t="shared" si="24"/>
        <v>18.5</v>
      </c>
      <c r="J1441" s="10">
        <v>0</v>
      </c>
      <c r="K1441" s="8" t="s">
        <v>5087</v>
      </c>
      <c r="S1441"/>
    </row>
    <row r="1442" spans="1:19" ht="15" x14ac:dyDescent="0.25">
      <c r="A1442" s="8" t="s">
        <v>4998</v>
      </c>
      <c r="B1442" s="8" t="s">
        <v>4779</v>
      </c>
      <c r="C1442" s="8" t="s">
        <v>6448</v>
      </c>
      <c r="D1442" s="32" t="s">
        <v>6984</v>
      </c>
      <c r="E1442" s="32" t="s">
        <v>6448</v>
      </c>
      <c r="F1442" s="10">
        <v>1</v>
      </c>
      <c r="G1442" s="8" t="s">
        <v>6447</v>
      </c>
      <c r="H1442" s="10">
        <v>48.32</v>
      </c>
      <c r="I1442" s="10">
        <f t="shared" si="24"/>
        <v>48.32</v>
      </c>
      <c r="J1442" s="10">
        <v>0</v>
      </c>
      <c r="K1442" s="8" t="s">
        <v>5087</v>
      </c>
      <c r="S1442"/>
    </row>
    <row r="1443" spans="1:19" ht="15" x14ac:dyDescent="0.25">
      <c r="A1443" s="8" t="s">
        <v>4998</v>
      </c>
      <c r="B1443" s="8" t="s">
        <v>4779</v>
      </c>
      <c r="C1443" s="8" t="s">
        <v>6449</v>
      </c>
      <c r="D1443" s="32" t="s">
        <v>6984</v>
      </c>
      <c r="E1443" s="32" t="s">
        <v>6449</v>
      </c>
      <c r="F1443" s="10">
        <v>14</v>
      </c>
      <c r="G1443" s="8" t="s">
        <v>5569</v>
      </c>
      <c r="H1443" s="10">
        <v>12.299999999999999</v>
      </c>
      <c r="I1443" s="10">
        <f t="shared" si="24"/>
        <v>172.2</v>
      </c>
      <c r="J1443" s="10">
        <v>0</v>
      </c>
      <c r="K1443" s="8" t="s">
        <v>6450</v>
      </c>
      <c r="S1443"/>
    </row>
    <row r="1444" spans="1:19" ht="15" x14ac:dyDescent="0.25">
      <c r="A1444" s="8" t="s">
        <v>4998</v>
      </c>
      <c r="B1444" s="8" t="s">
        <v>4779</v>
      </c>
      <c r="C1444" s="8" t="s">
        <v>6451</v>
      </c>
      <c r="D1444" s="32" t="s">
        <v>6984</v>
      </c>
      <c r="E1444" s="32" t="s">
        <v>6451</v>
      </c>
      <c r="F1444" s="10">
        <v>16</v>
      </c>
      <c r="G1444" s="8" t="s">
        <v>5569</v>
      </c>
      <c r="H1444" s="10">
        <v>13.1</v>
      </c>
      <c r="I1444" s="10">
        <f t="shared" si="24"/>
        <v>209.6</v>
      </c>
      <c r="J1444" s="10">
        <v>0</v>
      </c>
      <c r="K1444" s="8" t="s">
        <v>6452</v>
      </c>
      <c r="S1444"/>
    </row>
    <row r="1445" spans="1:19" ht="15" x14ac:dyDescent="0.25">
      <c r="A1445" s="8" t="s">
        <v>4998</v>
      </c>
      <c r="B1445" s="8" t="s">
        <v>4779</v>
      </c>
      <c r="C1445" s="8" t="s">
        <v>6453</v>
      </c>
      <c r="D1445" s="32" t="s">
        <v>5146</v>
      </c>
      <c r="E1445" s="32" t="s">
        <v>6453</v>
      </c>
      <c r="F1445" s="10">
        <v>8</v>
      </c>
      <c r="G1445" s="8" t="s">
        <v>6454</v>
      </c>
      <c r="K1445" s="8" t="s">
        <v>6454</v>
      </c>
      <c r="L1445" s="8" t="s">
        <v>32</v>
      </c>
      <c r="S1445"/>
    </row>
    <row r="1446" spans="1:19" ht="15" x14ac:dyDescent="0.25">
      <c r="A1446" s="8" t="s">
        <v>4998</v>
      </c>
      <c r="B1446" s="8" t="s">
        <v>4779</v>
      </c>
      <c r="C1446" s="8" t="s">
        <v>6455</v>
      </c>
      <c r="D1446" s="32" t="s">
        <v>5146</v>
      </c>
      <c r="E1446" s="32" t="s">
        <v>6455</v>
      </c>
      <c r="F1446" s="10">
        <v>8</v>
      </c>
      <c r="G1446" s="8" t="s">
        <v>6456</v>
      </c>
      <c r="K1446" s="8" t="s">
        <v>6456</v>
      </c>
      <c r="L1446" s="8" t="s">
        <v>32</v>
      </c>
      <c r="S1446"/>
    </row>
    <row r="1447" spans="1:19" ht="15" x14ac:dyDescent="0.25">
      <c r="A1447" s="8" t="s">
        <v>4998</v>
      </c>
      <c r="B1447" s="8" t="s">
        <v>4779</v>
      </c>
      <c r="C1447" s="8" t="s">
        <v>6457</v>
      </c>
      <c r="D1447" s="32" t="s">
        <v>6984</v>
      </c>
      <c r="E1447" s="32" t="s">
        <v>6457</v>
      </c>
      <c r="F1447" s="10">
        <v>1</v>
      </c>
      <c r="G1447" s="8" t="s">
        <v>5139</v>
      </c>
      <c r="H1447" s="10">
        <v>156.19999999999999</v>
      </c>
      <c r="I1447" s="10">
        <f t="shared" si="24"/>
        <v>156.19999999999999</v>
      </c>
      <c r="J1447" s="10">
        <v>9.5598573015999992</v>
      </c>
      <c r="K1447" s="8" t="s">
        <v>5102</v>
      </c>
      <c r="S1447"/>
    </row>
    <row r="1448" spans="1:19" ht="15" x14ac:dyDescent="0.25">
      <c r="A1448" s="8" t="s">
        <v>4998</v>
      </c>
      <c r="B1448" s="8" t="s">
        <v>4779</v>
      </c>
      <c r="C1448" s="8" t="s">
        <v>6458</v>
      </c>
      <c r="D1448" s="32" t="s">
        <v>6984</v>
      </c>
      <c r="E1448" s="32" t="s">
        <v>6458</v>
      </c>
      <c r="F1448" s="10">
        <v>1</v>
      </c>
      <c r="G1448" s="8" t="s">
        <v>5139</v>
      </c>
      <c r="H1448" s="10">
        <v>156.19999999999999</v>
      </c>
      <c r="I1448" s="10">
        <f t="shared" si="24"/>
        <v>156.19999999999999</v>
      </c>
      <c r="J1448" s="10">
        <v>9.5598573015999992</v>
      </c>
      <c r="K1448" s="8" t="s">
        <v>5102</v>
      </c>
      <c r="S1448"/>
    </row>
    <row r="1449" spans="1:19" ht="15" x14ac:dyDescent="0.25">
      <c r="A1449" s="8" t="s">
        <v>4998</v>
      </c>
      <c r="B1449" s="8" t="s">
        <v>4779</v>
      </c>
      <c r="C1449" s="8" t="s">
        <v>6459</v>
      </c>
      <c r="D1449" s="32" t="s">
        <v>6984</v>
      </c>
      <c r="E1449" s="32" t="s">
        <v>6459</v>
      </c>
      <c r="F1449" s="10">
        <v>2</v>
      </c>
      <c r="G1449" s="8" t="s">
        <v>5101</v>
      </c>
      <c r="H1449" s="10">
        <v>167.1</v>
      </c>
      <c r="I1449" s="10">
        <f t="shared" si="24"/>
        <v>334.2</v>
      </c>
      <c r="J1449" s="10">
        <v>22.497569307999999</v>
      </c>
      <c r="K1449" s="8" t="s">
        <v>5128</v>
      </c>
      <c r="S1449"/>
    </row>
    <row r="1450" spans="1:19" ht="15" x14ac:dyDescent="0.25">
      <c r="A1450" s="8" t="s">
        <v>4998</v>
      </c>
      <c r="B1450" s="8" t="s">
        <v>4779</v>
      </c>
      <c r="C1450" s="8" t="s">
        <v>6460</v>
      </c>
      <c r="D1450" s="32" t="s">
        <v>6984</v>
      </c>
      <c r="E1450" s="32" t="s">
        <v>6460</v>
      </c>
      <c r="F1450" s="10">
        <v>1</v>
      </c>
      <c r="G1450" s="8" t="s">
        <v>5101</v>
      </c>
      <c r="H1450" s="10">
        <v>40.700000000000003</v>
      </c>
      <c r="I1450" s="10">
        <f t="shared" si="24"/>
        <v>40.700000000000003</v>
      </c>
      <c r="J1450" s="10">
        <v>2.1708506890399999</v>
      </c>
      <c r="K1450" s="8" t="s">
        <v>5128</v>
      </c>
      <c r="S1450"/>
    </row>
    <row r="1451" spans="1:19" ht="15" x14ac:dyDescent="0.25">
      <c r="A1451" s="8" t="s">
        <v>4998</v>
      </c>
      <c r="B1451" s="8" t="s">
        <v>4779</v>
      </c>
      <c r="C1451" s="8" t="s">
        <v>6461</v>
      </c>
      <c r="D1451" s="32" t="s">
        <v>6984</v>
      </c>
      <c r="E1451" s="32" t="s">
        <v>6461</v>
      </c>
      <c r="F1451" s="10">
        <v>1</v>
      </c>
      <c r="G1451" s="8" t="s">
        <v>5101</v>
      </c>
      <c r="H1451" s="10">
        <v>82.7</v>
      </c>
      <c r="I1451" s="10">
        <f t="shared" si="24"/>
        <v>82.7</v>
      </c>
      <c r="J1451" s="10">
        <v>5.1436536180000001</v>
      </c>
      <c r="K1451" s="8" t="s">
        <v>5128</v>
      </c>
      <c r="S1451"/>
    </row>
    <row r="1452" spans="1:19" ht="15" x14ac:dyDescent="0.25">
      <c r="A1452" s="8" t="s">
        <v>4998</v>
      </c>
      <c r="B1452" s="8" t="s">
        <v>4779</v>
      </c>
      <c r="C1452" s="8" t="s">
        <v>6462</v>
      </c>
      <c r="D1452" s="32" t="s">
        <v>6984</v>
      </c>
      <c r="E1452" s="32" t="s">
        <v>6462</v>
      </c>
      <c r="F1452" s="10">
        <v>1</v>
      </c>
      <c r="G1452" s="8" t="s">
        <v>5101</v>
      </c>
      <c r="H1452" s="10">
        <v>98.8</v>
      </c>
      <c r="I1452" s="10">
        <f t="shared" si="24"/>
        <v>98.8</v>
      </c>
      <c r="J1452" s="10">
        <v>6.4499413564000001</v>
      </c>
      <c r="K1452" s="8" t="s">
        <v>5128</v>
      </c>
      <c r="S1452"/>
    </row>
    <row r="1453" spans="1:19" ht="15" x14ac:dyDescent="0.25">
      <c r="A1453" s="8" t="s">
        <v>4998</v>
      </c>
      <c r="B1453" s="8" t="s">
        <v>4779</v>
      </c>
      <c r="C1453" s="8" t="s">
        <v>6463</v>
      </c>
      <c r="D1453" s="32" t="s">
        <v>6984</v>
      </c>
      <c r="E1453" s="32" t="s">
        <v>6463</v>
      </c>
      <c r="F1453" s="10">
        <v>1</v>
      </c>
      <c r="G1453" s="8" t="s">
        <v>5139</v>
      </c>
      <c r="H1453" s="10">
        <v>66.3</v>
      </c>
      <c r="I1453" s="10">
        <f t="shared" si="24"/>
        <v>66.3</v>
      </c>
      <c r="J1453" s="10">
        <v>2.4917716294000001</v>
      </c>
      <c r="K1453" s="8" t="s">
        <v>5128</v>
      </c>
      <c r="S1453"/>
    </row>
    <row r="1454" spans="1:19" ht="15" x14ac:dyDescent="0.25">
      <c r="A1454" s="8" t="s">
        <v>4998</v>
      </c>
      <c r="B1454" s="8" t="s">
        <v>4779</v>
      </c>
      <c r="C1454" s="8" t="s">
        <v>6464</v>
      </c>
      <c r="D1454" s="32" t="s">
        <v>6984</v>
      </c>
      <c r="E1454" s="32" t="s">
        <v>6464</v>
      </c>
      <c r="F1454" s="10">
        <v>1</v>
      </c>
      <c r="G1454" s="8" t="s">
        <v>6465</v>
      </c>
      <c r="H1454" s="10">
        <v>44.7</v>
      </c>
      <c r="I1454" s="10">
        <f t="shared" si="24"/>
        <v>44.7</v>
      </c>
      <c r="J1454" s="10">
        <v>4.2420392331999999</v>
      </c>
      <c r="K1454" s="8" t="s">
        <v>5128</v>
      </c>
      <c r="S1454"/>
    </row>
    <row r="1455" spans="1:19" ht="15" x14ac:dyDescent="0.25">
      <c r="A1455" s="8" t="s">
        <v>4998</v>
      </c>
      <c r="B1455" s="8" t="s">
        <v>4779</v>
      </c>
      <c r="C1455" s="8" t="s">
        <v>6466</v>
      </c>
      <c r="D1455" s="32" t="s">
        <v>6984</v>
      </c>
      <c r="E1455" s="32" t="s">
        <v>6466</v>
      </c>
      <c r="F1455" s="10">
        <v>1</v>
      </c>
      <c r="G1455" s="8" t="s">
        <v>5101</v>
      </c>
      <c r="H1455" s="10">
        <v>152.80000000000001</v>
      </c>
      <c r="I1455" s="10">
        <f t="shared" si="24"/>
        <v>152.80000000000001</v>
      </c>
      <c r="J1455" s="10">
        <v>10.088294532400001</v>
      </c>
      <c r="K1455" s="8" t="s">
        <v>5128</v>
      </c>
      <c r="S1455"/>
    </row>
    <row r="1456" spans="1:19" ht="15" x14ac:dyDescent="0.25">
      <c r="A1456" s="8" t="s">
        <v>4998</v>
      </c>
      <c r="B1456" s="8" t="s">
        <v>4779</v>
      </c>
      <c r="C1456" s="8" t="s">
        <v>6467</v>
      </c>
      <c r="D1456" s="32" t="s">
        <v>6984</v>
      </c>
      <c r="E1456" s="32" t="s">
        <v>6467</v>
      </c>
      <c r="F1456" s="10">
        <v>1</v>
      </c>
      <c r="G1456" s="8" t="s">
        <v>5101</v>
      </c>
      <c r="H1456" s="10">
        <v>49.4</v>
      </c>
      <c r="I1456" s="10">
        <f t="shared" si="24"/>
        <v>49.4</v>
      </c>
      <c r="J1456" s="10">
        <v>2.874919234</v>
      </c>
      <c r="K1456" s="8" t="s">
        <v>5128</v>
      </c>
      <c r="S1456"/>
    </row>
    <row r="1457" spans="1:19" ht="15" x14ac:dyDescent="0.25">
      <c r="A1457" s="8" t="s">
        <v>4998</v>
      </c>
      <c r="B1457" s="8" t="s">
        <v>4779</v>
      </c>
      <c r="C1457" s="8" t="s">
        <v>6468</v>
      </c>
      <c r="D1457" s="32" t="s">
        <v>6984</v>
      </c>
      <c r="E1457" s="32" t="s">
        <v>6468</v>
      </c>
      <c r="F1457" s="10">
        <v>1</v>
      </c>
      <c r="G1457" s="8" t="s">
        <v>5101</v>
      </c>
      <c r="H1457" s="10">
        <v>38.700000000000003</v>
      </c>
      <c r="I1457" s="10">
        <f t="shared" si="24"/>
        <v>38.700000000000003</v>
      </c>
      <c r="J1457" s="10">
        <v>2.0087781412000001</v>
      </c>
      <c r="K1457" s="8" t="s">
        <v>5128</v>
      </c>
      <c r="S1457"/>
    </row>
    <row r="1458" spans="1:19" ht="15" x14ac:dyDescent="0.25">
      <c r="A1458" s="8" t="s">
        <v>4998</v>
      </c>
      <c r="B1458" s="8" t="s">
        <v>4779</v>
      </c>
      <c r="C1458" s="8" t="s">
        <v>6469</v>
      </c>
      <c r="D1458" s="32" t="s">
        <v>6984</v>
      </c>
      <c r="E1458" s="32" t="s">
        <v>6469</v>
      </c>
      <c r="F1458" s="10">
        <v>1</v>
      </c>
      <c r="G1458" s="8" t="s">
        <v>5101</v>
      </c>
      <c r="H1458" s="10">
        <v>120.7</v>
      </c>
      <c r="I1458" s="10">
        <f t="shared" si="24"/>
        <v>120.7</v>
      </c>
      <c r="J1458" s="10">
        <v>7.8523429387999997</v>
      </c>
      <c r="K1458" s="8" t="s">
        <v>5128</v>
      </c>
      <c r="S1458"/>
    </row>
    <row r="1459" spans="1:19" ht="15" x14ac:dyDescent="0.25">
      <c r="A1459" s="8" t="s">
        <v>4998</v>
      </c>
      <c r="B1459" s="8" t="s">
        <v>4779</v>
      </c>
      <c r="C1459" s="8" t="s">
        <v>6470</v>
      </c>
      <c r="D1459" s="32" t="s">
        <v>6984</v>
      </c>
      <c r="E1459" s="32" t="s">
        <v>6470</v>
      </c>
      <c r="F1459" s="10">
        <v>1</v>
      </c>
      <c r="G1459" s="8" t="s">
        <v>5101</v>
      </c>
      <c r="H1459" s="10">
        <v>50.7</v>
      </c>
      <c r="I1459" s="10">
        <f t="shared" si="24"/>
        <v>50.7</v>
      </c>
      <c r="J1459" s="10">
        <v>2.9209563531999998</v>
      </c>
      <c r="K1459" s="8" t="s">
        <v>5128</v>
      </c>
      <c r="S1459"/>
    </row>
    <row r="1460" spans="1:19" ht="15" x14ac:dyDescent="0.25">
      <c r="A1460" s="8" t="s">
        <v>4998</v>
      </c>
      <c r="B1460" s="8" t="s">
        <v>4779</v>
      </c>
      <c r="C1460" s="8" t="s">
        <v>6471</v>
      </c>
      <c r="D1460" s="32" t="s">
        <v>6984</v>
      </c>
      <c r="E1460" s="32" t="s">
        <v>6471</v>
      </c>
      <c r="F1460" s="10">
        <v>1</v>
      </c>
      <c r="G1460" s="8" t="s">
        <v>5101</v>
      </c>
      <c r="H1460" s="10">
        <v>118</v>
      </c>
      <c r="I1460" s="10">
        <f t="shared" si="24"/>
        <v>118</v>
      </c>
      <c r="J1460" s="10">
        <v>7.6410195812000001</v>
      </c>
      <c r="K1460" s="8" t="s">
        <v>5128</v>
      </c>
      <c r="S1460"/>
    </row>
    <row r="1461" spans="1:19" ht="15" x14ac:dyDescent="0.25">
      <c r="A1461" s="8" t="s">
        <v>4998</v>
      </c>
      <c r="B1461" s="8" t="s">
        <v>4779</v>
      </c>
      <c r="C1461" s="8" t="s">
        <v>6472</v>
      </c>
      <c r="D1461" s="32" t="s">
        <v>6984</v>
      </c>
      <c r="E1461" s="32" t="s">
        <v>6472</v>
      </c>
      <c r="F1461" s="10">
        <v>1</v>
      </c>
      <c r="G1461" s="8" t="s">
        <v>5101</v>
      </c>
      <c r="H1461" s="10">
        <v>152.80000000000001</v>
      </c>
      <c r="I1461" s="10">
        <f t="shared" si="24"/>
        <v>152.80000000000001</v>
      </c>
      <c r="J1461" s="10">
        <v>10.0897672356</v>
      </c>
      <c r="K1461" s="8" t="s">
        <v>5128</v>
      </c>
      <c r="S1461"/>
    </row>
    <row r="1462" spans="1:19" ht="15" x14ac:dyDescent="0.25">
      <c r="A1462" s="8" t="s">
        <v>4998</v>
      </c>
      <c r="B1462" s="8" t="s">
        <v>4779</v>
      </c>
      <c r="C1462" s="8" t="s">
        <v>6473</v>
      </c>
      <c r="D1462" s="32" t="s">
        <v>6984</v>
      </c>
      <c r="E1462" s="32" t="s">
        <v>6473</v>
      </c>
      <c r="F1462" s="10">
        <v>1</v>
      </c>
      <c r="G1462" s="8" t="s">
        <v>5101</v>
      </c>
      <c r="H1462" s="10">
        <v>141</v>
      </c>
      <c r="I1462" s="10">
        <f t="shared" si="24"/>
        <v>141</v>
      </c>
      <c r="J1462" s="10">
        <v>8.5260495416000008</v>
      </c>
      <c r="K1462" s="8" t="s">
        <v>5102</v>
      </c>
      <c r="S1462"/>
    </row>
    <row r="1463" spans="1:19" ht="15" x14ac:dyDescent="0.25">
      <c r="A1463" s="8" t="s">
        <v>4998</v>
      </c>
      <c r="B1463" s="8" t="s">
        <v>4779</v>
      </c>
      <c r="C1463" s="8" t="s">
        <v>6474</v>
      </c>
      <c r="D1463" s="32" t="s">
        <v>6984</v>
      </c>
      <c r="E1463" s="32" t="s">
        <v>6474</v>
      </c>
      <c r="F1463" s="10">
        <v>1</v>
      </c>
      <c r="G1463" s="8" t="s">
        <v>5101</v>
      </c>
      <c r="H1463" s="10">
        <v>141</v>
      </c>
      <c r="I1463" s="10">
        <f t="shared" si="24"/>
        <v>141</v>
      </c>
      <c r="J1463" s="10">
        <v>8.5260495416000008</v>
      </c>
      <c r="K1463" s="8" t="s">
        <v>5102</v>
      </c>
      <c r="S1463"/>
    </row>
    <row r="1464" spans="1:19" ht="15" x14ac:dyDescent="0.25">
      <c r="A1464" s="8" t="s">
        <v>4998</v>
      </c>
      <c r="B1464" s="8" t="s">
        <v>4779</v>
      </c>
      <c r="C1464" s="8" t="s">
        <v>6475</v>
      </c>
      <c r="D1464" s="32" t="s">
        <v>6984</v>
      </c>
      <c r="E1464" s="32" t="s">
        <v>6475</v>
      </c>
      <c r="F1464" s="10">
        <v>1</v>
      </c>
      <c r="G1464" s="8" t="s">
        <v>5095</v>
      </c>
      <c r="H1464" s="10">
        <v>202.6</v>
      </c>
      <c r="I1464" s="10">
        <f t="shared" si="24"/>
        <v>202.6</v>
      </c>
      <c r="J1464" s="10">
        <v>5.5986946959999999</v>
      </c>
      <c r="K1464" s="8" t="s">
        <v>5536</v>
      </c>
      <c r="S1464"/>
    </row>
    <row r="1465" spans="1:19" ht="15" x14ac:dyDescent="0.25">
      <c r="A1465" s="8" t="s">
        <v>4998</v>
      </c>
      <c r="B1465" s="8" t="s">
        <v>4779</v>
      </c>
      <c r="C1465" s="8" t="s">
        <v>6476</v>
      </c>
      <c r="D1465" s="32" t="s">
        <v>6984</v>
      </c>
      <c r="E1465" s="32" t="s">
        <v>6476</v>
      </c>
      <c r="F1465" s="10">
        <v>2</v>
      </c>
      <c r="G1465" s="8" t="s">
        <v>5095</v>
      </c>
      <c r="H1465" s="10">
        <v>23</v>
      </c>
      <c r="I1465" s="10">
        <f t="shared" si="24"/>
        <v>46</v>
      </c>
      <c r="J1465" s="10">
        <v>1.2611600000000001</v>
      </c>
      <c r="K1465" s="8" t="s">
        <v>5536</v>
      </c>
      <c r="S1465"/>
    </row>
    <row r="1466" spans="1:19" ht="15" x14ac:dyDescent="0.25">
      <c r="A1466" s="8" t="s">
        <v>4998</v>
      </c>
      <c r="B1466" s="8" t="s">
        <v>4779</v>
      </c>
      <c r="C1466" s="8" t="s">
        <v>6477</v>
      </c>
      <c r="D1466" s="32" t="s">
        <v>6984</v>
      </c>
      <c r="E1466" s="32" t="s">
        <v>6477</v>
      </c>
      <c r="F1466" s="10">
        <v>1</v>
      </c>
      <c r="G1466" s="8" t="s">
        <v>5095</v>
      </c>
      <c r="H1466" s="10">
        <v>205.6</v>
      </c>
      <c r="I1466" s="10">
        <f t="shared" si="24"/>
        <v>205.6</v>
      </c>
      <c r="J1466" s="10">
        <v>5.728417576</v>
      </c>
      <c r="K1466" s="8" t="s">
        <v>5536</v>
      </c>
      <c r="S1466"/>
    </row>
    <row r="1467" spans="1:19" ht="15" x14ac:dyDescent="0.25">
      <c r="A1467" s="8" t="s">
        <v>4998</v>
      </c>
      <c r="B1467" s="8" t="s">
        <v>4779</v>
      </c>
      <c r="C1467" s="8" t="s">
        <v>6478</v>
      </c>
      <c r="D1467" s="32" t="s">
        <v>6984</v>
      </c>
      <c r="E1467" s="32" t="s">
        <v>6478</v>
      </c>
      <c r="F1467" s="10">
        <v>1</v>
      </c>
      <c r="G1467" s="8" t="s">
        <v>5095</v>
      </c>
      <c r="H1467" s="10">
        <v>134.6</v>
      </c>
      <c r="I1467" s="10">
        <f t="shared" si="24"/>
        <v>134.6</v>
      </c>
      <c r="J1467" s="10">
        <v>3.7332777635199998</v>
      </c>
      <c r="K1467" s="8" t="s">
        <v>5536</v>
      </c>
      <c r="S1467"/>
    </row>
    <row r="1468" spans="1:19" ht="15" x14ac:dyDescent="0.25">
      <c r="A1468" s="8" t="s">
        <v>4998</v>
      </c>
      <c r="B1468" s="8" t="s">
        <v>4779</v>
      </c>
      <c r="C1468" s="8" t="s">
        <v>6479</v>
      </c>
      <c r="D1468" s="32" t="s">
        <v>6984</v>
      </c>
      <c r="E1468" s="32" t="s">
        <v>6479</v>
      </c>
      <c r="F1468" s="10">
        <v>1</v>
      </c>
      <c r="G1468" s="8" t="s">
        <v>5095</v>
      </c>
      <c r="H1468" s="10">
        <v>134.6</v>
      </c>
      <c r="I1468" s="10">
        <f t="shared" si="24"/>
        <v>134.6</v>
      </c>
      <c r="J1468" s="10">
        <v>3.7332777635199998</v>
      </c>
      <c r="K1468" s="8" t="s">
        <v>5536</v>
      </c>
      <c r="S1468"/>
    </row>
    <row r="1469" spans="1:19" ht="15" x14ac:dyDescent="0.25">
      <c r="A1469" s="8" t="s">
        <v>4998</v>
      </c>
      <c r="B1469" s="8" t="s">
        <v>4779</v>
      </c>
      <c r="C1469" s="8" t="s">
        <v>6480</v>
      </c>
      <c r="D1469" s="32" t="s">
        <v>6984</v>
      </c>
      <c r="E1469" s="32" t="s">
        <v>6480</v>
      </c>
      <c r="F1469" s="10">
        <v>4</v>
      </c>
      <c r="G1469" s="8" t="s">
        <v>5642</v>
      </c>
      <c r="H1469" s="10">
        <v>4.5750000000000002</v>
      </c>
      <c r="I1469" s="10">
        <f t="shared" si="24"/>
        <v>18.3</v>
      </c>
      <c r="J1469" s="10">
        <v>1.0338816</v>
      </c>
      <c r="K1469" s="8" t="s">
        <v>5248</v>
      </c>
      <c r="S1469"/>
    </row>
    <row r="1470" spans="1:19" ht="15" x14ac:dyDescent="0.25">
      <c r="A1470" s="8" t="s">
        <v>4998</v>
      </c>
      <c r="B1470" s="8" t="s">
        <v>4779</v>
      </c>
      <c r="C1470" s="8" t="s">
        <v>6481</v>
      </c>
      <c r="D1470" s="32" t="s">
        <v>6984</v>
      </c>
      <c r="E1470" s="32" t="s">
        <v>6481</v>
      </c>
      <c r="F1470" s="10">
        <v>1</v>
      </c>
      <c r="G1470" s="8" t="s">
        <v>5642</v>
      </c>
      <c r="H1470" s="10">
        <v>6.7</v>
      </c>
      <c r="I1470" s="10">
        <f t="shared" si="24"/>
        <v>6.7</v>
      </c>
      <c r="J1470" s="10">
        <v>0.28270200000000001</v>
      </c>
      <c r="K1470" s="8" t="s">
        <v>5335</v>
      </c>
      <c r="S1470"/>
    </row>
    <row r="1471" spans="1:19" ht="15" x14ac:dyDescent="0.25">
      <c r="A1471" s="8" t="s">
        <v>4998</v>
      </c>
      <c r="B1471" s="8" t="s">
        <v>4779</v>
      </c>
      <c r="C1471" s="8" t="s">
        <v>6482</v>
      </c>
      <c r="D1471" s="32" t="s">
        <v>6984</v>
      </c>
      <c r="E1471" s="32" t="s">
        <v>6482</v>
      </c>
      <c r="F1471" s="10">
        <v>1</v>
      </c>
      <c r="G1471" s="8" t="s">
        <v>5642</v>
      </c>
      <c r="H1471" s="10">
        <v>6.7</v>
      </c>
      <c r="I1471" s="10">
        <f t="shared" si="24"/>
        <v>6.7</v>
      </c>
      <c r="J1471" s="10">
        <v>0.28244799999999998</v>
      </c>
      <c r="K1471" s="8" t="s">
        <v>5335</v>
      </c>
      <c r="S1471"/>
    </row>
    <row r="1472" spans="1:19" ht="15" x14ac:dyDescent="0.25">
      <c r="A1472" s="8" t="s">
        <v>4998</v>
      </c>
      <c r="B1472" s="8" t="s">
        <v>4779</v>
      </c>
      <c r="C1472" s="8" t="s">
        <v>6483</v>
      </c>
      <c r="D1472" s="32" t="s">
        <v>6984</v>
      </c>
      <c r="E1472" s="32" t="s">
        <v>6483</v>
      </c>
      <c r="F1472" s="10">
        <v>5</v>
      </c>
      <c r="G1472" s="8" t="s">
        <v>5642</v>
      </c>
      <c r="H1472" s="10">
        <v>4.7799999999999994</v>
      </c>
      <c r="I1472" s="10">
        <f t="shared" si="24"/>
        <v>23.9</v>
      </c>
      <c r="J1472" s="10">
        <v>1.349248</v>
      </c>
      <c r="K1472" s="8" t="s">
        <v>5248</v>
      </c>
      <c r="S1472"/>
    </row>
    <row r="1473" spans="1:19" ht="15" x14ac:dyDescent="0.25">
      <c r="A1473" s="8" t="s">
        <v>4963</v>
      </c>
      <c r="B1473" s="8" t="s">
        <v>4869</v>
      </c>
      <c r="C1473" s="8" t="s">
        <v>6484</v>
      </c>
      <c r="D1473" s="32" t="s">
        <v>5146</v>
      </c>
      <c r="E1473" s="32" t="s">
        <v>6484</v>
      </c>
      <c r="F1473" s="10">
        <v>16</v>
      </c>
      <c r="G1473" s="8" t="s">
        <v>6456</v>
      </c>
      <c r="J1473" s="10">
        <v>0</v>
      </c>
      <c r="K1473" s="8" t="s">
        <v>6456</v>
      </c>
      <c r="L1473" s="8" t="s">
        <v>32</v>
      </c>
      <c r="S1473"/>
    </row>
    <row r="1474" spans="1:19" ht="15" x14ac:dyDescent="0.25">
      <c r="A1474" s="8" t="s">
        <v>4932</v>
      </c>
      <c r="B1474" s="8" t="s">
        <v>14</v>
      </c>
      <c r="C1474" s="8" t="s">
        <v>6485</v>
      </c>
      <c r="D1474" s="32" t="s">
        <v>5146</v>
      </c>
      <c r="E1474" s="32" t="s">
        <v>6485</v>
      </c>
      <c r="F1474" s="10">
        <v>32</v>
      </c>
      <c r="G1474" s="8" t="s">
        <v>6456</v>
      </c>
      <c r="J1474" s="10">
        <v>0</v>
      </c>
      <c r="K1474" s="8" t="s">
        <v>6456</v>
      </c>
      <c r="L1474" s="8" t="s">
        <v>32</v>
      </c>
      <c r="S1474"/>
    </row>
    <row r="1475" spans="1:19" ht="15" x14ac:dyDescent="0.25">
      <c r="A1475" s="8" t="s">
        <v>5069</v>
      </c>
      <c r="B1475" s="8" t="s">
        <v>5070</v>
      </c>
      <c r="C1475" s="8" t="s">
        <v>6486</v>
      </c>
      <c r="D1475" s="32" t="s">
        <v>5146</v>
      </c>
      <c r="E1475" s="32" t="s">
        <v>6486</v>
      </c>
      <c r="F1475" s="10">
        <v>144</v>
      </c>
      <c r="G1475" s="8" t="s">
        <v>6456</v>
      </c>
      <c r="J1475" s="10">
        <v>0</v>
      </c>
      <c r="K1475" s="8" t="s">
        <v>6456</v>
      </c>
      <c r="L1475" s="8" t="s">
        <v>32</v>
      </c>
      <c r="S1475"/>
    </row>
    <row r="1476" spans="1:19" ht="15" x14ac:dyDescent="0.25">
      <c r="A1476" s="8" t="s">
        <v>5073</v>
      </c>
      <c r="B1476" s="8" t="s">
        <v>5070</v>
      </c>
      <c r="C1476" s="8" t="s">
        <v>6487</v>
      </c>
      <c r="D1476" s="32" t="s">
        <v>5146</v>
      </c>
      <c r="E1476" s="32" t="s">
        <v>6487</v>
      </c>
      <c r="F1476" s="10">
        <v>124</v>
      </c>
      <c r="G1476" s="8" t="s">
        <v>6456</v>
      </c>
      <c r="J1476" s="10">
        <v>0</v>
      </c>
      <c r="K1476" s="8" t="s">
        <v>6456</v>
      </c>
      <c r="L1476" s="8" t="s">
        <v>32</v>
      </c>
      <c r="S1476"/>
    </row>
    <row r="1477" spans="1:19" ht="15" x14ac:dyDescent="0.25">
      <c r="A1477" s="8" t="s">
        <v>5622</v>
      </c>
      <c r="B1477" s="8" t="s">
        <v>4847</v>
      </c>
      <c r="C1477" s="8" t="s">
        <v>6488</v>
      </c>
      <c r="D1477" s="32" t="s">
        <v>5146</v>
      </c>
      <c r="E1477" s="32" t="s">
        <v>6488</v>
      </c>
      <c r="F1477" s="10">
        <v>344</v>
      </c>
      <c r="G1477" s="8" t="s">
        <v>6456</v>
      </c>
      <c r="J1477" s="10">
        <v>0</v>
      </c>
      <c r="K1477" s="8" t="s">
        <v>6456</v>
      </c>
      <c r="L1477" s="8" t="s">
        <v>32</v>
      </c>
      <c r="S1477"/>
    </row>
    <row r="1478" spans="1:19" ht="15" x14ac:dyDescent="0.25">
      <c r="A1478" s="8" t="s">
        <v>5018</v>
      </c>
      <c r="B1478" s="8" t="s">
        <v>4819</v>
      </c>
      <c r="C1478" s="8" t="s">
        <v>6489</v>
      </c>
      <c r="D1478" s="32" t="s">
        <v>6984</v>
      </c>
      <c r="E1478" s="32" t="s">
        <v>6489</v>
      </c>
      <c r="F1478" s="10">
        <v>1</v>
      </c>
      <c r="G1478" s="8" t="s">
        <v>6266</v>
      </c>
      <c r="H1478" s="10">
        <v>42.7</v>
      </c>
      <c r="I1478" s="10">
        <f t="shared" ref="I1478:I1540" si="25">F1478*H1478</f>
        <v>42.7</v>
      </c>
      <c r="J1478" s="10">
        <v>0</v>
      </c>
      <c r="K1478" s="8" t="s">
        <v>5087</v>
      </c>
      <c r="S1478"/>
    </row>
    <row r="1479" spans="1:19" ht="15" x14ac:dyDescent="0.25">
      <c r="A1479" s="8" t="s">
        <v>5018</v>
      </c>
      <c r="B1479" s="8" t="s">
        <v>4819</v>
      </c>
      <c r="C1479" s="8" t="s">
        <v>6490</v>
      </c>
      <c r="D1479" s="32" t="s">
        <v>6984</v>
      </c>
      <c r="E1479" s="32" t="s">
        <v>6490</v>
      </c>
      <c r="F1479" s="10">
        <v>1</v>
      </c>
      <c r="G1479" s="8" t="s">
        <v>6266</v>
      </c>
      <c r="H1479" s="10">
        <v>29.8</v>
      </c>
      <c r="I1479" s="10">
        <f t="shared" si="25"/>
        <v>29.8</v>
      </c>
      <c r="J1479" s="10">
        <v>0</v>
      </c>
      <c r="K1479" s="8" t="s">
        <v>5087</v>
      </c>
      <c r="S1479"/>
    </row>
    <row r="1480" spans="1:19" ht="15" x14ac:dyDescent="0.25">
      <c r="A1480" s="8" t="s">
        <v>5018</v>
      </c>
      <c r="B1480" s="8" t="s">
        <v>4819</v>
      </c>
      <c r="C1480" s="8" t="s">
        <v>6491</v>
      </c>
      <c r="D1480" s="32" t="s">
        <v>6984</v>
      </c>
      <c r="E1480" s="32" t="s">
        <v>6491</v>
      </c>
      <c r="F1480" s="10">
        <v>1</v>
      </c>
      <c r="G1480" s="8" t="s">
        <v>6266</v>
      </c>
      <c r="H1480" s="10">
        <v>22.6</v>
      </c>
      <c r="I1480" s="10">
        <f t="shared" si="25"/>
        <v>22.6</v>
      </c>
      <c r="J1480" s="10">
        <v>0</v>
      </c>
      <c r="K1480" s="8" t="s">
        <v>5087</v>
      </c>
      <c r="S1480"/>
    </row>
    <row r="1481" spans="1:19" ht="15" x14ac:dyDescent="0.25">
      <c r="A1481" s="8" t="s">
        <v>5018</v>
      </c>
      <c r="B1481" s="8" t="s">
        <v>4819</v>
      </c>
      <c r="C1481" s="8" t="s">
        <v>6492</v>
      </c>
      <c r="D1481" s="32" t="s">
        <v>6984</v>
      </c>
      <c r="E1481" s="32" t="s">
        <v>6492</v>
      </c>
      <c r="F1481" s="10">
        <v>1</v>
      </c>
      <c r="G1481" s="8" t="s">
        <v>6266</v>
      </c>
      <c r="H1481" s="10">
        <v>35.200000000000003</v>
      </c>
      <c r="I1481" s="10">
        <f t="shared" si="25"/>
        <v>35.200000000000003</v>
      </c>
      <c r="J1481" s="10">
        <v>0</v>
      </c>
      <c r="K1481" s="8" t="s">
        <v>5087</v>
      </c>
      <c r="S1481"/>
    </row>
    <row r="1482" spans="1:19" ht="15" x14ac:dyDescent="0.25">
      <c r="A1482" s="8" t="s">
        <v>5018</v>
      </c>
      <c r="B1482" s="8" t="s">
        <v>4819</v>
      </c>
      <c r="C1482" s="8" t="s">
        <v>6493</v>
      </c>
      <c r="D1482" s="32" t="s">
        <v>6984</v>
      </c>
      <c r="E1482" s="32" t="s">
        <v>6493</v>
      </c>
      <c r="F1482" s="10">
        <v>1</v>
      </c>
      <c r="G1482" s="8" t="s">
        <v>6266</v>
      </c>
      <c r="H1482" s="10">
        <v>25.5</v>
      </c>
      <c r="I1482" s="10">
        <f t="shared" si="25"/>
        <v>25.5</v>
      </c>
      <c r="J1482" s="10">
        <v>0</v>
      </c>
      <c r="K1482" s="8" t="s">
        <v>5087</v>
      </c>
      <c r="S1482"/>
    </row>
    <row r="1483" spans="1:19" ht="15" x14ac:dyDescent="0.25">
      <c r="A1483" s="8" t="s">
        <v>5018</v>
      </c>
      <c r="B1483" s="8" t="s">
        <v>4819</v>
      </c>
      <c r="C1483" s="8" t="s">
        <v>6494</v>
      </c>
      <c r="D1483" s="32" t="s">
        <v>6984</v>
      </c>
      <c r="E1483" s="32" t="s">
        <v>6494</v>
      </c>
      <c r="F1483" s="10">
        <v>1</v>
      </c>
      <c r="G1483" s="8" t="s">
        <v>6266</v>
      </c>
      <c r="H1483" s="10">
        <v>46.1</v>
      </c>
      <c r="I1483" s="10">
        <f t="shared" si="25"/>
        <v>46.1</v>
      </c>
      <c r="J1483" s="10">
        <v>0</v>
      </c>
      <c r="K1483" s="8" t="s">
        <v>5087</v>
      </c>
      <c r="S1483"/>
    </row>
    <row r="1484" spans="1:19" ht="15" x14ac:dyDescent="0.25">
      <c r="A1484" s="8" t="s">
        <v>5018</v>
      </c>
      <c r="B1484" s="8" t="s">
        <v>4819</v>
      </c>
      <c r="C1484" s="8" t="s">
        <v>6495</v>
      </c>
      <c r="D1484" s="32" t="s">
        <v>6984</v>
      </c>
      <c r="E1484" s="32" t="s">
        <v>6495</v>
      </c>
      <c r="F1484" s="10">
        <v>1</v>
      </c>
      <c r="G1484" s="8" t="s">
        <v>6266</v>
      </c>
      <c r="H1484" s="10">
        <v>19.600000000000001</v>
      </c>
      <c r="I1484" s="10">
        <f t="shared" si="25"/>
        <v>19.600000000000001</v>
      </c>
      <c r="J1484" s="10">
        <v>0</v>
      </c>
      <c r="K1484" s="8" t="s">
        <v>5087</v>
      </c>
      <c r="S1484"/>
    </row>
    <row r="1485" spans="1:19" ht="15" x14ac:dyDescent="0.25">
      <c r="A1485" s="8" t="s">
        <v>5018</v>
      </c>
      <c r="B1485" s="8" t="s">
        <v>4819</v>
      </c>
      <c r="C1485" s="8" t="s">
        <v>6496</v>
      </c>
      <c r="D1485" s="32" t="s">
        <v>6984</v>
      </c>
      <c r="E1485" s="32" t="s">
        <v>6496</v>
      </c>
      <c r="F1485" s="10">
        <v>1</v>
      </c>
      <c r="G1485" s="8" t="s">
        <v>6266</v>
      </c>
      <c r="H1485" s="10">
        <v>29.1</v>
      </c>
      <c r="I1485" s="10">
        <f t="shared" si="25"/>
        <v>29.1</v>
      </c>
      <c r="J1485" s="10">
        <v>0</v>
      </c>
      <c r="K1485" s="8" t="s">
        <v>5087</v>
      </c>
      <c r="S1485"/>
    </row>
    <row r="1486" spans="1:19" ht="15" x14ac:dyDescent="0.25">
      <c r="A1486" s="8" t="s">
        <v>5018</v>
      </c>
      <c r="B1486" s="8" t="s">
        <v>4819</v>
      </c>
      <c r="C1486" s="8" t="s">
        <v>6497</v>
      </c>
      <c r="D1486" s="32" t="s">
        <v>6984</v>
      </c>
      <c r="E1486" s="32" t="s">
        <v>6497</v>
      </c>
      <c r="F1486" s="10">
        <v>1</v>
      </c>
      <c r="G1486" s="8" t="s">
        <v>6266</v>
      </c>
      <c r="H1486" s="10">
        <v>44.8</v>
      </c>
      <c r="I1486" s="10">
        <f t="shared" si="25"/>
        <v>44.8</v>
      </c>
      <c r="J1486" s="10">
        <v>0</v>
      </c>
      <c r="K1486" s="8" t="s">
        <v>5087</v>
      </c>
      <c r="S1486"/>
    </row>
    <row r="1487" spans="1:19" ht="15" x14ac:dyDescent="0.25">
      <c r="A1487" s="8" t="s">
        <v>5018</v>
      </c>
      <c r="B1487" s="8" t="s">
        <v>4819</v>
      </c>
      <c r="C1487" s="8" t="s">
        <v>6498</v>
      </c>
      <c r="D1487" s="32" t="s">
        <v>6984</v>
      </c>
      <c r="E1487" s="32" t="s">
        <v>6498</v>
      </c>
      <c r="F1487" s="10">
        <v>1</v>
      </c>
      <c r="G1487" s="8" t="s">
        <v>6266</v>
      </c>
      <c r="H1487" s="10">
        <v>50.1</v>
      </c>
      <c r="I1487" s="10">
        <f t="shared" si="25"/>
        <v>50.1</v>
      </c>
      <c r="J1487" s="10">
        <v>0</v>
      </c>
      <c r="K1487" s="8" t="s">
        <v>5087</v>
      </c>
      <c r="S1487"/>
    </row>
    <row r="1488" spans="1:19" ht="15" x14ac:dyDescent="0.25">
      <c r="A1488" s="8" t="s">
        <v>5018</v>
      </c>
      <c r="B1488" s="8" t="s">
        <v>4819</v>
      </c>
      <c r="C1488" s="8" t="s">
        <v>6499</v>
      </c>
      <c r="D1488" s="32" t="s">
        <v>6984</v>
      </c>
      <c r="E1488" s="32" t="s">
        <v>6499</v>
      </c>
      <c r="F1488" s="10">
        <v>50</v>
      </c>
      <c r="G1488" s="8" t="s">
        <v>5569</v>
      </c>
      <c r="H1488" s="10">
        <v>13.1</v>
      </c>
      <c r="I1488" s="10">
        <f t="shared" si="25"/>
        <v>655</v>
      </c>
      <c r="J1488" s="10">
        <v>0</v>
      </c>
      <c r="K1488" s="8" t="s">
        <v>6452</v>
      </c>
      <c r="S1488"/>
    </row>
    <row r="1489" spans="1:19" ht="15" x14ac:dyDescent="0.25">
      <c r="A1489" s="8" t="s">
        <v>5622</v>
      </c>
      <c r="B1489" s="8" t="s">
        <v>4847</v>
      </c>
      <c r="C1489" s="8" t="s">
        <v>6500</v>
      </c>
      <c r="D1489" s="32" t="s">
        <v>6984</v>
      </c>
      <c r="E1489" s="32" t="s">
        <v>6500</v>
      </c>
      <c r="F1489" s="10">
        <v>20</v>
      </c>
      <c r="G1489" s="8" t="s">
        <v>5569</v>
      </c>
      <c r="H1489" s="10">
        <v>13.1</v>
      </c>
      <c r="I1489" s="10">
        <f t="shared" si="25"/>
        <v>262</v>
      </c>
      <c r="J1489" s="10">
        <v>0</v>
      </c>
      <c r="K1489" s="8" t="s">
        <v>6452</v>
      </c>
      <c r="S1489"/>
    </row>
    <row r="1490" spans="1:19" ht="15" x14ac:dyDescent="0.25">
      <c r="A1490" s="8" t="s">
        <v>5622</v>
      </c>
      <c r="B1490" s="8" t="s">
        <v>4847</v>
      </c>
      <c r="C1490" s="8" t="s">
        <v>6501</v>
      </c>
      <c r="D1490" s="32" t="s">
        <v>6984</v>
      </c>
      <c r="E1490" s="32" t="s">
        <v>6501</v>
      </c>
      <c r="F1490" s="10">
        <v>1</v>
      </c>
      <c r="G1490" s="8" t="s">
        <v>6266</v>
      </c>
      <c r="H1490" s="10">
        <v>21.9</v>
      </c>
      <c r="I1490" s="10">
        <f t="shared" si="25"/>
        <v>21.9</v>
      </c>
      <c r="J1490" s="10">
        <v>0</v>
      </c>
      <c r="K1490" s="8" t="s">
        <v>5087</v>
      </c>
      <c r="S1490"/>
    </row>
    <row r="1491" spans="1:19" ht="15" x14ac:dyDescent="0.25">
      <c r="A1491" s="8" t="s">
        <v>5622</v>
      </c>
      <c r="B1491" s="8" t="s">
        <v>4847</v>
      </c>
      <c r="C1491" s="8" t="s">
        <v>6502</v>
      </c>
      <c r="D1491" s="32" t="s">
        <v>6984</v>
      </c>
      <c r="E1491" s="32" t="s">
        <v>6502</v>
      </c>
      <c r="F1491" s="10">
        <v>1</v>
      </c>
      <c r="G1491" s="8" t="s">
        <v>6266</v>
      </c>
      <c r="H1491" s="10">
        <v>17.899999999999999</v>
      </c>
      <c r="I1491" s="10">
        <f t="shared" si="25"/>
        <v>17.899999999999999</v>
      </c>
      <c r="J1491" s="10">
        <v>0</v>
      </c>
      <c r="K1491" s="8" t="s">
        <v>5087</v>
      </c>
      <c r="S1491"/>
    </row>
    <row r="1492" spans="1:19" ht="15" x14ac:dyDescent="0.25">
      <c r="A1492" s="8" t="s">
        <v>5622</v>
      </c>
      <c r="B1492" s="8" t="s">
        <v>4847</v>
      </c>
      <c r="C1492" s="8" t="s">
        <v>6503</v>
      </c>
      <c r="D1492" s="32" t="s">
        <v>6984</v>
      </c>
      <c r="E1492" s="32" t="s">
        <v>6503</v>
      </c>
      <c r="F1492" s="10">
        <v>1</v>
      </c>
      <c r="G1492" s="8" t="s">
        <v>5139</v>
      </c>
      <c r="H1492" s="10">
        <v>154.1</v>
      </c>
      <c r="I1492" s="10">
        <f t="shared" si="25"/>
        <v>154.1</v>
      </c>
      <c r="J1492" s="10">
        <v>9.6766041416000004</v>
      </c>
      <c r="K1492" s="8" t="s">
        <v>5102</v>
      </c>
      <c r="S1492"/>
    </row>
    <row r="1493" spans="1:19" ht="15" x14ac:dyDescent="0.25">
      <c r="A1493" s="8" t="s">
        <v>5622</v>
      </c>
      <c r="B1493" s="8" t="s">
        <v>4847</v>
      </c>
      <c r="C1493" s="8" t="s">
        <v>6504</v>
      </c>
      <c r="D1493" s="32" t="s">
        <v>6984</v>
      </c>
      <c r="E1493" s="32" t="s">
        <v>6504</v>
      </c>
      <c r="F1493" s="10">
        <v>1</v>
      </c>
      <c r="G1493" s="8" t="s">
        <v>5139</v>
      </c>
      <c r="H1493" s="10">
        <v>154.1</v>
      </c>
      <c r="I1493" s="10">
        <f t="shared" si="25"/>
        <v>154.1</v>
      </c>
      <c r="J1493" s="10">
        <v>9.6773661416000003</v>
      </c>
      <c r="K1493" s="8" t="s">
        <v>5102</v>
      </c>
      <c r="S1493"/>
    </row>
    <row r="1494" spans="1:19" ht="15" x14ac:dyDescent="0.25">
      <c r="A1494" s="8" t="s">
        <v>5622</v>
      </c>
      <c r="B1494" s="8" t="s">
        <v>4847</v>
      </c>
      <c r="C1494" s="8" t="s">
        <v>6505</v>
      </c>
      <c r="D1494" s="32" t="s">
        <v>6984</v>
      </c>
      <c r="E1494" s="32" t="s">
        <v>6505</v>
      </c>
      <c r="F1494" s="10">
        <v>1</v>
      </c>
      <c r="G1494" s="8" t="s">
        <v>5139</v>
      </c>
      <c r="H1494" s="10">
        <v>63.9</v>
      </c>
      <c r="I1494" s="10">
        <f t="shared" si="25"/>
        <v>63.9</v>
      </c>
      <c r="J1494" s="10">
        <v>3.9304972216</v>
      </c>
      <c r="K1494" s="8" t="s">
        <v>5102</v>
      </c>
      <c r="S1494"/>
    </row>
    <row r="1495" spans="1:19" ht="15" x14ac:dyDescent="0.25">
      <c r="A1495" s="8" t="s">
        <v>5622</v>
      </c>
      <c r="B1495" s="8" t="s">
        <v>4847</v>
      </c>
      <c r="C1495" s="8" t="s">
        <v>6506</v>
      </c>
      <c r="D1495" s="32" t="s">
        <v>6984</v>
      </c>
      <c r="E1495" s="32" t="s">
        <v>6506</v>
      </c>
      <c r="F1495" s="10">
        <v>1</v>
      </c>
      <c r="G1495" s="8" t="s">
        <v>5139</v>
      </c>
      <c r="H1495" s="10">
        <v>63.9</v>
      </c>
      <c r="I1495" s="10">
        <f t="shared" si="25"/>
        <v>63.9</v>
      </c>
      <c r="J1495" s="10">
        <v>3.9304972216</v>
      </c>
      <c r="K1495" s="8" t="s">
        <v>5102</v>
      </c>
      <c r="S1495"/>
    </row>
    <row r="1496" spans="1:19" ht="15" x14ac:dyDescent="0.25">
      <c r="A1496" s="8" t="s">
        <v>5622</v>
      </c>
      <c r="B1496" s="8" t="s">
        <v>4847</v>
      </c>
      <c r="C1496" s="8" t="s">
        <v>6507</v>
      </c>
      <c r="D1496" s="32" t="s">
        <v>6984</v>
      </c>
      <c r="E1496" s="32" t="s">
        <v>6507</v>
      </c>
      <c r="F1496" s="10">
        <v>1</v>
      </c>
      <c r="G1496" s="8" t="s">
        <v>5139</v>
      </c>
      <c r="H1496" s="10">
        <v>40.1</v>
      </c>
      <c r="I1496" s="10">
        <f t="shared" si="25"/>
        <v>40.1</v>
      </c>
      <c r="J1496" s="10">
        <v>2.2547499908000002</v>
      </c>
      <c r="K1496" s="8" t="s">
        <v>5130</v>
      </c>
      <c r="S1496"/>
    </row>
    <row r="1497" spans="1:19" ht="15" x14ac:dyDescent="0.25">
      <c r="A1497" s="8" t="s">
        <v>5622</v>
      </c>
      <c r="B1497" s="8" t="s">
        <v>4847</v>
      </c>
      <c r="C1497" s="8" t="s">
        <v>6508</v>
      </c>
      <c r="D1497" s="32" t="s">
        <v>6984</v>
      </c>
      <c r="E1497" s="32" t="s">
        <v>6508</v>
      </c>
      <c r="F1497" s="10">
        <v>1</v>
      </c>
      <c r="G1497" s="8" t="s">
        <v>5139</v>
      </c>
      <c r="H1497" s="10">
        <v>38.6</v>
      </c>
      <c r="I1497" s="10">
        <f t="shared" si="25"/>
        <v>38.6</v>
      </c>
      <c r="J1497" s="10">
        <v>2.1917303908000001</v>
      </c>
      <c r="K1497" s="8" t="s">
        <v>5130</v>
      </c>
      <c r="S1497"/>
    </row>
    <row r="1498" spans="1:19" ht="15" x14ac:dyDescent="0.25">
      <c r="A1498" s="8" t="s">
        <v>5622</v>
      </c>
      <c r="B1498" s="8" t="s">
        <v>4847</v>
      </c>
      <c r="C1498" s="8" t="s">
        <v>6509</v>
      </c>
      <c r="D1498" s="32" t="s">
        <v>6984</v>
      </c>
      <c r="E1498" s="32" t="s">
        <v>6509</v>
      </c>
      <c r="F1498" s="10">
        <v>1</v>
      </c>
      <c r="G1498" s="8" t="s">
        <v>5139</v>
      </c>
      <c r="H1498" s="10">
        <v>38.6</v>
      </c>
      <c r="I1498" s="10">
        <f t="shared" si="25"/>
        <v>38.6</v>
      </c>
      <c r="J1498" s="10">
        <v>2.1917303908000001</v>
      </c>
      <c r="K1498" s="8" t="s">
        <v>5130</v>
      </c>
      <c r="S1498"/>
    </row>
    <row r="1499" spans="1:19" ht="15" x14ac:dyDescent="0.25">
      <c r="A1499" s="8" t="s">
        <v>5622</v>
      </c>
      <c r="B1499" s="8" t="s">
        <v>4847</v>
      </c>
      <c r="C1499" s="8" t="s">
        <v>6510</v>
      </c>
      <c r="D1499" s="32" t="s">
        <v>6984</v>
      </c>
      <c r="E1499" s="32" t="s">
        <v>6510</v>
      </c>
      <c r="F1499" s="10">
        <v>1</v>
      </c>
      <c r="G1499" s="8" t="s">
        <v>5095</v>
      </c>
      <c r="H1499" s="10">
        <v>240.7</v>
      </c>
      <c r="I1499" s="10">
        <f t="shared" si="25"/>
        <v>240.7</v>
      </c>
      <c r="J1499" s="10">
        <v>6.7329974960000003</v>
      </c>
      <c r="K1499" s="8" t="s">
        <v>5536</v>
      </c>
      <c r="S1499"/>
    </row>
    <row r="1500" spans="1:19" ht="15" x14ac:dyDescent="0.25">
      <c r="A1500" s="8" t="s">
        <v>5622</v>
      </c>
      <c r="B1500" s="8" t="s">
        <v>4847</v>
      </c>
      <c r="C1500" s="8" t="s">
        <v>6511</v>
      </c>
      <c r="D1500" s="32" t="s">
        <v>6984</v>
      </c>
      <c r="E1500" s="32" t="s">
        <v>6511</v>
      </c>
      <c r="F1500" s="10">
        <v>4</v>
      </c>
      <c r="G1500" s="8" t="s">
        <v>5642</v>
      </c>
      <c r="H1500" s="10">
        <v>5</v>
      </c>
      <c r="I1500" s="10">
        <f t="shared" si="25"/>
        <v>20</v>
      </c>
      <c r="J1500" s="10">
        <v>1.1281664</v>
      </c>
      <c r="K1500" s="8" t="s">
        <v>5248</v>
      </c>
      <c r="S1500"/>
    </row>
    <row r="1501" spans="1:19" ht="15" x14ac:dyDescent="0.25">
      <c r="A1501" s="8" t="s">
        <v>5622</v>
      </c>
      <c r="B1501" s="8" t="s">
        <v>4847</v>
      </c>
      <c r="C1501" s="8" t="s">
        <v>6512</v>
      </c>
      <c r="D1501" s="32" t="s">
        <v>6984</v>
      </c>
      <c r="E1501" s="32" t="s">
        <v>6512</v>
      </c>
      <c r="F1501" s="10">
        <v>2</v>
      </c>
      <c r="G1501" s="8" t="s">
        <v>5642</v>
      </c>
      <c r="H1501" s="10">
        <v>4.3</v>
      </c>
      <c r="I1501" s="10">
        <f t="shared" si="25"/>
        <v>8.6</v>
      </c>
      <c r="J1501" s="10">
        <v>0.48564800000000002</v>
      </c>
      <c r="K1501" s="8" t="s">
        <v>5248</v>
      </c>
      <c r="S1501"/>
    </row>
    <row r="1502" spans="1:19" ht="15" x14ac:dyDescent="0.25">
      <c r="A1502" s="8" t="s">
        <v>5622</v>
      </c>
      <c r="B1502" s="8" t="s">
        <v>4847</v>
      </c>
      <c r="C1502" s="8" t="s">
        <v>6513</v>
      </c>
      <c r="D1502" s="32" t="s">
        <v>6984</v>
      </c>
      <c r="E1502" s="32" t="s">
        <v>6513</v>
      </c>
      <c r="F1502" s="10">
        <v>1</v>
      </c>
      <c r="G1502" s="8" t="s">
        <v>5095</v>
      </c>
      <c r="H1502" s="10">
        <v>242.7</v>
      </c>
      <c r="I1502" s="10">
        <f t="shared" si="25"/>
        <v>242.7</v>
      </c>
      <c r="J1502" s="10">
        <v>6.6681360559999998</v>
      </c>
      <c r="K1502" s="8" t="s">
        <v>5536</v>
      </c>
      <c r="S1502"/>
    </row>
    <row r="1503" spans="1:19" ht="15" x14ac:dyDescent="0.25">
      <c r="A1503" s="8" t="s">
        <v>5018</v>
      </c>
      <c r="B1503" s="8" t="s">
        <v>4819</v>
      </c>
      <c r="C1503" s="8" t="s">
        <v>6514</v>
      </c>
      <c r="D1503" s="32" t="s">
        <v>6984</v>
      </c>
      <c r="E1503" s="32" t="s">
        <v>6514</v>
      </c>
      <c r="F1503" s="10">
        <v>1</v>
      </c>
      <c r="G1503" s="8" t="s">
        <v>5095</v>
      </c>
      <c r="H1503" s="10">
        <v>124.4</v>
      </c>
      <c r="I1503" s="10">
        <f t="shared" si="25"/>
        <v>124.4</v>
      </c>
      <c r="J1503" s="10">
        <v>3.8252828982799998</v>
      </c>
      <c r="K1503" s="8" t="s">
        <v>5536</v>
      </c>
      <c r="S1503"/>
    </row>
    <row r="1504" spans="1:19" ht="15" x14ac:dyDescent="0.25">
      <c r="A1504" s="8" t="s">
        <v>5018</v>
      </c>
      <c r="B1504" s="8" t="s">
        <v>4819</v>
      </c>
      <c r="C1504" s="8" t="s">
        <v>6515</v>
      </c>
      <c r="D1504" s="32" t="s">
        <v>6984</v>
      </c>
      <c r="E1504" s="32" t="s">
        <v>6515</v>
      </c>
      <c r="F1504" s="10">
        <v>1</v>
      </c>
      <c r="G1504" s="8" t="s">
        <v>5095</v>
      </c>
      <c r="H1504" s="10">
        <v>114.4</v>
      </c>
      <c r="I1504" s="10">
        <f t="shared" si="25"/>
        <v>114.4</v>
      </c>
      <c r="J1504" s="10">
        <v>3.8906320182799998</v>
      </c>
      <c r="K1504" s="8" t="s">
        <v>5536</v>
      </c>
      <c r="S1504"/>
    </row>
    <row r="1505" spans="1:19" ht="15" x14ac:dyDescent="0.25">
      <c r="A1505" s="8" t="s">
        <v>5018</v>
      </c>
      <c r="B1505" s="8" t="s">
        <v>4819</v>
      </c>
      <c r="C1505" s="8" t="s">
        <v>6516</v>
      </c>
      <c r="D1505" s="32" t="s">
        <v>6984</v>
      </c>
      <c r="E1505" s="32" t="s">
        <v>6516</v>
      </c>
      <c r="F1505" s="10">
        <v>1</v>
      </c>
      <c r="G1505" s="8" t="s">
        <v>5095</v>
      </c>
      <c r="H1505" s="10">
        <v>17.100000000000001</v>
      </c>
      <c r="I1505" s="10">
        <f t="shared" si="25"/>
        <v>17.100000000000001</v>
      </c>
      <c r="J1505" s="10">
        <v>0.58054032</v>
      </c>
      <c r="K1505" s="8" t="s">
        <v>5536</v>
      </c>
      <c r="S1505"/>
    </row>
    <row r="1506" spans="1:19" ht="15" x14ac:dyDescent="0.25">
      <c r="A1506" s="8" t="s">
        <v>5018</v>
      </c>
      <c r="B1506" s="8" t="s">
        <v>4819</v>
      </c>
      <c r="C1506" s="8" t="s">
        <v>6517</v>
      </c>
      <c r="D1506" s="32" t="s">
        <v>6984</v>
      </c>
      <c r="E1506" s="32" t="s">
        <v>6517</v>
      </c>
      <c r="F1506" s="10">
        <v>8</v>
      </c>
      <c r="G1506" s="8" t="s">
        <v>5095</v>
      </c>
      <c r="H1506" s="10">
        <v>18.537500000000001</v>
      </c>
      <c r="I1506" s="10">
        <f t="shared" si="25"/>
        <v>148.30000000000001</v>
      </c>
      <c r="J1506" s="10">
        <v>5.0446400000000002</v>
      </c>
      <c r="K1506" s="8" t="s">
        <v>5536</v>
      </c>
      <c r="S1506"/>
    </row>
    <row r="1507" spans="1:19" ht="15" x14ac:dyDescent="0.25">
      <c r="A1507" s="8" t="s">
        <v>5018</v>
      </c>
      <c r="B1507" s="8" t="s">
        <v>4819</v>
      </c>
      <c r="C1507" s="8" t="s">
        <v>6518</v>
      </c>
      <c r="D1507" s="32" t="s">
        <v>6984</v>
      </c>
      <c r="E1507" s="32" t="s">
        <v>6518</v>
      </c>
      <c r="F1507" s="10">
        <v>1</v>
      </c>
      <c r="G1507" s="8" t="s">
        <v>5095</v>
      </c>
      <c r="H1507" s="10">
        <v>18.7</v>
      </c>
      <c r="I1507" s="10">
        <f t="shared" si="25"/>
        <v>18.7</v>
      </c>
      <c r="J1507" s="10">
        <v>0.63442500000000002</v>
      </c>
      <c r="K1507" s="8" t="s">
        <v>5536</v>
      </c>
      <c r="S1507"/>
    </row>
    <row r="1508" spans="1:19" ht="15" x14ac:dyDescent="0.25">
      <c r="A1508" s="8" t="s">
        <v>5018</v>
      </c>
      <c r="B1508" s="8" t="s">
        <v>4819</v>
      </c>
      <c r="C1508" s="8" t="s">
        <v>6519</v>
      </c>
      <c r="D1508" s="32" t="s">
        <v>6984</v>
      </c>
      <c r="E1508" s="32" t="s">
        <v>6519</v>
      </c>
      <c r="F1508" s="10">
        <v>1</v>
      </c>
      <c r="G1508" s="8" t="s">
        <v>5095</v>
      </c>
      <c r="H1508" s="10">
        <v>45.8</v>
      </c>
      <c r="I1508" s="10">
        <f t="shared" si="25"/>
        <v>45.8</v>
      </c>
      <c r="J1508" s="10">
        <v>1.5515881199999999</v>
      </c>
      <c r="K1508" s="8" t="s">
        <v>5536</v>
      </c>
      <c r="S1508"/>
    </row>
    <row r="1509" spans="1:19" ht="15" x14ac:dyDescent="0.25">
      <c r="A1509" s="8" t="s">
        <v>5018</v>
      </c>
      <c r="B1509" s="8" t="s">
        <v>4819</v>
      </c>
      <c r="C1509" s="8" t="s">
        <v>6520</v>
      </c>
      <c r="D1509" s="32" t="s">
        <v>6984</v>
      </c>
      <c r="E1509" s="32" t="s">
        <v>6520</v>
      </c>
      <c r="F1509" s="10">
        <v>1</v>
      </c>
      <c r="G1509" s="8" t="s">
        <v>5095</v>
      </c>
      <c r="H1509" s="10">
        <v>44.3</v>
      </c>
      <c r="I1509" s="10">
        <f t="shared" si="25"/>
        <v>44.3</v>
      </c>
      <c r="J1509" s="10">
        <v>1.50237212</v>
      </c>
      <c r="K1509" s="8" t="s">
        <v>5536</v>
      </c>
      <c r="S1509"/>
    </row>
    <row r="1510" spans="1:19" ht="15" x14ac:dyDescent="0.25">
      <c r="A1510" s="8" t="s">
        <v>5018</v>
      </c>
      <c r="B1510" s="8" t="s">
        <v>4819</v>
      </c>
      <c r="C1510" s="8" t="s">
        <v>6521</v>
      </c>
      <c r="D1510" s="32" t="s">
        <v>6984</v>
      </c>
      <c r="E1510" s="32" t="s">
        <v>6521</v>
      </c>
      <c r="F1510" s="10">
        <v>1</v>
      </c>
      <c r="G1510" s="8" t="s">
        <v>5139</v>
      </c>
      <c r="H1510" s="10">
        <v>135.1</v>
      </c>
      <c r="I1510" s="10">
        <f t="shared" si="25"/>
        <v>135.1</v>
      </c>
      <c r="J1510" s="10">
        <v>8.1528448216000005</v>
      </c>
      <c r="K1510" s="8" t="s">
        <v>5102</v>
      </c>
      <c r="S1510"/>
    </row>
    <row r="1511" spans="1:19" ht="15" x14ac:dyDescent="0.25">
      <c r="A1511" s="8" t="s">
        <v>5018</v>
      </c>
      <c r="B1511" s="8" t="s">
        <v>4819</v>
      </c>
      <c r="C1511" s="8" t="s">
        <v>6522</v>
      </c>
      <c r="D1511" s="32" t="s">
        <v>6984</v>
      </c>
      <c r="E1511" s="32" t="s">
        <v>6522</v>
      </c>
      <c r="F1511" s="10">
        <v>1</v>
      </c>
      <c r="G1511" s="8" t="s">
        <v>5101</v>
      </c>
      <c r="H1511" s="10">
        <v>135.69999999999999</v>
      </c>
      <c r="I1511" s="10">
        <f t="shared" si="25"/>
        <v>135.69999999999999</v>
      </c>
      <c r="J1511" s="10">
        <v>8.1200922616</v>
      </c>
      <c r="K1511" s="8" t="s">
        <v>5102</v>
      </c>
      <c r="S1511"/>
    </row>
    <row r="1512" spans="1:19" ht="15" x14ac:dyDescent="0.25">
      <c r="A1512" s="8" t="s">
        <v>5018</v>
      </c>
      <c r="B1512" s="8" t="s">
        <v>4819</v>
      </c>
      <c r="C1512" s="8" t="s">
        <v>6523</v>
      </c>
      <c r="D1512" s="32" t="s">
        <v>6984</v>
      </c>
      <c r="E1512" s="32" t="s">
        <v>6523</v>
      </c>
      <c r="F1512" s="10">
        <v>1</v>
      </c>
      <c r="G1512" s="8" t="s">
        <v>5139</v>
      </c>
      <c r="H1512" s="10">
        <v>142.19999999999999</v>
      </c>
      <c r="I1512" s="10">
        <f t="shared" si="25"/>
        <v>142.19999999999999</v>
      </c>
      <c r="J1512" s="10">
        <v>8.6325638615999996</v>
      </c>
      <c r="K1512" s="8" t="s">
        <v>5102</v>
      </c>
      <c r="S1512"/>
    </row>
    <row r="1513" spans="1:19" ht="15" x14ac:dyDescent="0.25">
      <c r="A1513" s="8" t="s">
        <v>5018</v>
      </c>
      <c r="B1513" s="8" t="s">
        <v>4819</v>
      </c>
      <c r="C1513" s="8" t="s">
        <v>6524</v>
      </c>
      <c r="D1513" s="32" t="s">
        <v>6984</v>
      </c>
      <c r="E1513" s="32" t="s">
        <v>6524</v>
      </c>
      <c r="F1513" s="10">
        <v>1</v>
      </c>
      <c r="G1513" s="8" t="s">
        <v>5139</v>
      </c>
      <c r="H1513" s="10">
        <v>142.19999999999999</v>
      </c>
      <c r="I1513" s="10">
        <f t="shared" si="25"/>
        <v>142.19999999999999</v>
      </c>
      <c r="J1513" s="10">
        <v>8.6325638615999996</v>
      </c>
      <c r="K1513" s="8" t="s">
        <v>5102</v>
      </c>
      <c r="S1513"/>
    </row>
    <row r="1514" spans="1:19" ht="15" x14ac:dyDescent="0.25">
      <c r="A1514" s="8" t="s">
        <v>5018</v>
      </c>
      <c r="B1514" s="8" t="s">
        <v>4819</v>
      </c>
      <c r="C1514" s="8" t="s">
        <v>6525</v>
      </c>
      <c r="D1514" s="32" t="s">
        <v>6984</v>
      </c>
      <c r="E1514" s="32" t="s">
        <v>6525</v>
      </c>
      <c r="F1514" s="10">
        <v>1</v>
      </c>
      <c r="G1514" s="8" t="s">
        <v>5139</v>
      </c>
      <c r="H1514" s="10">
        <v>135.1</v>
      </c>
      <c r="I1514" s="10">
        <f t="shared" si="25"/>
        <v>135.1</v>
      </c>
      <c r="J1514" s="10">
        <v>8.1518288216000006</v>
      </c>
      <c r="K1514" s="8" t="s">
        <v>5102</v>
      </c>
      <c r="S1514"/>
    </row>
    <row r="1515" spans="1:19" ht="15" x14ac:dyDescent="0.25">
      <c r="A1515" s="8" t="s">
        <v>5018</v>
      </c>
      <c r="B1515" s="8" t="s">
        <v>4819</v>
      </c>
      <c r="C1515" s="8" t="s">
        <v>6526</v>
      </c>
      <c r="D1515" s="32" t="s">
        <v>6984</v>
      </c>
      <c r="E1515" s="32" t="s">
        <v>6526</v>
      </c>
      <c r="F1515" s="10">
        <v>1</v>
      </c>
      <c r="G1515" s="8" t="s">
        <v>5101</v>
      </c>
      <c r="H1515" s="10">
        <v>135.69999999999999</v>
      </c>
      <c r="I1515" s="10">
        <f t="shared" si="25"/>
        <v>135.69999999999999</v>
      </c>
      <c r="J1515" s="10">
        <v>8.1200922616</v>
      </c>
      <c r="K1515" s="8" t="s">
        <v>5102</v>
      </c>
      <c r="S1515"/>
    </row>
    <row r="1516" spans="1:19" ht="15" x14ac:dyDescent="0.25">
      <c r="A1516" s="8" t="s">
        <v>5018</v>
      </c>
      <c r="B1516" s="8" t="s">
        <v>4819</v>
      </c>
      <c r="C1516" s="8" t="s">
        <v>6527</v>
      </c>
      <c r="D1516" s="32" t="s">
        <v>6984</v>
      </c>
      <c r="E1516" s="32" t="s">
        <v>6527</v>
      </c>
      <c r="F1516" s="10">
        <v>1</v>
      </c>
      <c r="G1516" s="8" t="s">
        <v>5101</v>
      </c>
      <c r="H1516" s="10">
        <v>105.6</v>
      </c>
      <c r="I1516" s="10">
        <f t="shared" si="25"/>
        <v>105.6</v>
      </c>
      <c r="J1516" s="10">
        <v>6.3593734615999997</v>
      </c>
      <c r="K1516" s="8" t="s">
        <v>5102</v>
      </c>
      <c r="S1516"/>
    </row>
    <row r="1517" spans="1:19" ht="15" x14ac:dyDescent="0.25">
      <c r="A1517" s="8" t="s">
        <v>5018</v>
      </c>
      <c r="B1517" s="8" t="s">
        <v>4819</v>
      </c>
      <c r="C1517" s="8" t="s">
        <v>6528</v>
      </c>
      <c r="D1517" s="32" t="s">
        <v>6984</v>
      </c>
      <c r="E1517" s="32" t="s">
        <v>6528</v>
      </c>
      <c r="F1517" s="10">
        <v>1</v>
      </c>
      <c r="G1517" s="8" t="s">
        <v>5101</v>
      </c>
      <c r="H1517" s="10">
        <v>105.6</v>
      </c>
      <c r="I1517" s="10">
        <f t="shared" si="25"/>
        <v>105.6</v>
      </c>
      <c r="J1517" s="10">
        <v>6.3593734615999997</v>
      </c>
      <c r="K1517" s="8" t="s">
        <v>5102</v>
      </c>
      <c r="S1517"/>
    </row>
    <row r="1518" spans="1:19" ht="15" x14ac:dyDescent="0.25">
      <c r="A1518" s="8" t="s">
        <v>5018</v>
      </c>
      <c r="B1518" s="8" t="s">
        <v>4819</v>
      </c>
      <c r="C1518" s="8" t="s">
        <v>6529</v>
      </c>
      <c r="D1518" s="32" t="s">
        <v>6984</v>
      </c>
      <c r="E1518" s="32" t="s">
        <v>6529</v>
      </c>
      <c r="F1518" s="10">
        <v>1</v>
      </c>
      <c r="G1518" s="8" t="s">
        <v>5095</v>
      </c>
      <c r="H1518" s="10">
        <v>231.9</v>
      </c>
      <c r="I1518" s="10">
        <f t="shared" si="25"/>
        <v>231.9</v>
      </c>
      <c r="J1518" s="10">
        <v>6.4240197200000004</v>
      </c>
      <c r="K1518" s="8" t="s">
        <v>5536</v>
      </c>
      <c r="S1518"/>
    </row>
    <row r="1519" spans="1:19" ht="15" x14ac:dyDescent="0.25">
      <c r="A1519" s="8" t="s">
        <v>5018</v>
      </c>
      <c r="B1519" s="8" t="s">
        <v>4819</v>
      </c>
      <c r="C1519" s="8" t="s">
        <v>6530</v>
      </c>
      <c r="D1519" s="32" t="s">
        <v>6984</v>
      </c>
      <c r="E1519" s="32" t="s">
        <v>6530</v>
      </c>
      <c r="F1519" s="10">
        <v>1</v>
      </c>
      <c r="G1519" s="8" t="s">
        <v>5095</v>
      </c>
      <c r="H1519" s="10">
        <v>201.4</v>
      </c>
      <c r="I1519" s="10">
        <f t="shared" si="25"/>
        <v>201.4</v>
      </c>
      <c r="J1519" s="10">
        <v>5.58546604</v>
      </c>
      <c r="K1519" s="8" t="s">
        <v>5536</v>
      </c>
      <c r="S1519"/>
    </row>
    <row r="1520" spans="1:19" ht="15" x14ac:dyDescent="0.25">
      <c r="A1520" s="8" t="s">
        <v>5018</v>
      </c>
      <c r="B1520" s="8" t="s">
        <v>4819</v>
      </c>
      <c r="C1520" s="8" t="s">
        <v>6531</v>
      </c>
      <c r="D1520" s="32" t="s">
        <v>6984</v>
      </c>
      <c r="E1520" s="32" t="s">
        <v>6531</v>
      </c>
      <c r="F1520" s="10">
        <v>1</v>
      </c>
      <c r="G1520" s="8" t="s">
        <v>5095</v>
      </c>
      <c r="H1520" s="10">
        <v>203.3</v>
      </c>
      <c r="I1520" s="10">
        <f t="shared" si="25"/>
        <v>203.3</v>
      </c>
      <c r="J1520" s="10">
        <v>5.6282645999999996</v>
      </c>
      <c r="K1520" s="8" t="s">
        <v>5536</v>
      </c>
      <c r="S1520"/>
    </row>
    <row r="1521" spans="1:19" ht="15" x14ac:dyDescent="0.25">
      <c r="A1521" s="8" t="s">
        <v>5018</v>
      </c>
      <c r="B1521" s="8" t="s">
        <v>4819</v>
      </c>
      <c r="C1521" s="8" t="s">
        <v>6532</v>
      </c>
      <c r="D1521" s="32" t="s">
        <v>6984</v>
      </c>
      <c r="E1521" s="32" t="s">
        <v>6532</v>
      </c>
      <c r="F1521" s="10">
        <v>1</v>
      </c>
      <c r="G1521" s="8" t="s">
        <v>5095</v>
      </c>
      <c r="H1521" s="10">
        <v>232.2</v>
      </c>
      <c r="I1521" s="10">
        <f t="shared" si="25"/>
        <v>232.2</v>
      </c>
      <c r="J1521" s="10">
        <v>6.4361014799999996</v>
      </c>
      <c r="K1521" s="8" t="s">
        <v>5536</v>
      </c>
      <c r="S1521"/>
    </row>
    <row r="1522" spans="1:19" ht="15" x14ac:dyDescent="0.25">
      <c r="A1522" s="8" t="s">
        <v>5018</v>
      </c>
      <c r="B1522" s="8" t="s">
        <v>4819</v>
      </c>
      <c r="C1522" s="8" t="s">
        <v>6533</v>
      </c>
      <c r="D1522" s="32" t="s">
        <v>6984</v>
      </c>
      <c r="E1522" s="32" t="s">
        <v>6533</v>
      </c>
      <c r="F1522" s="10">
        <v>1</v>
      </c>
      <c r="G1522" s="8" t="s">
        <v>5095</v>
      </c>
      <c r="H1522" s="10">
        <v>201.3</v>
      </c>
      <c r="I1522" s="10">
        <f t="shared" si="25"/>
        <v>201.3</v>
      </c>
      <c r="J1522" s="10">
        <v>5.5823367599999996</v>
      </c>
      <c r="K1522" s="8" t="s">
        <v>5536</v>
      </c>
      <c r="S1522"/>
    </row>
    <row r="1523" spans="1:19" ht="15" x14ac:dyDescent="0.25">
      <c r="A1523" s="8" t="s">
        <v>5018</v>
      </c>
      <c r="B1523" s="8" t="s">
        <v>4819</v>
      </c>
      <c r="C1523" s="8" t="s">
        <v>6534</v>
      </c>
      <c r="D1523" s="32" t="s">
        <v>6984</v>
      </c>
      <c r="E1523" s="32" t="s">
        <v>6534</v>
      </c>
      <c r="F1523" s="10">
        <v>1</v>
      </c>
      <c r="G1523" s="8" t="s">
        <v>5095</v>
      </c>
      <c r="H1523" s="10">
        <v>205.2</v>
      </c>
      <c r="I1523" s="10">
        <f t="shared" si="25"/>
        <v>205.2</v>
      </c>
      <c r="J1523" s="10">
        <v>5.6899967599999997</v>
      </c>
      <c r="K1523" s="8" t="s">
        <v>5536</v>
      </c>
      <c r="S1523"/>
    </row>
    <row r="1524" spans="1:19" ht="15" x14ac:dyDescent="0.25">
      <c r="A1524" s="8" t="s">
        <v>5018</v>
      </c>
      <c r="B1524" s="8" t="s">
        <v>4819</v>
      </c>
      <c r="C1524" s="8" t="s">
        <v>6535</v>
      </c>
      <c r="D1524" s="32" t="s">
        <v>6984</v>
      </c>
      <c r="E1524" s="32" t="s">
        <v>6535</v>
      </c>
      <c r="F1524" s="10">
        <v>1</v>
      </c>
      <c r="G1524" s="8" t="s">
        <v>5139</v>
      </c>
      <c r="H1524" s="10">
        <v>39.6</v>
      </c>
      <c r="I1524" s="10">
        <f t="shared" si="25"/>
        <v>39.6</v>
      </c>
      <c r="J1524" s="10">
        <v>2.0845999268000002</v>
      </c>
      <c r="K1524" s="8" t="s">
        <v>5128</v>
      </c>
      <c r="S1524"/>
    </row>
    <row r="1525" spans="1:19" ht="15" x14ac:dyDescent="0.25">
      <c r="A1525" s="8" t="s">
        <v>5018</v>
      </c>
      <c r="B1525" s="8" t="s">
        <v>4819</v>
      </c>
      <c r="C1525" s="8" t="s">
        <v>6536</v>
      </c>
      <c r="D1525" s="32" t="s">
        <v>6984</v>
      </c>
      <c r="E1525" s="32" t="s">
        <v>6536</v>
      </c>
      <c r="F1525" s="10">
        <v>1</v>
      </c>
      <c r="G1525" s="8" t="s">
        <v>5139</v>
      </c>
      <c r="H1525" s="10">
        <v>49.3</v>
      </c>
      <c r="I1525" s="10">
        <f t="shared" si="25"/>
        <v>49.3</v>
      </c>
      <c r="J1525" s="10">
        <v>2.8675731180000001</v>
      </c>
      <c r="K1525" s="8" t="s">
        <v>5128</v>
      </c>
      <c r="S1525"/>
    </row>
    <row r="1526" spans="1:19" ht="15" x14ac:dyDescent="0.25">
      <c r="A1526" s="8" t="s">
        <v>5018</v>
      </c>
      <c r="B1526" s="8" t="s">
        <v>4819</v>
      </c>
      <c r="C1526" s="8" t="s">
        <v>6537</v>
      </c>
      <c r="D1526" s="32" t="s">
        <v>6984</v>
      </c>
      <c r="E1526" s="32" t="s">
        <v>6537</v>
      </c>
      <c r="F1526" s="10">
        <v>1</v>
      </c>
      <c r="G1526" s="8" t="s">
        <v>5139</v>
      </c>
      <c r="H1526" s="10">
        <v>82.5</v>
      </c>
      <c r="I1526" s="10">
        <f t="shared" si="25"/>
        <v>82.5</v>
      </c>
      <c r="J1526" s="10">
        <v>5.2162216611999996</v>
      </c>
      <c r="K1526" s="8" t="s">
        <v>5128</v>
      </c>
      <c r="S1526"/>
    </row>
    <row r="1527" spans="1:19" ht="15" x14ac:dyDescent="0.25">
      <c r="A1527" s="8" t="s">
        <v>5018</v>
      </c>
      <c r="B1527" s="8" t="s">
        <v>4819</v>
      </c>
      <c r="C1527" s="8" t="s">
        <v>6538</v>
      </c>
      <c r="D1527" s="32" t="s">
        <v>6984</v>
      </c>
      <c r="E1527" s="32" t="s">
        <v>6538</v>
      </c>
      <c r="F1527" s="10">
        <v>1</v>
      </c>
      <c r="G1527" s="8" t="s">
        <v>5139</v>
      </c>
      <c r="H1527" s="10">
        <v>63.6</v>
      </c>
      <c r="I1527" s="10">
        <f t="shared" si="25"/>
        <v>63.6</v>
      </c>
      <c r="J1527" s="10">
        <v>4.02091333</v>
      </c>
      <c r="K1527" s="8" t="s">
        <v>5128</v>
      </c>
      <c r="S1527"/>
    </row>
    <row r="1528" spans="1:19" ht="15" x14ac:dyDescent="0.25">
      <c r="A1528" s="8" t="s">
        <v>5018</v>
      </c>
      <c r="B1528" s="8" t="s">
        <v>4819</v>
      </c>
      <c r="C1528" s="8" t="s">
        <v>6539</v>
      </c>
      <c r="D1528" s="32" t="s">
        <v>6984</v>
      </c>
      <c r="E1528" s="32" t="s">
        <v>6539</v>
      </c>
      <c r="F1528" s="10">
        <v>1</v>
      </c>
      <c r="G1528" s="8" t="s">
        <v>5139</v>
      </c>
      <c r="H1528" s="10">
        <v>116.4</v>
      </c>
      <c r="I1528" s="10">
        <f t="shared" si="25"/>
        <v>116.4</v>
      </c>
      <c r="J1528" s="10">
        <v>7.6280468020000001</v>
      </c>
      <c r="K1528" s="8" t="s">
        <v>5128</v>
      </c>
      <c r="S1528"/>
    </row>
    <row r="1529" spans="1:19" ht="15" x14ac:dyDescent="0.25">
      <c r="A1529" s="8" t="s">
        <v>5018</v>
      </c>
      <c r="B1529" s="8" t="s">
        <v>4819</v>
      </c>
      <c r="C1529" s="8" t="s">
        <v>6540</v>
      </c>
      <c r="D1529" s="32" t="s">
        <v>6984</v>
      </c>
      <c r="E1529" s="32" t="s">
        <v>6540</v>
      </c>
      <c r="F1529" s="10">
        <v>1</v>
      </c>
      <c r="G1529" s="8" t="s">
        <v>5139</v>
      </c>
      <c r="H1529" s="10">
        <v>49.5</v>
      </c>
      <c r="I1529" s="10">
        <f t="shared" si="25"/>
        <v>49.5</v>
      </c>
      <c r="J1529" s="10">
        <v>2.8807961268</v>
      </c>
      <c r="K1529" s="8" t="s">
        <v>5128</v>
      </c>
      <c r="S1529"/>
    </row>
    <row r="1530" spans="1:19" ht="15" x14ac:dyDescent="0.25">
      <c r="A1530" s="8" t="s">
        <v>5018</v>
      </c>
      <c r="B1530" s="8" t="s">
        <v>4819</v>
      </c>
      <c r="C1530" s="8" t="s">
        <v>6541</v>
      </c>
      <c r="D1530" s="32" t="s">
        <v>6984</v>
      </c>
      <c r="E1530" s="32" t="s">
        <v>6541</v>
      </c>
      <c r="F1530" s="10">
        <v>1</v>
      </c>
      <c r="G1530" s="8" t="s">
        <v>5139</v>
      </c>
      <c r="H1530" s="10">
        <v>117</v>
      </c>
      <c r="I1530" s="10">
        <f t="shared" si="25"/>
        <v>117</v>
      </c>
      <c r="J1530" s="10">
        <v>7.6794696140000003</v>
      </c>
      <c r="K1530" s="8" t="s">
        <v>5128</v>
      </c>
      <c r="S1530"/>
    </row>
    <row r="1531" spans="1:19" ht="15" x14ac:dyDescent="0.25">
      <c r="A1531" s="8" t="s">
        <v>5018</v>
      </c>
      <c r="B1531" s="8" t="s">
        <v>4819</v>
      </c>
      <c r="C1531" s="8" t="s">
        <v>6542</v>
      </c>
      <c r="D1531" s="32" t="s">
        <v>6984</v>
      </c>
      <c r="E1531" s="32" t="s">
        <v>6542</v>
      </c>
      <c r="F1531" s="10">
        <v>1</v>
      </c>
      <c r="G1531" s="8" t="s">
        <v>5139</v>
      </c>
      <c r="H1531" s="10">
        <v>55.8</v>
      </c>
      <c r="I1531" s="10">
        <f t="shared" si="25"/>
        <v>55.8</v>
      </c>
      <c r="J1531" s="10">
        <v>3.3935550235999998</v>
      </c>
      <c r="K1531" s="8" t="s">
        <v>5128</v>
      </c>
      <c r="S1531"/>
    </row>
    <row r="1532" spans="1:19" ht="15" x14ac:dyDescent="0.25">
      <c r="A1532" s="8" t="s">
        <v>5018</v>
      </c>
      <c r="B1532" s="8" t="s">
        <v>4819</v>
      </c>
      <c r="C1532" s="8" t="s">
        <v>6543</v>
      </c>
      <c r="D1532" s="32" t="s">
        <v>6984</v>
      </c>
      <c r="E1532" s="32" t="s">
        <v>6543</v>
      </c>
      <c r="F1532" s="10">
        <v>1</v>
      </c>
      <c r="G1532" s="8" t="s">
        <v>5139</v>
      </c>
      <c r="H1532" s="10">
        <v>51.3</v>
      </c>
      <c r="I1532" s="10">
        <f t="shared" si="25"/>
        <v>51.3</v>
      </c>
      <c r="J1532" s="10">
        <v>3.0306568932000002</v>
      </c>
      <c r="K1532" s="8" t="s">
        <v>5128</v>
      </c>
      <c r="S1532"/>
    </row>
    <row r="1533" spans="1:19" ht="15" x14ac:dyDescent="0.25">
      <c r="A1533" s="8" t="s">
        <v>5018</v>
      </c>
      <c r="B1533" s="8" t="s">
        <v>4819</v>
      </c>
      <c r="C1533" s="8" t="s">
        <v>6544</v>
      </c>
      <c r="D1533" s="32" t="s">
        <v>6984</v>
      </c>
      <c r="E1533" s="32" t="s">
        <v>6544</v>
      </c>
      <c r="F1533" s="10">
        <v>1</v>
      </c>
      <c r="G1533" s="8" t="s">
        <v>5139</v>
      </c>
      <c r="H1533" s="10">
        <v>49.1</v>
      </c>
      <c r="I1533" s="10">
        <f t="shared" si="25"/>
        <v>49.1</v>
      </c>
      <c r="J1533" s="10">
        <v>2.8470039932</v>
      </c>
      <c r="K1533" s="8" t="s">
        <v>5128</v>
      </c>
      <c r="S1533"/>
    </row>
    <row r="1534" spans="1:19" ht="15" x14ac:dyDescent="0.25">
      <c r="A1534" s="8" t="s">
        <v>5018</v>
      </c>
      <c r="B1534" s="8" t="s">
        <v>4819</v>
      </c>
      <c r="C1534" s="8" t="s">
        <v>6545</v>
      </c>
      <c r="D1534" s="32" t="s">
        <v>6984</v>
      </c>
      <c r="E1534" s="32" t="s">
        <v>6545</v>
      </c>
      <c r="F1534" s="10">
        <v>1</v>
      </c>
      <c r="G1534" s="8" t="s">
        <v>5139</v>
      </c>
      <c r="H1534" s="10">
        <v>50.9</v>
      </c>
      <c r="I1534" s="10">
        <f t="shared" si="25"/>
        <v>50.9</v>
      </c>
      <c r="J1534" s="10">
        <v>2.9968647596000002</v>
      </c>
      <c r="K1534" s="8" t="s">
        <v>5128</v>
      </c>
      <c r="S1534"/>
    </row>
    <row r="1535" spans="1:19" ht="15" x14ac:dyDescent="0.25">
      <c r="A1535" s="8" t="s">
        <v>5018</v>
      </c>
      <c r="B1535" s="8" t="s">
        <v>4819</v>
      </c>
      <c r="C1535" s="8" t="s">
        <v>6546</v>
      </c>
      <c r="D1535" s="32" t="s">
        <v>6984</v>
      </c>
      <c r="E1535" s="32" t="s">
        <v>6546</v>
      </c>
      <c r="F1535" s="10">
        <v>1</v>
      </c>
      <c r="G1535" s="8" t="s">
        <v>5139</v>
      </c>
      <c r="H1535" s="10">
        <v>64</v>
      </c>
      <c r="I1535" s="10">
        <f t="shared" si="25"/>
        <v>64</v>
      </c>
      <c r="J1535" s="10">
        <v>4.0547054636000004</v>
      </c>
      <c r="K1535" s="8" t="s">
        <v>5128</v>
      </c>
      <c r="S1535"/>
    </row>
    <row r="1536" spans="1:19" ht="15" x14ac:dyDescent="0.25">
      <c r="A1536" s="8" t="s">
        <v>5018</v>
      </c>
      <c r="B1536" s="8" t="s">
        <v>4819</v>
      </c>
      <c r="C1536" s="8" t="s">
        <v>6547</v>
      </c>
      <c r="D1536" s="32" t="s">
        <v>6984</v>
      </c>
      <c r="E1536" s="32" t="s">
        <v>6547</v>
      </c>
      <c r="F1536" s="10">
        <v>1</v>
      </c>
      <c r="G1536" s="8" t="s">
        <v>5642</v>
      </c>
      <c r="H1536" s="10">
        <v>24.9</v>
      </c>
      <c r="I1536" s="10">
        <f t="shared" si="25"/>
        <v>24.9</v>
      </c>
      <c r="J1536" s="10">
        <v>1.0390632</v>
      </c>
      <c r="K1536" s="8" t="s">
        <v>5051</v>
      </c>
      <c r="S1536"/>
    </row>
    <row r="1537" spans="1:19" ht="15" x14ac:dyDescent="0.25">
      <c r="A1537" s="8" t="s">
        <v>5018</v>
      </c>
      <c r="B1537" s="8" t="s">
        <v>4819</v>
      </c>
      <c r="C1537" s="8" t="s">
        <v>6548</v>
      </c>
      <c r="D1537" s="32" t="s">
        <v>6984</v>
      </c>
      <c r="E1537" s="32" t="s">
        <v>6548</v>
      </c>
      <c r="F1537" s="10">
        <v>1</v>
      </c>
      <c r="G1537" s="8" t="s">
        <v>5642</v>
      </c>
      <c r="H1537" s="10">
        <v>24.9</v>
      </c>
      <c r="I1537" s="10">
        <f t="shared" si="25"/>
        <v>24.9</v>
      </c>
      <c r="J1537" s="10">
        <v>1.0390632</v>
      </c>
      <c r="K1537" s="8" t="s">
        <v>5051</v>
      </c>
      <c r="S1537"/>
    </row>
    <row r="1538" spans="1:19" ht="15" x14ac:dyDescent="0.25">
      <c r="A1538" s="8" t="s">
        <v>5018</v>
      </c>
      <c r="B1538" s="8" t="s">
        <v>4819</v>
      </c>
      <c r="C1538" s="8" t="s">
        <v>6549</v>
      </c>
      <c r="D1538" s="32" t="s">
        <v>6984</v>
      </c>
      <c r="E1538" s="32" t="s">
        <v>6549</v>
      </c>
      <c r="F1538" s="10">
        <v>4</v>
      </c>
      <c r="G1538" s="8" t="s">
        <v>5642</v>
      </c>
      <c r="H1538" s="10">
        <v>4.8250000000000002</v>
      </c>
      <c r="I1538" s="10">
        <f t="shared" si="25"/>
        <v>19.3</v>
      </c>
      <c r="J1538" s="10">
        <v>1.0915904000000001</v>
      </c>
      <c r="K1538" s="8" t="s">
        <v>5248</v>
      </c>
      <c r="S1538"/>
    </row>
    <row r="1539" spans="1:19" ht="15" x14ac:dyDescent="0.25">
      <c r="A1539" s="8" t="s">
        <v>5018</v>
      </c>
      <c r="B1539" s="8" t="s">
        <v>4819</v>
      </c>
      <c r="C1539" s="8" t="s">
        <v>6550</v>
      </c>
      <c r="D1539" s="32" t="s">
        <v>6984</v>
      </c>
      <c r="E1539" s="32" t="s">
        <v>6550</v>
      </c>
      <c r="F1539" s="10">
        <v>3</v>
      </c>
      <c r="G1539" s="8" t="s">
        <v>5642</v>
      </c>
      <c r="H1539" s="10">
        <v>4.666666666666667</v>
      </c>
      <c r="I1539" s="10">
        <f t="shared" si="25"/>
        <v>14</v>
      </c>
      <c r="J1539" s="10">
        <v>0.79308959999999995</v>
      </c>
      <c r="K1539" s="8" t="s">
        <v>5248</v>
      </c>
      <c r="S1539"/>
    </row>
    <row r="1540" spans="1:19" ht="15" x14ac:dyDescent="0.25">
      <c r="A1540" s="8" t="s">
        <v>5018</v>
      </c>
      <c r="B1540" s="8" t="s">
        <v>4819</v>
      </c>
      <c r="C1540" s="8" t="s">
        <v>6551</v>
      </c>
      <c r="D1540" s="32" t="s">
        <v>6984</v>
      </c>
      <c r="E1540" s="32" t="s">
        <v>6551</v>
      </c>
      <c r="F1540" s="10">
        <v>4</v>
      </c>
      <c r="G1540" s="8" t="s">
        <v>5642</v>
      </c>
      <c r="H1540" s="10">
        <v>4.8250000000000002</v>
      </c>
      <c r="I1540" s="10">
        <f t="shared" si="25"/>
        <v>19.3</v>
      </c>
      <c r="J1540" s="10">
        <v>1.0891519999999999</v>
      </c>
      <c r="K1540" s="8" t="s">
        <v>5248</v>
      </c>
      <c r="S1540"/>
    </row>
    <row r="1541" spans="1:19" ht="15" x14ac:dyDescent="0.25">
      <c r="A1541" s="8" t="s">
        <v>5018</v>
      </c>
      <c r="B1541" s="8" t="s">
        <v>4819</v>
      </c>
      <c r="C1541" s="8" t="s">
        <v>6552</v>
      </c>
      <c r="D1541" s="32" t="s">
        <v>6984</v>
      </c>
      <c r="E1541" s="32" t="s">
        <v>6552</v>
      </c>
      <c r="F1541" s="10">
        <v>4</v>
      </c>
      <c r="G1541" s="8" t="s">
        <v>5642</v>
      </c>
      <c r="H1541" s="10">
        <v>4.7750000000000004</v>
      </c>
      <c r="I1541" s="10">
        <f t="shared" ref="I1541:I1604" si="26">F1541*H1541</f>
        <v>19.100000000000001</v>
      </c>
      <c r="J1541" s="10">
        <v>1.0777728</v>
      </c>
      <c r="K1541" s="8" t="s">
        <v>5248</v>
      </c>
      <c r="S1541"/>
    </row>
    <row r="1542" spans="1:19" ht="15" x14ac:dyDescent="0.25">
      <c r="A1542" s="8" t="s">
        <v>5018</v>
      </c>
      <c r="B1542" s="8" t="s">
        <v>4819</v>
      </c>
      <c r="C1542" s="8" t="s">
        <v>6553</v>
      </c>
      <c r="D1542" s="32" t="s">
        <v>6984</v>
      </c>
      <c r="E1542" s="32" t="s">
        <v>6553</v>
      </c>
      <c r="F1542" s="10">
        <v>1</v>
      </c>
      <c r="G1542" s="8" t="s">
        <v>16</v>
      </c>
      <c r="H1542" s="10">
        <v>220.9</v>
      </c>
      <c r="I1542" s="10">
        <f t="shared" si="26"/>
        <v>220.9</v>
      </c>
      <c r="J1542" s="10">
        <v>7.0441349936000002</v>
      </c>
      <c r="K1542" s="8" t="s">
        <v>4781</v>
      </c>
      <c r="S1542"/>
    </row>
    <row r="1543" spans="1:19" ht="15" x14ac:dyDescent="0.25">
      <c r="A1543" s="8" t="s">
        <v>5018</v>
      </c>
      <c r="B1543" s="8" t="s">
        <v>4819</v>
      </c>
      <c r="C1543" s="8" t="s">
        <v>6554</v>
      </c>
      <c r="D1543" s="32" t="s">
        <v>6984</v>
      </c>
      <c r="E1543" s="32" t="s">
        <v>6554</v>
      </c>
      <c r="F1543" s="10">
        <v>1</v>
      </c>
      <c r="G1543" s="8" t="s">
        <v>16</v>
      </c>
      <c r="H1543" s="10">
        <v>104.1</v>
      </c>
      <c r="I1543" s="10">
        <f t="shared" si="26"/>
        <v>104.1</v>
      </c>
      <c r="J1543" s="10">
        <v>3.3733515407999999</v>
      </c>
      <c r="K1543" s="8" t="s">
        <v>5116</v>
      </c>
      <c r="S1543"/>
    </row>
    <row r="1544" spans="1:19" ht="15" x14ac:dyDescent="0.25">
      <c r="A1544" s="8" t="s">
        <v>6071</v>
      </c>
      <c r="B1544" s="8" t="s">
        <v>6069</v>
      </c>
      <c r="C1544" s="8" t="s">
        <v>6555</v>
      </c>
      <c r="D1544" s="32" t="s">
        <v>6984</v>
      </c>
      <c r="E1544" s="32" t="s">
        <v>6555</v>
      </c>
      <c r="F1544" s="10">
        <v>1</v>
      </c>
      <c r="G1544" s="8" t="s">
        <v>5101</v>
      </c>
      <c r="H1544" s="10">
        <v>56.8</v>
      </c>
      <c r="I1544" s="10">
        <f t="shared" si="26"/>
        <v>56.8</v>
      </c>
      <c r="J1544" s="10">
        <v>3.4706031390000001</v>
      </c>
      <c r="K1544" s="8" t="s">
        <v>5335</v>
      </c>
      <c r="S1544"/>
    </row>
    <row r="1545" spans="1:19" ht="15" x14ac:dyDescent="0.25">
      <c r="A1545" s="8" t="s">
        <v>6068</v>
      </c>
      <c r="B1545" s="8" t="s">
        <v>6069</v>
      </c>
      <c r="C1545" s="8" t="s">
        <v>6556</v>
      </c>
      <c r="D1545" s="32" t="s">
        <v>6984</v>
      </c>
      <c r="E1545" s="32" t="s">
        <v>6556</v>
      </c>
      <c r="F1545" s="10">
        <v>1</v>
      </c>
      <c r="G1545" s="8" t="s">
        <v>5101</v>
      </c>
      <c r="H1545" s="10">
        <v>48</v>
      </c>
      <c r="I1545" s="10">
        <f t="shared" si="26"/>
        <v>48</v>
      </c>
      <c r="J1545" s="10">
        <v>2.7617852892000001</v>
      </c>
      <c r="K1545" s="8" t="s">
        <v>5335</v>
      </c>
      <c r="S1545"/>
    </row>
    <row r="1546" spans="1:19" ht="15" x14ac:dyDescent="0.25">
      <c r="A1546" s="8" t="s">
        <v>6068</v>
      </c>
      <c r="B1546" s="8" t="s">
        <v>6069</v>
      </c>
      <c r="C1546" s="8" t="s">
        <v>6557</v>
      </c>
      <c r="D1546" s="32" t="s">
        <v>6984</v>
      </c>
      <c r="E1546" s="32" t="s">
        <v>6557</v>
      </c>
      <c r="F1546" s="10">
        <v>1</v>
      </c>
      <c r="G1546" s="8" t="s">
        <v>5101</v>
      </c>
      <c r="H1546" s="10">
        <v>67.3</v>
      </c>
      <c r="I1546" s="10">
        <f t="shared" si="26"/>
        <v>67.3</v>
      </c>
      <c r="J1546" s="10">
        <v>4.1522152771999998</v>
      </c>
      <c r="K1546" s="8" t="s">
        <v>5335</v>
      </c>
      <c r="S1546"/>
    </row>
    <row r="1547" spans="1:19" ht="15" x14ac:dyDescent="0.25">
      <c r="A1547" s="8" t="s">
        <v>6071</v>
      </c>
      <c r="B1547" s="8" t="s">
        <v>6069</v>
      </c>
      <c r="C1547" s="8" t="s">
        <v>6558</v>
      </c>
      <c r="D1547" s="32" t="s">
        <v>6984</v>
      </c>
      <c r="E1547" s="32" t="s">
        <v>6558</v>
      </c>
      <c r="F1547" s="10">
        <v>6</v>
      </c>
      <c r="G1547" s="8" t="s">
        <v>5101</v>
      </c>
      <c r="H1547" s="10">
        <v>67.183333333333337</v>
      </c>
      <c r="I1547" s="10">
        <f t="shared" si="26"/>
        <v>403.1</v>
      </c>
      <c r="J1547" s="10">
        <v>24.878239663199999</v>
      </c>
      <c r="K1547" s="8" t="s">
        <v>5335</v>
      </c>
      <c r="S1547"/>
    </row>
    <row r="1548" spans="1:19" ht="15" x14ac:dyDescent="0.25">
      <c r="A1548" s="8" t="s">
        <v>6071</v>
      </c>
      <c r="B1548" s="8" t="s">
        <v>6069</v>
      </c>
      <c r="C1548" s="8" t="s">
        <v>6559</v>
      </c>
      <c r="D1548" s="32" t="s">
        <v>6984</v>
      </c>
      <c r="E1548" s="32" t="s">
        <v>6559</v>
      </c>
      <c r="F1548" s="10">
        <v>1</v>
      </c>
      <c r="G1548" s="8" t="s">
        <v>5101</v>
      </c>
      <c r="H1548" s="10">
        <v>67.2</v>
      </c>
      <c r="I1548" s="10">
        <f t="shared" si="26"/>
        <v>67.2</v>
      </c>
      <c r="J1548" s="10">
        <v>4.1463732772000004</v>
      </c>
      <c r="K1548" s="8" t="s">
        <v>5335</v>
      </c>
      <c r="S1548"/>
    </row>
    <row r="1549" spans="1:19" ht="15" x14ac:dyDescent="0.25">
      <c r="A1549" s="8" t="s">
        <v>6071</v>
      </c>
      <c r="B1549" s="8" t="s">
        <v>6069</v>
      </c>
      <c r="C1549" s="8" t="s">
        <v>6560</v>
      </c>
      <c r="D1549" s="32" t="s">
        <v>6984</v>
      </c>
      <c r="E1549" s="32" t="s">
        <v>6560</v>
      </c>
      <c r="F1549" s="10">
        <v>1</v>
      </c>
      <c r="G1549" s="8" t="s">
        <v>5101</v>
      </c>
      <c r="H1549" s="10">
        <v>67.2</v>
      </c>
      <c r="I1549" s="10">
        <f t="shared" si="26"/>
        <v>67.2</v>
      </c>
      <c r="J1549" s="10">
        <v>4.1463732772000004</v>
      </c>
      <c r="K1549" s="8" t="s">
        <v>5335</v>
      </c>
      <c r="S1549"/>
    </row>
    <row r="1550" spans="1:19" ht="15" x14ac:dyDescent="0.25">
      <c r="A1550" s="8" t="s">
        <v>6071</v>
      </c>
      <c r="B1550" s="8" t="s">
        <v>6069</v>
      </c>
      <c r="C1550" s="8" t="s">
        <v>6561</v>
      </c>
      <c r="D1550" s="32" t="s">
        <v>6984</v>
      </c>
      <c r="E1550" s="32" t="s">
        <v>6561</v>
      </c>
      <c r="F1550" s="10">
        <v>1</v>
      </c>
      <c r="G1550" s="8" t="s">
        <v>5101</v>
      </c>
      <c r="H1550" s="10">
        <v>67.3</v>
      </c>
      <c r="I1550" s="10">
        <f t="shared" si="26"/>
        <v>67.3</v>
      </c>
      <c r="J1550" s="10">
        <v>4.1522152771999998</v>
      </c>
      <c r="K1550" s="8" t="s">
        <v>5335</v>
      </c>
      <c r="S1550"/>
    </row>
    <row r="1551" spans="1:19" ht="15" x14ac:dyDescent="0.25">
      <c r="A1551" s="8" t="s">
        <v>6071</v>
      </c>
      <c r="B1551" s="8" t="s">
        <v>6069</v>
      </c>
      <c r="C1551" s="8" t="s">
        <v>6562</v>
      </c>
      <c r="D1551" s="32" t="s">
        <v>6984</v>
      </c>
      <c r="E1551" s="32" t="s">
        <v>6562</v>
      </c>
      <c r="F1551" s="10">
        <v>1</v>
      </c>
      <c r="G1551" s="8" t="s">
        <v>5101</v>
      </c>
      <c r="H1551" s="10">
        <v>67.3</v>
      </c>
      <c r="I1551" s="10">
        <f t="shared" si="26"/>
        <v>67.3</v>
      </c>
      <c r="J1551" s="10">
        <v>4.1522152771999998</v>
      </c>
      <c r="K1551" s="8" t="s">
        <v>5335</v>
      </c>
      <c r="S1551"/>
    </row>
    <row r="1552" spans="1:19" ht="15" x14ac:dyDescent="0.25">
      <c r="A1552" s="8" t="s">
        <v>6071</v>
      </c>
      <c r="B1552" s="8" t="s">
        <v>6069</v>
      </c>
      <c r="C1552" s="8" t="s">
        <v>6563</v>
      </c>
      <c r="D1552" s="32" t="s">
        <v>6984</v>
      </c>
      <c r="E1552" s="32" t="s">
        <v>6563</v>
      </c>
      <c r="F1552" s="10">
        <v>1</v>
      </c>
      <c r="G1552" s="8" t="s">
        <v>5101</v>
      </c>
      <c r="H1552" s="10">
        <v>67.2</v>
      </c>
      <c r="I1552" s="10">
        <f t="shared" si="26"/>
        <v>67.2</v>
      </c>
      <c r="J1552" s="10">
        <v>4.1463732772000004</v>
      </c>
      <c r="K1552" s="8" t="s">
        <v>5335</v>
      </c>
      <c r="S1552"/>
    </row>
    <row r="1553" spans="1:19" ht="15" x14ac:dyDescent="0.25">
      <c r="A1553" s="8" t="s">
        <v>6068</v>
      </c>
      <c r="B1553" s="8" t="s">
        <v>6069</v>
      </c>
      <c r="C1553" s="8" t="s">
        <v>6564</v>
      </c>
      <c r="D1553" s="32" t="s">
        <v>6984</v>
      </c>
      <c r="E1553" s="32" t="s">
        <v>6564</v>
      </c>
      <c r="F1553" s="10">
        <v>1</v>
      </c>
      <c r="G1553" s="8" t="s">
        <v>5101</v>
      </c>
      <c r="H1553" s="10">
        <v>67.3</v>
      </c>
      <c r="I1553" s="10">
        <f t="shared" si="26"/>
        <v>67.3</v>
      </c>
      <c r="J1553" s="10">
        <v>4.1522152771999998</v>
      </c>
      <c r="K1553" s="8" t="s">
        <v>5335</v>
      </c>
      <c r="S1553"/>
    </row>
    <row r="1554" spans="1:19" ht="15" x14ac:dyDescent="0.25">
      <c r="A1554" s="8" t="s">
        <v>6068</v>
      </c>
      <c r="B1554" s="8" t="s">
        <v>6069</v>
      </c>
      <c r="C1554" s="8" t="s">
        <v>6565</v>
      </c>
      <c r="D1554" s="32" t="s">
        <v>6984</v>
      </c>
      <c r="E1554" s="32" t="s">
        <v>6565</v>
      </c>
      <c r="F1554" s="10">
        <v>1</v>
      </c>
      <c r="G1554" s="8" t="s">
        <v>5101</v>
      </c>
      <c r="H1554" s="10">
        <v>67.2</v>
      </c>
      <c r="I1554" s="10">
        <f t="shared" si="26"/>
        <v>67.2</v>
      </c>
      <c r="J1554" s="10">
        <v>4.1463732772000004</v>
      </c>
      <c r="K1554" s="8" t="s">
        <v>5335</v>
      </c>
      <c r="S1554"/>
    </row>
    <row r="1555" spans="1:19" ht="15" x14ac:dyDescent="0.25">
      <c r="A1555" s="8" t="s">
        <v>6068</v>
      </c>
      <c r="B1555" s="8" t="s">
        <v>6069</v>
      </c>
      <c r="C1555" s="8" t="s">
        <v>6566</v>
      </c>
      <c r="D1555" s="32" t="s">
        <v>6984</v>
      </c>
      <c r="E1555" s="32" t="s">
        <v>6566</v>
      </c>
      <c r="F1555" s="10">
        <v>1</v>
      </c>
      <c r="G1555" s="8" t="s">
        <v>5101</v>
      </c>
      <c r="H1555" s="10">
        <v>67.3</v>
      </c>
      <c r="I1555" s="10">
        <f t="shared" si="26"/>
        <v>67.3</v>
      </c>
      <c r="J1555" s="10">
        <v>4.1522152771999998</v>
      </c>
      <c r="K1555" s="8" t="s">
        <v>5335</v>
      </c>
      <c r="S1555"/>
    </row>
    <row r="1556" spans="1:19" ht="15" x14ac:dyDescent="0.25">
      <c r="A1556" s="8" t="s">
        <v>6068</v>
      </c>
      <c r="B1556" s="8" t="s">
        <v>6069</v>
      </c>
      <c r="C1556" s="8" t="s">
        <v>6567</v>
      </c>
      <c r="D1556" s="32" t="s">
        <v>6984</v>
      </c>
      <c r="E1556" s="32" t="s">
        <v>6567</v>
      </c>
      <c r="F1556" s="10">
        <v>1</v>
      </c>
      <c r="G1556" s="8" t="s">
        <v>5101</v>
      </c>
      <c r="H1556" s="10">
        <v>67.2</v>
      </c>
      <c r="I1556" s="10">
        <f t="shared" si="26"/>
        <v>67.2</v>
      </c>
      <c r="J1556" s="10">
        <v>4.1463732772000004</v>
      </c>
      <c r="K1556" s="8" t="s">
        <v>5335</v>
      </c>
      <c r="S1556"/>
    </row>
    <row r="1557" spans="1:19" ht="15" x14ac:dyDescent="0.25">
      <c r="A1557" s="8" t="s">
        <v>6068</v>
      </c>
      <c r="B1557" s="8" t="s">
        <v>6069</v>
      </c>
      <c r="C1557" s="8" t="s">
        <v>6568</v>
      </c>
      <c r="D1557" s="32" t="s">
        <v>6984</v>
      </c>
      <c r="E1557" s="32" t="s">
        <v>6568</v>
      </c>
      <c r="F1557" s="10">
        <v>1</v>
      </c>
      <c r="G1557" s="8" t="s">
        <v>5101</v>
      </c>
      <c r="H1557" s="10">
        <v>67.2</v>
      </c>
      <c r="I1557" s="10">
        <f t="shared" si="26"/>
        <v>67.2</v>
      </c>
      <c r="J1557" s="10">
        <v>4.1463732772000004</v>
      </c>
      <c r="K1557" s="8" t="s">
        <v>5335</v>
      </c>
      <c r="S1557"/>
    </row>
    <row r="1558" spans="1:19" ht="15" x14ac:dyDescent="0.25">
      <c r="A1558" s="8" t="s">
        <v>6068</v>
      </c>
      <c r="B1558" s="8" t="s">
        <v>6069</v>
      </c>
      <c r="C1558" s="8" t="s">
        <v>6569</v>
      </c>
      <c r="D1558" s="32" t="s">
        <v>6984</v>
      </c>
      <c r="E1558" s="32" t="s">
        <v>6569</v>
      </c>
      <c r="F1558" s="10">
        <v>1</v>
      </c>
      <c r="G1558" s="8" t="s">
        <v>5101</v>
      </c>
      <c r="H1558" s="10">
        <v>67.2</v>
      </c>
      <c r="I1558" s="10">
        <f t="shared" si="26"/>
        <v>67.2</v>
      </c>
      <c r="J1558" s="10">
        <v>4.1463732772000004</v>
      </c>
      <c r="K1558" s="8" t="s">
        <v>5335</v>
      </c>
      <c r="S1558"/>
    </row>
    <row r="1559" spans="1:19" ht="15" x14ac:dyDescent="0.25">
      <c r="A1559" s="8" t="s">
        <v>6068</v>
      </c>
      <c r="B1559" s="8" t="s">
        <v>6069</v>
      </c>
      <c r="C1559" s="8" t="s">
        <v>6570</v>
      </c>
      <c r="D1559" s="32" t="s">
        <v>6984</v>
      </c>
      <c r="E1559" s="32" t="s">
        <v>6570</v>
      </c>
      <c r="F1559" s="10">
        <v>1</v>
      </c>
      <c r="G1559" s="8" t="s">
        <v>5101</v>
      </c>
      <c r="H1559" s="10">
        <v>67.3</v>
      </c>
      <c r="I1559" s="10">
        <f t="shared" si="26"/>
        <v>67.3</v>
      </c>
      <c r="J1559" s="10">
        <v>4.1522152771999998</v>
      </c>
      <c r="K1559" s="8" t="s">
        <v>5335</v>
      </c>
      <c r="S1559"/>
    </row>
    <row r="1560" spans="1:19" ht="15" x14ac:dyDescent="0.25">
      <c r="A1560" s="8" t="s">
        <v>6071</v>
      </c>
      <c r="B1560" s="8" t="s">
        <v>6069</v>
      </c>
      <c r="C1560" s="8" t="s">
        <v>6571</v>
      </c>
      <c r="D1560" s="32" t="s">
        <v>6984</v>
      </c>
      <c r="E1560" s="32" t="s">
        <v>6571</v>
      </c>
      <c r="F1560" s="10">
        <v>1</v>
      </c>
      <c r="G1560" s="8" t="s">
        <v>5101</v>
      </c>
      <c r="H1560" s="10">
        <v>47.9</v>
      </c>
      <c r="I1560" s="10">
        <f t="shared" si="26"/>
        <v>47.9</v>
      </c>
      <c r="J1560" s="10">
        <v>2.7559075611999999</v>
      </c>
      <c r="K1560" s="8" t="s">
        <v>5335</v>
      </c>
      <c r="S1560"/>
    </row>
    <row r="1561" spans="1:19" ht="15" x14ac:dyDescent="0.25">
      <c r="A1561" s="8" t="s">
        <v>6071</v>
      </c>
      <c r="B1561" s="8" t="s">
        <v>6069</v>
      </c>
      <c r="C1561" s="8" t="s">
        <v>6572</v>
      </c>
      <c r="D1561" s="32" t="s">
        <v>6984</v>
      </c>
      <c r="E1561" s="32" t="s">
        <v>6572</v>
      </c>
      <c r="F1561" s="10">
        <v>1</v>
      </c>
      <c r="G1561" s="8" t="s">
        <v>5101</v>
      </c>
      <c r="H1561" s="10">
        <v>58</v>
      </c>
      <c r="I1561" s="10">
        <f t="shared" si="26"/>
        <v>58</v>
      </c>
      <c r="J1561" s="10">
        <v>3.5698618076000002</v>
      </c>
      <c r="K1561" s="8" t="s">
        <v>5335</v>
      </c>
      <c r="S1561"/>
    </row>
    <row r="1562" spans="1:19" ht="15" x14ac:dyDescent="0.25">
      <c r="A1562" s="8" t="s">
        <v>6068</v>
      </c>
      <c r="B1562" s="8" t="s">
        <v>6069</v>
      </c>
      <c r="C1562" s="8" t="s">
        <v>6573</v>
      </c>
      <c r="D1562" s="32" t="s">
        <v>6984</v>
      </c>
      <c r="E1562" s="32" t="s">
        <v>6573</v>
      </c>
      <c r="F1562" s="10">
        <v>1</v>
      </c>
      <c r="G1562" s="8" t="s">
        <v>5101</v>
      </c>
      <c r="H1562" s="10">
        <v>92.2</v>
      </c>
      <c r="I1562" s="10">
        <f t="shared" si="26"/>
        <v>92.2</v>
      </c>
      <c r="J1562" s="10">
        <v>6.0037252963999999</v>
      </c>
      <c r="K1562" s="8" t="s">
        <v>5335</v>
      </c>
      <c r="S1562"/>
    </row>
    <row r="1563" spans="1:19" ht="15" x14ac:dyDescent="0.25">
      <c r="A1563" s="8" t="s">
        <v>6071</v>
      </c>
      <c r="B1563" s="8" t="s">
        <v>6069</v>
      </c>
      <c r="C1563" s="8" t="s">
        <v>6574</v>
      </c>
      <c r="D1563" s="32" t="s">
        <v>6984</v>
      </c>
      <c r="E1563" s="32" t="s">
        <v>6574</v>
      </c>
      <c r="F1563" s="10">
        <v>2</v>
      </c>
      <c r="G1563" s="8" t="s">
        <v>5101</v>
      </c>
      <c r="H1563" s="10">
        <v>92.2</v>
      </c>
      <c r="I1563" s="10">
        <f t="shared" si="26"/>
        <v>184.4</v>
      </c>
      <c r="J1563" s="10">
        <v>12.0074505928</v>
      </c>
      <c r="K1563" s="8" t="s">
        <v>5335</v>
      </c>
      <c r="S1563"/>
    </row>
    <row r="1564" spans="1:19" ht="15" x14ac:dyDescent="0.25">
      <c r="A1564" s="8" t="s">
        <v>6071</v>
      </c>
      <c r="B1564" s="8" t="s">
        <v>6069</v>
      </c>
      <c r="C1564" s="8" t="s">
        <v>6575</v>
      </c>
      <c r="D1564" s="32" t="s">
        <v>6984</v>
      </c>
      <c r="E1564" s="32" t="s">
        <v>6575</v>
      </c>
      <c r="F1564" s="10">
        <v>1</v>
      </c>
      <c r="G1564" s="8" t="s">
        <v>5101</v>
      </c>
      <c r="H1564" s="10">
        <v>66.099999999999994</v>
      </c>
      <c r="I1564" s="10">
        <f t="shared" si="26"/>
        <v>66.099999999999994</v>
      </c>
      <c r="J1564" s="10">
        <v>4.2236661315999999</v>
      </c>
      <c r="K1564" s="8" t="s">
        <v>5335</v>
      </c>
      <c r="S1564"/>
    </row>
    <row r="1565" spans="1:19" ht="15" x14ac:dyDescent="0.25">
      <c r="A1565" s="8" t="s">
        <v>6071</v>
      </c>
      <c r="B1565" s="8" t="s">
        <v>6069</v>
      </c>
      <c r="C1565" s="8" t="s">
        <v>6576</v>
      </c>
      <c r="D1565" s="32" t="s">
        <v>6984</v>
      </c>
      <c r="E1565" s="32" t="s">
        <v>6576</v>
      </c>
      <c r="F1565" s="10">
        <v>1</v>
      </c>
      <c r="G1565" s="8" t="s">
        <v>5101</v>
      </c>
      <c r="H1565" s="10">
        <v>57.9</v>
      </c>
      <c r="I1565" s="10">
        <f t="shared" si="26"/>
        <v>57.9</v>
      </c>
      <c r="J1565" s="10">
        <v>3.5581080219999999</v>
      </c>
      <c r="K1565" s="8" t="s">
        <v>5335</v>
      </c>
      <c r="S1565"/>
    </row>
    <row r="1566" spans="1:19" ht="15" x14ac:dyDescent="0.25">
      <c r="A1566" s="8" t="s">
        <v>6071</v>
      </c>
      <c r="B1566" s="8" t="s">
        <v>6069</v>
      </c>
      <c r="C1566" s="8" t="s">
        <v>6577</v>
      </c>
      <c r="D1566" s="32" t="s">
        <v>6984</v>
      </c>
      <c r="E1566" s="32" t="s">
        <v>6577</v>
      </c>
      <c r="F1566" s="10">
        <v>1</v>
      </c>
      <c r="G1566" s="8" t="s">
        <v>5101</v>
      </c>
      <c r="H1566" s="10">
        <v>135.9</v>
      </c>
      <c r="I1566" s="10">
        <f t="shared" si="26"/>
        <v>135.9</v>
      </c>
      <c r="J1566" s="10">
        <v>9.2001156260000005</v>
      </c>
      <c r="K1566" s="8" t="s">
        <v>5335</v>
      </c>
      <c r="S1566"/>
    </row>
    <row r="1567" spans="1:19" ht="15" x14ac:dyDescent="0.25">
      <c r="A1567" s="8" t="s">
        <v>6071</v>
      </c>
      <c r="B1567" s="8" t="s">
        <v>6069</v>
      </c>
      <c r="C1567" s="8" t="s">
        <v>6578</v>
      </c>
      <c r="D1567" s="32" t="s">
        <v>6984</v>
      </c>
      <c r="E1567" s="32" t="s">
        <v>6578</v>
      </c>
      <c r="F1567" s="10">
        <v>1</v>
      </c>
      <c r="G1567" s="8" t="s">
        <v>5101</v>
      </c>
      <c r="H1567" s="10">
        <v>94.7</v>
      </c>
      <c r="I1567" s="10">
        <f t="shared" si="26"/>
        <v>94.7</v>
      </c>
      <c r="J1567" s="10">
        <v>6.2020704283999999</v>
      </c>
      <c r="K1567" s="8" t="s">
        <v>5335</v>
      </c>
      <c r="S1567"/>
    </row>
    <row r="1568" spans="1:19" ht="15" x14ac:dyDescent="0.25">
      <c r="A1568" s="8" t="s">
        <v>6071</v>
      </c>
      <c r="B1568" s="8" t="s">
        <v>6069</v>
      </c>
      <c r="C1568" s="8" t="s">
        <v>6579</v>
      </c>
      <c r="D1568" s="32" t="s">
        <v>6984</v>
      </c>
      <c r="E1568" s="32" t="s">
        <v>6579</v>
      </c>
      <c r="F1568" s="10">
        <v>1</v>
      </c>
      <c r="G1568" s="8" t="s">
        <v>5101</v>
      </c>
      <c r="H1568" s="10">
        <v>114.4</v>
      </c>
      <c r="I1568" s="10">
        <f t="shared" si="26"/>
        <v>114.4</v>
      </c>
      <c r="J1568" s="10">
        <v>7.4620245803999996</v>
      </c>
      <c r="K1568" s="8" t="s">
        <v>5335</v>
      </c>
      <c r="S1568"/>
    </row>
    <row r="1569" spans="1:19" ht="15" x14ac:dyDescent="0.25">
      <c r="A1569" s="8" t="s">
        <v>6071</v>
      </c>
      <c r="B1569" s="8" t="s">
        <v>6069</v>
      </c>
      <c r="C1569" s="8" t="s">
        <v>6580</v>
      </c>
      <c r="D1569" s="32" t="s">
        <v>6984</v>
      </c>
      <c r="E1569" s="32" t="s">
        <v>6580</v>
      </c>
      <c r="F1569" s="10">
        <v>2</v>
      </c>
      <c r="G1569" s="8" t="s">
        <v>5101</v>
      </c>
      <c r="H1569" s="10">
        <v>116</v>
      </c>
      <c r="I1569" s="10">
        <f t="shared" si="26"/>
        <v>232</v>
      </c>
      <c r="J1569" s="10">
        <v>15.191447783199999</v>
      </c>
      <c r="K1569" s="8" t="s">
        <v>5335</v>
      </c>
      <c r="S1569"/>
    </row>
    <row r="1570" spans="1:19" ht="15" x14ac:dyDescent="0.25">
      <c r="A1570" s="8" t="s">
        <v>6068</v>
      </c>
      <c r="B1570" s="8" t="s">
        <v>6069</v>
      </c>
      <c r="C1570" s="8" t="s">
        <v>6581</v>
      </c>
      <c r="D1570" s="32" t="s">
        <v>6984</v>
      </c>
      <c r="E1570" s="32" t="s">
        <v>6581</v>
      </c>
      <c r="F1570" s="10">
        <v>1</v>
      </c>
      <c r="G1570" s="8" t="s">
        <v>5101</v>
      </c>
      <c r="H1570" s="10">
        <v>88</v>
      </c>
      <c r="I1570" s="10">
        <f t="shared" si="26"/>
        <v>88</v>
      </c>
      <c r="J1570" s="10">
        <v>5.6599270676</v>
      </c>
      <c r="K1570" s="8" t="s">
        <v>5335</v>
      </c>
      <c r="S1570"/>
    </row>
    <row r="1571" spans="1:19" ht="15" x14ac:dyDescent="0.25">
      <c r="A1571" s="8" t="s">
        <v>6068</v>
      </c>
      <c r="B1571" s="8" t="s">
        <v>6069</v>
      </c>
      <c r="C1571" s="8" t="s">
        <v>6582</v>
      </c>
      <c r="D1571" s="32" t="s">
        <v>6984</v>
      </c>
      <c r="E1571" s="32" t="s">
        <v>6582</v>
      </c>
      <c r="F1571" s="10">
        <v>2</v>
      </c>
      <c r="G1571" s="8" t="s">
        <v>5101</v>
      </c>
      <c r="H1571" s="10">
        <v>124.95</v>
      </c>
      <c r="I1571" s="10">
        <f t="shared" si="26"/>
        <v>249.9</v>
      </c>
      <c r="J1571" s="10">
        <v>16.635709812000002</v>
      </c>
      <c r="K1571" s="8" t="s">
        <v>5335</v>
      </c>
      <c r="S1571"/>
    </row>
    <row r="1572" spans="1:19" ht="15" x14ac:dyDescent="0.25">
      <c r="A1572" s="8" t="s">
        <v>6068</v>
      </c>
      <c r="B1572" s="8" t="s">
        <v>6069</v>
      </c>
      <c r="C1572" s="8" t="s">
        <v>6583</v>
      </c>
      <c r="D1572" s="32" t="s">
        <v>6984</v>
      </c>
      <c r="E1572" s="32" t="s">
        <v>6583</v>
      </c>
      <c r="F1572" s="10">
        <v>1</v>
      </c>
      <c r="G1572" s="8" t="s">
        <v>5101</v>
      </c>
      <c r="H1572" s="10">
        <v>92.4</v>
      </c>
      <c r="I1572" s="10">
        <f t="shared" si="26"/>
        <v>92.4</v>
      </c>
      <c r="J1572" s="10">
        <v>6.0213559747999996</v>
      </c>
      <c r="K1572" s="8" t="s">
        <v>5335</v>
      </c>
      <c r="S1572"/>
    </row>
    <row r="1573" spans="1:19" ht="15" x14ac:dyDescent="0.25">
      <c r="A1573" s="8" t="s">
        <v>6068</v>
      </c>
      <c r="B1573" s="8" t="s">
        <v>6069</v>
      </c>
      <c r="C1573" s="8" t="s">
        <v>6584</v>
      </c>
      <c r="D1573" s="32" t="s">
        <v>6984</v>
      </c>
      <c r="E1573" s="32" t="s">
        <v>6584</v>
      </c>
      <c r="F1573" s="10">
        <v>1</v>
      </c>
      <c r="G1573" s="8" t="s">
        <v>5101</v>
      </c>
      <c r="H1573" s="10">
        <v>155.6</v>
      </c>
      <c r="I1573" s="10">
        <f t="shared" si="26"/>
        <v>155.6</v>
      </c>
      <c r="J1573" s="10">
        <v>10.465946670799999</v>
      </c>
      <c r="K1573" s="8" t="s">
        <v>5335</v>
      </c>
      <c r="S1573"/>
    </row>
    <row r="1574" spans="1:19" ht="15" x14ac:dyDescent="0.25">
      <c r="A1574" s="8" t="s">
        <v>6068</v>
      </c>
      <c r="B1574" s="8" t="s">
        <v>6069</v>
      </c>
      <c r="C1574" s="8" t="s">
        <v>6585</v>
      </c>
      <c r="D1574" s="32" t="s">
        <v>6984</v>
      </c>
      <c r="E1574" s="32" t="s">
        <v>6585</v>
      </c>
      <c r="F1574" s="10">
        <v>1</v>
      </c>
      <c r="G1574" s="8" t="s">
        <v>5101</v>
      </c>
      <c r="H1574" s="10">
        <v>57.3</v>
      </c>
      <c r="I1574" s="10">
        <f t="shared" si="26"/>
        <v>57.3</v>
      </c>
      <c r="J1574" s="10">
        <v>3.5110928796</v>
      </c>
      <c r="K1574" s="8" t="s">
        <v>5335</v>
      </c>
      <c r="S1574"/>
    </row>
    <row r="1575" spans="1:19" ht="15" x14ac:dyDescent="0.25">
      <c r="A1575" s="8" t="s">
        <v>6068</v>
      </c>
      <c r="B1575" s="8" t="s">
        <v>6069</v>
      </c>
      <c r="C1575" s="8" t="s">
        <v>6586</v>
      </c>
      <c r="D1575" s="32" t="s">
        <v>6984</v>
      </c>
      <c r="E1575" s="32" t="s">
        <v>6586</v>
      </c>
      <c r="F1575" s="10">
        <v>1</v>
      </c>
      <c r="G1575" s="8" t="s">
        <v>5101</v>
      </c>
      <c r="H1575" s="10">
        <v>124</v>
      </c>
      <c r="I1575" s="10">
        <f t="shared" si="26"/>
        <v>124</v>
      </c>
      <c r="J1575" s="10">
        <v>8.2421820996000008</v>
      </c>
      <c r="K1575" s="8" t="s">
        <v>5335</v>
      </c>
      <c r="S1575"/>
    </row>
    <row r="1576" spans="1:19" ht="15" x14ac:dyDescent="0.25">
      <c r="A1576" s="8" t="s">
        <v>6068</v>
      </c>
      <c r="B1576" s="8" t="s">
        <v>6069</v>
      </c>
      <c r="C1576" s="8" t="s">
        <v>6587</v>
      </c>
      <c r="D1576" s="32" t="s">
        <v>6984</v>
      </c>
      <c r="E1576" s="32" t="s">
        <v>6587</v>
      </c>
      <c r="F1576" s="10">
        <v>1</v>
      </c>
      <c r="G1576" s="8" t="s">
        <v>5101</v>
      </c>
      <c r="H1576" s="10">
        <v>58.3</v>
      </c>
      <c r="I1576" s="10">
        <f t="shared" si="26"/>
        <v>58.3</v>
      </c>
      <c r="J1576" s="10">
        <v>3.5963078251999998</v>
      </c>
      <c r="K1576" s="8" t="s">
        <v>5335</v>
      </c>
      <c r="S1576"/>
    </row>
    <row r="1577" spans="1:19" ht="15" x14ac:dyDescent="0.25">
      <c r="A1577" s="8" t="s">
        <v>6071</v>
      </c>
      <c r="B1577" s="8" t="s">
        <v>6069</v>
      </c>
      <c r="C1577" s="8" t="s">
        <v>6588</v>
      </c>
      <c r="D1577" s="32" t="s">
        <v>6984</v>
      </c>
      <c r="E1577" s="32" t="s">
        <v>6588</v>
      </c>
      <c r="F1577" s="10">
        <v>2</v>
      </c>
      <c r="G1577" s="8" t="s">
        <v>5101</v>
      </c>
      <c r="H1577" s="10">
        <v>116.55</v>
      </c>
      <c r="I1577" s="10">
        <f t="shared" si="26"/>
        <v>233.1</v>
      </c>
      <c r="J1577" s="10">
        <v>15.2796011752</v>
      </c>
      <c r="K1577" s="8" t="s">
        <v>5335</v>
      </c>
      <c r="S1577"/>
    </row>
    <row r="1578" spans="1:19" ht="15" x14ac:dyDescent="0.25">
      <c r="A1578" s="8" t="s">
        <v>6071</v>
      </c>
      <c r="B1578" s="8" t="s">
        <v>6069</v>
      </c>
      <c r="C1578" s="8" t="s">
        <v>6589</v>
      </c>
      <c r="D1578" s="32" t="s">
        <v>6984</v>
      </c>
      <c r="E1578" s="32" t="s">
        <v>6589</v>
      </c>
      <c r="F1578" s="10">
        <v>6</v>
      </c>
      <c r="G1578" s="8" t="s">
        <v>5101</v>
      </c>
      <c r="H1578" s="10">
        <v>116.55</v>
      </c>
      <c r="I1578" s="10">
        <f t="shared" si="26"/>
        <v>699.3</v>
      </c>
      <c r="J1578" s="10">
        <v>45.838803525599999</v>
      </c>
      <c r="K1578" s="8" t="s">
        <v>5335</v>
      </c>
      <c r="S1578"/>
    </row>
    <row r="1579" spans="1:19" ht="15" x14ac:dyDescent="0.25">
      <c r="A1579" s="8" t="s">
        <v>6071</v>
      </c>
      <c r="B1579" s="8" t="s">
        <v>6069</v>
      </c>
      <c r="C1579" s="8" t="s">
        <v>6590</v>
      </c>
      <c r="D1579" s="32" t="s">
        <v>6984</v>
      </c>
      <c r="E1579" s="32" t="s">
        <v>6590</v>
      </c>
      <c r="F1579" s="10">
        <v>6</v>
      </c>
      <c r="G1579" s="8" t="s">
        <v>5101</v>
      </c>
      <c r="H1579" s="10">
        <v>116.55</v>
      </c>
      <c r="I1579" s="10">
        <f t="shared" si="26"/>
        <v>699.3</v>
      </c>
      <c r="J1579" s="10">
        <v>45.838803525599999</v>
      </c>
      <c r="K1579" s="8" t="s">
        <v>5335</v>
      </c>
      <c r="S1579"/>
    </row>
    <row r="1580" spans="1:19" ht="15" x14ac:dyDescent="0.25">
      <c r="A1580" s="8" t="s">
        <v>6068</v>
      </c>
      <c r="B1580" s="8" t="s">
        <v>6069</v>
      </c>
      <c r="C1580" s="8" t="s">
        <v>6591</v>
      </c>
      <c r="D1580" s="32" t="s">
        <v>6984</v>
      </c>
      <c r="E1580" s="32" t="s">
        <v>6591</v>
      </c>
      <c r="F1580" s="10">
        <v>2</v>
      </c>
      <c r="G1580" s="8" t="s">
        <v>5101</v>
      </c>
      <c r="H1580" s="10">
        <v>98.7</v>
      </c>
      <c r="I1580" s="10">
        <f t="shared" si="26"/>
        <v>197.4</v>
      </c>
      <c r="J1580" s="10">
        <v>13.0535375112</v>
      </c>
      <c r="K1580" s="8" t="s">
        <v>5335</v>
      </c>
      <c r="S1580"/>
    </row>
    <row r="1581" spans="1:19" ht="15" x14ac:dyDescent="0.25">
      <c r="A1581" s="8" t="s">
        <v>6068</v>
      </c>
      <c r="B1581" s="8" t="s">
        <v>6069</v>
      </c>
      <c r="C1581" s="8" t="s">
        <v>6592</v>
      </c>
      <c r="D1581" s="32" t="s">
        <v>6984</v>
      </c>
      <c r="E1581" s="32" t="s">
        <v>6592</v>
      </c>
      <c r="F1581" s="10">
        <v>1</v>
      </c>
      <c r="G1581" s="8" t="s">
        <v>5101</v>
      </c>
      <c r="H1581" s="10">
        <v>62.6</v>
      </c>
      <c r="I1581" s="10">
        <f t="shared" si="26"/>
        <v>62.6</v>
      </c>
      <c r="J1581" s="10">
        <v>3.9445137236000001</v>
      </c>
      <c r="K1581" s="8" t="s">
        <v>5335</v>
      </c>
      <c r="S1581"/>
    </row>
    <row r="1582" spans="1:19" ht="15" x14ac:dyDescent="0.25">
      <c r="A1582" s="8" t="s">
        <v>6071</v>
      </c>
      <c r="B1582" s="8" t="s">
        <v>6069</v>
      </c>
      <c r="C1582" s="8" t="s">
        <v>6593</v>
      </c>
      <c r="D1582" s="32" t="s">
        <v>6984</v>
      </c>
      <c r="E1582" s="32" t="s">
        <v>6593</v>
      </c>
      <c r="F1582" s="10">
        <v>2</v>
      </c>
      <c r="G1582" s="8" t="s">
        <v>5101</v>
      </c>
      <c r="H1582" s="10">
        <v>62.65</v>
      </c>
      <c r="I1582" s="10">
        <f t="shared" si="26"/>
        <v>125.3</v>
      </c>
      <c r="J1582" s="10">
        <v>7.8890274472000002</v>
      </c>
      <c r="K1582" s="8" t="s">
        <v>5335</v>
      </c>
      <c r="S1582"/>
    </row>
    <row r="1583" spans="1:19" ht="15" x14ac:dyDescent="0.25">
      <c r="A1583" s="8" t="s">
        <v>6068</v>
      </c>
      <c r="B1583" s="8" t="s">
        <v>6069</v>
      </c>
      <c r="C1583" s="8" t="s">
        <v>6594</v>
      </c>
      <c r="D1583" s="32" t="s">
        <v>6984</v>
      </c>
      <c r="E1583" s="32" t="s">
        <v>6594</v>
      </c>
      <c r="F1583" s="10">
        <v>1</v>
      </c>
      <c r="G1583" s="8" t="s">
        <v>5101</v>
      </c>
      <c r="H1583" s="10">
        <v>125.7</v>
      </c>
      <c r="I1583" s="10">
        <f t="shared" si="26"/>
        <v>125.7</v>
      </c>
      <c r="J1583" s="10">
        <v>8.3817583035999998</v>
      </c>
      <c r="K1583" s="8" t="s">
        <v>5335</v>
      </c>
      <c r="S1583"/>
    </row>
    <row r="1584" spans="1:19" ht="15" x14ac:dyDescent="0.25">
      <c r="A1584" s="8" t="s">
        <v>6071</v>
      </c>
      <c r="B1584" s="8" t="s">
        <v>6069</v>
      </c>
      <c r="C1584" s="8" t="s">
        <v>6595</v>
      </c>
      <c r="D1584" s="32" t="s">
        <v>6984</v>
      </c>
      <c r="E1584" s="32" t="s">
        <v>6595</v>
      </c>
      <c r="F1584" s="10">
        <v>1</v>
      </c>
      <c r="G1584" s="8" t="s">
        <v>5101</v>
      </c>
      <c r="H1584" s="10">
        <v>125.7</v>
      </c>
      <c r="I1584" s="10">
        <f t="shared" si="26"/>
        <v>125.7</v>
      </c>
      <c r="J1584" s="10">
        <v>8.3817583035999998</v>
      </c>
      <c r="K1584" s="8" t="s">
        <v>5335</v>
      </c>
      <c r="S1584"/>
    </row>
    <row r="1585" spans="1:19" ht="15" x14ac:dyDescent="0.25">
      <c r="A1585" s="8" t="s">
        <v>6071</v>
      </c>
      <c r="B1585" s="8" t="s">
        <v>6069</v>
      </c>
      <c r="C1585" s="8" t="s">
        <v>6596</v>
      </c>
      <c r="D1585" s="32" t="s">
        <v>6984</v>
      </c>
      <c r="E1585" s="32" t="s">
        <v>6596</v>
      </c>
      <c r="F1585" s="10">
        <v>1</v>
      </c>
      <c r="G1585" s="8" t="s">
        <v>5101</v>
      </c>
      <c r="H1585" s="10">
        <v>82.7</v>
      </c>
      <c r="I1585" s="10">
        <f t="shared" si="26"/>
        <v>82.7</v>
      </c>
      <c r="J1585" s="10">
        <v>5.2338523396000003</v>
      </c>
      <c r="K1585" s="8" t="s">
        <v>5335</v>
      </c>
      <c r="S1585"/>
    </row>
    <row r="1586" spans="1:19" ht="15" x14ac:dyDescent="0.25">
      <c r="A1586" s="8" t="s">
        <v>6071</v>
      </c>
      <c r="B1586" s="8" t="s">
        <v>6069</v>
      </c>
      <c r="C1586" s="8" t="s">
        <v>6597</v>
      </c>
      <c r="D1586" s="32" t="s">
        <v>6984</v>
      </c>
      <c r="E1586" s="32" t="s">
        <v>6597</v>
      </c>
      <c r="F1586" s="10">
        <v>8</v>
      </c>
      <c r="G1586" s="8" t="s">
        <v>5101</v>
      </c>
      <c r="H1586" s="10">
        <v>52.112499999999997</v>
      </c>
      <c r="I1586" s="10">
        <f t="shared" si="26"/>
        <v>416.9</v>
      </c>
      <c r="J1586" s="10">
        <v>24.1424719392</v>
      </c>
      <c r="K1586" s="8" t="s">
        <v>5335</v>
      </c>
      <c r="S1586"/>
    </row>
    <row r="1587" spans="1:19" ht="15" x14ac:dyDescent="0.25">
      <c r="A1587" s="8" t="s">
        <v>6071</v>
      </c>
      <c r="B1587" s="8" t="s">
        <v>6069</v>
      </c>
      <c r="C1587" s="8" t="s">
        <v>6598</v>
      </c>
      <c r="D1587" s="32" t="s">
        <v>6984</v>
      </c>
      <c r="E1587" s="32" t="s">
        <v>6598</v>
      </c>
      <c r="F1587" s="10">
        <v>8</v>
      </c>
      <c r="G1587" s="8" t="s">
        <v>5101</v>
      </c>
      <c r="H1587" s="10">
        <v>50.237499999999997</v>
      </c>
      <c r="I1587" s="10">
        <f t="shared" si="26"/>
        <v>401.9</v>
      </c>
      <c r="J1587" s="10">
        <v>22.925621379199999</v>
      </c>
      <c r="K1587" s="8" t="s">
        <v>5335</v>
      </c>
      <c r="S1587"/>
    </row>
    <row r="1588" spans="1:19" ht="15" x14ac:dyDescent="0.25">
      <c r="A1588" s="8" t="s">
        <v>6071</v>
      </c>
      <c r="B1588" s="8" t="s">
        <v>6069</v>
      </c>
      <c r="C1588" s="8" t="s">
        <v>6599</v>
      </c>
      <c r="D1588" s="32" t="s">
        <v>6984</v>
      </c>
      <c r="E1588" s="32" t="s">
        <v>6599</v>
      </c>
      <c r="F1588" s="10">
        <v>8</v>
      </c>
      <c r="G1588" s="8" t="s">
        <v>5101</v>
      </c>
      <c r="H1588" s="10">
        <v>52.112499999999997</v>
      </c>
      <c r="I1588" s="10">
        <f t="shared" si="26"/>
        <v>416.9</v>
      </c>
      <c r="J1588" s="10">
        <v>24.1424719392</v>
      </c>
      <c r="K1588" s="8" t="s">
        <v>5335</v>
      </c>
      <c r="S1588"/>
    </row>
    <row r="1589" spans="1:19" ht="15" x14ac:dyDescent="0.25">
      <c r="A1589" s="8" t="s">
        <v>6071</v>
      </c>
      <c r="B1589" s="8" t="s">
        <v>6069</v>
      </c>
      <c r="C1589" s="8" t="s">
        <v>6600</v>
      </c>
      <c r="D1589" s="32" t="s">
        <v>6984</v>
      </c>
      <c r="E1589" s="32" t="s">
        <v>6600</v>
      </c>
      <c r="F1589" s="10">
        <v>8</v>
      </c>
      <c r="G1589" s="8" t="s">
        <v>5101</v>
      </c>
      <c r="H1589" s="10">
        <v>50.237499999999997</v>
      </c>
      <c r="I1589" s="10">
        <f t="shared" si="26"/>
        <v>401.9</v>
      </c>
      <c r="J1589" s="10">
        <v>22.925621379199999</v>
      </c>
      <c r="K1589" s="8" t="s">
        <v>5335</v>
      </c>
      <c r="S1589"/>
    </row>
    <row r="1590" spans="1:19" ht="15" x14ac:dyDescent="0.25">
      <c r="A1590" s="8" t="s">
        <v>6071</v>
      </c>
      <c r="B1590" s="8" t="s">
        <v>6069</v>
      </c>
      <c r="C1590" s="8" t="s">
        <v>6601</v>
      </c>
      <c r="D1590" s="32" t="s">
        <v>6984</v>
      </c>
      <c r="E1590" s="32" t="s">
        <v>6601</v>
      </c>
      <c r="F1590" s="10">
        <v>1</v>
      </c>
      <c r="G1590" s="8" t="s">
        <v>5101</v>
      </c>
      <c r="H1590" s="10">
        <v>125.6</v>
      </c>
      <c r="I1590" s="10">
        <f t="shared" si="26"/>
        <v>125.6</v>
      </c>
      <c r="J1590" s="10">
        <v>8.3745843927999992</v>
      </c>
      <c r="K1590" s="8" t="s">
        <v>5335</v>
      </c>
      <c r="S1590"/>
    </row>
    <row r="1591" spans="1:19" ht="15" x14ac:dyDescent="0.25">
      <c r="A1591" s="8" t="s">
        <v>6068</v>
      </c>
      <c r="B1591" s="8" t="s">
        <v>6069</v>
      </c>
      <c r="C1591" s="8" t="s">
        <v>6602</v>
      </c>
      <c r="D1591" s="32" t="s">
        <v>6984</v>
      </c>
      <c r="E1591" s="32" t="s">
        <v>6602</v>
      </c>
      <c r="F1591" s="10">
        <v>4</v>
      </c>
      <c r="G1591" s="8" t="s">
        <v>5101</v>
      </c>
      <c r="H1591" s="10">
        <v>120.55</v>
      </c>
      <c r="I1591" s="10">
        <f t="shared" si="26"/>
        <v>482.2</v>
      </c>
      <c r="J1591" s="10">
        <v>31.849211566400001</v>
      </c>
      <c r="K1591" s="8" t="s">
        <v>5335</v>
      </c>
      <c r="S1591"/>
    </row>
    <row r="1592" spans="1:19" ht="15" x14ac:dyDescent="0.25">
      <c r="A1592" s="8" t="s">
        <v>6071</v>
      </c>
      <c r="B1592" s="8" t="s">
        <v>6069</v>
      </c>
      <c r="C1592" s="8" t="s">
        <v>6603</v>
      </c>
      <c r="D1592" s="32" t="s">
        <v>6984</v>
      </c>
      <c r="E1592" s="32" t="s">
        <v>6603</v>
      </c>
      <c r="F1592" s="10">
        <v>1</v>
      </c>
      <c r="G1592" s="8" t="s">
        <v>5101</v>
      </c>
      <c r="H1592" s="10">
        <v>27.4</v>
      </c>
      <c r="I1592" s="10">
        <f t="shared" si="26"/>
        <v>27.4</v>
      </c>
      <c r="J1592" s="10">
        <v>1.4325274511999999</v>
      </c>
      <c r="K1592" s="8" t="s">
        <v>5335</v>
      </c>
      <c r="S1592"/>
    </row>
    <row r="1593" spans="1:19" ht="15" x14ac:dyDescent="0.25">
      <c r="A1593" s="8" t="s">
        <v>6071</v>
      </c>
      <c r="B1593" s="8" t="s">
        <v>6069</v>
      </c>
      <c r="C1593" s="8" t="s">
        <v>6604</v>
      </c>
      <c r="D1593" s="32" t="s">
        <v>6984</v>
      </c>
      <c r="E1593" s="32" t="s">
        <v>6604</v>
      </c>
      <c r="F1593" s="10">
        <v>9</v>
      </c>
      <c r="G1593" s="8" t="s">
        <v>5101</v>
      </c>
      <c r="H1593" s="10">
        <v>111.44444444444444</v>
      </c>
      <c r="I1593" s="10">
        <f t="shared" si="26"/>
        <v>1003</v>
      </c>
      <c r="J1593" s="10">
        <v>65.042539815599994</v>
      </c>
      <c r="K1593" s="8" t="s">
        <v>5335</v>
      </c>
      <c r="S1593"/>
    </row>
    <row r="1594" spans="1:19" ht="15" x14ac:dyDescent="0.25">
      <c r="A1594" s="8" t="s">
        <v>6068</v>
      </c>
      <c r="B1594" s="8" t="s">
        <v>6069</v>
      </c>
      <c r="C1594" s="8" t="s">
        <v>6605</v>
      </c>
      <c r="D1594" s="32" t="s">
        <v>6984</v>
      </c>
      <c r="E1594" s="32" t="s">
        <v>6605</v>
      </c>
      <c r="F1594" s="10">
        <v>1</v>
      </c>
      <c r="G1594" s="8" t="s">
        <v>5101</v>
      </c>
      <c r="H1594" s="10">
        <v>67.3</v>
      </c>
      <c r="I1594" s="10">
        <f t="shared" si="26"/>
        <v>67.3</v>
      </c>
      <c r="J1594" s="10">
        <v>4.1524692771999998</v>
      </c>
      <c r="K1594" s="8" t="s">
        <v>5335</v>
      </c>
      <c r="S1594"/>
    </row>
    <row r="1595" spans="1:19" ht="15" x14ac:dyDescent="0.25">
      <c r="A1595" s="8" t="s">
        <v>6068</v>
      </c>
      <c r="B1595" s="8" t="s">
        <v>6069</v>
      </c>
      <c r="C1595" s="8" t="s">
        <v>6606</v>
      </c>
      <c r="D1595" s="32" t="s">
        <v>6984</v>
      </c>
      <c r="E1595" s="32" t="s">
        <v>6606</v>
      </c>
      <c r="F1595" s="10">
        <v>1</v>
      </c>
      <c r="G1595" s="8" t="s">
        <v>5101</v>
      </c>
      <c r="H1595" s="10">
        <v>66.099999999999994</v>
      </c>
      <c r="I1595" s="10">
        <f t="shared" si="26"/>
        <v>66.099999999999994</v>
      </c>
      <c r="J1595" s="10">
        <v>4.0596726747999998</v>
      </c>
      <c r="K1595" s="8" t="s">
        <v>5335</v>
      </c>
      <c r="S1595"/>
    </row>
    <row r="1596" spans="1:19" ht="15" x14ac:dyDescent="0.25">
      <c r="A1596" s="8" t="s">
        <v>6068</v>
      </c>
      <c r="B1596" s="8" t="s">
        <v>6069</v>
      </c>
      <c r="C1596" s="8" t="s">
        <v>6607</v>
      </c>
      <c r="D1596" s="32" t="s">
        <v>6984</v>
      </c>
      <c r="E1596" s="32" t="s">
        <v>6607</v>
      </c>
      <c r="F1596" s="10">
        <v>1</v>
      </c>
      <c r="G1596" s="8" t="s">
        <v>5101</v>
      </c>
      <c r="H1596" s="10">
        <v>67.2</v>
      </c>
      <c r="I1596" s="10">
        <f t="shared" si="26"/>
        <v>67.2</v>
      </c>
      <c r="J1596" s="10">
        <v>4.1463732772000004</v>
      </c>
      <c r="K1596" s="8" t="s">
        <v>5335</v>
      </c>
      <c r="S1596"/>
    </row>
    <row r="1597" spans="1:19" ht="15" x14ac:dyDescent="0.25">
      <c r="A1597" s="8" t="s">
        <v>6071</v>
      </c>
      <c r="B1597" s="8" t="s">
        <v>6069</v>
      </c>
      <c r="C1597" s="8" t="s">
        <v>6608</v>
      </c>
      <c r="D1597" s="32" t="s">
        <v>6984</v>
      </c>
      <c r="E1597" s="32" t="s">
        <v>6608</v>
      </c>
      <c r="F1597" s="10">
        <v>9</v>
      </c>
      <c r="G1597" s="8" t="s">
        <v>5101</v>
      </c>
      <c r="H1597" s="10">
        <v>114.74444444444445</v>
      </c>
      <c r="I1597" s="10">
        <f t="shared" si="26"/>
        <v>1032.7</v>
      </c>
      <c r="J1597" s="10">
        <v>67.447219417200003</v>
      </c>
      <c r="K1597" s="8" t="s">
        <v>5335</v>
      </c>
      <c r="S1597"/>
    </row>
    <row r="1598" spans="1:19" ht="15" x14ac:dyDescent="0.25">
      <c r="A1598" s="8" t="s">
        <v>6068</v>
      </c>
      <c r="B1598" s="8" t="s">
        <v>6069</v>
      </c>
      <c r="C1598" s="8" t="s">
        <v>6609</v>
      </c>
      <c r="D1598" s="32" t="s">
        <v>6984</v>
      </c>
      <c r="E1598" s="32" t="s">
        <v>6609</v>
      </c>
      <c r="F1598" s="10">
        <v>4</v>
      </c>
      <c r="G1598" s="8" t="s">
        <v>5101</v>
      </c>
      <c r="H1598" s="10">
        <v>123.825</v>
      </c>
      <c r="I1598" s="10">
        <f t="shared" si="26"/>
        <v>495.3</v>
      </c>
      <c r="J1598" s="10">
        <v>32.914988363200003</v>
      </c>
      <c r="K1598" s="8" t="s">
        <v>5335</v>
      </c>
      <c r="S1598"/>
    </row>
    <row r="1599" spans="1:19" ht="15" x14ac:dyDescent="0.25">
      <c r="A1599" s="8" t="s">
        <v>6071</v>
      </c>
      <c r="B1599" s="8" t="s">
        <v>6069</v>
      </c>
      <c r="C1599" s="8" t="s">
        <v>6610</v>
      </c>
      <c r="D1599" s="32" t="s">
        <v>6984</v>
      </c>
      <c r="E1599" s="32" t="s">
        <v>6610</v>
      </c>
      <c r="F1599" s="10">
        <v>1</v>
      </c>
      <c r="G1599" s="8" t="s">
        <v>5101</v>
      </c>
      <c r="H1599" s="10">
        <v>88.5</v>
      </c>
      <c r="I1599" s="10">
        <f t="shared" si="26"/>
        <v>88.5</v>
      </c>
      <c r="J1599" s="10">
        <v>5.7067302099999999</v>
      </c>
      <c r="K1599" s="8" t="s">
        <v>5335</v>
      </c>
      <c r="S1599"/>
    </row>
    <row r="1600" spans="1:19" ht="15" x14ac:dyDescent="0.25">
      <c r="A1600" s="8" t="s">
        <v>6071</v>
      </c>
      <c r="B1600" s="8" t="s">
        <v>6069</v>
      </c>
      <c r="C1600" s="8" t="s">
        <v>6611</v>
      </c>
      <c r="D1600" s="32" t="s">
        <v>6984</v>
      </c>
      <c r="E1600" s="32" t="s">
        <v>6611</v>
      </c>
      <c r="F1600" s="10">
        <v>1</v>
      </c>
      <c r="G1600" s="8" t="s">
        <v>5101</v>
      </c>
      <c r="H1600" s="10">
        <v>67.3</v>
      </c>
      <c r="I1600" s="10">
        <f t="shared" si="26"/>
        <v>67.3</v>
      </c>
      <c r="J1600" s="10">
        <v>4.1504372772</v>
      </c>
      <c r="K1600" s="8" t="s">
        <v>5335</v>
      </c>
      <c r="S1600"/>
    </row>
    <row r="1601" spans="1:19" ht="15" x14ac:dyDescent="0.25">
      <c r="A1601" s="8" t="s">
        <v>6071</v>
      </c>
      <c r="B1601" s="8" t="s">
        <v>6069</v>
      </c>
      <c r="C1601" s="8" t="s">
        <v>6612</v>
      </c>
      <c r="D1601" s="32" t="s">
        <v>6984</v>
      </c>
      <c r="E1601" s="32" t="s">
        <v>6612</v>
      </c>
      <c r="F1601" s="10">
        <v>1</v>
      </c>
      <c r="G1601" s="8" t="s">
        <v>5101</v>
      </c>
      <c r="H1601" s="10">
        <v>67.2</v>
      </c>
      <c r="I1601" s="10">
        <f t="shared" si="26"/>
        <v>67.2</v>
      </c>
      <c r="J1601" s="10">
        <v>4.1463732772000004</v>
      </c>
      <c r="K1601" s="8" t="s">
        <v>5335</v>
      </c>
      <c r="S1601"/>
    </row>
    <row r="1602" spans="1:19" ht="15" x14ac:dyDescent="0.25">
      <c r="A1602" s="8" t="s">
        <v>6071</v>
      </c>
      <c r="B1602" s="8" t="s">
        <v>6069</v>
      </c>
      <c r="C1602" s="8" t="s">
        <v>6613</v>
      </c>
      <c r="D1602" s="32" t="s">
        <v>6984</v>
      </c>
      <c r="E1602" s="32" t="s">
        <v>6613</v>
      </c>
      <c r="F1602" s="10">
        <v>1</v>
      </c>
      <c r="G1602" s="8" t="s">
        <v>5101</v>
      </c>
      <c r="H1602" s="10">
        <v>67.2</v>
      </c>
      <c r="I1602" s="10">
        <f t="shared" si="26"/>
        <v>67.2</v>
      </c>
      <c r="J1602" s="10">
        <v>4.1463732772000004</v>
      </c>
      <c r="K1602" s="8" t="s">
        <v>5335</v>
      </c>
      <c r="S1602"/>
    </row>
    <row r="1603" spans="1:19" ht="15" x14ac:dyDescent="0.25">
      <c r="A1603" s="8" t="s">
        <v>6071</v>
      </c>
      <c r="B1603" s="8" t="s">
        <v>6069</v>
      </c>
      <c r="C1603" s="8" t="s">
        <v>6614</v>
      </c>
      <c r="D1603" s="32" t="s">
        <v>6984</v>
      </c>
      <c r="E1603" s="32" t="s">
        <v>6614</v>
      </c>
      <c r="F1603" s="10">
        <v>1</v>
      </c>
      <c r="G1603" s="8" t="s">
        <v>5101</v>
      </c>
      <c r="H1603" s="10">
        <v>67.3</v>
      </c>
      <c r="I1603" s="10">
        <f t="shared" si="26"/>
        <v>67.3</v>
      </c>
      <c r="J1603" s="10">
        <v>4.1522152771999998</v>
      </c>
      <c r="K1603" s="8" t="s">
        <v>5335</v>
      </c>
      <c r="S1603"/>
    </row>
    <row r="1604" spans="1:19" ht="15" x14ac:dyDescent="0.25">
      <c r="A1604" s="8" t="s">
        <v>6071</v>
      </c>
      <c r="B1604" s="8" t="s">
        <v>6069</v>
      </c>
      <c r="C1604" s="8" t="s">
        <v>6615</v>
      </c>
      <c r="D1604" s="32" t="s">
        <v>6984</v>
      </c>
      <c r="E1604" s="32" t="s">
        <v>6615</v>
      </c>
      <c r="F1604" s="10">
        <v>1</v>
      </c>
      <c r="G1604" s="8" t="s">
        <v>5101</v>
      </c>
      <c r="H1604" s="10">
        <v>67.2</v>
      </c>
      <c r="I1604" s="10">
        <f t="shared" si="26"/>
        <v>67.2</v>
      </c>
      <c r="J1604" s="10">
        <v>4.1463732772000004</v>
      </c>
      <c r="K1604" s="8" t="s">
        <v>5335</v>
      </c>
      <c r="S1604"/>
    </row>
    <row r="1605" spans="1:19" ht="15" x14ac:dyDescent="0.25">
      <c r="A1605" s="8" t="s">
        <v>6071</v>
      </c>
      <c r="B1605" s="8" t="s">
        <v>6069</v>
      </c>
      <c r="C1605" s="8" t="s">
        <v>6616</v>
      </c>
      <c r="D1605" s="32" t="s">
        <v>6984</v>
      </c>
      <c r="E1605" s="32" t="s">
        <v>6616</v>
      </c>
      <c r="F1605" s="10">
        <v>1</v>
      </c>
      <c r="G1605" s="8" t="s">
        <v>5101</v>
      </c>
      <c r="H1605" s="10">
        <v>67.3</v>
      </c>
      <c r="I1605" s="10">
        <f t="shared" ref="I1605:I1668" si="27">F1605*H1605</f>
        <v>67.3</v>
      </c>
      <c r="J1605" s="10">
        <v>4.1501732772000004</v>
      </c>
      <c r="K1605" s="8" t="s">
        <v>5335</v>
      </c>
      <c r="S1605"/>
    </row>
    <row r="1606" spans="1:19" ht="15" x14ac:dyDescent="0.25">
      <c r="A1606" s="8" t="s">
        <v>6071</v>
      </c>
      <c r="B1606" s="8" t="s">
        <v>6069</v>
      </c>
      <c r="C1606" s="8" t="s">
        <v>6617</v>
      </c>
      <c r="D1606" s="32" t="s">
        <v>6984</v>
      </c>
      <c r="E1606" s="32" t="s">
        <v>6617</v>
      </c>
      <c r="F1606" s="10">
        <v>1</v>
      </c>
      <c r="G1606" s="8" t="s">
        <v>5101</v>
      </c>
      <c r="H1606" s="10">
        <v>67.2</v>
      </c>
      <c r="I1606" s="10">
        <f t="shared" si="27"/>
        <v>67.2</v>
      </c>
      <c r="J1606" s="10">
        <v>4.1499732772</v>
      </c>
      <c r="K1606" s="8" t="s">
        <v>5335</v>
      </c>
      <c r="S1606"/>
    </row>
    <row r="1607" spans="1:19" ht="15" x14ac:dyDescent="0.25">
      <c r="A1607" s="8" t="s">
        <v>6071</v>
      </c>
      <c r="B1607" s="8" t="s">
        <v>6069</v>
      </c>
      <c r="C1607" s="8" t="s">
        <v>6618</v>
      </c>
      <c r="D1607" s="32" t="s">
        <v>6984</v>
      </c>
      <c r="E1607" s="32" t="s">
        <v>6618</v>
      </c>
      <c r="F1607" s="10">
        <v>1</v>
      </c>
      <c r="G1607" s="8" t="s">
        <v>5101</v>
      </c>
      <c r="H1607" s="10">
        <v>67.3</v>
      </c>
      <c r="I1607" s="10">
        <f t="shared" si="27"/>
        <v>67.3</v>
      </c>
      <c r="J1607" s="10">
        <v>4.1540372771999996</v>
      </c>
      <c r="K1607" s="8" t="s">
        <v>5335</v>
      </c>
      <c r="S1607"/>
    </row>
    <row r="1608" spans="1:19" ht="15" x14ac:dyDescent="0.25">
      <c r="A1608" s="8" t="s">
        <v>6068</v>
      </c>
      <c r="B1608" s="8" t="s">
        <v>6069</v>
      </c>
      <c r="C1608" s="8" t="s">
        <v>6619</v>
      </c>
      <c r="D1608" s="32" t="s">
        <v>6984</v>
      </c>
      <c r="E1608" s="32" t="s">
        <v>6619</v>
      </c>
      <c r="F1608" s="10">
        <v>2</v>
      </c>
      <c r="G1608" s="8" t="s">
        <v>5101</v>
      </c>
      <c r="H1608" s="10">
        <v>67.3</v>
      </c>
      <c r="I1608" s="10">
        <f t="shared" si="27"/>
        <v>134.6</v>
      </c>
      <c r="J1608" s="10">
        <v>8.3080745543999992</v>
      </c>
      <c r="K1608" s="8" t="s">
        <v>5335</v>
      </c>
      <c r="S1608"/>
    </row>
    <row r="1609" spans="1:19" ht="15" x14ac:dyDescent="0.25">
      <c r="A1609" s="8" t="s">
        <v>6071</v>
      </c>
      <c r="B1609" s="8" t="s">
        <v>6069</v>
      </c>
      <c r="C1609" s="8" t="s">
        <v>6620</v>
      </c>
      <c r="D1609" s="32" t="s">
        <v>6984</v>
      </c>
      <c r="E1609" s="32" t="s">
        <v>6620</v>
      </c>
      <c r="F1609" s="10">
        <v>1</v>
      </c>
      <c r="G1609" s="8" t="s">
        <v>5101</v>
      </c>
      <c r="H1609" s="10">
        <v>67.2</v>
      </c>
      <c r="I1609" s="10">
        <f t="shared" si="27"/>
        <v>67.2</v>
      </c>
      <c r="J1609" s="10">
        <v>4.1499732772</v>
      </c>
      <c r="K1609" s="8" t="s">
        <v>5335</v>
      </c>
      <c r="S1609"/>
    </row>
    <row r="1610" spans="1:19" ht="15" x14ac:dyDescent="0.25">
      <c r="A1610" s="8" t="s">
        <v>6071</v>
      </c>
      <c r="B1610" s="8" t="s">
        <v>6069</v>
      </c>
      <c r="C1610" s="8" t="s">
        <v>6621</v>
      </c>
      <c r="D1610" s="32" t="s">
        <v>6984</v>
      </c>
      <c r="E1610" s="32" t="s">
        <v>6621</v>
      </c>
      <c r="F1610" s="10">
        <v>2</v>
      </c>
      <c r="G1610" s="8" t="s">
        <v>5101</v>
      </c>
      <c r="H1610" s="10">
        <v>67.3</v>
      </c>
      <c r="I1610" s="10">
        <f t="shared" si="27"/>
        <v>134.6</v>
      </c>
      <c r="J1610" s="10">
        <v>8.3080745543999992</v>
      </c>
      <c r="K1610" s="8" t="s">
        <v>5335</v>
      </c>
      <c r="S1610"/>
    </row>
    <row r="1611" spans="1:19" ht="15" x14ac:dyDescent="0.25">
      <c r="A1611" s="8" t="s">
        <v>6068</v>
      </c>
      <c r="B1611" s="8" t="s">
        <v>6069</v>
      </c>
      <c r="C1611" s="8" t="s">
        <v>6622</v>
      </c>
      <c r="D1611" s="32" t="s">
        <v>6984</v>
      </c>
      <c r="E1611" s="32" t="s">
        <v>6622</v>
      </c>
      <c r="F1611" s="10">
        <v>1</v>
      </c>
      <c r="G1611" s="8" t="s">
        <v>5101</v>
      </c>
      <c r="H1611" s="10">
        <v>44.4</v>
      </c>
      <c r="I1611" s="10">
        <f t="shared" si="27"/>
        <v>44.4</v>
      </c>
      <c r="J1611" s="10">
        <v>2.4818439068</v>
      </c>
      <c r="K1611" s="8" t="s">
        <v>5335</v>
      </c>
      <c r="S1611"/>
    </row>
    <row r="1612" spans="1:19" ht="15" x14ac:dyDescent="0.25">
      <c r="A1612" s="8" t="s">
        <v>6068</v>
      </c>
      <c r="B1612" s="8" t="s">
        <v>6069</v>
      </c>
      <c r="C1612" s="8" t="s">
        <v>6623</v>
      </c>
      <c r="D1612" s="32" t="s">
        <v>6984</v>
      </c>
      <c r="E1612" s="32" t="s">
        <v>6623</v>
      </c>
      <c r="F1612" s="10">
        <v>2</v>
      </c>
      <c r="G1612" s="8" t="s">
        <v>5101</v>
      </c>
      <c r="H1612" s="10">
        <v>67.3</v>
      </c>
      <c r="I1612" s="10">
        <f t="shared" si="27"/>
        <v>134.6</v>
      </c>
      <c r="J1612" s="10">
        <v>8.3008745544</v>
      </c>
      <c r="K1612" s="8" t="s">
        <v>5335</v>
      </c>
      <c r="S1612"/>
    </row>
    <row r="1613" spans="1:19" ht="15" x14ac:dyDescent="0.25">
      <c r="A1613" s="8" t="s">
        <v>6068</v>
      </c>
      <c r="B1613" s="8" t="s">
        <v>6069</v>
      </c>
      <c r="C1613" s="8" t="s">
        <v>6624</v>
      </c>
      <c r="D1613" s="32" t="s">
        <v>6984</v>
      </c>
      <c r="E1613" s="32" t="s">
        <v>6624</v>
      </c>
      <c r="F1613" s="10">
        <v>1</v>
      </c>
      <c r="G1613" s="8" t="s">
        <v>5101</v>
      </c>
      <c r="H1613" s="10">
        <v>67.3</v>
      </c>
      <c r="I1613" s="10">
        <f t="shared" si="27"/>
        <v>67.3</v>
      </c>
      <c r="J1613" s="10">
        <v>4.1504372772</v>
      </c>
      <c r="K1613" s="8" t="s">
        <v>5335</v>
      </c>
      <c r="S1613"/>
    </row>
    <row r="1614" spans="1:19" ht="15" x14ac:dyDescent="0.25">
      <c r="A1614" s="8" t="s">
        <v>6071</v>
      </c>
      <c r="B1614" s="8" t="s">
        <v>6069</v>
      </c>
      <c r="C1614" s="8" t="s">
        <v>6625</v>
      </c>
      <c r="D1614" s="32" t="s">
        <v>6984</v>
      </c>
      <c r="E1614" s="32" t="s">
        <v>6625</v>
      </c>
      <c r="F1614" s="10">
        <v>12</v>
      </c>
      <c r="G1614" s="8" t="s">
        <v>5101</v>
      </c>
      <c r="H1614" s="10">
        <v>67.191666666666663</v>
      </c>
      <c r="I1614" s="10">
        <f t="shared" si="27"/>
        <v>806.3</v>
      </c>
      <c r="J1614" s="10">
        <v>49.756479326399997</v>
      </c>
      <c r="K1614" s="8" t="s">
        <v>5335</v>
      </c>
      <c r="S1614"/>
    </row>
    <row r="1615" spans="1:19" ht="15" x14ac:dyDescent="0.25">
      <c r="A1615" s="8" t="s">
        <v>6071</v>
      </c>
      <c r="B1615" s="8" t="s">
        <v>6069</v>
      </c>
      <c r="C1615" s="8" t="s">
        <v>6626</v>
      </c>
      <c r="D1615" s="32" t="s">
        <v>6984</v>
      </c>
      <c r="E1615" s="32" t="s">
        <v>6626</v>
      </c>
      <c r="F1615" s="10">
        <v>1</v>
      </c>
      <c r="G1615" s="8" t="s">
        <v>5101</v>
      </c>
      <c r="H1615" s="10">
        <v>63.2</v>
      </c>
      <c r="I1615" s="10">
        <f t="shared" si="27"/>
        <v>63.2</v>
      </c>
      <c r="J1615" s="10">
        <v>3.8421606372000001</v>
      </c>
      <c r="K1615" s="8" t="s">
        <v>5335</v>
      </c>
      <c r="S1615"/>
    </row>
    <row r="1616" spans="1:19" ht="15" x14ac:dyDescent="0.25">
      <c r="A1616" s="8" t="s">
        <v>6071</v>
      </c>
      <c r="B1616" s="8" t="s">
        <v>6069</v>
      </c>
      <c r="C1616" s="8" t="s">
        <v>6627</v>
      </c>
      <c r="D1616" s="32" t="s">
        <v>6984</v>
      </c>
      <c r="E1616" s="32" t="s">
        <v>6627</v>
      </c>
      <c r="F1616" s="10">
        <v>1</v>
      </c>
      <c r="G1616" s="8" t="s">
        <v>5101</v>
      </c>
      <c r="H1616" s="10">
        <v>67.3</v>
      </c>
      <c r="I1616" s="10">
        <f t="shared" si="27"/>
        <v>67.3</v>
      </c>
      <c r="J1616" s="10">
        <v>4.1504372772</v>
      </c>
      <c r="K1616" s="8" t="s">
        <v>5335</v>
      </c>
      <c r="S1616"/>
    </row>
    <row r="1617" spans="1:19" ht="15" x14ac:dyDescent="0.25">
      <c r="A1617" s="8" t="s">
        <v>6068</v>
      </c>
      <c r="B1617" s="8" t="s">
        <v>6069</v>
      </c>
      <c r="C1617" s="8" t="s">
        <v>6628</v>
      </c>
      <c r="D1617" s="32" t="s">
        <v>6984</v>
      </c>
      <c r="E1617" s="32" t="s">
        <v>6628</v>
      </c>
      <c r="F1617" s="10">
        <v>1</v>
      </c>
      <c r="G1617" s="8" t="s">
        <v>5101</v>
      </c>
      <c r="H1617" s="10">
        <v>68.7</v>
      </c>
      <c r="I1617" s="10">
        <f t="shared" si="27"/>
        <v>68.7</v>
      </c>
      <c r="J1617" s="10">
        <v>4.2619740803999999</v>
      </c>
      <c r="K1617" s="8" t="s">
        <v>5335</v>
      </c>
      <c r="S1617"/>
    </row>
    <row r="1618" spans="1:19" ht="15" x14ac:dyDescent="0.25">
      <c r="A1618" s="8" t="s">
        <v>6071</v>
      </c>
      <c r="B1618" s="8" t="s">
        <v>6069</v>
      </c>
      <c r="C1618" s="8" t="s">
        <v>6629</v>
      </c>
      <c r="D1618" s="32" t="s">
        <v>6984</v>
      </c>
      <c r="E1618" s="32" t="s">
        <v>6629</v>
      </c>
      <c r="F1618" s="10">
        <v>1</v>
      </c>
      <c r="G1618" s="8" t="s">
        <v>5101</v>
      </c>
      <c r="H1618" s="10">
        <v>43.9</v>
      </c>
      <c r="I1618" s="10">
        <f t="shared" si="27"/>
        <v>43.9</v>
      </c>
      <c r="J1618" s="10">
        <v>2.3502953172000001</v>
      </c>
      <c r="K1618" s="8" t="s">
        <v>5335</v>
      </c>
      <c r="S1618"/>
    </row>
    <row r="1619" spans="1:19" ht="15" x14ac:dyDescent="0.25">
      <c r="A1619" s="8" t="s">
        <v>6071</v>
      </c>
      <c r="B1619" s="8" t="s">
        <v>6069</v>
      </c>
      <c r="C1619" s="8" t="s">
        <v>6630</v>
      </c>
      <c r="D1619" s="32" t="s">
        <v>6984</v>
      </c>
      <c r="E1619" s="32" t="s">
        <v>6630</v>
      </c>
      <c r="F1619" s="10">
        <v>1</v>
      </c>
      <c r="G1619" s="8" t="s">
        <v>5101</v>
      </c>
      <c r="H1619" s="10">
        <v>131</v>
      </c>
      <c r="I1619" s="10">
        <f t="shared" si="27"/>
        <v>131</v>
      </c>
      <c r="J1619" s="10">
        <v>8.8122407012000004</v>
      </c>
      <c r="K1619" s="8" t="s">
        <v>5335</v>
      </c>
      <c r="S1619"/>
    </row>
    <row r="1620" spans="1:19" ht="15" x14ac:dyDescent="0.25">
      <c r="A1620" s="8" t="s">
        <v>6071</v>
      </c>
      <c r="B1620" s="8" t="s">
        <v>6069</v>
      </c>
      <c r="C1620" s="8" t="s">
        <v>6631</v>
      </c>
      <c r="D1620" s="32" t="s">
        <v>6984</v>
      </c>
      <c r="E1620" s="32" t="s">
        <v>6631</v>
      </c>
      <c r="F1620" s="10">
        <v>1</v>
      </c>
      <c r="G1620" s="8" t="s">
        <v>5101</v>
      </c>
      <c r="H1620" s="10">
        <v>126</v>
      </c>
      <c r="I1620" s="10">
        <f t="shared" si="27"/>
        <v>126</v>
      </c>
      <c r="J1620" s="10">
        <v>8.3993889819999996</v>
      </c>
      <c r="K1620" s="8" t="s">
        <v>5335</v>
      </c>
      <c r="S1620"/>
    </row>
    <row r="1621" spans="1:19" ht="15" x14ac:dyDescent="0.25">
      <c r="A1621" s="8" t="s">
        <v>6071</v>
      </c>
      <c r="B1621" s="8" t="s">
        <v>6069</v>
      </c>
      <c r="C1621" s="8" t="s">
        <v>6632</v>
      </c>
      <c r="D1621" s="32" t="s">
        <v>6984</v>
      </c>
      <c r="E1621" s="32" t="s">
        <v>6632</v>
      </c>
      <c r="F1621" s="10">
        <v>1</v>
      </c>
      <c r="G1621" s="8" t="s">
        <v>5101</v>
      </c>
      <c r="H1621" s="10">
        <v>154.69999999999999</v>
      </c>
      <c r="I1621" s="10">
        <f t="shared" si="27"/>
        <v>154.69999999999999</v>
      </c>
      <c r="J1621" s="10">
        <v>10.3895470644</v>
      </c>
      <c r="K1621" s="8" t="s">
        <v>5335</v>
      </c>
      <c r="S1621"/>
    </row>
    <row r="1622" spans="1:19" ht="15" x14ac:dyDescent="0.25">
      <c r="A1622" s="8" t="s">
        <v>6071</v>
      </c>
      <c r="B1622" s="8" t="s">
        <v>6069</v>
      </c>
      <c r="C1622" s="8" t="s">
        <v>6633</v>
      </c>
      <c r="D1622" s="32" t="s">
        <v>6984</v>
      </c>
      <c r="E1622" s="32" t="s">
        <v>6633</v>
      </c>
      <c r="F1622" s="10">
        <v>1</v>
      </c>
      <c r="G1622" s="8" t="s">
        <v>5101</v>
      </c>
      <c r="H1622" s="10">
        <v>148.80000000000001</v>
      </c>
      <c r="I1622" s="10">
        <f t="shared" si="27"/>
        <v>148.80000000000001</v>
      </c>
      <c r="J1622" s="10">
        <v>9.9141672566000008</v>
      </c>
      <c r="K1622" s="8" t="s">
        <v>5335</v>
      </c>
      <c r="S1622"/>
    </row>
    <row r="1623" spans="1:19" ht="15" x14ac:dyDescent="0.25">
      <c r="A1623" s="8" t="s">
        <v>6071</v>
      </c>
      <c r="B1623" s="8" t="s">
        <v>6069</v>
      </c>
      <c r="C1623" s="8" t="s">
        <v>6634</v>
      </c>
      <c r="D1623" s="32" t="s">
        <v>6984</v>
      </c>
      <c r="E1623" s="32" t="s">
        <v>6634</v>
      </c>
      <c r="F1623" s="10">
        <v>8</v>
      </c>
      <c r="G1623" s="8" t="s">
        <v>5832</v>
      </c>
      <c r="H1623" s="10">
        <v>10.887499999999999</v>
      </c>
      <c r="I1623" s="10">
        <f t="shared" si="27"/>
        <v>87.1</v>
      </c>
      <c r="J1623" s="10">
        <v>4.7998479999999999</v>
      </c>
      <c r="K1623" s="8" t="s">
        <v>5245</v>
      </c>
      <c r="S1623"/>
    </row>
    <row r="1624" spans="1:19" ht="15" x14ac:dyDescent="0.25">
      <c r="A1624" s="8" t="s">
        <v>6071</v>
      </c>
      <c r="B1624" s="8" t="s">
        <v>6069</v>
      </c>
      <c r="C1624" s="8" t="s">
        <v>6635</v>
      </c>
      <c r="D1624" s="32" t="s">
        <v>6984</v>
      </c>
      <c r="E1624" s="32" t="s">
        <v>6635</v>
      </c>
      <c r="F1624" s="10">
        <v>21</v>
      </c>
      <c r="G1624" s="8" t="s">
        <v>5832</v>
      </c>
      <c r="H1624" s="10">
        <v>10.580952380952381</v>
      </c>
      <c r="I1624" s="10">
        <f t="shared" si="27"/>
        <v>222.2</v>
      </c>
      <c r="J1624" s="10">
        <v>12.242222999999999</v>
      </c>
      <c r="K1624" s="8" t="s">
        <v>5245</v>
      </c>
      <c r="S1624"/>
    </row>
    <row r="1625" spans="1:19" ht="15" x14ac:dyDescent="0.25">
      <c r="A1625" s="8" t="s">
        <v>6068</v>
      </c>
      <c r="B1625" s="8" t="s">
        <v>6069</v>
      </c>
      <c r="C1625" s="8" t="s">
        <v>6636</v>
      </c>
      <c r="D1625" s="32" t="s">
        <v>6984</v>
      </c>
      <c r="E1625" s="32" t="s">
        <v>6636</v>
      </c>
      <c r="F1625" s="10">
        <v>2</v>
      </c>
      <c r="G1625" s="8" t="s">
        <v>4901</v>
      </c>
      <c r="H1625" s="10">
        <v>444.15</v>
      </c>
      <c r="I1625" s="10">
        <f t="shared" si="27"/>
        <v>888.3</v>
      </c>
      <c r="J1625" s="10">
        <v>0</v>
      </c>
      <c r="K1625" s="8" t="s">
        <v>6637</v>
      </c>
      <c r="S1625"/>
    </row>
    <row r="1626" spans="1:19" ht="15" x14ac:dyDescent="0.25">
      <c r="A1626" s="8" t="s">
        <v>6068</v>
      </c>
      <c r="B1626" s="8" t="s">
        <v>6069</v>
      </c>
      <c r="C1626" s="8" t="s">
        <v>6638</v>
      </c>
      <c r="D1626" s="32" t="s">
        <v>6984</v>
      </c>
      <c r="E1626" s="32" t="s">
        <v>6638</v>
      </c>
      <c r="F1626" s="10">
        <v>6</v>
      </c>
      <c r="G1626" s="8" t="s">
        <v>4901</v>
      </c>
      <c r="H1626" s="10">
        <v>441.84999999999997</v>
      </c>
      <c r="I1626" s="10">
        <f t="shared" si="27"/>
        <v>2651.1</v>
      </c>
      <c r="J1626" s="10">
        <v>0</v>
      </c>
      <c r="K1626" s="8" t="s">
        <v>6637</v>
      </c>
      <c r="S1626"/>
    </row>
    <row r="1627" spans="1:19" ht="15" x14ac:dyDescent="0.25">
      <c r="A1627" s="8" t="s">
        <v>6071</v>
      </c>
      <c r="B1627" s="8" t="s">
        <v>6069</v>
      </c>
      <c r="C1627" s="8" t="s">
        <v>6639</v>
      </c>
      <c r="D1627" s="32" t="s">
        <v>6984</v>
      </c>
      <c r="E1627" s="32" t="s">
        <v>6639</v>
      </c>
      <c r="F1627" s="10">
        <v>2</v>
      </c>
      <c r="G1627" s="8" t="s">
        <v>4901</v>
      </c>
      <c r="H1627" s="10">
        <v>262.55</v>
      </c>
      <c r="I1627" s="10">
        <f t="shared" si="27"/>
        <v>525.1</v>
      </c>
      <c r="J1627" s="10">
        <v>0</v>
      </c>
      <c r="K1627" s="8" t="s">
        <v>6637</v>
      </c>
      <c r="S1627"/>
    </row>
    <row r="1628" spans="1:19" ht="15" x14ac:dyDescent="0.25">
      <c r="A1628" s="8" t="s">
        <v>6068</v>
      </c>
      <c r="B1628" s="8" t="s">
        <v>6069</v>
      </c>
      <c r="C1628" s="8" t="s">
        <v>6640</v>
      </c>
      <c r="D1628" s="32" t="s">
        <v>6984</v>
      </c>
      <c r="E1628" s="32" t="s">
        <v>6640</v>
      </c>
      <c r="F1628" s="10">
        <v>3</v>
      </c>
      <c r="G1628" s="8" t="s">
        <v>4901</v>
      </c>
      <c r="H1628" s="10">
        <v>894.76666666666677</v>
      </c>
      <c r="I1628" s="10">
        <f t="shared" si="27"/>
        <v>2684.3</v>
      </c>
      <c r="J1628" s="10">
        <v>17.135999999999999</v>
      </c>
      <c r="K1628" s="8" t="s">
        <v>6641</v>
      </c>
      <c r="S1628"/>
    </row>
    <row r="1629" spans="1:19" ht="15" x14ac:dyDescent="0.25">
      <c r="A1629" s="8" t="s">
        <v>6068</v>
      </c>
      <c r="B1629" s="8" t="s">
        <v>6069</v>
      </c>
      <c r="C1629" s="8" t="s">
        <v>6642</v>
      </c>
      <c r="D1629" s="32" t="s">
        <v>6984</v>
      </c>
      <c r="E1629" s="32" t="s">
        <v>6642</v>
      </c>
      <c r="F1629" s="10">
        <v>1</v>
      </c>
      <c r="G1629" s="8" t="s">
        <v>4901</v>
      </c>
      <c r="H1629" s="10">
        <v>894.8</v>
      </c>
      <c r="I1629" s="10">
        <f t="shared" si="27"/>
        <v>894.8</v>
      </c>
      <c r="J1629" s="10">
        <v>5.7119999999999997</v>
      </c>
      <c r="K1629" s="8" t="s">
        <v>6641</v>
      </c>
      <c r="S1629"/>
    </row>
    <row r="1630" spans="1:19" ht="15" x14ac:dyDescent="0.25">
      <c r="A1630" s="8" t="s">
        <v>6071</v>
      </c>
      <c r="B1630" s="8" t="s">
        <v>6069</v>
      </c>
      <c r="C1630" s="8" t="s">
        <v>6643</v>
      </c>
      <c r="D1630" s="32" t="s">
        <v>6984</v>
      </c>
      <c r="E1630" s="32" t="s">
        <v>6643</v>
      </c>
      <c r="F1630" s="10">
        <v>1</v>
      </c>
      <c r="G1630" s="8" t="s">
        <v>4901</v>
      </c>
      <c r="H1630" s="10">
        <v>724.9</v>
      </c>
      <c r="I1630" s="10">
        <f t="shared" si="27"/>
        <v>724.9</v>
      </c>
      <c r="J1630" s="10">
        <v>4.6271959999999996</v>
      </c>
      <c r="K1630" s="8" t="s">
        <v>6641</v>
      </c>
      <c r="S1630"/>
    </row>
    <row r="1631" spans="1:19" ht="15" x14ac:dyDescent="0.25">
      <c r="A1631" s="8" t="s">
        <v>6068</v>
      </c>
      <c r="B1631" s="8" t="s">
        <v>6069</v>
      </c>
      <c r="C1631" s="8" t="s">
        <v>6644</v>
      </c>
      <c r="D1631" s="32" t="s">
        <v>6984</v>
      </c>
      <c r="E1631" s="32" t="s">
        <v>6644</v>
      </c>
      <c r="F1631" s="10">
        <v>1</v>
      </c>
      <c r="G1631" s="8" t="s">
        <v>6266</v>
      </c>
      <c r="H1631" s="10">
        <v>35.299999999999997</v>
      </c>
      <c r="I1631" s="10">
        <f t="shared" si="27"/>
        <v>35.299999999999997</v>
      </c>
      <c r="J1631" s="10">
        <v>0</v>
      </c>
      <c r="K1631" s="8" t="s">
        <v>5087</v>
      </c>
      <c r="S1631"/>
    </row>
    <row r="1632" spans="1:19" ht="15" x14ac:dyDescent="0.25">
      <c r="A1632" s="8" t="s">
        <v>6068</v>
      </c>
      <c r="B1632" s="8" t="s">
        <v>6069</v>
      </c>
      <c r="C1632" s="8" t="s">
        <v>6645</v>
      </c>
      <c r="D1632" s="32" t="s">
        <v>6984</v>
      </c>
      <c r="E1632" s="32" t="s">
        <v>6645</v>
      </c>
      <c r="F1632" s="10">
        <v>1</v>
      </c>
      <c r="G1632" s="8" t="s">
        <v>6266</v>
      </c>
      <c r="H1632" s="10">
        <v>35.299999999999997</v>
      </c>
      <c r="I1632" s="10">
        <f t="shared" si="27"/>
        <v>35.299999999999997</v>
      </c>
      <c r="J1632" s="10">
        <v>0</v>
      </c>
      <c r="K1632" s="8" t="s">
        <v>5087</v>
      </c>
      <c r="S1632"/>
    </row>
    <row r="1633" spans="1:19" ht="15" x14ac:dyDescent="0.25">
      <c r="A1633" s="8" t="s">
        <v>6068</v>
      </c>
      <c r="B1633" s="8" t="s">
        <v>6069</v>
      </c>
      <c r="C1633" s="8" t="s">
        <v>6646</v>
      </c>
      <c r="D1633" s="32" t="s">
        <v>6984</v>
      </c>
      <c r="E1633" s="32" t="s">
        <v>6646</v>
      </c>
      <c r="F1633" s="10">
        <v>1</v>
      </c>
      <c r="G1633" s="8" t="s">
        <v>6266</v>
      </c>
      <c r="H1633" s="10">
        <v>35.299999999999997</v>
      </c>
      <c r="I1633" s="10">
        <f t="shared" si="27"/>
        <v>35.299999999999997</v>
      </c>
      <c r="J1633" s="10">
        <v>0</v>
      </c>
      <c r="K1633" s="8" t="s">
        <v>5087</v>
      </c>
      <c r="S1633"/>
    </row>
    <row r="1634" spans="1:19" ht="15" x14ac:dyDescent="0.25">
      <c r="A1634" s="8" t="s">
        <v>6068</v>
      </c>
      <c r="B1634" s="8" t="s">
        <v>6069</v>
      </c>
      <c r="C1634" s="8" t="s">
        <v>6647</v>
      </c>
      <c r="D1634" s="32" t="s">
        <v>6984</v>
      </c>
      <c r="E1634" s="32" t="s">
        <v>6647</v>
      </c>
      <c r="F1634" s="10">
        <v>1</v>
      </c>
      <c r="G1634" s="8" t="s">
        <v>6266</v>
      </c>
      <c r="H1634" s="10">
        <v>35.299999999999997</v>
      </c>
      <c r="I1634" s="10">
        <f t="shared" si="27"/>
        <v>35.299999999999997</v>
      </c>
      <c r="J1634" s="10">
        <v>0</v>
      </c>
      <c r="K1634" s="8" t="s">
        <v>5087</v>
      </c>
      <c r="S1634"/>
    </row>
    <row r="1635" spans="1:19" ht="15" x14ac:dyDescent="0.25">
      <c r="A1635" s="8" t="s">
        <v>6068</v>
      </c>
      <c r="B1635" s="8" t="s">
        <v>6069</v>
      </c>
      <c r="C1635" s="8" t="s">
        <v>6648</v>
      </c>
      <c r="D1635" s="32" t="s">
        <v>6984</v>
      </c>
      <c r="E1635" s="32" t="s">
        <v>6648</v>
      </c>
      <c r="F1635" s="10">
        <v>1</v>
      </c>
      <c r="G1635" s="8" t="s">
        <v>6266</v>
      </c>
      <c r="H1635" s="10">
        <v>35.299999999999997</v>
      </c>
      <c r="I1635" s="10">
        <f t="shared" si="27"/>
        <v>35.299999999999997</v>
      </c>
      <c r="J1635" s="10">
        <v>0</v>
      </c>
      <c r="K1635" s="8" t="s">
        <v>5087</v>
      </c>
      <c r="S1635"/>
    </row>
    <row r="1636" spans="1:19" ht="15" x14ac:dyDescent="0.25">
      <c r="A1636" s="8" t="s">
        <v>6068</v>
      </c>
      <c r="B1636" s="8" t="s">
        <v>6069</v>
      </c>
      <c r="C1636" s="8" t="s">
        <v>6649</v>
      </c>
      <c r="D1636" s="32" t="s">
        <v>6984</v>
      </c>
      <c r="E1636" s="32" t="s">
        <v>6649</v>
      </c>
      <c r="F1636" s="10">
        <v>1</v>
      </c>
      <c r="G1636" s="8" t="s">
        <v>6266</v>
      </c>
      <c r="H1636" s="10">
        <v>35.299999999999997</v>
      </c>
      <c r="I1636" s="10">
        <f t="shared" si="27"/>
        <v>35.299999999999997</v>
      </c>
      <c r="J1636" s="10">
        <v>0</v>
      </c>
      <c r="K1636" s="8" t="s">
        <v>5087</v>
      </c>
      <c r="S1636"/>
    </row>
    <row r="1637" spans="1:19" ht="15" x14ac:dyDescent="0.25">
      <c r="A1637" s="8" t="s">
        <v>6068</v>
      </c>
      <c r="B1637" s="8" t="s">
        <v>6069</v>
      </c>
      <c r="C1637" s="8" t="s">
        <v>6650</v>
      </c>
      <c r="D1637" s="32" t="s">
        <v>6984</v>
      </c>
      <c r="E1637" s="32" t="s">
        <v>6650</v>
      </c>
      <c r="F1637" s="10">
        <v>1</v>
      </c>
      <c r="G1637" s="8" t="s">
        <v>6266</v>
      </c>
      <c r="H1637" s="10">
        <v>32.1</v>
      </c>
      <c r="I1637" s="10">
        <f t="shared" si="27"/>
        <v>32.1</v>
      </c>
      <c r="J1637" s="10">
        <v>0</v>
      </c>
      <c r="K1637" s="8" t="s">
        <v>5087</v>
      </c>
      <c r="S1637"/>
    </row>
    <row r="1638" spans="1:19" ht="15" x14ac:dyDescent="0.25">
      <c r="A1638" s="8" t="s">
        <v>6071</v>
      </c>
      <c r="B1638" s="8" t="s">
        <v>6069</v>
      </c>
      <c r="C1638" s="8" t="s">
        <v>6651</v>
      </c>
      <c r="D1638" s="32" t="s">
        <v>6984</v>
      </c>
      <c r="E1638" s="32" t="s">
        <v>6651</v>
      </c>
      <c r="F1638" s="10">
        <v>1</v>
      </c>
      <c r="G1638" s="8" t="s">
        <v>6266</v>
      </c>
      <c r="H1638" s="10">
        <v>35.299999999999997</v>
      </c>
      <c r="I1638" s="10">
        <f t="shared" si="27"/>
        <v>35.299999999999997</v>
      </c>
      <c r="J1638" s="10">
        <v>0</v>
      </c>
      <c r="K1638" s="8" t="s">
        <v>5087</v>
      </c>
      <c r="S1638"/>
    </row>
    <row r="1639" spans="1:19" ht="15" x14ac:dyDescent="0.25">
      <c r="A1639" s="8" t="s">
        <v>6071</v>
      </c>
      <c r="B1639" s="8" t="s">
        <v>6069</v>
      </c>
      <c r="C1639" s="8" t="s">
        <v>6652</v>
      </c>
      <c r="D1639" s="32" t="s">
        <v>6984</v>
      </c>
      <c r="E1639" s="32" t="s">
        <v>6652</v>
      </c>
      <c r="F1639" s="10">
        <v>1</v>
      </c>
      <c r="G1639" s="8" t="s">
        <v>6266</v>
      </c>
      <c r="H1639" s="10">
        <v>35.299999999999997</v>
      </c>
      <c r="I1639" s="10">
        <f t="shared" si="27"/>
        <v>35.299999999999997</v>
      </c>
      <c r="J1639" s="10">
        <v>0</v>
      </c>
      <c r="K1639" s="8" t="s">
        <v>5087</v>
      </c>
      <c r="S1639"/>
    </row>
    <row r="1640" spans="1:19" ht="15" x14ac:dyDescent="0.25">
      <c r="A1640" s="8" t="s">
        <v>6071</v>
      </c>
      <c r="B1640" s="8" t="s">
        <v>6069</v>
      </c>
      <c r="C1640" s="8" t="s">
        <v>6653</v>
      </c>
      <c r="D1640" s="32" t="s">
        <v>6984</v>
      </c>
      <c r="E1640" s="32" t="s">
        <v>6653</v>
      </c>
      <c r="F1640" s="10">
        <v>1</v>
      </c>
      <c r="G1640" s="8" t="s">
        <v>6266</v>
      </c>
      <c r="H1640" s="10">
        <v>32.1</v>
      </c>
      <c r="I1640" s="10">
        <f t="shared" si="27"/>
        <v>32.1</v>
      </c>
      <c r="J1640" s="10">
        <v>0</v>
      </c>
      <c r="K1640" s="8" t="s">
        <v>5087</v>
      </c>
      <c r="S1640"/>
    </row>
    <row r="1641" spans="1:19" ht="15" x14ac:dyDescent="0.25">
      <c r="A1641" s="8" t="s">
        <v>6071</v>
      </c>
      <c r="B1641" s="8" t="s">
        <v>6069</v>
      </c>
      <c r="C1641" s="8" t="s">
        <v>6654</v>
      </c>
      <c r="D1641" s="32" t="s">
        <v>6984</v>
      </c>
      <c r="E1641" s="32" t="s">
        <v>6654</v>
      </c>
      <c r="F1641" s="10">
        <v>1</v>
      </c>
      <c r="G1641" s="8" t="s">
        <v>6266</v>
      </c>
      <c r="H1641" s="10">
        <v>35.299999999999997</v>
      </c>
      <c r="I1641" s="10">
        <f t="shared" si="27"/>
        <v>35.299999999999997</v>
      </c>
      <c r="J1641" s="10">
        <v>0</v>
      </c>
      <c r="K1641" s="8" t="s">
        <v>5087</v>
      </c>
      <c r="S1641"/>
    </row>
    <row r="1642" spans="1:19" ht="15" x14ac:dyDescent="0.25">
      <c r="A1642" s="8" t="s">
        <v>6071</v>
      </c>
      <c r="B1642" s="8" t="s">
        <v>6069</v>
      </c>
      <c r="C1642" s="8" t="s">
        <v>6655</v>
      </c>
      <c r="D1642" s="32" t="s">
        <v>6984</v>
      </c>
      <c r="E1642" s="32" t="s">
        <v>6655</v>
      </c>
      <c r="F1642" s="10">
        <v>1</v>
      </c>
      <c r="G1642" s="8" t="s">
        <v>6266</v>
      </c>
      <c r="H1642" s="10">
        <v>32.1</v>
      </c>
      <c r="I1642" s="10">
        <f t="shared" si="27"/>
        <v>32.1</v>
      </c>
      <c r="J1642" s="10">
        <v>0</v>
      </c>
      <c r="K1642" s="8" t="s">
        <v>5087</v>
      </c>
      <c r="S1642"/>
    </row>
    <row r="1643" spans="1:19" ht="15" x14ac:dyDescent="0.25">
      <c r="A1643" s="8" t="s">
        <v>6071</v>
      </c>
      <c r="B1643" s="8" t="s">
        <v>6069</v>
      </c>
      <c r="C1643" s="8" t="s">
        <v>6656</v>
      </c>
      <c r="D1643" s="32" t="s">
        <v>6984</v>
      </c>
      <c r="E1643" s="32" t="s">
        <v>6656</v>
      </c>
      <c r="F1643" s="10">
        <v>1</v>
      </c>
      <c r="G1643" s="8" t="s">
        <v>6266</v>
      </c>
      <c r="H1643" s="10">
        <v>35.299999999999997</v>
      </c>
      <c r="I1643" s="10">
        <f t="shared" si="27"/>
        <v>35.299999999999997</v>
      </c>
      <c r="J1643" s="10">
        <v>0</v>
      </c>
      <c r="K1643" s="8" t="s">
        <v>5087</v>
      </c>
      <c r="S1643"/>
    </row>
    <row r="1644" spans="1:19" ht="15" x14ac:dyDescent="0.25">
      <c r="A1644" s="8" t="s">
        <v>6071</v>
      </c>
      <c r="B1644" s="8" t="s">
        <v>6069</v>
      </c>
      <c r="C1644" s="8" t="s">
        <v>6657</v>
      </c>
      <c r="D1644" s="32" t="s">
        <v>6984</v>
      </c>
      <c r="E1644" s="32" t="s">
        <v>6657</v>
      </c>
      <c r="F1644" s="10">
        <v>1</v>
      </c>
      <c r="G1644" s="8" t="s">
        <v>6266</v>
      </c>
      <c r="H1644" s="10">
        <v>35.299999999999997</v>
      </c>
      <c r="I1644" s="10">
        <f t="shared" si="27"/>
        <v>35.299999999999997</v>
      </c>
      <c r="J1644" s="10">
        <v>0</v>
      </c>
      <c r="K1644" s="8" t="s">
        <v>5087</v>
      </c>
      <c r="S1644"/>
    </row>
    <row r="1645" spans="1:19" ht="15" x14ac:dyDescent="0.25">
      <c r="A1645" s="8" t="s">
        <v>6071</v>
      </c>
      <c r="B1645" s="8" t="s">
        <v>6069</v>
      </c>
      <c r="C1645" s="8" t="s">
        <v>6658</v>
      </c>
      <c r="D1645" s="32" t="s">
        <v>6984</v>
      </c>
      <c r="E1645" s="32" t="s">
        <v>6658</v>
      </c>
      <c r="F1645" s="10">
        <v>1</v>
      </c>
      <c r="G1645" s="8" t="s">
        <v>6266</v>
      </c>
      <c r="H1645" s="10">
        <v>35.299999999999997</v>
      </c>
      <c r="I1645" s="10">
        <f t="shared" si="27"/>
        <v>35.299999999999997</v>
      </c>
      <c r="J1645" s="10">
        <v>0</v>
      </c>
      <c r="K1645" s="8" t="s">
        <v>5087</v>
      </c>
      <c r="S1645"/>
    </row>
    <row r="1646" spans="1:19" ht="15" x14ac:dyDescent="0.25">
      <c r="A1646" s="8" t="s">
        <v>6071</v>
      </c>
      <c r="B1646" s="8" t="s">
        <v>6069</v>
      </c>
      <c r="C1646" s="8" t="s">
        <v>6659</v>
      </c>
      <c r="D1646" s="32" t="s">
        <v>6984</v>
      </c>
      <c r="E1646" s="32" t="s">
        <v>6659</v>
      </c>
      <c r="F1646" s="10">
        <v>2</v>
      </c>
      <c r="G1646" s="8" t="s">
        <v>6266</v>
      </c>
      <c r="H1646" s="10">
        <v>35.25</v>
      </c>
      <c r="I1646" s="10">
        <f t="shared" si="27"/>
        <v>70.5</v>
      </c>
      <c r="J1646" s="10">
        <v>0</v>
      </c>
      <c r="K1646" s="8" t="s">
        <v>5087</v>
      </c>
      <c r="S1646"/>
    </row>
    <row r="1647" spans="1:19" ht="15" x14ac:dyDescent="0.25">
      <c r="A1647" s="8" t="s">
        <v>6071</v>
      </c>
      <c r="B1647" s="8" t="s">
        <v>6069</v>
      </c>
      <c r="C1647" s="8" t="s">
        <v>6660</v>
      </c>
      <c r="D1647" s="32" t="s">
        <v>6984</v>
      </c>
      <c r="E1647" s="32" t="s">
        <v>6660</v>
      </c>
      <c r="F1647" s="10">
        <v>1</v>
      </c>
      <c r="G1647" s="8" t="s">
        <v>6266</v>
      </c>
      <c r="H1647" s="10">
        <v>35.299999999999997</v>
      </c>
      <c r="I1647" s="10">
        <f t="shared" si="27"/>
        <v>35.299999999999997</v>
      </c>
      <c r="J1647" s="10">
        <v>0</v>
      </c>
      <c r="K1647" s="8" t="s">
        <v>5087</v>
      </c>
      <c r="S1647"/>
    </row>
    <row r="1648" spans="1:19" ht="15" x14ac:dyDescent="0.25">
      <c r="A1648" s="8" t="s">
        <v>6071</v>
      </c>
      <c r="B1648" s="8" t="s">
        <v>6069</v>
      </c>
      <c r="C1648" s="8" t="s">
        <v>6661</v>
      </c>
      <c r="D1648" s="32" t="s">
        <v>6984</v>
      </c>
      <c r="E1648" s="32" t="s">
        <v>6661</v>
      </c>
      <c r="F1648" s="10">
        <v>1</v>
      </c>
      <c r="G1648" s="8" t="s">
        <v>6266</v>
      </c>
      <c r="H1648" s="10">
        <v>32.1</v>
      </c>
      <c r="I1648" s="10">
        <f t="shared" si="27"/>
        <v>32.1</v>
      </c>
      <c r="J1648" s="10">
        <v>0</v>
      </c>
      <c r="K1648" s="8" t="s">
        <v>5087</v>
      </c>
      <c r="S1648"/>
    </row>
    <row r="1649" spans="1:19" ht="15" x14ac:dyDescent="0.25">
      <c r="A1649" s="8" t="s">
        <v>6071</v>
      </c>
      <c r="B1649" s="8" t="s">
        <v>6069</v>
      </c>
      <c r="C1649" s="8" t="s">
        <v>6662</v>
      </c>
      <c r="D1649" s="32" t="s">
        <v>6984</v>
      </c>
      <c r="E1649" s="32" t="s">
        <v>6662</v>
      </c>
      <c r="F1649" s="10">
        <v>1</v>
      </c>
      <c r="G1649" s="8" t="s">
        <v>6266</v>
      </c>
      <c r="H1649" s="10">
        <v>35.299999999999997</v>
      </c>
      <c r="I1649" s="10">
        <f t="shared" si="27"/>
        <v>35.299999999999997</v>
      </c>
      <c r="J1649" s="10">
        <v>0</v>
      </c>
      <c r="K1649" s="8" t="s">
        <v>5087</v>
      </c>
      <c r="S1649"/>
    </row>
    <row r="1650" spans="1:19" ht="15" x14ac:dyDescent="0.25">
      <c r="A1650" s="8" t="s">
        <v>6068</v>
      </c>
      <c r="B1650" s="8" t="s">
        <v>6069</v>
      </c>
      <c r="C1650" s="8" t="s">
        <v>6663</v>
      </c>
      <c r="D1650" s="32" t="s">
        <v>6984</v>
      </c>
      <c r="E1650" s="32" t="s">
        <v>6663</v>
      </c>
      <c r="F1650" s="10">
        <v>1</v>
      </c>
      <c r="G1650" s="8" t="s">
        <v>6266</v>
      </c>
      <c r="H1650" s="10">
        <v>35.299999999999997</v>
      </c>
      <c r="I1650" s="10">
        <f t="shared" si="27"/>
        <v>35.299999999999997</v>
      </c>
      <c r="J1650" s="10">
        <v>0</v>
      </c>
      <c r="K1650" s="8" t="s">
        <v>5087</v>
      </c>
      <c r="S1650"/>
    </row>
    <row r="1651" spans="1:19" ht="15" x14ac:dyDescent="0.25">
      <c r="A1651" s="8" t="s">
        <v>6068</v>
      </c>
      <c r="B1651" s="8" t="s">
        <v>6069</v>
      </c>
      <c r="C1651" s="8" t="s">
        <v>6664</v>
      </c>
      <c r="D1651" s="32" t="s">
        <v>6984</v>
      </c>
      <c r="E1651" s="32" t="s">
        <v>6664</v>
      </c>
      <c r="F1651" s="10">
        <v>1</v>
      </c>
      <c r="G1651" s="8" t="s">
        <v>6266</v>
      </c>
      <c r="H1651" s="10">
        <v>30.9</v>
      </c>
      <c r="I1651" s="10">
        <f t="shared" si="27"/>
        <v>30.9</v>
      </c>
      <c r="J1651" s="10">
        <v>0</v>
      </c>
      <c r="K1651" s="8" t="s">
        <v>5087</v>
      </c>
      <c r="S1651"/>
    </row>
    <row r="1652" spans="1:19" ht="15" x14ac:dyDescent="0.25">
      <c r="A1652" s="8" t="s">
        <v>6071</v>
      </c>
      <c r="B1652" s="8" t="s">
        <v>6069</v>
      </c>
      <c r="C1652" s="8" t="s">
        <v>6665</v>
      </c>
      <c r="D1652" s="32" t="s">
        <v>6984</v>
      </c>
      <c r="E1652" s="32" t="s">
        <v>6665</v>
      </c>
      <c r="F1652" s="10">
        <v>2</v>
      </c>
      <c r="G1652" s="8" t="s">
        <v>6266</v>
      </c>
      <c r="H1652" s="10">
        <v>35.25</v>
      </c>
      <c r="I1652" s="10">
        <f t="shared" si="27"/>
        <v>70.5</v>
      </c>
      <c r="J1652" s="10">
        <v>0</v>
      </c>
      <c r="K1652" s="8" t="s">
        <v>5087</v>
      </c>
      <c r="S1652"/>
    </row>
    <row r="1653" spans="1:19" ht="15" x14ac:dyDescent="0.25">
      <c r="A1653" s="8" t="s">
        <v>6071</v>
      </c>
      <c r="B1653" s="8" t="s">
        <v>6069</v>
      </c>
      <c r="C1653" s="8" t="s">
        <v>6666</v>
      </c>
      <c r="D1653" s="32" t="s">
        <v>6984</v>
      </c>
      <c r="E1653" s="32" t="s">
        <v>6666</v>
      </c>
      <c r="F1653" s="10">
        <v>1</v>
      </c>
      <c r="G1653" s="8" t="s">
        <v>6266</v>
      </c>
      <c r="H1653" s="10">
        <v>35.299999999999997</v>
      </c>
      <c r="I1653" s="10">
        <f t="shared" si="27"/>
        <v>35.299999999999997</v>
      </c>
      <c r="J1653" s="10">
        <v>0</v>
      </c>
      <c r="K1653" s="8" t="s">
        <v>5087</v>
      </c>
      <c r="S1653"/>
    </row>
    <row r="1654" spans="1:19" ht="15" x14ac:dyDescent="0.25">
      <c r="A1654" s="8" t="s">
        <v>6071</v>
      </c>
      <c r="B1654" s="8" t="s">
        <v>6069</v>
      </c>
      <c r="C1654" s="8" t="s">
        <v>6667</v>
      </c>
      <c r="D1654" s="32" t="s">
        <v>6984</v>
      </c>
      <c r="E1654" s="32" t="s">
        <v>6667</v>
      </c>
      <c r="F1654" s="10">
        <v>1</v>
      </c>
      <c r="G1654" s="8" t="s">
        <v>6266</v>
      </c>
      <c r="H1654" s="10">
        <v>35.299999999999997</v>
      </c>
      <c r="I1654" s="10">
        <f t="shared" si="27"/>
        <v>35.299999999999997</v>
      </c>
      <c r="J1654" s="10">
        <v>0</v>
      </c>
      <c r="K1654" s="8" t="s">
        <v>5087</v>
      </c>
      <c r="S1654"/>
    </row>
    <row r="1655" spans="1:19" ht="15" x14ac:dyDescent="0.25">
      <c r="A1655" s="8" t="s">
        <v>6071</v>
      </c>
      <c r="B1655" s="8" t="s">
        <v>6069</v>
      </c>
      <c r="C1655" s="8" t="s">
        <v>6668</v>
      </c>
      <c r="D1655" s="32" t="s">
        <v>6984</v>
      </c>
      <c r="E1655" s="32" t="s">
        <v>6668</v>
      </c>
      <c r="F1655" s="10">
        <v>1</v>
      </c>
      <c r="G1655" s="8" t="s">
        <v>6266</v>
      </c>
      <c r="H1655" s="10">
        <v>35.299999999999997</v>
      </c>
      <c r="I1655" s="10">
        <f t="shared" si="27"/>
        <v>35.299999999999997</v>
      </c>
      <c r="J1655" s="10">
        <v>0</v>
      </c>
      <c r="K1655" s="8" t="s">
        <v>5087</v>
      </c>
      <c r="S1655"/>
    </row>
    <row r="1656" spans="1:19" ht="15" x14ac:dyDescent="0.25">
      <c r="A1656" s="8" t="s">
        <v>6071</v>
      </c>
      <c r="B1656" s="8" t="s">
        <v>6069</v>
      </c>
      <c r="C1656" s="8" t="s">
        <v>6669</v>
      </c>
      <c r="D1656" s="32" t="s">
        <v>6984</v>
      </c>
      <c r="E1656" s="32" t="s">
        <v>6669</v>
      </c>
      <c r="F1656" s="10">
        <v>1</v>
      </c>
      <c r="G1656" s="8" t="s">
        <v>6266</v>
      </c>
      <c r="H1656" s="10">
        <v>35.299999999999997</v>
      </c>
      <c r="I1656" s="10">
        <f t="shared" si="27"/>
        <v>35.299999999999997</v>
      </c>
      <c r="J1656" s="10">
        <v>0</v>
      </c>
      <c r="K1656" s="8" t="s">
        <v>5087</v>
      </c>
      <c r="S1656"/>
    </row>
    <row r="1657" spans="1:19" ht="15" x14ac:dyDescent="0.25">
      <c r="A1657" s="8" t="s">
        <v>6071</v>
      </c>
      <c r="B1657" s="8" t="s">
        <v>6069</v>
      </c>
      <c r="C1657" s="8" t="s">
        <v>6670</v>
      </c>
      <c r="D1657" s="32" t="s">
        <v>6984</v>
      </c>
      <c r="E1657" s="32" t="s">
        <v>6670</v>
      </c>
      <c r="F1657" s="10">
        <v>1</v>
      </c>
      <c r="G1657" s="8" t="s">
        <v>6266</v>
      </c>
      <c r="H1657" s="10">
        <v>35.299999999999997</v>
      </c>
      <c r="I1657" s="10">
        <f t="shared" si="27"/>
        <v>35.299999999999997</v>
      </c>
      <c r="J1657" s="10">
        <v>0</v>
      </c>
      <c r="K1657" s="8" t="s">
        <v>5087</v>
      </c>
      <c r="S1657"/>
    </row>
    <row r="1658" spans="1:19" ht="15" x14ac:dyDescent="0.25">
      <c r="A1658" s="8" t="s">
        <v>6071</v>
      </c>
      <c r="B1658" s="8" t="s">
        <v>6069</v>
      </c>
      <c r="C1658" s="8" t="s">
        <v>6671</v>
      </c>
      <c r="D1658" s="32" t="s">
        <v>6984</v>
      </c>
      <c r="E1658" s="32" t="s">
        <v>6671</v>
      </c>
      <c r="F1658" s="10">
        <v>1</v>
      </c>
      <c r="G1658" s="8" t="s">
        <v>6266</v>
      </c>
      <c r="H1658" s="10">
        <v>35.299999999999997</v>
      </c>
      <c r="I1658" s="10">
        <f t="shared" si="27"/>
        <v>35.299999999999997</v>
      </c>
      <c r="J1658" s="10">
        <v>0</v>
      </c>
      <c r="K1658" s="8" t="s">
        <v>5087</v>
      </c>
      <c r="S1658"/>
    </row>
    <row r="1659" spans="1:19" ht="15" x14ac:dyDescent="0.25">
      <c r="A1659" s="8" t="s">
        <v>6071</v>
      </c>
      <c r="B1659" s="8" t="s">
        <v>6069</v>
      </c>
      <c r="C1659" s="8" t="s">
        <v>6672</v>
      </c>
      <c r="D1659" s="32" t="s">
        <v>6984</v>
      </c>
      <c r="E1659" s="32" t="s">
        <v>6672</v>
      </c>
      <c r="F1659" s="10">
        <v>1</v>
      </c>
      <c r="G1659" s="8" t="s">
        <v>6266</v>
      </c>
      <c r="H1659" s="10">
        <v>35.299999999999997</v>
      </c>
      <c r="I1659" s="10">
        <f t="shared" si="27"/>
        <v>35.299999999999997</v>
      </c>
      <c r="J1659" s="10">
        <v>0</v>
      </c>
      <c r="K1659" s="8" t="s">
        <v>5087</v>
      </c>
      <c r="S1659"/>
    </row>
    <row r="1660" spans="1:19" ht="15" x14ac:dyDescent="0.25">
      <c r="A1660" s="8" t="s">
        <v>6071</v>
      </c>
      <c r="B1660" s="8" t="s">
        <v>6069</v>
      </c>
      <c r="C1660" s="8" t="s">
        <v>6673</v>
      </c>
      <c r="D1660" s="32" t="s">
        <v>6984</v>
      </c>
      <c r="E1660" s="32" t="s">
        <v>6673</v>
      </c>
      <c r="F1660" s="10">
        <v>1</v>
      </c>
      <c r="G1660" s="8" t="s">
        <v>6266</v>
      </c>
      <c r="H1660" s="10">
        <v>35.299999999999997</v>
      </c>
      <c r="I1660" s="10">
        <f t="shared" si="27"/>
        <v>35.299999999999997</v>
      </c>
      <c r="J1660" s="10">
        <v>0</v>
      </c>
      <c r="K1660" s="8" t="s">
        <v>5087</v>
      </c>
      <c r="S1660"/>
    </row>
    <row r="1661" spans="1:19" ht="15" x14ac:dyDescent="0.25">
      <c r="A1661" s="8" t="s">
        <v>6068</v>
      </c>
      <c r="B1661" s="8" t="s">
        <v>6069</v>
      </c>
      <c r="C1661" s="8" t="s">
        <v>6674</v>
      </c>
      <c r="D1661" s="32" t="s">
        <v>6984</v>
      </c>
      <c r="E1661" s="32" t="s">
        <v>6674</v>
      </c>
      <c r="F1661" s="10">
        <v>1</v>
      </c>
      <c r="G1661" s="8" t="s">
        <v>6266</v>
      </c>
      <c r="H1661" s="10">
        <v>35.299999999999997</v>
      </c>
      <c r="I1661" s="10">
        <f t="shared" si="27"/>
        <v>35.299999999999997</v>
      </c>
      <c r="J1661" s="10">
        <v>0</v>
      </c>
      <c r="K1661" s="8" t="s">
        <v>5087</v>
      </c>
      <c r="S1661"/>
    </row>
    <row r="1662" spans="1:19" ht="15" x14ac:dyDescent="0.25">
      <c r="A1662" s="8" t="s">
        <v>6068</v>
      </c>
      <c r="B1662" s="8" t="s">
        <v>6069</v>
      </c>
      <c r="C1662" s="8" t="s">
        <v>6675</v>
      </c>
      <c r="D1662" s="32" t="s">
        <v>6984</v>
      </c>
      <c r="E1662" s="32" t="s">
        <v>6675</v>
      </c>
      <c r="F1662" s="10">
        <v>1</v>
      </c>
      <c r="G1662" s="8" t="s">
        <v>6266</v>
      </c>
      <c r="H1662" s="10">
        <v>35.299999999999997</v>
      </c>
      <c r="I1662" s="10">
        <f t="shared" si="27"/>
        <v>35.299999999999997</v>
      </c>
      <c r="J1662" s="10">
        <v>0</v>
      </c>
      <c r="K1662" s="8" t="s">
        <v>5087</v>
      </c>
      <c r="S1662"/>
    </row>
    <row r="1663" spans="1:19" ht="15" x14ac:dyDescent="0.25">
      <c r="A1663" s="8" t="s">
        <v>6068</v>
      </c>
      <c r="B1663" s="8" t="s">
        <v>6069</v>
      </c>
      <c r="C1663" s="8" t="s">
        <v>6676</v>
      </c>
      <c r="D1663" s="32" t="s">
        <v>6984</v>
      </c>
      <c r="E1663" s="32" t="s">
        <v>6676</v>
      </c>
      <c r="F1663" s="10">
        <v>1</v>
      </c>
      <c r="G1663" s="8" t="s">
        <v>6266</v>
      </c>
      <c r="H1663" s="10">
        <v>32.1</v>
      </c>
      <c r="I1663" s="10">
        <f t="shared" si="27"/>
        <v>32.1</v>
      </c>
      <c r="J1663" s="10">
        <v>0</v>
      </c>
      <c r="K1663" s="8" t="s">
        <v>5087</v>
      </c>
      <c r="S1663"/>
    </row>
    <row r="1664" spans="1:19" ht="15" x14ac:dyDescent="0.25">
      <c r="A1664" s="8" t="s">
        <v>6068</v>
      </c>
      <c r="B1664" s="8" t="s">
        <v>6069</v>
      </c>
      <c r="C1664" s="8" t="s">
        <v>6677</v>
      </c>
      <c r="D1664" s="32" t="s">
        <v>6984</v>
      </c>
      <c r="E1664" s="32" t="s">
        <v>6677</v>
      </c>
      <c r="F1664" s="10">
        <v>1</v>
      </c>
      <c r="G1664" s="8" t="s">
        <v>6266</v>
      </c>
      <c r="H1664" s="10">
        <v>35.299999999999997</v>
      </c>
      <c r="I1664" s="10">
        <f t="shared" si="27"/>
        <v>35.299999999999997</v>
      </c>
      <c r="J1664" s="10">
        <v>0</v>
      </c>
      <c r="K1664" s="8" t="s">
        <v>5087</v>
      </c>
      <c r="S1664"/>
    </row>
    <row r="1665" spans="1:19" ht="15" x14ac:dyDescent="0.25">
      <c r="A1665" s="8" t="s">
        <v>6068</v>
      </c>
      <c r="B1665" s="8" t="s">
        <v>6069</v>
      </c>
      <c r="C1665" s="8" t="s">
        <v>6678</v>
      </c>
      <c r="D1665" s="32" t="s">
        <v>6984</v>
      </c>
      <c r="E1665" s="32" t="s">
        <v>6678</v>
      </c>
      <c r="F1665" s="10">
        <v>1</v>
      </c>
      <c r="G1665" s="8" t="s">
        <v>6266</v>
      </c>
      <c r="H1665" s="10">
        <v>39</v>
      </c>
      <c r="I1665" s="10">
        <f t="shared" si="27"/>
        <v>39</v>
      </c>
      <c r="J1665" s="10">
        <v>0</v>
      </c>
      <c r="K1665" s="8" t="s">
        <v>5087</v>
      </c>
      <c r="S1665"/>
    </row>
    <row r="1666" spans="1:19" ht="15" x14ac:dyDescent="0.25">
      <c r="A1666" s="8" t="s">
        <v>6071</v>
      </c>
      <c r="B1666" s="8" t="s">
        <v>6069</v>
      </c>
      <c r="C1666" s="8" t="s">
        <v>6679</v>
      </c>
      <c r="D1666" s="32" t="s">
        <v>6984</v>
      </c>
      <c r="E1666" s="32" t="s">
        <v>6679</v>
      </c>
      <c r="F1666" s="10">
        <v>1</v>
      </c>
      <c r="G1666" s="8" t="s">
        <v>6266</v>
      </c>
      <c r="H1666" s="10">
        <v>35.299999999999997</v>
      </c>
      <c r="I1666" s="10">
        <f t="shared" si="27"/>
        <v>35.299999999999997</v>
      </c>
      <c r="J1666" s="10">
        <v>0</v>
      </c>
      <c r="K1666" s="8" t="s">
        <v>5087</v>
      </c>
      <c r="S1666"/>
    </row>
    <row r="1667" spans="1:19" ht="15" x14ac:dyDescent="0.25">
      <c r="A1667" s="8" t="s">
        <v>6071</v>
      </c>
      <c r="B1667" s="8" t="s">
        <v>6069</v>
      </c>
      <c r="C1667" s="8" t="s">
        <v>6680</v>
      </c>
      <c r="D1667" s="32" t="s">
        <v>6984</v>
      </c>
      <c r="E1667" s="32" t="s">
        <v>6680</v>
      </c>
      <c r="F1667" s="10">
        <v>7</v>
      </c>
      <c r="G1667" s="8" t="s">
        <v>6266</v>
      </c>
      <c r="H1667" s="10">
        <v>35.25714285714286</v>
      </c>
      <c r="I1667" s="10">
        <f t="shared" si="27"/>
        <v>246.8</v>
      </c>
      <c r="J1667" s="10">
        <v>0</v>
      </c>
      <c r="K1667" s="8" t="s">
        <v>5087</v>
      </c>
      <c r="S1667"/>
    </row>
    <row r="1668" spans="1:19" ht="15" x14ac:dyDescent="0.25">
      <c r="A1668" s="8" t="s">
        <v>6071</v>
      </c>
      <c r="B1668" s="8" t="s">
        <v>6069</v>
      </c>
      <c r="C1668" s="8" t="s">
        <v>6681</v>
      </c>
      <c r="D1668" s="32" t="s">
        <v>6984</v>
      </c>
      <c r="E1668" s="32" t="s">
        <v>6681</v>
      </c>
      <c r="F1668" s="10">
        <v>1</v>
      </c>
      <c r="G1668" s="8" t="s">
        <v>6266</v>
      </c>
      <c r="H1668" s="10">
        <v>36</v>
      </c>
      <c r="I1668" s="10">
        <f t="shared" si="27"/>
        <v>36</v>
      </c>
      <c r="J1668" s="10">
        <v>0</v>
      </c>
      <c r="K1668" s="8" t="s">
        <v>5087</v>
      </c>
      <c r="S1668"/>
    </row>
    <row r="1669" spans="1:19" ht="15" x14ac:dyDescent="0.25">
      <c r="A1669" s="8" t="s">
        <v>6071</v>
      </c>
      <c r="B1669" s="8" t="s">
        <v>6069</v>
      </c>
      <c r="C1669" s="8" t="s">
        <v>6682</v>
      </c>
      <c r="D1669" s="32" t="s">
        <v>6984</v>
      </c>
      <c r="E1669" s="32" t="s">
        <v>6682</v>
      </c>
      <c r="F1669" s="10">
        <v>1</v>
      </c>
      <c r="G1669" s="8" t="s">
        <v>6266</v>
      </c>
      <c r="H1669" s="10">
        <v>34.700000000000003</v>
      </c>
      <c r="I1669" s="10">
        <f t="shared" ref="I1669:I1732" si="28">F1669*H1669</f>
        <v>34.700000000000003</v>
      </c>
      <c r="J1669" s="10">
        <v>0</v>
      </c>
      <c r="K1669" s="8" t="s">
        <v>5087</v>
      </c>
      <c r="S1669"/>
    </row>
    <row r="1670" spans="1:19" ht="15" x14ac:dyDescent="0.25">
      <c r="A1670" s="8" t="s">
        <v>6071</v>
      </c>
      <c r="B1670" s="8" t="s">
        <v>6069</v>
      </c>
      <c r="C1670" s="8" t="s">
        <v>6683</v>
      </c>
      <c r="D1670" s="32" t="s">
        <v>6984</v>
      </c>
      <c r="E1670" s="32" t="s">
        <v>6683</v>
      </c>
      <c r="F1670" s="10">
        <v>4</v>
      </c>
      <c r="G1670" s="8" t="s">
        <v>6266</v>
      </c>
      <c r="H1670" s="10">
        <v>31.725000000000001</v>
      </c>
      <c r="I1670" s="10">
        <f t="shared" si="28"/>
        <v>126.9</v>
      </c>
      <c r="J1670" s="10">
        <v>0</v>
      </c>
      <c r="K1670" s="8" t="s">
        <v>5087</v>
      </c>
      <c r="S1670"/>
    </row>
    <row r="1671" spans="1:19" ht="15" x14ac:dyDescent="0.25">
      <c r="A1671" s="8" t="s">
        <v>6071</v>
      </c>
      <c r="B1671" s="8" t="s">
        <v>6069</v>
      </c>
      <c r="C1671" s="8" t="s">
        <v>6684</v>
      </c>
      <c r="D1671" s="32" t="s">
        <v>6984</v>
      </c>
      <c r="E1671" s="32" t="s">
        <v>6684</v>
      </c>
      <c r="F1671" s="10">
        <v>1</v>
      </c>
      <c r="G1671" s="8" t="s">
        <v>6266</v>
      </c>
      <c r="H1671" s="10">
        <v>19.7</v>
      </c>
      <c r="I1671" s="10">
        <f t="shared" si="28"/>
        <v>19.7</v>
      </c>
      <c r="J1671" s="10">
        <v>0</v>
      </c>
      <c r="K1671" s="8" t="s">
        <v>5087</v>
      </c>
      <c r="S1671"/>
    </row>
    <row r="1672" spans="1:19" ht="15" x14ac:dyDescent="0.25">
      <c r="A1672" s="8" t="s">
        <v>6071</v>
      </c>
      <c r="B1672" s="8" t="s">
        <v>6069</v>
      </c>
      <c r="C1672" s="8" t="s">
        <v>6685</v>
      </c>
      <c r="D1672" s="32" t="s">
        <v>6984</v>
      </c>
      <c r="E1672" s="32" t="s">
        <v>6685</v>
      </c>
      <c r="F1672" s="10">
        <v>1</v>
      </c>
      <c r="G1672" s="8" t="s">
        <v>6266</v>
      </c>
      <c r="H1672" s="10">
        <v>31.7</v>
      </c>
      <c r="I1672" s="10">
        <f t="shared" si="28"/>
        <v>31.7</v>
      </c>
      <c r="J1672" s="10">
        <v>0</v>
      </c>
      <c r="K1672" s="8" t="s">
        <v>5087</v>
      </c>
      <c r="S1672"/>
    </row>
    <row r="1673" spans="1:19" ht="15" x14ac:dyDescent="0.25">
      <c r="A1673" s="8" t="s">
        <v>6071</v>
      </c>
      <c r="B1673" s="8" t="s">
        <v>6069</v>
      </c>
      <c r="C1673" s="8" t="s">
        <v>6686</v>
      </c>
      <c r="D1673" s="32" t="s">
        <v>6984</v>
      </c>
      <c r="E1673" s="32" t="s">
        <v>6686</v>
      </c>
      <c r="F1673" s="10">
        <v>1</v>
      </c>
      <c r="G1673" s="8" t="s">
        <v>6266</v>
      </c>
      <c r="H1673" s="10">
        <v>24.1</v>
      </c>
      <c r="I1673" s="10">
        <f t="shared" si="28"/>
        <v>24.1</v>
      </c>
      <c r="J1673" s="10">
        <v>0</v>
      </c>
      <c r="K1673" s="8" t="s">
        <v>5087</v>
      </c>
      <c r="S1673"/>
    </row>
    <row r="1674" spans="1:19" ht="15" x14ac:dyDescent="0.25">
      <c r="A1674" s="8" t="s">
        <v>6071</v>
      </c>
      <c r="B1674" s="8" t="s">
        <v>6069</v>
      </c>
      <c r="C1674" s="8" t="s">
        <v>6687</v>
      </c>
      <c r="D1674" s="32" t="s">
        <v>6984</v>
      </c>
      <c r="E1674" s="32" t="s">
        <v>6687</v>
      </c>
      <c r="F1674" s="10">
        <v>1</v>
      </c>
      <c r="G1674" s="8" t="s">
        <v>6266</v>
      </c>
      <c r="H1674" s="10">
        <v>36</v>
      </c>
      <c r="I1674" s="10">
        <f t="shared" si="28"/>
        <v>36</v>
      </c>
      <c r="J1674" s="10">
        <v>0</v>
      </c>
      <c r="K1674" s="8" t="s">
        <v>5087</v>
      </c>
      <c r="S1674"/>
    </row>
    <row r="1675" spans="1:19" ht="15" x14ac:dyDescent="0.25">
      <c r="A1675" s="8" t="s">
        <v>6071</v>
      </c>
      <c r="B1675" s="8" t="s">
        <v>6069</v>
      </c>
      <c r="C1675" s="8" t="s">
        <v>6688</v>
      </c>
      <c r="D1675" s="32" t="s">
        <v>6984</v>
      </c>
      <c r="E1675" s="32" t="s">
        <v>6688</v>
      </c>
      <c r="F1675" s="10">
        <v>2</v>
      </c>
      <c r="G1675" s="8" t="s">
        <v>6266</v>
      </c>
      <c r="H1675" s="10">
        <v>35.25</v>
      </c>
      <c r="I1675" s="10">
        <f t="shared" si="28"/>
        <v>70.5</v>
      </c>
      <c r="J1675" s="10">
        <v>0</v>
      </c>
      <c r="K1675" s="8" t="s">
        <v>5087</v>
      </c>
      <c r="S1675"/>
    </row>
    <row r="1676" spans="1:19" ht="15" x14ac:dyDescent="0.25">
      <c r="A1676" s="8" t="s">
        <v>6068</v>
      </c>
      <c r="B1676" s="8" t="s">
        <v>6069</v>
      </c>
      <c r="C1676" s="8" t="s">
        <v>6689</v>
      </c>
      <c r="D1676" s="32" t="s">
        <v>6984</v>
      </c>
      <c r="E1676" s="32" t="s">
        <v>6689</v>
      </c>
      <c r="F1676" s="10">
        <v>1</v>
      </c>
      <c r="G1676" s="8" t="s">
        <v>6266</v>
      </c>
      <c r="H1676" s="10">
        <v>35.299999999999997</v>
      </c>
      <c r="I1676" s="10">
        <f t="shared" si="28"/>
        <v>35.299999999999997</v>
      </c>
      <c r="J1676" s="10">
        <v>0</v>
      </c>
      <c r="K1676" s="8" t="s">
        <v>5087</v>
      </c>
      <c r="S1676"/>
    </row>
    <row r="1677" spans="1:19" ht="15" x14ac:dyDescent="0.25">
      <c r="A1677" s="8" t="s">
        <v>6071</v>
      </c>
      <c r="B1677" s="8" t="s">
        <v>6069</v>
      </c>
      <c r="C1677" s="8" t="s">
        <v>6690</v>
      </c>
      <c r="D1677" s="32" t="s">
        <v>6984</v>
      </c>
      <c r="E1677" s="32" t="s">
        <v>6690</v>
      </c>
      <c r="F1677" s="10">
        <v>1</v>
      </c>
      <c r="G1677" s="8" t="s">
        <v>6266</v>
      </c>
      <c r="H1677" s="10">
        <v>40.6</v>
      </c>
      <c r="I1677" s="10">
        <f t="shared" si="28"/>
        <v>40.6</v>
      </c>
      <c r="J1677" s="10">
        <v>0</v>
      </c>
      <c r="K1677" s="8" t="s">
        <v>5087</v>
      </c>
      <c r="S1677"/>
    </row>
    <row r="1678" spans="1:19" ht="15" x14ac:dyDescent="0.25">
      <c r="A1678" s="8" t="s">
        <v>6071</v>
      </c>
      <c r="B1678" s="8" t="s">
        <v>6069</v>
      </c>
      <c r="C1678" s="8" t="s">
        <v>6691</v>
      </c>
      <c r="D1678" s="32" t="s">
        <v>6984</v>
      </c>
      <c r="E1678" s="32" t="s">
        <v>6691</v>
      </c>
      <c r="F1678" s="10">
        <v>1</v>
      </c>
      <c r="G1678" s="8" t="s">
        <v>6266</v>
      </c>
      <c r="H1678" s="10">
        <v>45.4</v>
      </c>
      <c r="I1678" s="10">
        <f t="shared" si="28"/>
        <v>45.4</v>
      </c>
      <c r="J1678" s="10">
        <v>0</v>
      </c>
      <c r="K1678" s="8" t="s">
        <v>5087</v>
      </c>
      <c r="S1678"/>
    </row>
    <row r="1679" spans="1:19" ht="15" x14ac:dyDescent="0.25">
      <c r="A1679" s="8" t="s">
        <v>6068</v>
      </c>
      <c r="B1679" s="8" t="s">
        <v>6069</v>
      </c>
      <c r="C1679" s="8" t="s">
        <v>6692</v>
      </c>
      <c r="D1679" s="32" t="s">
        <v>6984</v>
      </c>
      <c r="E1679" s="32" t="s">
        <v>6692</v>
      </c>
      <c r="F1679" s="10">
        <v>1</v>
      </c>
      <c r="G1679" s="8" t="s">
        <v>6266</v>
      </c>
      <c r="H1679" s="10">
        <v>44.4</v>
      </c>
      <c r="I1679" s="10">
        <f t="shared" si="28"/>
        <v>44.4</v>
      </c>
      <c r="J1679" s="10">
        <v>0</v>
      </c>
      <c r="K1679" s="8" t="s">
        <v>5087</v>
      </c>
      <c r="S1679"/>
    </row>
    <row r="1680" spans="1:19" ht="15" x14ac:dyDescent="0.25">
      <c r="A1680" s="8" t="s">
        <v>6068</v>
      </c>
      <c r="B1680" s="8" t="s">
        <v>6069</v>
      </c>
      <c r="C1680" s="8" t="s">
        <v>6693</v>
      </c>
      <c r="D1680" s="32" t="s">
        <v>6984</v>
      </c>
      <c r="E1680" s="32" t="s">
        <v>6693</v>
      </c>
      <c r="F1680" s="10">
        <v>1</v>
      </c>
      <c r="G1680" s="8" t="s">
        <v>6266</v>
      </c>
      <c r="H1680" s="10">
        <v>44.4</v>
      </c>
      <c r="I1680" s="10">
        <f t="shared" si="28"/>
        <v>44.4</v>
      </c>
      <c r="J1680" s="10">
        <v>0</v>
      </c>
      <c r="K1680" s="8" t="s">
        <v>5087</v>
      </c>
      <c r="S1680"/>
    </row>
    <row r="1681" spans="1:19" ht="15" x14ac:dyDescent="0.25">
      <c r="A1681" s="8" t="s">
        <v>6071</v>
      </c>
      <c r="B1681" s="8" t="s">
        <v>6069</v>
      </c>
      <c r="C1681" s="8" t="s">
        <v>6694</v>
      </c>
      <c r="D1681" s="32" t="s">
        <v>6984</v>
      </c>
      <c r="E1681" s="32" t="s">
        <v>6694</v>
      </c>
      <c r="F1681" s="10">
        <v>1</v>
      </c>
      <c r="G1681" s="8" t="s">
        <v>6266</v>
      </c>
      <c r="H1681" s="10">
        <v>42.6</v>
      </c>
      <c r="I1681" s="10">
        <f t="shared" si="28"/>
        <v>42.6</v>
      </c>
      <c r="J1681" s="10">
        <v>0</v>
      </c>
      <c r="K1681" s="8" t="s">
        <v>5087</v>
      </c>
      <c r="S1681"/>
    </row>
    <row r="1682" spans="1:19" ht="15" x14ac:dyDescent="0.25">
      <c r="A1682" s="8" t="s">
        <v>6068</v>
      </c>
      <c r="B1682" s="8" t="s">
        <v>6069</v>
      </c>
      <c r="C1682" s="8" t="s">
        <v>6695</v>
      </c>
      <c r="D1682" s="32" t="s">
        <v>6984</v>
      </c>
      <c r="E1682" s="32" t="s">
        <v>6695</v>
      </c>
      <c r="F1682" s="10">
        <v>1</v>
      </c>
      <c r="G1682" s="8" t="s">
        <v>6266</v>
      </c>
      <c r="H1682" s="10">
        <v>44.4</v>
      </c>
      <c r="I1682" s="10">
        <f t="shared" si="28"/>
        <v>44.4</v>
      </c>
      <c r="J1682" s="10">
        <v>0</v>
      </c>
      <c r="K1682" s="8" t="s">
        <v>5087</v>
      </c>
      <c r="S1682"/>
    </row>
    <row r="1683" spans="1:19" ht="15" x14ac:dyDescent="0.25">
      <c r="A1683" s="8" t="s">
        <v>6068</v>
      </c>
      <c r="B1683" s="8" t="s">
        <v>6069</v>
      </c>
      <c r="C1683" s="8" t="s">
        <v>6696</v>
      </c>
      <c r="D1683" s="32" t="s">
        <v>6984</v>
      </c>
      <c r="E1683" s="32" t="s">
        <v>6696</v>
      </c>
      <c r="F1683" s="10">
        <v>1</v>
      </c>
      <c r="G1683" s="8" t="s">
        <v>6266</v>
      </c>
      <c r="H1683" s="10">
        <v>44.4</v>
      </c>
      <c r="I1683" s="10">
        <f t="shared" si="28"/>
        <v>44.4</v>
      </c>
      <c r="J1683" s="10">
        <v>0</v>
      </c>
      <c r="K1683" s="8" t="s">
        <v>5087</v>
      </c>
      <c r="S1683"/>
    </row>
    <row r="1684" spans="1:19" ht="15" x14ac:dyDescent="0.25">
      <c r="A1684" s="8" t="s">
        <v>6068</v>
      </c>
      <c r="B1684" s="8" t="s">
        <v>6069</v>
      </c>
      <c r="C1684" s="8" t="s">
        <v>6697</v>
      </c>
      <c r="D1684" s="32" t="s">
        <v>6984</v>
      </c>
      <c r="E1684" s="32" t="s">
        <v>6697</v>
      </c>
      <c r="F1684" s="10">
        <v>1</v>
      </c>
      <c r="G1684" s="8" t="s">
        <v>6266</v>
      </c>
      <c r="H1684" s="10">
        <v>42.6</v>
      </c>
      <c r="I1684" s="10">
        <f t="shared" si="28"/>
        <v>42.6</v>
      </c>
      <c r="J1684" s="10">
        <v>0</v>
      </c>
      <c r="K1684" s="8" t="s">
        <v>5087</v>
      </c>
      <c r="S1684"/>
    </row>
    <row r="1685" spans="1:19" ht="15" x14ac:dyDescent="0.25">
      <c r="A1685" s="8" t="s">
        <v>6071</v>
      </c>
      <c r="B1685" s="8" t="s">
        <v>6069</v>
      </c>
      <c r="C1685" s="8" t="s">
        <v>6698</v>
      </c>
      <c r="D1685" s="32" t="s">
        <v>6984</v>
      </c>
      <c r="E1685" s="32" t="s">
        <v>6698</v>
      </c>
      <c r="F1685" s="10">
        <v>1</v>
      </c>
      <c r="G1685" s="8" t="s">
        <v>6266</v>
      </c>
      <c r="H1685" s="10">
        <v>44.4</v>
      </c>
      <c r="I1685" s="10">
        <f t="shared" si="28"/>
        <v>44.4</v>
      </c>
      <c r="J1685" s="10">
        <v>0</v>
      </c>
      <c r="K1685" s="8" t="s">
        <v>5087</v>
      </c>
      <c r="S1685"/>
    </row>
    <row r="1686" spans="1:19" ht="15" x14ac:dyDescent="0.25">
      <c r="A1686" s="8" t="s">
        <v>6071</v>
      </c>
      <c r="B1686" s="8" t="s">
        <v>6069</v>
      </c>
      <c r="C1686" s="8" t="s">
        <v>6699</v>
      </c>
      <c r="D1686" s="32" t="s">
        <v>6984</v>
      </c>
      <c r="E1686" s="32" t="s">
        <v>6699</v>
      </c>
      <c r="F1686" s="10">
        <v>1</v>
      </c>
      <c r="G1686" s="8" t="s">
        <v>6266</v>
      </c>
      <c r="H1686" s="10">
        <v>40.4</v>
      </c>
      <c r="I1686" s="10">
        <f t="shared" si="28"/>
        <v>40.4</v>
      </c>
      <c r="J1686" s="10">
        <v>0</v>
      </c>
      <c r="K1686" s="8" t="s">
        <v>5087</v>
      </c>
      <c r="S1686"/>
    </row>
    <row r="1687" spans="1:19" ht="15" x14ac:dyDescent="0.25">
      <c r="A1687" s="8" t="s">
        <v>6071</v>
      </c>
      <c r="B1687" s="8" t="s">
        <v>6069</v>
      </c>
      <c r="C1687" s="8" t="s">
        <v>6700</v>
      </c>
      <c r="D1687" s="32" t="s">
        <v>6984</v>
      </c>
      <c r="E1687" s="32" t="s">
        <v>6700</v>
      </c>
      <c r="F1687" s="10">
        <v>1</v>
      </c>
      <c r="G1687" s="8" t="s">
        <v>6266</v>
      </c>
      <c r="H1687" s="10">
        <v>44.4</v>
      </c>
      <c r="I1687" s="10">
        <f t="shared" si="28"/>
        <v>44.4</v>
      </c>
      <c r="J1687" s="10">
        <v>0</v>
      </c>
      <c r="K1687" s="8" t="s">
        <v>5087</v>
      </c>
      <c r="S1687"/>
    </row>
    <row r="1688" spans="1:19" ht="15" x14ac:dyDescent="0.25">
      <c r="A1688" s="8" t="s">
        <v>6068</v>
      </c>
      <c r="B1688" s="8" t="s">
        <v>6069</v>
      </c>
      <c r="C1688" s="8" t="s">
        <v>6701</v>
      </c>
      <c r="D1688" s="32" t="s">
        <v>6984</v>
      </c>
      <c r="E1688" s="32" t="s">
        <v>6701</v>
      </c>
      <c r="F1688" s="10">
        <v>1</v>
      </c>
      <c r="G1688" s="8" t="s">
        <v>6266</v>
      </c>
      <c r="H1688" s="10">
        <v>44.4</v>
      </c>
      <c r="I1688" s="10">
        <f t="shared" si="28"/>
        <v>44.4</v>
      </c>
      <c r="J1688" s="10">
        <v>0</v>
      </c>
      <c r="K1688" s="8" t="s">
        <v>5087</v>
      </c>
      <c r="S1688"/>
    </row>
    <row r="1689" spans="1:19" ht="15" x14ac:dyDescent="0.25">
      <c r="A1689" s="8" t="s">
        <v>6068</v>
      </c>
      <c r="B1689" s="8" t="s">
        <v>6069</v>
      </c>
      <c r="C1689" s="8" t="s">
        <v>6702</v>
      </c>
      <c r="D1689" s="32" t="s">
        <v>6984</v>
      </c>
      <c r="E1689" s="32" t="s">
        <v>6702</v>
      </c>
      <c r="F1689" s="10">
        <v>1</v>
      </c>
      <c r="G1689" s="8" t="s">
        <v>6266</v>
      </c>
      <c r="H1689" s="10">
        <v>44.4</v>
      </c>
      <c r="I1689" s="10">
        <f t="shared" si="28"/>
        <v>44.4</v>
      </c>
      <c r="J1689" s="10">
        <v>0</v>
      </c>
      <c r="K1689" s="8" t="s">
        <v>5087</v>
      </c>
      <c r="S1689"/>
    </row>
    <row r="1690" spans="1:19" ht="15" x14ac:dyDescent="0.25">
      <c r="A1690" s="8" t="s">
        <v>6068</v>
      </c>
      <c r="B1690" s="8" t="s">
        <v>6069</v>
      </c>
      <c r="C1690" s="8" t="s">
        <v>6703</v>
      </c>
      <c r="D1690" s="32" t="s">
        <v>6984</v>
      </c>
      <c r="E1690" s="32" t="s">
        <v>6703</v>
      </c>
      <c r="F1690" s="10">
        <v>1</v>
      </c>
      <c r="G1690" s="8" t="s">
        <v>6266</v>
      </c>
      <c r="H1690" s="10">
        <v>44.4</v>
      </c>
      <c r="I1690" s="10">
        <f t="shared" si="28"/>
        <v>44.4</v>
      </c>
      <c r="J1690" s="10">
        <v>0</v>
      </c>
      <c r="K1690" s="8" t="s">
        <v>5087</v>
      </c>
      <c r="S1690"/>
    </row>
    <row r="1691" spans="1:19" ht="15" x14ac:dyDescent="0.25">
      <c r="A1691" s="8" t="s">
        <v>6068</v>
      </c>
      <c r="B1691" s="8" t="s">
        <v>6069</v>
      </c>
      <c r="C1691" s="8" t="s">
        <v>6704</v>
      </c>
      <c r="D1691" s="32" t="s">
        <v>6984</v>
      </c>
      <c r="E1691" s="32" t="s">
        <v>6704</v>
      </c>
      <c r="F1691" s="10">
        <v>1</v>
      </c>
      <c r="G1691" s="8" t="s">
        <v>6266</v>
      </c>
      <c r="H1691" s="10">
        <v>44.4</v>
      </c>
      <c r="I1691" s="10">
        <f t="shared" si="28"/>
        <v>44.4</v>
      </c>
      <c r="J1691" s="10">
        <v>0</v>
      </c>
      <c r="K1691" s="8" t="s">
        <v>5087</v>
      </c>
      <c r="S1691"/>
    </row>
    <row r="1692" spans="1:19" ht="15" x14ac:dyDescent="0.25">
      <c r="A1692" s="8" t="s">
        <v>6068</v>
      </c>
      <c r="B1692" s="8" t="s">
        <v>6069</v>
      </c>
      <c r="C1692" s="8" t="s">
        <v>6705</v>
      </c>
      <c r="D1692" s="32" t="s">
        <v>6984</v>
      </c>
      <c r="E1692" s="32" t="s">
        <v>6705</v>
      </c>
      <c r="F1692" s="10">
        <v>1</v>
      </c>
      <c r="G1692" s="8" t="s">
        <v>6266</v>
      </c>
      <c r="H1692" s="10">
        <v>44.4</v>
      </c>
      <c r="I1692" s="10">
        <f t="shared" si="28"/>
        <v>44.4</v>
      </c>
      <c r="J1692" s="10">
        <v>0</v>
      </c>
      <c r="K1692" s="8" t="s">
        <v>5087</v>
      </c>
      <c r="S1692"/>
    </row>
    <row r="1693" spans="1:19" ht="15" x14ac:dyDescent="0.25">
      <c r="A1693" s="8" t="s">
        <v>6068</v>
      </c>
      <c r="B1693" s="8" t="s">
        <v>6069</v>
      </c>
      <c r="C1693" s="8" t="s">
        <v>6706</v>
      </c>
      <c r="D1693" s="32" t="s">
        <v>6984</v>
      </c>
      <c r="E1693" s="32" t="s">
        <v>6706</v>
      </c>
      <c r="F1693" s="10">
        <v>1</v>
      </c>
      <c r="G1693" s="8" t="s">
        <v>6266</v>
      </c>
      <c r="H1693" s="10">
        <v>44.4</v>
      </c>
      <c r="I1693" s="10">
        <f t="shared" si="28"/>
        <v>44.4</v>
      </c>
      <c r="J1693" s="10">
        <v>0</v>
      </c>
      <c r="K1693" s="8" t="s">
        <v>5087</v>
      </c>
      <c r="S1693"/>
    </row>
    <row r="1694" spans="1:19" ht="15" x14ac:dyDescent="0.25">
      <c r="A1694" s="8" t="s">
        <v>6068</v>
      </c>
      <c r="B1694" s="8" t="s">
        <v>6069</v>
      </c>
      <c r="C1694" s="8" t="s">
        <v>6707</v>
      </c>
      <c r="D1694" s="32" t="s">
        <v>6984</v>
      </c>
      <c r="E1694" s="32" t="s">
        <v>6707</v>
      </c>
      <c r="F1694" s="10">
        <v>1</v>
      </c>
      <c r="G1694" s="8" t="s">
        <v>6266</v>
      </c>
      <c r="H1694" s="10">
        <v>44.4</v>
      </c>
      <c r="I1694" s="10">
        <f t="shared" si="28"/>
        <v>44.4</v>
      </c>
      <c r="J1694" s="10">
        <v>0</v>
      </c>
      <c r="K1694" s="8" t="s">
        <v>5087</v>
      </c>
      <c r="S1694"/>
    </row>
    <row r="1695" spans="1:19" ht="15" x14ac:dyDescent="0.25">
      <c r="A1695" s="8" t="s">
        <v>6068</v>
      </c>
      <c r="B1695" s="8" t="s">
        <v>6069</v>
      </c>
      <c r="C1695" s="8" t="s">
        <v>6708</v>
      </c>
      <c r="D1695" s="32" t="s">
        <v>6984</v>
      </c>
      <c r="E1695" s="32" t="s">
        <v>6708</v>
      </c>
      <c r="F1695" s="10">
        <v>1</v>
      </c>
      <c r="G1695" s="8" t="s">
        <v>6266</v>
      </c>
      <c r="H1695" s="10">
        <v>49.1</v>
      </c>
      <c r="I1695" s="10">
        <f t="shared" si="28"/>
        <v>49.1</v>
      </c>
      <c r="J1695" s="10">
        <v>0</v>
      </c>
      <c r="K1695" s="8" t="s">
        <v>5087</v>
      </c>
      <c r="S1695"/>
    </row>
    <row r="1696" spans="1:19" ht="15" x14ac:dyDescent="0.25">
      <c r="A1696" s="8" t="s">
        <v>6068</v>
      </c>
      <c r="B1696" s="8" t="s">
        <v>6069</v>
      </c>
      <c r="C1696" s="8" t="s">
        <v>6709</v>
      </c>
      <c r="D1696" s="32" t="s">
        <v>6984</v>
      </c>
      <c r="E1696" s="32" t="s">
        <v>6709</v>
      </c>
      <c r="F1696" s="10">
        <v>1</v>
      </c>
      <c r="G1696" s="8" t="s">
        <v>6266</v>
      </c>
      <c r="H1696" s="10">
        <v>44.7</v>
      </c>
      <c r="I1696" s="10">
        <f t="shared" si="28"/>
        <v>44.7</v>
      </c>
      <c r="J1696" s="10">
        <v>0</v>
      </c>
      <c r="K1696" s="8" t="s">
        <v>5087</v>
      </c>
      <c r="S1696"/>
    </row>
    <row r="1697" spans="1:19" ht="15" x14ac:dyDescent="0.25">
      <c r="A1697" s="8" t="s">
        <v>6071</v>
      </c>
      <c r="B1697" s="8" t="s">
        <v>6069</v>
      </c>
      <c r="C1697" s="8" t="s">
        <v>6710</v>
      </c>
      <c r="D1697" s="32" t="s">
        <v>6984</v>
      </c>
      <c r="E1697" s="32" t="s">
        <v>6710</v>
      </c>
      <c r="F1697" s="10">
        <v>2</v>
      </c>
      <c r="G1697" s="8" t="s">
        <v>6266</v>
      </c>
      <c r="H1697" s="10">
        <v>44.4</v>
      </c>
      <c r="I1697" s="10">
        <f t="shared" si="28"/>
        <v>88.8</v>
      </c>
      <c r="J1697" s="10">
        <v>0</v>
      </c>
      <c r="K1697" s="8" t="s">
        <v>5087</v>
      </c>
      <c r="S1697"/>
    </row>
    <row r="1698" spans="1:19" ht="15" x14ac:dyDescent="0.25">
      <c r="A1698" s="8" t="s">
        <v>6071</v>
      </c>
      <c r="B1698" s="8" t="s">
        <v>6069</v>
      </c>
      <c r="C1698" s="8" t="s">
        <v>6711</v>
      </c>
      <c r="D1698" s="32" t="s">
        <v>6984</v>
      </c>
      <c r="E1698" s="32" t="s">
        <v>6711</v>
      </c>
      <c r="F1698" s="10">
        <v>1</v>
      </c>
      <c r="G1698" s="8" t="s">
        <v>6266</v>
      </c>
      <c r="H1698" s="10">
        <v>44.4</v>
      </c>
      <c r="I1698" s="10">
        <f t="shared" si="28"/>
        <v>44.4</v>
      </c>
      <c r="J1698" s="10">
        <v>0</v>
      </c>
      <c r="K1698" s="8" t="s">
        <v>5087</v>
      </c>
      <c r="S1698"/>
    </row>
    <row r="1699" spans="1:19" ht="15" x14ac:dyDescent="0.25">
      <c r="A1699" s="8" t="s">
        <v>6071</v>
      </c>
      <c r="B1699" s="8" t="s">
        <v>6069</v>
      </c>
      <c r="C1699" s="8" t="s">
        <v>6712</v>
      </c>
      <c r="D1699" s="32" t="s">
        <v>6984</v>
      </c>
      <c r="E1699" s="32" t="s">
        <v>6712</v>
      </c>
      <c r="F1699" s="10">
        <v>1</v>
      </c>
      <c r="G1699" s="8" t="s">
        <v>6266</v>
      </c>
      <c r="H1699" s="10">
        <v>44.4</v>
      </c>
      <c r="I1699" s="10">
        <f t="shared" si="28"/>
        <v>44.4</v>
      </c>
      <c r="J1699" s="10">
        <v>0</v>
      </c>
      <c r="K1699" s="8" t="s">
        <v>5087</v>
      </c>
      <c r="S1699"/>
    </row>
    <row r="1700" spans="1:19" ht="15" x14ac:dyDescent="0.25">
      <c r="A1700" s="8" t="s">
        <v>6071</v>
      </c>
      <c r="B1700" s="8" t="s">
        <v>6069</v>
      </c>
      <c r="C1700" s="8" t="s">
        <v>6713</v>
      </c>
      <c r="D1700" s="32" t="s">
        <v>6984</v>
      </c>
      <c r="E1700" s="32" t="s">
        <v>6713</v>
      </c>
      <c r="F1700" s="10">
        <v>1</v>
      </c>
      <c r="G1700" s="8" t="s">
        <v>6266</v>
      </c>
      <c r="H1700" s="10">
        <v>44.4</v>
      </c>
      <c r="I1700" s="10">
        <f t="shared" si="28"/>
        <v>44.4</v>
      </c>
      <c r="J1700" s="10">
        <v>0</v>
      </c>
      <c r="K1700" s="8" t="s">
        <v>5087</v>
      </c>
      <c r="S1700"/>
    </row>
    <row r="1701" spans="1:19" ht="15" x14ac:dyDescent="0.25">
      <c r="A1701" s="8" t="s">
        <v>6071</v>
      </c>
      <c r="B1701" s="8" t="s">
        <v>6069</v>
      </c>
      <c r="C1701" s="8" t="s">
        <v>6714</v>
      </c>
      <c r="D1701" s="32" t="s">
        <v>6984</v>
      </c>
      <c r="E1701" s="32" t="s">
        <v>6714</v>
      </c>
      <c r="F1701" s="10">
        <v>2</v>
      </c>
      <c r="G1701" s="8" t="s">
        <v>6266</v>
      </c>
      <c r="H1701" s="10">
        <v>44.4</v>
      </c>
      <c r="I1701" s="10">
        <f t="shared" si="28"/>
        <v>88.8</v>
      </c>
      <c r="J1701" s="10">
        <v>0</v>
      </c>
      <c r="K1701" s="8" t="s">
        <v>5087</v>
      </c>
      <c r="S1701"/>
    </row>
    <row r="1702" spans="1:19" ht="15" x14ac:dyDescent="0.25">
      <c r="A1702" s="8" t="s">
        <v>6071</v>
      </c>
      <c r="B1702" s="8" t="s">
        <v>6069</v>
      </c>
      <c r="C1702" s="8" t="s">
        <v>6715</v>
      </c>
      <c r="D1702" s="32" t="s">
        <v>6984</v>
      </c>
      <c r="E1702" s="32" t="s">
        <v>6715</v>
      </c>
      <c r="F1702" s="10">
        <v>1</v>
      </c>
      <c r="G1702" s="8" t="s">
        <v>6266</v>
      </c>
      <c r="H1702" s="10">
        <v>44.4</v>
      </c>
      <c r="I1702" s="10">
        <f t="shared" si="28"/>
        <v>44.4</v>
      </c>
      <c r="J1702" s="10">
        <v>0</v>
      </c>
      <c r="K1702" s="8" t="s">
        <v>5087</v>
      </c>
      <c r="S1702"/>
    </row>
    <row r="1703" spans="1:19" ht="15" x14ac:dyDescent="0.25">
      <c r="A1703" s="8" t="s">
        <v>6071</v>
      </c>
      <c r="B1703" s="8" t="s">
        <v>6069</v>
      </c>
      <c r="C1703" s="8" t="s">
        <v>6716</v>
      </c>
      <c r="D1703" s="32" t="s">
        <v>6984</v>
      </c>
      <c r="E1703" s="32" t="s">
        <v>6716</v>
      </c>
      <c r="F1703" s="10">
        <v>1</v>
      </c>
      <c r="G1703" s="8" t="s">
        <v>6266</v>
      </c>
      <c r="H1703" s="10">
        <v>44.4</v>
      </c>
      <c r="I1703" s="10">
        <f t="shared" si="28"/>
        <v>44.4</v>
      </c>
      <c r="J1703" s="10">
        <v>0</v>
      </c>
      <c r="K1703" s="8" t="s">
        <v>5087</v>
      </c>
      <c r="S1703"/>
    </row>
    <row r="1704" spans="1:19" ht="15" x14ac:dyDescent="0.25">
      <c r="A1704" s="8" t="s">
        <v>6071</v>
      </c>
      <c r="B1704" s="8" t="s">
        <v>6069</v>
      </c>
      <c r="C1704" s="8" t="s">
        <v>6717</v>
      </c>
      <c r="D1704" s="32" t="s">
        <v>6984</v>
      </c>
      <c r="E1704" s="32" t="s">
        <v>6717</v>
      </c>
      <c r="F1704" s="10">
        <v>1</v>
      </c>
      <c r="G1704" s="8" t="s">
        <v>6266</v>
      </c>
      <c r="H1704" s="10">
        <v>44.4</v>
      </c>
      <c r="I1704" s="10">
        <f t="shared" si="28"/>
        <v>44.4</v>
      </c>
      <c r="J1704" s="10">
        <v>0</v>
      </c>
      <c r="K1704" s="8" t="s">
        <v>5087</v>
      </c>
      <c r="S1704"/>
    </row>
    <row r="1705" spans="1:19" ht="15" x14ac:dyDescent="0.25">
      <c r="A1705" s="8" t="s">
        <v>6071</v>
      </c>
      <c r="B1705" s="8" t="s">
        <v>6069</v>
      </c>
      <c r="C1705" s="8" t="s">
        <v>6718</v>
      </c>
      <c r="D1705" s="32" t="s">
        <v>6984</v>
      </c>
      <c r="E1705" s="32" t="s">
        <v>6718</v>
      </c>
      <c r="F1705" s="10">
        <v>1</v>
      </c>
      <c r="G1705" s="8" t="s">
        <v>6266</v>
      </c>
      <c r="H1705" s="10">
        <v>40.4</v>
      </c>
      <c r="I1705" s="10">
        <f t="shared" si="28"/>
        <v>40.4</v>
      </c>
      <c r="J1705" s="10">
        <v>0</v>
      </c>
      <c r="K1705" s="8" t="s">
        <v>5087</v>
      </c>
      <c r="S1705"/>
    </row>
    <row r="1706" spans="1:19" ht="15" x14ac:dyDescent="0.25">
      <c r="A1706" s="8" t="s">
        <v>6071</v>
      </c>
      <c r="B1706" s="8" t="s">
        <v>6069</v>
      </c>
      <c r="C1706" s="8" t="s">
        <v>6719</v>
      </c>
      <c r="D1706" s="32" t="s">
        <v>6984</v>
      </c>
      <c r="E1706" s="32" t="s">
        <v>6719</v>
      </c>
      <c r="F1706" s="10">
        <v>1</v>
      </c>
      <c r="G1706" s="8" t="s">
        <v>6266</v>
      </c>
      <c r="H1706" s="10">
        <v>44.4</v>
      </c>
      <c r="I1706" s="10">
        <f t="shared" si="28"/>
        <v>44.4</v>
      </c>
      <c r="J1706" s="10">
        <v>0</v>
      </c>
      <c r="K1706" s="8" t="s">
        <v>5087</v>
      </c>
      <c r="S1706"/>
    </row>
    <row r="1707" spans="1:19" ht="15" x14ac:dyDescent="0.25">
      <c r="A1707" s="8" t="s">
        <v>6071</v>
      </c>
      <c r="B1707" s="8" t="s">
        <v>6069</v>
      </c>
      <c r="C1707" s="8" t="s">
        <v>6720</v>
      </c>
      <c r="D1707" s="32" t="s">
        <v>6984</v>
      </c>
      <c r="E1707" s="32" t="s">
        <v>6720</v>
      </c>
      <c r="F1707" s="10">
        <v>1</v>
      </c>
      <c r="G1707" s="8" t="s">
        <v>6266</v>
      </c>
      <c r="H1707" s="10">
        <v>44.4</v>
      </c>
      <c r="I1707" s="10">
        <f t="shared" si="28"/>
        <v>44.4</v>
      </c>
      <c r="J1707" s="10">
        <v>0</v>
      </c>
      <c r="K1707" s="8" t="s">
        <v>5087</v>
      </c>
      <c r="S1707"/>
    </row>
    <row r="1708" spans="1:19" ht="15" x14ac:dyDescent="0.25">
      <c r="A1708" s="8" t="s">
        <v>6071</v>
      </c>
      <c r="B1708" s="8" t="s">
        <v>6069</v>
      </c>
      <c r="C1708" s="8" t="s">
        <v>6721</v>
      </c>
      <c r="D1708" s="32" t="s">
        <v>6984</v>
      </c>
      <c r="E1708" s="32" t="s">
        <v>6721</v>
      </c>
      <c r="F1708" s="10">
        <v>1</v>
      </c>
      <c r="G1708" s="8" t="s">
        <v>6266</v>
      </c>
      <c r="H1708" s="10">
        <v>44.4</v>
      </c>
      <c r="I1708" s="10">
        <f t="shared" si="28"/>
        <v>44.4</v>
      </c>
      <c r="J1708" s="10">
        <v>0</v>
      </c>
      <c r="K1708" s="8" t="s">
        <v>5087</v>
      </c>
      <c r="S1708"/>
    </row>
    <row r="1709" spans="1:19" ht="15" x14ac:dyDescent="0.25">
      <c r="A1709" s="8" t="s">
        <v>6071</v>
      </c>
      <c r="B1709" s="8" t="s">
        <v>6069</v>
      </c>
      <c r="C1709" s="8" t="s">
        <v>6722</v>
      </c>
      <c r="D1709" s="32" t="s">
        <v>6984</v>
      </c>
      <c r="E1709" s="32" t="s">
        <v>6722</v>
      </c>
      <c r="F1709" s="10">
        <v>1</v>
      </c>
      <c r="G1709" s="8" t="s">
        <v>6266</v>
      </c>
      <c r="H1709" s="10">
        <v>44.4</v>
      </c>
      <c r="I1709" s="10">
        <f t="shared" si="28"/>
        <v>44.4</v>
      </c>
      <c r="J1709" s="10">
        <v>0</v>
      </c>
      <c r="K1709" s="8" t="s">
        <v>5087</v>
      </c>
      <c r="S1709"/>
    </row>
    <row r="1710" spans="1:19" ht="15" x14ac:dyDescent="0.25">
      <c r="A1710" s="8" t="s">
        <v>6071</v>
      </c>
      <c r="B1710" s="8" t="s">
        <v>6069</v>
      </c>
      <c r="C1710" s="8" t="s">
        <v>6723</v>
      </c>
      <c r="D1710" s="32" t="s">
        <v>6984</v>
      </c>
      <c r="E1710" s="32" t="s">
        <v>6723</v>
      </c>
      <c r="F1710" s="10">
        <v>1</v>
      </c>
      <c r="G1710" s="8" t="s">
        <v>6266</v>
      </c>
      <c r="H1710" s="10">
        <v>44.4</v>
      </c>
      <c r="I1710" s="10">
        <f t="shared" si="28"/>
        <v>44.4</v>
      </c>
      <c r="J1710" s="10">
        <v>0</v>
      </c>
      <c r="K1710" s="8" t="s">
        <v>5087</v>
      </c>
      <c r="S1710"/>
    </row>
    <row r="1711" spans="1:19" ht="15" x14ac:dyDescent="0.25">
      <c r="A1711" s="8" t="s">
        <v>6071</v>
      </c>
      <c r="B1711" s="8" t="s">
        <v>6069</v>
      </c>
      <c r="C1711" s="8" t="s">
        <v>6724</v>
      </c>
      <c r="D1711" s="32" t="s">
        <v>6984</v>
      </c>
      <c r="E1711" s="32" t="s">
        <v>6724</v>
      </c>
      <c r="F1711" s="10">
        <v>1</v>
      </c>
      <c r="G1711" s="8" t="s">
        <v>6266</v>
      </c>
      <c r="H1711" s="10">
        <v>40.4</v>
      </c>
      <c r="I1711" s="10">
        <f t="shared" si="28"/>
        <v>40.4</v>
      </c>
      <c r="J1711" s="10">
        <v>0</v>
      </c>
      <c r="K1711" s="8" t="s">
        <v>5087</v>
      </c>
      <c r="S1711"/>
    </row>
    <row r="1712" spans="1:19" ht="15" x14ac:dyDescent="0.25">
      <c r="A1712" s="8" t="s">
        <v>6071</v>
      </c>
      <c r="B1712" s="8" t="s">
        <v>6069</v>
      </c>
      <c r="C1712" s="8" t="s">
        <v>6725</v>
      </c>
      <c r="D1712" s="32" t="s">
        <v>6984</v>
      </c>
      <c r="E1712" s="32" t="s">
        <v>6725</v>
      </c>
      <c r="F1712" s="10">
        <v>1</v>
      </c>
      <c r="G1712" s="8" t="s">
        <v>6266</v>
      </c>
      <c r="H1712" s="10">
        <v>44.4</v>
      </c>
      <c r="I1712" s="10">
        <f t="shared" si="28"/>
        <v>44.4</v>
      </c>
      <c r="J1712" s="10">
        <v>0</v>
      </c>
      <c r="K1712" s="8" t="s">
        <v>5087</v>
      </c>
      <c r="S1712"/>
    </row>
    <row r="1713" spans="1:19" ht="15" x14ac:dyDescent="0.25">
      <c r="A1713" s="8" t="s">
        <v>6071</v>
      </c>
      <c r="B1713" s="8" t="s">
        <v>6069</v>
      </c>
      <c r="C1713" s="8" t="s">
        <v>6726</v>
      </c>
      <c r="D1713" s="32" t="s">
        <v>6984</v>
      </c>
      <c r="E1713" s="32" t="s">
        <v>6726</v>
      </c>
      <c r="F1713" s="10">
        <v>1</v>
      </c>
      <c r="G1713" s="8" t="s">
        <v>6266</v>
      </c>
      <c r="H1713" s="10">
        <v>44.4</v>
      </c>
      <c r="I1713" s="10">
        <f t="shared" si="28"/>
        <v>44.4</v>
      </c>
      <c r="J1713" s="10">
        <v>0</v>
      </c>
      <c r="K1713" s="8" t="s">
        <v>5087</v>
      </c>
      <c r="S1713"/>
    </row>
    <row r="1714" spans="1:19" ht="15" x14ac:dyDescent="0.25">
      <c r="A1714" s="8" t="s">
        <v>6068</v>
      </c>
      <c r="B1714" s="8" t="s">
        <v>6069</v>
      </c>
      <c r="C1714" s="8" t="s">
        <v>6727</v>
      </c>
      <c r="D1714" s="32" t="s">
        <v>6984</v>
      </c>
      <c r="E1714" s="32" t="s">
        <v>6727</v>
      </c>
      <c r="F1714" s="10">
        <v>1</v>
      </c>
      <c r="G1714" s="8" t="s">
        <v>6266</v>
      </c>
      <c r="H1714" s="10">
        <v>40.4</v>
      </c>
      <c r="I1714" s="10">
        <f t="shared" si="28"/>
        <v>40.4</v>
      </c>
      <c r="J1714" s="10">
        <v>0</v>
      </c>
      <c r="K1714" s="8" t="s">
        <v>5087</v>
      </c>
      <c r="S1714"/>
    </row>
    <row r="1715" spans="1:19" ht="15" x14ac:dyDescent="0.25">
      <c r="A1715" s="8" t="s">
        <v>6071</v>
      </c>
      <c r="B1715" s="8" t="s">
        <v>6069</v>
      </c>
      <c r="C1715" s="8" t="s">
        <v>6728</v>
      </c>
      <c r="D1715" s="32" t="s">
        <v>6984</v>
      </c>
      <c r="E1715" s="32" t="s">
        <v>6728</v>
      </c>
      <c r="F1715" s="10">
        <v>5</v>
      </c>
      <c r="G1715" s="8" t="s">
        <v>6266</v>
      </c>
      <c r="H1715" s="10">
        <v>44.4</v>
      </c>
      <c r="I1715" s="10">
        <f t="shared" si="28"/>
        <v>222</v>
      </c>
      <c r="J1715" s="10">
        <v>0</v>
      </c>
      <c r="K1715" s="8" t="s">
        <v>5087</v>
      </c>
      <c r="S1715"/>
    </row>
    <row r="1716" spans="1:19" ht="15" x14ac:dyDescent="0.25">
      <c r="A1716" s="8" t="s">
        <v>6071</v>
      </c>
      <c r="B1716" s="8" t="s">
        <v>6069</v>
      </c>
      <c r="C1716" s="8" t="s">
        <v>6729</v>
      </c>
      <c r="D1716" s="32" t="s">
        <v>6984</v>
      </c>
      <c r="E1716" s="32" t="s">
        <v>6729</v>
      </c>
      <c r="F1716" s="10">
        <v>2</v>
      </c>
      <c r="G1716" s="8" t="s">
        <v>6266</v>
      </c>
      <c r="H1716" s="10">
        <v>42.6</v>
      </c>
      <c r="I1716" s="10">
        <f t="shared" si="28"/>
        <v>85.2</v>
      </c>
      <c r="J1716" s="10">
        <v>0</v>
      </c>
      <c r="K1716" s="8" t="s">
        <v>5087</v>
      </c>
      <c r="S1716"/>
    </row>
    <row r="1717" spans="1:19" ht="15" x14ac:dyDescent="0.25">
      <c r="A1717" s="8" t="s">
        <v>6071</v>
      </c>
      <c r="B1717" s="8" t="s">
        <v>6069</v>
      </c>
      <c r="C1717" s="8" t="s">
        <v>6730</v>
      </c>
      <c r="D1717" s="32" t="s">
        <v>6984</v>
      </c>
      <c r="E1717" s="32" t="s">
        <v>6730</v>
      </c>
      <c r="F1717" s="10">
        <v>1</v>
      </c>
      <c r="G1717" s="8" t="s">
        <v>6266</v>
      </c>
      <c r="H1717" s="10">
        <v>44.4</v>
      </c>
      <c r="I1717" s="10">
        <f t="shared" si="28"/>
        <v>44.4</v>
      </c>
      <c r="J1717" s="10">
        <v>0</v>
      </c>
      <c r="K1717" s="8" t="s">
        <v>5087</v>
      </c>
      <c r="S1717"/>
    </row>
    <row r="1718" spans="1:19" ht="15" x14ac:dyDescent="0.25">
      <c r="A1718" s="8" t="s">
        <v>6068</v>
      </c>
      <c r="B1718" s="8" t="s">
        <v>6069</v>
      </c>
      <c r="C1718" s="8" t="s">
        <v>6731</v>
      </c>
      <c r="D1718" s="32" t="s">
        <v>6984</v>
      </c>
      <c r="E1718" s="32" t="s">
        <v>6731</v>
      </c>
      <c r="F1718" s="10">
        <v>1</v>
      </c>
      <c r="G1718" s="8" t="s">
        <v>6266</v>
      </c>
      <c r="H1718" s="10">
        <v>44.4</v>
      </c>
      <c r="I1718" s="10">
        <f t="shared" si="28"/>
        <v>44.4</v>
      </c>
      <c r="J1718" s="10">
        <v>0</v>
      </c>
      <c r="K1718" s="8" t="s">
        <v>5087</v>
      </c>
      <c r="S1718"/>
    </row>
    <row r="1719" spans="1:19" ht="15" x14ac:dyDescent="0.25">
      <c r="A1719" s="8" t="s">
        <v>6071</v>
      </c>
      <c r="B1719" s="8" t="s">
        <v>6069</v>
      </c>
      <c r="C1719" s="8" t="s">
        <v>6732</v>
      </c>
      <c r="D1719" s="32" t="s">
        <v>6984</v>
      </c>
      <c r="E1719" s="32" t="s">
        <v>6732</v>
      </c>
      <c r="F1719" s="10">
        <v>2</v>
      </c>
      <c r="G1719" s="8" t="s">
        <v>6266</v>
      </c>
      <c r="H1719" s="10">
        <v>35.25</v>
      </c>
      <c r="I1719" s="10">
        <f t="shared" si="28"/>
        <v>70.5</v>
      </c>
      <c r="J1719" s="10">
        <v>0</v>
      </c>
      <c r="K1719" s="8" t="s">
        <v>5087</v>
      </c>
      <c r="S1719"/>
    </row>
    <row r="1720" spans="1:19" ht="15" x14ac:dyDescent="0.25">
      <c r="A1720" s="8" t="s">
        <v>6071</v>
      </c>
      <c r="B1720" s="8" t="s">
        <v>6069</v>
      </c>
      <c r="C1720" s="8" t="s">
        <v>6733</v>
      </c>
      <c r="D1720" s="32" t="s">
        <v>6984</v>
      </c>
      <c r="E1720" s="32" t="s">
        <v>6733</v>
      </c>
      <c r="F1720" s="10">
        <v>2</v>
      </c>
      <c r="G1720" s="8" t="s">
        <v>6266</v>
      </c>
      <c r="H1720" s="10">
        <v>35.25</v>
      </c>
      <c r="I1720" s="10">
        <f t="shared" si="28"/>
        <v>70.5</v>
      </c>
      <c r="J1720" s="10">
        <v>0</v>
      </c>
      <c r="K1720" s="8" t="s">
        <v>5087</v>
      </c>
      <c r="S1720"/>
    </row>
    <row r="1721" spans="1:19" ht="15" x14ac:dyDescent="0.25">
      <c r="A1721" s="8" t="s">
        <v>6071</v>
      </c>
      <c r="B1721" s="8" t="s">
        <v>6069</v>
      </c>
      <c r="C1721" s="8" t="s">
        <v>6734</v>
      </c>
      <c r="D1721" s="32" t="s">
        <v>6984</v>
      </c>
      <c r="E1721" s="32" t="s">
        <v>6734</v>
      </c>
      <c r="F1721" s="10">
        <v>1</v>
      </c>
      <c r="G1721" s="8" t="s">
        <v>6266</v>
      </c>
      <c r="H1721" s="10">
        <v>35.299999999999997</v>
      </c>
      <c r="I1721" s="10">
        <f t="shared" si="28"/>
        <v>35.299999999999997</v>
      </c>
      <c r="J1721" s="10">
        <v>0</v>
      </c>
      <c r="K1721" s="8" t="s">
        <v>5087</v>
      </c>
      <c r="S1721"/>
    </row>
    <row r="1722" spans="1:19" ht="15" x14ac:dyDescent="0.25">
      <c r="A1722" s="8" t="s">
        <v>6071</v>
      </c>
      <c r="B1722" s="8" t="s">
        <v>6069</v>
      </c>
      <c r="C1722" s="8" t="s">
        <v>6735</v>
      </c>
      <c r="D1722" s="32" t="s">
        <v>6984</v>
      </c>
      <c r="E1722" s="32" t="s">
        <v>6735</v>
      </c>
      <c r="F1722" s="10">
        <v>1</v>
      </c>
      <c r="G1722" s="8" t="s">
        <v>6266</v>
      </c>
      <c r="H1722" s="10">
        <v>47.1</v>
      </c>
      <c r="I1722" s="10">
        <f t="shared" si="28"/>
        <v>47.1</v>
      </c>
      <c r="J1722" s="10">
        <v>0</v>
      </c>
      <c r="K1722" s="8" t="s">
        <v>5087</v>
      </c>
      <c r="S1722"/>
    </row>
    <row r="1723" spans="1:19" ht="15" x14ac:dyDescent="0.25">
      <c r="A1723" s="8" t="s">
        <v>6071</v>
      </c>
      <c r="B1723" s="8" t="s">
        <v>6069</v>
      </c>
      <c r="C1723" s="8" t="s">
        <v>6736</v>
      </c>
      <c r="D1723" s="32" t="s">
        <v>6984</v>
      </c>
      <c r="E1723" s="32" t="s">
        <v>6736</v>
      </c>
      <c r="F1723" s="10">
        <v>1</v>
      </c>
      <c r="G1723" s="8" t="s">
        <v>6266</v>
      </c>
      <c r="H1723" s="10">
        <v>31.7</v>
      </c>
      <c r="I1723" s="10">
        <f t="shared" si="28"/>
        <v>31.7</v>
      </c>
      <c r="J1723" s="10">
        <v>0</v>
      </c>
      <c r="K1723" s="8" t="s">
        <v>5087</v>
      </c>
      <c r="S1723"/>
    </row>
    <row r="1724" spans="1:19" ht="15" x14ac:dyDescent="0.25">
      <c r="A1724" s="8" t="s">
        <v>6068</v>
      </c>
      <c r="B1724" s="8" t="s">
        <v>6069</v>
      </c>
      <c r="C1724" s="8" t="s">
        <v>6737</v>
      </c>
      <c r="D1724" s="32" t="s">
        <v>6984</v>
      </c>
      <c r="E1724" s="32" t="s">
        <v>6737</v>
      </c>
      <c r="F1724" s="10">
        <v>1</v>
      </c>
      <c r="G1724" s="8" t="s">
        <v>6266</v>
      </c>
      <c r="H1724" s="10">
        <v>35.299999999999997</v>
      </c>
      <c r="I1724" s="10">
        <f t="shared" si="28"/>
        <v>35.299999999999997</v>
      </c>
      <c r="J1724" s="10">
        <v>0</v>
      </c>
      <c r="K1724" s="8" t="s">
        <v>5087</v>
      </c>
      <c r="S1724"/>
    </row>
    <row r="1725" spans="1:19" ht="15" x14ac:dyDescent="0.25">
      <c r="A1725" s="8" t="s">
        <v>6068</v>
      </c>
      <c r="B1725" s="8" t="s">
        <v>6069</v>
      </c>
      <c r="C1725" s="8" t="s">
        <v>6738</v>
      </c>
      <c r="D1725" s="32" t="s">
        <v>6984</v>
      </c>
      <c r="E1725" s="32" t="s">
        <v>6738</v>
      </c>
      <c r="F1725" s="10">
        <v>1</v>
      </c>
      <c r="G1725" s="8" t="s">
        <v>6266</v>
      </c>
      <c r="H1725" s="10">
        <v>35.299999999999997</v>
      </c>
      <c r="I1725" s="10">
        <f t="shared" si="28"/>
        <v>35.299999999999997</v>
      </c>
      <c r="J1725" s="10">
        <v>0</v>
      </c>
      <c r="K1725" s="8" t="s">
        <v>5087</v>
      </c>
      <c r="S1725"/>
    </row>
    <row r="1726" spans="1:19" ht="15" x14ac:dyDescent="0.25">
      <c r="A1726" s="8" t="s">
        <v>6071</v>
      </c>
      <c r="B1726" s="8" t="s">
        <v>6069</v>
      </c>
      <c r="C1726" s="8" t="s">
        <v>6739</v>
      </c>
      <c r="D1726" s="32" t="s">
        <v>6984</v>
      </c>
      <c r="E1726" s="32" t="s">
        <v>6739</v>
      </c>
      <c r="F1726" s="10">
        <v>1</v>
      </c>
      <c r="G1726" s="8" t="s">
        <v>6266</v>
      </c>
      <c r="H1726" s="10">
        <v>35.299999999999997</v>
      </c>
      <c r="I1726" s="10">
        <f t="shared" si="28"/>
        <v>35.299999999999997</v>
      </c>
      <c r="J1726" s="10">
        <v>0</v>
      </c>
      <c r="K1726" s="8" t="s">
        <v>5087</v>
      </c>
      <c r="S1726"/>
    </row>
    <row r="1727" spans="1:19" ht="15" x14ac:dyDescent="0.25">
      <c r="A1727" s="8" t="s">
        <v>6068</v>
      </c>
      <c r="B1727" s="8" t="s">
        <v>6069</v>
      </c>
      <c r="C1727" s="8" t="s">
        <v>6740</v>
      </c>
      <c r="D1727" s="32" t="s">
        <v>6984</v>
      </c>
      <c r="E1727" s="32" t="s">
        <v>6740</v>
      </c>
      <c r="F1727" s="10">
        <v>1</v>
      </c>
      <c r="G1727" s="8" t="s">
        <v>6266</v>
      </c>
      <c r="H1727" s="10">
        <v>44.4</v>
      </c>
      <c r="I1727" s="10">
        <f t="shared" si="28"/>
        <v>44.4</v>
      </c>
      <c r="J1727" s="10">
        <v>0</v>
      </c>
      <c r="K1727" s="8" t="s">
        <v>5087</v>
      </c>
      <c r="S1727"/>
    </row>
    <row r="1728" spans="1:19" ht="15" x14ac:dyDescent="0.25">
      <c r="A1728" s="8" t="s">
        <v>6068</v>
      </c>
      <c r="B1728" s="8" t="s">
        <v>6069</v>
      </c>
      <c r="C1728" s="8" t="s">
        <v>6741</v>
      </c>
      <c r="D1728" s="32" t="s">
        <v>6984</v>
      </c>
      <c r="E1728" s="32" t="s">
        <v>6741</v>
      </c>
      <c r="F1728" s="10">
        <v>1</v>
      </c>
      <c r="G1728" s="8" t="s">
        <v>6266</v>
      </c>
      <c r="H1728" s="10">
        <v>44.4</v>
      </c>
      <c r="I1728" s="10">
        <f t="shared" si="28"/>
        <v>44.4</v>
      </c>
      <c r="J1728" s="10">
        <v>0</v>
      </c>
      <c r="K1728" s="8" t="s">
        <v>5087</v>
      </c>
      <c r="S1728"/>
    </row>
    <row r="1729" spans="1:19" ht="15" x14ac:dyDescent="0.25">
      <c r="A1729" s="8" t="s">
        <v>6068</v>
      </c>
      <c r="B1729" s="8" t="s">
        <v>6069</v>
      </c>
      <c r="C1729" s="8" t="s">
        <v>6742</v>
      </c>
      <c r="D1729" s="32" t="s">
        <v>6984</v>
      </c>
      <c r="E1729" s="32" t="s">
        <v>6742</v>
      </c>
      <c r="F1729" s="10">
        <v>1</v>
      </c>
      <c r="G1729" s="8" t="s">
        <v>6266</v>
      </c>
      <c r="H1729" s="10">
        <v>44.4</v>
      </c>
      <c r="I1729" s="10">
        <f t="shared" si="28"/>
        <v>44.4</v>
      </c>
      <c r="J1729" s="10">
        <v>0</v>
      </c>
      <c r="K1729" s="8" t="s">
        <v>5087</v>
      </c>
      <c r="S1729"/>
    </row>
    <row r="1730" spans="1:19" ht="15" x14ac:dyDescent="0.25">
      <c r="A1730" s="8" t="s">
        <v>6068</v>
      </c>
      <c r="B1730" s="8" t="s">
        <v>6069</v>
      </c>
      <c r="C1730" s="8" t="s">
        <v>6743</v>
      </c>
      <c r="D1730" s="32" t="s">
        <v>6984</v>
      </c>
      <c r="E1730" s="32" t="s">
        <v>6743</v>
      </c>
      <c r="F1730" s="10">
        <v>1</v>
      </c>
      <c r="G1730" s="8" t="s">
        <v>6266</v>
      </c>
      <c r="H1730" s="10">
        <v>44.4</v>
      </c>
      <c r="I1730" s="10">
        <f t="shared" si="28"/>
        <v>44.4</v>
      </c>
      <c r="J1730" s="10">
        <v>0</v>
      </c>
      <c r="K1730" s="8" t="s">
        <v>5087</v>
      </c>
      <c r="S1730"/>
    </row>
    <row r="1731" spans="1:19" ht="15" x14ac:dyDescent="0.25">
      <c r="A1731" s="8" t="s">
        <v>6068</v>
      </c>
      <c r="B1731" s="8" t="s">
        <v>6069</v>
      </c>
      <c r="C1731" s="8" t="s">
        <v>6744</v>
      </c>
      <c r="D1731" s="32" t="s">
        <v>6984</v>
      </c>
      <c r="E1731" s="32" t="s">
        <v>6744</v>
      </c>
      <c r="F1731" s="10">
        <v>1</v>
      </c>
      <c r="G1731" s="8" t="s">
        <v>6266</v>
      </c>
      <c r="H1731" s="10">
        <v>44.4</v>
      </c>
      <c r="I1731" s="10">
        <f t="shared" si="28"/>
        <v>44.4</v>
      </c>
      <c r="J1731" s="10">
        <v>0</v>
      </c>
      <c r="K1731" s="8" t="s">
        <v>5087</v>
      </c>
      <c r="S1731"/>
    </row>
    <row r="1732" spans="1:19" ht="15" x14ac:dyDescent="0.25">
      <c r="A1732" s="8" t="s">
        <v>6068</v>
      </c>
      <c r="B1732" s="8" t="s">
        <v>6069</v>
      </c>
      <c r="C1732" s="8" t="s">
        <v>6745</v>
      </c>
      <c r="D1732" s="32" t="s">
        <v>6984</v>
      </c>
      <c r="E1732" s="32" t="s">
        <v>6745</v>
      </c>
      <c r="F1732" s="10">
        <v>1</v>
      </c>
      <c r="G1732" s="8" t="s">
        <v>6266</v>
      </c>
      <c r="H1732" s="10">
        <v>40.4</v>
      </c>
      <c r="I1732" s="10">
        <f t="shared" si="28"/>
        <v>40.4</v>
      </c>
      <c r="J1732" s="10">
        <v>0</v>
      </c>
      <c r="K1732" s="8" t="s">
        <v>5087</v>
      </c>
      <c r="S1732"/>
    </row>
    <row r="1733" spans="1:19" ht="15" x14ac:dyDescent="0.25">
      <c r="A1733" s="8" t="s">
        <v>6071</v>
      </c>
      <c r="B1733" s="8" t="s">
        <v>6069</v>
      </c>
      <c r="C1733" s="8" t="s">
        <v>6746</v>
      </c>
      <c r="D1733" s="32" t="s">
        <v>6984</v>
      </c>
      <c r="E1733" s="32" t="s">
        <v>6746</v>
      </c>
      <c r="F1733" s="10">
        <v>102</v>
      </c>
      <c r="G1733" s="8" t="s">
        <v>5832</v>
      </c>
      <c r="H1733" s="10">
        <v>3.3764705882352941</v>
      </c>
      <c r="I1733" s="10">
        <f t="shared" ref="I1733:I1796" si="29">F1733*H1733</f>
        <v>344.4</v>
      </c>
      <c r="J1733" s="10">
        <v>11.423999999999999</v>
      </c>
      <c r="K1733" s="8" t="s">
        <v>5833</v>
      </c>
      <c r="S1733"/>
    </row>
    <row r="1734" spans="1:19" ht="15" x14ac:dyDescent="0.25">
      <c r="A1734" s="8" t="s">
        <v>6068</v>
      </c>
      <c r="B1734" s="8" t="s">
        <v>6069</v>
      </c>
      <c r="C1734" s="8" t="s">
        <v>6747</v>
      </c>
      <c r="D1734" s="32" t="s">
        <v>6984</v>
      </c>
      <c r="E1734" s="32" t="s">
        <v>6747</v>
      </c>
      <c r="F1734" s="10">
        <v>12</v>
      </c>
      <c r="G1734" s="8" t="s">
        <v>5832</v>
      </c>
      <c r="H1734" s="10">
        <v>2.8083333333333336</v>
      </c>
      <c r="I1734" s="10">
        <f t="shared" si="29"/>
        <v>33.700000000000003</v>
      </c>
      <c r="J1734" s="10">
        <v>1.119</v>
      </c>
      <c r="K1734" s="8" t="s">
        <v>5833</v>
      </c>
      <c r="S1734"/>
    </row>
    <row r="1735" spans="1:19" ht="15" x14ac:dyDescent="0.25">
      <c r="A1735" s="8" t="s">
        <v>6068</v>
      </c>
      <c r="B1735" s="8" t="s">
        <v>6069</v>
      </c>
      <c r="C1735" s="8" t="s">
        <v>6748</v>
      </c>
      <c r="D1735" s="32" t="s">
        <v>6984</v>
      </c>
      <c r="E1735" s="32" t="s">
        <v>6748</v>
      </c>
      <c r="F1735" s="10">
        <v>8</v>
      </c>
      <c r="G1735" s="8" t="s">
        <v>5832</v>
      </c>
      <c r="H1735" s="10">
        <v>2.5874999999999999</v>
      </c>
      <c r="I1735" s="10">
        <f t="shared" si="29"/>
        <v>20.7</v>
      </c>
      <c r="J1735" s="10">
        <v>0.68799999999999994</v>
      </c>
      <c r="K1735" s="8" t="s">
        <v>5833</v>
      </c>
      <c r="S1735"/>
    </row>
    <row r="1736" spans="1:19" ht="15" x14ac:dyDescent="0.25">
      <c r="A1736" s="8" t="s">
        <v>6071</v>
      </c>
      <c r="B1736" s="8" t="s">
        <v>6069</v>
      </c>
      <c r="C1736" s="8" t="s">
        <v>6749</v>
      </c>
      <c r="D1736" s="32" t="s">
        <v>6984</v>
      </c>
      <c r="E1736" s="32" t="s">
        <v>6749</v>
      </c>
      <c r="F1736" s="10">
        <v>212</v>
      </c>
      <c r="G1736" s="8" t="s">
        <v>5832</v>
      </c>
      <c r="H1736" s="10">
        <v>3.5721698113207543</v>
      </c>
      <c r="I1736" s="10">
        <f t="shared" si="29"/>
        <v>757.3</v>
      </c>
      <c r="J1736" s="10">
        <v>25.122</v>
      </c>
      <c r="K1736" s="8" t="s">
        <v>5833</v>
      </c>
      <c r="S1736"/>
    </row>
    <row r="1737" spans="1:19" ht="15" x14ac:dyDescent="0.25">
      <c r="A1737" s="8" t="s">
        <v>6071</v>
      </c>
      <c r="B1737" s="8" t="s">
        <v>6069</v>
      </c>
      <c r="C1737" s="8" t="s">
        <v>6750</v>
      </c>
      <c r="D1737" s="32" t="s">
        <v>6984</v>
      </c>
      <c r="E1737" s="32" t="s">
        <v>6750</v>
      </c>
      <c r="F1737" s="10">
        <v>32</v>
      </c>
      <c r="G1737" s="8" t="s">
        <v>5832</v>
      </c>
      <c r="H1737" s="10">
        <v>2.85</v>
      </c>
      <c r="I1737" s="10">
        <f t="shared" si="29"/>
        <v>91.2</v>
      </c>
      <c r="J1737" s="10">
        <v>3.024</v>
      </c>
      <c r="K1737" s="8" t="s">
        <v>5833</v>
      </c>
      <c r="S1737"/>
    </row>
    <row r="1738" spans="1:19" ht="15" x14ac:dyDescent="0.25">
      <c r="A1738" s="8" t="s">
        <v>6071</v>
      </c>
      <c r="B1738" s="8" t="s">
        <v>6069</v>
      </c>
      <c r="C1738" s="8" t="s">
        <v>6751</v>
      </c>
      <c r="D1738" s="32" t="s">
        <v>6984</v>
      </c>
      <c r="E1738" s="32" t="s">
        <v>6751</v>
      </c>
      <c r="F1738" s="10">
        <v>42</v>
      </c>
      <c r="G1738" s="8" t="s">
        <v>5832</v>
      </c>
      <c r="H1738" s="10">
        <v>3.5047619047619043</v>
      </c>
      <c r="I1738" s="10">
        <f t="shared" si="29"/>
        <v>147.19999999999999</v>
      </c>
      <c r="J1738" s="10">
        <v>4.8825000000000003</v>
      </c>
      <c r="K1738" s="8" t="s">
        <v>5833</v>
      </c>
      <c r="S1738"/>
    </row>
    <row r="1739" spans="1:19" ht="15" x14ac:dyDescent="0.25">
      <c r="A1739" s="8" t="s">
        <v>6071</v>
      </c>
      <c r="B1739" s="8" t="s">
        <v>6069</v>
      </c>
      <c r="C1739" s="8" t="s">
        <v>6752</v>
      </c>
      <c r="D1739" s="32" t="s">
        <v>6984</v>
      </c>
      <c r="E1739" s="32" t="s">
        <v>6752</v>
      </c>
      <c r="F1739" s="10">
        <v>48</v>
      </c>
      <c r="G1739" s="8" t="s">
        <v>5832</v>
      </c>
      <c r="H1739" s="10">
        <v>3.5874999999999999</v>
      </c>
      <c r="I1739" s="10">
        <f t="shared" si="29"/>
        <v>172.2</v>
      </c>
      <c r="J1739" s="10">
        <v>5.7119999999999997</v>
      </c>
      <c r="K1739" s="8" t="s">
        <v>5833</v>
      </c>
      <c r="S1739"/>
    </row>
    <row r="1740" spans="1:19" ht="15" x14ac:dyDescent="0.25">
      <c r="A1740" s="8" t="s">
        <v>6068</v>
      </c>
      <c r="B1740" s="8" t="s">
        <v>6069</v>
      </c>
      <c r="C1740" s="8" t="s">
        <v>6753</v>
      </c>
      <c r="D1740" s="32" t="s">
        <v>6984</v>
      </c>
      <c r="E1740" s="32" t="s">
        <v>6753</v>
      </c>
      <c r="F1740" s="10">
        <v>8</v>
      </c>
      <c r="G1740" s="8" t="s">
        <v>5832</v>
      </c>
      <c r="H1740" s="10">
        <v>4.625</v>
      </c>
      <c r="I1740" s="10">
        <f t="shared" si="29"/>
        <v>37</v>
      </c>
      <c r="J1740" s="10">
        <v>1.2263999999999999</v>
      </c>
      <c r="K1740" s="8" t="s">
        <v>5833</v>
      </c>
      <c r="S1740"/>
    </row>
    <row r="1741" spans="1:19" ht="15" x14ac:dyDescent="0.25">
      <c r="A1741" s="8" t="s">
        <v>6068</v>
      </c>
      <c r="B1741" s="8" t="s">
        <v>6069</v>
      </c>
      <c r="C1741" s="8" t="s">
        <v>6754</v>
      </c>
      <c r="D1741" s="32" t="s">
        <v>6984</v>
      </c>
      <c r="E1741" s="32" t="s">
        <v>6754</v>
      </c>
      <c r="F1741" s="10">
        <v>8</v>
      </c>
      <c r="G1741" s="8" t="s">
        <v>5832</v>
      </c>
      <c r="H1741" s="10">
        <v>4.6875</v>
      </c>
      <c r="I1741" s="10">
        <f t="shared" si="29"/>
        <v>37.5</v>
      </c>
      <c r="J1741" s="10">
        <v>1.244</v>
      </c>
      <c r="K1741" s="8" t="s">
        <v>5833</v>
      </c>
      <c r="S1741"/>
    </row>
    <row r="1742" spans="1:19" ht="15" x14ac:dyDescent="0.25">
      <c r="A1742" s="8" t="s">
        <v>6071</v>
      </c>
      <c r="B1742" s="8" t="s">
        <v>6069</v>
      </c>
      <c r="C1742" s="8" t="s">
        <v>6755</v>
      </c>
      <c r="D1742" s="32" t="s">
        <v>6984</v>
      </c>
      <c r="E1742" s="32" t="s">
        <v>6755</v>
      </c>
      <c r="F1742" s="10">
        <v>18</v>
      </c>
      <c r="G1742" s="8" t="s">
        <v>5832</v>
      </c>
      <c r="H1742" s="10">
        <v>4.3777777777777773</v>
      </c>
      <c r="I1742" s="10">
        <f t="shared" si="29"/>
        <v>78.8</v>
      </c>
      <c r="J1742" s="10">
        <v>2.6126999999999998</v>
      </c>
      <c r="K1742" s="8" t="s">
        <v>5833</v>
      </c>
      <c r="S1742"/>
    </row>
    <row r="1743" spans="1:19" ht="15" x14ac:dyDescent="0.25">
      <c r="A1743" s="8" t="s">
        <v>6071</v>
      </c>
      <c r="B1743" s="8" t="s">
        <v>6069</v>
      </c>
      <c r="C1743" s="8" t="s">
        <v>6756</v>
      </c>
      <c r="D1743" s="32" t="s">
        <v>6984</v>
      </c>
      <c r="E1743" s="32" t="s">
        <v>6756</v>
      </c>
      <c r="F1743" s="10">
        <v>14</v>
      </c>
      <c r="G1743" s="8" t="s">
        <v>5832</v>
      </c>
      <c r="H1743" s="10">
        <v>4.55</v>
      </c>
      <c r="I1743" s="10">
        <f t="shared" si="29"/>
        <v>63.699999999999996</v>
      </c>
      <c r="J1743" s="10">
        <v>2.1147</v>
      </c>
      <c r="K1743" s="8" t="s">
        <v>5833</v>
      </c>
      <c r="S1743"/>
    </row>
    <row r="1744" spans="1:19" ht="15" x14ac:dyDescent="0.25">
      <c r="A1744" s="8" t="s">
        <v>6068</v>
      </c>
      <c r="B1744" s="8" t="s">
        <v>6069</v>
      </c>
      <c r="C1744" s="8" t="s">
        <v>6757</v>
      </c>
      <c r="D1744" s="32" t="s">
        <v>6984</v>
      </c>
      <c r="E1744" s="32" t="s">
        <v>6757</v>
      </c>
      <c r="F1744" s="10">
        <v>2</v>
      </c>
      <c r="G1744" s="8" t="s">
        <v>5832</v>
      </c>
      <c r="H1744" s="10">
        <v>4.3499999999999996</v>
      </c>
      <c r="I1744" s="10">
        <f t="shared" si="29"/>
        <v>8.6999999999999993</v>
      </c>
      <c r="J1744" s="10">
        <v>0.28820000000000001</v>
      </c>
      <c r="K1744" s="8" t="s">
        <v>5833</v>
      </c>
      <c r="S1744"/>
    </row>
    <row r="1745" spans="1:19" ht="15" x14ac:dyDescent="0.25">
      <c r="A1745" s="8" t="s">
        <v>6071</v>
      </c>
      <c r="B1745" s="8" t="s">
        <v>6069</v>
      </c>
      <c r="C1745" s="8" t="s">
        <v>6758</v>
      </c>
      <c r="D1745" s="32" t="s">
        <v>6984</v>
      </c>
      <c r="E1745" s="32" t="s">
        <v>6758</v>
      </c>
      <c r="F1745" s="10">
        <v>20</v>
      </c>
      <c r="G1745" s="8" t="s">
        <v>5832</v>
      </c>
      <c r="H1745" s="10">
        <v>4.4399999999999995</v>
      </c>
      <c r="I1745" s="10">
        <f t="shared" si="29"/>
        <v>88.799999999999983</v>
      </c>
      <c r="J1745" s="10">
        <v>2.9449999999999998</v>
      </c>
      <c r="K1745" s="8" t="s">
        <v>5833</v>
      </c>
      <c r="S1745"/>
    </row>
    <row r="1746" spans="1:19" ht="15" x14ac:dyDescent="0.25">
      <c r="A1746" s="8" t="s">
        <v>6068</v>
      </c>
      <c r="B1746" s="8" t="s">
        <v>6069</v>
      </c>
      <c r="C1746" s="8" t="s">
        <v>6759</v>
      </c>
      <c r="D1746" s="32" t="s">
        <v>5146</v>
      </c>
      <c r="E1746" s="32" t="s">
        <v>6759</v>
      </c>
      <c r="F1746" s="10">
        <v>682</v>
      </c>
      <c r="G1746" s="8" t="s">
        <v>6760</v>
      </c>
      <c r="J1746" s="10">
        <v>0</v>
      </c>
      <c r="K1746" s="8" t="s">
        <v>6760</v>
      </c>
      <c r="L1746" s="8" t="s">
        <v>32</v>
      </c>
      <c r="S1746"/>
    </row>
    <row r="1747" spans="1:19" ht="15" x14ac:dyDescent="0.25">
      <c r="A1747" s="8" t="s">
        <v>6068</v>
      </c>
      <c r="B1747" s="8" t="s">
        <v>6069</v>
      </c>
      <c r="C1747" s="8" t="s">
        <v>6761</v>
      </c>
      <c r="D1747" s="32" t="s">
        <v>5146</v>
      </c>
      <c r="E1747" s="32" t="s">
        <v>6761</v>
      </c>
      <c r="F1747" s="10">
        <v>1364</v>
      </c>
      <c r="G1747" s="8" t="s">
        <v>6762</v>
      </c>
      <c r="J1747" s="10">
        <v>0</v>
      </c>
      <c r="K1747" s="8" t="s">
        <v>6763</v>
      </c>
      <c r="L1747" s="8" t="s">
        <v>32</v>
      </c>
      <c r="S1747"/>
    </row>
    <row r="1748" spans="1:19" ht="15" x14ac:dyDescent="0.25">
      <c r="A1748" s="8" t="s">
        <v>6068</v>
      </c>
      <c r="B1748" s="8" t="s">
        <v>6069</v>
      </c>
      <c r="C1748" s="8" t="s">
        <v>6764</v>
      </c>
      <c r="D1748" s="32" t="s">
        <v>5146</v>
      </c>
      <c r="E1748" s="32" t="s">
        <v>6764</v>
      </c>
      <c r="F1748" s="10">
        <v>682</v>
      </c>
      <c r="G1748" s="8" t="s">
        <v>6765</v>
      </c>
      <c r="J1748" s="10">
        <v>0</v>
      </c>
      <c r="K1748" s="8" t="s">
        <v>6765</v>
      </c>
      <c r="L1748" s="8" t="s">
        <v>32</v>
      </c>
      <c r="S1748"/>
    </row>
    <row r="1749" spans="1:19" ht="15" x14ac:dyDescent="0.25">
      <c r="A1749" s="8" t="s">
        <v>6068</v>
      </c>
      <c r="B1749" s="8" t="s">
        <v>6069</v>
      </c>
      <c r="C1749" s="8" t="s">
        <v>6766</v>
      </c>
      <c r="D1749" s="32" t="s">
        <v>5146</v>
      </c>
      <c r="E1749" s="32" t="s">
        <v>6766</v>
      </c>
      <c r="F1749" s="10">
        <v>682</v>
      </c>
      <c r="G1749" s="8" t="s">
        <v>6767</v>
      </c>
      <c r="J1749" s="10">
        <v>0</v>
      </c>
      <c r="K1749" s="8" t="s">
        <v>6767</v>
      </c>
      <c r="L1749" s="8" t="s">
        <v>32</v>
      </c>
      <c r="S1749"/>
    </row>
    <row r="1750" spans="1:19" ht="15" x14ac:dyDescent="0.25">
      <c r="A1750" s="8" t="s">
        <v>6068</v>
      </c>
      <c r="B1750" s="8" t="s">
        <v>6069</v>
      </c>
      <c r="C1750" s="8" t="s">
        <v>6768</v>
      </c>
      <c r="D1750" s="32" t="s">
        <v>5895</v>
      </c>
      <c r="E1750" s="32" t="s">
        <v>6768</v>
      </c>
      <c r="F1750" s="10">
        <v>682</v>
      </c>
      <c r="G1750" s="8" t="s">
        <v>6769</v>
      </c>
      <c r="J1750" s="10">
        <v>0</v>
      </c>
      <c r="K1750" s="8" t="s">
        <v>6769</v>
      </c>
      <c r="L1750" s="8" t="s">
        <v>32</v>
      </c>
      <c r="S1750"/>
    </row>
    <row r="1751" spans="1:19" ht="15" x14ac:dyDescent="0.25">
      <c r="A1751" s="8" t="s">
        <v>6068</v>
      </c>
      <c r="B1751" s="8" t="s">
        <v>6069</v>
      </c>
      <c r="C1751" s="8" t="s">
        <v>6770</v>
      </c>
      <c r="D1751" s="32" t="s">
        <v>5146</v>
      </c>
      <c r="E1751" s="32" t="s">
        <v>6770</v>
      </c>
      <c r="F1751" s="10">
        <v>344</v>
      </c>
      <c r="G1751" s="8" t="s">
        <v>6771</v>
      </c>
      <c r="J1751" s="10">
        <v>0</v>
      </c>
      <c r="K1751" s="8" t="s">
        <v>6771</v>
      </c>
      <c r="L1751" s="8" t="s">
        <v>32</v>
      </c>
      <c r="S1751"/>
    </row>
    <row r="1752" spans="1:19" ht="15" x14ac:dyDescent="0.25">
      <c r="A1752" s="8" t="s">
        <v>6068</v>
      </c>
      <c r="B1752" s="8" t="s">
        <v>6069</v>
      </c>
      <c r="C1752" s="8" t="s">
        <v>6772</v>
      </c>
      <c r="D1752" s="32" t="s">
        <v>5146</v>
      </c>
      <c r="E1752" s="32" t="s">
        <v>6772</v>
      </c>
      <c r="F1752" s="10">
        <v>144</v>
      </c>
      <c r="G1752" s="8" t="s">
        <v>6771</v>
      </c>
      <c r="J1752" s="10">
        <v>0</v>
      </c>
      <c r="K1752" s="8" t="s">
        <v>6771</v>
      </c>
      <c r="L1752" s="8" t="s">
        <v>32</v>
      </c>
      <c r="S1752"/>
    </row>
    <row r="1753" spans="1:19" ht="15" x14ac:dyDescent="0.25">
      <c r="A1753" s="8" t="s">
        <v>6068</v>
      </c>
      <c r="B1753" s="8" t="s">
        <v>6069</v>
      </c>
      <c r="C1753" s="8" t="s">
        <v>6773</v>
      </c>
      <c r="D1753" s="32" t="s">
        <v>5146</v>
      </c>
      <c r="E1753" s="32" t="s">
        <v>6773</v>
      </c>
      <c r="F1753" s="10">
        <v>112</v>
      </c>
      <c r="G1753" s="8" t="s">
        <v>6771</v>
      </c>
      <c r="J1753" s="10">
        <v>0</v>
      </c>
      <c r="K1753" s="8" t="s">
        <v>6771</v>
      </c>
      <c r="L1753" s="8" t="s">
        <v>32</v>
      </c>
      <c r="S1753"/>
    </row>
    <row r="1754" spans="1:19" ht="15" x14ac:dyDescent="0.25">
      <c r="A1754" s="8" t="s">
        <v>6068</v>
      </c>
      <c r="B1754" s="8" t="s">
        <v>6069</v>
      </c>
      <c r="C1754" s="8" t="s">
        <v>6774</v>
      </c>
      <c r="D1754" s="32" t="s">
        <v>5146</v>
      </c>
      <c r="E1754" s="32" t="s">
        <v>6774</v>
      </c>
      <c r="F1754" s="10">
        <v>120</v>
      </c>
      <c r="G1754" s="8" t="s">
        <v>6771</v>
      </c>
      <c r="J1754" s="10">
        <v>0</v>
      </c>
      <c r="K1754" s="8" t="s">
        <v>6771</v>
      </c>
      <c r="L1754" s="8" t="s">
        <v>32</v>
      </c>
      <c r="S1754"/>
    </row>
    <row r="1755" spans="1:19" ht="15" x14ac:dyDescent="0.25">
      <c r="A1755" s="8" t="s">
        <v>6068</v>
      </c>
      <c r="B1755" s="8" t="s">
        <v>6069</v>
      </c>
      <c r="C1755" s="8" t="s">
        <v>6775</v>
      </c>
      <c r="D1755" s="32" t="s">
        <v>5146</v>
      </c>
      <c r="E1755" s="32" t="s">
        <v>6775</v>
      </c>
      <c r="F1755" s="10">
        <v>1960</v>
      </c>
      <c r="G1755" s="8" t="s">
        <v>6776</v>
      </c>
      <c r="J1755" s="10">
        <v>0</v>
      </c>
      <c r="K1755" s="8" t="s">
        <v>6776</v>
      </c>
      <c r="L1755" s="8" t="s">
        <v>32</v>
      </c>
      <c r="S1755"/>
    </row>
    <row r="1756" spans="1:19" ht="15" x14ac:dyDescent="0.25">
      <c r="A1756" s="8" t="s">
        <v>6068</v>
      </c>
      <c r="B1756" s="8" t="s">
        <v>6069</v>
      </c>
      <c r="C1756" s="8" t="s">
        <v>6777</v>
      </c>
      <c r="D1756" s="32" t="s">
        <v>5146</v>
      </c>
      <c r="E1756" s="32" t="s">
        <v>6777</v>
      </c>
      <c r="F1756" s="10">
        <v>980</v>
      </c>
      <c r="G1756" s="8" t="s">
        <v>6778</v>
      </c>
      <c r="J1756" s="10">
        <v>0</v>
      </c>
      <c r="K1756" s="8" t="s">
        <v>6778</v>
      </c>
      <c r="L1756" s="8" t="s">
        <v>32</v>
      </c>
      <c r="S1756"/>
    </row>
    <row r="1757" spans="1:19" ht="15" x14ac:dyDescent="0.25">
      <c r="A1757" s="8" t="s">
        <v>6068</v>
      </c>
      <c r="B1757" s="8" t="s">
        <v>6069</v>
      </c>
      <c r="C1757" s="8" t="s">
        <v>6779</v>
      </c>
      <c r="D1757" s="32" t="s">
        <v>5146</v>
      </c>
      <c r="E1757" s="32" t="s">
        <v>6779</v>
      </c>
      <c r="F1757" s="10">
        <v>144</v>
      </c>
      <c r="G1757" s="8" t="s">
        <v>6776</v>
      </c>
      <c r="J1757" s="10">
        <v>0</v>
      </c>
      <c r="K1757" s="8" t="s">
        <v>6776</v>
      </c>
      <c r="L1757" s="8" t="s">
        <v>32</v>
      </c>
      <c r="S1757"/>
    </row>
    <row r="1758" spans="1:19" ht="15" x14ac:dyDescent="0.25">
      <c r="A1758" s="8" t="s">
        <v>6068</v>
      </c>
      <c r="B1758" s="8" t="s">
        <v>6069</v>
      </c>
      <c r="C1758" s="8" t="s">
        <v>6780</v>
      </c>
      <c r="D1758" s="32" t="s">
        <v>5146</v>
      </c>
      <c r="E1758" s="32" t="s">
        <v>6780</v>
      </c>
      <c r="F1758" s="10">
        <v>72</v>
      </c>
      <c r="G1758" s="8" t="s">
        <v>6778</v>
      </c>
      <c r="J1758" s="10">
        <v>0</v>
      </c>
      <c r="K1758" s="8" t="s">
        <v>6778</v>
      </c>
      <c r="L1758" s="8" t="s">
        <v>32</v>
      </c>
      <c r="S1758"/>
    </row>
    <row r="1759" spans="1:19" ht="15" x14ac:dyDescent="0.25">
      <c r="A1759" s="8" t="s">
        <v>6071</v>
      </c>
      <c r="B1759" s="8" t="s">
        <v>6069</v>
      </c>
      <c r="C1759" s="8" t="s">
        <v>6781</v>
      </c>
      <c r="D1759" s="32" t="s">
        <v>6984</v>
      </c>
      <c r="E1759" s="32" t="s">
        <v>6781</v>
      </c>
      <c r="F1759" s="10">
        <v>4</v>
      </c>
      <c r="G1759" s="8" t="s">
        <v>6782</v>
      </c>
      <c r="H1759" s="10">
        <v>959.92499999999995</v>
      </c>
      <c r="I1759" s="10">
        <f t="shared" si="29"/>
        <v>3839.7</v>
      </c>
      <c r="J1759" s="10">
        <v>96.838675791520004</v>
      </c>
      <c r="K1759" s="8" t="s">
        <v>6783</v>
      </c>
      <c r="S1759"/>
    </row>
    <row r="1760" spans="1:19" ht="15" x14ac:dyDescent="0.25">
      <c r="A1760" s="8" t="s">
        <v>6071</v>
      </c>
      <c r="B1760" s="8" t="s">
        <v>6069</v>
      </c>
      <c r="C1760" s="8" t="s">
        <v>6784</v>
      </c>
      <c r="D1760" s="32" t="s">
        <v>6984</v>
      </c>
      <c r="E1760" s="32" t="s">
        <v>6784</v>
      </c>
      <c r="F1760" s="10">
        <v>1</v>
      </c>
      <c r="G1760" s="8" t="s">
        <v>6782</v>
      </c>
      <c r="H1760" s="10">
        <v>1058.5</v>
      </c>
      <c r="I1760" s="10">
        <f t="shared" si="29"/>
        <v>1058.5</v>
      </c>
      <c r="J1760" s="10">
        <v>26.620970205780001</v>
      </c>
      <c r="K1760" s="8" t="s">
        <v>6783</v>
      </c>
      <c r="S1760"/>
    </row>
    <row r="1761" spans="1:19" ht="15" x14ac:dyDescent="0.25">
      <c r="A1761" s="8" t="s">
        <v>6071</v>
      </c>
      <c r="B1761" s="8" t="s">
        <v>6069</v>
      </c>
      <c r="C1761" s="8" t="s">
        <v>6785</v>
      </c>
      <c r="D1761" s="32" t="s">
        <v>6984</v>
      </c>
      <c r="E1761" s="32" t="s">
        <v>6785</v>
      </c>
      <c r="F1761" s="10">
        <v>1</v>
      </c>
      <c r="G1761" s="8" t="s">
        <v>6782</v>
      </c>
      <c r="H1761" s="10">
        <v>1003.8</v>
      </c>
      <c r="I1761" s="10">
        <f t="shared" si="29"/>
        <v>1003.8</v>
      </c>
      <c r="J1761" s="10">
        <v>25.42959725955</v>
      </c>
      <c r="K1761" s="8" t="s">
        <v>6783</v>
      </c>
      <c r="S1761"/>
    </row>
    <row r="1762" spans="1:19" ht="15" x14ac:dyDescent="0.25">
      <c r="A1762" s="8" t="s">
        <v>6071</v>
      </c>
      <c r="B1762" s="8" t="s">
        <v>6069</v>
      </c>
      <c r="C1762" s="8" t="s">
        <v>6786</v>
      </c>
      <c r="D1762" s="32" t="s">
        <v>6984</v>
      </c>
      <c r="E1762" s="32" t="s">
        <v>6786</v>
      </c>
      <c r="F1762" s="10">
        <v>1</v>
      </c>
      <c r="G1762" s="8" t="s">
        <v>6782</v>
      </c>
      <c r="H1762" s="10">
        <v>1102.9000000000001</v>
      </c>
      <c r="I1762" s="10">
        <f t="shared" si="29"/>
        <v>1102.9000000000001</v>
      </c>
      <c r="J1762" s="10">
        <v>27.8818663381</v>
      </c>
      <c r="K1762" s="8" t="s">
        <v>6783</v>
      </c>
      <c r="S1762"/>
    </row>
    <row r="1763" spans="1:19" ht="15" x14ac:dyDescent="0.25">
      <c r="A1763" s="8" t="s">
        <v>6071</v>
      </c>
      <c r="B1763" s="8" t="s">
        <v>6069</v>
      </c>
      <c r="C1763" s="8" t="s">
        <v>6787</v>
      </c>
      <c r="D1763" s="32" t="s">
        <v>6984</v>
      </c>
      <c r="E1763" s="32" t="s">
        <v>6787</v>
      </c>
      <c r="F1763" s="10">
        <v>1</v>
      </c>
      <c r="G1763" s="8" t="s">
        <v>16</v>
      </c>
      <c r="H1763" s="10">
        <v>162.5</v>
      </c>
      <c r="I1763" s="10">
        <f t="shared" si="29"/>
        <v>162.5</v>
      </c>
      <c r="J1763" s="10">
        <v>5.93173220098</v>
      </c>
      <c r="K1763" s="8" t="s">
        <v>6788</v>
      </c>
      <c r="S1763"/>
    </row>
    <row r="1764" spans="1:19" ht="15" x14ac:dyDescent="0.25">
      <c r="A1764" s="8" t="s">
        <v>6071</v>
      </c>
      <c r="B1764" s="8" t="s">
        <v>6069</v>
      </c>
      <c r="C1764" s="8" t="s">
        <v>6789</v>
      </c>
      <c r="D1764" s="32" t="s">
        <v>6984</v>
      </c>
      <c r="E1764" s="32" t="s">
        <v>6789</v>
      </c>
      <c r="F1764" s="10">
        <v>1</v>
      </c>
      <c r="G1764" s="8" t="s">
        <v>16</v>
      </c>
      <c r="H1764" s="10">
        <v>140.5</v>
      </c>
      <c r="I1764" s="10">
        <f t="shared" si="29"/>
        <v>140.5</v>
      </c>
      <c r="J1764" s="10">
        <v>5.0790511177199997</v>
      </c>
      <c r="K1764" s="8" t="s">
        <v>6788</v>
      </c>
      <c r="S1764"/>
    </row>
    <row r="1765" spans="1:19" ht="15" x14ac:dyDescent="0.25">
      <c r="A1765" s="8" t="s">
        <v>6071</v>
      </c>
      <c r="B1765" s="8" t="s">
        <v>6069</v>
      </c>
      <c r="C1765" s="8" t="s">
        <v>6790</v>
      </c>
      <c r="D1765" s="32" t="s">
        <v>6984</v>
      </c>
      <c r="E1765" s="32" t="s">
        <v>6790</v>
      </c>
      <c r="F1765" s="10">
        <v>1</v>
      </c>
      <c r="G1765" s="8" t="s">
        <v>16</v>
      </c>
      <c r="H1765" s="10">
        <v>323.8</v>
      </c>
      <c r="I1765" s="10">
        <f t="shared" si="29"/>
        <v>323.8</v>
      </c>
      <c r="J1765" s="10">
        <v>11.46872804645</v>
      </c>
      <c r="K1765" s="8" t="s">
        <v>6788</v>
      </c>
      <c r="S1765"/>
    </row>
    <row r="1766" spans="1:19" ht="15" x14ac:dyDescent="0.25">
      <c r="A1766" s="8" t="s">
        <v>6068</v>
      </c>
      <c r="B1766" s="8" t="s">
        <v>6069</v>
      </c>
      <c r="C1766" s="8" t="s">
        <v>6791</v>
      </c>
      <c r="D1766" s="32" t="s">
        <v>6984</v>
      </c>
      <c r="E1766" s="32" t="s">
        <v>6791</v>
      </c>
      <c r="F1766" s="10">
        <v>1</v>
      </c>
      <c r="G1766" s="8" t="s">
        <v>6792</v>
      </c>
      <c r="H1766" s="10">
        <v>446.7</v>
      </c>
      <c r="I1766" s="10">
        <f t="shared" si="29"/>
        <v>446.7</v>
      </c>
      <c r="J1766" s="10">
        <v>12.83458410876</v>
      </c>
      <c r="K1766" s="8" t="s">
        <v>5824</v>
      </c>
      <c r="S1766"/>
    </row>
    <row r="1767" spans="1:19" ht="15" x14ac:dyDescent="0.25">
      <c r="A1767" s="8" t="s">
        <v>6071</v>
      </c>
      <c r="B1767" s="8" t="s">
        <v>6069</v>
      </c>
      <c r="C1767" s="8" t="s">
        <v>6793</v>
      </c>
      <c r="D1767" s="32" t="s">
        <v>6984</v>
      </c>
      <c r="E1767" s="32" t="s">
        <v>6793</v>
      </c>
      <c r="F1767" s="10">
        <v>1</v>
      </c>
      <c r="G1767" s="8" t="s">
        <v>6792</v>
      </c>
      <c r="H1767" s="10">
        <v>393.5</v>
      </c>
      <c r="I1767" s="10">
        <f t="shared" si="29"/>
        <v>393.5</v>
      </c>
      <c r="J1767" s="10">
        <v>11.249825039679999</v>
      </c>
      <c r="K1767" s="8" t="s">
        <v>5824</v>
      </c>
      <c r="S1767"/>
    </row>
    <row r="1768" spans="1:19" ht="15" x14ac:dyDescent="0.25">
      <c r="A1768" s="8" t="s">
        <v>6068</v>
      </c>
      <c r="B1768" s="8" t="s">
        <v>6069</v>
      </c>
      <c r="C1768" s="8" t="s">
        <v>6794</v>
      </c>
      <c r="D1768" s="32" t="s">
        <v>6984</v>
      </c>
      <c r="E1768" s="32" t="s">
        <v>6794</v>
      </c>
      <c r="F1768" s="10">
        <v>1</v>
      </c>
      <c r="G1768" s="8" t="s">
        <v>6792</v>
      </c>
      <c r="H1768" s="10">
        <v>449.2</v>
      </c>
      <c r="I1768" s="10">
        <f t="shared" si="29"/>
        <v>449.2</v>
      </c>
      <c r="J1768" s="10">
        <v>12.86961816576</v>
      </c>
      <c r="K1768" s="8" t="s">
        <v>5824</v>
      </c>
      <c r="S1768"/>
    </row>
    <row r="1769" spans="1:19" ht="15" x14ac:dyDescent="0.25">
      <c r="A1769" s="8" t="s">
        <v>6071</v>
      </c>
      <c r="B1769" s="8" t="s">
        <v>6069</v>
      </c>
      <c r="C1769" s="8" t="s">
        <v>6795</v>
      </c>
      <c r="D1769" s="32" t="s">
        <v>6984</v>
      </c>
      <c r="E1769" s="32" t="s">
        <v>6795</v>
      </c>
      <c r="F1769" s="10">
        <v>2</v>
      </c>
      <c r="G1769" s="8" t="s">
        <v>6792</v>
      </c>
      <c r="H1769" s="10">
        <v>404.25</v>
      </c>
      <c r="I1769" s="10">
        <f t="shared" si="29"/>
        <v>808.5</v>
      </c>
      <c r="J1769" s="10">
        <v>22.953935191039999</v>
      </c>
      <c r="K1769" s="8" t="s">
        <v>5824</v>
      </c>
      <c r="S1769"/>
    </row>
    <row r="1770" spans="1:19" ht="15" x14ac:dyDescent="0.25">
      <c r="A1770" s="8" t="s">
        <v>6068</v>
      </c>
      <c r="B1770" s="8" t="s">
        <v>6069</v>
      </c>
      <c r="C1770" s="8" t="s">
        <v>6796</v>
      </c>
      <c r="D1770" s="32" t="s">
        <v>6984</v>
      </c>
      <c r="E1770" s="32" t="s">
        <v>6796</v>
      </c>
      <c r="F1770" s="10">
        <v>2</v>
      </c>
      <c r="G1770" s="8" t="s">
        <v>6792</v>
      </c>
      <c r="H1770" s="10">
        <v>453</v>
      </c>
      <c r="I1770" s="10">
        <f t="shared" si="29"/>
        <v>906</v>
      </c>
      <c r="J1770" s="10">
        <v>25.65362558004</v>
      </c>
      <c r="K1770" s="8" t="s">
        <v>5824</v>
      </c>
      <c r="S1770"/>
    </row>
    <row r="1771" spans="1:19" ht="15" x14ac:dyDescent="0.25">
      <c r="A1771" s="8" t="s">
        <v>6068</v>
      </c>
      <c r="B1771" s="8" t="s">
        <v>6069</v>
      </c>
      <c r="C1771" s="8" t="s">
        <v>6797</v>
      </c>
      <c r="D1771" s="32" t="s">
        <v>6984</v>
      </c>
      <c r="E1771" s="32" t="s">
        <v>6797</v>
      </c>
      <c r="F1771" s="10">
        <v>4</v>
      </c>
      <c r="G1771" s="8" t="s">
        <v>6792</v>
      </c>
      <c r="H1771" s="10">
        <v>360.67500000000001</v>
      </c>
      <c r="I1771" s="10">
        <f t="shared" si="29"/>
        <v>1442.7</v>
      </c>
      <c r="J1771" s="10">
        <v>43.568519859200002</v>
      </c>
      <c r="K1771" s="8" t="s">
        <v>4781</v>
      </c>
      <c r="S1771"/>
    </row>
    <row r="1772" spans="1:19" ht="15" x14ac:dyDescent="0.25">
      <c r="A1772" s="8" t="s">
        <v>6068</v>
      </c>
      <c r="B1772" s="8" t="s">
        <v>6069</v>
      </c>
      <c r="C1772" s="8" t="s">
        <v>6798</v>
      </c>
      <c r="D1772" s="32" t="s">
        <v>6984</v>
      </c>
      <c r="E1772" s="32" t="s">
        <v>6798</v>
      </c>
      <c r="F1772" s="10">
        <v>1</v>
      </c>
      <c r="G1772" s="8" t="s">
        <v>6792</v>
      </c>
      <c r="H1772" s="10">
        <v>401.9</v>
      </c>
      <c r="I1772" s="10">
        <f t="shared" si="29"/>
        <v>401.9</v>
      </c>
      <c r="J1772" s="10">
        <v>12.184601865399999</v>
      </c>
      <c r="K1772" s="8" t="s">
        <v>4781</v>
      </c>
      <c r="S1772"/>
    </row>
    <row r="1773" spans="1:19" ht="15" x14ac:dyDescent="0.25">
      <c r="A1773" s="8" t="s">
        <v>6068</v>
      </c>
      <c r="B1773" s="8" t="s">
        <v>6069</v>
      </c>
      <c r="C1773" s="8" t="s">
        <v>6799</v>
      </c>
      <c r="D1773" s="32" t="s">
        <v>6984</v>
      </c>
      <c r="E1773" s="32" t="s">
        <v>6799</v>
      </c>
      <c r="F1773" s="10">
        <v>1</v>
      </c>
      <c r="G1773" s="8" t="s">
        <v>6792</v>
      </c>
      <c r="H1773" s="10">
        <v>401.6</v>
      </c>
      <c r="I1773" s="10">
        <f t="shared" si="29"/>
        <v>401.6</v>
      </c>
      <c r="J1773" s="10">
        <v>12.179370133580001</v>
      </c>
      <c r="K1773" s="8" t="s">
        <v>4781</v>
      </c>
      <c r="S1773"/>
    </row>
    <row r="1774" spans="1:19" ht="15" x14ac:dyDescent="0.25">
      <c r="A1774" s="8" t="s">
        <v>6071</v>
      </c>
      <c r="B1774" s="8" t="s">
        <v>6069</v>
      </c>
      <c r="C1774" s="8" t="s">
        <v>6800</v>
      </c>
      <c r="D1774" s="32" t="s">
        <v>6984</v>
      </c>
      <c r="E1774" s="32" t="s">
        <v>6800</v>
      </c>
      <c r="F1774" s="10">
        <v>3</v>
      </c>
      <c r="G1774" s="8" t="s">
        <v>6792</v>
      </c>
      <c r="H1774" s="10">
        <v>344.7</v>
      </c>
      <c r="I1774" s="10">
        <f t="shared" si="29"/>
        <v>1034.0999999999999</v>
      </c>
      <c r="J1774" s="10">
        <v>31.80791563056</v>
      </c>
      <c r="K1774" s="8" t="s">
        <v>4781</v>
      </c>
      <c r="S1774"/>
    </row>
    <row r="1775" spans="1:19" ht="15" x14ac:dyDescent="0.25">
      <c r="A1775" s="8" t="s">
        <v>6071</v>
      </c>
      <c r="B1775" s="8" t="s">
        <v>6069</v>
      </c>
      <c r="C1775" s="8" t="s">
        <v>6801</v>
      </c>
      <c r="D1775" s="32" t="s">
        <v>6984</v>
      </c>
      <c r="E1775" s="32" t="s">
        <v>6801</v>
      </c>
      <c r="F1775" s="10">
        <v>1</v>
      </c>
      <c r="G1775" s="8" t="s">
        <v>6792</v>
      </c>
      <c r="H1775" s="10">
        <v>342.6</v>
      </c>
      <c r="I1775" s="10">
        <f t="shared" si="29"/>
        <v>342.6</v>
      </c>
      <c r="J1775" s="10">
        <v>10.53681754352</v>
      </c>
      <c r="K1775" s="8" t="s">
        <v>4781</v>
      </c>
      <c r="S1775"/>
    </row>
    <row r="1776" spans="1:19" ht="15" x14ac:dyDescent="0.25">
      <c r="A1776" s="8" t="s">
        <v>6068</v>
      </c>
      <c r="B1776" s="8" t="s">
        <v>6069</v>
      </c>
      <c r="C1776" s="8" t="s">
        <v>6802</v>
      </c>
      <c r="D1776" s="32" t="s">
        <v>6984</v>
      </c>
      <c r="E1776" s="32" t="s">
        <v>6802</v>
      </c>
      <c r="F1776" s="10">
        <v>1</v>
      </c>
      <c r="G1776" s="8" t="s">
        <v>6792</v>
      </c>
      <c r="H1776" s="10">
        <v>388.2</v>
      </c>
      <c r="I1776" s="10">
        <f t="shared" si="29"/>
        <v>388.2</v>
      </c>
      <c r="J1776" s="10">
        <v>11.969080376000001</v>
      </c>
      <c r="K1776" s="8" t="s">
        <v>4781</v>
      </c>
      <c r="S1776"/>
    </row>
    <row r="1777" spans="1:19" ht="15" x14ac:dyDescent="0.25">
      <c r="A1777" s="8" t="s">
        <v>6068</v>
      </c>
      <c r="B1777" s="8" t="s">
        <v>6069</v>
      </c>
      <c r="C1777" s="8" t="s">
        <v>6803</v>
      </c>
      <c r="D1777" s="32" t="s">
        <v>6984</v>
      </c>
      <c r="E1777" s="32" t="s">
        <v>6803</v>
      </c>
      <c r="F1777" s="10">
        <v>1</v>
      </c>
      <c r="G1777" s="8" t="s">
        <v>6792</v>
      </c>
      <c r="H1777" s="10">
        <v>386</v>
      </c>
      <c r="I1777" s="10">
        <f t="shared" si="29"/>
        <v>386</v>
      </c>
      <c r="J1777" s="10">
        <v>11.897731375999999</v>
      </c>
      <c r="K1777" s="8" t="s">
        <v>4781</v>
      </c>
      <c r="S1777"/>
    </row>
    <row r="1778" spans="1:19" ht="15" x14ac:dyDescent="0.25">
      <c r="A1778" s="8" t="s">
        <v>5622</v>
      </c>
      <c r="B1778" s="8" t="s">
        <v>4847</v>
      </c>
      <c r="C1778" s="8" t="s">
        <v>6804</v>
      </c>
      <c r="D1778" s="32" t="s">
        <v>5146</v>
      </c>
      <c r="E1778" s="32" t="s">
        <v>6804</v>
      </c>
      <c r="F1778" s="10">
        <v>960</v>
      </c>
      <c r="G1778" s="8" t="s">
        <v>6776</v>
      </c>
      <c r="J1778" s="10">
        <v>0</v>
      </c>
      <c r="K1778" s="8" t="s">
        <v>6776</v>
      </c>
      <c r="L1778" s="8" t="s">
        <v>32</v>
      </c>
      <c r="S1778"/>
    </row>
    <row r="1779" spans="1:19" ht="15" x14ac:dyDescent="0.25">
      <c r="A1779" s="8" t="s">
        <v>5622</v>
      </c>
      <c r="B1779" s="8" t="s">
        <v>4847</v>
      </c>
      <c r="C1779" s="8" t="s">
        <v>6805</v>
      </c>
      <c r="D1779" s="32" t="s">
        <v>5146</v>
      </c>
      <c r="E1779" s="32" t="s">
        <v>6805</v>
      </c>
      <c r="F1779" s="10">
        <v>480</v>
      </c>
      <c r="G1779" s="8" t="s">
        <v>6778</v>
      </c>
      <c r="J1779" s="10">
        <v>0</v>
      </c>
      <c r="K1779" s="8" t="s">
        <v>6778</v>
      </c>
      <c r="L1779" s="8" t="s">
        <v>32</v>
      </c>
      <c r="S1779"/>
    </row>
    <row r="1780" spans="1:19" ht="15" x14ac:dyDescent="0.25">
      <c r="A1780" s="8" t="s">
        <v>5622</v>
      </c>
      <c r="B1780" s="8" t="s">
        <v>4847</v>
      </c>
      <c r="C1780" s="8" t="s">
        <v>6806</v>
      </c>
      <c r="D1780" s="32" t="s">
        <v>5146</v>
      </c>
      <c r="E1780" s="32" t="s">
        <v>6806</v>
      </c>
      <c r="F1780" s="10">
        <v>548</v>
      </c>
      <c r="G1780" s="8" t="s">
        <v>6776</v>
      </c>
      <c r="J1780" s="10">
        <v>0</v>
      </c>
      <c r="K1780" s="8" t="s">
        <v>6776</v>
      </c>
      <c r="L1780" s="8" t="s">
        <v>32</v>
      </c>
      <c r="S1780"/>
    </row>
    <row r="1781" spans="1:19" ht="15" x14ac:dyDescent="0.25">
      <c r="A1781" s="8" t="s">
        <v>5622</v>
      </c>
      <c r="B1781" s="8" t="s">
        <v>4847</v>
      </c>
      <c r="C1781" s="8" t="s">
        <v>6807</v>
      </c>
      <c r="D1781" s="32" t="s">
        <v>5146</v>
      </c>
      <c r="E1781" s="32" t="s">
        <v>6807</v>
      </c>
      <c r="F1781" s="10">
        <v>274</v>
      </c>
      <c r="G1781" s="8" t="s">
        <v>6778</v>
      </c>
      <c r="J1781" s="10">
        <v>0</v>
      </c>
      <c r="K1781" s="8" t="s">
        <v>6778</v>
      </c>
      <c r="L1781" s="8" t="s">
        <v>32</v>
      </c>
      <c r="S1781"/>
    </row>
    <row r="1782" spans="1:19" ht="15" x14ac:dyDescent="0.25">
      <c r="A1782" s="8" t="s">
        <v>5622</v>
      </c>
      <c r="B1782" s="8" t="s">
        <v>4847</v>
      </c>
      <c r="C1782" s="8" t="s">
        <v>6808</v>
      </c>
      <c r="D1782" s="32" t="s">
        <v>5146</v>
      </c>
      <c r="E1782" s="32" t="s">
        <v>6808</v>
      </c>
      <c r="F1782" s="10">
        <v>280</v>
      </c>
      <c r="G1782" s="8" t="s">
        <v>6776</v>
      </c>
      <c r="J1782" s="10">
        <v>0</v>
      </c>
      <c r="K1782" s="8" t="s">
        <v>6776</v>
      </c>
      <c r="L1782" s="8" t="s">
        <v>32</v>
      </c>
      <c r="S1782"/>
    </row>
    <row r="1783" spans="1:19" ht="15" x14ac:dyDescent="0.25">
      <c r="A1783" s="8" t="s">
        <v>5622</v>
      </c>
      <c r="B1783" s="8" t="s">
        <v>4847</v>
      </c>
      <c r="C1783" s="8" t="s">
        <v>6809</v>
      </c>
      <c r="D1783" s="32" t="s">
        <v>5146</v>
      </c>
      <c r="E1783" s="32" t="s">
        <v>6809</v>
      </c>
      <c r="F1783" s="10">
        <v>140</v>
      </c>
      <c r="G1783" s="8" t="s">
        <v>6778</v>
      </c>
      <c r="J1783" s="10">
        <v>0</v>
      </c>
      <c r="K1783" s="8" t="s">
        <v>6778</v>
      </c>
      <c r="L1783" s="8" t="s">
        <v>32</v>
      </c>
      <c r="S1783"/>
    </row>
    <row r="1784" spans="1:19" ht="15" x14ac:dyDescent="0.25">
      <c r="A1784" s="8" t="s">
        <v>6071</v>
      </c>
      <c r="B1784" s="8" t="s">
        <v>6069</v>
      </c>
      <c r="C1784" s="8" t="s">
        <v>6810</v>
      </c>
      <c r="D1784" s="32" t="s">
        <v>5146</v>
      </c>
      <c r="E1784" s="32" t="s">
        <v>6810</v>
      </c>
      <c r="F1784" s="10">
        <v>184</v>
      </c>
      <c r="G1784" s="8" t="s">
        <v>6456</v>
      </c>
      <c r="J1784" s="10">
        <v>0</v>
      </c>
      <c r="K1784" s="8" t="s">
        <v>6456</v>
      </c>
      <c r="L1784" s="8" t="s">
        <v>32</v>
      </c>
      <c r="S1784"/>
    </row>
    <row r="1785" spans="1:19" ht="15" x14ac:dyDescent="0.25">
      <c r="A1785" s="8" t="s">
        <v>6071</v>
      </c>
      <c r="B1785" s="8" t="s">
        <v>6069</v>
      </c>
      <c r="C1785" s="8" t="s">
        <v>6811</v>
      </c>
      <c r="D1785" s="32" t="s">
        <v>5146</v>
      </c>
      <c r="E1785" s="32" t="s">
        <v>6811</v>
      </c>
      <c r="F1785" s="10">
        <v>96</v>
      </c>
      <c r="G1785" s="8" t="s">
        <v>6456</v>
      </c>
      <c r="J1785" s="10">
        <v>0</v>
      </c>
      <c r="K1785" s="8" t="s">
        <v>6456</v>
      </c>
      <c r="L1785" s="8" t="s">
        <v>32</v>
      </c>
      <c r="S1785"/>
    </row>
    <row r="1786" spans="1:19" ht="15" x14ac:dyDescent="0.25">
      <c r="A1786" s="8" t="s">
        <v>6068</v>
      </c>
      <c r="B1786" s="8" t="s">
        <v>6069</v>
      </c>
      <c r="C1786" s="8" t="s">
        <v>6812</v>
      </c>
      <c r="D1786" s="32" t="s">
        <v>5146</v>
      </c>
      <c r="E1786" s="32" t="s">
        <v>6812</v>
      </c>
      <c r="F1786" s="10">
        <v>116</v>
      </c>
      <c r="G1786" s="8" t="s">
        <v>6456</v>
      </c>
      <c r="J1786" s="10">
        <v>0</v>
      </c>
      <c r="K1786" s="8" t="s">
        <v>6456</v>
      </c>
      <c r="L1786" s="8" t="s">
        <v>32</v>
      </c>
      <c r="S1786"/>
    </row>
    <row r="1787" spans="1:19" ht="15" x14ac:dyDescent="0.25">
      <c r="A1787" s="8" t="s">
        <v>6068</v>
      </c>
      <c r="B1787" s="8" t="s">
        <v>6069</v>
      </c>
      <c r="C1787" s="8" t="s">
        <v>6813</v>
      </c>
      <c r="D1787" s="32" t="s">
        <v>5146</v>
      </c>
      <c r="E1787" s="32" t="s">
        <v>6813</v>
      </c>
      <c r="F1787" s="10">
        <v>432</v>
      </c>
      <c r="G1787" s="8" t="s">
        <v>6456</v>
      </c>
      <c r="J1787" s="10">
        <v>0</v>
      </c>
      <c r="K1787" s="8" t="s">
        <v>6456</v>
      </c>
      <c r="L1787" s="8" t="s">
        <v>32</v>
      </c>
      <c r="S1787"/>
    </row>
    <row r="1788" spans="1:19" ht="15" x14ac:dyDescent="0.25">
      <c r="A1788" s="8" t="s">
        <v>6068</v>
      </c>
      <c r="B1788" s="8" t="s">
        <v>6069</v>
      </c>
      <c r="C1788" s="8" t="s">
        <v>6814</v>
      </c>
      <c r="D1788" s="32" t="s">
        <v>6984</v>
      </c>
      <c r="E1788" s="32" t="s">
        <v>6814</v>
      </c>
      <c r="F1788" s="10">
        <v>1</v>
      </c>
      <c r="G1788" s="8" t="s">
        <v>5973</v>
      </c>
      <c r="H1788" s="10">
        <v>119.7</v>
      </c>
      <c r="I1788" s="10">
        <f t="shared" si="29"/>
        <v>119.7</v>
      </c>
      <c r="J1788" s="10">
        <v>9.6272190000000002</v>
      </c>
      <c r="K1788" s="8" t="s">
        <v>5966</v>
      </c>
      <c r="S1788"/>
    </row>
    <row r="1789" spans="1:19" ht="15" x14ac:dyDescent="0.25">
      <c r="A1789" s="8" t="s">
        <v>6068</v>
      </c>
      <c r="B1789" s="8" t="s">
        <v>6069</v>
      </c>
      <c r="C1789" s="8" t="s">
        <v>6815</v>
      </c>
      <c r="D1789" s="32" t="s">
        <v>6984</v>
      </c>
      <c r="E1789" s="32" t="s">
        <v>6815</v>
      </c>
      <c r="F1789" s="10">
        <v>1</v>
      </c>
      <c r="G1789" s="8" t="s">
        <v>5973</v>
      </c>
      <c r="H1789" s="10">
        <v>119.7</v>
      </c>
      <c r="I1789" s="10">
        <f t="shared" si="29"/>
        <v>119.7</v>
      </c>
      <c r="J1789" s="10">
        <v>9.6272190000000002</v>
      </c>
      <c r="K1789" s="8" t="s">
        <v>5966</v>
      </c>
      <c r="S1789"/>
    </row>
    <row r="1790" spans="1:19" ht="15" x14ac:dyDescent="0.25">
      <c r="A1790" s="8" t="s">
        <v>6068</v>
      </c>
      <c r="B1790" s="8" t="s">
        <v>6069</v>
      </c>
      <c r="C1790" s="8" t="s">
        <v>6816</v>
      </c>
      <c r="D1790" s="32" t="s">
        <v>6984</v>
      </c>
      <c r="E1790" s="32" t="s">
        <v>6816</v>
      </c>
      <c r="F1790" s="10">
        <v>2</v>
      </c>
      <c r="G1790" s="8" t="s">
        <v>5973</v>
      </c>
      <c r="H1790" s="10">
        <v>116.85</v>
      </c>
      <c r="I1790" s="10">
        <f t="shared" si="29"/>
        <v>233.7</v>
      </c>
      <c r="J1790" s="10">
        <v>18.785340000000001</v>
      </c>
      <c r="K1790" s="8" t="s">
        <v>5966</v>
      </c>
      <c r="S1790"/>
    </row>
    <row r="1791" spans="1:19" ht="15" x14ac:dyDescent="0.25">
      <c r="A1791" s="8" t="s">
        <v>6068</v>
      </c>
      <c r="B1791" s="8" t="s">
        <v>6069</v>
      </c>
      <c r="C1791" s="8" t="s">
        <v>6817</v>
      </c>
      <c r="D1791" s="32" t="s">
        <v>6984</v>
      </c>
      <c r="E1791" s="32" t="s">
        <v>6817</v>
      </c>
      <c r="F1791" s="10">
        <v>1</v>
      </c>
      <c r="G1791" s="8" t="s">
        <v>5973</v>
      </c>
      <c r="H1791" s="10">
        <v>130.30000000000001</v>
      </c>
      <c r="I1791" s="10">
        <f t="shared" si="29"/>
        <v>130.30000000000001</v>
      </c>
      <c r="J1791" s="10">
        <v>10.473309</v>
      </c>
      <c r="K1791" s="8" t="s">
        <v>5966</v>
      </c>
      <c r="S1791"/>
    </row>
    <row r="1792" spans="1:19" ht="15" x14ac:dyDescent="0.25">
      <c r="A1792" s="8" t="s">
        <v>6068</v>
      </c>
      <c r="B1792" s="8" t="s">
        <v>6069</v>
      </c>
      <c r="C1792" s="8" t="s">
        <v>6818</v>
      </c>
      <c r="D1792" s="32" t="s">
        <v>6984</v>
      </c>
      <c r="E1792" s="32" t="s">
        <v>6818</v>
      </c>
      <c r="F1792" s="10">
        <v>1</v>
      </c>
      <c r="G1792" s="8" t="s">
        <v>5973</v>
      </c>
      <c r="H1792" s="10">
        <v>130</v>
      </c>
      <c r="I1792" s="10">
        <f t="shared" si="29"/>
        <v>130</v>
      </c>
      <c r="J1792" s="10">
        <v>10.447604999999999</v>
      </c>
      <c r="K1792" s="8" t="s">
        <v>5966</v>
      </c>
      <c r="S1792"/>
    </row>
    <row r="1793" spans="1:19" ht="15" x14ac:dyDescent="0.25">
      <c r="A1793" s="8" t="s">
        <v>6068</v>
      </c>
      <c r="B1793" s="8" t="s">
        <v>6069</v>
      </c>
      <c r="C1793" s="8" t="s">
        <v>6819</v>
      </c>
      <c r="D1793" s="32" t="s">
        <v>6984</v>
      </c>
      <c r="E1793" s="32" t="s">
        <v>6819</v>
      </c>
      <c r="F1793" s="10">
        <v>1</v>
      </c>
      <c r="G1793" s="8" t="s">
        <v>5973</v>
      </c>
      <c r="H1793" s="10">
        <v>128.9</v>
      </c>
      <c r="I1793" s="10">
        <f t="shared" si="29"/>
        <v>128.9</v>
      </c>
      <c r="J1793" s="10">
        <v>10.361924999999999</v>
      </c>
      <c r="K1793" s="8" t="s">
        <v>5966</v>
      </c>
      <c r="S1793"/>
    </row>
    <row r="1794" spans="1:19" ht="15" x14ac:dyDescent="0.25">
      <c r="A1794" s="8" t="s">
        <v>6068</v>
      </c>
      <c r="B1794" s="8" t="s">
        <v>6069</v>
      </c>
      <c r="C1794" s="8" t="s">
        <v>6820</v>
      </c>
      <c r="D1794" s="32" t="s">
        <v>6984</v>
      </c>
      <c r="E1794" s="32" t="s">
        <v>6820</v>
      </c>
      <c r="F1794" s="10">
        <v>1</v>
      </c>
      <c r="G1794" s="8" t="s">
        <v>5973</v>
      </c>
      <c r="H1794" s="10">
        <v>121.2</v>
      </c>
      <c r="I1794" s="10">
        <f t="shared" si="29"/>
        <v>121.2</v>
      </c>
      <c r="J1794" s="10">
        <v>9.7407450000000004</v>
      </c>
      <c r="K1794" s="8" t="s">
        <v>5966</v>
      </c>
      <c r="S1794"/>
    </row>
    <row r="1795" spans="1:19" ht="15" x14ac:dyDescent="0.25">
      <c r="A1795" s="8" t="s">
        <v>6068</v>
      </c>
      <c r="B1795" s="8" t="s">
        <v>6069</v>
      </c>
      <c r="C1795" s="8" t="s">
        <v>6821</v>
      </c>
      <c r="D1795" s="32" t="s">
        <v>6984</v>
      </c>
      <c r="E1795" s="32" t="s">
        <v>6821</v>
      </c>
      <c r="F1795" s="10">
        <v>2</v>
      </c>
      <c r="G1795" s="8" t="s">
        <v>5973</v>
      </c>
      <c r="H1795" s="10">
        <v>128.9</v>
      </c>
      <c r="I1795" s="10">
        <f t="shared" si="29"/>
        <v>257.8</v>
      </c>
      <c r="J1795" s="10">
        <v>20.723849999999999</v>
      </c>
      <c r="K1795" s="8" t="s">
        <v>5966</v>
      </c>
      <c r="S1795"/>
    </row>
    <row r="1796" spans="1:19" ht="15" x14ac:dyDescent="0.25">
      <c r="A1796" s="8" t="s">
        <v>6068</v>
      </c>
      <c r="B1796" s="8" t="s">
        <v>6069</v>
      </c>
      <c r="C1796" s="8" t="s">
        <v>6822</v>
      </c>
      <c r="D1796" s="32" t="s">
        <v>6984</v>
      </c>
      <c r="E1796" s="32" t="s">
        <v>6822</v>
      </c>
      <c r="F1796" s="10">
        <v>1</v>
      </c>
      <c r="G1796" s="8" t="s">
        <v>5973</v>
      </c>
      <c r="H1796" s="10">
        <v>130.19999999999999</v>
      </c>
      <c r="I1796" s="10">
        <f t="shared" si="29"/>
        <v>130.19999999999999</v>
      </c>
      <c r="J1796" s="10">
        <v>10.469025</v>
      </c>
      <c r="K1796" s="8" t="s">
        <v>5966</v>
      </c>
      <c r="S1796"/>
    </row>
    <row r="1797" spans="1:19" ht="15" x14ac:dyDescent="0.25">
      <c r="A1797" s="8" t="s">
        <v>6068</v>
      </c>
      <c r="B1797" s="8" t="s">
        <v>6069</v>
      </c>
      <c r="C1797" s="8" t="s">
        <v>6823</v>
      </c>
      <c r="D1797" s="32" t="s">
        <v>6984</v>
      </c>
      <c r="E1797" s="32" t="s">
        <v>6823</v>
      </c>
      <c r="F1797" s="10">
        <v>1</v>
      </c>
      <c r="G1797" s="8" t="s">
        <v>5973</v>
      </c>
      <c r="H1797" s="10">
        <v>95.6</v>
      </c>
      <c r="I1797" s="10">
        <f t="shared" ref="I1797:I1860" si="30">F1797*H1797</f>
        <v>95.6</v>
      </c>
      <c r="J1797" s="10">
        <v>8.5743430000000007</v>
      </c>
      <c r="K1797" s="8" t="s">
        <v>5963</v>
      </c>
      <c r="S1797"/>
    </row>
    <row r="1798" spans="1:19" ht="15" x14ac:dyDescent="0.25">
      <c r="A1798" s="8" t="s">
        <v>6068</v>
      </c>
      <c r="B1798" s="8" t="s">
        <v>6069</v>
      </c>
      <c r="C1798" s="8" t="s">
        <v>6824</v>
      </c>
      <c r="D1798" s="32" t="s">
        <v>6984</v>
      </c>
      <c r="E1798" s="32" t="s">
        <v>6824</v>
      </c>
      <c r="F1798" s="10">
        <v>1</v>
      </c>
      <c r="G1798" s="8" t="s">
        <v>5973</v>
      </c>
      <c r="H1798" s="10">
        <v>96.8</v>
      </c>
      <c r="I1798" s="10">
        <f t="shared" si="30"/>
        <v>96.8</v>
      </c>
      <c r="J1798" s="10">
        <v>8.6805699999999995</v>
      </c>
      <c r="K1798" s="8" t="s">
        <v>5963</v>
      </c>
      <c r="S1798"/>
    </row>
    <row r="1799" spans="1:19" ht="15" x14ac:dyDescent="0.25">
      <c r="A1799" s="8" t="s">
        <v>6071</v>
      </c>
      <c r="B1799" s="8" t="s">
        <v>6069</v>
      </c>
      <c r="C1799" s="8" t="s">
        <v>6825</v>
      </c>
      <c r="D1799" s="32" t="s">
        <v>6984</v>
      </c>
      <c r="E1799" s="32" t="s">
        <v>6825</v>
      </c>
      <c r="F1799" s="10">
        <v>1</v>
      </c>
      <c r="G1799" s="8" t="s">
        <v>5973</v>
      </c>
      <c r="H1799" s="10">
        <v>96.8</v>
      </c>
      <c r="I1799" s="10">
        <f t="shared" si="30"/>
        <v>96.8</v>
      </c>
      <c r="J1799" s="10">
        <v>8.6859350000000006</v>
      </c>
      <c r="K1799" s="8" t="s">
        <v>5963</v>
      </c>
      <c r="S1799"/>
    </row>
    <row r="1800" spans="1:19" ht="15" x14ac:dyDescent="0.25">
      <c r="A1800" s="8" t="s">
        <v>6071</v>
      </c>
      <c r="B1800" s="8" t="s">
        <v>6069</v>
      </c>
      <c r="C1800" s="8" t="s">
        <v>6826</v>
      </c>
      <c r="D1800" s="32" t="s">
        <v>6984</v>
      </c>
      <c r="E1800" s="32" t="s">
        <v>6826</v>
      </c>
      <c r="F1800" s="10">
        <v>1</v>
      </c>
      <c r="G1800" s="8" t="s">
        <v>5973</v>
      </c>
      <c r="H1800" s="10">
        <v>102.5</v>
      </c>
      <c r="I1800" s="10">
        <f t="shared" si="30"/>
        <v>102.5</v>
      </c>
      <c r="J1800" s="10">
        <v>9.1902450000000009</v>
      </c>
      <c r="K1800" s="8" t="s">
        <v>5963</v>
      </c>
      <c r="S1800"/>
    </row>
    <row r="1801" spans="1:19" ht="15" x14ac:dyDescent="0.25">
      <c r="A1801" s="8" t="s">
        <v>6071</v>
      </c>
      <c r="B1801" s="8" t="s">
        <v>6069</v>
      </c>
      <c r="C1801" s="8" t="s">
        <v>6827</v>
      </c>
      <c r="D1801" s="32" t="s">
        <v>6984</v>
      </c>
      <c r="E1801" s="32" t="s">
        <v>6827</v>
      </c>
      <c r="F1801" s="10">
        <v>1</v>
      </c>
      <c r="G1801" s="8" t="s">
        <v>5973</v>
      </c>
      <c r="H1801" s="10">
        <v>103.8</v>
      </c>
      <c r="I1801" s="10">
        <f t="shared" si="30"/>
        <v>103.8</v>
      </c>
      <c r="J1801" s="10">
        <v>9.3082750000000001</v>
      </c>
      <c r="K1801" s="8" t="s">
        <v>5963</v>
      </c>
      <c r="S1801"/>
    </row>
    <row r="1802" spans="1:19" ht="15" x14ac:dyDescent="0.25">
      <c r="A1802" s="8" t="s">
        <v>6071</v>
      </c>
      <c r="B1802" s="8" t="s">
        <v>6069</v>
      </c>
      <c r="C1802" s="8" t="s">
        <v>6828</v>
      </c>
      <c r="D1802" s="32" t="s">
        <v>6984</v>
      </c>
      <c r="E1802" s="32" t="s">
        <v>6828</v>
      </c>
      <c r="F1802" s="10">
        <v>3</v>
      </c>
      <c r="G1802" s="8" t="s">
        <v>5973</v>
      </c>
      <c r="H1802" s="10">
        <v>95.600000000000009</v>
      </c>
      <c r="I1802" s="10">
        <f t="shared" si="30"/>
        <v>286.8</v>
      </c>
      <c r="J1802" s="10">
        <v>25.719809999999999</v>
      </c>
      <c r="K1802" s="8" t="s">
        <v>5963</v>
      </c>
      <c r="S1802"/>
    </row>
    <row r="1803" spans="1:19" ht="15" x14ac:dyDescent="0.25">
      <c r="A1803" s="8" t="s">
        <v>6071</v>
      </c>
      <c r="B1803" s="8" t="s">
        <v>6069</v>
      </c>
      <c r="C1803" s="8" t="s">
        <v>6829</v>
      </c>
      <c r="D1803" s="32" t="s">
        <v>6984</v>
      </c>
      <c r="E1803" s="32" t="s">
        <v>6829</v>
      </c>
      <c r="F1803" s="10">
        <v>1</v>
      </c>
      <c r="G1803" s="8" t="s">
        <v>5973</v>
      </c>
      <c r="H1803" s="10">
        <v>95.6</v>
      </c>
      <c r="I1803" s="10">
        <f t="shared" si="30"/>
        <v>95.6</v>
      </c>
      <c r="J1803" s="10">
        <v>8.5754160000000006</v>
      </c>
      <c r="K1803" s="8" t="s">
        <v>5963</v>
      </c>
      <c r="S1803"/>
    </row>
    <row r="1804" spans="1:19" ht="15" x14ac:dyDescent="0.25">
      <c r="A1804" s="8" t="s">
        <v>6071</v>
      </c>
      <c r="B1804" s="8" t="s">
        <v>6069</v>
      </c>
      <c r="C1804" s="8" t="s">
        <v>6830</v>
      </c>
      <c r="D1804" s="32" t="s">
        <v>6984</v>
      </c>
      <c r="E1804" s="32" t="s">
        <v>6830</v>
      </c>
      <c r="F1804" s="10">
        <v>4</v>
      </c>
      <c r="G1804" s="8" t="s">
        <v>5973</v>
      </c>
      <c r="H1804" s="10">
        <v>92.95</v>
      </c>
      <c r="I1804" s="10">
        <f t="shared" si="30"/>
        <v>371.8</v>
      </c>
      <c r="J1804" s="10">
        <v>33.353132000000002</v>
      </c>
      <c r="K1804" s="8" t="s">
        <v>5963</v>
      </c>
      <c r="S1804"/>
    </row>
    <row r="1805" spans="1:19" ht="15" x14ac:dyDescent="0.25">
      <c r="A1805" s="8" t="s">
        <v>6071</v>
      </c>
      <c r="B1805" s="8" t="s">
        <v>6069</v>
      </c>
      <c r="C1805" s="8" t="s">
        <v>6831</v>
      </c>
      <c r="D1805" s="32" t="s">
        <v>6984</v>
      </c>
      <c r="E1805" s="32" t="s">
        <v>6831</v>
      </c>
      <c r="F1805" s="10">
        <v>1</v>
      </c>
      <c r="G1805" s="8" t="s">
        <v>5973</v>
      </c>
      <c r="H1805" s="10">
        <v>94.2</v>
      </c>
      <c r="I1805" s="10">
        <f t="shared" si="30"/>
        <v>94.2</v>
      </c>
      <c r="J1805" s="10">
        <v>8.4445099999999993</v>
      </c>
      <c r="K1805" s="8" t="s">
        <v>5963</v>
      </c>
      <c r="S1805"/>
    </row>
    <row r="1806" spans="1:19" ht="15" x14ac:dyDescent="0.25">
      <c r="A1806" s="8" t="s">
        <v>6071</v>
      </c>
      <c r="B1806" s="8" t="s">
        <v>6069</v>
      </c>
      <c r="C1806" s="8" t="s">
        <v>6832</v>
      </c>
      <c r="D1806" s="32" t="s">
        <v>6984</v>
      </c>
      <c r="E1806" s="32" t="s">
        <v>6832</v>
      </c>
      <c r="F1806" s="10">
        <v>1</v>
      </c>
      <c r="G1806" s="8" t="s">
        <v>5973</v>
      </c>
      <c r="H1806" s="10">
        <v>96.8</v>
      </c>
      <c r="I1806" s="10">
        <f t="shared" si="30"/>
        <v>96.8</v>
      </c>
      <c r="J1806" s="10">
        <v>8.6859350000000006</v>
      </c>
      <c r="K1806" s="8" t="s">
        <v>5963</v>
      </c>
      <c r="S1806"/>
    </row>
    <row r="1807" spans="1:19" ht="15" x14ac:dyDescent="0.25">
      <c r="A1807" s="8" t="s">
        <v>6071</v>
      </c>
      <c r="B1807" s="8" t="s">
        <v>6069</v>
      </c>
      <c r="C1807" s="8" t="s">
        <v>6833</v>
      </c>
      <c r="D1807" s="32" t="s">
        <v>6984</v>
      </c>
      <c r="E1807" s="32" t="s">
        <v>6833</v>
      </c>
      <c r="F1807" s="10">
        <v>1</v>
      </c>
      <c r="G1807" s="8" t="s">
        <v>5973</v>
      </c>
      <c r="H1807" s="10">
        <v>95.6</v>
      </c>
      <c r="I1807" s="10">
        <f t="shared" si="30"/>
        <v>95.6</v>
      </c>
      <c r="J1807" s="10">
        <v>8.5700509999999994</v>
      </c>
      <c r="K1807" s="8" t="s">
        <v>5963</v>
      </c>
      <c r="S1807"/>
    </row>
    <row r="1808" spans="1:19" ht="15" x14ac:dyDescent="0.25">
      <c r="A1808" s="8" t="s">
        <v>6071</v>
      </c>
      <c r="B1808" s="8" t="s">
        <v>6069</v>
      </c>
      <c r="C1808" s="8" t="s">
        <v>6834</v>
      </c>
      <c r="D1808" s="32" t="s">
        <v>6984</v>
      </c>
      <c r="E1808" s="32" t="s">
        <v>6834</v>
      </c>
      <c r="F1808" s="10">
        <v>1</v>
      </c>
      <c r="G1808" s="8" t="s">
        <v>5973</v>
      </c>
      <c r="H1808" s="10">
        <v>95.6</v>
      </c>
      <c r="I1808" s="10">
        <f t="shared" si="30"/>
        <v>95.6</v>
      </c>
      <c r="J1808" s="10">
        <v>8.5764890000000005</v>
      </c>
      <c r="K1808" s="8" t="s">
        <v>5963</v>
      </c>
      <c r="S1808"/>
    </row>
    <row r="1809" spans="1:19" ht="15" x14ac:dyDescent="0.25">
      <c r="A1809" s="8" t="s">
        <v>6071</v>
      </c>
      <c r="B1809" s="8" t="s">
        <v>6069</v>
      </c>
      <c r="C1809" s="8" t="s">
        <v>6835</v>
      </c>
      <c r="D1809" s="32" t="s">
        <v>6984</v>
      </c>
      <c r="E1809" s="32" t="s">
        <v>6835</v>
      </c>
      <c r="F1809" s="10">
        <v>1</v>
      </c>
      <c r="G1809" s="8" t="s">
        <v>5973</v>
      </c>
      <c r="H1809" s="10">
        <v>95.6</v>
      </c>
      <c r="I1809" s="10">
        <f t="shared" si="30"/>
        <v>95.6</v>
      </c>
      <c r="J1809" s="10">
        <v>8.5732700000000008</v>
      </c>
      <c r="K1809" s="8" t="s">
        <v>5963</v>
      </c>
      <c r="S1809"/>
    </row>
    <row r="1810" spans="1:19" ht="15" x14ac:dyDescent="0.25">
      <c r="A1810" s="8" t="s">
        <v>6071</v>
      </c>
      <c r="B1810" s="8" t="s">
        <v>6069</v>
      </c>
      <c r="C1810" s="8" t="s">
        <v>6836</v>
      </c>
      <c r="D1810" s="32" t="s">
        <v>6984</v>
      </c>
      <c r="E1810" s="32" t="s">
        <v>6836</v>
      </c>
      <c r="F1810" s="10">
        <v>1</v>
      </c>
      <c r="G1810" s="8" t="s">
        <v>5973</v>
      </c>
      <c r="H1810" s="10">
        <v>103.8</v>
      </c>
      <c r="I1810" s="10">
        <f t="shared" si="30"/>
        <v>103.8</v>
      </c>
      <c r="J1810" s="10">
        <v>9.3082750000000001</v>
      </c>
      <c r="K1810" s="8" t="s">
        <v>5963</v>
      </c>
      <c r="S1810"/>
    </row>
    <row r="1811" spans="1:19" ht="15" x14ac:dyDescent="0.25">
      <c r="A1811" s="8" t="s">
        <v>6071</v>
      </c>
      <c r="B1811" s="8" t="s">
        <v>6069</v>
      </c>
      <c r="C1811" s="8" t="s">
        <v>6837</v>
      </c>
      <c r="D1811" s="32" t="s">
        <v>6984</v>
      </c>
      <c r="E1811" s="32" t="s">
        <v>6837</v>
      </c>
      <c r="F1811" s="10">
        <v>1</v>
      </c>
      <c r="G1811" s="8" t="s">
        <v>5973</v>
      </c>
      <c r="H1811" s="10">
        <v>103.8</v>
      </c>
      <c r="I1811" s="10">
        <f t="shared" si="30"/>
        <v>103.8</v>
      </c>
      <c r="J1811" s="10">
        <v>9.3082750000000001</v>
      </c>
      <c r="K1811" s="8" t="s">
        <v>5963</v>
      </c>
      <c r="S1811"/>
    </row>
    <row r="1812" spans="1:19" ht="15" x14ac:dyDescent="0.25">
      <c r="A1812" s="8" t="s">
        <v>6071</v>
      </c>
      <c r="B1812" s="8" t="s">
        <v>6069</v>
      </c>
      <c r="C1812" s="8" t="s">
        <v>6838</v>
      </c>
      <c r="D1812" s="32" t="s">
        <v>6984</v>
      </c>
      <c r="E1812" s="32" t="s">
        <v>6838</v>
      </c>
      <c r="F1812" s="10">
        <v>1</v>
      </c>
      <c r="G1812" s="8" t="s">
        <v>5973</v>
      </c>
      <c r="H1812" s="10">
        <v>95.6</v>
      </c>
      <c r="I1812" s="10">
        <f t="shared" si="30"/>
        <v>95.6</v>
      </c>
      <c r="J1812" s="10">
        <v>8.5732700000000008</v>
      </c>
      <c r="K1812" s="8" t="s">
        <v>5963</v>
      </c>
      <c r="S1812"/>
    </row>
    <row r="1813" spans="1:19" ht="15" x14ac:dyDescent="0.25">
      <c r="A1813" s="8" t="s">
        <v>6071</v>
      </c>
      <c r="B1813" s="8" t="s">
        <v>6069</v>
      </c>
      <c r="C1813" s="8" t="s">
        <v>6839</v>
      </c>
      <c r="D1813" s="32" t="s">
        <v>6984</v>
      </c>
      <c r="E1813" s="32" t="s">
        <v>6839</v>
      </c>
      <c r="F1813" s="10">
        <v>3</v>
      </c>
      <c r="G1813" s="8" t="s">
        <v>5973</v>
      </c>
      <c r="H1813" s="10">
        <v>95.600000000000009</v>
      </c>
      <c r="I1813" s="10">
        <f t="shared" si="30"/>
        <v>286.8</v>
      </c>
      <c r="J1813" s="10">
        <v>25.719809999999999</v>
      </c>
      <c r="K1813" s="8" t="s">
        <v>5963</v>
      </c>
      <c r="S1813"/>
    </row>
    <row r="1814" spans="1:19" ht="15" x14ac:dyDescent="0.25">
      <c r="A1814" s="8" t="s">
        <v>6068</v>
      </c>
      <c r="B1814" s="8" t="s">
        <v>6069</v>
      </c>
      <c r="C1814" s="8" t="s">
        <v>6840</v>
      </c>
      <c r="D1814" s="32" t="s">
        <v>6984</v>
      </c>
      <c r="E1814" s="32" t="s">
        <v>6840</v>
      </c>
      <c r="F1814" s="10">
        <v>32</v>
      </c>
      <c r="G1814" s="8" t="s">
        <v>6841</v>
      </c>
      <c r="H1814" s="10">
        <v>3.0062500000000001</v>
      </c>
      <c r="I1814" s="10">
        <f t="shared" si="30"/>
        <v>96.2</v>
      </c>
      <c r="J1814" s="10">
        <v>3.1113984000000001</v>
      </c>
      <c r="K1814" s="8" t="s">
        <v>23</v>
      </c>
      <c r="S1814"/>
    </row>
    <row r="1815" spans="1:19" ht="15" x14ac:dyDescent="0.25">
      <c r="A1815" s="8" t="s">
        <v>6068</v>
      </c>
      <c r="B1815" s="8" t="s">
        <v>6069</v>
      </c>
      <c r="C1815" s="8" t="s">
        <v>6842</v>
      </c>
      <c r="D1815" s="32" t="s">
        <v>6984</v>
      </c>
      <c r="E1815" s="32" t="s">
        <v>6842</v>
      </c>
      <c r="F1815" s="10">
        <v>2</v>
      </c>
      <c r="G1815" s="8" t="s">
        <v>6841</v>
      </c>
      <c r="H1815" s="10">
        <v>2.5499999999999998</v>
      </c>
      <c r="I1815" s="10">
        <f t="shared" si="30"/>
        <v>5.0999999999999996</v>
      </c>
      <c r="J1815" s="10">
        <v>0.16613632</v>
      </c>
      <c r="K1815" s="8" t="s">
        <v>23</v>
      </c>
      <c r="S1815"/>
    </row>
    <row r="1816" spans="1:19" ht="15" x14ac:dyDescent="0.25">
      <c r="A1816" s="8" t="s">
        <v>6068</v>
      </c>
      <c r="B1816" s="8" t="s">
        <v>6069</v>
      </c>
      <c r="C1816" s="8" t="s">
        <v>6843</v>
      </c>
      <c r="D1816" s="32" t="s">
        <v>6984</v>
      </c>
      <c r="E1816" s="32" t="s">
        <v>6843</v>
      </c>
      <c r="F1816" s="10">
        <v>8</v>
      </c>
      <c r="G1816" s="8" t="s">
        <v>6841</v>
      </c>
      <c r="H1816" s="10">
        <v>1.8875</v>
      </c>
      <c r="I1816" s="10">
        <f t="shared" si="30"/>
        <v>15.1</v>
      </c>
      <c r="J1816" s="10">
        <v>0.48768</v>
      </c>
      <c r="K1816" s="8" t="s">
        <v>23</v>
      </c>
      <c r="S1816"/>
    </row>
    <row r="1817" spans="1:19" ht="15" x14ac:dyDescent="0.25">
      <c r="A1817" s="8" t="s">
        <v>6068</v>
      </c>
      <c r="B1817" s="8" t="s">
        <v>6069</v>
      </c>
      <c r="C1817" s="8" t="s">
        <v>6844</v>
      </c>
      <c r="D1817" s="32" t="s">
        <v>6984</v>
      </c>
      <c r="E1817" s="32" t="s">
        <v>6844</v>
      </c>
      <c r="F1817" s="10">
        <v>64</v>
      </c>
      <c r="G1817" s="8" t="s">
        <v>6841</v>
      </c>
      <c r="H1817" s="10">
        <v>1.890625</v>
      </c>
      <c r="I1817" s="10">
        <f t="shared" si="30"/>
        <v>121</v>
      </c>
      <c r="J1817" s="10">
        <v>3.9144448000000001</v>
      </c>
      <c r="K1817" s="8" t="s">
        <v>23</v>
      </c>
      <c r="S1817"/>
    </row>
    <row r="1818" spans="1:19" ht="15" x14ac:dyDescent="0.25">
      <c r="A1818" s="8" t="s">
        <v>6068</v>
      </c>
      <c r="B1818" s="8" t="s">
        <v>6069</v>
      </c>
      <c r="C1818" s="8" t="s">
        <v>6845</v>
      </c>
      <c r="D1818" s="32" t="s">
        <v>6984</v>
      </c>
      <c r="E1818" s="32" t="s">
        <v>6845</v>
      </c>
      <c r="F1818" s="10">
        <v>4</v>
      </c>
      <c r="G1818" s="8" t="s">
        <v>6841</v>
      </c>
      <c r="H1818" s="10">
        <v>4.3250000000000002</v>
      </c>
      <c r="I1818" s="10">
        <f t="shared" si="30"/>
        <v>17.3</v>
      </c>
      <c r="J1818" s="10">
        <v>0.560832</v>
      </c>
      <c r="K1818" s="8" t="s">
        <v>23</v>
      </c>
      <c r="S1818"/>
    </row>
    <row r="1819" spans="1:19" ht="15" x14ac:dyDescent="0.25">
      <c r="A1819" s="8" t="s">
        <v>6068</v>
      </c>
      <c r="B1819" s="8" t="s">
        <v>6069</v>
      </c>
      <c r="C1819" s="8" t="s">
        <v>6846</v>
      </c>
      <c r="D1819" s="32" t="s">
        <v>6984</v>
      </c>
      <c r="E1819" s="32" t="s">
        <v>6846</v>
      </c>
      <c r="F1819" s="10">
        <v>4</v>
      </c>
      <c r="G1819" s="8" t="s">
        <v>6841</v>
      </c>
      <c r="H1819" s="10">
        <v>1.075</v>
      </c>
      <c r="I1819" s="10">
        <f t="shared" si="30"/>
        <v>4.3</v>
      </c>
      <c r="J1819" s="10">
        <v>0.138110976</v>
      </c>
      <c r="K1819" s="8" t="s">
        <v>23</v>
      </c>
      <c r="S1819"/>
    </row>
    <row r="1820" spans="1:19" ht="15" x14ac:dyDescent="0.25">
      <c r="A1820" s="8" t="s">
        <v>6068</v>
      </c>
      <c r="B1820" s="8" t="s">
        <v>6069</v>
      </c>
      <c r="C1820" s="8" t="s">
        <v>6847</v>
      </c>
      <c r="D1820" s="32" t="s">
        <v>6984</v>
      </c>
      <c r="E1820" s="32" t="s">
        <v>6847</v>
      </c>
      <c r="F1820" s="10">
        <v>1</v>
      </c>
      <c r="G1820" s="8" t="s">
        <v>6841</v>
      </c>
      <c r="H1820" s="10">
        <v>24.5</v>
      </c>
      <c r="I1820" s="10">
        <f t="shared" si="30"/>
        <v>24.5</v>
      </c>
      <c r="J1820" s="10">
        <v>0.72361374000000001</v>
      </c>
      <c r="K1820" s="8" t="s">
        <v>25</v>
      </c>
      <c r="S1820"/>
    </row>
    <row r="1821" spans="1:19" ht="15" x14ac:dyDescent="0.25">
      <c r="A1821" s="8" t="s">
        <v>6068</v>
      </c>
      <c r="B1821" s="8" t="s">
        <v>6069</v>
      </c>
      <c r="C1821" s="8" t="s">
        <v>6848</v>
      </c>
      <c r="D1821" s="32" t="s">
        <v>6984</v>
      </c>
      <c r="E1821" s="32" t="s">
        <v>6848</v>
      </c>
      <c r="F1821" s="10">
        <v>1</v>
      </c>
      <c r="G1821" s="8" t="s">
        <v>6841</v>
      </c>
      <c r="H1821" s="10">
        <v>28.8</v>
      </c>
      <c r="I1821" s="10">
        <f t="shared" si="30"/>
        <v>28.8</v>
      </c>
      <c r="J1821" s="10">
        <v>0.84293664000000001</v>
      </c>
      <c r="K1821" s="8" t="s">
        <v>23</v>
      </c>
      <c r="S1821"/>
    </row>
    <row r="1822" spans="1:19" ht="15" x14ac:dyDescent="0.25">
      <c r="A1822" s="8" t="s">
        <v>6068</v>
      </c>
      <c r="B1822" s="8" t="s">
        <v>6069</v>
      </c>
      <c r="C1822" s="8" t="s">
        <v>6849</v>
      </c>
      <c r="D1822" s="32" t="s">
        <v>6984</v>
      </c>
      <c r="E1822" s="32" t="s">
        <v>6849</v>
      </c>
      <c r="F1822" s="10">
        <v>12</v>
      </c>
      <c r="G1822" s="8" t="s">
        <v>6841</v>
      </c>
      <c r="H1822" s="10">
        <v>17.958333333333332</v>
      </c>
      <c r="I1822" s="10">
        <f t="shared" si="30"/>
        <v>215.5</v>
      </c>
      <c r="J1822" s="10">
        <v>5.8890048000000004</v>
      </c>
      <c r="K1822" s="8" t="s">
        <v>25</v>
      </c>
      <c r="S1822"/>
    </row>
    <row r="1823" spans="1:19" ht="15" x14ac:dyDescent="0.25">
      <c r="A1823" s="8" t="s">
        <v>6068</v>
      </c>
      <c r="B1823" s="8" t="s">
        <v>6069</v>
      </c>
      <c r="C1823" s="8" t="s">
        <v>6850</v>
      </c>
      <c r="D1823" s="32" t="s">
        <v>6984</v>
      </c>
      <c r="E1823" s="32" t="s">
        <v>6850</v>
      </c>
      <c r="F1823" s="10">
        <v>1</v>
      </c>
      <c r="G1823" s="8" t="s">
        <v>6841</v>
      </c>
      <c r="H1823" s="10">
        <v>11.2</v>
      </c>
      <c r="I1823" s="10">
        <f t="shared" si="30"/>
        <v>11.2</v>
      </c>
      <c r="J1823" s="10">
        <v>0.30606684000000001</v>
      </c>
      <c r="K1823" s="8" t="s">
        <v>25</v>
      </c>
      <c r="S1823"/>
    </row>
    <row r="1824" spans="1:19" ht="15" x14ac:dyDescent="0.25">
      <c r="A1824" s="8" t="s">
        <v>6068</v>
      </c>
      <c r="B1824" s="8" t="s">
        <v>6069</v>
      </c>
      <c r="C1824" s="8" t="s">
        <v>6851</v>
      </c>
      <c r="D1824" s="32" t="s">
        <v>6984</v>
      </c>
      <c r="E1824" s="32" t="s">
        <v>6851</v>
      </c>
      <c r="F1824" s="10">
        <v>4</v>
      </c>
      <c r="G1824" s="8" t="s">
        <v>6841</v>
      </c>
      <c r="H1824" s="10">
        <v>5.15</v>
      </c>
      <c r="I1824" s="10">
        <f t="shared" si="30"/>
        <v>20.6</v>
      </c>
      <c r="J1824" s="10">
        <v>0.56248799999999999</v>
      </c>
      <c r="K1824" s="8" t="s">
        <v>25</v>
      </c>
      <c r="S1824"/>
    </row>
    <row r="1825" spans="1:19" ht="15" x14ac:dyDescent="0.25">
      <c r="A1825" s="8" t="s">
        <v>6068</v>
      </c>
      <c r="B1825" s="8" t="s">
        <v>6069</v>
      </c>
      <c r="C1825" s="8" t="s">
        <v>6852</v>
      </c>
      <c r="D1825" s="32" t="s">
        <v>6984</v>
      </c>
      <c r="E1825" s="32" t="s">
        <v>6852</v>
      </c>
      <c r="F1825" s="10">
        <v>56</v>
      </c>
      <c r="G1825" s="8" t="s">
        <v>6841</v>
      </c>
      <c r="H1825" s="10">
        <v>5.8732142857142851</v>
      </c>
      <c r="I1825" s="10">
        <f t="shared" si="30"/>
        <v>328.9</v>
      </c>
      <c r="J1825" s="10">
        <v>8.9875799999999995</v>
      </c>
      <c r="K1825" s="8" t="s">
        <v>25</v>
      </c>
      <c r="S1825"/>
    </row>
    <row r="1826" spans="1:19" ht="15" x14ac:dyDescent="0.25">
      <c r="A1826" s="8" t="s">
        <v>6068</v>
      </c>
      <c r="B1826" s="8" t="s">
        <v>6069</v>
      </c>
      <c r="C1826" s="8" t="s">
        <v>6853</v>
      </c>
      <c r="D1826" s="32" t="s">
        <v>6984</v>
      </c>
      <c r="E1826" s="32" t="s">
        <v>6853</v>
      </c>
      <c r="F1826" s="10">
        <v>16</v>
      </c>
      <c r="G1826" s="8" t="s">
        <v>6841</v>
      </c>
      <c r="H1826" s="10">
        <v>20.2</v>
      </c>
      <c r="I1826" s="10">
        <f t="shared" si="30"/>
        <v>323.2</v>
      </c>
      <c r="J1826" s="10">
        <v>8.8335071999999997</v>
      </c>
      <c r="K1826" s="8" t="s">
        <v>25</v>
      </c>
      <c r="S1826"/>
    </row>
    <row r="1827" spans="1:19" ht="15" x14ac:dyDescent="0.25">
      <c r="A1827" s="8" t="s">
        <v>6068</v>
      </c>
      <c r="B1827" s="8" t="s">
        <v>6069</v>
      </c>
      <c r="C1827" s="8" t="s">
        <v>6854</v>
      </c>
      <c r="D1827" s="32" t="s">
        <v>6984</v>
      </c>
      <c r="E1827" s="32" t="s">
        <v>6854</v>
      </c>
      <c r="F1827" s="10">
        <v>1</v>
      </c>
      <c r="G1827" s="8" t="s">
        <v>6841</v>
      </c>
      <c r="H1827" s="10">
        <v>17.7</v>
      </c>
      <c r="I1827" s="10">
        <f t="shared" si="30"/>
        <v>17.7</v>
      </c>
      <c r="J1827" s="10">
        <v>0.53533792800000002</v>
      </c>
      <c r="K1827" s="8" t="s">
        <v>23</v>
      </c>
      <c r="S1827"/>
    </row>
    <row r="1828" spans="1:19" ht="15" x14ac:dyDescent="0.25">
      <c r="A1828" s="8" t="s">
        <v>6068</v>
      </c>
      <c r="B1828" s="8" t="s">
        <v>6069</v>
      </c>
      <c r="C1828" s="8" t="s">
        <v>6855</v>
      </c>
      <c r="D1828" s="32" t="s">
        <v>6984</v>
      </c>
      <c r="E1828" s="32" t="s">
        <v>6855</v>
      </c>
      <c r="F1828" s="10">
        <v>17</v>
      </c>
      <c r="G1828" s="8" t="s">
        <v>6841</v>
      </c>
      <c r="H1828" s="10">
        <v>7.5705882352941174</v>
      </c>
      <c r="I1828" s="10">
        <f t="shared" si="30"/>
        <v>128.69999999999999</v>
      </c>
      <c r="J1828" s="10">
        <v>3.5165690000000001</v>
      </c>
      <c r="K1828" s="8" t="s">
        <v>25</v>
      </c>
      <c r="S1828"/>
    </row>
    <row r="1829" spans="1:19" ht="15" x14ac:dyDescent="0.25">
      <c r="A1829" s="8" t="s">
        <v>6068</v>
      </c>
      <c r="B1829" s="8" t="s">
        <v>6069</v>
      </c>
      <c r="C1829" s="8" t="s">
        <v>6856</v>
      </c>
      <c r="D1829" s="32" t="s">
        <v>6984</v>
      </c>
      <c r="E1829" s="32" t="s">
        <v>6856</v>
      </c>
      <c r="F1829" s="10">
        <v>32</v>
      </c>
      <c r="G1829" s="8" t="s">
        <v>6841</v>
      </c>
      <c r="H1829" s="10">
        <v>16.465624999999999</v>
      </c>
      <c r="I1829" s="10">
        <f t="shared" si="30"/>
        <v>526.9</v>
      </c>
      <c r="J1829" s="10">
        <v>8.6588928000000003</v>
      </c>
      <c r="K1829" s="8" t="s">
        <v>5488</v>
      </c>
      <c r="S1829"/>
    </row>
    <row r="1830" spans="1:19" ht="15" x14ac:dyDescent="0.25">
      <c r="A1830" s="8" t="s">
        <v>6068</v>
      </c>
      <c r="B1830" s="8" t="s">
        <v>6069</v>
      </c>
      <c r="C1830" s="8" t="s">
        <v>6857</v>
      </c>
      <c r="D1830" s="32" t="s">
        <v>6984</v>
      </c>
      <c r="E1830" s="32" t="s">
        <v>6857</v>
      </c>
      <c r="F1830" s="10">
        <v>22</v>
      </c>
      <c r="G1830" s="8" t="s">
        <v>6841</v>
      </c>
      <c r="H1830" s="10">
        <v>15.036363636363637</v>
      </c>
      <c r="I1830" s="10">
        <f t="shared" si="30"/>
        <v>330.8</v>
      </c>
      <c r="J1830" s="10">
        <v>5.4353376000000004</v>
      </c>
      <c r="K1830" s="8" t="s">
        <v>5488</v>
      </c>
      <c r="S1830"/>
    </row>
    <row r="1831" spans="1:19" ht="15" x14ac:dyDescent="0.25">
      <c r="A1831" s="8" t="s">
        <v>6068</v>
      </c>
      <c r="B1831" s="8" t="s">
        <v>6069</v>
      </c>
      <c r="C1831" s="8" t="s">
        <v>6858</v>
      </c>
      <c r="D1831" s="32" t="s">
        <v>6984</v>
      </c>
      <c r="E1831" s="32" t="s">
        <v>6858</v>
      </c>
      <c r="F1831" s="10">
        <v>16</v>
      </c>
      <c r="G1831" s="8" t="s">
        <v>6841</v>
      </c>
      <c r="H1831" s="10">
        <v>39.375</v>
      </c>
      <c r="I1831" s="10">
        <f t="shared" si="30"/>
        <v>630</v>
      </c>
      <c r="J1831" s="10">
        <v>10.353024</v>
      </c>
      <c r="K1831" s="8" t="s">
        <v>5488</v>
      </c>
      <c r="S1831"/>
    </row>
    <row r="1832" spans="1:19" ht="15" x14ac:dyDescent="0.25">
      <c r="A1832" s="8" t="s">
        <v>6068</v>
      </c>
      <c r="B1832" s="8" t="s">
        <v>6069</v>
      </c>
      <c r="C1832" s="8" t="s">
        <v>6859</v>
      </c>
      <c r="D1832" s="32" t="s">
        <v>6984</v>
      </c>
      <c r="E1832" s="32" t="s">
        <v>6859</v>
      </c>
      <c r="F1832" s="10">
        <v>11</v>
      </c>
      <c r="G1832" s="8" t="s">
        <v>6841</v>
      </c>
      <c r="H1832" s="10">
        <v>35.800000000000004</v>
      </c>
      <c r="I1832" s="10">
        <f t="shared" si="30"/>
        <v>393.80000000000007</v>
      </c>
      <c r="J1832" s="10">
        <v>6.4706400000000004</v>
      </c>
      <c r="K1832" s="8" t="s">
        <v>5488</v>
      </c>
      <c r="S1832"/>
    </row>
    <row r="1833" spans="1:19" ht="15" x14ac:dyDescent="0.25">
      <c r="A1833" s="8" t="s">
        <v>6068</v>
      </c>
      <c r="B1833" s="8" t="s">
        <v>6069</v>
      </c>
      <c r="C1833" s="8" t="s">
        <v>6860</v>
      </c>
      <c r="D1833" s="32" t="s">
        <v>6984</v>
      </c>
      <c r="E1833" s="32" t="s">
        <v>6860</v>
      </c>
      <c r="F1833" s="10">
        <v>6</v>
      </c>
      <c r="G1833" s="8" t="s">
        <v>6841</v>
      </c>
      <c r="H1833" s="10">
        <v>15.033333333333333</v>
      </c>
      <c r="I1833" s="10">
        <f t="shared" si="30"/>
        <v>90.2</v>
      </c>
      <c r="J1833" s="10">
        <v>1.4823648</v>
      </c>
      <c r="K1833" s="8" t="s">
        <v>5488</v>
      </c>
      <c r="S1833"/>
    </row>
    <row r="1834" spans="1:19" ht="15" x14ac:dyDescent="0.25">
      <c r="A1834" s="8" t="s">
        <v>6068</v>
      </c>
      <c r="B1834" s="8" t="s">
        <v>6069</v>
      </c>
      <c r="C1834" s="8" t="s">
        <v>6861</v>
      </c>
      <c r="D1834" s="32" t="s">
        <v>6984</v>
      </c>
      <c r="E1834" s="32" t="s">
        <v>6861</v>
      </c>
      <c r="F1834" s="10">
        <v>3</v>
      </c>
      <c r="G1834" s="8" t="s">
        <v>6841</v>
      </c>
      <c r="H1834" s="10">
        <v>35.800000000000004</v>
      </c>
      <c r="I1834" s="10">
        <f t="shared" si="30"/>
        <v>107.4</v>
      </c>
      <c r="J1834" s="10">
        <v>1.7647200000000001</v>
      </c>
      <c r="K1834" s="8" t="s">
        <v>5488</v>
      </c>
      <c r="S1834"/>
    </row>
    <row r="1835" spans="1:19" ht="15" x14ac:dyDescent="0.25">
      <c r="A1835" s="8" t="s">
        <v>6068</v>
      </c>
      <c r="B1835" s="8" t="s">
        <v>6069</v>
      </c>
      <c r="C1835" s="8" t="s">
        <v>6862</v>
      </c>
      <c r="D1835" s="32" t="s">
        <v>6984</v>
      </c>
      <c r="E1835" s="32" t="s">
        <v>6862</v>
      </c>
      <c r="F1835" s="10">
        <v>24</v>
      </c>
      <c r="G1835" s="8" t="s">
        <v>6841</v>
      </c>
      <c r="H1835" s="10">
        <v>4.1166666666666663</v>
      </c>
      <c r="I1835" s="10">
        <f t="shared" si="30"/>
        <v>98.799999999999983</v>
      </c>
      <c r="J1835" s="10">
        <v>3.1852331519999999</v>
      </c>
      <c r="K1835" s="8" t="s">
        <v>23</v>
      </c>
      <c r="S1835"/>
    </row>
    <row r="1836" spans="1:19" ht="15" x14ac:dyDescent="0.25">
      <c r="A1836" s="8" t="s">
        <v>6068</v>
      </c>
      <c r="B1836" s="8" t="s">
        <v>6069</v>
      </c>
      <c r="C1836" s="8" t="s">
        <v>6863</v>
      </c>
      <c r="D1836" s="32" t="s">
        <v>6984</v>
      </c>
      <c r="E1836" s="32" t="s">
        <v>6863</v>
      </c>
      <c r="F1836" s="10">
        <v>4</v>
      </c>
      <c r="G1836" s="8" t="s">
        <v>5642</v>
      </c>
      <c r="H1836" s="10">
        <v>18.850000000000001</v>
      </c>
      <c r="I1836" s="10">
        <f t="shared" si="30"/>
        <v>75.400000000000006</v>
      </c>
      <c r="J1836" s="10">
        <v>3.1211519999999999</v>
      </c>
      <c r="K1836" s="8" t="s">
        <v>5711</v>
      </c>
      <c r="S1836"/>
    </row>
    <row r="1837" spans="1:19" ht="15" x14ac:dyDescent="0.25">
      <c r="A1837" s="8" t="s">
        <v>6068</v>
      </c>
      <c r="B1837" s="8" t="s">
        <v>6069</v>
      </c>
      <c r="C1837" s="8" t="s">
        <v>6864</v>
      </c>
      <c r="D1837" s="32" t="s">
        <v>6984</v>
      </c>
      <c r="E1837" s="32" t="s">
        <v>6864</v>
      </c>
      <c r="F1837" s="10">
        <v>2</v>
      </c>
      <c r="G1837" s="8" t="s">
        <v>5642</v>
      </c>
      <c r="H1837" s="10">
        <v>18.25</v>
      </c>
      <c r="I1837" s="10">
        <f t="shared" si="30"/>
        <v>36.5</v>
      </c>
      <c r="J1837" s="10">
        <v>1.5126208000000001</v>
      </c>
      <c r="K1837" s="8" t="s">
        <v>5711</v>
      </c>
      <c r="S1837"/>
    </row>
    <row r="1838" spans="1:19" ht="15" x14ac:dyDescent="0.25">
      <c r="A1838" s="8" t="s">
        <v>6071</v>
      </c>
      <c r="B1838" s="8" t="s">
        <v>6069</v>
      </c>
      <c r="C1838" s="8" t="s">
        <v>6865</v>
      </c>
      <c r="D1838" s="32" t="s">
        <v>6984</v>
      </c>
      <c r="E1838" s="32" t="s">
        <v>6865</v>
      </c>
      <c r="F1838" s="10">
        <v>10</v>
      </c>
      <c r="G1838" s="8" t="s">
        <v>5642</v>
      </c>
      <c r="H1838" s="10">
        <v>17.669999999999998</v>
      </c>
      <c r="I1838" s="10">
        <f t="shared" si="30"/>
        <v>176.7</v>
      </c>
      <c r="J1838" s="10">
        <v>7.3192640000000004</v>
      </c>
      <c r="K1838" s="8" t="s">
        <v>5711</v>
      </c>
      <c r="S1838"/>
    </row>
    <row r="1839" spans="1:19" ht="15" x14ac:dyDescent="0.25">
      <c r="A1839" s="8" t="s">
        <v>6071</v>
      </c>
      <c r="B1839" s="8" t="s">
        <v>6069</v>
      </c>
      <c r="C1839" s="8" t="s">
        <v>6866</v>
      </c>
      <c r="D1839" s="32" t="s">
        <v>6984</v>
      </c>
      <c r="E1839" s="32" t="s">
        <v>6866</v>
      </c>
      <c r="F1839" s="10">
        <v>10</v>
      </c>
      <c r="G1839" s="8" t="s">
        <v>5642</v>
      </c>
      <c r="H1839" s="10">
        <v>18.2</v>
      </c>
      <c r="I1839" s="10">
        <f t="shared" si="30"/>
        <v>182</v>
      </c>
      <c r="J1839" s="10">
        <v>7.5387199999999996</v>
      </c>
      <c r="K1839" s="8" t="s">
        <v>5711</v>
      </c>
      <c r="S1839"/>
    </row>
    <row r="1840" spans="1:19" ht="15" x14ac:dyDescent="0.25">
      <c r="A1840" s="8" t="s">
        <v>6071</v>
      </c>
      <c r="B1840" s="8" t="s">
        <v>6069</v>
      </c>
      <c r="C1840" s="8" t="s">
        <v>6867</v>
      </c>
      <c r="D1840" s="32" t="s">
        <v>6984</v>
      </c>
      <c r="E1840" s="32" t="s">
        <v>6867</v>
      </c>
      <c r="F1840" s="10">
        <v>8</v>
      </c>
      <c r="G1840" s="8" t="s">
        <v>5642</v>
      </c>
      <c r="H1840" s="10">
        <v>18</v>
      </c>
      <c r="I1840" s="10">
        <f t="shared" si="30"/>
        <v>144</v>
      </c>
      <c r="J1840" s="10">
        <v>5.9627008000000004</v>
      </c>
      <c r="K1840" s="8" t="s">
        <v>5711</v>
      </c>
      <c r="S1840"/>
    </row>
    <row r="1841" spans="1:19" ht="15" x14ac:dyDescent="0.25">
      <c r="A1841" s="8" t="s">
        <v>6071</v>
      </c>
      <c r="B1841" s="8" t="s">
        <v>6069</v>
      </c>
      <c r="C1841" s="8" t="s">
        <v>6868</v>
      </c>
      <c r="D1841" s="32" t="s">
        <v>6984</v>
      </c>
      <c r="E1841" s="32" t="s">
        <v>6868</v>
      </c>
      <c r="F1841" s="10">
        <v>26</v>
      </c>
      <c r="G1841" s="8" t="s">
        <v>5642</v>
      </c>
      <c r="H1841" s="10">
        <v>15.36153846153846</v>
      </c>
      <c r="I1841" s="10">
        <f t="shared" si="30"/>
        <v>399.4</v>
      </c>
      <c r="J1841" s="10">
        <v>16.536415999999999</v>
      </c>
      <c r="K1841" s="8" t="s">
        <v>5711</v>
      </c>
      <c r="S1841"/>
    </row>
    <row r="1842" spans="1:19" ht="15" x14ac:dyDescent="0.25">
      <c r="A1842" s="8" t="s">
        <v>6068</v>
      </c>
      <c r="B1842" s="8" t="s">
        <v>6069</v>
      </c>
      <c r="C1842" s="8" t="s">
        <v>6869</v>
      </c>
      <c r="D1842" s="32" t="s">
        <v>6984</v>
      </c>
      <c r="E1842" s="32" t="s">
        <v>6869</v>
      </c>
      <c r="F1842" s="10">
        <v>5</v>
      </c>
      <c r="G1842" s="8" t="s">
        <v>5642</v>
      </c>
      <c r="H1842" s="10">
        <v>15.36</v>
      </c>
      <c r="I1842" s="10">
        <f t="shared" si="30"/>
        <v>76.8</v>
      </c>
      <c r="J1842" s="10">
        <v>3.1841439999999999</v>
      </c>
      <c r="K1842" s="8" t="s">
        <v>5711</v>
      </c>
      <c r="S1842"/>
    </row>
    <row r="1843" spans="1:19" ht="15" x14ac:dyDescent="0.25">
      <c r="A1843" s="8" t="s">
        <v>6068</v>
      </c>
      <c r="B1843" s="8" t="s">
        <v>6069</v>
      </c>
      <c r="C1843" s="8" t="s">
        <v>6870</v>
      </c>
      <c r="D1843" s="32" t="s">
        <v>6984</v>
      </c>
      <c r="E1843" s="32" t="s">
        <v>6870</v>
      </c>
      <c r="F1843" s="10">
        <v>1</v>
      </c>
      <c r="G1843" s="8" t="s">
        <v>5642</v>
      </c>
      <c r="H1843" s="10">
        <v>15.2</v>
      </c>
      <c r="I1843" s="10">
        <f t="shared" si="30"/>
        <v>15.2</v>
      </c>
      <c r="J1843" s="10">
        <v>0.62870079999999995</v>
      </c>
      <c r="K1843" s="8" t="s">
        <v>5711</v>
      </c>
      <c r="S1843"/>
    </row>
    <row r="1844" spans="1:19" ht="15" x14ac:dyDescent="0.25">
      <c r="A1844" s="8" t="s">
        <v>6068</v>
      </c>
      <c r="B1844" s="8" t="s">
        <v>6069</v>
      </c>
      <c r="C1844" s="8" t="s">
        <v>6871</v>
      </c>
      <c r="D1844" s="32" t="s">
        <v>6984</v>
      </c>
      <c r="E1844" s="32" t="s">
        <v>6871</v>
      </c>
      <c r="F1844" s="10">
        <v>4</v>
      </c>
      <c r="G1844" s="8" t="s">
        <v>5642</v>
      </c>
      <c r="H1844" s="10">
        <v>18.899999999999999</v>
      </c>
      <c r="I1844" s="10">
        <f t="shared" si="30"/>
        <v>75.599999999999994</v>
      </c>
      <c r="J1844" s="10">
        <v>3.1309056000000002</v>
      </c>
      <c r="K1844" s="8" t="s">
        <v>5711</v>
      </c>
      <c r="S1844"/>
    </row>
    <row r="1845" spans="1:19" ht="15" x14ac:dyDescent="0.25">
      <c r="A1845" s="8" t="s">
        <v>6071</v>
      </c>
      <c r="B1845" s="8" t="s">
        <v>6069</v>
      </c>
      <c r="C1845" s="8" t="s">
        <v>6872</v>
      </c>
      <c r="D1845" s="32" t="s">
        <v>6984</v>
      </c>
      <c r="E1845" s="32" t="s">
        <v>6872</v>
      </c>
      <c r="F1845" s="10">
        <v>4</v>
      </c>
      <c r="G1845" s="8" t="s">
        <v>5642</v>
      </c>
      <c r="H1845" s="10">
        <v>18.05</v>
      </c>
      <c r="I1845" s="10">
        <f t="shared" si="30"/>
        <v>72.2</v>
      </c>
      <c r="J1845" s="10">
        <v>2.991104</v>
      </c>
      <c r="K1845" s="8" t="s">
        <v>5711</v>
      </c>
      <c r="S1845"/>
    </row>
    <row r="1846" spans="1:19" ht="15" x14ac:dyDescent="0.25">
      <c r="A1846" s="8" t="s">
        <v>6068</v>
      </c>
      <c r="B1846" s="8" t="s">
        <v>6069</v>
      </c>
      <c r="C1846" s="8" t="s">
        <v>6873</v>
      </c>
      <c r="D1846" s="32" t="s">
        <v>6984</v>
      </c>
      <c r="E1846" s="32" t="s">
        <v>6873</v>
      </c>
      <c r="F1846" s="10">
        <v>2</v>
      </c>
      <c r="G1846" s="8" t="s">
        <v>5642</v>
      </c>
      <c r="H1846" s="10">
        <v>14.95</v>
      </c>
      <c r="I1846" s="10">
        <f t="shared" si="30"/>
        <v>29.9</v>
      </c>
      <c r="J1846" s="10">
        <v>1.23952</v>
      </c>
      <c r="K1846" s="8" t="s">
        <v>5711</v>
      </c>
      <c r="S1846"/>
    </row>
    <row r="1847" spans="1:19" ht="15" x14ac:dyDescent="0.25">
      <c r="A1847" s="8" t="s">
        <v>6071</v>
      </c>
      <c r="B1847" s="8" t="s">
        <v>6069</v>
      </c>
      <c r="C1847" s="8" t="s">
        <v>6874</v>
      </c>
      <c r="D1847" s="32" t="s">
        <v>6984</v>
      </c>
      <c r="E1847" s="32" t="s">
        <v>6874</v>
      </c>
      <c r="F1847" s="10">
        <v>62</v>
      </c>
      <c r="G1847" s="8" t="s">
        <v>5642</v>
      </c>
      <c r="H1847" s="10">
        <v>3.9209677419354838</v>
      </c>
      <c r="I1847" s="10">
        <f t="shared" si="30"/>
        <v>243.1</v>
      </c>
      <c r="J1847" s="10">
        <v>10.148011199999999</v>
      </c>
      <c r="K1847" s="8" t="s">
        <v>5051</v>
      </c>
      <c r="S1847"/>
    </row>
    <row r="1848" spans="1:19" ht="15" x14ac:dyDescent="0.25">
      <c r="A1848" s="8" t="s">
        <v>6071</v>
      </c>
      <c r="B1848" s="8" t="s">
        <v>6069</v>
      </c>
      <c r="C1848" s="8" t="s">
        <v>6875</v>
      </c>
      <c r="D1848" s="32" t="s">
        <v>6984</v>
      </c>
      <c r="E1848" s="32" t="s">
        <v>6875</v>
      </c>
      <c r="F1848" s="10">
        <v>10</v>
      </c>
      <c r="G1848" s="8" t="s">
        <v>5642</v>
      </c>
      <c r="H1848" s="10">
        <v>10.97</v>
      </c>
      <c r="I1848" s="10">
        <f t="shared" si="30"/>
        <v>109.7</v>
      </c>
      <c r="J1848" s="10">
        <v>4.5811440000000001</v>
      </c>
      <c r="K1848" s="8" t="s">
        <v>5051</v>
      </c>
      <c r="S1848"/>
    </row>
    <row r="1849" spans="1:19" ht="15" x14ac:dyDescent="0.25">
      <c r="A1849" s="8" t="s">
        <v>6071</v>
      </c>
      <c r="B1849" s="8" t="s">
        <v>6069</v>
      </c>
      <c r="C1849" s="8" t="s">
        <v>6876</v>
      </c>
      <c r="D1849" s="32" t="s">
        <v>6984</v>
      </c>
      <c r="E1849" s="32" t="s">
        <v>6876</v>
      </c>
      <c r="F1849" s="10">
        <v>50</v>
      </c>
      <c r="G1849" s="8" t="s">
        <v>5642</v>
      </c>
      <c r="H1849" s="10">
        <v>2.8180000000000001</v>
      </c>
      <c r="I1849" s="10">
        <f t="shared" si="30"/>
        <v>140.9</v>
      </c>
      <c r="J1849" s="10">
        <v>5.8826400000000003</v>
      </c>
      <c r="K1849" s="8" t="s">
        <v>5051</v>
      </c>
      <c r="S1849"/>
    </row>
    <row r="1850" spans="1:19" ht="15" x14ac:dyDescent="0.25">
      <c r="A1850" s="8" t="s">
        <v>6071</v>
      </c>
      <c r="B1850" s="8" t="s">
        <v>6069</v>
      </c>
      <c r="C1850" s="8" t="s">
        <v>6877</v>
      </c>
      <c r="D1850" s="32" t="s">
        <v>6984</v>
      </c>
      <c r="E1850" s="32" t="s">
        <v>6877</v>
      </c>
      <c r="F1850" s="10">
        <v>20</v>
      </c>
      <c r="G1850" s="8" t="s">
        <v>5642</v>
      </c>
      <c r="H1850" s="10">
        <v>11.14</v>
      </c>
      <c r="I1850" s="10">
        <f t="shared" si="30"/>
        <v>222.8</v>
      </c>
      <c r="J1850" s="10">
        <v>9.3024959999999997</v>
      </c>
      <c r="K1850" s="8" t="s">
        <v>5051</v>
      </c>
      <c r="S1850"/>
    </row>
    <row r="1851" spans="1:19" ht="15" x14ac:dyDescent="0.25">
      <c r="A1851" s="8" t="s">
        <v>6071</v>
      </c>
      <c r="B1851" s="8" t="s">
        <v>6069</v>
      </c>
      <c r="C1851" s="8" t="s">
        <v>6878</v>
      </c>
      <c r="D1851" s="32" t="s">
        <v>6984</v>
      </c>
      <c r="E1851" s="32" t="s">
        <v>6878</v>
      </c>
      <c r="F1851" s="10">
        <v>25</v>
      </c>
      <c r="G1851" s="8" t="s">
        <v>5642</v>
      </c>
      <c r="H1851" s="10">
        <v>8.5399999999999991</v>
      </c>
      <c r="I1851" s="10">
        <f t="shared" si="30"/>
        <v>213.49999999999997</v>
      </c>
      <c r="J1851" s="10">
        <v>8.9230199999999993</v>
      </c>
      <c r="K1851" s="8" t="s">
        <v>5051</v>
      </c>
      <c r="S1851"/>
    </row>
    <row r="1852" spans="1:19" ht="15" x14ac:dyDescent="0.25">
      <c r="A1852" s="8" t="s">
        <v>6068</v>
      </c>
      <c r="B1852" s="8" t="s">
        <v>6069</v>
      </c>
      <c r="C1852" s="8" t="s">
        <v>6879</v>
      </c>
      <c r="D1852" s="32" t="s">
        <v>6984</v>
      </c>
      <c r="E1852" s="32" t="s">
        <v>6879</v>
      </c>
      <c r="F1852" s="10">
        <v>1</v>
      </c>
      <c r="G1852" s="8" t="s">
        <v>5642</v>
      </c>
      <c r="H1852" s="10">
        <v>2.8</v>
      </c>
      <c r="I1852" s="10">
        <f t="shared" si="30"/>
        <v>2.8</v>
      </c>
      <c r="J1852" s="10">
        <v>0.11673840000000001</v>
      </c>
      <c r="K1852" s="8" t="s">
        <v>5051</v>
      </c>
      <c r="S1852"/>
    </row>
    <row r="1853" spans="1:19" ht="15" x14ac:dyDescent="0.25">
      <c r="A1853" s="8" t="s">
        <v>6068</v>
      </c>
      <c r="B1853" s="8" t="s">
        <v>6069</v>
      </c>
      <c r="C1853" s="8" t="s">
        <v>6880</v>
      </c>
      <c r="D1853" s="32" t="s">
        <v>6984</v>
      </c>
      <c r="E1853" s="32" t="s">
        <v>6880</v>
      </c>
      <c r="F1853" s="10">
        <v>12</v>
      </c>
      <c r="G1853" s="8" t="s">
        <v>5642</v>
      </c>
      <c r="H1853" s="10">
        <v>11.683333333333332</v>
      </c>
      <c r="I1853" s="10">
        <f t="shared" si="30"/>
        <v>140.19999999999999</v>
      </c>
      <c r="J1853" s="10">
        <v>5.8521599999999996</v>
      </c>
      <c r="K1853" s="8" t="s">
        <v>5051</v>
      </c>
      <c r="S1853"/>
    </row>
    <row r="1854" spans="1:19" ht="15" x14ac:dyDescent="0.25">
      <c r="A1854" s="8" t="s">
        <v>6068</v>
      </c>
      <c r="B1854" s="8" t="s">
        <v>6069</v>
      </c>
      <c r="C1854" s="8" t="s">
        <v>6881</v>
      </c>
      <c r="D1854" s="32" t="s">
        <v>6984</v>
      </c>
      <c r="E1854" s="32" t="s">
        <v>6881</v>
      </c>
      <c r="F1854" s="10">
        <v>10</v>
      </c>
      <c r="G1854" s="8" t="s">
        <v>5642</v>
      </c>
      <c r="H1854" s="10">
        <v>8.5599999999999987</v>
      </c>
      <c r="I1854" s="10">
        <f t="shared" si="30"/>
        <v>85.6</v>
      </c>
      <c r="J1854" s="10">
        <v>3.5722559999999999</v>
      </c>
      <c r="K1854" s="8" t="s">
        <v>5051</v>
      </c>
      <c r="S1854"/>
    </row>
    <row r="1855" spans="1:19" ht="15" x14ac:dyDescent="0.25">
      <c r="A1855" s="8" t="s">
        <v>6068</v>
      </c>
      <c r="B1855" s="8" t="s">
        <v>6069</v>
      </c>
      <c r="C1855" s="8" t="s">
        <v>6882</v>
      </c>
      <c r="D1855" s="32" t="s">
        <v>6984</v>
      </c>
      <c r="E1855" s="32" t="s">
        <v>6882</v>
      </c>
      <c r="F1855" s="10">
        <v>19</v>
      </c>
      <c r="G1855" s="8" t="s">
        <v>5642</v>
      </c>
      <c r="H1855" s="10">
        <v>3.0157894736842104</v>
      </c>
      <c r="I1855" s="10">
        <f t="shared" si="30"/>
        <v>57.3</v>
      </c>
      <c r="J1855" s="10">
        <v>2.3917655999999998</v>
      </c>
      <c r="K1855" s="8" t="s">
        <v>5051</v>
      </c>
      <c r="S1855"/>
    </row>
    <row r="1856" spans="1:19" ht="15" x14ac:dyDescent="0.25">
      <c r="A1856" s="8" t="s">
        <v>6071</v>
      </c>
      <c r="B1856" s="8" t="s">
        <v>6069</v>
      </c>
      <c r="C1856" s="8" t="s">
        <v>6883</v>
      </c>
      <c r="D1856" s="32" t="s">
        <v>6984</v>
      </c>
      <c r="E1856" s="32" t="s">
        <v>6883</v>
      </c>
      <c r="F1856" s="10">
        <v>1</v>
      </c>
      <c r="G1856" s="8" t="s">
        <v>5642</v>
      </c>
      <c r="H1856" s="10">
        <v>3.9</v>
      </c>
      <c r="I1856" s="10">
        <f t="shared" si="30"/>
        <v>3.9</v>
      </c>
      <c r="J1856" s="10">
        <v>0.16367760000000001</v>
      </c>
      <c r="K1856" s="8" t="s">
        <v>5051</v>
      </c>
      <c r="S1856"/>
    </row>
    <row r="1857" spans="1:19" ht="15" x14ac:dyDescent="0.25">
      <c r="A1857" s="8" t="s">
        <v>6071</v>
      </c>
      <c r="B1857" s="8" t="s">
        <v>6069</v>
      </c>
      <c r="C1857" s="8" t="s">
        <v>6884</v>
      </c>
      <c r="D1857" s="32" t="s">
        <v>6984</v>
      </c>
      <c r="E1857" s="32" t="s">
        <v>6884</v>
      </c>
      <c r="F1857" s="10">
        <v>5</v>
      </c>
      <c r="G1857" s="8" t="s">
        <v>5642</v>
      </c>
      <c r="H1857" s="10">
        <v>4.9000000000000004</v>
      </c>
      <c r="I1857" s="10">
        <f t="shared" si="30"/>
        <v>24.5</v>
      </c>
      <c r="J1857" s="10">
        <v>1.3858239999999999</v>
      </c>
      <c r="K1857" s="8" t="s">
        <v>5248</v>
      </c>
      <c r="S1857"/>
    </row>
    <row r="1858" spans="1:19" ht="15" x14ac:dyDescent="0.25">
      <c r="A1858" s="8" t="s">
        <v>6071</v>
      </c>
      <c r="B1858" s="8" t="s">
        <v>6069</v>
      </c>
      <c r="C1858" s="8" t="s">
        <v>6885</v>
      </c>
      <c r="D1858" s="32" t="s">
        <v>6984</v>
      </c>
      <c r="E1858" s="32" t="s">
        <v>6885</v>
      </c>
      <c r="F1858" s="10">
        <v>20</v>
      </c>
      <c r="G1858" s="8" t="s">
        <v>5642</v>
      </c>
      <c r="H1858" s="10">
        <v>4.7249999999999996</v>
      </c>
      <c r="I1858" s="10">
        <f t="shared" si="30"/>
        <v>94.5</v>
      </c>
      <c r="J1858" s="10">
        <v>5.3441599999999996</v>
      </c>
      <c r="K1858" s="8" t="s">
        <v>5248</v>
      </c>
      <c r="S1858"/>
    </row>
    <row r="1859" spans="1:19" ht="15" x14ac:dyDescent="0.25">
      <c r="A1859" s="8" t="s">
        <v>6068</v>
      </c>
      <c r="B1859" s="8" t="s">
        <v>6069</v>
      </c>
      <c r="C1859" s="8" t="s">
        <v>6886</v>
      </c>
      <c r="D1859" s="32" t="s">
        <v>6984</v>
      </c>
      <c r="E1859" s="32" t="s">
        <v>6886</v>
      </c>
      <c r="F1859" s="10">
        <v>4</v>
      </c>
      <c r="G1859" s="8" t="s">
        <v>5642</v>
      </c>
      <c r="H1859" s="10">
        <v>4.95</v>
      </c>
      <c r="I1859" s="10">
        <f t="shared" si="30"/>
        <v>19.8</v>
      </c>
      <c r="J1859" s="10">
        <v>1.1167872000000001</v>
      </c>
      <c r="K1859" s="8" t="s">
        <v>5248</v>
      </c>
      <c r="S1859"/>
    </row>
    <row r="1860" spans="1:19" ht="15" x14ac:dyDescent="0.25">
      <c r="A1860" s="8" t="s">
        <v>6068</v>
      </c>
      <c r="B1860" s="8" t="s">
        <v>6069</v>
      </c>
      <c r="C1860" s="8" t="s">
        <v>6887</v>
      </c>
      <c r="D1860" s="32" t="s">
        <v>6984</v>
      </c>
      <c r="E1860" s="32" t="s">
        <v>6887</v>
      </c>
      <c r="F1860" s="10">
        <v>5</v>
      </c>
      <c r="G1860" s="8" t="s">
        <v>5642</v>
      </c>
      <c r="H1860" s="10">
        <v>4.76</v>
      </c>
      <c r="I1860" s="10">
        <f t="shared" si="30"/>
        <v>23.799999999999997</v>
      </c>
      <c r="J1860" s="10">
        <v>1.344168</v>
      </c>
      <c r="K1860" s="8" t="s">
        <v>5248</v>
      </c>
      <c r="S1860"/>
    </row>
    <row r="1861" spans="1:19" ht="15" x14ac:dyDescent="0.25">
      <c r="A1861" s="8" t="s">
        <v>6071</v>
      </c>
      <c r="B1861" s="8" t="s">
        <v>6069</v>
      </c>
      <c r="C1861" s="8" t="s">
        <v>6888</v>
      </c>
      <c r="D1861" s="32" t="s">
        <v>6984</v>
      </c>
      <c r="E1861" s="32" t="s">
        <v>6888</v>
      </c>
      <c r="F1861" s="10">
        <v>3</v>
      </c>
      <c r="G1861" s="8" t="s">
        <v>5642</v>
      </c>
      <c r="H1861" s="10">
        <v>5.0666666666666664</v>
      </c>
      <c r="I1861" s="10">
        <f t="shared" ref="I1861:I1924" si="31">F1861*H1861</f>
        <v>15.2</v>
      </c>
      <c r="J1861" s="10">
        <v>0.8577072</v>
      </c>
      <c r="K1861" s="8" t="s">
        <v>5248</v>
      </c>
      <c r="S1861"/>
    </row>
    <row r="1862" spans="1:19" ht="15" x14ac:dyDescent="0.25">
      <c r="A1862" s="8" t="s">
        <v>6071</v>
      </c>
      <c r="B1862" s="8" t="s">
        <v>6069</v>
      </c>
      <c r="C1862" s="8" t="s">
        <v>6889</v>
      </c>
      <c r="D1862" s="32" t="s">
        <v>6984</v>
      </c>
      <c r="E1862" s="32" t="s">
        <v>6889</v>
      </c>
      <c r="F1862" s="10">
        <v>1</v>
      </c>
      <c r="G1862" s="8" t="s">
        <v>5642</v>
      </c>
      <c r="H1862" s="10">
        <v>5.6</v>
      </c>
      <c r="I1862" s="10">
        <f t="shared" si="31"/>
        <v>5.6</v>
      </c>
      <c r="J1862" s="10">
        <v>0.2340864</v>
      </c>
      <c r="K1862" s="8" t="s">
        <v>5051</v>
      </c>
      <c r="S1862"/>
    </row>
    <row r="1863" spans="1:19" ht="15" x14ac:dyDescent="0.25">
      <c r="A1863" s="8" t="s">
        <v>6071</v>
      </c>
      <c r="B1863" s="8" t="s">
        <v>6069</v>
      </c>
      <c r="C1863" s="8" t="s">
        <v>6890</v>
      </c>
      <c r="D1863" s="32" t="s">
        <v>6984</v>
      </c>
      <c r="E1863" s="32" t="s">
        <v>6890</v>
      </c>
      <c r="F1863" s="10">
        <v>1</v>
      </c>
      <c r="G1863" s="8" t="s">
        <v>5642</v>
      </c>
      <c r="H1863" s="10">
        <v>6.1</v>
      </c>
      <c r="I1863" s="10">
        <f t="shared" si="31"/>
        <v>6.1</v>
      </c>
      <c r="J1863" s="10">
        <v>0.25267919999999999</v>
      </c>
      <c r="K1863" s="8" t="s">
        <v>5051</v>
      </c>
      <c r="S1863"/>
    </row>
    <row r="1864" spans="1:19" ht="15" x14ac:dyDescent="0.25">
      <c r="A1864" s="8" t="s">
        <v>6071</v>
      </c>
      <c r="B1864" s="8" t="s">
        <v>6069</v>
      </c>
      <c r="C1864" s="8" t="s">
        <v>6891</v>
      </c>
      <c r="D1864" s="32" t="s">
        <v>6984</v>
      </c>
      <c r="E1864" s="32" t="s">
        <v>6891</v>
      </c>
      <c r="F1864" s="10">
        <v>1</v>
      </c>
      <c r="G1864" s="8" t="s">
        <v>5642</v>
      </c>
      <c r="H1864" s="10">
        <v>4.3</v>
      </c>
      <c r="I1864" s="10">
        <f t="shared" si="31"/>
        <v>4.3</v>
      </c>
      <c r="J1864" s="10">
        <v>0.17891760000000001</v>
      </c>
      <c r="K1864" s="8" t="s">
        <v>5051</v>
      </c>
      <c r="S1864"/>
    </row>
    <row r="1865" spans="1:19" ht="15" x14ac:dyDescent="0.25">
      <c r="A1865" s="8" t="s">
        <v>6071</v>
      </c>
      <c r="B1865" s="8" t="s">
        <v>6069</v>
      </c>
      <c r="C1865" s="8" t="s">
        <v>6892</v>
      </c>
      <c r="D1865" s="32" t="s">
        <v>6984</v>
      </c>
      <c r="E1865" s="32" t="s">
        <v>6892</v>
      </c>
      <c r="F1865" s="10">
        <v>2</v>
      </c>
      <c r="G1865" s="8" t="s">
        <v>5642</v>
      </c>
      <c r="H1865" s="10">
        <v>6.4</v>
      </c>
      <c r="I1865" s="10">
        <f t="shared" si="31"/>
        <v>12.8</v>
      </c>
      <c r="J1865" s="10">
        <v>0.71079360000000003</v>
      </c>
      <c r="K1865" s="8" t="s">
        <v>5255</v>
      </c>
      <c r="S1865"/>
    </row>
    <row r="1866" spans="1:19" ht="15" x14ac:dyDescent="0.25">
      <c r="A1866" s="8" t="s">
        <v>6071</v>
      </c>
      <c r="B1866" s="8" t="s">
        <v>6069</v>
      </c>
      <c r="C1866" s="8" t="s">
        <v>6893</v>
      </c>
      <c r="D1866" s="32" t="s">
        <v>6984</v>
      </c>
      <c r="E1866" s="32" t="s">
        <v>6893</v>
      </c>
      <c r="F1866" s="10">
        <v>4</v>
      </c>
      <c r="G1866" s="8" t="s">
        <v>5642</v>
      </c>
      <c r="H1866" s="10">
        <v>6.6749999999999998</v>
      </c>
      <c r="I1866" s="10">
        <f t="shared" si="31"/>
        <v>26.7</v>
      </c>
      <c r="J1866" s="10">
        <v>1.4801088</v>
      </c>
      <c r="K1866" s="8" t="s">
        <v>5255</v>
      </c>
      <c r="S1866"/>
    </row>
    <row r="1867" spans="1:19" ht="15" x14ac:dyDescent="0.25">
      <c r="A1867" s="8" t="s">
        <v>6071</v>
      </c>
      <c r="B1867" s="8" t="s">
        <v>6069</v>
      </c>
      <c r="C1867" s="8" t="s">
        <v>6894</v>
      </c>
      <c r="D1867" s="32" t="s">
        <v>6984</v>
      </c>
      <c r="E1867" s="32" t="s">
        <v>6894</v>
      </c>
      <c r="F1867" s="10">
        <v>1</v>
      </c>
      <c r="G1867" s="8" t="s">
        <v>5642</v>
      </c>
      <c r="H1867" s="10">
        <v>6.3</v>
      </c>
      <c r="I1867" s="10">
        <f t="shared" si="31"/>
        <v>6.3</v>
      </c>
      <c r="J1867" s="10">
        <v>0.34960560000000002</v>
      </c>
      <c r="K1867" s="8" t="s">
        <v>5255</v>
      </c>
      <c r="S1867"/>
    </row>
    <row r="1868" spans="1:19" ht="15" x14ac:dyDescent="0.25">
      <c r="A1868" s="8" t="s">
        <v>6071</v>
      </c>
      <c r="B1868" s="8" t="s">
        <v>6069</v>
      </c>
      <c r="C1868" s="8" t="s">
        <v>6895</v>
      </c>
      <c r="D1868" s="32" t="s">
        <v>6984</v>
      </c>
      <c r="E1868" s="32" t="s">
        <v>6895</v>
      </c>
      <c r="F1868" s="10">
        <v>1</v>
      </c>
      <c r="G1868" s="8" t="s">
        <v>5642</v>
      </c>
      <c r="H1868" s="10">
        <v>6.3</v>
      </c>
      <c r="I1868" s="10">
        <f t="shared" si="31"/>
        <v>6.3</v>
      </c>
      <c r="J1868" s="10">
        <v>0.35052</v>
      </c>
      <c r="K1868" s="8" t="s">
        <v>5255</v>
      </c>
      <c r="S1868"/>
    </row>
    <row r="1869" spans="1:19" ht="15" x14ac:dyDescent="0.25">
      <c r="A1869" s="8" t="s">
        <v>6068</v>
      </c>
      <c r="B1869" s="8" t="s">
        <v>6069</v>
      </c>
      <c r="C1869" s="8" t="s">
        <v>6896</v>
      </c>
      <c r="D1869" s="32" t="s">
        <v>6984</v>
      </c>
      <c r="E1869" s="32" t="s">
        <v>6896</v>
      </c>
      <c r="F1869" s="10">
        <v>1</v>
      </c>
      <c r="G1869" s="8" t="s">
        <v>5642</v>
      </c>
      <c r="H1869" s="10">
        <v>6.6</v>
      </c>
      <c r="I1869" s="10">
        <f t="shared" si="31"/>
        <v>6.6</v>
      </c>
      <c r="J1869" s="10">
        <v>0.36545519999999998</v>
      </c>
      <c r="K1869" s="8" t="s">
        <v>5255</v>
      </c>
      <c r="S1869"/>
    </row>
    <row r="1870" spans="1:19" ht="15" x14ac:dyDescent="0.25">
      <c r="A1870" s="8" t="s">
        <v>6068</v>
      </c>
      <c r="B1870" s="8" t="s">
        <v>6069</v>
      </c>
      <c r="C1870" s="8" t="s">
        <v>6897</v>
      </c>
      <c r="D1870" s="32" t="s">
        <v>6984</v>
      </c>
      <c r="E1870" s="32" t="s">
        <v>6897</v>
      </c>
      <c r="F1870" s="10">
        <v>3</v>
      </c>
      <c r="G1870" s="8" t="s">
        <v>5642</v>
      </c>
      <c r="H1870" s="10">
        <v>6.7666666666666666</v>
      </c>
      <c r="I1870" s="10">
        <f t="shared" si="31"/>
        <v>20.3</v>
      </c>
      <c r="J1870" s="10">
        <v>1.1274552</v>
      </c>
      <c r="K1870" s="8" t="s">
        <v>5255</v>
      </c>
      <c r="S1870"/>
    </row>
    <row r="1871" spans="1:19" ht="15" x14ac:dyDescent="0.25">
      <c r="A1871" s="8" t="s">
        <v>6068</v>
      </c>
      <c r="B1871" s="8" t="s">
        <v>6069</v>
      </c>
      <c r="C1871" s="8" t="s">
        <v>6898</v>
      </c>
      <c r="D1871" s="32" t="s">
        <v>6984</v>
      </c>
      <c r="E1871" s="32" t="s">
        <v>6898</v>
      </c>
      <c r="F1871" s="10">
        <v>1</v>
      </c>
      <c r="G1871" s="8" t="s">
        <v>5642</v>
      </c>
      <c r="H1871" s="10">
        <v>6.8</v>
      </c>
      <c r="I1871" s="10">
        <f t="shared" si="31"/>
        <v>6.8</v>
      </c>
      <c r="J1871" s="10">
        <v>0.37490400000000002</v>
      </c>
      <c r="K1871" s="8" t="s">
        <v>5255</v>
      </c>
      <c r="S1871"/>
    </row>
    <row r="1872" spans="1:19" ht="15" x14ac:dyDescent="0.25">
      <c r="A1872" s="8" t="s">
        <v>6071</v>
      </c>
      <c r="B1872" s="8" t="s">
        <v>6069</v>
      </c>
      <c r="C1872" s="8" t="s">
        <v>6899</v>
      </c>
      <c r="D1872" s="32" t="s">
        <v>6984</v>
      </c>
      <c r="E1872" s="32" t="s">
        <v>6899</v>
      </c>
      <c r="F1872" s="10">
        <v>5</v>
      </c>
      <c r="G1872" s="8" t="s">
        <v>5642</v>
      </c>
      <c r="H1872" s="10">
        <v>6.56</v>
      </c>
      <c r="I1872" s="10">
        <f t="shared" si="31"/>
        <v>32.799999999999997</v>
      </c>
      <c r="J1872" s="10">
        <v>1.82118</v>
      </c>
      <c r="K1872" s="8" t="s">
        <v>5255</v>
      </c>
      <c r="S1872"/>
    </row>
    <row r="1873" spans="1:19" ht="15" x14ac:dyDescent="0.25">
      <c r="A1873" s="8" t="s">
        <v>6068</v>
      </c>
      <c r="B1873" s="8" t="s">
        <v>6069</v>
      </c>
      <c r="C1873" s="8" t="s">
        <v>6900</v>
      </c>
      <c r="D1873" s="32" t="s">
        <v>6984</v>
      </c>
      <c r="E1873" s="32" t="s">
        <v>6900</v>
      </c>
      <c r="F1873" s="10">
        <v>1</v>
      </c>
      <c r="G1873" s="8" t="s">
        <v>5642</v>
      </c>
      <c r="H1873" s="10">
        <v>6.3</v>
      </c>
      <c r="I1873" s="10">
        <f t="shared" si="31"/>
        <v>6.3</v>
      </c>
      <c r="J1873" s="10">
        <v>0.3502152</v>
      </c>
      <c r="K1873" s="8" t="s">
        <v>5255</v>
      </c>
      <c r="S1873"/>
    </row>
    <row r="1874" spans="1:19" ht="15" x14ac:dyDescent="0.25">
      <c r="A1874" s="8" t="s">
        <v>6068</v>
      </c>
      <c r="B1874" s="8" t="s">
        <v>6069</v>
      </c>
      <c r="C1874" s="8" t="s">
        <v>6901</v>
      </c>
      <c r="D1874" s="32" t="s">
        <v>6984</v>
      </c>
      <c r="E1874" s="32" t="s">
        <v>6901</v>
      </c>
      <c r="F1874" s="10">
        <v>2</v>
      </c>
      <c r="G1874" s="8" t="s">
        <v>5642</v>
      </c>
      <c r="H1874" s="10">
        <v>6.55</v>
      </c>
      <c r="I1874" s="10">
        <f t="shared" si="31"/>
        <v>13.1</v>
      </c>
      <c r="J1874" s="10">
        <v>0.72603359999999995</v>
      </c>
      <c r="K1874" s="8" t="s">
        <v>5255</v>
      </c>
      <c r="S1874"/>
    </row>
    <row r="1875" spans="1:19" ht="15" x14ac:dyDescent="0.25">
      <c r="A1875" s="8" t="s">
        <v>6068</v>
      </c>
      <c r="B1875" s="8" t="s">
        <v>6069</v>
      </c>
      <c r="C1875" s="8" t="s">
        <v>6902</v>
      </c>
      <c r="D1875" s="32" t="s">
        <v>6984</v>
      </c>
      <c r="E1875" s="32" t="s">
        <v>6902</v>
      </c>
      <c r="F1875" s="10">
        <v>1</v>
      </c>
      <c r="G1875" s="8" t="s">
        <v>5642</v>
      </c>
      <c r="H1875" s="10">
        <v>6.3</v>
      </c>
      <c r="I1875" s="10">
        <f t="shared" si="31"/>
        <v>6.3</v>
      </c>
      <c r="J1875" s="10">
        <v>0.34930080000000002</v>
      </c>
      <c r="K1875" s="8" t="s">
        <v>5255</v>
      </c>
      <c r="S1875"/>
    </row>
    <row r="1876" spans="1:19" ht="15" x14ac:dyDescent="0.25">
      <c r="A1876" s="8" t="s">
        <v>6068</v>
      </c>
      <c r="B1876" s="8" t="s">
        <v>6069</v>
      </c>
      <c r="C1876" s="8" t="s">
        <v>6903</v>
      </c>
      <c r="D1876" s="32" t="s">
        <v>6984</v>
      </c>
      <c r="E1876" s="32" t="s">
        <v>6903</v>
      </c>
      <c r="F1876" s="10">
        <v>2</v>
      </c>
      <c r="G1876" s="8" t="s">
        <v>5642</v>
      </c>
      <c r="H1876" s="10">
        <v>6.55</v>
      </c>
      <c r="I1876" s="10">
        <f t="shared" si="31"/>
        <v>13.1</v>
      </c>
      <c r="J1876" s="10">
        <v>0.72786240000000002</v>
      </c>
      <c r="K1876" s="8" t="s">
        <v>5255</v>
      </c>
      <c r="S1876"/>
    </row>
    <row r="1877" spans="1:19" ht="15" x14ac:dyDescent="0.25">
      <c r="A1877" s="8" t="s">
        <v>6068</v>
      </c>
      <c r="B1877" s="8" t="s">
        <v>6069</v>
      </c>
      <c r="C1877" s="8" t="s">
        <v>6904</v>
      </c>
      <c r="D1877" s="32" t="s">
        <v>6984</v>
      </c>
      <c r="E1877" s="32" t="s">
        <v>6904</v>
      </c>
      <c r="F1877" s="10">
        <v>1</v>
      </c>
      <c r="G1877" s="8" t="s">
        <v>5642</v>
      </c>
      <c r="H1877" s="10">
        <v>65</v>
      </c>
      <c r="I1877" s="10">
        <f t="shared" si="31"/>
        <v>65</v>
      </c>
      <c r="J1877" s="10">
        <v>2.6911808000000002</v>
      </c>
      <c r="K1877" s="8" t="s">
        <v>5711</v>
      </c>
      <c r="S1877"/>
    </row>
    <row r="1878" spans="1:19" ht="15" x14ac:dyDescent="0.25">
      <c r="A1878" s="8" t="s">
        <v>6068</v>
      </c>
      <c r="B1878" s="8" t="s">
        <v>6069</v>
      </c>
      <c r="C1878" s="8" t="s">
        <v>6905</v>
      </c>
      <c r="D1878" s="32" t="s">
        <v>6984</v>
      </c>
      <c r="E1878" s="32" t="s">
        <v>6905</v>
      </c>
      <c r="F1878" s="10">
        <v>1</v>
      </c>
      <c r="G1878" s="8" t="s">
        <v>5642</v>
      </c>
      <c r="H1878" s="10">
        <v>65.5</v>
      </c>
      <c r="I1878" s="10">
        <f t="shared" si="31"/>
        <v>65.5</v>
      </c>
      <c r="J1878" s="10">
        <v>2.7123135999999999</v>
      </c>
      <c r="K1878" s="8" t="s">
        <v>5711</v>
      </c>
      <c r="S1878"/>
    </row>
    <row r="1879" spans="1:19" ht="15" x14ac:dyDescent="0.25">
      <c r="A1879" s="8" t="s">
        <v>6068</v>
      </c>
      <c r="B1879" s="8" t="s">
        <v>6069</v>
      </c>
      <c r="C1879" s="8" t="s">
        <v>6906</v>
      </c>
      <c r="D1879" s="32" t="s">
        <v>6984</v>
      </c>
      <c r="E1879" s="32" t="s">
        <v>6906</v>
      </c>
      <c r="F1879" s="10">
        <v>6</v>
      </c>
      <c r="G1879" s="8" t="s">
        <v>22</v>
      </c>
      <c r="H1879" s="10">
        <v>0.48333333333333334</v>
      </c>
      <c r="I1879" s="10">
        <f t="shared" si="31"/>
        <v>2.9</v>
      </c>
      <c r="J1879" s="10">
        <v>0.102816</v>
      </c>
      <c r="K1879" s="8" t="s">
        <v>5513</v>
      </c>
      <c r="S1879"/>
    </row>
    <row r="1880" spans="1:19" ht="15" x14ac:dyDescent="0.25">
      <c r="A1880" s="8" t="s">
        <v>6071</v>
      </c>
      <c r="B1880" s="8" t="s">
        <v>6069</v>
      </c>
      <c r="C1880" s="8" t="s">
        <v>6907</v>
      </c>
      <c r="D1880" s="32" t="s">
        <v>6984</v>
      </c>
      <c r="E1880" s="32" t="s">
        <v>6907</v>
      </c>
      <c r="F1880" s="10">
        <v>18</v>
      </c>
      <c r="G1880" s="8" t="s">
        <v>22</v>
      </c>
      <c r="H1880" s="10">
        <v>0.42777777777777781</v>
      </c>
      <c r="I1880" s="10">
        <f t="shared" si="31"/>
        <v>7.7000000000000011</v>
      </c>
      <c r="J1880" s="10">
        <v>0.27216000000000001</v>
      </c>
      <c r="K1880" s="8" t="s">
        <v>5513</v>
      </c>
      <c r="S1880"/>
    </row>
    <row r="1881" spans="1:19" ht="15" x14ac:dyDescent="0.25">
      <c r="A1881" s="8" t="s">
        <v>6071</v>
      </c>
      <c r="B1881" s="8" t="s">
        <v>6069</v>
      </c>
      <c r="C1881" s="8" t="s">
        <v>6908</v>
      </c>
      <c r="D1881" s="32" t="s">
        <v>6984</v>
      </c>
      <c r="E1881" s="32" t="s">
        <v>6908</v>
      </c>
      <c r="F1881" s="10">
        <v>2</v>
      </c>
      <c r="G1881" s="8" t="s">
        <v>22</v>
      </c>
      <c r="H1881" s="10">
        <v>9.9499999999999993</v>
      </c>
      <c r="I1881" s="10">
        <f t="shared" si="31"/>
        <v>19.899999999999999</v>
      </c>
      <c r="J1881" s="10">
        <v>0.41635299999999997</v>
      </c>
      <c r="K1881" s="8" t="s">
        <v>4795</v>
      </c>
      <c r="S1881"/>
    </row>
    <row r="1882" spans="1:19" ht="15" x14ac:dyDescent="0.25">
      <c r="A1882" s="8" t="s">
        <v>6071</v>
      </c>
      <c r="B1882" s="8" t="s">
        <v>6069</v>
      </c>
      <c r="C1882" s="8" t="s">
        <v>6909</v>
      </c>
      <c r="D1882" s="32" t="s">
        <v>6984</v>
      </c>
      <c r="E1882" s="32" t="s">
        <v>6909</v>
      </c>
      <c r="F1882" s="10">
        <v>4</v>
      </c>
      <c r="G1882" s="8" t="s">
        <v>22</v>
      </c>
      <c r="H1882" s="10">
        <v>4.55</v>
      </c>
      <c r="I1882" s="10">
        <f t="shared" si="31"/>
        <v>18.2</v>
      </c>
      <c r="J1882" s="10">
        <v>0.38066559999999999</v>
      </c>
      <c r="K1882" s="8" t="s">
        <v>4795</v>
      </c>
      <c r="S1882"/>
    </row>
    <row r="1883" spans="1:19" ht="15" x14ac:dyDescent="0.25">
      <c r="A1883" s="8" t="s">
        <v>6068</v>
      </c>
      <c r="B1883" s="8" t="s">
        <v>6069</v>
      </c>
      <c r="C1883" s="8" t="s">
        <v>6910</v>
      </c>
      <c r="D1883" s="32" t="s">
        <v>6984</v>
      </c>
      <c r="E1883" s="32" t="s">
        <v>6910</v>
      </c>
      <c r="F1883" s="10">
        <v>2</v>
      </c>
      <c r="G1883" s="8" t="s">
        <v>22</v>
      </c>
      <c r="H1883" s="10">
        <v>1.4</v>
      </c>
      <c r="I1883" s="10">
        <f t="shared" si="31"/>
        <v>2.8</v>
      </c>
      <c r="J1883" s="10">
        <v>5.9068799999999998E-2</v>
      </c>
      <c r="K1883" s="8" t="s">
        <v>4795</v>
      </c>
      <c r="S1883"/>
    </row>
    <row r="1884" spans="1:19" ht="15" x14ac:dyDescent="0.25">
      <c r="A1884" s="8" t="s">
        <v>6071</v>
      </c>
      <c r="B1884" s="8" t="s">
        <v>6069</v>
      </c>
      <c r="C1884" s="8" t="s">
        <v>6911</v>
      </c>
      <c r="D1884" s="32" t="s">
        <v>6984</v>
      </c>
      <c r="E1884" s="32" t="s">
        <v>6911</v>
      </c>
      <c r="F1884" s="10">
        <v>32</v>
      </c>
      <c r="G1884" s="8" t="s">
        <v>22</v>
      </c>
      <c r="H1884" s="10">
        <v>6.75</v>
      </c>
      <c r="I1884" s="10">
        <f t="shared" si="31"/>
        <v>216</v>
      </c>
      <c r="J1884" s="10">
        <v>4.5154816000000002</v>
      </c>
      <c r="K1884" s="8" t="s">
        <v>4795</v>
      </c>
      <c r="S1884"/>
    </row>
    <row r="1885" spans="1:19" ht="15" x14ac:dyDescent="0.25">
      <c r="A1885" s="8" t="s">
        <v>6071</v>
      </c>
      <c r="B1885" s="8" t="s">
        <v>6069</v>
      </c>
      <c r="C1885" s="8" t="s">
        <v>6912</v>
      </c>
      <c r="D1885" s="32" t="s">
        <v>6984</v>
      </c>
      <c r="E1885" s="32" t="s">
        <v>6912</v>
      </c>
      <c r="F1885" s="10">
        <v>16</v>
      </c>
      <c r="G1885" s="8" t="s">
        <v>22</v>
      </c>
      <c r="H1885" s="10">
        <v>14.768750000000001</v>
      </c>
      <c r="I1885" s="10">
        <f t="shared" si="31"/>
        <v>236.3</v>
      </c>
      <c r="J1885" s="10">
        <v>4.9388079999999999</v>
      </c>
      <c r="K1885" s="8" t="s">
        <v>4795</v>
      </c>
      <c r="S1885"/>
    </row>
    <row r="1886" spans="1:19" ht="15" x14ac:dyDescent="0.25">
      <c r="A1886" s="8" t="s">
        <v>6071</v>
      </c>
      <c r="B1886" s="8" t="s">
        <v>6069</v>
      </c>
      <c r="C1886" s="8" t="s">
        <v>6913</v>
      </c>
      <c r="D1886" s="32" t="s">
        <v>6984</v>
      </c>
      <c r="E1886" s="32" t="s">
        <v>6913</v>
      </c>
      <c r="F1886" s="10">
        <v>1</v>
      </c>
      <c r="G1886" s="8" t="s">
        <v>22</v>
      </c>
      <c r="H1886" s="10">
        <v>10.3</v>
      </c>
      <c r="I1886" s="10">
        <f t="shared" si="31"/>
        <v>10.3</v>
      </c>
      <c r="J1886" s="10">
        <v>0.21428700328</v>
      </c>
      <c r="K1886" s="8" t="s">
        <v>4795</v>
      </c>
      <c r="S1886"/>
    </row>
    <row r="1887" spans="1:19" ht="15" x14ac:dyDescent="0.25">
      <c r="A1887" s="8" t="s">
        <v>6071</v>
      </c>
      <c r="B1887" s="8" t="s">
        <v>6069</v>
      </c>
      <c r="C1887" s="8" t="s">
        <v>6914</v>
      </c>
      <c r="D1887" s="32" t="s">
        <v>6984</v>
      </c>
      <c r="E1887" s="32" t="s">
        <v>6914</v>
      </c>
      <c r="F1887" s="10">
        <v>32</v>
      </c>
      <c r="G1887" s="8" t="s">
        <v>22</v>
      </c>
      <c r="H1887" s="10">
        <v>4.015625</v>
      </c>
      <c r="I1887" s="10">
        <f t="shared" si="31"/>
        <v>128.5</v>
      </c>
      <c r="J1887" s="10">
        <v>5.2617599999999998</v>
      </c>
      <c r="K1887" s="8" t="s">
        <v>4798</v>
      </c>
      <c r="S1887"/>
    </row>
    <row r="1888" spans="1:19" ht="15" x14ac:dyDescent="0.25">
      <c r="A1888" s="8" t="s">
        <v>6071</v>
      </c>
      <c r="B1888" s="8" t="s">
        <v>6069</v>
      </c>
      <c r="C1888" s="8" t="s">
        <v>6915</v>
      </c>
      <c r="D1888" s="32" t="s">
        <v>6984</v>
      </c>
      <c r="E1888" s="32" t="s">
        <v>6915</v>
      </c>
      <c r="F1888" s="10">
        <v>358</v>
      </c>
      <c r="G1888" s="8" t="s">
        <v>22</v>
      </c>
      <c r="H1888" s="10">
        <v>1.0013966480446927</v>
      </c>
      <c r="I1888" s="10">
        <f t="shared" si="31"/>
        <v>358.5</v>
      </c>
      <c r="J1888" s="10">
        <v>15.36894</v>
      </c>
      <c r="K1888" s="8" t="s">
        <v>6916</v>
      </c>
      <c r="S1888"/>
    </row>
    <row r="1889" spans="1:19" ht="15" x14ac:dyDescent="0.25">
      <c r="A1889" s="8" t="s">
        <v>6071</v>
      </c>
      <c r="B1889" s="8" t="s">
        <v>6069</v>
      </c>
      <c r="C1889" s="8" t="s">
        <v>6917</v>
      </c>
      <c r="D1889" s="32" t="s">
        <v>6984</v>
      </c>
      <c r="E1889" s="32" t="s">
        <v>6917</v>
      </c>
      <c r="F1889" s="10">
        <v>58</v>
      </c>
      <c r="G1889" s="8" t="s">
        <v>22</v>
      </c>
      <c r="H1889" s="10">
        <v>2.7689655172413792</v>
      </c>
      <c r="I1889" s="10">
        <f t="shared" si="31"/>
        <v>160.6</v>
      </c>
      <c r="J1889" s="10">
        <v>6.5772000000000004</v>
      </c>
      <c r="K1889" s="8" t="s">
        <v>4798</v>
      </c>
      <c r="S1889"/>
    </row>
    <row r="1890" spans="1:19" ht="15" x14ac:dyDescent="0.25">
      <c r="A1890" s="8" t="s">
        <v>6071</v>
      </c>
      <c r="B1890" s="8" t="s">
        <v>6069</v>
      </c>
      <c r="C1890" s="8" t="s">
        <v>6918</v>
      </c>
      <c r="D1890" s="32" t="s">
        <v>6984</v>
      </c>
      <c r="E1890" s="32" t="s">
        <v>6918</v>
      </c>
      <c r="F1890" s="10">
        <v>28</v>
      </c>
      <c r="G1890" s="8" t="s">
        <v>22</v>
      </c>
      <c r="H1890" s="10">
        <v>4.5678571428571431</v>
      </c>
      <c r="I1890" s="10">
        <f t="shared" si="31"/>
        <v>127.9</v>
      </c>
      <c r="J1890" s="10">
        <v>5.2390800000000004</v>
      </c>
      <c r="K1890" s="8" t="s">
        <v>4798</v>
      </c>
      <c r="S1890"/>
    </row>
    <row r="1891" spans="1:19" ht="15" x14ac:dyDescent="0.25">
      <c r="A1891" s="8" t="s">
        <v>6071</v>
      </c>
      <c r="B1891" s="8" t="s">
        <v>6069</v>
      </c>
      <c r="C1891" s="8" t="s">
        <v>6919</v>
      </c>
      <c r="D1891" s="32" t="s">
        <v>6984</v>
      </c>
      <c r="E1891" s="32" t="s">
        <v>6919</v>
      </c>
      <c r="F1891" s="10">
        <v>32</v>
      </c>
      <c r="G1891" s="8" t="s">
        <v>22</v>
      </c>
      <c r="H1891" s="10">
        <v>2.4468749999999999</v>
      </c>
      <c r="I1891" s="10">
        <f t="shared" si="31"/>
        <v>78.3</v>
      </c>
      <c r="J1891" s="10">
        <v>3.3580800000000002</v>
      </c>
      <c r="K1891" s="8" t="s">
        <v>6916</v>
      </c>
      <c r="S1891"/>
    </row>
    <row r="1892" spans="1:19" ht="15" x14ac:dyDescent="0.25">
      <c r="A1892" s="8" t="s">
        <v>6071</v>
      </c>
      <c r="B1892" s="8" t="s">
        <v>6069</v>
      </c>
      <c r="C1892" s="8" t="s">
        <v>6920</v>
      </c>
      <c r="D1892" s="32" t="s">
        <v>6984</v>
      </c>
      <c r="E1892" s="32" t="s">
        <v>6920</v>
      </c>
      <c r="F1892" s="10">
        <v>8</v>
      </c>
      <c r="G1892" s="8" t="s">
        <v>22</v>
      </c>
      <c r="H1892" s="10">
        <v>1.6</v>
      </c>
      <c r="I1892" s="10">
        <f t="shared" si="31"/>
        <v>12.8</v>
      </c>
      <c r="J1892" s="10">
        <v>0.52488000000000001</v>
      </c>
      <c r="K1892" s="8" t="s">
        <v>4798</v>
      </c>
      <c r="S1892"/>
    </row>
    <row r="1893" spans="1:19" ht="15" x14ac:dyDescent="0.25">
      <c r="A1893" s="8" t="s">
        <v>6071</v>
      </c>
      <c r="B1893" s="8" t="s">
        <v>6069</v>
      </c>
      <c r="C1893" s="8" t="s">
        <v>6921</v>
      </c>
      <c r="D1893" s="32" t="s">
        <v>6984</v>
      </c>
      <c r="E1893" s="32" t="s">
        <v>6921</v>
      </c>
      <c r="F1893" s="10">
        <v>80</v>
      </c>
      <c r="G1893" s="8" t="s">
        <v>22</v>
      </c>
      <c r="H1893" s="10">
        <v>2.0074999999999998</v>
      </c>
      <c r="I1893" s="10">
        <f t="shared" si="31"/>
        <v>160.6</v>
      </c>
      <c r="J1893" s="10">
        <v>6.5772000000000004</v>
      </c>
      <c r="K1893" s="8" t="s">
        <v>4798</v>
      </c>
      <c r="S1893"/>
    </row>
    <row r="1894" spans="1:19" ht="15" x14ac:dyDescent="0.25">
      <c r="A1894" s="8" t="s">
        <v>6071</v>
      </c>
      <c r="B1894" s="8" t="s">
        <v>6069</v>
      </c>
      <c r="C1894" s="8" t="s">
        <v>6922</v>
      </c>
      <c r="D1894" s="32" t="s">
        <v>6984</v>
      </c>
      <c r="E1894" s="32" t="s">
        <v>6922</v>
      </c>
      <c r="F1894" s="10">
        <v>40</v>
      </c>
      <c r="G1894" s="8" t="s">
        <v>22</v>
      </c>
      <c r="H1894" s="10">
        <v>1.9649999999999999</v>
      </c>
      <c r="I1894" s="10">
        <f t="shared" si="31"/>
        <v>78.599999999999994</v>
      </c>
      <c r="J1894" s="10">
        <v>3.3708</v>
      </c>
      <c r="K1894" s="8" t="s">
        <v>6916</v>
      </c>
      <c r="S1894"/>
    </row>
    <row r="1895" spans="1:19" ht="15" x14ac:dyDescent="0.25">
      <c r="A1895" s="8" t="s">
        <v>6071</v>
      </c>
      <c r="B1895" s="8" t="s">
        <v>6069</v>
      </c>
      <c r="C1895" s="8" t="s">
        <v>6923</v>
      </c>
      <c r="D1895" s="32" t="s">
        <v>6984</v>
      </c>
      <c r="E1895" s="32" t="s">
        <v>6923</v>
      </c>
      <c r="F1895" s="10">
        <v>2</v>
      </c>
      <c r="G1895" s="8" t="s">
        <v>22</v>
      </c>
      <c r="H1895" s="10">
        <v>1.35</v>
      </c>
      <c r="I1895" s="10">
        <f t="shared" si="31"/>
        <v>2.7</v>
      </c>
      <c r="J1895" s="10">
        <v>0.112246155</v>
      </c>
      <c r="K1895" s="8" t="s">
        <v>4798</v>
      </c>
      <c r="S1895"/>
    </row>
    <row r="1896" spans="1:19" ht="15" x14ac:dyDescent="0.25">
      <c r="A1896" s="8" t="s">
        <v>6071</v>
      </c>
      <c r="B1896" s="8" t="s">
        <v>6069</v>
      </c>
      <c r="C1896" s="8" t="s">
        <v>6924</v>
      </c>
      <c r="D1896" s="32" t="s">
        <v>6984</v>
      </c>
      <c r="E1896" s="32" t="s">
        <v>6924</v>
      </c>
      <c r="F1896" s="10">
        <v>48</v>
      </c>
      <c r="G1896" s="8" t="s">
        <v>22</v>
      </c>
      <c r="H1896" s="10">
        <v>1.4833333333333334</v>
      </c>
      <c r="I1896" s="10">
        <f t="shared" si="31"/>
        <v>71.2</v>
      </c>
      <c r="J1896" s="10">
        <v>3.0528</v>
      </c>
      <c r="K1896" s="8" t="s">
        <v>6916</v>
      </c>
      <c r="S1896"/>
    </row>
    <row r="1897" spans="1:19" ht="15" x14ac:dyDescent="0.25">
      <c r="A1897" s="8" t="s">
        <v>6071</v>
      </c>
      <c r="B1897" s="8" t="s">
        <v>6069</v>
      </c>
      <c r="C1897" s="8" t="s">
        <v>6925</v>
      </c>
      <c r="D1897" s="32" t="s">
        <v>6984</v>
      </c>
      <c r="E1897" s="32" t="s">
        <v>6925</v>
      </c>
      <c r="F1897" s="10">
        <v>4</v>
      </c>
      <c r="G1897" s="8" t="s">
        <v>22</v>
      </c>
      <c r="H1897" s="10">
        <v>1.4750000000000001</v>
      </c>
      <c r="I1897" s="10">
        <f t="shared" si="31"/>
        <v>5.9</v>
      </c>
      <c r="J1897" s="10">
        <v>0.25440000000000002</v>
      </c>
      <c r="K1897" s="8" t="s">
        <v>6916</v>
      </c>
      <c r="S1897"/>
    </row>
    <row r="1898" spans="1:19" ht="15" x14ac:dyDescent="0.25">
      <c r="A1898" s="8" t="s">
        <v>6071</v>
      </c>
      <c r="B1898" s="8" t="s">
        <v>6069</v>
      </c>
      <c r="C1898" s="8" t="s">
        <v>6926</v>
      </c>
      <c r="D1898" s="32" t="s">
        <v>6984</v>
      </c>
      <c r="E1898" s="32" t="s">
        <v>6926</v>
      </c>
      <c r="F1898" s="10">
        <v>32</v>
      </c>
      <c r="G1898" s="8" t="s">
        <v>22</v>
      </c>
      <c r="H1898" s="10">
        <v>4.5906250000000002</v>
      </c>
      <c r="I1898" s="10">
        <f t="shared" si="31"/>
        <v>146.9</v>
      </c>
      <c r="J1898" s="10">
        <v>4.7532544000000003</v>
      </c>
      <c r="K1898" s="8" t="s">
        <v>23</v>
      </c>
      <c r="S1898"/>
    </row>
    <row r="1899" spans="1:19" ht="15" x14ac:dyDescent="0.25">
      <c r="A1899" s="8" t="s">
        <v>6071</v>
      </c>
      <c r="B1899" s="8" t="s">
        <v>6069</v>
      </c>
      <c r="C1899" s="8" t="s">
        <v>6927</v>
      </c>
      <c r="D1899" s="32" t="s">
        <v>6984</v>
      </c>
      <c r="E1899" s="32" t="s">
        <v>6927</v>
      </c>
      <c r="F1899" s="10">
        <v>4</v>
      </c>
      <c r="G1899" s="8" t="s">
        <v>22</v>
      </c>
      <c r="H1899" s="10">
        <v>1.05</v>
      </c>
      <c r="I1899" s="10">
        <f t="shared" si="31"/>
        <v>4.2</v>
      </c>
      <c r="J1899" s="10">
        <v>0.13655039999999999</v>
      </c>
      <c r="K1899" s="8" t="s">
        <v>23</v>
      </c>
      <c r="S1899"/>
    </row>
    <row r="1900" spans="1:19" ht="15" x14ac:dyDescent="0.25">
      <c r="A1900" s="8" t="s">
        <v>6071</v>
      </c>
      <c r="B1900" s="8" t="s">
        <v>6069</v>
      </c>
      <c r="C1900" s="8" t="s">
        <v>6928</v>
      </c>
      <c r="D1900" s="32" t="s">
        <v>6984</v>
      </c>
      <c r="E1900" s="32" t="s">
        <v>6928</v>
      </c>
      <c r="F1900" s="10">
        <v>16</v>
      </c>
      <c r="G1900" s="8" t="s">
        <v>22</v>
      </c>
      <c r="H1900" s="10">
        <v>1.28125</v>
      </c>
      <c r="I1900" s="10">
        <f t="shared" si="31"/>
        <v>20.5</v>
      </c>
      <c r="J1900" s="10">
        <v>0.66324479999999997</v>
      </c>
      <c r="K1900" s="8" t="s">
        <v>23</v>
      </c>
      <c r="S1900"/>
    </row>
    <row r="1901" spans="1:19" ht="15" x14ac:dyDescent="0.25">
      <c r="A1901" s="8" t="s">
        <v>6071</v>
      </c>
      <c r="B1901" s="8" t="s">
        <v>6069</v>
      </c>
      <c r="C1901" s="8" t="s">
        <v>6929</v>
      </c>
      <c r="D1901" s="32" t="s">
        <v>6984</v>
      </c>
      <c r="E1901" s="32" t="s">
        <v>6929</v>
      </c>
      <c r="F1901" s="10">
        <v>2</v>
      </c>
      <c r="G1901" s="8" t="s">
        <v>4903</v>
      </c>
      <c r="H1901" s="10">
        <v>137.65</v>
      </c>
      <c r="I1901" s="10">
        <f t="shared" si="31"/>
        <v>275.3</v>
      </c>
      <c r="J1901" s="10">
        <v>9.0879232000000005</v>
      </c>
      <c r="K1901" s="8" t="s">
        <v>4904</v>
      </c>
      <c r="S1901"/>
    </row>
    <row r="1902" spans="1:19" ht="15" x14ac:dyDescent="0.25">
      <c r="A1902" s="8" t="s">
        <v>6071</v>
      </c>
      <c r="B1902" s="8" t="s">
        <v>6069</v>
      </c>
      <c r="C1902" s="8" t="s">
        <v>6930</v>
      </c>
      <c r="D1902" s="32" t="s">
        <v>6984</v>
      </c>
      <c r="E1902" s="32" t="s">
        <v>6930</v>
      </c>
      <c r="F1902" s="10">
        <v>2</v>
      </c>
      <c r="G1902" s="8" t="s">
        <v>4903</v>
      </c>
      <c r="H1902" s="10">
        <v>137.65</v>
      </c>
      <c r="I1902" s="10">
        <f t="shared" si="31"/>
        <v>275.3</v>
      </c>
      <c r="J1902" s="10">
        <v>9.0879232000000005</v>
      </c>
      <c r="K1902" s="8" t="s">
        <v>4904</v>
      </c>
      <c r="S1902"/>
    </row>
    <row r="1903" spans="1:19" ht="15" x14ac:dyDescent="0.25">
      <c r="A1903" s="8" t="s">
        <v>6068</v>
      </c>
      <c r="B1903" s="8" t="s">
        <v>6069</v>
      </c>
      <c r="C1903" s="8" t="s">
        <v>6931</v>
      </c>
      <c r="D1903" s="32" t="s">
        <v>6984</v>
      </c>
      <c r="E1903" s="32" t="s">
        <v>6931</v>
      </c>
      <c r="F1903" s="10">
        <v>1</v>
      </c>
      <c r="G1903" s="8" t="s">
        <v>4903</v>
      </c>
      <c r="H1903" s="10">
        <v>88.3</v>
      </c>
      <c r="I1903" s="10">
        <f t="shared" si="31"/>
        <v>88.3</v>
      </c>
      <c r="J1903" s="10">
        <v>2.9189696000000001</v>
      </c>
      <c r="K1903" s="8" t="s">
        <v>4904</v>
      </c>
      <c r="S1903"/>
    </row>
    <row r="1904" spans="1:19" ht="15" x14ac:dyDescent="0.25">
      <c r="A1904" s="8" t="s">
        <v>6071</v>
      </c>
      <c r="B1904" s="8" t="s">
        <v>6069</v>
      </c>
      <c r="C1904" s="8" t="s">
        <v>6932</v>
      </c>
      <c r="D1904" s="32" t="s">
        <v>6984</v>
      </c>
      <c r="E1904" s="32" t="s">
        <v>6932</v>
      </c>
      <c r="F1904" s="10">
        <v>2</v>
      </c>
      <c r="G1904" s="8" t="s">
        <v>4903</v>
      </c>
      <c r="H1904" s="10">
        <v>88.35</v>
      </c>
      <c r="I1904" s="10">
        <f t="shared" si="31"/>
        <v>176.7</v>
      </c>
      <c r="J1904" s="10">
        <v>5.8379392000000001</v>
      </c>
      <c r="K1904" s="8" t="s">
        <v>4904</v>
      </c>
      <c r="S1904"/>
    </row>
    <row r="1905" spans="1:19" ht="15" x14ac:dyDescent="0.25">
      <c r="A1905" s="8" t="s">
        <v>6071</v>
      </c>
      <c r="B1905" s="8" t="s">
        <v>6069</v>
      </c>
      <c r="C1905" s="8" t="s">
        <v>6933</v>
      </c>
      <c r="D1905" s="32" t="s">
        <v>6984</v>
      </c>
      <c r="E1905" s="32" t="s">
        <v>6933</v>
      </c>
      <c r="F1905" s="10">
        <v>2</v>
      </c>
      <c r="G1905" s="8" t="s">
        <v>4903</v>
      </c>
      <c r="H1905" s="10">
        <v>21.45</v>
      </c>
      <c r="I1905" s="10">
        <f t="shared" si="31"/>
        <v>42.9</v>
      </c>
      <c r="J1905" s="10">
        <v>1.7897856000000001</v>
      </c>
      <c r="K1905" s="8" t="s">
        <v>5051</v>
      </c>
      <c r="S1905"/>
    </row>
    <row r="1906" spans="1:19" ht="15" x14ac:dyDescent="0.25">
      <c r="A1906" s="8" t="s">
        <v>6071</v>
      </c>
      <c r="B1906" s="8" t="s">
        <v>6069</v>
      </c>
      <c r="C1906" s="8" t="s">
        <v>6934</v>
      </c>
      <c r="D1906" s="32" t="s">
        <v>6984</v>
      </c>
      <c r="E1906" s="32" t="s">
        <v>6934</v>
      </c>
      <c r="F1906" s="10">
        <v>2</v>
      </c>
      <c r="G1906" s="8" t="s">
        <v>4903</v>
      </c>
      <c r="H1906" s="10">
        <v>23</v>
      </c>
      <c r="I1906" s="10">
        <f t="shared" si="31"/>
        <v>46</v>
      </c>
      <c r="J1906" s="10">
        <v>1.9196304</v>
      </c>
      <c r="K1906" s="8" t="s">
        <v>5051</v>
      </c>
      <c r="S1906"/>
    </row>
    <row r="1907" spans="1:19" ht="15" x14ac:dyDescent="0.25">
      <c r="A1907" s="8" t="s">
        <v>6071</v>
      </c>
      <c r="B1907" s="8" t="s">
        <v>6069</v>
      </c>
      <c r="C1907" s="8" t="s">
        <v>6935</v>
      </c>
      <c r="D1907" s="32" t="s">
        <v>6984</v>
      </c>
      <c r="E1907" s="32" t="s">
        <v>6935</v>
      </c>
      <c r="F1907" s="10">
        <v>2</v>
      </c>
      <c r="G1907" s="8" t="s">
        <v>4903</v>
      </c>
      <c r="H1907" s="10">
        <v>15.55</v>
      </c>
      <c r="I1907" s="10">
        <f t="shared" si="31"/>
        <v>31.1</v>
      </c>
      <c r="J1907" s="10">
        <v>1.2966192000000001</v>
      </c>
      <c r="K1907" s="8" t="s">
        <v>5051</v>
      </c>
      <c r="S1907"/>
    </row>
    <row r="1908" spans="1:19" ht="15" x14ac:dyDescent="0.25">
      <c r="A1908" s="8" t="s">
        <v>6071</v>
      </c>
      <c r="B1908" s="8" t="s">
        <v>6069</v>
      </c>
      <c r="C1908" s="8" t="s">
        <v>6936</v>
      </c>
      <c r="D1908" s="32" t="s">
        <v>6984</v>
      </c>
      <c r="E1908" s="32" t="s">
        <v>6936</v>
      </c>
      <c r="F1908" s="10">
        <v>2</v>
      </c>
      <c r="G1908" s="8" t="s">
        <v>4903</v>
      </c>
      <c r="H1908" s="10">
        <v>21.25</v>
      </c>
      <c r="I1908" s="10">
        <f t="shared" si="31"/>
        <v>42.5</v>
      </c>
      <c r="J1908" s="10">
        <v>1.7727168</v>
      </c>
      <c r="K1908" s="8" t="s">
        <v>5051</v>
      </c>
      <c r="S1908"/>
    </row>
    <row r="1909" spans="1:19" ht="15" x14ac:dyDescent="0.25">
      <c r="A1909" s="8" t="s">
        <v>6071</v>
      </c>
      <c r="B1909" s="8" t="s">
        <v>6069</v>
      </c>
      <c r="C1909" s="8" t="s">
        <v>6937</v>
      </c>
      <c r="D1909" s="32" t="s">
        <v>6984</v>
      </c>
      <c r="E1909" s="32" t="s">
        <v>6937</v>
      </c>
      <c r="F1909" s="10">
        <v>2</v>
      </c>
      <c r="G1909" s="8" t="s">
        <v>4903</v>
      </c>
      <c r="H1909" s="10">
        <v>23</v>
      </c>
      <c r="I1909" s="10">
        <f t="shared" si="31"/>
        <v>46</v>
      </c>
      <c r="J1909" s="10">
        <v>1.9196304</v>
      </c>
      <c r="K1909" s="8" t="s">
        <v>5051</v>
      </c>
      <c r="S1909"/>
    </row>
    <row r="1910" spans="1:19" ht="15" x14ac:dyDescent="0.25">
      <c r="A1910" s="8" t="s">
        <v>6071</v>
      </c>
      <c r="B1910" s="8" t="s">
        <v>6069</v>
      </c>
      <c r="C1910" s="8" t="s">
        <v>6938</v>
      </c>
      <c r="D1910" s="32" t="s">
        <v>6984</v>
      </c>
      <c r="E1910" s="32" t="s">
        <v>6938</v>
      </c>
      <c r="F1910" s="10">
        <v>2</v>
      </c>
      <c r="G1910" s="8" t="s">
        <v>4903</v>
      </c>
      <c r="H1910" s="10">
        <v>7.7</v>
      </c>
      <c r="I1910" s="10">
        <f t="shared" si="31"/>
        <v>15.4</v>
      </c>
      <c r="J1910" s="10">
        <v>0.64434720000000001</v>
      </c>
      <c r="K1910" s="8" t="s">
        <v>5051</v>
      </c>
      <c r="S1910"/>
    </row>
    <row r="1911" spans="1:19" ht="15" x14ac:dyDescent="0.25">
      <c r="A1911" s="8" t="s">
        <v>6071</v>
      </c>
      <c r="B1911" s="8" t="s">
        <v>6069</v>
      </c>
      <c r="C1911" s="8" t="s">
        <v>6939</v>
      </c>
      <c r="D1911" s="32" t="s">
        <v>6984</v>
      </c>
      <c r="E1911" s="32" t="s">
        <v>6939</v>
      </c>
      <c r="F1911" s="10">
        <v>2</v>
      </c>
      <c r="G1911" s="8" t="s">
        <v>4903</v>
      </c>
      <c r="H1911" s="10">
        <v>10.9</v>
      </c>
      <c r="I1911" s="10">
        <f t="shared" si="31"/>
        <v>21.8</v>
      </c>
      <c r="J1911" s="10">
        <v>0.91135200000000005</v>
      </c>
      <c r="K1911" s="8" t="s">
        <v>5051</v>
      </c>
      <c r="S1911"/>
    </row>
    <row r="1912" spans="1:19" ht="15" x14ac:dyDescent="0.25">
      <c r="A1912" s="8" t="s">
        <v>6071</v>
      </c>
      <c r="B1912" s="8" t="s">
        <v>6069</v>
      </c>
      <c r="C1912" s="8" t="s">
        <v>6940</v>
      </c>
      <c r="D1912" s="32" t="s">
        <v>6984</v>
      </c>
      <c r="E1912" s="32" t="s">
        <v>6940</v>
      </c>
      <c r="F1912" s="10">
        <v>1</v>
      </c>
      <c r="G1912" s="8" t="s">
        <v>4903</v>
      </c>
      <c r="H1912" s="10">
        <v>88.6</v>
      </c>
      <c r="I1912" s="10">
        <f t="shared" si="31"/>
        <v>88.6</v>
      </c>
      <c r="J1912" s="10">
        <v>2.9270976000000002</v>
      </c>
      <c r="K1912" s="8" t="s">
        <v>4904</v>
      </c>
      <c r="S1912"/>
    </row>
    <row r="1913" spans="1:19" ht="15" x14ac:dyDescent="0.25">
      <c r="A1913" s="8" t="s">
        <v>6068</v>
      </c>
      <c r="B1913" s="8" t="s">
        <v>6069</v>
      </c>
      <c r="C1913" s="8" t="s">
        <v>6941</v>
      </c>
      <c r="D1913" s="32" t="s">
        <v>6984</v>
      </c>
      <c r="E1913" s="32" t="s">
        <v>6941</v>
      </c>
      <c r="F1913" s="10">
        <v>2</v>
      </c>
      <c r="G1913" s="8" t="s">
        <v>4903</v>
      </c>
      <c r="H1913" s="10">
        <v>11.95</v>
      </c>
      <c r="I1913" s="10">
        <f t="shared" si="31"/>
        <v>23.9</v>
      </c>
      <c r="J1913" s="10">
        <v>0.98917759999999999</v>
      </c>
      <c r="K1913" s="8" t="s">
        <v>5711</v>
      </c>
      <c r="S1913"/>
    </row>
    <row r="1914" spans="1:19" ht="15" x14ac:dyDescent="0.25">
      <c r="A1914" s="8" t="s">
        <v>6068</v>
      </c>
      <c r="B1914" s="8" t="s">
        <v>6069</v>
      </c>
      <c r="C1914" s="8" t="s">
        <v>6942</v>
      </c>
      <c r="D1914" s="32" t="s">
        <v>6984</v>
      </c>
      <c r="E1914" s="32" t="s">
        <v>6942</v>
      </c>
      <c r="F1914" s="10">
        <v>2</v>
      </c>
      <c r="G1914" s="8" t="s">
        <v>4903</v>
      </c>
      <c r="H1914" s="10">
        <v>17.3</v>
      </c>
      <c r="I1914" s="10">
        <f t="shared" si="31"/>
        <v>34.6</v>
      </c>
      <c r="J1914" s="10">
        <v>1.4313408000000001</v>
      </c>
      <c r="K1914" s="8" t="s">
        <v>5711</v>
      </c>
      <c r="S1914"/>
    </row>
    <row r="1915" spans="1:19" ht="15" x14ac:dyDescent="0.25">
      <c r="A1915" s="8" t="s">
        <v>6068</v>
      </c>
      <c r="B1915" s="8" t="s">
        <v>6069</v>
      </c>
      <c r="C1915" s="8" t="s">
        <v>6943</v>
      </c>
      <c r="D1915" s="32" t="s">
        <v>6984</v>
      </c>
      <c r="E1915" s="32" t="s">
        <v>6943</v>
      </c>
      <c r="F1915" s="10">
        <v>1</v>
      </c>
      <c r="G1915" s="8" t="s">
        <v>4903</v>
      </c>
      <c r="H1915" s="10">
        <v>31.1</v>
      </c>
      <c r="I1915" s="10">
        <f t="shared" si="31"/>
        <v>31.1</v>
      </c>
      <c r="J1915" s="10">
        <v>1.2870687999999999</v>
      </c>
      <c r="K1915" s="8" t="s">
        <v>5711</v>
      </c>
      <c r="S1915"/>
    </row>
    <row r="1916" spans="1:19" ht="15" x14ac:dyDescent="0.25">
      <c r="A1916" s="8" t="s">
        <v>6068</v>
      </c>
      <c r="B1916" s="8" t="s">
        <v>6069</v>
      </c>
      <c r="C1916" s="8" t="s">
        <v>6944</v>
      </c>
      <c r="D1916" s="32" t="s">
        <v>6984</v>
      </c>
      <c r="E1916" s="32" t="s">
        <v>6944</v>
      </c>
      <c r="F1916" s="10">
        <v>1</v>
      </c>
      <c r="G1916" s="8" t="s">
        <v>4903</v>
      </c>
      <c r="H1916" s="10">
        <v>31.1</v>
      </c>
      <c r="I1916" s="10">
        <f t="shared" si="31"/>
        <v>31.1</v>
      </c>
      <c r="J1916" s="10">
        <v>1.2870687999999999</v>
      </c>
      <c r="K1916" s="8" t="s">
        <v>5711</v>
      </c>
      <c r="S1916"/>
    </row>
    <row r="1917" spans="1:19" ht="15" x14ac:dyDescent="0.25">
      <c r="A1917" s="8" t="s">
        <v>6068</v>
      </c>
      <c r="B1917" s="8" t="s">
        <v>6069</v>
      </c>
      <c r="C1917" s="8" t="s">
        <v>6945</v>
      </c>
      <c r="D1917" s="32" t="s">
        <v>6984</v>
      </c>
      <c r="E1917" s="32" t="s">
        <v>6945</v>
      </c>
      <c r="F1917" s="10">
        <v>1</v>
      </c>
      <c r="G1917" s="8" t="s">
        <v>5642</v>
      </c>
      <c r="H1917" s="10">
        <v>65.400000000000006</v>
      </c>
      <c r="I1917" s="10">
        <f t="shared" si="31"/>
        <v>65.400000000000006</v>
      </c>
      <c r="J1917" s="10">
        <v>2.7082495999999998</v>
      </c>
      <c r="K1917" s="8" t="s">
        <v>5711</v>
      </c>
      <c r="S1917"/>
    </row>
    <row r="1918" spans="1:19" ht="15" x14ac:dyDescent="0.25">
      <c r="A1918" s="8" t="s">
        <v>6068</v>
      </c>
      <c r="B1918" s="8" t="s">
        <v>6069</v>
      </c>
      <c r="C1918" s="8" t="s">
        <v>6946</v>
      </c>
      <c r="D1918" s="32" t="s">
        <v>6984</v>
      </c>
      <c r="E1918" s="32" t="s">
        <v>6946</v>
      </c>
      <c r="F1918" s="10">
        <v>1</v>
      </c>
      <c r="G1918" s="8" t="s">
        <v>5642</v>
      </c>
      <c r="H1918" s="10">
        <v>65.400000000000006</v>
      </c>
      <c r="I1918" s="10">
        <f t="shared" si="31"/>
        <v>65.400000000000006</v>
      </c>
      <c r="J1918" s="10">
        <v>2.7082495999999998</v>
      </c>
      <c r="K1918" s="8" t="s">
        <v>5711</v>
      </c>
      <c r="S1918"/>
    </row>
    <row r="1919" spans="1:19" ht="15" x14ac:dyDescent="0.25">
      <c r="A1919" s="8" t="s">
        <v>6071</v>
      </c>
      <c r="B1919" s="8" t="s">
        <v>6069</v>
      </c>
      <c r="C1919" s="8" t="s">
        <v>6947</v>
      </c>
      <c r="D1919" s="32" t="s">
        <v>6984</v>
      </c>
      <c r="E1919" s="32" t="s">
        <v>6947</v>
      </c>
      <c r="F1919" s="10">
        <v>1</v>
      </c>
      <c r="G1919" s="8" t="s">
        <v>5642</v>
      </c>
      <c r="H1919" s="10">
        <v>6.5</v>
      </c>
      <c r="I1919" s="10">
        <f t="shared" si="31"/>
        <v>6.5</v>
      </c>
      <c r="J1919" s="10">
        <v>0.27035759999999998</v>
      </c>
      <c r="K1919" s="8" t="s">
        <v>5051</v>
      </c>
      <c r="S1919"/>
    </row>
    <row r="1920" spans="1:19" ht="15" x14ac:dyDescent="0.25">
      <c r="A1920" s="8" t="s">
        <v>6071</v>
      </c>
      <c r="B1920" s="8" t="s">
        <v>6069</v>
      </c>
      <c r="C1920" s="8" t="s">
        <v>6948</v>
      </c>
      <c r="D1920" s="32" t="s">
        <v>6984</v>
      </c>
      <c r="E1920" s="32" t="s">
        <v>6948</v>
      </c>
      <c r="F1920" s="10">
        <v>1</v>
      </c>
      <c r="G1920" s="8" t="s">
        <v>5642</v>
      </c>
      <c r="H1920" s="10">
        <v>6.1</v>
      </c>
      <c r="I1920" s="10">
        <f t="shared" si="31"/>
        <v>6.1</v>
      </c>
      <c r="J1920" s="10">
        <v>0.25633679999999998</v>
      </c>
      <c r="K1920" s="8" t="s">
        <v>5051</v>
      </c>
      <c r="S1920"/>
    </row>
    <row r="1921" spans="1:19" ht="15" x14ac:dyDescent="0.25">
      <c r="A1921" s="8" t="s">
        <v>6071</v>
      </c>
      <c r="B1921" s="8" t="s">
        <v>6069</v>
      </c>
      <c r="C1921" s="8" t="s">
        <v>6949</v>
      </c>
      <c r="D1921" s="32" t="s">
        <v>6984</v>
      </c>
      <c r="E1921" s="32" t="s">
        <v>6949</v>
      </c>
      <c r="F1921" s="10">
        <v>3</v>
      </c>
      <c r="G1921" s="8" t="s">
        <v>5642</v>
      </c>
      <c r="H1921" s="10">
        <v>6.1333333333333329</v>
      </c>
      <c r="I1921" s="10">
        <f t="shared" si="31"/>
        <v>18.399999999999999</v>
      </c>
      <c r="J1921" s="10">
        <v>0.76718160000000002</v>
      </c>
      <c r="K1921" s="8" t="s">
        <v>5051</v>
      </c>
      <c r="S1921"/>
    </row>
    <row r="1922" spans="1:19" ht="15" x14ac:dyDescent="0.25">
      <c r="A1922" s="8" t="s">
        <v>6071</v>
      </c>
      <c r="B1922" s="8" t="s">
        <v>6069</v>
      </c>
      <c r="C1922" s="8" t="s">
        <v>6950</v>
      </c>
      <c r="D1922" s="32" t="s">
        <v>6984</v>
      </c>
      <c r="E1922" s="32" t="s">
        <v>6950</v>
      </c>
      <c r="F1922" s="10">
        <v>5</v>
      </c>
      <c r="G1922" s="8" t="s">
        <v>5642</v>
      </c>
      <c r="H1922" s="10">
        <v>4.66</v>
      </c>
      <c r="I1922" s="10">
        <f t="shared" si="31"/>
        <v>23.3</v>
      </c>
      <c r="J1922" s="10">
        <v>0.97231199999999995</v>
      </c>
      <c r="K1922" s="8" t="s">
        <v>5051</v>
      </c>
      <c r="S1922"/>
    </row>
    <row r="1923" spans="1:19" ht="15" x14ac:dyDescent="0.25">
      <c r="A1923" s="8" t="s">
        <v>6071</v>
      </c>
      <c r="B1923" s="8" t="s">
        <v>6069</v>
      </c>
      <c r="C1923" s="8" t="s">
        <v>6951</v>
      </c>
      <c r="D1923" s="32" t="s">
        <v>6984</v>
      </c>
      <c r="E1923" s="32" t="s">
        <v>6951</v>
      </c>
      <c r="F1923" s="10">
        <v>4</v>
      </c>
      <c r="G1923" s="8" t="s">
        <v>5642</v>
      </c>
      <c r="H1923" s="10">
        <v>6.625</v>
      </c>
      <c r="I1923" s="10">
        <f t="shared" si="31"/>
        <v>26.5</v>
      </c>
      <c r="J1923" s="10">
        <v>1.1045952000000001</v>
      </c>
      <c r="K1923" s="8" t="s">
        <v>5051</v>
      </c>
      <c r="S1923"/>
    </row>
    <row r="1924" spans="1:19" ht="15" x14ac:dyDescent="0.25">
      <c r="A1924" s="8" t="s">
        <v>6071</v>
      </c>
      <c r="B1924" s="8" t="s">
        <v>6069</v>
      </c>
      <c r="C1924" s="8" t="s">
        <v>6952</v>
      </c>
      <c r="D1924" s="32" t="s">
        <v>6984</v>
      </c>
      <c r="E1924" s="32" t="s">
        <v>6952</v>
      </c>
      <c r="F1924" s="10">
        <v>1</v>
      </c>
      <c r="G1924" s="8" t="s">
        <v>5642</v>
      </c>
      <c r="H1924" s="10">
        <v>7.1</v>
      </c>
      <c r="I1924" s="10">
        <f t="shared" si="31"/>
        <v>7.1</v>
      </c>
      <c r="J1924" s="10">
        <v>0.29748479999999999</v>
      </c>
      <c r="K1924" s="8" t="s">
        <v>5051</v>
      </c>
      <c r="S1924"/>
    </row>
    <row r="1925" spans="1:19" ht="15" x14ac:dyDescent="0.25">
      <c r="A1925" s="8" t="s">
        <v>6071</v>
      </c>
      <c r="B1925" s="8" t="s">
        <v>6069</v>
      </c>
      <c r="C1925" s="8" t="s">
        <v>6953</v>
      </c>
      <c r="D1925" s="32" t="s">
        <v>6984</v>
      </c>
      <c r="E1925" s="32" t="s">
        <v>6953</v>
      </c>
      <c r="F1925" s="10">
        <v>5</v>
      </c>
      <c r="G1925" s="8" t="s">
        <v>5642</v>
      </c>
      <c r="H1925" s="10">
        <v>4.68</v>
      </c>
      <c r="I1925" s="10">
        <f t="shared" ref="I1925:I1945" si="32">F1925*H1925</f>
        <v>23.4</v>
      </c>
      <c r="J1925" s="10">
        <v>0.97840800000000006</v>
      </c>
      <c r="K1925" s="8" t="s">
        <v>5051</v>
      </c>
      <c r="S1925"/>
    </row>
    <row r="1926" spans="1:19" ht="15" x14ac:dyDescent="0.25">
      <c r="A1926" s="8" t="s">
        <v>6071</v>
      </c>
      <c r="B1926" s="8" t="s">
        <v>6069</v>
      </c>
      <c r="C1926" s="8" t="s">
        <v>6954</v>
      </c>
      <c r="D1926" s="32" t="s">
        <v>6984</v>
      </c>
      <c r="E1926" s="32" t="s">
        <v>6954</v>
      </c>
      <c r="F1926" s="10">
        <v>20</v>
      </c>
      <c r="G1926" s="8" t="s">
        <v>22</v>
      </c>
      <c r="H1926" s="10">
        <v>1.27</v>
      </c>
      <c r="I1926" s="10">
        <f t="shared" si="32"/>
        <v>25.4</v>
      </c>
      <c r="J1926" s="10">
        <v>0.86670000000000003</v>
      </c>
      <c r="K1926" s="8" t="s">
        <v>6955</v>
      </c>
      <c r="S1926"/>
    </row>
    <row r="1927" spans="1:19" ht="15" x14ac:dyDescent="0.25">
      <c r="A1927" s="8" t="s">
        <v>6071</v>
      </c>
      <c r="B1927" s="8" t="s">
        <v>6069</v>
      </c>
      <c r="C1927" s="8" t="s">
        <v>6956</v>
      </c>
      <c r="D1927" s="32" t="s">
        <v>6984</v>
      </c>
      <c r="E1927" s="32" t="s">
        <v>6956</v>
      </c>
      <c r="F1927" s="10">
        <v>159</v>
      </c>
      <c r="G1927" s="8" t="s">
        <v>22</v>
      </c>
      <c r="H1927" s="10">
        <v>1.2748427672955973</v>
      </c>
      <c r="I1927" s="10">
        <f t="shared" si="32"/>
        <v>202.69999999999996</v>
      </c>
      <c r="J1927" s="10">
        <v>6.5586864</v>
      </c>
      <c r="K1927" s="8" t="s">
        <v>23</v>
      </c>
      <c r="S1927"/>
    </row>
    <row r="1928" spans="1:19" ht="15" x14ac:dyDescent="0.25">
      <c r="A1928" s="8" t="s">
        <v>6071</v>
      </c>
      <c r="B1928" s="8" t="s">
        <v>6069</v>
      </c>
      <c r="C1928" s="8" t="s">
        <v>6957</v>
      </c>
      <c r="D1928" s="32" t="s">
        <v>6984</v>
      </c>
      <c r="E1928" s="32" t="s">
        <v>6957</v>
      </c>
      <c r="F1928" s="10">
        <v>24</v>
      </c>
      <c r="G1928" s="8" t="s">
        <v>22</v>
      </c>
      <c r="H1928" s="10">
        <v>3.6958333333333333</v>
      </c>
      <c r="I1928" s="10">
        <f t="shared" si="32"/>
        <v>88.7</v>
      </c>
      <c r="J1928" s="10">
        <v>2.87097216</v>
      </c>
      <c r="K1928" s="8" t="s">
        <v>23</v>
      </c>
      <c r="S1928"/>
    </row>
    <row r="1929" spans="1:19" ht="15" x14ac:dyDescent="0.25">
      <c r="A1929" s="8" t="s">
        <v>6071</v>
      </c>
      <c r="B1929" s="8" t="s">
        <v>6069</v>
      </c>
      <c r="C1929" s="8" t="s">
        <v>6958</v>
      </c>
      <c r="D1929" s="32" t="s">
        <v>6984</v>
      </c>
      <c r="E1929" s="32" t="s">
        <v>6958</v>
      </c>
      <c r="F1929" s="10">
        <v>8</v>
      </c>
      <c r="G1929" s="8" t="s">
        <v>22</v>
      </c>
      <c r="H1929" s="10">
        <v>3.25</v>
      </c>
      <c r="I1929" s="10">
        <f t="shared" si="32"/>
        <v>26</v>
      </c>
      <c r="J1929" s="10">
        <v>0.87312000000000001</v>
      </c>
      <c r="K1929" s="8" t="s">
        <v>6959</v>
      </c>
      <c r="S1929"/>
    </row>
    <row r="1930" spans="1:19" ht="15" x14ac:dyDescent="0.25">
      <c r="A1930" s="8" t="s">
        <v>6068</v>
      </c>
      <c r="B1930" s="8" t="s">
        <v>6069</v>
      </c>
      <c r="C1930" s="8" t="s">
        <v>6960</v>
      </c>
      <c r="D1930" s="32" t="s">
        <v>6984</v>
      </c>
      <c r="E1930" s="32" t="s">
        <v>6960</v>
      </c>
      <c r="F1930" s="10">
        <v>1</v>
      </c>
      <c r="G1930" s="8" t="s">
        <v>22</v>
      </c>
      <c r="H1930" s="10">
        <v>4.2</v>
      </c>
      <c r="I1930" s="10">
        <f t="shared" si="32"/>
        <v>4.2</v>
      </c>
      <c r="J1930" s="10">
        <v>0.135233664</v>
      </c>
      <c r="K1930" s="8" t="s">
        <v>23</v>
      </c>
      <c r="S1930"/>
    </row>
    <row r="1931" spans="1:19" ht="15" x14ac:dyDescent="0.25">
      <c r="A1931" s="8" t="s">
        <v>4963</v>
      </c>
      <c r="B1931" s="8" t="s">
        <v>4869</v>
      </c>
      <c r="C1931" s="8" t="s">
        <v>6961</v>
      </c>
      <c r="D1931" s="32" t="s">
        <v>6984</v>
      </c>
      <c r="E1931" s="32" t="s">
        <v>6961</v>
      </c>
      <c r="F1931" s="10">
        <v>4</v>
      </c>
      <c r="G1931" s="8" t="s">
        <v>4901</v>
      </c>
      <c r="H1931" s="10">
        <v>51.24</v>
      </c>
      <c r="I1931" s="10">
        <f t="shared" si="32"/>
        <v>204.96</v>
      </c>
      <c r="J1931" s="10">
        <v>3.6480000000000001</v>
      </c>
      <c r="K1931" s="8" t="s">
        <v>6401</v>
      </c>
      <c r="S1931"/>
    </row>
    <row r="1932" spans="1:19" ht="15" x14ac:dyDescent="0.25">
      <c r="A1932" s="8" t="s">
        <v>6071</v>
      </c>
      <c r="B1932" s="8" t="s">
        <v>6069</v>
      </c>
      <c r="C1932" s="8" t="s">
        <v>6962</v>
      </c>
      <c r="D1932" s="32" t="s">
        <v>6984</v>
      </c>
      <c r="E1932" s="32" t="s">
        <v>6962</v>
      </c>
      <c r="F1932" s="10">
        <v>123</v>
      </c>
      <c r="G1932" s="8" t="s">
        <v>5569</v>
      </c>
      <c r="H1932" s="10">
        <v>13.090243902439024</v>
      </c>
      <c r="I1932" s="10">
        <f t="shared" si="32"/>
        <v>1610.1</v>
      </c>
      <c r="J1932" s="10">
        <v>0</v>
      </c>
      <c r="K1932" s="8" t="s">
        <v>6452</v>
      </c>
      <c r="S1932"/>
    </row>
    <row r="1933" spans="1:19" ht="15" x14ac:dyDescent="0.25">
      <c r="A1933" s="8" t="s">
        <v>6071</v>
      </c>
      <c r="B1933" s="8" t="s">
        <v>6069</v>
      </c>
      <c r="C1933" s="8" t="s">
        <v>6963</v>
      </c>
      <c r="D1933" s="32" t="s">
        <v>6984</v>
      </c>
      <c r="E1933" s="32" t="s">
        <v>6963</v>
      </c>
      <c r="F1933" s="10">
        <v>1</v>
      </c>
      <c r="G1933" s="8" t="s">
        <v>6782</v>
      </c>
      <c r="H1933" s="10">
        <v>1079.9000000000001</v>
      </c>
      <c r="I1933" s="10">
        <f t="shared" si="32"/>
        <v>1079.9000000000001</v>
      </c>
      <c r="J1933" s="10">
        <v>27.309300179699999</v>
      </c>
      <c r="K1933" s="8" t="s">
        <v>6783</v>
      </c>
      <c r="S1933"/>
    </row>
    <row r="1934" spans="1:19" ht="15" x14ac:dyDescent="0.25">
      <c r="A1934" s="8" t="s">
        <v>6071</v>
      </c>
      <c r="B1934" s="8" t="s">
        <v>6069</v>
      </c>
      <c r="C1934" s="8" t="s">
        <v>6964</v>
      </c>
      <c r="D1934" s="32" t="s">
        <v>6984</v>
      </c>
      <c r="E1934" s="32" t="s">
        <v>6964</v>
      </c>
      <c r="F1934" s="10">
        <v>1</v>
      </c>
      <c r="G1934" s="8" t="s">
        <v>6782</v>
      </c>
      <c r="H1934" s="10">
        <v>1021.5</v>
      </c>
      <c r="I1934" s="10">
        <f t="shared" si="32"/>
        <v>1021.5</v>
      </c>
      <c r="J1934" s="10">
        <v>25.767769259240001</v>
      </c>
      <c r="K1934" s="8" t="s">
        <v>6783</v>
      </c>
      <c r="S1934"/>
    </row>
    <row r="1935" spans="1:19" ht="15" x14ac:dyDescent="0.25">
      <c r="A1935" s="8" t="s">
        <v>6071</v>
      </c>
      <c r="B1935" s="8" t="s">
        <v>6069</v>
      </c>
      <c r="C1935" s="8" t="s">
        <v>6965</v>
      </c>
      <c r="D1935" s="32" t="s">
        <v>6984</v>
      </c>
      <c r="E1935" s="32" t="s">
        <v>6965</v>
      </c>
      <c r="F1935" s="10">
        <v>1</v>
      </c>
      <c r="G1935" s="8" t="s">
        <v>6782</v>
      </c>
      <c r="H1935" s="10">
        <v>924.2</v>
      </c>
      <c r="I1935" s="10">
        <f t="shared" si="32"/>
        <v>924.2</v>
      </c>
      <c r="J1935" s="10">
        <v>23.318148646360001</v>
      </c>
      <c r="K1935" s="8" t="s">
        <v>6783</v>
      </c>
      <c r="S1935"/>
    </row>
    <row r="1936" spans="1:19" ht="15" x14ac:dyDescent="0.25">
      <c r="A1936" s="8" t="s">
        <v>6071</v>
      </c>
      <c r="B1936" s="8" t="s">
        <v>6069</v>
      </c>
      <c r="C1936" s="8" t="s">
        <v>6966</v>
      </c>
      <c r="D1936" s="32" t="s">
        <v>6984</v>
      </c>
      <c r="E1936" s="32" t="s">
        <v>6966</v>
      </c>
      <c r="F1936" s="10">
        <v>1</v>
      </c>
      <c r="G1936" s="8" t="s">
        <v>6782</v>
      </c>
      <c r="H1936" s="10">
        <v>928.9</v>
      </c>
      <c r="I1936" s="10">
        <f t="shared" si="32"/>
        <v>928.9</v>
      </c>
      <c r="J1936" s="10">
        <v>23.47350329292</v>
      </c>
      <c r="K1936" s="8" t="s">
        <v>6783</v>
      </c>
      <c r="S1936"/>
    </row>
    <row r="1937" spans="1:19" ht="15" x14ac:dyDescent="0.25">
      <c r="A1937" s="8" t="s">
        <v>6071</v>
      </c>
      <c r="B1937" s="8" t="s">
        <v>6069</v>
      </c>
      <c r="C1937" s="8" t="s">
        <v>6967</v>
      </c>
      <c r="D1937" s="32" t="s">
        <v>6984</v>
      </c>
      <c r="E1937" s="32" t="s">
        <v>6967</v>
      </c>
      <c r="F1937" s="10">
        <v>1</v>
      </c>
      <c r="G1937" s="8" t="s">
        <v>6782</v>
      </c>
      <c r="H1937" s="10">
        <v>924.1</v>
      </c>
      <c r="I1937" s="10">
        <f t="shared" si="32"/>
        <v>924.1</v>
      </c>
      <c r="J1937" s="10">
        <v>23.32053264636</v>
      </c>
      <c r="K1937" s="8" t="s">
        <v>6783</v>
      </c>
      <c r="S1937"/>
    </row>
    <row r="1938" spans="1:19" ht="15" x14ac:dyDescent="0.25">
      <c r="A1938" s="8" t="s">
        <v>6071</v>
      </c>
      <c r="B1938" s="8" t="s">
        <v>6069</v>
      </c>
      <c r="C1938" s="8" t="s">
        <v>6968</v>
      </c>
      <c r="D1938" s="32" t="s">
        <v>6984</v>
      </c>
      <c r="E1938" s="32" t="s">
        <v>6968</v>
      </c>
      <c r="F1938" s="10">
        <v>1</v>
      </c>
      <c r="G1938" s="8" t="s">
        <v>6782</v>
      </c>
      <c r="H1938" s="10">
        <v>924.2</v>
      </c>
      <c r="I1938" s="10">
        <f t="shared" si="32"/>
        <v>924.2</v>
      </c>
      <c r="J1938" s="10">
        <v>23.32053264636</v>
      </c>
      <c r="K1938" s="8" t="s">
        <v>6783</v>
      </c>
      <c r="S1938"/>
    </row>
    <row r="1939" spans="1:19" ht="15" x14ac:dyDescent="0.25">
      <c r="A1939" s="8" t="s">
        <v>6071</v>
      </c>
      <c r="B1939" s="8" t="s">
        <v>6069</v>
      </c>
      <c r="C1939" s="8" t="s">
        <v>6969</v>
      </c>
      <c r="D1939" s="32" t="s">
        <v>6984</v>
      </c>
      <c r="E1939" s="32" t="s">
        <v>6969</v>
      </c>
      <c r="F1939" s="10">
        <v>1</v>
      </c>
      <c r="G1939" s="8" t="s">
        <v>6782</v>
      </c>
      <c r="H1939" s="10">
        <v>982.2</v>
      </c>
      <c r="I1939" s="10">
        <f t="shared" si="32"/>
        <v>982.2</v>
      </c>
      <c r="J1939" s="10">
        <v>24.900208326609999</v>
      </c>
      <c r="K1939" s="8" t="s">
        <v>6783</v>
      </c>
      <c r="S1939"/>
    </row>
    <row r="1940" spans="1:19" ht="15" x14ac:dyDescent="0.25">
      <c r="A1940" s="8" t="s">
        <v>6071</v>
      </c>
      <c r="B1940" s="8" t="s">
        <v>6069</v>
      </c>
      <c r="C1940" s="8" t="s">
        <v>6970</v>
      </c>
      <c r="D1940" s="32" t="s">
        <v>6984</v>
      </c>
      <c r="E1940" s="32" t="s">
        <v>6970</v>
      </c>
      <c r="F1940" s="10">
        <v>1</v>
      </c>
      <c r="G1940" s="8" t="s">
        <v>4934</v>
      </c>
      <c r="H1940" s="10">
        <v>143.9</v>
      </c>
      <c r="I1940" s="10">
        <f t="shared" si="32"/>
        <v>143.9</v>
      </c>
      <c r="J1940" s="10">
        <v>5.4437305057599996</v>
      </c>
      <c r="K1940" s="8" t="s">
        <v>5049</v>
      </c>
      <c r="S1940"/>
    </row>
    <row r="1941" spans="1:19" ht="15" x14ac:dyDescent="0.25">
      <c r="A1941" s="8" t="s">
        <v>6071</v>
      </c>
      <c r="B1941" s="8" t="s">
        <v>6069</v>
      </c>
      <c r="C1941" s="8" t="s">
        <v>6971</v>
      </c>
      <c r="D1941" s="32" t="s">
        <v>6984</v>
      </c>
      <c r="E1941" s="32" t="s">
        <v>6971</v>
      </c>
      <c r="F1941" s="10">
        <v>1</v>
      </c>
      <c r="G1941" s="8" t="s">
        <v>4934</v>
      </c>
      <c r="H1941" s="10">
        <v>144.4</v>
      </c>
      <c r="I1941" s="10">
        <f t="shared" si="32"/>
        <v>144.4</v>
      </c>
      <c r="J1941" s="10">
        <v>5.46367745456</v>
      </c>
      <c r="K1941" s="8" t="s">
        <v>5049</v>
      </c>
      <c r="S1941"/>
    </row>
    <row r="1942" spans="1:19" ht="15" x14ac:dyDescent="0.25">
      <c r="A1942" s="8" t="s">
        <v>6071</v>
      </c>
      <c r="B1942" s="8" t="s">
        <v>6069</v>
      </c>
      <c r="C1942" s="8" t="s">
        <v>6972</v>
      </c>
      <c r="D1942" s="32" t="s">
        <v>6984</v>
      </c>
      <c r="E1942" s="32" t="s">
        <v>6972</v>
      </c>
      <c r="F1942" s="10">
        <v>1</v>
      </c>
      <c r="G1942" s="8" t="s">
        <v>16</v>
      </c>
      <c r="H1942" s="10">
        <v>363.6</v>
      </c>
      <c r="I1942" s="10">
        <f t="shared" si="32"/>
        <v>363.6</v>
      </c>
      <c r="J1942" s="10">
        <v>10.9811626288</v>
      </c>
      <c r="K1942" s="8" t="s">
        <v>4781</v>
      </c>
      <c r="S1942"/>
    </row>
    <row r="1943" spans="1:19" ht="15" x14ac:dyDescent="0.25">
      <c r="A1943" s="8" t="s">
        <v>6071</v>
      </c>
      <c r="B1943" s="8" t="s">
        <v>6069</v>
      </c>
      <c r="C1943" s="8" t="s">
        <v>6973</v>
      </c>
      <c r="D1943" s="32" t="s">
        <v>6984</v>
      </c>
      <c r="E1943" s="32" t="s">
        <v>6973</v>
      </c>
      <c r="F1943" s="10">
        <v>1</v>
      </c>
      <c r="G1943" s="8" t="s">
        <v>16</v>
      </c>
      <c r="H1943" s="10">
        <v>354.5</v>
      </c>
      <c r="I1943" s="10">
        <f t="shared" si="32"/>
        <v>354.5</v>
      </c>
      <c r="J1943" s="10">
        <v>10.914892501120001</v>
      </c>
      <c r="K1943" s="8" t="s">
        <v>4781</v>
      </c>
      <c r="S1943"/>
    </row>
    <row r="1944" spans="1:19" ht="15" x14ac:dyDescent="0.25">
      <c r="A1944" s="8" t="s">
        <v>6068</v>
      </c>
      <c r="B1944" s="8" t="s">
        <v>6069</v>
      </c>
      <c r="C1944" s="8" t="s">
        <v>6974</v>
      </c>
      <c r="D1944" s="32" t="s">
        <v>6984</v>
      </c>
      <c r="E1944" s="32" t="s">
        <v>6974</v>
      </c>
      <c r="F1944" s="10">
        <v>1</v>
      </c>
      <c r="G1944" s="8" t="s">
        <v>6975</v>
      </c>
      <c r="H1944" s="10">
        <v>48.6</v>
      </c>
      <c r="I1944" s="10">
        <f t="shared" si="32"/>
        <v>48.6</v>
      </c>
      <c r="J1944" s="10">
        <v>0.86642683099999995</v>
      </c>
      <c r="K1944" s="8" t="s">
        <v>5488</v>
      </c>
      <c r="S1944"/>
    </row>
    <row r="1945" spans="1:19" ht="15" x14ac:dyDescent="0.25">
      <c r="A1945" s="8" t="s">
        <v>6068</v>
      </c>
      <c r="B1945" s="8" t="s">
        <v>6069</v>
      </c>
      <c r="C1945" s="8" t="s">
        <v>6976</v>
      </c>
      <c r="D1945" s="32" t="s">
        <v>6984</v>
      </c>
      <c r="E1945" s="32" t="s">
        <v>6976</v>
      </c>
      <c r="F1945" s="10">
        <v>1</v>
      </c>
      <c r="G1945" s="8" t="s">
        <v>4934</v>
      </c>
      <c r="H1945" s="10">
        <v>83.3</v>
      </c>
      <c r="I1945" s="10">
        <f t="shared" si="32"/>
        <v>83.3</v>
      </c>
      <c r="J1945" s="10">
        <v>3.0834579155199999</v>
      </c>
      <c r="K1945" s="8" t="s">
        <v>5049</v>
      </c>
      <c r="S1945"/>
    </row>
  </sheetData>
  <autoFilter ref="A3:L1945" xr:uid="{DE4DFB24-FE1C-4AD7-8A36-EA068E76496B}"/>
  <sortState xmlns:xlrd2="http://schemas.microsoft.com/office/spreadsheetml/2017/richdata2" ref="S4:S1945">
    <sortCondition ref="S4"/>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C2E35-227D-4764-B524-1D9A33B40A51}">
  <sheetPr>
    <tabColor rgb="FF04745F"/>
  </sheetPr>
  <dimension ref="A3:B4"/>
  <sheetViews>
    <sheetView workbookViewId="0">
      <selection activeCell="A8" sqref="A4:A26"/>
    </sheetView>
  </sheetViews>
  <sheetFormatPr defaultRowHeight="15" x14ac:dyDescent="0.25"/>
  <cols>
    <col min="1" max="1" width="9" bestFit="1" customWidth="1"/>
    <col min="2" max="3" width="32.28515625" bestFit="1" customWidth="1"/>
  </cols>
  <sheetData>
    <row r="3" spans="1:2" x14ac:dyDescent="0.25">
      <c r="A3" t="s">
        <v>8402</v>
      </c>
      <c r="B3" t="s">
        <v>8403</v>
      </c>
    </row>
    <row r="4" spans="1:2" x14ac:dyDescent="0.25">
      <c r="A4" s="396">
        <v>0</v>
      </c>
      <c r="B4">
        <v>0</v>
      </c>
    </row>
  </sheetData>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3BF32-7CB2-47B5-9BBC-9194567DB3B2}">
  <sheetPr>
    <tabColor rgb="FF04745F"/>
  </sheetPr>
  <dimension ref="A3:D6"/>
  <sheetViews>
    <sheetView workbookViewId="0">
      <selection activeCell="B23" sqref="B23"/>
    </sheetView>
  </sheetViews>
  <sheetFormatPr defaultRowHeight="15" x14ac:dyDescent="0.25"/>
  <cols>
    <col min="1" max="1" width="18" bestFit="1" customWidth="1"/>
    <col min="2" max="2" width="13.85546875" bestFit="1" customWidth="1"/>
    <col min="3" max="3" width="14" bestFit="1" customWidth="1"/>
    <col min="4" max="4" width="17.5703125" bestFit="1" customWidth="1"/>
  </cols>
  <sheetData>
    <row r="3" spans="1:4" x14ac:dyDescent="0.25">
      <c r="A3" s="85" t="s">
        <v>7044</v>
      </c>
      <c r="B3" t="s">
        <v>8412</v>
      </c>
      <c r="C3" t="s">
        <v>8413</v>
      </c>
      <c r="D3" t="s">
        <v>8415</v>
      </c>
    </row>
    <row r="4" spans="1:4" x14ac:dyDescent="0.25">
      <c r="A4" s="86" t="s">
        <v>8236</v>
      </c>
      <c r="B4">
        <v>2135.2680000000028</v>
      </c>
      <c r="C4">
        <v>455.21939999999995</v>
      </c>
      <c r="D4" s="396">
        <v>133</v>
      </c>
    </row>
    <row r="5" spans="1:4" x14ac:dyDescent="0.25">
      <c r="A5" s="86" t="s">
        <v>7045</v>
      </c>
      <c r="D5" s="396"/>
    </row>
    <row r="6" spans="1:4" x14ac:dyDescent="0.25">
      <c r="A6" s="86" t="s">
        <v>7046</v>
      </c>
      <c r="B6">
        <v>2135.2680000000028</v>
      </c>
      <c r="C6">
        <v>455.21939999999995</v>
      </c>
      <c r="D6" s="396">
        <v>133</v>
      </c>
    </row>
  </sheetData>
  <pageMargins left="0.511811024" right="0.511811024" top="0.78740157499999996" bottom="0.78740157499999996" header="0.31496062000000002" footer="0.31496062000000002"/>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DC00F-CF0E-4496-85F6-5B62093DE727}">
  <sheetPr>
    <tabColor rgb="FF04745F"/>
    <pageSetUpPr fitToPage="1"/>
  </sheetPr>
  <dimension ref="A1:AT408"/>
  <sheetViews>
    <sheetView tabSelected="1" topLeftCell="E1" zoomScaleNormal="100" workbookViewId="0">
      <pane ySplit="3" topLeftCell="A4" activePane="bottomLeft" state="frozen"/>
      <selection pane="bottomLeft" activeCell="R2" sqref="R2"/>
    </sheetView>
  </sheetViews>
  <sheetFormatPr defaultColWidth="2.7109375" defaultRowHeight="12" outlineLevelCol="1" x14ac:dyDescent="0.25"/>
  <cols>
    <col min="1" max="1" width="13" style="8" hidden="1" customWidth="1"/>
    <col min="2" max="2" width="17.85546875" style="8" hidden="1" customWidth="1"/>
    <col min="3" max="3" width="22.140625" style="8" customWidth="1"/>
    <col min="4" max="4" width="20.7109375" style="8" customWidth="1" outlineLevel="1" collapsed="1"/>
    <col min="5" max="6" width="10.42578125" style="8" customWidth="1" outlineLevel="1"/>
    <col min="7" max="7" width="20.7109375" style="8" customWidth="1" outlineLevel="1" collapsed="1"/>
    <col min="8" max="8" width="10.42578125" style="8" customWidth="1" outlineLevel="1"/>
    <col min="9" max="9" width="23.28515625" style="8" bestFit="1" customWidth="1" outlineLevel="1"/>
    <col min="10" max="10" width="14.140625" style="8" bestFit="1" customWidth="1" outlineLevel="1"/>
    <col min="11" max="11" width="23" style="8" customWidth="1"/>
    <col min="12" max="12" width="9" style="8" bestFit="1" customWidth="1"/>
    <col min="13" max="13" width="26" style="8" customWidth="1"/>
    <col min="14" max="14" width="8.7109375" style="10" customWidth="1" outlineLevel="1"/>
    <col min="15" max="15" width="10.85546875" style="8" customWidth="1" outlineLevel="1"/>
    <col min="16" max="16" width="13.140625" style="41" customWidth="1" outlineLevel="1"/>
    <col min="17" max="17" width="10.85546875" style="8" customWidth="1" outlineLevel="1"/>
    <col min="18" max="18" width="10.42578125" style="10" customWidth="1"/>
    <col min="19" max="19" width="14.7109375" style="30" customWidth="1" outlineLevel="1"/>
    <col min="20" max="20" width="16" style="30" customWidth="1" outlineLevel="1"/>
    <col min="21" max="23" width="23" style="8" customWidth="1"/>
    <col min="24" max="24" width="15.85546875" style="37" bestFit="1" customWidth="1"/>
    <col min="25" max="25" width="18.140625" style="37" customWidth="1" outlineLevel="1"/>
    <col min="26" max="26" width="16.140625" style="37" customWidth="1" outlineLevel="1"/>
    <col min="27" max="27" width="15.7109375" style="37" customWidth="1"/>
    <col min="28" max="29" width="15.7109375" style="37" customWidth="1" outlineLevel="1"/>
    <col min="30" max="32" width="15.7109375" style="30" customWidth="1" outlineLevel="1"/>
    <col min="33" max="33" width="17.85546875" style="30" customWidth="1" outlineLevel="1"/>
    <col min="34" max="34" width="1.7109375" style="30" customWidth="1"/>
    <col min="35" max="35" width="15.85546875" style="37" bestFit="1" customWidth="1"/>
    <col min="36" max="36" width="13.85546875" style="37" customWidth="1" outlineLevel="1"/>
    <col min="37" max="37" width="16.140625" style="37" customWidth="1" outlineLevel="1"/>
    <col min="38" max="38" width="15.7109375" style="37" customWidth="1"/>
    <col min="39" max="40" width="15.7109375" style="37" customWidth="1" outlineLevel="1"/>
    <col min="41" max="41" width="23.5703125" style="30" customWidth="1" outlineLevel="1"/>
    <col min="42" max="42" width="15.7109375" style="30" customWidth="1" outlineLevel="1"/>
    <col min="43" max="43" width="19" style="30" customWidth="1" outlineLevel="1"/>
    <col min="44" max="44" width="20.140625" style="30" customWidth="1" outlineLevel="1"/>
    <col min="45" max="45" width="1.7109375" style="30" customWidth="1"/>
    <col min="46" max="46" width="15.7109375" style="8" customWidth="1"/>
    <col min="47" max="16384" width="2.7109375" style="8"/>
  </cols>
  <sheetData>
    <row r="1" spans="1:46" x14ac:dyDescent="0.25">
      <c r="N1" s="81"/>
      <c r="P1" s="80"/>
      <c r="R1" s="81"/>
      <c r="S1" s="10">
        <f>SUBTOTAL(9,S4:S8793)</f>
        <v>0</v>
      </c>
      <c r="T1" s="10">
        <f>SUBTOTAL(9,T4:T396)</f>
        <v>0</v>
      </c>
      <c r="X1" s="30"/>
      <c r="Y1" s="30"/>
      <c r="Z1" s="30"/>
      <c r="AA1" s="30"/>
      <c r="AB1" s="30"/>
      <c r="AC1" s="30"/>
      <c r="AO1" s="39">
        <f>SUBTOTAL(9,AO4:AO396)</f>
        <v>0</v>
      </c>
      <c r="AP1" s="39">
        <f>SUBTOTAL(9,AP4:AP396)</f>
        <v>0</v>
      </c>
      <c r="AQ1" s="39">
        <f>SUBTOTAL(9,AQ4:AQ396)</f>
        <v>0</v>
      </c>
      <c r="AR1" s="39">
        <f>SUBTOTAL(9,AR4:AR396)</f>
        <v>0</v>
      </c>
    </row>
    <row r="2" spans="1:46" x14ac:dyDescent="0.25">
      <c r="B2" s="45" t="str">
        <f>IFERROR(VLOOKUP(A2,'ITEM PQ'!$A$1:$G$3107,7,FALSE),"-")</f>
        <v>-</v>
      </c>
      <c r="N2" s="10">
        <f>SUBTOTAL(9,N4:N8793)</f>
        <v>90</v>
      </c>
      <c r="P2" s="10">
        <f>SUBTOTAL(9,P4:P8793)</f>
        <v>128.09999999999997</v>
      </c>
      <c r="R2" s="10">
        <f>SUBTOTAL(9,R4:R8794)</f>
        <v>4266.95</v>
      </c>
      <c r="S2" s="10">
        <f>SUBTOTAL(9,S5:S8794)</f>
        <v>0</v>
      </c>
      <c r="T2" s="12">
        <f>SUM(T4:T396)</f>
        <v>0</v>
      </c>
      <c r="W2" s="10">
        <f>SUBTOTAL(9,W4:W8794)</f>
        <v>0</v>
      </c>
      <c r="X2" s="30"/>
      <c r="Y2" s="30"/>
      <c r="Z2" s="30"/>
      <c r="AA2" s="30"/>
      <c r="AB2" s="405">
        <f>SUBTOTAL(9,AB5:AB8794)</f>
        <v>0</v>
      </c>
      <c r="AC2" s="30"/>
      <c r="AO2" s="39">
        <f>SUM(AO4:AO396)</f>
        <v>0</v>
      </c>
      <c r="AP2" s="39">
        <f>SUM(AP4:AP396)</f>
        <v>0</v>
      </c>
      <c r="AQ2" s="39">
        <f>SUM(AQ4:AQ396)</f>
        <v>0</v>
      </c>
      <c r="AR2" s="39">
        <f>SUM(AR4:AR396)</f>
        <v>0</v>
      </c>
    </row>
    <row r="3" spans="1:46" s="2" customFormat="1" ht="33.75" customHeight="1" x14ac:dyDescent="0.25">
      <c r="A3" s="4" t="s">
        <v>0</v>
      </c>
      <c r="B3" s="4" t="s">
        <v>1</v>
      </c>
      <c r="C3" s="71" t="s">
        <v>7026</v>
      </c>
      <c r="D3" s="87" t="s">
        <v>8529</v>
      </c>
      <c r="E3" s="87" t="s">
        <v>8416</v>
      </c>
      <c r="F3" s="87" t="s">
        <v>8542</v>
      </c>
      <c r="G3" s="87" t="s">
        <v>8539</v>
      </c>
      <c r="H3" s="87" t="s">
        <v>8416</v>
      </c>
      <c r="I3" s="407" t="s">
        <v>35</v>
      </c>
      <c r="J3" s="407" t="s">
        <v>8546</v>
      </c>
      <c r="K3" s="407" t="s">
        <v>8528</v>
      </c>
      <c r="L3" s="407" t="s">
        <v>8544</v>
      </c>
      <c r="M3" s="408" t="s">
        <v>8530</v>
      </c>
      <c r="N3" s="76" t="s">
        <v>3</v>
      </c>
      <c r="O3" s="78" t="s">
        <v>8548</v>
      </c>
      <c r="P3" s="77" t="s">
        <v>8410</v>
      </c>
      <c r="Q3" s="78" t="s">
        <v>8404</v>
      </c>
      <c r="R3" s="78" t="s">
        <v>8411</v>
      </c>
      <c r="S3" s="5" t="s">
        <v>7053</v>
      </c>
      <c r="T3" s="5" t="s">
        <v>7054</v>
      </c>
      <c r="U3" s="407" t="s">
        <v>8535</v>
      </c>
      <c r="V3" s="407" t="s">
        <v>8536</v>
      </c>
      <c r="W3" s="407" t="s">
        <v>8537</v>
      </c>
      <c r="X3" s="88" t="s">
        <v>8405</v>
      </c>
      <c r="Y3" s="88" t="s">
        <v>8406</v>
      </c>
      <c r="Z3" s="88" t="s">
        <v>8407</v>
      </c>
      <c r="AA3" s="6" t="s">
        <v>8405</v>
      </c>
      <c r="AB3" s="6" t="s">
        <v>8406</v>
      </c>
      <c r="AC3" s="6" t="s">
        <v>8407</v>
      </c>
      <c r="AD3" s="25" t="s">
        <v>6</v>
      </c>
      <c r="AE3" s="25" t="s">
        <v>7</v>
      </c>
      <c r="AF3" s="25" t="s">
        <v>8</v>
      </c>
      <c r="AG3" s="25" t="s">
        <v>9</v>
      </c>
      <c r="AH3" s="25" t="s">
        <v>4778</v>
      </c>
      <c r="AI3" s="89" t="s">
        <v>8405</v>
      </c>
      <c r="AJ3" s="89" t="s">
        <v>8406</v>
      </c>
      <c r="AK3" s="89" t="s">
        <v>8407</v>
      </c>
      <c r="AL3" s="7" t="s">
        <v>8405</v>
      </c>
      <c r="AM3" s="7" t="s">
        <v>8406</v>
      </c>
      <c r="AN3" s="7" t="s">
        <v>8407</v>
      </c>
      <c r="AO3" s="40" t="s">
        <v>10</v>
      </c>
      <c r="AP3" s="40" t="s">
        <v>11</v>
      </c>
      <c r="AQ3" s="40" t="s">
        <v>12</v>
      </c>
      <c r="AR3" s="40" t="s">
        <v>9</v>
      </c>
      <c r="AS3" s="26" t="s">
        <v>4778</v>
      </c>
      <c r="AT3" s="24" t="s">
        <v>13</v>
      </c>
    </row>
    <row r="4" spans="1:46" s="63" customFormat="1" ht="13.5" customHeight="1" x14ac:dyDescent="0.25">
      <c r="A4" s="82"/>
      <c r="B4" s="82"/>
      <c r="C4" s="64" t="s">
        <v>8538</v>
      </c>
      <c r="D4" s="64" t="s">
        <v>8541</v>
      </c>
      <c r="E4" s="64">
        <v>6</v>
      </c>
      <c r="F4" s="64">
        <v>73</v>
      </c>
      <c r="G4" s="64" t="s">
        <v>8540</v>
      </c>
      <c r="H4" s="64">
        <v>6</v>
      </c>
      <c r="I4" s="64" t="s">
        <v>8543</v>
      </c>
      <c r="J4" s="64" t="s">
        <v>8547</v>
      </c>
      <c r="K4" s="64" t="s">
        <v>8549</v>
      </c>
      <c r="L4" s="64" t="s">
        <v>8545</v>
      </c>
      <c r="M4" s="64"/>
      <c r="N4" s="406">
        <v>4</v>
      </c>
      <c r="O4" s="64">
        <f>2.4+2.4+(0.7*4)</f>
        <v>7.6</v>
      </c>
      <c r="P4" s="410">
        <v>6.1</v>
      </c>
      <c r="Q4" s="64" t="s">
        <v>8531</v>
      </c>
      <c r="R4" s="401">
        <f t="shared" ref="R4:R24" si="0">P4*N4*O4</f>
        <v>185.43999999999997</v>
      </c>
      <c r="S4" s="401"/>
      <c r="T4" s="401"/>
      <c r="U4" s="64"/>
      <c r="V4" s="64"/>
      <c r="W4" s="413">
        <f t="shared" ref="W4:W67" si="1">V4*R4</f>
        <v>0</v>
      </c>
      <c r="X4" s="403">
        <v>1</v>
      </c>
      <c r="Y4" s="403">
        <v>1</v>
      </c>
      <c r="Z4" s="403">
        <v>0</v>
      </c>
      <c r="AA4" s="38"/>
      <c r="AB4" s="409"/>
      <c r="AC4" s="38"/>
      <c r="AD4" s="68"/>
      <c r="AE4" s="68"/>
      <c r="AF4" s="68"/>
      <c r="AG4" s="68"/>
      <c r="AH4" s="68"/>
      <c r="AI4" s="38"/>
      <c r="AJ4" s="38"/>
      <c r="AK4" s="38"/>
      <c r="AL4" s="38"/>
      <c r="AM4" s="38"/>
      <c r="AN4" s="38"/>
      <c r="AO4" s="69"/>
      <c r="AP4" s="69"/>
      <c r="AQ4" s="69"/>
      <c r="AR4" s="69"/>
      <c r="AS4" s="68"/>
      <c r="AT4" s="66" t="e">
        <f>VLOOKUP(K4,[4]Planilha1!A$13:P$314,16,0)</f>
        <v>#N/A</v>
      </c>
    </row>
    <row r="5" spans="1:46" s="63" customFormat="1" ht="13.5" customHeight="1" x14ac:dyDescent="0.25">
      <c r="A5" s="82"/>
      <c r="B5" s="82"/>
      <c r="C5" s="64" t="s">
        <v>8538</v>
      </c>
      <c r="D5" s="64" t="s">
        <v>8541</v>
      </c>
      <c r="E5" s="64">
        <v>6</v>
      </c>
      <c r="F5" s="64">
        <v>73</v>
      </c>
      <c r="G5" s="64" t="s">
        <v>8540</v>
      </c>
      <c r="H5" s="64">
        <v>6</v>
      </c>
      <c r="I5" s="64" t="s">
        <v>8543</v>
      </c>
      <c r="J5" s="64" t="s">
        <v>8547</v>
      </c>
      <c r="K5" s="64" t="s">
        <v>8549</v>
      </c>
      <c r="L5" s="64" t="s">
        <v>8550</v>
      </c>
      <c r="M5" s="64"/>
      <c r="N5" s="406">
        <v>4</v>
      </c>
      <c r="O5" s="64">
        <f t="shared" ref="O5:O15" si="2">2.4+2.4+(0.7*4)</f>
        <v>7.6</v>
      </c>
      <c r="P5" s="410">
        <v>6.1</v>
      </c>
      <c r="Q5" s="64" t="s">
        <v>8531</v>
      </c>
      <c r="R5" s="401">
        <f t="shared" si="0"/>
        <v>185.43999999999997</v>
      </c>
      <c r="S5" s="401"/>
      <c r="T5" s="401"/>
      <c r="U5" s="64"/>
      <c r="V5" s="64"/>
      <c r="W5" s="413">
        <f t="shared" ref="W5" si="3">V5*R5</f>
        <v>0</v>
      </c>
      <c r="X5" s="403">
        <v>1</v>
      </c>
      <c r="Y5" s="403">
        <v>1</v>
      </c>
      <c r="Z5" s="403">
        <v>0</v>
      </c>
      <c r="AA5" s="38"/>
      <c r="AB5" s="409"/>
      <c r="AC5" s="38"/>
      <c r="AD5" s="68"/>
      <c r="AE5" s="68"/>
      <c r="AF5" s="68"/>
      <c r="AG5" s="68"/>
      <c r="AH5" s="68"/>
      <c r="AI5" s="38"/>
      <c r="AJ5" s="38"/>
      <c r="AK5" s="38"/>
      <c r="AL5" s="38"/>
      <c r="AM5" s="38"/>
      <c r="AN5" s="38"/>
      <c r="AO5" s="69"/>
      <c r="AP5" s="69"/>
      <c r="AQ5" s="69"/>
      <c r="AR5" s="69"/>
      <c r="AS5" s="68"/>
      <c r="AT5" s="66" t="e">
        <f>VLOOKUP(K5,[4]Planilha1!A$13:P$314,16,0)</f>
        <v>#N/A</v>
      </c>
    </row>
    <row r="6" spans="1:46" s="63" customFormat="1" ht="13.5" customHeight="1" x14ac:dyDescent="0.25">
      <c r="A6" s="82"/>
      <c r="B6" s="82"/>
      <c r="C6" s="64" t="s">
        <v>8538</v>
      </c>
      <c r="D6" s="64" t="s">
        <v>8541</v>
      </c>
      <c r="E6" s="64">
        <v>6</v>
      </c>
      <c r="F6" s="64">
        <v>73</v>
      </c>
      <c r="G6" s="64" t="s">
        <v>8540</v>
      </c>
      <c r="H6" s="64">
        <v>6</v>
      </c>
      <c r="I6" s="64" t="s">
        <v>8543</v>
      </c>
      <c r="J6" s="64" t="s">
        <v>8547</v>
      </c>
      <c r="K6" s="64" t="s">
        <v>8549</v>
      </c>
      <c r="L6" s="64" t="s">
        <v>8551</v>
      </c>
      <c r="M6" s="64"/>
      <c r="N6" s="406">
        <v>4</v>
      </c>
      <c r="O6" s="64">
        <f t="shared" si="2"/>
        <v>7.6</v>
      </c>
      <c r="P6" s="410">
        <v>6.1</v>
      </c>
      <c r="Q6" s="64" t="s">
        <v>8531</v>
      </c>
      <c r="R6" s="401">
        <f t="shared" si="0"/>
        <v>185.43999999999997</v>
      </c>
      <c r="S6" s="401"/>
      <c r="T6" s="401"/>
      <c r="U6" s="64"/>
      <c r="V6" s="64"/>
      <c r="W6" s="413">
        <f t="shared" ref="W6" si="4">V6*R6</f>
        <v>0</v>
      </c>
      <c r="X6" s="403">
        <v>1</v>
      </c>
      <c r="Y6" s="403">
        <v>1</v>
      </c>
      <c r="Z6" s="403">
        <v>0</v>
      </c>
      <c r="AA6" s="38"/>
      <c r="AB6" s="409"/>
      <c r="AC6" s="38"/>
      <c r="AD6" s="68"/>
      <c r="AE6" s="68"/>
      <c r="AF6" s="68"/>
      <c r="AG6" s="68"/>
      <c r="AH6" s="68"/>
      <c r="AI6" s="38"/>
      <c r="AJ6" s="38"/>
      <c r="AK6" s="38"/>
      <c r="AL6" s="38"/>
      <c r="AM6" s="38"/>
      <c r="AN6" s="38"/>
      <c r="AO6" s="69"/>
      <c r="AP6" s="69"/>
      <c r="AQ6" s="69"/>
      <c r="AR6" s="69"/>
      <c r="AS6" s="68"/>
      <c r="AT6" s="66" t="e">
        <f>VLOOKUP(K6,[4]Planilha1!A$13:P$314,16,0)</f>
        <v>#N/A</v>
      </c>
    </row>
    <row r="7" spans="1:46" s="63" customFormat="1" ht="13.5" customHeight="1" x14ac:dyDescent="0.25">
      <c r="A7" s="82"/>
      <c r="B7" s="82"/>
      <c r="C7" s="64" t="s">
        <v>8538</v>
      </c>
      <c r="D7" s="64" t="s">
        <v>8541</v>
      </c>
      <c r="E7" s="64">
        <v>6</v>
      </c>
      <c r="F7" s="64">
        <v>73</v>
      </c>
      <c r="G7" s="64" t="s">
        <v>8540</v>
      </c>
      <c r="H7" s="64">
        <v>6</v>
      </c>
      <c r="I7" s="64" t="s">
        <v>8543</v>
      </c>
      <c r="J7" s="64" t="s">
        <v>8547</v>
      </c>
      <c r="K7" s="64" t="s">
        <v>8549</v>
      </c>
      <c r="L7" s="64" t="s">
        <v>8552</v>
      </c>
      <c r="M7" s="64"/>
      <c r="N7" s="406">
        <v>6</v>
      </c>
      <c r="O7" s="64">
        <f t="shared" si="2"/>
        <v>7.6</v>
      </c>
      <c r="P7" s="410">
        <v>6.1</v>
      </c>
      <c r="Q7" s="64" t="s">
        <v>8531</v>
      </c>
      <c r="R7" s="401">
        <f t="shared" si="0"/>
        <v>278.15999999999997</v>
      </c>
      <c r="S7" s="401"/>
      <c r="T7" s="401"/>
      <c r="U7" s="64"/>
      <c r="V7" s="64"/>
      <c r="W7" s="413">
        <f t="shared" ref="W7" si="5">V7*R7</f>
        <v>0</v>
      </c>
      <c r="X7" s="403">
        <v>1</v>
      </c>
      <c r="Y7" s="403">
        <v>1</v>
      </c>
      <c r="Z7" s="403">
        <v>0</v>
      </c>
      <c r="AA7" s="38"/>
      <c r="AB7" s="409"/>
      <c r="AC7" s="38"/>
      <c r="AD7" s="68"/>
      <c r="AE7" s="68"/>
      <c r="AF7" s="68"/>
      <c r="AG7" s="68"/>
      <c r="AH7" s="68"/>
      <c r="AI7" s="38"/>
      <c r="AJ7" s="38"/>
      <c r="AK7" s="38"/>
      <c r="AL7" s="38"/>
      <c r="AM7" s="38"/>
      <c r="AN7" s="38"/>
      <c r="AO7" s="69"/>
      <c r="AP7" s="69"/>
      <c r="AQ7" s="69"/>
      <c r="AR7" s="69"/>
      <c r="AS7" s="68"/>
      <c r="AT7" s="66" t="e">
        <f>VLOOKUP(K7,[4]Planilha1!A$13:P$314,16,0)</f>
        <v>#N/A</v>
      </c>
    </row>
    <row r="8" spans="1:46" s="63" customFormat="1" ht="13.5" customHeight="1" x14ac:dyDescent="0.25">
      <c r="A8" s="82"/>
      <c r="B8" s="82"/>
      <c r="C8" s="64" t="s">
        <v>8538</v>
      </c>
      <c r="D8" s="64" t="s">
        <v>8541</v>
      </c>
      <c r="E8" s="64">
        <v>6</v>
      </c>
      <c r="F8" s="64">
        <v>73</v>
      </c>
      <c r="G8" s="64" t="s">
        <v>8540</v>
      </c>
      <c r="H8" s="64">
        <v>6</v>
      </c>
      <c r="I8" s="64" t="s">
        <v>8543</v>
      </c>
      <c r="J8" s="64" t="s">
        <v>8547</v>
      </c>
      <c r="K8" s="64" t="s">
        <v>8549</v>
      </c>
      <c r="L8" s="64" t="s">
        <v>8553</v>
      </c>
      <c r="M8" s="64"/>
      <c r="N8" s="406">
        <v>5</v>
      </c>
      <c r="O8" s="64">
        <f t="shared" si="2"/>
        <v>7.6</v>
      </c>
      <c r="P8" s="410">
        <v>6.1</v>
      </c>
      <c r="Q8" s="64" t="s">
        <v>8531</v>
      </c>
      <c r="R8" s="401">
        <f t="shared" si="0"/>
        <v>231.79999999999998</v>
      </c>
      <c r="S8" s="401"/>
      <c r="T8" s="401"/>
      <c r="U8" s="64"/>
      <c r="V8" s="64"/>
      <c r="W8" s="413">
        <f t="shared" ref="W8" si="6">V8*R8</f>
        <v>0</v>
      </c>
      <c r="X8" s="403">
        <v>1</v>
      </c>
      <c r="Y8" s="403">
        <v>1</v>
      </c>
      <c r="Z8" s="403">
        <v>0</v>
      </c>
      <c r="AA8" s="38"/>
      <c r="AB8" s="409"/>
      <c r="AC8" s="38"/>
      <c r="AD8" s="68"/>
      <c r="AE8" s="68"/>
      <c r="AF8" s="68"/>
      <c r="AG8" s="68"/>
      <c r="AH8" s="68"/>
      <c r="AI8" s="38"/>
      <c r="AJ8" s="38"/>
      <c r="AK8" s="38"/>
      <c r="AL8" s="38"/>
      <c r="AM8" s="38"/>
      <c r="AN8" s="38"/>
      <c r="AO8" s="69"/>
      <c r="AP8" s="69"/>
      <c r="AQ8" s="69"/>
      <c r="AR8" s="69"/>
      <c r="AS8" s="68"/>
      <c r="AT8" s="66" t="e">
        <f>VLOOKUP(K8,[4]Planilha1!A$13:P$314,16,0)</f>
        <v>#N/A</v>
      </c>
    </row>
    <row r="9" spans="1:46" s="63" customFormat="1" ht="13.5" customHeight="1" x14ac:dyDescent="0.25">
      <c r="A9" s="82"/>
      <c r="B9" s="82"/>
      <c r="C9" s="64" t="s">
        <v>8538</v>
      </c>
      <c r="D9" s="64" t="s">
        <v>8541</v>
      </c>
      <c r="E9" s="64">
        <v>6</v>
      </c>
      <c r="F9" s="64">
        <v>73</v>
      </c>
      <c r="G9" s="64" t="s">
        <v>8540</v>
      </c>
      <c r="H9" s="64">
        <v>6</v>
      </c>
      <c r="I9" s="64" t="s">
        <v>8543</v>
      </c>
      <c r="J9" s="64" t="s">
        <v>8547</v>
      </c>
      <c r="K9" s="64" t="s">
        <v>8549</v>
      </c>
      <c r="L9" s="417" t="s">
        <v>8554</v>
      </c>
      <c r="M9" s="64"/>
      <c r="N9" s="406">
        <v>5</v>
      </c>
      <c r="O9" s="64">
        <f t="shared" si="2"/>
        <v>7.6</v>
      </c>
      <c r="P9" s="410">
        <v>6.1</v>
      </c>
      <c r="Q9" s="64" t="s">
        <v>8531</v>
      </c>
      <c r="R9" s="401">
        <f t="shared" si="0"/>
        <v>231.79999999999998</v>
      </c>
      <c r="S9" s="401"/>
      <c r="T9" s="401"/>
      <c r="U9" s="64"/>
      <c r="V9" s="64"/>
      <c r="W9" s="413">
        <f t="shared" ref="W9" si="7">V9*R9</f>
        <v>0</v>
      </c>
      <c r="X9" s="403">
        <v>1</v>
      </c>
      <c r="Y9" s="403">
        <v>1</v>
      </c>
      <c r="Z9" s="403">
        <v>0</v>
      </c>
      <c r="AA9" s="38"/>
      <c r="AB9" s="409"/>
      <c r="AC9" s="38"/>
      <c r="AD9" s="68"/>
      <c r="AE9" s="68"/>
      <c r="AF9" s="68"/>
      <c r="AG9" s="68"/>
      <c r="AH9" s="68"/>
      <c r="AI9" s="38"/>
      <c r="AJ9" s="38"/>
      <c r="AK9" s="38"/>
      <c r="AL9" s="38"/>
      <c r="AM9" s="38"/>
      <c r="AN9" s="38"/>
      <c r="AO9" s="69"/>
      <c r="AP9" s="69"/>
      <c r="AQ9" s="69"/>
      <c r="AR9" s="69"/>
      <c r="AS9" s="68"/>
      <c r="AT9" s="66" t="e">
        <f>VLOOKUP(K9,[4]Planilha1!A$13:P$314,16,0)</f>
        <v>#N/A</v>
      </c>
    </row>
    <row r="10" spans="1:46" s="63" customFormat="1" ht="13.5" customHeight="1" x14ac:dyDescent="0.25">
      <c r="A10" s="82"/>
      <c r="B10" s="82"/>
      <c r="C10" s="64" t="s">
        <v>8538</v>
      </c>
      <c r="D10" s="64" t="s">
        <v>8541</v>
      </c>
      <c r="E10" s="64">
        <v>6</v>
      </c>
      <c r="F10" s="64">
        <v>73</v>
      </c>
      <c r="G10" s="64" t="s">
        <v>8540</v>
      </c>
      <c r="H10" s="64">
        <v>6</v>
      </c>
      <c r="I10" s="64" t="s">
        <v>8543</v>
      </c>
      <c r="J10" s="64" t="s">
        <v>8547</v>
      </c>
      <c r="K10" s="64" t="s">
        <v>8549</v>
      </c>
      <c r="L10" s="417" t="s">
        <v>8555</v>
      </c>
      <c r="M10" s="64"/>
      <c r="N10" s="406">
        <v>5</v>
      </c>
      <c r="O10" s="64">
        <f t="shared" si="2"/>
        <v>7.6</v>
      </c>
      <c r="P10" s="410">
        <v>6.1</v>
      </c>
      <c r="Q10" s="64" t="s">
        <v>8531</v>
      </c>
      <c r="R10" s="401">
        <f t="shared" si="0"/>
        <v>231.79999999999998</v>
      </c>
      <c r="S10" s="401"/>
      <c r="T10" s="401"/>
      <c r="U10" s="64"/>
      <c r="V10" s="64"/>
      <c r="W10" s="413">
        <f t="shared" ref="W10" si="8">V10*R10</f>
        <v>0</v>
      </c>
      <c r="X10" s="403">
        <v>1</v>
      </c>
      <c r="Y10" s="403">
        <v>1</v>
      </c>
      <c r="Z10" s="403">
        <v>0</v>
      </c>
      <c r="AA10" s="38"/>
      <c r="AB10" s="409"/>
      <c r="AC10" s="38"/>
      <c r="AD10" s="68"/>
      <c r="AE10" s="68"/>
      <c r="AF10" s="68"/>
      <c r="AG10" s="68"/>
      <c r="AH10" s="68"/>
      <c r="AI10" s="38"/>
      <c r="AJ10" s="38"/>
      <c r="AK10" s="38"/>
      <c r="AL10" s="38"/>
      <c r="AM10" s="38"/>
      <c r="AN10" s="38"/>
      <c r="AO10" s="69"/>
      <c r="AP10" s="69"/>
      <c r="AQ10" s="69"/>
      <c r="AR10" s="69"/>
      <c r="AS10" s="68"/>
      <c r="AT10" s="66" t="e">
        <f>VLOOKUP(K10,[4]Planilha1!A$13:P$314,16,0)</f>
        <v>#N/A</v>
      </c>
    </row>
    <row r="11" spans="1:46" s="63" customFormat="1" ht="13.5" customHeight="1" x14ac:dyDescent="0.25">
      <c r="A11" s="82"/>
      <c r="B11" s="82"/>
      <c r="C11" s="64" t="s">
        <v>8538</v>
      </c>
      <c r="D11" s="64" t="s">
        <v>8541</v>
      </c>
      <c r="E11" s="64">
        <v>6</v>
      </c>
      <c r="F11" s="64">
        <v>73</v>
      </c>
      <c r="G11" s="64" t="s">
        <v>8540</v>
      </c>
      <c r="H11" s="64">
        <v>6</v>
      </c>
      <c r="I11" s="64" t="s">
        <v>8543</v>
      </c>
      <c r="J11" s="64" t="s">
        <v>8547</v>
      </c>
      <c r="K11" s="64" t="s">
        <v>8549</v>
      </c>
      <c r="L11" s="417" t="s">
        <v>8556</v>
      </c>
      <c r="M11" s="64"/>
      <c r="N11" s="406">
        <v>6</v>
      </c>
      <c r="O11" s="64">
        <f t="shared" si="2"/>
        <v>7.6</v>
      </c>
      <c r="P11" s="410">
        <v>6.1</v>
      </c>
      <c r="Q11" s="64" t="s">
        <v>8531</v>
      </c>
      <c r="R11" s="401">
        <f t="shared" si="0"/>
        <v>278.15999999999997</v>
      </c>
      <c r="S11" s="401"/>
      <c r="T11" s="401"/>
      <c r="U11" s="64"/>
      <c r="V11" s="64"/>
      <c r="W11" s="413">
        <f t="shared" ref="W11" si="9">V11*R11</f>
        <v>0</v>
      </c>
      <c r="X11" s="403">
        <v>1</v>
      </c>
      <c r="Y11" s="403">
        <v>1</v>
      </c>
      <c r="Z11" s="403">
        <v>0</v>
      </c>
      <c r="AA11" s="38"/>
      <c r="AB11" s="409"/>
      <c r="AC11" s="38"/>
      <c r="AD11" s="68"/>
      <c r="AE11" s="68"/>
      <c r="AF11" s="68"/>
      <c r="AG11" s="68"/>
      <c r="AH11" s="68"/>
      <c r="AI11" s="38"/>
      <c r="AJ11" s="38"/>
      <c r="AK11" s="38"/>
      <c r="AL11" s="38"/>
      <c r="AM11" s="38"/>
      <c r="AN11" s="38"/>
      <c r="AO11" s="69"/>
      <c r="AP11" s="69"/>
      <c r="AQ11" s="69"/>
      <c r="AR11" s="69"/>
      <c r="AS11" s="68"/>
      <c r="AT11" s="66" t="e">
        <f>VLOOKUP(K11,[4]Planilha1!A$13:P$314,16,0)</f>
        <v>#N/A</v>
      </c>
    </row>
    <row r="12" spans="1:46" s="63" customFormat="1" ht="13.5" customHeight="1" x14ac:dyDescent="0.25">
      <c r="A12" s="82"/>
      <c r="B12" s="82"/>
      <c r="C12" s="64" t="s">
        <v>8538</v>
      </c>
      <c r="D12" s="64" t="s">
        <v>8541</v>
      </c>
      <c r="E12" s="64">
        <v>6</v>
      </c>
      <c r="F12" s="64">
        <v>73</v>
      </c>
      <c r="G12" s="64" t="s">
        <v>8540</v>
      </c>
      <c r="H12" s="64">
        <v>6</v>
      </c>
      <c r="I12" s="64" t="s">
        <v>8543</v>
      </c>
      <c r="J12" s="64" t="s">
        <v>8547</v>
      </c>
      <c r="K12" s="64" t="s">
        <v>8549</v>
      </c>
      <c r="L12" s="417" t="s">
        <v>8557</v>
      </c>
      <c r="M12" s="64"/>
      <c r="N12" s="406">
        <v>6</v>
      </c>
      <c r="O12" s="64">
        <f t="shared" si="2"/>
        <v>7.6</v>
      </c>
      <c r="P12" s="410">
        <v>6.1</v>
      </c>
      <c r="Q12" s="64" t="s">
        <v>8531</v>
      </c>
      <c r="R12" s="401">
        <f t="shared" si="0"/>
        <v>278.15999999999997</v>
      </c>
      <c r="S12" s="401"/>
      <c r="T12" s="401"/>
      <c r="U12" s="64"/>
      <c r="V12" s="64"/>
      <c r="W12" s="413">
        <f t="shared" ref="W12" si="10">V12*R12</f>
        <v>0</v>
      </c>
      <c r="X12" s="403">
        <v>1</v>
      </c>
      <c r="Y12" s="403">
        <v>1</v>
      </c>
      <c r="Z12" s="403">
        <v>0</v>
      </c>
      <c r="AA12" s="38"/>
      <c r="AB12" s="409"/>
      <c r="AC12" s="38"/>
      <c r="AD12" s="68"/>
      <c r="AE12" s="68"/>
      <c r="AF12" s="68"/>
      <c r="AG12" s="68"/>
      <c r="AH12" s="68"/>
      <c r="AI12" s="38"/>
      <c r="AJ12" s="38"/>
      <c r="AK12" s="38"/>
      <c r="AL12" s="38"/>
      <c r="AM12" s="38"/>
      <c r="AN12" s="38"/>
      <c r="AO12" s="69"/>
      <c r="AP12" s="69"/>
      <c r="AQ12" s="69"/>
      <c r="AR12" s="69"/>
      <c r="AS12" s="68"/>
      <c r="AT12" s="66" t="e">
        <f>VLOOKUP(K12,[4]Planilha1!A$13:P$314,16,0)</f>
        <v>#N/A</v>
      </c>
    </row>
    <row r="13" spans="1:46" s="63" customFormat="1" ht="13.5" customHeight="1" x14ac:dyDescent="0.25">
      <c r="A13" s="82"/>
      <c r="B13" s="82"/>
      <c r="C13" s="64" t="s">
        <v>8538</v>
      </c>
      <c r="D13" s="64" t="s">
        <v>8541</v>
      </c>
      <c r="E13" s="64">
        <v>6</v>
      </c>
      <c r="F13" s="64">
        <v>73</v>
      </c>
      <c r="G13" s="64" t="s">
        <v>8540</v>
      </c>
      <c r="H13" s="64">
        <v>6</v>
      </c>
      <c r="I13" s="64" t="s">
        <v>8543</v>
      </c>
      <c r="J13" s="64" t="s">
        <v>8547</v>
      </c>
      <c r="K13" s="64" t="s">
        <v>8549</v>
      </c>
      <c r="L13" s="417" t="s">
        <v>8558</v>
      </c>
      <c r="M13" s="64"/>
      <c r="N13" s="406">
        <v>6</v>
      </c>
      <c r="O13" s="64">
        <f t="shared" si="2"/>
        <v>7.6</v>
      </c>
      <c r="P13" s="410">
        <v>6.1</v>
      </c>
      <c r="Q13" s="64" t="s">
        <v>8531</v>
      </c>
      <c r="R13" s="401">
        <f t="shared" si="0"/>
        <v>278.15999999999997</v>
      </c>
      <c r="S13" s="401"/>
      <c r="T13" s="401"/>
      <c r="U13" s="64"/>
      <c r="V13" s="64"/>
      <c r="W13" s="413">
        <f t="shared" ref="W13" si="11">V13*R13</f>
        <v>0</v>
      </c>
      <c r="X13" s="403">
        <v>1</v>
      </c>
      <c r="Y13" s="403">
        <v>1</v>
      </c>
      <c r="Z13" s="403">
        <v>0</v>
      </c>
      <c r="AA13" s="38"/>
      <c r="AB13" s="409"/>
      <c r="AC13" s="38"/>
      <c r="AD13" s="68"/>
      <c r="AE13" s="68"/>
      <c r="AF13" s="68"/>
      <c r="AG13" s="68"/>
      <c r="AH13" s="68"/>
      <c r="AI13" s="38"/>
      <c r="AJ13" s="38"/>
      <c r="AK13" s="38"/>
      <c r="AL13" s="38"/>
      <c r="AM13" s="38"/>
      <c r="AN13" s="38"/>
      <c r="AO13" s="69"/>
      <c r="AP13" s="69"/>
      <c r="AQ13" s="69"/>
      <c r="AR13" s="69"/>
      <c r="AS13" s="68"/>
      <c r="AT13" s="66" t="e">
        <f>VLOOKUP(K13,[4]Planilha1!A$13:P$314,16,0)</f>
        <v>#N/A</v>
      </c>
    </row>
    <row r="14" spans="1:46" s="63" customFormat="1" ht="13.5" customHeight="1" x14ac:dyDescent="0.25">
      <c r="A14" s="82"/>
      <c r="B14" s="82"/>
      <c r="C14" s="64" t="s">
        <v>8538</v>
      </c>
      <c r="D14" s="64" t="s">
        <v>8541</v>
      </c>
      <c r="E14" s="64">
        <v>6</v>
      </c>
      <c r="F14" s="64">
        <v>73</v>
      </c>
      <c r="G14" s="64" t="s">
        <v>8540</v>
      </c>
      <c r="H14" s="64">
        <v>6</v>
      </c>
      <c r="I14" s="64" t="s">
        <v>8543</v>
      </c>
      <c r="J14" s="64" t="s">
        <v>8547</v>
      </c>
      <c r="K14" s="64" t="s">
        <v>8549</v>
      </c>
      <c r="L14" s="417" t="s">
        <v>8559</v>
      </c>
      <c r="M14" s="64"/>
      <c r="N14" s="406">
        <v>6</v>
      </c>
      <c r="O14" s="64">
        <f t="shared" si="2"/>
        <v>7.6</v>
      </c>
      <c r="P14" s="410">
        <v>6.1</v>
      </c>
      <c r="Q14" s="64" t="s">
        <v>8531</v>
      </c>
      <c r="R14" s="401">
        <f t="shared" si="0"/>
        <v>278.15999999999997</v>
      </c>
      <c r="S14" s="401"/>
      <c r="T14" s="401"/>
      <c r="U14" s="64"/>
      <c r="V14" s="64"/>
      <c r="W14" s="413">
        <f t="shared" ref="W14" si="12">V14*R14</f>
        <v>0</v>
      </c>
      <c r="X14" s="403">
        <v>1</v>
      </c>
      <c r="Y14" s="403">
        <v>1</v>
      </c>
      <c r="Z14" s="403">
        <v>0</v>
      </c>
      <c r="AA14" s="38"/>
      <c r="AB14" s="409"/>
      <c r="AC14" s="38"/>
      <c r="AD14" s="68"/>
      <c r="AE14" s="68"/>
      <c r="AF14" s="68"/>
      <c r="AG14" s="68"/>
      <c r="AH14" s="68"/>
      <c r="AI14" s="38"/>
      <c r="AJ14" s="38"/>
      <c r="AK14" s="38"/>
      <c r="AL14" s="38"/>
      <c r="AM14" s="38"/>
      <c r="AN14" s="38"/>
      <c r="AO14" s="69"/>
      <c r="AP14" s="69"/>
      <c r="AQ14" s="69"/>
      <c r="AR14" s="69"/>
      <c r="AS14" s="68"/>
      <c r="AT14" s="66" t="e">
        <f>VLOOKUP(K14,[4]Planilha1!A$13:P$314,16,0)</f>
        <v>#N/A</v>
      </c>
    </row>
    <row r="15" spans="1:46" s="63" customFormat="1" ht="13.5" customHeight="1" x14ac:dyDescent="0.25">
      <c r="A15" s="82"/>
      <c r="B15" s="82"/>
      <c r="C15" s="64" t="s">
        <v>8538</v>
      </c>
      <c r="D15" s="64" t="s">
        <v>8541</v>
      </c>
      <c r="E15" s="64">
        <v>6</v>
      </c>
      <c r="F15" s="64">
        <v>73</v>
      </c>
      <c r="G15" s="64" t="s">
        <v>8540</v>
      </c>
      <c r="H15" s="64">
        <v>6</v>
      </c>
      <c r="I15" s="64" t="s">
        <v>8543</v>
      </c>
      <c r="J15" s="64" t="s">
        <v>8547</v>
      </c>
      <c r="K15" s="64" t="s">
        <v>8549</v>
      </c>
      <c r="L15" s="417" t="s">
        <v>8560</v>
      </c>
      <c r="M15" s="64"/>
      <c r="N15" s="406">
        <v>5</v>
      </c>
      <c r="O15" s="64">
        <f t="shared" si="2"/>
        <v>7.6</v>
      </c>
      <c r="P15" s="410">
        <v>6.1</v>
      </c>
      <c r="Q15" s="64" t="s">
        <v>8531</v>
      </c>
      <c r="R15" s="401">
        <f t="shared" si="0"/>
        <v>231.79999999999998</v>
      </c>
      <c r="S15" s="401"/>
      <c r="T15" s="401"/>
      <c r="U15" s="64"/>
      <c r="V15" s="64"/>
      <c r="W15" s="413">
        <f t="shared" ref="W15" si="13">V15*R15</f>
        <v>0</v>
      </c>
      <c r="X15" s="403">
        <v>1</v>
      </c>
      <c r="Y15" s="403">
        <v>1</v>
      </c>
      <c r="Z15" s="403">
        <v>0</v>
      </c>
      <c r="AA15" s="38"/>
      <c r="AB15" s="409"/>
      <c r="AC15" s="38"/>
      <c r="AD15" s="68"/>
      <c r="AE15" s="68"/>
      <c r="AF15" s="68"/>
      <c r="AG15" s="68"/>
      <c r="AH15" s="68"/>
      <c r="AI15" s="38"/>
      <c r="AJ15" s="38"/>
      <c r="AK15" s="38"/>
      <c r="AL15" s="38"/>
      <c r="AM15" s="38"/>
      <c r="AN15" s="38"/>
      <c r="AO15" s="69"/>
      <c r="AP15" s="69"/>
      <c r="AQ15" s="69"/>
      <c r="AR15" s="69"/>
      <c r="AS15" s="68"/>
      <c r="AT15" s="66" t="e">
        <f>VLOOKUP(K15,[4]Planilha1!A$13:P$314,16,0)</f>
        <v>#N/A</v>
      </c>
    </row>
    <row r="16" spans="1:46" s="63" customFormat="1" ht="13.5" customHeight="1" x14ac:dyDescent="0.25">
      <c r="A16" s="82"/>
      <c r="B16" s="82"/>
      <c r="C16" s="64" t="s">
        <v>8538</v>
      </c>
      <c r="D16" s="64" t="s">
        <v>8541</v>
      </c>
      <c r="E16" s="64">
        <v>6</v>
      </c>
      <c r="F16" s="64">
        <v>73</v>
      </c>
      <c r="G16" s="64" t="s">
        <v>8540</v>
      </c>
      <c r="H16" s="64">
        <v>6</v>
      </c>
      <c r="I16" s="64" t="s">
        <v>8543</v>
      </c>
      <c r="J16" s="64" t="s">
        <v>8547</v>
      </c>
      <c r="K16" s="64" t="s">
        <v>8549</v>
      </c>
      <c r="L16" s="417" t="s">
        <v>8561</v>
      </c>
      <c r="M16" s="64"/>
      <c r="N16" s="406">
        <v>5</v>
      </c>
      <c r="O16" s="64">
        <f>3.1+3.1+(0.7*4)</f>
        <v>9</v>
      </c>
      <c r="P16" s="410">
        <v>6.1</v>
      </c>
      <c r="Q16" s="64" t="s">
        <v>8531</v>
      </c>
      <c r="R16" s="401">
        <f t="shared" si="0"/>
        <v>274.5</v>
      </c>
      <c r="S16" s="401"/>
      <c r="T16" s="401"/>
      <c r="U16" s="64"/>
      <c r="V16" s="64"/>
      <c r="W16" s="413">
        <f t="shared" ref="W16" si="14">V16*R16</f>
        <v>0</v>
      </c>
      <c r="X16" s="403">
        <v>1</v>
      </c>
      <c r="Y16" s="403">
        <v>1</v>
      </c>
      <c r="Z16" s="403">
        <v>0</v>
      </c>
      <c r="AA16" s="38"/>
      <c r="AB16" s="409"/>
      <c r="AC16" s="38"/>
      <c r="AD16" s="68"/>
      <c r="AE16" s="68"/>
      <c r="AF16" s="68"/>
      <c r="AG16" s="68"/>
      <c r="AH16" s="68"/>
      <c r="AI16" s="38"/>
      <c r="AJ16" s="38"/>
      <c r="AK16" s="38"/>
      <c r="AL16" s="38"/>
      <c r="AM16" s="38"/>
      <c r="AN16" s="38"/>
      <c r="AO16" s="69"/>
      <c r="AP16" s="69"/>
      <c r="AQ16" s="69"/>
      <c r="AR16" s="69"/>
      <c r="AS16" s="68"/>
      <c r="AT16" s="66" t="e">
        <f>VLOOKUP(K16,[4]Planilha1!A$13:P$314,16,0)</f>
        <v>#N/A</v>
      </c>
    </row>
    <row r="17" spans="1:46" s="63" customFormat="1" ht="13.5" customHeight="1" x14ac:dyDescent="0.25">
      <c r="A17" s="82"/>
      <c r="B17" s="82"/>
      <c r="C17" s="64" t="s">
        <v>8538</v>
      </c>
      <c r="D17" s="64" t="s">
        <v>8541</v>
      </c>
      <c r="E17" s="64">
        <v>6</v>
      </c>
      <c r="F17" s="64">
        <v>73</v>
      </c>
      <c r="G17" s="64" t="s">
        <v>8540</v>
      </c>
      <c r="H17" s="64">
        <v>6</v>
      </c>
      <c r="I17" s="64" t="s">
        <v>8543</v>
      </c>
      <c r="J17" s="64" t="s">
        <v>8547</v>
      </c>
      <c r="K17" s="64" t="s">
        <v>8549</v>
      </c>
      <c r="L17" s="417" t="s">
        <v>8562</v>
      </c>
      <c r="M17" s="64"/>
      <c r="N17" s="406">
        <v>5</v>
      </c>
      <c r="O17" s="64">
        <f t="shared" ref="O17:O20" si="15">3.1+3.1+(0.7*4)</f>
        <v>9</v>
      </c>
      <c r="P17" s="410">
        <v>6.1</v>
      </c>
      <c r="Q17" s="64" t="s">
        <v>8531</v>
      </c>
      <c r="R17" s="401">
        <f t="shared" si="0"/>
        <v>274.5</v>
      </c>
      <c r="S17" s="401"/>
      <c r="T17" s="401"/>
      <c r="U17" s="64"/>
      <c r="V17" s="64"/>
      <c r="W17" s="413">
        <f t="shared" ref="W17" si="16">V17*R17</f>
        <v>0</v>
      </c>
      <c r="X17" s="403">
        <v>1</v>
      </c>
      <c r="Y17" s="403">
        <v>1</v>
      </c>
      <c r="Z17" s="403">
        <v>0</v>
      </c>
      <c r="AA17" s="38"/>
      <c r="AB17" s="409"/>
      <c r="AC17" s="38"/>
      <c r="AD17" s="68"/>
      <c r="AE17" s="68"/>
      <c r="AF17" s="68"/>
      <c r="AG17" s="68"/>
      <c r="AH17" s="68"/>
      <c r="AI17" s="38"/>
      <c r="AJ17" s="38"/>
      <c r="AK17" s="38"/>
      <c r="AL17" s="38"/>
      <c r="AM17" s="38"/>
      <c r="AN17" s="38"/>
      <c r="AO17" s="69"/>
      <c r="AP17" s="69"/>
      <c r="AQ17" s="69"/>
      <c r="AR17" s="69"/>
      <c r="AS17" s="68"/>
      <c r="AT17" s="66" t="e">
        <f>VLOOKUP(K17,[4]Planilha1!A$13:P$314,16,0)</f>
        <v>#N/A</v>
      </c>
    </row>
    <row r="18" spans="1:46" s="63" customFormat="1" ht="13.5" customHeight="1" x14ac:dyDescent="0.25">
      <c r="A18" s="82"/>
      <c r="B18" s="82"/>
      <c r="C18" s="64" t="s">
        <v>8538</v>
      </c>
      <c r="D18" s="64" t="s">
        <v>8541</v>
      </c>
      <c r="E18" s="64">
        <v>6</v>
      </c>
      <c r="F18" s="64">
        <v>73</v>
      </c>
      <c r="G18" s="64" t="s">
        <v>8540</v>
      </c>
      <c r="H18" s="64">
        <v>6</v>
      </c>
      <c r="I18" s="64" t="s">
        <v>8543</v>
      </c>
      <c r="J18" s="64" t="s">
        <v>8547</v>
      </c>
      <c r="K18" s="64" t="s">
        <v>8549</v>
      </c>
      <c r="L18" s="417" t="s">
        <v>8563</v>
      </c>
      <c r="M18" s="64"/>
      <c r="N18" s="406">
        <v>6</v>
      </c>
      <c r="O18" s="64">
        <f t="shared" si="15"/>
        <v>9</v>
      </c>
      <c r="P18" s="410">
        <v>6.1</v>
      </c>
      <c r="Q18" s="64" t="s">
        <v>8531</v>
      </c>
      <c r="R18" s="401">
        <f t="shared" si="0"/>
        <v>329.4</v>
      </c>
      <c r="S18" s="401"/>
      <c r="T18" s="401"/>
      <c r="U18" s="64"/>
      <c r="V18" s="64"/>
      <c r="W18" s="413">
        <f t="shared" ref="W18" si="17">V18*R18</f>
        <v>0</v>
      </c>
      <c r="X18" s="403">
        <v>1</v>
      </c>
      <c r="Y18" s="403">
        <v>1</v>
      </c>
      <c r="Z18" s="403">
        <v>0</v>
      </c>
      <c r="AA18" s="38"/>
      <c r="AB18" s="409"/>
      <c r="AC18" s="38"/>
      <c r="AD18" s="68"/>
      <c r="AE18" s="68"/>
      <c r="AF18" s="68"/>
      <c r="AG18" s="68"/>
      <c r="AH18" s="68"/>
      <c r="AI18" s="38"/>
      <c r="AJ18" s="38"/>
      <c r="AK18" s="38"/>
      <c r="AL18" s="38"/>
      <c r="AM18" s="38"/>
      <c r="AN18" s="38"/>
      <c r="AO18" s="69"/>
      <c r="AP18" s="69"/>
      <c r="AQ18" s="69"/>
      <c r="AR18" s="69"/>
      <c r="AS18" s="68"/>
      <c r="AT18" s="66" t="e">
        <f>VLOOKUP(K18,[4]Planilha1!A$13:P$314,16,0)</f>
        <v>#N/A</v>
      </c>
    </row>
    <row r="19" spans="1:46" s="63" customFormat="1" ht="13.5" customHeight="1" x14ac:dyDescent="0.25">
      <c r="A19" s="82"/>
      <c r="B19" s="82"/>
      <c r="C19" s="64" t="s">
        <v>8538</v>
      </c>
      <c r="D19" s="64" t="s">
        <v>8541</v>
      </c>
      <c r="E19" s="64">
        <v>6</v>
      </c>
      <c r="F19" s="64">
        <v>73</v>
      </c>
      <c r="G19" s="64" t="s">
        <v>8540</v>
      </c>
      <c r="H19" s="64">
        <v>6</v>
      </c>
      <c r="I19" s="64" t="s">
        <v>8543</v>
      </c>
      <c r="J19" s="64" t="s">
        <v>8547</v>
      </c>
      <c r="K19" s="64" t="s">
        <v>8549</v>
      </c>
      <c r="L19" s="417" t="s">
        <v>8564</v>
      </c>
      <c r="M19" s="64"/>
      <c r="N19" s="406">
        <v>5</v>
      </c>
      <c r="O19" s="64">
        <f t="shared" si="15"/>
        <v>9</v>
      </c>
      <c r="P19" s="410">
        <v>6.1</v>
      </c>
      <c r="Q19" s="64" t="s">
        <v>8531</v>
      </c>
      <c r="R19" s="401">
        <f t="shared" si="0"/>
        <v>274.5</v>
      </c>
      <c r="S19" s="401"/>
      <c r="T19" s="401"/>
      <c r="U19" s="64"/>
      <c r="V19" s="64"/>
      <c r="W19" s="413">
        <f t="shared" ref="W19" si="18">V19*R19</f>
        <v>0</v>
      </c>
      <c r="X19" s="403">
        <v>1</v>
      </c>
      <c r="Y19" s="403">
        <v>1</v>
      </c>
      <c r="Z19" s="403">
        <v>0</v>
      </c>
      <c r="AA19" s="38"/>
      <c r="AB19" s="409"/>
      <c r="AC19" s="38"/>
      <c r="AD19" s="68"/>
      <c r="AE19" s="68"/>
      <c r="AF19" s="68"/>
      <c r="AG19" s="68"/>
      <c r="AH19" s="68"/>
      <c r="AI19" s="38"/>
      <c r="AJ19" s="38"/>
      <c r="AK19" s="38"/>
      <c r="AL19" s="38"/>
      <c r="AM19" s="38"/>
      <c r="AN19" s="38"/>
      <c r="AO19" s="69"/>
      <c r="AP19" s="69"/>
      <c r="AQ19" s="69"/>
      <c r="AR19" s="69"/>
      <c r="AS19" s="68"/>
      <c r="AT19" s="66" t="e">
        <f>VLOOKUP(K19,[4]Planilha1!A$13:P$314,16,0)</f>
        <v>#N/A</v>
      </c>
    </row>
    <row r="20" spans="1:46" s="63" customFormat="1" ht="13.5" customHeight="1" x14ac:dyDescent="0.25">
      <c r="A20" s="82"/>
      <c r="B20" s="82"/>
      <c r="C20" s="64" t="s">
        <v>8538</v>
      </c>
      <c r="D20" s="64" t="s">
        <v>8541</v>
      </c>
      <c r="E20" s="64">
        <v>6</v>
      </c>
      <c r="F20" s="64">
        <v>73</v>
      </c>
      <c r="G20" s="64" t="s">
        <v>8540</v>
      </c>
      <c r="H20" s="64">
        <v>6</v>
      </c>
      <c r="I20" s="64" t="s">
        <v>8543</v>
      </c>
      <c r="J20" s="64" t="s">
        <v>8547</v>
      </c>
      <c r="K20" s="64" t="s">
        <v>8549</v>
      </c>
      <c r="L20" s="417" t="s">
        <v>8565</v>
      </c>
      <c r="M20" s="64"/>
      <c r="N20" s="406">
        <v>1</v>
      </c>
      <c r="O20" s="64">
        <f t="shared" si="15"/>
        <v>9</v>
      </c>
      <c r="P20" s="410">
        <v>6.1</v>
      </c>
      <c r="Q20" s="64" t="s">
        <v>8531</v>
      </c>
      <c r="R20" s="401">
        <f t="shared" si="0"/>
        <v>54.9</v>
      </c>
      <c r="S20" s="401"/>
      <c r="T20" s="401"/>
      <c r="U20" s="64"/>
      <c r="V20" s="64"/>
      <c r="W20" s="413">
        <f t="shared" ref="W20" si="19">V20*R20</f>
        <v>0</v>
      </c>
      <c r="X20" s="403">
        <v>1</v>
      </c>
      <c r="Y20" s="403">
        <v>1</v>
      </c>
      <c r="Z20" s="403">
        <v>0</v>
      </c>
      <c r="AA20" s="38"/>
      <c r="AB20" s="409"/>
      <c r="AC20" s="38"/>
      <c r="AD20" s="68"/>
      <c r="AE20" s="68"/>
      <c r="AF20" s="68"/>
      <c r="AG20" s="68"/>
      <c r="AH20" s="68"/>
      <c r="AI20" s="38"/>
      <c r="AJ20" s="38"/>
      <c r="AK20" s="38"/>
      <c r="AL20" s="38"/>
      <c r="AM20" s="38"/>
      <c r="AN20" s="38"/>
      <c r="AO20" s="69"/>
      <c r="AP20" s="69"/>
      <c r="AQ20" s="69"/>
      <c r="AR20" s="69"/>
      <c r="AS20" s="68"/>
      <c r="AT20" s="66" t="e">
        <f>VLOOKUP(K20,[4]Planilha1!A$13:P$314,16,0)</f>
        <v>#N/A</v>
      </c>
    </row>
    <row r="21" spans="1:46" s="63" customFormat="1" ht="13.5" customHeight="1" x14ac:dyDescent="0.25">
      <c r="A21" s="82"/>
      <c r="B21" s="82"/>
      <c r="C21" s="64" t="s">
        <v>8538</v>
      </c>
      <c r="D21" s="64" t="s">
        <v>8541</v>
      </c>
      <c r="E21" s="64">
        <v>6</v>
      </c>
      <c r="F21" s="64">
        <v>73</v>
      </c>
      <c r="G21" s="64" t="s">
        <v>8540</v>
      </c>
      <c r="H21" s="64">
        <v>6</v>
      </c>
      <c r="I21" s="64" t="s">
        <v>8543</v>
      </c>
      <c r="J21" s="64" t="s">
        <v>8547</v>
      </c>
      <c r="K21" s="64" t="s">
        <v>8549</v>
      </c>
      <c r="L21" s="417" t="s">
        <v>8565</v>
      </c>
      <c r="M21" s="64"/>
      <c r="N21" s="406">
        <v>2</v>
      </c>
      <c r="O21" s="64">
        <f>2.5+2.5+(0.7*4)</f>
        <v>7.8</v>
      </c>
      <c r="P21" s="410">
        <v>6.1</v>
      </c>
      <c r="Q21" s="64" t="s">
        <v>8531</v>
      </c>
      <c r="R21" s="401">
        <f t="shared" si="0"/>
        <v>95.16</v>
      </c>
      <c r="S21" s="401"/>
      <c r="T21" s="401"/>
      <c r="U21" s="64"/>
      <c r="V21" s="64"/>
      <c r="W21" s="413">
        <f t="shared" ref="W21" si="20">V21*R21</f>
        <v>0</v>
      </c>
      <c r="X21" s="403">
        <v>1</v>
      </c>
      <c r="Y21" s="403">
        <v>1</v>
      </c>
      <c r="Z21" s="403">
        <v>0</v>
      </c>
      <c r="AA21" s="38"/>
      <c r="AB21" s="409"/>
      <c r="AC21" s="38"/>
      <c r="AD21" s="68"/>
      <c r="AE21" s="68"/>
      <c r="AF21" s="68"/>
      <c r="AG21" s="68"/>
      <c r="AH21" s="68"/>
      <c r="AI21" s="38"/>
      <c r="AJ21" s="38"/>
      <c r="AK21" s="38"/>
      <c r="AL21" s="38"/>
      <c r="AM21" s="38"/>
      <c r="AN21" s="38"/>
      <c r="AO21" s="69"/>
      <c r="AP21" s="69"/>
      <c r="AQ21" s="69"/>
      <c r="AR21" s="69"/>
      <c r="AS21" s="68"/>
      <c r="AT21" s="66" t="e">
        <f>VLOOKUP(K21,[4]Planilha1!A$13:P$314,16,0)</f>
        <v>#N/A</v>
      </c>
    </row>
    <row r="22" spans="1:46" s="63" customFormat="1" ht="13.5" customHeight="1" x14ac:dyDescent="0.25">
      <c r="A22" s="82"/>
      <c r="B22" s="82"/>
      <c r="C22" s="64" t="s">
        <v>8538</v>
      </c>
      <c r="D22" s="64" t="s">
        <v>8541</v>
      </c>
      <c r="E22" s="64">
        <v>6</v>
      </c>
      <c r="F22" s="64">
        <v>73</v>
      </c>
      <c r="G22" s="64" t="s">
        <v>8540</v>
      </c>
      <c r="H22" s="64">
        <v>6</v>
      </c>
      <c r="I22" s="64" t="s">
        <v>8543</v>
      </c>
      <c r="J22" s="64" t="s">
        <v>8547</v>
      </c>
      <c r="K22" s="64" t="s">
        <v>8549</v>
      </c>
      <c r="L22" s="417" t="s">
        <v>8565</v>
      </c>
      <c r="M22" s="64"/>
      <c r="N22" s="406">
        <v>1</v>
      </c>
      <c r="O22" s="64">
        <f>1.5+1.5+(0.7*2)</f>
        <v>4.4000000000000004</v>
      </c>
      <c r="P22" s="410">
        <v>6.1</v>
      </c>
      <c r="Q22" s="64" t="s">
        <v>8531</v>
      </c>
      <c r="R22" s="401">
        <f t="shared" si="0"/>
        <v>26.84</v>
      </c>
      <c r="S22" s="401"/>
      <c r="T22" s="401"/>
      <c r="U22" s="64"/>
      <c r="V22" s="64"/>
      <c r="W22" s="413">
        <f t="shared" ref="W22:W23" si="21">V22*R22</f>
        <v>0</v>
      </c>
      <c r="X22" s="403">
        <v>1</v>
      </c>
      <c r="Y22" s="403">
        <v>1</v>
      </c>
      <c r="Z22" s="403">
        <v>0</v>
      </c>
      <c r="AA22" s="38"/>
      <c r="AB22" s="409"/>
      <c r="AC22" s="38"/>
      <c r="AD22" s="68"/>
      <c r="AE22" s="68"/>
      <c r="AF22" s="68"/>
      <c r="AG22" s="68"/>
      <c r="AH22" s="68"/>
      <c r="AI22" s="38"/>
      <c r="AJ22" s="38"/>
      <c r="AK22" s="38"/>
      <c r="AL22" s="38"/>
      <c r="AM22" s="38"/>
      <c r="AN22" s="38"/>
      <c r="AO22" s="69"/>
      <c r="AP22" s="69"/>
      <c r="AQ22" s="69"/>
      <c r="AR22" s="69"/>
      <c r="AS22" s="68"/>
      <c r="AT22" s="66" t="e">
        <f>VLOOKUP(K22,[4]Planilha1!A$13:P$314,16,0)</f>
        <v>#N/A</v>
      </c>
    </row>
    <row r="23" spans="1:46" s="63" customFormat="1" ht="13.5" customHeight="1" x14ac:dyDescent="0.25">
      <c r="A23" s="82"/>
      <c r="B23" s="82"/>
      <c r="C23" s="64" t="s">
        <v>8538</v>
      </c>
      <c r="D23" s="64" t="s">
        <v>8541</v>
      </c>
      <c r="E23" s="64">
        <v>6</v>
      </c>
      <c r="F23" s="64">
        <v>73</v>
      </c>
      <c r="G23" s="64" t="s">
        <v>8540</v>
      </c>
      <c r="H23" s="64">
        <v>6</v>
      </c>
      <c r="I23" s="64" t="s">
        <v>8543</v>
      </c>
      <c r="J23" s="64" t="s">
        <v>8547</v>
      </c>
      <c r="K23" s="64" t="s">
        <v>8549</v>
      </c>
      <c r="L23" s="417" t="s">
        <v>8565</v>
      </c>
      <c r="M23" s="64"/>
      <c r="N23" s="406">
        <v>1</v>
      </c>
      <c r="O23" s="64">
        <f>3.25+3.25+(0.7*4)</f>
        <v>9.3000000000000007</v>
      </c>
      <c r="P23" s="410">
        <v>6.1</v>
      </c>
      <c r="Q23" s="64" t="s">
        <v>8531</v>
      </c>
      <c r="R23" s="401">
        <f t="shared" si="0"/>
        <v>56.730000000000004</v>
      </c>
      <c r="S23" s="401"/>
      <c r="T23" s="401"/>
      <c r="U23" s="64"/>
      <c r="V23" s="64"/>
      <c r="W23" s="413">
        <f t="shared" si="21"/>
        <v>0</v>
      </c>
      <c r="X23" s="403">
        <v>1</v>
      </c>
      <c r="Y23" s="403">
        <v>1</v>
      </c>
      <c r="Z23" s="403">
        <v>0</v>
      </c>
      <c r="AA23" s="38"/>
      <c r="AB23" s="409"/>
      <c r="AC23" s="38"/>
      <c r="AD23" s="68"/>
      <c r="AE23" s="68"/>
      <c r="AF23" s="68"/>
      <c r="AG23" s="68"/>
      <c r="AH23" s="68"/>
      <c r="AI23" s="38"/>
      <c r="AJ23" s="38"/>
      <c r="AK23" s="38"/>
      <c r="AL23" s="38"/>
      <c r="AM23" s="38"/>
      <c r="AN23" s="38"/>
      <c r="AO23" s="69"/>
      <c r="AP23" s="69"/>
      <c r="AQ23" s="69"/>
      <c r="AR23" s="69"/>
      <c r="AS23" s="68"/>
      <c r="AT23" s="66" t="e">
        <f>VLOOKUP(K23,[4]Planilha1!A$13:P$314,16,0)</f>
        <v>#N/A</v>
      </c>
    </row>
    <row r="24" spans="1:46" s="63" customFormat="1" ht="13.5" customHeight="1" x14ac:dyDescent="0.25">
      <c r="A24" s="82"/>
      <c r="B24" s="82"/>
      <c r="C24" s="64" t="s">
        <v>8538</v>
      </c>
      <c r="D24" s="64" t="s">
        <v>8541</v>
      </c>
      <c r="E24" s="64">
        <v>6</v>
      </c>
      <c r="F24" s="64">
        <v>73</v>
      </c>
      <c r="G24" s="64" t="s">
        <v>8540</v>
      </c>
      <c r="H24" s="64">
        <v>6</v>
      </c>
      <c r="I24" s="64" t="s">
        <v>8543</v>
      </c>
      <c r="J24" s="64" t="s">
        <v>8547</v>
      </c>
      <c r="K24" s="64" t="s">
        <v>8566</v>
      </c>
      <c r="L24" s="417" t="s">
        <v>8565</v>
      </c>
      <c r="M24" s="64"/>
      <c r="N24" s="406">
        <v>2</v>
      </c>
      <c r="O24" s="64">
        <f>0.3+0.2</f>
        <v>0.5</v>
      </c>
      <c r="P24" s="410">
        <v>6.1</v>
      </c>
      <c r="Q24" s="64" t="s">
        <v>8531</v>
      </c>
      <c r="R24" s="401">
        <f t="shared" si="0"/>
        <v>6.1</v>
      </c>
      <c r="S24" s="401"/>
      <c r="T24" s="401"/>
      <c r="U24" s="64"/>
      <c r="V24" s="64"/>
      <c r="W24" s="413">
        <f t="shared" ref="W24" si="22">V24*R24</f>
        <v>0</v>
      </c>
      <c r="X24" s="403">
        <v>1</v>
      </c>
      <c r="Y24" s="403">
        <v>1</v>
      </c>
      <c r="Z24" s="403">
        <v>0</v>
      </c>
      <c r="AA24" s="38"/>
      <c r="AB24" s="409"/>
      <c r="AC24" s="38"/>
      <c r="AD24" s="68"/>
      <c r="AE24" s="68"/>
      <c r="AF24" s="68"/>
      <c r="AG24" s="68"/>
      <c r="AH24" s="68"/>
      <c r="AI24" s="38"/>
      <c r="AJ24" s="38"/>
      <c r="AK24" s="38"/>
      <c r="AL24" s="38"/>
      <c r="AM24" s="38"/>
      <c r="AN24" s="38"/>
      <c r="AO24" s="69"/>
      <c r="AP24" s="69"/>
      <c r="AQ24" s="69"/>
      <c r="AR24" s="69"/>
      <c r="AS24" s="68"/>
      <c r="AT24" s="66" t="e">
        <f>VLOOKUP(K24,[4]Planilha1!A$13:P$314,16,0)</f>
        <v>#N/A</v>
      </c>
    </row>
    <row r="25" spans="1:46" s="63" customFormat="1" x14ac:dyDescent="0.25">
      <c r="A25" s="82"/>
      <c r="B25" s="82"/>
      <c r="C25" s="64"/>
      <c r="D25" s="64"/>
      <c r="E25" s="64"/>
      <c r="F25" s="64"/>
      <c r="G25" s="64"/>
      <c r="H25" s="64"/>
      <c r="I25" s="64"/>
      <c r="J25" s="64"/>
      <c r="K25" s="64"/>
      <c r="L25" s="64"/>
      <c r="M25" s="64"/>
      <c r="N25" s="406"/>
      <c r="O25" s="64"/>
      <c r="P25" s="410"/>
      <c r="Q25" s="64"/>
      <c r="R25" s="401">
        <f t="shared" ref="R25:R88" si="23">P25*N25</f>
        <v>0</v>
      </c>
      <c r="S25" s="401"/>
      <c r="T25" s="401"/>
      <c r="U25" s="64"/>
      <c r="V25" s="64"/>
      <c r="W25" s="413">
        <f t="shared" si="1"/>
        <v>0</v>
      </c>
      <c r="X25" s="403">
        <v>1</v>
      </c>
      <c r="Y25" s="403">
        <v>1</v>
      </c>
      <c r="Z25" s="403">
        <v>0</v>
      </c>
      <c r="AA25" s="38"/>
      <c r="AB25" s="409"/>
      <c r="AC25" s="38"/>
      <c r="AD25" s="68"/>
      <c r="AE25" s="68"/>
      <c r="AF25" s="68"/>
      <c r="AG25" s="68"/>
      <c r="AH25" s="68"/>
      <c r="AI25" s="38"/>
      <c r="AJ25" s="38"/>
      <c r="AK25" s="38"/>
      <c r="AL25" s="38"/>
      <c r="AM25" s="38"/>
      <c r="AN25" s="38"/>
      <c r="AO25" s="69"/>
      <c r="AP25" s="69"/>
      <c r="AQ25" s="69"/>
      <c r="AR25" s="69"/>
      <c r="AS25" s="68"/>
      <c r="AT25" s="66" t="e">
        <f>VLOOKUP(K25,[4]Planilha1!A$13:P$314,16,0)</f>
        <v>#N/A</v>
      </c>
    </row>
    <row r="26" spans="1:46" s="63" customFormat="1" x14ac:dyDescent="0.25">
      <c r="A26" s="82"/>
      <c r="B26" s="82"/>
      <c r="C26" s="64"/>
      <c r="D26" s="64"/>
      <c r="E26" s="64"/>
      <c r="F26" s="64"/>
      <c r="G26" s="64"/>
      <c r="H26" s="64"/>
      <c r="I26" s="64"/>
      <c r="J26" s="64"/>
      <c r="K26" s="64"/>
      <c r="L26" s="64"/>
      <c r="M26" s="64"/>
      <c r="N26" s="406"/>
      <c r="O26" s="64"/>
      <c r="P26" s="410"/>
      <c r="Q26" s="64"/>
      <c r="R26" s="401">
        <f t="shared" si="23"/>
        <v>0</v>
      </c>
      <c r="S26" s="401"/>
      <c r="T26" s="401"/>
      <c r="U26" s="64"/>
      <c r="V26" s="64"/>
      <c r="W26" s="413">
        <f t="shared" si="1"/>
        <v>0</v>
      </c>
      <c r="X26" s="403">
        <v>1</v>
      </c>
      <c r="Y26" s="403">
        <v>1</v>
      </c>
      <c r="Z26" s="403">
        <v>0</v>
      </c>
      <c r="AA26" s="38"/>
      <c r="AB26" s="409"/>
      <c r="AC26" s="38"/>
      <c r="AD26" s="68"/>
      <c r="AE26" s="68"/>
      <c r="AF26" s="68"/>
      <c r="AG26" s="68"/>
      <c r="AH26" s="68"/>
      <c r="AI26" s="38"/>
      <c r="AJ26" s="38"/>
      <c r="AK26" s="38"/>
      <c r="AL26" s="38"/>
      <c r="AM26" s="38"/>
      <c r="AN26" s="38"/>
      <c r="AO26" s="69"/>
      <c r="AP26" s="69"/>
      <c r="AQ26" s="69"/>
      <c r="AR26" s="69"/>
      <c r="AS26" s="68"/>
      <c r="AT26" s="66" t="e">
        <f>VLOOKUP(K26,[4]Planilha1!A$13:P$314,16,0)</f>
        <v>#N/A</v>
      </c>
    </row>
    <row r="27" spans="1:46" s="63" customFormat="1" x14ac:dyDescent="0.25">
      <c r="A27" s="82"/>
      <c r="B27" s="82"/>
      <c r="C27" s="64"/>
      <c r="D27" s="64"/>
      <c r="E27" s="64"/>
      <c r="F27" s="64"/>
      <c r="G27" s="64"/>
      <c r="H27" s="64"/>
      <c r="I27" s="64"/>
      <c r="J27" s="64"/>
      <c r="K27" s="64"/>
      <c r="L27" s="64"/>
      <c r="M27" s="64"/>
      <c r="N27" s="406"/>
      <c r="O27" s="64"/>
      <c r="P27" s="410"/>
      <c r="Q27" s="64"/>
      <c r="R27" s="401">
        <f t="shared" si="23"/>
        <v>0</v>
      </c>
      <c r="S27" s="401"/>
      <c r="T27" s="401"/>
      <c r="U27" s="64"/>
      <c r="V27" s="64"/>
      <c r="W27" s="413">
        <f t="shared" si="1"/>
        <v>0</v>
      </c>
      <c r="X27" s="403">
        <v>1</v>
      </c>
      <c r="Y27" s="403">
        <v>1</v>
      </c>
      <c r="Z27" s="403">
        <v>0</v>
      </c>
      <c r="AA27" s="38"/>
      <c r="AB27" s="409"/>
      <c r="AC27" s="38"/>
      <c r="AD27" s="68"/>
      <c r="AE27" s="68"/>
      <c r="AF27" s="68"/>
      <c r="AG27" s="68"/>
      <c r="AH27" s="68"/>
      <c r="AI27" s="38"/>
      <c r="AJ27" s="38"/>
      <c r="AK27" s="38"/>
      <c r="AL27" s="38"/>
      <c r="AM27" s="38"/>
      <c r="AN27" s="38"/>
      <c r="AO27" s="69"/>
      <c r="AP27" s="69"/>
      <c r="AQ27" s="69"/>
      <c r="AR27" s="69"/>
      <c r="AS27" s="68"/>
      <c r="AT27" s="66" t="e">
        <f>VLOOKUP(K27,[4]Planilha1!A$13:P$314,16,0)</f>
        <v>#N/A</v>
      </c>
    </row>
    <row r="28" spans="1:46" s="63" customFormat="1" x14ac:dyDescent="0.25">
      <c r="A28" s="82"/>
      <c r="B28" s="82"/>
      <c r="C28" s="64"/>
      <c r="D28" s="64"/>
      <c r="E28" s="64"/>
      <c r="F28" s="64"/>
      <c r="G28" s="64"/>
      <c r="H28" s="64"/>
      <c r="I28" s="64"/>
      <c r="J28" s="64"/>
      <c r="K28" s="64"/>
      <c r="L28" s="64"/>
      <c r="M28" s="64"/>
      <c r="N28" s="406"/>
      <c r="O28" s="64"/>
      <c r="P28" s="410"/>
      <c r="Q28" s="64"/>
      <c r="R28" s="401">
        <f t="shared" si="23"/>
        <v>0</v>
      </c>
      <c r="S28" s="401"/>
      <c r="T28" s="401"/>
      <c r="U28" s="64"/>
      <c r="V28" s="64"/>
      <c r="W28" s="413">
        <f t="shared" si="1"/>
        <v>0</v>
      </c>
      <c r="X28" s="403">
        <v>1</v>
      </c>
      <c r="Y28" s="403">
        <v>1</v>
      </c>
      <c r="Z28" s="403">
        <v>0</v>
      </c>
      <c r="AA28" s="38"/>
      <c r="AB28" s="409"/>
      <c r="AC28" s="38"/>
      <c r="AD28" s="68"/>
      <c r="AE28" s="68"/>
      <c r="AF28" s="68"/>
      <c r="AG28" s="68"/>
      <c r="AH28" s="68"/>
      <c r="AI28" s="38"/>
      <c r="AJ28" s="38"/>
      <c r="AK28" s="38"/>
      <c r="AL28" s="38"/>
      <c r="AM28" s="38"/>
      <c r="AN28" s="38"/>
      <c r="AO28" s="69"/>
      <c r="AP28" s="69"/>
      <c r="AQ28" s="69"/>
      <c r="AR28" s="69"/>
      <c r="AS28" s="68"/>
      <c r="AT28" s="66" t="e">
        <f>VLOOKUP(K28,[4]Planilha1!A$13:P$314,16,0)</f>
        <v>#N/A</v>
      </c>
    </row>
    <row r="29" spans="1:46" s="63" customFormat="1" x14ac:dyDescent="0.25">
      <c r="A29" s="82"/>
      <c r="B29" s="82"/>
      <c r="C29" s="64"/>
      <c r="D29" s="64"/>
      <c r="E29" s="64"/>
      <c r="F29" s="64"/>
      <c r="G29" s="64"/>
      <c r="H29" s="64"/>
      <c r="I29" s="64"/>
      <c r="J29" s="64"/>
      <c r="K29" s="64"/>
      <c r="L29" s="64"/>
      <c r="M29" s="64"/>
      <c r="N29" s="406"/>
      <c r="O29" s="64"/>
      <c r="P29" s="410"/>
      <c r="Q29" s="64"/>
      <c r="R29" s="401">
        <f t="shared" si="23"/>
        <v>0</v>
      </c>
      <c r="S29" s="401"/>
      <c r="T29" s="401"/>
      <c r="U29" s="64"/>
      <c r="V29" s="64"/>
      <c r="W29" s="413">
        <f t="shared" si="1"/>
        <v>0</v>
      </c>
      <c r="X29" s="403">
        <v>1</v>
      </c>
      <c r="Y29" s="403">
        <v>1</v>
      </c>
      <c r="Z29" s="403">
        <v>0</v>
      </c>
      <c r="AA29" s="38"/>
      <c r="AB29" s="409"/>
      <c r="AC29" s="38"/>
      <c r="AD29" s="68"/>
      <c r="AE29" s="68"/>
      <c r="AF29" s="68"/>
      <c r="AG29" s="68"/>
      <c r="AH29" s="68"/>
      <c r="AI29" s="38"/>
      <c r="AJ29" s="38"/>
      <c r="AK29" s="38"/>
      <c r="AL29" s="38"/>
      <c r="AM29" s="38"/>
      <c r="AN29" s="38"/>
      <c r="AO29" s="69"/>
      <c r="AP29" s="69"/>
      <c r="AQ29" s="69"/>
      <c r="AR29" s="69"/>
      <c r="AS29" s="68"/>
      <c r="AT29" s="66" t="e">
        <f>VLOOKUP(K29,[4]Planilha1!A$13:P$314,16,0)</f>
        <v>#N/A</v>
      </c>
    </row>
    <row r="30" spans="1:46" s="63" customFormat="1" x14ac:dyDescent="0.25">
      <c r="A30" s="82"/>
      <c r="B30" s="82"/>
      <c r="C30" s="64"/>
      <c r="D30" s="64"/>
      <c r="E30" s="64"/>
      <c r="F30" s="64"/>
      <c r="G30" s="64"/>
      <c r="H30" s="64"/>
      <c r="I30" s="64"/>
      <c r="J30" s="64"/>
      <c r="K30" s="64"/>
      <c r="L30" s="64"/>
      <c r="M30" s="64"/>
      <c r="N30" s="406"/>
      <c r="O30" s="64"/>
      <c r="P30" s="410"/>
      <c r="Q30" s="64"/>
      <c r="R30" s="401">
        <f t="shared" si="23"/>
        <v>0</v>
      </c>
      <c r="S30" s="401"/>
      <c r="T30" s="401"/>
      <c r="U30" s="64"/>
      <c r="V30" s="64"/>
      <c r="W30" s="413">
        <f t="shared" si="1"/>
        <v>0</v>
      </c>
      <c r="X30" s="403">
        <v>1</v>
      </c>
      <c r="Y30" s="403">
        <v>1</v>
      </c>
      <c r="Z30" s="403">
        <v>0</v>
      </c>
      <c r="AA30" s="38"/>
      <c r="AB30" s="409"/>
      <c r="AC30" s="38"/>
      <c r="AD30" s="68"/>
      <c r="AE30" s="68"/>
      <c r="AF30" s="68"/>
      <c r="AG30" s="68"/>
      <c r="AH30" s="68"/>
      <c r="AI30" s="38"/>
      <c r="AJ30" s="38"/>
      <c r="AK30" s="38"/>
      <c r="AL30" s="38"/>
      <c r="AM30" s="38"/>
      <c r="AN30" s="38"/>
      <c r="AO30" s="69"/>
      <c r="AP30" s="69"/>
      <c r="AQ30" s="69"/>
      <c r="AR30" s="69"/>
      <c r="AS30" s="68"/>
      <c r="AT30" s="66" t="e">
        <f>VLOOKUP(K30,[4]Planilha1!A$13:P$314,16,0)</f>
        <v>#N/A</v>
      </c>
    </row>
    <row r="31" spans="1:46" s="63" customFormat="1" x14ac:dyDescent="0.25">
      <c r="A31" s="82"/>
      <c r="B31" s="82"/>
      <c r="C31" s="64"/>
      <c r="D31" s="64"/>
      <c r="E31" s="64"/>
      <c r="F31" s="64"/>
      <c r="G31" s="64"/>
      <c r="H31" s="64"/>
      <c r="I31" s="64"/>
      <c r="J31" s="64"/>
      <c r="K31" s="64"/>
      <c r="L31" s="64"/>
      <c r="M31" s="64"/>
      <c r="N31" s="406"/>
      <c r="O31" s="64"/>
      <c r="P31" s="410"/>
      <c r="Q31" s="64"/>
      <c r="R31" s="401">
        <f t="shared" si="23"/>
        <v>0</v>
      </c>
      <c r="S31" s="401"/>
      <c r="T31" s="401"/>
      <c r="U31" s="64"/>
      <c r="V31" s="64"/>
      <c r="W31" s="413">
        <f t="shared" si="1"/>
        <v>0</v>
      </c>
      <c r="X31" s="403">
        <v>1</v>
      </c>
      <c r="Y31" s="403">
        <v>1</v>
      </c>
      <c r="Z31" s="403">
        <v>0</v>
      </c>
      <c r="AA31" s="38"/>
      <c r="AB31" s="409"/>
      <c r="AC31" s="38"/>
      <c r="AD31" s="68"/>
      <c r="AE31" s="68"/>
      <c r="AF31" s="68"/>
      <c r="AG31" s="68"/>
      <c r="AH31" s="68"/>
      <c r="AI31" s="38"/>
      <c r="AJ31" s="38"/>
      <c r="AK31" s="38"/>
      <c r="AL31" s="38"/>
      <c r="AM31" s="38"/>
      <c r="AN31" s="38"/>
      <c r="AO31" s="69"/>
      <c r="AP31" s="69"/>
      <c r="AQ31" s="69"/>
      <c r="AR31" s="69"/>
      <c r="AS31" s="68"/>
      <c r="AT31" s="66" t="e">
        <f>VLOOKUP(K31,[4]Planilha1!A$13:P$314,16,0)</f>
        <v>#N/A</v>
      </c>
    </row>
    <row r="32" spans="1:46" s="63" customFormat="1" x14ac:dyDescent="0.25">
      <c r="A32" s="82"/>
      <c r="B32" s="82"/>
      <c r="C32" s="64"/>
      <c r="D32" s="64"/>
      <c r="E32" s="64"/>
      <c r="F32" s="64"/>
      <c r="G32" s="64"/>
      <c r="H32" s="64"/>
      <c r="I32" s="64"/>
      <c r="J32" s="64"/>
      <c r="K32" s="64"/>
      <c r="L32" s="64"/>
      <c r="M32" s="64"/>
      <c r="N32" s="406"/>
      <c r="O32" s="64"/>
      <c r="P32" s="410"/>
      <c r="Q32" s="64"/>
      <c r="R32" s="401">
        <f t="shared" si="23"/>
        <v>0</v>
      </c>
      <c r="S32" s="401"/>
      <c r="T32" s="401"/>
      <c r="U32" s="64"/>
      <c r="V32" s="64"/>
      <c r="W32" s="413">
        <f t="shared" si="1"/>
        <v>0</v>
      </c>
      <c r="X32" s="403">
        <v>1</v>
      </c>
      <c r="Y32" s="403">
        <v>1</v>
      </c>
      <c r="Z32" s="403">
        <v>0</v>
      </c>
      <c r="AA32" s="38"/>
      <c r="AB32" s="409"/>
      <c r="AC32" s="38"/>
      <c r="AD32" s="68"/>
      <c r="AE32" s="68"/>
      <c r="AF32" s="68"/>
      <c r="AG32" s="68"/>
      <c r="AH32" s="68"/>
      <c r="AI32" s="38"/>
      <c r="AJ32" s="38"/>
      <c r="AK32" s="38"/>
      <c r="AL32" s="38"/>
      <c r="AM32" s="38"/>
      <c r="AN32" s="38"/>
      <c r="AO32" s="69"/>
      <c r="AP32" s="69"/>
      <c r="AQ32" s="69"/>
      <c r="AR32" s="69"/>
      <c r="AS32" s="68"/>
      <c r="AT32" s="66" t="e">
        <f>VLOOKUP(K32,[4]Planilha1!A$13:P$314,16,0)</f>
        <v>#N/A</v>
      </c>
    </row>
    <row r="33" spans="1:46" s="63" customFormat="1" x14ac:dyDescent="0.25">
      <c r="A33" s="82"/>
      <c r="B33" s="82"/>
      <c r="C33" s="64"/>
      <c r="D33" s="64"/>
      <c r="E33" s="64"/>
      <c r="F33" s="64"/>
      <c r="G33" s="64"/>
      <c r="H33" s="64"/>
      <c r="I33" s="64"/>
      <c r="J33" s="64"/>
      <c r="K33" s="64"/>
      <c r="L33" s="64"/>
      <c r="M33" s="64"/>
      <c r="N33" s="406"/>
      <c r="O33" s="64"/>
      <c r="P33" s="410"/>
      <c r="Q33" s="64"/>
      <c r="R33" s="401">
        <f t="shared" si="23"/>
        <v>0</v>
      </c>
      <c r="S33" s="401"/>
      <c r="T33" s="401"/>
      <c r="U33" s="64"/>
      <c r="V33" s="64"/>
      <c r="W33" s="413">
        <f t="shared" si="1"/>
        <v>0</v>
      </c>
      <c r="X33" s="403">
        <v>1</v>
      </c>
      <c r="Y33" s="403">
        <v>1</v>
      </c>
      <c r="Z33" s="403">
        <v>0</v>
      </c>
      <c r="AA33" s="38"/>
      <c r="AB33" s="409"/>
      <c r="AC33" s="38"/>
      <c r="AD33" s="68"/>
      <c r="AE33" s="68"/>
      <c r="AF33" s="68"/>
      <c r="AG33" s="68"/>
      <c r="AH33" s="68"/>
      <c r="AI33" s="38"/>
      <c r="AJ33" s="38"/>
      <c r="AK33" s="38"/>
      <c r="AL33" s="38"/>
      <c r="AM33" s="38"/>
      <c r="AN33" s="38"/>
      <c r="AO33" s="69"/>
      <c r="AP33" s="69"/>
      <c r="AQ33" s="69"/>
      <c r="AR33" s="69"/>
      <c r="AS33" s="68"/>
      <c r="AT33" s="66" t="e">
        <f>VLOOKUP(K33,[4]Planilha1!A$13:P$314,16,0)</f>
        <v>#N/A</v>
      </c>
    </row>
    <row r="34" spans="1:46" s="63" customFormat="1" x14ac:dyDescent="0.25">
      <c r="A34" s="82"/>
      <c r="B34" s="82"/>
      <c r="C34" s="64"/>
      <c r="D34" s="64"/>
      <c r="E34" s="64"/>
      <c r="F34" s="64"/>
      <c r="G34" s="64"/>
      <c r="H34" s="64"/>
      <c r="I34" s="64"/>
      <c r="J34" s="64"/>
      <c r="K34" s="64"/>
      <c r="L34" s="64"/>
      <c r="M34" s="64"/>
      <c r="N34" s="406"/>
      <c r="O34" s="64"/>
      <c r="P34" s="410"/>
      <c r="Q34" s="64"/>
      <c r="R34" s="401">
        <f t="shared" si="23"/>
        <v>0</v>
      </c>
      <c r="S34" s="401"/>
      <c r="T34" s="401"/>
      <c r="U34" s="64"/>
      <c r="V34" s="64"/>
      <c r="W34" s="413">
        <f t="shared" si="1"/>
        <v>0</v>
      </c>
      <c r="X34" s="403">
        <v>1</v>
      </c>
      <c r="Y34" s="403">
        <v>1</v>
      </c>
      <c r="Z34" s="403">
        <v>0</v>
      </c>
      <c r="AA34" s="38"/>
      <c r="AB34" s="409"/>
      <c r="AC34" s="38"/>
      <c r="AD34" s="68"/>
      <c r="AE34" s="68"/>
      <c r="AF34" s="68"/>
      <c r="AG34" s="68"/>
      <c r="AH34" s="68"/>
      <c r="AI34" s="38"/>
      <c r="AJ34" s="38"/>
      <c r="AK34" s="38"/>
      <c r="AL34" s="38"/>
      <c r="AM34" s="38"/>
      <c r="AN34" s="38"/>
      <c r="AO34" s="69"/>
      <c r="AP34" s="69"/>
      <c r="AQ34" s="69"/>
      <c r="AR34" s="69"/>
      <c r="AS34" s="68"/>
      <c r="AT34" s="66" t="e">
        <f>VLOOKUP(K34,[4]Planilha1!A$13:P$314,16,0)</f>
        <v>#N/A</v>
      </c>
    </row>
    <row r="35" spans="1:46" s="63" customFormat="1" x14ac:dyDescent="0.25">
      <c r="A35" s="82"/>
      <c r="B35" s="82"/>
      <c r="C35" s="64"/>
      <c r="D35" s="64"/>
      <c r="E35" s="64"/>
      <c r="F35" s="64"/>
      <c r="G35" s="64"/>
      <c r="H35" s="64"/>
      <c r="I35" s="64"/>
      <c r="J35" s="64"/>
      <c r="K35" s="64"/>
      <c r="L35" s="64"/>
      <c r="M35" s="64"/>
      <c r="N35" s="406"/>
      <c r="O35" s="64"/>
      <c r="P35" s="410"/>
      <c r="Q35" s="64"/>
      <c r="R35" s="401">
        <f t="shared" si="23"/>
        <v>0</v>
      </c>
      <c r="S35" s="401"/>
      <c r="T35" s="401"/>
      <c r="U35" s="64"/>
      <c r="V35" s="64"/>
      <c r="W35" s="413">
        <f t="shared" si="1"/>
        <v>0</v>
      </c>
      <c r="X35" s="403">
        <v>1</v>
      </c>
      <c r="Y35" s="403">
        <v>1</v>
      </c>
      <c r="Z35" s="403">
        <v>0</v>
      </c>
      <c r="AA35" s="38"/>
      <c r="AB35" s="409"/>
      <c r="AC35" s="38"/>
      <c r="AD35" s="68"/>
      <c r="AE35" s="68"/>
      <c r="AF35" s="68"/>
      <c r="AG35" s="68"/>
      <c r="AH35" s="68"/>
      <c r="AI35" s="38"/>
      <c r="AJ35" s="38"/>
      <c r="AK35" s="38"/>
      <c r="AL35" s="38"/>
      <c r="AM35" s="38"/>
      <c r="AN35" s="38"/>
      <c r="AO35" s="69"/>
      <c r="AP35" s="69"/>
      <c r="AQ35" s="69"/>
      <c r="AR35" s="69"/>
      <c r="AS35" s="68"/>
      <c r="AT35" s="66" t="e">
        <f>VLOOKUP(K35,[4]Planilha1!A$13:P$314,16,0)</f>
        <v>#N/A</v>
      </c>
    </row>
    <row r="36" spans="1:46" s="63" customFormat="1" x14ac:dyDescent="0.25">
      <c r="A36" s="82"/>
      <c r="B36" s="82"/>
      <c r="C36" s="64"/>
      <c r="D36" s="64"/>
      <c r="E36" s="64"/>
      <c r="F36" s="64"/>
      <c r="G36" s="64"/>
      <c r="H36" s="64"/>
      <c r="I36" s="64"/>
      <c r="J36" s="64"/>
      <c r="K36" s="64"/>
      <c r="L36" s="64"/>
      <c r="M36" s="64"/>
      <c r="N36" s="406"/>
      <c r="O36" s="64"/>
      <c r="P36" s="410"/>
      <c r="Q36" s="64"/>
      <c r="R36" s="401">
        <f t="shared" si="23"/>
        <v>0</v>
      </c>
      <c r="S36" s="401"/>
      <c r="T36" s="401"/>
      <c r="U36" s="64"/>
      <c r="V36" s="64"/>
      <c r="W36" s="413">
        <f t="shared" si="1"/>
        <v>0</v>
      </c>
      <c r="X36" s="403">
        <v>1</v>
      </c>
      <c r="Y36" s="403">
        <v>1</v>
      </c>
      <c r="Z36" s="403">
        <v>0</v>
      </c>
      <c r="AA36" s="38"/>
      <c r="AB36" s="409"/>
      <c r="AC36" s="38"/>
      <c r="AD36" s="68"/>
      <c r="AE36" s="68"/>
      <c r="AF36" s="68"/>
      <c r="AG36" s="68"/>
      <c r="AH36" s="68"/>
      <c r="AI36" s="38"/>
      <c r="AJ36" s="38"/>
      <c r="AK36" s="38"/>
      <c r="AL36" s="38"/>
      <c r="AM36" s="38"/>
      <c r="AN36" s="38"/>
      <c r="AO36" s="69"/>
      <c r="AP36" s="69"/>
      <c r="AQ36" s="69"/>
      <c r="AR36" s="69"/>
      <c r="AS36" s="68"/>
      <c r="AT36" s="66" t="e">
        <f>VLOOKUP(K36,[4]Planilha1!A$13:P$314,16,0)</f>
        <v>#N/A</v>
      </c>
    </row>
    <row r="37" spans="1:46" s="63" customFormat="1" x14ac:dyDescent="0.25">
      <c r="A37" s="82"/>
      <c r="B37" s="82"/>
      <c r="C37" s="64"/>
      <c r="D37" s="64"/>
      <c r="E37" s="64"/>
      <c r="F37" s="64"/>
      <c r="G37" s="64"/>
      <c r="H37" s="64"/>
      <c r="I37" s="64"/>
      <c r="J37" s="64"/>
      <c r="K37" s="64"/>
      <c r="L37" s="64"/>
      <c r="M37" s="64"/>
      <c r="N37" s="406"/>
      <c r="O37" s="64"/>
      <c r="P37" s="410"/>
      <c r="Q37" s="64"/>
      <c r="R37" s="401">
        <f t="shared" si="23"/>
        <v>0</v>
      </c>
      <c r="S37" s="401"/>
      <c r="T37" s="401"/>
      <c r="U37" s="64"/>
      <c r="V37" s="64"/>
      <c r="W37" s="413">
        <f t="shared" si="1"/>
        <v>0</v>
      </c>
      <c r="X37" s="403">
        <v>1</v>
      </c>
      <c r="Y37" s="403">
        <v>1</v>
      </c>
      <c r="Z37" s="403">
        <v>0</v>
      </c>
      <c r="AA37" s="38"/>
      <c r="AB37" s="409"/>
      <c r="AC37" s="38"/>
      <c r="AD37" s="68"/>
      <c r="AE37" s="68"/>
      <c r="AF37" s="68"/>
      <c r="AG37" s="68"/>
      <c r="AH37" s="68"/>
      <c r="AI37" s="38"/>
      <c r="AJ37" s="38"/>
      <c r="AK37" s="38"/>
      <c r="AL37" s="38"/>
      <c r="AM37" s="38"/>
      <c r="AN37" s="38"/>
      <c r="AO37" s="69"/>
      <c r="AP37" s="69"/>
      <c r="AQ37" s="69"/>
      <c r="AR37" s="69"/>
      <c r="AS37" s="68"/>
      <c r="AT37" s="66" t="e">
        <f>VLOOKUP(K37,[4]Planilha1!A$13:P$314,16,0)</f>
        <v>#N/A</v>
      </c>
    </row>
    <row r="38" spans="1:46" s="63" customFormat="1" x14ac:dyDescent="0.25">
      <c r="A38" s="82"/>
      <c r="B38" s="82"/>
      <c r="C38" s="64"/>
      <c r="D38" s="64"/>
      <c r="E38" s="64"/>
      <c r="F38" s="64"/>
      <c r="G38" s="64"/>
      <c r="H38" s="64"/>
      <c r="I38" s="64"/>
      <c r="J38" s="64"/>
      <c r="K38" s="64"/>
      <c r="L38" s="64"/>
      <c r="M38" s="64"/>
      <c r="N38" s="406"/>
      <c r="O38" s="64"/>
      <c r="P38" s="410"/>
      <c r="Q38" s="64"/>
      <c r="R38" s="401">
        <f t="shared" si="23"/>
        <v>0</v>
      </c>
      <c r="S38" s="401"/>
      <c r="T38" s="401"/>
      <c r="U38" s="64"/>
      <c r="V38" s="64"/>
      <c r="W38" s="413">
        <f t="shared" si="1"/>
        <v>0</v>
      </c>
      <c r="X38" s="403">
        <v>1</v>
      </c>
      <c r="Y38" s="403">
        <v>1</v>
      </c>
      <c r="Z38" s="403">
        <v>0</v>
      </c>
      <c r="AA38" s="38"/>
      <c r="AB38" s="409"/>
      <c r="AC38" s="38"/>
      <c r="AD38" s="68"/>
      <c r="AE38" s="68"/>
      <c r="AF38" s="68"/>
      <c r="AG38" s="68"/>
      <c r="AH38" s="68"/>
      <c r="AI38" s="38"/>
      <c r="AJ38" s="38"/>
      <c r="AK38" s="38"/>
      <c r="AL38" s="38"/>
      <c r="AM38" s="38"/>
      <c r="AN38" s="38"/>
      <c r="AO38" s="69"/>
      <c r="AP38" s="69"/>
      <c r="AQ38" s="69"/>
      <c r="AR38" s="69"/>
      <c r="AS38" s="68"/>
      <c r="AT38" s="66" t="e">
        <f>VLOOKUP(K38,[4]Planilha1!A$13:P$314,16,0)</f>
        <v>#N/A</v>
      </c>
    </row>
    <row r="39" spans="1:46" s="63" customFormat="1" x14ac:dyDescent="0.25">
      <c r="A39" s="82"/>
      <c r="B39" s="82"/>
      <c r="C39" s="64"/>
      <c r="D39" s="64"/>
      <c r="E39" s="64"/>
      <c r="F39" s="64"/>
      <c r="G39" s="64"/>
      <c r="H39" s="64"/>
      <c r="I39" s="64"/>
      <c r="J39" s="64"/>
      <c r="K39" s="64"/>
      <c r="L39" s="64"/>
      <c r="M39" s="64"/>
      <c r="N39" s="406"/>
      <c r="O39" s="64"/>
      <c r="P39" s="410"/>
      <c r="Q39" s="64"/>
      <c r="R39" s="401">
        <f t="shared" si="23"/>
        <v>0</v>
      </c>
      <c r="S39" s="401"/>
      <c r="T39" s="401"/>
      <c r="U39" s="64"/>
      <c r="V39" s="64"/>
      <c r="W39" s="413">
        <f t="shared" si="1"/>
        <v>0</v>
      </c>
      <c r="X39" s="403">
        <v>1</v>
      </c>
      <c r="Y39" s="403">
        <v>1</v>
      </c>
      <c r="Z39" s="403">
        <v>0</v>
      </c>
      <c r="AA39" s="38"/>
      <c r="AB39" s="409"/>
      <c r="AC39" s="38"/>
      <c r="AD39" s="68"/>
      <c r="AE39" s="68"/>
      <c r="AF39" s="68"/>
      <c r="AG39" s="68"/>
      <c r="AH39" s="68"/>
      <c r="AI39" s="38"/>
      <c r="AJ39" s="38"/>
      <c r="AK39" s="38"/>
      <c r="AL39" s="38"/>
      <c r="AM39" s="38"/>
      <c r="AN39" s="38"/>
      <c r="AO39" s="69"/>
      <c r="AP39" s="69"/>
      <c r="AQ39" s="69"/>
      <c r="AR39" s="69"/>
      <c r="AS39" s="68"/>
      <c r="AT39" s="66" t="e">
        <f>VLOOKUP(K39,[4]Planilha1!A$13:P$314,16,0)</f>
        <v>#N/A</v>
      </c>
    </row>
    <row r="40" spans="1:46" s="63" customFormat="1" x14ac:dyDescent="0.25">
      <c r="A40" s="82"/>
      <c r="B40" s="82"/>
      <c r="C40" s="64"/>
      <c r="D40" s="64"/>
      <c r="E40" s="64"/>
      <c r="F40" s="64"/>
      <c r="G40" s="64"/>
      <c r="H40" s="64"/>
      <c r="I40" s="64"/>
      <c r="J40" s="64"/>
      <c r="K40" s="64"/>
      <c r="L40" s="64"/>
      <c r="M40" s="64"/>
      <c r="N40" s="406"/>
      <c r="O40" s="64"/>
      <c r="P40" s="410"/>
      <c r="Q40" s="64"/>
      <c r="R40" s="401">
        <f t="shared" si="23"/>
        <v>0</v>
      </c>
      <c r="S40" s="401"/>
      <c r="T40" s="401"/>
      <c r="U40" s="64"/>
      <c r="V40" s="64"/>
      <c r="W40" s="413">
        <f t="shared" si="1"/>
        <v>0</v>
      </c>
      <c r="X40" s="403">
        <v>1</v>
      </c>
      <c r="Y40" s="403">
        <v>1</v>
      </c>
      <c r="Z40" s="403">
        <v>0</v>
      </c>
      <c r="AA40" s="38"/>
      <c r="AB40" s="409"/>
      <c r="AC40" s="38"/>
      <c r="AD40" s="68"/>
      <c r="AE40" s="68"/>
      <c r="AF40" s="68"/>
      <c r="AG40" s="68"/>
      <c r="AH40" s="68"/>
      <c r="AI40" s="38"/>
      <c r="AJ40" s="38"/>
      <c r="AK40" s="38"/>
      <c r="AL40" s="38"/>
      <c r="AM40" s="38"/>
      <c r="AN40" s="38"/>
      <c r="AO40" s="69"/>
      <c r="AP40" s="69"/>
      <c r="AQ40" s="69"/>
      <c r="AR40" s="69"/>
      <c r="AS40" s="68"/>
      <c r="AT40" s="66" t="e">
        <f>VLOOKUP(K40,[4]Planilha1!A$13:P$314,16,0)</f>
        <v>#N/A</v>
      </c>
    </row>
    <row r="41" spans="1:46" s="63" customFormat="1" x14ac:dyDescent="0.25">
      <c r="A41" s="82"/>
      <c r="B41" s="82"/>
      <c r="C41" s="64"/>
      <c r="D41" s="64"/>
      <c r="E41" s="64"/>
      <c r="F41" s="64"/>
      <c r="G41" s="64"/>
      <c r="H41" s="64"/>
      <c r="I41" s="64"/>
      <c r="J41" s="64"/>
      <c r="K41" s="64"/>
      <c r="L41" s="64"/>
      <c r="M41" s="64"/>
      <c r="N41" s="406"/>
      <c r="O41" s="64"/>
      <c r="P41" s="410"/>
      <c r="Q41" s="64"/>
      <c r="R41" s="401">
        <f t="shared" si="23"/>
        <v>0</v>
      </c>
      <c r="S41" s="401"/>
      <c r="T41" s="401"/>
      <c r="U41" s="64"/>
      <c r="V41" s="64"/>
      <c r="W41" s="413">
        <f t="shared" si="1"/>
        <v>0</v>
      </c>
      <c r="X41" s="403">
        <v>1</v>
      </c>
      <c r="Y41" s="403">
        <v>1</v>
      </c>
      <c r="Z41" s="403">
        <v>0</v>
      </c>
      <c r="AA41" s="38"/>
      <c r="AB41" s="409"/>
      <c r="AC41" s="38"/>
      <c r="AD41" s="68"/>
      <c r="AE41" s="68"/>
      <c r="AF41" s="68"/>
      <c r="AG41" s="68"/>
      <c r="AH41" s="68"/>
      <c r="AI41" s="38"/>
      <c r="AJ41" s="38"/>
      <c r="AK41" s="38"/>
      <c r="AL41" s="38"/>
      <c r="AM41" s="38"/>
      <c r="AN41" s="38"/>
      <c r="AO41" s="69"/>
      <c r="AP41" s="69"/>
      <c r="AQ41" s="69"/>
      <c r="AR41" s="69"/>
      <c r="AS41" s="68"/>
      <c r="AT41" s="66" t="e">
        <f>VLOOKUP(K41,[4]Planilha1!A$13:P$314,16,0)</f>
        <v>#N/A</v>
      </c>
    </row>
    <row r="42" spans="1:46" s="63" customFormat="1" x14ac:dyDescent="0.25">
      <c r="A42" s="82"/>
      <c r="B42" s="82"/>
      <c r="C42" s="64"/>
      <c r="D42" s="64"/>
      <c r="E42" s="64"/>
      <c r="F42" s="64"/>
      <c r="G42" s="64"/>
      <c r="H42" s="64"/>
      <c r="I42" s="64"/>
      <c r="J42" s="64"/>
      <c r="K42" s="64"/>
      <c r="L42" s="64"/>
      <c r="M42" s="64"/>
      <c r="N42" s="406"/>
      <c r="O42" s="64"/>
      <c r="P42" s="410"/>
      <c r="Q42" s="64"/>
      <c r="R42" s="401">
        <f t="shared" si="23"/>
        <v>0</v>
      </c>
      <c r="S42" s="401"/>
      <c r="T42" s="401"/>
      <c r="U42" s="64"/>
      <c r="V42" s="64"/>
      <c r="W42" s="413">
        <f t="shared" si="1"/>
        <v>0</v>
      </c>
      <c r="X42" s="403">
        <v>1</v>
      </c>
      <c r="Y42" s="403">
        <v>1</v>
      </c>
      <c r="Z42" s="403">
        <v>0</v>
      </c>
      <c r="AA42" s="38"/>
      <c r="AB42" s="409"/>
      <c r="AC42" s="38"/>
      <c r="AD42" s="68"/>
      <c r="AE42" s="68"/>
      <c r="AF42" s="68"/>
      <c r="AG42" s="68"/>
      <c r="AH42" s="68"/>
      <c r="AI42" s="38"/>
      <c r="AJ42" s="38"/>
      <c r="AK42" s="38"/>
      <c r="AL42" s="38"/>
      <c r="AM42" s="38"/>
      <c r="AN42" s="38"/>
      <c r="AO42" s="69"/>
      <c r="AP42" s="69"/>
      <c r="AQ42" s="69"/>
      <c r="AR42" s="69"/>
      <c r="AS42" s="68"/>
      <c r="AT42" s="66" t="e">
        <f>VLOOKUP(K42,[4]Planilha1!A$13:P$314,16,0)</f>
        <v>#N/A</v>
      </c>
    </row>
    <row r="43" spans="1:46" s="63" customFormat="1" x14ac:dyDescent="0.25">
      <c r="A43" s="82"/>
      <c r="B43" s="82"/>
      <c r="C43" s="64"/>
      <c r="D43" s="64"/>
      <c r="E43" s="64"/>
      <c r="F43" s="64"/>
      <c r="G43" s="64"/>
      <c r="H43" s="64"/>
      <c r="I43" s="64"/>
      <c r="J43" s="64"/>
      <c r="K43" s="64"/>
      <c r="L43" s="64"/>
      <c r="M43" s="64"/>
      <c r="N43" s="406"/>
      <c r="O43" s="64"/>
      <c r="P43" s="410"/>
      <c r="Q43" s="64"/>
      <c r="R43" s="401">
        <f t="shared" si="23"/>
        <v>0</v>
      </c>
      <c r="S43" s="401"/>
      <c r="T43" s="401"/>
      <c r="U43" s="64"/>
      <c r="V43" s="64"/>
      <c r="W43" s="413">
        <f t="shared" si="1"/>
        <v>0</v>
      </c>
      <c r="X43" s="403">
        <v>1</v>
      </c>
      <c r="Y43" s="403">
        <v>1</v>
      </c>
      <c r="Z43" s="403">
        <v>0</v>
      </c>
      <c r="AA43" s="38"/>
      <c r="AB43" s="409"/>
      <c r="AC43" s="38"/>
      <c r="AD43" s="68"/>
      <c r="AE43" s="68"/>
      <c r="AF43" s="68"/>
      <c r="AG43" s="68"/>
      <c r="AH43" s="68"/>
      <c r="AI43" s="38"/>
      <c r="AJ43" s="38"/>
      <c r="AK43" s="38"/>
      <c r="AL43" s="38"/>
      <c r="AM43" s="38"/>
      <c r="AN43" s="38"/>
      <c r="AO43" s="69"/>
      <c r="AP43" s="69"/>
      <c r="AQ43" s="69"/>
      <c r="AR43" s="69"/>
      <c r="AS43" s="68"/>
      <c r="AT43" s="66" t="e">
        <f>VLOOKUP(K43,[4]Planilha1!A$13:P$314,16,0)</f>
        <v>#N/A</v>
      </c>
    </row>
    <row r="44" spans="1:46" s="63" customFormat="1" x14ac:dyDescent="0.25">
      <c r="A44" s="82"/>
      <c r="B44" s="82"/>
      <c r="C44" s="64"/>
      <c r="D44" s="64"/>
      <c r="E44" s="64"/>
      <c r="F44" s="64"/>
      <c r="G44" s="64"/>
      <c r="H44" s="64"/>
      <c r="I44" s="64"/>
      <c r="J44" s="64"/>
      <c r="K44" s="64"/>
      <c r="L44" s="64"/>
      <c r="M44" s="64"/>
      <c r="N44" s="406"/>
      <c r="O44" s="64"/>
      <c r="P44" s="410"/>
      <c r="Q44" s="64"/>
      <c r="R44" s="401">
        <f t="shared" si="23"/>
        <v>0</v>
      </c>
      <c r="S44" s="401"/>
      <c r="T44" s="401"/>
      <c r="U44" s="64"/>
      <c r="V44" s="64"/>
      <c r="W44" s="413">
        <f t="shared" si="1"/>
        <v>0</v>
      </c>
      <c r="X44" s="403">
        <v>1</v>
      </c>
      <c r="Y44" s="403">
        <v>1</v>
      </c>
      <c r="Z44" s="403">
        <v>0</v>
      </c>
      <c r="AA44" s="38"/>
      <c r="AB44" s="409"/>
      <c r="AC44" s="38"/>
      <c r="AD44" s="68"/>
      <c r="AE44" s="68"/>
      <c r="AF44" s="68"/>
      <c r="AG44" s="68"/>
      <c r="AH44" s="68"/>
      <c r="AI44" s="38"/>
      <c r="AJ44" s="38"/>
      <c r="AK44" s="38"/>
      <c r="AL44" s="38"/>
      <c r="AM44" s="38"/>
      <c r="AN44" s="38"/>
      <c r="AO44" s="69"/>
      <c r="AP44" s="69"/>
      <c r="AQ44" s="69"/>
      <c r="AR44" s="69"/>
      <c r="AS44" s="68"/>
      <c r="AT44" s="66" t="e">
        <f>VLOOKUP(K44,[4]Planilha1!A$13:P$314,16,0)</f>
        <v>#N/A</v>
      </c>
    </row>
    <row r="45" spans="1:46" s="63" customFormat="1" x14ac:dyDescent="0.25">
      <c r="A45" s="82"/>
      <c r="B45" s="82"/>
      <c r="C45" s="64"/>
      <c r="D45" s="64"/>
      <c r="E45" s="64"/>
      <c r="F45" s="64"/>
      <c r="G45" s="64"/>
      <c r="H45" s="64"/>
      <c r="I45" s="64"/>
      <c r="J45" s="64"/>
      <c r="K45" s="64"/>
      <c r="L45" s="64"/>
      <c r="M45" s="64"/>
      <c r="N45" s="406"/>
      <c r="O45" s="64"/>
      <c r="P45" s="410"/>
      <c r="Q45" s="64"/>
      <c r="R45" s="401">
        <f t="shared" si="23"/>
        <v>0</v>
      </c>
      <c r="S45" s="401"/>
      <c r="T45" s="401"/>
      <c r="U45" s="64"/>
      <c r="V45" s="64"/>
      <c r="W45" s="413">
        <f t="shared" si="1"/>
        <v>0</v>
      </c>
      <c r="X45" s="403">
        <v>1</v>
      </c>
      <c r="Y45" s="403">
        <v>1</v>
      </c>
      <c r="Z45" s="403">
        <v>0</v>
      </c>
      <c r="AA45" s="38"/>
      <c r="AB45" s="409"/>
      <c r="AC45" s="38"/>
      <c r="AD45" s="68"/>
      <c r="AE45" s="68"/>
      <c r="AF45" s="68"/>
      <c r="AG45" s="68"/>
      <c r="AH45" s="68"/>
      <c r="AI45" s="38"/>
      <c r="AJ45" s="38"/>
      <c r="AK45" s="38"/>
      <c r="AL45" s="38"/>
      <c r="AM45" s="38"/>
      <c r="AN45" s="38"/>
      <c r="AO45" s="69"/>
      <c r="AP45" s="69"/>
      <c r="AQ45" s="69"/>
      <c r="AR45" s="69"/>
      <c r="AS45" s="68"/>
      <c r="AT45" s="66" t="e">
        <f>VLOOKUP(K45,[4]Planilha1!A$13:P$314,16,0)</f>
        <v>#N/A</v>
      </c>
    </row>
    <row r="46" spans="1:46" s="63" customFormat="1" x14ac:dyDescent="0.25">
      <c r="A46" s="82"/>
      <c r="B46" s="82"/>
      <c r="C46" s="64"/>
      <c r="D46" s="64"/>
      <c r="E46" s="64"/>
      <c r="F46" s="64"/>
      <c r="G46" s="64"/>
      <c r="H46" s="64"/>
      <c r="I46" s="64"/>
      <c r="J46" s="64"/>
      <c r="K46" s="64"/>
      <c r="L46" s="64"/>
      <c r="M46" s="64"/>
      <c r="N46" s="406"/>
      <c r="O46" s="64"/>
      <c r="P46" s="410"/>
      <c r="Q46" s="64"/>
      <c r="R46" s="401">
        <f t="shared" si="23"/>
        <v>0</v>
      </c>
      <c r="S46" s="401"/>
      <c r="T46" s="401"/>
      <c r="U46" s="64"/>
      <c r="V46" s="64"/>
      <c r="W46" s="413">
        <f t="shared" si="1"/>
        <v>0</v>
      </c>
      <c r="X46" s="403">
        <v>1</v>
      </c>
      <c r="Y46" s="403">
        <v>1</v>
      </c>
      <c r="Z46" s="403">
        <v>0</v>
      </c>
      <c r="AA46" s="38"/>
      <c r="AB46" s="409"/>
      <c r="AC46" s="38"/>
      <c r="AD46" s="68"/>
      <c r="AE46" s="68"/>
      <c r="AF46" s="68"/>
      <c r="AG46" s="68"/>
      <c r="AH46" s="68"/>
      <c r="AI46" s="38"/>
      <c r="AJ46" s="38"/>
      <c r="AK46" s="38"/>
      <c r="AL46" s="38"/>
      <c r="AM46" s="38"/>
      <c r="AN46" s="38"/>
      <c r="AO46" s="69"/>
      <c r="AP46" s="69"/>
      <c r="AQ46" s="69"/>
      <c r="AR46" s="69"/>
      <c r="AS46" s="68"/>
      <c r="AT46" s="66" t="e">
        <f>VLOOKUP(K46,[4]Planilha1!A$13:P$314,16,0)</f>
        <v>#N/A</v>
      </c>
    </row>
    <row r="47" spans="1:46" s="63" customFormat="1" x14ac:dyDescent="0.25">
      <c r="A47" s="82"/>
      <c r="B47" s="82"/>
      <c r="C47" s="64"/>
      <c r="D47" s="64"/>
      <c r="E47" s="64"/>
      <c r="F47" s="64"/>
      <c r="G47" s="64"/>
      <c r="H47" s="64"/>
      <c r="I47" s="64"/>
      <c r="J47" s="64"/>
      <c r="K47" s="64"/>
      <c r="L47" s="64"/>
      <c r="M47" s="64"/>
      <c r="N47" s="406"/>
      <c r="O47" s="64"/>
      <c r="P47" s="410"/>
      <c r="Q47" s="64"/>
      <c r="R47" s="401">
        <f t="shared" si="23"/>
        <v>0</v>
      </c>
      <c r="S47" s="401"/>
      <c r="T47" s="401"/>
      <c r="U47" s="64"/>
      <c r="V47" s="64"/>
      <c r="W47" s="413">
        <f t="shared" si="1"/>
        <v>0</v>
      </c>
      <c r="X47" s="403">
        <v>1</v>
      </c>
      <c r="Y47" s="403">
        <v>1</v>
      </c>
      <c r="Z47" s="403">
        <v>0</v>
      </c>
      <c r="AA47" s="38"/>
      <c r="AB47" s="409"/>
      <c r="AC47" s="38"/>
      <c r="AD47" s="68"/>
      <c r="AE47" s="68"/>
      <c r="AF47" s="68"/>
      <c r="AG47" s="68"/>
      <c r="AH47" s="68"/>
      <c r="AI47" s="38"/>
      <c r="AJ47" s="38"/>
      <c r="AK47" s="38"/>
      <c r="AL47" s="38"/>
      <c r="AM47" s="38"/>
      <c r="AN47" s="38"/>
      <c r="AO47" s="69"/>
      <c r="AP47" s="69"/>
      <c r="AQ47" s="69"/>
      <c r="AR47" s="69"/>
      <c r="AS47" s="68"/>
      <c r="AT47" s="66" t="e">
        <f>VLOOKUP(K47,[4]Planilha1!A$13:P$314,16,0)</f>
        <v>#N/A</v>
      </c>
    </row>
    <row r="48" spans="1:46" s="63" customFormat="1" x14ac:dyDescent="0.25">
      <c r="A48" s="82"/>
      <c r="B48" s="82"/>
      <c r="C48" s="64"/>
      <c r="D48" s="64"/>
      <c r="E48" s="64"/>
      <c r="F48" s="64"/>
      <c r="G48" s="64"/>
      <c r="H48" s="64"/>
      <c r="I48" s="64"/>
      <c r="J48" s="64"/>
      <c r="K48" s="64"/>
      <c r="L48" s="64"/>
      <c r="M48" s="64"/>
      <c r="N48" s="406"/>
      <c r="O48" s="64"/>
      <c r="P48" s="410"/>
      <c r="Q48" s="64"/>
      <c r="R48" s="401">
        <f t="shared" si="23"/>
        <v>0</v>
      </c>
      <c r="S48" s="401"/>
      <c r="T48" s="401"/>
      <c r="U48" s="64"/>
      <c r="V48" s="64"/>
      <c r="W48" s="413">
        <f t="shared" si="1"/>
        <v>0</v>
      </c>
      <c r="X48" s="403">
        <v>1</v>
      </c>
      <c r="Y48" s="403">
        <v>1</v>
      </c>
      <c r="Z48" s="403">
        <v>0</v>
      </c>
      <c r="AA48" s="38"/>
      <c r="AB48" s="409"/>
      <c r="AC48" s="38"/>
      <c r="AD48" s="68"/>
      <c r="AE48" s="68"/>
      <c r="AF48" s="68"/>
      <c r="AG48" s="68"/>
      <c r="AH48" s="68"/>
      <c r="AI48" s="38"/>
      <c r="AJ48" s="38"/>
      <c r="AK48" s="38"/>
      <c r="AL48" s="38"/>
      <c r="AM48" s="38"/>
      <c r="AN48" s="38"/>
      <c r="AO48" s="69"/>
      <c r="AP48" s="69"/>
      <c r="AQ48" s="69"/>
      <c r="AR48" s="69"/>
      <c r="AS48" s="68"/>
      <c r="AT48" s="66" t="e">
        <f>VLOOKUP(K48,[4]Planilha1!A$13:P$314,16,0)</f>
        <v>#N/A</v>
      </c>
    </row>
    <row r="49" spans="1:46" s="63" customFormat="1" x14ac:dyDescent="0.25">
      <c r="A49" s="82"/>
      <c r="B49" s="82"/>
      <c r="C49" s="64"/>
      <c r="D49" s="64"/>
      <c r="E49" s="64"/>
      <c r="F49" s="64"/>
      <c r="G49" s="64"/>
      <c r="H49" s="64"/>
      <c r="I49" s="64"/>
      <c r="J49" s="64"/>
      <c r="K49" s="64"/>
      <c r="L49" s="64"/>
      <c r="M49" s="64"/>
      <c r="N49" s="406"/>
      <c r="O49" s="64"/>
      <c r="P49" s="410"/>
      <c r="Q49" s="64"/>
      <c r="R49" s="401">
        <f t="shared" si="23"/>
        <v>0</v>
      </c>
      <c r="S49" s="401"/>
      <c r="T49" s="401"/>
      <c r="U49" s="64"/>
      <c r="V49" s="64"/>
      <c r="W49" s="413">
        <f t="shared" si="1"/>
        <v>0</v>
      </c>
      <c r="X49" s="403">
        <v>1</v>
      </c>
      <c r="Y49" s="403">
        <v>1</v>
      </c>
      <c r="Z49" s="403">
        <v>0</v>
      </c>
      <c r="AA49" s="38"/>
      <c r="AB49" s="409"/>
      <c r="AC49" s="38"/>
      <c r="AD49" s="68"/>
      <c r="AE49" s="68"/>
      <c r="AF49" s="68"/>
      <c r="AG49" s="68"/>
      <c r="AH49" s="68"/>
      <c r="AI49" s="38"/>
      <c r="AJ49" s="38"/>
      <c r="AK49" s="38"/>
      <c r="AL49" s="38"/>
      <c r="AM49" s="38"/>
      <c r="AN49" s="38"/>
      <c r="AO49" s="69"/>
      <c r="AP49" s="69"/>
      <c r="AQ49" s="69"/>
      <c r="AR49" s="69"/>
      <c r="AS49" s="68"/>
      <c r="AT49" s="66" t="e">
        <f>VLOOKUP(K49,[4]Planilha1!A$13:P$314,16,0)</f>
        <v>#N/A</v>
      </c>
    </row>
    <row r="50" spans="1:46" s="63" customFormat="1" x14ac:dyDescent="0.25">
      <c r="A50" s="82"/>
      <c r="B50" s="82"/>
      <c r="C50" s="64"/>
      <c r="D50" s="64"/>
      <c r="E50" s="64"/>
      <c r="F50" s="64"/>
      <c r="G50" s="64"/>
      <c r="H50" s="64"/>
      <c r="I50" s="64"/>
      <c r="J50" s="64"/>
      <c r="K50" s="64"/>
      <c r="L50" s="64"/>
      <c r="M50" s="64"/>
      <c r="N50" s="406"/>
      <c r="O50" s="64"/>
      <c r="P50" s="410"/>
      <c r="Q50" s="64"/>
      <c r="R50" s="401">
        <f t="shared" si="23"/>
        <v>0</v>
      </c>
      <c r="S50" s="401"/>
      <c r="T50" s="401"/>
      <c r="U50" s="64"/>
      <c r="V50" s="64"/>
      <c r="W50" s="413">
        <f t="shared" si="1"/>
        <v>0</v>
      </c>
      <c r="X50" s="403">
        <v>1</v>
      </c>
      <c r="Y50" s="403">
        <v>1</v>
      </c>
      <c r="Z50" s="403">
        <v>0</v>
      </c>
      <c r="AA50" s="38"/>
      <c r="AB50" s="409"/>
      <c r="AC50" s="38"/>
      <c r="AD50" s="68"/>
      <c r="AE50" s="68"/>
      <c r="AF50" s="68"/>
      <c r="AG50" s="68"/>
      <c r="AH50" s="68"/>
      <c r="AI50" s="38"/>
      <c r="AJ50" s="38"/>
      <c r="AK50" s="38"/>
      <c r="AL50" s="38"/>
      <c r="AM50" s="38"/>
      <c r="AN50" s="38"/>
      <c r="AO50" s="69"/>
      <c r="AP50" s="69"/>
      <c r="AQ50" s="69"/>
      <c r="AR50" s="69"/>
      <c r="AS50" s="68"/>
      <c r="AT50" s="66" t="e">
        <f>VLOOKUP(K50,[4]Planilha1!A$13:P$314,16,0)</f>
        <v>#N/A</v>
      </c>
    </row>
    <row r="51" spans="1:46" s="63" customFormat="1" x14ac:dyDescent="0.25">
      <c r="A51" s="82"/>
      <c r="B51" s="82"/>
      <c r="C51" s="64"/>
      <c r="D51" s="64"/>
      <c r="E51" s="64"/>
      <c r="F51" s="64"/>
      <c r="G51" s="64"/>
      <c r="H51" s="64"/>
      <c r="I51" s="64"/>
      <c r="J51" s="64"/>
      <c r="K51" s="64"/>
      <c r="L51" s="64"/>
      <c r="M51" s="64"/>
      <c r="N51" s="406"/>
      <c r="O51" s="64"/>
      <c r="P51" s="410"/>
      <c r="Q51" s="64"/>
      <c r="R51" s="401">
        <f t="shared" si="23"/>
        <v>0</v>
      </c>
      <c r="S51" s="401"/>
      <c r="T51" s="401"/>
      <c r="U51" s="64"/>
      <c r="V51" s="64"/>
      <c r="W51" s="413">
        <f t="shared" si="1"/>
        <v>0</v>
      </c>
      <c r="X51" s="403">
        <v>1</v>
      </c>
      <c r="Y51" s="403">
        <v>1</v>
      </c>
      <c r="Z51" s="403">
        <v>0</v>
      </c>
      <c r="AA51" s="38"/>
      <c r="AB51" s="409"/>
      <c r="AC51" s="38"/>
      <c r="AD51" s="68"/>
      <c r="AE51" s="68"/>
      <c r="AF51" s="68"/>
      <c r="AG51" s="68"/>
      <c r="AH51" s="68"/>
      <c r="AI51" s="38"/>
      <c r="AJ51" s="38"/>
      <c r="AK51" s="38"/>
      <c r="AL51" s="38"/>
      <c r="AM51" s="38"/>
      <c r="AN51" s="38"/>
      <c r="AO51" s="69"/>
      <c r="AP51" s="69"/>
      <c r="AQ51" s="69"/>
      <c r="AR51" s="69"/>
      <c r="AS51" s="68"/>
      <c r="AT51" s="66" t="e">
        <f>VLOOKUP(K51,[4]Planilha1!A$13:P$314,16,0)</f>
        <v>#N/A</v>
      </c>
    </row>
    <row r="52" spans="1:46" s="63" customFormat="1" x14ac:dyDescent="0.25">
      <c r="A52" s="82"/>
      <c r="B52" s="82"/>
      <c r="C52" s="64"/>
      <c r="D52" s="64"/>
      <c r="E52" s="64"/>
      <c r="F52" s="64"/>
      <c r="G52" s="64"/>
      <c r="H52" s="64"/>
      <c r="I52" s="64"/>
      <c r="J52" s="64"/>
      <c r="K52" s="64"/>
      <c r="L52" s="64"/>
      <c r="M52" s="64"/>
      <c r="N52" s="406"/>
      <c r="O52" s="64"/>
      <c r="P52" s="410"/>
      <c r="Q52" s="64"/>
      <c r="R52" s="401">
        <f t="shared" si="23"/>
        <v>0</v>
      </c>
      <c r="S52" s="401"/>
      <c r="T52" s="401"/>
      <c r="U52" s="64"/>
      <c r="V52" s="64"/>
      <c r="W52" s="413">
        <f t="shared" si="1"/>
        <v>0</v>
      </c>
      <c r="X52" s="403">
        <v>1</v>
      </c>
      <c r="Y52" s="403">
        <v>1</v>
      </c>
      <c r="Z52" s="403">
        <v>0</v>
      </c>
      <c r="AA52" s="38"/>
      <c r="AB52" s="409"/>
      <c r="AC52" s="38"/>
      <c r="AD52" s="68"/>
      <c r="AE52" s="68"/>
      <c r="AF52" s="68"/>
      <c r="AG52" s="68"/>
      <c r="AH52" s="68"/>
      <c r="AI52" s="38"/>
      <c r="AJ52" s="38"/>
      <c r="AK52" s="38"/>
      <c r="AL52" s="38"/>
      <c r="AM52" s="38"/>
      <c r="AN52" s="38"/>
      <c r="AO52" s="69"/>
      <c r="AP52" s="69"/>
      <c r="AQ52" s="69"/>
      <c r="AR52" s="69"/>
      <c r="AS52" s="68"/>
      <c r="AT52" s="66" t="e">
        <f>VLOOKUP(K52,[4]Planilha1!A$13:P$314,16,0)</f>
        <v>#N/A</v>
      </c>
    </row>
    <row r="53" spans="1:46" s="63" customFormat="1" x14ac:dyDescent="0.25">
      <c r="A53" s="82"/>
      <c r="B53" s="82"/>
      <c r="C53" s="64"/>
      <c r="D53" s="64"/>
      <c r="E53" s="64"/>
      <c r="F53" s="64"/>
      <c r="G53" s="64"/>
      <c r="H53" s="64"/>
      <c r="I53" s="64"/>
      <c r="J53" s="64"/>
      <c r="K53" s="64"/>
      <c r="L53" s="64"/>
      <c r="M53" s="64"/>
      <c r="N53" s="406"/>
      <c r="O53" s="64"/>
      <c r="P53" s="410"/>
      <c r="Q53" s="64"/>
      <c r="R53" s="401">
        <f t="shared" si="23"/>
        <v>0</v>
      </c>
      <c r="S53" s="401"/>
      <c r="T53" s="401"/>
      <c r="U53" s="64"/>
      <c r="V53" s="64"/>
      <c r="W53" s="413">
        <f t="shared" si="1"/>
        <v>0</v>
      </c>
      <c r="X53" s="403">
        <v>0</v>
      </c>
      <c r="Y53" s="403">
        <v>0</v>
      </c>
      <c r="Z53" s="403">
        <v>0</v>
      </c>
      <c r="AA53" s="38"/>
      <c r="AB53" s="409"/>
      <c r="AC53" s="38"/>
      <c r="AD53" s="68"/>
      <c r="AE53" s="68"/>
      <c r="AF53" s="68"/>
      <c r="AG53" s="68"/>
      <c r="AH53" s="68"/>
      <c r="AI53" s="38"/>
      <c r="AJ53" s="38"/>
      <c r="AK53" s="38"/>
      <c r="AL53" s="38"/>
      <c r="AM53" s="38"/>
      <c r="AN53" s="38"/>
      <c r="AO53" s="69"/>
      <c r="AP53" s="69"/>
      <c r="AQ53" s="69"/>
      <c r="AR53" s="69"/>
      <c r="AS53" s="68"/>
      <c r="AT53" s="66" t="e">
        <f>VLOOKUP(K53,[4]Planilha1!A$13:P$314,16,0)</f>
        <v>#N/A</v>
      </c>
    </row>
    <row r="54" spans="1:46" s="63" customFormat="1" x14ac:dyDescent="0.25">
      <c r="A54" s="82"/>
      <c r="B54" s="82"/>
      <c r="C54" s="64"/>
      <c r="D54" s="64"/>
      <c r="E54" s="64"/>
      <c r="F54" s="64"/>
      <c r="G54" s="64"/>
      <c r="H54" s="64"/>
      <c r="I54" s="64"/>
      <c r="J54" s="64"/>
      <c r="K54" s="64"/>
      <c r="L54" s="64"/>
      <c r="M54" s="64"/>
      <c r="N54" s="406"/>
      <c r="O54" s="64"/>
      <c r="P54" s="410"/>
      <c r="Q54" s="64"/>
      <c r="R54" s="401">
        <f t="shared" si="23"/>
        <v>0</v>
      </c>
      <c r="S54" s="401"/>
      <c r="T54" s="401"/>
      <c r="U54" s="64"/>
      <c r="V54" s="64"/>
      <c r="W54" s="413">
        <f t="shared" si="1"/>
        <v>0</v>
      </c>
      <c r="X54" s="403">
        <v>0</v>
      </c>
      <c r="Y54" s="403">
        <v>0</v>
      </c>
      <c r="Z54" s="403">
        <v>0</v>
      </c>
      <c r="AA54" s="38"/>
      <c r="AB54" s="409"/>
      <c r="AC54" s="38"/>
      <c r="AD54" s="68"/>
      <c r="AE54" s="68"/>
      <c r="AF54" s="68"/>
      <c r="AG54" s="68"/>
      <c r="AH54" s="68"/>
      <c r="AI54" s="38"/>
      <c r="AJ54" s="38"/>
      <c r="AK54" s="38"/>
      <c r="AL54" s="38"/>
      <c r="AM54" s="38"/>
      <c r="AN54" s="38"/>
      <c r="AO54" s="69"/>
      <c r="AP54" s="69"/>
      <c r="AQ54" s="69"/>
      <c r="AR54" s="69"/>
      <c r="AS54" s="68"/>
      <c r="AT54" s="66" t="e">
        <f>VLOOKUP(K54,[4]Planilha1!A$13:P$314,16,0)</f>
        <v>#N/A</v>
      </c>
    </row>
    <row r="55" spans="1:46" s="63" customFormat="1" x14ac:dyDescent="0.25">
      <c r="A55" s="82"/>
      <c r="B55" s="82"/>
      <c r="C55" s="64"/>
      <c r="D55" s="64"/>
      <c r="E55" s="64"/>
      <c r="F55" s="64"/>
      <c r="G55" s="64"/>
      <c r="H55" s="64"/>
      <c r="I55" s="64"/>
      <c r="J55" s="64"/>
      <c r="K55" s="64"/>
      <c r="L55" s="64"/>
      <c r="M55" s="64"/>
      <c r="N55" s="406"/>
      <c r="O55" s="64"/>
      <c r="P55" s="410"/>
      <c r="Q55" s="64"/>
      <c r="R55" s="401">
        <f t="shared" si="23"/>
        <v>0</v>
      </c>
      <c r="S55" s="401"/>
      <c r="T55" s="401"/>
      <c r="U55" s="64"/>
      <c r="V55" s="64"/>
      <c r="W55" s="413">
        <f t="shared" si="1"/>
        <v>0</v>
      </c>
      <c r="X55" s="403">
        <v>0</v>
      </c>
      <c r="Y55" s="403">
        <v>0</v>
      </c>
      <c r="Z55" s="403">
        <v>0</v>
      </c>
      <c r="AA55" s="38"/>
      <c r="AB55" s="409"/>
      <c r="AC55" s="38"/>
      <c r="AD55" s="68"/>
      <c r="AE55" s="68"/>
      <c r="AF55" s="68"/>
      <c r="AG55" s="68"/>
      <c r="AH55" s="68"/>
      <c r="AI55" s="38"/>
      <c r="AJ55" s="38"/>
      <c r="AK55" s="38"/>
      <c r="AL55" s="38"/>
      <c r="AM55" s="38"/>
      <c r="AN55" s="38"/>
      <c r="AO55" s="69"/>
      <c r="AP55" s="69"/>
      <c r="AQ55" s="69"/>
      <c r="AR55" s="69"/>
      <c r="AS55" s="68"/>
      <c r="AT55" s="66" t="e">
        <f>VLOOKUP(K55,[4]Planilha1!A$13:P$314,16,0)</f>
        <v>#N/A</v>
      </c>
    </row>
    <row r="56" spans="1:46" s="63" customFormat="1" x14ac:dyDescent="0.25">
      <c r="A56" s="82"/>
      <c r="B56" s="82"/>
      <c r="C56" s="64"/>
      <c r="D56" s="64"/>
      <c r="E56" s="64"/>
      <c r="F56" s="64"/>
      <c r="G56" s="64"/>
      <c r="H56" s="64"/>
      <c r="I56" s="64"/>
      <c r="J56" s="64"/>
      <c r="K56" s="64"/>
      <c r="L56" s="64"/>
      <c r="M56" s="64"/>
      <c r="N56" s="406"/>
      <c r="O56" s="64"/>
      <c r="P56" s="410"/>
      <c r="Q56" s="64"/>
      <c r="R56" s="401">
        <f t="shared" si="23"/>
        <v>0</v>
      </c>
      <c r="S56" s="401"/>
      <c r="T56" s="401"/>
      <c r="U56" s="64"/>
      <c r="V56" s="64"/>
      <c r="W56" s="413">
        <f t="shared" si="1"/>
        <v>0</v>
      </c>
      <c r="X56" s="403">
        <v>0</v>
      </c>
      <c r="Y56" s="403">
        <v>0</v>
      </c>
      <c r="Z56" s="403"/>
      <c r="AA56" s="38"/>
      <c r="AB56" s="409"/>
      <c r="AC56" s="38"/>
      <c r="AD56" s="68"/>
      <c r="AE56" s="68"/>
      <c r="AF56" s="68"/>
      <c r="AG56" s="68"/>
      <c r="AH56" s="68"/>
      <c r="AI56" s="38"/>
      <c r="AJ56" s="38"/>
      <c r="AK56" s="38"/>
      <c r="AL56" s="38"/>
      <c r="AM56" s="38"/>
      <c r="AN56" s="38"/>
      <c r="AO56" s="69"/>
      <c r="AP56" s="69"/>
      <c r="AQ56" s="69"/>
      <c r="AR56" s="69"/>
      <c r="AS56" s="68"/>
      <c r="AT56" s="66" t="e">
        <f>VLOOKUP(K56,[4]Planilha1!A$13:P$314,16,0)</f>
        <v>#N/A</v>
      </c>
    </row>
    <row r="57" spans="1:46" s="63" customFormat="1" x14ac:dyDescent="0.25">
      <c r="A57" s="82"/>
      <c r="B57" s="82"/>
      <c r="C57" s="64"/>
      <c r="D57" s="64"/>
      <c r="E57" s="64"/>
      <c r="F57" s="64"/>
      <c r="G57" s="64"/>
      <c r="H57" s="64"/>
      <c r="I57" s="64"/>
      <c r="J57" s="64"/>
      <c r="K57" s="64"/>
      <c r="L57" s="64"/>
      <c r="M57" s="64"/>
      <c r="N57" s="406"/>
      <c r="O57" s="64"/>
      <c r="P57" s="410"/>
      <c r="Q57" s="64"/>
      <c r="R57" s="401">
        <f t="shared" si="23"/>
        <v>0</v>
      </c>
      <c r="S57" s="401"/>
      <c r="T57" s="401"/>
      <c r="U57" s="64"/>
      <c r="V57" s="64"/>
      <c r="W57" s="413">
        <f t="shared" si="1"/>
        <v>0</v>
      </c>
      <c r="X57" s="403">
        <v>1</v>
      </c>
      <c r="Y57" s="403">
        <v>1</v>
      </c>
      <c r="Z57" s="403">
        <v>0</v>
      </c>
      <c r="AA57" s="38"/>
      <c r="AB57" s="409"/>
      <c r="AC57" s="38"/>
      <c r="AD57" s="68"/>
      <c r="AE57" s="68"/>
      <c r="AF57" s="68"/>
      <c r="AG57" s="68"/>
      <c r="AH57" s="68"/>
      <c r="AI57" s="38"/>
      <c r="AJ57" s="38"/>
      <c r="AK57" s="38"/>
      <c r="AL57" s="38"/>
      <c r="AM57" s="38"/>
      <c r="AN57" s="38"/>
      <c r="AO57" s="69"/>
      <c r="AP57" s="69"/>
      <c r="AQ57" s="69"/>
      <c r="AR57" s="69"/>
      <c r="AS57" s="68"/>
      <c r="AT57" s="66" t="e">
        <f>VLOOKUP(K57,[4]Planilha1!A$13:P$314,16,0)</f>
        <v>#N/A</v>
      </c>
    </row>
    <row r="58" spans="1:46" s="63" customFormat="1" x14ac:dyDescent="0.25">
      <c r="A58" s="82"/>
      <c r="B58" s="82"/>
      <c r="C58" s="64"/>
      <c r="D58" s="64"/>
      <c r="E58" s="64"/>
      <c r="F58" s="64"/>
      <c r="G58" s="64"/>
      <c r="H58" s="64"/>
      <c r="I58" s="64"/>
      <c r="J58" s="64"/>
      <c r="K58" s="64"/>
      <c r="L58" s="64"/>
      <c r="M58" s="64"/>
      <c r="N58" s="406"/>
      <c r="O58" s="64"/>
      <c r="P58" s="410"/>
      <c r="Q58" s="64"/>
      <c r="R58" s="401">
        <f t="shared" si="23"/>
        <v>0</v>
      </c>
      <c r="S58" s="401"/>
      <c r="T58" s="401"/>
      <c r="U58" s="64"/>
      <c r="V58" s="64"/>
      <c r="W58" s="413">
        <f t="shared" si="1"/>
        <v>0</v>
      </c>
      <c r="X58" s="403">
        <v>1</v>
      </c>
      <c r="Y58" s="403">
        <v>1</v>
      </c>
      <c r="Z58" s="403">
        <v>0</v>
      </c>
      <c r="AA58" s="38"/>
      <c r="AB58" s="409"/>
      <c r="AC58" s="38"/>
      <c r="AD58" s="68"/>
      <c r="AE58" s="68"/>
      <c r="AF58" s="68"/>
      <c r="AG58" s="68"/>
      <c r="AH58" s="68"/>
      <c r="AI58" s="38"/>
      <c r="AJ58" s="38"/>
      <c r="AK58" s="38"/>
      <c r="AL58" s="38"/>
      <c r="AM58" s="38"/>
      <c r="AN58" s="38"/>
      <c r="AO58" s="69"/>
      <c r="AP58" s="69"/>
      <c r="AQ58" s="69"/>
      <c r="AR58" s="69"/>
      <c r="AS58" s="68"/>
      <c r="AT58" s="66" t="e">
        <f>VLOOKUP(K58,[4]Planilha1!A$13:P$314,16,0)</f>
        <v>#N/A</v>
      </c>
    </row>
    <row r="59" spans="1:46" s="63" customFormat="1" x14ac:dyDescent="0.25">
      <c r="A59" s="82"/>
      <c r="B59" s="82"/>
      <c r="C59" s="64"/>
      <c r="D59" s="64"/>
      <c r="E59" s="64"/>
      <c r="F59" s="64"/>
      <c r="G59" s="64"/>
      <c r="H59" s="64"/>
      <c r="I59" s="64"/>
      <c r="J59" s="64"/>
      <c r="K59" s="64"/>
      <c r="L59" s="64"/>
      <c r="M59" s="64"/>
      <c r="N59" s="406"/>
      <c r="O59" s="64"/>
      <c r="P59" s="410"/>
      <c r="Q59" s="64"/>
      <c r="R59" s="401">
        <f t="shared" si="23"/>
        <v>0</v>
      </c>
      <c r="S59" s="401"/>
      <c r="T59" s="401"/>
      <c r="U59" s="64"/>
      <c r="V59" s="64"/>
      <c r="W59" s="413">
        <f t="shared" si="1"/>
        <v>0</v>
      </c>
      <c r="X59" s="403">
        <v>1</v>
      </c>
      <c r="Y59" s="403">
        <v>1</v>
      </c>
      <c r="Z59" s="403">
        <v>0</v>
      </c>
      <c r="AA59" s="38"/>
      <c r="AB59" s="409"/>
      <c r="AC59" s="38"/>
      <c r="AD59" s="68"/>
      <c r="AE59" s="68"/>
      <c r="AF59" s="68"/>
      <c r="AG59" s="68"/>
      <c r="AH59" s="68"/>
      <c r="AI59" s="38"/>
      <c r="AJ59" s="38"/>
      <c r="AK59" s="38"/>
      <c r="AL59" s="38"/>
      <c r="AM59" s="38"/>
      <c r="AN59" s="38"/>
      <c r="AO59" s="69"/>
      <c r="AP59" s="69"/>
      <c r="AQ59" s="69"/>
      <c r="AR59" s="69"/>
      <c r="AS59" s="68"/>
      <c r="AT59" s="66" t="e">
        <f>VLOOKUP(K59,[4]Planilha1!A$13:P$314,16,0)</f>
        <v>#N/A</v>
      </c>
    </row>
    <row r="60" spans="1:46" s="63" customFormat="1" x14ac:dyDescent="0.25">
      <c r="A60" s="82"/>
      <c r="B60" s="82"/>
      <c r="C60" s="64"/>
      <c r="D60" s="64"/>
      <c r="E60" s="64"/>
      <c r="F60" s="64"/>
      <c r="G60" s="64"/>
      <c r="H60" s="64"/>
      <c r="I60" s="64"/>
      <c r="J60" s="64"/>
      <c r="K60" s="64"/>
      <c r="L60" s="64"/>
      <c r="M60" s="64"/>
      <c r="N60" s="406"/>
      <c r="O60" s="64"/>
      <c r="P60" s="410"/>
      <c r="Q60" s="64"/>
      <c r="R60" s="401">
        <f t="shared" si="23"/>
        <v>0</v>
      </c>
      <c r="S60" s="401"/>
      <c r="T60" s="401"/>
      <c r="U60" s="64"/>
      <c r="V60" s="64"/>
      <c r="W60" s="413">
        <f t="shared" si="1"/>
        <v>0</v>
      </c>
      <c r="X60" s="403">
        <v>0</v>
      </c>
      <c r="Y60" s="403">
        <v>0</v>
      </c>
      <c r="Z60" s="403"/>
      <c r="AA60" s="38"/>
      <c r="AB60" s="409"/>
      <c r="AC60" s="38"/>
      <c r="AD60" s="68"/>
      <c r="AE60" s="68"/>
      <c r="AF60" s="68"/>
      <c r="AG60" s="68"/>
      <c r="AH60" s="68"/>
      <c r="AI60" s="38"/>
      <c r="AJ60" s="38"/>
      <c r="AK60" s="38"/>
      <c r="AL60" s="38"/>
      <c r="AM60" s="38"/>
      <c r="AN60" s="38"/>
      <c r="AO60" s="69"/>
      <c r="AP60" s="69"/>
      <c r="AQ60" s="69"/>
      <c r="AR60" s="69"/>
      <c r="AS60" s="68"/>
      <c r="AT60" s="66" t="e">
        <f>VLOOKUP(K60,[4]Planilha1!A$13:P$314,16,0)</f>
        <v>#N/A</v>
      </c>
    </row>
    <row r="61" spans="1:46" s="63" customFormat="1" x14ac:dyDescent="0.25">
      <c r="A61" s="82"/>
      <c r="B61" s="82"/>
      <c r="C61" s="64"/>
      <c r="D61" s="64"/>
      <c r="E61" s="64"/>
      <c r="F61" s="64"/>
      <c r="G61" s="64"/>
      <c r="H61" s="64"/>
      <c r="I61" s="64"/>
      <c r="J61" s="64"/>
      <c r="K61" s="64"/>
      <c r="L61" s="64"/>
      <c r="M61" s="64"/>
      <c r="N61" s="406"/>
      <c r="O61" s="64"/>
      <c r="P61" s="410"/>
      <c r="Q61" s="64"/>
      <c r="R61" s="401">
        <f t="shared" si="23"/>
        <v>0</v>
      </c>
      <c r="S61" s="401"/>
      <c r="T61" s="401"/>
      <c r="U61" s="64"/>
      <c r="V61" s="64"/>
      <c r="W61" s="413">
        <f t="shared" si="1"/>
        <v>0</v>
      </c>
      <c r="X61" s="403">
        <v>0</v>
      </c>
      <c r="Y61" s="403">
        <v>0</v>
      </c>
      <c r="Z61" s="403"/>
      <c r="AA61" s="38"/>
      <c r="AB61" s="409"/>
      <c r="AC61" s="38"/>
      <c r="AD61" s="68"/>
      <c r="AE61" s="68"/>
      <c r="AF61" s="68"/>
      <c r="AG61" s="68"/>
      <c r="AH61" s="68"/>
      <c r="AI61" s="38"/>
      <c r="AJ61" s="38"/>
      <c r="AK61" s="38"/>
      <c r="AL61" s="38"/>
      <c r="AM61" s="38"/>
      <c r="AN61" s="38"/>
      <c r="AO61" s="69"/>
      <c r="AP61" s="69"/>
      <c r="AQ61" s="69"/>
      <c r="AR61" s="69"/>
      <c r="AS61" s="68"/>
      <c r="AT61" s="66" t="e">
        <f>VLOOKUP(K61,[4]Planilha1!A$13:P$314,16,0)</f>
        <v>#N/A</v>
      </c>
    </row>
    <row r="62" spans="1:46" s="63" customFormat="1" x14ac:dyDescent="0.25">
      <c r="A62" s="82"/>
      <c r="B62" s="82"/>
      <c r="C62" s="64"/>
      <c r="D62" s="64"/>
      <c r="E62" s="64"/>
      <c r="F62" s="64"/>
      <c r="G62" s="64"/>
      <c r="H62" s="64"/>
      <c r="I62" s="64"/>
      <c r="J62" s="64"/>
      <c r="K62" s="64"/>
      <c r="L62" s="64"/>
      <c r="M62" s="64"/>
      <c r="N62" s="406"/>
      <c r="O62" s="64"/>
      <c r="P62" s="410"/>
      <c r="Q62" s="64"/>
      <c r="R62" s="401">
        <f t="shared" si="23"/>
        <v>0</v>
      </c>
      <c r="S62" s="401"/>
      <c r="T62" s="401"/>
      <c r="U62" s="64"/>
      <c r="V62" s="64"/>
      <c r="W62" s="413">
        <f t="shared" si="1"/>
        <v>0</v>
      </c>
      <c r="X62" s="403">
        <v>0</v>
      </c>
      <c r="Y62" s="403">
        <v>0</v>
      </c>
      <c r="Z62" s="403"/>
      <c r="AA62" s="38"/>
      <c r="AB62" s="409"/>
      <c r="AC62" s="38"/>
      <c r="AD62" s="68"/>
      <c r="AE62" s="68"/>
      <c r="AF62" s="68"/>
      <c r="AG62" s="68"/>
      <c r="AH62" s="68"/>
      <c r="AI62" s="38"/>
      <c r="AJ62" s="38"/>
      <c r="AK62" s="38"/>
      <c r="AL62" s="38"/>
      <c r="AM62" s="38"/>
      <c r="AN62" s="38"/>
      <c r="AO62" s="69"/>
      <c r="AP62" s="69"/>
      <c r="AQ62" s="69"/>
      <c r="AR62" s="69"/>
      <c r="AS62" s="68"/>
      <c r="AT62" s="66" t="e">
        <f>VLOOKUP(K62,[4]Planilha1!A$13:P$314,16,0)</f>
        <v>#N/A</v>
      </c>
    </row>
    <row r="63" spans="1:46" s="63" customFormat="1" x14ac:dyDescent="0.25">
      <c r="A63" s="82"/>
      <c r="B63" s="82"/>
      <c r="C63" s="64"/>
      <c r="D63" s="64"/>
      <c r="E63" s="64"/>
      <c r="F63" s="64"/>
      <c r="G63" s="64"/>
      <c r="H63" s="64"/>
      <c r="I63" s="64"/>
      <c r="J63" s="64"/>
      <c r="K63" s="64"/>
      <c r="L63" s="64"/>
      <c r="M63" s="64"/>
      <c r="N63" s="406"/>
      <c r="O63" s="64"/>
      <c r="P63" s="410"/>
      <c r="Q63" s="64"/>
      <c r="R63" s="401">
        <f t="shared" si="23"/>
        <v>0</v>
      </c>
      <c r="S63" s="401"/>
      <c r="T63" s="401"/>
      <c r="U63" s="64"/>
      <c r="V63" s="64"/>
      <c r="W63" s="413">
        <f t="shared" si="1"/>
        <v>0</v>
      </c>
      <c r="X63" s="403">
        <v>0</v>
      </c>
      <c r="Y63" s="403">
        <v>0</v>
      </c>
      <c r="Z63" s="403">
        <v>0</v>
      </c>
      <c r="AA63" s="38"/>
      <c r="AB63" s="409"/>
      <c r="AC63" s="38"/>
      <c r="AD63" s="68"/>
      <c r="AE63" s="68"/>
      <c r="AF63" s="68"/>
      <c r="AG63" s="68"/>
      <c r="AH63" s="68"/>
      <c r="AI63" s="38"/>
      <c r="AJ63" s="38"/>
      <c r="AK63" s="38"/>
      <c r="AL63" s="38"/>
      <c r="AM63" s="38"/>
      <c r="AN63" s="38"/>
      <c r="AO63" s="69"/>
      <c r="AP63" s="69"/>
      <c r="AQ63" s="69"/>
      <c r="AR63" s="69"/>
      <c r="AS63" s="68"/>
      <c r="AT63" s="66" t="e">
        <f>VLOOKUP(K63,[4]Planilha1!A$13:P$314,16,0)</f>
        <v>#N/A</v>
      </c>
    </row>
    <row r="64" spans="1:46" s="63" customFormat="1" x14ac:dyDescent="0.25">
      <c r="A64" s="82"/>
      <c r="B64" s="82"/>
      <c r="C64" s="64"/>
      <c r="D64" s="64"/>
      <c r="E64" s="64"/>
      <c r="F64" s="64"/>
      <c r="G64" s="64"/>
      <c r="H64" s="64"/>
      <c r="I64" s="64"/>
      <c r="J64" s="64"/>
      <c r="K64" s="64"/>
      <c r="L64" s="64"/>
      <c r="M64" s="64"/>
      <c r="N64" s="406"/>
      <c r="O64" s="64"/>
      <c r="P64" s="410"/>
      <c r="Q64" s="64"/>
      <c r="R64" s="401">
        <f t="shared" si="23"/>
        <v>0</v>
      </c>
      <c r="S64" s="401"/>
      <c r="T64" s="401"/>
      <c r="U64" s="64"/>
      <c r="V64" s="64"/>
      <c r="W64" s="413">
        <f t="shared" si="1"/>
        <v>0</v>
      </c>
      <c r="X64" s="403">
        <v>0</v>
      </c>
      <c r="Y64" s="403">
        <v>0</v>
      </c>
      <c r="Z64" s="403">
        <v>0</v>
      </c>
      <c r="AA64" s="38"/>
      <c r="AB64" s="409"/>
      <c r="AC64" s="38"/>
      <c r="AD64" s="68"/>
      <c r="AE64" s="68"/>
      <c r="AF64" s="68"/>
      <c r="AG64" s="68"/>
      <c r="AH64" s="68"/>
      <c r="AI64" s="38"/>
      <c r="AJ64" s="38"/>
      <c r="AK64" s="38"/>
      <c r="AL64" s="38"/>
      <c r="AM64" s="38"/>
      <c r="AN64" s="38"/>
      <c r="AO64" s="69"/>
      <c r="AP64" s="69"/>
      <c r="AQ64" s="69"/>
      <c r="AR64" s="69"/>
      <c r="AS64" s="68"/>
      <c r="AT64" s="66" t="e">
        <f>VLOOKUP(K64,[4]Planilha1!A$13:P$314,16,0)</f>
        <v>#N/A</v>
      </c>
    </row>
    <row r="65" spans="1:46" s="63" customFormat="1" x14ac:dyDescent="0.25">
      <c r="A65" s="82"/>
      <c r="B65" s="82"/>
      <c r="C65" s="64"/>
      <c r="D65" s="64"/>
      <c r="E65" s="64"/>
      <c r="F65" s="64"/>
      <c r="G65" s="64"/>
      <c r="H65" s="64"/>
      <c r="I65" s="64"/>
      <c r="J65" s="64"/>
      <c r="K65" s="64"/>
      <c r="L65" s="64"/>
      <c r="M65" s="64"/>
      <c r="N65" s="406"/>
      <c r="O65" s="64"/>
      <c r="P65" s="410"/>
      <c r="Q65" s="64"/>
      <c r="R65" s="401">
        <f t="shared" si="23"/>
        <v>0</v>
      </c>
      <c r="S65" s="401"/>
      <c r="T65" s="401"/>
      <c r="U65" s="64"/>
      <c r="V65" s="64"/>
      <c r="W65" s="413">
        <f t="shared" si="1"/>
        <v>0</v>
      </c>
      <c r="X65" s="403">
        <v>0</v>
      </c>
      <c r="Y65" s="403">
        <v>0</v>
      </c>
      <c r="Z65" s="403">
        <v>0</v>
      </c>
      <c r="AA65" s="38"/>
      <c r="AB65" s="409"/>
      <c r="AC65" s="38"/>
      <c r="AD65" s="68"/>
      <c r="AE65" s="68"/>
      <c r="AF65" s="68"/>
      <c r="AG65" s="68"/>
      <c r="AH65" s="68"/>
      <c r="AI65" s="38"/>
      <c r="AJ65" s="38"/>
      <c r="AK65" s="38"/>
      <c r="AL65" s="38"/>
      <c r="AM65" s="38"/>
      <c r="AN65" s="38"/>
      <c r="AO65" s="69"/>
      <c r="AP65" s="69"/>
      <c r="AQ65" s="69"/>
      <c r="AR65" s="69"/>
      <c r="AS65" s="68"/>
      <c r="AT65" s="66" t="e">
        <f>VLOOKUP(K65,[4]Planilha1!A$13:P$314,16,0)</f>
        <v>#N/A</v>
      </c>
    </row>
    <row r="66" spans="1:46" s="63" customFormat="1" x14ac:dyDescent="0.25">
      <c r="A66" s="82"/>
      <c r="B66" s="82"/>
      <c r="C66" s="64"/>
      <c r="D66" s="64"/>
      <c r="E66" s="64"/>
      <c r="F66" s="64"/>
      <c r="G66" s="64"/>
      <c r="H66" s="64"/>
      <c r="I66" s="64"/>
      <c r="J66" s="64"/>
      <c r="K66" s="64"/>
      <c r="L66" s="64"/>
      <c r="M66" s="64"/>
      <c r="N66" s="406"/>
      <c r="O66" s="64"/>
      <c r="P66" s="410"/>
      <c r="Q66" s="64"/>
      <c r="R66" s="401">
        <f t="shared" si="23"/>
        <v>0</v>
      </c>
      <c r="S66" s="401"/>
      <c r="T66" s="401"/>
      <c r="U66" s="64" t="s">
        <v>8535</v>
      </c>
      <c r="V66" s="412">
        <v>0.92</v>
      </c>
      <c r="W66" s="413">
        <f t="shared" si="1"/>
        <v>0</v>
      </c>
      <c r="X66" s="403">
        <v>0</v>
      </c>
      <c r="Y66" s="403">
        <v>0</v>
      </c>
      <c r="Z66" s="403">
        <v>0</v>
      </c>
      <c r="AA66" s="38"/>
      <c r="AB66" s="409"/>
      <c r="AC66" s="38"/>
      <c r="AD66" s="68"/>
      <c r="AE66" s="68"/>
      <c r="AF66" s="68"/>
      <c r="AG66" s="68"/>
      <c r="AH66" s="68"/>
      <c r="AI66" s="38"/>
      <c r="AJ66" s="38"/>
      <c r="AK66" s="38"/>
      <c r="AL66" s="38"/>
      <c r="AM66" s="38"/>
      <c r="AN66" s="38"/>
      <c r="AO66" s="69"/>
      <c r="AP66" s="69"/>
      <c r="AQ66" s="69"/>
      <c r="AR66" s="69"/>
      <c r="AS66" s="68"/>
      <c r="AT66" s="66" t="e">
        <f>VLOOKUP(K66,[4]Planilha1!A$13:P$314,16,0)</f>
        <v>#N/A</v>
      </c>
    </row>
    <row r="67" spans="1:46" s="63" customFormat="1" x14ac:dyDescent="0.25">
      <c r="A67" s="82"/>
      <c r="B67" s="82"/>
      <c r="C67" s="64"/>
      <c r="D67" s="64"/>
      <c r="E67" s="64"/>
      <c r="F67" s="64"/>
      <c r="G67" s="64"/>
      <c r="H67" s="64"/>
      <c r="I67" s="64"/>
      <c r="J67" s="64"/>
      <c r="K67" s="64"/>
      <c r="L67" s="64"/>
      <c r="M67" s="64"/>
      <c r="N67" s="406"/>
      <c r="O67" s="64"/>
      <c r="P67" s="410"/>
      <c r="Q67" s="64"/>
      <c r="R67" s="401">
        <f t="shared" si="23"/>
        <v>0</v>
      </c>
      <c r="S67" s="401"/>
      <c r="T67" s="401"/>
      <c r="U67" s="64" t="s">
        <v>8535</v>
      </c>
      <c r="V67" s="412">
        <v>0.92</v>
      </c>
      <c r="W67" s="413">
        <f t="shared" si="1"/>
        <v>0</v>
      </c>
      <c r="X67" s="403">
        <v>1</v>
      </c>
      <c r="Y67" s="403">
        <v>1</v>
      </c>
      <c r="Z67" s="403">
        <v>0</v>
      </c>
      <c r="AA67" s="38"/>
      <c r="AB67" s="409"/>
      <c r="AC67" s="38"/>
      <c r="AD67" s="68"/>
      <c r="AE67" s="68"/>
      <c r="AF67" s="68"/>
      <c r="AG67" s="68"/>
      <c r="AH67" s="68"/>
      <c r="AI67" s="38"/>
      <c r="AJ67" s="38"/>
      <c r="AK67" s="38"/>
      <c r="AL67" s="38"/>
      <c r="AM67" s="38"/>
      <c r="AN67" s="38"/>
      <c r="AO67" s="69"/>
      <c r="AP67" s="69"/>
      <c r="AQ67" s="69"/>
      <c r="AR67" s="69"/>
      <c r="AS67" s="68"/>
      <c r="AT67" s="66" t="e">
        <f>VLOOKUP(K67,[4]Planilha1!A$13:P$314,16,0)</f>
        <v>#N/A</v>
      </c>
    </row>
    <row r="68" spans="1:46" s="63" customFormat="1" x14ac:dyDescent="0.25">
      <c r="A68" s="82"/>
      <c r="B68" s="82"/>
      <c r="C68" s="64"/>
      <c r="D68" s="64"/>
      <c r="E68" s="64"/>
      <c r="F68" s="64"/>
      <c r="G68" s="64"/>
      <c r="H68" s="64"/>
      <c r="I68" s="64"/>
      <c r="J68" s="64"/>
      <c r="K68" s="64"/>
      <c r="L68" s="64"/>
      <c r="M68" s="64"/>
      <c r="N68" s="406"/>
      <c r="O68" s="64"/>
      <c r="P68" s="410"/>
      <c r="Q68" s="64"/>
      <c r="R68" s="401">
        <f t="shared" si="23"/>
        <v>0</v>
      </c>
      <c r="S68" s="401"/>
      <c r="T68" s="401"/>
      <c r="U68" s="64" t="s">
        <v>8535</v>
      </c>
      <c r="V68" s="412">
        <v>0.92</v>
      </c>
      <c r="W68" s="413">
        <f t="shared" ref="W68:W75" si="24">V68*R68</f>
        <v>0</v>
      </c>
      <c r="X68" s="403">
        <v>1</v>
      </c>
      <c r="Y68" s="403">
        <v>1</v>
      </c>
      <c r="Z68" s="403">
        <v>0</v>
      </c>
      <c r="AA68" s="38"/>
      <c r="AB68" s="409"/>
      <c r="AC68" s="38"/>
      <c r="AD68" s="68"/>
      <c r="AE68" s="68"/>
      <c r="AF68" s="68"/>
      <c r="AG68" s="68"/>
      <c r="AH68" s="68"/>
      <c r="AI68" s="38"/>
      <c r="AJ68" s="38"/>
      <c r="AK68" s="38"/>
      <c r="AL68" s="38"/>
      <c r="AM68" s="38"/>
      <c r="AN68" s="38"/>
      <c r="AO68" s="69"/>
      <c r="AP68" s="69"/>
      <c r="AQ68" s="69"/>
      <c r="AR68" s="69"/>
      <c r="AS68" s="68"/>
      <c r="AT68" s="66" t="e">
        <f>VLOOKUP(K68,[4]Planilha1!A$13:P$314,16,0)</f>
        <v>#N/A</v>
      </c>
    </row>
    <row r="69" spans="1:46" s="63" customFormat="1" x14ac:dyDescent="0.25">
      <c r="A69" s="82"/>
      <c r="B69" s="82"/>
      <c r="C69" s="64"/>
      <c r="D69" s="64"/>
      <c r="E69" s="64"/>
      <c r="F69" s="64"/>
      <c r="G69" s="64"/>
      <c r="H69" s="64"/>
      <c r="I69" s="64"/>
      <c r="J69" s="64"/>
      <c r="K69" s="64"/>
      <c r="L69" s="64"/>
      <c r="M69" s="64"/>
      <c r="N69" s="406"/>
      <c r="O69" s="64"/>
      <c r="P69" s="410"/>
      <c r="Q69" s="64"/>
      <c r="R69" s="401">
        <f t="shared" si="23"/>
        <v>0</v>
      </c>
      <c r="S69" s="401"/>
      <c r="T69" s="401"/>
      <c r="U69" s="64" t="s">
        <v>8535</v>
      </c>
      <c r="V69" s="412">
        <v>0.92</v>
      </c>
      <c r="W69" s="413">
        <f t="shared" si="24"/>
        <v>0</v>
      </c>
      <c r="X69" s="403">
        <v>1</v>
      </c>
      <c r="Y69" s="403">
        <v>1</v>
      </c>
      <c r="Z69" s="403">
        <v>0</v>
      </c>
      <c r="AA69" s="38"/>
      <c r="AB69" s="409"/>
      <c r="AC69" s="38"/>
      <c r="AD69" s="68"/>
      <c r="AE69" s="68"/>
      <c r="AF69" s="68"/>
      <c r="AG69" s="68"/>
      <c r="AH69" s="68"/>
      <c r="AI69" s="38"/>
      <c r="AJ69" s="38"/>
      <c r="AK69" s="38"/>
      <c r="AL69" s="38"/>
      <c r="AM69" s="38"/>
      <c r="AN69" s="38"/>
      <c r="AO69" s="69"/>
      <c r="AP69" s="69"/>
      <c r="AQ69" s="69"/>
      <c r="AR69" s="69"/>
      <c r="AS69" s="68"/>
      <c r="AT69" s="66" t="e">
        <f>VLOOKUP(K69,[4]Planilha1!A$13:P$314,16,0)</f>
        <v>#N/A</v>
      </c>
    </row>
    <row r="70" spans="1:46" s="63" customFormat="1" x14ac:dyDescent="0.25">
      <c r="A70" s="82"/>
      <c r="B70" s="82"/>
      <c r="C70" s="64"/>
      <c r="D70" s="64"/>
      <c r="E70" s="64"/>
      <c r="F70" s="64"/>
      <c r="G70" s="64"/>
      <c r="H70" s="64"/>
      <c r="I70" s="64"/>
      <c r="J70" s="64"/>
      <c r="K70" s="64"/>
      <c r="L70" s="64"/>
      <c r="M70" s="64"/>
      <c r="N70" s="406"/>
      <c r="O70" s="64"/>
      <c r="P70" s="410"/>
      <c r="Q70" s="64"/>
      <c r="R70" s="401">
        <f t="shared" si="23"/>
        <v>0</v>
      </c>
      <c r="S70" s="401"/>
      <c r="T70" s="401"/>
      <c r="U70" s="64" t="s">
        <v>8535</v>
      </c>
      <c r="V70" s="412">
        <v>0.92</v>
      </c>
      <c r="W70" s="413">
        <f t="shared" si="24"/>
        <v>0</v>
      </c>
      <c r="X70" s="403">
        <v>1</v>
      </c>
      <c r="Y70" s="403">
        <v>1</v>
      </c>
      <c r="Z70" s="403">
        <v>0</v>
      </c>
      <c r="AA70" s="38"/>
      <c r="AB70" s="409"/>
      <c r="AC70" s="38"/>
      <c r="AD70" s="68"/>
      <c r="AE70" s="68"/>
      <c r="AF70" s="68"/>
      <c r="AG70" s="68"/>
      <c r="AH70" s="68"/>
      <c r="AI70" s="38"/>
      <c r="AJ70" s="38"/>
      <c r="AK70" s="38"/>
      <c r="AL70" s="38"/>
      <c r="AM70" s="38"/>
      <c r="AN70" s="38"/>
      <c r="AO70" s="69"/>
      <c r="AP70" s="69"/>
      <c r="AQ70" s="69"/>
      <c r="AR70" s="69"/>
      <c r="AS70" s="68"/>
      <c r="AT70" s="66" t="e">
        <f>VLOOKUP(K70,[4]Planilha1!A$13:P$314,16,0)</f>
        <v>#N/A</v>
      </c>
    </row>
    <row r="71" spans="1:46" s="63" customFormat="1" x14ac:dyDescent="0.25">
      <c r="A71" s="82"/>
      <c r="B71" s="82"/>
      <c r="C71" s="64"/>
      <c r="D71" s="64"/>
      <c r="E71" s="64"/>
      <c r="F71" s="64"/>
      <c r="G71" s="64"/>
      <c r="H71" s="64"/>
      <c r="I71" s="64"/>
      <c r="J71" s="64"/>
      <c r="K71" s="64"/>
      <c r="L71" s="64"/>
      <c r="M71" s="64"/>
      <c r="N71" s="406"/>
      <c r="O71" s="64"/>
      <c r="P71" s="410"/>
      <c r="Q71" s="64"/>
      <c r="R71" s="401">
        <f t="shared" si="23"/>
        <v>0</v>
      </c>
      <c r="S71" s="401"/>
      <c r="T71" s="401"/>
      <c r="U71" s="64" t="s">
        <v>8535</v>
      </c>
      <c r="V71" s="412">
        <v>0.92</v>
      </c>
      <c r="W71" s="413">
        <f t="shared" si="24"/>
        <v>0</v>
      </c>
      <c r="X71" s="403">
        <v>1</v>
      </c>
      <c r="Y71" s="403">
        <v>1</v>
      </c>
      <c r="Z71" s="403">
        <v>0</v>
      </c>
      <c r="AA71" s="38"/>
      <c r="AB71" s="409"/>
      <c r="AC71" s="38"/>
      <c r="AD71" s="68"/>
      <c r="AE71" s="68"/>
      <c r="AF71" s="68"/>
      <c r="AG71" s="68"/>
      <c r="AH71" s="68"/>
      <c r="AI71" s="38"/>
      <c r="AJ71" s="38"/>
      <c r="AK71" s="38"/>
      <c r="AL71" s="38"/>
      <c r="AM71" s="38"/>
      <c r="AN71" s="38"/>
      <c r="AO71" s="69"/>
      <c r="AP71" s="69"/>
      <c r="AQ71" s="69"/>
      <c r="AR71" s="69"/>
      <c r="AS71" s="68"/>
      <c r="AT71" s="66" t="e">
        <f>VLOOKUP(K71,[4]Planilha1!A$13:P$314,16,0)</f>
        <v>#N/A</v>
      </c>
    </row>
    <row r="72" spans="1:46" s="63" customFormat="1" x14ac:dyDescent="0.25">
      <c r="A72" s="82"/>
      <c r="B72" s="82"/>
      <c r="C72" s="64"/>
      <c r="D72" s="64"/>
      <c r="E72" s="64"/>
      <c r="F72" s="64"/>
      <c r="G72" s="64"/>
      <c r="H72" s="64"/>
      <c r="I72" s="64"/>
      <c r="J72" s="64"/>
      <c r="K72" s="64"/>
      <c r="L72" s="64"/>
      <c r="M72" s="64"/>
      <c r="N72" s="406"/>
      <c r="O72" s="64"/>
      <c r="P72" s="410"/>
      <c r="Q72" s="64"/>
      <c r="R72" s="401">
        <f t="shared" si="23"/>
        <v>0</v>
      </c>
      <c r="S72" s="401"/>
      <c r="T72" s="401"/>
      <c r="U72" s="64" t="s">
        <v>8535</v>
      </c>
      <c r="V72" s="412">
        <v>0.92</v>
      </c>
      <c r="W72" s="413">
        <f t="shared" si="24"/>
        <v>0</v>
      </c>
      <c r="X72" s="403">
        <v>1</v>
      </c>
      <c r="Y72" s="403">
        <v>1</v>
      </c>
      <c r="Z72" s="403">
        <v>0</v>
      </c>
      <c r="AA72" s="38"/>
      <c r="AB72" s="409"/>
      <c r="AC72" s="38"/>
      <c r="AD72" s="68"/>
      <c r="AE72" s="68"/>
      <c r="AF72" s="68"/>
      <c r="AG72" s="68"/>
      <c r="AH72" s="68"/>
      <c r="AI72" s="38"/>
      <c r="AJ72" s="38"/>
      <c r="AK72" s="38"/>
      <c r="AL72" s="38"/>
      <c r="AM72" s="38"/>
      <c r="AN72" s="38"/>
      <c r="AO72" s="69"/>
      <c r="AP72" s="69"/>
      <c r="AQ72" s="69"/>
      <c r="AR72" s="69"/>
      <c r="AS72" s="68"/>
      <c r="AT72" s="66" t="e">
        <f>VLOOKUP(K72,[4]Planilha1!A$13:P$314,16,0)</f>
        <v>#N/A</v>
      </c>
    </row>
    <row r="73" spans="1:46" s="63" customFormat="1" x14ac:dyDescent="0.25">
      <c r="A73" s="82"/>
      <c r="B73" s="82"/>
      <c r="C73" s="64"/>
      <c r="D73" s="64"/>
      <c r="E73" s="64"/>
      <c r="F73" s="64"/>
      <c r="G73" s="64"/>
      <c r="H73" s="64"/>
      <c r="I73" s="64"/>
      <c r="J73" s="64"/>
      <c r="K73" s="64"/>
      <c r="L73" s="64"/>
      <c r="M73" s="64"/>
      <c r="N73" s="406"/>
      <c r="O73" s="64"/>
      <c r="P73" s="410"/>
      <c r="Q73" s="64"/>
      <c r="R73" s="401">
        <f t="shared" si="23"/>
        <v>0</v>
      </c>
      <c r="S73" s="401"/>
      <c r="T73" s="401"/>
      <c r="U73" s="64" t="s">
        <v>8535</v>
      </c>
      <c r="V73" s="412">
        <v>0.92</v>
      </c>
      <c r="W73" s="413">
        <f t="shared" si="24"/>
        <v>0</v>
      </c>
      <c r="X73" s="403">
        <v>1</v>
      </c>
      <c r="Y73" s="403">
        <v>1</v>
      </c>
      <c r="Z73" s="403">
        <v>0</v>
      </c>
      <c r="AA73" s="38"/>
      <c r="AB73" s="409"/>
      <c r="AC73" s="38"/>
      <c r="AD73" s="68"/>
      <c r="AE73" s="68"/>
      <c r="AF73" s="68"/>
      <c r="AG73" s="68"/>
      <c r="AH73" s="68"/>
      <c r="AI73" s="38"/>
      <c r="AJ73" s="38"/>
      <c r="AK73" s="38"/>
      <c r="AL73" s="38"/>
      <c r="AM73" s="38"/>
      <c r="AN73" s="38"/>
      <c r="AO73" s="69"/>
      <c r="AP73" s="69"/>
      <c r="AQ73" s="69"/>
      <c r="AR73" s="69"/>
      <c r="AS73" s="68"/>
      <c r="AT73" s="66" t="e">
        <f>VLOOKUP(K73,[4]Planilha1!A$13:P$314,16,0)</f>
        <v>#N/A</v>
      </c>
    </row>
    <row r="74" spans="1:46" s="63" customFormat="1" x14ac:dyDescent="0.25">
      <c r="A74" s="82"/>
      <c r="B74" s="82"/>
      <c r="C74" s="64"/>
      <c r="D74" s="64"/>
      <c r="E74" s="64"/>
      <c r="F74" s="64"/>
      <c r="G74" s="64"/>
      <c r="H74" s="64"/>
      <c r="I74" s="64"/>
      <c r="J74" s="64"/>
      <c r="K74" s="64"/>
      <c r="L74" s="64"/>
      <c r="M74" s="64"/>
      <c r="N74" s="406"/>
      <c r="O74" s="64"/>
      <c r="P74" s="410"/>
      <c r="Q74" s="64"/>
      <c r="R74" s="401">
        <f t="shared" si="23"/>
        <v>0</v>
      </c>
      <c r="S74" s="401"/>
      <c r="T74" s="401"/>
      <c r="U74" s="64" t="s">
        <v>8535</v>
      </c>
      <c r="V74" s="412">
        <v>0.92</v>
      </c>
      <c r="W74" s="413">
        <f t="shared" si="24"/>
        <v>0</v>
      </c>
      <c r="X74" s="403">
        <v>1</v>
      </c>
      <c r="Y74" s="403">
        <v>1</v>
      </c>
      <c r="Z74" s="403">
        <v>0</v>
      </c>
      <c r="AA74" s="38"/>
      <c r="AB74" s="409"/>
      <c r="AC74" s="38"/>
      <c r="AD74" s="68"/>
      <c r="AE74" s="68"/>
      <c r="AF74" s="68"/>
      <c r="AG74" s="68"/>
      <c r="AH74" s="68"/>
      <c r="AI74" s="38"/>
      <c r="AJ74" s="38"/>
      <c r="AK74" s="38"/>
      <c r="AL74" s="38"/>
      <c r="AM74" s="38"/>
      <c r="AN74" s="38"/>
      <c r="AO74" s="69"/>
      <c r="AP74" s="69"/>
      <c r="AQ74" s="69"/>
      <c r="AR74" s="69"/>
      <c r="AS74" s="68"/>
      <c r="AT74" s="66" t="e">
        <f>VLOOKUP(K74,[4]Planilha1!A$13:P$314,16,0)</f>
        <v>#N/A</v>
      </c>
    </row>
    <row r="75" spans="1:46" s="63" customFormat="1" x14ac:dyDescent="0.25">
      <c r="A75" s="82"/>
      <c r="B75" s="82"/>
      <c r="C75" s="64"/>
      <c r="D75" s="64"/>
      <c r="E75" s="64"/>
      <c r="F75" s="64"/>
      <c r="G75" s="64"/>
      <c r="H75" s="64"/>
      <c r="I75" s="64"/>
      <c r="J75" s="64"/>
      <c r="K75" s="64"/>
      <c r="L75" s="64"/>
      <c r="M75" s="64"/>
      <c r="N75" s="406"/>
      <c r="O75" s="64"/>
      <c r="P75" s="410"/>
      <c r="Q75" s="64"/>
      <c r="R75" s="401">
        <f t="shared" si="23"/>
        <v>0</v>
      </c>
      <c r="S75" s="401"/>
      <c r="T75" s="401"/>
      <c r="U75" s="64" t="s">
        <v>8535</v>
      </c>
      <c r="V75" s="412">
        <v>0.92</v>
      </c>
      <c r="W75" s="413">
        <f t="shared" si="24"/>
        <v>0</v>
      </c>
      <c r="X75" s="403">
        <v>1</v>
      </c>
      <c r="Y75" s="403">
        <v>1</v>
      </c>
      <c r="Z75" s="403">
        <v>0</v>
      </c>
      <c r="AA75" s="38"/>
      <c r="AB75" s="409"/>
      <c r="AC75" s="38"/>
      <c r="AD75" s="68"/>
      <c r="AE75" s="68"/>
      <c r="AF75" s="68"/>
      <c r="AG75" s="68"/>
      <c r="AH75" s="68"/>
      <c r="AI75" s="38"/>
      <c r="AJ75" s="38"/>
      <c r="AK75" s="38"/>
      <c r="AL75" s="38"/>
      <c r="AM75" s="38"/>
      <c r="AN75" s="38"/>
      <c r="AO75" s="69"/>
      <c r="AP75" s="69"/>
      <c r="AQ75" s="69"/>
      <c r="AR75" s="69"/>
      <c r="AS75" s="68"/>
      <c r="AT75" s="66" t="e">
        <f>VLOOKUP(K75,[4]Planilha1!A$13:P$314,16,0)</f>
        <v>#N/A</v>
      </c>
    </row>
    <row r="76" spans="1:46" s="63" customFormat="1" x14ac:dyDescent="0.25">
      <c r="A76" s="82"/>
      <c r="B76" s="82"/>
      <c r="C76" s="64"/>
      <c r="D76" s="64"/>
      <c r="E76" s="64"/>
      <c r="F76" s="64"/>
      <c r="G76" s="64"/>
      <c r="H76" s="64"/>
      <c r="I76" s="64"/>
      <c r="J76" s="64"/>
      <c r="K76" s="64"/>
      <c r="L76" s="64"/>
      <c r="M76" s="64"/>
      <c r="N76" s="406"/>
      <c r="O76" s="64"/>
      <c r="P76" s="410"/>
      <c r="Q76" s="64"/>
      <c r="R76" s="401">
        <f t="shared" si="23"/>
        <v>0</v>
      </c>
      <c r="S76" s="401"/>
      <c r="T76" s="401"/>
      <c r="U76" s="64"/>
      <c r="V76" s="64"/>
      <c r="W76" s="413">
        <f t="shared" ref="W76:W139" si="25">V76*R76</f>
        <v>0</v>
      </c>
      <c r="X76" s="403">
        <v>1</v>
      </c>
      <c r="Y76" s="403">
        <v>1</v>
      </c>
      <c r="Z76" s="403">
        <v>0</v>
      </c>
      <c r="AA76" s="38"/>
      <c r="AB76" s="409"/>
      <c r="AC76" s="38"/>
      <c r="AD76" s="68"/>
      <c r="AE76" s="68"/>
      <c r="AF76" s="68"/>
      <c r="AG76" s="68"/>
      <c r="AH76" s="68"/>
      <c r="AI76" s="38"/>
      <c r="AJ76" s="38"/>
      <c r="AK76" s="38"/>
      <c r="AL76" s="38"/>
      <c r="AM76" s="38"/>
      <c r="AN76" s="38"/>
      <c r="AO76" s="69"/>
      <c r="AP76" s="69"/>
      <c r="AQ76" s="69"/>
      <c r="AR76" s="69"/>
      <c r="AS76" s="68"/>
      <c r="AT76" s="66" t="e">
        <f>VLOOKUP(K76,[4]Planilha1!A$13:P$314,16,0)</f>
        <v>#N/A</v>
      </c>
    </row>
    <row r="77" spans="1:46" s="63" customFormat="1" x14ac:dyDescent="0.25">
      <c r="A77" s="82"/>
      <c r="B77" s="82"/>
      <c r="C77" s="64"/>
      <c r="D77" s="64"/>
      <c r="E77" s="64"/>
      <c r="F77" s="64"/>
      <c r="G77" s="64"/>
      <c r="H77" s="64"/>
      <c r="I77" s="64"/>
      <c r="J77" s="64"/>
      <c r="K77" s="64"/>
      <c r="L77" s="64"/>
      <c r="M77" s="64"/>
      <c r="N77" s="406"/>
      <c r="O77" s="64"/>
      <c r="P77" s="410"/>
      <c r="Q77" s="64"/>
      <c r="R77" s="401">
        <f t="shared" si="23"/>
        <v>0</v>
      </c>
      <c r="S77" s="401"/>
      <c r="T77" s="401"/>
      <c r="U77" s="64"/>
      <c r="V77" s="64"/>
      <c r="W77" s="413">
        <f t="shared" si="25"/>
        <v>0</v>
      </c>
      <c r="X77" s="403">
        <v>1</v>
      </c>
      <c r="Y77" s="403">
        <v>1</v>
      </c>
      <c r="Z77" s="403">
        <v>0</v>
      </c>
      <c r="AA77" s="38"/>
      <c r="AB77" s="409"/>
      <c r="AC77" s="38"/>
      <c r="AD77" s="68"/>
      <c r="AE77" s="68"/>
      <c r="AF77" s="68"/>
      <c r="AG77" s="68"/>
      <c r="AH77" s="68"/>
      <c r="AI77" s="38"/>
      <c r="AJ77" s="38"/>
      <c r="AK77" s="38"/>
      <c r="AL77" s="38"/>
      <c r="AM77" s="38"/>
      <c r="AN77" s="38"/>
      <c r="AO77" s="69"/>
      <c r="AP77" s="69"/>
      <c r="AQ77" s="69"/>
      <c r="AR77" s="69"/>
      <c r="AS77" s="68"/>
      <c r="AT77" s="66" t="e">
        <f>VLOOKUP(K77,[4]Planilha1!A$13:P$314,16,0)</f>
        <v>#N/A</v>
      </c>
    </row>
    <row r="78" spans="1:46" s="63" customFormat="1" x14ac:dyDescent="0.25">
      <c r="A78" s="82"/>
      <c r="B78" s="82"/>
      <c r="C78" s="64"/>
      <c r="D78" s="64"/>
      <c r="E78" s="64"/>
      <c r="F78" s="64"/>
      <c r="G78" s="64"/>
      <c r="H78" s="64"/>
      <c r="I78" s="64"/>
      <c r="J78" s="64"/>
      <c r="K78" s="64"/>
      <c r="L78" s="64"/>
      <c r="M78" s="64"/>
      <c r="N78" s="406"/>
      <c r="O78" s="64"/>
      <c r="P78" s="410"/>
      <c r="Q78" s="64"/>
      <c r="R78" s="401">
        <f t="shared" si="23"/>
        <v>0</v>
      </c>
      <c r="S78" s="401"/>
      <c r="T78" s="401"/>
      <c r="U78" s="64"/>
      <c r="V78" s="64"/>
      <c r="W78" s="413">
        <f t="shared" si="25"/>
        <v>0</v>
      </c>
      <c r="X78" s="403">
        <v>1</v>
      </c>
      <c r="Y78" s="403">
        <v>1</v>
      </c>
      <c r="Z78" s="403">
        <v>0</v>
      </c>
      <c r="AA78" s="38"/>
      <c r="AB78" s="409"/>
      <c r="AC78" s="38"/>
      <c r="AD78" s="68"/>
      <c r="AE78" s="68"/>
      <c r="AF78" s="68"/>
      <c r="AG78" s="68"/>
      <c r="AH78" s="68"/>
      <c r="AI78" s="38"/>
      <c r="AJ78" s="38"/>
      <c r="AK78" s="38"/>
      <c r="AL78" s="38"/>
      <c r="AM78" s="38"/>
      <c r="AN78" s="38"/>
      <c r="AO78" s="69"/>
      <c r="AP78" s="69"/>
      <c r="AQ78" s="69"/>
      <c r="AR78" s="69"/>
      <c r="AS78" s="68"/>
      <c r="AT78" s="66" t="e">
        <f>VLOOKUP(K78,[4]Planilha1!A$13:P$314,16,0)</f>
        <v>#N/A</v>
      </c>
    </row>
    <row r="79" spans="1:46" s="63" customFormat="1" x14ac:dyDescent="0.25">
      <c r="A79" s="82"/>
      <c r="B79" s="82"/>
      <c r="C79" s="64"/>
      <c r="D79" s="64"/>
      <c r="E79" s="64"/>
      <c r="F79" s="64"/>
      <c r="G79" s="64"/>
      <c r="H79" s="64"/>
      <c r="I79" s="64"/>
      <c r="J79" s="64"/>
      <c r="K79" s="64"/>
      <c r="L79" s="64"/>
      <c r="M79" s="64"/>
      <c r="N79" s="406"/>
      <c r="O79" s="64"/>
      <c r="P79" s="410"/>
      <c r="Q79" s="64"/>
      <c r="R79" s="401">
        <f t="shared" si="23"/>
        <v>0</v>
      </c>
      <c r="S79" s="401"/>
      <c r="T79" s="401"/>
      <c r="U79" s="64"/>
      <c r="V79" s="64"/>
      <c r="W79" s="413">
        <f t="shared" si="25"/>
        <v>0</v>
      </c>
      <c r="X79" s="403">
        <v>1</v>
      </c>
      <c r="Y79" s="403">
        <v>1</v>
      </c>
      <c r="Z79" s="403">
        <v>0</v>
      </c>
      <c r="AA79" s="38"/>
      <c r="AB79" s="409"/>
      <c r="AC79" s="38"/>
      <c r="AD79" s="68"/>
      <c r="AE79" s="68"/>
      <c r="AF79" s="68"/>
      <c r="AG79" s="68"/>
      <c r="AH79" s="68"/>
      <c r="AI79" s="38"/>
      <c r="AJ79" s="38"/>
      <c r="AK79" s="38"/>
      <c r="AL79" s="38"/>
      <c r="AM79" s="38"/>
      <c r="AN79" s="38"/>
      <c r="AO79" s="69"/>
      <c r="AP79" s="69"/>
      <c r="AQ79" s="69"/>
      <c r="AR79" s="69"/>
      <c r="AS79" s="68"/>
      <c r="AT79" s="66" t="e">
        <f>VLOOKUP(K79,[4]Planilha1!A$13:P$314,16,0)</f>
        <v>#N/A</v>
      </c>
    </row>
    <row r="80" spans="1:46" s="63" customFormat="1" x14ac:dyDescent="0.25">
      <c r="A80" s="82"/>
      <c r="B80" s="82"/>
      <c r="C80" s="64"/>
      <c r="D80" s="64"/>
      <c r="E80" s="64"/>
      <c r="F80" s="64"/>
      <c r="G80" s="64"/>
      <c r="H80" s="64"/>
      <c r="I80" s="64"/>
      <c r="J80" s="64"/>
      <c r="K80" s="64"/>
      <c r="L80" s="64"/>
      <c r="M80" s="64"/>
      <c r="N80" s="406"/>
      <c r="O80" s="64"/>
      <c r="P80" s="410"/>
      <c r="Q80" s="64"/>
      <c r="R80" s="401">
        <f t="shared" si="23"/>
        <v>0</v>
      </c>
      <c r="S80" s="401"/>
      <c r="T80" s="401"/>
      <c r="U80" s="64"/>
      <c r="V80" s="64"/>
      <c r="W80" s="413">
        <f t="shared" si="25"/>
        <v>0</v>
      </c>
      <c r="X80" s="403">
        <v>1</v>
      </c>
      <c r="Y80" s="403">
        <v>1</v>
      </c>
      <c r="Z80" s="403">
        <v>0</v>
      </c>
      <c r="AA80" s="38"/>
      <c r="AB80" s="409"/>
      <c r="AC80" s="38"/>
      <c r="AD80" s="68"/>
      <c r="AE80" s="68"/>
      <c r="AF80" s="68"/>
      <c r="AG80" s="68"/>
      <c r="AH80" s="68"/>
      <c r="AI80" s="38"/>
      <c r="AJ80" s="38"/>
      <c r="AK80" s="38"/>
      <c r="AL80" s="38"/>
      <c r="AM80" s="38"/>
      <c r="AN80" s="38"/>
      <c r="AO80" s="69"/>
      <c r="AP80" s="69"/>
      <c r="AQ80" s="69"/>
      <c r="AR80" s="69"/>
      <c r="AS80" s="68"/>
      <c r="AT80" s="66" t="e">
        <f>VLOOKUP(K80,[4]Planilha1!A$13:P$314,16,0)</f>
        <v>#N/A</v>
      </c>
    </row>
    <row r="81" spans="1:46" s="63" customFormat="1" x14ac:dyDescent="0.25">
      <c r="A81" s="82"/>
      <c r="B81" s="82"/>
      <c r="C81" s="64"/>
      <c r="D81" s="64"/>
      <c r="E81" s="64"/>
      <c r="F81" s="64"/>
      <c r="G81" s="64"/>
      <c r="H81" s="64"/>
      <c r="I81" s="64"/>
      <c r="J81" s="64"/>
      <c r="K81" s="64"/>
      <c r="L81" s="64"/>
      <c r="M81" s="64"/>
      <c r="N81" s="406"/>
      <c r="O81" s="64"/>
      <c r="P81" s="410"/>
      <c r="Q81" s="64"/>
      <c r="R81" s="401">
        <f t="shared" si="23"/>
        <v>0</v>
      </c>
      <c r="S81" s="401"/>
      <c r="T81" s="401"/>
      <c r="U81" s="64"/>
      <c r="V81" s="64"/>
      <c r="W81" s="413">
        <f t="shared" si="25"/>
        <v>0</v>
      </c>
      <c r="X81" s="403">
        <v>1</v>
      </c>
      <c r="Y81" s="403">
        <v>1</v>
      </c>
      <c r="Z81" s="403">
        <v>0</v>
      </c>
      <c r="AA81" s="38"/>
      <c r="AB81" s="409"/>
      <c r="AC81" s="38"/>
      <c r="AD81" s="68"/>
      <c r="AE81" s="68"/>
      <c r="AF81" s="68"/>
      <c r="AG81" s="68"/>
      <c r="AH81" s="68"/>
      <c r="AI81" s="38"/>
      <c r="AJ81" s="38"/>
      <c r="AK81" s="38"/>
      <c r="AL81" s="38"/>
      <c r="AM81" s="38"/>
      <c r="AN81" s="38"/>
      <c r="AO81" s="69"/>
      <c r="AP81" s="69"/>
      <c r="AQ81" s="69"/>
      <c r="AR81" s="69"/>
      <c r="AS81" s="68"/>
      <c r="AT81" s="66" t="e">
        <f>VLOOKUP(K81,[4]Planilha1!A$13:P$314,16,0)</f>
        <v>#N/A</v>
      </c>
    </row>
    <row r="82" spans="1:46" s="63" customFormat="1" x14ac:dyDescent="0.25">
      <c r="A82" s="82"/>
      <c r="B82" s="82"/>
      <c r="C82" s="64"/>
      <c r="D82" s="64"/>
      <c r="E82" s="64"/>
      <c r="F82" s="64"/>
      <c r="G82" s="64"/>
      <c r="H82" s="64"/>
      <c r="I82" s="64"/>
      <c r="J82" s="64"/>
      <c r="K82" s="64"/>
      <c r="L82" s="64"/>
      <c r="M82" s="64"/>
      <c r="N82" s="406"/>
      <c r="O82" s="64"/>
      <c r="P82" s="410"/>
      <c r="Q82" s="64"/>
      <c r="R82" s="401">
        <f t="shared" si="23"/>
        <v>0</v>
      </c>
      <c r="S82" s="401"/>
      <c r="T82" s="401"/>
      <c r="U82" s="64"/>
      <c r="V82" s="64"/>
      <c r="W82" s="413">
        <f t="shared" si="25"/>
        <v>0</v>
      </c>
      <c r="X82" s="403">
        <v>1</v>
      </c>
      <c r="Y82" s="403">
        <v>1</v>
      </c>
      <c r="Z82" s="403">
        <v>0</v>
      </c>
      <c r="AA82" s="38"/>
      <c r="AB82" s="409"/>
      <c r="AC82" s="38"/>
      <c r="AD82" s="68"/>
      <c r="AE82" s="68"/>
      <c r="AF82" s="68"/>
      <c r="AG82" s="68"/>
      <c r="AH82" s="68"/>
      <c r="AI82" s="38"/>
      <c r="AJ82" s="38"/>
      <c r="AK82" s="38"/>
      <c r="AL82" s="38"/>
      <c r="AM82" s="38"/>
      <c r="AN82" s="38"/>
      <c r="AO82" s="69"/>
      <c r="AP82" s="69"/>
      <c r="AQ82" s="69"/>
      <c r="AR82" s="69"/>
      <c r="AS82" s="68"/>
      <c r="AT82" s="66" t="e">
        <f>VLOOKUP(K82,[4]Planilha1!A$13:P$314,16,0)</f>
        <v>#N/A</v>
      </c>
    </row>
    <row r="83" spans="1:46" s="63" customFormat="1" x14ac:dyDescent="0.25">
      <c r="A83" s="82"/>
      <c r="B83" s="82"/>
      <c r="C83" s="64"/>
      <c r="D83" s="64"/>
      <c r="E83" s="64"/>
      <c r="F83" s="64"/>
      <c r="G83" s="64"/>
      <c r="H83" s="64"/>
      <c r="I83" s="64"/>
      <c r="J83" s="64"/>
      <c r="K83" s="64"/>
      <c r="L83" s="64"/>
      <c r="M83" s="64"/>
      <c r="N83" s="406"/>
      <c r="O83" s="64"/>
      <c r="P83" s="410"/>
      <c r="Q83" s="64"/>
      <c r="R83" s="401">
        <f t="shared" si="23"/>
        <v>0</v>
      </c>
      <c r="S83" s="401"/>
      <c r="T83" s="401"/>
      <c r="U83" s="64"/>
      <c r="V83" s="64"/>
      <c r="W83" s="413">
        <f t="shared" si="25"/>
        <v>0</v>
      </c>
      <c r="X83" s="403">
        <v>1</v>
      </c>
      <c r="Y83" s="403">
        <v>1</v>
      </c>
      <c r="Z83" s="403">
        <v>0</v>
      </c>
      <c r="AA83" s="38"/>
      <c r="AB83" s="409"/>
      <c r="AC83" s="38"/>
      <c r="AD83" s="68"/>
      <c r="AE83" s="68"/>
      <c r="AF83" s="68"/>
      <c r="AG83" s="68"/>
      <c r="AH83" s="68"/>
      <c r="AI83" s="38"/>
      <c r="AJ83" s="38"/>
      <c r="AK83" s="38"/>
      <c r="AL83" s="38"/>
      <c r="AM83" s="38"/>
      <c r="AN83" s="38"/>
      <c r="AO83" s="69"/>
      <c r="AP83" s="69"/>
      <c r="AQ83" s="69"/>
      <c r="AR83" s="69"/>
      <c r="AS83" s="68"/>
      <c r="AT83" s="66" t="e">
        <f>VLOOKUP(K83,[4]Planilha1!A$13:P$314,16,0)</f>
        <v>#N/A</v>
      </c>
    </row>
    <row r="84" spans="1:46" s="63" customFormat="1" x14ac:dyDescent="0.25">
      <c r="A84" s="82"/>
      <c r="B84" s="82"/>
      <c r="C84" s="64"/>
      <c r="D84" s="64"/>
      <c r="E84" s="64"/>
      <c r="F84" s="64"/>
      <c r="G84" s="64"/>
      <c r="H84" s="64"/>
      <c r="I84" s="64"/>
      <c r="J84" s="64"/>
      <c r="K84" s="64"/>
      <c r="L84" s="64"/>
      <c r="M84" s="64"/>
      <c r="N84" s="406"/>
      <c r="O84" s="64"/>
      <c r="P84" s="410"/>
      <c r="Q84" s="64"/>
      <c r="R84" s="401">
        <f t="shared" si="23"/>
        <v>0</v>
      </c>
      <c r="S84" s="401"/>
      <c r="T84" s="401"/>
      <c r="U84" s="64"/>
      <c r="V84" s="64"/>
      <c r="W84" s="413">
        <f t="shared" si="25"/>
        <v>0</v>
      </c>
      <c r="X84" s="403">
        <v>1</v>
      </c>
      <c r="Y84" s="403">
        <v>1</v>
      </c>
      <c r="Z84" s="403">
        <v>0</v>
      </c>
      <c r="AA84" s="38"/>
      <c r="AB84" s="409"/>
      <c r="AC84" s="38"/>
      <c r="AD84" s="68"/>
      <c r="AE84" s="68"/>
      <c r="AF84" s="68"/>
      <c r="AG84" s="68"/>
      <c r="AH84" s="68"/>
      <c r="AI84" s="38"/>
      <c r="AJ84" s="38"/>
      <c r="AK84" s="38"/>
      <c r="AL84" s="38"/>
      <c r="AM84" s="38"/>
      <c r="AN84" s="38"/>
      <c r="AO84" s="69"/>
      <c r="AP84" s="69"/>
      <c r="AQ84" s="69"/>
      <c r="AR84" s="69"/>
      <c r="AS84" s="68"/>
      <c r="AT84" s="66" t="e">
        <f>VLOOKUP(K84,[4]Planilha1!A$13:P$314,16,0)</f>
        <v>#N/A</v>
      </c>
    </row>
    <row r="85" spans="1:46" s="63" customFormat="1" x14ac:dyDescent="0.25">
      <c r="A85" s="82"/>
      <c r="B85" s="82"/>
      <c r="C85" s="64"/>
      <c r="D85" s="64"/>
      <c r="E85" s="64"/>
      <c r="F85" s="64"/>
      <c r="G85" s="64"/>
      <c r="H85" s="64"/>
      <c r="I85" s="64"/>
      <c r="J85" s="64"/>
      <c r="K85" s="64"/>
      <c r="L85" s="64"/>
      <c r="M85" s="64"/>
      <c r="N85" s="406"/>
      <c r="O85" s="64"/>
      <c r="P85" s="410"/>
      <c r="Q85" s="64"/>
      <c r="R85" s="401">
        <f t="shared" si="23"/>
        <v>0</v>
      </c>
      <c r="S85" s="401"/>
      <c r="T85" s="401"/>
      <c r="U85" s="64"/>
      <c r="V85" s="64"/>
      <c r="W85" s="413">
        <f t="shared" si="25"/>
        <v>0</v>
      </c>
      <c r="X85" s="403">
        <v>1</v>
      </c>
      <c r="Y85" s="403">
        <v>1</v>
      </c>
      <c r="Z85" s="403">
        <v>0</v>
      </c>
      <c r="AA85" s="38"/>
      <c r="AB85" s="409"/>
      <c r="AC85" s="38"/>
      <c r="AD85" s="68"/>
      <c r="AE85" s="68"/>
      <c r="AF85" s="68"/>
      <c r="AG85" s="68"/>
      <c r="AH85" s="68"/>
      <c r="AI85" s="38"/>
      <c r="AJ85" s="38"/>
      <c r="AK85" s="38"/>
      <c r="AL85" s="38"/>
      <c r="AM85" s="38"/>
      <c r="AN85" s="38"/>
      <c r="AO85" s="69"/>
      <c r="AP85" s="69"/>
      <c r="AQ85" s="69"/>
      <c r="AR85" s="69"/>
      <c r="AS85" s="68"/>
      <c r="AT85" s="66" t="e">
        <f>VLOOKUP(K85,[4]Planilha1!A$13:P$314,16,0)</f>
        <v>#N/A</v>
      </c>
    </row>
    <row r="86" spans="1:46" s="63" customFormat="1" x14ac:dyDescent="0.25">
      <c r="A86" s="82"/>
      <c r="B86" s="82"/>
      <c r="C86" s="64"/>
      <c r="D86" s="64"/>
      <c r="E86" s="64"/>
      <c r="F86" s="64"/>
      <c r="G86" s="64"/>
      <c r="H86" s="64"/>
      <c r="I86" s="64"/>
      <c r="J86" s="64"/>
      <c r="K86" s="64"/>
      <c r="L86" s="64"/>
      <c r="M86" s="64"/>
      <c r="N86" s="406"/>
      <c r="O86" s="64"/>
      <c r="P86" s="410"/>
      <c r="Q86" s="64"/>
      <c r="R86" s="401">
        <f t="shared" si="23"/>
        <v>0</v>
      </c>
      <c r="S86" s="401"/>
      <c r="T86" s="401"/>
      <c r="U86" s="64" t="s">
        <v>8535</v>
      </c>
      <c r="V86" s="412">
        <v>0.92</v>
      </c>
      <c r="W86" s="413">
        <f t="shared" si="25"/>
        <v>0</v>
      </c>
      <c r="X86" s="403">
        <v>1</v>
      </c>
      <c r="Y86" s="403">
        <v>1</v>
      </c>
      <c r="Z86" s="403">
        <v>0</v>
      </c>
      <c r="AA86" s="38"/>
      <c r="AB86" s="409"/>
      <c r="AC86" s="38"/>
      <c r="AD86" s="68"/>
      <c r="AE86" s="68"/>
      <c r="AF86" s="68"/>
      <c r="AG86" s="68"/>
      <c r="AH86" s="68"/>
      <c r="AI86" s="38"/>
      <c r="AJ86" s="38"/>
      <c r="AK86" s="38"/>
      <c r="AL86" s="38"/>
      <c r="AM86" s="38"/>
      <c r="AN86" s="38"/>
      <c r="AO86" s="69"/>
      <c r="AP86" s="69"/>
      <c r="AQ86" s="69"/>
      <c r="AR86" s="69"/>
      <c r="AS86" s="68"/>
      <c r="AT86" s="66" t="e">
        <f>VLOOKUP(K86,[4]Planilha1!A$13:P$314,16,0)</f>
        <v>#N/A</v>
      </c>
    </row>
    <row r="87" spans="1:46" s="63" customFormat="1" x14ac:dyDescent="0.25">
      <c r="A87" s="82"/>
      <c r="B87" s="82"/>
      <c r="C87" s="64"/>
      <c r="D87" s="64"/>
      <c r="E87" s="64"/>
      <c r="F87" s="64"/>
      <c r="G87" s="64"/>
      <c r="H87" s="64"/>
      <c r="I87" s="64"/>
      <c r="J87" s="64"/>
      <c r="K87" s="64"/>
      <c r="L87" s="64"/>
      <c r="M87" s="64"/>
      <c r="N87" s="406"/>
      <c r="O87" s="64"/>
      <c r="P87" s="410"/>
      <c r="Q87" s="64"/>
      <c r="R87" s="401">
        <f t="shared" si="23"/>
        <v>0</v>
      </c>
      <c r="S87" s="401"/>
      <c r="T87" s="401"/>
      <c r="U87" s="64"/>
      <c r="V87" s="64"/>
      <c r="W87" s="413">
        <f t="shared" si="25"/>
        <v>0</v>
      </c>
      <c r="X87" s="403">
        <v>1</v>
      </c>
      <c r="Y87" s="403">
        <v>1</v>
      </c>
      <c r="Z87" s="403">
        <v>0</v>
      </c>
      <c r="AA87" s="38"/>
      <c r="AB87" s="409"/>
      <c r="AC87" s="38"/>
      <c r="AD87" s="68"/>
      <c r="AE87" s="68"/>
      <c r="AF87" s="68"/>
      <c r="AG87" s="68"/>
      <c r="AH87" s="68"/>
      <c r="AI87" s="38"/>
      <c r="AJ87" s="38"/>
      <c r="AK87" s="38"/>
      <c r="AL87" s="38"/>
      <c r="AM87" s="38"/>
      <c r="AN87" s="38"/>
      <c r="AO87" s="69"/>
      <c r="AP87" s="69"/>
      <c r="AQ87" s="69"/>
      <c r="AR87" s="69"/>
      <c r="AS87" s="68"/>
      <c r="AT87" s="66" t="e">
        <f>VLOOKUP(K87,[4]Planilha1!A$13:P$314,16,0)</f>
        <v>#N/A</v>
      </c>
    </row>
    <row r="88" spans="1:46" s="63" customFormat="1" x14ac:dyDescent="0.25">
      <c r="A88" s="82"/>
      <c r="B88" s="82"/>
      <c r="C88" s="64"/>
      <c r="D88" s="64"/>
      <c r="E88" s="64"/>
      <c r="F88" s="64"/>
      <c r="G88" s="64"/>
      <c r="H88" s="64"/>
      <c r="I88" s="64"/>
      <c r="J88" s="64"/>
      <c r="K88" s="64"/>
      <c r="L88" s="64"/>
      <c r="M88" s="64"/>
      <c r="N88" s="406"/>
      <c r="O88" s="64"/>
      <c r="P88" s="410"/>
      <c r="Q88" s="64"/>
      <c r="R88" s="401">
        <f t="shared" si="23"/>
        <v>0</v>
      </c>
      <c r="S88" s="401"/>
      <c r="T88" s="401"/>
      <c r="U88" s="64"/>
      <c r="V88" s="64"/>
      <c r="W88" s="413">
        <f t="shared" si="25"/>
        <v>0</v>
      </c>
      <c r="X88" s="403">
        <v>1</v>
      </c>
      <c r="Y88" s="403">
        <v>1</v>
      </c>
      <c r="Z88" s="403">
        <v>0</v>
      </c>
      <c r="AA88" s="38"/>
      <c r="AB88" s="409"/>
      <c r="AC88" s="38"/>
      <c r="AD88" s="68"/>
      <c r="AE88" s="68"/>
      <c r="AF88" s="68"/>
      <c r="AG88" s="68"/>
      <c r="AH88" s="68"/>
      <c r="AI88" s="38"/>
      <c r="AJ88" s="38"/>
      <c r="AK88" s="38"/>
      <c r="AL88" s="38"/>
      <c r="AM88" s="38"/>
      <c r="AN88" s="38"/>
      <c r="AO88" s="69"/>
      <c r="AP88" s="69"/>
      <c r="AQ88" s="69"/>
      <c r="AR88" s="69"/>
      <c r="AS88" s="68"/>
      <c r="AT88" s="66" t="e">
        <f>VLOOKUP(K88,[4]Planilha1!A$13:P$314,16,0)</f>
        <v>#N/A</v>
      </c>
    </row>
    <row r="89" spans="1:46" s="63" customFormat="1" x14ac:dyDescent="0.25">
      <c r="A89" s="82"/>
      <c r="B89" s="82"/>
      <c r="C89" s="64"/>
      <c r="D89" s="64"/>
      <c r="E89" s="64"/>
      <c r="F89" s="64"/>
      <c r="G89" s="64"/>
      <c r="H89" s="64"/>
      <c r="I89" s="64"/>
      <c r="J89" s="64"/>
      <c r="K89" s="64"/>
      <c r="L89" s="64"/>
      <c r="M89" s="64"/>
      <c r="N89" s="406"/>
      <c r="O89" s="64"/>
      <c r="P89" s="410"/>
      <c r="Q89" s="64"/>
      <c r="R89" s="401">
        <f t="shared" ref="R89:R152" si="26">P89*N89</f>
        <v>0</v>
      </c>
      <c r="S89" s="401"/>
      <c r="T89" s="401"/>
      <c r="U89" s="64"/>
      <c r="V89" s="64"/>
      <c r="W89" s="413">
        <f t="shared" si="25"/>
        <v>0</v>
      </c>
      <c r="X89" s="403">
        <v>1</v>
      </c>
      <c r="Y89" s="403">
        <v>1</v>
      </c>
      <c r="Z89" s="403">
        <v>0</v>
      </c>
      <c r="AA89" s="38"/>
      <c r="AB89" s="409"/>
      <c r="AC89" s="38"/>
      <c r="AD89" s="68"/>
      <c r="AE89" s="68"/>
      <c r="AF89" s="68"/>
      <c r="AG89" s="68"/>
      <c r="AH89" s="68"/>
      <c r="AI89" s="38"/>
      <c r="AJ89" s="38"/>
      <c r="AK89" s="38"/>
      <c r="AL89" s="38"/>
      <c r="AM89" s="38"/>
      <c r="AN89" s="38"/>
      <c r="AO89" s="69"/>
      <c r="AP89" s="69"/>
      <c r="AQ89" s="69"/>
      <c r="AR89" s="69"/>
      <c r="AS89" s="68"/>
      <c r="AT89" s="66" t="e">
        <f>VLOOKUP(K89,[4]Planilha1!A$13:P$314,16,0)</f>
        <v>#N/A</v>
      </c>
    </row>
    <row r="90" spans="1:46" s="63" customFormat="1" x14ac:dyDescent="0.25">
      <c r="A90" s="82"/>
      <c r="B90" s="82"/>
      <c r="C90" s="64"/>
      <c r="D90" s="64"/>
      <c r="E90" s="64"/>
      <c r="F90" s="64"/>
      <c r="G90" s="64"/>
      <c r="H90" s="64"/>
      <c r="I90" s="64"/>
      <c r="J90" s="64"/>
      <c r="K90" s="64"/>
      <c r="L90" s="64"/>
      <c r="M90" s="64"/>
      <c r="N90" s="406"/>
      <c r="O90" s="64"/>
      <c r="P90" s="410"/>
      <c r="Q90" s="64"/>
      <c r="R90" s="401">
        <f t="shared" si="26"/>
        <v>0</v>
      </c>
      <c r="S90" s="401"/>
      <c r="T90" s="401"/>
      <c r="U90" s="64"/>
      <c r="V90" s="64"/>
      <c r="W90" s="413">
        <f t="shared" si="25"/>
        <v>0</v>
      </c>
      <c r="X90" s="403">
        <v>1</v>
      </c>
      <c r="Y90" s="403">
        <v>1</v>
      </c>
      <c r="Z90" s="403">
        <v>0</v>
      </c>
      <c r="AA90" s="38"/>
      <c r="AB90" s="409"/>
      <c r="AC90" s="38"/>
      <c r="AD90" s="68"/>
      <c r="AE90" s="68"/>
      <c r="AF90" s="68"/>
      <c r="AG90" s="68"/>
      <c r="AH90" s="68"/>
      <c r="AI90" s="38"/>
      <c r="AJ90" s="38"/>
      <c r="AK90" s="38"/>
      <c r="AL90" s="38"/>
      <c r="AM90" s="38"/>
      <c r="AN90" s="38"/>
      <c r="AO90" s="69"/>
      <c r="AP90" s="69"/>
      <c r="AQ90" s="69"/>
      <c r="AR90" s="69"/>
      <c r="AS90" s="68"/>
      <c r="AT90" s="66" t="e">
        <f>VLOOKUP(K90,[4]Planilha1!A$13:P$314,16,0)</f>
        <v>#N/A</v>
      </c>
    </row>
    <row r="91" spans="1:46" s="63" customFormat="1" x14ac:dyDescent="0.25">
      <c r="A91" s="82"/>
      <c r="B91" s="82"/>
      <c r="C91" s="64"/>
      <c r="D91" s="64"/>
      <c r="E91" s="64"/>
      <c r="F91" s="64"/>
      <c r="G91" s="64"/>
      <c r="H91" s="64"/>
      <c r="I91" s="64"/>
      <c r="J91" s="64"/>
      <c r="K91" s="64"/>
      <c r="L91" s="64"/>
      <c r="M91" s="64"/>
      <c r="N91" s="406"/>
      <c r="O91" s="64"/>
      <c r="P91" s="410"/>
      <c r="Q91" s="64"/>
      <c r="R91" s="401">
        <f t="shared" si="26"/>
        <v>0</v>
      </c>
      <c r="S91" s="401"/>
      <c r="T91" s="401"/>
      <c r="U91" s="64"/>
      <c r="V91" s="64"/>
      <c r="W91" s="413">
        <f t="shared" si="25"/>
        <v>0</v>
      </c>
      <c r="X91" s="403">
        <v>1</v>
      </c>
      <c r="Y91" s="403">
        <v>1</v>
      </c>
      <c r="Z91" s="403">
        <v>0</v>
      </c>
      <c r="AA91" s="38"/>
      <c r="AB91" s="409"/>
      <c r="AC91" s="38"/>
      <c r="AD91" s="68"/>
      <c r="AE91" s="68"/>
      <c r="AF91" s="68"/>
      <c r="AG91" s="68"/>
      <c r="AH91" s="68"/>
      <c r="AI91" s="38"/>
      <c r="AJ91" s="38"/>
      <c r="AK91" s="38"/>
      <c r="AL91" s="38"/>
      <c r="AM91" s="38"/>
      <c r="AN91" s="38"/>
      <c r="AO91" s="69"/>
      <c r="AP91" s="69"/>
      <c r="AQ91" s="69"/>
      <c r="AR91" s="69"/>
      <c r="AS91" s="68"/>
      <c r="AT91" s="66" t="e">
        <f>VLOOKUP(K91,[4]Planilha1!A$13:P$314,16,0)</f>
        <v>#N/A</v>
      </c>
    </row>
    <row r="92" spans="1:46" s="63" customFormat="1" x14ac:dyDescent="0.25">
      <c r="A92" s="82"/>
      <c r="B92" s="82"/>
      <c r="C92" s="64"/>
      <c r="D92" s="64"/>
      <c r="E92" s="64"/>
      <c r="F92" s="64"/>
      <c r="G92" s="64"/>
      <c r="H92" s="64"/>
      <c r="I92" s="64"/>
      <c r="J92" s="64"/>
      <c r="K92" s="64"/>
      <c r="L92" s="64"/>
      <c r="M92" s="64"/>
      <c r="N92" s="406"/>
      <c r="O92" s="64"/>
      <c r="P92" s="410"/>
      <c r="Q92" s="64"/>
      <c r="R92" s="401">
        <f t="shared" si="26"/>
        <v>0</v>
      </c>
      <c r="S92" s="401"/>
      <c r="T92" s="401"/>
      <c r="U92" s="64"/>
      <c r="V92" s="64"/>
      <c r="W92" s="413">
        <f t="shared" si="25"/>
        <v>0</v>
      </c>
      <c r="X92" s="403">
        <v>1</v>
      </c>
      <c r="Y92" s="403">
        <v>1</v>
      </c>
      <c r="Z92" s="403">
        <v>0</v>
      </c>
      <c r="AA92" s="38"/>
      <c r="AB92" s="409"/>
      <c r="AC92" s="38"/>
      <c r="AD92" s="68"/>
      <c r="AE92" s="68"/>
      <c r="AF92" s="68"/>
      <c r="AG92" s="68"/>
      <c r="AH92" s="68"/>
      <c r="AI92" s="38"/>
      <c r="AJ92" s="38"/>
      <c r="AK92" s="38"/>
      <c r="AL92" s="38"/>
      <c r="AM92" s="38"/>
      <c r="AN92" s="38"/>
      <c r="AO92" s="69"/>
      <c r="AP92" s="69"/>
      <c r="AQ92" s="69"/>
      <c r="AR92" s="69"/>
      <c r="AS92" s="68"/>
      <c r="AT92" s="66" t="e">
        <f>VLOOKUP(K92,[4]Planilha1!A$13:P$314,16,0)</f>
        <v>#N/A</v>
      </c>
    </row>
    <row r="93" spans="1:46" s="63" customFormat="1" x14ac:dyDescent="0.25">
      <c r="A93" s="82"/>
      <c r="B93" s="82"/>
      <c r="C93" s="64"/>
      <c r="D93" s="64"/>
      <c r="E93" s="64"/>
      <c r="F93" s="64"/>
      <c r="G93" s="64"/>
      <c r="H93" s="64"/>
      <c r="I93" s="64"/>
      <c r="J93" s="64"/>
      <c r="K93" s="64"/>
      <c r="L93" s="64"/>
      <c r="M93" s="64"/>
      <c r="N93" s="406"/>
      <c r="O93" s="64"/>
      <c r="P93" s="410"/>
      <c r="Q93" s="64"/>
      <c r="R93" s="401">
        <f t="shared" si="26"/>
        <v>0</v>
      </c>
      <c r="S93" s="401"/>
      <c r="T93" s="401"/>
      <c r="U93" s="64"/>
      <c r="V93" s="64"/>
      <c r="W93" s="413">
        <f t="shared" si="25"/>
        <v>0</v>
      </c>
      <c r="X93" s="403">
        <v>1</v>
      </c>
      <c r="Y93" s="403">
        <v>1</v>
      </c>
      <c r="Z93" s="403">
        <v>0</v>
      </c>
      <c r="AA93" s="38"/>
      <c r="AB93" s="409"/>
      <c r="AC93" s="38"/>
      <c r="AD93" s="68"/>
      <c r="AE93" s="68"/>
      <c r="AF93" s="68"/>
      <c r="AG93" s="68"/>
      <c r="AH93" s="68"/>
      <c r="AI93" s="38"/>
      <c r="AJ93" s="38"/>
      <c r="AK93" s="38"/>
      <c r="AL93" s="38"/>
      <c r="AM93" s="38"/>
      <c r="AN93" s="38"/>
      <c r="AO93" s="69"/>
      <c r="AP93" s="69"/>
      <c r="AQ93" s="69"/>
      <c r="AR93" s="69"/>
      <c r="AS93" s="68"/>
      <c r="AT93" s="66" t="e">
        <f>VLOOKUP(K93,[4]Planilha1!A$13:P$314,16,0)</f>
        <v>#N/A</v>
      </c>
    </row>
    <row r="94" spans="1:46" s="63" customFormat="1" x14ac:dyDescent="0.25">
      <c r="A94" s="82"/>
      <c r="B94" s="82"/>
      <c r="C94" s="64"/>
      <c r="D94" s="64"/>
      <c r="E94" s="64"/>
      <c r="F94" s="64"/>
      <c r="G94" s="64"/>
      <c r="H94" s="64"/>
      <c r="I94" s="64"/>
      <c r="J94" s="64"/>
      <c r="K94" s="64"/>
      <c r="L94" s="64"/>
      <c r="M94" s="64"/>
      <c r="N94" s="406"/>
      <c r="O94" s="64"/>
      <c r="P94" s="410"/>
      <c r="Q94" s="64"/>
      <c r="R94" s="401">
        <f t="shared" si="26"/>
        <v>0</v>
      </c>
      <c r="S94" s="401"/>
      <c r="T94" s="401"/>
      <c r="U94" s="64"/>
      <c r="V94" s="64"/>
      <c r="W94" s="413">
        <f t="shared" si="25"/>
        <v>0</v>
      </c>
      <c r="X94" s="403">
        <v>1</v>
      </c>
      <c r="Y94" s="403">
        <v>1</v>
      </c>
      <c r="Z94" s="403">
        <v>0</v>
      </c>
      <c r="AA94" s="38"/>
      <c r="AB94" s="409"/>
      <c r="AC94" s="38"/>
      <c r="AD94" s="68"/>
      <c r="AE94" s="68"/>
      <c r="AF94" s="68"/>
      <c r="AG94" s="68"/>
      <c r="AH94" s="68"/>
      <c r="AI94" s="38"/>
      <c r="AJ94" s="38"/>
      <c r="AK94" s="38"/>
      <c r="AL94" s="38"/>
      <c r="AM94" s="38"/>
      <c r="AN94" s="38"/>
      <c r="AO94" s="69"/>
      <c r="AP94" s="69"/>
      <c r="AQ94" s="69"/>
      <c r="AR94" s="69"/>
      <c r="AS94" s="68"/>
      <c r="AT94" s="66" t="e">
        <f>VLOOKUP(K94,[4]Planilha1!A$13:P$314,16,0)</f>
        <v>#N/A</v>
      </c>
    </row>
    <row r="95" spans="1:46" s="63" customFormat="1" x14ac:dyDescent="0.25">
      <c r="A95" s="82"/>
      <c r="B95" s="82"/>
      <c r="C95" s="64"/>
      <c r="D95" s="64"/>
      <c r="E95" s="64"/>
      <c r="F95" s="64"/>
      <c r="G95" s="64"/>
      <c r="H95" s="64"/>
      <c r="I95" s="64"/>
      <c r="J95" s="64"/>
      <c r="K95" s="64"/>
      <c r="L95" s="64"/>
      <c r="M95" s="64"/>
      <c r="N95" s="406"/>
      <c r="O95" s="64"/>
      <c r="P95" s="410"/>
      <c r="Q95" s="64"/>
      <c r="R95" s="401">
        <f t="shared" si="26"/>
        <v>0</v>
      </c>
      <c r="S95" s="401"/>
      <c r="T95" s="401"/>
      <c r="U95" s="64"/>
      <c r="V95" s="64"/>
      <c r="W95" s="413">
        <f t="shared" si="25"/>
        <v>0</v>
      </c>
      <c r="X95" s="403">
        <v>1</v>
      </c>
      <c r="Y95" s="403">
        <v>1</v>
      </c>
      <c r="Z95" s="403">
        <v>0</v>
      </c>
      <c r="AA95" s="38"/>
      <c r="AB95" s="409"/>
      <c r="AC95" s="38"/>
      <c r="AD95" s="68"/>
      <c r="AE95" s="68"/>
      <c r="AF95" s="68"/>
      <c r="AG95" s="68"/>
      <c r="AH95" s="68"/>
      <c r="AI95" s="38"/>
      <c r="AJ95" s="38"/>
      <c r="AK95" s="38"/>
      <c r="AL95" s="38"/>
      <c r="AM95" s="38"/>
      <c r="AN95" s="38"/>
      <c r="AO95" s="69"/>
      <c r="AP95" s="69"/>
      <c r="AQ95" s="69"/>
      <c r="AR95" s="69"/>
      <c r="AS95" s="68"/>
      <c r="AT95" s="66" t="e">
        <f>VLOOKUP(K95,[4]Planilha1!A$13:P$314,16,0)</f>
        <v>#N/A</v>
      </c>
    </row>
    <row r="96" spans="1:46" s="63" customFormat="1" x14ac:dyDescent="0.25">
      <c r="A96" s="82"/>
      <c r="B96" s="82"/>
      <c r="C96" s="64"/>
      <c r="D96" s="64"/>
      <c r="E96" s="64"/>
      <c r="F96" s="64"/>
      <c r="G96" s="64"/>
      <c r="H96" s="64"/>
      <c r="I96" s="64"/>
      <c r="J96" s="64"/>
      <c r="K96" s="64"/>
      <c r="L96" s="64"/>
      <c r="M96" s="64"/>
      <c r="N96" s="406"/>
      <c r="O96" s="64"/>
      <c r="P96" s="410"/>
      <c r="Q96" s="64"/>
      <c r="R96" s="401">
        <f t="shared" si="26"/>
        <v>0</v>
      </c>
      <c r="S96" s="401"/>
      <c r="T96" s="401"/>
      <c r="U96" s="64"/>
      <c r="V96" s="64"/>
      <c r="W96" s="413">
        <f t="shared" si="25"/>
        <v>0</v>
      </c>
      <c r="X96" s="403">
        <v>1</v>
      </c>
      <c r="Y96" s="403">
        <v>1</v>
      </c>
      <c r="Z96" s="403">
        <v>0</v>
      </c>
      <c r="AA96" s="38"/>
      <c r="AB96" s="409"/>
      <c r="AC96" s="38"/>
      <c r="AD96" s="68"/>
      <c r="AE96" s="68"/>
      <c r="AF96" s="68"/>
      <c r="AG96" s="68"/>
      <c r="AH96" s="68"/>
      <c r="AI96" s="38"/>
      <c r="AJ96" s="38"/>
      <c r="AK96" s="38"/>
      <c r="AL96" s="38"/>
      <c r="AM96" s="38"/>
      <c r="AN96" s="38"/>
      <c r="AO96" s="69"/>
      <c r="AP96" s="69"/>
      <c r="AQ96" s="69"/>
      <c r="AR96" s="69"/>
      <c r="AS96" s="68"/>
      <c r="AT96" s="66" t="e">
        <f>VLOOKUP(K96,[4]Planilha1!A$13:P$314,16,0)</f>
        <v>#N/A</v>
      </c>
    </row>
    <row r="97" spans="1:46" s="63" customFormat="1" x14ac:dyDescent="0.25">
      <c r="A97" s="82"/>
      <c r="B97" s="82"/>
      <c r="C97" s="64"/>
      <c r="D97" s="64"/>
      <c r="E97" s="64"/>
      <c r="F97" s="64"/>
      <c r="G97" s="64"/>
      <c r="H97" s="64"/>
      <c r="I97" s="64"/>
      <c r="J97" s="64"/>
      <c r="K97" s="64"/>
      <c r="L97" s="64"/>
      <c r="M97" s="64"/>
      <c r="N97" s="406"/>
      <c r="O97" s="64"/>
      <c r="P97" s="410"/>
      <c r="Q97" s="64"/>
      <c r="R97" s="401">
        <f t="shared" si="26"/>
        <v>0</v>
      </c>
      <c r="S97" s="401"/>
      <c r="T97" s="401"/>
      <c r="U97" s="64"/>
      <c r="V97" s="64"/>
      <c r="W97" s="413">
        <f t="shared" si="25"/>
        <v>0</v>
      </c>
      <c r="X97" s="403">
        <v>1</v>
      </c>
      <c r="Y97" s="403">
        <v>1</v>
      </c>
      <c r="Z97" s="403">
        <v>0</v>
      </c>
      <c r="AA97" s="38"/>
      <c r="AB97" s="409"/>
      <c r="AC97" s="38"/>
      <c r="AD97" s="68"/>
      <c r="AE97" s="68"/>
      <c r="AF97" s="68"/>
      <c r="AG97" s="68"/>
      <c r="AH97" s="68"/>
      <c r="AI97" s="38"/>
      <c r="AJ97" s="38"/>
      <c r="AK97" s="38"/>
      <c r="AL97" s="38"/>
      <c r="AM97" s="38"/>
      <c r="AN97" s="38"/>
      <c r="AO97" s="69"/>
      <c r="AP97" s="69"/>
      <c r="AQ97" s="69"/>
      <c r="AR97" s="69"/>
      <c r="AS97" s="68"/>
      <c r="AT97" s="66" t="e">
        <f>VLOOKUP(K97,[4]Planilha1!A$13:P$314,16,0)</f>
        <v>#N/A</v>
      </c>
    </row>
    <row r="98" spans="1:46" s="63" customFormat="1" x14ac:dyDescent="0.25">
      <c r="A98" s="82"/>
      <c r="B98" s="82"/>
      <c r="C98" s="64"/>
      <c r="D98" s="64"/>
      <c r="E98" s="64"/>
      <c r="F98" s="64"/>
      <c r="G98" s="64"/>
      <c r="H98" s="64"/>
      <c r="I98" s="64"/>
      <c r="J98" s="64"/>
      <c r="K98" s="64"/>
      <c r="L98" s="64"/>
      <c r="M98" s="64"/>
      <c r="N98" s="406"/>
      <c r="O98" s="64"/>
      <c r="P98" s="410"/>
      <c r="Q98" s="64"/>
      <c r="R98" s="401">
        <f t="shared" si="26"/>
        <v>0</v>
      </c>
      <c r="S98" s="401"/>
      <c r="T98" s="401"/>
      <c r="U98" s="64"/>
      <c r="V98" s="64"/>
      <c r="W98" s="413">
        <f t="shared" si="25"/>
        <v>0</v>
      </c>
      <c r="X98" s="403">
        <v>1</v>
      </c>
      <c r="Y98" s="403">
        <v>1</v>
      </c>
      <c r="Z98" s="403">
        <v>0</v>
      </c>
      <c r="AA98" s="38"/>
      <c r="AB98" s="409"/>
      <c r="AC98" s="38"/>
      <c r="AD98" s="68"/>
      <c r="AE98" s="68"/>
      <c r="AF98" s="68"/>
      <c r="AG98" s="68"/>
      <c r="AH98" s="68"/>
      <c r="AI98" s="38"/>
      <c r="AJ98" s="38"/>
      <c r="AK98" s="38"/>
      <c r="AL98" s="38"/>
      <c r="AM98" s="38"/>
      <c r="AN98" s="38"/>
      <c r="AO98" s="69"/>
      <c r="AP98" s="69"/>
      <c r="AQ98" s="69"/>
      <c r="AR98" s="69"/>
      <c r="AS98" s="68"/>
      <c r="AT98" s="66" t="e">
        <f>VLOOKUP(K98,[4]Planilha1!A$13:P$314,16,0)</f>
        <v>#N/A</v>
      </c>
    </row>
    <row r="99" spans="1:46" s="63" customFormat="1" x14ac:dyDescent="0.25">
      <c r="A99" s="82"/>
      <c r="B99" s="82"/>
      <c r="C99" s="64"/>
      <c r="D99" s="64"/>
      <c r="E99" s="64"/>
      <c r="F99" s="64"/>
      <c r="G99" s="64"/>
      <c r="H99" s="64"/>
      <c r="I99" s="64"/>
      <c r="J99" s="64"/>
      <c r="K99" s="64"/>
      <c r="L99" s="64"/>
      <c r="M99" s="64"/>
      <c r="N99" s="406"/>
      <c r="O99" s="64"/>
      <c r="P99" s="410"/>
      <c r="Q99" s="64"/>
      <c r="R99" s="401">
        <f t="shared" si="26"/>
        <v>0</v>
      </c>
      <c r="S99" s="401"/>
      <c r="T99" s="401"/>
      <c r="U99" s="64"/>
      <c r="V99" s="412">
        <v>0.92</v>
      </c>
      <c r="W99" s="413">
        <f t="shared" si="25"/>
        <v>0</v>
      </c>
      <c r="X99" s="403">
        <v>1</v>
      </c>
      <c r="Y99" s="403">
        <v>1</v>
      </c>
      <c r="Z99" s="403">
        <v>0</v>
      </c>
      <c r="AA99" s="38"/>
      <c r="AB99" s="409"/>
      <c r="AC99" s="38"/>
      <c r="AD99" s="68"/>
      <c r="AE99" s="68"/>
      <c r="AF99" s="68"/>
      <c r="AG99" s="68"/>
      <c r="AH99" s="68"/>
      <c r="AI99" s="38"/>
      <c r="AJ99" s="38"/>
      <c r="AK99" s="38"/>
      <c r="AL99" s="38"/>
      <c r="AM99" s="38"/>
      <c r="AN99" s="38"/>
      <c r="AO99" s="69"/>
      <c r="AP99" s="69"/>
      <c r="AQ99" s="69"/>
      <c r="AR99" s="69"/>
      <c r="AS99" s="68"/>
      <c r="AT99" s="66" t="e">
        <f>VLOOKUP(K99,[4]Planilha1!A$13:P$314,16,0)</f>
        <v>#N/A</v>
      </c>
    </row>
    <row r="100" spans="1:46" s="63" customFormat="1" x14ac:dyDescent="0.25">
      <c r="A100" s="82"/>
      <c r="B100" s="82"/>
      <c r="C100" s="64"/>
      <c r="D100" s="64"/>
      <c r="E100" s="64"/>
      <c r="F100" s="64"/>
      <c r="G100" s="64"/>
      <c r="H100" s="64"/>
      <c r="I100" s="64"/>
      <c r="J100" s="64"/>
      <c r="K100" s="64"/>
      <c r="L100" s="64"/>
      <c r="M100" s="64"/>
      <c r="N100" s="406"/>
      <c r="O100" s="64"/>
      <c r="P100" s="410"/>
      <c r="Q100" s="64"/>
      <c r="R100" s="401">
        <f t="shared" si="26"/>
        <v>0</v>
      </c>
      <c r="S100" s="401"/>
      <c r="T100" s="401"/>
      <c r="U100" s="64"/>
      <c r="V100" s="64"/>
      <c r="W100" s="413">
        <f t="shared" si="25"/>
        <v>0</v>
      </c>
      <c r="X100" s="403">
        <v>1</v>
      </c>
      <c r="Y100" s="403">
        <v>1</v>
      </c>
      <c r="Z100" s="403">
        <v>0</v>
      </c>
      <c r="AA100" s="38"/>
      <c r="AB100" s="409"/>
      <c r="AC100" s="38"/>
      <c r="AD100" s="68"/>
      <c r="AE100" s="68"/>
      <c r="AF100" s="68"/>
      <c r="AG100" s="68"/>
      <c r="AH100" s="68"/>
      <c r="AI100" s="38"/>
      <c r="AJ100" s="38"/>
      <c r="AK100" s="38"/>
      <c r="AL100" s="38"/>
      <c r="AM100" s="38"/>
      <c r="AN100" s="38"/>
      <c r="AO100" s="69"/>
      <c r="AP100" s="69"/>
      <c r="AQ100" s="69"/>
      <c r="AR100" s="69"/>
      <c r="AS100" s="68"/>
      <c r="AT100" s="66" t="e">
        <f>VLOOKUP(K100,[4]Planilha1!A$13:P$314,16,0)</f>
        <v>#N/A</v>
      </c>
    </row>
    <row r="101" spans="1:46" s="63" customFormat="1" x14ac:dyDescent="0.25">
      <c r="A101" s="82"/>
      <c r="B101" s="82"/>
      <c r="C101" s="64"/>
      <c r="D101" s="64"/>
      <c r="E101" s="64"/>
      <c r="F101" s="64"/>
      <c r="G101" s="64"/>
      <c r="H101" s="64"/>
      <c r="I101" s="64"/>
      <c r="J101" s="64"/>
      <c r="K101" s="64"/>
      <c r="L101" s="64"/>
      <c r="M101" s="64"/>
      <c r="N101" s="406"/>
      <c r="O101" s="64"/>
      <c r="P101" s="410"/>
      <c r="Q101" s="64"/>
      <c r="R101" s="401">
        <f t="shared" si="26"/>
        <v>0</v>
      </c>
      <c r="S101" s="401"/>
      <c r="T101" s="401"/>
      <c r="U101" s="64" t="s">
        <v>8535</v>
      </c>
      <c r="V101" s="412">
        <v>0.92</v>
      </c>
      <c r="W101" s="413">
        <f t="shared" si="25"/>
        <v>0</v>
      </c>
      <c r="X101" s="403">
        <v>1</v>
      </c>
      <c r="Y101" s="403">
        <v>1</v>
      </c>
      <c r="Z101" s="403">
        <v>0</v>
      </c>
      <c r="AA101" s="38"/>
      <c r="AB101" s="409"/>
      <c r="AC101" s="38"/>
      <c r="AD101" s="68"/>
      <c r="AE101" s="68"/>
      <c r="AF101" s="68"/>
      <c r="AG101" s="68"/>
      <c r="AH101" s="68"/>
      <c r="AI101" s="38"/>
      <c r="AJ101" s="38"/>
      <c r="AK101" s="38"/>
      <c r="AL101" s="38"/>
      <c r="AM101" s="38"/>
      <c r="AN101" s="38"/>
      <c r="AO101" s="69"/>
      <c r="AP101" s="69"/>
      <c r="AQ101" s="69"/>
      <c r="AR101" s="69"/>
      <c r="AS101" s="68"/>
      <c r="AT101" s="66" t="e">
        <f>VLOOKUP(K101,[4]Planilha1!A$13:P$314,16,0)</f>
        <v>#N/A</v>
      </c>
    </row>
    <row r="102" spans="1:46" s="63" customFormat="1" x14ac:dyDescent="0.25">
      <c r="A102" s="82"/>
      <c r="B102" s="82"/>
      <c r="C102" s="64"/>
      <c r="D102" s="64"/>
      <c r="E102" s="64"/>
      <c r="F102" s="64"/>
      <c r="G102" s="64"/>
      <c r="H102" s="64"/>
      <c r="I102" s="64"/>
      <c r="J102" s="64"/>
      <c r="K102" s="64"/>
      <c r="L102" s="64"/>
      <c r="M102" s="64"/>
      <c r="N102" s="406"/>
      <c r="O102" s="64"/>
      <c r="P102" s="410"/>
      <c r="Q102" s="64"/>
      <c r="R102" s="401">
        <f t="shared" si="26"/>
        <v>0</v>
      </c>
      <c r="S102" s="401"/>
      <c r="T102" s="401"/>
      <c r="U102" s="64" t="s">
        <v>8535</v>
      </c>
      <c r="V102" s="412">
        <v>0.92</v>
      </c>
      <c r="W102" s="413">
        <f t="shared" si="25"/>
        <v>0</v>
      </c>
      <c r="X102" s="403">
        <v>1</v>
      </c>
      <c r="Y102" s="403">
        <v>1</v>
      </c>
      <c r="Z102" s="403">
        <v>0</v>
      </c>
      <c r="AA102" s="38"/>
      <c r="AB102" s="409"/>
      <c r="AC102" s="38"/>
      <c r="AD102" s="68"/>
      <c r="AE102" s="68"/>
      <c r="AF102" s="68"/>
      <c r="AG102" s="68"/>
      <c r="AH102" s="68"/>
      <c r="AI102" s="38"/>
      <c r="AJ102" s="38"/>
      <c r="AK102" s="38"/>
      <c r="AL102" s="38"/>
      <c r="AM102" s="38"/>
      <c r="AN102" s="38"/>
      <c r="AO102" s="69"/>
      <c r="AP102" s="69"/>
      <c r="AQ102" s="69"/>
      <c r="AR102" s="69"/>
      <c r="AS102" s="68"/>
      <c r="AT102" s="66" t="e">
        <f>VLOOKUP(K102,[4]Planilha1!A$13:P$314,16,0)</f>
        <v>#N/A</v>
      </c>
    </row>
    <row r="103" spans="1:46" s="63" customFormat="1" x14ac:dyDescent="0.25">
      <c r="A103" s="82"/>
      <c r="B103" s="82"/>
      <c r="C103" s="64"/>
      <c r="D103" s="64"/>
      <c r="E103" s="64"/>
      <c r="F103" s="64"/>
      <c r="G103" s="64"/>
      <c r="H103" s="64"/>
      <c r="I103" s="64"/>
      <c r="J103" s="64"/>
      <c r="K103" s="64"/>
      <c r="L103" s="64"/>
      <c r="M103" s="64"/>
      <c r="N103" s="406"/>
      <c r="O103" s="64"/>
      <c r="P103" s="410"/>
      <c r="Q103" s="64"/>
      <c r="R103" s="401">
        <f t="shared" si="26"/>
        <v>0</v>
      </c>
      <c r="S103" s="401"/>
      <c r="T103" s="401"/>
      <c r="U103" s="64" t="s">
        <v>8535</v>
      </c>
      <c r="V103" s="412">
        <v>0.92</v>
      </c>
      <c r="W103" s="413">
        <f t="shared" si="25"/>
        <v>0</v>
      </c>
      <c r="X103" s="403">
        <v>1</v>
      </c>
      <c r="Y103" s="403">
        <v>1</v>
      </c>
      <c r="Z103" s="403">
        <v>0</v>
      </c>
      <c r="AA103" s="38"/>
      <c r="AB103" s="409"/>
      <c r="AC103" s="38"/>
      <c r="AD103" s="68"/>
      <c r="AE103" s="68"/>
      <c r="AF103" s="68"/>
      <c r="AG103" s="68"/>
      <c r="AH103" s="68"/>
      <c r="AI103" s="38"/>
      <c r="AJ103" s="38"/>
      <c r="AK103" s="38"/>
      <c r="AL103" s="38"/>
      <c r="AM103" s="38"/>
      <c r="AN103" s="38"/>
      <c r="AO103" s="69"/>
      <c r="AP103" s="69"/>
      <c r="AQ103" s="69"/>
      <c r="AR103" s="69"/>
      <c r="AS103" s="68"/>
      <c r="AT103" s="66" t="e">
        <f>VLOOKUP(K103,[4]Planilha1!A$13:P$314,16,0)</f>
        <v>#N/A</v>
      </c>
    </row>
    <row r="104" spans="1:46" s="63" customFormat="1" x14ac:dyDescent="0.25">
      <c r="A104" s="82"/>
      <c r="B104" s="82"/>
      <c r="C104" s="64"/>
      <c r="D104" s="64"/>
      <c r="E104" s="64"/>
      <c r="F104" s="64"/>
      <c r="G104" s="64"/>
      <c r="H104" s="64"/>
      <c r="I104" s="64"/>
      <c r="J104" s="64"/>
      <c r="K104" s="64"/>
      <c r="L104" s="64"/>
      <c r="M104" s="64"/>
      <c r="N104" s="406"/>
      <c r="O104" s="64"/>
      <c r="P104" s="410"/>
      <c r="Q104" s="64"/>
      <c r="R104" s="401">
        <f t="shared" si="26"/>
        <v>0</v>
      </c>
      <c r="S104" s="401"/>
      <c r="T104" s="401"/>
      <c r="U104" s="64" t="s">
        <v>8535</v>
      </c>
      <c r="V104" s="412">
        <v>0.92</v>
      </c>
      <c r="W104" s="413">
        <f t="shared" si="25"/>
        <v>0</v>
      </c>
      <c r="X104" s="403">
        <v>1</v>
      </c>
      <c r="Y104" s="403">
        <v>1</v>
      </c>
      <c r="Z104" s="403">
        <v>0</v>
      </c>
      <c r="AA104" s="38"/>
      <c r="AB104" s="409"/>
      <c r="AC104" s="38"/>
      <c r="AD104" s="68"/>
      <c r="AE104" s="68"/>
      <c r="AF104" s="68"/>
      <c r="AG104" s="68"/>
      <c r="AH104" s="68"/>
      <c r="AI104" s="38"/>
      <c r="AJ104" s="38"/>
      <c r="AK104" s="38"/>
      <c r="AL104" s="38"/>
      <c r="AM104" s="38"/>
      <c r="AN104" s="38"/>
      <c r="AO104" s="69"/>
      <c r="AP104" s="69"/>
      <c r="AQ104" s="69"/>
      <c r="AR104" s="69"/>
      <c r="AS104" s="68"/>
      <c r="AT104" s="66" t="e">
        <f>VLOOKUP(K104,[4]Planilha1!A$13:P$314,16,0)</f>
        <v>#N/A</v>
      </c>
    </row>
    <row r="105" spans="1:46" s="63" customFormat="1" x14ac:dyDescent="0.25">
      <c r="A105" s="82"/>
      <c r="B105" s="82"/>
      <c r="C105" s="64"/>
      <c r="D105" s="64"/>
      <c r="E105" s="64"/>
      <c r="F105" s="64"/>
      <c r="G105" s="64"/>
      <c r="H105" s="64"/>
      <c r="I105" s="64"/>
      <c r="J105" s="64"/>
      <c r="K105" s="64"/>
      <c r="L105" s="64"/>
      <c r="M105" s="64"/>
      <c r="N105" s="406"/>
      <c r="O105" s="64"/>
      <c r="P105" s="410"/>
      <c r="Q105" s="64"/>
      <c r="R105" s="401">
        <f t="shared" si="26"/>
        <v>0</v>
      </c>
      <c r="S105" s="401"/>
      <c r="T105" s="401"/>
      <c r="U105" s="64" t="s">
        <v>8535</v>
      </c>
      <c r="V105" s="412">
        <v>0.92</v>
      </c>
      <c r="W105" s="413">
        <f t="shared" si="25"/>
        <v>0</v>
      </c>
      <c r="X105" s="403">
        <v>1</v>
      </c>
      <c r="Y105" s="403">
        <v>1</v>
      </c>
      <c r="Z105" s="403">
        <v>0</v>
      </c>
      <c r="AA105" s="38"/>
      <c r="AB105" s="409"/>
      <c r="AC105" s="38"/>
      <c r="AD105" s="68"/>
      <c r="AE105" s="68"/>
      <c r="AF105" s="68"/>
      <c r="AG105" s="68"/>
      <c r="AH105" s="68"/>
      <c r="AI105" s="38"/>
      <c r="AJ105" s="38"/>
      <c r="AK105" s="38"/>
      <c r="AL105" s="38"/>
      <c r="AM105" s="38"/>
      <c r="AN105" s="38"/>
      <c r="AO105" s="69"/>
      <c r="AP105" s="69"/>
      <c r="AQ105" s="69"/>
      <c r="AR105" s="69"/>
      <c r="AS105" s="68"/>
      <c r="AT105" s="66" t="e">
        <f>VLOOKUP(K105,[4]Planilha1!A$13:P$314,16,0)</f>
        <v>#N/A</v>
      </c>
    </row>
    <row r="106" spans="1:46" s="63" customFormat="1" x14ac:dyDescent="0.25">
      <c r="A106" s="82"/>
      <c r="B106" s="82"/>
      <c r="C106" s="64"/>
      <c r="D106" s="64"/>
      <c r="E106" s="64"/>
      <c r="F106" s="64"/>
      <c r="G106" s="64"/>
      <c r="H106" s="64"/>
      <c r="I106" s="64"/>
      <c r="J106" s="64"/>
      <c r="K106" s="64"/>
      <c r="L106" s="64"/>
      <c r="M106" s="64"/>
      <c r="N106" s="406"/>
      <c r="O106" s="64"/>
      <c r="P106" s="410"/>
      <c r="Q106" s="64"/>
      <c r="R106" s="401">
        <f t="shared" si="26"/>
        <v>0</v>
      </c>
      <c r="S106" s="401"/>
      <c r="T106" s="401"/>
      <c r="U106" s="64" t="s">
        <v>8535</v>
      </c>
      <c r="V106" s="412">
        <v>0.92</v>
      </c>
      <c r="W106" s="413">
        <f t="shared" si="25"/>
        <v>0</v>
      </c>
      <c r="X106" s="403">
        <v>1</v>
      </c>
      <c r="Y106" s="403">
        <v>1</v>
      </c>
      <c r="Z106" s="403">
        <v>0</v>
      </c>
      <c r="AA106" s="38"/>
      <c r="AB106" s="409"/>
      <c r="AC106" s="38"/>
      <c r="AD106" s="68"/>
      <c r="AE106" s="68"/>
      <c r="AF106" s="68"/>
      <c r="AG106" s="68"/>
      <c r="AH106" s="68"/>
      <c r="AI106" s="38"/>
      <c r="AJ106" s="38"/>
      <c r="AK106" s="38"/>
      <c r="AL106" s="38"/>
      <c r="AM106" s="38"/>
      <c r="AN106" s="38"/>
      <c r="AO106" s="69"/>
      <c r="AP106" s="69"/>
      <c r="AQ106" s="69"/>
      <c r="AR106" s="69"/>
      <c r="AS106" s="68"/>
      <c r="AT106" s="66" t="e">
        <f>VLOOKUP(K106,[4]Planilha1!A$13:P$314,16,0)</f>
        <v>#N/A</v>
      </c>
    </row>
    <row r="107" spans="1:46" s="63" customFormat="1" x14ac:dyDescent="0.25">
      <c r="A107" s="82"/>
      <c r="B107" s="82"/>
      <c r="C107" s="64"/>
      <c r="D107" s="64"/>
      <c r="E107" s="64"/>
      <c r="F107" s="64"/>
      <c r="G107" s="64"/>
      <c r="H107" s="64"/>
      <c r="I107" s="64"/>
      <c r="J107" s="64"/>
      <c r="K107" s="64"/>
      <c r="L107" s="64"/>
      <c r="M107" s="64"/>
      <c r="N107" s="406"/>
      <c r="O107" s="64"/>
      <c r="P107" s="410"/>
      <c r="Q107" s="64"/>
      <c r="R107" s="401">
        <f t="shared" si="26"/>
        <v>0</v>
      </c>
      <c r="S107" s="401"/>
      <c r="T107" s="401"/>
      <c r="U107" s="64" t="s">
        <v>8535</v>
      </c>
      <c r="V107" s="412">
        <v>0.92</v>
      </c>
      <c r="W107" s="413">
        <f t="shared" si="25"/>
        <v>0</v>
      </c>
      <c r="X107" s="403">
        <v>1</v>
      </c>
      <c r="Y107" s="403">
        <v>1</v>
      </c>
      <c r="Z107" s="403">
        <v>0</v>
      </c>
      <c r="AA107" s="38"/>
      <c r="AB107" s="409"/>
      <c r="AC107" s="38"/>
      <c r="AD107" s="68"/>
      <c r="AE107" s="68"/>
      <c r="AF107" s="68"/>
      <c r="AG107" s="68"/>
      <c r="AH107" s="68"/>
      <c r="AI107" s="38"/>
      <c r="AJ107" s="38"/>
      <c r="AK107" s="38"/>
      <c r="AL107" s="38"/>
      <c r="AM107" s="38"/>
      <c r="AN107" s="38"/>
      <c r="AO107" s="69"/>
      <c r="AP107" s="69"/>
      <c r="AQ107" s="69"/>
      <c r="AR107" s="69"/>
      <c r="AS107" s="68"/>
      <c r="AT107" s="66" t="e">
        <f>VLOOKUP(K107,[4]Planilha1!A$13:P$314,16,0)</f>
        <v>#N/A</v>
      </c>
    </row>
    <row r="108" spans="1:46" s="63" customFormat="1" x14ac:dyDescent="0.25">
      <c r="A108" s="82"/>
      <c r="B108" s="82"/>
      <c r="C108" s="64"/>
      <c r="D108" s="64"/>
      <c r="E108" s="64"/>
      <c r="F108" s="64"/>
      <c r="G108" s="64"/>
      <c r="H108" s="64"/>
      <c r="I108" s="64"/>
      <c r="J108" s="64"/>
      <c r="K108" s="64"/>
      <c r="L108" s="64"/>
      <c r="M108" s="64"/>
      <c r="N108" s="406"/>
      <c r="O108" s="64"/>
      <c r="P108" s="410"/>
      <c r="Q108" s="64"/>
      <c r="R108" s="401">
        <f t="shared" si="26"/>
        <v>0</v>
      </c>
      <c r="S108" s="401"/>
      <c r="T108" s="401"/>
      <c r="U108" s="64" t="s">
        <v>8535</v>
      </c>
      <c r="V108" s="412">
        <v>0.92</v>
      </c>
      <c r="W108" s="413">
        <f t="shared" si="25"/>
        <v>0</v>
      </c>
      <c r="X108" s="403">
        <v>1</v>
      </c>
      <c r="Y108" s="403">
        <v>1</v>
      </c>
      <c r="Z108" s="403">
        <v>0</v>
      </c>
      <c r="AA108" s="38"/>
      <c r="AB108" s="409"/>
      <c r="AC108" s="38"/>
      <c r="AD108" s="68"/>
      <c r="AE108" s="68"/>
      <c r="AF108" s="68"/>
      <c r="AG108" s="68"/>
      <c r="AH108" s="68"/>
      <c r="AI108" s="38"/>
      <c r="AJ108" s="38"/>
      <c r="AK108" s="38"/>
      <c r="AL108" s="38"/>
      <c r="AM108" s="38"/>
      <c r="AN108" s="38"/>
      <c r="AO108" s="69"/>
      <c r="AP108" s="69"/>
      <c r="AQ108" s="69"/>
      <c r="AR108" s="69"/>
      <c r="AS108" s="68"/>
      <c r="AT108" s="66" t="e">
        <f>VLOOKUP(K108,[4]Planilha1!A$13:P$314,16,0)</f>
        <v>#N/A</v>
      </c>
    </row>
    <row r="109" spans="1:46" s="63" customFormat="1" x14ac:dyDescent="0.25">
      <c r="A109" s="82"/>
      <c r="B109" s="82"/>
      <c r="C109" s="64"/>
      <c r="D109" s="64"/>
      <c r="E109" s="64"/>
      <c r="F109" s="64"/>
      <c r="G109" s="64"/>
      <c r="H109" s="64"/>
      <c r="I109" s="64"/>
      <c r="J109" s="64"/>
      <c r="K109" s="64"/>
      <c r="L109" s="64"/>
      <c r="M109" s="64"/>
      <c r="N109" s="406"/>
      <c r="O109" s="64"/>
      <c r="P109" s="410"/>
      <c r="Q109" s="64"/>
      <c r="R109" s="401">
        <f t="shared" si="26"/>
        <v>0</v>
      </c>
      <c r="S109" s="401"/>
      <c r="T109" s="401"/>
      <c r="U109" s="64" t="s">
        <v>8535</v>
      </c>
      <c r="V109" s="412">
        <v>0.92</v>
      </c>
      <c r="W109" s="413">
        <f t="shared" si="25"/>
        <v>0</v>
      </c>
      <c r="X109" s="403">
        <v>1</v>
      </c>
      <c r="Y109" s="403">
        <v>1</v>
      </c>
      <c r="Z109" s="403">
        <v>0</v>
      </c>
      <c r="AA109" s="38"/>
      <c r="AB109" s="409"/>
      <c r="AC109" s="38"/>
      <c r="AD109" s="68"/>
      <c r="AE109" s="68"/>
      <c r="AF109" s="68"/>
      <c r="AG109" s="68"/>
      <c r="AH109" s="68"/>
      <c r="AI109" s="38"/>
      <c r="AJ109" s="38"/>
      <c r="AK109" s="38"/>
      <c r="AL109" s="38"/>
      <c r="AM109" s="38"/>
      <c r="AN109" s="38"/>
      <c r="AO109" s="69"/>
      <c r="AP109" s="69"/>
      <c r="AQ109" s="69"/>
      <c r="AR109" s="69"/>
      <c r="AS109" s="68"/>
      <c r="AT109" s="66" t="e">
        <f>VLOOKUP(K109,[4]Planilha1!A$13:P$314,16,0)</f>
        <v>#N/A</v>
      </c>
    </row>
    <row r="110" spans="1:46" s="63" customFormat="1" x14ac:dyDescent="0.25">
      <c r="A110" s="82"/>
      <c r="B110" s="82"/>
      <c r="C110" s="64"/>
      <c r="D110" s="64"/>
      <c r="E110" s="64"/>
      <c r="F110" s="64"/>
      <c r="G110" s="64"/>
      <c r="H110" s="64"/>
      <c r="I110" s="64"/>
      <c r="J110" s="64"/>
      <c r="K110" s="64"/>
      <c r="L110" s="64"/>
      <c r="M110" s="64"/>
      <c r="N110" s="406"/>
      <c r="O110" s="64"/>
      <c r="P110" s="410"/>
      <c r="Q110" s="64"/>
      <c r="R110" s="401">
        <f t="shared" si="26"/>
        <v>0</v>
      </c>
      <c r="S110" s="401"/>
      <c r="T110" s="401"/>
      <c r="U110" s="64" t="s">
        <v>8535</v>
      </c>
      <c r="V110" s="412">
        <v>0.92</v>
      </c>
      <c r="W110" s="413">
        <f t="shared" si="25"/>
        <v>0</v>
      </c>
      <c r="X110" s="403">
        <v>1</v>
      </c>
      <c r="Y110" s="403">
        <v>1</v>
      </c>
      <c r="Z110" s="403">
        <v>0</v>
      </c>
      <c r="AA110" s="38"/>
      <c r="AB110" s="409"/>
      <c r="AC110" s="38"/>
      <c r="AD110" s="68"/>
      <c r="AE110" s="68"/>
      <c r="AF110" s="68"/>
      <c r="AG110" s="68"/>
      <c r="AH110" s="68"/>
      <c r="AI110" s="38"/>
      <c r="AJ110" s="38"/>
      <c r="AK110" s="38"/>
      <c r="AL110" s="38"/>
      <c r="AM110" s="38"/>
      <c r="AN110" s="38"/>
      <c r="AO110" s="69"/>
      <c r="AP110" s="69"/>
      <c r="AQ110" s="69"/>
      <c r="AR110" s="69"/>
      <c r="AS110" s="68"/>
      <c r="AT110" s="66" t="e">
        <f>VLOOKUP(K110,[4]Planilha1!A$13:P$314,16,0)</f>
        <v>#N/A</v>
      </c>
    </row>
    <row r="111" spans="1:46" s="63" customFormat="1" x14ac:dyDescent="0.25">
      <c r="A111" s="82"/>
      <c r="B111" s="82"/>
      <c r="C111" s="64"/>
      <c r="D111" s="64"/>
      <c r="E111" s="64"/>
      <c r="F111" s="64"/>
      <c r="G111" s="64"/>
      <c r="H111" s="64"/>
      <c r="I111" s="64"/>
      <c r="J111" s="64"/>
      <c r="K111" s="64"/>
      <c r="L111" s="64"/>
      <c r="M111" s="64"/>
      <c r="N111" s="406"/>
      <c r="O111" s="64"/>
      <c r="P111" s="410"/>
      <c r="Q111" s="64"/>
      <c r="R111" s="401">
        <f t="shared" si="26"/>
        <v>0</v>
      </c>
      <c r="S111" s="401"/>
      <c r="T111" s="401"/>
      <c r="U111" s="64" t="s">
        <v>8535</v>
      </c>
      <c r="V111" s="412">
        <v>0.92</v>
      </c>
      <c r="W111" s="413">
        <f t="shared" si="25"/>
        <v>0</v>
      </c>
      <c r="X111" s="403">
        <v>1</v>
      </c>
      <c r="Y111" s="403">
        <v>1</v>
      </c>
      <c r="Z111" s="403">
        <v>0</v>
      </c>
      <c r="AA111" s="38"/>
      <c r="AB111" s="409"/>
      <c r="AC111" s="38"/>
      <c r="AD111" s="68"/>
      <c r="AE111" s="68"/>
      <c r="AF111" s="68"/>
      <c r="AG111" s="68"/>
      <c r="AH111" s="68"/>
      <c r="AI111" s="38"/>
      <c r="AJ111" s="38"/>
      <c r="AK111" s="38"/>
      <c r="AL111" s="38"/>
      <c r="AM111" s="38"/>
      <c r="AN111" s="38"/>
      <c r="AO111" s="69"/>
      <c r="AP111" s="69"/>
      <c r="AQ111" s="69"/>
      <c r="AR111" s="69"/>
      <c r="AS111" s="68"/>
      <c r="AT111" s="66" t="e">
        <f>VLOOKUP(K111,[4]Planilha1!A$13:P$314,16,0)</f>
        <v>#N/A</v>
      </c>
    </row>
    <row r="112" spans="1:46" s="63" customFormat="1" x14ac:dyDescent="0.25">
      <c r="A112" s="82"/>
      <c r="B112" s="82"/>
      <c r="C112" s="64"/>
      <c r="D112" s="64"/>
      <c r="E112" s="64"/>
      <c r="F112" s="64"/>
      <c r="G112" s="64"/>
      <c r="H112" s="64"/>
      <c r="I112" s="64"/>
      <c r="J112" s="64"/>
      <c r="K112" s="64"/>
      <c r="L112" s="64"/>
      <c r="M112" s="64"/>
      <c r="N112" s="406"/>
      <c r="O112" s="64"/>
      <c r="P112" s="410"/>
      <c r="Q112" s="64"/>
      <c r="R112" s="401">
        <f t="shared" si="26"/>
        <v>0</v>
      </c>
      <c r="S112" s="401"/>
      <c r="T112" s="401"/>
      <c r="U112" s="64" t="s">
        <v>8535</v>
      </c>
      <c r="V112" s="412">
        <v>0.92</v>
      </c>
      <c r="W112" s="413">
        <f t="shared" si="25"/>
        <v>0</v>
      </c>
      <c r="X112" s="403">
        <v>1</v>
      </c>
      <c r="Y112" s="403">
        <v>1</v>
      </c>
      <c r="Z112" s="403">
        <v>0</v>
      </c>
      <c r="AA112" s="38"/>
      <c r="AB112" s="409"/>
      <c r="AC112" s="38"/>
      <c r="AD112" s="68"/>
      <c r="AE112" s="68"/>
      <c r="AF112" s="68"/>
      <c r="AG112" s="68"/>
      <c r="AH112" s="68"/>
      <c r="AI112" s="38"/>
      <c r="AJ112" s="38"/>
      <c r="AK112" s="38"/>
      <c r="AL112" s="38"/>
      <c r="AM112" s="38"/>
      <c r="AN112" s="38"/>
      <c r="AO112" s="69"/>
      <c r="AP112" s="69"/>
      <c r="AQ112" s="69"/>
      <c r="AR112" s="69"/>
      <c r="AS112" s="68"/>
      <c r="AT112" s="66" t="e">
        <f>VLOOKUP(K112,[4]Planilha1!A$13:P$314,16,0)</f>
        <v>#N/A</v>
      </c>
    </row>
    <row r="113" spans="1:46" s="63" customFormat="1" x14ac:dyDescent="0.25">
      <c r="A113" s="82"/>
      <c r="B113" s="82"/>
      <c r="C113" s="64"/>
      <c r="D113" s="64"/>
      <c r="E113" s="64"/>
      <c r="F113" s="64"/>
      <c r="G113" s="64"/>
      <c r="H113" s="64"/>
      <c r="I113" s="64"/>
      <c r="J113" s="64"/>
      <c r="K113" s="64"/>
      <c r="L113" s="64"/>
      <c r="M113" s="64"/>
      <c r="N113" s="406"/>
      <c r="O113" s="64"/>
      <c r="P113" s="410"/>
      <c r="Q113" s="64"/>
      <c r="R113" s="401">
        <f t="shared" si="26"/>
        <v>0</v>
      </c>
      <c r="S113" s="401"/>
      <c r="T113" s="401"/>
      <c r="U113" s="64" t="s">
        <v>8535</v>
      </c>
      <c r="V113" s="412">
        <v>0.92</v>
      </c>
      <c r="W113" s="413">
        <f t="shared" si="25"/>
        <v>0</v>
      </c>
      <c r="X113" s="403">
        <v>1</v>
      </c>
      <c r="Y113" s="403">
        <v>1</v>
      </c>
      <c r="Z113" s="403">
        <v>0</v>
      </c>
      <c r="AA113" s="38"/>
      <c r="AB113" s="409"/>
      <c r="AC113" s="38"/>
      <c r="AD113" s="68"/>
      <c r="AE113" s="68"/>
      <c r="AF113" s="68"/>
      <c r="AG113" s="68"/>
      <c r="AH113" s="68"/>
      <c r="AI113" s="38"/>
      <c r="AJ113" s="38"/>
      <c r="AK113" s="38"/>
      <c r="AL113" s="38"/>
      <c r="AM113" s="38"/>
      <c r="AN113" s="38"/>
      <c r="AO113" s="69"/>
      <c r="AP113" s="69"/>
      <c r="AQ113" s="69"/>
      <c r="AR113" s="69"/>
      <c r="AS113" s="68"/>
      <c r="AT113" s="66" t="e">
        <f>VLOOKUP(K113,[4]Planilha1!A$13:P$314,16,0)</f>
        <v>#N/A</v>
      </c>
    </row>
    <row r="114" spans="1:46" s="63" customFormat="1" x14ac:dyDescent="0.25">
      <c r="A114" s="82"/>
      <c r="B114" s="82"/>
      <c r="C114" s="64"/>
      <c r="D114" s="64"/>
      <c r="E114" s="64"/>
      <c r="F114" s="64"/>
      <c r="G114" s="64"/>
      <c r="H114" s="64"/>
      <c r="I114" s="64"/>
      <c r="J114" s="64"/>
      <c r="K114" s="64"/>
      <c r="L114" s="64"/>
      <c r="M114" s="64"/>
      <c r="N114" s="406"/>
      <c r="O114" s="64"/>
      <c r="P114" s="410"/>
      <c r="Q114" s="64"/>
      <c r="R114" s="401">
        <f t="shared" si="26"/>
        <v>0</v>
      </c>
      <c r="S114" s="401"/>
      <c r="T114" s="401"/>
      <c r="U114" s="64" t="s">
        <v>8535</v>
      </c>
      <c r="V114" s="412">
        <v>0.92</v>
      </c>
      <c r="W114" s="413">
        <f t="shared" si="25"/>
        <v>0</v>
      </c>
      <c r="X114" s="403">
        <v>1</v>
      </c>
      <c r="Y114" s="403">
        <v>1</v>
      </c>
      <c r="Z114" s="403">
        <v>0</v>
      </c>
      <c r="AA114" s="38"/>
      <c r="AB114" s="409"/>
      <c r="AC114" s="38"/>
      <c r="AD114" s="68"/>
      <c r="AE114" s="68"/>
      <c r="AF114" s="68"/>
      <c r="AG114" s="68"/>
      <c r="AH114" s="68"/>
      <c r="AI114" s="38"/>
      <c r="AJ114" s="38"/>
      <c r="AK114" s="38"/>
      <c r="AL114" s="38"/>
      <c r="AM114" s="38"/>
      <c r="AN114" s="38"/>
      <c r="AO114" s="69"/>
      <c r="AP114" s="69"/>
      <c r="AQ114" s="69"/>
      <c r="AR114" s="69"/>
      <c r="AS114" s="68"/>
      <c r="AT114" s="66" t="e">
        <f>VLOOKUP(K114,[4]Planilha1!A$13:P$314,16,0)</f>
        <v>#N/A</v>
      </c>
    </row>
    <row r="115" spans="1:46" s="63" customFormat="1" x14ac:dyDescent="0.25">
      <c r="A115" s="82"/>
      <c r="B115" s="82"/>
      <c r="C115" s="64"/>
      <c r="D115" s="64"/>
      <c r="E115" s="64"/>
      <c r="F115" s="64"/>
      <c r="G115" s="64"/>
      <c r="H115" s="64"/>
      <c r="I115" s="64"/>
      <c r="J115" s="64"/>
      <c r="K115" s="64"/>
      <c r="L115" s="64"/>
      <c r="M115" s="64"/>
      <c r="N115" s="406"/>
      <c r="O115" s="64"/>
      <c r="P115" s="410"/>
      <c r="Q115" s="64"/>
      <c r="R115" s="401">
        <f t="shared" si="26"/>
        <v>0</v>
      </c>
      <c r="S115" s="401"/>
      <c r="T115" s="401"/>
      <c r="U115" s="64" t="s">
        <v>8535</v>
      </c>
      <c r="V115" s="412">
        <v>0.92</v>
      </c>
      <c r="W115" s="413">
        <f t="shared" si="25"/>
        <v>0</v>
      </c>
      <c r="X115" s="403">
        <v>1</v>
      </c>
      <c r="Y115" s="403">
        <v>1</v>
      </c>
      <c r="Z115" s="403">
        <v>0</v>
      </c>
      <c r="AA115" s="38"/>
      <c r="AB115" s="409"/>
      <c r="AC115" s="38"/>
      <c r="AD115" s="68"/>
      <c r="AE115" s="68"/>
      <c r="AF115" s="68"/>
      <c r="AG115" s="68"/>
      <c r="AH115" s="68"/>
      <c r="AI115" s="38"/>
      <c r="AJ115" s="38"/>
      <c r="AK115" s="38"/>
      <c r="AL115" s="38"/>
      <c r="AM115" s="38"/>
      <c r="AN115" s="38"/>
      <c r="AO115" s="69"/>
      <c r="AP115" s="69"/>
      <c r="AQ115" s="69"/>
      <c r="AR115" s="69"/>
      <c r="AS115" s="68"/>
      <c r="AT115" s="66" t="e">
        <f>VLOOKUP(K115,[4]Planilha1!A$13:P$314,16,0)</f>
        <v>#N/A</v>
      </c>
    </row>
    <row r="116" spans="1:46" s="63" customFormat="1" x14ac:dyDescent="0.25">
      <c r="A116" s="82"/>
      <c r="B116" s="82"/>
      <c r="C116" s="64"/>
      <c r="D116" s="64"/>
      <c r="E116" s="64"/>
      <c r="F116" s="64"/>
      <c r="G116" s="64"/>
      <c r="H116" s="64"/>
      <c r="I116" s="64"/>
      <c r="J116" s="64"/>
      <c r="K116" s="64"/>
      <c r="L116" s="64"/>
      <c r="M116" s="64"/>
      <c r="N116" s="406"/>
      <c r="O116" s="64"/>
      <c r="P116" s="410"/>
      <c r="Q116" s="64"/>
      <c r="R116" s="401">
        <f t="shared" si="26"/>
        <v>0</v>
      </c>
      <c r="S116" s="401"/>
      <c r="T116" s="401"/>
      <c r="U116" s="64" t="s">
        <v>8535</v>
      </c>
      <c r="V116" s="412">
        <v>0.92</v>
      </c>
      <c r="W116" s="413">
        <f t="shared" si="25"/>
        <v>0</v>
      </c>
      <c r="X116" s="403">
        <v>1</v>
      </c>
      <c r="Y116" s="403">
        <v>1</v>
      </c>
      <c r="Z116" s="403">
        <v>0</v>
      </c>
      <c r="AA116" s="38"/>
      <c r="AB116" s="409"/>
      <c r="AC116" s="38"/>
      <c r="AD116" s="68"/>
      <c r="AE116" s="68"/>
      <c r="AF116" s="68"/>
      <c r="AG116" s="68"/>
      <c r="AH116" s="68"/>
      <c r="AI116" s="38"/>
      <c r="AJ116" s="38"/>
      <c r="AK116" s="38"/>
      <c r="AL116" s="38"/>
      <c r="AM116" s="38"/>
      <c r="AN116" s="38"/>
      <c r="AO116" s="69"/>
      <c r="AP116" s="69"/>
      <c r="AQ116" s="69"/>
      <c r="AR116" s="69"/>
      <c r="AS116" s="68"/>
      <c r="AT116" s="66" t="e">
        <f>VLOOKUP(K116,[4]Planilha1!A$13:P$314,16,0)</f>
        <v>#N/A</v>
      </c>
    </row>
    <row r="117" spans="1:46" s="63" customFormat="1" x14ac:dyDescent="0.25">
      <c r="A117" s="82"/>
      <c r="B117" s="82"/>
      <c r="C117" s="64"/>
      <c r="D117" s="64"/>
      <c r="E117" s="64"/>
      <c r="F117" s="64"/>
      <c r="G117" s="64"/>
      <c r="H117" s="64"/>
      <c r="I117" s="64"/>
      <c r="J117" s="64"/>
      <c r="K117" s="64"/>
      <c r="L117" s="64"/>
      <c r="M117" s="64"/>
      <c r="N117" s="406"/>
      <c r="O117" s="64"/>
      <c r="P117" s="410"/>
      <c r="Q117" s="64"/>
      <c r="R117" s="401">
        <f t="shared" si="26"/>
        <v>0</v>
      </c>
      <c r="S117" s="401"/>
      <c r="T117" s="401"/>
      <c r="U117" s="64" t="s">
        <v>8535</v>
      </c>
      <c r="V117" s="412">
        <v>0.92</v>
      </c>
      <c r="W117" s="413">
        <f t="shared" si="25"/>
        <v>0</v>
      </c>
      <c r="X117" s="403">
        <v>1</v>
      </c>
      <c r="Y117" s="403">
        <v>1</v>
      </c>
      <c r="Z117" s="403">
        <v>0</v>
      </c>
      <c r="AA117" s="38"/>
      <c r="AB117" s="409"/>
      <c r="AC117" s="38"/>
      <c r="AD117" s="68"/>
      <c r="AE117" s="68"/>
      <c r="AF117" s="68"/>
      <c r="AG117" s="68"/>
      <c r="AH117" s="68"/>
      <c r="AI117" s="38"/>
      <c r="AJ117" s="38"/>
      <c r="AK117" s="38"/>
      <c r="AL117" s="38"/>
      <c r="AM117" s="38"/>
      <c r="AN117" s="38"/>
      <c r="AO117" s="69"/>
      <c r="AP117" s="69"/>
      <c r="AQ117" s="69"/>
      <c r="AR117" s="69"/>
      <c r="AS117" s="68"/>
      <c r="AT117" s="66" t="e">
        <f>VLOOKUP(K117,[4]Planilha1!A$13:P$314,16,0)</f>
        <v>#N/A</v>
      </c>
    </row>
    <row r="118" spans="1:46" s="63" customFormat="1" x14ac:dyDescent="0.25">
      <c r="A118" s="82"/>
      <c r="B118" s="82"/>
      <c r="C118" s="64"/>
      <c r="D118" s="64"/>
      <c r="E118" s="64"/>
      <c r="F118" s="64"/>
      <c r="G118" s="64"/>
      <c r="H118" s="64"/>
      <c r="I118" s="64"/>
      <c r="J118" s="64"/>
      <c r="K118" s="64"/>
      <c r="L118" s="64"/>
      <c r="M118" s="64"/>
      <c r="N118" s="406"/>
      <c r="O118" s="64"/>
      <c r="P118" s="410"/>
      <c r="Q118" s="64"/>
      <c r="R118" s="401">
        <f t="shared" si="26"/>
        <v>0</v>
      </c>
      <c r="S118" s="401"/>
      <c r="T118" s="401"/>
      <c r="U118" s="64" t="s">
        <v>8535</v>
      </c>
      <c r="V118" s="412">
        <v>0.92</v>
      </c>
      <c r="W118" s="413">
        <f t="shared" si="25"/>
        <v>0</v>
      </c>
      <c r="X118" s="403">
        <v>1</v>
      </c>
      <c r="Y118" s="403">
        <v>1</v>
      </c>
      <c r="Z118" s="403">
        <v>0</v>
      </c>
      <c r="AA118" s="38"/>
      <c r="AB118" s="409"/>
      <c r="AC118" s="38"/>
      <c r="AD118" s="68"/>
      <c r="AE118" s="68"/>
      <c r="AF118" s="68"/>
      <c r="AG118" s="68"/>
      <c r="AH118" s="68"/>
      <c r="AI118" s="38"/>
      <c r="AJ118" s="38"/>
      <c r="AK118" s="38"/>
      <c r="AL118" s="38"/>
      <c r="AM118" s="38"/>
      <c r="AN118" s="38"/>
      <c r="AO118" s="69"/>
      <c r="AP118" s="69"/>
      <c r="AQ118" s="69"/>
      <c r="AR118" s="69"/>
      <c r="AS118" s="68"/>
      <c r="AT118" s="66" t="e">
        <f>VLOOKUP(K118,[4]Planilha1!A$13:P$314,16,0)</f>
        <v>#N/A</v>
      </c>
    </row>
    <row r="119" spans="1:46" s="63" customFormat="1" x14ac:dyDescent="0.25">
      <c r="A119" s="82"/>
      <c r="B119" s="82"/>
      <c r="C119" s="64"/>
      <c r="D119" s="64"/>
      <c r="E119" s="64"/>
      <c r="F119" s="64"/>
      <c r="G119" s="64"/>
      <c r="H119" s="64"/>
      <c r="I119" s="64"/>
      <c r="J119" s="64"/>
      <c r="K119" s="64"/>
      <c r="L119" s="64"/>
      <c r="M119" s="64"/>
      <c r="N119" s="406"/>
      <c r="O119" s="64"/>
      <c r="P119" s="410"/>
      <c r="Q119" s="64"/>
      <c r="R119" s="401">
        <f t="shared" si="26"/>
        <v>0</v>
      </c>
      <c r="S119" s="401"/>
      <c r="T119" s="401"/>
      <c r="U119" s="64" t="s">
        <v>8535</v>
      </c>
      <c r="V119" s="412">
        <v>0.92</v>
      </c>
      <c r="W119" s="413">
        <f t="shared" si="25"/>
        <v>0</v>
      </c>
      <c r="X119" s="403">
        <v>1</v>
      </c>
      <c r="Y119" s="403">
        <v>1</v>
      </c>
      <c r="Z119" s="403">
        <v>0</v>
      </c>
      <c r="AA119" s="38"/>
      <c r="AB119" s="409"/>
      <c r="AC119" s="38"/>
      <c r="AD119" s="68"/>
      <c r="AE119" s="68"/>
      <c r="AF119" s="68"/>
      <c r="AG119" s="68"/>
      <c r="AH119" s="68"/>
      <c r="AI119" s="38"/>
      <c r="AJ119" s="38"/>
      <c r="AK119" s="38"/>
      <c r="AL119" s="38"/>
      <c r="AM119" s="38"/>
      <c r="AN119" s="38"/>
      <c r="AO119" s="69"/>
      <c r="AP119" s="69"/>
      <c r="AQ119" s="69"/>
      <c r="AR119" s="69"/>
      <c r="AS119" s="68"/>
      <c r="AT119" s="66" t="e">
        <f>VLOOKUP(K119,[4]Planilha1!A$13:P$314,16,0)</f>
        <v>#N/A</v>
      </c>
    </row>
    <row r="120" spans="1:46" s="63" customFormat="1" x14ac:dyDescent="0.25">
      <c r="A120" s="82"/>
      <c r="B120" s="82"/>
      <c r="C120" s="64"/>
      <c r="D120" s="64"/>
      <c r="E120" s="64"/>
      <c r="F120" s="64"/>
      <c r="G120" s="64"/>
      <c r="H120" s="64"/>
      <c r="I120" s="64"/>
      <c r="J120" s="64"/>
      <c r="K120" s="64"/>
      <c r="L120" s="64"/>
      <c r="M120" s="64"/>
      <c r="N120" s="406"/>
      <c r="O120" s="64"/>
      <c r="P120" s="410"/>
      <c r="Q120" s="64"/>
      <c r="R120" s="401">
        <f t="shared" si="26"/>
        <v>0</v>
      </c>
      <c r="S120" s="401"/>
      <c r="T120" s="401"/>
      <c r="U120" s="64" t="s">
        <v>8535</v>
      </c>
      <c r="V120" s="412">
        <v>0.92</v>
      </c>
      <c r="W120" s="413">
        <f t="shared" si="25"/>
        <v>0</v>
      </c>
      <c r="X120" s="403">
        <v>1</v>
      </c>
      <c r="Y120" s="403">
        <v>1</v>
      </c>
      <c r="Z120" s="403">
        <v>0</v>
      </c>
      <c r="AA120" s="38"/>
      <c r="AB120" s="409"/>
      <c r="AC120" s="38"/>
      <c r="AD120" s="68"/>
      <c r="AE120" s="68"/>
      <c r="AF120" s="68"/>
      <c r="AG120" s="68"/>
      <c r="AH120" s="68"/>
      <c r="AI120" s="38"/>
      <c r="AJ120" s="38"/>
      <c r="AK120" s="38"/>
      <c r="AL120" s="38"/>
      <c r="AM120" s="38"/>
      <c r="AN120" s="38"/>
      <c r="AO120" s="69"/>
      <c r="AP120" s="69"/>
      <c r="AQ120" s="69"/>
      <c r="AR120" s="69"/>
      <c r="AS120" s="68"/>
      <c r="AT120" s="66" t="e">
        <f>VLOOKUP(K120,[4]Planilha1!A$13:P$314,16,0)</f>
        <v>#N/A</v>
      </c>
    </row>
    <row r="121" spans="1:46" s="63" customFormat="1" x14ac:dyDescent="0.25">
      <c r="A121" s="82"/>
      <c r="B121" s="82"/>
      <c r="C121" s="64"/>
      <c r="D121" s="64"/>
      <c r="E121" s="64"/>
      <c r="F121" s="64"/>
      <c r="G121" s="64"/>
      <c r="H121" s="64"/>
      <c r="I121" s="64"/>
      <c r="J121" s="64"/>
      <c r="K121" s="64"/>
      <c r="L121" s="64"/>
      <c r="M121" s="64"/>
      <c r="N121" s="406"/>
      <c r="O121" s="64"/>
      <c r="P121" s="410"/>
      <c r="Q121" s="64"/>
      <c r="R121" s="401">
        <f t="shared" si="26"/>
        <v>0</v>
      </c>
      <c r="S121" s="401"/>
      <c r="T121" s="401"/>
      <c r="U121" s="64" t="s">
        <v>8535</v>
      </c>
      <c r="V121" s="412">
        <v>0.92</v>
      </c>
      <c r="W121" s="413">
        <f t="shared" si="25"/>
        <v>0</v>
      </c>
      <c r="X121" s="403">
        <v>1</v>
      </c>
      <c r="Y121" s="403">
        <v>1</v>
      </c>
      <c r="Z121" s="403">
        <v>0</v>
      </c>
      <c r="AA121" s="38"/>
      <c r="AB121" s="409"/>
      <c r="AC121" s="38"/>
      <c r="AD121" s="68"/>
      <c r="AE121" s="68"/>
      <c r="AF121" s="68"/>
      <c r="AG121" s="68"/>
      <c r="AH121" s="68"/>
      <c r="AI121" s="38"/>
      <c r="AJ121" s="38"/>
      <c r="AK121" s="38"/>
      <c r="AL121" s="38"/>
      <c r="AM121" s="38"/>
      <c r="AN121" s="38"/>
      <c r="AO121" s="69"/>
      <c r="AP121" s="69"/>
      <c r="AQ121" s="69"/>
      <c r="AR121" s="69"/>
      <c r="AS121" s="68"/>
      <c r="AT121" s="66" t="e">
        <f>VLOOKUP(K121,[4]Planilha1!A$13:P$314,16,0)</f>
        <v>#N/A</v>
      </c>
    </row>
    <row r="122" spans="1:46" s="63" customFormat="1" x14ac:dyDescent="0.25">
      <c r="A122" s="82"/>
      <c r="B122" s="82"/>
      <c r="C122" s="64"/>
      <c r="D122" s="64"/>
      <c r="E122" s="64"/>
      <c r="F122" s="64"/>
      <c r="G122" s="64"/>
      <c r="H122" s="64"/>
      <c r="I122" s="64"/>
      <c r="J122" s="64"/>
      <c r="K122" s="64"/>
      <c r="L122" s="64"/>
      <c r="M122" s="64"/>
      <c r="N122" s="406"/>
      <c r="O122" s="64"/>
      <c r="P122" s="410"/>
      <c r="Q122" s="64"/>
      <c r="R122" s="401">
        <f t="shared" si="26"/>
        <v>0</v>
      </c>
      <c r="S122" s="401"/>
      <c r="T122" s="401"/>
      <c r="U122" s="64" t="s">
        <v>8535</v>
      </c>
      <c r="V122" s="412">
        <v>0.92</v>
      </c>
      <c r="W122" s="413">
        <f t="shared" si="25"/>
        <v>0</v>
      </c>
      <c r="X122" s="403">
        <v>1</v>
      </c>
      <c r="Y122" s="403">
        <v>1</v>
      </c>
      <c r="Z122" s="403">
        <v>0</v>
      </c>
      <c r="AA122" s="38"/>
      <c r="AB122" s="409"/>
      <c r="AC122" s="38"/>
      <c r="AD122" s="68"/>
      <c r="AE122" s="68"/>
      <c r="AF122" s="68"/>
      <c r="AG122" s="68"/>
      <c r="AH122" s="68"/>
      <c r="AI122" s="38"/>
      <c r="AJ122" s="38"/>
      <c r="AK122" s="38"/>
      <c r="AL122" s="38"/>
      <c r="AM122" s="38"/>
      <c r="AN122" s="38"/>
      <c r="AO122" s="69"/>
      <c r="AP122" s="69"/>
      <c r="AQ122" s="69"/>
      <c r="AR122" s="69"/>
      <c r="AS122" s="68"/>
      <c r="AT122" s="66" t="e">
        <f>VLOOKUP(K122,[4]Planilha1!A$13:P$314,16,0)</f>
        <v>#N/A</v>
      </c>
    </row>
    <row r="123" spans="1:46" s="63" customFormat="1" x14ac:dyDescent="0.25">
      <c r="A123" s="82"/>
      <c r="B123" s="82"/>
      <c r="C123" s="64"/>
      <c r="D123" s="64"/>
      <c r="E123" s="64"/>
      <c r="F123" s="64"/>
      <c r="G123" s="64"/>
      <c r="H123" s="64"/>
      <c r="I123" s="64"/>
      <c r="J123" s="64"/>
      <c r="K123" s="64"/>
      <c r="L123" s="64"/>
      <c r="M123" s="64"/>
      <c r="N123" s="406"/>
      <c r="O123" s="64"/>
      <c r="P123" s="410"/>
      <c r="Q123" s="64"/>
      <c r="R123" s="401">
        <f t="shared" si="26"/>
        <v>0</v>
      </c>
      <c r="S123" s="401"/>
      <c r="T123" s="401"/>
      <c r="U123" s="64" t="s">
        <v>8535</v>
      </c>
      <c r="V123" s="412">
        <v>0.92</v>
      </c>
      <c r="W123" s="413">
        <f t="shared" si="25"/>
        <v>0</v>
      </c>
      <c r="X123" s="403">
        <v>1</v>
      </c>
      <c r="Y123" s="403">
        <v>1</v>
      </c>
      <c r="Z123" s="403">
        <v>0</v>
      </c>
      <c r="AA123" s="38"/>
      <c r="AB123" s="409"/>
      <c r="AC123" s="38"/>
      <c r="AD123" s="68"/>
      <c r="AE123" s="68"/>
      <c r="AF123" s="68"/>
      <c r="AG123" s="68"/>
      <c r="AH123" s="68"/>
      <c r="AI123" s="38"/>
      <c r="AJ123" s="38"/>
      <c r="AK123" s="38"/>
      <c r="AL123" s="38"/>
      <c r="AM123" s="38"/>
      <c r="AN123" s="38"/>
      <c r="AO123" s="69"/>
      <c r="AP123" s="69"/>
      <c r="AQ123" s="69"/>
      <c r="AR123" s="69"/>
      <c r="AS123" s="68"/>
      <c r="AT123" s="66" t="e">
        <f>VLOOKUP(K123,[4]Planilha1!A$13:P$314,16,0)</f>
        <v>#N/A</v>
      </c>
    </row>
    <row r="124" spans="1:46" s="63" customFormat="1" x14ac:dyDescent="0.25">
      <c r="A124" s="82"/>
      <c r="B124" s="82"/>
      <c r="C124" s="64"/>
      <c r="D124" s="64"/>
      <c r="E124" s="64"/>
      <c r="F124" s="64"/>
      <c r="G124" s="64"/>
      <c r="H124" s="64"/>
      <c r="I124" s="64"/>
      <c r="J124" s="64"/>
      <c r="K124" s="64"/>
      <c r="L124" s="64"/>
      <c r="M124" s="64"/>
      <c r="N124" s="406"/>
      <c r="O124" s="64"/>
      <c r="P124" s="410"/>
      <c r="Q124" s="64"/>
      <c r="R124" s="401">
        <f t="shared" si="26"/>
        <v>0</v>
      </c>
      <c r="S124" s="401"/>
      <c r="T124" s="401"/>
      <c r="U124" s="64" t="s">
        <v>8535</v>
      </c>
      <c r="V124" s="412">
        <v>0.92</v>
      </c>
      <c r="W124" s="413">
        <f t="shared" si="25"/>
        <v>0</v>
      </c>
      <c r="X124" s="403">
        <v>1</v>
      </c>
      <c r="Y124" s="403">
        <v>1</v>
      </c>
      <c r="Z124" s="403">
        <v>0</v>
      </c>
      <c r="AA124" s="38"/>
      <c r="AB124" s="409"/>
      <c r="AC124" s="38"/>
      <c r="AD124" s="68"/>
      <c r="AE124" s="68"/>
      <c r="AF124" s="68"/>
      <c r="AG124" s="68"/>
      <c r="AH124" s="68"/>
      <c r="AI124" s="38"/>
      <c r="AJ124" s="38"/>
      <c r="AK124" s="38"/>
      <c r="AL124" s="38"/>
      <c r="AM124" s="38"/>
      <c r="AN124" s="38"/>
      <c r="AO124" s="69"/>
      <c r="AP124" s="69"/>
      <c r="AQ124" s="69"/>
      <c r="AR124" s="69"/>
      <c r="AS124" s="68"/>
      <c r="AT124" s="66" t="e">
        <f>VLOOKUP(K124,[4]Planilha1!A$13:P$314,16,0)</f>
        <v>#N/A</v>
      </c>
    </row>
    <row r="125" spans="1:46" s="63" customFormat="1" x14ac:dyDescent="0.25">
      <c r="A125" s="82"/>
      <c r="B125" s="82"/>
      <c r="C125" s="64"/>
      <c r="D125" s="64"/>
      <c r="E125" s="64"/>
      <c r="F125" s="64"/>
      <c r="G125" s="64"/>
      <c r="H125" s="64"/>
      <c r="I125" s="64"/>
      <c r="J125" s="64"/>
      <c r="K125" s="64"/>
      <c r="L125" s="64"/>
      <c r="M125" s="64"/>
      <c r="N125" s="406"/>
      <c r="O125" s="64"/>
      <c r="P125" s="410"/>
      <c r="Q125" s="64"/>
      <c r="R125" s="401">
        <f t="shared" si="26"/>
        <v>0</v>
      </c>
      <c r="S125" s="401"/>
      <c r="T125" s="401"/>
      <c r="U125" s="64" t="s">
        <v>8535</v>
      </c>
      <c r="V125" s="412">
        <v>0.92</v>
      </c>
      <c r="W125" s="413">
        <f t="shared" si="25"/>
        <v>0</v>
      </c>
      <c r="X125" s="403">
        <v>1</v>
      </c>
      <c r="Y125" s="403">
        <v>1</v>
      </c>
      <c r="Z125" s="403">
        <v>0</v>
      </c>
      <c r="AA125" s="38"/>
      <c r="AB125" s="409"/>
      <c r="AC125" s="38"/>
      <c r="AD125" s="68"/>
      <c r="AE125" s="68"/>
      <c r="AF125" s="68"/>
      <c r="AG125" s="68"/>
      <c r="AH125" s="68"/>
      <c r="AI125" s="38"/>
      <c r="AJ125" s="38"/>
      <c r="AK125" s="38"/>
      <c r="AL125" s="38"/>
      <c r="AM125" s="38"/>
      <c r="AN125" s="38"/>
      <c r="AO125" s="69"/>
      <c r="AP125" s="69"/>
      <c r="AQ125" s="69"/>
      <c r="AR125" s="69"/>
      <c r="AS125" s="68"/>
      <c r="AT125" s="66" t="e">
        <f>VLOOKUP(K125,[4]Planilha1!A$13:P$314,16,0)</f>
        <v>#N/A</v>
      </c>
    </row>
    <row r="126" spans="1:46" s="63" customFormat="1" x14ac:dyDescent="0.25">
      <c r="A126" s="82"/>
      <c r="B126" s="82"/>
      <c r="C126" s="64"/>
      <c r="D126" s="64"/>
      <c r="E126" s="64"/>
      <c r="F126" s="64"/>
      <c r="G126" s="64"/>
      <c r="H126" s="64"/>
      <c r="I126" s="64"/>
      <c r="J126" s="64"/>
      <c r="K126" s="64"/>
      <c r="L126" s="64"/>
      <c r="M126" s="64"/>
      <c r="N126" s="406"/>
      <c r="O126" s="64"/>
      <c r="P126" s="410"/>
      <c r="Q126" s="64"/>
      <c r="R126" s="401">
        <f t="shared" si="26"/>
        <v>0</v>
      </c>
      <c r="S126" s="401"/>
      <c r="T126" s="401"/>
      <c r="U126" s="64" t="s">
        <v>8535</v>
      </c>
      <c r="V126" s="412">
        <v>0.92</v>
      </c>
      <c r="W126" s="413">
        <f t="shared" si="25"/>
        <v>0</v>
      </c>
      <c r="X126" s="403">
        <v>1</v>
      </c>
      <c r="Y126" s="403">
        <v>1</v>
      </c>
      <c r="Z126" s="403">
        <v>0</v>
      </c>
      <c r="AA126" s="38"/>
      <c r="AB126" s="409"/>
      <c r="AC126" s="38"/>
      <c r="AD126" s="68"/>
      <c r="AE126" s="68"/>
      <c r="AF126" s="68"/>
      <c r="AG126" s="68"/>
      <c r="AH126" s="68"/>
      <c r="AI126" s="38"/>
      <c r="AJ126" s="38"/>
      <c r="AK126" s="38"/>
      <c r="AL126" s="38"/>
      <c r="AM126" s="38"/>
      <c r="AN126" s="38"/>
      <c r="AO126" s="69"/>
      <c r="AP126" s="69"/>
      <c r="AQ126" s="69"/>
      <c r="AR126" s="69"/>
      <c r="AS126" s="68"/>
      <c r="AT126" s="66" t="e">
        <f>VLOOKUP(K126,[4]Planilha1!A$13:P$314,16,0)</f>
        <v>#N/A</v>
      </c>
    </row>
    <row r="127" spans="1:46" s="63" customFormat="1" x14ac:dyDescent="0.25">
      <c r="A127" s="82"/>
      <c r="B127" s="82"/>
      <c r="C127" s="64"/>
      <c r="D127" s="64"/>
      <c r="E127" s="64"/>
      <c r="F127" s="64"/>
      <c r="G127" s="64"/>
      <c r="H127" s="64"/>
      <c r="I127" s="64"/>
      <c r="J127" s="64"/>
      <c r="K127" s="64"/>
      <c r="L127" s="64"/>
      <c r="M127" s="64"/>
      <c r="N127" s="406"/>
      <c r="O127" s="64"/>
      <c r="P127" s="410"/>
      <c r="Q127" s="64"/>
      <c r="R127" s="401">
        <f t="shared" si="26"/>
        <v>0</v>
      </c>
      <c r="S127" s="401"/>
      <c r="T127" s="401"/>
      <c r="U127" s="64" t="s">
        <v>8535</v>
      </c>
      <c r="V127" s="412">
        <v>0.92</v>
      </c>
      <c r="W127" s="413">
        <f t="shared" si="25"/>
        <v>0</v>
      </c>
      <c r="X127" s="403">
        <v>1</v>
      </c>
      <c r="Y127" s="403">
        <v>1</v>
      </c>
      <c r="Z127" s="403">
        <v>0</v>
      </c>
      <c r="AA127" s="38"/>
      <c r="AB127" s="409"/>
      <c r="AC127" s="38"/>
      <c r="AD127" s="68"/>
      <c r="AE127" s="68"/>
      <c r="AF127" s="68"/>
      <c r="AG127" s="68"/>
      <c r="AH127" s="68"/>
      <c r="AI127" s="38"/>
      <c r="AJ127" s="38"/>
      <c r="AK127" s="38"/>
      <c r="AL127" s="38"/>
      <c r="AM127" s="38"/>
      <c r="AN127" s="38"/>
      <c r="AO127" s="69"/>
      <c r="AP127" s="69"/>
      <c r="AQ127" s="69"/>
      <c r="AR127" s="69"/>
      <c r="AS127" s="68"/>
      <c r="AT127" s="66" t="e">
        <f>VLOOKUP(K127,[4]Planilha1!A$13:P$314,16,0)</f>
        <v>#N/A</v>
      </c>
    </row>
    <row r="128" spans="1:46" s="63" customFormat="1" x14ac:dyDescent="0.25">
      <c r="A128" s="82"/>
      <c r="B128" s="82"/>
      <c r="C128" s="64"/>
      <c r="D128" s="64"/>
      <c r="E128" s="64"/>
      <c r="F128" s="64"/>
      <c r="G128" s="64"/>
      <c r="H128" s="64"/>
      <c r="I128" s="64"/>
      <c r="J128" s="64"/>
      <c r="K128" s="64"/>
      <c r="L128" s="64"/>
      <c r="M128" s="64"/>
      <c r="N128" s="406"/>
      <c r="O128" s="64"/>
      <c r="P128" s="410"/>
      <c r="Q128" s="64"/>
      <c r="R128" s="401">
        <f t="shared" si="26"/>
        <v>0</v>
      </c>
      <c r="S128" s="401"/>
      <c r="T128" s="401"/>
      <c r="U128" s="64" t="s">
        <v>8535</v>
      </c>
      <c r="V128" s="412">
        <v>0.92</v>
      </c>
      <c r="W128" s="413">
        <f t="shared" si="25"/>
        <v>0</v>
      </c>
      <c r="X128" s="403">
        <v>1</v>
      </c>
      <c r="Y128" s="403">
        <v>1</v>
      </c>
      <c r="Z128" s="403">
        <v>0</v>
      </c>
      <c r="AA128" s="38"/>
      <c r="AB128" s="409"/>
      <c r="AC128" s="38"/>
      <c r="AD128" s="68"/>
      <c r="AE128" s="68"/>
      <c r="AF128" s="68"/>
      <c r="AG128" s="68"/>
      <c r="AH128" s="68"/>
      <c r="AI128" s="38"/>
      <c r="AJ128" s="38"/>
      <c r="AK128" s="38"/>
      <c r="AL128" s="38"/>
      <c r="AM128" s="38"/>
      <c r="AN128" s="38"/>
      <c r="AO128" s="69"/>
      <c r="AP128" s="69"/>
      <c r="AQ128" s="69"/>
      <c r="AR128" s="69"/>
      <c r="AS128" s="68"/>
      <c r="AT128" s="66" t="e">
        <f>VLOOKUP(K128,[4]Planilha1!A$13:P$314,16,0)</f>
        <v>#N/A</v>
      </c>
    </row>
    <row r="129" spans="1:46" s="63" customFormat="1" x14ac:dyDescent="0.25">
      <c r="A129" s="82"/>
      <c r="B129" s="82"/>
      <c r="C129" s="64"/>
      <c r="D129" s="64"/>
      <c r="E129" s="64"/>
      <c r="F129" s="64"/>
      <c r="G129" s="64"/>
      <c r="H129" s="64"/>
      <c r="I129" s="64"/>
      <c r="J129" s="64"/>
      <c r="K129" s="64"/>
      <c r="L129" s="64"/>
      <c r="M129" s="64"/>
      <c r="N129" s="406"/>
      <c r="O129" s="64"/>
      <c r="P129" s="410"/>
      <c r="Q129" s="64"/>
      <c r="R129" s="401">
        <f t="shared" si="26"/>
        <v>0</v>
      </c>
      <c r="S129" s="401"/>
      <c r="T129" s="401"/>
      <c r="U129" s="64" t="s">
        <v>8535</v>
      </c>
      <c r="V129" s="412">
        <v>0.92</v>
      </c>
      <c r="W129" s="413">
        <f t="shared" si="25"/>
        <v>0</v>
      </c>
      <c r="X129" s="403">
        <v>1</v>
      </c>
      <c r="Y129" s="403">
        <v>1</v>
      </c>
      <c r="Z129" s="403">
        <v>0</v>
      </c>
      <c r="AA129" s="38"/>
      <c r="AB129" s="409"/>
      <c r="AC129" s="38"/>
      <c r="AD129" s="68"/>
      <c r="AE129" s="68"/>
      <c r="AF129" s="68"/>
      <c r="AG129" s="68"/>
      <c r="AH129" s="68"/>
      <c r="AI129" s="38"/>
      <c r="AJ129" s="38"/>
      <c r="AK129" s="38"/>
      <c r="AL129" s="38"/>
      <c r="AM129" s="38"/>
      <c r="AN129" s="38"/>
      <c r="AO129" s="69"/>
      <c r="AP129" s="69"/>
      <c r="AQ129" s="69"/>
      <c r="AR129" s="69"/>
      <c r="AS129" s="68"/>
      <c r="AT129" s="66" t="e">
        <f>VLOOKUP(K129,[4]Planilha1!A$13:P$314,16,0)</f>
        <v>#N/A</v>
      </c>
    </row>
    <row r="130" spans="1:46" s="63" customFormat="1" x14ac:dyDescent="0.25">
      <c r="A130" s="82"/>
      <c r="B130" s="82"/>
      <c r="C130" s="64"/>
      <c r="D130" s="64"/>
      <c r="E130" s="64"/>
      <c r="F130" s="64"/>
      <c r="G130" s="64"/>
      <c r="H130" s="64"/>
      <c r="I130" s="64"/>
      <c r="J130" s="64"/>
      <c r="K130" s="64"/>
      <c r="L130" s="64"/>
      <c r="M130" s="64"/>
      <c r="N130" s="406"/>
      <c r="O130" s="64"/>
      <c r="P130" s="410"/>
      <c r="Q130" s="64"/>
      <c r="R130" s="401">
        <f t="shared" si="26"/>
        <v>0</v>
      </c>
      <c r="S130" s="401"/>
      <c r="T130" s="401"/>
      <c r="U130" s="64" t="s">
        <v>8535</v>
      </c>
      <c r="V130" s="412">
        <v>0.92</v>
      </c>
      <c r="W130" s="413">
        <f t="shared" si="25"/>
        <v>0</v>
      </c>
      <c r="X130" s="403">
        <v>1</v>
      </c>
      <c r="Y130" s="403">
        <v>1</v>
      </c>
      <c r="Z130" s="403">
        <v>0</v>
      </c>
      <c r="AA130" s="38"/>
      <c r="AB130" s="409"/>
      <c r="AC130" s="38"/>
      <c r="AD130" s="68"/>
      <c r="AE130" s="68"/>
      <c r="AF130" s="68"/>
      <c r="AG130" s="68"/>
      <c r="AH130" s="68"/>
      <c r="AI130" s="38"/>
      <c r="AJ130" s="38"/>
      <c r="AK130" s="38"/>
      <c r="AL130" s="38"/>
      <c r="AM130" s="38"/>
      <c r="AN130" s="38"/>
      <c r="AO130" s="69"/>
      <c r="AP130" s="69"/>
      <c r="AQ130" s="69"/>
      <c r="AR130" s="69"/>
      <c r="AS130" s="68"/>
      <c r="AT130" s="66" t="e">
        <f>VLOOKUP(K130,[4]Planilha1!A$13:P$314,16,0)</f>
        <v>#N/A</v>
      </c>
    </row>
    <row r="131" spans="1:46" s="63" customFormat="1" x14ac:dyDescent="0.25">
      <c r="A131" s="82"/>
      <c r="B131" s="82"/>
      <c r="C131" s="64"/>
      <c r="D131" s="64"/>
      <c r="E131" s="64"/>
      <c r="F131" s="64"/>
      <c r="G131" s="64"/>
      <c r="H131" s="64"/>
      <c r="I131" s="64"/>
      <c r="J131" s="64"/>
      <c r="K131" s="64"/>
      <c r="L131" s="64"/>
      <c r="M131" s="64"/>
      <c r="N131" s="406"/>
      <c r="O131" s="64"/>
      <c r="P131" s="410"/>
      <c r="Q131" s="64"/>
      <c r="R131" s="401">
        <f t="shared" si="26"/>
        <v>0</v>
      </c>
      <c r="S131" s="401"/>
      <c r="T131" s="401"/>
      <c r="U131" s="64" t="s">
        <v>8535</v>
      </c>
      <c r="V131" s="412">
        <v>0.92</v>
      </c>
      <c r="W131" s="413">
        <f t="shared" si="25"/>
        <v>0</v>
      </c>
      <c r="X131" s="403">
        <v>1</v>
      </c>
      <c r="Y131" s="403">
        <v>1</v>
      </c>
      <c r="Z131" s="403">
        <v>0</v>
      </c>
      <c r="AA131" s="38"/>
      <c r="AB131" s="409"/>
      <c r="AC131" s="38"/>
      <c r="AD131" s="68"/>
      <c r="AE131" s="68"/>
      <c r="AF131" s="68"/>
      <c r="AG131" s="68"/>
      <c r="AH131" s="68"/>
      <c r="AI131" s="38"/>
      <c r="AJ131" s="38"/>
      <c r="AK131" s="38"/>
      <c r="AL131" s="38"/>
      <c r="AM131" s="38"/>
      <c r="AN131" s="38"/>
      <c r="AO131" s="69"/>
      <c r="AP131" s="69"/>
      <c r="AQ131" s="69"/>
      <c r="AR131" s="69"/>
      <c r="AS131" s="68"/>
      <c r="AT131" s="66" t="e">
        <f>VLOOKUP(K131,[4]Planilha1!A$13:P$314,16,0)</f>
        <v>#N/A</v>
      </c>
    </row>
    <row r="132" spans="1:46" s="63" customFormat="1" x14ac:dyDescent="0.25">
      <c r="A132" s="82"/>
      <c r="B132" s="82"/>
      <c r="C132" s="64"/>
      <c r="D132" s="64"/>
      <c r="E132" s="64"/>
      <c r="F132" s="64"/>
      <c r="G132" s="64"/>
      <c r="H132" s="64"/>
      <c r="I132" s="64"/>
      <c r="J132" s="64"/>
      <c r="K132" s="64"/>
      <c r="L132" s="64"/>
      <c r="M132" s="64"/>
      <c r="N132" s="406"/>
      <c r="O132" s="64"/>
      <c r="P132" s="410"/>
      <c r="Q132" s="64"/>
      <c r="R132" s="401">
        <f t="shared" si="26"/>
        <v>0</v>
      </c>
      <c r="S132" s="401"/>
      <c r="T132" s="401"/>
      <c r="U132" s="64" t="s">
        <v>8535</v>
      </c>
      <c r="V132" s="412">
        <v>0.92</v>
      </c>
      <c r="W132" s="413">
        <f t="shared" si="25"/>
        <v>0</v>
      </c>
      <c r="X132" s="403">
        <v>1</v>
      </c>
      <c r="Y132" s="403">
        <v>1</v>
      </c>
      <c r="Z132" s="403">
        <v>0</v>
      </c>
      <c r="AA132" s="38"/>
      <c r="AB132" s="409"/>
      <c r="AC132" s="38"/>
      <c r="AD132" s="68"/>
      <c r="AE132" s="68"/>
      <c r="AF132" s="68"/>
      <c r="AG132" s="68"/>
      <c r="AH132" s="68"/>
      <c r="AI132" s="38"/>
      <c r="AJ132" s="38"/>
      <c r="AK132" s="38"/>
      <c r="AL132" s="38"/>
      <c r="AM132" s="38"/>
      <c r="AN132" s="38"/>
      <c r="AO132" s="69"/>
      <c r="AP132" s="69"/>
      <c r="AQ132" s="69"/>
      <c r="AR132" s="69"/>
      <c r="AS132" s="68"/>
      <c r="AT132" s="66" t="e">
        <f>VLOOKUP(K132,[4]Planilha1!A$13:P$314,16,0)</f>
        <v>#N/A</v>
      </c>
    </row>
    <row r="133" spans="1:46" s="63" customFormat="1" x14ac:dyDescent="0.25">
      <c r="A133" s="82"/>
      <c r="B133" s="82"/>
      <c r="C133" s="64"/>
      <c r="D133" s="64"/>
      <c r="E133" s="64"/>
      <c r="F133" s="64"/>
      <c r="G133" s="64"/>
      <c r="H133" s="64"/>
      <c r="I133" s="64"/>
      <c r="J133" s="64"/>
      <c r="K133" s="64"/>
      <c r="L133" s="64"/>
      <c r="M133" s="64"/>
      <c r="N133" s="406"/>
      <c r="O133" s="64"/>
      <c r="P133" s="410"/>
      <c r="Q133" s="64"/>
      <c r="R133" s="401">
        <f t="shared" si="26"/>
        <v>0</v>
      </c>
      <c r="S133" s="401"/>
      <c r="T133" s="401"/>
      <c r="U133" s="64" t="s">
        <v>8535</v>
      </c>
      <c r="V133" s="412">
        <v>0.92</v>
      </c>
      <c r="W133" s="413">
        <f t="shared" si="25"/>
        <v>0</v>
      </c>
      <c r="X133" s="403">
        <v>1</v>
      </c>
      <c r="Y133" s="403">
        <v>1</v>
      </c>
      <c r="Z133" s="403">
        <v>0</v>
      </c>
      <c r="AA133" s="38"/>
      <c r="AB133" s="409"/>
      <c r="AC133" s="38"/>
      <c r="AD133" s="68"/>
      <c r="AE133" s="68"/>
      <c r="AF133" s="68"/>
      <c r="AG133" s="68"/>
      <c r="AH133" s="68"/>
      <c r="AI133" s="38"/>
      <c r="AJ133" s="38"/>
      <c r="AK133" s="38"/>
      <c r="AL133" s="38"/>
      <c r="AM133" s="38"/>
      <c r="AN133" s="38"/>
      <c r="AO133" s="69"/>
      <c r="AP133" s="69"/>
      <c r="AQ133" s="69"/>
      <c r="AR133" s="69"/>
      <c r="AS133" s="68"/>
      <c r="AT133" s="66" t="e">
        <f>VLOOKUP(K133,[4]Planilha1!A$13:P$314,16,0)</f>
        <v>#N/A</v>
      </c>
    </row>
    <row r="134" spans="1:46" s="63" customFormat="1" x14ac:dyDescent="0.25">
      <c r="A134" s="82"/>
      <c r="B134" s="82"/>
      <c r="C134" s="64"/>
      <c r="D134" s="64"/>
      <c r="E134" s="64"/>
      <c r="F134" s="64"/>
      <c r="G134" s="64"/>
      <c r="H134" s="64"/>
      <c r="I134" s="64"/>
      <c r="J134" s="64"/>
      <c r="K134" s="64"/>
      <c r="L134" s="64"/>
      <c r="M134" s="64"/>
      <c r="N134" s="406"/>
      <c r="O134" s="64"/>
      <c r="P134" s="410"/>
      <c r="Q134" s="64"/>
      <c r="R134" s="401">
        <f t="shared" si="26"/>
        <v>0</v>
      </c>
      <c r="S134" s="401"/>
      <c r="T134" s="401"/>
      <c r="U134" s="64" t="s">
        <v>8535</v>
      </c>
      <c r="V134" s="412">
        <v>0.92</v>
      </c>
      <c r="W134" s="413">
        <f t="shared" si="25"/>
        <v>0</v>
      </c>
      <c r="X134" s="403">
        <v>1</v>
      </c>
      <c r="Y134" s="403">
        <v>1</v>
      </c>
      <c r="Z134" s="403">
        <v>0</v>
      </c>
      <c r="AA134" s="38"/>
      <c r="AB134" s="409"/>
      <c r="AC134" s="38"/>
      <c r="AD134" s="68"/>
      <c r="AE134" s="68"/>
      <c r="AF134" s="68"/>
      <c r="AG134" s="68"/>
      <c r="AH134" s="68"/>
      <c r="AI134" s="38"/>
      <c r="AJ134" s="38"/>
      <c r="AK134" s="38"/>
      <c r="AL134" s="38"/>
      <c r="AM134" s="38"/>
      <c r="AN134" s="38"/>
      <c r="AO134" s="69"/>
      <c r="AP134" s="69"/>
      <c r="AQ134" s="69"/>
      <c r="AR134" s="69"/>
      <c r="AS134" s="68"/>
      <c r="AT134" s="66" t="e">
        <f>VLOOKUP(K134,[4]Planilha1!A$13:P$314,16,0)</f>
        <v>#N/A</v>
      </c>
    </row>
    <row r="135" spans="1:46" s="63" customFormat="1" x14ac:dyDescent="0.25">
      <c r="A135" s="82"/>
      <c r="B135" s="82"/>
      <c r="C135" s="64"/>
      <c r="D135" s="64"/>
      <c r="E135" s="64"/>
      <c r="F135" s="64"/>
      <c r="G135" s="64"/>
      <c r="H135" s="64"/>
      <c r="I135" s="64"/>
      <c r="J135" s="64"/>
      <c r="K135" s="64"/>
      <c r="L135" s="64"/>
      <c r="M135" s="64"/>
      <c r="N135" s="406"/>
      <c r="O135" s="64"/>
      <c r="P135" s="410"/>
      <c r="Q135" s="64"/>
      <c r="R135" s="401">
        <f t="shared" si="26"/>
        <v>0</v>
      </c>
      <c r="S135" s="401"/>
      <c r="T135" s="401"/>
      <c r="U135" s="64" t="s">
        <v>8535</v>
      </c>
      <c r="V135" s="412">
        <v>0.92</v>
      </c>
      <c r="W135" s="413">
        <f t="shared" si="25"/>
        <v>0</v>
      </c>
      <c r="X135" s="403">
        <v>1</v>
      </c>
      <c r="Y135" s="403">
        <v>1</v>
      </c>
      <c r="Z135" s="403">
        <v>0</v>
      </c>
      <c r="AA135" s="38"/>
      <c r="AB135" s="409"/>
      <c r="AC135" s="38"/>
      <c r="AD135" s="68"/>
      <c r="AE135" s="68"/>
      <c r="AF135" s="68"/>
      <c r="AG135" s="68"/>
      <c r="AH135" s="68"/>
      <c r="AI135" s="38"/>
      <c r="AJ135" s="38"/>
      <c r="AK135" s="38"/>
      <c r="AL135" s="38"/>
      <c r="AM135" s="38"/>
      <c r="AN135" s="38"/>
      <c r="AO135" s="69"/>
      <c r="AP135" s="69"/>
      <c r="AQ135" s="69"/>
      <c r="AR135" s="69"/>
      <c r="AS135" s="68"/>
      <c r="AT135" s="66" t="e">
        <f>VLOOKUP(K135,[4]Planilha1!A$13:P$314,16,0)</f>
        <v>#N/A</v>
      </c>
    </row>
    <row r="136" spans="1:46" s="63" customFormat="1" x14ac:dyDescent="0.25">
      <c r="A136" s="82"/>
      <c r="B136" s="82"/>
      <c r="C136" s="64"/>
      <c r="D136" s="64"/>
      <c r="E136" s="64"/>
      <c r="F136" s="64"/>
      <c r="G136" s="64"/>
      <c r="H136" s="64"/>
      <c r="I136" s="64"/>
      <c r="J136" s="64"/>
      <c r="K136" s="64"/>
      <c r="L136" s="64"/>
      <c r="M136" s="64"/>
      <c r="N136" s="406"/>
      <c r="O136" s="64"/>
      <c r="P136" s="410"/>
      <c r="Q136" s="64"/>
      <c r="R136" s="401">
        <f t="shared" si="26"/>
        <v>0</v>
      </c>
      <c r="S136" s="401"/>
      <c r="T136" s="401"/>
      <c r="U136" s="64" t="s">
        <v>8535</v>
      </c>
      <c r="V136" s="412">
        <v>0.92</v>
      </c>
      <c r="W136" s="413">
        <f t="shared" si="25"/>
        <v>0</v>
      </c>
      <c r="X136" s="403">
        <v>1</v>
      </c>
      <c r="Y136" s="403">
        <v>1</v>
      </c>
      <c r="Z136" s="403">
        <v>0</v>
      </c>
      <c r="AA136" s="38"/>
      <c r="AB136" s="409"/>
      <c r="AC136" s="38"/>
      <c r="AD136" s="68"/>
      <c r="AE136" s="68"/>
      <c r="AF136" s="68"/>
      <c r="AG136" s="68"/>
      <c r="AH136" s="68"/>
      <c r="AI136" s="38"/>
      <c r="AJ136" s="38"/>
      <c r="AK136" s="38"/>
      <c r="AL136" s="38"/>
      <c r="AM136" s="38"/>
      <c r="AN136" s="38"/>
      <c r="AO136" s="69"/>
      <c r="AP136" s="69"/>
      <c r="AQ136" s="69"/>
      <c r="AR136" s="69"/>
      <c r="AS136" s="68"/>
      <c r="AT136" s="66" t="e">
        <f>VLOOKUP(K136,[4]Planilha1!A$13:P$314,16,0)</f>
        <v>#N/A</v>
      </c>
    </row>
    <row r="137" spans="1:46" s="63" customFormat="1" x14ac:dyDescent="0.25">
      <c r="A137" s="82"/>
      <c r="B137" s="82"/>
      <c r="C137" s="64"/>
      <c r="D137" s="64"/>
      <c r="E137" s="64"/>
      <c r="F137" s="64"/>
      <c r="G137" s="64"/>
      <c r="H137" s="64"/>
      <c r="I137" s="64"/>
      <c r="J137" s="64"/>
      <c r="K137" s="64"/>
      <c r="L137" s="64"/>
      <c r="M137" s="64"/>
      <c r="N137" s="406"/>
      <c r="O137" s="64"/>
      <c r="P137" s="410"/>
      <c r="Q137" s="64"/>
      <c r="R137" s="401">
        <f t="shared" si="26"/>
        <v>0</v>
      </c>
      <c r="S137" s="401"/>
      <c r="T137" s="401"/>
      <c r="U137" s="64" t="s">
        <v>8535</v>
      </c>
      <c r="V137" s="412">
        <v>0.92</v>
      </c>
      <c r="W137" s="413">
        <f t="shared" si="25"/>
        <v>0</v>
      </c>
      <c r="X137" s="403">
        <v>1</v>
      </c>
      <c r="Y137" s="403">
        <v>1</v>
      </c>
      <c r="Z137" s="403">
        <v>0</v>
      </c>
      <c r="AA137" s="38"/>
      <c r="AB137" s="409"/>
      <c r="AC137" s="38"/>
      <c r="AD137" s="68"/>
      <c r="AE137" s="68"/>
      <c r="AF137" s="68"/>
      <c r="AG137" s="68"/>
      <c r="AH137" s="68"/>
      <c r="AI137" s="38"/>
      <c r="AJ137" s="38"/>
      <c r="AK137" s="38"/>
      <c r="AL137" s="38"/>
      <c r="AM137" s="38"/>
      <c r="AN137" s="38"/>
      <c r="AO137" s="69"/>
      <c r="AP137" s="69"/>
      <c r="AQ137" s="69"/>
      <c r="AR137" s="69"/>
      <c r="AS137" s="68"/>
      <c r="AT137" s="66" t="e">
        <f>VLOOKUP(K137,[4]Planilha1!A$13:P$314,16,0)</f>
        <v>#N/A</v>
      </c>
    </row>
    <row r="138" spans="1:46" s="63" customFormat="1" x14ac:dyDescent="0.25">
      <c r="A138" s="82"/>
      <c r="B138" s="82"/>
      <c r="C138" s="64"/>
      <c r="D138" s="64"/>
      <c r="E138" s="64"/>
      <c r="F138" s="64"/>
      <c r="G138" s="64"/>
      <c r="H138" s="64"/>
      <c r="I138" s="64"/>
      <c r="J138" s="64"/>
      <c r="K138" s="64"/>
      <c r="L138" s="64"/>
      <c r="M138" s="64"/>
      <c r="N138" s="406"/>
      <c r="O138" s="64"/>
      <c r="P138" s="410"/>
      <c r="Q138" s="64"/>
      <c r="R138" s="401">
        <f t="shared" si="26"/>
        <v>0</v>
      </c>
      <c r="S138" s="401"/>
      <c r="T138" s="401"/>
      <c r="U138" s="64" t="s">
        <v>8535</v>
      </c>
      <c r="V138" s="412">
        <v>0.92</v>
      </c>
      <c r="W138" s="413">
        <f t="shared" si="25"/>
        <v>0</v>
      </c>
      <c r="X138" s="403">
        <v>0</v>
      </c>
      <c r="Y138" s="403">
        <v>0</v>
      </c>
      <c r="Z138" s="403">
        <v>0</v>
      </c>
      <c r="AA138" s="38"/>
      <c r="AB138" s="409"/>
      <c r="AC138" s="38"/>
      <c r="AD138" s="68"/>
      <c r="AE138" s="68"/>
      <c r="AF138" s="68"/>
      <c r="AG138" s="68"/>
      <c r="AH138" s="68"/>
      <c r="AI138" s="38"/>
      <c r="AJ138" s="38"/>
      <c r="AK138" s="38"/>
      <c r="AL138" s="38"/>
      <c r="AM138" s="38"/>
      <c r="AN138" s="38"/>
      <c r="AO138" s="69"/>
      <c r="AP138" s="69"/>
      <c r="AQ138" s="69"/>
      <c r="AR138" s="69"/>
      <c r="AS138" s="68"/>
      <c r="AT138" s="66" t="e">
        <f>VLOOKUP(K138,[4]Planilha1!A$13:P$314,16,0)</f>
        <v>#N/A</v>
      </c>
    </row>
    <row r="139" spans="1:46" s="63" customFormat="1" x14ac:dyDescent="0.25">
      <c r="A139" s="82"/>
      <c r="B139" s="82"/>
      <c r="C139" s="64"/>
      <c r="D139" s="64"/>
      <c r="E139" s="64"/>
      <c r="F139" s="64"/>
      <c r="G139" s="64"/>
      <c r="H139" s="64"/>
      <c r="I139" s="64"/>
      <c r="J139" s="64"/>
      <c r="K139" s="64"/>
      <c r="L139" s="64"/>
      <c r="M139" s="64"/>
      <c r="N139" s="406"/>
      <c r="O139" s="64"/>
      <c r="P139" s="410"/>
      <c r="Q139" s="64"/>
      <c r="R139" s="401">
        <f t="shared" si="26"/>
        <v>0</v>
      </c>
      <c r="S139" s="401"/>
      <c r="T139" s="401"/>
      <c r="U139" s="64" t="s">
        <v>8535</v>
      </c>
      <c r="V139" s="412">
        <v>0.92</v>
      </c>
      <c r="W139" s="413">
        <f t="shared" si="25"/>
        <v>0</v>
      </c>
      <c r="X139" s="403">
        <v>0</v>
      </c>
      <c r="Y139" s="403">
        <v>0</v>
      </c>
      <c r="Z139" s="403">
        <v>0</v>
      </c>
      <c r="AA139" s="38"/>
      <c r="AB139" s="409"/>
      <c r="AC139" s="38"/>
      <c r="AD139" s="68"/>
      <c r="AE139" s="68"/>
      <c r="AF139" s="68"/>
      <c r="AG139" s="68"/>
      <c r="AH139" s="68"/>
      <c r="AI139" s="38"/>
      <c r="AJ139" s="38"/>
      <c r="AK139" s="38"/>
      <c r="AL139" s="38"/>
      <c r="AM139" s="38"/>
      <c r="AN139" s="38"/>
      <c r="AO139" s="69"/>
      <c r="AP139" s="69"/>
      <c r="AQ139" s="69"/>
      <c r="AR139" s="69"/>
      <c r="AS139" s="68"/>
      <c r="AT139" s="66" t="e">
        <f>VLOOKUP(K139,[4]Planilha1!A$13:P$314,16,0)</f>
        <v>#N/A</v>
      </c>
    </row>
    <row r="140" spans="1:46" s="63" customFormat="1" x14ac:dyDescent="0.25">
      <c r="A140" s="82"/>
      <c r="B140" s="82"/>
      <c r="C140" s="64"/>
      <c r="D140" s="64"/>
      <c r="E140" s="64"/>
      <c r="F140" s="64"/>
      <c r="G140" s="64"/>
      <c r="H140" s="64"/>
      <c r="I140" s="64"/>
      <c r="J140" s="64"/>
      <c r="K140" s="64"/>
      <c r="L140" s="64"/>
      <c r="M140" s="64"/>
      <c r="N140" s="406"/>
      <c r="O140" s="64"/>
      <c r="P140" s="410"/>
      <c r="Q140" s="64"/>
      <c r="R140" s="401">
        <f t="shared" si="26"/>
        <v>0</v>
      </c>
      <c r="S140" s="401"/>
      <c r="T140" s="401"/>
      <c r="U140" s="64"/>
      <c r="V140" s="64"/>
      <c r="W140" s="413">
        <f t="shared" ref="W140:W203" si="27">V140*R140</f>
        <v>0</v>
      </c>
      <c r="X140" s="403">
        <v>1</v>
      </c>
      <c r="Y140" s="403">
        <v>1</v>
      </c>
      <c r="Z140" s="403">
        <v>0</v>
      </c>
      <c r="AA140" s="38"/>
      <c r="AB140" s="409"/>
      <c r="AC140" s="38"/>
      <c r="AD140" s="68"/>
      <c r="AE140" s="68"/>
      <c r="AF140" s="68"/>
      <c r="AG140" s="68"/>
      <c r="AH140" s="68"/>
      <c r="AI140" s="38"/>
      <c r="AJ140" s="38"/>
      <c r="AK140" s="38"/>
      <c r="AL140" s="38"/>
      <c r="AM140" s="38"/>
      <c r="AN140" s="38"/>
      <c r="AO140" s="69"/>
      <c r="AP140" s="69"/>
      <c r="AQ140" s="69"/>
      <c r="AR140" s="69"/>
      <c r="AS140" s="68"/>
      <c r="AT140" s="66" t="e">
        <f>VLOOKUP(K140,[4]Planilha1!A$13:P$314,16,0)</f>
        <v>#N/A</v>
      </c>
    </row>
    <row r="141" spans="1:46" s="63" customFormat="1" x14ac:dyDescent="0.25">
      <c r="A141" s="82"/>
      <c r="B141" s="82"/>
      <c r="C141" s="64"/>
      <c r="D141" s="64"/>
      <c r="E141" s="64"/>
      <c r="F141" s="64"/>
      <c r="G141" s="64"/>
      <c r="H141" s="64"/>
      <c r="I141" s="64"/>
      <c r="J141" s="64"/>
      <c r="K141" s="64"/>
      <c r="L141" s="64"/>
      <c r="M141" s="64"/>
      <c r="N141" s="406"/>
      <c r="O141" s="64"/>
      <c r="P141" s="410"/>
      <c r="Q141" s="64"/>
      <c r="R141" s="401">
        <f t="shared" si="26"/>
        <v>0</v>
      </c>
      <c r="S141" s="401"/>
      <c r="T141" s="401"/>
      <c r="U141" s="64"/>
      <c r="V141" s="64"/>
      <c r="W141" s="413">
        <f t="shared" si="27"/>
        <v>0</v>
      </c>
      <c r="X141" s="403">
        <v>1</v>
      </c>
      <c r="Y141" s="403">
        <v>1</v>
      </c>
      <c r="Z141" s="403">
        <v>0</v>
      </c>
      <c r="AA141" s="38"/>
      <c r="AB141" s="409"/>
      <c r="AC141" s="38"/>
      <c r="AD141" s="68"/>
      <c r="AE141" s="68"/>
      <c r="AF141" s="68"/>
      <c r="AG141" s="68"/>
      <c r="AH141" s="68"/>
      <c r="AI141" s="38"/>
      <c r="AJ141" s="38"/>
      <c r="AK141" s="38"/>
      <c r="AL141" s="38"/>
      <c r="AM141" s="38"/>
      <c r="AN141" s="38"/>
      <c r="AO141" s="69"/>
      <c r="AP141" s="69"/>
      <c r="AQ141" s="69"/>
      <c r="AR141" s="69"/>
      <c r="AS141" s="68"/>
      <c r="AT141" s="66" t="e">
        <f>VLOOKUP(K141,[4]Planilha1!A$13:P$314,16,0)</f>
        <v>#N/A</v>
      </c>
    </row>
    <row r="142" spans="1:46" s="63" customFormat="1" x14ac:dyDescent="0.25">
      <c r="A142" s="82"/>
      <c r="B142" s="82"/>
      <c r="C142" s="64"/>
      <c r="D142" s="64"/>
      <c r="E142" s="64"/>
      <c r="F142" s="64"/>
      <c r="G142" s="64"/>
      <c r="H142" s="64"/>
      <c r="I142" s="64"/>
      <c r="J142" s="64"/>
      <c r="K142" s="64"/>
      <c r="L142" s="64"/>
      <c r="M142" s="64"/>
      <c r="N142" s="406"/>
      <c r="O142" s="64"/>
      <c r="P142" s="410"/>
      <c r="Q142" s="64"/>
      <c r="R142" s="401">
        <f t="shared" si="26"/>
        <v>0</v>
      </c>
      <c r="S142" s="401"/>
      <c r="T142" s="401"/>
      <c r="U142" s="64"/>
      <c r="V142" s="64"/>
      <c r="W142" s="413">
        <f t="shared" si="27"/>
        <v>0</v>
      </c>
      <c r="X142" s="403">
        <v>1</v>
      </c>
      <c r="Y142" s="403">
        <v>1</v>
      </c>
      <c r="Z142" s="403">
        <v>0</v>
      </c>
      <c r="AA142" s="38"/>
      <c r="AB142" s="409"/>
      <c r="AC142" s="38"/>
      <c r="AD142" s="68"/>
      <c r="AE142" s="68"/>
      <c r="AF142" s="68"/>
      <c r="AG142" s="68"/>
      <c r="AH142" s="68"/>
      <c r="AI142" s="38"/>
      <c r="AJ142" s="38"/>
      <c r="AK142" s="38"/>
      <c r="AL142" s="38"/>
      <c r="AM142" s="38"/>
      <c r="AN142" s="38"/>
      <c r="AO142" s="69"/>
      <c r="AP142" s="69"/>
      <c r="AQ142" s="69"/>
      <c r="AR142" s="69"/>
      <c r="AS142" s="68"/>
      <c r="AT142" s="66" t="e">
        <f>VLOOKUP(K142,[4]Planilha1!A$13:P$314,16,0)</f>
        <v>#N/A</v>
      </c>
    </row>
    <row r="143" spans="1:46" s="63" customFormat="1" x14ac:dyDescent="0.25">
      <c r="A143" s="82"/>
      <c r="B143" s="82"/>
      <c r="C143" s="64"/>
      <c r="D143" s="64"/>
      <c r="E143" s="64"/>
      <c r="F143" s="64"/>
      <c r="G143" s="64"/>
      <c r="H143" s="64"/>
      <c r="I143" s="64"/>
      <c r="J143" s="64"/>
      <c r="K143" s="64"/>
      <c r="L143" s="64"/>
      <c r="M143" s="64"/>
      <c r="N143" s="406"/>
      <c r="O143" s="64"/>
      <c r="P143" s="410"/>
      <c r="Q143" s="64"/>
      <c r="R143" s="401">
        <f t="shared" si="26"/>
        <v>0</v>
      </c>
      <c r="S143" s="401"/>
      <c r="T143" s="401"/>
      <c r="U143" s="64"/>
      <c r="V143" s="64"/>
      <c r="W143" s="413">
        <f t="shared" si="27"/>
        <v>0</v>
      </c>
      <c r="X143" s="403">
        <v>1</v>
      </c>
      <c r="Y143" s="403">
        <v>1</v>
      </c>
      <c r="Z143" s="403">
        <v>0</v>
      </c>
      <c r="AA143" s="38"/>
      <c r="AB143" s="409"/>
      <c r="AC143" s="38"/>
      <c r="AD143" s="68"/>
      <c r="AE143" s="68"/>
      <c r="AF143" s="68"/>
      <c r="AG143" s="68"/>
      <c r="AH143" s="68"/>
      <c r="AI143" s="38"/>
      <c r="AJ143" s="38"/>
      <c r="AK143" s="38"/>
      <c r="AL143" s="38"/>
      <c r="AM143" s="38"/>
      <c r="AN143" s="38"/>
      <c r="AO143" s="69"/>
      <c r="AP143" s="69"/>
      <c r="AQ143" s="69"/>
      <c r="AR143" s="69"/>
      <c r="AS143" s="68"/>
      <c r="AT143" s="66" t="e">
        <f>VLOOKUP(K143,[4]Planilha1!A$13:P$314,16,0)</f>
        <v>#N/A</v>
      </c>
    </row>
    <row r="144" spans="1:46" s="63" customFormat="1" x14ac:dyDescent="0.25">
      <c r="A144" s="64"/>
      <c r="B144" s="64"/>
      <c r="C144" s="64"/>
      <c r="D144" s="64"/>
      <c r="E144" s="64"/>
      <c r="F144" s="64"/>
      <c r="G144" s="64"/>
      <c r="H144" s="64"/>
      <c r="I144" s="64"/>
      <c r="J144" s="64"/>
      <c r="K144" s="64"/>
      <c r="L144" s="64"/>
      <c r="M144" s="64"/>
      <c r="N144" s="406"/>
      <c r="O144" s="64"/>
      <c r="P144" s="410"/>
      <c r="Q144" s="64"/>
      <c r="R144" s="401">
        <f t="shared" si="26"/>
        <v>0</v>
      </c>
      <c r="S144" s="402"/>
      <c r="T144" s="402"/>
      <c r="U144" s="64"/>
      <c r="V144" s="64"/>
      <c r="W144" s="413">
        <f t="shared" si="27"/>
        <v>0</v>
      </c>
      <c r="X144" s="403">
        <v>1</v>
      </c>
      <c r="Y144" s="403">
        <v>1</v>
      </c>
      <c r="Z144" s="403">
        <v>0</v>
      </c>
      <c r="AA144" s="403"/>
      <c r="AB144" s="409"/>
      <c r="AC144" s="403"/>
      <c r="AD144" s="402"/>
      <c r="AE144" s="402"/>
      <c r="AF144" s="402"/>
      <c r="AG144" s="402"/>
      <c r="AH144" s="402"/>
      <c r="AI144" s="403"/>
      <c r="AJ144" s="403"/>
      <c r="AK144" s="403"/>
      <c r="AL144" s="403"/>
      <c r="AM144" s="403"/>
      <c r="AN144" s="403"/>
      <c r="AO144" s="404"/>
      <c r="AP144" s="404"/>
      <c r="AQ144" s="404"/>
      <c r="AR144" s="404"/>
      <c r="AS144" s="402"/>
      <c r="AT144" s="66" t="e">
        <f>VLOOKUP(K144,[4]Planilha1!A$13:P$314,16,0)</f>
        <v>#N/A</v>
      </c>
    </row>
    <row r="145" spans="1:46" s="63" customFormat="1" x14ac:dyDescent="0.25">
      <c r="A145" s="82"/>
      <c r="B145" s="82"/>
      <c r="C145" s="64"/>
      <c r="D145" s="64"/>
      <c r="E145" s="64"/>
      <c r="F145" s="64"/>
      <c r="G145" s="64"/>
      <c r="H145" s="64"/>
      <c r="I145" s="64"/>
      <c r="J145" s="64"/>
      <c r="K145" s="64"/>
      <c r="L145" s="64"/>
      <c r="M145" s="64"/>
      <c r="N145" s="406"/>
      <c r="O145" s="64"/>
      <c r="P145" s="410"/>
      <c r="Q145" s="64"/>
      <c r="R145" s="401">
        <f t="shared" si="26"/>
        <v>0</v>
      </c>
      <c r="S145" s="401"/>
      <c r="T145" s="401"/>
      <c r="U145" s="64"/>
      <c r="V145" s="64"/>
      <c r="W145" s="413">
        <f t="shared" si="27"/>
        <v>0</v>
      </c>
      <c r="X145" s="403">
        <v>1</v>
      </c>
      <c r="Y145" s="403">
        <v>1</v>
      </c>
      <c r="Z145" s="403">
        <v>0</v>
      </c>
      <c r="AA145" s="38"/>
      <c r="AB145" s="409"/>
      <c r="AC145" s="38"/>
      <c r="AD145" s="68"/>
      <c r="AE145" s="68"/>
      <c r="AF145" s="68"/>
      <c r="AG145" s="68"/>
      <c r="AH145" s="68"/>
      <c r="AI145" s="38"/>
      <c r="AJ145" s="38"/>
      <c r="AK145" s="38"/>
      <c r="AL145" s="38"/>
      <c r="AM145" s="38"/>
      <c r="AN145" s="38"/>
      <c r="AO145" s="69"/>
      <c r="AP145" s="69"/>
      <c r="AQ145" s="69"/>
      <c r="AR145" s="69"/>
      <c r="AS145" s="68"/>
      <c r="AT145" s="66" t="e">
        <f>VLOOKUP(K145,[4]Planilha1!A$13:P$314,16,0)</f>
        <v>#N/A</v>
      </c>
    </row>
    <row r="146" spans="1:46" s="63" customFormat="1" x14ac:dyDescent="0.25">
      <c r="A146" s="82"/>
      <c r="B146" s="82"/>
      <c r="C146" s="64"/>
      <c r="D146" s="64"/>
      <c r="E146" s="64"/>
      <c r="F146" s="64"/>
      <c r="G146" s="64"/>
      <c r="H146" s="64"/>
      <c r="I146" s="64"/>
      <c r="J146" s="64"/>
      <c r="K146" s="64"/>
      <c r="L146" s="64"/>
      <c r="M146" s="64"/>
      <c r="N146" s="406"/>
      <c r="O146" s="64"/>
      <c r="P146" s="410"/>
      <c r="Q146" s="64"/>
      <c r="R146" s="401">
        <f t="shared" si="26"/>
        <v>0</v>
      </c>
      <c r="S146" s="401"/>
      <c r="T146" s="401"/>
      <c r="U146" s="64"/>
      <c r="V146" s="64"/>
      <c r="W146" s="413">
        <f t="shared" si="27"/>
        <v>0</v>
      </c>
      <c r="X146" s="403">
        <v>1</v>
      </c>
      <c r="Y146" s="403">
        <v>1</v>
      </c>
      <c r="Z146" s="403">
        <v>0</v>
      </c>
      <c r="AA146" s="38"/>
      <c r="AB146" s="409"/>
      <c r="AC146" s="38"/>
      <c r="AD146" s="68"/>
      <c r="AE146" s="68"/>
      <c r="AF146" s="68"/>
      <c r="AG146" s="68"/>
      <c r="AH146" s="68"/>
      <c r="AI146" s="38"/>
      <c r="AJ146" s="38"/>
      <c r="AK146" s="38"/>
      <c r="AL146" s="38"/>
      <c r="AM146" s="38"/>
      <c r="AN146" s="38"/>
      <c r="AO146" s="69"/>
      <c r="AP146" s="69"/>
      <c r="AQ146" s="69"/>
      <c r="AR146" s="69"/>
      <c r="AS146" s="68"/>
      <c r="AT146" s="66" t="e">
        <f>VLOOKUP(K146,[4]Planilha1!A$13:P$314,16,0)</f>
        <v>#N/A</v>
      </c>
    </row>
    <row r="147" spans="1:46" s="63" customFormat="1" x14ac:dyDescent="0.25">
      <c r="A147" s="82"/>
      <c r="B147" s="82"/>
      <c r="C147" s="64"/>
      <c r="D147" s="64"/>
      <c r="E147" s="64"/>
      <c r="F147" s="64"/>
      <c r="G147" s="64"/>
      <c r="H147" s="64"/>
      <c r="I147" s="64"/>
      <c r="J147" s="64"/>
      <c r="K147" s="64"/>
      <c r="L147" s="64"/>
      <c r="M147" s="64"/>
      <c r="N147" s="406"/>
      <c r="O147" s="64"/>
      <c r="P147" s="410"/>
      <c r="Q147" s="64"/>
      <c r="R147" s="401">
        <f t="shared" si="26"/>
        <v>0</v>
      </c>
      <c r="S147" s="401"/>
      <c r="T147" s="401"/>
      <c r="U147" s="64"/>
      <c r="V147" s="64"/>
      <c r="W147" s="413">
        <f t="shared" si="27"/>
        <v>0</v>
      </c>
      <c r="X147" s="403">
        <v>1</v>
      </c>
      <c r="Y147" s="403">
        <v>1</v>
      </c>
      <c r="Z147" s="403">
        <v>0</v>
      </c>
      <c r="AA147" s="38"/>
      <c r="AB147" s="409"/>
      <c r="AC147" s="38"/>
      <c r="AD147" s="68"/>
      <c r="AE147" s="68"/>
      <c r="AF147" s="68"/>
      <c r="AG147" s="68"/>
      <c r="AH147" s="68"/>
      <c r="AI147" s="38"/>
      <c r="AJ147" s="38"/>
      <c r="AK147" s="38"/>
      <c r="AL147" s="38"/>
      <c r="AM147" s="38"/>
      <c r="AN147" s="38"/>
      <c r="AO147" s="69"/>
      <c r="AP147" s="69"/>
      <c r="AQ147" s="69"/>
      <c r="AR147" s="69"/>
      <c r="AS147" s="68"/>
      <c r="AT147" s="66" t="e">
        <f>VLOOKUP(K147,[4]Planilha1!A$13:P$314,16,0)</f>
        <v>#N/A</v>
      </c>
    </row>
    <row r="148" spans="1:46" s="63" customFormat="1" x14ac:dyDescent="0.25">
      <c r="A148" s="82"/>
      <c r="B148" s="82"/>
      <c r="C148" s="64"/>
      <c r="D148" s="64"/>
      <c r="E148" s="64"/>
      <c r="F148" s="64"/>
      <c r="G148" s="64"/>
      <c r="H148" s="64"/>
      <c r="I148" s="64"/>
      <c r="J148" s="64"/>
      <c r="K148" s="64"/>
      <c r="L148" s="64"/>
      <c r="M148" s="64"/>
      <c r="N148" s="406"/>
      <c r="O148" s="64"/>
      <c r="P148" s="410"/>
      <c r="Q148" s="64"/>
      <c r="R148" s="401">
        <f t="shared" si="26"/>
        <v>0</v>
      </c>
      <c r="S148" s="401"/>
      <c r="T148" s="401"/>
      <c r="U148" s="64"/>
      <c r="V148" s="64"/>
      <c r="W148" s="413">
        <f t="shared" si="27"/>
        <v>0</v>
      </c>
      <c r="X148" s="403">
        <v>1</v>
      </c>
      <c r="Y148" s="403">
        <v>1</v>
      </c>
      <c r="Z148" s="403">
        <v>0</v>
      </c>
      <c r="AA148" s="38"/>
      <c r="AB148" s="409"/>
      <c r="AC148" s="38"/>
      <c r="AD148" s="68"/>
      <c r="AE148" s="68"/>
      <c r="AF148" s="68"/>
      <c r="AG148" s="68"/>
      <c r="AH148" s="68"/>
      <c r="AI148" s="38"/>
      <c r="AJ148" s="38"/>
      <c r="AK148" s="38"/>
      <c r="AL148" s="38"/>
      <c r="AM148" s="38"/>
      <c r="AN148" s="38"/>
      <c r="AO148" s="69"/>
      <c r="AP148" s="69"/>
      <c r="AQ148" s="69"/>
      <c r="AR148" s="69"/>
      <c r="AS148" s="68"/>
      <c r="AT148" s="66" t="e">
        <f>VLOOKUP(K148,[4]Planilha1!A$13:P$314,16,0)</f>
        <v>#N/A</v>
      </c>
    </row>
    <row r="149" spans="1:46" s="63" customFormat="1" x14ac:dyDescent="0.25">
      <c r="A149" s="82"/>
      <c r="B149" s="82"/>
      <c r="C149" s="64"/>
      <c r="D149" s="64"/>
      <c r="E149" s="64"/>
      <c r="F149" s="64"/>
      <c r="G149" s="64"/>
      <c r="H149" s="64"/>
      <c r="I149" s="64"/>
      <c r="J149" s="64"/>
      <c r="K149" s="64"/>
      <c r="L149" s="64"/>
      <c r="M149" s="64"/>
      <c r="N149" s="406"/>
      <c r="O149" s="64"/>
      <c r="P149" s="410"/>
      <c r="Q149" s="64"/>
      <c r="R149" s="401">
        <f t="shared" si="26"/>
        <v>0</v>
      </c>
      <c r="S149" s="401"/>
      <c r="T149" s="401"/>
      <c r="U149" s="64"/>
      <c r="V149" s="64"/>
      <c r="W149" s="413">
        <f t="shared" si="27"/>
        <v>0</v>
      </c>
      <c r="X149" s="403">
        <v>1</v>
      </c>
      <c r="Y149" s="403">
        <v>1</v>
      </c>
      <c r="Z149" s="403">
        <v>0</v>
      </c>
      <c r="AA149" s="38"/>
      <c r="AB149" s="409"/>
      <c r="AC149" s="38"/>
      <c r="AD149" s="68"/>
      <c r="AE149" s="68"/>
      <c r="AF149" s="68"/>
      <c r="AG149" s="68"/>
      <c r="AH149" s="68"/>
      <c r="AI149" s="38"/>
      <c r="AJ149" s="38"/>
      <c r="AK149" s="38"/>
      <c r="AL149" s="38"/>
      <c r="AM149" s="38"/>
      <c r="AN149" s="38"/>
      <c r="AO149" s="69"/>
      <c r="AP149" s="69"/>
      <c r="AQ149" s="69"/>
      <c r="AR149" s="69"/>
      <c r="AS149" s="68"/>
      <c r="AT149" s="66" t="e">
        <f>VLOOKUP(K149,[4]Planilha1!A$13:P$314,16,0)</f>
        <v>#N/A</v>
      </c>
    </row>
    <row r="150" spans="1:46" s="63" customFormat="1" x14ac:dyDescent="0.25">
      <c r="A150" s="82"/>
      <c r="B150" s="82"/>
      <c r="C150" s="64"/>
      <c r="D150" s="64"/>
      <c r="E150" s="64"/>
      <c r="F150" s="64"/>
      <c r="G150" s="64"/>
      <c r="H150" s="64"/>
      <c r="I150" s="64"/>
      <c r="J150" s="64"/>
      <c r="K150" s="64"/>
      <c r="L150" s="64"/>
      <c r="M150" s="64"/>
      <c r="N150" s="406"/>
      <c r="O150" s="64"/>
      <c r="P150" s="410"/>
      <c r="Q150" s="64"/>
      <c r="R150" s="401">
        <f t="shared" si="26"/>
        <v>0</v>
      </c>
      <c r="S150" s="401"/>
      <c r="T150" s="401"/>
      <c r="U150" s="64"/>
      <c r="V150" s="64"/>
      <c r="W150" s="413">
        <f t="shared" si="27"/>
        <v>0</v>
      </c>
      <c r="X150" s="403">
        <v>1</v>
      </c>
      <c r="Y150" s="403">
        <v>1</v>
      </c>
      <c r="Z150" s="403">
        <v>0</v>
      </c>
      <c r="AA150" s="38"/>
      <c r="AB150" s="409"/>
      <c r="AC150" s="38"/>
      <c r="AD150" s="68"/>
      <c r="AE150" s="68"/>
      <c r="AF150" s="68"/>
      <c r="AG150" s="68"/>
      <c r="AH150" s="68"/>
      <c r="AI150" s="38"/>
      <c r="AJ150" s="38"/>
      <c r="AK150" s="38"/>
      <c r="AL150" s="38"/>
      <c r="AM150" s="38"/>
      <c r="AN150" s="38"/>
      <c r="AO150" s="69"/>
      <c r="AP150" s="69"/>
      <c r="AQ150" s="69"/>
      <c r="AR150" s="69"/>
      <c r="AS150" s="68"/>
      <c r="AT150" s="66" t="e">
        <f>VLOOKUP(K150,[4]Planilha1!A$13:P$314,16,0)</f>
        <v>#N/A</v>
      </c>
    </row>
    <row r="151" spans="1:46" s="63" customFormat="1" x14ac:dyDescent="0.25">
      <c r="A151" s="82"/>
      <c r="B151" s="82"/>
      <c r="C151" s="64"/>
      <c r="D151" s="64"/>
      <c r="E151" s="64"/>
      <c r="F151" s="64"/>
      <c r="G151" s="64"/>
      <c r="H151" s="64"/>
      <c r="I151" s="64"/>
      <c r="J151" s="64"/>
      <c r="K151" s="64"/>
      <c r="L151" s="64"/>
      <c r="M151" s="64"/>
      <c r="N151" s="406"/>
      <c r="O151" s="64"/>
      <c r="P151" s="410"/>
      <c r="Q151" s="64"/>
      <c r="R151" s="401">
        <f t="shared" si="26"/>
        <v>0</v>
      </c>
      <c r="S151" s="401"/>
      <c r="T151" s="401"/>
      <c r="U151" s="64"/>
      <c r="V151" s="64"/>
      <c r="W151" s="413">
        <f t="shared" si="27"/>
        <v>0</v>
      </c>
      <c r="X151" s="403">
        <v>1</v>
      </c>
      <c r="Y151" s="403">
        <v>1</v>
      </c>
      <c r="Z151" s="403">
        <v>0</v>
      </c>
      <c r="AA151" s="38"/>
      <c r="AB151" s="409"/>
      <c r="AC151" s="38"/>
      <c r="AD151" s="68"/>
      <c r="AE151" s="68"/>
      <c r="AF151" s="68"/>
      <c r="AG151" s="68"/>
      <c r="AH151" s="68"/>
      <c r="AI151" s="38"/>
      <c r="AJ151" s="38"/>
      <c r="AK151" s="38"/>
      <c r="AL151" s="38"/>
      <c r="AM151" s="38"/>
      <c r="AN151" s="38"/>
      <c r="AO151" s="69"/>
      <c r="AP151" s="69"/>
      <c r="AQ151" s="69"/>
      <c r="AR151" s="69"/>
      <c r="AS151" s="68"/>
      <c r="AT151" s="66" t="e">
        <f>VLOOKUP(K151,[4]Planilha1!A$13:P$314,16,0)</f>
        <v>#N/A</v>
      </c>
    </row>
    <row r="152" spans="1:46" s="63" customFormat="1" x14ac:dyDescent="0.25">
      <c r="A152" s="82"/>
      <c r="B152" s="82"/>
      <c r="C152" s="64"/>
      <c r="D152" s="64"/>
      <c r="E152" s="64"/>
      <c r="F152" s="64"/>
      <c r="G152" s="64"/>
      <c r="H152" s="64"/>
      <c r="I152" s="64"/>
      <c r="J152" s="64"/>
      <c r="K152" s="64"/>
      <c r="L152" s="64"/>
      <c r="M152" s="64"/>
      <c r="N152" s="406"/>
      <c r="O152" s="64"/>
      <c r="P152" s="410"/>
      <c r="Q152" s="64"/>
      <c r="R152" s="401">
        <f t="shared" si="26"/>
        <v>0</v>
      </c>
      <c r="S152" s="401"/>
      <c r="T152" s="401"/>
      <c r="U152" s="64"/>
      <c r="V152" s="64"/>
      <c r="W152" s="413">
        <f t="shared" si="27"/>
        <v>0</v>
      </c>
      <c r="X152" s="403">
        <v>1</v>
      </c>
      <c r="Y152" s="403">
        <v>1</v>
      </c>
      <c r="Z152" s="403">
        <v>0</v>
      </c>
      <c r="AA152" s="38"/>
      <c r="AB152" s="409"/>
      <c r="AC152" s="38"/>
      <c r="AD152" s="68"/>
      <c r="AE152" s="68"/>
      <c r="AF152" s="68"/>
      <c r="AG152" s="68"/>
      <c r="AH152" s="68"/>
      <c r="AI152" s="38"/>
      <c r="AJ152" s="38"/>
      <c r="AK152" s="38"/>
      <c r="AL152" s="38"/>
      <c r="AM152" s="38"/>
      <c r="AN152" s="38"/>
      <c r="AO152" s="69"/>
      <c r="AP152" s="69"/>
      <c r="AQ152" s="69"/>
      <c r="AR152" s="69"/>
      <c r="AS152" s="68"/>
      <c r="AT152" s="66" t="e">
        <f>VLOOKUP(K152,[4]Planilha1!A$13:P$314,16,0)</f>
        <v>#N/A</v>
      </c>
    </row>
    <row r="153" spans="1:46" s="63" customFormat="1" x14ac:dyDescent="0.25">
      <c r="A153" s="82"/>
      <c r="B153" s="82"/>
      <c r="C153" s="64"/>
      <c r="D153" s="64"/>
      <c r="E153" s="64"/>
      <c r="F153" s="64"/>
      <c r="G153" s="64"/>
      <c r="H153" s="64"/>
      <c r="I153" s="64"/>
      <c r="J153" s="64"/>
      <c r="K153" s="64"/>
      <c r="L153" s="64"/>
      <c r="M153" s="64"/>
      <c r="N153" s="406"/>
      <c r="O153" s="64"/>
      <c r="P153" s="410"/>
      <c r="Q153" s="64"/>
      <c r="R153" s="401">
        <f t="shared" ref="R153:R216" si="28">P153*N153</f>
        <v>0</v>
      </c>
      <c r="S153" s="401"/>
      <c r="T153" s="401"/>
      <c r="U153" s="64"/>
      <c r="V153" s="64"/>
      <c r="W153" s="413">
        <f t="shared" si="27"/>
        <v>0</v>
      </c>
      <c r="X153" s="403">
        <v>1</v>
      </c>
      <c r="Y153" s="403">
        <v>1</v>
      </c>
      <c r="Z153" s="403">
        <v>0</v>
      </c>
      <c r="AA153" s="38"/>
      <c r="AB153" s="409"/>
      <c r="AC153" s="38"/>
      <c r="AD153" s="68"/>
      <c r="AE153" s="68"/>
      <c r="AF153" s="68"/>
      <c r="AG153" s="68"/>
      <c r="AH153" s="68"/>
      <c r="AI153" s="38"/>
      <c r="AJ153" s="38"/>
      <c r="AK153" s="38"/>
      <c r="AL153" s="38"/>
      <c r="AM153" s="38"/>
      <c r="AN153" s="38"/>
      <c r="AO153" s="69"/>
      <c r="AP153" s="69"/>
      <c r="AQ153" s="69"/>
      <c r="AR153" s="69"/>
      <c r="AS153" s="68"/>
      <c r="AT153" s="66" t="e">
        <f>VLOOKUP(K153,[4]Planilha1!A$13:P$314,16,0)</f>
        <v>#N/A</v>
      </c>
    </row>
    <row r="154" spans="1:46" s="63" customFormat="1" x14ac:dyDescent="0.25">
      <c r="A154" s="82"/>
      <c r="B154" s="82"/>
      <c r="C154" s="64"/>
      <c r="D154" s="64"/>
      <c r="E154" s="64"/>
      <c r="F154" s="64"/>
      <c r="G154" s="64"/>
      <c r="H154" s="64"/>
      <c r="I154" s="64"/>
      <c r="J154" s="64"/>
      <c r="K154" s="64"/>
      <c r="L154" s="64"/>
      <c r="M154" s="64"/>
      <c r="N154" s="406"/>
      <c r="O154" s="64"/>
      <c r="P154" s="410"/>
      <c r="Q154" s="64"/>
      <c r="R154" s="401">
        <f t="shared" si="28"/>
        <v>0</v>
      </c>
      <c r="S154" s="401"/>
      <c r="T154" s="401"/>
      <c r="U154" s="64"/>
      <c r="V154" s="64"/>
      <c r="W154" s="413">
        <f t="shared" si="27"/>
        <v>0</v>
      </c>
      <c r="X154" s="403">
        <v>1</v>
      </c>
      <c r="Y154" s="403">
        <v>1</v>
      </c>
      <c r="Z154" s="403">
        <v>0</v>
      </c>
      <c r="AA154" s="38"/>
      <c r="AB154" s="409"/>
      <c r="AC154" s="38"/>
      <c r="AD154" s="68"/>
      <c r="AE154" s="68"/>
      <c r="AF154" s="68"/>
      <c r="AG154" s="68"/>
      <c r="AH154" s="68"/>
      <c r="AI154" s="38"/>
      <c r="AJ154" s="38"/>
      <c r="AK154" s="38"/>
      <c r="AL154" s="38"/>
      <c r="AM154" s="38"/>
      <c r="AN154" s="38"/>
      <c r="AO154" s="69"/>
      <c r="AP154" s="69"/>
      <c r="AQ154" s="69"/>
      <c r="AR154" s="69"/>
      <c r="AS154" s="68"/>
      <c r="AT154" s="66" t="e">
        <f>VLOOKUP(K154,[4]Planilha1!A$13:P$314,16,0)</f>
        <v>#N/A</v>
      </c>
    </row>
    <row r="155" spans="1:46" s="63" customFormat="1" x14ac:dyDescent="0.25">
      <c r="A155" s="82"/>
      <c r="B155" s="82"/>
      <c r="C155" s="64"/>
      <c r="D155" s="64"/>
      <c r="E155" s="64"/>
      <c r="F155" s="64"/>
      <c r="G155" s="64"/>
      <c r="H155" s="64"/>
      <c r="I155" s="64"/>
      <c r="J155" s="64"/>
      <c r="K155" s="64"/>
      <c r="L155" s="64"/>
      <c r="M155" s="64"/>
      <c r="N155" s="406"/>
      <c r="O155" s="64"/>
      <c r="P155" s="410"/>
      <c r="Q155" s="64"/>
      <c r="R155" s="401">
        <f t="shared" si="28"/>
        <v>0</v>
      </c>
      <c r="S155" s="401"/>
      <c r="T155" s="401"/>
      <c r="U155" s="64"/>
      <c r="V155" s="64"/>
      <c r="W155" s="413">
        <f t="shared" si="27"/>
        <v>0</v>
      </c>
      <c r="X155" s="403">
        <v>1</v>
      </c>
      <c r="Y155" s="403">
        <v>1</v>
      </c>
      <c r="Z155" s="403">
        <v>0</v>
      </c>
      <c r="AA155" s="38"/>
      <c r="AB155" s="409"/>
      <c r="AC155" s="38"/>
      <c r="AD155" s="68"/>
      <c r="AE155" s="68"/>
      <c r="AF155" s="68"/>
      <c r="AG155" s="68"/>
      <c r="AH155" s="68"/>
      <c r="AI155" s="38"/>
      <c r="AJ155" s="38"/>
      <c r="AK155" s="38"/>
      <c r="AL155" s="38"/>
      <c r="AM155" s="38"/>
      <c r="AN155" s="38"/>
      <c r="AO155" s="69"/>
      <c r="AP155" s="69"/>
      <c r="AQ155" s="69"/>
      <c r="AR155" s="69"/>
      <c r="AS155" s="68"/>
      <c r="AT155" s="66" t="e">
        <f>VLOOKUP(K155,[4]Planilha1!A$13:P$314,16,0)</f>
        <v>#N/A</v>
      </c>
    </row>
    <row r="156" spans="1:46" s="63" customFormat="1" x14ac:dyDescent="0.25">
      <c r="A156" s="82"/>
      <c r="B156" s="82"/>
      <c r="C156" s="64"/>
      <c r="D156" s="64"/>
      <c r="E156" s="64"/>
      <c r="F156" s="64"/>
      <c r="G156" s="64"/>
      <c r="H156" s="64"/>
      <c r="I156" s="64"/>
      <c r="J156" s="64"/>
      <c r="K156" s="64"/>
      <c r="L156" s="64"/>
      <c r="M156" s="64"/>
      <c r="N156" s="406"/>
      <c r="O156" s="64"/>
      <c r="P156" s="410"/>
      <c r="Q156" s="64"/>
      <c r="R156" s="401">
        <f t="shared" si="28"/>
        <v>0</v>
      </c>
      <c r="S156" s="401"/>
      <c r="T156" s="401"/>
      <c r="U156" s="64"/>
      <c r="V156" s="64"/>
      <c r="W156" s="413">
        <f t="shared" si="27"/>
        <v>0</v>
      </c>
      <c r="X156" s="403">
        <v>1</v>
      </c>
      <c r="Y156" s="403">
        <v>1</v>
      </c>
      <c r="Z156" s="403">
        <v>0</v>
      </c>
      <c r="AA156" s="38"/>
      <c r="AB156" s="409"/>
      <c r="AC156" s="38"/>
      <c r="AD156" s="68"/>
      <c r="AE156" s="68"/>
      <c r="AF156" s="68"/>
      <c r="AG156" s="68"/>
      <c r="AH156" s="68"/>
      <c r="AI156" s="38"/>
      <c r="AJ156" s="38"/>
      <c r="AK156" s="38"/>
      <c r="AL156" s="38"/>
      <c r="AM156" s="38"/>
      <c r="AN156" s="38"/>
      <c r="AO156" s="69"/>
      <c r="AP156" s="69"/>
      <c r="AQ156" s="69"/>
      <c r="AR156" s="69"/>
      <c r="AS156" s="68"/>
      <c r="AT156" s="66" t="e">
        <f>VLOOKUP(K156,[4]Planilha1!A$13:P$314,16,0)</f>
        <v>#N/A</v>
      </c>
    </row>
    <row r="157" spans="1:46" s="63" customFormat="1" x14ac:dyDescent="0.25">
      <c r="A157" s="82"/>
      <c r="B157" s="82"/>
      <c r="C157" s="64"/>
      <c r="D157" s="64"/>
      <c r="E157" s="64"/>
      <c r="F157" s="64"/>
      <c r="G157" s="64"/>
      <c r="H157" s="64"/>
      <c r="I157" s="64"/>
      <c r="J157" s="64"/>
      <c r="K157" s="64"/>
      <c r="L157" s="64"/>
      <c r="M157" s="64"/>
      <c r="N157" s="406"/>
      <c r="O157" s="64"/>
      <c r="P157" s="410"/>
      <c r="Q157" s="64"/>
      <c r="R157" s="401">
        <f t="shared" si="28"/>
        <v>0</v>
      </c>
      <c r="S157" s="401"/>
      <c r="T157" s="401"/>
      <c r="U157" s="64"/>
      <c r="V157" s="64"/>
      <c r="W157" s="413">
        <f t="shared" si="27"/>
        <v>0</v>
      </c>
      <c r="X157" s="403">
        <v>1</v>
      </c>
      <c r="Y157" s="403">
        <v>1</v>
      </c>
      <c r="Z157" s="403">
        <v>0</v>
      </c>
      <c r="AA157" s="38"/>
      <c r="AB157" s="409"/>
      <c r="AC157" s="38"/>
      <c r="AD157" s="68"/>
      <c r="AE157" s="68"/>
      <c r="AF157" s="68"/>
      <c r="AG157" s="68"/>
      <c r="AH157" s="68"/>
      <c r="AI157" s="38"/>
      <c r="AJ157" s="38"/>
      <c r="AK157" s="38"/>
      <c r="AL157" s="38"/>
      <c r="AM157" s="38"/>
      <c r="AN157" s="38"/>
      <c r="AO157" s="69"/>
      <c r="AP157" s="69"/>
      <c r="AQ157" s="69"/>
      <c r="AR157" s="69"/>
      <c r="AS157" s="68"/>
      <c r="AT157" s="66" t="e">
        <f>VLOOKUP(K157,[4]Planilha1!A$13:P$314,16,0)</f>
        <v>#N/A</v>
      </c>
    </row>
    <row r="158" spans="1:46" s="63" customFormat="1" x14ac:dyDescent="0.25">
      <c r="A158" s="82"/>
      <c r="B158" s="82"/>
      <c r="C158" s="64"/>
      <c r="D158" s="64"/>
      <c r="E158" s="64"/>
      <c r="F158" s="64"/>
      <c r="G158" s="64"/>
      <c r="H158" s="64"/>
      <c r="I158" s="64"/>
      <c r="J158" s="64"/>
      <c r="K158" s="64"/>
      <c r="L158" s="64"/>
      <c r="M158" s="64"/>
      <c r="N158" s="406"/>
      <c r="O158" s="64"/>
      <c r="P158" s="410"/>
      <c r="Q158" s="64"/>
      <c r="R158" s="401">
        <f t="shared" si="28"/>
        <v>0</v>
      </c>
      <c r="S158" s="401"/>
      <c r="T158" s="401"/>
      <c r="U158" s="64"/>
      <c r="V158" s="64"/>
      <c r="W158" s="413">
        <f t="shared" si="27"/>
        <v>0</v>
      </c>
      <c r="X158" s="403">
        <v>1</v>
      </c>
      <c r="Y158" s="403">
        <v>1</v>
      </c>
      <c r="Z158" s="403">
        <v>0</v>
      </c>
      <c r="AA158" s="38"/>
      <c r="AB158" s="409"/>
      <c r="AC158" s="38"/>
      <c r="AD158" s="68"/>
      <c r="AE158" s="68"/>
      <c r="AF158" s="68"/>
      <c r="AG158" s="68"/>
      <c r="AH158" s="68"/>
      <c r="AI158" s="38"/>
      <c r="AJ158" s="38"/>
      <c r="AK158" s="38"/>
      <c r="AL158" s="38"/>
      <c r="AM158" s="38"/>
      <c r="AN158" s="38"/>
      <c r="AO158" s="69"/>
      <c r="AP158" s="69"/>
      <c r="AQ158" s="69"/>
      <c r="AR158" s="69"/>
      <c r="AS158" s="68"/>
      <c r="AT158" s="66" t="e">
        <f>VLOOKUP(K158,[4]Planilha1!A$13:P$314,16,0)</f>
        <v>#N/A</v>
      </c>
    </row>
    <row r="159" spans="1:46" s="63" customFormat="1" x14ac:dyDescent="0.25">
      <c r="A159" s="82"/>
      <c r="B159" s="82"/>
      <c r="C159" s="64"/>
      <c r="D159" s="64"/>
      <c r="E159" s="64"/>
      <c r="F159" s="64"/>
      <c r="G159" s="64"/>
      <c r="H159" s="64"/>
      <c r="I159" s="64"/>
      <c r="J159" s="64"/>
      <c r="K159" s="64"/>
      <c r="L159" s="64"/>
      <c r="M159" s="64"/>
      <c r="N159" s="406"/>
      <c r="O159" s="64"/>
      <c r="P159" s="410"/>
      <c r="Q159" s="64"/>
      <c r="R159" s="401">
        <f t="shared" si="28"/>
        <v>0</v>
      </c>
      <c r="S159" s="401"/>
      <c r="T159" s="401"/>
      <c r="U159" s="64"/>
      <c r="V159" s="64"/>
      <c r="W159" s="413">
        <f t="shared" si="27"/>
        <v>0</v>
      </c>
      <c r="X159" s="403">
        <v>1</v>
      </c>
      <c r="Y159" s="403">
        <v>1</v>
      </c>
      <c r="Z159" s="403">
        <v>0</v>
      </c>
      <c r="AA159" s="38"/>
      <c r="AB159" s="409"/>
      <c r="AC159" s="38"/>
      <c r="AD159" s="68"/>
      <c r="AE159" s="68"/>
      <c r="AF159" s="68"/>
      <c r="AG159" s="68"/>
      <c r="AH159" s="68"/>
      <c r="AI159" s="38"/>
      <c r="AJ159" s="38"/>
      <c r="AK159" s="38"/>
      <c r="AL159" s="38"/>
      <c r="AM159" s="38"/>
      <c r="AN159" s="38"/>
      <c r="AO159" s="69"/>
      <c r="AP159" s="69"/>
      <c r="AQ159" s="69"/>
      <c r="AR159" s="69"/>
      <c r="AS159" s="68"/>
      <c r="AT159" s="66" t="e">
        <f>VLOOKUP(K159,[4]Planilha1!A$13:P$314,16,0)</f>
        <v>#N/A</v>
      </c>
    </row>
    <row r="160" spans="1:46" s="63" customFormat="1" x14ac:dyDescent="0.25">
      <c r="A160" s="82"/>
      <c r="B160" s="82"/>
      <c r="C160" s="64"/>
      <c r="D160" s="64"/>
      <c r="E160" s="64"/>
      <c r="F160" s="64"/>
      <c r="G160" s="64"/>
      <c r="H160" s="64"/>
      <c r="I160" s="64"/>
      <c r="J160" s="64"/>
      <c r="K160" s="64"/>
      <c r="L160" s="64"/>
      <c r="M160" s="64"/>
      <c r="N160" s="406"/>
      <c r="O160" s="64"/>
      <c r="P160" s="410"/>
      <c r="Q160" s="64"/>
      <c r="R160" s="401">
        <f t="shared" si="28"/>
        <v>0</v>
      </c>
      <c r="S160" s="401"/>
      <c r="T160" s="401"/>
      <c r="U160" s="64"/>
      <c r="V160" s="64"/>
      <c r="W160" s="413">
        <f t="shared" si="27"/>
        <v>0</v>
      </c>
      <c r="X160" s="403">
        <v>1</v>
      </c>
      <c r="Y160" s="403">
        <v>1</v>
      </c>
      <c r="Z160" s="403">
        <v>0</v>
      </c>
      <c r="AA160" s="38"/>
      <c r="AB160" s="409"/>
      <c r="AC160" s="38"/>
      <c r="AD160" s="68"/>
      <c r="AE160" s="68"/>
      <c r="AF160" s="68"/>
      <c r="AG160" s="68"/>
      <c r="AH160" s="68"/>
      <c r="AI160" s="38"/>
      <c r="AJ160" s="38"/>
      <c r="AK160" s="38"/>
      <c r="AL160" s="38"/>
      <c r="AM160" s="38"/>
      <c r="AN160" s="38"/>
      <c r="AO160" s="69"/>
      <c r="AP160" s="69"/>
      <c r="AQ160" s="69"/>
      <c r="AR160" s="69"/>
      <c r="AS160" s="68"/>
      <c r="AT160" s="66" t="e">
        <f>VLOOKUP(K160,[4]Planilha1!A$13:P$314,16,0)</f>
        <v>#N/A</v>
      </c>
    </row>
    <row r="161" spans="1:46" s="63" customFormat="1" x14ac:dyDescent="0.25">
      <c r="A161" s="82"/>
      <c r="B161" s="82"/>
      <c r="C161" s="64"/>
      <c r="D161" s="64"/>
      <c r="E161" s="64"/>
      <c r="F161" s="64"/>
      <c r="G161" s="64"/>
      <c r="H161" s="64"/>
      <c r="I161" s="64"/>
      <c r="J161" s="64"/>
      <c r="K161" s="64"/>
      <c r="L161" s="64"/>
      <c r="M161" s="64"/>
      <c r="N161" s="406"/>
      <c r="O161" s="64"/>
      <c r="P161" s="410"/>
      <c r="Q161" s="64"/>
      <c r="R161" s="401">
        <f t="shared" si="28"/>
        <v>0</v>
      </c>
      <c r="S161" s="401"/>
      <c r="T161" s="401"/>
      <c r="U161" s="64"/>
      <c r="V161" s="64"/>
      <c r="W161" s="413">
        <f t="shared" si="27"/>
        <v>0</v>
      </c>
      <c r="X161" s="403">
        <v>1</v>
      </c>
      <c r="Y161" s="403">
        <v>1</v>
      </c>
      <c r="Z161" s="403">
        <v>0</v>
      </c>
      <c r="AA161" s="38"/>
      <c r="AB161" s="409"/>
      <c r="AC161" s="38"/>
      <c r="AD161" s="68"/>
      <c r="AE161" s="68"/>
      <c r="AF161" s="68"/>
      <c r="AG161" s="68"/>
      <c r="AH161" s="68"/>
      <c r="AI161" s="38"/>
      <c r="AJ161" s="38"/>
      <c r="AK161" s="38"/>
      <c r="AL161" s="38"/>
      <c r="AM161" s="38"/>
      <c r="AN161" s="38"/>
      <c r="AO161" s="69"/>
      <c r="AP161" s="69"/>
      <c r="AQ161" s="69"/>
      <c r="AR161" s="69"/>
      <c r="AS161" s="68"/>
      <c r="AT161" s="66" t="e">
        <f>VLOOKUP(K161,[4]Planilha1!A$13:P$314,16,0)</f>
        <v>#N/A</v>
      </c>
    </row>
    <row r="162" spans="1:46" s="63" customFormat="1" x14ac:dyDescent="0.25">
      <c r="A162" s="82"/>
      <c r="B162" s="82"/>
      <c r="C162" s="64"/>
      <c r="D162" s="64"/>
      <c r="E162" s="64"/>
      <c r="F162" s="64"/>
      <c r="G162" s="64"/>
      <c r="H162" s="64"/>
      <c r="I162" s="64"/>
      <c r="J162" s="64"/>
      <c r="K162" s="64"/>
      <c r="L162" s="64"/>
      <c r="M162" s="64"/>
      <c r="N162" s="406"/>
      <c r="O162" s="64"/>
      <c r="P162" s="410"/>
      <c r="Q162" s="64"/>
      <c r="R162" s="401">
        <f t="shared" si="28"/>
        <v>0</v>
      </c>
      <c r="S162" s="401"/>
      <c r="T162" s="401"/>
      <c r="U162" s="64"/>
      <c r="V162" s="64"/>
      <c r="W162" s="413">
        <f t="shared" si="27"/>
        <v>0</v>
      </c>
      <c r="X162" s="403">
        <v>1</v>
      </c>
      <c r="Y162" s="403">
        <v>1</v>
      </c>
      <c r="Z162" s="403">
        <v>0</v>
      </c>
      <c r="AA162" s="38"/>
      <c r="AB162" s="409"/>
      <c r="AC162" s="38"/>
      <c r="AD162" s="68"/>
      <c r="AE162" s="68"/>
      <c r="AF162" s="68"/>
      <c r="AG162" s="68"/>
      <c r="AH162" s="68"/>
      <c r="AI162" s="38"/>
      <c r="AJ162" s="38"/>
      <c r="AK162" s="38"/>
      <c r="AL162" s="38"/>
      <c r="AM162" s="38"/>
      <c r="AN162" s="38"/>
      <c r="AO162" s="69"/>
      <c r="AP162" s="69"/>
      <c r="AQ162" s="69"/>
      <c r="AR162" s="69"/>
      <c r="AS162" s="68"/>
      <c r="AT162" s="66" t="e">
        <f>VLOOKUP(K162,[4]Planilha1!A$13:P$314,16,0)</f>
        <v>#N/A</v>
      </c>
    </row>
    <row r="163" spans="1:46" s="63" customFormat="1" x14ac:dyDescent="0.25">
      <c r="A163" s="82"/>
      <c r="B163" s="82"/>
      <c r="C163" s="64"/>
      <c r="D163" s="64"/>
      <c r="E163" s="64"/>
      <c r="F163" s="64"/>
      <c r="G163" s="64"/>
      <c r="H163" s="64"/>
      <c r="I163" s="64"/>
      <c r="J163" s="64"/>
      <c r="K163" s="64"/>
      <c r="L163" s="64"/>
      <c r="M163" s="64"/>
      <c r="N163" s="406"/>
      <c r="O163" s="64"/>
      <c r="P163" s="410"/>
      <c r="Q163" s="64"/>
      <c r="R163" s="401">
        <f t="shared" si="28"/>
        <v>0</v>
      </c>
      <c r="S163" s="401"/>
      <c r="T163" s="401"/>
      <c r="U163" s="64"/>
      <c r="V163" s="64"/>
      <c r="W163" s="413">
        <f t="shared" si="27"/>
        <v>0</v>
      </c>
      <c r="X163" s="403">
        <v>1</v>
      </c>
      <c r="Y163" s="403">
        <v>1</v>
      </c>
      <c r="Z163" s="403">
        <v>0</v>
      </c>
      <c r="AA163" s="38"/>
      <c r="AB163" s="409"/>
      <c r="AC163" s="38"/>
      <c r="AD163" s="68"/>
      <c r="AE163" s="68"/>
      <c r="AF163" s="68"/>
      <c r="AG163" s="68"/>
      <c r="AH163" s="68"/>
      <c r="AI163" s="38"/>
      <c r="AJ163" s="38"/>
      <c r="AK163" s="38"/>
      <c r="AL163" s="38"/>
      <c r="AM163" s="38"/>
      <c r="AN163" s="38"/>
      <c r="AO163" s="69"/>
      <c r="AP163" s="69"/>
      <c r="AQ163" s="69"/>
      <c r="AR163" s="69"/>
      <c r="AS163" s="68"/>
      <c r="AT163" s="66" t="e">
        <f>VLOOKUP(K163,[4]Planilha1!A$13:P$314,16,0)</f>
        <v>#N/A</v>
      </c>
    </row>
    <row r="164" spans="1:46" s="63" customFormat="1" x14ac:dyDescent="0.25">
      <c r="A164" s="82"/>
      <c r="B164" s="82"/>
      <c r="C164" s="64"/>
      <c r="D164" s="64"/>
      <c r="E164" s="64"/>
      <c r="F164" s="64"/>
      <c r="G164" s="64"/>
      <c r="H164" s="64"/>
      <c r="I164" s="64"/>
      <c r="J164" s="64"/>
      <c r="K164" s="64"/>
      <c r="L164" s="64"/>
      <c r="M164" s="64"/>
      <c r="N164" s="406"/>
      <c r="O164" s="64"/>
      <c r="P164" s="410"/>
      <c r="Q164" s="64"/>
      <c r="R164" s="401">
        <f t="shared" si="28"/>
        <v>0</v>
      </c>
      <c r="S164" s="401"/>
      <c r="T164" s="401"/>
      <c r="U164" s="64"/>
      <c r="V164" s="64"/>
      <c r="W164" s="413">
        <f t="shared" si="27"/>
        <v>0</v>
      </c>
      <c r="X164" s="403">
        <v>1</v>
      </c>
      <c r="Y164" s="403">
        <v>1</v>
      </c>
      <c r="Z164" s="403">
        <v>0</v>
      </c>
      <c r="AA164" s="38"/>
      <c r="AB164" s="409"/>
      <c r="AC164" s="38"/>
      <c r="AD164" s="68"/>
      <c r="AE164" s="68"/>
      <c r="AF164" s="68"/>
      <c r="AG164" s="68"/>
      <c r="AH164" s="68"/>
      <c r="AI164" s="38"/>
      <c r="AJ164" s="38"/>
      <c r="AK164" s="38"/>
      <c r="AL164" s="38"/>
      <c r="AM164" s="38"/>
      <c r="AN164" s="38"/>
      <c r="AO164" s="69"/>
      <c r="AP164" s="69"/>
      <c r="AQ164" s="69"/>
      <c r="AR164" s="69"/>
      <c r="AS164" s="68"/>
      <c r="AT164" s="66" t="e">
        <f>VLOOKUP(K164,[4]Planilha1!A$13:P$314,16,0)</f>
        <v>#N/A</v>
      </c>
    </row>
    <row r="165" spans="1:46" s="63" customFormat="1" x14ac:dyDescent="0.25">
      <c r="A165" s="82"/>
      <c r="B165" s="82"/>
      <c r="C165" s="64"/>
      <c r="D165" s="64"/>
      <c r="E165" s="64"/>
      <c r="F165" s="64"/>
      <c r="G165" s="64"/>
      <c r="H165" s="64"/>
      <c r="I165" s="64"/>
      <c r="J165" s="64"/>
      <c r="K165" s="64"/>
      <c r="L165" s="64"/>
      <c r="M165" s="64"/>
      <c r="N165" s="406"/>
      <c r="O165" s="64"/>
      <c r="P165" s="410"/>
      <c r="Q165" s="64"/>
      <c r="R165" s="401">
        <f t="shared" si="28"/>
        <v>0</v>
      </c>
      <c r="S165" s="401"/>
      <c r="T165" s="401"/>
      <c r="U165" s="64"/>
      <c r="V165" s="64"/>
      <c r="W165" s="413">
        <f t="shared" si="27"/>
        <v>0</v>
      </c>
      <c r="X165" s="403">
        <v>1</v>
      </c>
      <c r="Y165" s="403">
        <v>1</v>
      </c>
      <c r="Z165" s="403">
        <v>0</v>
      </c>
      <c r="AA165" s="38"/>
      <c r="AB165" s="409"/>
      <c r="AC165" s="38"/>
      <c r="AD165" s="68"/>
      <c r="AE165" s="68"/>
      <c r="AF165" s="68"/>
      <c r="AG165" s="68"/>
      <c r="AH165" s="68"/>
      <c r="AI165" s="38"/>
      <c r="AJ165" s="38"/>
      <c r="AK165" s="38"/>
      <c r="AL165" s="38"/>
      <c r="AM165" s="38"/>
      <c r="AN165" s="38"/>
      <c r="AO165" s="69"/>
      <c r="AP165" s="69"/>
      <c r="AQ165" s="69"/>
      <c r="AR165" s="69"/>
      <c r="AS165" s="68"/>
      <c r="AT165" s="66" t="e">
        <f>VLOOKUP(K165,[4]Planilha1!A$13:P$314,16,0)</f>
        <v>#N/A</v>
      </c>
    </row>
    <row r="166" spans="1:46" s="63" customFormat="1" x14ac:dyDescent="0.25">
      <c r="A166" s="82"/>
      <c r="B166" s="82"/>
      <c r="C166" s="64"/>
      <c r="D166" s="64"/>
      <c r="E166" s="64"/>
      <c r="F166" s="64"/>
      <c r="G166" s="64"/>
      <c r="H166" s="64"/>
      <c r="I166" s="64"/>
      <c r="J166" s="64"/>
      <c r="K166" s="64"/>
      <c r="L166" s="64"/>
      <c r="M166" s="64"/>
      <c r="N166" s="406"/>
      <c r="O166" s="64"/>
      <c r="P166" s="410"/>
      <c r="Q166" s="64"/>
      <c r="R166" s="401">
        <f t="shared" si="28"/>
        <v>0</v>
      </c>
      <c r="S166" s="401"/>
      <c r="T166" s="401"/>
      <c r="U166" s="64"/>
      <c r="V166" s="64"/>
      <c r="W166" s="413">
        <f t="shared" si="27"/>
        <v>0</v>
      </c>
      <c r="X166" s="403">
        <v>1</v>
      </c>
      <c r="Y166" s="403">
        <v>1</v>
      </c>
      <c r="Z166" s="403">
        <v>0</v>
      </c>
      <c r="AA166" s="38"/>
      <c r="AB166" s="409"/>
      <c r="AC166" s="38"/>
      <c r="AD166" s="68"/>
      <c r="AE166" s="68"/>
      <c r="AF166" s="68"/>
      <c r="AG166" s="68"/>
      <c r="AH166" s="68"/>
      <c r="AI166" s="38"/>
      <c r="AJ166" s="38"/>
      <c r="AK166" s="38"/>
      <c r="AL166" s="38"/>
      <c r="AM166" s="38"/>
      <c r="AN166" s="38"/>
      <c r="AO166" s="69"/>
      <c r="AP166" s="69"/>
      <c r="AQ166" s="69"/>
      <c r="AR166" s="69"/>
      <c r="AS166" s="68"/>
      <c r="AT166" s="66" t="e">
        <f>VLOOKUP(K166,[4]Planilha1!A$13:P$314,16,0)</f>
        <v>#N/A</v>
      </c>
    </row>
    <row r="167" spans="1:46" s="63" customFormat="1" x14ac:dyDescent="0.25">
      <c r="A167" s="82"/>
      <c r="B167" s="82"/>
      <c r="C167" s="64"/>
      <c r="D167" s="64"/>
      <c r="E167" s="64"/>
      <c r="F167" s="64"/>
      <c r="G167" s="64"/>
      <c r="H167" s="64"/>
      <c r="I167" s="64"/>
      <c r="J167" s="64"/>
      <c r="K167" s="64"/>
      <c r="L167" s="64"/>
      <c r="M167" s="64"/>
      <c r="N167" s="406"/>
      <c r="O167" s="64"/>
      <c r="P167" s="410"/>
      <c r="Q167" s="64"/>
      <c r="R167" s="401">
        <f t="shared" si="28"/>
        <v>0</v>
      </c>
      <c r="S167" s="401"/>
      <c r="T167" s="401"/>
      <c r="U167" s="64"/>
      <c r="V167" s="64"/>
      <c r="W167" s="413">
        <f t="shared" si="27"/>
        <v>0</v>
      </c>
      <c r="X167" s="403">
        <v>1</v>
      </c>
      <c r="Y167" s="403">
        <v>1</v>
      </c>
      <c r="Z167" s="403">
        <v>0</v>
      </c>
      <c r="AA167" s="38"/>
      <c r="AB167" s="409"/>
      <c r="AC167" s="38"/>
      <c r="AD167" s="68"/>
      <c r="AE167" s="68"/>
      <c r="AF167" s="68"/>
      <c r="AG167" s="68"/>
      <c r="AH167" s="68"/>
      <c r="AI167" s="38"/>
      <c r="AJ167" s="38"/>
      <c r="AK167" s="38"/>
      <c r="AL167" s="38"/>
      <c r="AM167" s="38"/>
      <c r="AN167" s="38"/>
      <c r="AO167" s="69"/>
      <c r="AP167" s="69"/>
      <c r="AQ167" s="69"/>
      <c r="AR167" s="69"/>
      <c r="AS167" s="68"/>
      <c r="AT167" s="66" t="e">
        <f>VLOOKUP(K167,[4]Planilha1!A$13:P$314,16,0)</f>
        <v>#N/A</v>
      </c>
    </row>
    <row r="168" spans="1:46" s="63" customFormat="1" x14ac:dyDescent="0.25">
      <c r="A168" s="82"/>
      <c r="B168" s="82"/>
      <c r="C168" s="64"/>
      <c r="D168" s="64"/>
      <c r="E168" s="64"/>
      <c r="F168" s="64"/>
      <c r="G168" s="64"/>
      <c r="H168" s="64"/>
      <c r="I168" s="64"/>
      <c r="J168" s="64"/>
      <c r="K168" s="64"/>
      <c r="L168" s="64"/>
      <c r="M168" s="64"/>
      <c r="N168" s="406"/>
      <c r="O168" s="64"/>
      <c r="P168" s="410"/>
      <c r="Q168" s="64"/>
      <c r="R168" s="401">
        <f t="shared" si="28"/>
        <v>0</v>
      </c>
      <c r="S168" s="401"/>
      <c r="T168" s="401"/>
      <c r="U168" s="64"/>
      <c r="V168" s="64"/>
      <c r="W168" s="413">
        <f t="shared" si="27"/>
        <v>0</v>
      </c>
      <c r="X168" s="403">
        <v>1</v>
      </c>
      <c r="Y168" s="403">
        <v>1</v>
      </c>
      <c r="Z168" s="403">
        <v>0</v>
      </c>
      <c r="AA168" s="38"/>
      <c r="AB168" s="409"/>
      <c r="AC168" s="38"/>
      <c r="AD168" s="68"/>
      <c r="AE168" s="68"/>
      <c r="AF168" s="68"/>
      <c r="AG168" s="68"/>
      <c r="AH168" s="68"/>
      <c r="AI168" s="38"/>
      <c r="AJ168" s="38"/>
      <c r="AK168" s="38"/>
      <c r="AL168" s="38"/>
      <c r="AM168" s="38"/>
      <c r="AN168" s="38"/>
      <c r="AO168" s="69"/>
      <c r="AP168" s="69"/>
      <c r="AQ168" s="69"/>
      <c r="AR168" s="69"/>
      <c r="AS168" s="68"/>
      <c r="AT168" s="66" t="e">
        <f>VLOOKUP(K168,[4]Planilha1!A$13:P$314,16,0)</f>
        <v>#N/A</v>
      </c>
    </row>
    <row r="169" spans="1:46" s="63" customFormat="1" x14ac:dyDescent="0.25">
      <c r="A169" s="82"/>
      <c r="B169" s="82"/>
      <c r="C169" s="64"/>
      <c r="D169" s="64"/>
      <c r="E169" s="64"/>
      <c r="F169" s="64"/>
      <c r="G169" s="64"/>
      <c r="H169" s="64"/>
      <c r="I169" s="64"/>
      <c r="J169" s="64"/>
      <c r="K169" s="64"/>
      <c r="L169" s="64"/>
      <c r="M169" s="64"/>
      <c r="N169" s="406"/>
      <c r="O169" s="64"/>
      <c r="P169" s="410"/>
      <c r="Q169" s="64"/>
      <c r="R169" s="401">
        <f t="shared" si="28"/>
        <v>0</v>
      </c>
      <c r="S169" s="401"/>
      <c r="T169" s="401"/>
      <c r="U169" s="64"/>
      <c r="V169" s="64"/>
      <c r="W169" s="413">
        <f t="shared" si="27"/>
        <v>0</v>
      </c>
      <c r="X169" s="403">
        <v>1</v>
      </c>
      <c r="Y169" s="403">
        <v>1</v>
      </c>
      <c r="Z169" s="403">
        <v>0</v>
      </c>
      <c r="AA169" s="38"/>
      <c r="AB169" s="409"/>
      <c r="AC169" s="38"/>
      <c r="AD169" s="68"/>
      <c r="AE169" s="68"/>
      <c r="AF169" s="68"/>
      <c r="AG169" s="68"/>
      <c r="AH169" s="68"/>
      <c r="AI169" s="38"/>
      <c r="AJ169" s="38"/>
      <c r="AK169" s="38"/>
      <c r="AL169" s="38"/>
      <c r="AM169" s="38"/>
      <c r="AN169" s="38"/>
      <c r="AO169" s="69"/>
      <c r="AP169" s="69"/>
      <c r="AQ169" s="69"/>
      <c r="AR169" s="69"/>
      <c r="AS169" s="68"/>
      <c r="AT169" s="66" t="e">
        <f>VLOOKUP(K169,[4]Planilha1!A$13:P$314,16,0)</f>
        <v>#N/A</v>
      </c>
    </row>
    <row r="170" spans="1:46" s="63" customFormat="1" x14ac:dyDescent="0.25">
      <c r="A170" s="82"/>
      <c r="B170" s="82"/>
      <c r="C170" s="64"/>
      <c r="D170" s="64"/>
      <c r="E170" s="64"/>
      <c r="F170" s="64"/>
      <c r="G170" s="64"/>
      <c r="H170" s="64"/>
      <c r="I170" s="64"/>
      <c r="J170" s="64"/>
      <c r="K170" s="64"/>
      <c r="L170" s="64"/>
      <c r="M170" s="64"/>
      <c r="N170" s="406"/>
      <c r="O170" s="64"/>
      <c r="P170" s="410"/>
      <c r="Q170" s="64"/>
      <c r="R170" s="401">
        <f t="shared" si="28"/>
        <v>0</v>
      </c>
      <c r="S170" s="401"/>
      <c r="T170" s="401"/>
      <c r="U170" s="64"/>
      <c r="V170" s="64"/>
      <c r="W170" s="413">
        <f t="shared" si="27"/>
        <v>0</v>
      </c>
      <c r="X170" s="403">
        <v>1</v>
      </c>
      <c r="Y170" s="403">
        <v>1</v>
      </c>
      <c r="Z170" s="403">
        <v>0</v>
      </c>
      <c r="AA170" s="38"/>
      <c r="AB170" s="409"/>
      <c r="AC170" s="38"/>
      <c r="AD170" s="68"/>
      <c r="AE170" s="68"/>
      <c r="AF170" s="68"/>
      <c r="AG170" s="68"/>
      <c r="AH170" s="68"/>
      <c r="AI170" s="38"/>
      <c r="AJ170" s="38"/>
      <c r="AK170" s="38"/>
      <c r="AL170" s="38"/>
      <c r="AM170" s="38"/>
      <c r="AN170" s="38"/>
      <c r="AO170" s="69"/>
      <c r="AP170" s="69"/>
      <c r="AQ170" s="69"/>
      <c r="AR170" s="69"/>
      <c r="AS170" s="68"/>
      <c r="AT170" s="66" t="e">
        <f>VLOOKUP(K170,[4]Planilha1!A$13:P$314,16,0)</f>
        <v>#N/A</v>
      </c>
    </row>
    <row r="171" spans="1:46" s="63" customFormat="1" x14ac:dyDescent="0.25">
      <c r="A171" s="82"/>
      <c r="B171" s="82"/>
      <c r="C171" s="64"/>
      <c r="D171" s="64"/>
      <c r="E171" s="64"/>
      <c r="F171" s="64"/>
      <c r="G171" s="64"/>
      <c r="H171" s="64"/>
      <c r="I171" s="64"/>
      <c r="J171" s="64"/>
      <c r="K171" s="64"/>
      <c r="L171" s="64"/>
      <c r="M171" s="64"/>
      <c r="N171" s="406"/>
      <c r="O171" s="64"/>
      <c r="P171" s="410"/>
      <c r="Q171" s="64"/>
      <c r="R171" s="401">
        <f t="shared" si="28"/>
        <v>0</v>
      </c>
      <c r="S171" s="401"/>
      <c r="T171" s="401"/>
      <c r="U171" s="64"/>
      <c r="V171" s="64"/>
      <c r="W171" s="413">
        <f t="shared" si="27"/>
        <v>0</v>
      </c>
      <c r="X171" s="403">
        <v>1</v>
      </c>
      <c r="Y171" s="403">
        <v>1</v>
      </c>
      <c r="Z171" s="403">
        <v>0</v>
      </c>
      <c r="AA171" s="38"/>
      <c r="AB171" s="409"/>
      <c r="AC171" s="38"/>
      <c r="AD171" s="68"/>
      <c r="AE171" s="68"/>
      <c r="AF171" s="68"/>
      <c r="AG171" s="68"/>
      <c r="AH171" s="68"/>
      <c r="AI171" s="38"/>
      <c r="AJ171" s="38"/>
      <c r="AK171" s="38"/>
      <c r="AL171" s="38"/>
      <c r="AM171" s="38"/>
      <c r="AN171" s="38"/>
      <c r="AO171" s="69"/>
      <c r="AP171" s="69"/>
      <c r="AQ171" s="69"/>
      <c r="AR171" s="69"/>
      <c r="AS171" s="68"/>
      <c r="AT171" s="66" t="e">
        <f>VLOOKUP(K171,[4]Planilha1!A$13:P$314,16,0)</f>
        <v>#N/A</v>
      </c>
    </row>
    <row r="172" spans="1:46" s="63" customFormat="1" x14ac:dyDescent="0.25">
      <c r="A172" s="82"/>
      <c r="B172" s="82"/>
      <c r="C172" s="64"/>
      <c r="D172" s="64"/>
      <c r="E172" s="64"/>
      <c r="F172" s="64"/>
      <c r="G172" s="64"/>
      <c r="H172" s="64"/>
      <c r="I172" s="64"/>
      <c r="J172" s="64"/>
      <c r="K172" s="64"/>
      <c r="L172" s="64"/>
      <c r="M172" s="64"/>
      <c r="N172" s="406"/>
      <c r="O172" s="64"/>
      <c r="P172" s="410"/>
      <c r="Q172" s="64"/>
      <c r="R172" s="401">
        <f t="shared" si="28"/>
        <v>0</v>
      </c>
      <c r="S172" s="401"/>
      <c r="T172" s="401"/>
      <c r="U172" s="64"/>
      <c r="V172" s="64"/>
      <c r="W172" s="413">
        <f t="shared" si="27"/>
        <v>0</v>
      </c>
      <c r="X172" s="403">
        <v>1</v>
      </c>
      <c r="Y172" s="403">
        <v>1</v>
      </c>
      <c r="Z172" s="403">
        <v>0</v>
      </c>
      <c r="AA172" s="38"/>
      <c r="AB172" s="409"/>
      <c r="AC172" s="38"/>
      <c r="AD172" s="68"/>
      <c r="AE172" s="68"/>
      <c r="AF172" s="68"/>
      <c r="AG172" s="68"/>
      <c r="AH172" s="68"/>
      <c r="AI172" s="38"/>
      <c r="AJ172" s="38"/>
      <c r="AK172" s="38"/>
      <c r="AL172" s="38"/>
      <c r="AM172" s="38"/>
      <c r="AN172" s="38"/>
      <c r="AO172" s="69"/>
      <c r="AP172" s="69"/>
      <c r="AQ172" s="69"/>
      <c r="AR172" s="69"/>
      <c r="AS172" s="68"/>
      <c r="AT172" s="66" t="e">
        <f>VLOOKUP(K172,[4]Planilha1!A$13:P$314,16,0)</f>
        <v>#N/A</v>
      </c>
    </row>
    <row r="173" spans="1:46" s="63" customFormat="1" x14ac:dyDescent="0.25">
      <c r="A173" s="82"/>
      <c r="B173" s="82"/>
      <c r="C173" s="64"/>
      <c r="D173" s="64"/>
      <c r="E173" s="64"/>
      <c r="F173" s="64"/>
      <c r="G173" s="64"/>
      <c r="H173" s="64"/>
      <c r="I173" s="64"/>
      <c r="J173" s="64"/>
      <c r="K173" s="64"/>
      <c r="L173" s="64"/>
      <c r="M173" s="64"/>
      <c r="N173" s="406"/>
      <c r="O173" s="64"/>
      <c r="P173" s="410"/>
      <c r="Q173" s="64"/>
      <c r="R173" s="401">
        <f t="shared" si="28"/>
        <v>0</v>
      </c>
      <c r="S173" s="401"/>
      <c r="T173" s="401"/>
      <c r="U173" s="64"/>
      <c r="V173" s="64"/>
      <c r="W173" s="413">
        <f t="shared" si="27"/>
        <v>0</v>
      </c>
      <c r="X173" s="403">
        <v>1</v>
      </c>
      <c r="Y173" s="403">
        <v>1</v>
      </c>
      <c r="Z173" s="403">
        <v>0</v>
      </c>
      <c r="AA173" s="38"/>
      <c r="AB173" s="409"/>
      <c r="AC173" s="38"/>
      <c r="AD173" s="68"/>
      <c r="AE173" s="68"/>
      <c r="AF173" s="68"/>
      <c r="AG173" s="68"/>
      <c r="AH173" s="68"/>
      <c r="AI173" s="38"/>
      <c r="AJ173" s="38"/>
      <c r="AK173" s="38"/>
      <c r="AL173" s="38"/>
      <c r="AM173" s="38"/>
      <c r="AN173" s="38"/>
      <c r="AO173" s="69"/>
      <c r="AP173" s="69"/>
      <c r="AQ173" s="69"/>
      <c r="AR173" s="69"/>
      <c r="AS173" s="68"/>
      <c r="AT173" s="66" t="e">
        <f>VLOOKUP(K173,[4]Planilha1!A$13:P$314,16,0)</f>
        <v>#N/A</v>
      </c>
    </row>
    <row r="174" spans="1:46" s="63" customFormat="1" x14ac:dyDescent="0.25">
      <c r="A174" s="82"/>
      <c r="B174" s="82"/>
      <c r="C174" s="64"/>
      <c r="D174" s="64"/>
      <c r="E174" s="64"/>
      <c r="F174" s="64"/>
      <c r="G174" s="64"/>
      <c r="H174" s="64"/>
      <c r="I174" s="64"/>
      <c r="J174" s="64"/>
      <c r="K174" s="64"/>
      <c r="L174" s="64"/>
      <c r="M174" s="64"/>
      <c r="N174" s="406"/>
      <c r="O174" s="64"/>
      <c r="P174" s="410"/>
      <c r="Q174" s="64"/>
      <c r="R174" s="401">
        <f t="shared" si="28"/>
        <v>0</v>
      </c>
      <c r="S174" s="401"/>
      <c r="T174" s="401"/>
      <c r="U174" s="64"/>
      <c r="V174" s="64"/>
      <c r="W174" s="413">
        <f t="shared" si="27"/>
        <v>0</v>
      </c>
      <c r="X174" s="403">
        <v>1</v>
      </c>
      <c r="Y174" s="403">
        <v>1</v>
      </c>
      <c r="Z174" s="403">
        <v>0</v>
      </c>
      <c r="AA174" s="38"/>
      <c r="AB174" s="409"/>
      <c r="AC174" s="38"/>
      <c r="AD174" s="68"/>
      <c r="AE174" s="68"/>
      <c r="AF174" s="68"/>
      <c r="AG174" s="68"/>
      <c r="AH174" s="68"/>
      <c r="AI174" s="38"/>
      <c r="AJ174" s="38"/>
      <c r="AK174" s="38"/>
      <c r="AL174" s="38"/>
      <c r="AM174" s="38"/>
      <c r="AN174" s="38"/>
      <c r="AO174" s="69"/>
      <c r="AP174" s="69"/>
      <c r="AQ174" s="69"/>
      <c r="AR174" s="69"/>
      <c r="AS174" s="68"/>
      <c r="AT174" s="66" t="e">
        <f>VLOOKUP(K174,[4]Planilha1!A$13:P$314,16,0)</f>
        <v>#N/A</v>
      </c>
    </row>
    <row r="175" spans="1:46" s="63" customFormat="1" x14ac:dyDescent="0.25">
      <c r="A175" s="82"/>
      <c r="B175" s="82"/>
      <c r="C175" s="64"/>
      <c r="D175" s="64"/>
      <c r="E175" s="64"/>
      <c r="F175" s="64"/>
      <c r="G175" s="64"/>
      <c r="H175" s="64"/>
      <c r="I175" s="64"/>
      <c r="J175" s="64"/>
      <c r="K175" s="64"/>
      <c r="L175" s="64"/>
      <c r="M175" s="64"/>
      <c r="N175" s="406"/>
      <c r="O175" s="64"/>
      <c r="P175" s="410"/>
      <c r="Q175" s="64"/>
      <c r="R175" s="401">
        <f t="shared" si="28"/>
        <v>0</v>
      </c>
      <c r="S175" s="401"/>
      <c r="T175" s="401"/>
      <c r="U175" s="64"/>
      <c r="V175" s="64"/>
      <c r="W175" s="413">
        <f t="shared" si="27"/>
        <v>0</v>
      </c>
      <c r="X175" s="403">
        <v>1</v>
      </c>
      <c r="Y175" s="403">
        <v>1</v>
      </c>
      <c r="Z175" s="403">
        <v>0</v>
      </c>
      <c r="AA175" s="38"/>
      <c r="AB175" s="409"/>
      <c r="AC175" s="38"/>
      <c r="AD175" s="68"/>
      <c r="AE175" s="68"/>
      <c r="AF175" s="68"/>
      <c r="AG175" s="68"/>
      <c r="AH175" s="68"/>
      <c r="AI175" s="38"/>
      <c r="AJ175" s="38"/>
      <c r="AK175" s="38"/>
      <c r="AL175" s="38"/>
      <c r="AM175" s="38"/>
      <c r="AN175" s="38"/>
      <c r="AO175" s="69"/>
      <c r="AP175" s="69"/>
      <c r="AQ175" s="69"/>
      <c r="AR175" s="69"/>
      <c r="AS175" s="68"/>
      <c r="AT175" s="66" t="e">
        <f>VLOOKUP(K175,[4]Planilha1!A$13:P$314,16,0)</f>
        <v>#N/A</v>
      </c>
    </row>
    <row r="176" spans="1:46" s="63" customFormat="1" x14ac:dyDescent="0.25">
      <c r="A176" s="82"/>
      <c r="B176" s="82"/>
      <c r="C176" s="64"/>
      <c r="D176" s="64"/>
      <c r="E176" s="64"/>
      <c r="F176" s="64"/>
      <c r="G176" s="64"/>
      <c r="H176" s="64"/>
      <c r="I176" s="64"/>
      <c r="J176" s="64"/>
      <c r="K176" s="64"/>
      <c r="L176" s="64"/>
      <c r="M176" s="64"/>
      <c r="N176" s="406"/>
      <c r="O176" s="64"/>
      <c r="P176" s="410"/>
      <c r="Q176" s="64"/>
      <c r="R176" s="401">
        <f t="shared" si="28"/>
        <v>0</v>
      </c>
      <c r="S176" s="401"/>
      <c r="T176" s="401"/>
      <c r="U176" s="64"/>
      <c r="V176" s="64"/>
      <c r="W176" s="413">
        <f t="shared" si="27"/>
        <v>0</v>
      </c>
      <c r="X176" s="403">
        <v>1</v>
      </c>
      <c r="Y176" s="403">
        <v>1</v>
      </c>
      <c r="Z176" s="403">
        <v>0</v>
      </c>
      <c r="AA176" s="38"/>
      <c r="AB176" s="409"/>
      <c r="AC176" s="38"/>
      <c r="AD176" s="68"/>
      <c r="AE176" s="68"/>
      <c r="AF176" s="68"/>
      <c r="AG176" s="68"/>
      <c r="AH176" s="68"/>
      <c r="AI176" s="38"/>
      <c r="AJ176" s="38"/>
      <c r="AK176" s="38"/>
      <c r="AL176" s="38"/>
      <c r="AM176" s="38"/>
      <c r="AN176" s="38"/>
      <c r="AO176" s="69"/>
      <c r="AP176" s="69"/>
      <c r="AQ176" s="69"/>
      <c r="AR176" s="69"/>
      <c r="AS176" s="68"/>
      <c r="AT176" s="66" t="e">
        <f>VLOOKUP(K176,[4]Planilha1!A$13:P$314,16,0)</f>
        <v>#N/A</v>
      </c>
    </row>
    <row r="177" spans="1:46" s="63" customFormat="1" x14ac:dyDescent="0.25">
      <c r="A177" s="82"/>
      <c r="B177" s="82"/>
      <c r="C177" s="64"/>
      <c r="D177" s="64"/>
      <c r="E177" s="64"/>
      <c r="F177" s="64"/>
      <c r="G177" s="64"/>
      <c r="H177" s="64"/>
      <c r="I177" s="64"/>
      <c r="J177" s="64"/>
      <c r="K177" s="64"/>
      <c r="L177" s="64"/>
      <c r="M177" s="64"/>
      <c r="N177" s="406"/>
      <c r="O177" s="64"/>
      <c r="P177" s="410"/>
      <c r="Q177" s="64"/>
      <c r="R177" s="401">
        <f t="shared" si="28"/>
        <v>0</v>
      </c>
      <c r="S177" s="401"/>
      <c r="T177" s="401"/>
      <c r="U177" s="64"/>
      <c r="V177" s="64"/>
      <c r="W177" s="413">
        <f t="shared" si="27"/>
        <v>0</v>
      </c>
      <c r="X177" s="403">
        <v>1</v>
      </c>
      <c r="Y177" s="403">
        <v>1</v>
      </c>
      <c r="Z177" s="403">
        <v>0</v>
      </c>
      <c r="AA177" s="38"/>
      <c r="AB177" s="409"/>
      <c r="AC177" s="38"/>
      <c r="AD177" s="68"/>
      <c r="AE177" s="68"/>
      <c r="AF177" s="68"/>
      <c r="AG177" s="68"/>
      <c r="AH177" s="68"/>
      <c r="AI177" s="38"/>
      <c r="AJ177" s="38"/>
      <c r="AK177" s="38"/>
      <c r="AL177" s="38"/>
      <c r="AM177" s="38"/>
      <c r="AN177" s="38"/>
      <c r="AO177" s="69"/>
      <c r="AP177" s="69"/>
      <c r="AQ177" s="69"/>
      <c r="AR177" s="69"/>
      <c r="AS177" s="68"/>
      <c r="AT177" s="66" t="e">
        <f>VLOOKUP(K177,[4]Planilha1!A$13:P$314,16,0)</f>
        <v>#N/A</v>
      </c>
    </row>
    <row r="178" spans="1:46" s="63" customFormat="1" x14ac:dyDescent="0.25">
      <c r="A178" s="82"/>
      <c r="B178" s="82"/>
      <c r="C178" s="64"/>
      <c r="D178" s="64"/>
      <c r="E178" s="64"/>
      <c r="F178" s="64"/>
      <c r="G178" s="64"/>
      <c r="H178" s="64"/>
      <c r="I178" s="64"/>
      <c r="J178" s="64"/>
      <c r="K178" s="64"/>
      <c r="L178" s="64"/>
      <c r="M178" s="64"/>
      <c r="N178" s="406"/>
      <c r="O178" s="64"/>
      <c r="P178" s="410"/>
      <c r="Q178" s="64"/>
      <c r="R178" s="401">
        <f t="shared" si="28"/>
        <v>0</v>
      </c>
      <c r="S178" s="401"/>
      <c r="T178" s="401"/>
      <c r="U178" s="64"/>
      <c r="V178" s="64"/>
      <c r="W178" s="413">
        <f t="shared" si="27"/>
        <v>0</v>
      </c>
      <c r="X178" s="403">
        <v>1</v>
      </c>
      <c r="Y178" s="403">
        <v>1</v>
      </c>
      <c r="Z178" s="403">
        <v>0</v>
      </c>
      <c r="AA178" s="38"/>
      <c r="AB178" s="409"/>
      <c r="AC178" s="38"/>
      <c r="AD178" s="68"/>
      <c r="AE178" s="68"/>
      <c r="AF178" s="68"/>
      <c r="AG178" s="68"/>
      <c r="AH178" s="68"/>
      <c r="AI178" s="38"/>
      <c r="AJ178" s="38"/>
      <c r="AK178" s="38"/>
      <c r="AL178" s="38"/>
      <c r="AM178" s="38"/>
      <c r="AN178" s="38"/>
      <c r="AO178" s="69"/>
      <c r="AP178" s="69"/>
      <c r="AQ178" s="69"/>
      <c r="AR178" s="69"/>
      <c r="AS178" s="68"/>
      <c r="AT178" s="66" t="e">
        <f>VLOOKUP(K178,[4]Planilha1!A$13:P$314,16,0)</f>
        <v>#N/A</v>
      </c>
    </row>
    <row r="179" spans="1:46" s="63" customFormat="1" x14ac:dyDescent="0.25">
      <c r="A179" s="82"/>
      <c r="B179" s="82"/>
      <c r="C179" s="64"/>
      <c r="D179" s="64"/>
      <c r="E179" s="64"/>
      <c r="F179" s="64"/>
      <c r="G179" s="64"/>
      <c r="H179" s="64"/>
      <c r="I179" s="64"/>
      <c r="J179" s="64"/>
      <c r="K179" s="64"/>
      <c r="L179" s="64"/>
      <c r="M179" s="64"/>
      <c r="N179" s="406"/>
      <c r="O179" s="64"/>
      <c r="P179" s="410"/>
      <c r="Q179" s="64"/>
      <c r="R179" s="401">
        <f t="shared" si="28"/>
        <v>0</v>
      </c>
      <c r="S179" s="401"/>
      <c r="T179" s="401"/>
      <c r="U179" s="64"/>
      <c r="V179" s="64"/>
      <c r="W179" s="413">
        <f t="shared" si="27"/>
        <v>0</v>
      </c>
      <c r="X179" s="403">
        <v>1</v>
      </c>
      <c r="Y179" s="403">
        <v>1</v>
      </c>
      <c r="Z179" s="403">
        <v>0</v>
      </c>
      <c r="AA179" s="38"/>
      <c r="AB179" s="409"/>
      <c r="AC179" s="38"/>
      <c r="AD179" s="68"/>
      <c r="AE179" s="68"/>
      <c r="AF179" s="68"/>
      <c r="AG179" s="68"/>
      <c r="AH179" s="68"/>
      <c r="AI179" s="38"/>
      <c r="AJ179" s="38"/>
      <c r="AK179" s="38"/>
      <c r="AL179" s="38"/>
      <c r="AM179" s="38"/>
      <c r="AN179" s="38"/>
      <c r="AO179" s="69"/>
      <c r="AP179" s="69"/>
      <c r="AQ179" s="69"/>
      <c r="AR179" s="69"/>
      <c r="AS179" s="68"/>
      <c r="AT179" s="66" t="e">
        <f>VLOOKUP(K179,[4]Planilha1!A$13:P$314,16,0)</f>
        <v>#N/A</v>
      </c>
    </row>
    <row r="180" spans="1:46" s="63" customFormat="1" x14ac:dyDescent="0.25">
      <c r="A180" s="82"/>
      <c r="B180" s="82"/>
      <c r="C180" s="64"/>
      <c r="D180" s="64"/>
      <c r="E180" s="64"/>
      <c r="F180" s="64"/>
      <c r="G180" s="64"/>
      <c r="H180" s="64"/>
      <c r="I180" s="64"/>
      <c r="J180" s="64"/>
      <c r="K180" s="64"/>
      <c r="L180" s="64"/>
      <c r="M180" s="64"/>
      <c r="N180" s="406"/>
      <c r="O180" s="64"/>
      <c r="P180" s="410"/>
      <c r="Q180" s="64"/>
      <c r="R180" s="401">
        <f t="shared" si="28"/>
        <v>0</v>
      </c>
      <c r="S180" s="401"/>
      <c r="T180" s="401"/>
      <c r="U180" s="64"/>
      <c r="V180" s="64"/>
      <c r="W180" s="413">
        <f t="shared" si="27"/>
        <v>0</v>
      </c>
      <c r="X180" s="403">
        <v>1</v>
      </c>
      <c r="Y180" s="403">
        <v>1</v>
      </c>
      <c r="Z180" s="403">
        <v>0</v>
      </c>
      <c r="AA180" s="38"/>
      <c r="AB180" s="409"/>
      <c r="AC180" s="38"/>
      <c r="AD180" s="68"/>
      <c r="AE180" s="68"/>
      <c r="AF180" s="68"/>
      <c r="AG180" s="68"/>
      <c r="AH180" s="68"/>
      <c r="AI180" s="38"/>
      <c r="AJ180" s="38"/>
      <c r="AK180" s="38"/>
      <c r="AL180" s="38"/>
      <c r="AM180" s="38"/>
      <c r="AN180" s="38"/>
      <c r="AO180" s="69"/>
      <c r="AP180" s="69"/>
      <c r="AQ180" s="69"/>
      <c r="AR180" s="69"/>
      <c r="AS180" s="68"/>
      <c r="AT180" s="66" t="e">
        <f>VLOOKUP(K180,[4]Planilha1!A$13:P$314,16,0)</f>
        <v>#N/A</v>
      </c>
    </row>
    <row r="181" spans="1:46" s="63" customFormat="1" x14ac:dyDescent="0.25">
      <c r="A181" s="82"/>
      <c r="B181" s="82"/>
      <c r="C181" s="64"/>
      <c r="D181" s="64"/>
      <c r="E181" s="64"/>
      <c r="F181" s="64"/>
      <c r="G181" s="64"/>
      <c r="H181" s="64"/>
      <c r="I181" s="64"/>
      <c r="J181" s="64"/>
      <c r="K181" s="64"/>
      <c r="L181" s="64"/>
      <c r="M181" s="64"/>
      <c r="N181" s="406"/>
      <c r="O181" s="64"/>
      <c r="P181" s="410"/>
      <c r="Q181" s="64"/>
      <c r="R181" s="401">
        <f t="shared" si="28"/>
        <v>0</v>
      </c>
      <c r="S181" s="401"/>
      <c r="T181" s="401"/>
      <c r="U181" s="64"/>
      <c r="V181" s="64"/>
      <c r="W181" s="413">
        <f t="shared" si="27"/>
        <v>0</v>
      </c>
      <c r="X181" s="403">
        <v>1</v>
      </c>
      <c r="Y181" s="403">
        <v>1</v>
      </c>
      <c r="Z181" s="403">
        <v>0</v>
      </c>
      <c r="AA181" s="38"/>
      <c r="AB181" s="409"/>
      <c r="AC181" s="38"/>
      <c r="AD181" s="68"/>
      <c r="AE181" s="68"/>
      <c r="AF181" s="68"/>
      <c r="AG181" s="68"/>
      <c r="AH181" s="68"/>
      <c r="AI181" s="38"/>
      <c r="AJ181" s="38"/>
      <c r="AK181" s="38"/>
      <c r="AL181" s="38"/>
      <c r="AM181" s="38"/>
      <c r="AN181" s="38"/>
      <c r="AO181" s="69"/>
      <c r="AP181" s="69"/>
      <c r="AQ181" s="69"/>
      <c r="AR181" s="69"/>
      <c r="AS181" s="68"/>
      <c r="AT181" s="66" t="e">
        <f>VLOOKUP(K181,[4]Planilha1!A$13:P$314,16,0)</f>
        <v>#N/A</v>
      </c>
    </row>
    <row r="182" spans="1:46" s="63" customFormat="1" x14ac:dyDescent="0.25">
      <c r="A182" s="82"/>
      <c r="B182" s="82"/>
      <c r="C182" s="64"/>
      <c r="D182" s="64"/>
      <c r="E182" s="64"/>
      <c r="F182" s="64"/>
      <c r="G182" s="64"/>
      <c r="H182" s="64"/>
      <c r="I182" s="64"/>
      <c r="J182" s="64"/>
      <c r="K182" s="64"/>
      <c r="L182" s="64"/>
      <c r="M182" s="64"/>
      <c r="N182" s="406"/>
      <c r="O182" s="64"/>
      <c r="P182" s="410"/>
      <c r="Q182" s="64"/>
      <c r="R182" s="401">
        <f t="shared" si="28"/>
        <v>0</v>
      </c>
      <c r="S182" s="401"/>
      <c r="T182" s="401"/>
      <c r="U182" s="64"/>
      <c r="V182" s="64"/>
      <c r="W182" s="413">
        <f t="shared" si="27"/>
        <v>0</v>
      </c>
      <c r="X182" s="403">
        <v>1</v>
      </c>
      <c r="Y182" s="403">
        <v>1</v>
      </c>
      <c r="Z182" s="403">
        <v>0</v>
      </c>
      <c r="AA182" s="38"/>
      <c r="AB182" s="409"/>
      <c r="AC182" s="38"/>
      <c r="AD182" s="68"/>
      <c r="AE182" s="68"/>
      <c r="AF182" s="68"/>
      <c r="AG182" s="68"/>
      <c r="AH182" s="68"/>
      <c r="AI182" s="38"/>
      <c r="AJ182" s="38"/>
      <c r="AK182" s="38"/>
      <c r="AL182" s="38"/>
      <c r="AM182" s="38"/>
      <c r="AN182" s="38"/>
      <c r="AO182" s="69"/>
      <c r="AP182" s="69"/>
      <c r="AQ182" s="69"/>
      <c r="AR182" s="69"/>
      <c r="AS182" s="68"/>
      <c r="AT182" s="66" t="e">
        <f>VLOOKUP(K182,[4]Planilha1!A$13:P$314,16,0)</f>
        <v>#N/A</v>
      </c>
    </row>
    <row r="183" spans="1:46" s="63" customFormat="1" x14ac:dyDescent="0.25">
      <c r="A183" s="82"/>
      <c r="B183" s="82"/>
      <c r="C183" s="64"/>
      <c r="D183" s="64"/>
      <c r="E183" s="64"/>
      <c r="F183" s="64"/>
      <c r="G183" s="64"/>
      <c r="H183" s="64"/>
      <c r="I183" s="64"/>
      <c r="J183" s="64"/>
      <c r="K183" s="64"/>
      <c r="L183" s="64"/>
      <c r="M183" s="64"/>
      <c r="N183" s="406"/>
      <c r="O183" s="64"/>
      <c r="P183" s="410"/>
      <c r="Q183" s="64"/>
      <c r="R183" s="401">
        <f t="shared" si="28"/>
        <v>0</v>
      </c>
      <c r="S183" s="401"/>
      <c r="T183" s="401"/>
      <c r="U183" s="64"/>
      <c r="V183" s="64"/>
      <c r="W183" s="413">
        <f t="shared" si="27"/>
        <v>0</v>
      </c>
      <c r="X183" s="403">
        <v>1</v>
      </c>
      <c r="Y183" s="403">
        <v>1</v>
      </c>
      <c r="Z183" s="403">
        <v>0</v>
      </c>
      <c r="AA183" s="38"/>
      <c r="AB183" s="409"/>
      <c r="AC183" s="38"/>
      <c r="AD183" s="68"/>
      <c r="AE183" s="68"/>
      <c r="AF183" s="68"/>
      <c r="AG183" s="68"/>
      <c r="AH183" s="68"/>
      <c r="AI183" s="38"/>
      <c r="AJ183" s="38"/>
      <c r="AK183" s="38"/>
      <c r="AL183" s="38"/>
      <c r="AM183" s="38"/>
      <c r="AN183" s="38"/>
      <c r="AO183" s="69"/>
      <c r="AP183" s="69"/>
      <c r="AQ183" s="69"/>
      <c r="AR183" s="69"/>
      <c r="AS183" s="68"/>
      <c r="AT183" s="66" t="e">
        <f>VLOOKUP(K183,[4]Planilha1!A$13:P$314,16,0)</f>
        <v>#N/A</v>
      </c>
    </row>
    <row r="184" spans="1:46" s="63" customFormat="1" x14ac:dyDescent="0.25">
      <c r="A184" s="82"/>
      <c r="B184" s="82"/>
      <c r="C184" s="64"/>
      <c r="D184" s="64"/>
      <c r="E184" s="64"/>
      <c r="F184" s="64"/>
      <c r="G184" s="64"/>
      <c r="H184" s="64"/>
      <c r="I184" s="64"/>
      <c r="J184" s="64"/>
      <c r="K184" s="64"/>
      <c r="L184" s="64"/>
      <c r="M184" s="64"/>
      <c r="N184" s="406"/>
      <c r="O184" s="64"/>
      <c r="P184" s="410"/>
      <c r="Q184" s="64"/>
      <c r="R184" s="401">
        <f t="shared" si="28"/>
        <v>0</v>
      </c>
      <c r="S184" s="401"/>
      <c r="T184" s="401"/>
      <c r="U184" s="64"/>
      <c r="V184" s="64"/>
      <c r="W184" s="413">
        <f t="shared" si="27"/>
        <v>0</v>
      </c>
      <c r="X184" s="403">
        <v>1</v>
      </c>
      <c r="Y184" s="403">
        <v>1</v>
      </c>
      <c r="Z184" s="403">
        <v>0</v>
      </c>
      <c r="AA184" s="38"/>
      <c r="AB184" s="409"/>
      <c r="AC184" s="38"/>
      <c r="AD184" s="68"/>
      <c r="AE184" s="68"/>
      <c r="AF184" s="68"/>
      <c r="AG184" s="68"/>
      <c r="AH184" s="68"/>
      <c r="AI184" s="38"/>
      <c r="AJ184" s="38"/>
      <c r="AK184" s="38"/>
      <c r="AL184" s="38"/>
      <c r="AM184" s="38"/>
      <c r="AN184" s="38"/>
      <c r="AO184" s="69"/>
      <c r="AP184" s="69"/>
      <c r="AQ184" s="69"/>
      <c r="AR184" s="69"/>
      <c r="AS184" s="68"/>
      <c r="AT184" s="66" t="e">
        <f>VLOOKUP(K184,[4]Planilha1!A$13:P$314,16,0)</f>
        <v>#N/A</v>
      </c>
    </row>
    <row r="185" spans="1:46" s="63" customFormat="1" x14ac:dyDescent="0.25">
      <c r="A185" s="82"/>
      <c r="B185" s="82"/>
      <c r="C185" s="64"/>
      <c r="D185" s="64"/>
      <c r="E185" s="64"/>
      <c r="F185" s="64"/>
      <c r="G185" s="64"/>
      <c r="H185" s="64"/>
      <c r="I185" s="64"/>
      <c r="J185" s="64"/>
      <c r="K185" s="64"/>
      <c r="L185" s="64"/>
      <c r="M185" s="64"/>
      <c r="N185" s="406"/>
      <c r="O185" s="64"/>
      <c r="P185" s="410"/>
      <c r="Q185" s="64"/>
      <c r="R185" s="401">
        <f t="shared" si="28"/>
        <v>0</v>
      </c>
      <c r="S185" s="401"/>
      <c r="T185" s="401"/>
      <c r="U185" s="64"/>
      <c r="V185" s="64"/>
      <c r="W185" s="413">
        <f t="shared" si="27"/>
        <v>0</v>
      </c>
      <c r="X185" s="403">
        <v>1</v>
      </c>
      <c r="Y185" s="403">
        <v>1</v>
      </c>
      <c r="Z185" s="403">
        <v>0</v>
      </c>
      <c r="AA185" s="38"/>
      <c r="AB185" s="409"/>
      <c r="AC185" s="38"/>
      <c r="AD185" s="68"/>
      <c r="AE185" s="68"/>
      <c r="AF185" s="68"/>
      <c r="AG185" s="68"/>
      <c r="AH185" s="68"/>
      <c r="AI185" s="38"/>
      <c r="AJ185" s="38"/>
      <c r="AK185" s="38"/>
      <c r="AL185" s="38"/>
      <c r="AM185" s="38"/>
      <c r="AN185" s="38"/>
      <c r="AO185" s="69"/>
      <c r="AP185" s="69"/>
      <c r="AQ185" s="69"/>
      <c r="AR185" s="69"/>
      <c r="AS185" s="68"/>
      <c r="AT185" s="66" t="e">
        <f>VLOOKUP(K185,[4]Planilha1!A$13:P$314,16,0)</f>
        <v>#N/A</v>
      </c>
    </row>
    <row r="186" spans="1:46" s="63" customFormat="1" x14ac:dyDescent="0.25">
      <c r="A186" s="82"/>
      <c r="B186" s="82"/>
      <c r="C186" s="64"/>
      <c r="D186" s="64"/>
      <c r="E186" s="64"/>
      <c r="F186" s="64"/>
      <c r="G186" s="64"/>
      <c r="H186" s="64"/>
      <c r="I186" s="64"/>
      <c r="J186" s="64"/>
      <c r="K186" s="64"/>
      <c r="L186" s="64"/>
      <c r="M186" s="64"/>
      <c r="N186" s="406"/>
      <c r="O186" s="64"/>
      <c r="P186" s="410"/>
      <c r="Q186" s="64"/>
      <c r="R186" s="401">
        <f t="shared" si="28"/>
        <v>0</v>
      </c>
      <c r="S186" s="401"/>
      <c r="T186" s="401"/>
      <c r="U186" s="64"/>
      <c r="V186" s="64"/>
      <c r="W186" s="413">
        <f t="shared" si="27"/>
        <v>0</v>
      </c>
      <c r="X186" s="403">
        <v>1</v>
      </c>
      <c r="Y186" s="403">
        <v>1</v>
      </c>
      <c r="Z186" s="403">
        <v>0</v>
      </c>
      <c r="AA186" s="38"/>
      <c r="AB186" s="409"/>
      <c r="AC186" s="38"/>
      <c r="AD186" s="68"/>
      <c r="AE186" s="68"/>
      <c r="AF186" s="68"/>
      <c r="AG186" s="68"/>
      <c r="AH186" s="68"/>
      <c r="AI186" s="38"/>
      <c r="AJ186" s="38"/>
      <c r="AK186" s="38"/>
      <c r="AL186" s="38"/>
      <c r="AM186" s="38"/>
      <c r="AN186" s="38"/>
      <c r="AO186" s="69"/>
      <c r="AP186" s="69"/>
      <c r="AQ186" s="69"/>
      <c r="AR186" s="69"/>
      <c r="AS186" s="68"/>
      <c r="AT186" s="66" t="e">
        <f>VLOOKUP(K186,[4]Planilha1!A$13:P$314,16,0)</f>
        <v>#N/A</v>
      </c>
    </row>
    <row r="187" spans="1:46" s="63" customFormat="1" x14ac:dyDescent="0.25">
      <c r="A187" s="82"/>
      <c r="B187" s="82"/>
      <c r="C187" s="64"/>
      <c r="D187" s="64"/>
      <c r="E187" s="64"/>
      <c r="F187" s="64"/>
      <c r="G187" s="64"/>
      <c r="H187" s="64"/>
      <c r="I187" s="64"/>
      <c r="J187" s="64"/>
      <c r="K187" s="64"/>
      <c r="L187" s="64"/>
      <c r="M187" s="64"/>
      <c r="N187" s="406"/>
      <c r="O187" s="64"/>
      <c r="P187" s="410"/>
      <c r="Q187" s="64"/>
      <c r="R187" s="401">
        <f t="shared" si="28"/>
        <v>0</v>
      </c>
      <c r="S187" s="401"/>
      <c r="T187" s="401"/>
      <c r="U187" s="64"/>
      <c r="V187" s="64"/>
      <c r="W187" s="413">
        <f t="shared" si="27"/>
        <v>0</v>
      </c>
      <c r="X187" s="403">
        <v>1</v>
      </c>
      <c r="Y187" s="403">
        <v>1</v>
      </c>
      <c r="Z187" s="403">
        <v>0</v>
      </c>
      <c r="AA187" s="38"/>
      <c r="AB187" s="409"/>
      <c r="AC187" s="38"/>
      <c r="AD187" s="68"/>
      <c r="AE187" s="68"/>
      <c r="AF187" s="68"/>
      <c r="AG187" s="68"/>
      <c r="AH187" s="68"/>
      <c r="AI187" s="38"/>
      <c r="AJ187" s="38"/>
      <c r="AK187" s="38"/>
      <c r="AL187" s="38"/>
      <c r="AM187" s="38"/>
      <c r="AN187" s="38"/>
      <c r="AO187" s="69"/>
      <c r="AP187" s="69"/>
      <c r="AQ187" s="69"/>
      <c r="AR187" s="69"/>
      <c r="AS187" s="68"/>
      <c r="AT187" s="66" t="e">
        <f>VLOOKUP(K187,[4]Planilha1!A$13:P$314,16,0)</f>
        <v>#N/A</v>
      </c>
    </row>
    <row r="188" spans="1:46" s="63" customFormat="1" x14ac:dyDescent="0.25">
      <c r="A188" s="82"/>
      <c r="B188" s="82"/>
      <c r="C188" s="64"/>
      <c r="D188" s="64"/>
      <c r="E188" s="64"/>
      <c r="F188" s="64"/>
      <c r="G188" s="64"/>
      <c r="H188" s="64"/>
      <c r="I188" s="64"/>
      <c r="J188" s="64"/>
      <c r="K188" s="64"/>
      <c r="L188" s="64"/>
      <c r="M188" s="64"/>
      <c r="N188" s="406"/>
      <c r="O188" s="64"/>
      <c r="P188" s="410"/>
      <c r="Q188" s="64"/>
      <c r="R188" s="401">
        <f t="shared" si="28"/>
        <v>0</v>
      </c>
      <c r="S188" s="401"/>
      <c r="T188" s="401"/>
      <c r="U188" s="64"/>
      <c r="V188" s="64"/>
      <c r="W188" s="413">
        <f t="shared" si="27"/>
        <v>0</v>
      </c>
      <c r="X188" s="403">
        <v>0</v>
      </c>
      <c r="Y188" s="403">
        <v>0</v>
      </c>
      <c r="Z188" s="403">
        <v>0</v>
      </c>
      <c r="AA188" s="38"/>
      <c r="AB188" s="409"/>
      <c r="AC188" s="38"/>
      <c r="AD188" s="68"/>
      <c r="AE188" s="68"/>
      <c r="AF188" s="68"/>
      <c r="AG188" s="68"/>
      <c r="AH188" s="68"/>
      <c r="AI188" s="38"/>
      <c r="AJ188" s="38"/>
      <c r="AK188" s="38"/>
      <c r="AL188" s="38"/>
      <c r="AM188" s="38"/>
      <c r="AN188" s="38"/>
      <c r="AO188" s="69"/>
      <c r="AP188" s="69"/>
      <c r="AQ188" s="69"/>
      <c r="AR188" s="69"/>
      <c r="AS188" s="68"/>
      <c r="AT188" s="66" t="e">
        <f>VLOOKUP(K188,[4]Planilha1!A$13:P$314,16,0)</f>
        <v>#N/A</v>
      </c>
    </row>
    <row r="189" spans="1:46" s="63" customFormat="1" x14ac:dyDescent="0.25">
      <c r="A189" s="82"/>
      <c r="B189" s="82"/>
      <c r="C189" s="64"/>
      <c r="D189" s="64"/>
      <c r="E189" s="64"/>
      <c r="F189" s="64"/>
      <c r="G189" s="64"/>
      <c r="H189" s="64"/>
      <c r="I189" s="64"/>
      <c r="J189" s="64"/>
      <c r="K189" s="64"/>
      <c r="L189" s="64"/>
      <c r="M189" s="64"/>
      <c r="N189" s="406"/>
      <c r="O189" s="64"/>
      <c r="P189" s="410"/>
      <c r="Q189" s="64"/>
      <c r="R189" s="401">
        <f t="shared" si="28"/>
        <v>0</v>
      </c>
      <c r="S189" s="401"/>
      <c r="T189" s="401"/>
      <c r="U189" s="64"/>
      <c r="V189" s="64"/>
      <c r="W189" s="413">
        <f t="shared" si="27"/>
        <v>0</v>
      </c>
      <c r="X189" s="403">
        <v>0</v>
      </c>
      <c r="Y189" s="403">
        <v>0</v>
      </c>
      <c r="Z189" s="403">
        <v>0</v>
      </c>
      <c r="AA189" s="38"/>
      <c r="AB189" s="409"/>
      <c r="AC189" s="38"/>
      <c r="AD189" s="68"/>
      <c r="AE189" s="68"/>
      <c r="AF189" s="68"/>
      <c r="AG189" s="68"/>
      <c r="AH189" s="68"/>
      <c r="AI189" s="38"/>
      <c r="AJ189" s="38"/>
      <c r="AK189" s="38"/>
      <c r="AL189" s="38"/>
      <c r="AM189" s="38"/>
      <c r="AN189" s="38"/>
      <c r="AO189" s="69"/>
      <c r="AP189" s="69"/>
      <c r="AQ189" s="69"/>
      <c r="AR189" s="69"/>
      <c r="AS189" s="68"/>
      <c r="AT189" s="66" t="e">
        <f>VLOOKUP(K189,[4]Planilha1!A$13:P$314,16,0)</f>
        <v>#N/A</v>
      </c>
    </row>
    <row r="190" spans="1:46" s="63" customFormat="1" x14ac:dyDescent="0.25">
      <c r="A190" s="82"/>
      <c r="B190" s="82"/>
      <c r="C190" s="64"/>
      <c r="D190" s="64"/>
      <c r="E190" s="64"/>
      <c r="F190" s="64"/>
      <c r="G190" s="64"/>
      <c r="H190" s="64"/>
      <c r="I190" s="64"/>
      <c r="J190" s="64"/>
      <c r="K190" s="64"/>
      <c r="L190" s="64"/>
      <c r="M190" s="64"/>
      <c r="N190" s="406"/>
      <c r="O190" s="64"/>
      <c r="P190" s="410"/>
      <c r="Q190" s="64"/>
      <c r="R190" s="401">
        <f t="shared" si="28"/>
        <v>0</v>
      </c>
      <c r="S190" s="401"/>
      <c r="T190" s="401"/>
      <c r="U190" s="64"/>
      <c r="V190" s="64"/>
      <c r="W190" s="413">
        <f t="shared" si="27"/>
        <v>0</v>
      </c>
      <c r="X190" s="403">
        <v>0</v>
      </c>
      <c r="Y190" s="403">
        <v>0</v>
      </c>
      <c r="Z190" s="403">
        <v>0</v>
      </c>
      <c r="AA190" s="38"/>
      <c r="AB190" s="409"/>
      <c r="AC190" s="38"/>
      <c r="AD190" s="68"/>
      <c r="AE190" s="68"/>
      <c r="AF190" s="68"/>
      <c r="AG190" s="68"/>
      <c r="AH190" s="68"/>
      <c r="AI190" s="38"/>
      <c r="AJ190" s="38"/>
      <c r="AK190" s="38"/>
      <c r="AL190" s="38"/>
      <c r="AM190" s="38"/>
      <c r="AN190" s="38"/>
      <c r="AO190" s="69"/>
      <c r="AP190" s="69"/>
      <c r="AQ190" s="69"/>
      <c r="AR190" s="69"/>
      <c r="AS190" s="68"/>
      <c r="AT190" s="66" t="e">
        <f>VLOOKUP(K190,[4]Planilha1!A$13:P$314,16,0)</f>
        <v>#N/A</v>
      </c>
    </row>
    <row r="191" spans="1:46" s="63" customFormat="1" x14ac:dyDescent="0.25">
      <c r="A191" s="82"/>
      <c r="B191" s="82"/>
      <c r="C191" s="64"/>
      <c r="D191" s="64"/>
      <c r="E191" s="64"/>
      <c r="F191" s="64"/>
      <c r="G191" s="64"/>
      <c r="H191" s="64"/>
      <c r="I191" s="64"/>
      <c r="J191" s="64"/>
      <c r="K191" s="64"/>
      <c r="L191" s="64"/>
      <c r="M191" s="64"/>
      <c r="N191" s="406"/>
      <c r="O191" s="64"/>
      <c r="P191" s="410"/>
      <c r="Q191" s="64"/>
      <c r="R191" s="401">
        <f t="shared" si="28"/>
        <v>0</v>
      </c>
      <c r="S191" s="401"/>
      <c r="T191" s="401"/>
      <c r="U191" s="64"/>
      <c r="V191" s="64"/>
      <c r="W191" s="413">
        <f t="shared" si="27"/>
        <v>0</v>
      </c>
      <c r="X191" s="403">
        <v>0</v>
      </c>
      <c r="Y191" s="403">
        <v>0</v>
      </c>
      <c r="Z191" s="403">
        <v>0</v>
      </c>
      <c r="AA191" s="38"/>
      <c r="AB191" s="409"/>
      <c r="AC191" s="38"/>
      <c r="AD191" s="68"/>
      <c r="AE191" s="68"/>
      <c r="AF191" s="68"/>
      <c r="AG191" s="68"/>
      <c r="AH191" s="68"/>
      <c r="AI191" s="38"/>
      <c r="AJ191" s="38"/>
      <c r="AK191" s="38"/>
      <c r="AL191" s="38"/>
      <c r="AM191" s="38"/>
      <c r="AN191" s="38"/>
      <c r="AO191" s="69"/>
      <c r="AP191" s="69"/>
      <c r="AQ191" s="69"/>
      <c r="AR191" s="69"/>
      <c r="AS191" s="68"/>
      <c r="AT191" s="66" t="e">
        <f>VLOOKUP(K191,[4]Planilha1!A$13:P$314,16,0)</f>
        <v>#N/A</v>
      </c>
    </row>
    <row r="192" spans="1:46" s="63" customFormat="1" x14ac:dyDescent="0.25">
      <c r="A192" s="82"/>
      <c r="B192" s="82"/>
      <c r="C192" s="64"/>
      <c r="D192" s="64"/>
      <c r="E192" s="64"/>
      <c r="F192" s="64"/>
      <c r="G192" s="64"/>
      <c r="H192" s="64"/>
      <c r="I192" s="64"/>
      <c r="J192" s="64"/>
      <c r="K192" s="64"/>
      <c r="L192" s="64"/>
      <c r="M192" s="64"/>
      <c r="N192" s="406"/>
      <c r="O192" s="64"/>
      <c r="P192" s="410"/>
      <c r="Q192" s="64"/>
      <c r="R192" s="401">
        <f t="shared" si="28"/>
        <v>0</v>
      </c>
      <c r="S192" s="401"/>
      <c r="T192" s="401"/>
      <c r="U192" s="64"/>
      <c r="V192" s="64"/>
      <c r="W192" s="413">
        <f t="shared" si="27"/>
        <v>0</v>
      </c>
      <c r="X192" s="403">
        <v>0</v>
      </c>
      <c r="Y192" s="403">
        <v>0</v>
      </c>
      <c r="Z192" s="403">
        <v>0</v>
      </c>
      <c r="AA192" s="38"/>
      <c r="AB192" s="409"/>
      <c r="AC192" s="38"/>
      <c r="AD192" s="68"/>
      <c r="AE192" s="68"/>
      <c r="AF192" s="68"/>
      <c r="AG192" s="68"/>
      <c r="AH192" s="68"/>
      <c r="AI192" s="38"/>
      <c r="AJ192" s="38"/>
      <c r="AK192" s="38"/>
      <c r="AL192" s="38"/>
      <c r="AM192" s="38"/>
      <c r="AN192" s="38"/>
      <c r="AO192" s="69"/>
      <c r="AP192" s="69"/>
      <c r="AQ192" s="69"/>
      <c r="AR192" s="69"/>
      <c r="AS192" s="68"/>
      <c r="AT192" s="66" t="e">
        <f>VLOOKUP(K192,[4]Planilha1!A$13:P$314,16,0)</f>
        <v>#N/A</v>
      </c>
    </row>
    <row r="193" spans="1:46" s="63" customFormat="1" x14ac:dyDescent="0.25">
      <c r="A193" s="82"/>
      <c r="B193" s="82"/>
      <c r="C193" s="64"/>
      <c r="D193" s="64"/>
      <c r="E193" s="64"/>
      <c r="F193" s="64"/>
      <c r="G193" s="64"/>
      <c r="H193" s="64"/>
      <c r="I193" s="64"/>
      <c r="J193" s="64"/>
      <c r="K193" s="64"/>
      <c r="L193" s="64"/>
      <c r="M193" s="64"/>
      <c r="N193" s="406"/>
      <c r="O193" s="64"/>
      <c r="P193" s="410"/>
      <c r="Q193" s="64"/>
      <c r="R193" s="401">
        <f t="shared" si="28"/>
        <v>0</v>
      </c>
      <c r="S193" s="401"/>
      <c r="T193" s="401"/>
      <c r="U193" s="64"/>
      <c r="V193" s="64"/>
      <c r="W193" s="413">
        <f t="shared" si="27"/>
        <v>0</v>
      </c>
      <c r="X193" s="403">
        <v>0</v>
      </c>
      <c r="Y193" s="403">
        <v>0</v>
      </c>
      <c r="Z193" s="403">
        <v>0</v>
      </c>
      <c r="AA193" s="38"/>
      <c r="AB193" s="409"/>
      <c r="AC193" s="38"/>
      <c r="AD193" s="68"/>
      <c r="AE193" s="68"/>
      <c r="AF193" s="68"/>
      <c r="AG193" s="68"/>
      <c r="AH193" s="68"/>
      <c r="AI193" s="38"/>
      <c r="AJ193" s="38"/>
      <c r="AK193" s="38"/>
      <c r="AL193" s="38"/>
      <c r="AM193" s="38"/>
      <c r="AN193" s="38"/>
      <c r="AO193" s="69"/>
      <c r="AP193" s="69"/>
      <c r="AQ193" s="69"/>
      <c r="AR193" s="69"/>
      <c r="AS193" s="68"/>
      <c r="AT193" s="66" t="e">
        <f>VLOOKUP(K193,[4]Planilha1!A$13:P$314,16,0)</f>
        <v>#N/A</v>
      </c>
    </row>
    <row r="194" spans="1:46" s="63" customFormat="1" x14ac:dyDescent="0.25">
      <c r="A194" s="82"/>
      <c r="B194" s="82"/>
      <c r="C194" s="64"/>
      <c r="D194" s="64"/>
      <c r="E194" s="64"/>
      <c r="F194" s="64"/>
      <c r="G194" s="64"/>
      <c r="H194" s="64"/>
      <c r="I194" s="64"/>
      <c r="J194" s="64"/>
      <c r="K194" s="64"/>
      <c r="L194" s="64"/>
      <c r="M194" s="64"/>
      <c r="N194" s="406"/>
      <c r="O194" s="64"/>
      <c r="P194" s="410"/>
      <c r="Q194" s="64"/>
      <c r="R194" s="401">
        <f t="shared" si="28"/>
        <v>0</v>
      </c>
      <c r="S194" s="401"/>
      <c r="T194" s="401"/>
      <c r="U194" s="64"/>
      <c r="V194" s="64"/>
      <c r="W194" s="413">
        <f t="shared" si="27"/>
        <v>0</v>
      </c>
      <c r="X194" s="403">
        <v>0</v>
      </c>
      <c r="Y194" s="403">
        <v>0</v>
      </c>
      <c r="Z194" s="403">
        <v>0</v>
      </c>
      <c r="AA194" s="38"/>
      <c r="AB194" s="409"/>
      <c r="AC194" s="38"/>
      <c r="AD194" s="68"/>
      <c r="AE194" s="68"/>
      <c r="AF194" s="68"/>
      <c r="AG194" s="68"/>
      <c r="AH194" s="68"/>
      <c r="AI194" s="38"/>
      <c r="AJ194" s="38"/>
      <c r="AK194" s="38"/>
      <c r="AL194" s="38"/>
      <c r="AM194" s="38"/>
      <c r="AN194" s="38"/>
      <c r="AO194" s="69"/>
      <c r="AP194" s="69"/>
      <c r="AQ194" s="69"/>
      <c r="AR194" s="69"/>
      <c r="AS194" s="68"/>
      <c r="AT194" s="66" t="e">
        <f>VLOOKUP(K194,[4]Planilha1!A$13:P$314,16,0)</f>
        <v>#N/A</v>
      </c>
    </row>
    <row r="195" spans="1:46" s="63" customFormat="1" x14ac:dyDescent="0.25">
      <c r="A195" s="82"/>
      <c r="B195" s="82"/>
      <c r="C195" s="64"/>
      <c r="D195" s="64"/>
      <c r="E195" s="64"/>
      <c r="F195" s="64"/>
      <c r="G195" s="64"/>
      <c r="H195" s="64"/>
      <c r="I195" s="64"/>
      <c r="J195" s="64"/>
      <c r="K195" s="64"/>
      <c r="L195" s="64"/>
      <c r="M195" s="64"/>
      <c r="N195" s="406"/>
      <c r="O195" s="64"/>
      <c r="P195" s="410"/>
      <c r="Q195" s="64"/>
      <c r="R195" s="401">
        <f t="shared" si="28"/>
        <v>0</v>
      </c>
      <c r="S195" s="401"/>
      <c r="T195" s="401"/>
      <c r="U195" s="64"/>
      <c r="V195" s="64"/>
      <c r="W195" s="413">
        <f t="shared" si="27"/>
        <v>0</v>
      </c>
      <c r="X195" s="403">
        <v>0</v>
      </c>
      <c r="Y195" s="403">
        <v>0</v>
      </c>
      <c r="Z195" s="403">
        <v>0</v>
      </c>
      <c r="AA195" s="38"/>
      <c r="AB195" s="409"/>
      <c r="AC195" s="38"/>
      <c r="AD195" s="68"/>
      <c r="AE195" s="68"/>
      <c r="AF195" s="68"/>
      <c r="AG195" s="68"/>
      <c r="AH195" s="68"/>
      <c r="AI195" s="38"/>
      <c r="AJ195" s="38"/>
      <c r="AK195" s="38"/>
      <c r="AL195" s="38"/>
      <c r="AM195" s="38"/>
      <c r="AN195" s="38"/>
      <c r="AO195" s="69"/>
      <c r="AP195" s="69"/>
      <c r="AQ195" s="69"/>
      <c r="AR195" s="69"/>
      <c r="AS195" s="68"/>
      <c r="AT195" s="66" t="e">
        <f>VLOOKUP(K195,[4]Planilha1!A$13:P$314,16,0)</f>
        <v>#N/A</v>
      </c>
    </row>
    <row r="196" spans="1:46" s="63" customFormat="1" x14ac:dyDescent="0.25">
      <c r="A196" s="82"/>
      <c r="B196" s="82"/>
      <c r="C196" s="64"/>
      <c r="D196" s="64"/>
      <c r="E196" s="64"/>
      <c r="F196" s="64"/>
      <c r="G196" s="64"/>
      <c r="H196" s="64"/>
      <c r="I196" s="64"/>
      <c r="J196" s="64"/>
      <c r="K196" s="64"/>
      <c r="L196" s="64"/>
      <c r="M196" s="64"/>
      <c r="N196" s="406"/>
      <c r="O196" s="64"/>
      <c r="P196" s="410"/>
      <c r="Q196" s="64"/>
      <c r="R196" s="401">
        <f t="shared" si="28"/>
        <v>0</v>
      </c>
      <c r="S196" s="401"/>
      <c r="T196" s="401"/>
      <c r="U196" s="64"/>
      <c r="V196" s="64"/>
      <c r="W196" s="413">
        <f t="shared" si="27"/>
        <v>0</v>
      </c>
      <c r="X196" s="403">
        <v>0</v>
      </c>
      <c r="Y196" s="403">
        <v>0</v>
      </c>
      <c r="Z196" s="403">
        <v>0</v>
      </c>
      <c r="AA196" s="38"/>
      <c r="AB196" s="409"/>
      <c r="AC196" s="38"/>
      <c r="AD196" s="68"/>
      <c r="AE196" s="68"/>
      <c r="AF196" s="68"/>
      <c r="AG196" s="68"/>
      <c r="AH196" s="68"/>
      <c r="AI196" s="38"/>
      <c r="AJ196" s="38"/>
      <c r="AK196" s="38"/>
      <c r="AL196" s="38"/>
      <c r="AM196" s="38"/>
      <c r="AN196" s="38"/>
      <c r="AO196" s="69"/>
      <c r="AP196" s="69"/>
      <c r="AQ196" s="69"/>
      <c r="AR196" s="69"/>
      <c r="AS196" s="68"/>
      <c r="AT196" s="66" t="e">
        <f>VLOOKUP(K196,[4]Planilha1!A$13:P$314,16,0)</f>
        <v>#N/A</v>
      </c>
    </row>
    <row r="197" spans="1:46" s="63" customFormat="1" x14ac:dyDescent="0.25">
      <c r="A197" s="82"/>
      <c r="B197" s="82"/>
      <c r="C197" s="64"/>
      <c r="D197" s="64"/>
      <c r="E197" s="64"/>
      <c r="F197" s="64"/>
      <c r="G197" s="64"/>
      <c r="H197" s="64"/>
      <c r="I197" s="64"/>
      <c r="J197" s="64"/>
      <c r="K197" s="64"/>
      <c r="L197" s="64"/>
      <c r="M197" s="64"/>
      <c r="N197" s="406"/>
      <c r="O197" s="64"/>
      <c r="P197" s="410"/>
      <c r="Q197" s="64"/>
      <c r="R197" s="401">
        <f t="shared" si="28"/>
        <v>0</v>
      </c>
      <c r="S197" s="401"/>
      <c r="T197" s="401"/>
      <c r="U197" s="64"/>
      <c r="V197" s="64"/>
      <c r="W197" s="413">
        <f t="shared" si="27"/>
        <v>0</v>
      </c>
      <c r="X197" s="403">
        <v>0</v>
      </c>
      <c r="Y197" s="403">
        <v>0</v>
      </c>
      <c r="Z197" s="403">
        <v>0</v>
      </c>
      <c r="AA197" s="38"/>
      <c r="AB197" s="409"/>
      <c r="AC197" s="38"/>
      <c r="AD197" s="68"/>
      <c r="AE197" s="68"/>
      <c r="AF197" s="68"/>
      <c r="AG197" s="68"/>
      <c r="AH197" s="68"/>
      <c r="AI197" s="38"/>
      <c r="AJ197" s="38"/>
      <c r="AK197" s="38"/>
      <c r="AL197" s="38"/>
      <c r="AM197" s="38"/>
      <c r="AN197" s="38"/>
      <c r="AO197" s="69"/>
      <c r="AP197" s="69"/>
      <c r="AQ197" s="69"/>
      <c r="AR197" s="69"/>
      <c r="AS197" s="68"/>
      <c r="AT197" s="66" t="e">
        <f>VLOOKUP(K197,[4]Planilha1!A$13:P$314,16,0)</f>
        <v>#N/A</v>
      </c>
    </row>
    <row r="198" spans="1:46" s="63" customFormat="1" x14ac:dyDescent="0.25">
      <c r="A198" s="82"/>
      <c r="B198" s="82"/>
      <c r="C198" s="64"/>
      <c r="D198" s="64"/>
      <c r="E198" s="64"/>
      <c r="F198" s="64"/>
      <c r="G198" s="64"/>
      <c r="H198" s="64"/>
      <c r="I198" s="64"/>
      <c r="J198" s="64"/>
      <c r="K198" s="64"/>
      <c r="L198" s="64"/>
      <c r="M198" s="64"/>
      <c r="N198" s="406"/>
      <c r="O198" s="64"/>
      <c r="P198" s="410"/>
      <c r="Q198" s="64"/>
      <c r="R198" s="401">
        <f t="shared" si="28"/>
        <v>0</v>
      </c>
      <c r="S198" s="401"/>
      <c r="T198" s="401"/>
      <c r="U198" s="64"/>
      <c r="V198" s="64"/>
      <c r="W198" s="413">
        <f t="shared" si="27"/>
        <v>0</v>
      </c>
      <c r="X198" s="403">
        <v>0</v>
      </c>
      <c r="Y198" s="403">
        <v>0</v>
      </c>
      <c r="Z198" s="403">
        <v>0</v>
      </c>
      <c r="AA198" s="38"/>
      <c r="AB198" s="409"/>
      <c r="AC198" s="38"/>
      <c r="AD198" s="68"/>
      <c r="AE198" s="68"/>
      <c r="AF198" s="68"/>
      <c r="AG198" s="68"/>
      <c r="AH198" s="68"/>
      <c r="AI198" s="38"/>
      <c r="AJ198" s="38"/>
      <c r="AK198" s="38"/>
      <c r="AL198" s="38"/>
      <c r="AM198" s="38"/>
      <c r="AN198" s="38"/>
      <c r="AO198" s="69"/>
      <c r="AP198" s="69"/>
      <c r="AQ198" s="69"/>
      <c r="AR198" s="69"/>
      <c r="AS198" s="68"/>
      <c r="AT198" s="66" t="e">
        <f>VLOOKUP(K198,[4]Planilha1!A$13:P$314,16,0)</f>
        <v>#N/A</v>
      </c>
    </row>
    <row r="199" spans="1:46" s="63" customFormat="1" x14ac:dyDescent="0.25">
      <c r="A199" s="82"/>
      <c r="B199" s="82"/>
      <c r="C199" s="64"/>
      <c r="D199" s="64"/>
      <c r="E199" s="64"/>
      <c r="F199" s="64"/>
      <c r="G199" s="64"/>
      <c r="H199" s="64"/>
      <c r="I199" s="64"/>
      <c r="J199" s="64"/>
      <c r="K199" s="64"/>
      <c r="L199" s="64"/>
      <c r="M199" s="64"/>
      <c r="N199" s="406"/>
      <c r="O199" s="64"/>
      <c r="P199" s="410"/>
      <c r="Q199" s="64"/>
      <c r="R199" s="401">
        <f t="shared" si="28"/>
        <v>0</v>
      </c>
      <c r="S199" s="401"/>
      <c r="T199" s="401"/>
      <c r="U199" s="64"/>
      <c r="V199" s="64"/>
      <c r="W199" s="413">
        <f t="shared" si="27"/>
        <v>0</v>
      </c>
      <c r="X199" s="403">
        <v>0</v>
      </c>
      <c r="Y199" s="403">
        <v>0</v>
      </c>
      <c r="Z199" s="403">
        <v>0</v>
      </c>
      <c r="AA199" s="38"/>
      <c r="AB199" s="409"/>
      <c r="AC199" s="38"/>
      <c r="AD199" s="68"/>
      <c r="AE199" s="68"/>
      <c r="AF199" s="68"/>
      <c r="AG199" s="68"/>
      <c r="AH199" s="68"/>
      <c r="AI199" s="38"/>
      <c r="AJ199" s="38"/>
      <c r="AK199" s="38"/>
      <c r="AL199" s="38"/>
      <c r="AM199" s="38"/>
      <c r="AN199" s="38"/>
      <c r="AO199" s="69"/>
      <c r="AP199" s="69"/>
      <c r="AQ199" s="69"/>
      <c r="AR199" s="69"/>
      <c r="AS199" s="68"/>
      <c r="AT199" s="66" t="e">
        <f>VLOOKUP(K199,[4]Planilha1!A$13:P$314,16,0)</f>
        <v>#N/A</v>
      </c>
    </row>
    <row r="200" spans="1:46" s="63" customFormat="1" x14ac:dyDescent="0.25">
      <c r="A200" s="82"/>
      <c r="B200" s="82"/>
      <c r="C200" s="64"/>
      <c r="D200" s="64"/>
      <c r="E200" s="64"/>
      <c r="F200" s="64"/>
      <c r="G200" s="64"/>
      <c r="H200" s="64"/>
      <c r="I200" s="64"/>
      <c r="J200" s="64"/>
      <c r="K200" s="64"/>
      <c r="L200" s="64"/>
      <c r="M200" s="64"/>
      <c r="N200" s="406"/>
      <c r="O200" s="64"/>
      <c r="P200" s="410"/>
      <c r="Q200" s="64"/>
      <c r="R200" s="401">
        <f t="shared" si="28"/>
        <v>0</v>
      </c>
      <c r="S200" s="401"/>
      <c r="T200" s="401"/>
      <c r="U200" s="64"/>
      <c r="V200" s="64"/>
      <c r="W200" s="413">
        <f t="shared" si="27"/>
        <v>0</v>
      </c>
      <c r="X200" s="403">
        <v>0</v>
      </c>
      <c r="Y200" s="403">
        <v>0</v>
      </c>
      <c r="Z200" s="403">
        <v>0</v>
      </c>
      <c r="AA200" s="38"/>
      <c r="AB200" s="409"/>
      <c r="AC200" s="38"/>
      <c r="AD200" s="68"/>
      <c r="AE200" s="68"/>
      <c r="AF200" s="68"/>
      <c r="AG200" s="68"/>
      <c r="AH200" s="68"/>
      <c r="AI200" s="38"/>
      <c r="AJ200" s="38"/>
      <c r="AK200" s="38"/>
      <c r="AL200" s="38"/>
      <c r="AM200" s="38"/>
      <c r="AN200" s="38"/>
      <c r="AO200" s="69"/>
      <c r="AP200" s="69"/>
      <c r="AQ200" s="69"/>
      <c r="AR200" s="69"/>
      <c r="AS200" s="68"/>
      <c r="AT200" s="66" t="e">
        <f>VLOOKUP(K200,[4]Planilha1!A$13:P$314,16,0)</f>
        <v>#N/A</v>
      </c>
    </row>
    <row r="201" spans="1:46" s="63" customFormat="1" x14ac:dyDescent="0.25">
      <c r="A201" s="82"/>
      <c r="B201" s="82"/>
      <c r="C201" s="64"/>
      <c r="D201" s="64"/>
      <c r="E201" s="64"/>
      <c r="F201" s="64"/>
      <c r="G201" s="64"/>
      <c r="H201" s="64"/>
      <c r="I201" s="64"/>
      <c r="J201" s="64"/>
      <c r="K201" s="64"/>
      <c r="L201" s="64"/>
      <c r="M201" s="64"/>
      <c r="N201" s="406"/>
      <c r="O201" s="64"/>
      <c r="P201" s="410"/>
      <c r="Q201" s="64"/>
      <c r="R201" s="401">
        <f t="shared" si="28"/>
        <v>0</v>
      </c>
      <c r="S201" s="401"/>
      <c r="T201" s="401"/>
      <c r="U201" s="64"/>
      <c r="V201" s="64"/>
      <c r="W201" s="413">
        <f t="shared" si="27"/>
        <v>0</v>
      </c>
      <c r="X201" s="403">
        <v>0</v>
      </c>
      <c r="Y201" s="403">
        <v>0</v>
      </c>
      <c r="Z201" s="403">
        <v>0</v>
      </c>
      <c r="AA201" s="38"/>
      <c r="AB201" s="409"/>
      <c r="AC201" s="38"/>
      <c r="AD201" s="68"/>
      <c r="AE201" s="68"/>
      <c r="AF201" s="68"/>
      <c r="AG201" s="68"/>
      <c r="AH201" s="68"/>
      <c r="AI201" s="38"/>
      <c r="AJ201" s="38"/>
      <c r="AK201" s="38"/>
      <c r="AL201" s="38"/>
      <c r="AM201" s="38"/>
      <c r="AN201" s="38"/>
      <c r="AO201" s="69"/>
      <c r="AP201" s="69"/>
      <c r="AQ201" s="69"/>
      <c r="AR201" s="69"/>
      <c r="AS201" s="68"/>
      <c r="AT201" s="66" t="e">
        <f>VLOOKUP(K201,[4]Planilha1!A$13:P$314,16,0)</f>
        <v>#N/A</v>
      </c>
    </row>
    <row r="202" spans="1:46" s="63" customFormat="1" x14ac:dyDescent="0.25">
      <c r="A202" s="82"/>
      <c r="B202" s="82"/>
      <c r="C202" s="64"/>
      <c r="D202" s="64"/>
      <c r="E202" s="64"/>
      <c r="F202" s="64"/>
      <c r="G202" s="64"/>
      <c r="H202" s="64"/>
      <c r="I202" s="64"/>
      <c r="J202" s="64"/>
      <c r="K202" s="64"/>
      <c r="L202" s="64"/>
      <c r="M202" s="64"/>
      <c r="N202" s="406"/>
      <c r="O202" s="64"/>
      <c r="P202" s="410"/>
      <c r="Q202" s="64"/>
      <c r="R202" s="401">
        <f t="shared" si="28"/>
        <v>0</v>
      </c>
      <c r="S202" s="401"/>
      <c r="T202" s="401"/>
      <c r="U202" s="64"/>
      <c r="V202" s="64"/>
      <c r="W202" s="413">
        <f t="shared" si="27"/>
        <v>0</v>
      </c>
      <c r="X202" s="403">
        <v>0</v>
      </c>
      <c r="Y202" s="403">
        <v>0</v>
      </c>
      <c r="Z202" s="403">
        <v>0</v>
      </c>
      <c r="AA202" s="38"/>
      <c r="AB202" s="409"/>
      <c r="AC202" s="38"/>
      <c r="AD202" s="68"/>
      <c r="AE202" s="68"/>
      <c r="AF202" s="68"/>
      <c r="AG202" s="68"/>
      <c r="AH202" s="68"/>
      <c r="AI202" s="38"/>
      <c r="AJ202" s="38"/>
      <c r="AK202" s="38"/>
      <c r="AL202" s="38"/>
      <c r="AM202" s="38"/>
      <c r="AN202" s="38"/>
      <c r="AO202" s="69"/>
      <c r="AP202" s="69"/>
      <c r="AQ202" s="69"/>
      <c r="AR202" s="69"/>
      <c r="AS202" s="68"/>
      <c r="AT202" s="66" t="e">
        <f>VLOOKUP(K202,[4]Planilha1!A$13:P$314,16,0)</f>
        <v>#N/A</v>
      </c>
    </row>
    <row r="203" spans="1:46" s="63" customFormat="1" x14ac:dyDescent="0.25">
      <c r="A203" s="82"/>
      <c r="B203" s="82"/>
      <c r="C203" s="64"/>
      <c r="D203" s="64"/>
      <c r="E203" s="64"/>
      <c r="F203" s="64"/>
      <c r="G203" s="64"/>
      <c r="H203" s="64"/>
      <c r="I203" s="64"/>
      <c r="J203" s="64"/>
      <c r="K203" s="64"/>
      <c r="L203" s="64"/>
      <c r="M203" s="64"/>
      <c r="N203" s="406"/>
      <c r="O203" s="64"/>
      <c r="P203" s="410"/>
      <c r="Q203" s="64"/>
      <c r="R203" s="401">
        <f t="shared" si="28"/>
        <v>0</v>
      </c>
      <c r="S203" s="401"/>
      <c r="T203" s="401"/>
      <c r="U203" s="64" t="s">
        <v>8535</v>
      </c>
      <c r="V203" s="64"/>
      <c r="W203" s="413">
        <f t="shared" si="27"/>
        <v>0</v>
      </c>
      <c r="X203" s="403">
        <v>0</v>
      </c>
      <c r="Y203" s="403">
        <v>0</v>
      </c>
      <c r="Z203" s="403">
        <v>0</v>
      </c>
      <c r="AA203" s="38"/>
      <c r="AB203" s="409"/>
      <c r="AC203" s="38"/>
      <c r="AD203" s="68"/>
      <c r="AE203" s="68"/>
      <c r="AF203" s="68"/>
      <c r="AG203" s="68"/>
      <c r="AH203" s="68"/>
      <c r="AI203" s="38"/>
      <c r="AJ203" s="38"/>
      <c r="AK203" s="38"/>
      <c r="AL203" s="38"/>
      <c r="AM203" s="38"/>
      <c r="AN203" s="38"/>
      <c r="AO203" s="69"/>
      <c r="AP203" s="69"/>
      <c r="AQ203" s="69"/>
      <c r="AR203" s="69"/>
      <c r="AS203" s="68"/>
      <c r="AT203" s="66" t="e">
        <f>VLOOKUP(K203,[4]Planilha1!A$13:P$314,16,0)</f>
        <v>#N/A</v>
      </c>
    </row>
    <row r="204" spans="1:46" s="63" customFormat="1" x14ac:dyDescent="0.25">
      <c r="A204" s="82"/>
      <c r="B204" s="82"/>
      <c r="C204" s="64"/>
      <c r="D204" s="64"/>
      <c r="E204" s="64"/>
      <c r="F204" s="64"/>
      <c r="G204" s="64"/>
      <c r="H204" s="64"/>
      <c r="I204" s="64"/>
      <c r="J204" s="64"/>
      <c r="K204" s="64"/>
      <c r="L204" s="64"/>
      <c r="M204" s="64"/>
      <c r="N204" s="406"/>
      <c r="O204" s="64"/>
      <c r="P204" s="410"/>
      <c r="Q204" s="64"/>
      <c r="R204" s="401">
        <f t="shared" si="28"/>
        <v>0</v>
      </c>
      <c r="S204" s="401"/>
      <c r="T204" s="401"/>
      <c r="U204" s="64" t="s">
        <v>8535</v>
      </c>
      <c r="V204" s="64"/>
      <c r="W204" s="413">
        <f t="shared" ref="W204:W267" si="29">V204*R204</f>
        <v>0</v>
      </c>
      <c r="X204" s="403">
        <v>0</v>
      </c>
      <c r="Y204" s="403">
        <v>0</v>
      </c>
      <c r="Z204" s="403">
        <v>0</v>
      </c>
      <c r="AA204" s="38"/>
      <c r="AB204" s="409"/>
      <c r="AC204" s="38"/>
      <c r="AD204" s="68"/>
      <c r="AE204" s="68"/>
      <c r="AF204" s="68"/>
      <c r="AG204" s="68"/>
      <c r="AH204" s="68"/>
      <c r="AI204" s="38"/>
      <c r="AJ204" s="38"/>
      <c r="AK204" s="38"/>
      <c r="AL204" s="38"/>
      <c r="AM204" s="38"/>
      <c r="AN204" s="38"/>
      <c r="AO204" s="69"/>
      <c r="AP204" s="69"/>
      <c r="AQ204" s="69"/>
      <c r="AR204" s="69"/>
      <c r="AS204" s="68"/>
      <c r="AT204" s="66" t="e">
        <f>VLOOKUP(K204,[4]Planilha1!A$13:P$314,16,0)</f>
        <v>#N/A</v>
      </c>
    </row>
    <row r="205" spans="1:46" s="63" customFormat="1" x14ac:dyDescent="0.25">
      <c r="A205" s="82"/>
      <c r="B205" s="82"/>
      <c r="C205" s="64"/>
      <c r="D205" s="64"/>
      <c r="E205" s="64"/>
      <c r="F205" s="64"/>
      <c r="G205" s="64"/>
      <c r="H205" s="64"/>
      <c r="I205" s="64"/>
      <c r="J205" s="64"/>
      <c r="K205" s="64"/>
      <c r="L205" s="64"/>
      <c r="M205" s="64"/>
      <c r="N205" s="406"/>
      <c r="O205" s="64"/>
      <c r="P205" s="410"/>
      <c r="Q205" s="64"/>
      <c r="R205" s="401">
        <f t="shared" si="28"/>
        <v>0</v>
      </c>
      <c r="S205" s="401"/>
      <c r="T205" s="401"/>
      <c r="U205" s="64"/>
      <c r="V205" s="64"/>
      <c r="W205" s="413">
        <f t="shared" si="29"/>
        <v>0</v>
      </c>
      <c r="X205" s="403">
        <v>0</v>
      </c>
      <c r="Y205" s="403">
        <v>0</v>
      </c>
      <c r="Z205" s="403">
        <v>0</v>
      </c>
      <c r="AA205" s="38"/>
      <c r="AB205" s="409"/>
      <c r="AC205" s="38"/>
      <c r="AD205" s="68"/>
      <c r="AE205" s="68"/>
      <c r="AF205" s="68"/>
      <c r="AG205" s="68"/>
      <c r="AH205" s="68"/>
      <c r="AI205" s="38"/>
      <c r="AJ205" s="38"/>
      <c r="AK205" s="38"/>
      <c r="AL205" s="38"/>
      <c r="AM205" s="38"/>
      <c r="AN205" s="38"/>
      <c r="AO205" s="69"/>
      <c r="AP205" s="69"/>
      <c r="AQ205" s="69"/>
      <c r="AR205" s="69"/>
      <c r="AS205" s="68"/>
      <c r="AT205" s="66" t="e">
        <f>VLOOKUP(K205,[4]Planilha1!A$13:P$314,16,0)</f>
        <v>#N/A</v>
      </c>
    </row>
    <row r="206" spans="1:46" s="63" customFormat="1" x14ac:dyDescent="0.25">
      <c r="A206" s="82"/>
      <c r="B206" s="82"/>
      <c r="C206" s="64"/>
      <c r="D206" s="64"/>
      <c r="E206" s="64"/>
      <c r="F206" s="64"/>
      <c r="G206" s="64"/>
      <c r="H206" s="64"/>
      <c r="I206" s="64"/>
      <c r="J206" s="64"/>
      <c r="K206" s="64"/>
      <c r="L206" s="64"/>
      <c r="M206" s="64"/>
      <c r="N206" s="406"/>
      <c r="O206" s="64"/>
      <c r="P206" s="410"/>
      <c r="Q206" s="64"/>
      <c r="R206" s="401">
        <f t="shared" si="28"/>
        <v>0</v>
      </c>
      <c r="S206" s="401"/>
      <c r="T206" s="401"/>
      <c r="U206" s="64" t="s">
        <v>8535</v>
      </c>
      <c r="V206" s="64"/>
      <c r="W206" s="413">
        <f t="shared" si="29"/>
        <v>0</v>
      </c>
      <c r="X206" s="403">
        <v>0</v>
      </c>
      <c r="Y206" s="403">
        <v>0</v>
      </c>
      <c r="Z206" s="403">
        <v>0</v>
      </c>
      <c r="AA206" s="38"/>
      <c r="AB206" s="409"/>
      <c r="AC206" s="38"/>
      <c r="AD206" s="68"/>
      <c r="AE206" s="68"/>
      <c r="AF206" s="68"/>
      <c r="AG206" s="68"/>
      <c r="AH206" s="68"/>
      <c r="AI206" s="38"/>
      <c r="AJ206" s="38"/>
      <c r="AK206" s="38"/>
      <c r="AL206" s="38"/>
      <c r="AM206" s="38"/>
      <c r="AN206" s="38"/>
      <c r="AO206" s="69"/>
      <c r="AP206" s="69"/>
      <c r="AQ206" s="69"/>
      <c r="AR206" s="69"/>
      <c r="AS206" s="68"/>
      <c r="AT206" s="66" t="e">
        <f>VLOOKUP(K206,[4]Planilha1!A$13:P$314,16,0)</f>
        <v>#N/A</v>
      </c>
    </row>
    <row r="207" spans="1:46" s="63" customFormat="1" x14ac:dyDescent="0.25">
      <c r="A207" s="82"/>
      <c r="B207" s="82"/>
      <c r="C207" s="64"/>
      <c r="D207" s="64"/>
      <c r="E207" s="64"/>
      <c r="F207" s="64"/>
      <c r="G207" s="64"/>
      <c r="H207" s="64"/>
      <c r="I207" s="64"/>
      <c r="J207" s="64"/>
      <c r="K207" s="64"/>
      <c r="L207" s="64"/>
      <c r="M207" s="64"/>
      <c r="N207" s="406"/>
      <c r="O207" s="64"/>
      <c r="P207" s="410"/>
      <c r="Q207" s="64"/>
      <c r="R207" s="401">
        <f t="shared" si="28"/>
        <v>0</v>
      </c>
      <c r="S207" s="401"/>
      <c r="T207" s="401"/>
      <c r="U207" s="64" t="s">
        <v>8535</v>
      </c>
      <c r="V207" s="64"/>
      <c r="W207" s="413">
        <f t="shared" si="29"/>
        <v>0</v>
      </c>
      <c r="X207" s="403">
        <v>0</v>
      </c>
      <c r="Y207" s="403">
        <v>0</v>
      </c>
      <c r="Z207" s="403">
        <v>0</v>
      </c>
      <c r="AA207" s="38"/>
      <c r="AB207" s="409"/>
      <c r="AC207" s="38"/>
      <c r="AD207" s="68"/>
      <c r="AE207" s="68"/>
      <c r="AF207" s="68"/>
      <c r="AG207" s="68"/>
      <c r="AH207" s="68"/>
      <c r="AI207" s="38"/>
      <c r="AJ207" s="38"/>
      <c r="AK207" s="38"/>
      <c r="AL207" s="38"/>
      <c r="AM207" s="38"/>
      <c r="AN207" s="38"/>
      <c r="AO207" s="69"/>
      <c r="AP207" s="69"/>
      <c r="AQ207" s="69"/>
      <c r="AR207" s="69"/>
      <c r="AS207" s="68"/>
      <c r="AT207" s="66" t="e">
        <f>VLOOKUP(K207,[4]Planilha1!A$13:P$314,16,0)</f>
        <v>#N/A</v>
      </c>
    </row>
    <row r="208" spans="1:46" s="63" customFormat="1" x14ac:dyDescent="0.25">
      <c r="A208" s="82"/>
      <c r="B208" s="82"/>
      <c r="C208" s="64"/>
      <c r="D208" s="64"/>
      <c r="E208" s="64"/>
      <c r="F208" s="64"/>
      <c r="G208" s="64"/>
      <c r="H208" s="64"/>
      <c r="I208" s="64"/>
      <c r="J208" s="64"/>
      <c r="K208" s="64"/>
      <c r="L208" s="64"/>
      <c r="M208" s="64"/>
      <c r="N208" s="406"/>
      <c r="O208" s="64"/>
      <c r="P208" s="410"/>
      <c r="Q208" s="64"/>
      <c r="R208" s="401">
        <f t="shared" si="28"/>
        <v>0</v>
      </c>
      <c r="S208" s="401"/>
      <c r="T208" s="401"/>
      <c r="U208" s="64" t="s">
        <v>8535</v>
      </c>
      <c r="V208" s="64"/>
      <c r="W208" s="413">
        <f t="shared" si="29"/>
        <v>0</v>
      </c>
      <c r="X208" s="403">
        <v>0</v>
      </c>
      <c r="Y208" s="403">
        <v>0</v>
      </c>
      <c r="Z208" s="403">
        <v>0</v>
      </c>
      <c r="AA208" s="38"/>
      <c r="AB208" s="409"/>
      <c r="AC208" s="38"/>
      <c r="AD208" s="68"/>
      <c r="AE208" s="68"/>
      <c r="AF208" s="68"/>
      <c r="AG208" s="68"/>
      <c r="AH208" s="68"/>
      <c r="AI208" s="38"/>
      <c r="AJ208" s="38"/>
      <c r="AK208" s="38"/>
      <c r="AL208" s="38"/>
      <c r="AM208" s="38"/>
      <c r="AN208" s="38"/>
      <c r="AO208" s="69"/>
      <c r="AP208" s="69"/>
      <c r="AQ208" s="69"/>
      <c r="AR208" s="69"/>
      <c r="AS208" s="68"/>
      <c r="AT208" s="66" t="e">
        <f>VLOOKUP(K208,[4]Planilha1!A$13:P$314,16,0)</f>
        <v>#N/A</v>
      </c>
    </row>
    <row r="209" spans="1:46" s="63" customFormat="1" x14ac:dyDescent="0.25">
      <c r="A209" s="82"/>
      <c r="B209" s="82"/>
      <c r="C209" s="64"/>
      <c r="D209" s="64"/>
      <c r="E209" s="64"/>
      <c r="F209" s="64"/>
      <c r="G209" s="64"/>
      <c r="H209" s="64"/>
      <c r="I209" s="64"/>
      <c r="J209" s="64"/>
      <c r="K209" s="64"/>
      <c r="L209" s="64"/>
      <c r="M209" s="64"/>
      <c r="N209" s="406"/>
      <c r="O209" s="64"/>
      <c r="P209" s="410"/>
      <c r="Q209" s="64"/>
      <c r="R209" s="401">
        <f t="shared" si="28"/>
        <v>0</v>
      </c>
      <c r="S209" s="401"/>
      <c r="T209" s="401"/>
      <c r="U209" s="64"/>
      <c r="V209" s="64"/>
      <c r="W209" s="413">
        <f t="shared" si="29"/>
        <v>0</v>
      </c>
      <c r="X209" s="403">
        <v>0</v>
      </c>
      <c r="Y209" s="403">
        <v>0</v>
      </c>
      <c r="Z209" s="403">
        <v>0</v>
      </c>
      <c r="AA209" s="38"/>
      <c r="AB209" s="409"/>
      <c r="AC209" s="38"/>
      <c r="AD209" s="68"/>
      <c r="AE209" s="68"/>
      <c r="AF209" s="68"/>
      <c r="AG209" s="68"/>
      <c r="AH209" s="68"/>
      <c r="AI209" s="38"/>
      <c r="AJ209" s="38"/>
      <c r="AK209" s="38"/>
      <c r="AL209" s="38"/>
      <c r="AM209" s="38"/>
      <c r="AN209" s="38"/>
      <c r="AO209" s="69"/>
      <c r="AP209" s="69"/>
      <c r="AQ209" s="69"/>
      <c r="AR209" s="69"/>
      <c r="AS209" s="68"/>
      <c r="AT209" s="66" t="e">
        <f>VLOOKUP(K209,[4]Planilha1!A$13:P$314,16,0)</f>
        <v>#N/A</v>
      </c>
    </row>
    <row r="210" spans="1:46" s="63" customFormat="1" x14ac:dyDescent="0.25">
      <c r="A210" s="82"/>
      <c r="B210" s="82"/>
      <c r="C210" s="64"/>
      <c r="D210" s="64"/>
      <c r="E210" s="64"/>
      <c r="F210" s="64"/>
      <c r="G210" s="64"/>
      <c r="H210" s="64"/>
      <c r="I210" s="64"/>
      <c r="J210" s="64"/>
      <c r="K210" s="64"/>
      <c r="L210" s="64"/>
      <c r="M210" s="64"/>
      <c r="N210" s="406"/>
      <c r="O210" s="64"/>
      <c r="P210" s="410"/>
      <c r="Q210" s="64"/>
      <c r="R210" s="401">
        <f t="shared" si="28"/>
        <v>0</v>
      </c>
      <c r="S210" s="401"/>
      <c r="T210" s="401"/>
      <c r="U210" s="64"/>
      <c r="V210" s="64"/>
      <c r="W210" s="413">
        <f t="shared" si="29"/>
        <v>0</v>
      </c>
      <c r="X210" s="403">
        <v>0</v>
      </c>
      <c r="Y210" s="403">
        <v>0</v>
      </c>
      <c r="Z210" s="403">
        <v>0</v>
      </c>
      <c r="AA210" s="38"/>
      <c r="AB210" s="409"/>
      <c r="AC210" s="38"/>
      <c r="AD210" s="68"/>
      <c r="AE210" s="68"/>
      <c r="AF210" s="68"/>
      <c r="AG210" s="68"/>
      <c r="AH210" s="68"/>
      <c r="AI210" s="38"/>
      <c r="AJ210" s="38"/>
      <c r="AK210" s="38"/>
      <c r="AL210" s="38"/>
      <c r="AM210" s="38"/>
      <c r="AN210" s="38"/>
      <c r="AO210" s="69"/>
      <c r="AP210" s="69"/>
      <c r="AQ210" s="69"/>
      <c r="AR210" s="69"/>
      <c r="AS210" s="68"/>
      <c r="AT210" s="66" t="e">
        <f>VLOOKUP(K210,[4]Planilha1!A$13:P$314,16,0)</f>
        <v>#N/A</v>
      </c>
    </row>
    <row r="211" spans="1:46" s="63" customFormat="1" x14ac:dyDescent="0.25">
      <c r="A211" s="82"/>
      <c r="B211" s="82"/>
      <c r="C211" s="64"/>
      <c r="D211" s="64"/>
      <c r="E211" s="64"/>
      <c r="F211" s="64"/>
      <c r="G211" s="64"/>
      <c r="H211" s="64"/>
      <c r="I211" s="64"/>
      <c r="J211" s="64"/>
      <c r="K211" s="64"/>
      <c r="L211" s="64"/>
      <c r="M211" s="64"/>
      <c r="N211" s="406"/>
      <c r="O211" s="64"/>
      <c r="P211" s="410"/>
      <c r="Q211" s="64"/>
      <c r="R211" s="401">
        <f t="shared" si="28"/>
        <v>0</v>
      </c>
      <c r="S211" s="401"/>
      <c r="T211" s="401"/>
      <c r="U211" s="64" t="s">
        <v>8535</v>
      </c>
      <c r="V211" s="64"/>
      <c r="W211" s="413">
        <f t="shared" si="29"/>
        <v>0</v>
      </c>
      <c r="X211" s="403">
        <v>0</v>
      </c>
      <c r="Y211" s="403">
        <v>0</v>
      </c>
      <c r="Z211" s="403">
        <v>0</v>
      </c>
      <c r="AA211" s="38"/>
      <c r="AB211" s="409"/>
      <c r="AC211" s="38"/>
      <c r="AD211" s="68"/>
      <c r="AE211" s="68"/>
      <c r="AF211" s="68"/>
      <c r="AG211" s="68"/>
      <c r="AH211" s="68"/>
      <c r="AI211" s="38"/>
      <c r="AJ211" s="38"/>
      <c r="AK211" s="38"/>
      <c r="AL211" s="38"/>
      <c r="AM211" s="38"/>
      <c r="AN211" s="38"/>
      <c r="AO211" s="69"/>
      <c r="AP211" s="69"/>
      <c r="AQ211" s="69"/>
      <c r="AR211" s="69"/>
      <c r="AS211" s="68"/>
      <c r="AT211" s="66" t="e">
        <f>VLOOKUP(K211,[4]Planilha1!A$13:P$314,16,0)</f>
        <v>#N/A</v>
      </c>
    </row>
    <row r="212" spans="1:46" s="63" customFormat="1" x14ac:dyDescent="0.25">
      <c r="A212" s="82"/>
      <c r="B212" s="82"/>
      <c r="C212" s="64"/>
      <c r="D212" s="64"/>
      <c r="E212" s="64"/>
      <c r="F212" s="64"/>
      <c r="G212" s="64"/>
      <c r="H212" s="64"/>
      <c r="I212" s="64"/>
      <c r="J212" s="64"/>
      <c r="K212" s="64"/>
      <c r="L212" s="64"/>
      <c r="M212" s="64"/>
      <c r="N212" s="406"/>
      <c r="O212" s="64"/>
      <c r="P212" s="410"/>
      <c r="Q212" s="64"/>
      <c r="R212" s="401">
        <f t="shared" si="28"/>
        <v>0</v>
      </c>
      <c r="S212" s="401"/>
      <c r="T212" s="401"/>
      <c r="U212" s="64" t="s">
        <v>8535</v>
      </c>
      <c r="V212" s="64"/>
      <c r="W212" s="413">
        <f t="shared" si="29"/>
        <v>0</v>
      </c>
      <c r="X212" s="403">
        <v>0</v>
      </c>
      <c r="Y212" s="403">
        <v>0</v>
      </c>
      <c r="Z212" s="403">
        <v>0</v>
      </c>
      <c r="AA212" s="38"/>
      <c r="AB212" s="409"/>
      <c r="AC212" s="38"/>
      <c r="AD212" s="68"/>
      <c r="AE212" s="68"/>
      <c r="AF212" s="68"/>
      <c r="AG212" s="68"/>
      <c r="AH212" s="68"/>
      <c r="AI212" s="38"/>
      <c r="AJ212" s="38"/>
      <c r="AK212" s="38"/>
      <c r="AL212" s="38"/>
      <c r="AM212" s="38"/>
      <c r="AN212" s="38"/>
      <c r="AO212" s="69"/>
      <c r="AP212" s="69"/>
      <c r="AQ212" s="69"/>
      <c r="AR212" s="69"/>
      <c r="AS212" s="68"/>
      <c r="AT212" s="66" t="e">
        <f>VLOOKUP(K212,[4]Planilha1!A$13:P$314,16,0)</f>
        <v>#N/A</v>
      </c>
    </row>
    <row r="213" spans="1:46" s="63" customFormat="1" x14ac:dyDescent="0.25">
      <c r="A213" s="82"/>
      <c r="B213" s="82"/>
      <c r="C213" s="64"/>
      <c r="D213" s="64"/>
      <c r="E213" s="64"/>
      <c r="F213" s="64"/>
      <c r="G213" s="64"/>
      <c r="H213" s="64"/>
      <c r="I213" s="64"/>
      <c r="J213" s="64"/>
      <c r="K213" s="64"/>
      <c r="L213" s="64"/>
      <c r="M213" s="64"/>
      <c r="N213" s="406"/>
      <c r="O213" s="64"/>
      <c r="P213" s="410"/>
      <c r="Q213" s="64"/>
      <c r="R213" s="401">
        <f t="shared" si="28"/>
        <v>0</v>
      </c>
      <c r="S213" s="401"/>
      <c r="T213" s="401"/>
      <c r="U213" s="64" t="s">
        <v>8535</v>
      </c>
      <c r="V213" s="64"/>
      <c r="W213" s="413">
        <f t="shared" si="29"/>
        <v>0</v>
      </c>
      <c r="X213" s="403">
        <v>0</v>
      </c>
      <c r="Y213" s="403">
        <v>0</v>
      </c>
      <c r="Z213" s="403">
        <v>0</v>
      </c>
      <c r="AA213" s="38"/>
      <c r="AB213" s="409"/>
      <c r="AC213" s="38"/>
      <c r="AD213" s="68"/>
      <c r="AE213" s="68"/>
      <c r="AF213" s="68"/>
      <c r="AG213" s="68"/>
      <c r="AH213" s="68"/>
      <c r="AI213" s="38"/>
      <c r="AJ213" s="38"/>
      <c r="AK213" s="38"/>
      <c r="AL213" s="38"/>
      <c r="AM213" s="38"/>
      <c r="AN213" s="38"/>
      <c r="AO213" s="69"/>
      <c r="AP213" s="69"/>
      <c r="AQ213" s="69"/>
      <c r="AR213" s="69"/>
      <c r="AS213" s="68"/>
      <c r="AT213" s="66" t="e">
        <f>VLOOKUP(K213,[4]Planilha1!A$13:P$314,16,0)</f>
        <v>#N/A</v>
      </c>
    </row>
    <row r="214" spans="1:46" s="63" customFormat="1" x14ac:dyDescent="0.25">
      <c r="A214" s="82"/>
      <c r="B214" s="82"/>
      <c r="C214" s="64"/>
      <c r="D214" s="64"/>
      <c r="E214" s="64"/>
      <c r="F214" s="64"/>
      <c r="G214" s="64"/>
      <c r="H214" s="64"/>
      <c r="I214" s="64"/>
      <c r="J214" s="64"/>
      <c r="K214" s="64"/>
      <c r="L214" s="64"/>
      <c r="M214" s="64"/>
      <c r="N214" s="406"/>
      <c r="O214" s="64"/>
      <c r="P214" s="410"/>
      <c r="Q214" s="64"/>
      <c r="R214" s="401">
        <f t="shared" si="28"/>
        <v>0</v>
      </c>
      <c r="S214" s="401"/>
      <c r="T214" s="401"/>
      <c r="U214" s="64" t="s">
        <v>8535</v>
      </c>
      <c r="V214" s="64"/>
      <c r="W214" s="413">
        <f t="shared" si="29"/>
        <v>0</v>
      </c>
      <c r="X214" s="403">
        <v>0</v>
      </c>
      <c r="Y214" s="403">
        <v>0</v>
      </c>
      <c r="Z214" s="403">
        <v>0</v>
      </c>
      <c r="AA214" s="38"/>
      <c r="AB214" s="409"/>
      <c r="AC214" s="38"/>
      <c r="AD214" s="68"/>
      <c r="AE214" s="68"/>
      <c r="AF214" s="68"/>
      <c r="AG214" s="68"/>
      <c r="AH214" s="68"/>
      <c r="AI214" s="38"/>
      <c r="AJ214" s="38"/>
      <c r="AK214" s="38"/>
      <c r="AL214" s="38"/>
      <c r="AM214" s="38"/>
      <c r="AN214" s="38"/>
      <c r="AO214" s="69"/>
      <c r="AP214" s="69"/>
      <c r="AQ214" s="69"/>
      <c r="AR214" s="69"/>
      <c r="AS214" s="68"/>
      <c r="AT214" s="66" t="e">
        <f>VLOOKUP(K214,[4]Planilha1!A$13:P$314,16,0)</f>
        <v>#N/A</v>
      </c>
    </row>
    <row r="215" spans="1:46" s="63" customFormat="1" x14ac:dyDescent="0.25">
      <c r="A215" s="82"/>
      <c r="B215" s="82"/>
      <c r="C215" s="64"/>
      <c r="D215" s="64"/>
      <c r="E215" s="64"/>
      <c r="F215" s="64"/>
      <c r="G215" s="64"/>
      <c r="H215" s="64"/>
      <c r="I215" s="64"/>
      <c r="J215" s="64"/>
      <c r="K215" s="64"/>
      <c r="L215" s="64"/>
      <c r="M215" s="64"/>
      <c r="N215" s="406"/>
      <c r="O215" s="64"/>
      <c r="P215" s="410"/>
      <c r="Q215" s="64"/>
      <c r="R215" s="401">
        <f t="shared" si="28"/>
        <v>0</v>
      </c>
      <c r="S215" s="401"/>
      <c r="T215" s="401"/>
      <c r="U215" s="64" t="s">
        <v>8535</v>
      </c>
      <c r="V215" s="64"/>
      <c r="W215" s="413">
        <f t="shared" si="29"/>
        <v>0</v>
      </c>
      <c r="X215" s="403">
        <v>0</v>
      </c>
      <c r="Y215" s="403">
        <v>0</v>
      </c>
      <c r="Z215" s="403">
        <v>0</v>
      </c>
      <c r="AA215" s="38"/>
      <c r="AB215" s="409"/>
      <c r="AC215" s="38"/>
      <c r="AD215" s="68"/>
      <c r="AE215" s="68"/>
      <c r="AF215" s="68"/>
      <c r="AG215" s="68"/>
      <c r="AH215" s="68"/>
      <c r="AI215" s="38"/>
      <c r="AJ215" s="38"/>
      <c r="AK215" s="38"/>
      <c r="AL215" s="38"/>
      <c r="AM215" s="38"/>
      <c r="AN215" s="38"/>
      <c r="AO215" s="69"/>
      <c r="AP215" s="69"/>
      <c r="AQ215" s="69"/>
      <c r="AR215" s="69"/>
      <c r="AS215" s="68"/>
      <c r="AT215" s="66" t="e">
        <f>VLOOKUP(K215,[4]Planilha1!A$13:P$314,16,0)</f>
        <v>#N/A</v>
      </c>
    </row>
    <row r="216" spans="1:46" s="63" customFormat="1" x14ac:dyDescent="0.25">
      <c r="A216" s="82"/>
      <c r="B216" s="82"/>
      <c r="C216" s="64"/>
      <c r="D216" s="64"/>
      <c r="E216" s="64"/>
      <c r="F216" s="64"/>
      <c r="G216" s="64"/>
      <c r="H216" s="64"/>
      <c r="I216" s="64"/>
      <c r="J216" s="64"/>
      <c r="K216" s="64"/>
      <c r="L216" s="64"/>
      <c r="M216" s="64"/>
      <c r="N216" s="406"/>
      <c r="O216" s="64"/>
      <c r="P216" s="410"/>
      <c r="Q216" s="64"/>
      <c r="R216" s="401">
        <f t="shared" si="28"/>
        <v>0</v>
      </c>
      <c r="S216" s="401"/>
      <c r="T216" s="401"/>
      <c r="U216" s="64" t="s">
        <v>8535</v>
      </c>
      <c r="V216" s="64"/>
      <c r="W216" s="413">
        <f t="shared" si="29"/>
        <v>0</v>
      </c>
      <c r="X216" s="403">
        <v>0</v>
      </c>
      <c r="Y216" s="403">
        <v>0</v>
      </c>
      <c r="Z216" s="403">
        <v>0</v>
      </c>
      <c r="AA216" s="38"/>
      <c r="AB216" s="409"/>
      <c r="AC216" s="38"/>
      <c r="AD216" s="68"/>
      <c r="AE216" s="68"/>
      <c r="AF216" s="68"/>
      <c r="AG216" s="68"/>
      <c r="AH216" s="68"/>
      <c r="AI216" s="38"/>
      <c r="AJ216" s="38"/>
      <c r="AK216" s="38"/>
      <c r="AL216" s="38"/>
      <c r="AM216" s="38"/>
      <c r="AN216" s="38"/>
      <c r="AO216" s="69"/>
      <c r="AP216" s="69"/>
      <c r="AQ216" s="69"/>
      <c r="AR216" s="69"/>
      <c r="AS216" s="68"/>
      <c r="AT216" s="66" t="e">
        <f>VLOOKUP(K216,[4]Planilha1!A$13:P$314,16,0)</f>
        <v>#N/A</v>
      </c>
    </row>
    <row r="217" spans="1:46" s="63" customFormat="1" x14ac:dyDescent="0.25">
      <c r="A217" s="82"/>
      <c r="B217" s="82"/>
      <c r="C217" s="64"/>
      <c r="D217" s="64"/>
      <c r="E217" s="64"/>
      <c r="F217" s="64"/>
      <c r="G217" s="64"/>
      <c r="H217" s="64"/>
      <c r="I217" s="64"/>
      <c r="J217" s="64"/>
      <c r="K217" s="64"/>
      <c r="L217" s="64"/>
      <c r="M217" s="64"/>
      <c r="N217" s="406"/>
      <c r="O217" s="64"/>
      <c r="P217" s="410"/>
      <c r="Q217" s="64"/>
      <c r="R217" s="401">
        <f t="shared" ref="R217:R280" si="30">P217*N217</f>
        <v>0</v>
      </c>
      <c r="S217" s="401"/>
      <c r="T217" s="401"/>
      <c r="U217" s="64" t="s">
        <v>8535</v>
      </c>
      <c r="V217" s="64"/>
      <c r="W217" s="413">
        <f t="shared" si="29"/>
        <v>0</v>
      </c>
      <c r="X217" s="403">
        <v>0</v>
      </c>
      <c r="Y217" s="403">
        <v>0</v>
      </c>
      <c r="Z217" s="403">
        <v>0</v>
      </c>
      <c r="AA217" s="38"/>
      <c r="AB217" s="409"/>
      <c r="AC217" s="38"/>
      <c r="AD217" s="68"/>
      <c r="AE217" s="68"/>
      <c r="AF217" s="68"/>
      <c r="AG217" s="68"/>
      <c r="AH217" s="68"/>
      <c r="AI217" s="38"/>
      <c r="AJ217" s="38"/>
      <c r="AK217" s="38"/>
      <c r="AL217" s="38"/>
      <c r="AM217" s="38"/>
      <c r="AN217" s="38"/>
      <c r="AO217" s="69"/>
      <c r="AP217" s="69"/>
      <c r="AQ217" s="69"/>
      <c r="AR217" s="69"/>
      <c r="AS217" s="68"/>
      <c r="AT217" s="66" t="e">
        <f>VLOOKUP(K217,[4]Planilha1!A$13:P$314,16,0)</f>
        <v>#N/A</v>
      </c>
    </row>
    <row r="218" spans="1:46" s="63" customFormat="1" x14ac:dyDescent="0.25">
      <c r="A218" s="82"/>
      <c r="B218" s="82"/>
      <c r="C218" s="64"/>
      <c r="D218" s="64"/>
      <c r="E218" s="64"/>
      <c r="F218" s="64"/>
      <c r="G218" s="64"/>
      <c r="H218" s="64"/>
      <c r="I218" s="64"/>
      <c r="J218" s="64"/>
      <c r="K218" s="64"/>
      <c r="L218" s="64"/>
      <c r="M218" s="64"/>
      <c r="N218" s="406"/>
      <c r="O218" s="64"/>
      <c r="P218" s="410"/>
      <c r="Q218" s="64"/>
      <c r="R218" s="401">
        <f t="shared" si="30"/>
        <v>0</v>
      </c>
      <c r="S218" s="401"/>
      <c r="T218" s="401"/>
      <c r="U218" s="64" t="s">
        <v>8535</v>
      </c>
      <c r="V218" s="64"/>
      <c r="W218" s="413">
        <f t="shared" si="29"/>
        <v>0</v>
      </c>
      <c r="X218" s="403">
        <v>0</v>
      </c>
      <c r="Y218" s="403">
        <v>0</v>
      </c>
      <c r="Z218" s="403">
        <v>0</v>
      </c>
      <c r="AA218" s="38"/>
      <c r="AB218" s="409"/>
      <c r="AC218" s="38"/>
      <c r="AD218" s="68"/>
      <c r="AE218" s="68"/>
      <c r="AF218" s="68"/>
      <c r="AG218" s="68"/>
      <c r="AH218" s="68"/>
      <c r="AI218" s="38"/>
      <c r="AJ218" s="38"/>
      <c r="AK218" s="38"/>
      <c r="AL218" s="38"/>
      <c r="AM218" s="38"/>
      <c r="AN218" s="38"/>
      <c r="AO218" s="69"/>
      <c r="AP218" s="69"/>
      <c r="AQ218" s="69"/>
      <c r="AR218" s="69"/>
      <c r="AS218" s="68"/>
      <c r="AT218" s="66" t="e">
        <f>VLOOKUP(K218,[4]Planilha1!A$13:P$314,16,0)</f>
        <v>#N/A</v>
      </c>
    </row>
    <row r="219" spans="1:46" s="63" customFormat="1" x14ac:dyDescent="0.25">
      <c r="A219" s="82"/>
      <c r="B219" s="82"/>
      <c r="C219" s="64"/>
      <c r="D219" s="64"/>
      <c r="E219" s="64"/>
      <c r="F219" s="64"/>
      <c r="G219" s="64"/>
      <c r="H219" s="64"/>
      <c r="I219" s="64"/>
      <c r="J219" s="64"/>
      <c r="K219" s="64"/>
      <c r="L219" s="64"/>
      <c r="M219" s="64"/>
      <c r="N219" s="406"/>
      <c r="O219" s="64"/>
      <c r="P219" s="410"/>
      <c r="Q219" s="64"/>
      <c r="R219" s="401">
        <f t="shared" si="30"/>
        <v>0</v>
      </c>
      <c r="S219" s="401"/>
      <c r="T219" s="401"/>
      <c r="U219" s="64" t="s">
        <v>8535</v>
      </c>
      <c r="V219" s="64"/>
      <c r="W219" s="413">
        <f t="shared" si="29"/>
        <v>0</v>
      </c>
      <c r="X219" s="403">
        <v>0</v>
      </c>
      <c r="Y219" s="403">
        <v>0</v>
      </c>
      <c r="Z219" s="403">
        <v>0</v>
      </c>
      <c r="AA219" s="38"/>
      <c r="AB219" s="409"/>
      <c r="AC219" s="38"/>
      <c r="AD219" s="68"/>
      <c r="AE219" s="68"/>
      <c r="AF219" s="68"/>
      <c r="AG219" s="68"/>
      <c r="AH219" s="68"/>
      <c r="AI219" s="38"/>
      <c r="AJ219" s="38"/>
      <c r="AK219" s="38"/>
      <c r="AL219" s="38"/>
      <c r="AM219" s="38"/>
      <c r="AN219" s="38"/>
      <c r="AO219" s="69"/>
      <c r="AP219" s="69"/>
      <c r="AQ219" s="69"/>
      <c r="AR219" s="69"/>
      <c r="AS219" s="68"/>
      <c r="AT219" s="66" t="e">
        <f>VLOOKUP(K219,[4]Planilha1!A$13:P$314,16,0)</f>
        <v>#N/A</v>
      </c>
    </row>
    <row r="220" spans="1:46" s="63" customFormat="1" x14ac:dyDescent="0.25">
      <c r="A220" s="82"/>
      <c r="B220" s="82"/>
      <c r="C220" s="64"/>
      <c r="D220" s="64"/>
      <c r="E220" s="64"/>
      <c r="F220" s="64"/>
      <c r="G220" s="64"/>
      <c r="H220" s="64"/>
      <c r="I220" s="64"/>
      <c r="J220" s="64"/>
      <c r="K220" s="64"/>
      <c r="L220" s="64"/>
      <c r="M220" s="64"/>
      <c r="N220" s="406"/>
      <c r="O220" s="64"/>
      <c r="P220" s="410"/>
      <c r="Q220" s="64"/>
      <c r="R220" s="401">
        <f t="shared" si="30"/>
        <v>0</v>
      </c>
      <c r="S220" s="401"/>
      <c r="T220" s="401"/>
      <c r="U220" s="64" t="s">
        <v>8535</v>
      </c>
      <c r="V220" s="64"/>
      <c r="W220" s="413">
        <f t="shared" si="29"/>
        <v>0</v>
      </c>
      <c r="X220" s="403">
        <v>0</v>
      </c>
      <c r="Y220" s="403">
        <v>0</v>
      </c>
      <c r="Z220" s="403">
        <v>0</v>
      </c>
      <c r="AA220" s="38"/>
      <c r="AB220" s="409"/>
      <c r="AC220" s="38"/>
      <c r="AD220" s="68"/>
      <c r="AE220" s="68"/>
      <c r="AF220" s="68"/>
      <c r="AG220" s="68"/>
      <c r="AH220" s="68"/>
      <c r="AI220" s="38"/>
      <c r="AJ220" s="38"/>
      <c r="AK220" s="38"/>
      <c r="AL220" s="38"/>
      <c r="AM220" s="38"/>
      <c r="AN220" s="38"/>
      <c r="AO220" s="69"/>
      <c r="AP220" s="69"/>
      <c r="AQ220" s="69"/>
      <c r="AR220" s="69"/>
      <c r="AS220" s="68"/>
      <c r="AT220" s="66" t="e">
        <f>VLOOKUP(K220,[4]Planilha1!A$13:P$314,16,0)</f>
        <v>#N/A</v>
      </c>
    </row>
    <row r="221" spans="1:46" s="63" customFormat="1" x14ac:dyDescent="0.25">
      <c r="A221" s="82"/>
      <c r="B221" s="82"/>
      <c r="C221" s="64"/>
      <c r="D221" s="64"/>
      <c r="E221" s="64"/>
      <c r="F221" s="64"/>
      <c r="G221" s="64"/>
      <c r="H221" s="64"/>
      <c r="I221" s="64"/>
      <c r="J221" s="64"/>
      <c r="K221" s="64"/>
      <c r="L221" s="64"/>
      <c r="M221" s="64"/>
      <c r="N221" s="406"/>
      <c r="O221" s="64"/>
      <c r="P221" s="410"/>
      <c r="Q221" s="64"/>
      <c r="R221" s="401">
        <f t="shared" si="30"/>
        <v>0</v>
      </c>
      <c r="S221" s="401"/>
      <c r="T221" s="401"/>
      <c r="U221" s="64" t="s">
        <v>8535</v>
      </c>
      <c r="V221" s="64"/>
      <c r="W221" s="413">
        <f t="shared" si="29"/>
        <v>0</v>
      </c>
      <c r="X221" s="403">
        <v>0</v>
      </c>
      <c r="Y221" s="403">
        <v>0</v>
      </c>
      <c r="Z221" s="403">
        <v>0</v>
      </c>
      <c r="AA221" s="38"/>
      <c r="AB221" s="409"/>
      <c r="AC221" s="38"/>
      <c r="AD221" s="68"/>
      <c r="AE221" s="68"/>
      <c r="AF221" s="68"/>
      <c r="AG221" s="68"/>
      <c r="AH221" s="68"/>
      <c r="AI221" s="38"/>
      <c r="AJ221" s="38"/>
      <c r="AK221" s="38"/>
      <c r="AL221" s="38"/>
      <c r="AM221" s="38"/>
      <c r="AN221" s="38"/>
      <c r="AO221" s="69"/>
      <c r="AP221" s="69"/>
      <c r="AQ221" s="69"/>
      <c r="AR221" s="69"/>
      <c r="AS221" s="68"/>
      <c r="AT221" s="66" t="e">
        <f>VLOOKUP(K221,[4]Planilha1!A$13:P$314,16,0)</f>
        <v>#N/A</v>
      </c>
    </row>
    <row r="222" spans="1:46" s="63" customFormat="1" x14ac:dyDescent="0.25">
      <c r="A222" s="82"/>
      <c r="B222" s="82"/>
      <c r="C222" s="64"/>
      <c r="D222" s="64"/>
      <c r="E222" s="64"/>
      <c r="F222" s="64"/>
      <c r="G222" s="64"/>
      <c r="H222" s="64"/>
      <c r="I222" s="64"/>
      <c r="J222" s="64"/>
      <c r="K222" s="64"/>
      <c r="L222" s="64"/>
      <c r="M222" s="64"/>
      <c r="N222" s="406"/>
      <c r="O222" s="64"/>
      <c r="P222" s="410"/>
      <c r="Q222" s="64"/>
      <c r="R222" s="401">
        <f t="shared" si="30"/>
        <v>0</v>
      </c>
      <c r="S222" s="401"/>
      <c r="T222" s="401"/>
      <c r="U222" s="64"/>
      <c r="V222" s="64"/>
      <c r="W222" s="413">
        <f t="shared" si="29"/>
        <v>0</v>
      </c>
      <c r="X222" s="403">
        <v>0</v>
      </c>
      <c r="Y222" s="403">
        <v>0</v>
      </c>
      <c r="Z222" s="403">
        <v>0</v>
      </c>
      <c r="AA222" s="38"/>
      <c r="AB222" s="409"/>
      <c r="AC222" s="38"/>
      <c r="AD222" s="68"/>
      <c r="AE222" s="68"/>
      <c r="AF222" s="68"/>
      <c r="AG222" s="68"/>
      <c r="AH222" s="68"/>
      <c r="AI222" s="38"/>
      <c r="AJ222" s="38"/>
      <c r="AK222" s="38"/>
      <c r="AL222" s="38"/>
      <c r="AM222" s="38"/>
      <c r="AN222" s="38"/>
      <c r="AO222" s="69"/>
      <c r="AP222" s="69"/>
      <c r="AQ222" s="69"/>
      <c r="AR222" s="69"/>
      <c r="AS222" s="68"/>
      <c r="AT222" s="66" t="e">
        <f>VLOOKUP(K222,[4]Planilha1!A$13:P$314,16,0)</f>
        <v>#N/A</v>
      </c>
    </row>
    <row r="223" spans="1:46" s="63" customFormat="1" x14ac:dyDescent="0.25">
      <c r="A223" s="82"/>
      <c r="B223" s="82"/>
      <c r="C223" s="64"/>
      <c r="D223" s="64"/>
      <c r="E223" s="64"/>
      <c r="F223" s="64"/>
      <c r="G223" s="64"/>
      <c r="H223" s="64"/>
      <c r="I223" s="64"/>
      <c r="J223" s="64"/>
      <c r="K223" s="64"/>
      <c r="L223" s="64"/>
      <c r="M223" s="64"/>
      <c r="N223" s="406"/>
      <c r="O223" s="64"/>
      <c r="P223" s="410"/>
      <c r="Q223" s="64"/>
      <c r="R223" s="401">
        <f t="shared" si="30"/>
        <v>0</v>
      </c>
      <c r="S223" s="401"/>
      <c r="T223" s="401"/>
      <c r="U223" s="64" t="s">
        <v>8535</v>
      </c>
      <c r="V223" s="64"/>
      <c r="W223" s="413">
        <f t="shared" si="29"/>
        <v>0</v>
      </c>
      <c r="X223" s="403">
        <v>0</v>
      </c>
      <c r="Y223" s="403">
        <v>0</v>
      </c>
      <c r="Z223" s="403">
        <v>0</v>
      </c>
      <c r="AA223" s="38"/>
      <c r="AB223" s="409"/>
      <c r="AC223" s="38"/>
      <c r="AD223" s="68"/>
      <c r="AE223" s="68"/>
      <c r="AF223" s="68"/>
      <c r="AG223" s="68"/>
      <c r="AH223" s="68"/>
      <c r="AI223" s="38"/>
      <c r="AJ223" s="38"/>
      <c r="AK223" s="38"/>
      <c r="AL223" s="38"/>
      <c r="AM223" s="38"/>
      <c r="AN223" s="38"/>
      <c r="AO223" s="69"/>
      <c r="AP223" s="69"/>
      <c r="AQ223" s="69"/>
      <c r="AR223" s="69"/>
      <c r="AS223" s="68"/>
      <c r="AT223" s="66" t="e">
        <f>VLOOKUP(K223,[4]Planilha1!A$13:P$314,16,0)</f>
        <v>#N/A</v>
      </c>
    </row>
    <row r="224" spans="1:46" s="63" customFormat="1" x14ac:dyDescent="0.25">
      <c r="A224" s="82"/>
      <c r="B224" s="82"/>
      <c r="C224" s="64"/>
      <c r="D224" s="64"/>
      <c r="E224" s="64"/>
      <c r="F224" s="64"/>
      <c r="G224" s="64"/>
      <c r="H224" s="64"/>
      <c r="I224" s="64"/>
      <c r="J224" s="64"/>
      <c r="K224" s="64"/>
      <c r="L224" s="64"/>
      <c r="M224" s="64"/>
      <c r="N224" s="406"/>
      <c r="O224" s="64"/>
      <c r="P224" s="410"/>
      <c r="Q224" s="64"/>
      <c r="R224" s="401">
        <f t="shared" si="30"/>
        <v>0</v>
      </c>
      <c r="S224" s="401"/>
      <c r="T224" s="401"/>
      <c r="U224" s="64"/>
      <c r="V224" s="64"/>
      <c r="W224" s="413">
        <f t="shared" si="29"/>
        <v>0</v>
      </c>
      <c r="X224" s="403">
        <v>0</v>
      </c>
      <c r="Y224" s="403">
        <v>0</v>
      </c>
      <c r="Z224" s="403">
        <v>0</v>
      </c>
      <c r="AA224" s="38"/>
      <c r="AB224" s="409"/>
      <c r="AC224" s="38"/>
      <c r="AD224" s="68"/>
      <c r="AE224" s="68"/>
      <c r="AF224" s="68"/>
      <c r="AG224" s="68"/>
      <c r="AH224" s="68"/>
      <c r="AI224" s="38"/>
      <c r="AJ224" s="38"/>
      <c r="AK224" s="38"/>
      <c r="AL224" s="38"/>
      <c r="AM224" s="38"/>
      <c r="AN224" s="38"/>
      <c r="AO224" s="69"/>
      <c r="AP224" s="69"/>
      <c r="AQ224" s="69"/>
      <c r="AR224" s="69"/>
      <c r="AS224" s="68"/>
      <c r="AT224" s="66" t="e">
        <f>VLOOKUP(K224,[4]Planilha1!A$13:P$314,16,0)</f>
        <v>#N/A</v>
      </c>
    </row>
    <row r="225" spans="1:46" s="63" customFormat="1" x14ac:dyDescent="0.25">
      <c r="A225" s="82"/>
      <c r="B225" s="82"/>
      <c r="C225" s="64"/>
      <c r="D225" s="64"/>
      <c r="E225" s="64"/>
      <c r="F225" s="64"/>
      <c r="G225" s="64"/>
      <c r="H225" s="64"/>
      <c r="I225" s="64"/>
      <c r="J225" s="64"/>
      <c r="K225" s="64"/>
      <c r="L225" s="64"/>
      <c r="M225" s="64"/>
      <c r="N225" s="406"/>
      <c r="O225" s="64"/>
      <c r="P225" s="410"/>
      <c r="Q225" s="64"/>
      <c r="R225" s="401">
        <f t="shared" si="30"/>
        <v>0</v>
      </c>
      <c r="S225" s="401"/>
      <c r="T225" s="401"/>
      <c r="U225" s="64" t="s">
        <v>8535</v>
      </c>
      <c r="V225" s="64"/>
      <c r="W225" s="413">
        <f t="shared" si="29"/>
        <v>0</v>
      </c>
      <c r="X225" s="403">
        <v>0</v>
      </c>
      <c r="Y225" s="403">
        <v>0</v>
      </c>
      <c r="Z225" s="403">
        <v>0</v>
      </c>
      <c r="AA225" s="38"/>
      <c r="AB225" s="409"/>
      <c r="AC225" s="38"/>
      <c r="AD225" s="68"/>
      <c r="AE225" s="68"/>
      <c r="AF225" s="68"/>
      <c r="AG225" s="68"/>
      <c r="AH225" s="68"/>
      <c r="AI225" s="38"/>
      <c r="AJ225" s="38"/>
      <c r="AK225" s="38"/>
      <c r="AL225" s="38"/>
      <c r="AM225" s="38"/>
      <c r="AN225" s="38"/>
      <c r="AO225" s="69"/>
      <c r="AP225" s="69"/>
      <c r="AQ225" s="69"/>
      <c r="AR225" s="69"/>
      <c r="AS225" s="68"/>
      <c r="AT225" s="66" t="e">
        <f>VLOOKUP(K225,[4]Planilha1!A$13:P$314,16,0)</f>
        <v>#N/A</v>
      </c>
    </row>
    <row r="226" spans="1:46" s="63" customFormat="1" x14ac:dyDescent="0.25">
      <c r="A226" s="82"/>
      <c r="B226" s="82"/>
      <c r="C226" s="64"/>
      <c r="D226" s="64"/>
      <c r="E226" s="64"/>
      <c r="F226" s="64"/>
      <c r="G226" s="64"/>
      <c r="H226" s="64"/>
      <c r="I226" s="64"/>
      <c r="J226" s="64"/>
      <c r="K226" s="64"/>
      <c r="L226" s="64"/>
      <c r="M226" s="64"/>
      <c r="N226" s="406"/>
      <c r="O226" s="64"/>
      <c r="P226" s="410"/>
      <c r="Q226" s="64"/>
      <c r="R226" s="401">
        <f t="shared" si="30"/>
        <v>0</v>
      </c>
      <c r="S226" s="401"/>
      <c r="T226" s="401"/>
      <c r="U226" s="64" t="s">
        <v>8535</v>
      </c>
      <c r="V226" s="64"/>
      <c r="W226" s="413">
        <f t="shared" si="29"/>
        <v>0</v>
      </c>
      <c r="X226" s="403">
        <v>0</v>
      </c>
      <c r="Y226" s="403">
        <v>0</v>
      </c>
      <c r="Z226" s="403">
        <v>0</v>
      </c>
      <c r="AA226" s="38"/>
      <c r="AB226" s="409"/>
      <c r="AC226" s="38"/>
      <c r="AD226" s="68"/>
      <c r="AE226" s="68"/>
      <c r="AF226" s="68"/>
      <c r="AG226" s="68"/>
      <c r="AH226" s="68"/>
      <c r="AI226" s="38"/>
      <c r="AJ226" s="38"/>
      <c r="AK226" s="38"/>
      <c r="AL226" s="38"/>
      <c r="AM226" s="38"/>
      <c r="AN226" s="38"/>
      <c r="AO226" s="69"/>
      <c r="AP226" s="69"/>
      <c r="AQ226" s="69"/>
      <c r="AR226" s="69"/>
      <c r="AS226" s="68"/>
      <c r="AT226" s="66" t="e">
        <f>VLOOKUP(K226,[4]Planilha1!A$13:P$314,16,0)</f>
        <v>#N/A</v>
      </c>
    </row>
    <row r="227" spans="1:46" s="63" customFormat="1" x14ac:dyDescent="0.25">
      <c r="A227" s="82"/>
      <c r="B227" s="82"/>
      <c r="C227" s="64"/>
      <c r="D227" s="64"/>
      <c r="E227" s="64"/>
      <c r="F227" s="64"/>
      <c r="G227" s="64"/>
      <c r="H227" s="64"/>
      <c r="I227" s="64"/>
      <c r="J227" s="64"/>
      <c r="K227" s="64"/>
      <c r="L227" s="64"/>
      <c r="M227" s="64"/>
      <c r="N227" s="406"/>
      <c r="O227" s="64"/>
      <c r="P227" s="410"/>
      <c r="Q227" s="64"/>
      <c r="R227" s="401">
        <f t="shared" si="30"/>
        <v>0</v>
      </c>
      <c r="S227" s="401"/>
      <c r="T227" s="401"/>
      <c r="U227" s="64"/>
      <c r="V227" s="64"/>
      <c r="W227" s="413">
        <f t="shared" si="29"/>
        <v>0</v>
      </c>
      <c r="X227" s="403">
        <v>0</v>
      </c>
      <c r="Y227" s="403">
        <v>0</v>
      </c>
      <c r="Z227" s="403">
        <v>0</v>
      </c>
      <c r="AA227" s="38"/>
      <c r="AB227" s="409"/>
      <c r="AC227" s="38"/>
      <c r="AD227" s="68"/>
      <c r="AE227" s="68"/>
      <c r="AF227" s="68"/>
      <c r="AG227" s="68"/>
      <c r="AH227" s="68"/>
      <c r="AI227" s="38"/>
      <c r="AJ227" s="38"/>
      <c r="AK227" s="38"/>
      <c r="AL227" s="38"/>
      <c r="AM227" s="38"/>
      <c r="AN227" s="38"/>
      <c r="AO227" s="69"/>
      <c r="AP227" s="69"/>
      <c r="AQ227" s="69"/>
      <c r="AR227" s="69"/>
      <c r="AS227" s="68"/>
      <c r="AT227" s="66" t="e">
        <f>VLOOKUP(K227,[4]Planilha1!A$13:P$314,16,0)</f>
        <v>#N/A</v>
      </c>
    </row>
    <row r="228" spans="1:46" s="63" customFormat="1" x14ac:dyDescent="0.25">
      <c r="A228" s="82"/>
      <c r="B228" s="82"/>
      <c r="C228" s="64"/>
      <c r="D228" s="64"/>
      <c r="E228" s="64"/>
      <c r="F228" s="64"/>
      <c r="G228" s="64"/>
      <c r="H228" s="64"/>
      <c r="I228" s="64"/>
      <c r="J228" s="64"/>
      <c r="K228" s="64"/>
      <c r="L228" s="64"/>
      <c r="M228" s="64"/>
      <c r="N228" s="406"/>
      <c r="O228" s="64"/>
      <c r="P228" s="410"/>
      <c r="Q228" s="64"/>
      <c r="R228" s="401">
        <f t="shared" si="30"/>
        <v>0</v>
      </c>
      <c r="S228" s="401"/>
      <c r="T228" s="401"/>
      <c r="U228" s="64" t="s">
        <v>8535</v>
      </c>
      <c r="V228" s="64"/>
      <c r="W228" s="413">
        <f t="shared" si="29"/>
        <v>0</v>
      </c>
      <c r="X228" s="403">
        <v>0</v>
      </c>
      <c r="Y228" s="403">
        <v>0</v>
      </c>
      <c r="Z228" s="403">
        <v>0</v>
      </c>
      <c r="AA228" s="38"/>
      <c r="AB228" s="409"/>
      <c r="AC228" s="38"/>
      <c r="AD228" s="68"/>
      <c r="AE228" s="68"/>
      <c r="AF228" s="68"/>
      <c r="AG228" s="68"/>
      <c r="AH228" s="68"/>
      <c r="AI228" s="38"/>
      <c r="AJ228" s="38"/>
      <c r="AK228" s="38"/>
      <c r="AL228" s="38"/>
      <c r="AM228" s="38"/>
      <c r="AN228" s="38"/>
      <c r="AO228" s="69"/>
      <c r="AP228" s="69"/>
      <c r="AQ228" s="69"/>
      <c r="AR228" s="69"/>
      <c r="AS228" s="68"/>
      <c r="AT228" s="66" t="e">
        <f>VLOOKUP(K228,[4]Planilha1!A$13:P$314,16,0)</f>
        <v>#N/A</v>
      </c>
    </row>
    <row r="229" spans="1:46" s="63" customFormat="1" x14ac:dyDescent="0.25">
      <c r="A229" s="82"/>
      <c r="B229" s="82"/>
      <c r="C229" s="64"/>
      <c r="D229" s="64"/>
      <c r="E229" s="64"/>
      <c r="F229" s="64"/>
      <c r="G229" s="64"/>
      <c r="H229" s="64"/>
      <c r="I229" s="64"/>
      <c r="J229" s="64"/>
      <c r="K229" s="64"/>
      <c r="L229" s="64"/>
      <c r="M229" s="64"/>
      <c r="N229" s="406"/>
      <c r="O229" s="64"/>
      <c r="P229" s="410"/>
      <c r="Q229" s="64"/>
      <c r="R229" s="401">
        <f t="shared" si="30"/>
        <v>0</v>
      </c>
      <c r="S229" s="401"/>
      <c r="T229" s="401"/>
      <c r="U229" s="64" t="s">
        <v>8535</v>
      </c>
      <c r="V229" s="64"/>
      <c r="W229" s="413">
        <f t="shared" si="29"/>
        <v>0</v>
      </c>
      <c r="X229" s="403">
        <v>0</v>
      </c>
      <c r="Y229" s="403">
        <v>0</v>
      </c>
      <c r="Z229" s="403">
        <v>0</v>
      </c>
      <c r="AA229" s="38"/>
      <c r="AB229" s="409"/>
      <c r="AC229" s="38"/>
      <c r="AD229" s="68"/>
      <c r="AE229" s="68"/>
      <c r="AF229" s="68"/>
      <c r="AG229" s="68"/>
      <c r="AH229" s="68"/>
      <c r="AI229" s="38"/>
      <c r="AJ229" s="38"/>
      <c r="AK229" s="38"/>
      <c r="AL229" s="38"/>
      <c r="AM229" s="38"/>
      <c r="AN229" s="38"/>
      <c r="AO229" s="69"/>
      <c r="AP229" s="69"/>
      <c r="AQ229" s="69"/>
      <c r="AR229" s="69"/>
      <c r="AS229" s="68"/>
      <c r="AT229" s="66" t="e">
        <f>VLOOKUP(K229,[4]Planilha1!A$13:P$314,16,0)</f>
        <v>#N/A</v>
      </c>
    </row>
    <row r="230" spans="1:46" s="63" customFormat="1" x14ac:dyDescent="0.25">
      <c r="A230" s="82"/>
      <c r="B230" s="82"/>
      <c r="C230" s="64"/>
      <c r="D230" s="64"/>
      <c r="E230" s="64"/>
      <c r="F230" s="64"/>
      <c r="G230" s="64"/>
      <c r="H230" s="64"/>
      <c r="I230" s="64"/>
      <c r="J230" s="64"/>
      <c r="K230" s="64"/>
      <c r="L230" s="64"/>
      <c r="M230" s="64"/>
      <c r="N230" s="406"/>
      <c r="O230" s="64"/>
      <c r="P230" s="410"/>
      <c r="Q230" s="64"/>
      <c r="R230" s="401">
        <f t="shared" si="30"/>
        <v>0</v>
      </c>
      <c r="S230" s="401"/>
      <c r="T230" s="401"/>
      <c r="U230" s="64" t="s">
        <v>8535</v>
      </c>
      <c r="V230" s="64"/>
      <c r="W230" s="413">
        <f t="shared" si="29"/>
        <v>0</v>
      </c>
      <c r="X230" s="403">
        <v>0</v>
      </c>
      <c r="Y230" s="403">
        <v>0</v>
      </c>
      <c r="Z230" s="403">
        <v>0</v>
      </c>
      <c r="AA230" s="38"/>
      <c r="AB230" s="409"/>
      <c r="AC230" s="38"/>
      <c r="AD230" s="68"/>
      <c r="AE230" s="68"/>
      <c r="AF230" s="68"/>
      <c r="AG230" s="68"/>
      <c r="AH230" s="68"/>
      <c r="AI230" s="38"/>
      <c r="AJ230" s="38"/>
      <c r="AK230" s="38"/>
      <c r="AL230" s="38"/>
      <c r="AM230" s="38"/>
      <c r="AN230" s="38"/>
      <c r="AO230" s="69"/>
      <c r="AP230" s="69"/>
      <c r="AQ230" s="69"/>
      <c r="AR230" s="69"/>
      <c r="AS230" s="68"/>
      <c r="AT230" s="66" t="e">
        <f>VLOOKUP(K230,[4]Planilha1!A$13:P$314,16,0)</f>
        <v>#N/A</v>
      </c>
    </row>
    <row r="231" spans="1:46" s="63" customFormat="1" x14ac:dyDescent="0.25">
      <c r="A231" s="82"/>
      <c r="B231" s="82"/>
      <c r="C231" s="64"/>
      <c r="D231" s="64"/>
      <c r="E231" s="64"/>
      <c r="F231" s="64"/>
      <c r="G231" s="64"/>
      <c r="H231" s="64"/>
      <c r="I231" s="64"/>
      <c r="J231" s="64"/>
      <c r="K231" s="64"/>
      <c r="L231" s="64"/>
      <c r="M231" s="64"/>
      <c r="N231" s="406"/>
      <c r="O231" s="64"/>
      <c r="P231" s="410"/>
      <c r="Q231" s="64"/>
      <c r="R231" s="401">
        <f t="shared" si="30"/>
        <v>0</v>
      </c>
      <c r="S231" s="401"/>
      <c r="T231" s="401"/>
      <c r="U231" s="64" t="s">
        <v>8535</v>
      </c>
      <c r="V231" s="64"/>
      <c r="W231" s="413">
        <f t="shared" si="29"/>
        <v>0</v>
      </c>
      <c r="X231" s="403">
        <v>0</v>
      </c>
      <c r="Y231" s="403">
        <v>0</v>
      </c>
      <c r="Z231" s="403">
        <v>0</v>
      </c>
      <c r="AA231" s="38"/>
      <c r="AB231" s="409"/>
      <c r="AC231" s="38"/>
      <c r="AD231" s="68"/>
      <c r="AE231" s="68"/>
      <c r="AF231" s="68"/>
      <c r="AG231" s="68"/>
      <c r="AH231" s="68"/>
      <c r="AI231" s="38"/>
      <c r="AJ231" s="38"/>
      <c r="AK231" s="38"/>
      <c r="AL231" s="38"/>
      <c r="AM231" s="38"/>
      <c r="AN231" s="38"/>
      <c r="AO231" s="69"/>
      <c r="AP231" s="69"/>
      <c r="AQ231" s="69"/>
      <c r="AR231" s="69"/>
      <c r="AS231" s="68"/>
      <c r="AT231" s="66" t="e">
        <f>VLOOKUP(K231,[4]Planilha1!A$13:P$314,16,0)</f>
        <v>#N/A</v>
      </c>
    </row>
    <row r="232" spans="1:46" s="63" customFormat="1" x14ac:dyDescent="0.25">
      <c r="A232" s="82"/>
      <c r="B232" s="82"/>
      <c r="C232" s="64"/>
      <c r="D232" s="64"/>
      <c r="E232" s="64"/>
      <c r="F232" s="64"/>
      <c r="G232" s="64"/>
      <c r="H232" s="64"/>
      <c r="I232" s="64"/>
      <c r="J232" s="64"/>
      <c r="K232" s="64"/>
      <c r="L232" s="64"/>
      <c r="M232" s="64"/>
      <c r="N232" s="406"/>
      <c r="O232" s="64"/>
      <c r="P232" s="410"/>
      <c r="Q232" s="64"/>
      <c r="R232" s="401">
        <f t="shared" si="30"/>
        <v>0</v>
      </c>
      <c r="S232" s="401"/>
      <c r="T232" s="401"/>
      <c r="U232" s="64" t="s">
        <v>8535</v>
      </c>
      <c r="V232" s="64"/>
      <c r="W232" s="413">
        <f t="shared" si="29"/>
        <v>0</v>
      </c>
      <c r="X232" s="403">
        <v>0</v>
      </c>
      <c r="Y232" s="403">
        <v>0</v>
      </c>
      <c r="Z232" s="403">
        <v>0</v>
      </c>
      <c r="AA232" s="38"/>
      <c r="AB232" s="409"/>
      <c r="AC232" s="38"/>
      <c r="AD232" s="68"/>
      <c r="AE232" s="68"/>
      <c r="AF232" s="68"/>
      <c r="AG232" s="68"/>
      <c r="AH232" s="68"/>
      <c r="AI232" s="38"/>
      <c r="AJ232" s="38"/>
      <c r="AK232" s="38"/>
      <c r="AL232" s="38"/>
      <c r="AM232" s="38"/>
      <c r="AN232" s="38"/>
      <c r="AO232" s="69"/>
      <c r="AP232" s="69"/>
      <c r="AQ232" s="69"/>
      <c r="AR232" s="69"/>
      <c r="AS232" s="68"/>
      <c r="AT232" s="66" t="e">
        <f>VLOOKUP(K232,[4]Planilha1!A$13:P$314,16,0)</f>
        <v>#N/A</v>
      </c>
    </row>
    <row r="233" spans="1:46" s="63" customFormat="1" x14ac:dyDescent="0.25">
      <c r="A233" s="82"/>
      <c r="B233" s="82"/>
      <c r="C233" s="64"/>
      <c r="D233" s="64"/>
      <c r="E233" s="64"/>
      <c r="F233" s="64"/>
      <c r="G233" s="64"/>
      <c r="H233" s="64"/>
      <c r="I233" s="64"/>
      <c r="J233" s="64"/>
      <c r="K233" s="64"/>
      <c r="L233" s="64"/>
      <c r="M233" s="64"/>
      <c r="N233" s="406"/>
      <c r="O233" s="64"/>
      <c r="P233" s="410"/>
      <c r="Q233" s="64"/>
      <c r="R233" s="401">
        <f t="shared" si="30"/>
        <v>0</v>
      </c>
      <c r="S233" s="401"/>
      <c r="T233" s="401"/>
      <c r="U233" s="64" t="s">
        <v>8535</v>
      </c>
      <c r="V233" s="64"/>
      <c r="W233" s="413">
        <f t="shared" si="29"/>
        <v>0</v>
      </c>
      <c r="X233" s="403">
        <v>0</v>
      </c>
      <c r="Y233" s="403">
        <v>0</v>
      </c>
      <c r="Z233" s="403">
        <v>0</v>
      </c>
      <c r="AA233" s="38"/>
      <c r="AB233" s="409"/>
      <c r="AC233" s="38"/>
      <c r="AD233" s="68"/>
      <c r="AE233" s="68"/>
      <c r="AF233" s="68"/>
      <c r="AG233" s="68"/>
      <c r="AH233" s="68"/>
      <c r="AI233" s="38"/>
      <c r="AJ233" s="38"/>
      <c r="AK233" s="38"/>
      <c r="AL233" s="38"/>
      <c r="AM233" s="38"/>
      <c r="AN233" s="38"/>
      <c r="AO233" s="69"/>
      <c r="AP233" s="69"/>
      <c r="AQ233" s="69"/>
      <c r="AR233" s="69"/>
      <c r="AS233" s="68"/>
      <c r="AT233" s="66" t="e">
        <f>VLOOKUP(K233,[4]Planilha1!A$13:P$314,16,0)</f>
        <v>#N/A</v>
      </c>
    </row>
    <row r="234" spans="1:46" s="63" customFormat="1" x14ac:dyDescent="0.25">
      <c r="A234" s="82"/>
      <c r="B234" s="82"/>
      <c r="C234" s="64"/>
      <c r="D234" s="64"/>
      <c r="E234" s="64"/>
      <c r="F234" s="64"/>
      <c r="G234" s="64"/>
      <c r="H234" s="64"/>
      <c r="I234" s="64"/>
      <c r="J234" s="64"/>
      <c r="K234" s="64"/>
      <c r="L234" s="64"/>
      <c r="M234" s="64"/>
      <c r="N234" s="406"/>
      <c r="O234" s="64"/>
      <c r="P234" s="410"/>
      <c r="Q234" s="64"/>
      <c r="R234" s="401">
        <f t="shared" si="30"/>
        <v>0</v>
      </c>
      <c r="S234" s="401"/>
      <c r="T234" s="401"/>
      <c r="U234" s="64" t="s">
        <v>8535</v>
      </c>
      <c r="V234" s="64"/>
      <c r="W234" s="413">
        <f t="shared" si="29"/>
        <v>0</v>
      </c>
      <c r="X234" s="403">
        <v>0</v>
      </c>
      <c r="Y234" s="403">
        <v>0</v>
      </c>
      <c r="Z234" s="403">
        <v>0</v>
      </c>
      <c r="AA234" s="38"/>
      <c r="AB234" s="409"/>
      <c r="AC234" s="38"/>
      <c r="AD234" s="68"/>
      <c r="AE234" s="68"/>
      <c r="AF234" s="68"/>
      <c r="AG234" s="68"/>
      <c r="AH234" s="68"/>
      <c r="AI234" s="38"/>
      <c r="AJ234" s="38"/>
      <c r="AK234" s="38"/>
      <c r="AL234" s="38"/>
      <c r="AM234" s="38"/>
      <c r="AN234" s="38"/>
      <c r="AO234" s="69"/>
      <c r="AP234" s="69"/>
      <c r="AQ234" s="69"/>
      <c r="AR234" s="69"/>
      <c r="AS234" s="68"/>
      <c r="AT234" s="66" t="e">
        <f>VLOOKUP(K234,[4]Planilha1!A$13:P$314,16,0)</f>
        <v>#N/A</v>
      </c>
    </row>
    <row r="235" spans="1:46" s="63" customFormat="1" x14ac:dyDescent="0.25">
      <c r="A235" s="82"/>
      <c r="B235" s="82"/>
      <c r="C235" s="64"/>
      <c r="D235" s="64"/>
      <c r="E235" s="64"/>
      <c r="F235" s="64"/>
      <c r="G235" s="64"/>
      <c r="H235" s="64"/>
      <c r="I235" s="64"/>
      <c r="J235" s="64"/>
      <c r="K235" s="64"/>
      <c r="L235" s="64"/>
      <c r="M235" s="64"/>
      <c r="N235" s="406"/>
      <c r="O235" s="64"/>
      <c r="P235" s="410"/>
      <c r="Q235" s="64"/>
      <c r="R235" s="401">
        <f t="shared" si="30"/>
        <v>0</v>
      </c>
      <c r="S235" s="401"/>
      <c r="T235" s="401"/>
      <c r="U235" s="64"/>
      <c r="V235" s="64"/>
      <c r="W235" s="413">
        <f t="shared" si="29"/>
        <v>0</v>
      </c>
      <c r="X235" s="403">
        <v>0</v>
      </c>
      <c r="Y235" s="403">
        <v>0</v>
      </c>
      <c r="Z235" s="403">
        <v>0</v>
      </c>
      <c r="AA235" s="38"/>
      <c r="AB235" s="409"/>
      <c r="AC235" s="38"/>
      <c r="AD235" s="68"/>
      <c r="AE235" s="68"/>
      <c r="AF235" s="68"/>
      <c r="AG235" s="68"/>
      <c r="AH235" s="68"/>
      <c r="AI235" s="38"/>
      <c r="AJ235" s="38"/>
      <c r="AK235" s="38"/>
      <c r="AL235" s="38"/>
      <c r="AM235" s="38"/>
      <c r="AN235" s="38"/>
      <c r="AO235" s="69"/>
      <c r="AP235" s="69"/>
      <c r="AQ235" s="69"/>
      <c r="AR235" s="69"/>
      <c r="AS235" s="68"/>
      <c r="AT235" s="66" t="e">
        <f>VLOOKUP(K235,[4]Planilha1!A$13:P$314,16,0)</f>
        <v>#N/A</v>
      </c>
    </row>
    <row r="236" spans="1:46" s="63" customFormat="1" x14ac:dyDescent="0.25">
      <c r="A236" s="82"/>
      <c r="B236" s="82"/>
      <c r="C236" s="64"/>
      <c r="D236" s="64"/>
      <c r="E236" s="64"/>
      <c r="F236" s="64"/>
      <c r="G236" s="64"/>
      <c r="H236" s="64"/>
      <c r="I236" s="64"/>
      <c r="J236" s="64"/>
      <c r="K236" s="64"/>
      <c r="L236" s="64"/>
      <c r="M236" s="64"/>
      <c r="N236" s="406"/>
      <c r="O236" s="64"/>
      <c r="P236" s="410"/>
      <c r="Q236" s="64"/>
      <c r="R236" s="401">
        <f t="shared" si="30"/>
        <v>0</v>
      </c>
      <c r="S236" s="401"/>
      <c r="T236" s="401"/>
      <c r="U236" s="64" t="s">
        <v>8535</v>
      </c>
      <c r="V236" s="64"/>
      <c r="W236" s="413">
        <f t="shared" si="29"/>
        <v>0</v>
      </c>
      <c r="X236" s="403">
        <v>0</v>
      </c>
      <c r="Y236" s="403">
        <v>0</v>
      </c>
      <c r="Z236" s="403">
        <v>0</v>
      </c>
      <c r="AA236" s="38"/>
      <c r="AB236" s="409"/>
      <c r="AC236" s="38"/>
      <c r="AD236" s="68"/>
      <c r="AE236" s="68"/>
      <c r="AF236" s="68"/>
      <c r="AG236" s="68"/>
      <c r="AH236" s="68"/>
      <c r="AI236" s="38"/>
      <c r="AJ236" s="38"/>
      <c r="AK236" s="38"/>
      <c r="AL236" s="38"/>
      <c r="AM236" s="38"/>
      <c r="AN236" s="38"/>
      <c r="AO236" s="69"/>
      <c r="AP236" s="69"/>
      <c r="AQ236" s="69"/>
      <c r="AR236" s="69"/>
      <c r="AS236" s="68"/>
      <c r="AT236" s="66" t="e">
        <f>VLOOKUP(K236,[4]Planilha1!A$13:P$314,16,0)</f>
        <v>#N/A</v>
      </c>
    </row>
    <row r="237" spans="1:46" s="63" customFormat="1" x14ac:dyDescent="0.25">
      <c r="A237" s="82"/>
      <c r="B237" s="82"/>
      <c r="C237" s="64"/>
      <c r="D237" s="64"/>
      <c r="E237" s="64"/>
      <c r="F237" s="64"/>
      <c r="G237" s="64"/>
      <c r="H237" s="64"/>
      <c r="I237" s="64"/>
      <c r="J237" s="64"/>
      <c r="K237" s="64"/>
      <c r="L237" s="64"/>
      <c r="M237" s="64"/>
      <c r="N237" s="406"/>
      <c r="O237" s="64"/>
      <c r="P237" s="410"/>
      <c r="Q237" s="64"/>
      <c r="R237" s="401">
        <f t="shared" si="30"/>
        <v>0</v>
      </c>
      <c r="S237" s="401"/>
      <c r="T237" s="401"/>
      <c r="U237" s="64"/>
      <c r="V237" s="64"/>
      <c r="W237" s="413">
        <f t="shared" si="29"/>
        <v>0</v>
      </c>
      <c r="X237" s="403">
        <v>0</v>
      </c>
      <c r="Y237" s="403">
        <v>0</v>
      </c>
      <c r="Z237" s="403">
        <v>0</v>
      </c>
      <c r="AA237" s="38"/>
      <c r="AB237" s="409"/>
      <c r="AC237" s="38"/>
      <c r="AD237" s="68"/>
      <c r="AE237" s="68"/>
      <c r="AF237" s="68"/>
      <c r="AG237" s="68"/>
      <c r="AH237" s="68"/>
      <c r="AI237" s="38"/>
      <c r="AJ237" s="38"/>
      <c r="AK237" s="38"/>
      <c r="AL237" s="38"/>
      <c r="AM237" s="38"/>
      <c r="AN237" s="38"/>
      <c r="AO237" s="69"/>
      <c r="AP237" s="69"/>
      <c r="AQ237" s="69"/>
      <c r="AR237" s="69"/>
      <c r="AS237" s="68"/>
      <c r="AT237" s="66" t="e">
        <f>VLOOKUP(K237,[4]Planilha1!A$13:P$314,16,0)</f>
        <v>#N/A</v>
      </c>
    </row>
    <row r="238" spans="1:46" s="63" customFormat="1" x14ac:dyDescent="0.25">
      <c r="A238" s="82"/>
      <c r="B238" s="82"/>
      <c r="C238" s="64"/>
      <c r="D238" s="64"/>
      <c r="E238" s="64"/>
      <c r="F238" s="64"/>
      <c r="G238" s="64"/>
      <c r="H238" s="64"/>
      <c r="I238" s="64"/>
      <c r="J238" s="64"/>
      <c r="K238" s="64"/>
      <c r="L238" s="64"/>
      <c r="M238" s="64"/>
      <c r="N238" s="406"/>
      <c r="O238" s="64"/>
      <c r="P238" s="410"/>
      <c r="Q238" s="64"/>
      <c r="R238" s="401">
        <f t="shared" si="30"/>
        <v>0</v>
      </c>
      <c r="S238" s="401"/>
      <c r="T238" s="401"/>
      <c r="U238" s="64"/>
      <c r="V238" s="64"/>
      <c r="W238" s="413">
        <f t="shared" si="29"/>
        <v>0</v>
      </c>
      <c r="X238" s="403">
        <v>0</v>
      </c>
      <c r="Y238" s="403">
        <v>0</v>
      </c>
      <c r="Z238" s="403">
        <v>0</v>
      </c>
      <c r="AA238" s="38"/>
      <c r="AB238" s="409"/>
      <c r="AC238" s="38"/>
      <c r="AD238" s="68"/>
      <c r="AE238" s="68"/>
      <c r="AF238" s="68"/>
      <c r="AG238" s="68"/>
      <c r="AH238" s="68"/>
      <c r="AI238" s="38"/>
      <c r="AJ238" s="38"/>
      <c r="AK238" s="38"/>
      <c r="AL238" s="38"/>
      <c r="AM238" s="38"/>
      <c r="AN238" s="38"/>
      <c r="AO238" s="69"/>
      <c r="AP238" s="69"/>
      <c r="AQ238" s="69"/>
      <c r="AR238" s="69"/>
      <c r="AS238" s="68"/>
      <c r="AT238" s="66" t="e">
        <f>VLOOKUP(K238,[4]Planilha1!A$13:P$314,16,0)</f>
        <v>#N/A</v>
      </c>
    </row>
    <row r="239" spans="1:46" s="63" customFormat="1" x14ac:dyDescent="0.25">
      <c r="A239" s="82"/>
      <c r="B239" s="82"/>
      <c r="C239" s="64"/>
      <c r="D239" s="64"/>
      <c r="E239" s="64"/>
      <c r="F239" s="64"/>
      <c r="G239" s="64"/>
      <c r="H239" s="64"/>
      <c r="I239" s="64"/>
      <c r="J239" s="64"/>
      <c r="K239" s="64"/>
      <c r="L239" s="64"/>
      <c r="M239" s="64"/>
      <c r="N239" s="406"/>
      <c r="O239" s="64"/>
      <c r="P239" s="410"/>
      <c r="Q239" s="64"/>
      <c r="R239" s="401">
        <f t="shared" si="30"/>
        <v>0</v>
      </c>
      <c r="S239" s="401"/>
      <c r="T239" s="401"/>
      <c r="U239" s="64"/>
      <c r="V239" s="64"/>
      <c r="W239" s="413">
        <f t="shared" si="29"/>
        <v>0</v>
      </c>
      <c r="X239" s="403">
        <v>0</v>
      </c>
      <c r="Y239" s="403">
        <v>0</v>
      </c>
      <c r="Z239" s="403">
        <v>0</v>
      </c>
      <c r="AA239" s="38"/>
      <c r="AB239" s="409"/>
      <c r="AC239" s="38"/>
      <c r="AD239" s="68"/>
      <c r="AE239" s="68"/>
      <c r="AF239" s="68"/>
      <c r="AG239" s="68"/>
      <c r="AH239" s="68"/>
      <c r="AI239" s="38"/>
      <c r="AJ239" s="38"/>
      <c r="AK239" s="38"/>
      <c r="AL239" s="38"/>
      <c r="AM239" s="38"/>
      <c r="AN239" s="38"/>
      <c r="AO239" s="69"/>
      <c r="AP239" s="69"/>
      <c r="AQ239" s="69"/>
      <c r="AR239" s="69"/>
      <c r="AS239" s="68"/>
      <c r="AT239" s="66" t="e">
        <f>VLOOKUP(K239,[4]Planilha1!A$13:P$314,16,0)</f>
        <v>#N/A</v>
      </c>
    </row>
    <row r="240" spans="1:46" s="63" customFormat="1" x14ac:dyDescent="0.25">
      <c r="A240" s="82"/>
      <c r="B240" s="82"/>
      <c r="C240" s="64"/>
      <c r="D240" s="64"/>
      <c r="E240" s="64"/>
      <c r="F240" s="64"/>
      <c r="G240" s="64"/>
      <c r="H240" s="64"/>
      <c r="I240" s="64"/>
      <c r="J240" s="64"/>
      <c r="K240" s="64"/>
      <c r="L240" s="64"/>
      <c r="M240" s="64"/>
      <c r="N240" s="406"/>
      <c r="O240" s="64"/>
      <c r="P240" s="410"/>
      <c r="Q240" s="64"/>
      <c r="R240" s="401">
        <f t="shared" si="30"/>
        <v>0</v>
      </c>
      <c r="S240" s="401"/>
      <c r="T240" s="401"/>
      <c r="U240" s="64"/>
      <c r="V240" s="64"/>
      <c r="W240" s="413">
        <f t="shared" si="29"/>
        <v>0</v>
      </c>
      <c r="X240" s="403">
        <v>0</v>
      </c>
      <c r="Y240" s="403">
        <v>0</v>
      </c>
      <c r="Z240" s="403">
        <v>0</v>
      </c>
      <c r="AA240" s="38"/>
      <c r="AB240" s="409"/>
      <c r="AC240" s="38"/>
      <c r="AD240" s="68"/>
      <c r="AE240" s="68"/>
      <c r="AF240" s="68"/>
      <c r="AG240" s="68"/>
      <c r="AH240" s="68"/>
      <c r="AI240" s="38"/>
      <c r="AJ240" s="38"/>
      <c r="AK240" s="38"/>
      <c r="AL240" s="38"/>
      <c r="AM240" s="38"/>
      <c r="AN240" s="38"/>
      <c r="AO240" s="69"/>
      <c r="AP240" s="69"/>
      <c r="AQ240" s="69"/>
      <c r="AR240" s="69"/>
      <c r="AS240" s="68"/>
      <c r="AT240" s="66" t="e">
        <f>VLOOKUP(K240,[4]Planilha1!A$13:P$314,16,0)</f>
        <v>#N/A</v>
      </c>
    </row>
    <row r="241" spans="1:46" s="63" customFormat="1" x14ac:dyDescent="0.25">
      <c r="A241" s="82"/>
      <c r="B241" s="82"/>
      <c r="C241" s="64"/>
      <c r="D241" s="64"/>
      <c r="E241" s="64"/>
      <c r="F241" s="64"/>
      <c r="G241" s="64"/>
      <c r="H241" s="64"/>
      <c r="I241" s="64"/>
      <c r="J241" s="64"/>
      <c r="K241" s="64"/>
      <c r="L241" s="64"/>
      <c r="M241" s="64"/>
      <c r="N241" s="406"/>
      <c r="O241" s="64"/>
      <c r="P241" s="410"/>
      <c r="Q241" s="64"/>
      <c r="R241" s="401">
        <f t="shared" si="30"/>
        <v>0</v>
      </c>
      <c r="S241" s="401"/>
      <c r="T241" s="401"/>
      <c r="U241" s="64" t="s">
        <v>8535</v>
      </c>
      <c r="V241" s="64"/>
      <c r="W241" s="413">
        <f t="shared" si="29"/>
        <v>0</v>
      </c>
      <c r="X241" s="403">
        <v>0</v>
      </c>
      <c r="Y241" s="403">
        <v>0</v>
      </c>
      <c r="Z241" s="403">
        <v>0</v>
      </c>
      <c r="AA241" s="38"/>
      <c r="AB241" s="409"/>
      <c r="AC241" s="38"/>
      <c r="AD241" s="68"/>
      <c r="AE241" s="68"/>
      <c r="AF241" s="68"/>
      <c r="AG241" s="68"/>
      <c r="AH241" s="68"/>
      <c r="AI241" s="38"/>
      <c r="AJ241" s="38"/>
      <c r="AK241" s="38"/>
      <c r="AL241" s="38"/>
      <c r="AM241" s="38"/>
      <c r="AN241" s="38"/>
      <c r="AO241" s="69"/>
      <c r="AP241" s="69"/>
      <c r="AQ241" s="69"/>
      <c r="AR241" s="69"/>
      <c r="AS241" s="68"/>
      <c r="AT241" s="66" t="e">
        <f>VLOOKUP(K241,[4]Planilha1!A$13:P$314,16,0)</f>
        <v>#N/A</v>
      </c>
    </row>
    <row r="242" spans="1:46" s="63" customFormat="1" x14ac:dyDescent="0.25">
      <c r="A242" s="82"/>
      <c r="B242" s="82"/>
      <c r="C242" s="64"/>
      <c r="D242" s="64"/>
      <c r="E242" s="64"/>
      <c r="F242" s="64"/>
      <c r="G242" s="64"/>
      <c r="H242" s="64"/>
      <c r="I242" s="64"/>
      <c r="J242" s="64"/>
      <c r="K242" s="64"/>
      <c r="L242" s="64"/>
      <c r="M242" s="64"/>
      <c r="N242" s="406"/>
      <c r="O242" s="64"/>
      <c r="P242" s="410"/>
      <c r="Q242" s="64"/>
      <c r="R242" s="401">
        <f t="shared" si="30"/>
        <v>0</v>
      </c>
      <c r="S242" s="401"/>
      <c r="T242" s="401"/>
      <c r="U242" s="64"/>
      <c r="V242" s="64"/>
      <c r="W242" s="413">
        <f t="shared" si="29"/>
        <v>0</v>
      </c>
      <c r="X242" s="403">
        <v>0</v>
      </c>
      <c r="Y242" s="403">
        <v>0</v>
      </c>
      <c r="Z242" s="403">
        <v>0</v>
      </c>
      <c r="AA242" s="38"/>
      <c r="AB242" s="409"/>
      <c r="AC242" s="38"/>
      <c r="AD242" s="68"/>
      <c r="AE242" s="68"/>
      <c r="AF242" s="68"/>
      <c r="AG242" s="68"/>
      <c r="AH242" s="68"/>
      <c r="AI242" s="38"/>
      <c r="AJ242" s="38"/>
      <c r="AK242" s="38"/>
      <c r="AL242" s="38"/>
      <c r="AM242" s="38"/>
      <c r="AN242" s="38"/>
      <c r="AO242" s="69"/>
      <c r="AP242" s="69"/>
      <c r="AQ242" s="69"/>
      <c r="AR242" s="69"/>
      <c r="AS242" s="68"/>
      <c r="AT242" s="66" t="e">
        <f>VLOOKUP(K242,[4]Planilha1!A$13:P$314,16,0)</f>
        <v>#N/A</v>
      </c>
    </row>
    <row r="243" spans="1:46" s="63" customFormat="1" x14ac:dyDescent="0.25">
      <c r="A243" s="82"/>
      <c r="B243" s="82"/>
      <c r="C243" s="64"/>
      <c r="D243" s="64"/>
      <c r="E243" s="64"/>
      <c r="F243" s="64"/>
      <c r="G243" s="64"/>
      <c r="H243" s="64"/>
      <c r="I243" s="64"/>
      <c r="J243" s="64"/>
      <c r="K243" s="64"/>
      <c r="L243" s="64"/>
      <c r="M243" s="64"/>
      <c r="N243" s="406"/>
      <c r="O243" s="64"/>
      <c r="P243" s="410"/>
      <c r="Q243" s="64"/>
      <c r="R243" s="401">
        <f t="shared" si="30"/>
        <v>0</v>
      </c>
      <c r="S243" s="401"/>
      <c r="T243" s="401"/>
      <c r="U243" s="64" t="s">
        <v>8535</v>
      </c>
      <c r="V243" s="64"/>
      <c r="W243" s="413">
        <f t="shared" si="29"/>
        <v>0</v>
      </c>
      <c r="X243" s="403">
        <v>0</v>
      </c>
      <c r="Y243" s="403">
        <v>0</v>
      </c>
      <c r="Z243" s="403">
        <v>0</v>
      </c>
      <c r="AA243" s="38"/>
      <c r="AB243" s="409"/>
      <c r="AC243" s="38"/>
      <c r="AD243" s="68"/>
      <c r="AE243" s="68"/>
      <c r="AF243" s="68"/>
      <c r="AG243" s="68"/>
      <c r="AH243" s="68"/>
      <c r="AI243" s="38"/>
      <c r="AJ243" s="38"/>
      <c r="AK243" s="38"/>
      <c r="AL243" s="38"/>
      <c r="AM243" s="38"/>
      <c r="AN243" s="38"/>
      <c r="AO243" s="69"/>
      <c r="AP243" s="69"/>
      <c r="AQ243" s="69"/>
      <c r="AR243" s="69"/>
      <c r="AS243" s="68"/>
      <c r="AT243" s="66" t="e">
        <f>VLOOKUP(K243,[4]Planilha1!A$13:P$314,16,0)</f>
        <v>#N/A</v>
      </c>
    </row>
    <row r="244" spans="1:46" s="63" customFormat="1" x14ac:dyDescent="0.25">
      <c r="A244" s="82"/>
      <c r="B244" s="82"/>
      <c r="C244" s="64"/>
      <c r="D244" s="64"/>
      <c r="E244" s="64"/>
      <c r="F244" s="64"/>
      <c r="G244" s="64"/>
      <c r="H244" s="64"/>
      <c r="I244" s="64"/>
      <c r="J244" s="64"/>
      <c r="K244" s="64"/>
      <c r="L244" s="64"/>
      <c r="M244" s="64"/>
      <c r="N244" s="406"/>
      <c r="O244" s="64"/>
      <c r="P244" s="410"/>
      <c r="Q244" s="64"/>
      <c r="R244" s="401">
        <f t="shared" si="30"/>
        <v>0</v>
      </c>
      <c r="S244" s="401"/>
      <c r="T244" s="401"/>
      <c r="U244" s="64" t="s">
        <v>8535</v>
      </c>
      <c r="V244" s="64"/>
      <c r="W244" s="413">
        <f t="shared" si="29"/>
        <v>0</v>
      </c>
      <c r="X244" s="403">
        <v>0</v>
      </c>
      <c r="Y244" s="403">
        <v>0</v>
      </c>
      <c r="Z244" s="403">
        <v>0</v>
      </c>
      <c r="AA244" s="38"/>
      <c r="AB244" s="409"/>
      <c r="AC244" s="38"/>
      <c r="AD244" s="68"/>
      <c r="AE244" s="68"/>
      <c r="AF244" s="68"/>
      <c r="AG244" s="68"/>
      <c r="AH244" s="68"/>
      <c r="AI244" s="38"/>
      <c r="AJ244" s="38"/>
      <c r="AK244" s="38"/>
      <c r="AL244" s="38"/>
      <c r="AM244" s="38"/>
      <c r="AN244" s="38"/>
      <c r="AO244" s="69"/>
      <c r="AP244" s="69"/>
      <c r="AQ244" s="69"/>
      <c r="AR244" s="69"/>
      <c r="AS244" s="68"/>
      <c r="AT244" s="66" t="e">
        <f>VLOOKUP(K244,[4]Planilha1!A$13:P$314,16,0)</f>
        <v>#N/A</v>
      </c>
    </row>
    <row r="245" spans="1:46" s="63" customFormat="1" x14ac:dyDescent="0.25">
      <c r="A245" s="82"/>
      <c r="B245" s="82"/>
      <c r="C245" s="64"/>
      <c r="D245" s="64"/>
      <c r="E245" s="64"/>
      <c r="F245" s="64"/>
      <c r="G245" s="64"/>
      <c r="H245" s="64"/>
      <c r="I245" s="64"/>
      <c r="J245" s="64"/>
      <c r="K245" s="64"/>
      <c r="L245" s="64"/>
      <c r="M245" s="64"/>
      <c r="N245" s="406"/>
      <c r="O245" s="64"/>
      <c r="P245" s="410"/>
      <c r="Q245" s="64"/>
      <c r="R245" s="401">
        <f t="shared" si="30"/>
        <v>0</v>
      </c>
      <c r="S245" s="401"/>
      <c r="T245" s="401"/>
      <c r="U245" s="64"/>
      <c r="V245" s="64"/>
      <c r="W245" s="413">
        <f t="shared" si="29"/>
        <v>0</v>
      </c>
      <c r="X245" s="403">
        <v>0</v>
      </c>
      <c r="Y245" s="403">
        <v>0</v>
      </c>
      <c r="Z245" s="403">
        <v>0</v>
      </c>
      <c r="AA245" s="38"/>
      <c r="AB245" s="409"/>
      <c r="AC245" s="38"/>
      <c r="AD245" s="68"/>
      <c r="AE245" s="68"/>
      <c r="AF245" s="68"/>
      <c r="AG245" s="68"/>
      <c r="AH245" s="68"/>
      <c r="AI245" s="38"/>
      <c r="AJ245" s="38"/>
      <c r="AK245" s="38"/>
      <c r="AL245" s="38"/>
      <c r="AM245" s="38"/>
      <c r="AN245" s="38"/>
      <c r="AO245" s="69"/>
      <c r="AP245" s="69"/>
      <c r="AQ245" s="69"/>
      <c r="AR245" s="69"/>
      <c r="AS245" s="68"/>
      <c r="AT245" s="66" t="e">
        <f>VLOOKUP(K245,[4]Planilha1!A$13:P$314,16,0)</f>
        <v>#N/A</v>
      </c>
    </row>
    <row r="246" spans="1:46" s="63" customFormat="1" x14ac:dyDescent="0.25">
      <c r="A246" s="82"/>
      <c r="B246" s="82"/>
      <c r="C246" s="64"/>
      <c r="D246" s="64"/>
      <c r="E246" s="64"/>
      <c r="F246" s="64"/>
      <c r="G246" s="64"/>
      <c r="H246" s="64"/>
      <c r="I246" s="64"/>
      <c r="J246" s="64"/>
      <c r="K246" s="64"/>
      <c r="L246" s="64"/>
      <c r="M246" s="64"/>
      <c r="N246" s="406"/>
      <c r="O246" s="64"/>
      <c r="P246" s="410"/>
      <c r="Q246" s="64"/>
      <c r="R246" s="401">
        <f t="shared" si="30"/>
        <v>0</v>
      </c>
      <c r="S246" s="401"/>
      <c r="T246" s="401"/>
      <c r="U246" s="64" t="s">
        <v>8535</v>
      </c>
      <c r="V246" s="64"/>
      <c r="W246" s="413">
        <f t="shared" si="29"/>
        <v>0</v>
      </c>
      <c r="X246" s="403">
        <v>0</v>
      </c>
      <c r="Y246" s="403">
        <v>0</v>
      </c>
      <c r="Z246" s="403">
        <v>0</v>
      </c>
      <c r="AA246" s="38"/>
      <c r="AB246" s="409"/>
      <c r="AC246" s="38"/>
      <c r="AD246" s="68"/>
      <c r="AE246" s="68"/>
      <c r="AF246" s="68"/>
      <c r="AG246" s="68"/>
      <c r="AH246" s="68"/>
      <c r="AI246" s="38"/>
      <c r="AJ246" s="38"/>
      <c r="AK246" s="38"/>
      <c r="AL246" s="38"/>
      <c r="AM246" s="38"/>
      <c r="AN246" s="38"/>
      <c r="AO246" s="69"/>
      <c r="AP246" s="69"/>
      <c r="AQ246" s="69"/>
      <c r="AR246" s="69"/>
      <c r="AS246" s="68"/>
      <c r="AT246" s="66" t="e">
        <f>VLOOKUP(K246,[4]Planilha1!A$13:P$314,16,0)</f>
        <v>#N/A</v>
      </c>
    </row>
    <row r="247" spans="1:46" s="63" customFormat="1" x14ac:dyDescent="0.25">
      <c r="A247" s="82"/>
      <c r="B247" s="82"/>
      <c r="C247" s="64"/>
      <c r="D247" s="64"/>
      <c r="E247" s="64"/>
      <c r="F247" s="64"/>
      <c r="G247" s="64"/>
      <c r="H247" s="64"/>
      <c r="I247" s="64"/>
      <c r="J247" s="64"/>
      <c r="K247" s="64"/>
      <c r="L247" s="64"/>
      <c r="M247" s="64"/>
      <c r="N247" s="406"/>
      <c r="O247" s="64"/>
      <c r="P247" s="410"/>
      <c r="Q247" s="64"/>
      <c r="R247" s="401">
        <f t="shared" si="30"/>
        <v>0</v>
      </c>
      <c r="S247" s="401"/>
      <c r="T247" s="401"/>
      <c r="U247" s="64" t="s">
        <v>8535</v>
      </c>
      <c r="V247" s="64"/>
      <c r="W247" s="413">
        <f t="shared" si="29"/>
        <v>0</v>
      </c>
      <c r="X247" s="403">
        <v>0</v>
      </c>
      <c r="Y247" s="403">
        <v>0</v>
      </c>
      <c r="Z247" s="403">
        <v>0</v>
      </c>
      <c r="AA247" s="38"/>
      <c r="AB247" s="409"/>
      <c r="AC247" s="38"/>
      <c r="AD247" s="68"/>
      <c r="AE247" s="68"/>
      <c r="AF247" s="68"/>
      <c r="AG247" s="68"/>
      <c r="AH247" s="68"/>
      <c r="AI247" s="38"/>
      <c r="AJ247" s="38"/>
      <c r="AK247" s="38"/>
      <c r="AL247" s="38"/>
      <c r="AM247" s="38"/>
      <c r="AN247" s="38"/>
      <c r="AO247" s="69"/>
      <c r="AP247" s="69"/>
      <c r="AQ247" s="69"/>
      <c r="AR247" s="69"/>
      <c r="AS247" s="68"/>
      <c r="AT247" s="66" t="e">
        <f>VLOOKUP(K247,[4]Planilha1!A$13:P$314,16,0)</f>
        <v>#N/A</v>
      </c>
    </row>
    <row r="248" spans="1:46" s="63" customFormat="1" x14ac:dyDescent="0.25">
      <c r="A248" s="82"/>
      <c r="B248" s="82"/>
      <c r="C248" s="64"/>
      <c r="D248" s="64"/>
      <c r="E248" s="64"/>
      <c r="F248" s="64"/>
      <c r="G248" s="64"/>
      <c r="H248" s="64"/>
      <c r="I248" s="64"/>
      <c r="J248" s="64"/>
      <c r="K248" s="64"/>
      <c r="L248" s="64"/>
      <c r="M248" s="64"/>
      <c r="N248" s="406"/>
      <c r="O248" s="64"/>
      <c r="P248" s="410"/>
      <c r="Q248" s="64"/>
      <c r="R248" s="401">
        <f t="shared" si="30"/>
        <v>0</v>
      </c>
      <c r="S248" s="401"/>
      <c r="T248" s="401"/>
      <c r="U248" s="64" t="s">
        <v>8535</v>
      </c>
      <c r="V248" s="64"/>
      <c r="W248" s="413">
        <f t="shared" si="29"/>
        <v>0</v>
      </c>
      <c r="X248" s="403">
        <v>0</v>
      </c>
      <c r="Y248" s="403">
        <v>0</v>
      </c>
      <c r="Z248" s="403">
        <v>0</v>
      </c>
      <c r="AA248" s="38"/>
      <c r="AB248" s="409"/>
      <c r="AC248" s="38"/>
      <c r="AD248" s="68"/>
      <c r="AE248" s="68"/>
      <c r="AF248" s="68"/>
      <c r="AG248" s="68"/>
      <c r="AH248" s="68"/>
      <c r="AI248" s="38"/>
      <c r="AJ248" s="38"/>
      <c r="AK248" s="38"/>
      <c r="AL248" s="38"/>
      <c r="AM248" s="38"/>
      <c r="AN248" s="38"/>
      <c r="AO248" s="69"/>
      <c r="AP248" s="69"/>
      <c r="AQ248" s="69"/>
      <c r="AR248" s="69"/>
      <c r="AS248" s="68"/>
      <c r="AT248" s="66" t="e">
        <f>VLOOKUP(K248,[4]Planilha1!A$13:P$314,16,0)</f>
        <v>#N/A</v>
      </c>
    </row>
    <row r="249" spans="1:46" s="63" customFormat="1" x14ac:dyDescent="0.25">
      <c r="A249" s="82"/>
      <c r="B249" s="82"/>
      <c r="C249" s="64"/>
      <c r="D249" s="64"/>
      <c r="E249" s="64"/>
      <c r="F249" s="64"/>
      <c r="G249" s="64"/>
      <c r="H249" s="64"/>
      <c r="I249" s="64"/>
      <c r="J249" s="64"/>
      <c r="K249" s="64"/>
      <c r="L249" s="64"/>
      <c r="M249" s="64"/>
      <c r="N249" s="406"/>
      <c r="O249" s="64"/>
      <c r="P249" s="410"/>
      <c r="Q249" s="64"/>
      <c r="R249" s="401">
        <f t="shared" si="30"/>
        <v>0</v>
      </c>
      <c r="S249" s="401"/>
      <c r="T249" s="401"/>
      <c r="U249" s="64"/>
      <c r="V249" s="64"/>
      <c r="W249" s="413">
        <f t="shared" si="29"/>
        <v>0</v>
      </c>
      <c r="X249" s="403">
        <v>0</v>
      </c>
      <c r="Y249" s="403">
        <v>0</v>
      </c>
      <c r="Z249" s="403">
        <v>0</v>
      </c>
      <c r="AA249" s="38"/>
      <c r="AB249" s="409"/>
      <c r="AC249" s="38"/>
      <c r="AD249" s="68"/>
      <c r="AE249" s="68"/>
      <c r="AF249" s="68"/>
      <c r="AG249" s="68"/>
      <c r="AH249" s="68"/>
      <c r="AI249" s="38"/>
      <c r="AJ249" s="38"/>
      <c r="AK249" s="38"/>
      <c r="AL249" s="38"/>
      <c r="AM249" s="38"/>
      <c r="AN249" s="38"/>
      <c r="AO249" s="69"/>
      <c r="AP249" s="69"/>
      <c r="AQ249" s="69"/>
      <c r="AR249" s="69"/>
      <c r="AS249" s="68"/>
      <c r="AT249" s="66" t="e">
        <f>VLOOKUP(K249,[4]Planilha1!A$13:P$314,16,0)</f>
        <v>#N/A</v>
      </c>
    </row>
    <row r="250" spans="1:46" s="63" customFormat="1" x14ac:dyDescent="0.25">
      <c r="A250" s="82"/>
      <c r="B250" s="82"/>
      <c r="C250" s="64"/>
      <c r="D250" s="64"/>
      <c r="E250" s="64"/>
      <c r="F250" s="64"/>
      <c r="G250" s="64"/>
      <c r="H250" s="64"/>
      <c r="I250" s="64"/>
      <c r="J250" s="64"/>
      <c r="K250" s="64"/>
      <c r="L250" s="64"/>
      <c r="M250" s="64"/>
      <c r="N250" s="406"/>
      <c r="O250" s="64"/>
      <c r="P250" s="410"/>
      <c r="Q250" s="64"/>
      <c r="R250" s="401">
        <f t="shared" si="30"/>
        <v>0</v>
      </c>
      <c r="S250" s="401"/>
      <c r="T250" s="401"/>
      <c r="U250" s="64" t="s">
        <v>8535</v>
      </c>
      <c r="V250" s="64"/>
      <c r="W250" s="413">
        <f t="shared" si="29"/>
        <v>0</v>
      </c>
      <c r="X250" s="403">
        <v>0</v>
      </c>
      <c r="Y250" s="403">
        <v>0</v>
      </c>
      <c r="Z250" s="403">
        <v>0</v>
      </c>
      <c r="AA250" s="38"/>
      <c r="AB250" s="409"/>
      <c r="AC250" s="38"/>
      <c r="AD250" s="68"/>
      <c r="AE250" s="68"/>
      <c r="AF250" s="68"/>
      <c r="AG250" s="68"/>
      <c r="AH250" s="68"/>
      <c r="AI250" s="38"/>
      <c r="AJ250" s="38"/>
      <c r="AK250" s="38"/>
      <c r="AL250" s="38"/>
      <c r="AM250" s="38"/>
      <c r="AN250" s="38"/>
      <c r="AO250" s="69"/>
      <c r="AP250" s="69"/>
      <c r="AQ250" s="69"/>
      <c r="AR250" s="69"/>
      <c r="AS250" s="68"/>
      <c r="AT250" s="66" t="e">
        <f>VLOOKUP(K250,[4]Planilha1!A$13:P$314,16,0)</f>
        <v>#N/A</v>
      </c>
    </row>
    <row r="251" spans="1:46" s="63" customFormat="1" x14ac:dyDescent="0.25">
      <c r="A251" s="82"/>
      <c r="B251" s="82"/>
      <c r="C251" s="64"/>
      <c r="D251" s="64"/>
      <c r="E251" s="64"/>
      <c r="F251" s="64"/>
      <c r="G251" s="64"/>
      <c r="H251" s="64"/>
      <c r="I251" s="64"/>
      <c r="J251" s="64"/>
      <c r="K251" s="64"/>
      <c r="L251" s="64"/>
      <c r="M251" s="64"/>
      <c r="N251" s="406"/>
      <c r="O251" s="64"/>
      <c r="P251" s="410"/>
      <c r="Q251" s="64"/>
      <c r="R251" s="401">
        <f t="shared" si="30"/>
        <v>0</v>
      </c>
      <c r="S251" s="401"/>
      <c r="T251" s="401"/>
      <c r="U251" s="64" t="s">
        <v>8535</v>
      </c>
      <c r="V251" s="64"/>
      <c r="W251" s="413">
        <f t="shared" si="29"/>
        <v>0</v>
      </c>
      <c r="X251" s="403">
        <v>0</v>
      </c>
      <c r="Y251" s="403">
        <v>0</v>
      </c>
      <c r="Z251" s="403">
        <v>0</v>
      </c>
      <c r="AA251" s="38"/>
      <c r="AB251" s="409"/>
      <c r="AC251" s="38"/>
      <c r="AD251" s="68"/>
      <c r="AE251" s="68"/>
      <c r="AF251" s="68"/>
      <c r="AG251" s="68"/>
      <c r="AH251" s="68"/>
      <c r="AI251" s="38"/>
      <c r="AJ251" s="38"/>
      <c r="AK251" s="38"/>
      <c r="AL251" s="38"/>
      <c r="AM251" s="38"/>
      <c r="AN251" s="38"/>
      <c r="AO251" s="69"/>
      <c r="AP251" s="69"/>
      <c r="AQ251" s="69"/>
      <c r="AR251" s="69"/>
      <c r="AS251" s="68"/>
      <c r="AT251" s="66" t="e">
        <f>VLOOKUP(K251,[4]Planilha1!A$13:P$314,16,0)</f>
        <v>#N/A</v>
      </c>
    </row>
    <row r="252" spans="1:46" s="63" customFormat="1" x14ac:dyDescent="0.25">
      <c r="A252" s="82"/>
      <c r="B252" s="82"/>
      <c r="C252" s="64"/>
      <c r="D252" s="64"/>
      <c r="E252" s="64"/>
      <c r="F252" s="64"/>
      <c r="G252" s="64"/>
      <c r="H252" s="64"/>
      <c r="I252" s="64"/>
      <c r="J252" s="64"/>
      <c r="K252" s="64"/>
      <c r="L252" s="64"/>
      <c r="M252" s="64"/>
      <c r="N252" s="406"/>
      <c r="O252" s="64"/>
      <c r="P252" s="410"/>
      <c r="Q252" s="64"/>
      <c r="R252" s="401">
        <f t="shared" si="30"/>
        <v>0</v>
      </c>
      <c r="S252" s="401"/>
      <c r="T252" s="401"/>
      <c r="U252" s="64" t="s">
        <v>8535</v>
      </c>
      <c r="V252" s="64"/>
      <c r="W252" s="413">
        <f t="shared" si="29"/>
        <v>0</v>
      </c>
      <c r="X252" s="403">
        <v>0</v>
      </c>
      <c r="Y252" s="403">
        <v>0</v>
      </c>
      <c r="Z252" s="403">
        <v>0</v>
      </c>
      <c r="AA252" s="38"/>
      <c r="AB252" s="409"/>
      <c r="AC252" s="38"/>
      <c r="AD252" s="68"/>
      <c r="AE252" s="68"/>
      <c r="AF252" s="68"/>
      <c r="AG252" s="68"/>
      <c r="AH252" s="68"/>
      <c r="AI252" s="38"/>
      <c r="AJ252" s="38"/>
      <c r="AK252" s="38"/>
      <c r="AL252" s="38"/>
      <c r="AM252" s="38"/>
      <c r="AN252" s="38"/>
      <c r="AO252" s="69"/>
      <c r="AP252" s="69"/>
      <c r="AQ252" s="69"/>
      <c r="AR252" s="69"/>
      <c r="AS252" s="68"/>
      <c r="AT252" s="66" t="e">
        <f>VLOOKUP(K252,[4]Planilha1!A$13:P$314,16,0)</f>
        <v>#N/A</v>
      </c>
    </row>
    <row r="253" spans="1:46" s="63" customFormat="1" x14ac:dyDescent="0.25">
      <c r="A253" s="82"/>
      <c r="B253" s="82"/>
      <c r="C253" s="64"/>
      <c r="D253" s="64"/>
      <c r="E253" s="64"/>
      <c r="F253" s="64"/>
      <c r="G253" s="64"/>
      <c r="H253" s="64"/>
      <c r="I253" s="64"/>
      <c r="J253" s="64"/>
      <c r="K253" s="64"/>
      <c r="L253" s="64"/>
      <c r="M253" s="64"/>
      <c r="N253" s="406"/>
      <c r="O253" s="64"/>
      <c r="P253" s="410"/>
      <c r="Q253" s="64"/>
      <c r="R253" s="401">
        <f t="shared" si="30"/>
        <v>0</v>
      </c>
      <c r="S253" s="401"/>
      <c r="T253" s="401"/>
      <c r="U253" s="64" t="s">
        <v>8535</v>
      </c>
      <c r="V253" s="64"/>
      <c r="W253" s="413">
        <f t="shared" si="29"/>
        <v>0</v>
      </c>
      <c r="X253" s="403">
        <v>0</v>
      </c>
      <c r="Y253" s="403">
        <v>0</v>
      </c>
      <c r="Z253" s="403">
        <v>0</v>
      </c>
      <c r="AA253" s="38"/>
      <c r="AB253" s="409"/>
      <c r="AC253" s="38"/>
      <c r="AD253" s="68"/>
      <c r="AE253" s="68"/>
      <c r="AF253" s="68"/>
      <c r="AG253" s="68"/>
      <c r="AH253" s="68"/>
      <c r="AI253" s="38"/>
      <c r="AJ253" s="38"/>
      <c r="AK253" s="38"/>
      <c r="AL253" s="38"/>
      <c r="AM253" s="38"/>
      <c r="AN253" s="38"/>
      <c r="AO253" s="69"/>
      <c r="AP253" s="69"/>
      <c r="AQ253" s="69"/>
      <c r="AR253" s="69"/>
      <c r="AS253" s="68"/>
      <c r="AT253" s="66" t="e">
        <f>VLOOKUP(K253,[4]Planilha1!A$13:P$314,16,0)</f>
        <v>#N/A</v>
      </c>
    </row>
    <row r="254" spans="1:46" s="63" customFormat="1" x14ac:dyDescent="0.25">
      <c r="A254" s="82"/>
      <c r="B254" s="82"/>
      <c r="C254" s="64"/>
      <c r="D254" s="64"/>
      <c r="E254" s="64"/>
      <c r="F254" s="64"/>
      <c r="G254" s="64"/>
      <c r="H254" s="64"/>
      <c r="I254" s="64"/>
      <c r="J254" s="64"/>
      <c r="K254" s="64"/>
      <c r="L254" s="64"/>
      <c r="M254" s="64"/>
      <c r="N254" s="406"/>
      <c r="O254" s="64"/>
      <c r="P254" s="410"/>
      <c r="Q254" s="64"/>
      <c r="R254" s="401">
        <f t="shared" si="30"/>
        <v>0</v>
      </c>
      <c r="S254" s="401"/>
      <c r="T254" s="401"/>
      <c r="U254" s="64" t="s">
        <v>8535</v>
      </c>
      <c r="V254" s="64"/>
      <c r="W254" s="413">
        <f t="shared" si="29"/>
        <v>0</v>
      </c>
      <c r="X254" s="403">
        <v>0</v>
      </c>
      <c r="Y254" s="403">
        <v>0</v>
      </c>
      <c r="Z254" s="403">
        <v>0</v>
      </c>
      <c r="AA254" s="38"/>
      <c r="AB254" s="409"/>
      <c r="AC254" s="38"/>
      <c r="AD254" s="68"/>
      <c r="AE254" s="68"/>
      <c r="AF254" s="68"/>
      <c r="AG254" s="68"/>
      <c r="AH254" s="68"/>
      <c r="AI254" s="38"/>
      <c r="AJ254" s="38"/>
      <c r="AK254" s="38"/>
      <c r="AL254" s="38"/>
      <c r="AM254" s="38"/>
      <c r="AN254" s="38"/>
      <c r="AO254" s="69"/>
      <c r="AP254" s="69"/>
      <c r="AQ254" s="69"/>
      <c r="AR254" s="69"/>
      <c r="AS254" s="68"/>
      <c r="AT254" s="66" t="e">
        <f>VLOOKUP(K254,[4]Planilha1!A$13:P$314,16,0)</f>
        <v>#N/A</v>
      </c>
    </row>
    <row r="255" spans="1:46" s="63" customFormat="1" x14ac:dyDescent="0.25">
      <c r="A255" s="82"/>
      <c r="B255" s="82"/>
      <c r="C255" s="64"/>
      <c r="D255" s="64"/>
      <c r="E255" s="64"/>
      <c r="F255" s="64"/>
      <c r="G255" s="64"/>
      <c r="H255" s="64"/>
      <c r="I255" s="64"/>
      <c r="J255" s="64"/>
      <c r="K255" s="64"/>
      <c r="L255" s="64"/>
      <c r="M255" s="64"/>
      <c r="N255" s="406"/>
      <c r="O255" s="64"/>
      <c r="P255" s="410"/>
      <c r="Q255" s="64"/>
      <c r="R255" s="401">
        <f t="shared" si="30"/>
        <v>0</v>
      </c>
      <c r="S255" s="401"/>
      <c r="T255" s="401"/>
      <c r="U255" s="64" t="s">
        <v>8535</v>
      </c>
      <c r="V255" s="64"/>
      <c r="W255" s="413">
        <f t="shared" si="29"/>
        <v>0</v>
      </c>
      <c r="X255" s="403">
        <v>0</v>
      </c>
      <c r="Y255" s="403">
        <v>0</v>
      </c>
      <c r="Z255" s="403">
        <v>0</v>
      </c>
      <c r="AA255" s="38"/>
      <c r="AB255" s="409"/>
      <c r="AC255" s="38"/>
      <c r="AD255" s="68"/>
      <c r="AE255" s="68"/>
      <c r="AF255" s="68"/>
      <c r="AG255" s="68"/>
      <c r="AH255" s="68"/>
      <c r="AI255" s="38"/>
      <c r="AJ255" s="38"/>
      <c r="AK255" s="38"/>
      <c r="AL255" s="38"/>
      <c r="AM255" s="38"/>
      <c r="AN255" s="38"/>
      <c r="AO255" s="69"/>
      <c r="AP255" s="69"/>
      <c r="AQ255" s="69"/>
      <c r="AR255" s="69"/>
      <c r="AS255" s="68"/>
      <c r="AT255" s="66" t="e">
        <f>VLOOKUP(K255,[4]Planilha1!A$13:P$314,16,0)</f>
        <v>#N/A</v>
      </c>
    </row>
    <row r="256" spans="1:46" s="63" customFormat="1" x14ac:dyDescent="0.25">
      <c r="A256" s="82"/>
      <c r="B256" s="82"/>
      <c r="C256" s="64"/>
      <c r="D256" s="64"/>
      <c r="E256" s="64"/>
      <c r="F256" s="64"/>
      <c r="G256" s="64"/>
      <c r="H256" s="64"/>
      <c r="I256" s="64"/>
      <c r="J256" s="64"/>
      <c r="K256" s="64"/>
      <c r="L256" s="64"/>
      <c r="M256" s="64"/>
      <c r="N256" s="406"/>
      <c r="O256" s="64"/>
      <c r="P256" s="410"/>
      <c r="Q256" s="64"/>
      <c r="R256" s="401">
        <f t="shared" si="30"/>
        <v>0</v>
      </c>
      <c r="S256" s="401"/>
      <c r="T256" s="401"/>
      <c r="U256" s="64" t="s">
        <v>8535</v>
      </c>
      <c r="V256" s="64"/>
      <c r="W256" s="413">
        <f t="shared" si="29"/>
        <v>0</v>
      </c>
      <c r="X256" s="403">
        <v>0</v>
      </c>
      <c r="Y256" s="403">
        <v>0</v>
      </c>
      <c r="Z256" s="403">
        <v>0</v>
      </c>
      <c r="AA256" s="38"/>
      <c r="AB256" s="409"/>
      <c r="AC256" s="38"/>
      <c r="AD256" s="68"/>
      <c r="AE256" s="68"/>
      <c r="AF256" s="68"/>
      <c r="AG256" s="68"/>
      <c r="AH256" s="68"/>
      <c r="AI256" s="38"/>
      <c r="AJ256" s="38"/>
      <c r="AK256" s="38"/>
      <c r="AL256" s="38"/>
      <c r="AM256" s="38"/>
      <c r="AN256" s="38"/>
      <c r="AO256" s="69"/>
      <c r="AP256" s="69"/>
      <c r="AQ256" s="69"/>
      <c r="AR256" s="69"/>
      <c r="AS256" s="68"/>
      <c r="AT256" s="66" t="e">
        <f>VLOOKUP(K256,[4]Planilha1!A$13:P$314,16,0)</f>
        <v>#N/A</v>
      </c>
    </row>
    <row r="257" spans="1:46" s="63" customFormat="1" x14ac:dyDescent="0.25">
      <c r="A257" s="82"/>
      <c r="B257" s="82"/>
      <c r="C257" s="64"/>
      <c r="D257" s="64"/>
      <c r="E257" s="64"/>
      <c r="F257" s="64"/>
      <c r="G257" s="64"/>
      <c r="H257" s="64"/>
      <c r="I257" s="64"/>
      <c r="J257" s="64"/>
      <c r="K257" s="64"/>
      <c r="L257" s="64"/>
      <c r="M257" s="64"/>
      <c r="N257" s="406"/>
      <c r="O257" s="64"/>
      <c r="P257" s="410"/>
      <c r="Q257" s="64"/>
      <c r="R257" s="401">
        <f t="shared" si="30"/>
        <v>0</v>
      </c>
      <c r="S257" s="401"/>
      <c r="T257" s="401"/>
      <c r="U257" s="64" t="s">
        <v>8535</v>
      </c>
      <c r="V257" s="64"/>
      <c r="W257" s="413">
        <f t="shared" si="29"/>
        <v>0</v>
      </c>
      <c r="X257" s="403">
        <v>0</v>
      </c>
      <c r="Y257" s="403">
        <v>0</v>
      </c>
      <c r="Z257" s="403">
        <v>0</v>
      </c>
      <c r="AA257" s="38"/>
      <c r="AB257" s="409"/>
      <c r="AC257" s="38"/>
      <c r="AD257" s="68"/>
      <c r="AE257" s="68"/>
      <c r="AF257" s="68"/>
      <c r="AG257" s="68"/>
      <c r="AH257" s="68"/>
      <c r="AI257" s="38"/>
      <c r="AJ257" s="38"/>
      <c r="AK257" s="38"/>
      <c r="AL257" s="38"/>
      <c r="AM257" s="38"/>
      <c r="AN257" s="38"/>
      <c r="AO257" s="69"/>
      <c r="AP257" s="69"/>
      <c r="AQ257" s="69"/>
      <c r="AR257" s="69"/>
      <c r="AS257" s="68"/>
      <c r="AT257" s="66" t="e">
        <f>VLOOKUP(K257,[4]Planilha1!A$13:P$314,16,0)</f>
        <v>#N/A</v>
      </c>
    </row>
    <row r="258" spans="1:46" s="63" customFormat="1" x14ac:dyDescent="0.25">
      <c r="A258" s="82"/>
      <c r="B258" s="82"/>
      <c r="C258" s="64"/>
      <c r="D258" s="64"/>
      <c r="E258" s="64"/>
      <c r="F258" s="64"/>
      <c r="G258" s="64"/>
      <c r="H258" s="64"/>
      <c r="I258" s="64"/>
      <c r="J258" s="64"/>
      <c r="K258" s="64"/>
      <c r="L258" s="64"/>
      <c r="M258" s="64"/>
      <c r="N258" s="406"/>
      <c r="O258" s="64"/>
      <c r="P258" s="410"/>
      <c r="Q258" s="64"/>
      <c r="R258" s="401">
        <f t="shared" si="30"/>
        <v>0</v>
      </c>
      <c r="S258" s="401"/>
      <c r="T258" s="401"/>
      <c r="U258" s="64" t="s">
        <v>8535</v>
      </c>
      <c r="V258" s="64"/>
      <c r="W258" s="413">
        <f t="shared" si="29"/>
        <v>0</v>
      </c>
      <c r="X258" s="403">
        <v>0</v>
      </c>
      <c r="Y258" s="403">
        <v>0</v>
      </c>
      <c r="Z258" s="403">
        <v>0</v>
      </c>
      <c r="AA258" s="38"/>
      <c r="AB258" s="409"/>
      <c r="AC258" s="38"/>
      <c r="AD258" s="68"/>
      <c r="AE258" s="68"/>
      <c r="AF258" s="68"/>
      <c r="AG258" s="68"/>
      <c r="AH258" s="68"/>
      <c r="AI258" s="38"/>
      <c r="AJ258" s="38"/>
      <c r="AK258" s="38"/>
      <c r="AL258" s="38"/>
      <c r="AM258" s="38"/>
      <c r="AN258" s="38"/>
      <c r="AO258" s="69"/>
      <c r="AP258" s="69"/>
      <c r="AQ258" s="69"/>
      <c r="AR258" s="69"/>
      <c r="AS258" s="68"/>
      <c r="AT258" s="66" t="e">
        <f>VLOOKUP(K258,[4]Planilha1!A$13:P$314,16,0)</f>
        <v>#N/A</v>
      </c>
    </row>
    <row r="259" spans="1:46" s="63" customFormat="1" x14ac:dyDescent="0.25">
      <c r="A259" s="82"/>
      <c r="B259" s="82"/>
      <c r="C259" s="64"/>
      <c r="D259" s="64"/>
      <c r="E259" s="64"/>
      <c r="F259" s="64"/>
      <c r="G259" s="64"/>
      <c r="H259" s="64"/>
      <c r="I259" s="64"/>
      <c r="J259" s="64"/>
      <c r="K259" s="64"/>
      <c r="L259" s="64"/>
      <c r="M259" s="64"/>
      <c r="N259" s="406"/>
      <c r="O259" s="64"/>
      <c r="P259" s="410"/>
      <c r="Q259" s="64"/>
      <c r="R259" s="401">
        <f t="shared" si="30"/>
        <v>0</v>
      </c>
      <c r="S259" s="401"/>
      <c r="T259" s="401"/>
      <c r="U259" s="64" t="s">
        <v>8535</v>
      </c>
      <c r="V259" s="64"/>
      <c r="W259" s="413">
        <f t="shared" si="29"/>
        <v>0</v>
      </c>
      <c r="X259" s="403">
        <v>0</v>
      </c>
      <c r="Y259" s="403">
        <v>0</v>
      </c>
      <c r="Z259" s="403">
        <v>0</v>
      </c>
      <c r="AA259" s="38"/>
      <c r="AB259" s="409"/>
      <c r="AC259" s="38"/>
      <c r="AD259" s="68"/>
      <c r="AE259" s="68"/>
      <c r="AF259" s="68"/>
      <c r="AG259" s="68"/>
      <c r="AH259" s="68"/>
      <c r="AI259" s="38"/>
      <c r="AJ259" s="38"/>
      <c r="AK259" s="38"/>
      <c r="AL259" s="38"/>
      <c r="AM259" s="38"/>
      <c r="AN259" s="38"/>
      <c r="AO259" s="69"/>
      <c r="AP259" s="69"/>
      <c r="AQ259" s="69"/>
      <c r="AR259" s="69"/>
      <c r="AS259" s="68"/>
      <c r="AT259" s="66" t="e">
        <f>VLOOKUP(K259,[4]Planilha1!A$13:P$314,16,0)</f>
        <v>#N/A</v>
      </c>
    </row>
    <row r="260" spans="1:46" s="63" customFormat="1" x14ac:dyDescent="0.25">
      <c r="A260" s="82"/>
      <c r="B260" s="82"/>
      <c r="C260" s="64"/>
      <c r="D260" s="64"/>
      <c r="E260" s="64"/>
      <c r="F260" s="64"/>
      <c r="G260" s="64"/>
      <c r="H260" s="64"/>
      <c r="I260" s="64"/>
      <c r="J260" s="64"/>
      <c r="K260" s="64"/>
      <c r="L260" s="64"/>
      <c r="M260" s="64"/>
      <c r="N260" s="406"/>
      <c r="O260" s="64"/>
      <c r="P260" s="410"/>
      <c r="Q260" s="64"/>
      <c r="R260" s="401">
        <f t="shared" si="30"/>
        <v>0</v>
      </c>
      <c r="S260" s="401"/>
      <c r="T260" s="401"/>
      <c r="U260" s="64" t="s">
        <v>8535</v>
      </c>
      <c r="V260" s="64"/>
      <c r="W260" s="413">
        <f t="shared" si="29"/>
        <v>0</v>
      </c>
      <c r="X260" s="403">
        <v>0</v>
      </c>
      <c r="Y260" s="403">
        <v>0</v>
      </c>
      <c r="Z260" s="403">
        <v>0</v>
      </c>
      <c r="AA260" s="38"/>
      <c r="AB260" s="409"/>
      <c r="AC260" s="38"/>
      <c r="AD260" s="68"/>
      <c r="AE260" s="68"/>
      <c r="AF260" s="68"/>
      <c r="AG260" s="68"/>
      <c r="AH260" s="68"/>
      <c r="AI260" s="38"/>
      <c r="AJ260" s="38"/>
      <c r="AK260" s="38"/>
      <c r="AL260" s="38"/>
      <c r="AM260" s="38"/>
      <c r="AN260" s="38"/>
      <c r="AO260" s="69"/>
      <c r="AP260" s="69"/>
      <c r="AQ260" s="69"/>
      <c r="AR260" s="69"/>
      <c r="AS260" s="68"/>
      <c r="AT260" s="66" t="e">
        <f>VLOOKUP(K260,[4]Planilha1!A$13:P$314,16,0)</f>
        <v>#N/A</v>
      </c>
    </row>
    <row r="261" spans="1:46" s="63" customFormat="1" x14ac:dyDescent="0.25">
      <c r="A261" s="82"/>
      <c r="B261" s="82"/>
      <c r="C261" s="64"/>
      <c r="D261" s="64"/>
      <c r="E261" s="64"/>
      <c r="F261" s="64"/>
      <c r="G261" s="64"/>
      <c r="H261" s="64"/>
      <c r="I261" s="64"/>
      <c r="J261" s="64"/>
      <c r="K261" s="64"/>
      <c r="L261" s="64"/>
      <c r="M261" s="64"/>
      <c r="N261" s="406"/>
      <c r="O261" s="64"/>
      <c r="P261" s="410"/>
      <c r="Q261" s="64"/>
      <c r="R261" s="401">
        <f t="shared" si="30"/>
        <v>0</v>
      </c>
      <c r="S261" s="401"/>
      <c r="T261" s="401"/>
      <c r="U261" s="64"/>
      <c r="V261" s="64"/>
      <c r="W261" s="413">
        <f t="shared" si="29"/>
        <v>0</v>
      </c>
      <c r="X261" s="403">
        <v>0</v>
      </c>
      <c r="Y261" s="403">
        <v>0</v>
      </c>
      <c r="Z261" s="403">
        <v>0</v>
      </c>
      <c r="AA261" s="38"/>
      <c r="AB261" s="409"/>
      <c r="AC261" s="38"/>
      <c r="AD261" s="68"/>
      <c r="AE261" s="68"/>
      <c r="AF261" s="68"/>
      <c r="AG261" s="68"/>
      <c r="AH261" s="68"/>
      <c r="AI261" s="38"/>
      <c r="AJ261" s="38"/>
      <c r="AK261" s="38"/>
      <c r="AL261" s="38"/>
      <c r="AM261" s="38"/>
      <c r="AN261" s="38"/>
      <c r="AO261" s="69"/>
      <c r="AP261" s="69"/>
      <c r="AQ261" s="69"/>
      <c r="AR261" s="69"/>
      <c r="AS261" s="68"/>
      <c r="AT261" s="66" t="e">
        <f>VLOOKUP(K261,[4]Planilha1!A$13:P$314,16,0)</f>
        <v>#N/A</v>
      </c>
    </row>
    <row r="262" spans="1:46" s="63" customFormat="1" x14ac:dyDescent="0.25">
      <c r="A262" s="82"/>
      <c r="B262" s="82"/>
      <c r="C262" s="64"/>
      <c r="D262" s="64"/>
      <c r="E262" s="64"/>
      <c r="F262" s="64"/>
      <c r="G262" s="64"/>
      <c r="H262" s="64"/>
      <c r="I262" s="64"/>
      <c r="J262" s="64"/>
      <c r="K262" s="64"/>
      <c r="L262" s="64"/>
      <c r="M262" s="64"/>
      <c r="N262" s="406"/>
      <c r="O262" s="64"/>
      <c r="P262" s="410"/>
      <c r="Q262" s="64"/>
      <c r="R262" s="401">
        <f t="shared" si="30"/>
        <v>0</v>
      </c>
      <c r="S262" s="401"/>
      <c r="T262" s="401"/>
      <c r="U262" s="64" t="s">
        <v>8535</v>
      </c>
      <c r="V262" s="64"/>
      <c r="W262" s="413">
        <f t="shared" si="29"/>
        <v>0</v>
      </c>
      <c r="X262" s="403">
        <v>0</v>
      </c>
      <c r="Y262" s="403">
        <v>0</v>
      </c>
      <c r="Z262" s="403">
        <v>0</v>
      </c>
      <c r="AA262" s="38"/>
      <c r="AB262" s="409"/>
      <c r="AC262" s="38"/>
      <c r="AD262" s="68"/>
      <c r="AE262" s="68"/>
      <c r="AF262" s="68"/>
      <c r="AG262" s="68"/>
      <c r="AH262" s="68"/>
      <c r="AI262" s="38"/>
      <c r="AJ262" s="38"/>
      <c r="AK262" s="38"/>
      <c r="AL262" s="38"/>
      <c r="AM262" s="38"/>
      <c r="AN262" s="38"/>
      <c r="AO262" s="69"/>
      <c r="AP262" s="69"/>
      <c r="AQ262" s="69"/>
      <c r="AR262" s="69"/>
      <c r="AS262" s="68"/>
      <c r="AT262" s="66" t="e">
        <f>VLOOKUP(K262,[4]Planilha1!A$13:P$314,16,0)</f>
        <v>#N/A</v>
      </c>
    </row>
    <row r="263" spans="1:46" s="63" customFormat="1" x14ac:dyDescent="0.25">
      <c r="A263" s="82"/>
      <c r="B263" s="82"/>
      <c r="C263" s="64"/>
      <c r="D263" s="64"/>
      <c r="E263" s="64"/>
      <c r="F263" s="64"/>
      <c r="G263" s="64"/>
      <c r="H263" s="64"/>
      <c r="I263" s="64"/>
      <c r="J263" s="64"/>
      <c r="K263" s="64"/>
      <c r="L263" s="64"/>
      <c r="M263" s="64"/>
      <c r="N263" s="406"/>
      <c r="O263" s="64"/>
      <c r="P263" s="410"/>
      <c r="Q263" s="64"/>
      <c r="R263" s="401">
        <f t="shared" si="30"/>
        <v>0</v>
      </c>
      <c r="S263" s="401"/>
      <c r="T263" s="401"/>
      <c r="U263" s="64" t="s">
        <v>8535</v>
      </c>
      <c r="V263" s="64"/>
      <c r="W263" s="413">
        <f t="shared" si="29"/>
        <v>0</v>
      </c>
      <c r="X263" s="403">
        <v>0</v>
      </c>
      <c r="Y263" s="403">
        <v>0</v>
      </c>
      <c r="Z263" s="403">
        <v>0</v>
      </c>
      <c r="AA263" s="38"/>
      <c r="AB263" s="409"/>
      <c r="AC263" s="38"/>
      <c r="AD263" s="68"/>
      <c r="AE263" s="68"/>
      <c r="AF263" s="68"/>
      <c r="AG263" s="68"/>
      <c r="AH263" s="68"/>
      <c r="AI263" s="38"/>
      <c r="AJ263" s="38"/>
      <c r="AK263" s="38"/>
      <c r="AL263" s="38"/>
      <c r="AM263" s="38"/>
      <c r="AN263" s="38"/>
      <c r="AO263" s="69"/>
      <c r="AP263" s="69"/>
      <c r="AQ263" s="69"/>
      <c r="AR263" s="69"/>
      <c r="AS263" s="68"/>
      <c r="AT263" s="66" t="e">
        <f>VLOOKUP(K263,[4]Planilha1!A$13:P$314,16,0)</f>
        <v>#N/A</v>
      </c>
    </row>
    <row r="264" spans="1:46" s="63" customFormat="1" x14ac:dyDescent="0.25">
      <c r="A264" s="82"/>
      <c r="B264" s="82"/>
      <c r="C264" s="64"/>
      <c r="D264" s="64"/>
      <c r="E264" s="64"/>
      <c r="F264" s="64"/>
      <c r="G264" s="64"/>
      <c r="H264" s="64"/>
      <c r="I264" s="64"/>
      <c r="J264" s="64"/>
      <c r="K264" s="64"/>
      <c r="L264" s="64"/>
      <c r="M264" s="64"/>
      <c r="N264" s="406"/>
      <c r="O264" s="64"/>
      <c r="P264" s="410"/>
      <c r="Q264" s="64"/>
      <c r="R264" s="401">
        <f t="shared" si="30"/>
        <v>0</v>
      </c>
      <c r="S264" s="401"/>
      <c r="T264" s="401"/>
      <c r="U264" s="64" t="s">
        <v>8535</v>
      </c>
      <c r="V264" s="64"/>
      <c r="W264" s="413">
        <f t="shared" si="29"/>
        <v>0</v>
      </c>
      <c r="X264" s="403">
        <v>0</v>
      </c>
      <c r="Y264" s="403">
        <v>0</v>
      </c>
      <c r="Z264" s="403">
        <v>0</v>
      </c>
      <c r="AA264" s="38"/>
      <c r="AB264" s="409"/>
      <c r="AC264" s="38"/>
      <c r="AD264" s="68"/>
      <c r="AE264" s="68"/>
      <c r="AF264" s="68"/>
      <c r="AG264" s="68"/>
      <c r="AH264" s="68"/>
      <c r="AI264" s="38"/>
      <c r="AJ264" s="38"/>
      <c r="AK264" s="38"/>
      <c r="AL264" s="38"/>
      <c r="AM264" s="38"/>
      <c r="AN264" s="38"/>
      <c r="AO264" s="69"/>
      <c r="AP264" s="69"/>
      <c r="AQ264" s="69"/>
      <c r="AR264" s="69"/>
      <c r="AS264" s="68"/>
      <c r="AT264" s="66" t="e">
        <f>VLOOKUP(K264,[4]Planilha1!A$13:P$314,16,0)</f>
        <v>#N/A</v>
      </c>
    </row>
    <row r="265" spans="1:46" s="63" customFormat="1" x14ac:dyDescent="0.25">
      <c r="A265" s="82"/>
      <c r="B265" s="82"/>
      <c r="C265" s="64"/>
      <c r="D265" s="64"/>
      <c r="E265" s="64"/>
      <c r="F265" s="64"/>
      <c r="G265" s="64"/>
      <c r="H265" s="64"/>
      <c r="I265" s="64"/>
      <c r="J265" s="64"/>
      <c r="K265" s="64"/>
      <c r="L265" s="64"/>
      <c r="M265" s="64"/>
      <c r="N265" s="406"/>
      <c r="O265" s="64"/>
      <c r="P265" s="410"/>
      <c r="Q265" s="64"/>
      <c r="R265" s="401">
        <f t="shared" si="30"/>
        <v>0</v>
      </c>
      <c r="S265" s="401"/>
      <c r="T265" s="401"/>
      <c r="U265" s="64" t="s">
        <v>8535</v>
      </c>
      <c r="V265" s="64"/>
      <c r="W265" s="413">
        <f t="shared" si="29"/>
        <v>0</v>
      </c>
      <c r="X265" s="403">
        <v>0</v>
      </c>
      <c r="Y265" s="403">
        <v>0</v>
      </c>
      <c r="Z265" s="403">
        <v>0</v>
      </c>
      <c r="AA265" s="38"/>
      <c r="AB265" s="409"/>
      <c r="AC265" s="38"/>
      <c r="AD265" s="68"/>
      <c r="AE265" s="68"/>
      <c r="AF265" s="68"/>
      <c r="AG265" s="68"/>
      <c r="AH265" s="68"/>
      <c r="AI265" s="38"/>
      <c r="AJ265" s="38"/>
      <c r="AK265" s="38"/>
      <c r="AL265" s="38"/>
      <c r="AM265" s="38"/>
      <c r="AN265" s="38"/>
      <c r="AO265" s="69"/>
      <c r="AP265" s="69"/>
      <c r="AQ265" s="69"/>
      <c r="AR265" s="69"/>
      <c r="AS265" s="68"/>
      <c r="AT265" s="66" t="e">
        <f>VLOOKUP(K265,[4]Planilha1!A$13:P$314,16,0)</f>
        <v>#N/A</v>
      </c>
    </row>
    <row r="266" spans="1:46" s="63" customFormat="1" x14ac:dyDescent="0.25">
      <c r="A266" s="82"/>
      <c r="B266" s="82"/>
      <c r="C266" s="64"/>
      <c r="D266" s="64"/>
      <c r="E266" s="64"/>
      <c r="F266" s="64"/>
      <c r="G266" s="64"/>
      <c r="H266" s="64"/>
      <c r="I266" s="64"/>
      <c r="J266" s="64"/>
      <c r="K266" s="64"/>
      <c r="L266" s="64"/>
      <c r="M266" s="64"/>
      <c r="N266" s="406"/>
      <c r="O266" s="64"/>
      <c r="P266" s="410"/>
      <c r="Q266" s="64"/>
      <c r="R266" s="401">
        <f t="shared" si="30"/>
        <v>0</v>
      </c>
      <c r="S266" s="401"/>
      <c r="T266" s="401"/>
      <c r="U266" s="64" t="s">
        <v>8535</v>
      </c>
      <c r="V266" s="64"/>
      <c r="W266" s="413">
        <f t="shared" si="29"/>
        <v>0</v>
      </c>
      <c r="X266" s="403">
        <v>0</v>
      </c>
      <c r="Y266" s="403">
        <v>0</v>
      </c>
      <c r="Z266" s="403">
        <v>0</v>
      </c>
      <c r="AA266" s="38"/>
      <c r="AB266" s="409"/>
      <c r="AC266" s="38"/>
      <c r="AD266" s="68"/>
      <c r="AE266" s="68"/>
      <c r="AF266" s="68"/>
      <c r="AG266" s="68"/>
      <c r="AH266" s="68"/>
      <c r="AI266" s="38"/>
      <c r="AJ266" s="38"/>
      <c r="AK266" s="38"/>
      <c r="AL266" s="38"/>
      <c r="AM266" s="38"/>
      <c r="AN266" s="38"/>
      <c r="AO266" s="69"/>
      <c r="AP266" s="69"/>
      <c r="AQ266" s="69"/>
      <c r="AR266" s="69"/>
      <c r="AS266" s="68"/>
      <c r="AT266" s="66" t="e">
        <f>VLOOKUP(K266,[4]Planilha1!A$13:P$314,16,0)</f>
        <v>#N/A</v>
      </c>
    </row>
    <row r="267" spans="1:46" s="63" customFormat="1" x14ac:dyDescent="0.25">
      <c r="A267" s="82"/>
      <c r="B267" s="82"/>
      <c r="C267" s="64"/>
      <c r="D267" s="64"/>
      <c r="E267" s="64"/>
      <c r="F267" s="64"/>
      <c r="G267" s="64"/>
      <c r="H267" s="64"/>
      <c r="I267" s="64"/>
      <c r="J267" s="64"/>
      <c r="K267" s="64"/>
      <c r="L267" s="64"/>
      <c r="M267" s="64"/>
      <c r="N267" s="406"/>
      <c r="O267" s="64"/>
      <c r="P267" s="410"/>
      <c r="Q267" s="64"/>
      <c r="R267" s="401">
        <f t="shared" si="30"/>
        <v>0</v>
      </c>
      <c r="S267" s="401"/>
      <c r="T267" s="401"/>
      <c r="U267" s="64"/>
      <c r="V267" s="64"/>
      <c r="W267" s="413">
        <f t="shared" si="29"/>
        <v>0</v>
      </c>
      <c r="X267" s="403">
        <v>0</v>
      </c>
      <c r="Y267" s="403">
        <v>0</v>
      </c>
      <c r="Z267" s="403">
        <v>0</v>
      </c>
      <c r="AA267" s="38"/>
      <c r="AB267" s="409"/>
      <c r="AC267" s="38"/>
      <c r="AD267" s="68"/>
      <c r="AE267" s="68"/>
      <c r="AF267" s="68"/>
      <c r="AG267" s="68"/>
      <c r="AH267" s="68"/>
      <c r="AI267" s="38"/>
      <c r="AJ267" s="38"/>
      <c r="AK267" s="38"/>
      <c r="AL267" s="38"/>
      <c r="AM267" s="38"/>
      <c r="AN267" s="38"/>
      <c r="AO267" s="69"/>
      <c r="AP267" s="69"/>
      <c r="AQ267" s="69"/>
      <c r="AR267" s="69"/>
      <c r="AS267" s="68"/>
      <c r="AT267" s="66" t="e">
        <f>VLOOKUP(K267,[4]Planilha1!A$13:P$314,16,0)</f>
        <v>#N/A</v>
      </c>
    </row>
    <row r="268" spans="1:46" s="63" customFormat="1" x14ac:dyDescent="0.25">
      <c r="A268" s="82"/>
      <c r="B268" s="82"/>
      <c r="C268" s="64"/>
      <c r="D268" s="64"/>
      <c r="E268" s="64"/>
      <c r="F268" s="64"/>
      <c r="G268" s="64"/>
      <c r="H268" s="64"/>
      <c r="I268" s="64"/>
      <c r="J268" s="64"/>
      <c r="K268" s="64"/>
      <c r="L268" s="64"/>
      <c r="M268" s="64"/>
      <c r="N268" s="406"/>
      <c r="O268" s="64"/>
      <c r="P268" s="410"/>
      <c r="Q268" s="64"/>
      <c r="R268" s="401">
        <f t="shared" si="30"/>
        <v>0</v>
      </c>
      <c r="S268" s="401"/>
      <c r="T268" s="401"/>
      <c r="U268" s="64"/>
      <c r="V268" s="64"/>
      <c r="W268" s="413">
        <f t="shared" ref="W268:W331" si="31">V268*R268</f>
        <v>0</v>
      </c>
      <c r="X268" s="403">
        <v>0</v>
      </c>
      <c r="Y268" s="403">
        <v>0</v>
      </c>
      <c r="Z268" s="403">
        <v>0</v>
      </c>
      <c r="AA268" s="38"/>
      <c r="AB268" s="409"/>
      <c r="AC268" s="38"/>
      <c r="AD268" s="68"/>
      <c r="AE268" s="68"/>
      <c r="AF268" s="68"/>
      <c r="AG268" s="68"/>
      <c r="AH268" s="68"/>
      <c r="AI268" s="38"/>
      <c r="AJ268" s="38"/>
      <c r="AK268" s="38"/>
      <c r="AL268" s="38"/>
      <c r="AM268" s="38"/>
      <c r="AN268" s="38"/>
      <c r="AO268" s="69"/>
      <c r="AP268" s="69"/>
      <c r="AQ268" s="69"/>
      <c r="AR268" s="69"/>
      <c r="AS268" s="68"/>
      <c r="AT268" s="66" t="e">
        <f>VLOOKUP(K268,[4]Planilha1!A$13:P$314,16,0)</f>
        <v>#N/A</v>
      </c>
    </row>
    <row r="269" spans="1:46" s="63" customFormat="1" x14ac:dyDescent="0.25">
      <c r="A269" s="82"/>
      <c r="B269" s="82"/>
      <c r="C269" s="64"/>
      <c r="D269" s="64"/>
      <c r="E269" s="64"/>
      <c r="F269" s="64"/>
      <c r="G269" s="64"/>
      <c r="H269" s="64"/>
      <c r="I269" s="64"/>
      <c r="J269" s="64"/>
      <c r="K269" s="64"/>
      <c r="L269" s="64"/>
      <c r="M269" s="64"/>
      <c r="N269" s="406"/>
      <c r="O269" s="64"/>
      <c r="P269" s="410"/>
      <c r="Q269" s="64"/>
      <c r="R269" s="401">
        <f t="shared" si="30"/>
        <v>0</v>
      </c>
      <c r="S269" s="401"/>
      <c r="T269" s="401"/>
      <c r="U269" s="64"/>
      <c r="V269" s="64"/>
      <c r="W269" s="413">
        <f t="shared" si="31"/>
        <v>0</v>
      </c>
      <c r="X269" s="403">
        <v>0</v>
      </c>
      <c r="Y269" s="403">
        <v>0</v>
      </c>
      <c r="Z269" s="403">
        <v>0</v>
      </c>
      <c r="AA269" s="38"/>
      <c r="AB269" s="409"/>
      <c r="AC269" s="38"/>
      <c r="AD269" s="68"/>
      <c r="AE269" s="68"/>
      <c r="AF269" s="68"/>
      <c r="AG269" s="68"/>
      <c r="AH269" s="68"/>
      <c r="AI269" s="38"/>
      <c r="AJ269" s="38"/>
      <c r="AK269" s="38"/>
      <c r="AL269" s="38"/>
      <c r="AM269" s="38"/>
      <c r="AN269" s="38"/>
      <c r="AO269" s="69"/>
      <c r="AP269" s="69"/>
      <c r="AQ269" s="69"/>
      <c r="AR269" s="69"/>
      <c r="AS269" s="68"/>
      <c r="AT269" s="66" t="e">
        <f>VLOOKUP(K269,[4]Planilha1!A$13:P$314,16,0)</f>
        <v>#N/A</v>
      </c>
    </row>
    <row r="270" spans="1:46" s="63" customFormat="1" x14ac:dyDescent="0.25">
      <c r="A270" s="82"/>
      <c r="B270" s="82"/>
      <c r="C270" s="64"/>
      <c r="D270" s="64"/>
      <c r="E270" s="64"/>
      <c r="F270" s="64"/>
      <c r="G270" s="64"/>
      <c r="H270" s="64"/>
      <c r="I270" s="64"/>
      <c r="J270" s="64"/>
      <c r="K270" s="64"/>
      <c r="L270" s="64"/>
      <c r="M270" s="64"/>
      <c r="N270" s="406"/>
      <c r="O270" s="64"/>
      <c r="P270" s="410"/>
      <c r="Q270" s="64"/>
      <c r="R270" s="401">
        <f t="shared" si="30"/>
        <v>0</v>
      </c>
      <c r="S270" s="401"/>
      <c r="T270" s="401"/>
      <c r="U270" s="64" t="s">
        <v>8535</v>
      </c>
      <c r="V270" s="64"/>
      <c r="W270" s="413">
        <f t="shared" si="31"/>
        <v>0</v>
      </c>
      <c r="X270" s="403">
        <v>0</v>
      </c>
      <c r="Y270" s="403">
        <v>0</v>
      </c>
      <c r="Z270" s="403">
        <v>0</v>
      </c>
      <c r="AA270" s="38"/>
      <c r="AB270" s="409"/>
      <c r="AC270" s="38"/>
      <c r="AD270" s="68"/>
      <c r="AE270" s="68"/>
      <c r="AF270" s="68"/>
      <c r="AG270" s="68"/>
      <c r="AH270" s="68"/>
      <c r="AI270" s="38"/>
      <c r="AJ270" s="38"/>
      <c r="AK270" s="38"/>
      <c r="AL270" s="38"/>
      <c r="AM270" s="38"/>
      <c r="AN270" s="38"/>
      <c r="AO270" s="69"/>
      <c r="AP270" s="69"/>
      <c r="AQ270" s="69"/>
      <c r="AR270" s="69"/>
      <c r="AS270" s="68"/>
      <c r="AT270" s="66" t="e">
        <f>VLOOKUP(K270,[4]Planilha1!A$13:P$314,16,0)</f>
        <v>#N/A</v>
      </c>
    </row>
    <row r="271" spans="1:46" s="63" customFormat="1" x14ac:dyDescent="0.25">
      <c r="A271" s="82"/>
      <c r="B271" s="82"/>
      <c r="C271" s="64"/>
      <c r="D271" s="64"/>
      <c r="E271" s="64"/>
      <c r="F271" s="64"/>
      <c r="G271" s="64"/>
      <c r="H271" s="64"/>
      <c r="I271" s="64"/>
      <c r="J271" s="64"/>
      <c r="K271" s="64"/>
      <c r="L271" s="64"/>
      <c r="M271" s="64"/>
      <c r="N271" s="406"/>
      <c r="O271" s="64"/>
      <c r="P271" s="410"/>
      <c r="Q271" s="64"/>
      <c r="R271" s="401">
        <f t="shared" si="30"/>
        <v>0</v>
      </c>
      <c r="S271" s="401"/>
      <c r="T271" s="401"/>
      <c r="U271" s="64" t="s">
        <v>8535</v>
      </c>
      <c r="V271" s="64"/>
      <c r="W271" s="413">
        <f t="shared" si="31"/>
        <v>0</v>
      </c>
      <c r="X271" s="403">
        <v>0</v>
      </c>
      <c r="Y271" s="403">
        <v>0</v>
      </c>
      <c r="Z271" s="403">
        <v>0</v>
      </c>
      <c r="AA271" s="38"/>
      <c r="AB271" s="409"/>
      <c r="AC271" s="38"/>
      <c r="AD271" s="68"/>
      <c r="AE271" s="68"/>
      <c r="AF271" s="68"/>
      <c r="AG271" s="68"/>
      <c r="AH271" s="68"/>
      <c r="AI271" s="38"/>
      <c r="AJ271" s="38"/>
      <c r="AK271" s="38"/>
      <c r="AL271" s="38"/>
      <c r="AM271" s="38"/>
      <c r="AN271" s="38"/>
      <c r="AO271" s="69"/>
      <c r="AP271" s="69"/>
      <c r="AQ271" s="69"/>
      <c r="AR271" s="69"/>
      <c r="AS271" s="68"/>
      <c r="AT271" s="66" t="e">
        <f>VLOOKUP(K271,[4]Planilha1!A$13:P$314,16,0)</f>
        <v>#N/A</v>
      </c>
    </row>
    <row r="272" spans="1:46" s="63" customFormat="1" x14ac:dyDescent="0.25">
      <c r="A272" s="82"/>
      <c r="B272" s="82"/>
      <c r="C272" s="64"/>
      <c r="D272" s="64"/>
      <c r="E272" s="64"/>
      <c r="F272" s="64"/>
      <c r="G272" s="64"/>
      <c r="H272" s="64"/>
      <c r="I272" s="64"/>
      <c r="J272" s="64"/>
      <c r="K272" s="64"/>
      <c r="L272" s="64"/>
      <c r="M272" s="64"/>
      <c r="N272" s="406"/>
      <c r="O272" s="64"/>
      <c r="P272" s="410"/>
      <c r="Q272" s="64"/>
      <c r="R272" s="401">
        <f t="shared" si="30"/>
        <v>0</v>
      </c>
      <c r="S272" s="401"/>
      <c r="T272" s="401"/>
      <c r="U272" s="64"/>
      <c r="V272" s="64"/>
      <c r="W272" s="413">
        <f t="shared" si="31"/>
        <v>0</v>
      </c>
      <c r="X272" s="403">
        <v>0</v>
      </c>
      <c r="Y272" s="403">
        <v>0</v>
      </c>
      <c r="Z272" s="403">
        <v>0</v>
      </c>
      <c r="AA272" s="38"/>
      <c r="AB272" s="409"/>
      <c r="AC272" s="38"/>
      <c r="AD272" s="68"/>
      <c r="AE272" s="68"/>
      <c r="AF272" s="68"/>
      <c r="AG272" s="68"/>
      <c r="AH272" s="68"/>
      <c r="AI272" s="38"/>
      <c r="AJ272" s="38"/>
      <c r="AK272" s="38"/>
      <c r="AL272" s="38"/>
      <c r="AM272" s="38"/>
      <c r="AN272" s="38"/>
      <c r="AO272" s="69"/>
      <c r="AP272" s="69"/>
      <c r="AQ272" s="69"/>
      <c r="AR272" s="69"/>
      <c r="AS272" s="68"/>
      <c r="AT272" s="66" t="e">
        <f>VLOOKUP(K272,[4]Planilha1!A$13:P$314,16,0)</f>
        <v>#N/A</v>
      </c>
    </row>
    <row r="273" spans="1:46" s="63" customFormat="1" x14ac:dyDescent="0.25">
      <c r="A273" s="82"/>
      <c r="B273" s="82"/>
      <c r="C273" s="64"/>
      <c r="D273" s="64"/>
      <c r="E273" s="64"/>
      <c r="F273" s="64"/>
      <c r="G273" s="64"/>
      <c r="H273" s="64"/>
      <c r="I273" s="64"/>
      <c r="J273" s="64"/>
      <c r="K273" s="64"/>
      <c r="L273" s="64"/>
      <c r="M273" s="64"/>
      <c r="N273" s="406"/>
      <c r="O273" s="64"/>
      <c r="P273" s="410"/>
      <c r="Q273" s="64"/>
      <c r="R273" s="401">
        <f t="shared" si="30"/>
        <v>0</v>
      </c>
      <c r="S273" s="401"/>
      <c r="T273" s="401"/>
      <c r="U273" s="64"/>
      <c r="V273" s="64"/>
      <c r="W273" s="413">
        <f t="shared" si="31"/>
        <v>0</v>
      </c>
      <c r="X273" s="403">
        <v>0</v>
      </c>
      <c r="Y273" s="403">
        <v>0</v>
      </c>
      <c r="Z273" s="403">
        <v>0</v>
      </c>
      <c r="AA273" s="38"/>
      <c r="AB273" s="409"/>
      <c r="AC273" s="38"/>
      <c r="AD273" s="68"/>
      <c r="AE273" s="68"/>
      <c r="AF273" s="68"/>
      <c r="AG273" s="68"/>
      <c r="AH273" s="68"/>
      <c r="AI273" s="38"/>
      <c r="AJ273" s="38"/>
      <c r="AK273" s="38"/>
      <c r="AL273" s="38"/>
      <c r="AM273" s="38"/>
      <c r="AN273" s="38"/>
      <c r="AO273" s="69"/>
      <c r="AP273" s="69"/>
      <c r="AQ273" s="69"/>
      <c r="AR273" s="69"/>
      <c r="AS273" s="68"/>
      <c r="AT273" s="66" t="e">
        <f>VLOOKUP(K273,[4]Planilha1!A$13:P$314,16,0)</f>
        <v>#N/A</v>
      </c>
    </row>
    <row r="274" spans="1:46" s="63" customFormat="1" x14ac:dyDescent="0.25">
      <c r="A274" s="82"/>
      <c r="B274" s="82"/>
      <c r="C274" s="64"/>
      <c r="D274" s="64"/>
      <c r="E274" s="64"/>
      <c r="F274" s="64"/>
      <c r="G274" s="64"/>
      <c r="H274" s="64"/>
      <c r="I274" s="64"/>
      <c r="J274" s="64"/>
      <c r="K274" s="64"/>
      <c r="L274" s="64"/>
      <c r="M274" s="64"/>
      <c r="N274" s="406"/>
      <c r="O274" s="64"/>
      <c r="P274" s="410"/>
      <c r="Q274" s="64"/>
      <c r="R274" s="401">
        <f t="shared" si="30"/>
        <v>0</v>
      </c>
      <c r="S274" s="401"/>
      <c r="T274" s="401"/>
      <c r="U274" s="64"/>
      <c r="V274" s="64"/>
      <c r="W274" s="413">
        <f t="shared" si="31"/>
        <v>0</v>
      </c>
      <c r="X274" s="403">
        <v>0</v>
      </c>
      <c r="Y274" s="403">
        <v>0</v>
      </c>
      <c r="Z274" s="403">
        <v>0</v>
      </c>
      <c r="AA274" s="38"/>
      <c r="AB274" s="409"/>
      <c r="AC274" s="38"/>
      <c r="AD274" s="68"/>
      <c r="AE274" s="68"/>
      <c r="AF274" s="68"/>
      <c r="AG274" s="68"/>
      <c r="AH274" s="68"/>
      <c r="AI274" s="38"/>
      <c r="AJ274" s="38"/>
      <c r="AK274" s="38"/>
      <c r="AL274" s="38"/>
      <c r="AM274" s="38"/>
      <c r="AN274" s="38"/>
      <c r="AO274" s="69"/>
      <c r="AP274" s="69"/>
      <c r="AQ274" s="69"/>
      <c r="AR274" s="69"/>
      <c r="AS274" s="68"/>
      <c r="AT274" s="66" t="e">
        <f>VLOOKUP(K274,[4]Planilha1!A$13:P$314,16,0)</f>
        <v>#N/A</v>
      </c>
    </row>
    <row r="275" spans="1:46" s="63" customFormat="1" x14ac:dyDescent="0.25">
      <c r="A275" s="82"/>
      <c r="B275" s="82"/>
      <c r="C275" s="64"/>
      <c r="D275" s="64"/>
      <c r="E275" s="64"/>
      <c r="F275" s="64"/>
      <c r="G275" s="64"/>
      <c r="H275" s="64"/>
      <c r="I275" s="64"/>
      <c r="J275" s="64"/>
      <c r="K275" s="64"/>
      <c r="L275" s="64"/>
      <c r="M275" s="64"/>
      <c r="N275" s="406"/>
      <c r="O275" s="64"/>
      <c r="P275" s="410"/>
      <c r="Q275" s="64"/>
      <c r="R275" s="401">
        <f t="shared" si="30"/>
        <v>0</v>
      </c>
      <c r="S275" s="401"/>
      <c r="T275" s="401"/>
      <c r="U275" s="64"/>
      <c r="V275" s="64"/>
      <c r="W275" s="413">
        <f t="shared" si="31"/>
        <v>0</v>
      </c>
      <c r="X275" s="403">
        <v>0</v>
      </c>
      <c r="Y275" s="403">
        <v>0</v>
      </c>
      <c r="Z275" s="403">
        <v>0</v>
      </c>
      <c r="AA275" s="38"/>
      <c r="AB275" s="409"/>
      <c r="AC275" s="38"/>
      <c r="AD275" s="68"/>
      <c r="AE275" s="68"/>
      <c r="AF275" s="68"/>
      <c r="AG275" s="68"/>
      <c r="AH275" s="68"/>
      <c r="AI275" s="38"/>
      <c r="AJ275" s="38"/>
      <c r="AK275" s="38"/>
      <c r="AL275" s="38"/>
      <c r="AM275" s="38"/>
      <c r="AN275" s="38"/>
      <c r="AO275" s="69"/>
      <c r="AP275" s="69"/>
      <c r="AQ275" s="69"/>
      <c r="AR275" s="69"/>
      <c r="AS275" s="68"/>
      <c r="AT275" s="66" t="e">
        <f>VLOOKUP(K275,[4]Planilha1!A$13:P$314,16,0)</f>
        <v>#N/A</v>
      </c>
    </row>
    <row r="276" spans="1:46" s="63" customFormat="1" x14ac:dyDescent="0.25">
      <c r="A276" s="82"/>
      <c r="B276" s="82"/>
      <c r="C276" s="64"/>
      <c r="D276" s="64"/>
      <c r="E276" s="64"/>
      <c r="F276" s="64"/>
      <c r="G276" s="64"/>
      <c r="H276" s="64"/>
      <c r="I276" s="64"/>
      <c r="J276" s="64"/>
      <c r="K276" s="64"/>
      <c r="L276" s="64"/>
      <c r="M276" s="64"/>
      <c r="N276" s="406"/>
      <c r="O276" s="64"/>
      <c r="P276" s="410"/>
      <c r="Q276" s="64"/>
      <c r="R276" s="401">
        <f t="shared" si="30"/>
        <v>0</v>
      </c>
      <c r="S276" s="401"/>
      <c r="T276" s="401"/>
      <c r="U276" s="64"/>
      <c r="V276" s="64"/>
      <c r="W276" s="413">
        <f t="shared" si="31"/>
        <v>0</v>
      </c>
      <c r="X276" s="403">
        <v>0</v>
      </c>
      <c r="Y276" s="403">
        <v>0</v>
      </c>
      <c r="Z276" s="403">
        <v>0</v>
      </c>
      <c r="AA276" s="38"/>
      <c r="AB276" s="409"/>
      <c r="AC276" s="38"/>
      <c r="AD276" s="68"/>
      <c r="AE276" s="68"/>
      <c r="AF276" s="68"/>
      <c r="AG276" s="68"/>
      <c r="AH276" s="68"/>
      <c r="AI276" s="38"/>
      <c r="AJ276" s="38"/>
      <c r="AK276" s="38"/>
      <c r="AL276" s="38"/>
      <c r="AM276" s="38"/>
      <c r="AN276" s="38"/>
      <c r="AO276" s="69"/>
      <c r="AP276" s="69"/>
      <c r="AQ276" s="69"/>
      <c r="AR276" s="69"/>
      <c r="AS276" s="68"/>
      <c r="AT276" s="66" t="e">
        <f>VLOOKUP(K276,[4]Planilha1!A$13:P$314,16,0)</f>
        <v>#N/A</v>
      </c>
    </row>
    <row r="277" spans="1:46" s="63" customFormat="1" x14ac:dyDescent="0.25">
      <c r="A277" s="82"/>
      <c r="B277" s="82"/>
      <c r="C277" s="64"/>
      <c r="D277" s="64"/>
      <c r="E277" s="64"/>
      <c r="F277" s="64"/>
      <c r="G277" s="64"/>
      <c r="H277" s="64"/>
      <c r="I277" s="64"/>
      <c r="J277" s="64"/>
      <c r="K277" s="64"/>
      <c r="L277" s="64"/>
      <c r="M277" s="64"/>
      <c r="N277" s="406"/>
      <c r="O277" s="64"/>
      <c r="P277" s="410"/>
      <c r="Q277" s="64"/>
      <c r="R277" s="401">
        <f t="shared" si="30"/>
        <v>0</v>
      </c>
      <c r="S277" s="401"/>
      <c r="T277" s="401"/>
      <c r="U277" s="64" t="s">
        <v>8535</v>
      </c>
      <c r="V277" s="64"/>
      <c r="W277" s="413">
        <f t="shared" si="31"/>
        <v>0</v>
      </c>
      <c r="X277" s="403">
        <v>0</v>
      </c>
      <c r="Y277" s="403">
        <v>0</v>
      </c>
      <c r="Z277" s="403">
        <v>0</v>
      </c>
      <c r="AA277" s="38"/>
      <c r="AB277" s="409"/>
      <c r="AC277" s="38"/>
      <c r="AD277" s="68"/>
      <c r="AE277" s="68"/>
      <c r="AF277" s="68"/>
      <c r="AG277" s="68"/>
      <c r="AH277" s="68"/>
      <c r="AI277" s="38"/>
      <c r="AJ277" s="38"/>
      <c r="AK277" s="38"/>
      <c r="AL277" s="38"/>
      <c r="AM277" s="38"/>
      <c r="AN277" s="38"/>
      <c r="AO277" s="69"/>
      <c r="AP277" s="69"/>
      <c r="AQ277" s="69"/>
      <c r="AR277" s="69"/>
      <c r="AS277" s="68"/>
      <c r="AT277" s="66" t="e">
        <f>VLOOKUP(K277,[4]Planilha1!A$13:P$314,16,0)</f>
        <v>#N/A</v>
      </c>
    </row>
    <row r="278" spans="1:46" s="63" customFormat="1" x14ac:dyDescent="0.25">
      <c r="A278" s="82"/>
      <c r="B278" s="82"/>
      <c r="C278" s="64"/>
      <c r="D278" s="64"/>
      <c r="E278" s="64"/>
      <c r="F278" s="64"/>
      <c r="G278" s="64"/>
      <c r="H278" s="64"/>
      <c r="I278" s="64"/>
      <c r="J278" s="64"/>
      <c r="K278" s="64"/>
      <c r="L278" s="64"/>
      <c r="M278" s="64"/>
      <c r="N278" s="406"/>
      <c r="O278" s="64"/>
      <c r="P278" s="410"/>
      <c r="Q278" s="64"/>
      <c r="R278" s="401">
        <f t="shared" si="30"/>
        <v>0</v>
      </c>
      <c r="S278" s="401"/>
      <c r="T278" s="401"/>
      <c r="U278" s="64"/>
      <c r="V278" s="64"/>
      <c r="W278" s="413">
        <f t="shared" si="31"/>
        <v>0</v>
      </c>
      <c r="X278" s="403">
        <v>0</v>
      </c>
      <c r="Y278" s="403">
        <v>0</v>
      </c>
      <c r="Z278" s="403">
        <v>0</v>
      </c>
      <c r="AA278" s="38"/>
      <c r="AB278" s="409"/>
      <c r="AC278" s="38"/>
      <c r="AD278" s="68"/>
      <c r="AE278" s="68"/>
      <c r="AF278" s="68"/>
      <c r="AG278" s="68"/>
      <c r="AH278" s="68"/>
      <c r="AI278" s="38"/>
      <c r="AJ278" s="38"/>
      <c r="AK278" s="38"/>
      <c r="AL278" s="38"/>
      <c r="AM278" s="38"/>
      <c r="AN278" s="38"/>
      <c r="AO278" s="69"/>
      <c r="AP278" s="69"/>
      <c r="AQ278" s="69"/>
      <c r="AR278" s="69"/>
      <c r="AS278" s="68"/>
      <c r="AT278" s="66" t="e">
        <f>VLOOKUP(K278,[4]Planilha1!A$13:P$314,16,0)</f>
        <v>#N/A</v>
      </c>
    </row>
    <row r="279" spans="1:46" s="63" customFormat="1" x14ac:dyDescent="0.25">
      <c r="A279" s="82"/>
      <c r="B279" s="82"/>
      <c r="C279" s="64"/>
      <c r="D279" s="64"/>
      <c r="E279" s="64"/>
      <c r="F279" s="64"/>
      <c r="G279" s="64"/>
      <c r="H279" s="64"/>
      <c r="I279" s="64"/>
      <c r="J279" s="64"/>
      <c r="K279" s="64"/>
      <c r="L279" s="64"/>
      <c r="M279" s="64"/>
      <c r="N279" s="406"/>
      <c r="O279" s="64"/>
      <c r="P279" s="410"/>
      <c r="Q279" s="64"/>
      <c r="R279" s="401">
        <f t="shared" si="30"/>
        <v>0</v>
      </c>
      <c r="S279" s="401"/>
      <c r="T279" s="401"/>
      <c r="U279" s="64" t="s">
        <v>8535</v>
      </c>
      <c r="V279" s="64"/>
      <c r="W279" s="413">
        <f t="shared" si="31"/>
        <v>0</v>
      </c>
      <c r="X279" s="403">
        <v>0</v>
      </c>
      <c r="Y279" s="403">
        <v>0</v>
      </c>
      <c r="Z279" s="403">
        <v>0</v>
      </c>
      <c r="AA279" s="38"/>
      <c r="AB279" s="409"/>
      <c r="AC279" s="38"/>
      <c r="AD279" s="68"/>
      <c r="AE279" s="68"/>
      <c r="AF279" s="68"/>
      <c r="AG279" s="68"/>
      <c r="AH279" s="68"/>
      <c r="AI279" s="38"/>
      <c r="AJ279" s="38"/>
      <c r="AK279" s="38"/>
      <c r="AL279" s="38"/>
      <c r="AM279" s="38"/>
      <c r="AN279" s="38"/>
      <c r="AO279" s="69"/>
      <c r="AP279" s="69"/>
      <c r="AQ279" s="69"/>
      <c r="AR279" s="69"/>
      <c r="AS279" s="68"/>
      <c r="AT279" s="66" t="e">
        <f>VLOOKUP(K279,[4]Planilha1!A$13:P$314,16,0)</f>
        <v>#N/A</v>
      </c>
    </row>
    <row r="280" spans="1:46" s="63" customFormat="1" x14ac:dyDescent="0.25">
      <c r="A280" s="82"/>
      <c r="B280" s="82"/>
      <c r="C280" s="64"/>
      <c r="D280" s="64"/>
      <c r="E280" s="64"/>
      <c r="F280" s="64"/>
      <c r="G280" s="64"/>
      <c r="H280" s="64"/>
      <c r="I280" s="64"/>
      <c r="J280" s="64"/>
      <c r="K280" s="64"/>
      <c r="L280" s="64"/>
      <c r="M280" s="64"/>
      <c r="N280" s="406"/>
      <c r="O280" s="64"/>
      <c r="P280" s="410"/>
      <c r="Q280" s="64"/>
      <c r="R280" s="401">
        <f t="shared" si="30"/>
        <v>0</v>
      </c>
      <c r="S280" s="401"/>
      <c r="T280" s="401"/>
      <c r="U280" s="64" t="s">
        <v>8535</v>
      </c>
      <c r="V280" s="64"/>
      <c r="W280" s="413">
        <f t="shared" si="31"/>
        <v>0</v>
      </c>
      <c r="X280" s="403">
        <v>0</v>
      </c>
      <c r="Y280" s="403">
        <v>0</v>
      </c>
      <c r="Z280" s="403">
        <v>0</v>
      </c>
      <c r="AA280" s="38"/>
      <c r="AB280" s="409"/>
      <c r="AC280" s="38"/>
      <c r="AD280" s="68"/>
      <c r="AE280" s="68"/>
      <c r="AF280" s="68"/>
      <c r="AG280" s="68"/>
      <c r="AH280" s="68"/>
      <c r="AI280" s="38"/>
      <c r="AJ280" s="38"/>
      <c r="AK280" s="38"/>
      <c r="AL280" s="38"/>
      <c r="AM280" s="38"/>
      <c r="AN280" s="38"/>
      <c r="AO280" s="69"/>
      <c r="AP280" s="69"/>
      <c r="AQ280" s="69"/>
      <c r="AR280" s="69"/>
      <c r="AS280" s="68"/>
      <c r="AT280" s="66" t="e">
        <f>VLOOKUP(K280,[4]Planilha1!A$13:P$314,16,0)</f>
        <v>#N/A</v>
      </c>
    </row>
    <row r="281" spans="1:46" s="63" customFormat="1" x14ac:dyDescent="0.25">
      <c r="A281" s="82"/>
      <c r="B281" s="82"/>
      <c r="C281" s="64"/>
      <c r="D281" s="64"/>
      <c r="E281" s="64"/>
      <c r="F281" s="64"/>
      <c r="G281" s="64"/>
      <c r="H281" s="64"/>
      <c r="I281" s="64"/>
      <c r="J281" s="64"/>
      <c r="K281" s="64"/>
      <c r="L281" s="64"/>
      <c r="M281" s="64"/>
      <c r="N281" s="406"/>
      <c r="O281" s="64"/>
      <c r="P281" s="410"/>
      <c r="Q281" s="64"/>
      <c r="R281" s="401">
        <f t="shared" ref="R281:R344" si="32">P281*N281</f>
        <v>0</v>
      </c>
      <c r="S281" s="401"/>
      <c r="T281" s="401"/>
      <c r="U281" s="64" t="s">
        <v>8535</v>
      </c>
      <c r="V281" s="64"/>
      <c r="W281" s="413">
        <f t="shared" si="31"/>
        <v>0</v>
      </c>
      <c r="X281" s="403">
        <v>0</v>
      </c>
      <c r="Y281" s="403">
        <v>0</v>
      </c>
      <c r="Z281" s="403">
        <v>0</v>
      </c>
      <c r="AA281" s="38"/>
      <c r="AB281" s="409"/>
      <c r="AC281" s="38"/>
      <c r="AD281" s="68"/>
      <c r="AE281" s="68"/>
      <c r="AF281" s="68"/>
      <c r="AG281" s="68"/>
      <c r="AH281" s="68"/>
      <c r="AI281" s="38"/>
      <c r="AJ281" s="38"/>
      <c r="AK281" s="38"/>
      <c r="AL281" s="38"/>
      <c r="AM281" s="38"/>
      <c r="AN281" s="38"/>
      <c r="AO281" s="69"/>
      <c r="AP281" s="69"/>
      <c r="AQ281" s="69"/>
      <c r="AR281" s="69"/>
      <c r="AS281" s="68"/>
      <c r="AT281" s="66" t="e">
        <f>VLOOKUP(K281,[4]Planilha1!A$13:P$314,16,0)</f>
        <v>#N/A</v>
      </c>
    </row>
    <row r="282" spans="1:46" s="63" customFormat="1" x14ac:dyDescent="0.25">
      <c r="A282" s="82"/>
      <c r="B282" s="82"/>
      <c r="C282" s="64"/>
      <c r="D282" s="64"/>
      <c r="E282" s="64"/>
      <c r="F282" s="64"/>
      <c r="G282" s="64"/>
      <c r="H282" s="64"/>
      <c r="I282" s="64"/>
      <c r="J282" s="64"/>
      <c r="K282" s="64"/>
      <c r="L282" s="64"/>
      <c r="M282" s="64"/>
      <c r="N282" s="406"/>
      <c r="O282" s="64"/>
      <c r="P282" s="410"/>
      <c r="Q282" s="64"/>
      <c r="R282" s="401">
        <f t="shared" si="32"/>
        <v>0</v>
      </c>
      <c r="S282" s="401"/>
      <c r="T282" s="401"/>
      <c r="U282" s="64" t="s">
        <v>8535</v>
      </c>
      <c r="V282" s="64"/>
      <c r="W282" s="413">
        <f t="shared" si="31"/>
        <v>0</v>
      </c>
      <c r="X282" s="403">
        <v>0</v>
      </c>
      <c r="Y282" s="403">
        <v>0</v>
      </c>
      <c r="Z282" s="403">
        <v>0</v>
      </c>
      <c r="AA282" s="38"/>
      <c r="AB282" s="409"/>
      <c r="AC282" s="38"/>
      <c r="AD282" s="68"/>
      <c r="AE282" s="68"/>
      <c r="AF282" s="68"/>
      <c r="AG282" s="68"/>
      <c r="AH282" s="68"/>
      <c r="AI282" s="38"/>
      <c r="AJ282" s="38"/>
      <c r="AK282" s="38"/>
      <c r="AL282" s="38"/>
      <c r="AM282" s="38"/>
      <c r="AN282" s="38"/>
      <c r="AO282" s="69"/>
      <c r="AP282" s="69"/>
      <c r="AQ282" s="69"/>
      <c r="AR282" s="69"/>
      <c r="AS282" s="68"/>
      <c r="AT282" s="66" t="e">
        <f>VLOOKUP(K282,[4]Planilha1!A$13:P$314,16,0)</f>
        <v>#N/A</v>
      </c>
    </row>
    <row r="283" spans="1:46" s="63" customFormat="1" x14ac:dyDescent="0.25">
      <c r="A283" s="82"/>
      <c r="B283" s="82"/>
      <c r="C283" s="64"/>
      <c r="D283" s="64"/>
      <c r="E283" s="64"/>
      <c r="F283" s="64"/>
      <c r="G283" s="64"/>
      <c r="H283" s="64"/>
      <c r="I283" s="64"/>
      <c r="J283" s="64"/>
      <c r="K283" s="64"/>
      <c r="L283" s="64"/>
      <c r="M283" s="64"/>
      <c r="N283" s="406"/>
      <c r="O283" s="64"/>
      <c r="P283" s="410"/>
      <c r="Q283" s="64"/>
      <c r="R283" s="401">
        <f t="shared" si="32"/>
        <v>0</v>
      </c>
      <c r="S283" s="401"/>
      <c r="T283" s="401"/>
      <c r="U283" s="64" t="s">
        <v>8535</v>
      </c>
      <c r="V283" s="64"/>
      <c r="W283" s="413">
        <f t="shared" si="31"/>
        <v>0</v>
      </c>
      <c r="X283" s="403">
        <v>0</v>
      </c>
      <c r="Y283" s="403">
        <v>0</v>
      </c>
      <c r="Z283" s="403">
        <v>0</v>
      </c>
      <c r="AA283" s="38"/>
      <c r="AB283" s="409"/>
      <c r="AC283" s="38"/>
      <c r="AD283" s="68"/>
      <c r="AE283" s="68"/>
      <c r="AF283" s="68"/>
      <c r="AG283" s="68"/>
      <c r="AH283" s="68"/>
      <c r="AI283" s="38"/>
      <c r="AJ283" s="38"/>
      <c r="AK283" s="38"/>
      <c r="AL283" s="38"/>
      <c r="AM283" s="38"/>
      <c r="AN283" s="38"/>
      <c r="AO283" s="69"/>
      <c r="AP283" s="69"/>
      <c r="AQ283" s="69"/>
      <c r="AR283" s="69"/>
      <c r="AS283" s="68"/>
      <c r="AT283" s="66" t="e">
        <f>VLOOKUP(K283,[4]Planilha1!A$13:P$314,16,0)</f>
        <v>#N/A</v>
      </c>
    </row>
    <row r="284" spans="1:46" s="63" customFormat="1" x14ac:dyDescent="0.25">
      <c r="A284" s="82"/>
      <c r="B284" s="82"/>
      <c r="C284" s="64"/>
      <c r="D284" s="64"/>
      <c r="E284" s="64"/>
      <c r="F284" s="64"/>
      <c r="G284" s="64"/>
      <c r="H284" s="64"/>
      <c r="I284" s="64"/>
      <c r="J284" s="64"/>
      <c r="K284" s="64"/>
      <c r="L284" s="64"/>
      <c r="M284" s="64"/>
      <c r="N284" s="406"/>
      <c r="O284" s="64"/>
      <c r="P284" s="410"/>
      <c r="Q284" s="64"/>
      <c r="R284" s="401">
        <f t="shared" si="32"/>
        <v>0</v>
      </c>
      <c r="S284" s="401"/>
      <c r="T284" s="401"/>
      <c r="U284" s="64" t="s">
        <v>8535</v>
      </c>
      <c r="V284" s="64"/>
      <c r="W284" s="413">
        <f t="shared" si="31"/>
        <v>0</v>
      </c>
      <c r="X284" s="403">
        <v>0</v>
      </c>
      <c r="Y284" s="403">
        <v>0</v>
      </c>
      <c r="Z284" s="403">
        <v>0</v>
      </c>
      <c r="AA284" s="38"/>
      <c r="AB284" s="409"/>
      <c r="AC284" s="38"/>
      <c r="AD284" s="68"/>
      <c r="AE284" s="68"/>
      <c r="AF284" s="68"/>
      <c r="AG284" s="68"/>
      <c r="AH284" s="68"/>
      <c r="AI284" s="38"/>
      <c r="AJ284" s="38"/>
      <c r="AK284" s="38"/>
      <c r="AL284" s="38"/>
      <c r="AM284" s="38"/>
      <c r="AN284" s="38"/>
      <c r="AO284" s="69"/>
      <c r="AP284" s="69"/>
      <c r="AQ284" s="69"/>
      <c r="AR284" s="69"/>
      <c r="AS284" s="68"/>
      <c r="AT284" s="66" t="e">
        <f>VLOOKUP(K284,[4]Planilha1!A$13:P$314,16,0)</f>
        <v>#N/A</v>
      </c>
    </row>
    <row r="285" spans="1:46" s="63" customFormat="1" x14ac:dyDescent="0.25">
      <c r="A285" s="82"/>
      <c r="B285" s="82"/>
      <c r="C285" s="64"/>
      <c r="D285" s="64"/>
      <c r="E285" s="64"/>
      <c r="F285" s="64"/>
      <c r="G285" s="64"/>
      <c r="H285" s="64"/>
      <c r="I285" s="64"/>
      <c r="J285" s="64"/>
      <c r="K285" s="64"/>
      <c r="L285" s="64"/>
      <c r="M285" s="64"/>
      <c r="N285" s="406"/>
      <c r="O285" s="64"/>
      <c r="P285" s="410"/>
      <c r="Q285" s="64"/>
      <c r="R285" s="401">
        <f t="shared" si="32"/>
        <v>0</v>
      </c>
      <c r="S285" s="401"/>
      <c r="T285" s="401"/>
      <c r="U285" s="64" t="s">
        <v>8535</v>
      </c>
      <c r="V285" s="64"/>
      <c r="W285" s="413">
        <f t="shared" si="31"/>
        <v>0</v>
      </c>
      <c r="X285" s="403">
        <v>0</v>
      </c>
      <c r="Y285" s="403">
        <v>0</v>
      </c>
      <c r="Z285" s="403">
        <v>0</v>
      </c>
      <c r="AA285" s="38"/>
      <c r="AB285" s="409"/>
      <c r="AC285" s="38"/>
      <c r="AD285" s="68"/>
      <c r="AE285" s="68"/>
      <c r="AF285" s="68"/>
      <c r="AG285" s="68"/>
      <c r="AH285" s="68"/>
      <c r="AI285" s="38"/>
      <c r="AJ285" s="38"/>
      <c r="AK285" s="38"/>
      <c r="AL285" s="38"/>
      <c r="AM285" s="38"/>
      <c r="AN285" s="38"/>
      <c r="AO285" s="69"/>
      <c r="AP285" s="69"/>
      <c r="AQ285" s="69"/>
      <c r="AR285" s="69"/>
      <c r="AS285" s="68"/>
      <c r="AT285" s="66" t="e">
        <f>VLOOKUP(K285,[4]Planilha1!A$13:P$314,16,0)</f>
        <v>#N/A</v>
      </c>
    </row>
    <row r="286" spans="1:46" s="63" customFormat="1" x14ac:dyDescent="0.25">
      <c r="A286" s="82"/>
      <c r="B286" s="82"/>
      <c r="C286" s="64"/>
      <c r="D286" s="64"/>
      <c r="E286" s="64"/>
      <c r="F286" s="64"/>
      <c r="G286" s="64"/>
      <c r="H286" s="64"/>
      <c r="I286" s="64"/>
      <c r="J286" s="64"/>
      <c r="K286" s="64"/>
      <c r="L286" s="64"/>
      <c r="M286" s="64"/>
      <c r="N286" s="406"/>
      <c r="O286" s="64"/>
      <c r="P286" s="410"/>
      <c r="Q286" s="64"/>
      <c r="R286" s="401">
        <f t="shared" si="32"/>
        <v>0</v>
      </c>
      <c r="S286" s="401"/>
      <c r="T286" s="401"/>
      <c r="U286" s="64" t="s">
        <v>8535</v>
      </c>
      <c r="V286" s="64"/>
      <c r="W286" s="413">
        <f t="shared" si="31"/>
        <v>0</v>
      </c>
      <c r="X286" s="403">
        <v>0</v>
      </c>
      <c r="Y286" s="403">
        <v>0</v>
      </c>
      <c r="Z286" s="403">
        <v>0</v>
      </c>
      <c r="AA286" s="38"/>
      <c r="AB286" s="409"/>
      <c r="AC286" s="38"/>
      <c r="AD286" s="68"/>
      <c r="AE286" s="68"/>
      <c r="AF286" s="68"/>
      <c r="AG286" s="68"/>
      <c r="AH286" s="68"/>
      <c r="AI286" s="38"/>
      <c r="AJ286" s="38"/>
      <c r="AK286" s="38"/>
      <c r="AL286" s="38"/>
      <c r="AM286" s="38"/>
      <c r="AN286" s="38"/>
      <c r="AO286" s="69"/>
      <c r="AP286" s="69"/>
      <c r="AQ286" s="69"/>
      <c r="AR286" s="69"/>
      <c r="AS286" s="68"/>
      <c r="AT286" s="66" t="e">
        <f>VLOOKUP(K286,[4]Planilha1!A$13:P$314,16,0)</f>
        <v>#N/A</v>
      </c>
    </row>
    <row r="287" spans="1:46" s="63" customFormat="1" x14ac:dyDescent="0.25">
      <c r="A287" s="82"/>
      <c r="B287" s="82"/>
      <c r="C287" s="64"/>
      <c r="D287" s="64"/>
      <c r="E287" s="64"/>
      <c r="F287" s="64"/>
      <c r="G287" s="64"/>
      <c r="H287" s="64"/>
      <c r="I287" s="64"/>
      <c r="J287" s="64"/>
      <c r="K287" s="64"/>
      <c r="L287" s="64"/>
      <c r="M287" s="64"/>
      <c r="N287" s="406"/>
      <c r="O287" s="64"/>
      <c r="P287" s="410"/>
      <c r="Q287" s="64"/>
      <c r="R287" s="401">
        <f t="shared" si="32"/>
        <v>0</v>
      </c>
      <c r="S287" s="401"/>
      <c r="T287" s="401"/>
      <c r="U287" s="64"/>
      <c r="V287" s="64"/>
      <c r="W287" s="413">
        <f t="shared" si="31"/>
        <v>0</v>
      </c>
      <c r="X287" s="403">
        <v>0</v>
      </c>
      <c r="Y287" s="403">
        <v>0</v>
      </c>
      <c r="Z287" s="403">
        <v>0</v>
      </c>
      <c r="AA287" s="38"/>
      <c r="AB287" s="409"/>
      <c r="AC287" s="38"/>
      <c r="AD287" s="68"/>
      <c r="AE287" s="68"/>
      <c r="AF287" s="68"/>
      <c r="AG287" s="68"/>
      <c r="AH287" s="68"/>
      <c r="AI287" s="38"/>
      <c r="AJ287" s="38"/>
      <c r="AK287" s="38"/>
      <c r="AL287" s="38"/>
      <c r="AM287" s="38"/>
      <c r="AN287" s="38"/>
      <c r="AO287" s="69"/>
      <c r="AP287" s="69"/>
      <c r="AQ287" s="69"/>
      <c r="AR287" s="69"/>
      <c r="AS287" s="68"/>
      <c r="AT287" s="66" t="e">
        <f>VLOOKUP(K287,[4]Planilha1!A$13:P$314,16,0)</f>
        <v>#N/A</v>
      </c>
    </row>
    <row r="288" spans="1:46" s="63" customFormat="1" x14ac:dyDescent="0.25">
      <c r="A288" s="82"/>
      <c r="B288" s="82"/>
      <c r="C288" s="64"/>
      <c r="D288" s="64"/>
      <c r="E288" s="64"/>
      <c r="F288" s="64"/>
      <c r="G288" s="64"/>
      <c r="H288" s="64"/>
      <c r="I288" s="64"/>
      <c r="J288" s="64"/>
      <c r="K288" s="64"/>
      <c r="L288" s="64"/>
      <c r="M288" s="64"/>
      <c r="N288" s="406"/>
      <c r="O288" s="64"/>
      <c r="P288" s="410"/>
      <c r="Q288" s="64"/>
      <c r="R288" s="401">
        <f t="shared" si="32"/>
        <v>0</v>
      </c>
      <c r="S288" s="401"/>
      <c r="T288" s="401"/>
      <c r="U288" s="64"/>
      <c r="V288" s="64"/>
      <c r="W288" s="413">
        <f t="shared" si="31"/>
        <v>0</v>
      </c>
      <c r="X288" s="403">
        <v>0</v>
      </c>
      <c r="Y288" s="403">
        <v>0</v>
      </c>
      <c r="Z288" s="403">
        <v>0</v>
      </c>
      <c r="AA288" s="38"/>
      <c r="AB288" s="409"/>
      <c r="AC288" s="38"/>
      <c r="AD288" s="68"/>
      <c r="AE288" s="68"/>
      <c r="AF288" s="68"/>
      <c r="AG288" s="68"/>
      <c r="AH288" s="68"/>
      <c r="AI288" s="38"/>
      <c r="AJ288" s="38"/>
      <c r="AK288" s="38"/>
      <c r="AL288" s="38"/>
      <c r="AM288" s="38"/>
      <c r="AN288" s="38"/>
      <c r="AO288" s="69"/>
      <c r="AP288" s="69"/>
      <c r="AQ288" s="69"/>
      <c r="AR288" s="69"/>
      <c r="AS288" s="68"/>
      <c r="AT288" s="66" t="e">
        <f>VLOOKUP(K288,[4]Planilha1!A$13:P$314,16,0)</f>
        <v>#N/A</v>
      </c>
    </row>
    <row r="289" spans="1:46" s="63" customFormat="1" x14ac:dyDescent="0.25">
      <c r="A289" s="82"/>
      <c r="B289" s="82"/>
      <c r="C289" s="64"/>
      <c r="D289" s="64"/>
      <c r="E289" s="64"/>
      <c r="F289" s="64"/>
      <c r="G289" s="64"/>
      <c r="H289" s="64"/>
      <c r="I289" s="64"/>
      <c r="J289" s="64"/>
      <c r="K289" s="64"/>
      <c r="L289" s="64"/>
      <c r="M289" s="64"/>
      <c r="N289" s="406"/>
      <c r="O289" s="64"/>
      <c r="P289" s="410"/>
      <c r="Q289" s="64"/>
      <c r="R289" s="401">
        <f t="shared" si="32"/>
        <v>0</v>
      </c>
      <c r="S289" s="401"/>
      <c r="T289" s="401"/>
      <c r="U289" s="64" t="s">
        <v>8535</v>
      </c>
      <c r="V289" s="64"/>
      <c r="W289" s="413">
        <f t="shared" si="31"/>
        <v>0</v>
      </c>
      <c r="X289" s="403">
        <v>0</v>
      </c>
      <c r="Y289" s="403">
        <v>0</v>
      </c>
      <c r="Z289" s="403">
        <v>0</v>
      </c>
      <c r="AA289" s="38"/>
      <c r="AB289" s="409"/>
      <c r="AC289" s="38"/>
      <c r="AD289" s="68"/>
      <c r="AE289" s="68"/>
      <c r="AF289" s="68"/>
      <c r="AG289" s="68"/>
      <c r="AH289" s="68"/>
      <c r="AI289" s="38"/>
      <c r="AJ289" s="38"/>
      <c r="AK289" s="38"/>
      <c r="AL289" s="38"/>
      <c r="AM289" s="38"/>
      <c r="AN289" s="38"/>
      <c r="AO289" s="69"/>
      <c r="AP289" s="69"/>
      <c r="AQ289" s="69"/>
      <c r="AR289" s="69"/>
      <c r="AS289" s="68"/>
      <c r="AT289" s="66" t="e">
        <f>VLOOKUP(K289,[4]Planilha1!A$13:P$314,16,0)</f>
        <v>#N/A</v>
      </c>
    </row>
    <row r="290" spans="1:46" s="63" customFormat="1" x14ac:dyDescent="0.25">
      <c r="A290" s="82"/>
      <c r="B290" s="82"/>
      <c r="C290" s="64"/>
      <c r="D290" s="64"/>
      <c r="E290" s="64"/>
      <c r="F290" s="64"/>
      <c r="G290" s="64"/>
      <c r="H290" s="64"/>
      <c r="I290" s="64"/>
      <c r="J290" s="64"/>
      <c r="K290" s="64"/>
      <c r="L290" s="64"/>
      <c r="M290" s="64"/>
      <c r="N290" s="406"/>
      <c r="O290" s="64"/>
      <c r="P290" s="410"/>
      <c r="Q290" s="64"/>
      <c r="R290" s="401">
        <f t="shared" si="32"/>
        <v>0</v>
      </c>
      <c r="S290" s="401"/>
      <c r="T290" s="401"/>
      <c r="U290" s="64" t="s">
        <v>8535</v>
      </c>
      <c r="V290" s="64"/>
      <c r="W290" s="413">
        <f t="shared" si="31"/>
        <v>0</v>
      </c>
      <c r="X290" s="403">
        <v>0</v>
      </c>
      <c r="Y290" s="403">
        <v>0</v>
      </c>
      <c r="Z290" s="403">
        <v>0</v>
      </c>
      <c r="AA290" s="38"/>
      <c r="AB290" s="409"/>
      <c r="AC290" s="38"/>
      <c r="AD290" s="68"/>
      <c r="AE290" s="68"/>
      <c r="AF290" s="68"/>
      <c r="AG290" s="68"/>
      <c r="AH290" s="68"/>
      <c r="AI290" s="38"/>
      <c r="AJ290" s="38"/>
      <c r="AK290" s="38"/>
      <c r="AL290" s="38"/>
      <c r="AM290" s="38"/>
      <c r="AN290" s="38"/>
      <c r="AO290" s="69"/>
      <c r="AP290" s="69"/>
      <c r="AQ290" s="69"/>
      <c r="AR290" s="69"/>
      <c r="AS290" s="68"/>
      <c r="AT290" s="66" t="e">
        <f>VLOOKUP(K290,[4]Planilha1!A$13:P$314,16,0)</f>
        <v>#N/A</v>
      </c>
    </row>
    <row r="291" spans="1:46" s="63" customFormat="1" x14ac:dyDescent="0.25">
      <c r="A291" s="82"/>
      <c r="B291" s="82"/>
      <c r="C291" s="64"/>
      <c r="D291" s="64"/>
      <c r="E291" s="64"/>
      <c r="F291" s="64"/>
      <c r="G291" s="64"/>
      <c r="H291" s="64"/>
      <c r="I291" s="64"/>
      <c r="J291" s="64"/>
      <c r="K291" s="64"/>
      <c r="L291" s="64"/>
      <c r="M291" s="64"/>
      <c r="N291" s="406"/>
      <c r="O291" s="64"/>
      <c r="P291" s="410"/>
      <c r="Q291" s="64"/>
      <c r="R291" s="401">
        <f t="shared" si="32"/>
        <v>0</v>
      </c>
      <c r="S291" s="401"/>
      <c r="T291" s="401"/>
      <c r="U291" s="64" t="s">
        <v>8535</v>
      </c>
      <c r="V291" s="64"/>
      <c r="W291" s="413">
        <f t="shared" si="31"/>
        <v>0</v>
      </c>
      <c r="X291" s="403">
        <v>0</v>
      </c>
      <c r="Y291" s="403">
        <v>0</v>
      </c>
      <c r="Z291" s="403">
        <v>0</v>
      </c>
      <c r="AA291" s="38"/>
      <c r="AB291" s="409"/>
      <c r="AC291" s="38"/>
      <c r="AD291" s="68"/>
      <c r="AE291" s="68"/>
      <c r="AF291" s="68"/>
      <c r="AG291" s="68"/>
      <c r="AH291" s="68"/>
      <c r="AI291" s="38"/>
      <c r="AJ291" s="38"/>
      <c r="AK291" s="38"/>
      <c r="AL291" s="38"/>
      <c r="AM291" s="38"/>
      <c r="AN291" s="38"/>
      <c r="AO291" s="69"/>
      <c r="AP291" s="69"/>
      <c r="AQ291" s="69"/>
      <c r="AR291" s="69"/>
      <c r="AS291" s="68"/>
      <c r="AT291" s="66" t="e">
        <f>VLOOKUP(K291,[4]Planilha1!A$13:P$314,16,0)</f>
        <v>#N/A</v>
      </c>
    </row>
    <row r="292" spans="1:46" s="63" customFormat="1" x14ac:dyDescent="0.25">
      <c r="A292" s="82"/>
      <c r="B292" s="82"/>
      <c r="C292" s="64"/>
      <c r="D292" s="64"/>
      <c r="E292" s="64"/>
      <c r="F292" s="64"/>
      <c r="G292" s="64"/>
      <c r="H292" s="64"/>
      <c r="I292" s="64"/>
      <c r="J292" s="64"/>
      <c r="K292" s="64"/>
      <c r="L292" s="64"/>
      <c r="M292" s="64"/>
      <c r="N292" s="406"/>
      <c r="O292" s="64"/>
      <c r="P292" s="410"/>
      <c r="Q292" s="64"/>
      <c r="R292" s="401">
        <f t="shared" si="32"/>
        <v>0</v>
      </c>
      <c r="S292" s="401"/>
      <c r="T292" s="401"/>
      <c r="U292" s="64" t="s">
        <v>8535</v>
      </c>
      <c r="V292" s="64"/>
      <c r="W292" s="413">
        <f t="shared" si="31"/>
        <v>0</v>
      </c>
      <c r="X292" s="403">
        <v>0</v>
      </c>
      <c r="Y292" s="403">
        <v>0</v>
      </c>
      <c r="Z292" s="403">
        <v>0</v>
      </c>
      <c r="AA292" s="38"/>
      <c r="AB292" s="409"/>
      <c r="AC292" s="38"/>
      <c r="AD292" s="68"/>
      <c r="AE292" s="68"/>
      <c r="AF292" s="68"/>
      <c r="AG292" s="68"/>
      <c r="AH292" s="68"/>
      <c r="AI292" s="38"/>
      <c r="AJ292" s="38"/>
      <c r="AK292" s="38"/>
      <c r="AL292" s="38"/>
      <c r="AM292" s="38"/>
      <c r="AN292" s="38"/>
      <c r="AO292" s="69"/>
      <c r="AP292" s="69"/>
      <c r="AQ292" s="69"/>
      <c r="AR292" s="69"/>
      <c r="AS292" s="68"/>
      <c r="AT292" s="66" t="e">
        <f>VLOOKUP(K292,[4]Planilha1!A$13:P$314,16,0)</f>
        <v>#N/A</v>
      </c>
    </row>
    <row r="293" spans="1:46" s="63" customFormat="1" x14ac:dyDescent="0.25">
      <c r="A293" s="82"/>
      <c r="B293" s="82"/>
      <c r="C293" s="64"/>
      <c r="D293" s="64"/>
      <c r="E293" s="64"/>
      <c r="F293" s="64"/>
      <c r="G293" s="64"/>
      <c r="H293" s="64"/>
      <c r="I293" s="64"/>
      <c r="J293" s="64"/>
      <c r="K293" s="64"/>
      <c r="L293" s="64"/>
      <c r="M293" s="64"/>
      <c r="N293" s="406"/>
      <c r="O293" s="64"/>
      <c r="P293" s="410"/>
      <c r="Q293" s="64"/>
      <c r="R293" s="401">
        <f t="shared" si="32"/>
        <v>0</v>
      </c>
      <c r="S293" s="401"/>
      <c r="T293" s="401"/>
      <c r="U293" s="64" t="s">
        <v>8535</v>
      </c>
      <c r="V293" s="64"/>
      <c r="W293" s="413">
        <f t="shared" si="31"/>
        <v>0</v>
      </c>
      <c r="X293" s="403">
        <v>0</v>
      </c>
      <c r="Y293" s="403">
        <v>0</v>
      </c>
      <c r="Z293" s="403">
        <v>0</v>
      </c>
      <c r="AA293" s="38"/>
      <c r="AB293" s="409"/>
      <c r="AC293" s="38"/>
      <c r="AD293" s="68"/>
      <c r="AE293" s="68"/>
      <c r="AF293" s="68"/>
      <c r="AG293" s="68"/>
      <c r="AH293" s="68"/>
      <c r="AI293" s="38"/>
      <c r="AJ293" s="38"/>
      <c r="AK293" s="38"/>
      <c r="AL293" s="38"/>
      <c r="AM293" s="38"/>
      <c r="AN293" s="38"/>
      <c r="AO293" s="69"/>
      <c r="AP293" s="69"/>
      <c r="AQ293" s="69"/>
      <c r="AR293" s="69"/>
      <c r="AS293" s="68"/>
      <c r="AT293" s="66" t="e">
        <f>VLOOKUP(K293,[4]Planilha1!A$13:P$314,16,0)</f>
        <v>#N/A</v>
      </c>
    </row>
    <row r="294" spans="1:46" s="63" customFormat="1" x14ac:dyDescent="0.25">
      <c r="A294" s="82"/>
      <c r="B294" s="82"/>
      <c r="C294" s="64"/>
      <c r="D294" s="64"/>
      <c r="E294" s="64"/>
      <c r="F294" s="64"/>
      <c r="G294" s="64"/>
      <c r="H294" s="64"/>
      <c r="I294" s="64"/>
      <c r="J294" s="64"/>
      <c r="K294" s="64"/>
      <c r="L294" s="64"/>
      <c r="M294" s="64"/>
      <c r="N294" s="406"/>
      <c r="O294" s="64"/>
      <c r="P294" s="410"/>
      <c r="Q294" s="64"/>
      <c r="R294" s="401">
        <f t="shared" si="32"/>
        <v>0</v>
      </c>
      <c r="S294" s="401"/>
      <c r="T294" s="401"/>
      <c r="U294" s="64" t="s">
        <v>8535</v>
      </c>
      <c r="V294" s="64"/>
      <c r="W294" s="413">
        <f t="shared" si="31"/>
        <v>0</v>
      </c>
      <c r="X294" s="403">
        <v>0</v>
      </c>
      <c r="Y294" s="403">
        <v>0</v>
      </c>
      <c r="Z294" s="403">
        <v>0</v>
      </c>
      <c r="AA294" s="38"/>
      <c r="AB294" s="409"/>
      <c r="AC294" s="38"/>
      <c r="AD294" s="68"/>
      <c r="AE294" s="68"/>
      <c r="AF294" s="68"/>
      <c r="AG294" s="68"/>
      <c r="AH294" s="68"/>
      <c r="AI294" s="38"/>
      <c r="AJ294" s="38"/>
      <c r="AK294" s="38"/>
      <c r="AL294" s="38"/>
      <c r="AM294" s="38"/>
      <c r="AN294" s="38"/>
      <c r="AO294" s="69"/>
      <c r="AP294" s="69"/>
      <c r="AQ294" s="69"/>
      <c r="AR294" s="69"/>
      <c r="AS294" s="68"/>
      <c r="AT294" s="66" t="e">
        <f>VLOOKUP(K294,[4]Planilha1!A$13:P$314,16,0)</f>
        <v>#N/A</v>
      </c>
    </row>
    <row r="295" spans="1:46" s="63" customFormat="1" x14ac:dyDescent="0.25">
      <c r="A295" s="82"/>
      <c r="B295" s="82"/>
      <c r="C295" s="64"/>
      <c r="D295" s="64"/>
      <c r="E295" s="64"/>
      <c r="F295" s="64"/>
      <c r="G295" s="64"/>
      <c r="H295" s="64"/>
      <c r="I295" s="64"/>
      <c r="J295" s="64"/>
      <c r="K295" s="64"/>
      <c r="L295" s="64"/>
      <c r="M295" s="64"/>
      <c r="N295" s="406"/>
      <c r="O295" s="64"/>
      <c r="P295" s="410"/>
      <c r="Q295" s="64"/>
      <c r="R295" s="401">
        <f t="shared" si="32"/>
        <v>0</v>
      </c>
      <c r="S295" s="401"/>
      <c r="T295" s="401"/>
      <c r="U295" s="64" t="s">
        <v>8535</v>
      </c>
      <c r="V295" s="64"/>
      <c r="W295" s="413">
        <f t="shared" si="31"/>
        <v>0</v>
      </c>
      <c r="X295" s="403">
        <v>0</v>
      </c>
      <c r="Y295" s="403">
        <v>0</v>
      </c>
      <c r="Z295" s="403">
        <v>0</v>
      </c>
      <c r="AA295" s="38"/>
      <c r="AB295" s="409"/>
      <c r="AC295" s="38"/>
      <c r="AD295" s="68"/>
      <c r="AE295" s="68"/>
      <c r="AF295" s="68"/>
      <c r="AG295" s="68"/>
      <c r="AH295" s="68"/>
      <c r="AI295" s="38"/>
      <c r="AJ295" s="38"/>
      <c r="AK295" s="38"/>
      <c r="AL295" s="38"/>
      <c r="AM295" s="38"/>
      <c r="AN295" s="38"/>
      <c r="AO295" s="69"/>
      <c r="AP295" s="69"/>
      <c r="AQ295" s="69"/>
      <c r="AR295" s="69"/>
      <c r="AS295" s="68"/>
      <c r="AT295" s="66" t="e">
        <f>VLOOKUP(K295,[4]Planilha1!A$13:P$314,16,0)</f>
        <v>#N/A</v>
      </c>
    </row>
    <row r="296" spans="1:46" s="63" customFormat="1" x14ac:dyDescent="0.25">
      <c r="A296" s="82"/>
      <c r="B296" s="82"/>
      <c r="C296" s="64"/>
      <c r="D296" s="64"/>
      <c r="E296" s="64"/>
      <c r="F296" s="64"/>
      <c r="G296" s="64"/>
      <c r="H296" s="64"/>
      <c r="I296" s="64"/>
      <c r="J296" s="64"/>
      <c r="K296" s="64"/>
      <c r="L296" s="64"/>
      <c r="M296" s="64"/>
      <c r="N296" s="406"/>
      <c r="O296" s="64"/>
      <c r="P296" s="410"/>
      <c r="Q296" s="64"/>
      <c r="R296" s="401">
        <f t="shared" si="32"/>
        <v>0</v>
      </c>
      <c r="S296" s="401"/>
      <c r="T296" s="401"/>
      <c r="U296" s="64" t="s">
        <v>8535</v>
      </c>
      <c r="V296" s="64"/>
      <c r="W296" s="413">
        <f t="shared" si="31"/>
        <v>0</v>
      </c>
      <c r="X296" s="403">
        <v>0</v>
      </c>
      <c r="Y296" s="403">
        <v>0</v>
      </c>
      <c r="Z296" s="403">
        <v>0</v>
      </c>
      <c r="AA296" s="38"/>
      <c r="AB296" s="409"/>
      <c r="AC296" s="38"/>
      <c r="AD296" s="68"/>
      <c r="AE296" s="68"/>
      <c r="AF296" s="68"/>
      <c r="AG296" s="68"/>
      <c r="AH296" s="68"/>
      <c r="AI296" s="38"/>
      <c r="AJ296" s="38"/>
      <c r="AK296" s="38"/>
      <c r="AL296" s="38"/>
      <c r="AM296" s="38"/>
      <c r="AN296" s="38"/>
      <c r="AO296" s="69"/>
      <c r="AP296" s="69"/>
      <c r="AQ296" s="69"/>
      <c r="AR296" s="69"/>
      <c r="AS296" s="68"/>
      <c r="AT296" s="66" t="e">
        <f>VLOOKUP(K296,[4]Planilha1!A$13:P$314,16,0)</f>
        <v>#N/A</v>
      </c>
    </row>
    <row r="297" spans="1:46" s="63" customFormat="1" x14ac:dyDescent="0.25">
      <c r="A297" s="82"/>
      <c r="B297" s="82"/>
      <c r="C297" s="64"/>
      <c r="D297" s="64"/>
      <c r="E297" s="64"/>
      <c r="F297" s="64"/>
      <c r="G297" s="64"/>
      <c r="H297" s="64"/>
      <c r="I297" s="64"/>
      <c r="J297" s="64"/>
      <c r="K297" s="64"/>
      <c r="L297" s="64"/>
      <c r="M297" s="64"/>
      <c r="N297" s="406"/>
      <c r="O297" s="64"/>
      <c r="P297" s="410"/>
      <c r="Q297" s="64"/>
      <c r="R297" s="401">
        <f t="shared" si="32"/>
        <v>0</v>
      </c>
      <c r="S297" s="401"/>
      <c r="T297" s="401"/>
      <c r="U297" s="64" t="s">
        <v>8535</v>
      </c>
      <c r="V297" s="64"/>
      <c r="W297" s="413">
        <f t="shared" si="31"/>
        <v>0</v>
      </c>
      <c r="X297" s="403">
        <v>0</v>
      </c>
      <c r="Y297" s="403">
        <v>0</v>
      </c>
      <c r="Z297" s="403">
        <v>0</v>
      </c>
      <c r="AA297" s="38"/>
      <c r="AB297" s="409"/>
      <c r="AC297" s="38"/>
      <c r="AD297" s="68"/>
      <c r="AE297" s="68"/>
      <c r="AF297" s="68"/>
      <c r="AG297" s="68"/>
      <c r="AH297" s="68"/>
      <c r="AI297" s="38"/>
      <c r="AJ297" s="38"/>
      <c r="AK297" s="38"/>
      <c r="AL297" s="38"/>
      <c r="AM297" s="38"/>
      <c r="AN297" s="38"/>
      <c r="AO297" s="69"/>
      <c r="AP297" s="69"/>
      <c r="AQ297" s="69"/>
      <c r="AR297" s="69"/>
      <c r="AS297" s="68"/>
      <c r="AT297" s="66" t="e">
        <f>VLOOKUP(K297,[4]Planilha1!A$13:P$314,16,0)</f>
        <v>#N/A</v>
      </c>
    </row>
    <row r="298" spans="1:46" s="63" customFormat="1" x14ac:dyDescent="0.25">
      <c r="A298" s="82"/>
      <c r="B298" s="82"/>
      <c r="C298" s="64"/>
      <c r="D298" s="64"/>
      <c r="E298" s="64"/>
      <c r="F298" s="64"/>
      <c r="G298" s="64"/>
      <c r="H298" s="64"/>
      <c r="I298" s="64"/>
      <c r="J298" s="64"/>
      <c r="K298" s="64"/>
      <c r="L298" s="64"/>
      <c r="M298" s="64"/>
      <c r="N298" s="406"/>
      <c r="O298" s="64"/>
      <c r="P298" s="410"/>
      <c r="Q298" s="64"/>
      <c r="R298" s="401">
        <f t="shared" si="32"/>
        <v>0</v>
      </c>
      <c r="S298" s="401"/>
      <c r="T298" s="401"/>
      <c r="U298" s="64" t="s">
        <v>8535</v>
      </c>
      <c r="V298" s="64"/>
      <c r="W298" s="413">
        <f t="shared" si="31"/>
        <v>0</v>
      </c>
      <c r="X298" s="403">
        <v>0</v>
      </c>
      <c r="Y298" s="403">
        <v>0</v>
      </c>
      <c r="Z298" s="403">
        <v>0</v>
      </c>
      <c r="AA298" s="38"/>
      <c r="AB298" s="409"/>
      <c r="AC298" s="38"/>
      <c r="AD298" s="68"/>
      <c r="AE298" s="68"/>
      <c r="AF298" s="68"/>
      <c r="AG298" s="68"/>
      <c r="AH298" s="68"/>
      <c r="AI298" s="38"/>
      <c r="AJ298" s="38"/>
      <c r="AK298" s="38"/>
      <c r="AL298" s="38"/>
      <c r="AM298" s="38"/>
      <c r="AN298" s="38"/>
      <c r="AO298" s="69"/>
      <c r="AP298" s="69"/>
      <c r="AQ298" s="69"/>
      <c r="AR298" s="69"/>
      <c r="AS298" s="68"/>
      <c r="AT298" s="66" t="e">
        <f>VLOOKUP(K298,[4]Planilha1!A$13:P$314,16,0)</f>
        <v>#N/A</v>
      </c>
    </row>
    <row r="299" spans="1:46" s="63" customFormat="1" x14ac:dyDescent="0.25">
      <c r="A299" s="82"/>
      <c r="B299" s="82"/>
      <c r="C299" s="64"/>
      <c r="D299" s="64"/>
      <c r="E299" s="64"/>
      <c r="F299" s="64"/>
      <c r="G299" s="64"/>
      <c r="H299" s="64"/>
      <c r="I299" s="64"/>
      <c r="J299" s="64"/>
      <c r="K299" s="64"/>
      <c r="L299" s="64"/>
      <c r="M299" s="64"/>
      <c r="N299" s="406"/>
      <c r="O299" s="64"/>
      <c r="P299" s="410"/>
      <c r="Q299" s="64"/>
      <c r="R299" s="401">
        <f t="shared" si="32"/>
        <v>0</v>
      </c>
      <c r="S299" s="401"/>
      <c r="T299" s="401"/>
      <c r="U299" s="64" t="s">
        <v>8535</v>
      </c>
      <c r="V299" s="64"/>
      <c r="W299" s="413">
        <f t="shared" si="31"/>
        <v>0</v>
      </c>
      <c r="X299" s="403">
        <v>0</v>
      </c>
      <c r="Y299" s="403">
        <v>0</v>
      </c>
      <c r="Z299" s="403">
        <v>0</v>
      </c>
      <c r="AA299" s="38"/>
      <c r="AB299" s="409"/>
      <c r="AC299" s="38"/>
      <c r="AD299" s="68"/>
      <c r="AE299" s="68"/>
      <c r="AF299" s="68"/>
      <c r="AG299" s="68"/>
      <c r="AH299" s="68"/>
      <c r="AI299" s="38"/>
      <c r="AJ299" s="38"/>
      <c r="AK299" s="38"/>
      <c r="AL299" s="38"/>
      <c r="AM299" s="38"/>
      <c r="AN299" s="38"/>
      <c r="AO299" s="69"/>
      <c r="AP299" s="69"/>
      <c r="AQ299" s="69"/>
      <c r="AR299" s="69"/>
      <c r="AS299" s="68"/>
      <c r="AT299" s="66" t="e">
        <f>VLOOKUP(K299,[4]Planilha1!A$13:P$314,16,0)</f>
        <v>#N/A</v>
      </c>
    </row>
    <row r="300" spans="1:46" s="63" customFormat="1" x14ac:dyDescent="0.25">
      <c r="A300" s="82"/>
      <c r="B300" s="82"/>
      <c r="C300" s="64"/>
      <c r="D300" s="64"/>
      <c r="E300" s="64"/>
      <c r="F300" s="64"/>
      <c r="G300" s="64"/>
      <c r="H300" s="64"/>
      <c r="I300" s="64"/>
      <c r="J300" s="64"/>
      <c r="K300" s="64"/>
      <c r="L300" s="64"/>
      <c r="M300" s="64"/>
      <c r="N300" s="406"/>
      <c r="O300" s="64"/>
      <c r="P300" s="410"/>
      <c r="Q300" s="64"/>
      <c r="R300" s="401">
        <f t="shared" si="32"/>
        <v>0</v>
      </c>
      <c r="S300" s="401"/>
      <c r="T300" s="401"/>
      <c r="U300" s="64" t="s">
        <v>8535</v>
      </c>
      <c r="V300" s="64"/>
      <c r="W300" s="413">
        <f t="shared" si="31"/>
        <v>0</v>
      </c>
      <c r="X300" s="403">
        <v>0</v>
      </c>
      <c r="Y300" s="403">
        <v>0</v>
      </c>
      <c r="Z300" s="403">
        <v>0</v>
      </c>
      <c r="AA300" s="38"/>
      <c r="AB300" s="409"/>
      <c r="AC300" s="38"/>
      <c r="AD300" s="68"/>
      <c r="AE300" s="68"/>
      <c r="AF300" s="68"/>
      <c r="AG300" s="68"/>
      <c r="AH300" s="68"/>
      <c r="AI300" s="38"/>
      <c r="AJ300" s="38"/>
      <c r="AK300" s="38"/>
      <c r="AL300" s="38"/>
      <c r="AM300" s="38"/>
      <c r="AN300" s="38"/>
      <c r="AO300" s="69"/>
      <c r="AP300" s="69"/>
      <c r="AQ300" s="69"/>
      <c r="AR300" s="69"/>
      <c r="AS300" s="68"/>
      <c r="AT300" s="66" t="e">
        <f>VLOOKUP(K300,[4]Planilha1!A$13:P$314,16,0)</f>
        <v>#N/A</v>
      </c>
    </row>
    <row r="301" spans="1:46" s="63" customFormat="1" x14ac:dyDescent="0.25">
      <c r="A301" s="82"/>
      <c r="B301" s="82"/>
      <c r="C301" s="64"/>
      <c r="D301" s="64"/>
      <c r="E301" s="64"/>
      <c r="F301" s="64"/>
      <c r="G301" s="64"/>
      <c r="H301" s="64"/>
      <c r="I301" s="64"/>
      <c r="J301" s="64"/>
      <c r="K301" s="64"/>
      <c r="L301" s="64"/>
      <c r="M301" s="64"/>
      <c r="N301" s="406"/>
      <c r="O301" s="64"/>
      <c r="P301" s="410"/>
      <c r="Q301" s="64"/>
      <c r="R301" s="401">
        <f t="shared" si="32"/>
        <v>0</v>
      </c>
      <c r="S301" s="401"/>
      <c r="T301" s="401"/>
      <c r="U301" s="64" t="s">
        <v>8535</v>
      </c>
      <c r="V301" s="64"/>
      <c r="W301" s="413">
        <f t="shared" si="31"/>
        <v>0</v>
      </c>
      <c r="X301" s="403">
        <v>0</v>
      </c>
      <c r="Y301" s="403">
        <v>0</v>
      </c>
      <c r="Z301" s="403">
        <v>0</v>
      </c>
      <c r="AA301" s="38"/>
      <c r="AB301" s="409"/>
      <c r="AC301" s="38"/>
      <c r="AD301" s="68"/>
      <c r="AE301" s="68"/>
      <c r="AF301" s="68"/>
      <c r="AG301" s="68"/>
      <c r="AH301" s="68"/>
      <c r="AI301" s="38"/>
      <c r="AJ301" s="38"/>
      <c r="AK301" s="38"/>
      <c r="AL301" s="38"/>
      <c r="AM301" s="38"/>
      <c r="AN301" s="38"/>
      <c r="AO301" s="69"/>
      <c r="AP301" s="69"/>
      <c r="AQ301" s="69"/>
      <c r="AR301" s="69"/>
      <c r="AS301" s="68"/>
      <c r="AT301" s="66" t="e">
        <f>VLOOKUP(K301,[4]Planilha1!A$13:P$314,16,0)</f>
        <v>#N/A</v>
      </c>
    </row>
    <row r="302" spans="1:46" s="63" customFormat="1" x14ac:dyDescent="0.25">
      <c r="A302" s="82"/>
      <c r="B302" s="82"/>
      <c r="C302" s="64"/>
      <c r="D302" s="64"/>
      <c r="E302" s="64"/>
      <c r="F302" s="64"/>
      <c r="G302" s="64"/>
      <c r="H302" s="64"/>
      <c r="I302" s="64"/>
      <c r="J302" s="64"/>
      <c r="K302" s="64"/>
      <c r="L302" s="64"/>
      <c r="M302" s="64"/>
      <c r="N302" s="406"/>
      <c r="O302" s="64"/>
      <c r="P302" s="410"/>
      <c r="Q302" s="64"/>
      <c r="R302" s="401">
        <f t="shared" si="32"/>
        <v>0</v>
      </c>
      <c r="S302" s="401"/>
      <c r="T302" s="401"/>
      <c r="U302" s="64" t="s">
        <v>8535</v>
      </c>
      <c r="V302" s="64"/>
      <c r="W302" s="413">
        <f t="shared" si="31"/>
        <v>0</v>
      </c>
      <c r="X302" s="403">
        <v>0</v>
      </c>
      <c r="Y302" s="403">
        <v>0</v>
      </c>
      <c r="Z302" s="403">
        <v>0</v>
      </c>
      <c r="AA302" s="38"/>
      <c r="AB302" s="409"/>
      <c r="AC302" s="38"/>
      <c r="AD302" s="68"/>
      <c r="AE302" s="68"/>
      <c r="AF302" s="68"/>
      <c r="AG302" s="68"/>
      <c r="AH302" s="68"/>
      <c r="AI302" s="38"/>
      <c r="AJ302" s="38"/>
      <c r="AK302" s="38"/>
      <c r="AL302" s="38"/>
      <c r="AM302" s="38"/>
      <c r="AN302" s="38"/>
      <c r="AO302" s="69"/>
      <c r="AP302" s="69"/>
      <c r="AQ302" s="69"/>
      <c r="AR302" s="69"/>
      <c r="AS302" s="68"/>
      <c r="AT302" s="66" t="e">
        <f>VLOOKUP(K302,[4]Planilha1!A$13:P$314,16,0)</f>
        <v>#N/A</v>
      </c>
    </row>
    <row r="303" spans="1:46" s="63" customFormat="1" x14ac:dyDescent="0.25">
      <c r="A303" s="82"/>
      <c r="B303" s="82"/>
      <c r="C303" s="64"/>
      <c r="D303" s="64"/>
      <c r="E303" s="64"/>
      <c r="F303" s="64"/>
      <c r="G303" s="64"/>
      <c r="H303" s="64"/>
      <c r="I303" s="64"/>
      <c r="J303" s="64"/>
      <c r="K303" s="64"/>
      <c r="L303" s="64"/>
      <c r="M303" s="64"/>
      <c r="N303" s="406"/>
      <c r="O303" s="64"/>
      <c r="P303" s="410"/>
      <c r="Q303" s="64"/>
      <c r="R303" s="401">
        <f t="shared" si="32"/>
        <v>0</v>
      </c>
      <c r="S303" s="401"/>
      <c r="T303" s="401"/>
      <c r="U303" s="64" t="s">
        <v>8535</v>
      </c>
      <c r="V303" s="64"/>
      <c r="W303" s="413">
        <f t="shared" si="31"/>
        <v>0</v>
      </c>
      <c r="X303" s="403">
        <v>0</v>
      </c>
      <c r="Y303" s="403">
        <v>0</v>
      </c>
      <c r="Z303" s="403">
        <v>0</v>
      </c>
      <c r="AA303" s="38"/>
      <c r="AB303" s="409"/>
      <c r="AC303" s="38"/>
      <c r="AD303" s="68"/>
      <c r="AE303" s="68"/>
      <c r="AF303" s="68"/>
      <c r="AG303" s="68"/>
      <c r="AH303" s="68"/>
      <c r="AI303" s="38"/>
      <c r="AJ303" s="38"/>
      <c r="AK303" s="38"/>
      <c r="AL303" s="38"/>
      <c r="AM303" s="38"/>
      <c r="AN303" s="38"/>
      <c r="AO303" s="69"/>
      <c r="AP303" s="69"/>
      <c r="AQ303" s="69"/>
      <c r="AR303" s="69"/>
      <c r="AS303" s="68"/>
      <c r="AT303" s="66" t="e">
        <f>VLOOKUP(K303,[4]Planilha1!A$13:P$314,16,0)</f>
        <v>#N/A</v>
      </c>
    </row>
    <row r="304" spans="1:46" s="63" customFormat="1" x14ac:dyDescent="0.25">
      <c r="A304" s="82"/>
      <c r="B304" s="82"/>
      <c r="C304" s="64"/>
      <c r="D304" s="64"/>
      <c r="E304" s="64"/>
      <c r="F304" s="64"/>
      <c r="G304" s="64"/>
      <c r="H304" s="64"/>
      <c r="I304" s="64"/>
      <c r="J304" s="64"/>
      <c r="K304" s="64"/>
      <c r="L304" s="64"/>
      <c r="M304" s="64"/>
      <c r="N304" s="406"/>
      <c r="O304" s="64"/>
      <c r="P304" s="410"/>
      <c r="Q304" s="64"/>
      <c r="R304" s="401">
        <f t="shared" si="32"/>
        <v>0</v>
      </c>
      <c r="S304" s="401"/>
      <c r="T304" s="401"/>
      <c r="U304" s="64" t="s">
        <v>8535</v>
      </c>
      <c r="V304" s="64"/>
      <c r="W304" s="413">
        <f t="shared" si="31"/>
        <v>0</v>
      </c>
      <c r="X304" s="403">
        <v>0</v>
      </c>
      <c r="Y304" s="403">
        <v>0</v>
      </c>
      <c r="Z304" s="403">
        <v>0</v>
      </c>
      <c r="AA304" s="38"/>
      <c r="AB304" s="409"/>
      <c r="AC304" s="38"/>
      <c r="AD304" s="68"/>
      <c r="AE304" s="68"/>
      <c r="AF304" s="68"/>
      <c r="AG304" s="68"/>
      <c r="AH304" s="68"/>
      <c r="AI304" s="38"/>
      <c r="AJ304" s="38"/>
      <c r="AK304" s="38"/>
      <c r="AL304" s="38"/>
      <c r="AM304" s="38"/>
      <c r="AN304" s="38"/>
      <c r="AO304" s="69"/>
      <c r="AP304" s="69"/>
      <c r="AQ304" s="69"/>
      <c r="AR304" s="69"/>
      <c r="AS304" s="68"/>
      <c r="AT304" s="66" t="e">
        <f>VLOOKUP(K304,[4]Planilha1!A$13:P$314,16,0)</f>
        <v>#N/A</v>
      </c>
    </row>
    <row r="305" spans="1:46" s="63" customFormat="1" x14ac:dyDescent="0.25">
      <c r="A305" s="82"/>
      <c r="B305" s="82"/>
      <c r="C305" s="64"/>
      <c r="D305" s="64"/>
      <c r="E305" s="64"/>
      <c r="F305" s="64"/>
      <c r="G305" s="64"/>
      <c r="H305" s="64"/>
      <c r="I305" s="64"/>
      <c r="J305" s="64"/>
      <c r="K305" s="64"/>
      <c r="L305" s="64"/>
      <c r="M305" s="64"/>
      <c r="N305" s="406"/>
      <c r="O305" s="64"/>
      <c r="P305" s="410"/>
      <c r="Q305" s="64"/>
      <c r="R305" s="401">
        <f t="shared" si="32"/>
        <v>0</v>
      </c>
      <c r="S305" s="401"/>
      <c r="T305" s="401"/>
      <c r="U305" s="64" t="s">
        <v>8535</v>
      </c>
      <c r="V305" s="64"/>
      <c r="W305" s="413">
        <f t="shared" si="31"/>
        <v>0</v>
      </c>
      <c r="X305" s="403">
        <v>0</v>
      </c>
      <c r="Y305" s="403">
        <v>0</v>
      </c>
      <c r="Z305" s="403">
        <v>0</v>
      </c>
      <c r="AA305" s="38"/>
      <c r="AB305" s="409"/>
      <c r="AC305" s="38"/>
      <c r="AD305" s="68"/>
      <c r="AE305" s="68"/>
      <c r="AF305" s="68"/>
      <c r="AG305" s="68"/>
      <c r="AH305" s="68"/>
      <c r="AI305" s="38"/>
      <c r="AJ305" s="38"/>
      <c r="AK305" s="38"/>
      <c r="AL305" s="38"/>
      <c r="AM305" s="38"/>
      <c r="AN305" s="38"/>
      <c r="AO305" s="69"/>
      <c r="AP305" s="69"/>
      <c r="AQ305" s="69"/>
      <c r="AR305" s="69"/>
      <c r="AS305" s="68"/>
      <c r="AT305" s="66" t="e">
        <f>VLOOKUP(K305,[4]Planilha1!A$13:P$314,16,0)</f>
        <v>#N/A</v>
      </c>
    </row>
    <row r="306" spans="1:46" s="63" customFormat="1" x14ac:dyDescent="0.25">
      <c r="A306" s="82"/>
      <c r="B306" s="82"/>
      <c r="C306" s="64"/>
      <c r="D306" s="64"/>
      <c r="E306" s="64"/>
      <c r="F306" s="64"/>
      <c r="G306" s="64"/>
      <c r="H306" s="64"/>
      <c r="I306" s="64"/>
      <c r="J306" s="64"/>
      <c r="K306" s="64"/>
      <c r="L306" s="64"/>
      <c r="M306" s="64"/>
      <c r="N306" s="406"/>
      <c r="O306" s="64"/>
      <c r="P306" s="410"/>
      <c r="Q306" s="64"/>
      <c r="R306" s="401">
        <f t="shared" si="32"/>
        <v>0</v>
      </c>
      <c r="S306" s="401"/>
      <c r="T306" s="401"/>
      <c r="U306" s="64" t="s">
        <v>8535</v>
      </c>
      <c r="V306" s="64"/>
      <c r="W306" s="413">
        <f t="shared" si="31"/>
        <v>0</v>
      </c>
      <c r="X306" s="403">
        <v>0</v>
      </c>
      <c r="Y306" s="403">
        <v>0</v>
      </c>
      <c r="Z306" s="403">
        <v>0</v>
      </c>
      <c r="AA306" s="38"/>
      <c r="AB306" s="409"/>
      <c r="AC306" s="38"/>
      <c r="AD306" s="68"/>
      <c r="AE306" s="68"/>
      <c r="AF306" s="68"/>
      <c r="AG306" s="68"/>
      <c r="AH306" s="68"/>
      <c r="AI306" s="38"/>
      <c r="AJ306" s="38"/>
      <c r="AK306" s="38"/>
      <c r="AL306" s="38"/>
      <c r="AM306" s="38"/>
      <c r="AN306" s="38"/>
      <c r="AO306" s="69"/>
      <c r="AP306" s="69"/>
      <c r="AQ306" s="69"/>
      <c r="AR306" s="69"/>
      <c r="AS306" s="68"/>
      <c r="AT306" s="66" t="e">
        <f>VLOOKUP(K306,[4]Planilha1!A$13:P$314,16,0)</f>
        <v>#N/A</v>
      </c>
    </row>
    <row r="307" spans="1:46" s="63" customFormat="1" x14ac:dyDescent="0.25">
      <c r="A307" s="82"/>
      <c r="B307" s="82"/>
      <c r="C307" s="64"/>
      <c r="D307" s="64"/>
      <c r="E307" s="64"/>
      <c r="F307" s="64"/>
      <c r="G307" s="64"/>
      <c r="H307" s="64"/>
      <c r="I307" s="64"/>
      <c r="J307" s="64"/>
      <c r="K307" s="64"/>
      <c r="L307" s="64"/>
      <c r="M307" s="64"/>
      <c r="N307" s="406"/>
      <c r="O307" s="64"/>
      <c r="P307" s="410"/>
      <c r="Q307" s="64"/>
      <c r="R307" s="401">
        <f t="shared" si="32"/>
        <v>0</v>
      </c>
      <c r="S307" s="401"/>
      <c r="T307" s="401"/>
      <c r="U307" s="64"/>
      <c r="V307" s="64"/>
      <c r="W307" s="413">
        <f t="shared" si="31"/>
        <v>0</v>
      </c>
      <c r="X307" s="403">
        <v>0</v>
      </c>
      <c r="Y307" s="403">
        <v>0</v>
      </c>
      <c r="Z307" s="403">
        <v>0</v>
      </c>
      <c r="AA307" s="38"/>
      <c r="AB307" s="409"/>
      <c r="AC307" s="38"/>
      <c r="AD307" s="68"/>
      <c r="AE307" s="68"/>
      <c r="AF307" s="68"/>
      <c r="AG307" s="68"/>
      <c r="AH307" s="68"/>
      <c r="AI307" s="38"/>
      <c r="AJ307" s="38"/>
      <c r="AK307" s="38"/>
      <c r="AL307" s="38"/>
      <c r="AM307" s="38"/>
      <c r="AN307" s="38"/>
      <c r="AO307" s="69"/>
      <c r="AP307" s="69"/>
      <c r="AQ307" s="69"/>
      <c r="AR307" s="69"/>
      <c r="AS307" s="68"/>
      <c r="AT307" s="66" t="e">
        <f>VLOOKUP(K307,[4]Planilha1!A$13:P$314,16,0)</f>
        <v>#N/A</v>
      </c>
    </row>
    <row r="308" spans="1:46" s="63" customFormat="1" x14ac:dyDescent="0.25">
      <c r="A308" s="82"/>
      <c r="B308" s="82"/>
      <c r="C308" s="64"/>
      <c r="D308" s="64"/>
      <c r="E308" s="64"/>
      <c r="F308" s="64"/>
      <c r="G308" s="64"/>
      <c r="H308" s="64"/>
      <c r="I308" s="64"/>
      <c r="J308" s="64"/>
      <c r="K308" s="64"/>
      <c r="L308" s="64"/>
      <c r="M308" s="64"/>
      <c r="N308" s="406"/>
      <c r="O308" s="64"/>
      <c r="P308" s="410"/>
      <c r="Q308" s="64"/>
      <c r="R308" s="401">
        <f t="shared" si="32"/>
        <v>0</v>
      </c>
      <c r="S308" s="401"/>
      <c r="T308" s="401"/>
      <c r="U308" s="64"/>
      <c r="V308" s="64"/>
      <c r="W308" s="413">
        <f t="shared" si="31"/>
        <v>0</v>
      </c>
      <c r="X308" s="403">
        <v>0</v>
      </c>
      <c r="Y308" s="403">
        <v>0</v>
      </c>
      <c r="Z308" s="403">
        <v>0</v>
      </c>
      <c r="AA308" s="38"/>
      <c r="AB308" s="409"/>
      <c r="AC308" s="38"/>
      <c r="AD308" s="68"/>
      <c r="AE308" s="68"/>
      <c r="AF308" s="68"/>
      <c r="AG308" s="68"/>
      <c r="AH308" s="68"/>
      <c r="AI308" s="38"/>
      <c r="AJ308" s="38"/>
      <c r="AK308" s="38"/>
      <c r="AL308" s="38"/>
      <c r="AM308" s="38"/>
      <c r="AN308" s="38"/>
      <c r="AO308" s="69"/>
      <c r="AP308" s="69"/>
      <c r="AQ308" s="69"/>
      <c r="AR308" s="69"/>
      <c r="AS308" s="68"/>
      <c r="AT308" s="66" t="e">
        <f>VLOOKUP(K308,[4]Planilha1!A$13:P$314,16,0)</f>
        <v>#N/A</v>
      </c>
    </row>
    <row r="309" spans="1:46" s="63" customFormat="1" x14ac:dyDescent="0.25">
      <c r="A309" s="82"/>
      <c r="B309" s="82"/>
      <c r="C309" s="64"/>
      <c r="D309" s="64"/>
      <c r="E309" s="64"/>
      <c r="F309" s="64"/>
      <c r="G309" s="64"/>
      <c r="H309" s="64"/>
      <c r="I309" s="64"/>
      <c r="J309" s="64"/>
      <c r="K309" s="64"/>
      <c r="L309" s="64"/>
      <c r="M309" s="64"/>
      <c r="N309" s="406"/>
      <c r="O309" s="64"/>
      <c r="P309" s="410"/>
      <c r="Q309" s="64"/>
      <c r="R309" s="401">
        <f t="shared" si="32"/>
        <v>0</v>
      </c>
      <c r="S309" s="401"/>
      <c r="T309" s="401"/>
      <c r="U309" s="64"/>
      <c r="V309" s="64"/>
      <c r="W309" s="413">
        <f t="shared" si="31"/>
        <v>0</v>
      </c>
      <c r="X309" s="403">
        <v>0</v>
      </c>
      <c r="Y309" s="403">
        <v>0</v>
      </c>
      <c r="Z309" s="403">
        <v>0</v>
      </c>
      <c r="AA309" s="38"/>
      <c r="AB309" s="409"/>
      <c r="AC309" s="38"/>
      <c r="AD309" s="68"/>
      <c r="AE309" s="68"/>
      <c r="AF309" s="68"/>
      <c r="AG309" s="68"/>
      <c r="AH309" s="68"/>
      <c r="AI309" s="38"/>
      <c r="AJ309" s="38"/>
      <c r="AK309" s="38"/>
      <c r="AL309" s="38"/>
      <c r="AM309" s="38"/>
      <c r="AN309" s="38"/>
      <c r="AO309" s="69"/>
      <c r="AP309" s="69"/>
      <c r="AQ309" s="69"/>
      <c r="AR309" s="69"/>
      <c r="AS309" s="68"/>
      <c r="AT309" s="66" t="e">
        <f>VLOOKUP(K309,[4]Planilha1!A$13:P$314,16,0)</f>
        <v>#N/A</v>
      </c>
    </row>
    <row r="310" spans="1:46" s="63" customFormat="1" x14ac:dyDescent="0.25">
      <c r="A310" s="82"/>
      <c r="B310" s="82"/>
      <c r="C310" s="64"/>
      <c r="D310" s="64"/>
      <c r="E310" s="64"/>
      <c r="F310" s="64"/>
      <c r="G310" s="64"/>
      <c r="H310" s="64"/>
      <c r="I310" s="64"/>
      <c r="J310" s="64"/>
      <c r="K310" s="64"/>
      <c r="L310" s="64"/>
      <c r="M310" s="64"/>
      <c r="N310" s="406"/>
      <c r="O310" s="64"/>
      <c r="P310" s="410"/>
      <c r="Q310" s="64"/>
      <c r="R310" s="401">
        <f t="shared" si="32"/>
        <v>0</v>
      </c>
      <c r="S310" s="401"/>
      <c r="T310" s="401"/>
      <c r="U310" s="64" t="s">
        <v>8535</v>
      </c>
      <c r="V310" s="64"/>
      <c r="W310" s="413">
        <f t="shared" si="31"/>
        <v>0</v>
      </c>
      <c r="X310" s="403">
        <v>0</v>
      </c>
      <c r="Y310" s="403">
        <v>0</v>
      </c>
      <c r="Z310" s="403">
        <v>0</v>
      </c>
      <c r="AA310" s="38"/>
      <c r="AB310" s="409"/>
      <c r="AC310" s="38"/>
      <c r="AD310" s="68"/>
      <c r="AE310" s="68"/>
      <c r="AF310" s="68"/>
      <c r="AG310" s="68"/>
      <c r="AH310" s="68"/>
      <c r="AI310" s="38"/>
      <c r="AJ310" s="38"/>
      <c r="AK310" s="38"/>
      <c r="AL310" s="38"/>
      <c r="AM310" s="38"/>
      <c r="AN310" s="38"/>
      <c r="AO310" s="69"/>
      <c r="AP310" s="69"/>
      <c r="AQ310" s="69"/>
      <c r="AR310" s="69"/>
      <c r="AS310" s="68"/>
      <c r="AT310" s="66" t="e">
        <f>VLOOKUP(K310,[4]Planilha1!A$13:P$314,16,0)</f>
        <v>#N/A</v>
      </c>
    </row>
    <row r="311" spans="1:46" s="63" customFormat="1" x14ac:dyDescent="0.25">
      <c r="A311" s="82"/>
      <c r="B311" s="82"/>
      <c r="C311" s="64"/>
      <c r="D311" s="64"/>
      <c r="E311" s="64"/>
      <c r="F311" s="64"/>
      <c r="G311" s="64"/>
      <c r="H311" s="64"/>
      <c r="I311" s="64"/>
      <c r="J311" s="64"/>
      <c r="K311" s="64"/>
      <c r="L311" s="64"/>
      <c r="M311" s="64"/>
      <c r="N311" s="406"/>
      <c r="O311" s="64"/>
      <c r="P311" s="410"/>
      <c r="Q311" s="64"/>
      <c r="R311" s="401">
        <f t="shared" si="32"/>
        <v>0</v>
      </c>
      <c r="S311" s="401"/>
      <c r="T311" s="401"/>
      <c r="U311" s="64" t="s">
        <v>8535</v>
      </c>
      <c r="V311" s="64"/>
      <c r="W311" s="413">
        <f t="shared" si="31"/>
        <v>0</v>
      </c>
      <c r="X311" s="403">
        <v>0</v>
      </c>
      <c r="Y311" s="403">
        <v>0</v>
      </c>
      <c r="Z311" s="403">
        <v>0</v>
      </c>
      <c r="AA311" s="38"/>
      <c r="AB311" s="409"/>
      <c r="AC311" s="38"/>
      <c r="AD311" s="68"/>
      <c r="AE311" s="68"/>
      <c r="AF311" s="68"/>
      <c r="AG311" s="68"/>
      <c r="AH311" s="68"/>
      <c r="AI311" s="38"/>
      <c r="AJ311" s="38"/>
      <c r="AK311" s="38"/>
      <c r="AL311" s="38"/>
      <c r="AM311" s="38"/>
      <c r="AN311" s="38"/>
      <c r="AO311" s="69"/>
      <c r="AP311" s="69"/>
      <c r="AQ311" s="69"/>
      <c r="AR311" s="69"/>
      <c r="AS311" s="68"/>
      <c r="AT311" s="66" t="e">
        <f>VLOOKUP(K311,[4]Planilha1!A$13:P$314,16,0)</f>
        <v>#N/A</v>
      </c>
    </row>
    <row r="312" spans="1:46" s="63" customFormat="1" x14ac:dyDescent="0.25">
      <c r="A312" s="82"/>
      <c r="B312" s="82"/>
      <c r="C312" s="64"/>
      <c r="D312" s="64"/>
      <c r="E312" s="64"/>
      <c r="F312" s="64"/>
      <c r="G312" s="64"/>
      <c r="H312" s="64"/>
      <c r="I312" s="64"/>
      <c r="J312" s="64"/>
      <c r="K312" s="64"/>
      <c r="L312" s="64"/>
      <c r="M312" s="64"/>
      <c r="N312" s="406"/>
      <c r="O312" s="64"/>
      <c r="P312" s="410"/>
      <c r="Q312" s="64"/>
      <c r="R312" s="401">
        <f t="shared" si="32"/>
        <v>0</v>
      </c>
      <c r="S312" s="401"/>
      <c r="T312" s="401"/>
      <c r="U312" s="64" t="s">
        <v>8535</v>
      </c>
      <c r="V312" s="64"/>
      <c r="W312" s="413">
        <f t="shared" si="31"/>
        <v>0</v>
      </c>
      <c r="X312" s="403">
        <v>0</v>
      </c>
      <c r="Y312" s="403">
        <v>0</v>
      </c>
      <c r="Z312" s="403">
        <v>0</v>
      </c>
      <c r="AA312" s="38"/>
      <c r="AB312" s="409"/>
      <c r="AC312" s="38"/>
      <c r="AD312" s="68"/>
      <c r="AE312" s="68"/>
      <c r="AF312" s="68"/>
      <c r="AG312" s="68"/>
      <c r="AH312" s="68"/>
      <c r="AI312" s="38"/>
      <c r="AJ312" s="38"/>
      <c r="AK312" s="38"/>
      <c r="AL312" s="38"/>
      <c r="AM312" s="38"/>
      <c r="AN312" s="38"/>
      <c r="AO312" s="69"/>
      <c r="AP312" s="69"/>
      <c r="AQ312" s="69"/>
      <c r="AR312" s="69"/>
      <c r="AS312" s="68"/>
      <c r="AT312" s="66" t="e">
        <f>VLOOKUP(K312,[4]Planilha1!A$13:P$314,16,0)</f>
        <v>#N/A</v>
      </c>
    </row>
    <row r="313" spans="1:46" s="63" customFormat="1" x14ac:dyDescent="0.25">
      <c r="A313" s="82"/>
      <c r="B313" s="82"/>
      <c r="C313" s="64"/>
      <c r="D313" s="64"/>
      <c r="E313" s="64"/>
      <c r="F313" s="64"/>
      <c r="G313" s="64"/>
      <c r="H313" s="64"/>
      <c r="I313" s="64"/>
      <c r="J313" s="64"/>
      <c r="K313" s="64"/>
      <c r="L313" s="64"/>
      <c r="M313" s="64"/>
      <c r="N313" s="406"/>
      <c r="O313" s="64"/>
      <c r="P313" s="410"/>
      <c r="Q313" s="64"/>
      <c r="R313" s="401">
        <f t="shared" si="32"/>
        <v>0</v>
      </c>
      <c r="S313" s="401"/>
      <c r="T313" s="401"/>
      <c r="U313" s="64" t="s">
        <v>8535</v>
      </c>
      <c r="V313" s="64"/>
      <c r="W313" s="413">
        <f t="shared" si="31"/>
        <v>0</v>
      </c>
      <c r="X313" s="403">
        <v>0</v>
      </c>
      <c r="Y313" s="403">
        <v>0</v>
      </c>
      <c r="Z313" s="403">
        <v>0</v>
      </c>
      <c r="AA313" s="38"/>
      <c r="AB313" s="409"/>
      <c r="AC313" s="38"/>
      <c r="AD313" s="68"/>
      <c r="AE313" s="68"/>
      <c r="AF313" s="68"/>
      <c r="AG313" s="68"/>
      <c r="AH313" s="68"/>
      <c r="AI313" s="38"/>
      <c r="AJ313" s="38"/>
      <c r="AK313" s="38"/>
      <c r="AL313" s="38"/>
      <c r="AM313" s="38"/>
      <c r="AN313" s="38"/>
      <c r="AO313" s="69"/>
      <c r="AP313" s="69"/>
      <c r="AQ313" s="69"/>
      <c r="AR313" s="69"/>
      <c r="AS313" s="68"/>
      <c r="AT313" s="66" t="e">
        <f>VLOOKUP(K313,[4]Planilha1!A$13:P$314,16,0)</f>
        <v>#N/A</v>
      </c>
    </row>
    <row r="314" spans="1:46" s="63" customFormat="1" x14ac:dyDescent="0.25">
      <c r="A314" s="82"/>
      <c r="B314" s="82"/>
      <c r="C314" s="64"/>
      <c r="D314" s="64"/>
      <c r="E314" s="64"/>
      <c r="F314" s="64"/>
      <c r="G314" s="64"/>
      <c r="H314" s="64"/>
      <c r="I314" s="64"/>
      <c r="J314" s="64"/>
      <c r="K314" s="64"/>
      <c r="L314" s="64"/>
      <c r="M314" s="64"/>
      <c r="N314" s="406"/>
      <c r="O314" s="64"/>
      <c r="P314" s="410"/>
      <c r="Q314" s="64"/>
      <c r="R314" s="401">
        <f t="shared" si="32"/>
        <v>0</v>
      </c>
      <c r="S314" s="401"/>
      <c r="T314" s="401"/>
      <c r="U314" s="64" t="s">
        <v>8535</v>
      </c>
      <c r="V314" s="64"/>
      <c r="W314" s="413">
        <f t="shared" si="31"/>
        <v>0</v>
      </c>
      <c r="X314" s="403">
        <v>0</v>
      </c>
      <c r="Y314" s="403">
        <v>0</v>
      </c>
      <c r="Z314" s="403">
        <v>0</v>
      </c>
      <c r="AA314" s="38"/>
      <c r="AB314" s="409"/>
      <c r="AC314" s="38"/>
      <c r="AD314" s="68"/>
      <c r="AE314" s="68"/>
      <c r="AF314" s="68"/>
      <c r="AG314" s="68"/>
      <c r="AH314" s="68"/>
      <c r="AI314" s="38"/>
      <c r="AJ314" s="38"/>
      <c r="AK314" s="38"/>
      <c r="AL314" s="38"/>
      <c r="AM314" s="38"/>
      <c r="AN314" s="38"/>
      <c r="AO314" s="69"/>
      <c r="AP314" s="69"/>
      <c r="AQ314" s="69"/>
      <c r="AR314" s="69"/>
      <c r="AS314" s="68"/>
      <c r="AT314" s="66" t="e">
        <f>VLOOKUP(K314,[4]Planilha1!A$13:P$314,16,0)</f>
        <v>#N/A</v>
      </c>
    </row>
    <row r="315" spans="1:46" s="63" customFormat="1" x14ac:dyDescent="0.25">
      <c r="A315" s="82"/>
      <c r="B315" s="82"/>
      <c r="C315" s="64"/>
      <c r="D315" s="64"/>
      <c r="E315" s="64"/>
      <c r="F315" s="64"/>
      <c r="G315" s="64"/>
      <c r="H315" s="64"/>
      <c r="I315" s="64"/>
      <c r="J315" s="64"/>
      <c r="K315" s="64"/>
      <c r="L315" s="64"/>
      <c r="M315" s="64"/>
      <c r="N315" s="406"/>
      <c r="O315" s="64"/>
      <c r="P315" s="410"/>
      <c r="Q315" s="64"/>
      <c r="R315" s="401">
        <f t="shared" si="32"/>
        <v>0</v>
      </c>
      <c r="S315" s="401"/>
      <c r="T315" s="401"/>
      <c r="U315" s="64" t="s">
        <v>8535</v>
      </c>
      <c r="V315" s="64"/>
      <c r="W315" s="413">
        <f t="shared" si="31"/>
        <v>0</v>
      </c>
      <c r="X315" s="403">
        <v>0</v>
      </c>
      <c r="Y315" s="403">
        <v>0</v>
      </c>
      <c r="Z315" s="403">
        <v>0</v>
      </c>
      <c r="AA315" s="38"/>
      <c r="AB315" s="409"/>
      <c r="AC315" s="38"/>
      <c r="AD315" s="68"/>
      <c r="AE315" s="68"/>
      <c r="AF315" s="68"/>
      <c r="AG315" s="68"/>
      <c r="AH315" s="68"/>
      <c r="AI315" s="38"/>
      <c r="AJ315" s="38"/>
      <c r="AK315" s="38"/>
      <c r="AL315" s="38"/>
      <c r="AM315" s="38"/>
      <c r="AN315" s="38"/>
      <c r="AO315" s="69"/>
      <c r="AP315" s="69"/>
      <c r="AQ315" s="69"/>
      <c r="AR315" s="69"/>
      <c r="AS315" s="68"/>
      <c r="AT315" s="66" t="e">
        <f>VLOOKUP(K315,[4]Planilha1!A$13:P$314,16,0)</f>
        <v>#N/A</v>
      </c>
    </row>
    <row r="316" spans="1:46" s="63" customFormat="1" x14ac:dyDescent="0.25">
      <c r="A316" s="82"/>
      <c r="B316" s="82"/>
      <c r="C316" s="64"/>
      <c r="D316" s="64"/>
      <c r="E316" s="64"/>
      <c r="F316" s="64"/>
      <c r="G316" s="64"/>
      <c r="H316" s="64"/>
      <c r="I316" s="64"/>
      <c r="J316" s="64"/>
      <c r="K316" s="64"/>
      <c r="L316" s="64"/>
      <c r="M316" s="64"/>
      <c r="N316" s="406"/>
      <c r="O316" s="64"/>
      <c r="P316" s="410"/>
      <c r="Q316" s="64"/>
      <c r="R316" s="401">
        <f t="shared" si="32"/>
        <v>0</v>
      </c>
      <c r="S316" s="401"/>
      <c r="T316" s="401"/>
      <c r="U316" s="64" t="s">
        <v>8535</v>
      </c>
      <c r="V316" s="64"/>
      <c r="W316" s="413">
        <f t="shared" si="31"/>
        <v>0</v>
      </c>
      <c r="X316" s="403">
        <v>0</v>
      </c>
      <c r="Y316" s="403">
        <v>0</v>
      </c>
      <c r="Z316" s="403">
        <v>0</v>
      </c>
      <c r="AA316" s="38"/>
      <c r="AB316" s="409"/>
      <c r="AC316" s="38"/>
      <c r="AD316" s="68"/>
      <c r="AE316" s="68"/>
      <c r="AF316" s="68"/>
      <c r="AG316" s="68"/>
      <c r="AH316" s="68"/>
      <c r="AI316" s="38"/>
      <c r="AJ316" s="38"/>
      <c r="AK316" s="38"/>
      <c r="AL316" s="38"/>
      <c r="AM316" s="38"/>
      <c r="AN316" s="38"/>
      <c r="AO316" s="69"/>
      <c r="AP316" s="69"/>
      <c r="AQ316" s="69"/>
      <c r="AR316" s="69"/>
      <c r="AS316" s="68"/>
      <c r="AT316" s="66" t="e">
        <f>VLOOKUP(K316,[4]Planilha1!A$13:P$314,16,0)</f>
        <v>#N/A</v>
      </c>
    </row>
    <row r="317" spans="1:46" s="63" customFormat="1" x14ac:dyDescent="0.25">
      <c r="A317" s="82"/>
      <c r="B317" s="82"/>
      <c r="C317" s="64"/>
      <c r="D317" s="64"/>
      <c r="E317" s="64"/>
      <c r="F317" s="64"/>
      <c r="G317" s="64"/>
      <c r="H317" s="64"/>
      <c r="I317" s="64"/>
      <c r="J317" s="64"/>
      <c r="K317" s="64"/>
      <c r="L317" s="64"/>
      <c r="M317" s="64"/>
      <c r="N317" s="406"/>
      <c r="O317" s="64"/>
      <c r="P317" s="410"/>
      <c r="Q317" s="64"/>
      <c r="R317" s="401">
        <f t="shared" si="32"/>
        <v>0</v>
      </c>
      <c r="S317" s="401"/>
      <c r="T317" s="401"/>
      <c r="U317" s="64"/>
      <c r="V317" s="64"/>
      <c r="W317" s="413">
        <f t="shared" si="31"/>
        <v>0</v>
      </c>
      <c r="X317" s="403">
        <v>0</v>
      </c>
      <c r="Y317" s="403">
        <v>0</v>
      </c>
      <c r="Z317" s="403">
        <v>0</v>
      </c>
      <c r="AA317" s="38"/>
      <c r="AB317" s="409"/>
      <c r="AC317" s="38"/>
      <c r="AD317" s="68"/>
      <c r="AE317" s="68"/>
      <c r="AF317" s="68"/>
      <c r="AG317" s="68"/>
      <c r="AH317" s="68"/>
      <c r="AI317" s="38"/>
      <c r="AJ317" s="38"/>
      <c r="AK317" s="38"/>
      <c r="AL317" s="38"/>
      <c r="AM317" s="38"/>
      <c r="AN317" s="38"/>
      <c r="AO317" s="69"/>
      <c r="AP317" s="69"/>
      <c r="AQ317" s="69"/>
      <c r="AR317" s="69"/>
      <c r="AS317" s="68"/>
      <c r="AT317" s="66" t="e">
        <f>VLOOKUP(K317,[4]Planilha1!A$13:P$314,16,0)</f>
        <v>#N/A</v>
      </c>
    </row>
    <row r="318" spans="1:46" s="63" customFormat="1" x14ac:dyDescent="0.25">
      <c r="A318" s="82"/>
      <c r="B318" s="82"/>
      <c r="C318" s="64"/>
      <c r="D318" s="64"/>
      <c r="E318" s="64"/>
      <c r="F318" s="64"/>
      <c r="G318" s="64"/>
      <c r="H318" s="64"/>
      <c r="I318" s="64"/>
      <c r="J318" s="64"/>
      <c r="K318" s="64"/>
      <c r="L318" s="64"/>
      <c r="M318" s="64"/>
      <c r="N318" s="406"/>
      <c r="O318" s="64"/>
      <c r="P318" s="410"/>
      <c r="Q318" s="64"/>
      <c r="R318" s="401">
        <f t="shared" si="32"/>
        <v>0</v>
      </c>
      <c r="S318" s="401"/>
      <c r="T318" s="401"/>
      <c r="U318" s="64"/>
      <c r="V318" s="64"/>
      <c r="W318" s="413">
        <f t="shared" si="31"/>
        <v>0</v>
      </c>
      <c r="X318" s="403">
        <v>0</v>
      </c>
      <c r="Y318" s="403">
        <v>0</v>
      </c>
      <c r="Z318" s="403">
        <v>0</v>
      </c>
      <c r="AA318" s="38"/>
      <c r="AB318" s="409"/>
      <c r="AC318" s="38"/>
      <c r="AD318" s="68"/>
      <c r="AE318" s="68"/>
      <c r="AF318" s="68"/>
      <c r="AG318" s="68"/>
      <c r="AH318" s="68"/>
      <c r="AI318" s="38"/>
      <c r="AJ318" s="38"/>
      <c r="AK318" s="38"/>
      <c r="AL318" s="38"/>
      <c r="AM318" s="38"/>
      <c r="AN318" s="38"/>
      <c r="AO318" s="69"/>
      <c r="AP318" s="69"/>
      <c r="AQ318" s="69"/>
      <c r="AR318" s="69"/>
      <c r="AS318" s="68"/>
      <c r="AT318" s="66" t="e">
        <f>VLOOKUP(K318,[4]Planilha1!A$13:P$314,16,0)</f>
        <v>#N/A</v>
      </c>
    </row>
    <row r="319" spans="1:46" s="63" customFormat="1" x14ac:dyDescent="0.25">
      <c r="A319" s="82"/>
      <c r="B319" s="82"/>
      <c r="C319" s="64"/>
      <c r="D319" s="64"/>
      <c r="E319" s="64"/>
      <c r="F319" s="64"/>
      <c r="G319" s="64"/>
      <c r="H319" s="64"/>
      <c r="I319" s="64"/>
      <c r="J319" s="64"/>
      <c r="K319" s="64"/>
      <c r="L319" s="64"/>
      <c r="M319" s="64"/>
      <c r="N319" s="406"/>
      <c r="O319" s="64"/>
      <c r="P319" s="410"/>
      <c r="Q319" s="64"/>
      <c r="R319" s="401">
        <f t="shared" si="32"/>
        <v>0</v>
      </c>
      <c r="S319" s="401"/>
      <c r="T319" s="401"/>
      <c r="U319" s="64"/>
      <c r="V319" s="64"/>
      <c r="W319" s="413">
        <f t="shared" si="31"/>
        <v>0</v>
      </c>
      <c r="X319" s="403">
        <v>0</v>
      </c>
      <c r="Y319" s="403">
        <v>0</v>
      </c>
      <c r="Z319" s="403">
        <v>0</v>
      </c>
      <c r="AA319" s="38"/>
      <c r="AB319" s="409"/>
      <c r="AC319" s="38"/>
      <c r="AD319" s="68"/>
      <c r="AE319" s="68"/>
      <c r="AF319" s="68"/>
      <c r="AG319" s="68"/>
      <c r="AH319" s="68"/>
      <c r="AI319" s="38"/>
      <c r="AJ319" s="38"/>
      <c r="AK319" s="38"/>
      <c r="AL319" s="38"/>
      <c r="AM319" s="38"/>
      <c r="AN319" s="38"/>
      <c r="AO319" s="69"/>
      <c r="AP319" s="69"/>
      <c r="AQ319" s="69"/>
      <c r="AR319" s="69"/>
      <c r="AS319" s="68"/>
      <c r="AT319" s="66" t="e">
        <f>VLOOKUP(K319,[4]Planilha1!A$13:P$314,16,0)</f>
        <v>#N/A</v>
      </c>
    </row>
    <row r="320" spans="1:46" s="63" customFormat="1" x14ac:dyDescent="0.25">
      <c r="A320" s="82"/>
      <c r="B320" s="82"/>
      <c r="C320" s="64"/>
      <c r="D320" s="64"/>
      <c r="E320" s="64"/>
      <c r="F320" s="64"/>
      <c r="G320" s="64"/>
      <c r="H320" s="64"/>
      <c r="I320" s="64"/>
      <c r="J320" s="64"/>
      <c r="K320" s="64"/>
      <c r="L320" s="64"/>
      <c r="M320" s="64"/>
      <c r="N320" s="406"/>
      <c r="O320" s="64"/>
      <c r="P320" s="410"/>
      <c r="Q320" s="64"/>
      <c r="R320" s="401">
        <f t="shared" si="32"/>
        <v>0</v>
      </c>
      <c r="S320" s="401"/>
      <c r="T320" s="401"/>
      <c r="U320" s="64"/>
      <c r="V320" s="64"/>
      <c r="W320" s="413">
        <f t="shared" si="31"/>
        <v>0</v>
      </c>
      <c r="X320" s="403">
        <v>0</v>
      </c>
      <c r="Y320" s="403">
        <v>0</v>
      </c>
      <c r="Z320" s="403">
        <v>0</v>
      </c>
      <c r="AA320" s="38"/>
      <c r="AB320" s="409"/>
      <c r="AC320" s="38"/>
      <c r="AD320" s="68"/>
      <c r="AE320" s="68"/>
      <c r="AF320" s="68"/>
      <c r="AG320" s="68"/>
      <c r="AH320" s="68"/>
      <c r="AI320" s="38"/>
      <c r="AJ320" s="38"/>
      <c r="AK320" s="38"/>
      <c r="AL320" s="38"/>
      <c r="AM320" s="38"/>
      <c r="AN320" s="38"/>
      <c r="AO320" s="69"/>
      <c r="AP320" s="69"/>
      <c r="AQ320" s="69"/>
      <c r="AR320" s="69"/>
      <c r="AS320" s="68"/>
      <c r="AT320" s="66" t="e">
        <f>VLOOKUP(K320,[4]Planilha1!A$13:P$314,16,0)</f>
        <v>#N/A</v>
      </c>
    </row>
    <row r="321" spans="1:46" s="63" customFormat="1" x14ac:dyDescent="0.25">
      <c r="A321" s="82"/>
      <c r="B321" s="82"/>
      <c r="C321" s="64"/>
      <c r="D321" s="64"/>
      <c r="E321" s="64"/>
      <c r="F321" s="64"/>
      <c r="G321" s="64"/>
      <c r="H321" s="64"/>
      <c r="I321" s="64"/>
      <c r="J321" s="64"/>
      <c r="K321" s="64"/>
      <c r="L321" s="64"/>
      <c r="M321" s="64"/>
      <c r="N321" s="406"/>
      <c r="O321" s="64"/>
      <c r="P321" s="410"/>
      <c r="Q321" s="64"/>
      <c r="R321" s="401">
        <f t="shared" si="32"/>
        <v>0</v>
      </c>
      <c r="S321" s="401"/>
      <c r="T321" s="401"/>
      <c r="U321" s="64"/>
      <c r="V321" s="64"/>
      <c r="W321" s="413">
        <f t="shared" si="31"/>
        <v>0</v>
      </c>
      <c r="X321" s="403">
        <v>0</v>
      </c>
      <c r="Y321" s="403">
        <v>0</v>
      </c>
      <c r="Z321" s="403">
        <v>0</v>
      </c>
      <c r="AA321" s="38"/>
      <c r="AB321" s="409"/>
      <c r="AC321" s="38"/>
      <c r="AD321" s="68"/>
      <c r="AE321" s="68"/>
      <c r="AF321" s="68"/>
      <c r="AG321" s="68"/>
      <c r="AH321" s="68"/>
      <c r="AI321" s="38"/>
      <c r="AJ321" s="38"/>
      <c r="AK321" s="38"/>
      <c r="AL321" s="38"/>
      <c r="AM321" s="38"/>
      <c r="AN321" s="38"/>
      <c r="AO321" s="69"/>
      <c r="AP321" s="69"/>
      <c r="AQ321" s="69"/>
      <c r="AR321" s="69"/>
      <c r="AS321" s="68"/>
      <c r="AT321" s="66" t="e">
        <f>VLOOKUP(K321,[4]Planilha1!A$13:P$314,16,0)</f>
        <v>#N/A</v>
      </c>
    </row>
    <row r="322" spans="1:46" s="63" customFormat="1" x14ac:dyDescent="0.25">
      <c r="A322" s="82"/>
      <c r="B322" s="82"/>
      <c r="C322" s="64"/>
      <c r="D322" s="64"/>
      <c r="E322" s="64"/>
      <c r="F322" s="64"/>
      <c r="G322" s="64"/>
      <c r="H322" s="64"/>
      <c r="I322" s="64"/>
      <c r="J322" s="64"/>
      <c r="K322" s="64"/>
      <c r="L322" s="64"/>
      <c r="M322" s="64"/>
      <c r="N322" s="406"/>
      <c r="O322" s="64"/>
      <c r="P322" s="410"/>
      <c r="Q322" s="64"/>
      <c r="R322" s="401">
        <f t="shared" si="32"/>
        <v>0</v>
      </c>
      <c r="S322" s="401"/>
      <c r="T322" s="401"/>
      <c r="U322" s="64"/>
      <c r="V322" s="64"/>
      <c r="W322" s="413">
        <f t="shared" si="31"/>
        <v>0</v>
      </c>
      <c r="X322" s="403">
        <v>0</v>
      </c>
      <c r="Y322" s="403">
        <v>0</v>
      </c>
      <c r="Z322" s="403">
        <v>0</v>
      </c>
      <c r="AA322" s="38"/>
      <c r="AB322" s="409"/>
      <c r="AC322" s="38"/>
      <c r="AD322" s="68"/>
      <c r="AE322" s="68"/>
      <c r="AF322" s="68"/>
      <c r="AG322" s="68"/>
      <c r="AH322" s="68"/>
      <c r="AI322" s="38"/>
      <c r="AJ322" s="38"/>
      <c r="AK322" s="38"/>
      <c r="AL322" s="38"/>
      <c r="AM322" s="38"/>
      <c r="AN322" s="38"/>
      <c r="AO322" s="69"/>
      <c r="AP322" s="69"/>
      <c r="AQ322" s="69"/>
      <c r="AR322" s="69"/>
      <c r="AS322" s="68"/>
      <c r="AT322" s="66" t="e">
        <f>VLOOKUP(K322,[4]Planilha1!A$13:P$314,16,0)</f>
        <v>#N/A</v>
      </c>
    </row>
    <row r="323" spans="1:46" s="63" customFormat="1" x14ac:dyDescent="0.25">
      <c r="A323" s="82"/>
      <c r="B323" s="82"/>
      <c r="C323" s="64"/>
      <c r="D323" s="64"/>
      <c r="E323" s="64"/>
      <c r="F323" s="64"/>
      <c r="G323" s="64"/>
      <c r="H323" s="64"/>
      <c r="I323" s="64"/>
      <c r="J323" s="64"/>
      <c r="K323" s="64"/>
      <c r="L323" s="64"/>
      <c r="M323" s="64"/>
      <c r="N323" s="406"/>
      <c r="O323" s="64"/>
      <c r="P323" s="410"/>
      <c r="Q323" s="64"/>
      <c r="R323" s="401">
        <f t="shared" si="32"/>
        <v>0</v>
      </c>
      <c r="S323" s="401"/>
      <c r="T323" s="401"/>
      <c r="U323" s="64"/>
      <c r="V323" s="64"/>
      <c r="W323" s="413">
        <f t="shared" si="31"/>
        <v>0</v>
      </c>
      <c r="X323" s="403">
        <v>0</v>
      </c>
      <c r="Y323" s="403">
        <v>0</v>
      </c>
      <c r="Z323" s="403">
        <v>0</v>
      </c>
      <c r="AA323" s="38"/>
      <c r="AB323" s="409"/>
      <c r="AC323" s="38"/>
      <c r="AD323" s="68"/>
      <c r="AE323" s="68"/>
      <c r="AF323" s="68"/>
      <c r="AG323" s="68"/>
      <c r="AH323" s="68"/>
      <c r="AI323" s="38"/>
      <c r="AJ323" s="38"/>
      <c r="AK323" s="38"/>
      <c r="AL323" s="38"/>
      <c r="AM323" s="38"/>
      <c r="AN323" s="38"/>
      <c r="AO323" s="69"/>
      <c r="AP323" s="69"/>
      <c r="AQ323" s="69"/>
      <c r="AR323" s="69"/>
      <c r="AS323" s="68"/>
      <c r="AT323" s="66" t="e">
        <f>VLOOKUP(K323,[4]Planilha1!A$13:P$314,16,0)</f>
        <v>#N/A</v>
      </c>
    </row>
    <row r="324" spans="1:46" s="63" customFormat="1" x14ac:dyDescent="0.25">
      <c r="A324" s="82"/>
      <c r="B324" s="82"/>
      <c r="C324" s="64"/>
      <c r="D324" s="64"/>
      <c r="E324" s="64"/>
      <c r="F324" s="64"/>
      <c r="G324" s="64"/>
      <c r="H324" s="64"/>
      <c r="I324" s="64"/>
      <c r="J324" s="64"/>
      <c r="K324" s="64"/>
      <c r="L324" s="64"/>
      <c r="M324" s="64"/>
      <c r="N324" s="406"/>
      <c r="O324" s="64"/>
      <c r="P324" s="410"/>
      <c r="Q324" s="64"/>
      <c r="R324" s="401">
        <f t="shared" si="32"/>
        <v>0</v>
      </c>
      <c r="S324" s="401"/>
      <c r="T324" s="401"/>
      <c r="U324" s="64"/>
      <c r="V324" s="64"/>
      <c r="W324" s="413">
        <f t="shared" si="31"/>
        <v>0</v>
      </c>
      <c r="X324" s="403">
        <v>0</v>
      </c>
      <c r="Y324" s="403">
        <v>0</v>
      </c>
      <c r="Z324" s="403">
        <v>0</v>
      </c>
      <c r="AA324" s="38"/>
      <c r="AB324" s="409"/>
      <c r="AC324" s="38"/>
      <c r="AD324" s="68"/>
      <c r="AE324" s="68"/>
      <c r="AF324" s="68"/>
      <c r="AG324" s="68"/>
      <c r="AH324" s="68"/>
      <c r="AI324" s="38"/>
      <c r="AJ324" s="38"/>
      <c r="AK324" s="38"/>
      <c r="AL324" s="38"/>
      <c r="AM324" s="38"/>
      <c r="AN324" s="38"/>
      <c r="AO324" s="69"/>
      <c r="AP324" s="69"/>
      <c r="AQ324" s="69"/>
      <c r="AR324" s="69"/>
      <c r="AS324" s="68"/>
      <c r="AT324" s="66" t="e">
        <f>VLOOKUP(K324,[4]Planilha1!A$13:P$314,16,0)</f>
        <v>#N/A</v>
      </c>
    </row>
    <row r="325" spans="1:46" s="63" customFormat="1" x14ac:dyDescent="0.25">
      <c r="A325" s="82"/>
      <c r="B325" s="82"/>
      <c r="C325" s="64"/>
      <c r="D325" s="64"/>
      <c r="E325" s="64"/>
      <c r="F325" s="64"/>
      <c r="G325" s="64"/>
      <c r="H325" s="64"/>
      <c r="I325" s="64"/>
      <c r="J325" s="64"/>
      <c r="K325" s="64"/>
      <c r="L325" s="64"/>
      <c r="M325" s="64"/>
      <c r="N325" s="406"/>
      <c r="O325" s="64"/>
      <c r="P325" s="410"/>
      <c r="Q325" s="64"/>
      <c r="R325" s="401">
        <f t="shared" si="32"/>
        <v>0</v>
      </c>
      <c r="S325" s="401"/>
      <c r="T325" s="401"/>
      <c r="U325" s="64"/>
      <c r="V325" s="64"/>
      <c r="W325" s="413">
        <f t="shared" si="31"/>
        <v>0</v>
      </c>
      <c r="X325" s="403">
        <v>0</v>
      </c>
      <c r="Y325" s="403">
        <v>0</v>
      </c>
      <c r="Z325" s="403">
        <v>0</v>
      </c>
      <c r="AA325" s="38"/>
      <c r="AB325" s="409"/>
      <c r="AC325" s="38"/>
      <c r="AD325" s="68"/>
      <c r="AE325" s="68"/>
      <c r="AF325" s="68"/>
      <c r="AG325" s="68"/>
      <c r="AH325" s="68"/>
      <c r="AI325" s="38"/>
      <c r="AJ325" s="38"/>
      <c r="AK325" s="38"/>
      <c r="AL325" s="38"/>
      <c r="AM325" s="38"/>
      <c r="AN325" s="38"/>
      <c r="AO325" s="69"/>
      <c r="AP325" s="69"/>
      <c r="AQ325" s="69"/>
      <c r="AR325" s="69"/>
      <c r="AS325" s="68"/>
      <c r="AT325" s="66" t="e">
        <f>VLOOKUP(K325,[4]Planilha1!A$13:P$314,16,0)</f>
        <v>#N/A</v>
      </c>
    </row>
    <row r="326" spans="1:46" s="63" customFormat="1" x14ac:dyDescent="0.25">
      <c r="A326" s="82"/>
      <c r="B326" s="82"/>
      <c r="C326" s="64"/>
      <c r="D326" s="64"/>
      <c r="E326" s="64"/>
      <c r="F326" s="64"/>
      <c r="G326" s="64"/>
      <c r="H326" s="64"/>
      <c r="I326" s="64"/>
      <c r="J326" s="64"/>
      <c r="K326" s="64"/>
      <c r="L326" s="64"/>
      <c r="M326" s="64"/>
      <c r="N326" s="406"/>
      <c r="O326" s="64"/>
      <c r="P326" s="410"/>
      <c r="Q326" s="64"/>
      <c r="R326" s="401">
        <f t="shared" si="32"/>
        <v>0</v>
      </c>
      <c r="S326" s="401"/>
      <c r="T326" s="401"/>
      <c r="U326" s="64"/>
      <c r="V326" s="64"/>
      <c r="W326" s="413">
        <f t="shared" si="31"/>
        <v>0</v>
      </c>
      <c r="X326" s="403">
        <v>0</v>
      </c>
      <c r="Y326" s="403">
        <v>0</v>
      </c>
      <c r="Z326" s="403">
        <v>0</v>
      </c>
      <c r="AA326" s="38"/>
      <c r="AB326" s="409"/>
      <c r="AC326" s="38"/>
      <c r="AD326" s="68"/>
      <c r="AE326" s="68"/>
      <c r="AF326" s="68"/>
      <c r="AG326" s="68"/>
      <c r="AH326" s="68"/>
      <c r="AI326" s="38"/>
      <c r="AJ326" s="38"/>
      <c r="AK326" s="38"/>
      <c r="AL326" s="38"/>
      <c r="AM326" s="38"/>
      <c r="AN326" s="38"/>
      <c r="AO326" s="69"/>
      <c r="AP326" s="69"/>
      <c r="AQ326" s="69"/>
      <c r="AR326" s="69"/>
      <c r="AS326" s="68"/>
      <c r="AT326" s="66" t="e">
        <f>VLOOKUP(K326,[4]Planilha1!A$13:P$314,16,0)</f>
        <v>#N/A</v>
      </c>
    </row>
    <row r="327" spans="1:46" s="63" customFormat="1" x14ac:dyDescent="0.25">
      <c r="A327" s="82"/>
      <c r="B327" s="82"/>
      <c r="C327" s="64"/>
      <c r="D327" s="64"/>
      <c r="E327" s="64"/>
      <c r="F327" s="64"/>
      <c r="G327" s="64"/>
      <c r="H327" s="64"/>
      <c r="I327" s="64"/>
      <c r="J327" s="64"/>
      <c r="K327" s="411"/>
      <c r="L327" s="411"/>
      <c r="M327" s="64"/>
      <c r="N327" s="406"/>
      <c r="O327" s="64"/>
      <c r="P327" s="410"/>
      <c r="Q327" s="64"/>
      <c r="R327" s="401">
        <f t="shared" si="32"/>
        <v>0</v>
      </c>
      <c r="S327" s="401"/>
      <c r="T327" s="401"/>
      <c r="U327" s="64"/>
      <c r="V327" s="64"/>
      <c r="W327" s="413">
        <f t="shared" si="31"/>
        <v>0</v>
      </c>
      <c r="X327" s="403">
        <v>0</v>
      </c>
      <c r="Y327" s="403">
        <v>0</v>
      </c>
      <c r="Z327" s="403">
        <v>0</v>
      </c>
      <c r="AA327" s="38"/>
      <c r="AB327" s="409"/>
      <c r="AC327" s="38"/>
      <c r="AD327" s="68"/>
      <c r="AE327" s="68"/>
      <c r="AF327" s="68"/>
      <c r="AG327" s="68"/>
      <c r="AH327" s="68"/>
      <c r="AI327" s="38"/>
      <c r="AJ327" s="38"/>
      <c r="AK327" s="38"/>
      <c r="AL327" s="38"/>
      <c r="AM327" s="38"/>
      <c r="AN327" s="38"/>
      <c r="AO327" s="69"/>
      <c r="AP327" s="69"/>
      <c r="AQ327" s="69"/>
      <c r="AR327" s="69"/>
      <c r="AS327" s="68"/>
      <c r="AT327" s="66" t="e">
        <f>VLOOKUP(K327,[4]Planilha1!A$13:P$314,16,0)</f>
        <v>#N/A</v>
      </c>
    </row>
    <row r="328" spans="1:46" s="63" customFormat="1" x14ac:dyDescent="0.25">
      <c r="A328" s="82"/>
      <c r="B328" s="82"/>
      <c r="C328" s="64"/>
      <c r="D328" s="64"/>
      <c r="E328" s="64"/>
      <c r="F328" s="64"/>
      <c r="G328" s="64"/>
      <c r="H328" s="64"/>
      <c r="I328" s="64"/>
      <c r="J328" s="64"/>
      <c r="K328" s="411"/>
      <c r="L328" s="411"/>
      <c r="M328" s="64"/>
      <c r="N328" s="406"/>
      <c r="O328" s="64"/>
      <c r="P328" s="410"/>
      <c r="Q328" s="64"/>
      <c r="R328" s="401">
        <f t="shared" si="32"/>
        <v>0</v>
      </c>
      <c r="S328" s="401"/>
      <c r="T328" s="401"/>
      <c r="U328" s="64"/>
      <c r="V328" s="64"/>
      <c r="W328" s="413">
        <f t="shared" si="31"/>
        <v>0</v>
      </c>
      <c r="X328" s="403">
        <v>0</v>
      </c>
      <c r="Y328" s="403">
        <v>0</v>
      </c>
      <c r="Z328" s="403">
        <v>0</v>
      </c>
      <c r="AA328" s="38"/>
      <c r="AB328" s="409"/>
      <c r="AC328" s="38"/>
      <c r="AD328" s="68"/>
      <c r="AE328" s="68"/>
      <c r="AF328" s="68"/>
      <c r="AG328" s="68"/>
      <c r="AH328" s="68"/>
      <c r="AI328" s="38"/>
      <c r="AJ328" s="38"/>
      <c r="AK328" s="38"/>
      <c r="AL328" s="38"/>
      <c r="AM328" s="38"/>
      <c r="AN328" s="38"/>
      <c r="AO328" s="69"/>
      <c r="AP328" s="69"/>
      <c r="AQ328" s="69"/>
      <c r="AR328" s="69"/>
      <c r="AS328" s="68"/>
      <c r="AT328" s="66" t="e">
        <f>VLOOKUP(K328,[4]Planilha1!A$13:P$314,16,0)</f>
        <v>#N/A</v>
      </c>
    </row>
    <row r="329" spans="1:46" s="63" customFormat="1" x14ac:dyDescent="0.25">
      <c r="A329" s="82"/>
      <c r="B329" s="82"/>
      <c r="C329" s="64"/>
      <c r="D329" s="64"/>
      <c r="E329" s="64"/>
      <c r="F329" s="64"/>
      <c r="G329" s="64"/>
      <c r="H329" s="64"/>
      <c r="I329" s="64"/>
      <c r="J329" s="64"/>
      <c r="K329" s="64"/>
      <c r="L329" s="64"/>
      <c r="M329" s="64"/>
      <c r="N329" s="406"/>
      <c r="O329" s="64"/>
      <c r="P329" s="410"/>
      <c r="Q329" s="64"/>
      <c r="R329" s="401">
        <f t="shared" si="32"/>
        <v>0</v>
      </c>
      <c r="S329" s="401"/>
      <c r="T329" s="401"/>
      <c r="U329" s="64"/>
      <c r="V329" s="64"/>
      <c r="W329" s="413">
        <f t="shared" si="31"/>
        <v>0</v>
      </c>
      <c r="X329" s="403">
        <v>0</v>
      </c>
      <c r="Y329" s="403">
        <v>0</v>
      </c>
      <c r="Z329" s="403">
        <v>0</v>
      </c>
      <c r="AA329" s="38"/>
      <c r="AB329" s="409"/>
      <c r="AC329" s="38"/>
      <c r="AD329" s="68"/>
      <c r="AE329" s="68"/>
      <c r="AF329" s="68"/>
      <c r="AG329" s="68"/>
      <c r="AH329" s="68"/>
      <c r="AI329" s="38"/>
      <c r="AJ329" s="38"/>
      <c r="AK329" s="38"/>
      <c r="AL329" s="38"/>
      <c r="AM329" s="38"/>
      <c r="AN329" s="38"/>
      <c r="AO329" s="69"/>
      <c r="AP329" s="69"/>
      <c r="AQ329" s="69"/>
      <c r="AR329" s="69"/>
      <c r="AS329" s="68"/>
      <c r="AT329" s="66" t="e">
        <f>VLOOKUP(K329,[4]Planilha1!A$13:P$314,16,0)</f>
        <v>#N/A</v>
      </c>
    </row>
    <row r="330" spans="1:46" s="63" customFormat="1" x14ac:dyDescent="0.25">
      <c r="A330" s="82"/>
      <c r="B330" s="82"/>
      <c r="C330" s="64"/>
      <c r="D330" s="64"/>
      <c r="E330" s="64"/>
      <c r="F330" s="64"/>
      <c r="G330" s="64"/>
      <c r="H330" s="64"/>
      <c r="I330" s="64"/>
      <c r="J330" s="64"/>
      <c r="K330" s="64"/>
      <c r="L330" s="64"/>
      <c r="M330" s="64"/>
      <c r="N330" s="406"/>
      <c r="O330" s="64"/>
      <c r="P330" s="410"/>
      <c r="Q330" s="64"/>
      <c r="R330" s="401">
        <f t="shared" si="32"/>
        <v>0</v>
      </c>
      <c r="S330" s="401"/>
      <c r="T330" s="401"/>
      <c r="U330" s="64"/>
      <c r="V330" s="64"/>
      <c r="W330" s="413">
        <f t="shared" si="31"/>
        <v>0</v>
      </c>
      <c r="X330" s="403">
        <v>0</v>
      </c>
      <c r="Y330" s="403">
        <v>0</v>
      </c>
      <c r="Z330" s="403">
        <v>0</v>
      </c>
      <c r="AA330" s="38"/>
      <c r="AB330" s="409"/>
      <c r="AC330" s="38"/>
      <c r="AD330" s="68"/>
      <c r="AE330" s="68"/>
      <c r="AF330" s="68"/>
      <c r="AG330" s="68"/>
      <c r="AH330" s="68"/>
      <c r="AI330" s="38"/>
      <c r="AJ330" s="38"/>
      <c r="AK330" s="38"/>
      <c r="AL330" s="38"/>
      <c r="AM330" s="38"/>
      <c r="AN330" s="38"/>
      <c r="AO330" s="69"/>
      <c r="AP330" s="69"/>
      <c r="AQ330" s="69"/>
      <c r="AR330" s="69"/>
      <c r="AS330" s="68"/>
      <c r="AT330" s="66" t="e">
        <f>VLOOKUP(K330,[4]Planilha1!A$13:P$314,16,0)</f>
        <v>#N/A</v>
      </c>
    </row>
    <row r="331" spans="1:46" s="63" customFormat="1" x14ac:dyDescent="0.25">
      <c r="A331" s="82"/>
      <c r="B331" s="82"/>
      <c r="C331" s="64"/>
      <c r="D331" s="64"/>
      <c r="E331" s="64"/>
      <c r="F331" s="64"/>
      <c r="G331" s="64"/>
      <c r="H331" s="64"/>
      <c r="I331" s="64"/>
      <c r="J331" s="64"/>
      <c r="K331" s="64"/>
      <c r="L331" s="64"/>
      <c r="M331" s="64"/>
      <c r="N331" s="406"/>
      <c r="O331" s="64"/>
      <c r="P331" s="410"/>
      <c r="Q331" s="64"/>
      <c r="R331" s="401">
        <f t="shared" si="32"/>
        <v>0</v>
      </c>
      <c r="S331" s="401"/>
      <c r="T331" s="401"/>
      <c r="U331" s="64"/>
      <c r="V331" s="64"/>
      <c r="W331" s="413">
        <f t="shared" si="31"/>
        <v>0</v>
      </c>
      <c r="X331" s="403">
        <v>0</v>
      </c>
      <c r="Y331" s="403">
        <v>0</v>
      </c>
      <c r="Z331" s="403">
        <v>0</v>
      </c>
      <c r="AA331" s="38"/>
      <c r="AB331" s="409"/>
      <c r="AC331" s="38"/>
      <c r="AD331" s="68"/>
      <c r="AE331" s="68"/>
      <c r="AF331" s="68"/>
      <c r="AG331" s="68"/>
      <c r="AH331" s="68"/>
      <c r="AI331" s="38"/>
      <c r="AJ331" s="38"/>
      <c r="AK331" s="38"/>
      <c r="AL331" s="38"/>
      <c r="AM331" s="38"/>
      <c r="AN331" s="38"/>
      <c r="AO331" s="69"/>
      <c r="AP331" s="69"/>
      <c r="AQ331" s="69"/>
      <c r="AR331" s="69"/>
      <c r="AS331" s="68"/>
      <c r="AT331" s="66" t="e">
        <f>VLOOKUP(K331,[4]Planilha1!A$13:P$314,16,0)</f>
        <v>#N/A</v>
      </c>
    </row>
    <row r="332" spans="1:46" s="63" customFormat="1" x14ac:dyDescent="0.25">
      <c r="A332" s="82"/>
      <c r="B332" s="82"/>
      <c r="C332" s="64"/>
      <c r="D332" s="64"/>
      <c r="E332" s="64"/>
      <c r="F332" s="64"/>
      <c r="G332" s="64"/>
      <c r="H332" s="64"/>
      <c r="I332" s="64"/>
      <c r="J332" s="64"/>
      <c r="K332" s="64"/>
      <c r="L332" s="64"/>
      <c r="M332" s="64"/>
      <c r="N332" s="406"/>
      <c r="O332" s="64"/>
      <c r="P332" s="410"/>
      <c r="Q332" s="64"/>
      <c r="R332" s="401">
        <f t="shared" si="32"/>
        <v>0</v>
      </c>
      <c r="S332" s="401"/>
      <c r="T332" s="401"/>
      <c r="U332" s="64"/>
      <c r="V332" s="64"/>
      <c r="W332" s="413">
        <f t="shared" ref="W332:W395" si="33">V332*R332</f>
        <v>0</v>
      </c>
      <c r="X332" s="403">
        <v>0</v>
      </c>
      <c r="Y332" s="403">
        <v>0</v>
      </c>
      <c r="Z332" s="403">
        <v>0</v>
      </c>
      <c r="AA332" s="38"/>
      <c r="AB332" s="409"/>
      <c r="AC332" s="38"/>
      <c r="AD332" s="68"/>
      <c r="AE332" s="68"/>
      <c r="AF332" s="68"/>
      <c r="AG332" s="68"/>
      <c r="AH332" s="68"/>
      <c r="AI332" s="38"/>
      <c r="AJ332" s="38"/>
      <c r="AK332" s="38"/>
      <c r="AL332" s="38"/>
      <c r="AM332" s="38"/>
      <c r="AN332" s="38"/>
      <c r="AO332" s="69"/>
      <c r="AP332" s="69"/>
      <c r="AQ332" s="69"/>
      <c r="AR332" s="69"/>
      <c r="AS332" s="68"/>
      <c r="AT332" s="66" t="e">
        <f>VLOOKUP(K332,[4]Planilha1!A$13:P$314,16,0)</f>
        <v>#N/A</v>
      </c>
    </row>
    <row r="333" spans="1:46" s="63" customFormat="1" x14ac:dyDescent="0.25">
      <c r="A333" s="82"/>
      <c r="B333" s="82"/>
      <c r="C333" s="64"/>
      <c r="D333" s="64"/>
      <c r="E333" s="64"/>
      <c r="F333" s="64"/>
      <c r="G333" s="64"/>
      <c r="H333" s="64"/>
      <c r="I333" s="64"/>
      <c r="J333" s="64"/>
      <c r="K333" s="64"/>
      <c r="L333" s="64"/>
      <c r="M333" s="64"/>
      <c r="N333" s="406"/>
      <c r="O333" s="64"/>
      <c r="P333" s="410"/>
      <c r="Q333" s="64"/>
      <c r="R333" s="401">
        <f t="shared" si="32"/>
        <v>0</v>
      </c>
      <c r="S333" s="401"/>
      <c r="T333" s="401"/>
      <c r="U333" s="64"/>
      <c r="V333" s="64"/>
      <c r="W333" s="413">
        <f t="shared" si="33"/>
        <v>0</v>
      </c>
      <c r="X333" s="403">
        <v>0</v>
      </c>
      <c r="Y333" s="403">
        <v>0</v>
      </c>
      <c r="Z333" s="403">
        <v>0</v>
      </c>
      <c r="AA333" s="38"/>
      <c r="AB333" s="409"/>
      <c r="AC333" s="38"/>
      <c r="AD333" s="68"/>
      <c r="AE333" s="68"/>
      <c r="AF333" s="68"/>
      <c r="AG333" s="68"/>
      <c r="AH333" s="68"/>
      <c r="AI333" s="38"/>
      <c r="AJ333" s="38"/>
      <c r="AK333" s="38"/>
      <c r="AL333" s="38"/>
      <c r="AM333" s="38"/>
      <c r="AN333" s="38"/>
      <c r="AO333" s="69"/>
      <c r="AP333" s="69"/>
      <c r="AQ333" s="69"/>
      <c r="AR333" s="69"/>
      <c r="AS333" s="68"/>
      <c r="AT333" s="66" t="e">
        <f>VLOOKUP(K333,[4]Planilha1!A$13:P$314,16,0)</f>
        <v>#N/A</v>
      </c>
    </row>
    <row r="334" spans="1:46" s="63" customFormat="1" x14ac:dyDescent="0.25">
      <c r="A334" s="82"/>
      <c r="B334" s="82"/>
      <c r="C334" s="64"/>
      <c r="D334" s="64"/>
      <c r="E334" s="64"/>
      <c r="F334" s="64"/>
      <c r="G334" s="64"/>
      <c r="H334" s="64"/>
      <c r="I334" s="64"/>
      <c r="J334" s="64"/>
      <c r="K334" s="64"/>
      <c r="L334" s="64"/>
      <c r="M334" s="64"/>
      <c r="N334" s="406"/>
      <c r="O334" s="64"/>
      <c r="P334" s="410"/>
      <c r="Q334" s="64"/>
      <c r="R334" s="401">
        <f t="shared" si="32"/>
        <v>0</v>
      </c>
      <c r="S334" s="401"/>
      <c r="T334" s="401"/>
      <c r="U334" s="64"/>
      <c r="V334" s="64"/>
      <c r="W334" s="413">
        <f t="shared" si="33"/>
        <v>0</v>
      </c>
      <c r="X334" s="403">
        <v>0</v>
      </c>
      <c r="Y334" s="403">
        <v>0</v>
      </c>
      <c r="Z334" s="403">
        <v>0</v>
      </c>
      <c r="AA334" s="38"/>
      <c r="AB334" s="409"/>
      <c r="AC334" s="38"/>
      <c r="AD334" s="68"/>
      <c r="AE334" s="68"/>
      <c r="AF334" s="68"/>
      <c r="AG334" s="68"/>
      <c r="AH334" s="68"/>
      <c r="AI334" s="38"/>
      <c r="AJ334" s="38"/>
      <c r="AK334" s="38"/>
      <c r="AL334" s="38"/>
      <c r="AM334" s="38"/>
      <c r="AN334" s="38"/>
      <c r="AO334" s="69"/>
      <c r="AP334" s="69"/>
      <c r="AQ334" s="69"/>
      <c r="AR334" s="69"/>
      <c r="AS334" s="68"/>
      <c r="AT334" s="66" t="e">
        <f>VLOOKUP(K334,[4]Planilha1!A$13:P$314,16,0)</f>
        <v>#N/A</v>
      </c>
    </row>
    <row r="335" spans="1:46" s="63" customFormat="1" x14ac:dyDescent="0.25">
      <c r="A335" s="82"/>
      <c r="B335" s="82"/>
      <c r="C335" s="64"/>
      <c r="D335" s="64"/>
      <c r="E335" s="64"/>
      <c r="F335" s="64"/>
      <c r="G335" s="64"/>
      <c r="H335" s="64"/>
      <c r="I335" s="64"/>
      <c r="J335" s="64"/>
      <c r="K335" s="64"/>
      <c r="L335" s="64"/>
      <c r="M335" s="64"/>
      <c r="N335" s="406"/>
      <c r="O335" s="64"/>
      <c r="P335" s="410"/>
      <c r="Q335" s="64"/>
      <c r="R335" s="401">
        <f t="shared" si="32"/>
        <v>0</v>
      </c>
      <c r="S335" s="401"/>
      <c r="T335" s="401"/>
      <c r="U335" s="64"/>
      <c r="V335" s="64"/>
      <c r="W335" s="413">
        <f t="shared" si="33"/>
        <v>0</v>
      </c>
      <c r="X335" s="403">
        <v>0</v>
      </c>
      <c r="Y335" s="403">
        <v>0</v>
      </c>
      <c r="Z335" s="403">
        <v>0</v>
      </c>
      <c r="AA335" s="38"/>
      <c r="AB335" s="409"/>
      <c r="AC335" s="38"/>
      <c r="AD335" s="68"/>
      <c r="AE335" s="68"/>
      <c r="AF335" s="68"/>
      <c r="AG335" s="68"/>
      <c r="AH335" s="68"/>
      <c r="AI335" s="38"/>
      <c r="AJ335" s="38"/>
      <c r="AK335" s="38"/>
      <c r="AL335" s="38"/>
      <c r="AM335" s="38"/>
      <c r="AN335" s="38"/>
      <c r="AO335" s="69"/>
      <c r="AP335" s="69"/>
      <c r="AQ335" s="69"/>
      <c r="AR335" s="69"/>
      <c r="AS335" s="68"/>
      <c r="AT335" s="66" t="e">
        <f>VLOOKUP(K335,[4]Planilha1!A$13:P$314,16,0)</f>
        <v>#N/A</v>
      </c>
    </row>
    <row r="336" spans="1:46" s="63" customFormat="1" x14ac:dyDescent="0.25">
      <c r="A336" s="82"/>
      <c r="B336" s="82"/>
      <c r="C336" s="64"/>
      <c r="D336" s="64"/>
      <c r="E336" s="64"/>
      <c r="F336" s="64"/>
      <c r="G336" s="64"/>
      <c r="H336" s="64"/>
      <c r="I336" s="64"/>
      <c r="J336" s="64"/>
      <c r="K336" s="64"/>
      <c r="L336" s="64"/>
      <c r="M336" s="64"/>
      <c r="N336" s="406"/>
      <c r="O336" s="64"/>
      <c r="P336" s="410"/>
      <c r="Q336" s="64"/>
      <c r="R336" s="401">
        <f t="shared" si="32"/>
        <v>0</v>
      </c>
      <c r="S336" s="401"/>
      <c r="T336" s="401"/>
      <c r="U336" s="64"/>
      <c r="V336" s="64"/>
      <c r="W336" s="413">
        <f t="shared" si="33"/>
        <v>0</v>
      </c>
      <c r="X336" s="403">
        <v>0</v>
      </c>
      <c r="Y336" s="403">
        <v>0</v>
      </c>
      <c r="Z336" s="403">
        <v>0</v>
      </c>
      <c r="AA336" s="38"/>
      <c r="AB336" s="409"/>
      <c r="AC336" s="38"/>
      <c r="AD336" s="68"/>
      <c r="AE336" s="68"/>
      <c r="AF336" s="68"/>
      <c r="AG336" s="68"/>
      <c r="AH336" s="68"/>
      <c r="AI336" s="38"/>
      <c r="AJ336" s="38"/>
      <c r="AK336" s="38"/>
      <c r="AL336" s="38"/>
      <c r="AM336" s="38"/>
      <c r="AN336" s="38"/>
      <c r="AO336" s="69"/>
      <c r="AP336" s="69"/>
      <c r="AQ336" s="69"/>
      <c r="AR336" s="69"/>
      <c r="AS336" s="68"/>
      <c r="AT336" s="66" t="e">
        <f>VLOOKUP(K336,[4]Planilha1!A$13:P$314,16,0)</f>
        <v>#N/A</v>
      </c>
    </row>
    <row r="337" spans="1:46" s="63" customFormat="1" x14ac:dyDescent="0.25">
      <c r="A337" s="82"/>
      <c r="B337" s="82"/>
      <c r="C337" s="64"/>
      <c r="D337" s="64"/>
      <c r="E337" s="64"/>
      <c r="F337" s="64"/>
      <c r="G337" s="64"/>
      <c r="H337" s="64"/>
      <c r="I337" s="64"/>
      <c r="J337" s="64"/>
      <c r="K337" s="64"/>
      <c r="L337" s="64"/>
      <c r="M337" s="64"/>
      <c r="N337" s="406"/>
      <c r="O337" s="64"/>
      <c r="P337" s="410"/>
      <c r="Q337" s="64"/>
      <c r="R337" s="401">
        <f t="shared" si="32"/>
        <v>0</v>
      </c>
      <c r="S337" s="401"/>
      <c r="T337" s="401"/>
      <c r="U337" s="64"/>
      <c r="V337" s="64"/>
      <c r="W337" s="413">
        <f t="shared" si="33"/>
        <v>0</v>
      </c>
      <c r="X337" s="403">
        <v>0</v>
      </c>
      <c r="Y337" s="403">
        <v>0</v>
      </c>
      <c r="Z337" s="403">
        <v>0</v>
      </c>
      <c r="AA337" s="38"/>
      <c r="AB337" s="409"/>
      <c r="AC337" s="38"/>
      <c r="AD337" s="68"/>
      <c r="AE337" s="68"/>
      <c r="AF337" s="68"/>
      <c r="AG337" s="68"/>
      <c r="AH337" s="68"/>
      <c r="AI337" s="38"/>
      <c r="AJ337" s="38"/>
      <c r="AK337" s="38"/>
      <c r="AL337" s="38"/>
      <c r="AM337" s="38"/>
      <c r="AN337" s="38"/>
      <c r="AO337" s="69"/>
      <c r="AP337" s="69"/>
      <c r="AQ337" s="69"/>
      <c r="AR337" s="69"/>
      <c r="AS337" s="68"/>
      <c r="AT337" s="66" t="e">
        <f>VLOOKUP(K337,[4]Planilha1!A$13:P$314,16,0)</f>
        <v>#N/A</v>
      </c>
    </row>
    <row r="338" spans="1:46" s="63" customFormat="1" x14ac:dyDescent="0.25">
      <c r="A338" s="82"/>
      <c r="B338" s="82"/>
      <c r="C338" s="64"/>
      <c r="D338" s="64"/>
      <c r="E338" s="64"/>
      <c r="F338" s="64"/>
      <c r="G338" s="64"/>
      <c r="H338" s="64"/>
      <c r="I338" s="64"/>
      <c r="J338" s="64"/>
      <c r="K338" s="64"/>
      <c r="L338" s="64"/>
      <c r="M338" s="64"/>
      <c r="N338" s="406"/>
      <c r="O338" s="64"/>
      <c r="P338" s="410"/>
      <c r="Q338" s="64"/>
      <c r="R338" s="401">
        <f t="shared" si="32"/>
        <v>0</v>
      </c>
      <c r="S338" s="401"/>
      <c r="T338" s="401"/>
      <c r="U338" s="64"/>
      <c r="V338" s="64"/>
      <c r="W338" s="413">
        <f t="shared" si="33"/>
        <v>0</v>
      </c>
      <c r="X338" s="403">
        <v>0</v>
      </c>
      <c r="Y338" s="403">
        <v>0</v>
      </c>
      <c r="Z338" s="403">
        <v>0</v>
      </c>
      <c r="AA338" s="38"/>
      <c r="AB338" s="409"/>
      <c r="AC338" s="38"/>
      <c r="AD338" s="68"/>
      <c r="AE338" s="68"/>
      <c r="AF338" s="68"/>
      <c r="AG338" s="68"/>
      <c r="AH338" s="68"/>
      <c r="AI338" s="38"/>
      <c r="AJ338" s="38"/>
      <c r="AK338" s="38"/>
      <c r="AL338" s="38"/>
      <c r="AM338" s="38"/>
      <c r="AN338" s="38"/>
      <c r="AO338" s="69"/>
      <c r="AP338" s="69"/>
      <c r="AQ338" s="69"/>
      <c r="AR338" s="69"/>
      <c r="AS338" s="68"/>
      <c r="AT338" s="66" t="e">
        <f>VLOOKUP(K338,[4]Planilha1!A$13:P$314,16,0)</f>
        <v>#N/A</v>
      </c>
    </row>
    <row r="339" spans="1:46" s="63" customFormat="1" x14ac:dyDescent="0.25">
      <c r="A339" s="82"/>
      <c r="B339" s="82"/>
      <c r="C339" s="64"/>
      <c r="D339" s="64"/>
      <c r="E339" s="64"/>
      <c r="F339" s="64"/>
      <c r="G339" s="64"/>
      <c r="H339" s="64"/>
      <c r="I339" s="64"/>
      <c r="J339" s="64"/>
      <c r="K339" s="64"/>
      <c r="L339" s="64"/>
      <c r="M339" s="64"/>
      <c r="N339" s="406"/>
      <c r="O339" s="64"/>
      <c r="P339" s="410"/>
      <c r="Q339" s="64"/>
      <c r="R339" s="401">
        <f t="shared" si="32"/>
        <v>0</v>
      </c>
      <c r="S339" s="401"/>
      <c r="T339" s="401"/>
      <c r="U339" s="64"/>
      <c r="V339" s="64"/>
      <c r="W339" s="413">
        <f t="shared" si="33"/>
        <v>0</v>
      </c>
      <c r="X339" s="403">
        <v>0</v>
      </c>
      <c r="Y339" s="403">
        <v>0</v>
      </c>
      <c r="Z339" s="403">
        <v>0</v>
      </c>
      <c r="AA339" s="38"/>
      <c r="AB339" s="409"/>
      <c r="AC339" s="38"/>
      <c r="AD339" s="68"/>
      <c r="AE339" s="68"/>
      <c r="AF339" s="68"/>
      <c r="AG339" s="68"/>
      <c r="AH339" s="68"/>
      <c r="AI339" s="38"/>
      <c r="AJ339" s="38"/>
      <c r="AK339" s="38"/>
      <c r="AL339" s="38"/>
      <c r="AM339" s="38"/>
      <c r="AN339" s="38"/>
      <c r="AO339" s="69"/>
      <c r="AP339" s="69"/>
      <c r="AQ339" s="69"/>
      <c r="AR339" s="69"/>
      <c r="AS339" s="68"/>
      <c r="AT339" s="66" t="e">
        <f>VLOOKUP(K339,[4]Planilha1!A$13:P$314,16,0)</f>
        <v>#N/A</v>
      </c>
    </row>
    <row r="340" spans="1:46" s="63" customFormat="1" x14ac:dyDescent="0.25">
      <c r="A340" s="82"/>
      <c r="B340" s="82"/>
      <c r="C340" s="64"/>
      <c r="D340" s="64"/>
      <c r="E340" s="64"/>
      <c r="F340" s="64"/>
      <c r="G340" s="64"/>
      <c r="H340" s="64"/>
      <c r="I340" s="64"/>
      <c r="J340" s="64"/>
      <c r="K340" s="64"/>
      <c r="L340" s="64"/>
      <c r="M340" s="64"/>
      <c r="N340" s="406"/>
      <c r="O340" s="64"/>
      <c r="P340" s="410"/>
      <c r="Q340" s="64"/>
      <c r="R340" s="401">
        <f t="shared" si="32"/>
        <v>0</v>
      </c>
      <c r="S340" s="401"/>
      <c r="T340" s="401"/>
      <c r="U340" s="64"/>
      <c r="V340" s="64"/>
      <c r="W340" s="413">
        <f t="shared" si="33"/>
        <v>0</v>
      </c>
      <c r="X340" s="403">
        <v>0</v>
      </c>
      <c r="Y340" s="403">
        <v>0</v>
      </c>
      <c r="Z340" s="403">
        <v>0</v>
      </c>
      <c r="AA340" s="38"/>
      <c r="AB340" s="409"/>
      <c r="AC340" s="38"/>
      <c r="AD340" s="68"/>
      <c r="AE340" s="68"/>
      <c r="AF340" s="68"/>
      <c r="AG340" s="68"/>
      <c r="AH340" s="68"/>
      <c r="AI340" s="38"/>
      <c r="AJ340" s="38"/>
      <c r="AK340" s="38"/>
      <c r="AL340" s="38"/>
      <c r="AM340" s="38"/>
      <c r="AN340" s="38"/>
      <c r="AO340" s="69"/>
      <c r="AP340" s="69"/>
      <c r="AQ340" s="69"/>
      <c r="AR340" s="69"/>
      <c r="AS340" s="68"/>
      <c r="AT340" s="66" t="e">
        <f>VLOOKUP(K340,[4]Planilha1!A$13:P$314,16,0)</f>
        <v>#N/A</v>
      </c>
    </row>
    <row r="341" spans="1:46" s="63" customFormat="1" x14ac:dyDescent="0.25">
      <c r="A341" s="82"/>
      <c r="B341" s="82"/>
      <c r="C341" s="64"/>
      <c r="D341" s="1"/>
      <c r="E341" s="1"/>
      <c r="F341" s="1"/>
      <c r="G341" s="1"/>
      <c r="H341" s="1"/>
      <c r="I341" s="64"/>
      <c r="J341" s="64"/>
      <c r="K341" s="1"/>
      <c r="L341" s="1"/>
      <c r="M341" s="1"/>
      <c r="N341" s="406"/>
      <c r="O341" s="64"/>
      <c r="P341" s="43"/>
      <c r="Q341" s="64"/>
      <c r="R341" s="401">
        <f t="shared" si="32"/>
        <v>0</v>
      </c>
      <c r="S341" s="415"/>
      <c r="T341" s="415"/>
      <c r="U341" s="1"/>
      <c r="V341" s="1"/>
      <c r="W341" s="413">
        <f t="shared" si="33"/>
        <v>0</v>
      </c>
      <c r="X341" s="403">
        <v>0</v>
      </c>
      <c r="Y341" s="403">
        <v>0</v>
      </c>
      <c r="Z341" s="403">
        <v>0</v>
      </c>
      <c r="AA341" s="38"/>
      <c r="AB341" s="38"/>
      <c r="AC341" s="38"/>
      <c r="AD341" s="415"/>
      <c r="AE341" s="415"/>
      <c r="AF341" s="415"/>
      <c r="AG341" s="415"/>
      <c r="AH341" s="415"/>
      <c r="AI341" s="38"/>
      <c r="AJ341" s="38"/>
      <c r="AK341" s="38"/>
      <c r="AL341" s="38"/>
      <c r="AM341" s="38"/>
      <c r="AN341" s="38"/>
      <c r="AO341" s="415"/>
      <c r="AP341" s="415"/>
      <c r="AQ341" s="415"/>
      <c r="AR341" s="415"/>
      <c r="AS341" s="415"/>
      <c r="AT341" s="1"/>
    </row>
    <row r="342" spans="1:46" s="63" customFormat="1" x14ac:dyDescent="0.25">
      <c r="A342" s="82"/>
      <c r="B342" s="82"/>
      <c r="C342" s="64"/>
      <c r="D342" s="64"/>
      <c r="E342" s="64"/>
      <c r="F342" s="64"/>
      <c r="G342" s="64"/>
      <c r="H342" s="64"/>
      <c r="I342" s="64"/>
      <c r="J342" s="64"/>
      <c r="K342" s="64"/>
      <c r="L342" s="64"/>
      <c r="M342" s="64"/>
      <c r="N342" s="406"/>
      <c r="O342" s="64"/>
      <c r="P342" s="410"/>
      <c r="Q342" s="64"/>
      <c r="R342" s="401">
        <f t="shared" si="32"/>
        <v>0</v>
      </c>
      <c r="S342" s="401"/>
      <c r="T342" s="401"/>
      <c r="U342" s="64"/>
      <c r="V342" s="64"/>
      <c r="W342" s="413">
        <f t="shared" si="33"/>
        <v>0</v>
      </c>
      <c r="X342" s="403">
        <v>0</v>
      </c>
      <c r="Y342" s="403">
        <v>0</v>
      </c>
      <c r="Z342" s="403">
        <v>0</v>
      </c>
      <c r="AA342" s="38"/>
      <c r="AB342" s="409"/>
      <c r="AC342" s="38"/>
      <c r="AD342" s="68"/>
      <c r="AE342" s="68"/>
      <c r="AF342" s="68"/>
      <c r="AG342" s="68"/>
      <c r="AH342" s="68"/>
      <c r="AI342" s="38"/>
      <c r="AJ342" s="38"/>
      <c r="AK342" s="38"/>
      <c r="AL342" s="38"/>
      <c r="AM342" s="38"/>
      <c r="AN342" s="38"/>
      <c r="AO342" s="69"/>
      <c r="AP342" s="69"/>
      <c r="AQ342" s="69"/>
      <c r="AR342" s="69"/>
      <c r="AS342" s="68"/>
      <c r="AT342" s="66" t="e">
        <f>VLOOKUP(K342,[4]Planilha1!A$13:P$314,16,0)</f>
        <v>#N/A</v>
      </c>
    </row>
    <row r="343" spans="1:46" s="63" customFormat="1" x14ac:dyDescent="0.25">
      <c r="A343" s="82"/>
      <c r="B343" s="82"/>
      <c r="C343" s="64"/>
      <c r="D343" s="64"/>
      <c r="E343" s="64"/>
      <c r="F343" s="64"/>
      <c r="G343" s="64"/>
      <c r="H343" s="64"/>
      <c r="I343" s="64"/>
      <c r="J343" s="64"/>
      <c r="K343" s="64"/>
      <c r="L343" s="64"/>
      <c r="M343" s="64"/>
      <c r="N343" s="406"/>
      <c r="O343" s="64"/>
      <c r="P343" s="410"/>
      <c r="Q343" s="64"/>
      <c r="R343" s="401">
        <f t="shared" si="32"/>
        <v>0</v>
      </c>
      <c r="S343" s="401"/>
      <c r="T343" s="401"/>
      <c r="U343" s="64"/>
      <c r="V343" s="64"/>
      <c r="W343" s="413">
        <f t="shared" si="33"/>
        <v>0</v>
      </c>
      <c r="X343" s="403">
        <v>0</v>
      </c>
      <c r="Y343" s="403">
        <v>0</v>
      </c>
      <c r="Z343" s="403">
        <v>0</v>
      </c>
      <c r="AA343" s="38"/>
      <c r="AB343" s="409"/>
      <c r="AC343" s="38"/>
      <c r="AD343" s="68"/>
      <c r="AE343" s="68"/>
      <c r="AF343" s="68"/>
      <c r="AG343" s="68"/>
      <c r="AH343" s="68"/>
      <c r="AI343" s="38"/>
      <c r="AJ343" s="38"/>
      <c r="AK343" s="38"/>
      <c r="AL343" s="38"/>
      <c r="AM343" s="38"/>
      <c r="AN343" s="38"/>
      <c r="AO343" s="69"/>
      <c r="AP343" s="69"/>
      <c r="AQ343" s="69"/>
      <c r="AR343" s="69"/>
      <c r="AS343" s="68"/>
      <c r="AT343" s="66" t="e">
        <f>VLOOKUP(K343,[4]Planilha1!A$13:P$314,16,0)</f>
        <v>#N/A</v>
      </c>
    </row>
    <row r="344" spans="1:46" s="63" customFormat="1" x14ac:dyDescent="0.25">
      <c r="A344" s="82"/>
      <c r="B344" s="82"/>
      <c r="C344" s="64"/>
      <c r="D344" s="64"/>
      <c r="E344" s="64"/>
      <c r="F344" s="64"/>
      <c r="G344" s="64"/>
      <c r="H344" s="64"/>
      <c r="I344" s="64"/>
      <c r="J344" s="64"/>
      <c r="K344" s="64"/>
      <c r="L344" s="64"/>
      <c r="M344" s="64"/>
      <c r="N344" s="406"/>
      <c r="O344" s="64"/>
      <c r="P344" s="410"/>
      <c r="Q344" s="64"/>
      <c r="R344" s="401">
        <f t="shared" si="32"/>
        <v>0</v>
      </c>
      <c r="S344" s="401"/>
      <c r="T344" s="401"/>
      <c r="U344" s="64"/>
      <c r="V344" s="64"/>
      <c r="W344" s="413">
        <f t="shared" si="33"/>
        <v>0</v>
      </c>
      <c r="X344" s="403">
        <v>0</v>
      </c>
      <c r="Y344" s="403">
        <v>0</v>
      </c>
      <c r="Z344" s="403">
        <v>0</v>
      </c>
      <c r="AA344" s="38"/>
      <c r="AB344" s="409"/>
      <c r="AC344" s="38"/>
      <c r="AD344" s="68"/>
      <c r="AE344" s="68"/>
      <c r="AF344" s="68"/>
      <c r="AG344" s="68"/>
      <c r="AH344" s="68"/>
      <c r="AI344" s="38"/>
      <c r="AJ344" s="38"/>
      <c r="AK344" s="38"/>
      <c r="AL344" s="38"/>
      <c r="AM344" s="38"/>
      <c r="AN344" s="38"/>
      <c r="AO344" s="69"/>
      <c r="AP344" s="69"/>
      <c r="AQ344" s="69"/>
      <c r="AR344" s="69"/>
      <c r="AS344" s="68"/>
      <c r="AT344" s="66" t="e">
        <f>VLOOKUP(K344,[4]Planilha1!A$13:P$314,16,0)</f>
        <v>#N/A</v>
      </c>
    </row>
    <row r="345" spans="1:46" s="63" customFormat="1" x14ac:dyDescent="0.25">
      <c r="A345" s="82"/>
      <c r="B345" s="82"/>
      <c r="C345" s="64"/>
      <c r="D345" s="64"/>
      <c r="E345" s="64"/>
      <c r="F345" s="64"/>
      <c r="G345" s="64"/>
      <c r="H345" s="64"/>
      <c r="I345" s="64"/>
      <c r="J345" s="64"/>
      <c r="K345" s="64"/>
      <c r="L345" s="64"/>
      <c r="M345" s="64"/>
      <c r="N345" s="406"/>
      <c r="O345" s="64"/>
      <c r="P345" s="410"/>
      <c r="Q345" s="64"/>
      <c r="R345" s="401">
        <f t="shared" ref="R345:R408" si="34">P345*N345</f>
        <v>0</v>
      </c>
      <c r="S345" s="401"/>
      <c r="T345" s="401"/>
      <c r="U345" s="64"/>
      <c r="V345" s="64"/>
      <c r="W345" s="413">
        <f t="shared" si="33"/>
        <v>0</v>
      </c>
      <c r="X345" s="403">
        <v>0</v>
      </c>
      <c r="Y345" s="403">
        <v>0</v>
      </c>
      <c r="Z345" s="403">
        <v>0</v>
      </c>
      <c r="AA345" s="38"/>
      <c r="AB345" s="409"/>
      <c r="AC345" s="38"/>
      <c r="AD345" s="68"/>
      <c r="AE345" s="68"/>
      <c r="AF345" s="68"/>
      <c r="AG345" s="68"/>
      <c r="AH345" s="68"/>
      <c r="AI345" s="38"/>
      <c r="AJ345" s="38"/>
      <c r="AK345" s="38"/>
      <c r="AL345" s="38"/>
      <c r="AM345" s="38"/>
      <c r="AN345" s="38"/>
      <c r="AO345" s="69"/>
      <c r="AP345" s="69"/>
      <c r="AQ345" s="69"/>
      <c r="AR345" s="69"/>
      <c r="AS345" s="68"/>
      <c r="AT345" s="66" t="e">
        <f>VLOOKUP(K345,[4]Planilha1!A$13:P$314,16,0)</f>
        <v>#N/A</v>
      </c>
    </row>
    <row r="346" spans="1:46" s="63" customFormat="1" x14ac:dyDescent="0.25">
      <c r="A346" s="82"/>
      <c r="B346" s="82"/>
      <c r="C346" s="64"/>
      <c r="D346" s="64"/>
      <c r="E346" s="64"/>
      <c r="F346" s="64"/>
      <c r="G346" s="64"/>
      <c r="H346" s="64"/>
      <c r="I346" s="64"/>
      <c r="J346" s="64"/>
      <c r="K346" s="64"/>
      <c r="L346" s="64"/>
      <c r="M346" s="64"/>
      <c r="N346" s="406"/>
      <c r="O346" s="64"/>
      <c r="P346" s="410"/>
      <c r="Q346" s="64"/>
      <c r="R346" s="401">
        <f t="shared" si="34"/>
        <v>0</v>
      </c>
      <c r="S346" s="401"/>
      <c r="T346" s="401"/>
      <c r="U346" s="64"/>
      <c r="V346" s="64"/>
      <c r="W346" s="413">
        <f t="shared" si="33"/>
        <v>0</v>
      </c>
      <c r="X346" s="403">
        <v>0</v>
      </c>
      <c r="Y346" s="403">
        <v>0</v>
      </c>
      <c r="Z346" s="403">
        <v>0</v>
      </c>
      <c r="AA346" s="38"/>
      <c r="AB346" s="409"/>
      <c r="AC346" s="38"/>
      <c r="AD346" s="68"/>
      <c r="AE346" s="68"/>
      <c r="AF346" s="68"/>
      <c r="AG346" s="68"/>
      <c r="AH346" s="68"/>
      <c r="AI346" s="38"/>
      <c r="AJ346" s="38"/>
      <c r="AK346" s="38"/>
      <c r="AL346" s="38"/>
      <c r="AM346" s="38"/>
      <c r="AN346" s="38"/>
      <c r="AO346" s="69"/>
      <c r="AP346" s="69"/>
      <c r="AQ346" s="69"/>
      <c r="AR346" s="69"/>
      <c r="AS346" s="68"/>
      <c r="AT346" s="66" t="e">
        <f>VLOOKUP(K346,[4]Planilha1!A$13:P$314,16,0)</f>
        <v>#N/A</v>
      </c>
    </row>
    <row r="347" spans="1:46" s="63" customFormat="1" x14ac:dyDescent="0.25">
      <c r="A347" s="82"/>
      <c r="B347" s="82"/>
      <c r="C347" s="64"/>
      <c r="D347" s="64"/>
      <c r="E347" s="64"/>
      <c r="F347" s="64"/>
      <c r="G347" s="64"/>
      <c r="H347" s="64"/>
      <c r="I347" s="64"/>
      <c r="J347" s="64"/>
      <c r="K347" s="64"/>
      <c r="L347" s="64"/>
      <c r="M347" s="64"/>
      <c r="N347" s="406"/>
      <c r="O347" s="64"/>
      <c r="P347" s="410"/>
      <c r="Q347" s="64"/>
      <c r="R347" s="401">
        <f t="shared" si="34"/>
        <v>0</v>
      </c>
      <c r="S347" s="401"/>
      <c r="T347" s="401"/>
      <c r="U347" s="64"/>
      <c r="V347" s="64"/>
      <c r="W347" s="413">
        <f t="shared" si="33"/>
        <v>0</v>
      </c>
      <c r="X347" s="403">
        <v>0</v>
      </c>
      <c r="Y347" s="403">
        <v>0</v>
      </c>
      <c r="Z347" s="403">
        <v>0</v>
      </c>
      <c r="AA347" s="38"/>
      <c r="AB347" s="409"/>
      <c r="AC347" s="38"/>
      <c r="AD347" s="68"/>
      <c r="AE347" s="68"/>
      <c r="AF347" s="68"/>
      <c r="AG347" s="68"/>
      <c r="AH347" s="68"/>
      <c r="AI347" s="38"/>
      <c r="AJ347" s="38"/>
      <c r="AK347" s="38"/>
      <c r="AL347" s="38"/>
      <c r="AM347" s="38"/>
      <c r="AN347" s="38"/>
      <c r="AO347" s="69"/>
      <c r="AP347" s="69"/>
      <c r="AQ347" s="69"/>
      <c r="AR347" s="69"/>
      <c r="AS347" s="68"/>
      <c r="AT347" s="66" t="e">
        <f>VLOOKUP(K347,[4]Planilha1!A$13:P$314,16,0)</f>
        <v>#N/A</v>
      </c>
    </row>
    <row r="348" spans="1:46" s="63" customFormat="1" x14ac:dyDescent="0.25">
      <c r="A348" s="82"/>
      <c r="B348" s="82"/>
      <c r="C348" s="64"/>
      <c r="D348" s="64"/>
      <c r="E348" s="64"/>
      <c r="F348" s="64"/>
      <c r="G348" s="64"/>
      <c r="H348" s="64"/>
      <c r="I348" s="64"/>
      <c r="J348" s="64"/>
      <c r="K348" s="64"/>
      <c r="L348" s="64"/>
      <c r="M348" s="64"/>
      <c r="N348" s="406"/>
      <c r="O348" s="64"/>
      <c r="P348" s="410"/>
      <c r="Q348" s="64"/>
      <c r="R348" s="401">
        <f t="shared" si="34"/>
        <v>0</v>
      </c>
      <c r="S348" s="401"/>
      <c r="T348" s="401"/>
      <c r="U348" s="64"/>
      <c r="V348" s="64"/>
      <c r="W348" s="413">
        <f t="shared" si="33"/>
        <v>0</v>
      </c>
      <c r="X348" s="403">
        <v>0</v>
      </c>
      <c r="Y348" s="403">
        <v>0</v>
      </c>
      <c r="Z348" s="403">
        <v>0</v>
      </c>
      <c r="AA348" s="38"/>
      <c r="AB348" s="409"/>
      <c r="AC348" s="38"/>
      <c r="AD348" s="68"/>
      <c r="AE348" s="68"/>
      <c r="AF348" s="68"/>
      <c r="AG348" s="68"/>
      <c r="AH348" s="68"/>
      <c r="AI348" s="38"/>
      <c r="AJ348" s="38"/>
      <c r="AK348" s="38"/>
      <c r="AL348" s="38"/>
      <c r="AM348" s="38"/>
      <c r="AN348" s="38"/>
      <c r="AO348" s="69"/>
      <c r="AP348" s="69"/>
      <c r="AQ348" s="69"/>
      <c r="AR348" s="69"/>
      <c r="AS348" s="68"/>
      <c r="AT348" s="66" t="e">
        <f>VLOOKUP(K348,[4]Planilha1!A$13:P$314,16,0)</f>
        <v>#N/A</v>
      </c>
    </row>
    <row r="349" spans="1:46" s="63" customFormat="1" x14ac:dyDescent="0.25">
      <c r="A349" s="82"/>
      <c r="B349" s="82"/>
      <c r="C349" s="64"/>
      <c r="D349" s="64"/>
      <c r="E349" s="64"/>
      <c r="F349" s="64"/>
      <c r="G349" s="64"/>
      <c r="H349" s="64"/>
      <c r="I349" s="64"/>
      <c r="J349" s="64"/>
      <c r="K349" s="64"/>
      <c r="L349" s="64"/>
      <c r="M349" s="64"/>
      <c r="N349" s="406"/>
      <c r="O349" s="64"/>
      <c r="P349" s="410"/>
      <c r="Q349" s="64"/>
      <c r="R349" s="401">
        <f t="shared" si="34"/>
        <v>0</v>
      </c>
      <c r="S349" s="401"/>
      <c r="T349" s="401"/>
      <c r="U349" s="64"/>
      <c r="V349" s="64"/>
      <c r="W349" s="413">
        <f t="shared" si="33"/>
        <v>0</v>
      </c>
      <c r="X349" s="403">
        <v>0</v>
      </c>
      <c r="Y349" s="403">
        <v>0</v>
      </c>
      <c r="Z349" s="403">
        <v>0</v>
      </c>
      <c r="AA349" s="38"/>
      <c r="AB349" s="409"/>
      <c r="AC349" s="38"/>
      <c r="AD349" s="68"/>
      <c r="AE349" s="68"/>
      <c r="AF349" s="68"/>
      <c r="AG349" s="68"/>
      <c r="AH349" s="68"/>
      <c r="AI349" s="38"/>
      <c r="AJ349" s="38"/>
      <c r="AK349" s="38"/>
      <c r="AL349" s="38"/>
      <c r="AM349" s="38"/>
      <c r="AN349" s="38"/>
      <c r="AO349" s="69"/>
      <c r="AP349" s="69"/>
      <c r="AQ349" s="69"/>
      <c r="AR349" s="69"/>
      <c r="AS349" s="68"/>
      <c r="AT349" s="66" t="e">
        <f>VLOOKUP(K349,[4]Planilha1!A$13:P$314,16,0)</f>
        <v>#N/A</v>
      </c>
    </row>
    <row r="350" spans="1:46" s="63" customFormat="1" x14ac:dyDescent="0.25">
      <c r="A350" s="82"/>
      <c r="B350" s="82"/>
      <c r="C350" s="64"/>
      <c r="D350" s="64"/>
      <c r="E350" s="64"/>
      <c r="F350" s="64"/>
      <c r="G350" s="64"/>
      <c r="H350" s="64"/>
      <c r="I350" s="64"/>
      <c r="J350" s="64"/>
      <c r="K350" s="64"/>
      <c r="L350" s="64"/>
      <c r="M350" s="64"/>
      <c r="N350" s="406"/>
      <c r="O350" s="64"/>
      <c r="P350" s="410"/>
      <c r="Q350" s="64"/>
      <c r="R350" s="401">
        <f t="shared" si="34"/>
        <v>0</v>
      </c>
      <c r="S350" s="401"/>
      <c r="T350" s="401"/>
      <c r="U350" s="64"/>
      <c r="V350" s="64"/>
      <c r="W350" s="413">
        <f t="shared" si="33"/>
        <v>0</v>
      </c>
      <c r="X350" s="403">
        <v>0</v>
      </c>
      <c r="Y350" s="403">
        <v>0</v>
      </c>
      <c r="Z350" s="403">
        <v>0</v>
      </c>
      <c r="AA350" s="38"/>
      <c r="AB350" s="409"/>
      <c r="AC350" s="38"/>
      <c r="AD350" s="68"/>
      <c r="AE350" s="68"/>
      <c r="AF350" s="68"/>
      <c r="AG350" s="68"/>
      <c r="AH350" s="68"/>
      <c r="AI350" s="38"/>
      <c r="AJ350" s="38"/>
      <c r="AK350" s="38"/>
      <c r="AL350" s="38"/>
      <c r="AM350" s="38"/>
      <c r="AN350" s="38"/>
      <c r="AO350" s="69"/>
      <c r="AP350" s="69"/>
      <c r="AQ350" s="69"/>
      <c r="AR350" s="69"/>
      <c r="AS350" s="68"/>
      <c r="AT350" s="66" t="e">
        <f>VLOOKUP(K350,[4]Planilha1!A$13:P$314,16,0)</f>
        <v>#N/A</v>
      </c>
    </row>
    <row r="351" spans="1:46" s="63" customFormat="1" x14ac:dyDescent="0.25">
      <c r="A351" s="82"/>
      <c r="B351" s="82"/>
      <c r="C351" s="64"/>
      <c r="D351" s="64"/>
      <c r="E351" s="64"/>
      <c r="F351" s="64"/>
      <c r="G351" s="64"/>
      <c r="H351" s="64"/>
      <c r="I351" s="64"/>
      <c r="J351" s="64"/>
      <c r="K351" s="64"/>
      <c r="L351" s="64"/>
      <c r="M351" s="64"/>
      <c r="N351" s="406"/>
      <c r="O351" s="64"/>
      <c r="P351" s="410"/>
      <c r="Q351" s="64"/>
      <c r="R351" s="401">
        <f t="shared" si="34"/>
        <v>0</v>
      </c>
      <c r="S351" s="401"/>
      <c r="T351" s="401"/>
      <c r="U351" s="64"/>
      <c r="V351" s="64"/>
      <c r="W351" s="413">
        <f t="shared" si="33"/>
        <v>0</v>
      </c>
      <c r="X351" s="403">
        <v>0</v>
      </c>
      <c r="Y351" s="403">
        <v>0</v>
      </c>
      <c r="Z351" s="403">
        <v>0</v>
      </c>
      <c r="AA351" s="38"/>
      <c r="AB351" s="409"/>
      <c r="AC351" s="38"/>
      <c r="AD351" s="68"/>
      <c r="AE351" s="68"/>
      <c r="AF351" s="68"/>
      <c r="AG351" s="68"/>
      <c r="AH351" s="68"/>
      <c r="AI351" s="38"/>
      <c r="AJ351" s="38"/>
      <c r="AK351" s="38"/>
      <c r="AL351" s="38"/>
      <c r="AM351" s="38"/>
      <c r="AN351" s="38"/>
      <c r="AO351" s="69"/>
      <c r="AP351" s="69"/>
      <c r="AQ351" s="69"/>
      <c r="AR351" s="69"/>
      <c r="AS351" s="68"/>
      <c r="AT351" s="66" t="e">
        <f>VLOOKUP(K351,[4]Planilha1!A$13:P$314,16,0)</f>
        <v>#N/A</v>
      </c>
    </row>
    <row r="352" spans="1:46" s="63" customFormat="1" x14ac:dyDescent="0.25">
      <c r="A352" s="82"/>
      <c r="B352" s="82"/>
      <c r="C352" s="64"/>
      <c r="D352" s="64"/>
      <c r="E352" s="64"/>
      <c r="F352" s="64"/>
      <c r="G352" s="64"/>
      <c r="H352" s="64"/>
      <c r="I352" s="64"/>
      <c r="J352" s="64"/>
      <c r="K352" s="64"/>
      <c r="L352" s="64"/>
      <c r="M352" s="64"/>
      <c r="N352" s="406"/>
      <c r="O352" s="64"/>
      <c r="P352" s="410"/>
      <c r="Q352" s="64"/>
      <c r="R352" s="401">
        <f t="shared" si="34"/>
        <v>0</v>
      </c>
      <c r="S352" s="401"/>
      <c r="T352" s="401"/>
      <c r="U352" s="64" t="s">
        <v>8535</v>
      </c>
      <c r="V352" s="64"/>
      <c r="W352" s="413">
        <f t="shared" si="33"/>
        <v>0</v>
      </c>
      <c r="X352" s="403">
        <v>0</v>
      </c>
      <c r="Y352" s="403">
        <v>0</v>
      </c>
      <c r="Z352" s="403">
        <v>0</v>
      </c>
      <c r="AA352" s="38"/>
      <c r="AB352" s="409"/>
      <c r="AC352" s="38"/>
      <c r="AD352" s="68"/>
      <c r="AE352" s="68"/>
      <c r="AF352" s="68"/>
      <c r="AG352" s="68"/>
      <c r="AH352" s="68"/>
      <c r="AI352" s="38"/>
      <c r="AJ352" s="38"/>
      <c r="AK352" s="38"/>
      <c r="AL352" s="38"/>
      <c r="AM352" s="38"/>
      <c r="AN352" s="38"/>
      <c r="AO352" s="69"/>
      <c r="AP352" s="69"/>
      <c r="AQ352" s="69"/>
      <c r="AR352" s="69"/>
      <c r="AS352" s="68"/>
      <c r="AT352" s="66" t="e">
        <f>VLOOKUP(K352,[4]Planilha1!A$13:P$314,16,0)</f>
        <v>#N/A</v>
      </c>
    </row>
    <row r="353" spans="1:46" s="63" customFormat="1" x14ac:dyDescent="0.25">
      <c r="A353" s="82"/>
      <c r="B353" s="82"/>
      <c r="C353" s="64"/>
      <c r="D353" s="64"/>
      <c r="E353" s="64"/>
      <c r="F353" s="64"/>
      <c r="G353" s="64"/>
      <c r="H353" s="64"/>
      <c r="I353" s="64"/>
      <c r="J353" s="64"/>
      <c r="K353" s="64"/>
      <c r="L353" s="64"/>
      <c r="M353" s="64"/>
      <c r="N353" s="406"/>
      <c r="O353" s="64"/>
      <c r="P353" s="410"/>
      <c r="Q353" s="64"/>
      <c r="R353" s="401">
        <f t="shared" si="34"/>
        <v>0</v>
      </c>
      <c r="S353" s="401"/>
      <c r="T353" s="401"/>
      <c r="U353" s="64" t="s">
        <v>8535</v>
      </c>
      <c r="V353" s="64"/>
      <c r="W353" s="413">
        <f t="shared" si="33"/>
        <v>0</v>
      </c>
      <c r="X353" s="403">
        <v>0</v>
      </c>
      <c r="Y353" s="403">
        <v>0</v>
      </c>
      <c r="Z353" s="403">
        <v>0</v>
      </c>
      <c r="AA353" s="38"/>
      <c r="AB353" s="409"/>
      <c r="AC353" s="38"/>
      <c r="AD353" s="68"/>
      <c r="AE353" s="68"/>
      <c r="AF353" s="68"/>
      <c r="AG353" s="68"/>
      <c r="AH353" s="68"/>
      <c r="AI353" s="38"/>
      <c r="AJ353" s="38"/>
      <c r="AK353" s="38"/>
      <c r="AL353" s="38"/>
      <c r="AM353" s="38"/>
      <c r="AN353" s="38"/>
      <c r="AO353" s="69"/>
      <c r="AP353" s="69"/>
      <c r="AQ353" s="69"/>
      <c r="AR353" s="69"/>
      <c r="AS353" s="68"/>
      <c r="AT353" s="66" t="e">
        <f>VLOOKUP(K353,[4]Planilha1!A$13:P$314,16,0)</f>
        <v>#N/A</v>
      </c>
    </row>
    <row r="354" spans="1:46" s="63" customFormat="1" x14ac:dyDescent="0.25">
      <c r="A354" s="82"/>
      <c r="B354" s="82"/>
      <c r="C354" s="64"/>
      <c r="D354" s="64"/>
      <c r="E354" s="64"/>
      <c r="F354" s="64"/>
      <c r="G354" s="64"/>
      <c r="H354" s="64"/>
      <c r="I354" s="64"/>
      <c r="J354" s="64"/>
      <c r="K354" s="64"/>
      <c r="L354" s="64"/>
      <c r="M354" s="64"/>
      <c r="N354" s="406"/>
      <c r="O354" s="64"/>
      <c r="P354" s="410"/>
      <c r="Q354" s="64"/>
      <c r="R354" s="401">
        <f t="shared" si="34"/>
        <v>0</v>
      </c>
      <c r="S354" s="401"/>
      <c r="T354" s="401"/>
      <c r="U354" s="64" t="s">
        <v>8535</v>
      </c>
      <c r="V354" s="64"/>
      <c r="W354" s="413">
        <f t="shared" si="33"/>
        <v>0</v>
      </c>
      <c r="X354" s="403">
        <v>0</v>
      </c>
      <c r="Y354" s="403">
        <v>0</v>
      </c>
      <c r="Z354" s="403">
        <v>0</v>
      </c>
      <c r="AA354" s="38"/>
      <c r="AB354" s="409"/>
      <c r="AC354" s="38"/>
      <c r="AD354" s="68"/>
      <c r="AE354" s="68"/>
      <c r="AF354" s="68"/>
      <c r="AG354" s="68"/>
      <c r="AH354" s="68"/>
      <c r="AI354" s="38"/>
      <c r="AJ354" s="38"/>
      <c r="AK354" s="38"/>
      <c r="AL354" s="38"/>
      <c r="AM354" s="38"/>
      <c r="AN354" s="38"/>
      <c r="AO354" s="69"/>
      <c r="AP354" s="69"/>
      <c r="AQ354" s="69"/>
      <c r="AR354" s="69"/>
      <c r="AS354" s="68"/>
      <c r="AT354" s="66" t="e">
        <f>VLOOKUP(K354,[4]Planilha1!A$13:P$314,16,0)</f>
        <v>#N/A</v>
      </c>
    </row>
    <row r="355" spans="1:46" s="63" customFormat="1" x14ac:dyDescent="0.25">
      <c r="A355" s="82"/>
      <c r="B355" s="82"/>
      <c r="C355" s="64"/>
      <c r="D355" s="64"/>
      <c r="E355" s="64"/>
      <c r="F355" s="64"/>
      <c r="G355" s="64"/>
      <c r="H355" s="64"/>
      <c r="I355" s="64"/>
      <c r="J355" s="64"/>
      <c r="K355" s="64"/>
      <c r="L355" s="64"/>
      <c r="M355" s="64"/>
      <c r="N355" s="406"/>
      <c r="O355" s="64"/>
      <c r="P355" s="410"/>
      <c r="Q355" s="64"/>
      <c r="R355" s="401">
        <f t="shared" si="34"/>
        <v>0</v>
      </c>
      <c r="S355" s="401"/>
      <c r="T355" s="401"/>
      <c r="U355" s="64" t="s">
        <v>8535</v>
      </c>
      <c r="V355" s="64"/>
      <c r="W355" s="413">
        <f t="shared" si="33"/>
        <v>0</v>
      </c>
      <c r="X355" s="403">
        <v>0</v>
      </c>
      <c r="Y355" s="403">
        <v>0</v>
      </c>
      <c r="Z355" s="403">
        <v>0</v>
      </c>
      <c r="AA355" s="38"/>
      <c r="AB355" s="409"/>
      <c r="AC355" s="38"/>
      <c r="AD355" s="68"/>
      <c r="AE355" s="68"/>
      <c r="AF355" s="68"/>
      <c r="AG355" s="68"/>
      <c r="AH355" s="68"/>
      <c r="AI355" s="38"/>
      <c r="AJ355" s="38"/>
      <c r="AK355" s="38"/>
      <c r="AL355" s="38"/>
      <c r="AM355" s="38"/>
      <c r="AN355" s="38"/>
      <c r="AO355" s="69"/>
      <c r="AP355" s="69"/>
      <c r="AQ355" s="69"/>
      <c r="AR355" s="69"/>
      <c r="AS355" s="68"/>
      <c r="AT355" s="66" t="e">
        <f>VLOOKUP(K355,[4]Planilha1!A$13:P$314,16,0)</f>
        <v>#N/A</v>
      </c>
    </row>
    <row r="356" spans="1:46" s="63" customFormat="1" x14ac:dyDescent="0.25">
      <c r="A356" s="82"/>
      <c r="B356" s="82"/>
      <c r="C356" s="64"/>
      <c r="D356" s="64"/>
      <c r="E356" s="64"/>
      <c r="F356" s="64"/>
      <c r="G356" s="64"/>
      <c r="H356" s="64"/>
      <c r="I356" s="64"/>
      <c r="J356" s="64"/>
      <c r="K356" s="64"/>
      <c r="L356" s="64"/>
      <c r="M356" s="64"/>
      <c r="N356" s="406"/>
      <c r="O356" s="64"/>
      <c r="P356" s="410"/>
      <c r="Q356" s="64"/>
      <c r="R356" s="401">
        <f t="shared" si="34"/>
        <v>0</v>
      </c>
      <c r="S356" s="401"/>
      <c r="T356" s="401"/>
      <c r="U356" s="64" t="s">
        <v>8535</v>
      </c>
      <c r="V356" s="64"/>
      <c r="W356" s="413">
        <f t="shared" si="33"/>
        <v>0</v>
      </c>
      <c r="X356" s="403">
        <v>0</v>
      </c>
      <c r="Y356" s="403">
        <v>0</v>
      </c>
      <c r="Z356" s="403">
        <v>0</v>
      </c>
      <c r="AA356" s="38"/>
      <c r="AB356" s="409"/>
      <c r="AC356" s="38"/>
      <c r="AD356" s="68"/>
      <c r="AE356" s="68"/>
      <c r="AF356" s="68"/>
      <c r="AG356" s="68"/>
      <c r="AH356" s="68"/>
      <c r="AI356" s="38"/>
      <c r="AJ356" s="38"/>
      <c r="AK356" s="38"/>
      <c r="AL356" s="38"/>
      <c r="AM356" s="38"/>
      <c r="AN356" s="38"/>
      <c r="AO356" s="69"/>
      <c r="AP356" s="69"/>
      <c r="AQ356" s="69"/>
      <c r="AR356" s="69"/>
      <c r="AS356" s="68"/>
      <c r="AT356" s="66" t="e">
        <f>VLOOKUP(K356,[4]Planilha1!A$13:P$314,16,0)</f>
        <v>#N/A</v>
      </c>
    </row>
    <row r="357" spans="1:46" s="63" customFormat="1" x14ac:dyDescent="0.25">
      <c r="A357" s="82"/>
      <c r="B357" s="82"/>
      <c r="C357" s="64"/>
      <c r="D357" s="64"/>
      <c r="E357" s="64"/>
      <c r="F357" s="64"/>
      <c r="G357" s="64"/>
      <c r="H357" s="64"/>
      <c r="I357" s="64"/>
      <c r="J357" s="64"/>
      <c r="K357" s="64"/>
      <c r="L357" s="64"/>
      <c r="M357" s="64"/>
      <c r="N357" s="406"/>
      <c r="O357" s="64"/>
      <c r="P357" s="410"/>
      <c r="Q357" s="64"/>
      <c r="R357" s="401">
        <f t="shared" si="34"/>
        <v>0</v>
      </c>
      <c r="S357" s="401"/>
      <c r="T357" s="401"/>
      <c r="U357" s="64" t="s">
        <v>8535</v>
      </c>
      <c r="V357" s="64"/>
      <c r="W357" s="413">
        <f t="shared" si="33"/>
        <v>0</v>
      </c>
      <c r="X357" s="403">
        <v>0</v>
      </c>
      <c r="Y357" s="403">
        <v>0</v>
      </c>
      <c r="Z357" s="403">
        <v>0</v>
      </c>
      <c r="AA357" s="38"/>
      <c r="AB357" s="409"/>
      <c r="AC357" s="38"/>
      <c r="AD357" s="68"/>
      <c r="AE357" s="68"/>
      <c r="AF357" s="68"/>
      <c r="AG357" s="68"/>
      <c r="AH357" s="68"/>
      <c r="AI357" s="38"/>
      <c r="AJ357" s="38"/>
      <c r="AK357" s="38"/>
      <c r="AL357" s="38"/>
      <c r="AM357" s="38"/>
      <c r="AN357" s="38"/>
      <c r="AO357" s="69"/>
      <c r="AP357" s="69"/>
      <c r="AQ357" s="69"/>
      <c r="AR357" s="69"/>
      <c r="AS357" s="68"/>
      <c r="AT357" s="66" t="e">
        <f>VLOOKUP(K357,[4]Planilha1!A$13:P$314,16,0)</f>
        <v>#N/A</v>
      </c>
    </row>
    <row r="358" spans="1:46" s="63" customFormat="1" x14ac:dyDescent="0.25">
      <c r="A358" s="82"/>
      <c r="B358" s="82"/>
      <c r="C358" s="64"/>
      <c r="D358" s="64"/>
      <c r="E358" s="64"/>
      <c r="F358" s="64"/>
      <c r="G358" s="64"/>
      <c r="H358" s="64"/>
      <c r="I358" s="64"/>
      <c r="J358" s="64"/>
      <c r="K358" s="64"/>
      <c r="L358" s="64"/>
      <c r="M358" s="64"/>
      <c r="N358" s="406"/>
      <c r="O358" s="64"/>
      <c r="P358" s="410"/>
      <c r="Q358" s="64"/>
      <c r="R358" s="401">
        <f t="shared" si="34"/>
        <v>0</v>
      </c>
      <c r="S358" s="401"/>
      <c r="T358" s="401"/>
      <c r="U358" s="64" t="s">
        <v>8535</v>
      </c>
      <c r="V358" s="64"/>
      <c r="W358" s="413">
        <f t="shared" si="33"/>
        <v>0</v>
      </c>
      <c r="X358" s="403">
        <v>0</v>
      </c>
      <c r="Y358" s="403">
        <v>0</v>
      </c>
      <c r="Z358" s="403">
        <v>0</v>
      </c>
      <c r="AA358" s="38"/>
      <c r="AB358" s="409"/>
      <c r="AC358" s="38"/>
      <c r="AD358" s="68"/>
      <c r="AE358" s="68"/>
      <c r="AF358" s="68"/>
      <c r="AG358" s="68"/>
      <c r="AH358" s="68"/>
      <c r="AI358" s="38"/>
      <c r="AJ358" s="38"/>
      <c r="AK358" s="38"/>
      <c r="AL358" s="38"/>
      <c r="AM358" s="38"/>
      <c r="AN358" s="38"/>
      <c r="AO358" s="69"/>
      <c r="AP358" s="69"/>
      <c r="AQ358" s="69"/>
      <c r="AR358" s="69"/>
      <c r="AS358" s="68"/>
      <c r="AT358" s="66" t="e">
        <f>VLOOKUP(K358,[4]Planilha1!A$13:P$314,16,0)</f>
        <v>#N/A</v>
      </c>
    </row>
    <row r="359" spans="1:46" s="63" customFormat="1" x14ac:dyDescent="0.25">
      <c r="A359" s="82"/>
      <c r="B359" s="82"/>
      <c r="C359" s="64"/>
      <c r="D359" s="64"/>
      <c r="E359" s="64"/>
      <c r="F359" s="64"/>
      <c r="G359" s="64"/>
      <c r="H359" s="64"/>
      <c r="I359" s="64"/>
      <c r="J359" s="64"/>
      <c r="K359" s="64"/>
      <c r="L359" s="64"/>
      <c r="M359" s="64"/>
      <c r="N359" s="406"/>
      <c r="O359" s="64"/>
      <c r="P359" s="410"/>
      <c r="Q359" s="64"/>
      <c r="R359" s="401">
        <f t="shared" si="34"/>
        <v>0</v>
      </c>
      <c r="S359" s="401"/>
      <c r="T359" s="401"/>
      <c r="U359" s="64" t="s">
        <v>8535</v>
      </c>
      <c r="V359" s="64"/>
      <c r="W359" s="413">
        <f t="shared" si="33"/>
        <v>0</v>
      </c>
      <c r="X359" s="403">
        <v>0</v>
      </c>
      <c r="Y359" s="403">
        <v>0</v>
      </c>
      <c r="Z359" s="403">
        <v>0</v>
      </c>
      <c r="AA359" s="38"/>
      <c r="AB359" s="409"/>
      <c r="AC359" s="38"/>
      <c r="AD359" s="68"/>
      <c r="AE359" s="68"/>
      <c r="AF359" s="68"/>
      <c r="AG359" s="68"/>
      <c r="AH359" s="68"/>
      <c r="AI359" s="38"/>
      <c r="AJ359" s="38"/>
      <c r="AK359" s="38"/>
      <c r="AL359" s="38"/>
      <c r="AM359" s="38"/>
      <c r="AN359" s="38"/>
      <c r="AO359" s="69"/>
      <c r="AP359" s="69"/>
      <c r="AQ359" s="69"/>
      <c r="AR359" s="69"/>
      <c r="AS359" s="68"/>
      <c r="AT359" s="66" t="e">
        <f>VLOOKUP(K359,[4]Planilha1!A$13:P$314,16,0)</f>
        <v>#N/A</v>
      </c>
    </row>
    <row r="360" spans="1:46" s="63" customFormat="1" x14ac:dyDescent="0.25">
      <c r="A360" s="82"/>
      <c r="B360" s="82"/>
      <c r="C360" s="64"/>
      <c r="D360" s="64"/>
      <c r="E360" s="64"/>
      <c r="F360" s="64"/>
      <c r="G360" s="64"/>
      <c r="H360" s="64"/>
      <c r="I360" s="64"/>
      <c r="J360" s="64"/>
      <c r="K360" s="64"/>
      <c r="L360" s="64"/>
      <c r="M360" s="64"/>
      <c r="N360" s="406"/>
      <c r="O360" s="64"/>
      <c r="P360" s="410"/>
      <c r="Q360" s="64"/>
      <c r="R360" s="401">
        <f t="shared" si="34"/>
        <v>0</v>
      </c>
      <c r="S360" s="401"/>
      <c r="T360" s="401"/>
      <c r="U360" s="64" t="s">
        <v>8535</v>
      </c>
      <c r="V360" s="64"/>
      <c r="W360" s="413">
        <f t="shared" si="33"/>
        <v>0</v>
      </c>
      <c r="X360" s="403">
        <v>0</v>
      </c>
      <c r="Y360" s="403">
        <v>0</v>
      </c>
      <c r="Z360" s="403">
        <v>0</v>
      </c>
      <c r="AA360" s="38"/>
      <c r="AB360" s="409"/>
      <c r="AC360" s="38"/>
      <c r="AD360" s="68"/>
      <c r="AE360" s="68"/>
      <c r="AF360" s="68"/>
      <c r="AG360" s="68"/>
      <c r="AH360" s="68"/>
      <c r="AI360" s="38"/>
      <c r="AJ360" s="38"/>
      <c r="AK360" s="38"/>
      <c r="AL360" s="38"/>
      <c r="AM360" s="38"/>
      <c r="AN360" s="38"/>
      <c r="AO360" s="69"/>
      <c r="AP360" s="69"/>
      <c r="AQ360" s="69"/>
      <c r="AR360" s="69"/>
      <c r="AS360" s="68"/>
      <c r="AT360" s="66" t="e">
        <f>VLOOKUP(K360,[4]Planilha1!A$13:P$314,16,0)</f>
        <v>#N/A</v>
      </c>
    </row>
    <row r="361" spans="1:46" s="63" customFormat="1" x14ac:dyDescent="0.25">
      <c r="A361" s="82"/>
      <c r="B361" s="82"/>
      <c r="C361" s="64"/>
      <c r="D361" s="64"/>
      <c r="E361" s="64"/>
      <c r="F361" s="64"/>
      <c r="G361" s="64"/>
      <c r="H361" s="64"/>
      <c r="I361" s="64"/>
      <c r="J361" s="64"/>
      <c r="K361" s="64"/>
      <c r="L361" s="64"/>
      <c r="M361" s="64"/>
      <c r="N361" s="406"/>
      <c r="O361" s="64"/>
      <c r="P361" s="410"/>
      <c r="Q361" s="64"/>
      <c r="R361" s="401">
        <f t="shared" si="34"/>
        <v>0</v>
      </c>
      <c r="S361" s="401"/>
      <c r="T361" s="401"/>
      <c r="U361" s="64" t="s">
        <v>8535</v>
      </c>
      <c r="V361" s="64"/>
      <c r="W361" s="413">
        <f t="shared" si="33"/>
        <v>0</v>
      </c>
      <c r="X361" s="403">
        <v>0</v>
      </c>
      <c r="Y361" s="403">
        <v>0</v>
      </c>
      <c r="Z361" s="403">
        <v>0</v>
      </c>
      <c r="AA361" s="38"/>
      <c r="AB361" s="409"/>
      <c r="AC361" s="38"/>
      <c r="AD361" s="68"/>
      <c r="AE361" s="68"/>
      <c r="AF361" s="68"/>
      <c r="AG361" s="68"/>
      <c r="AH361" s="68"/>
      <c r="AI361" s="38"/>
      <c r="AJ361" s="38"/>
      <c r="AK361" s="38"/>
      <c r="AL361" s="38"/>
      <c r="AM361" s="38"/>
      <c r="AN361" s="38"/>
      <c r="AO361" s="69"/>
      <c r="AP361" s="69"/>
      <c r="AQ361" s="69"/>
      <c r="AR361" s="69"/>
      <c r="AS361" s="68"/>
      <c r="AT361" s="66" t="e">
        <f>VLOOKUP(K361,[4]Planilha1!A$13:P$314,16,0)</f>
        <v>#N/A</v>
      </c>
    </row>
    <row r="362" spans="1:46" s="63" customFormat="1" x14ac:dyDescent="0.25">
      <c r="A362" s="82"/>
      <c r="B362" s="82"/>
      <c r="C362" s="64"/>
      <c r="D362" s="64"/>
      <c r="E362" s="64"/>
      <c r="F362" s="64"/>
      <c r="G362" s="64"/>
      <c r="H362" s="64"/>
      <c r="I362" s="64"/>
      <c r="J362" s="64"/>
      <c r="K362" s="64"/>
      <c r="L362" s="64"/>
      <c r="M362" s="64"/>
      <c r="N362" s="406"/>
      <c r="O362" s="64"/>
      <c r="P362" s="410"/>
      <c r="Q362" s="64"/>
      <c r="R362" s="401">
        <f t="shared" si="34"/>
        <v>0</v>
      </c>
      <c r="S362" s="401"/>
      <c r="T362" s="401"/>
      <c r="U362" s="64" t="s">
        <v>8535</v>
      </c>
      <c r="V362" s="64"/>
      <c r="W362" s="413">
        <f t="shared" si="33"/>
        <v>0</v>
      </c>
      <c r="X362" s="403">
        <v>0</v>
      </c>
      <c r="Y362" s="403">
        <v>0</v>
      </c>
      <c r="Z362" s="403">
        <v>0</v>
      </c>
      <c r="AA362" s="38"/>
      <c r="AB362" s="409"/>
      <c r="AC362" s="38"/>
      <c r="AD362" s="68"/>
      <c r="AE362" s="68"/>
      <c r="AF362" s="68"/>
      <c r="AG362" s="68"/>
      <c r="AH362" s="68"/>
      <c r="AI362" s="38"/>
      <c r="AJ362" s="38"/>
      <c r="AK362" s="38"/>
      <c r="AL362" s="38"/>
      <c r="AM362" s="38"/>
      <c r="AN362" s="38"/>
      <c r="AO362" s="69"/>
      <c r="AP362" s="69"/>
      <c r="AQ362" s="69"/>
      <c r="AR362" s="69"/>
      <c r="AS362" s="68"/>
      <c r="AT362" s="66" t="e">
        <f>VLOOKUP(K362,[4]Planilha1!A$13:P$314,16,0)</f>
        <v>#N/A</v>
      </c>
    </row>
    <row r="363" spans="1:46" s="63" customFormat="1" x14ac:dyDescent="0.25">
      <c r="A363" s="82"/>
      <c r="B363" s="82"/>
      <c r="C363" s="64"/>
      <c r="D363" s="64"/>
      <c r="E363" s="64"/>
      <c r="F363" s="64"/>
      <c r="G363" s="64"/>
      <c r="H363" s="64"/>
      <c r="I363" s="64"/>
      <c r="J363" s="64"/>
      <c r="K363" s="64"/>
      <c r="L363" s="64"/>
      <c r="M363" s="64"/>
      <c r="N363" s="406"/>
      <c r="O363" s="64"/>
      <c r="P363" s="410"/>
      <c r="Q363" s="64"/>
      <c r="R363" s="401">
        <f t="shared" si="34"/>
        <v>0</v>
      </c>
      <c r="S363" s="401"/>
      <c r="T363" s="401"/>
      <c r="U363" s="64" t="s">
        <v>8535</v>
      </c>
      <c r="V363" s="64"/>
      <c r="W363" s="413">
        <f t="shared" si="33"/>
        <v>0</v>
      </c>
      <c r="X363" s="403">
        <v>0</v>
      </c>
      <c r="Y363" s="403">
        <v>0</v>
      </c>
      <c r="Z363" s="403">
        <v>0</v>
      </c>
      <c r="AA363" s="38"/>
      <c r="AB363" s="409"/>
      <c r="AC363" s="38"/>
      <c r="AD363" s="68"/>
      <c r="AE363" s="68"/>
      <c r="AF363" s="68"/>
      <c r="AG363" s="68"/>
      <c r="AH363" s="68"/>
      <c r="AI363" s="38"/>
      <c r="AJ363" s="38"/>
      <c r="AK363" s="38"/>
      <c r="AL363" s="38"/>
      <c r="AM363" s="38"/>
      <c r="AN363" s="38"/>
      <c r="AO363" s="69"/>
      <c r="AP363" s="69"/>
      <c r="AQ363" s="69"/>
      <c r="AR363" s="69"/>
      <c r="AS363" s="68"/>
      <c r="AT363" s="66" t="e">
        <f>VLOOKUP(K363,[4]Planilha1!A$13:P$314,16,0)</f>
        <v>#N/A</v>
      </c>
    </row>
    <row r="364" spans="1:46" s="63" customFormat="1" x14ac:dyDescent="0.25">
      <c r="A364" s="82"/>
      <c r="B364" s="82"/>
      <c r="C364" s="64"/>
      <c r="D364" s="64"/>
      <c r="E364" s="64"/>
      <c r="F364" s="64"/>
      <c r="G364" s="64"/>
      <c r="H364" s="64"/>
      <c r="I364" s="64"/>
      <c r="J364" s="64"/>
      <c r="K364" s="64"/>
      <c r="L364" s="64"/>
      <c r="M364" s="64"/>
      <c r="N364" s="406"/>
      <c r="O364" s="64"/>
      <c r="P364" s="410"/>
      <c r="Q364" s="64"/>
      <c r="R364" s="401">
        <f t="shared" si="34"/>
        <v>0</v>
      </c>
      <c r="S364" s="401"/>
      <c r="T364" s="401"/>
      <c r="U364" s="64"/>
      <c r="V364" s="64"/>
      <c r="W364" s="413">
        <f t="shared" si="33"/>
        <v>0</v>
      </c>
      <c r="X364" s="403">
        <v>0</v>
      </c>
      <c r="Y364" s="403">
        <v>0</v>
      </c>
      <c r="Z364" s="403">
        <v>0</v>
      </c>
      <c r="AA364" s="38"/>
      <c r="AB364" s="409"/>
      <c r="AC364" s="38"/>
      <c r="AD364" s="68"/>
      <c r="AE364" s="68"/>
      <c r="AF364" s="68"/>
      <c r="AG364" s="68"/>
      <c r="AH364" s="68"/>
      <c r="AI364" s="38"/>
      <c r="AJ364" s="38"/>
      <c r="AK364" s="38"/>
      <c r="AL364" s="38"/>
      <c r="AM364" s="38"/>
      <c r="AN364" s="38"/>
      <c r="AO364" s="69"/>
      <c r="AP364" s="69"/>
      <c r="AQ364" s="69"/>
      <c r="AR364" s="69"/>
      <c r="AS364" s="68"/>
      <c r="AT364" s="66" t="e">
        <f>VLOOKUP(K364,[4]Planilha1!A$13:P$314,16,0)</f>
        <v>#N/A</v>
      </c>
    </row>
    <row r="365" spans="1:46" s="63" customFormat="1" x14ac:dyDescent="0.25">
      <c r="A365" s="82"/>
      <c r="B365" s="82"/>
      <c r="C365" s="64"/>
      <c r="D365" s="64"/>
      <c r="E365" s="64"/>
      <c r="F365" s="64"/>
      <c r="G365" s="64"/>
      <c r="H365" s="64"/>
      <c r="I365" s="64"/>
      <c r="J365" s="64"/>
      <c r="K365" s="64"/>
      <c r="L365" s="64"/>
      <c r="M365" s="64"/>
      <c r="N365" s="406"/>
      <c r="O365" s="64"/>
      <c r="P365" s="410"/>
      <c r="Q365" s="64"/>
      <c r="R365" s="401">
        <f t="shared" si="34"/>
        <v>0</v>
      </c>
      <c r="S365" s="401"/>
      <c r="T365" s="401"/>
      <c r="U365" s="64"/>
      <c r="V365" s="64"/>
      <c r="W365" s="413">
        <f t="shared" si="33"/>
        <v>0</v>
      </c>
      <c r="X365" s="403">
        <v>0</v>
      </c>
      <c r="Y365" s="403">
        <v>0</v>
      </c>
      <c r="Z365" s="403">
        <v>0</v>
      </c>
      <c r="AA365" s="38"/>
      <c r="AB365" s="409"/>
      <c r="AC365" s="38"/>
      <c r="AD365" s="68"/>
      <c r="AE365" s="68"/>
      <c r="AF365" s="68"/>
      <c r="AG365" s="68"/>
      <c r="AH365" s="68"/>
      <c r="AI365" s="38"/>
      <c r="AJ365" s="38"/>
      <c r="AK365" s="38"/>
      <c r="AL365" s="38"/>
      <c r="AM365" s="38"/>
      <c r="AN365" s="38"/>
      <c r="AO365" s="69"/>
      <c r="AP365" s="69"/>
      <c r="AQ365" s="69"/>
      <c r="AR365" s="69"/>
      <c r="AS365" s="68"/>
      <c r="AT365" s="66" t="e">
        <f>VLOOKUP(K365,[4]Planilha1!A$13:P$314,16,0)</f>
        <v>#N/A</v>
      </c>
    </row>
    <row r="366" spans="1:46" s="63" customFormat="1" x14ac:dyDescent="0.25">
      <c r="A366" s="82"/>
      <c r="B366" s="82"/>
      <c r="C366" s="64"/>
      <c r="D366" s="64"/>
      <c r="E366" s="64"/>
      <c r="F366" s="64"/>
      <c r="G366" s="64"/>
      <c r="H366" s="64"/>
      <c r="I366" s="64"/>
      <c r="J366" s="64"/>
      <c r="K366" s="64"/>
      <c r="L366" s="64"/>
      <c r="M366" s="64"/>
      <c r="N366" s="406"/>
      <c r="O366" s="64"/>
      <c r="P366" s="410"/>
      <c r="Q366" s="64"/>
      <c r="R366" s="401">
        <f t="shared" si="34"/>
        <v>0</v>
      </c>
      <c r="S366" s="401"/>
      <c r="T366" s="401"/>
      <c r="U366" s="64"/>
      <c r="V366" s="64"/>
      <c r="W366" s="413">
        <f t="shared" si="33"/>
        <v>0</v>
      </c>
      <c r="X366" s="403">
        <v>0</v>
      </c>
      <c r="Y366" s="403">
        <v>0</v>
      </c>
      <c r="Z366" s="403">
        <v>0</v>
      </c>
      <c r="AA366" s="38"/>
      <c r="AB366" s="409"/>
      <c r="AC366" s="38"/>
      <c r="AD366" s="68"/>
      <c r="AE366" s="68"/>
      <c r="AF366" s="68"/>
      <c r="AG366" s="68"/>
      <c r="AH366" s="68"/>
      <c r="AI366" s="38"/>
      <c r="AJ366" s="38"/>
      <c r="AK366" s="38"/>
      <c r="AL366" s="38"/>
      <c r="AM366" s="38"/>
      <c r="AN366" s="38"/>
      <c r="AO366" s="69"/>
      <c r="AP366" s="69"/>
      <c r="AQ366" s="69"/>
      <c r="AR366" s="69"/>
      <c r="AS366" s="68"/>
      <c r="AT366" s="66" t="e">
        <f>VLOOKUP(K366,[4]Planilha1!A$13:P$314,16,0)</f>
        <v>#N/A</v>
      </c>
    </row>
    <row r="367" spans="1:46" s="63" customFormat="1" x14ac:dyDescent="0.25">
      <c r="A367" s="82"/>
      <c r="B367" s="82"/>
      <c r="C367" s="64"/>
      <c r="D367" s="64"/>
      <c r="E367" s="64"/>
      <c r="F367" s="64"/>
      <c r="G367" s="64"/>
      <c r="H367" s="64"/>
      <c r="I367" s="64"/>
      <c r="J367" s="64"/>
      <c r="K367" s="64"/>
      <c r="L367" s="64"/>
      <c r="M367" s="64"/>
      <c r="N367" s="406"/>
      <c r="O367" s="64"/>
      <c r="P367" s="410"/>
      <c r="Q367" s="64"/>
      <c r="R367" s="401">
        <f t="shared" si="34"/>
        <v>0</v>
      </c>
      <c r="S367" s="401"/>
      <c r="T367" s="401"/>
      <c r="U367" s="64"/>
      <c r="V367" s="64"/>
      <c r="W367" s="413">
        <f t="shared" si="33"/>
        <v>0</v>
      </c>
      <c r="X367" s="403">
        <v>0</v>
      </c>
      <c r="Y367" s="403">
        <v>0</v>
      </c>
      <c r="Z367" s="403">
        <v>0</v>
      </c>
      <c r="AA367" s="38"/>
      <c r="AB367" s="409"/>
      <c r="AC367" s="38"/>
      <c r="AD367" s="68"/>
      <c r="AE367" s="68"/>
      <c r="AF367" s="68"/>
      <c r="AG367" s="68"/>
      <c r="AH367" s="68"/>
      <c r="AI367" s="38"/>
      <c r="AJ367" s="38"/>
      <c r="AK367" s="38"/>
      <c r="AL367" s="38"/>
      <c r="AM367" s="38"/>
      <c r="AN367" s="38"/>
      <c r="AO367" s="69"/>
      <c r="AP367" s="69"/>
      <c r="AQ367" s="69"/>
      <c r="AR367" s="69"/>
      <c r="AS367" s="68"/>
      <c r="AT367" s="66" t="e">
        <f>VLOOKUP(K367,[4]Planilha1!A$13:P$314,16,0)</f>
        <v>#N/A</v>
      </c>
    </row>
    <row r="368" spans="1:46" s="63" customFormat="1" x14ac:dyDescent="0.25">
      <c r="A368" s="82"/>
      <c r="B368" s="82"/>
      <c r="C368" s="64"/>
      <c r="D368" s="64"/>
      <c r="E368" s="64"/>
      <c r="F368" s="64"/>
      <c r="G368" s="64"/>
      <c r="H368" s="64"/>
      <c r="I368" s="64"/>
      <c r="J368" s="64"/>
      <c r="K368" s="64"/>
      <c r="L368" s="64"/>
      <c r="M368" s="64"/>
      <c r="N368" s="406"/>
      <c r="O368" s="64"/>
      <c r="P368" s="410"/>
      <c r="Q368" s="64"/>
      <c r="R368" s="401">
        <f t="shared" si="34"/>
        <v>0</v>
      </c>
      <c r="S368" s="401"/>
      <c r="T368" s="401"/>
      <c r="U368" s="64"/>
      <c r="V368" s="64"/>
      <c r="W368" s="413">
        <f t="shared" si="33"/>
        <v>0</v>
      </c>
      <c r="X368" s="403">
        <v>0</v>
      </c>
      <c r="Y368" s="403">
        <v>0</v>
      </c>
      <c r="Z368" s="403">
        <v>0</v>
      </c>
      <c r="AA368" s="38"/>
      <c r="AB368" s="409"/>
      <c r="AC368" s="38"/>
      <c r="AD368" s="68"/>
      <c r="AE368" s="68"/>
      <c r="AF368" s="68"/>
      <c r="AG368" s="68"/>
      <c r="AH368" s="68"/>
      <c r="AI368" s="38"/>
      <c r="AJ368" s="38"/>
      <c r="AK368" s="38"/>
      <c r="AL368" s="38"/>
      <c r="AM368" s="38"/>
      <c r="AN368" s="38"/>
      <c r="AO368" s="69"/>
      <c r="AP368" s="69"/>
      <c r="AQ368" s="69"/>
      <c r="AR368" s="69"/>
      <c r="AS368" s="68"/>
      <c r="AT368" s="66" t="e">
        <f>VLOOKUP(K368,[4]Planilha1!A$13:P$314,16,0)</f>
        <v>#N/A</v>
      </c>
    </row>
    <row r="369" spans="1:46" s="63" customFormat="1" x14ac:dyDescent="0.25">
      <c r="A369" s="82"/>
      <c r="B369" s="82"/>
      <c r="C369" s="64"/>
      <c r="D369" s="64"/>
      <c r="E369" s="64"/>
      <c r="F369" s="64"/>
      <c r="G369" s="64"/>
      <c r="H369" s="64"/>
      <c r="I369" s="64"/>
      <c r="J369" s="64"/>
      <c r="K369" s="64"/>
      <c r="L369" s="64"/>
      <c r="M369" s="64"/>
      <c r="N369" s="406"/>
      <c r="O369" s="64"/>
      <c r="P369" s="410"/>
      <c r="Q369" s="64"/>
      <c r="R369" s="401">
        <f t="shared" si="34"/>
        <v>0</v>
      </c>
      <c r="S369" s="401"/>
      <c r="T369" s="401"/>
      <c r="U369" s="64"/>
      <c r="V369" s="64"/>
      <c r="W369" s="413">
        <f t="shared" si="33"/>
        <v>0</v>
      </c>
      <c r="X369" s="403">
        <v>0</v>
      </c>
      <c r="Y369" s="403">
        <v>0</v>
      </c>
      <c r="Z369" s="403">
        <v>0</v>
      </c>
      <c r="AA369" s="38"/>
      <c r="AB369" s="409"/>
      <c r="AC369" s="38"/>
      <c r="AD369" s="68"/>
      <c r="AE369" s="68"/>
      <c r="AF369" s="68"/>
      <c r="AG369" s="68"/>
      <c r="AH369" s="68"/>
      <c r="AI369" s="38"/>
      <c r="AJ369" s="38"/>
      <c r="AK369" s="38"/>
      <c r="AL369" s="38"/>
      <c r="AM369" s="38"/>
      <c r="AN369" s="38"/>
      <c r="AO369" s="69"/>
      <c r="AP369" s="69"/>
      <c r="AQ369" s="69"/>
      <c r="AR369" s="69"/>
      <c r="AS369" s="68"/>
      <c r="AT369" s="66" t="e">
        <f>VLOOKUP(K369,[4]Planilha1!A$13:P$314,16,0)</f>
        <v>#N/A</v>
      </c>
    </row>
    <row r="370" spans="1:46" s="63" customFormat="1" x14ac:dyDescent="0.25">
      <c r="A370" s="82"/>
      <c r="B370" s="82"/>
      <c r="C370" s="64"/>
      <c r="D370" s="64"/>
      <c r="E370" s="64"/>
      <c r="F370" s="64"/>
      <c r="G370" s="64"/>
      <c r="H370" s="64"/>
      <c r="I370" s="64"/>
      <c r="J370" s="64"/>
      <c r="K370" s="64"/>
      <c r="L370" s="64"/>
      <c r="M370" s="64"/>
      <c r="N370" s="406"/>
      <c r="O370" s="64"/>
      <c r="P370" s="410"/>
      <c r="Q370" s="64"/>
      <c r="R370" s="401">
        <f t="shared" si="34"/>
        <v>0</v>
      </c>
      <c r="S370" s="401"/>
      <c r="T370" s="401"/>
      <c r="U370" s="64"/>
      <c r="V370" s="64"/>
      <c r="W370" s="413">
        <f t="shared" si="33"/>
        <v>0</v>
      </c>
      <c r="X370" s="403">
        <v>0</v>
      </c>
      <c r="Y370" s="403">
        <v>0</v>
      </c>
      <c r="Z370" s="403">
        <v>0</v>
      </c>
      <c r="AA370" s="38"/>
      <c r="AB370" s="409"/>
      <c r="AC370" s="38"/>
      <c r="AD370" s="68"/>
      <c r="AE370" s="68"/>
      <c r="AF370" s="68"/>
      <c r="AG370" s="68"/>
      <c r="AH370" s="68"/>
      <c r="AI370" s="38"/>
      <c r="AJ370" s="38"/>
      <c r="AK370" s="38"/>
      <c r="AL370" s="38"/>
      <c r="AM370" s="38"/>
      <c r="AN370" s="38"/>
      <c r="AO370" s="69"/>
      <c r="AP370" s="69"/>
      <c r="AQ370" s="69"/>
      <c r="AR370" s="69"/>
      <c r="AS370" s="68"/>
      <c r="AT370" s="66" t="e">
        <f>VLOOKUP(K370,[4]Planilha1!A$13:P$314,16,0)</f>
        <v>#N/A</v>
      </c>
    </row>
    <row r="371" spans="1:46" s="63" customFormat="1" x14ac:dyDescent="0.25">
      <c r="A371" s="82"/>
      <c r="B371" s="82"/>
      <c r="C371" s="64"/>
      <c r="D371" s="64"/>
      <c r="E371" s="64"/>
      <c r="F371" s="64"/>
      <c r="G371" s="64"/>
      <c r="H371" s="64"/>
      <c r="I371" s="64"/>
      <c r="J371" s="64"/>
      <c r="K371" s="64"/>
      <c r="L371" s="64"/>
      <c r="M371" s="64"/>
      <c r="N371" s="406"/>
      <c r="O371" s="64"/>
      <c r="P371" s="410"/>
      <c r="Q371" s="64"/>
      <c r="R371" s="401">
        <f t="shared" si="34"/>
        <v>0</v>
      </c>
      <c r="S371" s="401"/>
      <c r="T371" s="401"/>
      <c r="U371" s="64"/>
      <c r="V371" s="64"/>
      <c r="W371" s="413">
        <f t="shared" si="33"/>
        <v>0</v>
      </c>
      <c r="X371" s="403">
        <v>0</v>
      </c>
      <c r="Y371" s="403">
        <v>0</v>
      </c>
      <c r="Z371" s="403">
        <v>0</v>
      </c>
      <c r="AA371" s="38"/>
      <c r="AB371" s="409"/>
      <c r="AC371" s="38"/>
      <c r="AD371" s="68"/>
      <c r="AE371" s="68"/>
      <c r="AF371" s="68"/>
      <c r="AG371" s="68"/>
      <c r="AH371" s="68"/>
      <c r="AI371" s="38"/>
      <c r="AJ371" s="38"/>
      <c r="AK371" s="38"/>
      <c r="AL371" s="38"/>
      <c r="AM371" s="38"/>
      <c r="AN371" s="38"/>
      <c r="AO371" s="69"/>
      <c r="AP371" s="69"/>
      <c r="AQ371" s="69"/>
      <c r="AR371" s="69"/>
      <c r="AS371" s="68"/>
      <c r="AT371" s="66" t="e">
        <f>VLOOKUP(K371,[4]Planilha1!A$13:P$314,16,0)</f>
        <v>#N/A</v>
      </c>
    </row>
    <row r="372" spans="1:46" s="63" customFormat="1" x14ac:dyDescent="0.25">
      <c r="A372" s="82"/>
      <c r="B372" s="82"/>
      <c r="C372" s="64"/>
      <c r="D372" s="64"/>
      <c r="E372" s="64"/>
      <c r="F372" s="64"/>
      <c r="G372" s="64"/>
      <c r="H372" s="64"/>
      <c r="I372" s="64"/>
      <c r="J372" s="64"/>
      <c r="K372" s="64"/>
      <c r="L372" s="64"/>
      <c r="M372" s="64"/>
      <c r="N372" s="406"/>
      <c r="O372" s="64"/>
      <c r="P372" s="410"/>
      <c r="Q372" s="64"/>
      <c r="R372" s="401">
        <f t="shared" si="34"/>
        <v>0</v>
      </c>
      <c r="S372" s="401"/>
      <c r="T372" s="401"/>
      <c r="U372" s="64"/>
      <c r="V372" s="64"/>
      <c r="W372" s="413">
        <f t="shared" si="33"/>
        <v>0</v>
      </c>
      <c r="X372" s="403">
        <v>0</v>
      </c>
      <c r="Y372" s="403">
        <v>0</v>
      </c>
      <c r="Z372" s="403">
        <v>0</v>
      </c>
      <c r="AA372" s="38"/>
      <c r="AB372" s="409"/>
      <c r="AC372" s="38"/>
      <c r="AD372" s="68"/>
      <c r="AE372" s="68"/>
      <c r="AF372" s="68"/>
      <c r="AG372" s="68"/>
      <c r="AH372" s="68"/>
      <c r="AI372" s="38"/>
      <c r="AJ372" s="38"/>
      <c r="AK372" s="38"/>
      <c r="AL372" s="38"/>
      <c r="AM372" s="38"/>
      <c r="AN372" s="38"/>
      <c r="AO372" s="69"/>
      <c r="AP372" s="69"/>
      <c r="AQ372" s="69"/>
      <c r="AR372" s="69"/>
      <c r="AS372" s="68"/>
      <c r="AT372" s="66" t="e">
        <f>VLOOKUP(K372,[4]Planilha1!A$13:P$314,16,0)</f>
        <v>#N/A</v>
      </c>
    </row>
    <row r="373" spans="1:46" s="63" customFormat="1" x14ac:dyDescent="0.25">
      <c r="A373" s="82"/>
      <c r="B373" s="82"/>
      <c r="C373" s="64"/>
      <c r="D373" s="64"/>
      <c r="E373" s="64"/>
      <c r="F373" s="64"/>
      <c r="G373" s="64"/>
      <c r="H373" s="64"/>
      <c r="I373" s="64"/>
      <c r="J373" s="64"/>
      <c r="K373" s="64"/>
      <c r="L373" s="64"/>
      <c r="M373" s="64"/>
      <c r="N373" s="406"/>
      <c r="O373" s="64"/>
      <c r="P373" s="410"/>
      <c r="Q373" s="64"/>
      <c r="R373" s="401">
        <f t="shared" si="34"/>
        <v>0</v>
      </c>
      <c r="S373" s="401"/>
      <c r="T373" s="401"/>
      <c r="U373" s="64"/>
      <c r="V373" s="64"/>
      <c r="W373" s="413">
        <f t="shared" si="33"/>
        <v>0</v>
      </c>
      <c r="X373" s="403">
        <v>0</v>
      </c>
      <c r="Y373" s="403">
        <v>0</v>
      </c>
      <c r="Z373" s="403">
        <v>0</v>
      </c>
      <c r="AA373" s="38"/>
      <c r="AB373" s="409"/>
      <c r="AC373" s="38"/>
      <c r="AD373" s="68"/>
      <c r="AE373" s="68"/>
      <c r="AF373" s="68"/>
      <c r="AG373" s="68"/>
      <c r="AH373" s="68"/>
      <c r="AI373" s="38"/>
      <c r="AJ373" s="38"/>
      <c r="AK373" s="38"/>
      <c r="AL373" s="38"/>
      <c r="AM373" s="38"/>
      <c r="AN373" s="38"/>
      <c r="AO373" s="69"/>
      <c r="AP373" s="69"/>
      <c r="AQ373" s="69"/>
      <c r="AR373" s="69"/>
      <c r="AS373" s="68"/>
      <c r="AT373" s="66" t="e">
        <f>VLOOKUP(K373,[4]Planilha1!A$13:P$314,16,0)</f>
        <v>#N/A</v>
      </c>
    </row>
    <row r="374" spans="1:46" s="63" customFormat="1" x14ac:dyDescent="0.25">
      <c r="A374" s="82"/>
      <c r="B374" s="82"/>
      <c r="C374" s="64"/>
      <c r="D374" s="64"/>
      <c r="E374" s="64"/>
      <c r="F374" s="64"/>
      <c r="G374" s="64"/>
      <c r="H374" s="64"/>
      <c r="I374" s="64"/>
      <c r="J374" s="64"/>
      <c r="K374" s="64"/>
      <c r="L374" s="64"/>
      <c r="M374" s="64"/>
      <c r="N374" s="406"/>
      <c r="O374" s="64"/>
      <c r="P374" s="410"/>
      <c r="Q374" s="64"/>
      <c r="R374" s="401">
        <f t="shared" si="34"/>
        <v>0</v>
      </c>
      <c r="S374" s="401"/>
      <c r="T374" s="401"/>
      <c r="U374" s="64"/>
      <c r="V374" s="64"/>
      <c r="W374" s="413">
        <f t="shared" si="33"/>
        <v>0</v>
      </c>
      <c r="X374" s="403">
        <v>0</v>
      </c>
      <c r="Y374" s="403">
        <v>0</v>
      </c>
      <c r="Z374" s="403">
        <v>0</v>
      </c>
      <c r="AA374" s="38"/>
      <c r="AB374" s="409"/>
      <c r="AC374" s="38"/>
      <c r="AD374" s="68"/>
      <c r="AE374" s="68"/>
      <c r="AF374" s="68"/>
      <c r="AG374" s="68"/>
      <c r="AH374" s="68"/>
      <c r="AI374" s="38"/>
      <c r="AJ374" s="38"/>
      <c r="AK374" s="38"/>
      <c r="AL374" s="38"/>
      <c r="AM374" s="38"/>
      <c r="AN374" s="38"/>
      <c r="AO374" s="69"/>
      <c r="AP374" s="69"/>
      <c r="AQ374" s="69"/>
      <c r="AR374" s="69"/>
      <c r="AS374" s="68"/>
      <c r="AT374" s="66" t="e">
        <f>VLOOKUP(K374,[4]Planilha1!A$13:P$314,16,0)</f>
        <v>#N/A</v>
      </c>
    </row>
    <row r="375" spans="1:46" s="63" customFormat="1" x14ac:dyDescent="0.25">
      <c r="A375" s="82"/>
      <c r="B375" s="82"/>
      <c r="C375" s="64"/>
      <c r="D375" s="64"/>
      <c r="E375" s="64"/>
      <c r="F375" s="64"/>
      <c r="G375" s="64"/>
      <c r="H375" s="64"/>
      <c r="I375" s="64"/>
      <c r="J375" s="64"/>
      <c r="K375" s="64"/>
      <c r="L375" s="64"/>
      <c r="M375" s="64"/>
      <c r="N375" s="406"/>
      <c r="O375" s="64"/>
      <c r="P375" s="410"/>
      <c r="Q375" s="64"/>
      <c r="R375" s="401">
        <f t="shared" si="34"/>
        <v>0</v>
      </c>
      <c r="S375" s="401"/>
      <c r="T375" s="401"/>
      <c r="U375" s="64"/>
      <c r="V375" s="64"/>
      <c r="W375" s="413">
        <f t="shared" si="33"/>
        <v>0</v>
      </c>
      <c r="X375" s="403">
        <v>0</v>
      </c>
      <c r="Y375" s="403">
        <v>0</v>
      </c>
      <c r="Z375" s="403">
        <v>0</v>
      </c>
      <c r="AA375" s="38"/>
      <c r="AB375" s="409"/>
      <c r="AC375" s="38"/>
      <c r="AD375" s="68"/>
      <c r="AE375" s="68"/>
      <c r="AF375" s="68"/>
      <c r="AG375" s="68"/>
      <c r="AH375" s="68"/>
      <c r="AI375" s="38"/>
      <c r="AJ375" s="38"/>
      <c r="AK375" s="38"/>
      <c r="AL375" s="38"/>
      <c r="AM375" s="38"/>
      <c r="AN375" s="38"/>
      <c r="AO375" s="69"/>
      <c r="AP375" s="69"/>
      <c r="AQ375" s="69"/>
      <c r="AR375" s="69"/>
      <c r="AS375" s="68"/>
      <c r="AT375" s="66" t="e">
        <f>VLOOKUP(K375,[4]Planilha1!A$13:P$314,16,0)</f>
        <v>#N/A</v>
      </c>
    </row>
    <row r="376" spans="1:46" s="63" customFormat="1" x14ac:dyDescent="0.25">
      <c r="A376" s="82"/>
      <c r="B376" s="82"/>
      <c r="C376" s="64"/>
      <c r="D376" s="64"/>
      <c r="E376" s="64"/>
      <c r="F376" s="64"/>
      <c r="G376" s="64"/>
      <c r="H376" s="64"/>
      <c r="I376" s="64"/>
      <c r="J376" s="64"/>
      <c r="K376" s="64"/>
      <c r="L376" s="64"/>
      <c r="M376" s="64"/>
      <c r="N376" s="406"/>
      <c r="O376" s="64"/>
      <c r="P376" s="410"/>
      <c r="Q376" s="64"/>
      <c r="R376" s="401">
        <f t="shared" si="34"/>
        <v>0</v>
      </c>
      <c r="S376" s="401"/>
      <c r="T376" s="401"/>
      <c r="U376" s="64"/>
      <c r="V376" s="64"/>
      <c r="W376" s="413">
        <f t="shared" si="33"/>
        <v>0</v>
      </c>
      <c r="X376" s="403">
        <v>0</v>
      </c>
      <c r="Y376" s="403">
        <v>0</v>
      </c>
      <c r="Z376" s="403">
        <v>0</v>
      </c>
      <c r="AA376" s="38"/>
      <c r="AB376" s="409"/>
      <c r="AC376" s="38"/>
      <c r="AD376" s="68"/>
      <c r="AE376" s="68"/>
      <c r="AF376" s="68"/>
      <c r="AG376" s="68"/>
      <c r="AH376" s="68"/>
      <c r="AI376" s="38"/>
      <c r="AJ376" s="38"/>
      <c r="AK376" s="38"/>
      <c r="AL376" s="38"/>
      <c r="AM376" s="38"/>
      <c r="AN376" s="38"/>
      <c r="AO376" s="69"/>
      <c r="AP376" s="69"/>
      <c r="AQ376" s="69"/>
      <c r="AR376" s="69"/>
      <c r="AS376" s="68"/>
      <c r="AT376" s="66" t="e">
        <f>VLOOKUP(K376,[4]Planilha1!A$13:P$314,16,0)</f>
        <v>#N/A</v>
      </c>
    </row>
    <row r="377" spans="1:46" s="63" customFormat="1" x14ac:dyDescent="0.25">
      <c r="A377" s="82"/>
      <c r="B377" s="82"/>
      <c r="C377" s="64"/>
      <c r="D377" s="64"/>
      <c r="E377" s="64"/>
      <c r="F377" s="64"/>
      <c r="G377" s="64"/>
      <c r="H377" s="64"/>
      <c r="I377" s="64"/>
      <c r="J377" s="64"/>
      <c r="K377" s="64"/>
      <c r="L377" s="64"/>
      <c r="M377" s="64"/>
      <c r="N377" s="406"/>
      <c r="O377" s="64"/>
      <c r="P377" s="410"/>
      <c r="Q377" s="64"/>
      <c r="R377" s="401">
        <f t="shared" si="34"/>
        <v>0</v>
      </c>
      <c r="S377" s="401"/>
      <c r="T377" s="401"/>
      <c r="U377" s="64" t="s">
        <v>8535</v>
      </c>
      <c r="V377" s="64"/>
      <c r="W377" s="413">
        <f t="shared" si="33"/>
        <v>0</v>
      </c>
      <c r="X377" s="403">
        <v>0</v>
      </c>
      <c r="Y377" s="403">
        <v>0</v>
      </c>
      <c r="Z377" s="403">
        <v>0</v>
      </c>
      <c r="AA377" s="38"/>
      <c r="AB377" s="409"/>
      <c r="AC377" s="38"/>
      <c r="AD377" s="68"/>
      <c r="AE377" s="68"/>
      <c r="AF377" s="68"/>
      <c r="AG377" s="68"/>
      <c r="AH377" s="68"/>
      <c r="AI377" s="38"/>
      <c r="AJ377" s="38"/>
      <c r="AK377" s="38"/>
      <c r="AL377" s="38"/>
      <c r="AM377" s="38"/>
      <c r="AN377" s="38"/>
      <c r="AO377" s="69"/>
      <c r="AP377" s="69"/>
      <c r="AQ377" s="69"/>
      <c r="AR377" s="69"/>
      <c r="AS377" s="68"/>
      <c r="AT377" s="66" t="e">
        <f>VLOOKUP(K377,[4]Planilha1!A$13:P$314,16,0)</f>
        <v>#N/A</v>
      </c>
    </row>
    <row r="378" spans="1:46" s="63" customFormat="1" x14ac:dyDescent="0.25">
      <c r="A378" s="82"/>
      <c r="B378" s="82"/>
      <c r="C378" s="64"/>
      <c r="D378" s="64"/>
      <c r="E378" s="64"/>
      <c r="F378" s="64"/>
      <c r="G378" s="64"/>
      <c r="H378" s="64"/>
      <c r="I378" s="64"/>
      <c r="J378" s="64"/>
      <c r="K378" s="64"/>
      <c r="L378" s="64"/>
      <c r="M378" s="64"/>
      <c r="N378" s="406"/>
      <c r="O378" s="64"/>
      <c r="P378" s="410"/>
      <c r="Q378" s="64"/>
      <c r="R378" s="401">
        <f t="shared" si="34"/>
        <v>0</v>
      </c>
      <c r="S378" s="401"/>
      <c r="T378" s="401"/>
      <c r="U378" s="64" t="s">
        <v>8535</v>
      </c>
      <c r="V378" s="64"/>
      <c r="W378" s="413">
        <f t="shared" si="33"/>
        <v>0</v>
      </c>
      <c r="X378" s="403">
        <v>0</v>
      </c>
      <c r="Y378" s="403">
        <v>0</v>
      </c>
      <c r="Z378" s="403">
        <v>0</v>
      </c>
      <c r="AA378" s="38"/>
      <c r="AB378" s="409"/>
      <c r="AC378" s="38"/>
      <c r="AD378" s="68"/>
      <c r="AE378" s="68"/>
      <c r="AF378" s="68"/>
      <c r="AG378" s="68"/>
      <c r="AH378" s="68"/>
      <c r="AI378" s="38"/>
      <c r="AJ378" s="38"/>
      <c r="AK378" s="38"/>
      <c r="AL378" s="38"/>
      <c r="AM378" s="38"/>
      <c r="AN378" s="38"/>
      <c r="AO378" s="69"/>
      <c r="AP378" s="69"/>
      <c r="AQ378" s="69"/>
      <c r="AR378" s="69"/>
      <c r="AS378" s="68"/>
      <c r="AT378" s="66" t="e">
        <f>VLOOKUP(K378,[4]Planilha1!A$13:P$314,16,0)</f>
        <v>#N/A</v>
      </c>
    </row>
    <row r="379" spans="1:46" s="63" customFormat="1" x14ac:dyDescent="0.25">
      <c r="A379" s="82"/>
      <c r="B379" s="82"/>
      <c r="C379" s="64"/>
      <c r="D379" s="64"/>
      <c r="E379" s="64"/>
      <c r="F379" s="64"/>
      <c r="G379" s="64"/>
      <c r="H379" s="64"/>
      <c r="I379" s="64"/>
      <c r="J379" s="64"/>
      <c r="K379" s="64"/>
      <c r="L379" s="64"/>
      <c r="M379" s="64"/>
      <c r="N379" s="406"/>
      <c r="O379" s="64"/>
      <c r="P379" s="410"/>
      <c r="Q379" s="64"/>
      <c r="R379" s="401">
        <f t="shared" si="34"/>
        <v>0</v>
      </c>
      <c r="S379" s="401"/>
      <c r="T379" s="401"/>
      <c r="U379" s="64" t="s">
        <v>8535</v>
      </c>
      <c r="V379" s="64"/>
      <c r="W379" s="413">
        <f t="shared" si="33"/>
        <v>0</v>
      </c>
      <c r="X379" s="403">
        <v>0</v>
      </c>
      <c r="Y379" s="403">
        <v>0</v>
      </c>
      <c r="Z379" s="403">
        <v>0</v>
      </c>
      <c r="AA379" s="38"/>
      <c r="AB379" s="409"/>
      <c r="AC379" s="38"/>
      <c r="AD379" s="68"/>
      <c r="AE379" s="68"/>
      <c r="AF379" s="68"/>
      <c r="AG379" s="68"/>
      <c r="AH379" s="68"/>
      <c r="AI379" s="38"/>
      <c r="AJ379" s="38"/>
      <c r="AK379" s="38"/>
      <c r="AL379" s="38"/>
      <c r="AM379" s="38"/>
      <c r="AN379" s="38"/>
      <c r="AO379" s="69"/>
      <c r="AP379" s="69"/>
      <c r="AQ379" s="69"/>
      <c r="AR379" s="69"/>
      <c r="AS379" s="68"/>
      <c r="AT379" s="66" t="e">
        <f>VLOOKUP(K379,[4]Planilha1!A$13:P$314,16,0)</f>
        <v>#N/A</v>
      </c>
    </row>
    <row r="380" spans="1:46" s="63" customFormat="1" x14ac:dyDescent="0.25">
      <c r="A380" s="82"/>
      <c r="B380" s="82"/>
      <c r="C380" s="64"/>
      <c r="D380" s="64"/>
      <c r="E380" s="64"/>
      <c r="F380" s="64"/>
      <c r="G380" s="64"/>
      <c r="H380" s="64"/>
      <c r="I380" s="64"/>
      <c r="J380" s="64"/>
      <c r="K380" s="64"/>
      <c r="L380" s="64"/>
      <c r="M380" s="64"/>
      <c r="N380" s="406"/>
      <c r="O380" s="64"/>
      <c r="P380" s="410"/>
      <c r="Q380" s="64"/>
      <c r="R380" s="401">
        <f t="shared" si="34"/>
        <v>0</v>
      </c>
      <c r="S380" s="401"/>
      <c r="T380" s="401"/>
      <c r="U380" s="64" t="s">
        <v>8535</v>
      </c>
      <c r="V380" s="64"/>
      <c r="W380" s="413">
        <f t="shared" si="33"/>
        <v>0</v>
      </c>
      <c r="X380" s="403">
        <v>0</v>
      </c>
      <c r="Y380" s="403">
        <v>0</v>
      </c>
      <c r="Z380" s="403">
        <v>0</v>
      </c>
      <c r="AA380" s="38"/>
      <c r="AB380" s="409"/>
      <c r="AC380" s="38"/>
      <c r="AD380" s="68"/>
      <c r="AE380" s="68"/>
      <c r="AF380" s="68"/>
      <c r="AG380" s="68"/>
      <c r="AH380" s="68"/>
      <c r="AI380" s="38"/>
      <c r="AJ380" s="38"/>
      <c r="AK380" s="38"/>
      <c r="AL380" s="38"/>
      <c r="AM380" s="38"/>
      <c r="AN380" s="38"/>
      <c r="AO380" s="69"/>
      <c r="AP380" s="69"/>
      <c r="AQ380" s="69"/>
      <c r="AR380" s="69"/>
      <c r="AS380" s="68"/>
      <c r="AT380" s="66" t="e">
        <f>VLOOKUP(K380,[4]Planilha1!A$13:P$314,16,0)</f>
        <v>#N/A</v>
      </c>
    </row>
    <row r="381" spans="1:46" s="63" customFormat="1" x14ac:dyDescent="0.25">
      <c r="A381" s="82"/>
      <c r="B381" s="82"/>
      <c r="C381" s="64"/>
      <c r="D381" s="64"/>
      <c r="E381" s="64"/>
      <c r="F381" s="64"/>
      <c r="G381" s="64"/>
      <c r="H381" s="64"/>
      <c r="I381" s="64"/>
      <c r="J381" s="64"/>
      <c r="K381" s="64"/>
      <c r="L381" s="64"/>
      <c r="M381" s="64"/>
      <c r="N381" s="406"/>
      <c r="O381" s="64"/>
      <c r="P381" s="410"/>
      <c r="Q381" s="64"/>
      <c r="R381" s="401">
        <f t="shared" si="34"/>
        <v>0</v>
      </c>
      <c r="S381" s="401"/>
      <c r="T381" s="401"/>
      <c r="U381" s="64" t="s">
        <v>8535</v>
      </c>
      <c r="V381" s="64"/>
      <c r="W381" s="413">
        <f t="shared" si="33"/>
        <v>0</v>
      </c>
      <c r="X381" s="403">
        <v>0</v>
      </c>
      <c r="Y381" s="403">
        <v>0</v>
      </c>
      <c r="Z381" s="403">
        <v>0</v>
      </c>
      <c r="AA381" s="38"/>
      <c r="AB381" s="409"/>
      <c r="AC381" s="38"/>
      <c r="AD381" s="68"/>
      <c r="AE381" s="68"/>
      <c r="AF381" s="68"/>
      <c r="AG381" s="68"/>
      <c r="AH381" s="68"/>
      <c r="AI381" s="38"/>
      <c r="AJ381" s="38"/>
      <c r="AK381" s="38"/>
      <c r="AL381" s="38"/>
      <c r="AM381" s="38"/>
      <c r="AN381" s="38"/>
      <c r="AO381" s="69"/>
      <c r="AP381" s="69"/>
      <c r="AQ381" s="69"/>
      <c r="AR381" s="69"/>
      <c r="AS381" s="68"/>
      <c r="AT381" s="66" t="e">
        <f>VLOOKUP(K381,[4]Planilha1!A$13:P$314,16,0)</f>
        <v>#N/A</v>
      </c>
    </row>
    <row r="382" spans="1:46" s="63" customFormat="1" x14ac:dyDescent="0.25">
      <c r="A382" s="82"/>
      <c r="B382" s="82"/>
      <c r="C382" s="64"/>
      <c r="D382" s="64"/>
      <c r="E382" s="64"/>
      <c r="F382" s="64"/>
      <c r="G382" s="64"/>
      <c r="H382" s="64"/>
      <c r="I382" s="64"/>
      <c r="J382" s="64"/>
      <c r="K382" s="64"/>
      <c r="L382" s="64"/>
      <c r="M382" s="64"/>
      <c r="N382" s="406"/>
      <c r="O382" s="64"/>
      <c r="P382" s="410"/>
      <c r="Q382" s="64"/>
      <c r="R382" s="401">
        <f t="shared" si="34"/>
        <v>0</v>
      </c>
      <c r="S382" s="401"/>
      <c r="T382" s="401"/>
      <c r="U382" s="64" t="s">
        <v>8535</v>
      </c>
      <c r="V382" s="64"/>
      <c r="W382" s="413">
        <f t="shared" si="33"/>
        <v>0</v>
      </c>
      <c r="X382" s="403">
        <v>0</v>
      </c>
      <c r="Y382" s="403">
        <v>0</v>
      </c>
      <c r="Z382" s="403">
        <v>0</v>
      </c>
      <c r="AA382" s="38"/>
      <c r="AB382" s="409"/>
      <c r="AC382" s="38"/>
      <c r="AD382" s="68"/>
      <c r="AE382" s="68"/>
      <c r="AF382" s="68"/>
      <c r="AG382" s="68"/>
      <c r="AH382" s="68"/>
      <c r="AI382" s="38"/>
      <c r="AJ382" s="38"/>
      <c r="AK382" s="38"/>
      <c r="AL382" s="38"/>
      <c r="AM382" s="38"/>
      <c r="AN382" s="38"/>
      <c r="AO382" s="69"/>
      <c r="AP382" s="69"/>
      <c r="AQ382" s="69"/>
      <c r="AR382" s="69"/>
      <c r="AS382" s="68"/>
      <c r="AT382" s="66" t="e">
        <f>VLOOKUP(K382,[4]Planilha1!A$13:P$314,16,0)</f>
        <v>#N/A</v>
      </c>
    </row>
    <row r="383" spans="1:46" s="63" customFormat="1" x14ac:dyDescent="0.25">
      <c r="A383" s="82"/>
      <c r="B383" s="82"/>
      <c r="C383" s="64"/>
      <c r="D383" s="64"/>
      <c r="E383" s="64"/>
      <c r="F383" s="64"/>
      <c r="G383" s="64"/>
      <c r="H383" s="64"/>
      <c r="I383" s="64"/>
      <c r="J383" s="64"/>
      <c r="K383" s="64"/>
      <c r="L383" s="64"/>
      <c r="M383" s="64"/>
      <c r="N383" s="406"/>
      <c r="O383" s="64"/>
      <c r="P383" s="410"/>
      <c r="Q383" s="64"/>
      <c r="R383" s="401">
        <f t="shared" si="34"/>
        <v>0</v>
      </c>
      <c r="S383" s="401"/>
      <c r="T383" s="401"/>
      <c r="U383" s="64" t="s">
        <v>8535</v>
      </c>
      <c r="V383" s="64"/>
      <c r="W383" s="413">
        <f t="shared" si="33"/>
        <v>0</v>
      </c>
      <c r="X383" s="403">
        <v>0</v>
      </c>
      <c r="Y383" s="403">
        <v>0</v>
      </c>
      <c r="Z383" s="403">
        <v>0</v>
      </c>
      <c r="AA383" s="38"/>
      <c r="AB383" s="409"/>
      <c r="AC383" s="38"/>
      <c r="AD383" s="68"/>
      <c r="AE383" s="68"/>
      <c r="AF383" s="68"/>
      <c r="AG383" s="68"/>
      <c r="AH383" s="68"/>
      <c r="AI383" s="38"/>
      <c r="AJ383" s="38"/>
      <c r="AK383" s="38"/>
      <c r="AL383" s="38"/>
      <c r="AM383" s="38"/>
      <c r="AN383" s="38"/>
      <c r="AO383" s="69"/>
      <c r="AP383" s="69"/>
      <c r="AQ383" s="69"/>
      <c r="AR383" s="69"/>
      <c r="AS383" s="68"/>
      <c r="AT383" s="66" t="e">
        <f>VLOOKUP(K383,[4]Planilha1!A$13:P$314,16,0)</f>
        <v>#N/A</v>
      </c>
    </row>
    <row r="384" spans="1:46" s="63" customFormat="1" x14ac:dyDescent="0.25">
      <c r="A384" s="82"/>
      <c r="B384" s="82"/>
      <c r="C384" s="64"/>
      <c r="D384" s="64"/>
      <c r="E384" s="64"/>
      <c r="F384" s="64"/>
      <c r="G384" s="64"/>
      <c r="H384" s="64"/>
      <c r="I384" s="64"/>
      <c r="J384" s="64"/>
      <c r="K384" s="64"/>
      <c r="L384" s="64"/>
      <c r="M384" s="64"/>
      <c r="N384" s="406"/>
      <c r="O384" s="64"/>
      <c r="P384" s="410"/>
      <c r="Q384" s="64"/>
      <c r="R384" s="401">
        <f t="shared" si="34"/>
        <v>0</v>
      </c>
      <c r="S384" s="401"/>
      <c r="T384" s="401"/>
      <c r="U384" s="64" t="s">
        <v>8535</v>
      </c>
      <c r="V384" s="64"/>
      <c r="W384" s="413">
        <f t="shared" si="33"/>
        <v>0</v>
      </c>
      <c r="X384" s="403">
        <v>0</v>
      </c>
      <c r="Y384" s="403">
        <v>0</v>
      </c>
      <c r="Z384" s="403">
        <v>0</v>
      </c>
      <c r="AA384" s="38"/>
      <c r="AB384" s="409"/>
      <c r="AC384" s="38"/>
      <c r="AD384" s="68"/>
      <c r="AE384" s="68"/>
      <c r="AF384" s="68"/>
      <c r="AG384" s="68"/>
      <c r="AH384" s="68"/>
      <c r="AI384" s="38"/>
      <c r="AJ384" s="38"/>
      <c r="AK384" s="38"/>
      <c r="AL384" s="38"/>
      <c r="AM384" s="38"/>
      <c r="AN384" s="38"/>
      <c r="AO384" s="69"/>
      <c r="AP384" s="69"/>
      <c r="AQ384" s="69"/>
      <c r="AR384" s="69"/>
      <c r="AS384" s="68"/>
      <c r="AT384" s="66" t="e">
        <f>VLOOKUP(K384,[4]Planilha1!A$13:P$314,16,0)</f>
        <v>#N/A</v>
      </c>
    </row>
    <row r="385" spans="1:46" s="63" customFormat="1" x14ac:dyDescent="0.25">
      <c r="A385" s="82"/>
      <c r="B385" s="82"/>
      <c r="C385" s="64"/>
      <c r="D385" s="64"/>
      <c r="E385" s="64"/>
      <c r="F385" s="64"/>
      <c r="G385" s="64"/>
      <c r="H385" s="64"/>
      <c r="I385" s="64"/>
      <c r="J385" s="64"/>
      <c r="K385" s="64"/>
      <c r="L385" s="64"/>
      <c r="M385" s="64"/>
      <c r="N385" s="406"/>
      <c r="O385" s="64"/>
      <c r="P385" s="410"/>
      <c r="Q385" s="64"/>
      <c r="R385" s="401">
        <f t="shared" si="34"/>
        <v>0</v>
      </c>
      <c r="S385" s="401"/>
      <c r="T385" s="401"/>
      <c r="U385" s="64" t="s">
        <v>8535</v>
      </c>
      <c r="V385" s="64"/>
      <c r="W385" s="413">
        <f t="shared" si="33"/>
        <v>0</v>
      </c>
      <c r="X385" s="403">
        <v>0</v>
      </c>
      <c r="Y385" s="403">
        <v>0</v>
      </c>
      <c r="Z385" s="403">
        <v>0</v>
      </c>
      <c r="AA385" s="38"/>
      <c r="AB385" s="409"/>
      <c r="AC385" s="38"/>
      <c r="AD385" s="68"/>
      <c r="AE385" s="68"/>
      <c r="AF385" s="68"/>
      <c r="AG385" s="68"/>
      <c r="AH385" s="68"/>
      <c r="AI385" s="38"/>
      <c r="AJ385" s="38"/>
      <c r="AK385" s="38"/>
      <c r="AL385" s="38"/>
      <c r="AM385" s="38"/>
      <c r="AN385" s="38"/>
      <c r="AO385" s="69"/>
      <c r="AP385" s="69"/>
      <c r="AQ385" s="69"/>
      <c r="AR385" s="69"/>
      <c r="AS385" s="68"/>
      <c r="AT385" s="66" t="e">
        <f>VLOOKUP(K385,[4]Planilha1!A$13:P$314,16,0)</f>
        <v>#N/A</v>
      </c>
    </row>
    <row r="386" spans="1:46" s="63" customFormat="1" x14ac:dyDescent="0.25">
      <c r="A386" s="82"/>
      <c r="B386" s="82"/>
      <c r="C386" s="64"/>
      <c r="D386" s="64"/>
      <c r="E386" s="64"/>
      <c r="F386" s="64"/>
      <c r="G386" s="64"/>
      <c r="H386" s="64"/>
      <c r="I386" s="64"/>
      <c r="J386" s="64"/>
      <c r="K386" s="64"/>
      <c r="L386" s="64"/>
      <c r="M386" s="64"/>
      <c r="N386" s="406"/>
      <c r="O386" s="64"/>
      <c r="P386" s="410"/>
      <c r="Q386" s="64"/>
      <c r="R386" s="401">
        <f t="shared" si="34"/>
        <v>0</v>
      </c>
      <c r="S386" s="401"/>
      <c r="T386" s="401"/>
      <c r="U386" s="64" t="s">
        <v>8535</v>
      </c>
      <c r="V386" s="64"/>
      <c r="W386" s="413">
        <f t="shared" si="33"/>
        <v>0</v>
      </c>
      <c r="X386" s="403">
        <v>0</v>
      </c>
      <c r="Y386" s="403">
        <v>0</v>
      </c>
      <c r="Z386" s="403">
        <v>0</v>
      </c>
      <c r="AA386" s="38"/>
      <c r="AB386" s="409"/>
      <c r="AC386" s="38"/>
      <c r="AD386" s="68"/>
      <c r="AE386" s="68"/>
      <c r="AF386" s="68"/>
      <c r="AG386" s="68"/>
      <c r="AH386" s="68"/>
      <c r="AI386" s="38"/>
      <c r="AJ386" s="38"/>
      <c r="AK386" s="38"/>
      <c r="AL386" s="38"/>
      <c r="AM386" s="38"/>
      <c r="AN386" s="38"/>
      <c r="AO386" s="69"/>
      <c r="AP386" s="69"/>
      <c r="AQ386" s="69"/>
      <c r="AR386" s="69"/>
      <c r="AS386" s="68"/>
      <c r="AT386" s="66" t="e">
        <f>VLOOKUP(K386,[4]Planilha1!A$13:P$314,16,0)</f>
        <v>#N/A</v>
      </c>
    </row>
    <row r="387" spans="1:46" s="63" customFormat="1" x14ac:dyDescent="0.25">
      <c r="A387" s="82"/>
      <c r="B387" s="82"/>
      <c r="C387" s="64"/>
      <c r="D387" s="64"/>
      <c r="E387" s="64"/>
      <c r="F387" s="64"/>
      <c r="G387" s="64"/>
      <c r="H387" s="64"/>
      <c r="I387" s="64"/>
      <c r="J387" s="64"/>
      <c r="K387" s="64"/>
      <c r="L387" s="64"/>
      <c r="M387" s="64"/>
      <c r="N387" s="406"/>
      <c r="O387" s="64"/>
      <c r="P387" s="410"/>
      <c r="Q387" s="64"/>
      <c r="R387" s="401">
        <f t="shared" si="34"/>
        <v>0</v>
      </c>
      <c r="S387" s="401"/>
      <c r="T387" s="401"/>
      <c r="U387" s="64" t="s">
        <v>8535</v>
      </c>
      <c r="V387" s="64"/>
      <c r="W387" s="413">
        <f t="shared" si="33"/>
        <v>0</v>
      </c>
      <c r="X387" s="403">
        <v>0</v>
      </c>
      <c r="Y387" s="403">
        <v>0</v>
      </c>
      <c r="Z387" s="403">
        <v>0</v>
      </c>
      <c r="AA387" s="38"/>
      <c r="AB387" s="409"/>
      <c r="AC387" s="38"/>
      <c r="AD387" s="68"/>
      <c r="AE387" s="68"/>
      <c r="AF387" s="68"/>
      <c r="AG387" s="68"/>
      <c r="AH387" s="68"/>
      <c r="AI387" s="38"/>
      <c r="AJ387" s="38"/>
      <c r="AK387" s="38"/>
      <c r="AL387" s="38"/>
      <c r="AM387" s="38"/>
      <c r="AN387" s="38"/>
      <c r="AO387" s="69"/>
      <c r="AP387" s="69"/>
      <c r="AQ387" s="69"/>
      <c r="AR387" s="69"/>
      <c r="AS387" s="68"/>
      <c r="AT387" s="66" t="e">
        <f>VLOOKUP(K387,[4]Planilha1!A$13:P$314,16,0)</f>
        <v>#N/A</v>
      </c>
    </row>
    <row r="388" spans="1:46" s="63" customFormat="1" x14ac:dyDescent="0.25">
      <c r="A388" s="82"/>
      <c r="B388" s="82"/>
      <c r="C388" s="64"/>
      <c r="D388" s="64"/>
      <c r="E388" s="64"/>
      <c r="F388" s="64"/>
      <c r="G388" s="64"/>
      <c r="H388" s="64"/>
      <c r="I388" s="64"/>
      <c r="J388" s="64"/>
      <c r="K388" s="64"/>
      <c r="L388" s="64"/>
      <c r="M388" s="64"/>
      <c r="N388" s="406"/>
      <c r="O388" s="64"/>
      <c r="P388" s="410"/>
      <c r="Q388" s="64"/>
      <c r="R388" s="401">
        <f t="shared" si="34"/>
        <v>0</v>
      </c>
      <c r="S388" s="401"/>
      <c r="T388" s="401"/>
      <c r="U388" s="64" t="s">
        <v>8535</v>
      </c>
      <c r="V388" s="64"/>
      <c r="W388" s="413">
        <f t="shared" si="33"/>
        <v>0</v>
      </c>
      <c r="X388" s="403">
        <v>0</v>
      </c>
      <c r="Y388" s="403">
        <v>0</v>
      </c>
      <c r="Z388" s="403">
        <v>0</v>
      </c>
      <c r="AA388" s="38"/>
      <c r="AB388" s="409"/>
      <c r="AC388" s="38"/>
      <c r="AD388" s="68"/>
      <c r="AE388" s="68"/>
      <c r="AF388" s="68"/>
      <c r="AG388" s="68"/>
      <c r="AH388" s="68"/>
      <c r="AI388" s="38"/>
      <c r="AJ388" s="38"/>
      <c r="AK388" s="38"/>
      <c r="AL388" s="38"/>
      <c r="AM388" s="38"/>
      <c r="AN388" s="38"/>
      <c r="AO388" s="69"/>
      <c r="AP388" s="69"/>
      <c r="AQ388" s="69"/>
      <c r="AR388" s="69"/>
      <c r="AS388" s="68"/>
      <c r="AT388" s="66" t="e">
        <f>VLOOKUP(K388,[4]Planilha1!A$13:P$314,16,0)</f>
        <v>#N/A</v>
      </c>
    </row>
    <row r="389" spans="1:46" s="63" customFormat="1" x14ac:dyDescent="0.25">
      <c r="A389" s="82"/>
      <c r="B389" s="82"/>
      <c r="C389" s="64"/>
      <c r="D389" s="64"/>
      <c r="E389" s="64"/>
      <c r="F389" s="64"/>
      <c r="G389" s="64"/>
      <c r="H389" s="64"/>
      <c r="I389" s="64"/>
      <c r="J389" s="64"/>
      <c r="K389" s="64"/>
      <c r="L389" s="64"/>
      <c r="M389" s="64"/>
      <c r="N389" s="406"/>
      <c r="O389" s="64"/>
      <c r="P389" s="410"/>
      <c r="Q389" s="64"/>
      <c r="R389" s="401">
        <f t="shared" si="34"/>
        <v>0</v>
      </c>
      <c r="S389" s="401"/>
      <c r="T389" s="401"/>
      <c r="U389" s="64" t="s">
        <v>8535</v>
      </c>
      <c r="V389" s="64"/>
      <c r="W389" s="413">
        <f t="shared" si="33"/>
        <v>0</v>
      </c>
      <c r="X389" s="403">
        <v>0</v>
      </c>
      <c r="Y389" s="403">
        <v>0</v>
      </c>
      <c r="Z389" s="403">
        <v>0</v>
      </c>
      <c r="AA389" s="38"/>
      <c r="AB389" s="409"/>
      <c r="AC389" s="38"/>
      <c r="AD389" s="68"/>
      <c r="AE389" s="68"/>
      <c r="AF389" s="68"/>
      <c r="AG389" s="68"/>
      <c r="AH389" s="68"/>
      <c r="AI389" s="38"/>
      <c r="AJ389" s="38"/>
      <c r="AK389" s="38"/>
      <c r="AL389" s="38"/>
      <c r="AM389" s="38"/>
      <c r="AN389" s="38"/>
      <c r="AO389" s="69"/>
      <c r="AP389" s="69"/>
      <c r="AQ389" s="69"/>
      <c r="AR389" s="69"/>
      <c r="AS389" s="68"/>
      <c r="AT389" s="66" t="e">
        <f>VLOOKUP(K389,[4]Planilha1!A$13:P$314,16,0)</f>
        <v>#N/A</v>
      </c>
    </row>
    <row r="390" spans="1:46" s="63" customFormat="1" x14ac:dyDescent="0.25">
      <c r="A390" s="82"/>
      <c r="B390" s="82"/>
      <c r="C390" s="64"/>
      <c r="D390" s="64"/>
      <c r="E390" s="64"/>
      <c r="F390" s="64"/>
      <c r="G390" s="64"/>
      <c r="H390" s="64"/>
      <c r="I390" s="64"/>
      <c r="J390" s="64"/>
      <c r="K390" s="64"/>
      <c r="L390" s="64"/>
      <c r="M390" s="64"/>
      <c r="N390" s="406"/>
      <c r="O390" s="64"/>
      <c r="P390" s="410"/>
      <c r="Q390" s="64"/>
      <c r="R390" s="401">
        <f t="shared" si="34"/>
        <v>0</v>
      </c>
      <c r="S390" s="401"/>
      <c r="T390" s="401"/>
      <c r="U390" s="64"/>
      <c r="V390" s="64"/>
      <c r="W390" s="413">
        <f t="shared" si="33"/>
        <v>0</v>
      </c>
      <c r="X390" s="403">
        <v>0</v>
      </c>
      <c r="Y390" s="403">
        <v>0</v>
      </c>
      <c r="Z390" s="403">
        <v>0</v>
      </c>
      <c r="AA390" s="38"/>
      <c r="AB390" s="409"/>
      <c r="AC390" s="38"/>
      <c r="AD390" s="68"/>
      <c r="AE390" s="68"/>
      <c r="AF390" s="68"/>
      <c r="AG390" s="68"/>
      <c r="AH390" s="68"/>
      <c r="AI390" s="38"/>
      <c r="AJ390" s="38"/>
      <c r="AK390" s="38"/>
      <c r="AL390" s="38"/>
      <c r="AM390" s="38"/>
      <c r="AN390" s="38"/>
      <c r="AO390" s="69"/>
      <c r="AP390" s="69"/>
      <c r="AQ390" s="69"/>
      <c r="AR390" s="69"/>
      <c r="AS390" s="68"/>
      <c r="AT390" s="66" t="e">
        <f>VLOOKUP(K390,[4]Planilha1!A$13:P$314,16,0)</f>
        <v>#N/A</v>
      </c>
    </row>
    <row r="391" spans="1:46" s="63" customFormat="1" x14ac:dyDescent="0.25">
      <c r="A391" s="82"/>
      <c r="B391" s="82"/>
      <c r="C391" s="64"/>
      <c r="D391" s="64"/>
      <c r="E391" s="64"/>
      <c r="F391" s="64"/>
      <c r="G391" s="64"/>
      <c r="H391" s="64"/>
      <c r="I391" s="64"/>
      <c r="J391" s="64"/>
      <c r="K391" s="64"/>
      <c r="L391" s="64"/>
      <c r="M391" s="64"/>
      <c r="N391" s="406"/>
      <c r="O391" s="64"/>
      <c r="P391" s="410"/>
      <c r="Q391" s="64"/>
      <c r="R391" s="401">
        <f t="shared" si="34"/>
        <v>0</v>
      </c>
      <c r="S391" s="401"/>
      <c r="T391" s="401"/>
      <c r="U391" s="64"/>
      <c r="V391" s="64"/>
      <c r="W391" s="413">
        <f t="shared" si="33"/>
        <v>0</v>
      </c>
      <c r="X391" s="403">
        <v>0</v>
      </c>
      <c r="Y391" s="403">
        <v>0</v>
      </c>
      <c r="Z391" s="403">
        <v>0</v>
      </c>
      <c r="AA391" s="38"/>
      <c r="AB391" s="409"/>
      <c r="AC391" s="38"/>
      <c r="AD391" s="68"/>
      <c r="AE391" s="68"/>
      <c r="AF391" s="68"/>
      <c r="AG391" s="68"/>
      <c r="AH391" s="68"/>
      <c r="AI391" s="38"/>
      <c r="AJ391" s="38"/>
      <c r="AK391" s="38"/>
      <c r="AL391" s="38"/>
      <c r="AM391" s="38"/>
      <c r="AN391" s="38"/>
      <c r="AO391" s="69"/>
      <c r="AP391" s="69"/>
      <c r="AQ391" s="69"/>
      <c r="AR391" s="69"/>
      <c r="AS391" s="68"/>
      <c r="AT391" s="66" t="e">
        <f>VLOOKUP(K391,[4]Planilha1!A$13:P$314,16,0)</f>
        <v>#N/A</v>
      </c>
    </row>
    <row r="392" spans="1:46" s="63" customFormat="1" x14ac:dyDescent="0.25">
      <c r="A392" s="82"/>
      <c r="B392" s="82"/>
      <c r="C392" s="64"/>
      <c r="D392" s="64"/>
      <c r="E392" s="64"/>
      <c r="F392" s="64"/>
      <c r="G392" s="64"/>
      <c r="H392" s="64"/>
      <c r="I392" s="64"/>
      <c r="J392" s="64"/>
      <c r="K392" s="64"/>
      <c r="L392" s="64"/>
      <c r="M392" s="64"/>
      <c r="N392" s="406"/>
      <c r="O392" s="64"/>
      <c r="P392" s="410"/>
      <c r="Q392" s="64"/>
      <c r="R392" s="401">
        <f t="shared" si="34"/>
        <v>0</v>
      </c>
      <c r="S392" s="401"/>
      <c r="T392" s="401"/>
      <c r="U392" s="64"/>
      <c r="V392" s="64"/>
      <c r="W392" s="413">
        <f t="shared" si="33"/>
        <v>0</v>
      </c>
      <c r="X392" s="403">
        <v>0</v>
      </c>
      <c r="Y392" s="403">
        <v>0</v>
      </c>
      <c r="Z392" s="403">
        <v>0</v>
      </c>
      <c r="AA392" s="38"/>
      <c r="AB392" s="409"/>
      <c r="AC392" s="38"/>
      <c r="AD392" s="68"/>
      <c r="AE392" s="68"/>
      <c r="AF392" s="68"/>
      <c r="AG392" s="68"/>
      <c r="AH392" s="68"/>
      <c r="AI392" s="38"/>
      <c r="AJ392" s="38"/>
      <c r="AK392" s="38"/>
      <c r="AL392" s="38"/>
      <c r="AM392" s="38"/>
      <c r="AN392" s="38"/>
      <c r="AO392" s="69"/>
      <c r="AP392" s="69"/>
      <c r="AQ392" s="69"/>
      <c r="AR392" s="69"/>
      <c r="AS392" s="68"/>
      <c r="AT392" s="66" t="e">
        <f>VLOOKUP(K392,[4]Planilha1!A$13:P$314,16,0)</f>
        <v>#N/A</v>
      </c>
    </row>
    <row r="393" spans="1:46" s="63" customFormat="1" x14ac:dyDescent="0.25">
      <c r="A393" s="82"/>
      <c r="B393" s="82"/>
      <c r="C393" s="64"/>
      <c r="D393" s="64"/>
      <c r="E393" s="64"/>
      <c r="F393" s="64"/>
      <c r="G393" s="64"/>
      <c r="H393" s="64"/>
      <c r="I393" s="64"/>
      <c r="J393" s="64"/>
      <c r="K393" s="64"/>
      <c r="L393" s="64"/>
      <c r="M393" s="64"/>
      <c r="N393" s="406"/>
      <c r="O393" s="64"/>
      <c r="P393" s="410"/>
      <c r="Q393" s="64"/>
      <c r="R393" s="401">
        <f t="shared" si="34"/>
        <v>0</v>
      </c>
      <c r="S393" s="401"/>
      <c r="T393" s="401"/>
      <c r="U393" s="64"/>
      <c r="V393" s="64"/>
      <c r="W393" s="413">
        <f t="shared" si="33"/>
        <v>0</v>
      </c>
      <c r="X393" s="403">
        <v>0</v>
      </c>
      <c r="Y393" s="403">
        <v>0</v>
      </c>
      <c r="Z393" s="403">
        <v>0</v>
      </c>
      <c r="AA393" s="38"/>
      <c r="AB393" s="409"/>
      <c r="AC393" s="38"/>
      <c r="AD393" s="68"/>
      <c r="AE393" s="68"/>
      <c r="AF393" s="68"/>
      <c r="AG393" s="68"/>
      <c r="AH393" s="68"/>
      <c r="AI393" s="38"/>
      <c r="AJ393" s="38"/>
      <c r="AK393" s="38"/>
      <c r="AL393" s="38"/>
      <c r="AM393" s="38"/>
      <c r="AN393" s="38"/>
      <c r="AO393" s="69"/>
      <c r="AP393" s="69"/>
      <c r="AQ393" s="69"/>
      <c r="AR393" s="69"/>
      <c r="AS393" s="68"/>
      <c r="AT393" s="66" t="e">
        <f>VLOOKUP(K393,[4]Planilha1!A$13:P$314,16,0)</f>
        <v>#N/A</v>
      </c>
    </row>
    <row r="394" spans="1:46" s="63" customFormat="1" x14ac:dyDescent="0.25">
      <c r="A394" s="82"/>
      <c r="B394" s="82"/>
      <c r="C394" s="64"/>
      <c r="D394" s="64"/>
      <c r="E394" s="64"/>
      <c r="F394" s="64"/>
      <c r="G394" s="64"/>
      <c r="H394" s="64"/>
      <c r="I394" s="64"/>
      <c r="J394" s="64"/>
      <c r="K394" s="64"/>
      <c r="L394" s="64"/>
      <c r="M394" s="64"/>
      <c r="N394" s="406"/>
      <c r="O394" s="64"/>
      <c r="P394" s="410"/>
      <c r="Q394" s="64"/>
      <c r="R394" s="401">
        <f t="shared" si="34"/>
        <v>0</v>
      </c>
      <c r="S394" s="401"/>
      <c r="T394" s="401"/>
      <c r="U394" s="64"/>
      <c r="V394" s="64"/>
      <c r="W394" s="413">
        <f t="shared" si="33"/>
        <v>0</v>
      </c>
      <c r="X394" s="403">
        <v>0</v>
      </c>
      <c r="Y394" s="403">
        <v>0</v>
      </c>
      <c r="Z394" s="403">
        <v>0</v>
      </c>
      <c r="AA394" s="38"/>
      <c r="AB394" s="409"/>
      <c r="AC394" s="38"/>
      <c r="AD394" s="68"/>
      <c r="AE394" s="68"/>
      <c r="AF394" s="68"/>
      <c r="AG394" s="68"/>
      <c r="AH394" s="68"/>
      <c r="AI394" s="38"/>
      <c r="AJ394" s="38"/>
      <c r="AK394" s="38"/>
      <c r="AL394" s="38"/>
      <c r="AM394" s="38"/>
      <c r="AN394" s="38"/>
      <c r="AO394" s="69"/>
      <c r="AP394" s="69"/>
      <c r="AQ394" s="69"/>
      <c r="AR394" s="69"/>
      <c r="AS394" s="68"/>
      <c r="AT394" s="66" t="e">
        <f>VLOOKUP(K394,[4]Planilha1!A$13:P$314,16,0)</f>
        <v>#N/A</v>
      </c>
    </row>
    <row r="395" spans="1:46" s="63" customFormat="1" x14ac:dyDescent="0.25">
      <c r="A395" s="82"/>
      <c r="B395" s="82"/>
      <c r="C395" s="64"/>
      <c r="D395" s="64"/>
      <c r="E395" s="64"/>
      <c r="F395" s="64"/>
      <c r="G395" s="64"/>
      <c r="H395" s="64"/>
      <c r="I395" s="64"/>
      <c r="J395" s="64"/>
      <c r="K395" s="64"/>
      <c r="L395" s="64"/>
      <c r="M395" s="64"/>
      <c r="N395" s="406"/>
      <c r="O395" s="64"/>
      <c r="P395" s="410"/>
      <c r="Q395" s="64"/>
      <c r="R395" s="401">
        <f t="shared" si="34"/>
        <v>0</v>
      </c>
      <c r="S395" s="401"/>
      <c r="T395" s="401"/>
      <c r="U395" s="64"/>
      <c r="V395" s="64"/>
      <c r="W395" s="413">
        <f t="shared" si="33"/>
        <v>0</v>
      </c>
      <c r="X395" s="403">
        <v>0</v>
      </c>
      <c r="Y395" s="403">
        <v>0</v>
      </c>
      <c r="Z395" s="403">
        <v>0</v>
      </c>
      <c r="AA395" s="38"/>
      <c r="AB395" s="409"/>
      <c r="AC395" s="38"/>
      <c r="AD395" s="68"/>
      <c r="AE395" s="68"/>
      <c r="AF395" s="68"/>
      <c r="AG395" s="68"/>
      <c r="AH395" s="68"/>
      <c r="AI395" s="38"/>
      <c r="AJ395" s="38"/>
      <c r="AK395" s="38"/>
      <c r="AL395" s="38"/>
      <c r="AM395" s="38"/>
      <c r="AN395" s="38"/>
      <c r="AO395" s="69"/>
      <c r="AP395" s="69"/>
      <c r="AQ395" s="69"/>
      <c r="AR395" s="69"/>
      <c r="AS395" s="68"/>
      <c r="AT395" s="66" t="e">
        <f>VLOOKUP(K395,[4]Planilha1!A$13:P$314,16,0)</f>
        <v>#N/A</v>
      </c>
    </row>
    <row r="396" spans="1:46" s="63" customFormat="1" x14ac:dyDescent="0.25">
      <c r="A396" s="82"/>
      <c r="B396" s="414"/>
      <c r="C396" s="64"/>
      <c r="D396" s="64"/>
      <c r="E396" s="64"/>
      <c r="F396" s="64"/>
      <c r="G396" s="64"/>
      <c r="H396" s="64"/>
      <c r="I396" s="64"/>
      <c r="J396" s="64"/>
      <c r="K396" s="64"/>
      <c r="L396" s="64"/>
      <c r="M396" s="64"/>
      <c r="N396" s="406"/>
      <c r="O396" s="64"/>
      <c r="P396" s="410"/>
      <c r="Q396" s="64"/>
      <c r="R396" s="401">
        <f t="shared" si="34"/>
        <v>0</v>
      </c>
      <c r="S396" s="401"/>
      <c r="T396" s="401"/>
      <c r="U396" s="64"/>
      <c r="V396" s="64"/>
      <c r="W396" s="413">
        <f t="shared" ref="W396:W397" si="35">V396*R396</f>
        <v>0</v>
      </c>
      <c r="X396" s="403">
        <v>0</v>
      </c>
      <c r="Y396" s="403">
        <v>0</v>
      </c>
      <c r="Z396" s="403">
        <v>0</v>
      </c>
      <c r="AA396" s="38"/>
      <c r="AB396" s="409"/>
      <c r="AC396" s="38"/>
      <c r="AD396" s="68"/>
      <c r="AE396" s="68"/>
      <c r="AF396" s="68"/>
      <c r="AG396" s="68"/>
      <c r="AH396" s="68"/>
      <c r="AI396" s="38"/>
      <c r="AJ396" s="38"/>
      <c r="AK396" s="38"/>
      <c r="AL396" s="38"/>
      <c r="AM396" s="38"/>
      <c r="AN396" s="38"/>
      <c r="AO396" s="69"/>
      <c r="AP396" s="69"/>
      <c r="AQ396" s="69"/>
      <c r="AR396" s="69"/>
      <c r="AS396" s="68"/>
      <c r="AT396" s="66" t="e">
        <f>VLOOKUP(K396,[4]Planilha1!A$13:P$314,16,0)</f>
        <v>#N/A</v>
      </c>
    </row>
    <row r="397" spans="1:46" x14ac:dyDescent="0.25">
      <c r="C397" s="64"/>
      <c r="D397" s="64"/>
      <c r="E397" s="64"/>
      <c r="F397" s="64"/>
      <c r="G397" s="64"/>
      <c r="H397" s="64"/>
      <c r="I397" s="64"/>
      <c r="J397" s="64"/>
      <c r="K397" s="64"/>
      <c r="L397" s="64"/>
      <c r="M397" s="64"/>
      <c r="N397" s="406"/>
      <c r="O397" s="64"/>
      <c r="P397" s="410"/>
      <c r="Q397" s="64"/>
      <c r="R397" s="401">
        <f t="shared" si="34"/>
        <v>0</v>
      </c>
      <c r="S397" s="401"/>
      <c r="T397" s="401"/>
      <c r="U397" s="64"/>
      <c r="V397" s="64"/>
      <c r="W397" s="413">
        <f t="shared" si="35"/>
        <v>0</v>
      </c>
      <c r="X397" s="403">
        <v>0</v>
      </c>
      <c r="Y397" s="403">
        <v>0</v>
      </c>
      <c r="Z397" s="403">
        <v>0</v>
      </c>
      <c r="AA397" s="38"/>
      <c r="AB397" s="409"/>
      <c r="AC397" s="38"/>
      <c r="AD397" s="68"/>
      <c r="AE397" s="68"/>
      <c r="AF397" s="68"/>
      <c r="AG397" s="68"/>
      <c r="AH397" s="68"/>
      <c r="AI397" s="38"/>
      <c r="AJ397" s="38"/>
      <c r="AK397" s="38"/>
      <c r="AL397" s="38"/>
      <c r="AM397" s="38"/>
      <c r="AN397" s="38"/>
      <c r="AO397" s="69"/>
      <c r="AP397" s="69"/>
      <c r="AQ397" s="69"/>
      <c r="AR397" s="69"/>
      <c r="AS397" s="68"/>
      <c r="AT397" s="66" t="e">
        <f>VLOOKUP(K397,[4]Planilha1!A$13:P$314,16,0)</f>
        <v>#N/A</v>
      </c>
    </row>
    <row r="398" spans="1:46" x14ac:dyDescent="0.25">
      <c r="C398" s="64"/>
      <c r="D398" s="1"/>
      <c r="E398" s="1"/>
      <c r="F398" s="1"/>
      <c r="G398" s="1"/>
      <c r="H398" s="1"/>
      <c r="I398" s="1"/>
      <c r="J398" s="1"/>
      <c r="K398" s="1"/>
      <c r="L398" s="1"/>
      <c r="M398" s="1"/>
      <c r="N398" s="406"/>
      <c r="O398" s="64"/>
      <c r="P398" s="416"/>
      <c r="Q398" s="64"/>
      <c r="R398" s="401">
        <f t="shared" si="34"/>
        <v>0</v>
      </c>
      <c r="S398" s="415"/>
      <c r="T398" s="415"/>
      <c r="U398" s="1"/>
      <c r="V398" s="1"/>
      <c r="W398" s="413">
        <f t="shared" ref="W398:W408" si="36">V398*R398</f>
        <v>0</v>
      </c>
      <c r="X398" s="403">
        <v>0</v>
      </c>
      <c r="Y398" s="403">
        <v>0</v>
      </c>
      <c r="Z398" s="403">
        <v>0</v>
      </c>
      <c r="AA398" s="38"/>
      <c r="AB398" s="38"/>
      <c r="AC398" s="38"/>
      <c r="AD398" s="415"/>
      <c r="AE398" s="415"/>
      <c r="AF398" s="415"/>
      <c r="AG398" s="415"/>
      <c r="AH398" s="415"/>
      <c r="AI398" s="38"/>
      <c r="AJ398" s="38"/>
      <c r="AK398" s="38"/>
      <c r="AL398" s="38"/>
      <c r="AM398" s="38"/>
      <c r="AN398" s="38"/>
      <c r="AO398" s="415"/>
      <c r="AP398" s="415"/>
      <c r="AQ398" s="415"/>
      <c r="AR398" s="415"/>
      <c r="AS398" s="415"/>
      <c r="AT398" s="1"/>
    </row>
    <row r="399" spans="1:46" x14ac:dyDescent="0.25">
      <c r="C399" s="64"/>
      <c r="D399" s="1"/>
      <c r="E399" s="1"/>
      <c r="F399" s="1"/>
      <c r="G399" s="1"/>
      <c r="H399" s="1"/>
      <c r="I399" s="1"/>
      <c r="J399" s="1"/>
      <c r="K399" s="1"/>
      <c r="L399" s="1"/>
      <c r="M399" s="1"/>
      <c r="N399" s="406"/>
      <c r="O399" s="64"/>
      <c r="P399" s="416"/>
      <c r="Q399" s="64"/>
      <c r="R399" s="401">
        <f t="shared" si="34"/>
        <v>0</v>
      </c>
      <c r="S399" s="415"/>
      <c r="T399" s="415"/>
      <c r="U399" s="1"/>
      <c r="V399" s="1"/>
      <c r="W399" s="413">
        <f t="shared" si="36"/>
        <v>0</v>
      </c>
      <c r="X399" s="403">
        <v>0</v>
      </c>
      <c r="Y399" s="403">
        <v>0</v>
      </c>
      <c r="Z399" s="403">
        <v>0</v>
      </c>
      <c r="AA399" s="38"/>
      <c r="AB399" s="38"/>
      <c r="AC399" s="38"/>
      <c r="AD399" s="415"/>
      <c r="AE399" s="415"/>
      <c r="AF399" s="415"/>
      <c r="AG399" s="415"/>
      <c r="AH399" s="415"/>
      <c r="AI399" s="38"/>
      <c r="AJ399" s="38"/>
      <c r="AK399" s="38"/>
      <c r="AL399" s="38"/>
      <c r="AM399" s="38"/>
      <c r="AN399" s="38"/>
      <c r="AO399" s="415"/>
      <c r="AP399" s="415"/>
      <c r="AQ399" s="415"/>
      <c r="AR399" s="415"/>
      <c r="AS399" s="415"/>
      <c r="AT399" s="1"/>
    </row>
    <row r="400" spans="1:46" x14ac:dyDescent="0.25">
      <c r="C400" s="64"/>
      <c r="D400" s="1"/>
      <c r="E400" s="1"/>
      <c r="F400" s="1"/>
      <c r="G400" s="1"/>
      <c r="H400" s="1"/>
      <c r="I400" s="1"/>
      <c r="J400" s="1"/>
      <c r="K400" s="1"/>
      <c r="L400" s="1"/>
      <c r="M400" s="1"/>
      <c r="N400" s="406"/>
      <c r="O400" s="64"/>
      <c r="P400" s="416"/>
      <c r="Q400" s="64"/>
      <c r="R400" s="401">
        <f t="shared" si="34"/>
        <v>0</v>
      </c>
      <c r="S400" s="415"/>
      <c r="T400" s="415"/>
      <c r="U400" s="1"/>
      <c r="V400" s="1"/>
      <c r="W400" s="413">
        <f t="shared" si="36"/>
        <v>0</v>
      </c>
      <c r="X400" s="403">
        <v>0</v>
      </c>
      <c r="Y400" s="403">
        <v>0</v>
      </c>
      <c r="Z400" s="403">
        <v>0</v>
      </c>
      <c r="AA400" s="38"/>
      <c r="AB400" s="38"/>
      <c r="AC400" s="38"/>
      <c r="AD400" s="415"/>
      <c r="AE400" s="415"/>
      <c r="AF400" s="415"/>
      <c r="AG400" s="415"/>
      <c r="AH400" s="415"/>
      <c r="AI400" s="38"/>
      <c r="AJ400" s="38"/>
      <c r="AK400" s="38"/>
      <c r="AL400" s="38"/>
      <c r="AM400" s="38"/>
      <c r="AN400" s="38"/>
      <c r="AO400" s="415"/>
      <c r="AP400" s="415"/>
      <c r="AQ400" s="415"/>
      <c r="AR400" s="415"/>
      <c r="AS400" s="415"/>
      <c r="AT400" s="1"/>
    </row>
    <row r="401" spans="3:46" x14ac:dyDescent="0.25">
      <c r="C401" s="64"/>
      <c r="D401" s="1"/>
      <c r="E401" s="1"/>
      <c r="F401" s="1"/>
      <c r="G401" s="1"/>
      <c r="H401" s="1"/>
      <c r="I401" s="1"/>
      <c r="J401" s="1"/>
      <c r="K401" s="1"/>
      <c r="L401" s="1"/>
      <c r="M401" s="1"/>
      <c r="N401" s="406"/>
      <c r="O401" s="64"/>
      <c r="P401" s="416"/>
      <c r="Q401" s="64"/>
      <c r="R401" s="401">
        <f t="shared" si="34"/>
        <v>0</v>
      </c>
      <c r="S401" s="415"/>
      <c r="T401" s="415"/>
      <c r="U401" s="1"/>
      <c r="V401" s="1"/>
      <c r="W401" s="413">
        <f t="shared" si="36"/>
        <v>0</v>
      </c>
      <c r="X401" s="403">
        <v>0</v>
      </c>
      <c r="Y401" s="403">
        <v>0</v>
      </c>
      <c r="Z401" s="403">
        <v>0</v>
      </c>
      <c r="AA401" s="38"/>
      <c r="AB401" s="38"/>
      <c r="AC401" s="38"/>
      <c r="AD401" s="415"/>
      <c r="AE401" s="415"/>
      <c r="AF401" s="415"/>
      <c r="AG401" s="415"/>
      <c r="AH401" s="415"/>
      <c r="AI401" s="38"/>
      <c r="AJ401" s="38"/>
      <c r="AK401" s="38"/>
      <c r="AL401" s="38"/>
      <c r="AM401" s="38"/>
      <c r="AN401" s="38"/>
      <c r="AO401" s="415"/>
      <c r="AP401" s="415"/>
      <c r="AQ401" s="415"/>
      <c r="AR401" s="415"/>
      <c r="AS401" s="415"/>
      <c r="AT401" s="1"/>
    </row>
    <row r="402" spans="3:46" x14ac:dyDescent="0.25">
      <c r="C402" s="64"/>
      <c r="D402" s="1"/>
      <c r="E402" s="1"/>
      <c r="F402" s="1"/>
      <c r="G402" s="1"/>
      <c r="H402" s="1"/>
      <c r="I402" s="1"/>
      <c r="J402" s="1"/>
      <c r="K402" s="1"/>
      <c r="L402" s="1"/>
      <c r="M402" s="1"/>
      <c r="N402" s="406"/>
      <c r="O402" s="64"/>
      <c r="P402" s="416"/>
      <c r="Q402" s="64"/>
      <c r="R402" s="401">
        <f t="shared" si="34"/>
        <v>0</v>
      </c>
      <c r="S402" s="415"/>
      <c r="T402" s="415"/>
      <c r="U402" s="1"/>
      <c r="V402" s="1"/>
      <c r="W402" s="413">
        <f t="shared" si="36"/>
        <v>0</v>
      </c>
      <c r="X402" s="403">
        <v>0</v>
      </c>
      <c r="Y402" s="403">
        <v>0</v>
      </c>
      <c r="Z402" s="403">
        <v>0</v>
      </c>
      <c r="AA402" s="38"/>
      <c r="AB402" s="38"/>
      <c r="AC402" s="38"/>
      <c r="AD402" s="415"/>
      <c r="AE402" s="415"/>
      <c r="AF402" s="415"/>
      <c r="AG402" s="415"/>
      <c r="AH402" s="415"/>
      <c r="AI402" s="38"/>
      <c r="AJ402" s="38"/>
      <c r="AK402" s="38"/>
      <c r="AL402" s="38"/>
      <c r="AM402" s="38"/>
      <c r="AN402" s="38"/>
      <c r="AO402" s="415"/>
      <c r="AP402" s="415"/>
      <c r="AQ402" s="415"/>
      <c r="AR402" s="415"/>
      <c r="AS402" s="415"/>
      <c r="AT402" s="1"/>
    </row>
    <row r="403" spans="3:46" x14ac:dyDescent="0.25">
      <c r="C403" s="64"/>
      <c r="D403" s="1"/>
      <c r="E403" s="1"/>
      <c r="F403" s="1"/>
      <c r="G403" s="1"/>
      <c r="H403" s="1"/>
      <c r="I403" s="1"/>
      <c r="J403" s="1"/>
      <c r="K403" s="1"/>
      <c r="L403" s="1"/>
      <c r="M403" s="1"/>
      <c r="N403" s="406"/>
      <c r="O403" s="64"/>
      <c r="P403" s="416"/>
      <c r="Q403" s="64"/>
      <c r="R403" s="401">
        <f t="shared" si="34"/>
        <v>0</v>
      </c>
      <c r="S403" s="415"/>
      <c r="T403" s="415"/>
      <c r="U403" s="1"/>
      <c r="V403" s="1"/>
      <c r="W403" s="413">
        <f t="shared" si="36"/>
        <v>0</v>
      </c>
      <c r="X403" s="403">
        <v>0</v>
      </c>
      <c r="Y403" s="403">
        <v>0</v>
      </c>
      <c r="Z403" s="403">
        <v>0</v>
      </c>
      <c r="AA403" s="38"/>
      <c r="AB403" s="38"/>
      <c r="AC403" s="38"/>
      <c r="AD403" s="415"/>
      <c r="AE403" s="415"/>
      <c r="AF403" s="415"/>
      <c r="AG403" s="415"/>
      <c r="AH403" s="415"/>
      <c r="AI403" s="38"/>
      <c r="AJ403" s="38"/>
      <c r="AK403" s="38"/>
      <c r="AL403" s="38"/>
      <c r="AM403" s="38"/>
      <c r="AN403" s="38"/>
      <c r="AO403" s="415"/>
      <c r="AP403" s="415"/>
      <c r="AQ403" s="415"/>
      <c r="AR403" s="415"/>
      <c r="AS403" s="415"/>
      <c r="AT403" s="1"/>
    </row>
    <row r="404" spans="3:46" x14ac:dyDescent="0.25">
      <c r="C404" s="64"/>
      <c r="D404" s="1"/>
      <c r="E404" s="1"/>
      <c r="F404" s="1"/>
      <c r="G404" s="1"/>
      <c r="H404" s="1"/>
      <c r="I404" s="1"/>
      <c r="J404" s="1"/>
      <c r="K404" s="1"/>
      <c r="L404" s="1"/>
      <c r="M404" s="1"/>
      <c r="N404" s="406"/>
      <c r="O404" s="64"/>
      <c r="P404" s="416"/>
      <c r="Q404" s="64"/>
      <c r="R404" s="401">
        <f t="shared" si="34"/>
        <v>0</v>
      </c>
      <c r="S404" s="415"/>
      <c r="T404" s="415"/>
      <c r="U404" s="1"/>
      <c r="V404" s="1"/>
      <c r="W404" s="413">
        <f t="shared" si="36"/>
        <v>0</v>
      </c>
      <c r="X404" s="403">
        <v>0</v>
      </c>
      <c r="Y404" s="403">
        <v>0</v>
      </c>
      <c r="Z404" s="403">
        <v>0</v>
      </c>
      <c r="AA404" s="38"/>
      <c r="AB404" s="38"/>
      <c r="AC404" s="38"/>
      <c r="AD404" s="415"/>
      <c r="AE404" s="415"/>
      <c r="AF404" s="415"/>
      <c r="AG404" s="415"/>
      <c r="AH404" s="415"/>
      <c r="AI404" s="38"/>
      <c r="AJ404" s="38"/>
      <c r="AK404" s="38"/>
      <c r="AL404" s="38"/>
      <c r="AM404" s="38"/>
      <c r="AN404" s="38"/>
      <c r="AO404" s="415"/>
      <c r="AP404" s="415"/>
      <c r="AQ404" s="415"/>
      <c r="AR404" s="415"/>
      <c r="AS404" s="415"/>
      <c r="AT404" s="1"/>
    </row>
    <row r="405" spans="3:46" x14ac:dyDescent="0.25">
      <c r="C405" s="64"/>
      <c r="D405" s="1"/>
      <c r="E405" s="1"/>
      <c r="F405" s="1"/>
      <c r="G405" s="1"/>
      <c r="H405" s="1"/>
      <c r="I405" s="1"/>
      <c r="J405" s="1"/>
      <c r="K405" s="1"/>
      <c r="L405" s="1"/>
      <c r="M405" s="1"/>
      <c r="N405" s="406"/>
      <c r="O405" s="64"/>
      <c r="P405" s="416"/>
      <c r="Q405" s="64"/>
      <c r="R405" s="401">
        <f t="shared" si="34"/>
        <v>0</v>
      </c>
      <c r="S405" s="415"/>
      <c r="T405" s="415"/>
      <c r="U405" s="1"/>
      <c r="V405" s="1"/>
      <c r="W405" s="413">
        <f t="shared" si="36"/>
        <v>0</v>
      </c>
      <c r="X405" s="403">
        <v>0</v>
      </c>
      <c r="Y405" s="403">
        <v>0</v>
      </c>
      <c r="Z405" s="403">
        <v>0</v>
      </c>
      <c r="AA405" s="38"/>
      <c r="AB405" s="38"/>
      <c r="AC405" s="38"/>
      <c r="AD405" s="415"/>
      <c r="AE405" s="415"/>
      <c r="AF405" s="415"/>
      <c r="AG405" s="415"/>
      <c r="AH405" s="415"/>
      <c r="AI405" s="38"/>
      <c r="AJ405" s="38"/>
      <c r="AK405" s="38"/>
      <c r="AL405" s="38"/>
      <c r="AM405" s="38"/>
      <c r="AN405" s="38"/>
      <c r="AO405" s="415"/>
      <c r="AP405" s="415"/>
      <c r="AQ405" s="415"/>
      <c r="AR405" s="415"/>
      <c r="AS405" s="415"/>
      <c r="AT405" s="1"/>
    </row>
    <row r="406" spans="3:46" x14ac:dyDescent="0.25">
      <c r="C406" s="64"/>
      <c r="D406" s="1"/>
      <c r="E406" s="1"/>
      <c r="F406" s="1"/>
      <c r="G406" s="1"/>
      <c r="H406" s="1"/>
      <c r="I406" s="1"/>
      <c r="J406" s="1"/>
      <c r="K406" s="1"/>
      <c r="L406" s="1"/>
      <c r="M406" s="1"/>
      <c r="N406" s="406"/>
      <c r="O406" s="64"/>
      <c r="P406" s="416"/>
      <c r="Q406" s="64"/>
      <c r="R406" s="401">
        <f t="shared" si="34"/>
        <v>0</v>
      </c>
      <c r="S406" s="415"/>
      <c r="T406" s="415"/>
      <c r="U406" s="1"/>
      <c r="V406" s="1"/>
      <c r="W406" s="413">
        <f t="shared" si="36"/>
        <v>0</v>
      </c>
      <c r="X406" s="403">
        <v>0</v>
      </c>
      <c r="Y406" s="403">
        <v>0</v>
      </c>
      <c r="Z406" s="403">
        <v>0</v>
      </c>
      <c r="AA406" s="38"/>
      <c r="AB406" s="38"/>
      <c r="AC406" s="38"/>
      <c r="AD406" s="415"/>
      <c r="AE406" s="415"/>
      <c r="AF406" s="415"/>
      <c r="AG406" s="415"/>
      <c r="AH406" s="415"/>
      <c r="AI406" s="38"/>
      <c r="AJ406" s="38"/>
      <c r="AK406" s="38"/>
      <c r="AL406" s="38"/>
      <c r="AM406" s="38"/>
      <c r="AN406" s="38"/>
      <c r="AO406" s="415"/>
      <c r="AP406" s="415"/>
      <c r="AQ406" s="415"/>
      <c r="AR406" s="415"/>
      <c r="AS406" s="415"/>
      <c r="AT406" s="1"/>
    </row>
    <row r="407" spans="3:46" x14ac:dyDescent="0.25">
      <c r="C407" s="64"/>
      <c r="D407" s="1"/>
      <c r="E407" s="1"/>
      <c r="F407" s="1"/>
      <c r="G407" s="1"/>
      <c r="H407" s="1"/>
      <c r="I407" s="1"/>
      <c r="J407" s="1"/>
      <c r="K407" s="1"/>
      <c r="L407" s="1"/>
      <c r="M407" s="1"/>
      <c r="N407" s="406"/>
      <c r="O407" s="64"/>
      <c r="P407" s="416"/>
      <c r="Q407" s="64"/>
      <c r="R407" s="401">
        <f t="shared" si="34"/>
        <v>0</v>
      </c>
      <c r="S407" s="415"/>
      <c r="T407" s="415"/>
      <c r="U407" s="1"/>
      <c r="V407" s="1"/>
      <c r="W407" s="413">
        <f t="shared" si="36"/>
        <v>0</v>
      </c>
      <c r="X407" s="403">
        <v>0</v>
      </c>
      <c r="Y407" s="403">
        <v>0</v>
      </c>
      <c r="Z407" s="403">
        <v>0</v>
      </c>
      <c r="AA407" s="38"/>
      <c r="AB407" s="38"/>
      <c r="AC407" s="38"/>
      <c r="AD407" s="415"/>
      <c r="AE407" s="415"/>
      <c r="AF407" s="415"/>
      <c r="AG407" s="415"/>
      <c r="AH407" s="415"/>
      <c r="AI407" s="38"/>
      <c r="AJ407" s="38"/>
      <c r="AK407" s="38"/>
      <c r="AL407" s="38"/>
      <c r="AM407" s="38"/>
      <c r="AN407" s="38"/>
      <c r="AO407" s="415"/>
      <c r="AP407" s="415"/>
      <c r="AQ407" s="415"/>
      <c r="AR407" s="415"/>
      <c r="AS407" s="415"/>
      <c r="AT407" s="1"/>
    </row>
    <row r="408" spans="3:46" x14ac:dyDescent="0.25">
      <c r="C408" s="64"/>
      <c r="D408" s="1"/>
      <c r="E408" s="1"/>
      <c r="F408" s="1"/>
      <c r="G408" s="1"/>
      <c r="H408" s="1"/>
      <c r="I408" s="1"/>
      <c r="J408" s="1"/>
      <c r="K408" s="1"/>
      <c r="L408" s="1"/>
      <c r="M408" s="1"/>
      <c r="N408" s="406"/>
      <c r="O408" s="64"/>
      <c r="P408" s="416"/>
      <c r="Q408" s="64"/>
      <c r="R408" s="401">
        <f t="shared" si="34"/>
        <v>0</v>
      </c>
      <c r="S408" s="415"/>
      <c r="T408" s="415"/>
      <c r="U408" s="1"/>
      <c r="V408" s="1"/>
      <c r="W408" s="413">
        <f t="shared" si="36"/>
        <v>0</v>
      </c>
      <c r="X408" s="403">
        <v>0</v>
      </c>
      <c r="Y408" s="403">
        <v>0</v>
      </c>
      <c r="Z408" s="403">
        <v>0</v>
      </c>
      <c r="AA408" s="38"/>
      <c r="AB408" s="38"/>
      <c r="AC408" s="38"/>
      <c r="AD408" s="415"/>
      <c r="AE408" s="415"/>
      <c r="AF408" s="415"/>
      <c r="AG408" s="415"/>
      <c r="AH408" s="415"/>
      <c r="AI408" s="38"/>
      <c r="AJ408" s="38"/>
      <c r="AK408" s="38"/>
      <c r="AL408" s="38"/>
      <c r="AM408" s="38"/>
      <c r="AN408" s="38"/>
      <c r="AO408" s="415"/>
      <c r="AP408" s="415"/>
      <c r="AQ408" s="415"/>
      <c r="AR408" s="415"/>
      <c r="AS408" s="415"/>
      <c r="AT408" s="1"/>
    </row>
  </sheetData>
  <autoFilter ref="C3:AT408" xr:uid="{235DC00F-CF0E-4496-85F6-5B62093DE727}"/>
  <dataConsolidate/>
  <phoneticPr fontId="8" type="noConversion"/>
  <conditionalFormatting sqref="I3:J3">
    <cfRule type="duplicateValues" dxfId="6" priority="7"/>
  </conditionalFormatting>
  <conditionalFormatting sqref="K1:L1048576">
    <cfRule type="duplicateValues" dxfId="5" priority="12"/>
  </conditionalFormatting>
  <conditionalFormatting sqref="K262:L262">
    <cfRule type="duplicateValues" dxfId="4" priority="8"/>
  </conditionalFormatting>
  <conditionalFormatting sqref="K402:L1048576 K263:L400 K1:L261">
    <cfRule type="duplicateValues" dxfId="3" priority="9"/>
  </conditionalFormatting>
  <hyperlinks>
    <hyperlink ref="L4" r:id="rId1" xr:uid="{6DC59CF2-E7A2-4E47-BD48-F44BD10C99F6}"/>
    <hyperlink ref="L5" r:id="rId2" xr:uid="{CC9F1855-734F-4DC8-B63F-536793392FA4}"/>
    <hyperlink ref="L6" r:id="rId3" xr:uid="{4DF0EA9D-2A65-46C5-9395-49291E8A442B}"/>
    <hyperlink ref="L7" r:id="rId4" xr:uid="{F24BA9AE-75B9-4690-B1D0-2C7DDC52DE47}"/>
    <hyperlink ref="L8" r:id="rId5" xr:uid="{8448F5C5-0A2A-4E5A-8367-6C65922EE058}"/>
    <hyperlink ref="L9" r:id="rId6" xr:uid="{F2F1B736-4961-44DE-969B-B395ADA52991}"/>
    <hyperlink ref="L10" r:id="rId7" xr:uid="{B4A6CFE5-EBB7-4C1C-A38E-120D916E9B28}"/>
    <hyperlink ref="L11" r:id="rId8" xr:uid="{147E0EEB-C51D-4525-A8B3-45994E6B5909}"/>
    <hyperlink ref="L12" r:id="rId9" xr:uid="{11733AC8-A65C-4900-8841-C4EFE7B35732}"/>
    <hyperlink ref="L13" r:id="rId10" xr:uid="{5466D8B0-D5DA-4535-9D9D-F94BCFD60479}"/>
    <hyperlink ref="L14" r:id="rId11" xr:uid="{082D3FEA-2039-4753-8C49-F4C65AE99366}"/>
    <hyperlink ref="L15" r:id="rId12" xr:uid="{1E834D79-52BD-4881-9C6E-57638AE44784}"/>
    <hyperlink ref="L16" r:id="rId13" xr:uid="{30041B2E-CC9A-405F-8AC6-4B1CE5F7B269}"/>
    <hyperlink ref="L17" r:id="rId14" xr:uid="{B51C4D20-6318-42E0-816E-C8085DB6176A}"/>
    <hyperlink ref="L18" r:id="rId15" xr:uid="{0CE3CD5F-1412-433A-A70A-449AA817F032}"/>
    <hyperlink ref="L19" r:id="rId16" xr:uid="{F6A64811-B9C3-464F-B923-613B3A18E32F}"/>
    <hyperlink ref="L20" r:id="rId17" xr:uid="{4CB99359-9F5B-4A89-8B9A-E85242371C41}"/>
    <hyperlink ref="L21" r:id="rId18" xr:uid="{635686C6-8459-4226-ACE8-CED7DD5BAED5}"/>
    <hyperlink ref="L22" r:id="rId19" xr:uid="{9CD2B328-A8D0-4883-90A5-6F794DDB4A02}"/>
    <hyperlink ref="L23" r:id="rId20" xr:uid="{754A510C-561B-46C4-9A65-975B518897F1}"/>
    <hyperlink ref="L24" r:id="rId21" xr:uid="{F93DC744-9626-43A5-910E-4ED0A714DF75}"/>
  </hyperlinks>
  <pageMargins left="0.70866141732283472" right="0.70866141732283472" top="0" bottom="0" header="0.31496062992125984" footer="0.31496062992125984"/>
  <pageSetup paperSize="9" scale="81" fitToHeight="200" orientation="landscape" r:id="rId2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1C3F9D47-ED47-4D21-87B7-19DFF7BA743E}">
          <x14:formula1>
            <xm:f>CMS!$B$3:$B$9</xm:f>
          </x14:formula1>
          <xm:sqref>B1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735C2-57C4-45F5-A94F-ADF2DE9BE4C3}">
  <sheetPr>
    <pageSetUpPr fitToPage="1"/>
  </sheetPr>
  <dimension ref="B2:H107"/>
  <sheetViews>
    <sheetView workbookViewId="0">
      <selection activeCell="G10" sqref="G10"/>
    </sheetView>
  </sheetViews>
  <sheetFormatPr defaultRowHeight="15" x14ac:dyDescent="0.25"/>
  <cols>
    <col min="2" max="2" width="19.7109375" bestFit="1" customWidth="1"/>
    <col min="3" max="3" width="13.42578125" bestFit="1" customWidth="1"/>
    <col min="4" max="4" width="3.85546875" bestFit="1" customWidth="1"/>
    <col min="5" max="5" width="4.85546875" bestFit="1" customWidth="1"/>
    <col min="6" max="6" width="7.28515625" bestFit="1" customWidth="1"/>
    <col min="7" max="7" width="17.28515625" bestFit="1" customWidth="1"/>
    <col min="8" max="8" width="23.85546875" bestFit="1" customWidth="1"/>
  </cols>
  <sheetData>
    <row r="2" spans="2:8" ht="24" x14ac:dyDescent="0.25">
      <c r="B2" s="71" t="s">
        <v>7026</v>
      </c>
      <c r="C2" s="87" t="s">
        <v>8529</v>
      </c>
      <c r="D2" s="87" t="s">
        <v>8416</v>
      </c>
      <c r="E2" s="407" t="s">
        <v>35</v>
      </c>
      <c r="F2" s="407" t="s">
        <v>8533</v>
      </c>
      <c r="G2" s="407" t="s">
        <v>8528</v>
      </c>
      <c r="H2" s="408" t="s">
        <v>8530</v>
      </c>
    </row>
    <row r="3" spans="2:8" x14ac:dyDescent="0.25">
      <c r="B3" s="64" t="s">
        <v>8525</v>
      </c>
      <c r="C3" s="64" t="s">
        <v>8474</v>
      </c>
      <c r="D3" s="64">
        <v>1</v>
      </c>
      <c r="E3" s="64"/>
      <c r="F3" s="64"/>
      <c r="G3" s="64" t="s">
        <v>8459</v>
      </c>
      <c r="H3" s="64" t="s">
        <v>8532</v>
      </c>
    </row>
    <row r="4" spans="2:8" x14ac:dyDescent="0.25">
      <c r="B4" s="64" t="s">
        <v>8525</v>
      </c>
      <c r="C4" s="64" t="s">
        <v>8474</v>
      </c>
      <c r="D4" s="64">
        <v>1</v>
      </c>
      <c r="E4" s="64"/>
      <c r="F4" s="64"/>
      <c r="G4" s="64" t="s">
        <v>8466</v>
      </c>
      <c r="H4" s="64" t="s">
        <v>8532</v>
      </c>
    </row>
    <row r="5" spans="2:8" x14ac:dyDescent="0.25">
      <c r="B5" s="64" t="s">
        <v>8525</v>
      </c>
      <c r="C5" s="64" t="s">
        <v>8474</v>
      </c>
      <c r="D5" s="64">
        <v>1</v>
      </c>
      <c r="E5" s="64"/>
      <c r="F5" s="64"/>
      <c r="G5" s="64" t="s">
        <v>8460</v>
      </c>
      <c r="H5" s="64" t="s">
        <v>8532</v>
      </c>
    </row>
    <row r="6" spans="2:8" x14ac:dyDescent="0.25">
      <c r="B6" s="64" t="s">
        <v>8525</v>
      </c>
      <c r="C6" s="64" t="s">
        <v>8474</v>
      </c>
      <c r="D6" s="64">
        <v>1</v>
      </c>
      <c r="E6" s="64"/>
      <c r="F6" s="64"/>
      <c r="G6" s="64" t="s">
        <v>8421</v>
      </c>
      <c r="H6" s="64" t="s">
        <v>8527</v>
      </c>
    </row>
    <row r="7" spans="2:8" x14ac:dyDescent="0.25">
      <c r="B7" s="64" t="s">
        <v>8525</v>
      </c>
      <c r="C7" s="64" t="s">
        <v>8474</v>
      </c>
      <c r="D7" s="64">
        <v>1</v>
      </c>
      <c r="E7" s="64"/>
      <c r="F7" s="64"/>
      <c r="G7" s="64" t="s">
        <v>8469</v>
      </c>
      <c r="H7" s="64" t="s">
        <v>8527</v>
      </c>
    </row>
    <row r="8" spans="2:8" x14ac:dyDescent="0.25">
      <c r="B8" s="64" t="s">
        <v>8525</v>
      </c>
      <c r="C8" s="64" t="s">
        <v>8474</v>
      </c>
      <c r="D8" s="64">
        <v>1</v>
      </c>
      <c r="E8" s="64"/>
      <c r="F8" s="64"/>
      <c r="G8" s="64" t="s">
        <v>8470</v>
      </c>
      <c r="H8" s="64" t="s">
        <v>8527</v>
      </c>
    </row>
    <row r="9" spans="2:8" x14ac:dyDescent="0.25">
      <c r="B9" s="64" t="s">
        <v>8525</v>
      </c>
      <c r="C9" s="64" t="s">
        <v>8474</v>
      </c>
      <c r="D9" s="64">
        <v>1</v>
      </c>
      <c r="E9" s="64"/>
      <c r="F9" s="64"/>
      <c r="G9" s="64" t="s">
        <v>8471</v>
      </c>
      <c r="H9" s="64" t="s">
        <v>8532</v>
      </c>
    </row>
    <row r="10" spans="2:8" x14ac:dyDescent="0.25">
      <c r="B10" s="64" t="s">
        <v>8525</v>
      </c>
      <c r="C10" s="64" t="s">
        <v>8474</v>
      </c>
      <c r="D10" s="64">
        <v>1</v>
      </c>
      <c r="E10" s="64"/>
      <c r="F10" s="64"/>
      <c r="G10" s="64" t="s">
        <v>8468</v>
      </c>
      <c r="H10" s="64" t="s">
        <v>8532</v>
      </c>
    </row>
    <row r="11" spans="2:8" x14ac:dyDescent="0.25">
      <c r="B11" s="64" t="s">
        <v>8525</v>
      </c>
      <c r="C11" s="64" t="s">
        <v>8474</v>
      </c>
      <c r="D11" s="64">
        <v>1</v>
      </c>
      <c r="E11" s="64"/>
      <c r="F11" s="64"/>
      <c r="G11" s="64" t="s">
        <v>8472</v>
      </c>
      <c r="H11" s="64" t="s">
        <v>8532</v>
      </c>
    </row>
    <row r="12" spans="2:8" x14ac:dyDescent="0.25">
      <c r="B12" s="64" t="s">
        <v>8525</v>
      </c>
      <c r="C12" s="64" t="s">
        <v>8474</v>
      </c>
      <c r="D12" s="64">
        <v>1</v>
      </c>
      <c r="E12" s="64"/>
      <c r="F12" s="64"/>
      <c r="G12" s="64" t="s">
        <v>8473</v>
      </c>
      <c r="H12" s="64" t="s">
        <v>8532</v>
      </c>
    </row>
    <row r="13" spans="2:8" x14ac:dyDescent="0.25">
      <c r="B13" s="64" t="s">
        <v>8525</v>
      </c>
      <c r="C13" s="64" t="s">
        <v>8474</v>
      </c>
      <c r="D13" s="64">
        <v>1</v>
      </c>
      <c r="E13" s="64"/>
      <c r="F13" s="64"/>
      <c r="G13" s="64" t="s">
        <v>8467</v>
      </c>
      <c r="H13" s="64" t="s">
        <v>8532</v>
      </c>
    </row>
    <row r="14" spans="2:8" x14ac:dyDescent="0.25">
      <c r="B14" s="64" t="s">
        <v>8525</v>
      </c>
      <c r="C14" s="64" t="s">
        <v>8474</v>
      </c>
      <c r="D14" s="64">
        <v>1</v>
      </c>
      <c r="E14" s="64"/>
      <c r="F14" s="64"/>
      <c r="G14" s="64" t="s">
        <v>8462</v>
      </c>
      <c r="H14" s="64" t="s">
        <v>8527</v>
      </c>
    </row>
    <row r="15" spans="2:8" x14ac:dyDescent="0.25">
      <c r="B15" s="64" t="s">
        <v>8525</v>
      </c>
      <c r="C15" s="64" t="s">
        <v>8474</v>
      </c>
      <c r="D15" s="64">
        <v>1</v>
      </c>
      <c r="E15" s="64"/>
      <c r="F15" s="64"/>
      <c r="G15" s="64" t="s">
        <v>8428</v>
      </c>
      <c r="H15" s="64" t="s">
        <v>8534</v>
      </c>
    </row>
    <row r="16" spans="2:8" x14ac:dyDescent="0.25">
      <c r="B16" s="64" t="s">
        <v>8525</v>
      </c>
      <c r="C16" s="64" t="s">
        <v>8474</v>
      </c>
      <c r="D16" s="64">
        <v>1</v>
      </c>
      <c r="E16" s="64"/>
      <c r="F16" s="64"/>
      <c r="G16" s="64" t="s">
        <v>8429</v>
      </c>
      <c r="H16" s="64" t="s">
        <v>8534</v>
      </c>
    </row>
    <row r="17" spans="2:8" x14ac:dyDescent="0.25">
      <c r="B17" s="64" t="s">
        <v>8525</v>
      </c>
      <c r="C17" s="64" t="s">
        <v>8474</v>
      </c>
      <c r="D17" s="64">
        <v>1</v>
      </c>
      <c r="E17" s="64"/>
      <c r="F17" s="64"/>
      <c r="G17" s="64" t="s">
        <v>8430</v>
      </c>
      <c r="H17" s="64" t="s">
        <v>8534</v>
      </c>
    </row>
    <row r="18" spans="2:8" x14ac:dyDescent="0.25">
      <c r="B18" s="64" t="s">
        <v>8525</v>
      </c>
      <c r="C18" s="64" t="s">
        <v>8474</v>
      </c>
      <c r="D18" s="64">
        <v>1</v>
      </c>
      <c r="E18" s="64"/>
      <c r="F18" s="64"/>
      <c r="G18" s="64" t="s">
        <v>8431</v>
      </c>
      <c r="H18" s="64" t="s">
        <v>8534</v>
      </c>
    </row>
    <row r="19" spans="2:8" x14ac:dyDescent="0.25">
      <c r="B19" s="64" t="s">
        <v>8525</v>
      </c>
      <c r="C19" s="64" t="s">
        <v>8474</v>
      </c>
      <c r="D19" s="64">
        <v>1</v>
      </c>
      <c r="E19" s="64"/>
      <c r="F19" s="64"/>
      <c r="G19" s="64" t="s">
        <v>8432</v>
      </c>
      <c r="H19" s="64" t="s">
        <v>8534</v>
      </c>
    </row>
    <row r="20" spans="2:8" x14ac:dyDescent="0.25">
      <c r="B20" s="64" t="s">
        <v>8525</v>
      </c>
      <c r="C20" s="64" t="s">
        <v>8474</v>
      </c>
      <c r="D20" s="64">
        <v>1</v>
      </c>
      <c r="E20" s="64"/>
      <c r="F20" s="64"/>
      <c r="G20" s="64" t="s">
        <v>8433</v>
      </c>
      <c r="H20" s="64" t="s">
        <v>8534</v>
      </c>
    </row>
    <row r="21" spans="2:8" x14ac:dyDescent="0.25">
      <c r="B21" s="64" t="s">
        <v>8525</v>
      </c>
      <c r="C21" s="64" t="s">
        <v>8474</v>
      </c>
      <c r="D21" s="64">
        <v>1</v>
      </c>
      <c r="E21" s="64"/>
      <c r="F21" s="64"/>
      <c r="G21" s="64" t="s">
        <v>8437</v>
      </c>
      <c r="H21" s="64" t="s">
        <v>8534</v>
      </c>
    </row>
    <row r="22" spans="2:8" x14ac:dyDescent="0.25">
      <c r="B22" s="64" t="s">
        <v>8525</v>
      </c>
      <c r="C22" s="64" t="s">
        <v>8474</v>
      </c>
      <c r="D22" s="64">
        <v>1</v>
      </c>
      <c r="E22" s="64"/>
      <c r="F22" s="64"/>
      <c r="G22" s="64" t="s">
        <v>8438</v>
      </c>
      <c r="H22" s="64" t="s">
        <v>8534</v>
      </c>
    </row>
    <row r="23" spans="2:8" x14ac:dyDescent="0.25">
      <c r="B23" s="64" t="s">
        <v>8525</v>
      </c>
      <c r="C23" s="64" t="s">
        <v>8474</v>
      </c>
      <c r="D23" s="64">
        <v>1</v>
      </c>
      <c r="E23" s="64"/>
      <c r="F23" s="64"/>
      <c r="G23" s="64" t="s">
        <v>8439</v>
      </c>
      <c r="H23" s="64" t="s">
        <v>8534</v>
      </c>
    </row>
    <row r="24" spans="2:8" x14ac:dyDescent="0.25">
      <c r="B24" s="64" t="s">
        <v>8525</v>
      </c>
      <c r="C24" s="64" t="s">
        <v>8474</v>
      </c>
      <c r="D24" s="64">
        <v>1</v>
      </c>
      <c r="E24" s="64"/>
      <c r="F24" s="64"/>
      <c r="G24" s="64" t="s">
        <v>8454</v>
      </c>
      <c r="H24" s="64" t="s">
        <v>8532</v>
      </c>
    </row>
    <row r="25" spans="2:8" x14ac:dyDescent="0.25">
      <c r="B25" s="64" t="s">
        <v>8525</v>
      </c>
      <c r="C25" s="64" t="s">
        <v>8474</v>
      </c>
      <c r="D25" s="64">
        <v>1</v>
      </c>
      <c r="E25" s="64"/>
      <c r="F25" s="64"/>
      <c r="G25" s="64" t="s">
        <v>8455</v>
      </c>
      <c r="H25" s="64" t="s">
        <v>8532</v>
      </c>
    </row>
    <row r="26" spans="2:8" x14ac:dyDescent="0.25">
      <c r="B26" s="64" t="s">
        <v>8525</v>
      </c>
      <c r="C26" s="64" t="s">
        <v>8474</v>
      </c>
      <c r="D26" s="64">
        <v>1</v>
      </c>
      <c r="E26" s="64"/>
      <c r="F26" s="64"/>
      <c r="G26" s="64" t="s">
        <v>8461</v>
      </c>
      <c r="H26" s="64" t="s">
        <v>8532</v>
      </c>
    </row>
    <row r="27" spans="2:8" x14ac:dyDescent="0.25">
      <c r="B27" s="64" t="s">
        <v>8525</v>
      </c>
      <c r="C27" s="64" t="s">
        <v>8474</v>
      </c>
      <c r="D27" s="64">
        <v>1</v>
      </c>
      <c r="E27" s="64"/>
      <c r="F27" s="64"/>
      <c r="G27" s="64" t="s">
        <v>8464</v>
      </c>
      <c r="H27" s="64" t="s">
        <v>8532</v>
      </c>
    </row>
    <row r="28" spans="2:8" x14ac:dyDescent="0.25">
      <c r="B28" s="64" t="s">
        <v>8525</v>
      </c>
      <c r="C28" s="64" t="s">
        <v>8474</v>
      </c>
      <c r="D28" s="64">
        <v>1</v>
      </c>
      <c r="E28" s="64"/>
      <c r="F28" s="64"/>
      <c r="G28" s="64" t="s">
        <v>8463</v>
      </c>
      <c r="H28" s="64" t="s">
        <v>8532</v>
      </c>
    </row>
    <row r="29" spans="2:8" x14ac:dyDescent="0.25">
      <c r="B29" s="64" t="s">
        <v>8525</v>
      </c>
      <c r="C29" s="64" t="s">
        <v>8474</v>
      </c>
      <c r="D29" s="64">
        <v>1</v>
      </c>
      <c r="E29" s="64"/>
      <c r="F29" s="64"/>
      <c r="G29" s="64" t="s">
        <v>8419</v>
      </c>
      <c r="H29" s="64" t="s">
        <v>8527</v>
      </c>
    </row>
    <row r="30" spans="2:8" x14ac:dyDescent="0.25">
      <c r="B30" s="64" t="s">
        <v>8525</v>
      </c>
      <c r="C30" s="64" t="s">
        <v>8474</v>
      </c>
      <c r="D30" s="64">
        <v>1</v>
      </c>
      <c r="E30" s="64"/>
      <c r="F30" s="64"/>
      <c r="G30" s="64" t="s">
        <v>8440</v>
      </c>
      <c r="H30" s="64" t="s">
        <v>8534</v>
      </c>
    </row>
    <row r="31" spans="2:8" x14ac:dyDescent="0.25">
      <c r="B31" s="64" t="s">
        <v>8525</v>
      </c>
      <c r="C31" s="64" t="s">
        <v>8474</v>
      </c>
      <c r="D31" s="64">
        <v>1</v>
      </c>
      <c r="E31" s="64"/>
      <c r="F31" s="64"/>
      <c r="G31" s="64" t="s">
        <v>8420</v>
      </c>
      <c r="H31" s="64" t="s">
        <v>8527</v>
      </c>
    </row>
    <row r="32" spans="2:8" x14ac:dyDescent="0.25">
      <c r="B32" s="64" t="s">
        <v>8525</v>
      </c>
      <c r="C32" s="64" t="s">
        <v>8474</v>
      </c>
      <c r="D32" s="64">
        <v>1</v>
      </c>
      <c r="E32" s="64"/>
      <c r="F32" s="64"/>
      <c r="G32" s="64" t="s">
        <v>8465</v>
      </c>
      <c r="H32" s="64" t="s">
        <v>8527</v>
      </c>
    </row>
    <row r="33" spans="2:8" x14ac:dyDescent="0.25">
      <c r="B33" s="64" t="s">
        <v>8525</v>
      </c>
      <c r="C33" s="64" t="s">
        <v>8474</v>
      </c>
      <c r="D33" s="64">
        <v>1</v>
      </c>
      <c r="E33" s="64"/>
      <c r="F33" s="64"/>
      <c r="G33" s="64" t="s">
        <v>8451</v>
      </c>
      <c r="H33" s="64" t="s">
        <v>8532</v>
      </c>
    </row>
    <row r="34" spans="2:8" x14ac:dyDescent="0.25">
      <c r="B34" s="64" t="s">
        <v>8525</v>
      </c>
      <c r="C34" s="64" t="s">
        <v>8474</v>
      </c>
      <c r="D34" s="64">
        <v>1</v>
      </c>
      <c r="E34" s="64"/>
      <c r="F34" s="64"/>
      <c r="G34" s="64" t="s">
        <v>8452</v>
      </c>
      <c r="H34" s="64" t="s">
        <v>8532</v>
      </c>
    </row>
    <row r="35" spans="2:8" x14ac:dyDescent="0.25">
      <c r="B35" s="64" t="s">
        <v>8525</v>
      </c>
      <c r="C35" s="64" t="s">
        <v>8474</v>
      </c>
      <c r="D35" s="64">
        <v>1</v>
      </c>
      <c r="E35" s="64"/>
      <c r="F35" s="64"/>
      <c r="G35" s="64" t="s">
        <v>8453</v>
      </c>
      <c r="H35" s="64" t="s">
        <v>8532</v>
      </c>
    </row>
    <row r="36" spans="2:8" x14ac:dyDescent="0.25">
      <c r="B36" s="64" t="s">
        <v>8525</v>
      </c>
      <c r="C36" s="64" t="s">
        <v>8474</v>
      </c>
      <c r="D36" s="64">
        <v>1</v>
      </c>
      <c r="E36" s="64"/>
      <c r="F36" s="64"/>
      <c r="G36" s="64" t="s">
        <v>8446</v>
      </c>
      <c r="H36" s="64" t="s">
        <v>8532</v>
      </c>
    </row>
    <row r="37" spans="2:8" x14ac:dyDescent="0.25">
      <c r="B37" s="64" t="s">
        <v>8525</v>
      </c>
      <c r="C37" s="64" t="s">
        <v>8474</v>
      </c>
      <c r="D37" s="64">
        <v>1</v>
      </c>
      <c r="E37" s="64"/>
      <c r="F37" s="64"/>
      <c r="G37" s="64" t="s">
        <v>8447</v>
      </c>
      <c r="H37" s="64" t="s">
        <v>8532</v>
      </c>
    </row>
    <row r="38" spans="2:8" x14ac:dyDescent="0.25">
      <c r="B38" s="64" t="s">
        <v>8525</v>
      </c>
      <c r="C38" s="64" t="s">
        <v>8474</v>
      </c>
      <c r="D38" s="64">
        <v>1</v>
      </c>
      <c r="E38" s="64"/>
      <c r="F38" s="64"/>
      <c r="G38" s="64" t="s">
        <v>8448</v>
      </c>
      <c r="H38" s="64" t="s">
        <v>8532</v>
      </c>
    </row>
    <row r="39" spans="2:8" x14ac:dyDescent="0.25">
      <c r="B39" s="64" t="s">
        <v>8525</v>
      </c>
      <c r="C39" s="64" t="s">
        <v>8474</v>
      </c>
      <c r="D39" s="64">
        <v>1</v>
      </c>
      <c r="E39" s="64"/>
      <c r="F39" s="64"/>
      <c r="G39" s="64" t="s">
        <v>8449</v>
      </c>
      <c r="H39" s="64" t="s">
        <v>8532</v>
      </c>
    </row>
    <row r="40" spans="2:8" x14ac:dyDescent="0.25">
      <c r="B40" s="64" t="s">
        <v>8525</v>
      </c>
      <c r="C40" s="64" t="s">
        <v>8474</v>
      </c>
      <c r="D40" s="64">
        <v>1</v>
      </c>
      <c r="E40" s="64"/>
      <c r="F40" s="64"/>
      <c r="G40" s="64" t="s">
        <v>8450</v>
      </c>
      <c r="H40" s="64" t="s">
        <v>8532</v>
      </c>
    </row>
    <row r="41" spans="2:8" x14ac:dyDescent="0.25">
      <c r="B41" s="64" t="s">
        <v>8525</v>
      </c>
      <c r="C41" s="64" t="s">
        <v>8474</v>
      </c>
      <c r="D41" s="64">
        <v>1</v>
      </c>
      <c r="E41" s="64"/>
      <c r="F41" s="64"/>
      <c r="G41" s="64" t="s">
        <v>8441</v>
      </c>
      <c r="H41" s="64" t="s">
        <v>8532</v>
      </c>
    </row>
    <row r="42" spans="2:8" x14ac:dyDescent="0.25">
      <c r="B42" s="64" t="s">
        <v>8525</v>
      </c>
      <c r="C42" s="64" t="s">
        <v>8474</v>
      </c>
      <c r="D42" s="64">
        <v>1</v>
      </c>
      <c r="E42" s="64"/>
      <c r="F42" s="64"/>
      <c r="G42" s="64" t="s">
        <v>8442</v>
      </c>
      <c r="H42" s="64" t="s">
        <v>8532</v>
      </c>
    </row>
    <row r="43" spans="2:8" x14ac:dyDescent="0.25">
      <c r="B43" s="64" t="s">
        <v>8525</v>
      </c>
      <c r="C43" s="64" t="s">
        <v>8474</v>
      </c>
      <c r="D43" s="64">
        <v>1</v>
      </c>
      <c r="E43" s="64"/>
      <c r="F43" s="64"/>
      <c r="G43" s="64" t="s">
        <v>8443</v>
      </c>
      <c r="H43" s="64" t="s">
        <v>8532</v>
      </c>
    </row>
    <row r="44" spans="2:8" x14ac:dyDescent="0.25">
      <c r="B44" s="64" t="s">
        <v>8525</v>
      </c>
      <c r="C44" s="64" t="s">
        <v>8474</v>
      </c>
      <c r="D44" s="64">
        <v>1</v>
      </c>
      <c r="E44" s="64"/>
      <c r="F44" s="64"/>
      <c r="G44" s="64" t="s">
        <v>8444</v>
      </c>
      <c r="H44" s="64" t="s">
        <v>8532</v>
      </c>
    </row>
    <row r="45" spans="2:8" x14ac:dyDescent="0.25">
      <c r="B45" s="64" t="s">
        <v>8525</v>
      </c>
      <c r="C45" s="64" t="s">
        <v>8474</v>
      </c>
      <c r="D45" s="64">
        <v>1</v>
      </c>
      <c r="E45" s="64"/>
      <c r="F45" s="64"/>
      <c r="G45" s="64" t="s">
        <v>8445</v>
      </c>
      <c r="H45" s="64" t="s">
        <v>8532</v>
      </c>
    </row>
    <row r="46" spans="2:8" x14ac:dyDescent="0.25">
      <c r="B46" s="64" t="s">
        <v>8525</v>
      </c>
      <c r="C46" s="64" t="s">
        <v>8518</v>
      </c>
      <c r="D46" s="64">
        <v>3</v>
      </c>
      <c r="E46" s="64"/>
      <c r="F46" s="64"/>
      <c r="G46" s="64" t="s">
        <v>8500</v>
      </c>
      <c r="H46" s="64" t="s">
        <v>8527</v>
      </c>
    </row>
    <row r="47" spans="2:8" x14ac:dyDescent="0.25">
      <c r="B47" s="64" t="s">
        <v>8525</v>
      </c>
      <c r="C47" s="64" t="s">
        <v>8474</v>
      </c>
      <c r="D47" s="64">
        <v>1</v>
      </c>
      <c r="E47" s="64"/>
      <c r="F47" s="64"/>
      <c r="G47" s="64" t="s">
        <v>8417</v>
      </c>
      <c r="H47" s="64" t="s">
        <v>8527</v>
      </c>
    </row>
    <row r="48" spans="2:8" x14ac:dyDescent="0.25">
      <c r="B48" s="64" t="s">
        <v>8525</v>
      </c>
      <c r="C48" s="64" t="s">
        <v>8474</v>
      </c>
      <c r="D48" s="64">
        <v>1</v>
      </c>
      <c r="E48" s="64"/>
      <c r="F48" s="64"/>
      <c r="G48" s="64" t="s">
        <v>8418</v>
      </c>
      <c r="H48" s="64" t="s">
        <v>8527</v>
      </c>
    </row>
    <row r="49" spans="2:8" x14ac:dyDescent="0.25">
      <c r="B49" s="64" t="s">
        <v>8525</v>
      </c>
      <c r="C49" s="64" t="s">
        <v>8474</v>
      </c>
      <c r="D49" s="64">
        <v>1</v>
      </c>
      <c r="E49" s="64"/>
      <c r="F49" s="64"/>
      <c r="G49" s="64" t="s">
        <v>8434</v>
      </c>
      <c r="H49" s="64" t="s">
        <v>8532</v>
      </c>
    </row>
    <row r="50" spans="2:8" x14ac:dyDescent="0.25">
      <c r="B50" s="64" t="s">
        <v>8525</v>
      </c>
      <c r="C50" s="64" t="s">
        <v>8474</v>
      </c>
      <c r="D50" s="64">
        <v>1</v>
      </c>
      <c r="E50" s="64"/>
      <c r="F50" s="64"/>
      <c r="G50" s="64" t="s">
        <v>8435</v>
      </c>
      <c r="H50" s="64" t="s">
        <v>8532</v>
      </c>
    </row>
    <row r="51" spans="2:8" x14ac:dyDescent="0.25">
      <c r="B51" s="64" t="s">
        <v>8525</v>
      </c>
      <c r="C51" s="64" t="s">
        <v>8474</v>
      </c>
      <c r="D51" s="64">
        <v>1</v>
      </c>
      <c r="E51" s="64"/>
      <c r="F51" s="64"/>
      <c r="G51" s="64" t="s">
        <v>8436</v>
      </c>
      <c r="H51" s="64" t="s">
        <v>8532</v>
      </c>
    </row>
    <row r="52" spans="2:8" x14ac:dyDescent="0.25">
      <c r="B52" s="64" t="s">
        <v>8525</v>
      </c>
      <c r="C52" s="64" t="s">
        <v>8474</v>
      </c>
      <c r="D52" s="64">
        <v>1</v>
      </c>
      <c r="E52" s="64"/>
      <c r="F52" s="64"/>
      <c r="G52" s="64" t="s">
        <v>8425</v>
      </c>
      <c r="H52" s="64" t="s">
        <v>8532</v>
      </c>
    </row>
    <row r="53" spans="2:8" x14ac:dyDescent="0.25">
      <c r="B53" s="64" t="s">
        <v>8525</v>
      </c>
      <c r="C53" s="64" t="s">
        <v>8474</v>
      </c>
      <c r="D53" s="64">
        <v>1</v>
      </c>
      <c r="E53" s="64"/>
      <c r="F53" s="64"/>
      <c r="G53" s="64" t="s">
        <v>8426</v>
      </c>
      <c r="H53" s="64" t="s">
        <v>8532</v>
      </c>
    </row>
    <row r="54" spans="2:8" x14ac:dyDescent="0.25">
      <c r="B54" s="64" t="s">
        <v>8525</v>
      </c>
      <c r="C54" s="64" t="s">
        <v>8474</v>
      </c>
      <c r="D54" s="64">
        <v>1</v>
      </c>
      <c r="E54" s="64"/>
      <c r="F54" s="64"/>
      <c r="G54" s="64" t="s">
        <v>8427</v>
      </c>
      <c r="H54" s="64" t="s">
        <v>8527</v>
      </c>
    </row>
    <row r="55" spans="2:8" x14ac:dyDescent="0.25">
      <c r="B55" s="64" t="s">
        <v>8525</v>
      </c>
      <c r="C55" s="64" t="s">
        <v>8518</v>
      </c>
      <c r="D55" s="64">
        <v>3</v>
      </c>
      <c r="E55" s="64"/>
      <c r="F55" s="64"/>
      <c r="G55" s="64" t="s">
        <v>8487</v>
      </c>
      <c r="H55" s="64" t="s">
        <v>8532</v>
      </c>
    </row>
    <row r="56" spans="2:8" x14ac:dyDescent="0.25">
      <c r="B56" s="64" t="s">
        <v>8525</v>
      </c>
      <c r="C56" s="64" t="s">
        <v>8518</v>
      </c>
      <c r="D56" s="64">
        <v>3</v>
      </c>
      <c r="E56" s="64"/>
      <c r="F56" s="64"/>
      <c r="G56" s="64" t="s">
        <v>8501</v>
      </c>
      <c r="H56" s="64" t="s">
        <v>8532</v>
      </c>
    </row>
    <row r="57" spans="2:8" x14ac:dyDescent="0.25">
      <c r="B57" s="64" t="s">
        <v>8525</v>
      </c>
      <c r="C57" s="64" t="s">
        <v>8518</v>
      </c>
      <c r="D57" s="64">
        <v>3</v>
      </c>
      <c r="E57" s="64"/>
      <c r="F57" s="64"/>
      <c r="G57" s="64" t="s">
        <v>8502</v>
      </c>
      <c r="H57" s="64" t="s">
        <v>8532</v>
      </c>
    </row>
    <row r="58" spans="2:8" x14ac:dyDescent="0.25">
      <c r="B58" s="64" t="s">
        <v>8525</v>
      </c>
      <c r="C58" s="64" t="s">
        <v>8518</v>
      </c>
      <c r="D58" s="64">
        <v>3</v>
      </c>
      <c r="E58" s="64"/>
      <c r="F58" s="64"/>
      <c r="G58" s="64" t="s">
        <v>8503</v>
      </c>
      <c r="H58" s="64" t="s">
        <v>8532</v>
      </c>
    </row>
    <row r="59" spans="2:8" x14ac:dyDescent="0.25">
      <c r="B59" s="64" t="s">
        <v>8525</v>
      </c>
      <c r="C59" s="64" t="s">
        <v>8474</v>
      </c>
      <c r="D59" s="64">
        <v>1</v>
      </c>
      <c r="E59" s="64"/>
      <c r="F59" s="64"/>
      <c r="G59" s="64" t="s">
        <v>8456</v>
      </c>
      <c r="H59" s="64" t="s">
        <v>8527</v>
      </c>
    </row>
    <row r="60" spans="2:8" x14ac:dyDescent="0.25">
      <c r="B60" s="64" t="s">
        <v>8525</v>
      </c>
      <c r="C60" s="64" t="s">
        <v>8524</v>
      </c>
      <c r="D60" s="64">
        <v>0</v>
      </c>
      <c r="E60" s="64"/>
      <c r="F60" s="64"/>
      <c r="G60" s="64" t="s">
        <v>8519</v>
      </c>
      <c r="H60" s="64" t="s">
        <v>8527</v>
      </c>
    </row>
    <row r="61" spans="2:8" x14ac:dyDescent="0.25">
      <c r="B61" s="64" t="s">
        <v>8525</v>
      </c>
      <c r="C61" s="64" t="s">
        <v>8524</v>
      </c>
      <c r="D61" s="64">
        <v>0</v>
      </c>
      <c r="E61" s="64"/>
      <c r="F61" s="64"/>
      <c r="G61" s="64" t="s">
        <v>8522</v>
      </c>
      <c r="H61" s="64" t="s">
        <v>8527</v>
      </c>
    </row>
    <row r="62" spans="2:8" x14ac:dyDescent="0.25">
      <c r="B62" s="64" t="s">
        <v>8525</v>
      </c>
      <c r="C62" s="64" t="s">
        <v>8524</v>
      </c>
      <c r="D62" s="64">
        <v>0</v>
      </c>
      <c r="E62" s="64"/>
      <c r="F62" s="64"/>
      <c r="G62" s="64" t="s">
        <v>8523</v>
      </c>
      <c r="H62" s="64" t="s">
        <v>8527</v>
      </c>
    </row>
    <row r="63" spans="2:8" x14ac:dyDescent="0.25">
      <c r="B63" s="64" t="s">
        <v>8525</v>
      </c>
      <c r="C63" s="64" t="s">
        <v>8524</v>
      </c>
      <c r="D63" s="64">
        <v>0</v>
      </c>
      <c r="E63" s="64"/>
      <c r="F63" s="64"/>
      <c r="G63" s="64" t="s">
        <v>8520</v>
      </c>
      <c r="H63" s="64" t="s">
        <v>8527</v>
      </c>
    </row>
    <row r="64" spans="2:8" x14ac:dyDescent="0.25">
      <c r="B64" s="64" t="s">
        <v>8525</v>
      </c>
      <c r="C64" s="64" t="s">
        <v>8474</v>
      </c>
      <c r="D64" s="64">
        <v>1</v>
      </c>
      <c r="E64" s="64"/>
      <c r="F64" s="64"/>
      <c r="G64" s="64" t="s">
        <v>8457</v>
      </c>
      <c r="H64" s="64" t="s">
        <v>8527</v>
      </c>
    </row>
    <row r="65" spans="2:8" x14ac:dyDescent="0.25">
      <c r="B65" s="64" t="s">
        <v>8525</v>
      </c>
      <c r="C65" s="64" t="s">
        <v>8474</v>
      </c>
      <c r="D65" s="64">
        <v>1</v>
      </c>
      <c r="E65" s="64"/>
      <c r="F65" s="64"/>
      <c r="G65" s="64" t="s">
        <v>8458</v>
      </c>
      <c r="H65" s="64" t="s">
        <v>8527</v>
      </c>
    </row>
    <row r="66" spans="2:8" x14ac:dyDescent="0.25">
      <c r="B66" s="64" t="s">
        <v>8525</v>
      </c>
      <c r="C66" s="64" t="s">
        <v>8518</v>
      </c>
      <c r="D66" s="64">
        <v>3</v>
      </c>
      <c r="E66" s="64"/>
      <c r="F66" s="64"/>
      <c r="G66" s="64" t="s">
        <v>8499</v>
      </c>
      <c r="H66" s="64" t="s">
        <v>8527</v>
      </c>
    </row>
    <row r="67" spans="2:8" x14ac:dyDescent="0.25">
      <c r="B67" s="64" t="s">
        <v>8525</v>
      </c>
      <c r="C67" s="64" t="s">
        <v>8518</v>
      </c>
      <c r="D67" s="64">
        <v>3</v>
      </c>
      <c r="E67" s="64"/>
      <c r="F67" s="64"/>
      <c r="G67" s="64" t="s">
        <v>8505</v>
      </c>
      <c r="H67" s="64" t="s">
        <v>8527</v>
      </c>
    </row>
    <row r="68" spans="2:8" x14ac:dyDescent="0.25">
      <c r="B68" s="64" t="s">
        <v>8525</v>
      </c>
      <c r="C68" s="64" t="s">
        <v>8518</v>
      </c>
      <c r="D68" s="64">
        <v>3</v>
      </c>
      <c r="E68" s="64"/>
      <c r="F68" s="64"/>
      <c r="G68" s="64" t="s">
        <v>8506</v>
      </c>
      <c r="H68" s="64" t="s">
        <v>8527</v>
      </c>
    </row>
    <row r="69" spans="2:8" x14ac:dyDescent="0.25">
      <c r="B69" s="64" t="s">
        <v>8525</v>
      </c>
      <c r="C69" s="64" t="s">
        <v>8518</v>
      </c>
      <c r="D69" s="64">
        <v>3</v>
      </c>
      <c r="E69" s="64"/>
      <c r="F69" s="64"/>
      <c r="G69" s="64" t="s">
        <v>8509</v>
      </c>
      <c r="H69" s="64" t="s">
        <v>8527</v>
      </c>
    </row>
    <row r="70" spans="2:8" x14ac:dyDescent="0.25">
      <c r="B70" s="64" t="s">
        <v>8525</v>
      </c>
      <c r="C70" s="64" t="s">
        <v>8518</v>
      </c>
      <c r="D70" s="64">
        <v>3</v>
      </c>
      <c r="E70" s="64"/>
      <c r="F70" s="64"/>
      <c r="G70" s="64" t="s">
        <v>8508</v>
      </c>
      <c r="H70" s="64" t="s">
        <v>8527</v>
      </c>
    </row>
    <row r="71" spans="2:8" x14ac:dyDescent="0.25">
      <c r="B71" s="64" t="s">
        <v>8525</v>
      </c>
      <c r="C71" s="64" t="s">
        <v>8518</v>
      </c>
      <c r="D71" s="64">
        <v>3</v>
      </c>
      <c r="E71" s="64"/>
      <c r="F71" s="64"/>
      <c r="G71" s="64" t="s">
        <v>8507</v>
      </c>
      <c r="H71" s="64" t="s">
        <v>8527</v>
      </c>
    </row>
    <row r="72" spans="2:8" x14ac:dyDescent="0.25">
      <c r="B72" s="64" t="s">
        <v>8525</v>
      </c>
      <c r="C72" s="64" t="s">
        <v>8474</v>
      </c>
      <c r="D72" s="64">
        <v>1</v>
      </c>
      <c r="E72" s="64"/>
      <c r="F72" s="64"/>
      <c r="G72" s="64" t="s">
        <v>8423</v>
      </c>
      <c r="H72" s="64" t="s">
        <v>8532</v>
      </c>
    </row>
    <row r="73" spans="2:8" x14ac:dyDescent="0.25">
      <c r="B73" s="64" t="s">
        <v>8525</v>
      </c>
      <c r="C73" s="64" t="s">
        <v>8518</v>
      </c>
      <c r="D73" s="64">
        <v>3</v>
      </c>
      <c r="E73" s="64"/>
      <c r="F73" s="64"/>
      <c r="G73" s="64" t="s">
        <v>8504</v>
      </c>
      <c r="H73" s="64" t="s">
        <v>8532</v>
      </c>
    </row>
    <row r="74" spans="2:8" x14ac:dyDescent="0.25">
      <c r="B74" s="64" t="s">
        <v>8525</v>
      </c>
      <c r="C74" s="64" t="s">
        <v>8518</v>
      </c>
      <c r="D74" s="64">
        <v>3</v>
      </c>
      <c r="E74" s="64"/>
      <c r="F74" s="64"/>
      <c r="G74" s="64" t="s">
        <v>8510</v>
      </c>
      <c r="H74" s="64" t="s">
        <v>8532</v>
      </c>
    </row>
    <row r="75" spans="2:8" x14ac:dyDescent="0.25">
      <c r="B75" s="64" t="s">
        <v>8525</v>
      </c>
      <c r="C75" s="64" t="s">
        <v>8518</v>
      </c>
      <c r="D75" s="64">
        <v>3</v>
      </c>
      <c r="E75" s="64"/>
      <c r="F75" s="64"/>
      <c r="G75" s="64" t="s">
        <v>8511</v>
      </c>
      <c r="H75" s="64" t="s">
        <v>8532</v>
      </c>
    </row>
    <row r="76" spans="2:8" x14ac:dyDescent="0.25">
      <c r="B76" s="64" t="s">
        <v>8525</v>
      </c>
      <c r="C76" s="64" t="s">
        <v>8518</v>
      </c>
      <c r="D76" s="64">
        <v>3</v>
      </c>
      <c r="E76" s="64"/>
      <c r="F76" s="64"/>
      <c r="G76" s="64" t="s">
        <v>8512</v>
      </c>
      <c r="H76" s="64" t="s">
        <v>8532</v>
      </c>
    </row>
    <row r="77" spans="2:8" x14ac:dyDescent="0.25">
      <c r="B77" s="64" t="s">
        <v>8525</v>
      </c>
      <c r="C77" s="64" t="s">
        <v>8518</v>
      </c>
      <c r="D77" s="64">
        <v>3</v>
      </c>
      <c r="E77" s="64"/>
      <c r="F77" s="64"/>
      <c r="G77" s="64" t="s">
        <v>8485</v>
      </c>
      <c r="H77" s="64" t="s">
        <v>8527</v>
      </c>
    </row>
    <row r="78" spans="2:8" x14ac:dyDescent="0.25">
      <c r="B78" s="64" t="s">
        <v>8525</v>
      </c>
      <c r="C78" s="64" t="s">
        <v>8518</v>
      </c>
      <c r="D78" s="64">
        <v>3</v>
      </c>
      <c r="E78" s="64"/>
      <c r="F78" s="64"/>
      <c r="G78" s="64" t="s">
        <v>8486</v>
      </c>
      <c r="H78" s="64" t="s">
        <v>8527</v>
      </c>
    </row>
    <row r="79" spans="2:8" x14ac:dyDescent="0.25">
      <c r="B79" s="64" t="s">
        <v>8525</v>
      </c>
      <c r="C79" s="64" t="s">
        <v>8474</v>
      </c>
      <c r="D79" s="64">
        <v>1</v>
      </c>
      <c r="E79" s="64"/>
      <c r="F79" s="64"/>
      <c r="G79" s="64" t="s">
        <v>8424</v>
      </c>
      <c r="H79" s="64" t="s">
        <v>8534</v>
      </c>
    </row>
    <row r="80" spans="2:8" x14ac:dyDescent="0.25">
      <c r="B80" s="64" t="s">
        <v>8525</v>
      </c>
      <c r="C80" s="64" t="s">
        <v>8474</v>
      </c>
      <c r="D80" s="64">
        <v>1</v>
      </c>
      <c r="E80" s="64"/>
      <c r="F80" s="64"/>
      <c r="G80" s="64" t="s">
        <v>8422</v>
      </c>
      <c r="H80" s="64" t="s">
        <v>8527</v>
      </c>
    </row>
    <row r="81" spans="2:8" x14ac:dyDescent="0.25">
      <c r="B81" s="64" t="s">
        <v>8525</v>
      </c>
      <c r="C81" s="64" t="s">
        <v>8518</v>
      </c>
      <c r="D81" s="64">
        <v>3</v>
      </c>
      <c r="E81" s="64"/>
      <c r="F81" s="64"/>
      <c r="G81" s="64" t="s">
        <v>8516</v>
      </c>
      <c r="H81" s="64" t="s">
        <v>8532</v>
      </c>
    </row>
    <row r="82" spans="2:8" x14ac:dyDescent="0.25">
      <c r="B82" s="64" t="s">
        <v>8525</v>
      </c>
      <c r="C82" s="64" t="s">
        <v>8518</v>
      </c>
      <c r="D82" s="64">
        <v>3</v>
      </c>
      <c r="E82" s="64"/>
      <c r="F82" s="64"/>
      <c r="G82" s="64" t="s">
        <v>8480</v>
      </c>
      <c r="H82" s="64" t="s">
        <v>8532</v>
      </c>
    </row>
    <row r="83" spans="2:8" x14ac:dyDescent="0.25">
      <c r="B83" s="64" t="s">
        <v>8525</v>
      </c>
      <c r="C83" s="64" t="s">
        <v>8518</v>
      </c>
      <c r="D83" s="64">
        <v>3</v>
      </c>
      <c r="E83" s="64"/>
      <c r="F83" s="64"/>
      <c r="G83" s="64" t="s">
        <v>8481</v>
      </c>
      <c r="H83" s="64" t="s">
        <v>8532</v>
      </c>
    </row>
    <row r="84" spans="2:8" x14ac:dyDescent="0.25">
      <c r="B84" s="64" t="s">
        <v>8525</v>
      </c>
      <c r="C84" s="64" t="s">
        <v>8518</v>
      </c>
      <c r="D84" s="64">
        <v>3</v>
      </c>
      <c r="E84" s="64"/>
      <c r="F84" s="64"/>
      <c r="G84" s="64" t="s">
        <v>8517</v>
      </c>
      <c r="H84" s="64" t="s">
        <v>8532</v>
      </c>
    </row>
    <row r="85" spans="2:8" x14ac:dyDescent="0.25">
      <c r="B85" s="64" t="s">
        <v>8525</v>
      </c>
      <c r="C85" s="64" t="s">
        <v>8518</v>
      </c>
      <c r="D85" s="64">
        <v>3</v>
      </c>
      <c r="E85" s="64"/>
      <c r="F85" s="64"/>
      <c r="G85" s="64" t="s">
        <v>8484</v>
      </c>
      <c r="H85" s="64" t="s">
        <v>8532</v>
      </c>
    </row>
    <row r="86" spans="2:8" x14ac:dyDescent="0.25">
      <c r="B86" s="64" t="s">
        <v>8525</v>
      </c>
      <c r="C86" s="64" t="s">
        <v>8518</v>
      </c>
      <c r="D86" s="64">
        <v>3</v>
      </c>
      <c r="E86" s="64"/>
      <c r="F86" s="64"/>
      <c r="G86" s="64" t="s">
        <v>8488</v>
      </c>
      <c r="H86" s="64" t="s">
        <v>8527</v>
      </c>
    </row>
    <row r="87" spans="2:8" x14ac:dyDescent="0.25">
      <c r="B87" s="64" t="s">
        <v>8525</v>
      </c>
      <c r="C87" s="64" t="s">
        <v>8518</v>
      </c>
      <c r="D87" s="64">
        <v>3</v>
      </c>
      <c r="E87" s="64"/>
      <c r="F87" s="64"/>
      <c r="G87" s="64" t="s">
        <v>8489</v>
      </c>
      <c r="H87" s="64" t="s">
        <v>8532</v>
      </c>
    </row>
    <row r="88" spans="2:8" x14ac:dyDescent="0.25">
      <c r="B88" s="64" t="s">
        <v>8525</v>
      </c>
      <c r="C88" s="64" t="s">
        <v>8518</v>
      </c>
      <c r="D88" s="64">
        <v>3</v>
      </c>
      <c r="E88" s="64"/>
      <c r="F88" s="64"/>
      <c r="G88" s="64" t="s">
        <v>8490</v>
      </c>
      <c r="H88" s="64" t="s">
        <v>8532</v>
      </c>
    </row>
    <row r="89" spans="2:8" x14ac:dyDescent="0.25">
      <c r="B89" s="64" t="s">
        <v>8525</v>
      </c>
      <c r="C89" s="64" t="s">
        <v>8518</v>
      </c>
      <c r="D89" s="64">
        <v>3</v>
      </c>
      <c r="E89" s="64"/>
      <c r="F89" s="64"/>
      <c r="G89" s="64" t="s">
        <v>8491</v>
      </c>
      <c r="H89" s="64" t="s">
        <v>8532</v>
      </c>
    </row>
    <row r="90" spans="2:8" x14ac:dyDescent="0.25">
      <c r="B90" s="64" t="s">
        <v>8525</v>
      </c>
      <c r="C90" s="64" t="s">
        <v>8518</v>
      </c>
      <c r="D90" s="64">
        <v>3</v>
      </c>
      <c r="E90" s="64"/>
      <c r="F90" s="64"/>
      <c r="G90" s="64" t="s">
        <v>8492</v>
      </c>
      <c r="H90" s="64" t="s">
        <v>8532</v>
      </c>
    </row>
    <row r="91" spans="2:8" x14ac:dyDescent="0.25">
      <c r="B91" s="64" t="s">
        <v>8525</v>
      </c>
      <c r="C91" s="64" t="s">
        <v>8518</v>
      </c>
      <c r="D91" s="64">
        <v>3</v>
      </c>
      <c r="E91" s="64"/>
      <c r="F91" s="64"/>
      <c r="G91" s="64" t="s">
        <v>8493</v>
      </c>
      <c r="H91" s="64" t="s">
        <v>8532</v>
      </c>
    </row>
    <row r="92" spans="2:8" x14ac:dyDescent="0.25">
      <c r="B92" s="64" t="s">
        <v>8525</v>
      </c>
      <c r="C92" s="64" t="s">
        <v>8518</v>
      </c>
      <c r="D92" s="64">
        <v>3</v>
      </c>
      <c r="E92" s="64"/>
      <c r="F92" s="64"/>
      <c r="G92" s="64" t="s">
        <v>8494</v>
      </c>
      <c r="H92" s="64" t="s">
        <v>8527</v>
      </c>
    </row>
    <row r="93" spans="2:8" x14ac:dyDescent="0.25">
      <c r="B93" s="64" t="s">
        <v>8525</v>
      </c>
      <c r="C93" s="64" t="s">
        <v>8518</v>
      </c>
      <c r="D93" s="64">
        <v>3</v>
      </c>
      <c r="E93" s="64"/>
      <c r="F93" s="64"/>
      <c r="G93" s="64" t="s">
        <v>8495</v>
      </c>
      <c r="H93" s="64" t="s">
        <v>8532</v>
      </c>
    </row>
    <row r="94" spans="2:8" x14ac:dyDescent="0.25">
      <c r="B94" s="64" t="s">
        <v>8525</v>
      </c>
      <c r="C94" s="64" t="s">
        <v>8518</v>
      </c>
      <c r="D94" s="64">
        <v>3</v>
      </c>
      <c r="E94" s="64"/>
      <c r="F94" s="64"/>
      <c r="G94" s="64" t="s">
        <v>8496</v>
      </c>
      <c r="H94" s="64" t="s">
        <v>8532</v>
      </c>
    </row>
    <row r="95" spans="2:8" x14ac:dyDescent="0.25">
      <c r="B95" s="64" t="s">
        <v>8525</v>
      </c>
      <c r="C95" s="64" t="s">
        <v>8518</v>
      </c>
      <c r="D95" s="64">
        <v>3</v>
      </c>
      <c r="E95" s="64"/>
      <c r="F95" s="64"/>
      <c r="G95" s="64" t="s">
        <v>8482</v>
      </c>
      <c r="H95" s="64" t="s">
        <v>8532</v>
      </c>
    </row>
    <row r="96" spans="2:8" x14ac:dyDescent="0.25">
      <c r="B96" s="64" t="s">
        <v>8525</v>
      </c>
      <c r="C96" s="64" t="s">
        <v>8518</v>
      </c>
      <c r="D96" s="64">
        <v>3</v>
      </c>
      <c r="E96" s="64"/>
      <c r="F96" s="64"/>
      <c r="G96" s="64" t="s">
        <v>8498</v>
      </c>
      <c r="H96" s="64" t="s">
        <v>8532</v>
      </c>
    </row>
    <row r="97" spans="2:8" x14ac:dyDescent="0.25">
      <c r="B97" s="64" t="s">
        <v>8525</v>
      </c>
      <c r="C97" s="64" t="s">
        <v>8518</v>
      </c>
      <c r="D97" s="64">
        <v>3</v>
      </c>
      <c r="E97" s="64"/>
      <c r="F97" s="64"/>
      <c r="G97" s="64" t="s">
        <v>8478</v>
      </c>
      <c r="H97" s="64" t="s">
        <v>8532</v>
      </c>
    </row>
    <row r="98" spans="2:8" x14ac:dyDescent="0.25">
      <c r="B98" s="64" t="s">
        <v>8525</v>
      </c>
      <c r="C98" s="64" t="s">
        <v>8518</v>
      </c>
      <c r="D98" s="64">
        <v>3</v>
      </c>
      <c r="E98" s="64"/>
      <c r="F98" s="64"/>
      <c r="G98" s="64" t="s">
        <v>8483</v>
      </c>
      <c r="H98" s="64" t="s">
        <v>8527</v>
      </c>
    </row>
    <row r="99" spans="2:8" x14ac:dyDescent="0.25">
      <c r="B99" s="64" t="s">
        <v>8525</v>
      </c>
      <c r="C99" s="64" t="s">
        <v>8518</v>
      </c>
      <c r="D99" s="64">
        <v>3</v>
      </c>
      <c r="E99" s="64"/>
      <c r="F99" s="64"/>
      <c r="G99" s="64" t="s">
        <v>8497</v>
      </c>
      <c r="H99" s="64" t="s">
        <v>8532</v>
      </c>
    </row>
    <row r="100" spans="2:8" x14ac:dyDescent="0.25">
      <c r="B100" s="64" t="s">
        <v>8525</v>
      </c>
      <c r="C100" s="64" t="s">
        <v>8518</v>
      </c>
      <c r="D100" s="64">
        <v>3</v>
      </c>
      <c r="E100" s="64"/>
      <c r="F100" s="64"/>
      <c r="G100" s="64" t="s">
        <v>8513</v>
      </c>
      <c r="H100" s="64" t="s">
        <v>8532</v>
      </c>
    </row>
    <row r="101" spans="2:8" x14ac:dyDescent="0.25">
      <c r="B101" s="64" t="s">
        <v>8525</v>
      </c>
      <c r="C101" s="64" t="s">
        <v>8518</v>
      </c>
      <c r="D101" s="64">
        <v>3</v>
      </c>
      <c r="E101" s="64"/>
      <c r="F101" s="64"/>
      <c r="G101" s="64" t="s">
        <v>8514</v>
      </c>
      <c r="H101" s="64" t="s">
        <v>8532</v>
      </c>
    </row>
    <row r="102" spans="2:8" x14ac:dyDescent="0.25">
      <c r="B102" s="64" t="s">
        <v>8525</v>
      </c>
      <c r="C102" s="64" t="s">
        <v>8518</v>
      </c>
      <c r="D102" s="64">
        <v>3</v>
      </c>
      <c r="E102" s="64"/>
      <c r="F102" s="64"/>
      <c r="G102" s="64" t="s">
        <v>8515</v>
      </c>
      <c r="H102" s="64" t="s">
        <v>8532</v>
      </c>
    </row>
    <row r="103" spans="2:8" x14ac:dyDescent="0.25">
      <c r="B103" s="64" t="s">
        <v>8525</v>
      </c>
      <c r="C103" s="64" t="s">
        <v>8524</v>
      </c>
      <c r="D103" s="64">
        <v>0</v>
      </c>
      <c r="E103" s="64"/>
      <c r="F103" s="64"/>
      <c r="G103" s="64" t="s">
        <v>8521</v>
      </c>
      <c r="H103" s="64" t="s">
        <v>8527</v>
      </c>
    </row>
    <row r="104" spans="2:8" x14ac:dyDescent="0.25">
      <c r="B104" s="64" t="s">
        <v>8525</v>
      </c>
      <c r="C104" s="64" t="s">
        <v>8518</v>
      </c>
      <c r="D104" s="64">
        <v>3</v>
      </c>
      <c r="E104" s="64"/>
      <c r="F104" s="64"/>
      <c r="G104" s="64" t="s">
        <v>8475</v>
      </c>
      <c r="H104" s="64" t="s">
        <v>8534</v>
      </c>
    </row>
    <row r="105" spans="2:8" x14ac:dyDescent="0.25">
      <c r="B105" s="64" t="s">
        <v>8525</v>
      </c>
      <c r="C105" s="64" t="s">
        <v>8518</v>
      </c>
      <c r="D105" s="64">
        <v>3</v>
      </c>
      <c r="E105" s="64"/>
      <c r="F105" s="64"/>
      <c r="G105" s="64" t="s">
        <v>8477</v>
      </c>
      <c r="H105" s="64" t="s">
        <v>8534</v>
      </c>
    </row>
    <row r="106" spans="2:8" x14ac:dyDescent="0.25">
      <c r="B106" s="64" t="s">
        <v>8525</v>
      </c>
      <c r="C106" s="64" t="s">
        <v>8518</v>
      </c>
      <c r="D106" s="64">
        <v>3</v>
      </c>
      <c r="E106" s="64"/>
      <c r="F106" s="64"/>
      <c r="G106" s="64" t="s">
        <v>8476</v>
      </c>
      <c r="H106" s="64" t="s">
        <v>8534</v>
      </c>
    </row>
    <row r="107" spans="2:8" x14ac:dyDescent="0.25">
      <c r="B107" s="64" t="s">
        <v>8525</v>
      </c>
      <c r="C107" s="64" t="s">
        <v>8518</v>
      </c>
      <c r="D107" s="64">
        <v>3</v>
      </c>
      <c r="E107" s="64"/>
      <c r="F107" s="64"/>
      <c r="G107" s="64" t="s">
        <v>8479</v>
      </c>
      <c r="H107" s="64" t="s">
        <v>8532</v>
      </c>
    </row>
  </sheetData>
  <autoFilter ref="B2:H107" xr:uid="{DFB735C2-57C4-45F5-A94F-ADF2DE9BE4C3}"/>
  <conditionalFormatting sqref="E2:F2">
    <cfRule type="duplicateValues" dxfId="2" priority="1"/>
  </conditionalFormatting>
  <conditionalFormatting sqref="G2:G107">
    <cfRule type="duplicateValues" dxfId="1" priority="2"/>
  </conditionalFormatting>
  <pageMargins left="0.511811024" right="0.511811024" top="0.78740157499999996" bottom="0.78740157499999996" header="0.31496062000000002" footer="0.31496062000000002"/>
  <pageSetup paperSize="8" scale="68"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F4468-922E-45CC-8D5D-34E089B36604}">
  <sheetPr>
    <pageSetUpPr fitToPage="1"/>
  </sheetPr>
  <dimension ref="B2:C107"/>
  <sheetViews>
    <sheetView workbookViewId="0">
      <selection activeCell="E5" sqref="E5"/>
    </sheetView>
  </sheetViews>
  <sheetFormatPr defaultRowHeight="15" x14ac:dyDescent="0.25"/>
  <cols>
    <col min="1" max="1" width="5.85546875" customWidth="1"/>
    <col min="2" max="2" width="17.28515625" bestFit="1" customWidth="1"/>
    <col min="3" max="3" width="23.85546875" bestFit="1" customWidth="1"/>
  </cols>
  <sheetData>
    <row r="2" spans="2:3" x14ac:dyDescent="0.25">
      <c r="B2" s="407" t="s">
        <v>8528</v>
      </c>
      <c r="C2" s="408" t="s">
        <v>8530</v>
      </c>
    </row>
    <row r="3" spans="2:3" x14ac:dyDescent="0.25">
      <c r="B3" s="64" t="s">
        <v>8471</v>
      </c>
      <c r="C3" s="64" t="s">
        <v>8532</v>
      </c>
    </row>
    <row r="4" spans="2:3" x14ac:dyDescent="0.25">
      <c r="B4" s="64" t="s">
        <v>8472</v>
      </c>
      <c r="C4" s="64" t="s">
        <v>8532</v>
      </c>
    </row>
    <row r="5" spans="2:3" x14ac:dyDescent="0.25">
      <c r="B5" s="64" t="s">
        <v>8473</v>
      </c>
      <c r="C5" s="64" t="s">
        <v>8532</v>
      </c>
    </row>
    <row r="6" spans="2:3" x14ac:dyDescent="0.25">
      <c r="B6" s="64" t="s">
        <v>8466</v>
      </c>
      <c r="C6" s="64" t="s">
        <v>8532</v>
      </c>
    </row>
    <row r="7" spans="2:3" x14ac:dyDescent="0.25">
      <c r="B7" s="64" t="s">
        <v>8467</v>
      </c>
      <c r="C7" s="64" t="s">
        <v>8532</v>
      </c>
    </row>
    <row r="8" spans="2:3" x14ac:dyDescent="0.25">
      <c r="B8" s="64" t="s">
        <v>8468</v>
      </c>
      <c r="C8" s="64" t="s">
        <v>8532</v>
      </c>
    </row>
    <row r="9" spans="2:3" x14ac:dyDescent="0.25">
      <c r="B9" s="64" t="s">
        <v>8513</v>
      </c>
      <c r="C9" s="64" t="s">
        <v>8532</v>
      </c>
    </row>
    <row r="10" spans="2:3" x14ac:dyDescent="0.25">
      <c r="B10" s="64" t="s">
        <v>8475</v>
      </c>
      <c r="C10" s="64" t="s">
        <v>8526</v>
      </c>
    </row>
    <row r="11" spans="2:3" x14ac:dyDescent="0.25">
      <c r="B11" s="64" t="s">
        <v>8477</v>
      </c>
      <c r="C11" s="64" t="s">
        <v>8526</v>
      </c>
    </row>
    <row r="12" spans="2:3" x14ac:dyDescent="0.25">
      <c r="B12" s="64" t="s">
        <v>8478</v>
      </c>
      <c r="C12" s="64" t="s">
        <v>8532</v>
      </c>
    </row>
    <row r="13" spans="2:3" x14ac:dyDescent="0.25">
      <c r="B13" s="64" t="s">
        <v>8479</v>
      </c>
      <c r="C13" s="64" t="s">
        <v>8532</v>
      </c>
    </row>
    <row r="14" spans="2:3" x14ac:dyDescent="0.25">
      <c r="B14" s="64" t="s">
        <v>8480</v>
      </c>
      <c r="C14" s="64" t="s">
        <v>8532</v>
      </c>
    </row>
    <row r="15" spans="2:3" x14ac:dyDescent="0.25">
      <c r="B15" s="64" t="s">
        <v>8481</v>
      </c>
      <c r="C15" s="64" t="s">
        <v>8532</v>
      </c>
    </row>
    <row r="16" spans="2:3" x14ac:dyDescent="0.25">
      <c r="B16" s="64" t="s">
        <v>8482</v>
      </c>
      <c r="C16" s="64" t="s">
        <v>8532</v>
      </c>
    </row>
    <row r="17" spans="2:3" x14ac:dyDescent="0.25">
      <c r="B17" s="64" t="s">
        <v>8483</v>
      </c>
      <c r="C17" s="64" t="s">
        <v>8527</v>
      </c>
    </row>
    <row r="18" spans="2:3" x14ac:dyDescent="0.25">
      <c r="B18" s="64" t="s">
        <v>8476</v>
      </c>
      <c r="C18" s="64" t="s">
        <v>8526</v>
      </c>
    </row>
    <row r="19" spans="2:3" x14ac:dyDescent="0.25">
      <c r="B19" s="64" t="s">
        <v>8514</v>
      </c>
      <c r="C19" s="64" t="s">
        <v>8532</v>
      </c>
    </row>
    <row r="20" spans="2:3" x14ac:dyDescent="0.25">
      <c r="B20" s="64" t="s">
        <v>8515</v>
      </c>
      <c r="C20" s="64" t="s">
        <v>8532</v>
      </c>
    </row>
    <row r="21" spans="2:3" x14ac:dyDescent="0.25">
      <c r="B21" s="64" t="s">
        <v>8516</v>
      </c>
      <c r="C21" s="64" t="s">
        <v>8532</v>
      </c>
    </row>
    <row r="22" spans="2:3" x14ac:dyDescent="0.25">
      <c r="B22" s="64" t="s">
        <v>8517</v>
      </c>
      <c r="C22" s="64" t="s">
        <v>8532</v>
      </c>
    </row>
    <row r="23" spans="2:3" x14ac:dyDescent="0.25">
      <c r="B23" s="64" t="s">
        <v>8417</v>
      </c>
      <c r="C23" s="64" t="s">
        <v>8527</v>
      </c>
    </row>
    <row r="24" spans="2:3" x14ac:dyDescent="0.25">
      <c r="B24" s="64" t="s">
        <v>8419</v>
      </c>
      <c r="C24" s="64" t="s">
        <v>8527</v>
      </c>
    </row>
    <row r="25" spans="2:3" x14ac:dyDescent="0.25">
      <c r="B25" s="64" t="s">
        <v>8484</v>
      </c>
      <c r="C25" s="64" t="s">
        <v>8532</v>
      </c>
    </row>
    <row r="26" spans="2:3" x14ac:dyDescent="0.25">
      <c r="B26" s="64" t="s">
        <v>8418</v>
      </c>
      <c r="C26" s="64" t="s">
        <v>8527</v>
      </c>
    </row>
    <row r="27" spans="2:3" x14ac:dyDescent="0.25">
      <c r="B27" s="64" t="s">
        <v>8420</v>
      </c>
      <c r="C27" s="64" t="s">
        <v>8527</v>
      </c>
    </row>
    <row r="28" spans="2:3" x14ac:dyDescent="0.25">
      <c r="B28" s="64" t="s">
        <v>8485</v>
      </c>
      <c r="C28" s="64" t="s">
        <v>8527</v>
      </c>
    </row>
    <row r="29" spans="2:3" x14ac:dyDescent="0.25">
      <c r="B29" s="64" t="s">
        <v>8486</v>
      </c>
      <c r="C29" s="64" t="s">
        <v>8527</v>
      </c>
    </row>
    <row r="30" spans="2:3" x14ac:dyDescent="0.25">
      <c r="B30" s="64" t="s">
        <v>8487</v>
      </c>
      <c r="C30" s="64" t="s">
        <v>8532</v>
      </c>
    </row>
    <row r="31" spans="2:3" x14ac:dyDescent="0.25">
      <c r="B31" s="64" t="s">
        <v>8421</v>
      </c>
      <c r="C31" s="64" t="s">
        <v>8527</v>
      </c>
    </row>
    <row r="32" spans="2:3" x14ac:dyDescent="0.25">
      <c r="B32" s="64" t="s">
        <v>8488</v>
      </c>
      <c r="C32" s="64" t="s">
        <v>8527</v>
      </c>
    </row>
    <row r="33" spans="2:3" x14ac:dyDescent="0.25">
      <c r="B33" s="64" t="s">
        <v>8494</v>
      </c>
      <c r="C33" s="64" t="s">
        <v>8527</v>
      </c>
    </row>
    <row r="34" spans="2:3" x14ac:dyDescent="0.25">
      <c r="B34" s="64" t="s">
        <v>8489</v>
      </c>
      <c r="C34" s="64" t="s">
        <v>8532</v>
      </c>
    </row>
    <row r="35" spans="2:3" x14ac:dyDescent="0.25">
      <c r="B35" s="64" t="s">
        <v>8497</v>
      </c>
      <c r="C35" s="64" t="s">
        <v>8532</v>
      </c>
    </row>
    <row r="36" spans="2:3" x14ac:dyDescent="0.25">
      <c r="B36" s="64" t="s">
        <v>8498</v>
      </c>
      <c r="C36" s="64" t="s">
        <v>8532</v>
      </c>
    </row>
    <row r="37" spans="2:3" x14ac:dyDescent="0.25">
      <c r="B37" s="64" t="s">
        <v>8490</v>
      </c>
      <c r="C37" s="64" t="s">
        <v>8532</v>
      </c>
    </row>
    <row r="38" spans="2:3" x14ac:dyDescent="0.25">
      <c r="B38" s="64" t="s">
        <v>8491</v>
      </c>
      <c r="C38" s="64" t="s">
        <v>8532</v>
      </c>
    </row>
    <row r="39" spans="2:3" x14ac:dyDescent="0.25">
      <c r="B39" s="64" t="s">
        <v>8495</v>
      </c>
      <c r="C39" s="64" t="s">
        <v>8532</v>
      </c>
    </row>
    <row r="40" spans="2:3" x14ac:dyDescent="0.25">
      <c r="B40" s="64" t="s">
        <v>8492</v>
      </c>
      <c r="C40" s="64" t="s">
        <v>8532</v>
      </c>
    </row>
    <row r="41" spans="2:3" x14ac:dyDescent="0.25">
      <c r="B41" s="64" t="s">
        <v>8493</v>
      </c>
      <c r="C41" s="64" t="s">
        <v>8532</v>
      </c>
    </row>
    <row r="42" spans="2:3" x14ac:dyDescent="0.25">
      <c r="B42" s="64" t="s">
        <v>8496</v>
      </c>
      <c r="C42" s="64" t="s">
        <v>8532</v>
      </c>
    </row>
    <row r="43" spans="2:3" x14ac:dyDescent="0.25">
      <c r="B43" s="64" t="s">
        <v>8425</v>
      </c>
      <c r="C43" s="64" t="s">
        <v>8532</v>
      </c>
    </row>
    <row r="44" spans="2:3" x14ac:dyDescent="0.25">
      <c r="B44" s="64" t="s">
        <v>8422</v>
      </c>
      <c r="C44" s="64" t="s">
        <v>8527</v>
      </c>
    </row>
    <row r="45" spans="2:3" x14ac:dyDescent="0.25">
      <c r="B45" s="64" t="s">
        <v>8426</v>
      </c>
      <c r="C45" s="64" t="s">
        <v>8532</v>
      </c>
    </row>
    <row r="46" spans="2:3" x14ac:dyDescent="0.25">
      <c r="B46" s="64" t="s">
        <v>8423</v>
      </c>
      <c r="C46" s="64" t="s">
        <v>8532</v>
      </c>
    </row>
    <row r="47" spans="2:3" x14ac:dyDescent="0.25">
      <c r="B47" s="64" t="s">
        <v>8499</v>
      </c>
      <c r="C47" s="64" t="s">
        <v>8527</v>
      </c>
    </row>
    <row r="48" spans="2:3" x14ac:dyDescent="0.25">
      <c r="B48" s="64" t="s">
        <v>8427</v>
      </c>
      <c r="C48" s="64" t="s">
        <v>8527</v>
      </c>
    </row>
    <row r="49" spans="2:3" x14ac:dyDescent="0.25">
      <c r="B49" s="64" t="s">
        <v>8424</v>
      </c>
      <c r="C49" s="64" t="s">
        <v>8526</v>
      </c>
    </row>
    <row r="50" spans="2:3" x14ac:dyDescent="0.25">
      <c r="B50" s="64" t="s">
        <v>8500</v>
      </c>
      <c r="C50" s="64" t="s">
        <v>8527</v>
      </c>
    </row>
    <row r="51" spans="2:3" x14ac:dyDescent="0.25">
      <c r="B51" s="64" t="s">
        <v>8501</v>
      </c>
      <c r="C51" s="64" t="s">
        <v>8532</v>
      </c>
    </row>
    <row r="52" spans="2:3" x14ac:dyDescent="0.25">
      <c r="B52" s="64" t="s">
        <v>8502</v>
      </c>
      <c r="C52" s="64" t="s">
        <v>8532</v>
      </c>
    </row>
    <row r="53" spans="2:3" x14ac:dyDescent="0.25">
      <c r="B53" s="64" t="s">
        <v>8503</v>
      </c>
      <c r="C53" s="64" t="s">
        <v>8532</v>
      </c>
    </row>
    <row r="54" spans="2:3" x14ac:dyDescent="0.25">
      <c r="B54" s="64" t="s">
        <v>8504</v>
      </c>
      <c r="C54" s="64" t="s">
        <v>8532</v>
      </c>
    </row>
    <row r="55" spans="2:3" x14ac:dyDescent="0.25">
      <c r="B55" s="64" t="s">
        <v>8428</v>
      </c>
      <c r="C55" s="64" t="s">
        <v>8526</v>
      </c>
    </row>
    <row r="56" spans="2:3" x14ac:dyDescent="0.25">
      <c r="B56" s="64" t="s">
        <v>8434</v>
      </c>
      <c r="C56" s="64" t="s">
        <v>8532</v>
      </c>
    </row>
    <row r="57" spans="2:3" x14ac:dyDescent="0.25">
      <c r="B57" s="64" t="s">
        <v>8429</v>
      </c>
      <c r="C57" s="64" t="s">
        <v>8526</v>
      </c>
    </row>
    <row r="58" spans="2:3" x14ac:dyDescent="0.25">
      <c r="B58" s="64" t="s">
        <v>8505</v>
      </c>
      <c r="C58" s="64" t="s">
        <v>8527</v>
      </c>
    </row>
    <row r="59" spans="2:3" x14ac:dyDescent="0.25">
      <c r="B59" s="64" t="s">
        <v>8506</v>
      </c>
      <c r="C59" s="64" t="s">
        <v>8527</v>
      </c>
    </row>
    <row r="60" spans="2:3" x14ac:dyDescent="0.25">
      <c r="B60" s="64" t="s">
        <v>8507</v>
      </c>
      <c r="C60" s="64" t="s">
        <v>8527</v>
      </c>
    </row>
    <row r="61" spans="2:3" x14ac:dyDescent="0.25">
      <c r="B61" s="64" t="s">
        <v>8508</v>
      </c>
      <c r="C61" s="64" t="s">
        <v>8527</v>
      </c>
    </row>
    <row r="62" spans="2:3" x14ac:dyDescent="0.25">
      <c r="B62" s="64" t="s">
        <v>8430</v>
      </c>
      <c r="C62" s="64" t="s">
        <v>8526</v>
      </c>
    </row>
    <row r="63" spans="2:3" x14ac:dyDescent="0.25">
      <c r="B63" s="64" t="s">
        <v>8435</v>
      </c>
      <c r="C63" s="64" t="s">
        <v>8532</v>
      </c>
    </row>
    <row r="64" spans="2:3" x14ac:dyDescent="0.25">
      <c r="B64" s="64" t="s">
        <v>8431</v>
      </c>
      <c r="C64" s="64" t="s">
        <v>8526</v>
      </c>
    </row>
    <row r="65" spans="2:3" x14ac:dyDescent="0.25">
      <c r="B65" s="64" t="s">
        <v>8432</v>
      </c>
      <c r="C65" s="64" t="s">
        <v>8526</v>
      </c>
    </row>
    <row r="66" spans="2:3" x14ac:dyDescent="0.25">
      <c r="B66" s="64" t="s">
        <v>8436</v>
      </c>
      <c r="C66" s="64" t="s">
        <v>8532</v>
      </c>
    </row>
    <row r="67" spans="2:3" x14ac:dyDescent="0.25">
      <c r="B67" s="64" t="s">
        <v>8433</v>
      </c>
      <c r="C67" s="64" t="s">
        <v>8526</v>
      </c>
    </row>
    <row r="68" spans="2:3" x14ac:dyDescent="0.25">
      <c r="B68" s="64" t="s">
        <v>8437</v>
      </c>
      <c r="C68" s="64" t="s">
        <v>8526</v>
      </c>
    </row>
    <row r="69" spans="2:3" x14ac:dyDescent="0.25">
      <c r="B69" s="64" t="s">
        <v>8440</v>
      </c>
      <c r="C69" s="64" t="s">
        <v>8526</v>
      </c>
    </row>
    <row r="70" spans="2:3" x14ac:dyDescent="0.25">
      <c r="B70" s="64" t="s">
        <v>8441</v>
      </c>
      <c r="C70" s="64" t="s">
        <v>8532</v>
      </c>
    </row>
    <row r="71" spans="2:3" x14ac:dyDescent="0.25">
      <c r="B71" s="64" t="s">
        <v>8438</v>
      </c>
      <c r="C71" s="64" t="s">
        <v>8526</v>
      </c>
    </row>
    <row r="72" spans="2:3" x14ac:dyDescent="0.25">
      <c r="B72" s="64" t="s">
        <v>8446</v>
      </c>
      <c r="C72" s="64" t="s">
        <v>8532</v>
      </c>
    </row>
    <row r="73" spans="2:3" x14ac:dyDescent="0.25">
      <c r="B73" s="64" t="s">
        <v>8442</v>
      </c>
      <c r="C73" s="64" t="s">
        <v>8532</v>
      </c>
    </row>
    <row r="74" spans="2:3" x14ac:dyDescent="0.25">
      <c r="B74" s="64" t="s">
        <v>8451</v>
      </c>
      <c r="C74" s="64" t="s">
        <v>8532</v>
      </c>
    </row>
    <row r="75" spans="2:3" x14ac:dyDescent="0.25">
      <c r="B75" s="64" t="s">
        <v>8439</v>
      </c>
      <c r="C75" s="64" t="s">
        <v>8526</v>
      </c>
    </row>
    <row r="76" spans="2:3" x14ac:dyDescent="0.25">
      <c r="B76" s="64" t="s">
        <v>8447</v>
      </c>
      <c r="C76" s="64" t="s">
        <v>8532</v>
      </c>
    </row>
    <row r="77" spans="2:3" x14ac:dyDescent="0.25">
      <c r="B77" s="64" t="s">
        <v>8443</v>
      </c>
      <c r="C77" s="64" t="s">
        <v>8532</v>
      </c>
    </row>
    <row r="78" spans="2:3" x14ac:dyDescent="0.25">
      <c r="B78" s="64" t="s">
        <v>8452</v>
      </c>
      <c r="C78" s="64" t="s">
        <v>8532</v>
      </c>
    </row>
    <row r="79" spans="2:3" x14ac:dyDescent="0.25">
      <c r="B79" s="64" t="s">
        <v>8448</v>
      </c>
      <c r="C79" s="64" t="s">
        <v>8532</v>
      </c>
    </row>
    <row r="80" spans="2:3" x14ac:dyDescent="0.25">
      <c r="B80" s="64" t="s">
        <v>8453</v>
      </c>
      <c r="C80" s="64" t="s">
        <v>8532</v>
      </c>
    </row>
    <row r="81" spans="2:3" x14ac:dyDescent="0.25">
      <c r="B81" s="64" t="s">
        <v>8454</v>
      </c>
      <c r="C81" s="64" t="s">
        <v>8532</v>
      </c>
    </row>
    <row r="82" spans="2:3" x14ac:dyDescent="0.25">
      <c r="B82" s="64" t="s">
        <v>8456</v>
      </c>
      <c r="C82" s="64" t="s">
        <v>8527</v>
      </c>
    </row>
    <row r="83" spans="2:3" x14ac:dyDescent="0.25">
      <c r="B83" s="64" t="s">
        <v>8455</v>
      </c>
      <c r="C83" s="64" t="s">
        <v>8532</v>
      </c>
    </row>
    <row r="84" spans="2:3" x14ac:dyDescent="0.25">
      <c r="B84" s="64" t="s">
        <v>8444</v>
      </c>
      <c r="C84" s="64" t="s">
        <v>8532</v>
      </c>
    </row>
    <row r="85" spans="2:3" x14ac:dyDescent="0.25">
      <c r="B85" s="64" t="s">
        <v>8449</v>
      </c>
      <c r="C85" s="64" t="s">
        <v>8532</v>
      </c>
    </row>
    <row r="86" spans="2:3" x14ac:dyDescent="0.25">
      <c r="B86" s="64" t="s">
        <v>8445</v>
      </c>
      <c r="C86" s="64" t="s">
        <v>8532</v>
      </c>
    </row>
    <row r="87" spans="2:3" x14ac:dyDescent="0.25">
      <c r="B87" s="64" t="s">
        <v>8450</v>
      </c>
      <c r="C87" s="64" t="s">
        <v>8532</v>
      </c>
    </row>
    <row r="88" spans="2:3" x14ac:dyDescent="0.25">
      <c r="B88" s="64" t="s">
        <v>8457</v>
      </c>
      <c r="C88" s="64" t="s">
        <v>8527</v>
      </c>
    </row>
    <row r="89" spans="2:3" x14ac:dyDescent="0.25">
      <c r="B89" s="64" t="s">
        <v>8458</v>
      </c>
      <c r="C89" s="64" t="s">
        <v>8527</v>
      </c>
    </row>
    <row r="90" spans="2:3" x14ac:dyDescent="0.25">
      <c r="B90" s="64" t="s">
        <v>8459</v>
      </c>
      <c r="C90" s="64" t="s">
        <v>8532</v>
      </c>
    </row>
    <row r="91" spans="2:3" x14ac:dyDescent="0.25">
      <c r="B91" s="64" t="s">
        <v>8460</v>
      </c>
      <c r="C91" s="64" t="s">
        <v>8532</v>
      </c>
    </row>
    <row r="92" spans="2:3" x14ac:dyDescent="0.25">
      <c r="B92" s="64" t="s">
        <v>8461</v>
      </c>
      <c r="C92" s="64" t="s">
        <v>8532</v>
      </c>
    </row>
    <row r="93" spans="2:3" x14ac:dyDescent="0.25">
      <c r="B93" s="64" t="s">
        <v>8469</v>
      </c>
      <c r="C93" s="64" t="s">
        <v>8527</v>
      </c>
    </row>
    <row r="94" spans="2:3" x14ac:dyDescent="0.25">
      <c r="B94" s="64" t="s">
        <v>8462</v>
      </c>
      <c r="C94" s="64" t="s">
        <v>8527</v>
      </c>
    </row>
    <row r="95" spans="2:3" x14ac:dyDescent="0.25">
      <c r="B95" s="64" t="s">
        <v>8463</v>
      </c>
      <c r="C95" s="64" t="s">
        <v>8532</v>
      </c>
    </row>
    <row r="96" spans="2:3" x14ac:dyDescent="0.25">
      <c r="B96" s="64" t="s">
        <v>8470</v>
      </c>
      <c r="C96" s="64" t="s">
        <v>8527</v>
      </c>
    </row>
    <row r="97" spans="2:3" x14ac:dyDescent="0.25">
      <c r="B97" s="64" t="s">
        <v>8464</v>
      </c>
      <c r="C97" s="64" t="s">
        <v>8532</v>
      </c>
    </row>
    <row r="98" spans="2:3" x14ac:dyDescent="0.25">
      <c r="B98" s="64" t="s">
        <v>8465</v>
      </c>
      <c r="C98" s="64" t="s">
        <v>8527</v>
      </c>
    </row>
    <row r="99" spans="2:3" x14ac:dyDescent="0.25">
      <c r="B99" s="64" t="s">
        <v>8509</v>
      </c>
      <c r="C99" s="64" t="s">
        <v>8527</v>
      </c>
    </row>
    <row r="100" spans="2:3" x14ac:dyDescent="0.25">
      <c r="B100" s="64" t="s">
        <v>8510</v>
      </c>
      <c r="C100" s="64" t="s">
        <v>8532</v>
      </c>
    </row>
    <row r="101" spans="2:3" x14ac:dyDescent="0.25">
      <c r="B101" s="64" t="s">
        <v>8511</v>
      </c>
      <c r="C101" s="64" t="s">
        <v>8532</v>
      </c>
    </row>
    <row r="102" spans="2:3" x14ac:dyDescent="0.25">
      <c r="B102" s="64" t="s">
        <v>8512</v>
      </c>
      <c r="C102" s="64" t="s">
        <v>8532</v>
      </c>
    </row>
    <row r="103" spans="2:3" x14ac:dyDescent="0.25">
      <c r="B103" s="64" t="s">
        <v>8519</v>
      </c>
      <c r="C103" s="64" t="s">
        <v>8527</v>
      </c>
    </row>
    <row r="104" spans="2:3" x14ac:dyDescent="0.25">
      <c r="B104" s="64" t="s">
        <v>8520</v>
      </c>
      <c r="C104" s="64" t="s">
        <v>8527</v>
      </c>
    </row>
    <row r="105" spans="2:3" x14ac:dyDescent="0.25">
      <c r="B105" s="64" t="s">
        <v>8521</v>
      </c>
      <c r="C105" s="64" t="s">
        <v>8527</v>
      </c>
    </row>
    <row r="106" spans="2:3" x14ac:dyDescent="0.25">
      <c r="B106" s="64" t="s">
        <v>8522</v>
      </c>
      <c r="C106" s="64" t="s">
        <v>8527</v>
      </c>
    </row>
    <row r="107" spans="2:3" x14ac:dyDescent="0.25">
      <c r="B107" s="64" t="s">
        <v>8523</v>
      </c>
      <c r="C107" s="64" t="s">
        <v>8527</v>
      </c>
    </row>
  </sheetData>
  <autoFilter ref="B2:C107" xr:uid="{312F4468-922E-45CC-8D5D-34E089B36604}">
    <sortState xmlns:xlrd2="http://schemas.microsoft.com/office/spreadsheetml/2017/richdata2" ref="B3:C107">
      <sortCondition ref="B2:B107"/>
    </sortState>
  </autoFilter>
  <conditionalFormatting sqref="B2:B107">
    <cfRule type="duplicateValues" dxfId="0" priority="1"/>
  </conditionalFormatting>
  <pageMargins left="0.51181102362204722" right="0.51181102362204722" top="0" bottom="0" header="0.31496062992125984" footer="0.31496062992125984"/>
  <pageSetup paperSize="8" scale="74"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36840-8370-42C4-BE4A-94A28DEDD26E}">
  <sheetPr>
    <tabColor rgb="FF04745F"/>
  </sheetPr>
  <dimension ref="A3:B6"/>
  <sheetViews>
    <sheetView workbookViewId="0">
      <selection activeCell="A3" sqref="A3"/>
    </sheetView>
  </sheetViews>
  <sheetFormatPr defaultRowHeight="15" x14ac:dyDescent="0.25"/>
  <cols>
    <col min="1" max="1" width="18" bestFit="1" customWidth="1"/>
    <col min="2" max="2" width="23.42578125" bestFit="1" customWidth="1"/>
  </cols>
  <sheetData>
    <row r="3" spans="1:2" x14ac:dyDescent="0.25">
      <c r="A3" s="85" t="s">
        <v>7044</v>
      </c>
      <c r="B3" t="s">
        <v>7047</v>
      </c>
    </row>
    <row r="4" spans="1:2" x14ac:dyDescent="0.25">
      <c r="A4" s="86" t="s">
        <v>7027</v>
      </c>
      <c r="B4">
        <v>30</v>
      </c>
    </row>
    <row r="5" spans="1:2" x14ac:dyDescent="0.25">
      <c r="A5" s="86" t="s">
        <v>7045</v>
      </c>
    </row>
    <row r="6" spans="1:2" x14ac:dyDescent="0.25">
      <c r="A6" s="86" t="s">
        <v>7046</v>
      </c>
      <c r="B6">
        <v>30</v>
      </c>
    </row>
  </sheetData>
  <pageMargins left="0.511811024" right="0.511811024" top="0.78740157499999996" bottom="0.78740157499999996" header="0.31496062000000002" footer="0.3149606200000000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62A5D-792E-407E-986F-A24AB82C931E}">
  <sheetPr>
    <tabColor rgb="FF04745F"/>
    <pageSetUpPr fitToPage="1"/>
  </sheetPr>
  <dimension ref="B1:BU127"/>
  <sheetViews>
    <sheetView zoomScale="73" zoomScaleNormal="90" workbookViewId="0">
      <pane ySplit="4" topLeftCell="A5" activePane="bottomLeft" state="frozen"/>
      <selection pane="bottomLeft" activeCell="R7" sqref="R7:R10"/>
    </sheetView>
  </sheetViews>
  <sheetFormatPr defaultColWidth="2.7109375" defaultRowHeight="12" outlineLevelCol="1" x14ac:dyDescent="0.25"/>
  <cols>
    <col min="1" max="1" width="2.7109375" style="8"/>
    <col min="2" max="4" width="12.85546875" style="8" customWidth="1"/>
    <col min="5" max="5" width="13.140625" style="8" customWidth="1" outlineLevel="1" collapsed="1"/>
    <col min="6" max="6" width="15.85546875" style="8" customWidth="1" outlineLevel="1"/>
    <col min="7" max="7" width="14.28515625" style="8" customWidth="1"/>
    <col min="8" max="9" width="16" style="8" customWidth="1"/>
    <col min="10" max="10" width="10.5703125" style="8" customWidth="1"/>
    <col min="11" max="11" width="17.42578125" style="8" bestFit="1" customWidth="1"/>
    <col min="12" max="14" width="18.140625" style="8" customWidth="1" outlineLevel="1"/>
    <col min="15" max="15" width="16.28515625" style="29" customWidth="1" outlineLevel="1"/>
    <col min="16" max="16" width="17" style="8" customWidth="1"/>
    <col min="17" max="17" width="8.7109375" style="10" customWidth="1"/>
    <col min="18" max="18" width="13.140625" style="41" bestFit="1" customWidth="1"/>
    <col min="19" max="19" width="8.7109375" style="10" customWidth="1"/>
    <col min="20" max="16384" width="2.7109375" style="8"/>
  </cols>
  <sheetData>
    <row r="1" spans="2:19" x14ac:dyDescent="0.25">
      <c r="O1" s="8"/>
      <c r="Q1" s="79"/>
      <c r="R1" s="80"/>
      <c r="S1" s="79"/>
    </row>
    <row r="2" spans="2:19" x14ac:dyDescent="0.25">
      <c r="Q2" s="81"/>
      <c r="R2" s="80"/>
      <c r="S2" s="81"/>
    </row>
    <row r="3" spans="2:19" x14ac:dyDescent="0.25">
      <c r="Q3" s="81"/>
      <c r="R3" s="80"/>
      <c r="S3" s="81"/>
    </row>
    <row r="4" spans="2:19" s="2" customFormat="1" ht="24" x14ac:dyDescent="0.25">
      <c r="B4" s="71" t="s">
        <v>7026</v>
      </c>
      <c r="C4" s="71" t="s">
        <v>7039</v>
      </c>
      <c r="D4" s="71" t="s">
        <v>7040</v>
      </c>
      <c r="E4" s="72" t="s">
        <v>7028</v>
      </c>
      <c r="F4" s="72" t="s">
        <v>7029</v>
      </c>
      <c r="G4" s="73" t="s">
        <v>7033</v>
      </c>
      <c r="H4" s="73" t="s">
        <v>7031</v>
      </c>
      <c r="I4" s="73" t="s">
        <v>7035</v>
      </c>
      <c r="J4" s="73" t="s">
        <v>7034</v>
      </c>
      <c r="K4" s="73" t="s">
        <v>7036</v>
      </c>
      <c r="L4" s="83" t="s">
        <v>7042</v>
      </c>
      <c r="M4" s="83" t="s">
        <v>7043</v>
      </c>
      <c r="N4" s="83" t="s">
        <v>7038</v>
      </c>
      <c r="O4" s="74" t="s">
        <v>7037</v>
      </c>
      <c r="P4" s="75" t="s">
        <v>7048</v>
      </c>
      <c r="Q4" s="76" t="s">
        <v>3</v>
      </c>
      <c r="R4" s="77" t="s">
        <v>4</v>
      </c>
      <c r="S4" s="78" t="s">
        <v>5</v>
      </c>
    </row>
    <row r="5" spans="2:19" s="63" customFormat="1" x14ac:dyDescent="0.25">
      <c r="B5" s="59"/>
      <c r="C5" s="59"/>
      <c r="D5" s="59"/>
      <c r="E5" s="59"/>
      <c r="F5" s="59"/>
      <c r="G5" s="59"/>
      <c r="H5" s="59"/>
      <c r="I5" s="59"/>
      <c r="J5" s="59"/>
      <c r="K5" s="59"/>
      <c r="L5" s="59"/>
      <c r="M5" s="59"/>
      <c r="N5" s="59"/>
      <c r="O5" s="60"/>
      <c r="P5" s="59"/>
      <c r="Q5" s="61"/>
      <c r="R5" s="62"/>
      <c r="S5" s="61"/>
    </row>
    <row r="6" spans="2:19" s="63" customFormat="1" x14ac:dyDescent="0.25">
      <c r="B6" s="64" t="s">
        <v>7027</v>
      </c>
      <c r="C6" s="64">
        <v>500</v>
      </c>
      <c r="D6" s="64" t="s">
        <v>7041</v>
      </c>
      <c r="E6" s="64" t="s">
        <v>33</v>
      </c>
      <c r="F6" s="64">
        <v>6</v>
      </c>
      <c r="G6" s="64" t="s">
        <v>7030</v>
      </c>
      <c r="H6" s="64" t="s">
        <v>33</v>
      </c>
      <c r="I6" s="84">
        <v>44242</v>
      </c>
      <c r="J6" s="64" t="s">
        <v>7032</v>
      </c>
      <c r="K6" s="64"/>
      <c r="L6" s="64" t="s">
        <v>33</v>
      </c>
      <c r="M6" s="84">
        <v>44242</v>
      </c>
      <c r="N6" s="64">
        <v>1</v>
      </c>
      <c r="O6" s="65"/>
      <c r="P6" s="64" t="s">
        <v>7030</v>
      </c>
      <c r="Q6" s="66">
        <f>F6</f>
        <v>6</v>
      </c>
      <c r="R6" s="67">
        <v>43.718000000000004</v>
      </c>
      <c r="S6" s="66">
        <f>Q6*R6</f>
        <v>262.30799999999999</v>
      </c>
    </row>
    <row r="7" spans="2:19" s="63" customFormat="1" x14ac:dyDescent="0.25">
      <c r="B7" s="64" t="s">
        <v>7027</v>
      </c>
      <c r="C7" s="64">
        <v>500</v>
      </c>
      <c r="D7" s="64" t="s">
        <v>7041</v>
      </c>
      <c r="E7" s="64" t="s">
        <v>33</v>
      </c>
      <c r="F7" s="64">
        <v>6</v>
      </c>
      <c r="G7" s="64" t="s">
        <v>7030</v>
      </c>
      <c r="H7" s="64" t="s">
        <v>33</v>
      </c>
      <c r="I7" s="84">
        <v>44242</v>
      </c>
      <c r="J7" s="64" t="s">
        <v>7032</v>
      </c>
      <c r="K7" s="64"/>
      <c r="L7" s="64" t="s">
        <v>33</v>
      </c>
      <c r="M7" s="84">
        <v>44242</v>
      </c>
      <c r="N7" s="64">
        <v>2</v>
      </c>
      <c r="O7" s="65"/>
      <c r="P7" s="64" t="s">
        <v>7049</v>
      </c>
      <c r="Q7" s="66">
        <f t="shared" ref="Q7:Q10" si="0">F7</f>
        <v>6</v>
      </c>
      <c r="R7" s="67">
        <v>43.718000000000004</v>
      </c>
      <c r="S7" s="66">
        <f>Q7*R7</f>
        <v>262.30799999999999</v>
      </c>
    </row>
    <row r="8" spans="2:19" s="63" customFormat="1" x14ac:dyDescent="0.25">
      <c r="B8" s="64" t="s">
        <v>7027</v>
      </c>
      <c r="C8" s="64">
        <v>500</v>
      </c>
      <c r="D8" s="64" t="s">
        <v>7041</v>
      </c>
      <c r="E8" s="64" t="s">
        <v>33</v>
      </c>
      <c r="F8" s="64">
        <v>6</v>
      </c>
      <c r="G8" s="64" t="s">
        <v>7030</v>
      </c>
      <c r="H8" s="64" t="s">
        <v>33</v>
      </c>
      <c r="I8" s="84">
        <v>44242</v>
      </c>
      <c r="J8" s="64" t="s">
        <v>7032</v>
      </c>
      <c r="K8" s="64"/>
      <c r="L8" s="64" t="s">
        <v>33</v>
      </c>
      <c r="M8" s="84">
        <v>44242</v>
      </c>
      <c r="N8" s="64">
        <v>3</v>
      </c>
      <c r="O8" s="65"/>
      <c r="P8" s="64"/>
      <c r="Q8" s="66">
        <f t="shared" si="0"/>
        <v>6</v>
      </c>
      <c r="R8" s="67">
        <v>43.718000000000004</v>
      </c>
      <c r="S8" s="66">
        <f>Q8*R8</f>
        <v>262.30799999999999</v>
      </c>
    </row>
    <row r="9" spans="2:19" s="63" customFormat="1" x14ac:dyDescent="0.25">
      <c r="B9" s="64" t="s">
        <v>7027</v>
      </c>
      <c r="C9" s="64">
        <v>500</v>
      </c>
      <c r="D9" s="64" t="s">
        <v>7041</v>
      </c>
      <c r="E9" s="64" t="s">
        <v>33</v>
      </c>
      <c r="F9" s="64">
        <v>6</v>
      </c>
      <c r="G9" s="64" t="s">
        <v>7030</v>
      </c>
      <c r="H9" s="64" t="s">
        <v>7032</v>
      </c>
      <c r="I9" s="84">
        <v>44243</v>
      </c>
      <c r="J9" s="64" t="s">
        <v>7032</v>
      </c>
      <c r="K9" s="64"/>
      <c r="L9" s="64" t="s">
        <v>7032</v>
      </c>
      <c r="M9" s="84">
        <v>44243</v>
      </c>
      <c r="N9" s="64">
        <v>4</v>
      </c>
      <c r="O9" s="65"/>
      <c r="P9" s="64"/>
      <c r="Q9" s="66">
        <f t="shared" si="0"/>
        <v>6</v>
      </c>
      <c r="R9" s="67">
        <v>43.718000000000004</v>
      </c>
      <c r="S9" s="66">
        <f>Q9*R9</f>
        <v>262.30799999999999</v>
      </c>
    </row>
    <row r="10" spans="2:19" s="63" customFormat="1" x14ac:dyDescent="0.25">
      <c r="B10" s="64" t="s">
        <v>7027</v>
      </c>
      <c r="C10" s="64">
        <v>500</v>
      </c>
      <c r="D10" s="64" t="s">
        <v>7041</v>
      </c>
      <c r="E10" s="64" t="s">
        <v>33</v>
      </c>
      <c r="F10" s="64">
        <v>6</v>
      </c>
      <c r="G10" s="64" t="s">
        <v>7030</v>
      </c>
      <c r="H10" s="64" t="s">
        <v>7032</v>
      </c>
      <c r="I10" s="84">
        <v>44243</v>
      </c>
      <c r="J10" s="64" t="s">
        <v>7032</v>
      </c>
      <c r="K10" s="64"/>
      <c r="L10" s="64" t="s">
        <v>7032</v>
      </c>
      <c r="M10" s="84">
        <v>44243</v>
      </c>
      <c r="N10" s="64">
        <v>5</v>
      </c>
      <c r="O10" s="65"/>
      <c r="P10" s="64"/>
      <c r="Q10" s="66">
        <f t="shared" si="0"/>
        <v>6</v>
      </c>
      <c r="R10" s="67">
        <v>43.718000000000004</v>
      </c>
      <c r="S10" s="66">
        <f>Q10*R10</f>
        <v>262.30799999999999</v>
      </c>
    </row>
    <row r="11" spans="2:19" x14ac:dyDescent="0.25">
      <c r="B11" s="22"/>
      <c r="C11" s="22"/>
      <c r="D11" s="22"/>
      <c r="E11" s="22"/>
      <c r="F11" s="22"/>
      <c r="G11" s="22"/>
      <c r="H11" s="22"/>
      <c r="I11" s="22"/>
      <c r="J11" s="22"/>
      <c r="K11" s="22"/>
      <c r="L11" s="22"/>
      <c r="M11" s="22"/>
      <c r="N11" s="22"/>
      <c r="O11" s="27"/>
      <c r="P11" s="22"/>
      <c r="Q11" s="23"/>
      <c r="R11" s="42"/>
      <c r="S11" s="23"/>
    </row>
    <row r="12" spans="2:19" x14ac:dyDescent="0.25">
      <c r="B12" s="1"/>
      <c r="C12" s="1"/>
      <c r="D12" s="1"/>
      <c r="E12" s="1"/>
      <c r="F12" s="1"/>
      <c r="G12" s="1"/>
      <c r="H12" s="1"/>
      <c r="I12" s="1"/>
      <c r="J12" s="1"/>
      <c r="K12" s="1"/>
      <c r="L12" s="1"/>
      <c r="M12" s="1"/>
      <c r="N12" s="1"/>
      <c r="O12" s="28"/>
      <c r="P12" s="1"/>
      <c r="Q12" s="3"/>
      <c r="R12" s="43"/>
      <c r="S12" s="3"/>
    </row>
    <row r="13" spans="2:19" x14ac:dyDescent="0.25">
      <c r="B13" s="1"/>
      <c r="C13" s="1"/>
      <c r="D13" s="1"/>
      <c r="E13" s="1"/>
      <c r="F13" s="1"/>
      <c r="G13" s="1"/>
      <c r="H13" s="1"/>
      <c r="I13" s="1"/>
      <c r="J13" s="1"/>
      <c r="K13" s="1"/>
      <c r="L13" s="1"/>
      <c r="M13" s="1"/>
      <c r="N13" s="1"/>
      <c r="O13" s="28"/>
      <c r="P13" s="1"/>
      <c r="Q13" s="3"/>
      <c r="R13" s="43"/>
      <c r="S13" s="3"/>
    </row>
    <row r="14" spans="2:19" x14ac:dyDescent="0.25">
      <c r="B14" s="1"/>
      <c r="C14" s="1"/>
      <c r="D14" s="1"/>
      <c r="E14" s="1"/>
      <c r="F14" s="1"/>
      <c r="G14" s="1"/>
      <c r="H14" s="1"/>
      <c r="I14" s="1"/>
      <c r="J14" s="1"/>
      <c r="K14" s="1"/>
      <c r="L14" s="1"/>
      <c r="M14" s="1"/>
      <c r="N14" s="1"/>
      <c r="O14" s="28"/>
      <c r="P14" s="1"/>
      <c r="Q14" s="3"/>
      <c r="R14" s="43"/>
      <c r="S14" s="3"/>
    </row>
    <row r="15" spans="2:19" x14ac:dyDescent="0.25">
      <c r="B15" s="1"/>
      <c r="C15" s="1"/>
      <c r="D15" s="1"/>
      <c r="E15" s="1"/>
      <c r="F15" s="1"/>
      <c r="G15" s="1"/>
      <c r="H15" s="1"/>
      <c r="I15" s="1"/>
      <c r="J15" s="1"/>
      <c r="K15" s="1"/>
      <c r="L15" s="1"/>
      <c r="M15" s="1"/>
      <c r="N15" s="1"/>
      <c r="O15" s="28"/>
      <c r="P15" s="1"/>
      <c r="Q15" s="3"/>
      <c r="R15" s="43"/>
      <c r="S15" s="3"/>
    </row>
    <row r="16" spans="2:19" x14ac:dyDescent="0.25">
      <c r="B16" s="1"/>
      <c r="C16" s="1"/>
      <c r="D16" s="1"/>
      <c r="E16" s="1"/>
      <c r="F16" s="1"/>
      <c r="G16" s="1"/>
      <c r="H16" s="1"/>
      <c r="I16" s="1"/>
      <c r="J16" s="1"/>
      <c r="K16" s="1"/>
      <c r="L16" s="1"/>
      <c r="M16" s="1"/>
      <c r="N16" s="1"/>
      <c r="O16" s="28"/>
      <c r="P16" s="1"/>
      <c r="Q16" s="3"/>
      <c r="R16" s="43"/>
      <c r="S16" s="3"/>
    </row>
    <row r="17" spans="2:19" x14ac:dyDescent="0.25">
      <c r="B17" s="22"/>
      <c r="C17" s="22"/>
      <c r="D17" s="22"/>
      <c r="E17" s="22"/>
      <c r="F17" s="22"/>
      <c r="G17" s="22"/>
      <c r="H17" s="22"/>
      <c r="I17" s="22"/>
      <c r="J17" s="22"/>
      <c r="K17" s="22"/>
      <c r="L17" s="22"/>
      <c r="M17" s="22"/>
      <c r="N17" s="22"/>
      <c r="O17" s="27"/>
      <c r="P17" s="22"/>
      <c r="Q17" s="23"/>
      <c r="R17" s="42"/>
      <c r="S17" s="23"/>
    </row>
    <row r="18" spans="2:19" x14ac:dyDescent="0.25">
      <c r="B18" s="1"/>
      <c r="C18" s="1"/>
      <c r="D18" s="1"/>
      <c r="E18" s="1"/>
      <c r="F18" s="1"/>
      <c r="G18" s="1"/>
      <c r="H18" s="1"/>
      <c r="I18" s="1"/>
      <c r="J18" s="1"/>
      <c r="K18" s="1"/>
      <c r="L18" s="1"/>
      <c r="M18" s="1"/>
      <c r="N18" s="1"/>
      <c r="O18" s="28"/>
      <c r="P18" s="1"/>
      <c r="Q18" s="3"/>
      <c r="R18" s="43"/>
      <c r="S18" s="3"/>
    </row>
    <row r="19" spans="2:19" x14ac:dyDescent="0.25">
      <c r="B19" s="1"/>
      <c r="C19" s="1"/>
      <c r="D19" s="1"/>
      <c r="E19" s="1"/>
      <c r="F19" s="1"/>
      <c r="G19" s="1"/>
      <c r="H19" s="1"/>
      <c r="I19" s="1"/>
      <c r="J19" s="1"/>
      <c r="K19" s="1"/>
      <c r="L19" s="1"/>
      <c r="M19" s="1"/>
      <c r="N19" s="1"/>
      <c r="O19" s="28"/>
      <c r="P19" s="1"/>
      <c r="Q19" s="3"/>
      <c r="R19" s="43"/>
      <c r="S19" s="3"/>
    </row>
    <row r="20" spans="2:19" x14ac:dyDescent="0.25">
      <c r="B20" s="1"/>
      <c r="C20" s="1"/>
      <c r="D20" s="1"/>
      <c r="E20" s="1"/>
      <c r="F20" s="1"/>
      <c r="G20" s="1"/>
      <c r="H20" s="1"/>
      <c r="I20" s="1"/>
      <c r="J20" s="1"/>
      <c r="K20" s="1"/>
      <c r="L20" s="1"/>
      <c r="M20" s="1"/>
      <c r="N20" s="1"/>
      <c r="O20" s="28"/>
      <c r="P20" s="1"/>
      <c r="Q20" s="3"/>
      <c r="R20" s="43"/>
      <c r="S20" s="3"/>
    </row>
    <row r="21" spans="2:19" x14ac:dyDescent="0.25">
      <c r="B21" s="1"/>
      <c r="C21" s="1"/>
      <c r="D21" s="1"/>
      <c r="E21" s="1"/>
      <c r="F21" s="1"/>
      <c r="G21" s="1"/>
      <c r="H21" s="1"/>
      <c r="I21" s="1"/>
      <c r="J21" s="1"/>
      <c r="K21" s="1"/>
      <c r="L21" s="1"/>
      <c r="M21" s="1"/>
      <c r="N21" s="1"/>
      <c r="O21" s="28"/>
      <c r="P21" s="1"/>
      <c r="Q21" s="3"/>
      <c r="R21" s="43"/>
      <c r="S21" s="3"/>
    </row>
    <row r="22" spans="2:19" x14ac:dyDescent="0.25">
      <c r="B22" s="22"/>
      <c r="C22" s="22"/>
      <c r="D22" s="22"/>
      <c r="E22" s="22"/>
      <c r="F22" s="22"/>
      <c r="G22" s="22"/>
      <c r="H22" s="22"/>
      <c r="I22" s="22"/>
      <c r="J22" s="22"/>
      <c r="K22" s="22"/>
      <c r="L22" s="22"/>
      <c r="M22" s="22"/>
      <c r="N22" s="22"/>
      <c r="O22" s="27"/>
      <c r="P22" s="22"/>
      <c r="Q22" s="23"/>
      <c r="R22" s="42"/>
      <c r="S22" s="23"/>
    </row>
    <row r="23" spans="2:19" x14ac:dyDescent="0.25">
      <c r="B23" s="1"/>
      <c r="C23" s="1"/>
      <c r="D23" s="1"/>
      <c r="E23" s="1"/>
      <c r="F23" s="1"/>
      <c r="G23" s="1"/>
      <c r="H23" s="1"/>
      <c r="I23" s="1"/>
      <c r="J23" s="1"/>
      <c r="K23" s="1"/>
      <c r="L23" s="1"/>
      <c r="M23" s="1"/>
      <c r="N23" s="1"/>
      <c r="O23" s="28"/>
      <c r="P23" s="1"/>
      <c r="Q23" s="3"/>
      <c r="R23" s="43"/>
      <c r="S23" s="3"/>
    </row>
    <row r="24" spans="2:19" x14ac:dyDescent="0.25">
      <c r="B24" s="1"/>
      <c r="C24" s="1"/>
      <c r="D24" s="1"/>
      <c r="E24" s="1"/>
      <c r="F24" s="1"/>
      <c r="G24" s="1"/>
      <c r="H24" s="1"/>
      <c r="I24" s="1"/>
      <c r="J24" s="1"/>
      <c r="K24" s="1"/>
      <c r="L24" s="1"/>
      <c r="M24" s="1"/>
      <c r="N24" s="1"/>
      <c r="O24" s="28"/>
      <c r="P24" s="1"/>
      <c r="Q24" s="3"/>
      <c r="R24" s="43"/>
      <c r="S24" s="3"/>
    </row>
    <row r="25" spans="2:19" x14ac:dyDescent="0.25">
      <c r="B25" s="1"/>
      <c r="C25" s="1"/>
      <c r="D25" s="1"/>
      <c r="E25" s="1"/>
      <c r="F25" s="1"/>
      <c r="G25" s="1"/>
      <c r="H25" s="1"/>
      <c r="I25" s="1"/>
      <c r="J25" s="1"/>
      <c r="K25" s="1"/>
      <c r="L25" s="1"/>
      <c r="M25" s="1"/>
      <c r="N25" s="1"/>
      <c r="O25" s="28"/>
      <c r="P25" s="1"/>
      <c r="Q25" s="3"/>
      <c r="R25" s="43"/>
      <c r="S25" s="3"/>
    </row>
    <row r="26" spans="2:19" x14ac:dyDescent="0.25">
      <c r="B26" s="1"/>
      <c r="C26" s="1"/>
      <c r="D26" s="1"/>
      <c r="E26" s="1"/>
      <c r="F26" s="1"/>
      <c r="G26" s="1"/>
      <c r="H26" s="1"/>
      <c r="I26" s="1"/>
      <c r="J26" s="1"/>
      <c r="K26" s="1"/>
      <c r="L26" s="1"/>
      <c r="M26" s="1"/>
      <c r="N26" s="1"/>
      <c r="O26" s="28"/>
      <c r="P26" s="1"/>
      <c r="Q26" s="3"/>
      <c r="R26" s="43"/>
      <c r="S26" s="3"/>
    </row>
    <row r="27" spans="2:19" x14ac:dyDescent="0.25">
      <c r="B27" s="22"/>
      <c r="C27" s="22"/>
      <c r="D27" s="22"/>
      <c r="E27" s="22"/>
      <c r="F27" s="22"/>
      <c r="G27" s="22"/>
      <c r="H27" s="22"/>
      <c r="I27" s="22"/>
      <c r="J27" s="22"/>
      <c r="K27" s="22"/>
      <c r="L27" s="22"/>
      <c r="M27" s="22"/>
      <c r="N27" s="22"/>
      <c r="O27" s="27"/>
      <c r="P27" s="22"/>
      <c r="Q27" s="23"/>
      <c r="R27" s="42"/>
      <c r="S27" s="23"/>
    </row>
    <row r="28" spans="2:19" x14ac:dyDescent="0.25">
      <c r="B28" s="1"/>
      <c r="C28" s="1"/>
      <c r="D28" s="1"/>
      <c r="E28" s="1"/>
      <c r="F28" s="1"/>
      <c r="G28" s="1"/>
      <c r="H28" s="1"/>
      <c r="I28" s="1"/>
      <c r="J28" s="1"/>
      <c r="K28" s="1"/>
      <c r="L28" s="1"/>
      <c r="M28" s="1"/>
      <c r="N28" s="1"/>
      <c r="O28" s="28"/>
      <c r="P28" s="1"/>
      <c r="Q28" s="3"/>
      <c r="R28" s="43"/>
      <c r="S28" s="3"/>
    </row>
    <row r="29" spans="2:19" x14ac:dyDescent="0.25">
      <c r="B29" s="1"/>
      <c r="C29" s="1"/>
      <c r="D29" s="1"/>
      <c r="E29" s="1"/>
      <c r="F29" s="1"/>
      <c r="G29" s="1"/>
      <c r="H29" s="1"/>
      <c r="I29" s="1"/>
      <c r="J29" s="1"/>
      <c r="K29" s="1"/>
      <c r="L29" s="1"/>
      <c r="M29" s="1"/>
      <c r="N29" s="1"/>
      <c r="O29" s="28"/>
      <c r="P29" s="1"/>
      <c r="Q29" s="3"/>
      <c r="R29" s="43"/>
      <c r="S29" s="3"/>
    </row>
    <row r="30" spans="2:19" x14ac:dyDescent="0.25">
      <c r="B30" s="1"/>
      <c r="C30" s="1"/>
      <c r="D30" s="1"/>
      <c r="E30" s="1"/>
      <c r="F30" s="1"/>
      <c r="G30" s="1"/>
      <c r="H30" s="1"/>
      <c r="I30" s="1"/>
      <c r="J30" s="1"/>
      <c r="K30" s="1"/>
      <c r="L30" s="1"/>
      <c r="M30" s="1"/>
      <c r="N30" s="1"/>
      <c r="O30" s="28"/>
      <c r="P30" s="1"/>
      <c r="Q30" s="3"/>
      <c r="R30" s="43"/>
      <c r="S30" s="3"/>
    </row>
    <row r="31" spans="2:19" x14ac:dyDescent="0.25">
      <c r="B31" s="1"/>
      <c r="C31" s="1"/>
      <c r="D31" s="1"/>
      <c r="E31" s="1"/>
      <c r="F31" s="1"/>
      <c r="G31" s="1"/>
      <c r="H31" s="1"/>
      <c r="I31" s="1"/>
      <c r="J31" s="1"/>
      <c r="K31" s="1"/>
      <c r="L31" s="1"/>
      <c r="M31" s="1"/>
      <c r="N31" s="1"/>
      <c r="O31" s="28"/>
      <c r="P31" s="1"/>
      <c r="Q31" s="3"/>
      <c r="R31" s="43"/>
      <c r="S31" s="3"/>
    </row>
    <row r="32" spans="2:19" x14ac:dyDescent="0.25">
      <c r="B32" s="22"/>
      <c r="C32" s="22"/>
      <c r="D32" s="22"/>
      <c r="E32" s="22"/>
      <c r="F32" s="22"/>
      <c r="G32" s="22"/>
      <c r="H32" s="22"/>
      <c r="I32" s="22"/>
      <c r="J32" s="22"/>
      <c r="K32" s="22"/>
      <c r="L32" s="22"/>
      <c r="M32" s="22"/>
      <c r="N32" s="22"/>
      <c r="O32" s="27"/>
      <c r="P32" s="22"/>
      <c r="Q32" s="23"/>
      <c r="R32" s="42"/>
      <c r="S32" s="23"/>
    </row>
    <row r="33" spans="2:19" x14ac:dyDescent="0.25">
      <c r="B33" s="1"/>
      <c r="C33" s="1"/>
      <c r="D33" s="1"/>
      <c r="E33" s="1"/>
      <c r="F33" s="1"/>
      <c r="G33" s="1"/>
      <c r="H33" s="1"/>
      <c r="I33" s="1"/>
      <c r="J33" s="1"/>
      <c r="K33" s="1"/>
      <c r="L33" s="1"/>
      <c r="M33" s="1"/>
      <c r="N33" s="1"/>
      <c r="O33" s="28"/>
      <c r="P33" s="1"/>
      <c r="Q33" s="3"/>
      <c r="R33" s="43"/>
      <c r="S33" s="3"/>
    </row>
    <row r="34" spans="2:19" x14ac:dyDescent="0.25">
      <c r="B34" s="1"/>
      <c r="C34" s="1"/>
      <c r="D34" s="1"/>
      <c r="E34" s="1"/>
      <c r="F34" s="1"/>
      <c r="G34" s="1"/>
      <c r="H34" s="1"/>
      <c r="I34" s="1"/>
      <c r="J34" s="1"/>
      <c r="K34" s="1"/>
      <c r="L34" s="1"/>
      <c r="M34" s="1"/>
      <c r="N34" s="1"/>
      <c r="O34" s="28"/>
      <c r="P34" s="1"/>
      <c r="Q34" s="3"/>
      <c r="R34" s="43"/>
      <c r="S34" s="3"/>
    </row>
    <row r="35" spans="2:19" x14ac:dyDescent="0.25">
      <c r="B35" s="1"/>
      <c r="C35" s="1"/>
      <c r="D35" s="1"/>
      <c r="E35" s="1"/>
      <c r="F35" s="1"/>
      <c r="G35" s="1"/>
      <c r="H35" s="1"/>
      <c r="I35" s="1"/>
      <c r="J35" s="1"/>
      <c r="K35" s="1"/>
      <c r="L35" s="1"/>
      <c r="M35" s="1"/>
      <c r="N35" s="1"/>
      <c r="O35" s="28"/>
      <c r="P35" s="1"/>
      <c r="Q35" s="3"/>
      <c r="R35" s="43"/>
      <c r="S35" s="3"/>
    </row>
    <row r="36" spans="2:19" x14ac:dyDescent="0.25">
      <c r="B36" s="1"/>
      <c r="C36" s="1"/>
      <c r="D36" s="1"/>
      <c r="E36" s="1"/>
      <c r="F36" s="1"/>
      <c r="G36" s="1"/>
      <c r="H36" s="1"/>
      <c r="I36" s="1"/>
      <c r="J36" s="1"/>
      <c r="K36" s="1"/>
      <c r="L36" s="1"/>
      <c r="M36" s="1"/>
      <c r="N36" s="1"/>
      <c r="O36" s="28"/>
      <c r="P36" s="1"/>
      <c r="Q36" s="3"/>
      <c r="R36" s="43"/>
      <c r="S36" s="3"/>
    </row>
    <row r="37" spans="2:19" x14ac:dyDescent="0.25">
      <c r="B37" s="1"/>
      <c r="C37" s="1"/>
      <c r="D37" s="1"/>
      <c r="E37" s="1"/>
      <c r="F37" s="1"/>
      <c r="G37" s="1"/>
      <c r="H37" s="1"/>
      <c r="I37" s="1"/>
      <c r="J37" s="1"/>
      <c r="K37" s="1"/>
      <c r="L37" s="1"/>
      <c r="M37" s="1"/>
      <c r="N37" s="1"/>
      <c r="O37" s="28"/>
      <c r="P37" s="1"/>
      <c r="Q37" s="3"/>
      <c r="R37" s="43"/>
      <c r="S37" s="3"/>
    </row>
    <row r="38" spans="2:19" x14ac:dyDescent="0.25">
      <c r="B38" s="22"/>
      <c r="C38" s="22"/>
      <c r="D38" s="22"/>
      <c r="E38" s="22"/>
      <c r="F38" s="22"/>
      <c r="G38" s="22"/>
      <c r="H38" s="22"/>
      <c r="I38" s="22"/>
      <c r="J38" s="22"/>
      <c r="K38" s="22"/>
      <c r="L38" s="22"/>
      <c r="M38" s="22"/>
      <c r="N38" s="22"/>
      <c r="O38" s="27"/>
      <c r="P38" s="22"/>
      <c r="Q38" s="23"/>
      <c r="R38" s="42"/>
      <c r="S38" s="23"/>
    </row>
    <row r="39" spans="2:19" x14ac:dyDescent="0.25">
      <c r="B39" s="1"/>
      <c r="C39" s="1"/>
      <c r="D39" s="1"/>
      <c r="E39" s="1"/>
      <c r="F39" s="1"/>
      <c r="G39" s="1"/>
      <c r="H39" s="1"/>
      <c r="I39" s="1"/>
      <c r="J39" s="1"/>
      <c r="K39" s="1"/>
      <c r="L39" s="1"/>
      <c r="M39" s="1"/>
      <c r="N39" s="1"/>
      <c r="O39" s="28"/>
      <c r="P39" s="1"/>
      <c r="Q39" s="3"/>
      <c r="R39" s="43"/>
      <c r="S39" s="3"/>
    </row>
    <row r="40" spans="2:19" x14ac:dyDescent="0.25">
      <c r="B40" s="1"/>
      <c r="C40" s="1"/>
      <c r="D40" s="1"/>
      <c r="E40" s="1"/>
      <c r="F40" s="1"/>
      <c r="G40" s="1"/>
      <c r="H40" s="1"/>
      <c r="I40" s="1"/>
      <c r="J40" s="1"/>
      <c r="K40" s="1"/>
      <c r="L40" s="1"/>
      <c r="M40" s="1"/>
      <c r="N40" s="1"/>
      <c r="O40" s="28"/>
      <c r="P40" s="1"/>
      <c r="Q40" s="3"/>
      <c r="R40" s="43"/>
      <c r="S40" s="3"/>
    </row>
    <row r="41" spans="2:19" x14ac:dyDescent="0.25">
      <c r="B41" s="1"/>
      <c r="C41" s="1"/>
      <c r="D41" s="1"/>
      <c r="E41" s="1"/>
      <c r="F41" s="1"/>
      <c r="G41" s="1"/>
      <c r="H41" s="1"/>
      <c r="I41" s="1"/>
      <c r="J41" s="1"/>
      <c r="K41" s="1"/>
      <c r="L41" s="1"/>
      <c r="M41" s="1"/>
      <c r="N41" s="1"/>
      <c r="O41" s="28"/>
      <c r="P41" s="1"/>
      <c r="Q41" s="3"/>
      <c r="R41" s="43"/>
      <c r="S41" s="3"/>
    </row>
    <row r="42" spans="2:19" x14ac:dyDescent="0.25">
      <c r="B42" s="1"/>
      <c r="C42" s="1"/>
      <c r="D42" s="1"/>
      <c r="E42" s="1"/>
      <c r="F42" s="1"/>
      <c r="G42" s="1"/>
      <c r="H42" s="1"/>
      <c r="I42" s="1"/>
      <c r="J42" s="1"/>
      <c r="K42" s="1"/>
      <c r="L42" s="1"/>
      <c r="M42" s="1"/>
      <c r="N42" s="1"/>
      <c r="O42" s="28"/>
      <c r="P42" s="1"/>
      <c r="Q42" s="3"/>
      <c r="R42" s="43"/>
      <c r="S42" s="3"/>
    </row>
    <row r="43" spans="2:19" x14ac:dyDescent="0.25">
      <c r="B43" s="1"/>
      <c r="C43" s="1"/>
      <c r="D43" s="1"/>
      <c r="E43" s="1"/>
      <c r="F43" s="1"/>
      <c r="G43" s="1"/>
      <c r="H43" s="1"/>
      <c r="I43" s="1"/>
      <c r="J43" s="1"/>
      <c r="K43" s="1"/>
      <c r="L43" s="1"/>
      <c r="M43" s="1"/>
      <c r="N43" s="1"/>
      <c r="O43" s="28"/>
      <c r="P43" s="1"/>
      <c r="Q43" s="3"/>
      <c r="R43" s="43"/>
      <c r="S43" s="3"/>
    </row>
    <row r="44" spans="2:19" x14ac:dyDescent="0.25">
      <c r="B44" s="22"/>
      <c r="C44" s="22"/>
      <c r="D44" s="22"/>
      <c r="E44" s="22"/>
      <c r="F44" s="22"/>
      <c r="G44" s="22"/>
      <c r="H44" s="22"/>
      <c r="I44" s="22"/>
      <c r="J44" s="22"/>
      <c r="K44" s="22"/>
      <c r="L44" s="22"/>
      <c r="M44" s="22"/>
      <c r="N44" s="22"/>
      <c r="O44" s="27"/>
      <c r="P44" s="22"/>
      <c r="Q44" s="23"/>
      <c r="R44" s="42"/>
      <c r="S44" s="23"/>
    </row>
    <row r="45" spans="2:19" x14ac:dyDescent="0.25">
      <c r="B45" s="1"/>
      <c r="C45" s="1"/>
      <c r="D45" s="1"/>
      <c r="E45" s="1"/>
      <c r="F45" s="1"/>
      <c r="G45" s="1"/>
      <c r="H45" s="1"/>
      <c r="I45" s="1"/>
      <c r="J45" s="1"/>
      <c r="K45" s="1"/>
      <c r="L45" s="1"/>
      <c r="M45" s="1"/>
      <c r="N45" s="1"/>
      <c r="O45" s="28"/>
      <c r="P45" s="1"/>
      <c r="Q45" s="3"/>
      <c r="R45" s="43"/>
      <c r="S45" s="3"/>
    </row>
    <row r="46" spans="2:19" x14ac:dyDescent="0.25">
      <c r="B46" s="1"/>
      <c r="C46" s="1"/>
      <c r="D46" s="1"/>
      <c r="E46" s="1"/>
      <c r="F46" s="1"/>
      <c r="G46" s="1"/>
      <c r="H46" s="1"/>
      <c r="I46" s="1"/>
      <c r="J46" s="1"/>
      <c r="K46" s="1"/>
      <c r="L46" s="1"/>
      <c r="M46" s="1"/>
      <c r="N46" s="1"/>
      <c r="O46" s="28"/>
      <c r="P46" s="1"/>
      <c r="Q46" s="3"/>
      <c r="R46" s="43"/>
      <c r="S46" s="3"/>
    </row>
    <row r="47" spans="2:19" x14ac:dyDescent="0.25">
      <c r="B47" s="1"/>
      <c r="C47" s="1"/>
      <c r="D47" s="1"/>
      <c r="E47" s="1"/>
      <c r="F47" s="1"/>
      <c r="G47" s="1"/>
      <c r="H47" s="1"/>
      <c r="I47" s="1"/>
      <c r="J47" s="1"/>
      <c r="K47" s="1"/>
      <c r="L47" s="1"/>
      <c r="M47" s="1"/>
      <c r="N47" s="1"/>
      <c r="O47" s="28"/>
      <c r="P47" s="1"/>
      <c r="Q47" s="3"/>
      <c r="R47" s="43"/>
      <c r="S47" s="3"/>
    </row>
    <row r="48" spans="2:19" x14ac:dyDescent="0.25">
      <c r="B48" s="1"/>
      <c r="C48" s="1"/>
      <c r="D48" s="1"/>
      <c r="E48" s="1"/>
      <c r="F48" s="1"/>
      <c r="G48" s="1"/>
      <c r="H48" s="1"/>
      <c r="I48" s="1"/>
      <c r="J48" s="1"/>
      <c r="K48" s="1"/>
      <c r="L48" s="1"/>
      <c r="M48" s="1"/>
      <c r="N48" s="1"/>
      <c r="O48" s="28"/>
      <c r="P48" s="1"/>
      <c r="Q48" s="3"/>
      <c r="R48" s="43"/>
      <c r="S48" s="3"/>
    </row>
    <row r="49" spans="2:19" x14ac:dyDescent="0.25">
      <c r="B49" s="1"/>
      <c r="C49" s="1"/>
      <c r="D49" s="1"/>
      <c r="E49" s="1"/>
      <c r="F49" s="1"/>
      <c r="G49" s="1"/>
      <c r="H49" s="1"/>
      <c r="I49" s="1"/>
      <c r="J49" s="1"/>
      <c r="K49" s="1"/>
      <c r="L49" s="1"/>
      <c r="M49" s="1"/>
      <c r="N49" s="1"/>
      <c r="O49" s="28"/>
      <c r="P49" s="1"/>
      <c r="Q49" s="3"/>
      <c r="R49" s="43"/>
      <c r="S49" s="3"/>
    </row>
    <row r="50" spans="2:19" x14ac:dyDescent="0.25">
      <c r="B50" s="1"/>
      <c r="C50" s="1"/>
      <c r="D50" s="1"/>
      <c r="E50" s="1"/>
      <c r="F50" s="1"/>
      <c r="G50" s="1"/>
      <c r="H50" s="1"/>
      <c r="I50" s="1"/>
      <c r="J50" s="1"/>
      <c r="K50" s="1"/>
      <c r="L50" s="1"/>
      <c r="M50" s="1"/>
      <c r="N50" s="1"/>
      <c r="O50" s="28"/>
      <c r="P50" s="1"/>
      <c r="Q50" s="3"/>
      <c r="R50" s="43"/>
      <c r="S50" s="3"/>
    </row>
    <row r="51" spans="2:19" x14ac:dyDescent="0.25">
      <c r="B51" s="1"/>
      <c r="C51" s="1"/>
      <c r="D51" s="1"/>
      <c r="E51" s="1"/>
      <c r="F51" s="1"/>
      <c r="G51" s="1"/>
      <c r="H51" s="1"/>
      <c r="I51" s="1"/>
      <c r="J51" s="1"/>
      <c r="K51" s="1"/>
      <c r="L51" s="1"/>
      <c r="M51" s="1"/>
      <c r="N51" s="1"/>
      <c r="O51" s="28"/>
      <c r="P51" s="1"/>
      <c r="Q51" s="3"/>
      <c r="R51" s="43"/>
      <c r="S51" s="3"/>
    </row>
    <row r="52" spans="2:19" x14ac:dyDescent="0.25">
      <c r="B52" s="1"/>
      <c r="C52" s="1"/>
      <c r="D52" s="1"/>
      <c r="E52" s="1"/>
      <c r="F52" s="1"/>
      <c r="G52" s="1"/>
      <c r="H52" s="1"/>
      <c r="I52" s="1"/>
      <c r="J52" s="1"/>
      <c r="K52" s="1"/>
      <c r="L52" s="1"/>
      <c r="M52" s="1"/>
      <c r="N52" s="1"/>
      <c r="O52" s="28"/>
      <c r="P52" s="1"/>
      <c r="Q52" s="3"/>
      <c r="R52" s="43"/>
      <c r="S52" s="3"/>
    </row>
    <row r="53" spans="2:19" x14ac:dyDescent="0.25">
      <c r="B53" s="1"/>
      <c r="C53" s="1"/>
      <c r="D53" s="1"/>
      <c r="E53" s="1"/>
      <c r="F53" s="1"/>
      <c r="G53" s="1"/>
      <c r="H53" s="1"/>
      <c r="I53" s="1"/>
      <c r="J53" s="1"/>
      <c r="K53" s="1"/>
      <c r="L53" s="1"/>
      <c r="M53" s="1"/>
      <c r="N53" s="1"/>
      <c r="O53" s="28"/>
      <c r="P53" s="1"/>
      <c r="Q53" s="3"/>
      <c r="R53" s="43"/>
      <c r="S53" s="3"/>
    </row>
    <row r="54" spans="2:19" x14ac:dyDescent="0.25">
      <c r="B54" s="1"/>
      <c r="C54" s="1"/>
      <c r="D54" s="1"/>
      <c r="E54" s="1"/>
      <c r="F54" s="1"/>
      <c r="G54" s="1"/>
      <c r="H54" s="1"/>
      <c r="I54" s="1"/>
      <c r="J54" s="1"/>
      <c r="K54" s="1"/>
      <c r="L54" s="1"/>
      <c r="M54" s="1"/>
      <c r="N54" s="1"/>
      <c r="O54" s="28"/>
      <c r="P54" s="1"/>
      <c r="Q54" s="3"/>
      <c r="R54" s="43"/>
      <c r="S54" s="3"/>
    </row>
    <row r="55" spans="2:19" x14ac:dyDescent="0.25">
      <c r="B55" s="1"/>
      <c r="C55" s="1"/>
      <c r="D55" s="1"/>
      <c r="E55" s="1"/>
      <c r="F55" s="1"/>
      <c r="G55" s="1"/>
      <c r="H55" s="1"/>
      <c r="I55" s="1"/>
      <c r="J55" s="1"/>
      <c r="K55" s="1"/>
      <c r="L55" s="1"/>
      <c r="M55" s="1"/>
      <c r="N55" s="1"/>
      <c r="O55" s="28"/>
      <c r="P55" s="1"/>
      <c r="Q55" s="3"/>
      <c r="R55" s="43"/>
      <c r="S55" s="3"/>
    </row>
    <row r="56" spans="2:19" x14ac:dyDescent="0.25">
      <c r="B56" s="1"/>
      <c r="C56" s="1"/>
      <c r="D56" s="1"/>
      <c r="E56" s="1"/>
      <c r="F56" s="1"/>
      <c r="G56" s="1"/>
      <c r="H56" s="1"/>
      <c r="I56" s="1"/>
      <c r="J56" s="1"/>
      <c r="K56" s="1"/>
      <c r="L56" s="1"/>
      <c r="M56" s="1"/>
      <c r="N56" s="1"/>
      <c r="O56" s="28"/>
      <c r="P56" s="1"/>
      <c r="Q56" s="3"/>
      <c r="R56" s="43"/>
      <c r="S56" s="3"/>
    </row>
    <row r="57" spans="2:19" x14ac:dyDescent="0.25">
      <c r="B57" s="1"/>
      <c r="C57" s="1"/>
      <c r="D57" s="1"/>
      <c r="E57" s="1"/>
      <c r="F57" s="1"/>
      <c r="G57" s="1"/>
      <c r="H57" s="1"/>
      <c r="I57" s="1"/>
      <c r="J57" s="1"/>
      <c r="K57" s="1"/>
      <c r="L57" s="1"/>
      <c r="M57" s="1"/>
      <c r="N57" s="1"/>
      <c r="O57" s="28"/>
      <c r="P57" s="1"/>
      <c r="Q57" s="3"/>
      <c r="R57" s="43"/>
      <c r="S57" s="3"/>
    </row>
    <row r="58" spans="2:19" x14ac:dyDescent="0.25">
      <c r="B58" s="22"/>
      <c r="C58" s="22"/>
      <c r="D58" s="22"/>
      <c r="E58" s="22"/>
      <c r="F58" s="22"/>
      <c r="G58" s="22"/>
      <c r="H58" s="22"/>
      <c r="I58" s="22"/>
      <c r="J58" s="22"/>
      <c r="K58" s="22"/>
      <c r="L58" s="22"/>
      <c r="M58" s="22"/>
      <c r="N58" s="22"/>
      <c r="O58" s="27"/>
      <c r="P58" s="22"/>
      <c r="Q58" s="23"/>
      <c r="R58" s="42"/>
      <c r="S58" s="23"/>
    </row>
    <row r="59" spans="2:19" x14ac:dyDescent="0.25">
      <c r="B59" s="1"/>
      <c r="C59" s="1"/>
      <c r="D59" s="1"/>
      <c r="E59" s="1"/>
      <c r="F59" s="1"/>
      <c r="G59" s="1"/>
      <c r="H59" s="1"/>
      <c r="I59" s="1"/>
      <c r="J59" s="1"/>
      <c r="K59" s="1"/>
      <c r="L59" s="1"/>
      <c r="M59" s="1"/>
      <c r="N59" s="1"/>
      <c r="O59" s="28"/>
      <c r="P59" s="1"/>
      <c r="Q59" s="3"/>
      <c r="R59" s="43"/>
      <c r="S59" s="3"/>
    </row>
    <row r="60" spans="2:19" x14ac:dyDescent="0.25">
      <c r="B60" s="1"/>
      <c r="C60" s="1"/>
      <c r="D60" s="1"/>
      <c r="E60" s="1"/>
      <c r="F60" s="1"/>
      <c r="G60" s="1"/>
      <c r="H60" s="1"/>
      <c r="I60" s="1"/>
      <c r="J60" s="1"/>
      <c r="K60" s="1"/>
      <c r="L60" s="1"/>
      <c r="M60" s="1"/>
      <c r="N60" s="1"/>
      <c r="O60" s="28"/>
      <c r="P60" s="1"/>
      <c r="Q60" s="3"/>
      <c r="R60" s="43"/>
      <c r="S60" s="3"/>
    </row>
    <row r="61" spans="2:19" x14ac:dyDescent="0.25">
      <c r="B61" s="1"/>
      <c r="C61" s="1"/>
      <c r="D61" s="1"/>
      <c r="E61" s="1"/>
      <c r="F61" s="1"/>
      <c r="G61" s="1"/>
      <c r="H61" s="1"/>
      <c r="I61" s="1"/>
      <c r="J61" s="1"/>
      <c r="K61" s="1"/>
      <c r="L61" s="1"/>
      <c r="M61" s="1"/>
      <c r="N61" s="1"/>
      <c r="O61" s="28"/>
      <c r="P61" s="1"/>
      <c r="Q61" s="3"/>
      <c r="R61" s="43"/>
      <c r="S61" s="3"/>
    </row>
    <row r="62" spans="2:19" x14ac:dyDescent="0.25">
      <c r="B62" s="1"/>
      <c r="C62" s="1"/>
      <c r="D62" s="1"/>
      <c r="E62" s="1"/>
      <c r="F62" s="1"/>
      <c r="G62" s="1"/>
      <c r="H62" s="1"/>
      <c r="I62" s="1"/>
      <c r="J62" s="1"/>
      <c r="K62" s="1"/>
      <c r="L62" s="1"/>
      <c r="M62" s="1"/>
      <c r="N62" s="1"/>
      <c r="O62" s="28"/>
      <c r="P62" s="1"/>
      <c r="Q62" s="3"/>
      <c r="R62" s="43"/>
      <c r="S62" s="3"/>
    </row>
    <row r="63" spans="2:19" x14ac:dyDescent="0.25">
      <c r="B63" s="1"/>
      <c r="C63" s="1"/>
      <c r="D63" s="1"/>
      <c r="E63" s="1"/>
      <c r="F63" s="1"/>
      <c r="G63" s="1"/>
      <c r="H63" s="1"/>
      <c r="I63" s="1"/>
      <c r="J63" s="1"/>
      <c r="K63" s="1"/>
      <c r="L63" s="1"/>
      <c r="M63" s="1"/>
      <c r="N63" s="1"/>
      <c r="O63" s="28"/>
      <c r="P63" s="1"/>
      <c r="Q63" s="3"/>
      <c r="R63" s="43"/>
      <c r="S63" s="3"/>
    </row>
    <row r="64" spans="2:19" x14ac:dyDescent="0.25">
      <c r="B64" s="1"/>
      <c r="C64" s="1"/>
      <c r="D64" s="1"/>
      <c r="E64" s="1"/>
      <c r="F64" s="1"/>
      <c r="G64" s="1"/>
      <c r="H64" s="1"/>
      <c r="I64" s="1"/>
      <c r="J64" s="1"/>
      <c r="K64" s="1"/>
      <c r="L64" s="1"/>
      <c r="M64" s="1"/>
      <c r="N64" s="1"/>
      <c r="O64" s="28"/>
      <c r="P64" s="1"/>
      <c r="Q64" s="3"/>
      <c r="R64" s="43"/>
      <c r="S64" s="3"/>
    </row>
    <row r="65" spans="2:19" x14ac:dyDescent="0.25">
      <c r="B65" s="1"/>
      <c r="C65" s="1"/>
      <c r="D65" s="1"/>
      <c r="E65" s="1"/>
      <c r="F65" s="1"/>
      <c r="G65" s="1"/>
      <c r="H65" s="1"/>
      <c r="I65" s="1"/>
      <c r="J65" s="1"/>
      <c r="K65" s="1"/>
      <c r="L65" s="1"/>
      <c r="M65" s="1"/>
      <c r="N65" s="1"/>
      <c r="O65" s="28"/>
      <c r="P65" s="1"/>
      <c r="Q65" s="3"/>
      <c r="R65" s="43"/>
      <c r="S65" s="3"/>
    </row>
    <row r="66" spans="2:19" x14ac:dyDescent="0.25">
      <c r="B66" s="1"/>
      <c r="C66" s="1"/>
      <c r="D66" s="1"/>
      <c r="E66" s="1"/>
      <c r="F66" s="1"/>
      <c r="G66" s="1"/>
      <c r="H66" s="1"/>
      <c r="I66" s="1"/>
      <c r="J66" s="1"/>
      <c r="K66" s="1"/>
      <c r="L66" s="1"/>
      <c r="M66" s="1"/>
      <c r="N66" s="1"/>
      <c r="O66" s="28"/>
      <c r="P66" s="1"/>
      <c r="Q66" s="3"/>
      <c r="R66" s="43"/>
      <c r="S66" s="3"/>
    </row>
    <row r="67" spans="2:19" x14ac:dyDescent="0.25">
      <c r="B67" s="1"/>
      <c r="C67" s="1"/>
      <c r="D67" s="1"/>
      <c r="E67" s="1"/>
      <c r="F67" s="1"/>
      <c r="G67" s="1"/>
      <c r="H67" s="1"/>
      <c r="I67" s="1"/>
      <c r="J67" s="1"/>
      <c r="K67" s="1"/>
      <c r="L67" s="1"/>
      <c r="M67" s="1"/>
      <c r="N67" s="1"/>
      <c r="O67" s="28"/>
      <c r="P67" s="1"/>
      <c r="Q67" s="3"/>
      <c r="R67" s="43"/>
      <c r="S67" s="3"/>
    </row>
    <row r="68" spans="2:19" x14ac:dyDescent="0.25">
      <c r="B68" s="22"/>
      <c r="C68" s="22"/>
      <c r="D68" s="22"/>
      <c r="E68" s="22"/>
      <c r="F68" s="22"/>
      <c r="G68" s="22"/>
      <c r="H68" s="22"/>
      <c r="I68" s="22"/>
      <c r="J68" s="22"/>
      <c r="K68" s="22"/>
      <c r="L68" s="22"/>
      <c r="M68" s="22"/>
      <c r="N68" s="22"/>
      <c r="O68" s="27"/>
      <c r="P68" s="22"/>
      <c r="Q68" s="23"/>
      <c r="R68" s="42"/>
      <c r="S68" s="23"/>
    </row>
    <row r="69" spans="2:19" x14ac:dyDescent="0.25">
      <c r="B69" s="1"/>
      <c r="C69" s="1"/>
      <c r="D69" s="1"/>
      <c r="E69" s="1"/>
      <c r="F69" s="1"/>
      <c r="G69" s="1"/>
      <c r="H69" s="1"/>
      <c r="I69" s="1"/>
      <c r="J69" s="1"/>
      <c r="K69" s="1"/>
      <c r="L69" s="1"/>
      <c r="M69" s="1"/>
      <c r="N69" s="1"/>
      <c r="O69" s="28"/>
      <c r="P69" s="1"/>
      <c r="Q69" s="3"/>
      <c r="R69" s="43"/>
      <c r="S69" s="3"/>
    </row>
    <row r="70" spans="2:19" x14ac:dyDescent="0.25">
      <c r="B70" s="1"/>
      <c r="C70" s="1"/>
      <c r="D70" s="1"/>
      <c r="E70" s="1"/>
      <c r="F70" s="1"/>
      <c r="G70" s="1"/>
      <c r="H70" s="1"/>
      <c r="I70" s="1"/>
      <c r="J70" s="1"/>
      <c r="K70" s="1"/>
      <c r="L70" s="1"/>
      <c r="M70" s="1"/>
      <c r="N70" s="1"/>
      <c r="O70" s="28"/>
      <c r="P70" s="1"/>
      <c r="Q70" s="3"/>
      <c r="R70" s="43"/>
      <c r="S70" s="3"/>
    </row>
    <row r="71" spans="2:19" x14ac:dyDescent="0.25">
      <c r="B71" s="1"/>
      <c r="C71" s="1"/>
      <c r="D71" s="1"/>
      <c r="E71" s="1"/>
      <c r="F71" s="1"/>
      <c r="G71" s="1"/>
      <c r="H71" s="1"/>
      <c r="I71" s="1"/>
      <c r="J71" s="1"/>
      <c r="K71" s="1"/>
      <c r="L71" s="1"/>
      <c r="M71" s="1"/>
      <c r="N71" s="1"/>
      <c r="O71" s="28"/>
      <c r="P71" s="1"/>
      <c r="Q71" s="3"/>
      <c r="R71" s="43"/>
      <c r="S71" s="3"/>
    </row>
    <row r="72" spans="2:19" x14ac:dyDescent="0.25">
      <c r="B72" s="1"/>
      <c r="C72" s="1"/>
      <c r="D72" s="1"/>
      <c r="E72" s="1"/>
      <c r="F72" s="1"/>
      <c r="G72" s="1"/>
      <c r="H72" s="1"/>
      <c r="I72" s="1"/>
      <c r="J72" s="1"/>
      <c r="K72" s="1"/>
      <c r="L72" s="1"/>
      <c r="M72" s="1"/>
      <c r="N72" s="1"/>
      <c r="O72" s="28"/>
      <c r="P72" s="1"/>
      <c r="Q72" s="3"/>
      <c r="R72" s="43"/>
      <c r="S72" s="3"/>
    </row>
    <row r="73" spans="2:19" x14ac:dyDescent="0.25">
      <c r="B73" s="1"/>
      <c r="C73" s="1"/>
      <c r="D73" s="1"/>
      <c r="E73" s="1"/>
      <c r="F73" s="1"/>
      <c r="G73" s="1"/>
      <c r="H73" s="1"/>
      <c r="I73" s="1"/>
      <c r="J73" s="1"/>
      <c r="K73" s="1"/>
      <c r="L73" s="1"/>
      <c r="M73" s="1"/>
      <c r="N73" s="1"/>
      <c r="O73" s="28"/>
      <c r="P73" s="1"/>
      <c r="Q73" s="3"/>
      <c r="R73" s="43"/>
      <c r="S73" s="3"/>
    </row>
    <row r="74" spans="2:19" x14ac:dyDescent="0.25">
      <c r="B74" s="1"/>
      <c r="C74" s="1"/>
      <c r="D74" s="1"/>
      <c r="E74" s="1"/>
      <c r="F74" s="1"/>
      <c r="G74" s="1"/>
      <c r="H74" s="1"/>
      <c r="I74" s="1"/>
      <c r="J74" s="1"/>
      <c r="K74" s="1"/>
      <c r="L74" s="1"/>
      <c r="M74" s="1"/>
      <c r="N74" s="1"/>
      <c r="O74" s="28"/>
      <c r="P74" s="1"/>
      <c r="Q74" s="3"/>
      <c r="R74" s="43"/>
      <c r="S74" s="3"/>
    </row>
    <row r="75" spans="2:19" x14ac:dyDescent="0.25">
      <c r="B75" s="22"/>
      <c r="C75" s="22"/>
      <c r="D75" s="22"/>
      <c r="E75" s="22"/>
      <c r="F75" s="22"/>
      <c r="G75" s="22"/>
      <c r="H75" s="22"/>
      <c r="I75" s="22"/>
      <c r="J75" s="22"/>
      <c r="K75" s="22"/>
      <c r="L75" s="22"/>
      <c r="M75" s="22"/>
      <c r="N75" s="22"/>
      <c r="O75" s="27"/>
      <c r="P75" s="22"/>
      <c r="Q75" s="23"/>
      <c r="R75" s="42"/>
      <c r="S75" s="23"/>
    </row>
    <row r="76" spans="2:19" x14ac:dyDescent="0.25">
      <c r="B76" s="1"/>
      <c r="C76" s="1"/>
      <c r="D76" s="1"/>
      <c r="E76" s="1"/>
      <c r="F76" s="1"/>
      <c r="G76" s="1"/>
      <c r="H76" s="1"/>
      <c r="I76" s="1"/>
      <c r="J76" s="1"/>
      <c r="K76" s="1"/>
      <c r="L76" s="1"/>
      <c r="M76" s="1"/>
      <c r="N76" s="1"/>
      <c r="O76" s="28"/>
      <c r="P76" s="1"/>
      <c r="Q76" s="3"/>
      <c r="R76" s="43"/>
      <c r="S76" s="3"/>
    </row>
    <row r="77" spans="2:19" x14ac:dyDescent="0.25">
      <c r="B77" s="1"/>
      <c r="C77" s="1"/>
      <c r="D77" s="1"/>
      <c r="E77" s="1"/>
      <c r="F77" s="1"/>
      <c r="G77" s="1"/>
      <c r="H77" s="1"/>
      <c r="I77" s="1"/>
      <c r="J77" s="1"/>
      <c r="K77" s="1"/>
      <c r="L77" s="1"/>
      <c r="M77" s="1"/>
      <c r="N77" s="1"/>
      <c r="O77" s="28"/>
      <c r="P77" s="1"/>
      <c r="Q77" s="3"/>
      <c r="R77" s="43"/>
      <c r="S77" s="3"/>
    </row>
    <row r="78" spans="2:19" x14ac:dyDescent="0.25">
      <c r="B78" s="1"/>
      <c r="C78" s="1"/>
      <c r="D78" s="1"/>
      <c r="E78" s="1"/>
      <c r="F78" s="1"/>
      <c r="G78" s="1"/>
      <c r="H78" s="1"/>
      <c r="I78" s="1"/>
      <c r="J78" s="1"/>
      <c r="K78" s="1"/>
      <c r="L78" s="1"/>
      <c r="M78" s="1"/>
      <c r="N78" s="1"/>
      <c r="O78" s="28"/>
      <c r="P78" s="1"/>
      <c r="Q78" s="3"/>
      <c r="R78" s="43"/>
      <c r="S78" s="3"/>
    </row>
    <row r="79" spans="2:19" x14ac:dyDescent="0.25">
      <c r="B79" s="1"/>
      <c r="C79" s="1"/>
      <c r="D79" s="1"/>
      <c r="E79" s="1"/>
      <c r="F79" s="1"/>
      <c r="G79" s="1"/>
      <c r="H79" s="1"/>
      <c r="I79" s="1"/>
      <c r="J79" s="1"/>
      <c r="K79" s="1"/>
      <c r="L79" s="1"/>
      <c r="M79" s="1"/>
      <c r="N79" s="1"/>
      <c r="O79" s="28"/>
      <c r="P79" s="1"/>
      <c r="Q79" s="3"/>
      <c r="R79" s="43"/>
      <c r="S79" s="3"/>
    </row>
    <row r="80" spans="2:19" x14ac:dyDescent="0.25">
      <c r="B80" s="1"/>
      <c r="C80" s="1"/>
      <c r="D80" s="1"/>
      <c r="E80" s="1"/>
      <c r="F80" s="1"/>
      <c r="G80" s="1"/>
      <c r="H80" s="1"/>
      <c r="I80" s="1"/>
      <c r="J80" s="1"/>
      <c r="K80" s="1"/>
      <c r="L80" s="1"/>
      <c r="M80" s="1"/>
      <c r="N80" s="1"/>
      <c r="O80" s="28"/>
      <c r="P80" s="1"/>
      <c r="Q80" s="3"/>
      <c r="R80" s="43"/>
      <c r="S80" s="3"/>
    </row>
    <row r="81" spans="2:19" x14ac:dyDescent="0.25">
      <c r="B81" s="1"/>
      <c r="C81" s="1"/>
      <c r="D81" s="1"/>
      <c r="E81" s="1"/>
      <c r="F81" s="1"/>
      <c r="G81" s="1"/>
      <c r="H81" s="1"/>
      <c r="I81" s="1"/>
      <c r="J81" s="1"/>
      <c r="K81" s="1"/>
      <c r="L81" s="1"/>
      <c r="M81" s="1"/>
      <c r="N81" s="1"/>
      <c r="O81" s="28"/>
      <c r="P81" s="1"/>
      <c r="Q81" s="3"/>
      <c r="R81" s="43"/>
      <c r="S81" s="3"/>
    </row>
    <row r="82" spans="2:19" x14ac:dyDescent="0.25">
      <c r="B82" s="1"/>
      <c r="C82" s="1"/>
      <c r="D82" s="1"/>
      <c r="E82" s="1"/>
      <c r="F82" s="1"/>
      <c r="G82" s="1"/>
      <c r="H82" s="1"/>
      <c r="I82" s="1"/>
      <c r="J82" s="1"/>
      <c r="K82" s="1"/>
      <c r="L82" s="1"/>
      <c r="M82" s="1"/>
      <c r="N82" s="1"/>
      <c r="O82" s="28"/>
      <c r="P82" s="1"/>
      <c r="Q82" s="3"/>
      <c r="R82" s="43"/>
      <c r="S82" s="3"/>
    </row>
    <row r="83" spans="2:19" x14ac:dyDescent="0.25">
      <c r="B83" s="22"/>
      <c r="C83" s="22"/>
      <c r="D83" s="22"/>
      <c r="E83" s="22"/>
      <c r="F83" s="22"/>
      <c r="G83" s="22"/>
      <c r="H83" s="22"/>
      <c r="I83" s="22"/>
      <c r="J83" s="22"/>
      <c r="K83" s="22"/>
      <c r="L83" s="22"/>
      <c r="M83" s="22"/>
      <c r="N83" s="22"/>
      <c r="O83" s="27"/>
      <c r="P83" s="22"/>
      <c r="Q83" s="23"/>
      <c r="R83" s="42"/>
      <c r="S83" s="23"/>
    </row>
    <row r="84" spans="2:19" x14ac:dyDescent="0.25">
      <c r="B84" s="1"/>
      <c r="C84" s="1"/>
      <c r="D84" s="1"/>
      <c r="E84" s="1"/>
      <c r="F84" s="1"/>
      <c r="G84" s="1"/>
      <c r="H84" s="1"/>
      <c r="I84" s="1"/>
      <c r="J84" s="1"/>
      <c r="K84" s="1"/>
      <c r="L84" s="1"/>
      <c r="M84" s="1"/>
      <c r="N84" s="1"/>
      <c r="O84" s="28"/>
      <c r="P84" s="1"/>
      <c r="Q84" s="3"/>
      <c r="R84" s="43"/>
      <c r="S84" s="3"/>
    </row>
    <row r="85" spans="2:19" x14ac:dyDescent="0.25">
      <c r="B85" s="1"/>
      <c r="C85" s="1"/>
      <c r="D85" s="1"/>
      <c r="E85" s="1"/>
      <c r="F85" s="1"/>
      <c r="G85" s="1"/>
      <c r="H85" s="1"/>
      <c r="I85" s="1"/>
      <c r="J85" s="1"/>
      <c r="K85" s="1"/>
      <c r="L85" s="1"/>
      <c r="M85" s="1"/>
      <c r="N85" s="1"/>
      <c r="O85" s="28"/>
      <c r="P85" s="1"/>
      <c r="Q85" s="3"/>
      <c r="R85" s="43"/>
      <c r="S85" s="3"/>
    </row>
    <row r="86" spans="2:19" x14ac:dyDescent="0.25">
      <c r="B86" s="1"/>
      <c r="C86" s="1"/>
      <c r="D86" s="1"/>
      <c r="E86" s="1"/>
      <c r="F86" s="1"/>
      <c r="G86" s="1"/>
      <c r="H86" s="1"/>
      <c r="I86" s="1"/>
      <c r="J86" s="1"/>
      <c r="K86" s="1"/>
      <c r="L86" s="1"/>
      <c r="M86" s="1"/>
      <c r="N86" s="1"/>
      <c r="O86" s="28"/>
      <c r="P86" s="1"/>
      <c r="Q86" s="3"/>
      <c r="R86" s="43"/>
      <c r="S86" s="3"/>
    </row>
    <row r="87" spans="2:19" x14ac:dyDescent="0.25">
      <c r="B87" s="1"/>
      <c r="C87" s="1"/>
      <c r="D87" s="1"/>
      <c r="E87" s="1"/>
      <c r="F87" s="1"/>
      <c r="G87" s="1"/>
      <c r="H87" s="1"/>
      <c r="I87" s="1"/>
      <c r="J87" s="1"/>
      <c r="K87" s="1"/>
      <c r="L87" s="1"/>
      <c r="M87" s="1"/>
      <c r="N87" s="1"/>
      <c r="O87" s="28"/>
      <c r="P87" s="1"/>
      <c r="Q87" s="3"/>
      <c r="R87" s="43"/>
      <c r="S87" s="3"/>
    </row>
    <row r="88" spans="2:19" x14ac:dyDescent="0.25">
      <c r="B88" s="1"/>
      <c r="C88" s="1"/>
      <c r="D88" s="1"/>
      <c r="E88" s="1"/>
      <c r="F88" s="1"/>
      <c r="G88" s="1"/>
      <c r="H88" s="1"/>
      <c r="I88" s="1"/>
      <c r="J88" s="1"/>
      <c r="K88" s="1"/>
      <c r="L88" s="1"/>
      <c r="M88" s="1"/>
      <c r="N88" s="1"/>
      <c r="O88" s="28"/>
      <c r="P88" s="1"/>
      <c r="Q88" s="3"/>
      <c r="R88" s="43"/>
      <c r="S88" s="3"/>
    </row>
    <row r="89" spans="2:19" x14ac:dyDescent="0.25">
      <c r="B89" s="1"/>
      <c r="C89" s="1"/>
      <c r="D89" s="1"/>
      <c r="E89" s="1"/>
      <c r="F89" s="1"/>
      <c r="G89" s="1"/>
      <c r="H89" s="1"/>
      <c r="I89" s="1"/>
      <c r="J89" s="1"/>
      <c r="K89" s="1"/>
      <c r="L89" s="1"/>
      <c r="M89" s="1"/>
      <c r="N89" s="1"/>
      <c r="O89" s="28"/>
      <c r="P89" s="1"/>
      <c r="Q89" s="3"/>
      <c r="R89" s="43"/>
      <c r="S89" s="3"/>
    </row>
    <row r="90" spans="2:19" x14ac:dyDescent="0.25">
      <c r="B90" s="1"/>
      <c r="C90" s="1"/>
      <c r="D90" s="1"/>
      <c r="E90" s="1"/>
      <c r="F90" s="1"/>
      <c r="G90" s="1"/>
      <c r="H90" s="1"/>
      <c r="I90" s="1"/>
      <c r="J90" s="1"/>
      <c r="K90" s="1"/>
      <c r="L90" s="1"/>
      <c r="M90" s="1"/>
      <c r="N90" s="1"/>
      <c r="O90" s="28"/>
      <c r="P90" s="1"/>
      <c r="Q90" s="3"/>
      <c r="R90" s="43"/>
      <c r="S90" s="3"/>
    </row>
    <row r="91" spans="2:19" x14ac:dyDescent="0.25">
      <c r="B91" s="22"/>
      <c r="C91" s="22"/>
      <c r="D91" s="22"/>
      <c r="E91" s="22"/>
      <c r="F91" s="22"/>
      <c r="G91" s="22"/>
      <c r="H91" s="22"/>
      <c r="I91" s="22"/>
      <c r="J91" s="22"/>
      <c r="K91" s="22"/>
      <c r="L91" s="22"/>
      <c r="M91" s="22"/>
      <c r="N91" s="22"/>
      <c r="O91" s="27"/>
      <c r="P91" s="22"/>
      <c r="Q91" s="23"/>
      <c r="R91" s="42"/>
      <c r="S91" s="23"/>
    </row>
    <row r="92" spans="2:19" x14ac:dyDescent="0.25">
      <c r="B92" s="1"/>
      <c r="C92" s="1"/>
      <c r="D92" s="1"/>
      <c r="E92" s="1"/>
      <c r="F92" s="1"/>
      <c r="G92" s="1"/>
      <c r="H92" s="1"/>
      <c r="I92" s="1"/>
      <c r="J92" s="1"/>
      <c r="K92" s="1"/>
      <c r="L92" s="1"/>
      <c r="M92" s="1"/>
      <c r="N92" s="1"/>
      <c r="O92" s="28"/>
      <c r="P92" s="1"/>
      <c r="Q92" s="3"/>
      <c r="R92" s="43"/>
      <c r="S92" s="3"/>
    </row>
    <row r="93" spans="2:19" x14ac:dyDescent="0.25">
      <c r="B93" s="1"/>
      <c r="C93" s="1"/>
      <c r="D93" s="1"/>
      <c r="E93" s="1"/>
      <c r="F93" s="1"/>
      <c r="G93" s="1"/>
      <c r="H93" s="1"/>
      <c r="I93" s="1"/>
      <c r="J93" s="1"/>
      <c r="K93" s="1"/>
      <c r="L93" s="1"/>
      <c r="M93" s="1"/>
      <c r="N93" s="1"/>
      <c r="O93" s="28"/>
      <c r="P93" s="1"/>
      <c r="Q93" s="3"/>
      <c r="R93" s="43"/>
      <c r="S93" s="3"/>
    </row>
    <row r="94" spans="2:19" x14ac:dyDescent="0.25">
      <c r="B94" s="1"/>
      <c r="C94" s="1"/>
      <c r="D94" s="1"/>
      <c r="E94" s="1"/>
      <c r="F94" s="1"/>
      <c r="G94" s="1"/>
      <c r="H94" s="1"/>
      <c r="I94" s="1"/>
      <c r="J94" s="1"/>
      <c r="K94" s="1"/>
      <c r="L94" s="1"/>
      <c r="M94" s="1"/>
      <c r="N94" s="1"/>
      <c r="O94" s="28"/>
      <c r="P94" s="1"/>
      <c r="Q94" s="3"/>
      <c r="R94" s="43"/>
      <c r="S94" s="3"/>
    </row>
    <row r="95" spans="2:19" x14ac:dyDescent="0.25">
      <c r="B95" s="1"/>
      <c r="C95" s="1"/>
      <c r="D95" s="1"/>
      <c r="E95" s="1"/>
      <c r="F95" s="1"/>
      <c r="G95" s="1"/>
      <c r="H95" s="1"/>
      <c r="I95" s="1"/>
      <c r="J95" s="1"/>
      <c r="K95" s="1"/>
      <c r="L95" s="1"/>
      <c r="M95" s="1"/>
      <c r="N95" s="1"/>
      <c r="O95" s="28"/>
      <c r="P95" s="1"/>
      <c r="Q95" s="3"/>
      <c r="R95" s="43"/>
      <c r="S95" s="3"/>
    </row>
    <row r="96" spans="2:19" x14ac:dyDescent="0.25">
      <c r="B96" s="1"/>
      <c r="C96" s="1"/>
      <c r="D96" s="1"/>
      <c r="E96" s="1"/>
      <c r="F96" s="1"/>
      <c r="G96" s="1"/>
      <c r="H96" s="1"/>
      <c r="I96" s="1"/>
      <c r="J96" s="1"/>
      <c r="K96" s="1"/>
      <c r="L96" s="1"/>
      <c r="M96" s="1"/>
      <c r="N96" s="1"/>
      <c r="O96" s="28"/>
      <c r="P96" s="1"/>
      <c r="Q96" s="3"/>
      <c r="R96" s="43"/>
      <c r="S96" s="3"/>
    </row>
    <row r="97" spans="2:19" x14ac:dyDescent="0.25">
      <c r="B97" s="1"/>
      <c r="C97" s="1"/>
      <c r="D97" s="1"/>
      <c r="E97" s="1"/>
      <c r="F97" s="1"/>
      <c r="G97" s="1"/>
      <c r="H97" s="1"/>
      <c r="I97" s="1"/>
      <c r="J97" s="1"/>
      <c r="K97" s="1"/>
      <c r="L97" s="1"/>
      <c r="M97" s="1"/>
      <c r="N97" s="1"/>
      <c r="O97" s="28"/>
      <c r="P97" s="1"/>
      <c r="Q97" s="3"/>
      <c r="R97" s="43"/>
      <c r="S97" s="3"/>
    </row>
    <row r="98" spans="2:19" x14ac:dyDescent="0.25">
      <c r="B98" s="1"/>
      <c r="C98" s="1"/>
      <c r="D98" s="1"/>
      <c r="E98" s="1"/>
      <c r="F98" s="1"/>
      <c r="G98" s="1"/>
      <c r="H98" s="1"/>
      <c r="I98" s="1"/>
      <c r="J98" s="1"/>
      <c r="K98" s="1"/>
      <c r="L98" s="1"/>
      <c r="M98" s="1"/>
      <c r="N98" s="1"/>
      <c r="O98" s="28"/>
      <c r="P98" s="1"/>
      <c r="Q98" s="3"/>
      <c r="R98" s="43"/>
      <c r="S98" s="3"/>
    </row>
    <row r="99" spans="2:19" x14ac:dyDescent="0.25">
      <c r="B99" s="1"/>
      <c r="C99" s="1"/>
      <c r="D99" s="1"/>
      <c r="E99" s="1"/>
      <c r="F99" s="1"/>
      <c r="G99" s="1"/>
      <c r="H99" s="1"/>
      <c r="I99" s="1"/>
      <c r="J99" s="1"/>
      <c r="K99" s="1"/>
      <c r="L99" s="1"/>
      <c r="M99" s="1"/>
      <c r="N99" s="1"/>
      <c r="O99" s="28"/>
      <c r="P99" s="1"/>
      <c r="Q99" s="3"/>
      <c r="R99" s="43"/>
      <c r="S99" s="3"/>
    </row>
    <row r="100" spans="2:19" x14ac:dyDescent="0.25">
      <c r="B100" s="1"/>
      <c r="C100" s="1"/>
      <c r="D100" s="1"/>
      <c r="E100" s="1"/>
      <c r="F100" s="1"/>
      <c r="G100" s="1"/>
      <c r="H100" s="1"/>
      <c r="I100" s="1"/>
      <c r="J100" s="1"/>
      <c r="K100" s="1"/>
      <c r="L100" s="1"/>
      <c r="M100" s="1"/>
      <c r="N100" s="1"/>
      <c r="O100" s="28"/>
      <c r="P100" s="1"/>
      <c r="Q100" s="3"/>
      <c r="R100" s="43"/>
      <c r="S100" s="3"/>
    </row>
    <row r="101" spans="2:19" x14ac:dyDescent="0.25">
      <c r="B101" s="22"/>
      <c r="C101" s="22"/>
      <c r="D101" s="22"/>
      <c r="E101" s="22"/>
      <c r="F101" s="22"/>
      <c r="G101" s="22"/>
      <c r="H101" s="22"/>
      <c r="I101" s="22"/>
      <c r="J101" s="22"/>
      <c r="K101" s="22"/>
      <c r="L101" s="22"/>
      <c r="M101" s="22"/>
      <c r="N101" s="22"/>
      <c r="O101" s="27"/>
      <c r="P101" s="22"/>
      <c r="Q101" s="23"/>
      <c r="R101" s="42"/>
      <c r="S101" s="23"/>
    </row>
    <row r="102" spans="2:19" x14ac:dyDescent="0.25">
      <c r="B102" s="1"/>
      <c r="C102" s="1"/>
      <c r="D102" s="1"/>
      <c r="E102" s="1"/>
      <c r="F102" s="1"/>
      <c r="G102" s="1"/>
      <c r="H102" s="1"/>
      <c r="I102" s="1"/>
      <c r="J102" s="1"/>
      <c r="K102" s="1"/>
      <c r="L102" s="1"/>
      <c r="M102" s="1"/>
      <c r="N102" s="1"/>
      <c r="O102" s="28"/>
      <c r="P102" s="1"/>
      <c r="Q102" s="3"/>
      <c r="R102" s="43"/>
      <c r="S102" s="3"/>
    </row>
    <row r="103" spans="2:19" x14ac:dyDescent="0.25">
      <c r="B103" s="1"/>
      <c r="C103" s="1"/>
      <c r="D103" s="1"/>
      <c r="E103" s="1"/>
      <c r="F103" s="1"/>
      <c r="G103" s="1"/>
      <c r="H103" s="1"/>
      <c r="I103" s="1"/>
      <c r="J103" s="1"/>
      <c r="K103" s="1"/>
      <c r="L103" s="1"/>
      <c r="M103" s="1"/>
      <c r="N103" s="1"/>
      <c r="O103" s="28"/>
      <c r="P103" s="1"/>
      <c r="Q103" s="3"/>
      <c r="R103" s="43"/>
      <c r="S103" s="3"/>
    </row>
    <row r="104" spans="2:19" x14ac:dyDescent="0.25">
      <c r="B104" s="1"/>
      <c r="C104" s="1"/>
      <c r="D104" s="1"/>
      <c r="E104" s="1"/>
      <c r="F104" s="1"/>
      <c r="G104" s="1"/>
      <c r="H104" s="1"/>
      <c r="I104" s="1"/>
      <c r="J104" s="1"/>
      <c r="K104" s="1"/>
      <c r="L104" s="1"/>
      <c r="M104" s="1"/>
      <c r="N104" s="1"/>
      <c r="O104" s="28"/>
      <c r="P104" s="1"/>
      <c r="Q104" s="3"/>
      <c r="R104" s="43"/>
      <c r="S104" s="3"/>
    </row>
    <row r="105" spans="2:19" x14ac:dyDescent="0.25">
      <c r="B105" s="1"/>
      <c r="C105" s="1"/>
      <c r="D105" s="1"/>
      <c r="E105" s="1"/>
      <c r="F105" s="1"/>
      <c r="G105" s="1"/>
      <c r="H105" s="1"/>
      <c r="I105" s="1"/>
      <c r="J105" s="1"/>
      <c r="K105" s="1"/>
      <c r="L105" s="1"/>
      <c r="M105" s="1"/>
      <c r="N105" s="1"/>
      <c r="O105" s="28"/>
      <c r="P105" s="1"/>
      <c r="Q105" s="3"/>
      <c r="R105" s="43"/>
      <c r="S105" s="3"/>
    </row>
    <row r="106" spans="2:19" x14ac:dyDescent="0.25">
      <c r="B106" s="1"/>
      <c r="C106" s="1"/>
      <c r="D106" s="1"/>
      <c r="E106" s="1"/>
      <c r="F106" s="1"/>
      <c r="G106" s="1"/>
      <c r="H106" s="1"/>
      <c r="I106" s="1"/>
      <c r="J106" s="1"/>
      <c r="K106" s="1"/>
      <c r="L106" s="1"/>
      <c r="M106" s="1"/>
      <c r="N106" s="1"/>
      <c r="O106" s="28"/>
      <c r="P106" s="1"/>
      <c r="Q106" s="3"/>
      <c r="R106" s="43"/>
      <c r="S106" s="3"/>
    </row>
    <row r="107" spans="2:19" x14ac:dyDescent="0.25">
      <c r="B107" s="1"/>
      <c r="C107" s="1"/>
      <c r="D107" s="1"/>
      <c r="E107" s="1"/>
      <c r="F107" s="1"/>
      <c r="G107" s="1"/>
      <c r="H107" s="1"/>
      <c r="I107" s="1"/>
      <c r="J107" s="1"/>
      <c r="K107" s="1"/>
      <c r="L107" s="1"/>
      <c r="M107" s="1"/>
      <c r="N107" s="1"/>
      <c r="O107" s="28"/>
      <c r="P107" s="1"/>
      <c r="Q107" s="3"/>
      <c r="R107" s="43"/>
      <c r="S107" s="3"/>
    </row>
    <row r="108" spans="2:19" x14ac:dyDescent="0.25">
      <c r="B108" s="1"/>
      <c r="C108" s="1"/>
      <c r="D108" s="1"/>
      <c r="E108" s="1"/>
      <c r="F108" s="1"/>
      <c r="G108" s="1"/>
      <c r="H108" s="1"/>
      <c r="I108" s="1"/>
      <c r="J108" s="1"/>
      <c r="K108" s="1"/>
      <c r="L108" s="1"/>
      <c r="M108" s="1"/>
      <c r="N108" s="1"/>
      <c r="O108" s="28"/>
      <c r="P108" s="1"/>
      <c r="Q108" s="3"/>
      <c r="R108" s="43"/>
      <c r="S108" s="3"/>
    </row>
    <row r="109" spans="2:19" x14ac:dyDescent="0.25">
      <c r="B109" s="22"/>
      <c r="C109" s="22"/>
      <c r="D109" s="22"/>
      <c r="E109" s="22"/>
      <c r="F109" s="22"/>
      <c r="G109" s="22"/>
      <c r="H109" s="22"/>
      <c r="I109" s="22"/>
      <c r="J109" s="22"/>
      <c r="K109" s="22"/>
      <c r="L109" s="22"/>
      <c r="M109" s="22"/>
      <c r="N109" s="22"/>
      <c r="O109" s="27"/>
      <c r="P109" s="22"/>
      <c r="Q109" s="23"/>
      <c r="R109" s="42"/>
      <c r="S109" s="23"/>
    </row>
    <row r="110" spans="2:19" x14ac:dyDescent="0.25">
      <c r="B110" s="1"/>
      <c r="C110" s="1"/>
      <c r="D110" s="1"/>
      <c r="E110" s="1"/>
      <c r="F110" s="1"/>
      <c r="G110" s="1"/>
      <c r="H110" s="1"/>
      <c r="I110" s="1"/>
      <c r="J110" s="1"/>
      <c r="K110" s="1"/>
      <c r="L110" s="1"/>
      <c r="M110" s="1"/>
      <c r="N110" s="1"/>
      <c r="O110" s="28"/>
      <c r="P110" s="1"/>
      <c r="Q110" s="3"/>
      <c r="R110" s="43"/>
      <c r="S110" s="3"/>
    </row>
    <row r="111" spans="2:19" x14ac:dyDescent="0.25">
      <c r="B111" s="1"/>
      <c r="C111" s="1"/>
      <c r="D111" s="1"/>
      <c r="E111" s="1"/>
      <c r="F111" s="1"/>
      <c r="G111" s="1"/>
      <c r="H111" s="1"/>
      <c r="I111" s="1"/>
      <c r="J111" s="1"/>
      <c r="K111" s="1"/>
      <c r="L111" s="1"/>
      <c r="M111" s="1"/>
      <c r="N111" s="1"/>
      <c r="O111" s="28"/>
      <c r="P111" s="1"/>
      <c r="Q111" s="3"/>
      <c r="R111" s="43"/>
      <c r="S111" s="3"/>
    </row>
    <row r="112" spans="2:19" x14ac:dyDescent="0.25">
      <c r="B112" s="1"/>
      <c r="C112" s="1"/>
      <c r="D112" s="1"/>
      <c r="E112" s="1"/>
      <c r="F112" s="1"/>
      <c r="G112" s="1"/>
      <c r="H112" s="1"/>
      <c r="I112" s="1"/>
      <c r="J112" s="1"/>
      <c r="K112" s="1"/>
      <c r="L112" s="1"/>
      <c r="M112" s="1"/>
      <c r="N112" s="1"/>
      <c r="O112" s="28"/>
      <c r="P112" s="1"/>
      <c r="Q112" s="3"/>
      <c r="R112" s="43"/>
      <c r="S112" s="3"/>
    </row>
    <row r="113" spans="2:73" x14ac:dyDescent="0.25">
      <c r="B113" s="1"/>
      <c r="C113" s="1"/>
      <c r="D113" s="1"/>
      <c r="E113" s="1"/>
      <c r="F113" s="1"/>
      <c r="G113" s="1"/>
      <c r="H113" s="1"/>
      <c r="I113" s="1"/>
      <c r="J113" s="1"/>
      <c r="K113" s="1"/>
      <c r="L113" s="1"/>
      <c r="M113" s="1"/>
      <c r="N113" s="1"/>
      <c r="O113" s="28"/>
      <c r="P113" s="1"/>
      <c r="Q113" s="3"/>
      <c r="R113" s="43"/>
      <c r="S113" s="3"/>
    </row>
    <row r="114" spans="2:73" x14ac:dyDescent="0.25">
      <c r="B114" s="1"/>
      <c r="C114" s="1"/>
      <c r="D114" s="1"/>
      <c r="E114" s="1"/>
      <c r="F114" s="1"/>
      <c r="G114" s="1"/>
      <c r="H114" s="1"/>
      <c r="I114" s="1"/>
      <c r="J114" s="1"/>
      <c r="K114" s="1"/>
      <c r="L114" s="1"/>
      <c r="M114" s="1"/>
      <c r="N114" s="1"/>
      <c r="O114" s="28"/>
      <c r="P114" s="1"/>
      <c r="Q114" s="3"/>
      <c r="R114" s="43"/>
      <c r="S114" s="3"/>
    </row>
    <row r="115" spans="2:73" x14ac:dyDescent="0.25">
      <c r="B115" s="1"/>
      <c r="C115" s="1"/>
      <c r="D115" s="1"/>
      <c r="E115" s="1"/>
      <c r="F115" s="1"/>
      <c r="G115" s="1"/>
      <c r="H115" s="1"/>
      <c r="I115" s="1"/>
      <c r="J115" s="1"/>
      <c r="K115" s="1"/>
      <c r="L115" s="1"/>
      <c r="M115" s="1"/>
      <c r="N115" s="1"/>
      <c r="O115" s="28"/>
      <c r="P115" s="1"/>
      <c r="Q115" s="3"/>
      <c r="R115" s="43"/>
      <c r="S115" s="3"/>
    </row>
    <row r="116" spans="2:73" x14ac:dyDescent="0.25">
      <c r="B116" s="22"/>
      <c r="C116" s="22"/>
      <c r="D116" s="22"/>
      <c r="E116" s="22"/>
      <c r="F116" s="22"/>
      <c r="G116" s="22"/>
      <c r="H116" s="22"/>
      <c r="I116" s="22"/>
      <c r="J116" s="22"/>
      <c r="K116" s="22"/>
      <c r="L116" s="22"/>
      <c r="M116" s="22"/>
      <c r="N116" s="22"/>
      <c r="O116" s="27"/>
      <c r="P116" s="22"/>
      <c r="Q116" s="23"/>
      <c r="R116" s="42"/>
      <c r="S116" s="23"/>
    </row>
    <row r="117" spans="2:73" x14ac:dyDescent="0.25">
      <c r="B117" s="1"/>
      <c r="C117" s="1"/>
      <c r="D117" s="1"/>
      <c r="E117" s="1"/>
      <c r="F117" s="1"/>
      <c r="G117" s="1"/>
      <c r="H117" s="1"/>
      <c r="I117" s="1"/>
      <c r="J117" s="1"/>
      <c r="K117" s="1"/>
      <c r="L117" s="1"/>
      <c r="M117" s="1"/>
      <c r="N117" s="1"/>
      <c r="O117" s="28"/>
      <c r="P117" s="1"/>
      <c r="Q117" s="3"/>
      <c r="R117" s="43"/>
      <c r="S117" s="3"/>
    </row>
    <row r="118" spans="2:73" x14ac:dyDescent="0.25">
      <c r="B118" s="1"/>
      <c r="C118" s="1"/>
      <c r="D118" s="1"/>
      <c r="E118" s="1"/>
      <c r="F118" s="1"/>
      <c r="G118" s="1"/>
      <c r="H118" s="1"/>
      <c r="I118" s="1"/>
      <c r="J118" s="1"/>
      <c r="K118" s="1"/>
      <c r="L118" s="1"/>
      <c r="M118" s="1"/>
      <c r="N118" s="1"/>
      <c r="O118" s="28"/>
      <c r="P118" s="1"/>
      <c r="Q118" s="3"/>
      <c r="R118" s="43"/>
      <c r="S118" s="3"/>
    </row>
    <row r="119" spans="2:73" x14ac:dyDescent="0.25">
      <c r="B119" s="1"/>
      <c r="C119" s="1"/>
      <c r="D119" s="1"/>
      <c r="E119" s="1"/>
      <c r="F119" s="1"/>
      <c r="G119" s="1"/>
      <c r="H119" s="1"/>
      <c r="I119" s="1"/>
      <c r="J119" s="1"/>
      <c r="K119" s="1"/>
      <c r="L119" s="1"/>
      <c r="M119" s="1"/>
      <c r="N119" s="1"/>
      <c r="O119" s="28"/>
      <c r="P119" s="1"/>
      <c r="Q119" s="3"/>
      <c r="R119" s="43"/>
      <c r="S119" s="3"/>
    </row>
    <row r="120" spans="2:73" x14ac:dyDescent="0.25">
      <c r="B120" s="1"/>
      <c r="C120" s="1"/>
      <c r="D120" s="1"/>
      <c r="E120" s="1"/>
      <c r="F120" s="1"/>
      <c r="G120" s="1"/>
      <c r="H120" s="1"/>
      <c r="I120" s="1"/>
      <c r="J120" s="1"/>
      <c r="K120" s="1"/>
      <c r="L120" s="1"/>
      <c r="M120" s="1"/>
      <c r="N120" s="1"/>
      <c r="O120" s="28"/>
      <c r="P120" s="1"/>
      <c r="Q120" s="3"/>
      <c r="R120" s="43"/>
      <c r="S120" s="3"/>
    </row>
    <row r="121" spans="2:73" x14ac:dyDescent="0.25">
      <c r="B121" s="1"/>
      <c r="C121" s="1"/>
      <c r="D121" s="1"/>
      <c r="E121" s="1"/>
      <c r="F121" s="1"/>
      <c r="G121" s="1"/>
      <c r="H121" s="1"/>
      <c r="I121" s="1"/>
      <c r="J121" s="1"/>
      <c r="K121" s="1"/>
      <c r="L121" s="1"/>
      <c r="M121" s="1"/>
      <c r="N121" s="1"/>
      <c r="O121" s="28"/>
      <c r="P121" s="1"/>
      <c r="Q121" s="3"/>
      <c r="R121" s="43"/>
      <c r="S121" s="3"/>
    </row>
    <row r="122" spans="2:73" x14ac:dyDescent="0.25">
      <c r="B122" s="1"/>
      <c r="C122" s="1"/>
      <c r="D122" s="1"/>
      <c r="E122" s="1"/>
      <c r="F122" s="1"/>
      <c r="G122" s="1"/>
      <c r="H122" s="1"/>
      <c r="I122" s="1"/>
      <c r="J122" s="1"/>
      <c r="K122" s="1"/>
      <c r="L122" s="1"/>
      <c r="M122" s="1"/>
      <c r="N122" s="1"/>
      <c r="O122" s="28"/>
      <c r="P122" s="1"/>
      <c r="Q122" s="3"/>
      <c r="R122" s="43"/>
      <c r="S122" s="3"/>
    </row>
    <row r="123" spans="2:73" x14ac:dyDescent="0.25">
      <c r="B123" s="1"/>
      <c r="C123" s="1"/>
      <c r="D123" s="1"/>
      <c r="E123" s="1"/>
      <c r="F123" s="1"/>
      <c r="G123" s="1"/>
      <c r="H123" s="1"/>
      <c r="I123" s="1"/>
      <c r="J123" s="1"/>
      <c r="K123" s="1"/>
      <c r="L123" s="1"/>
      <c r="M123" s="1"/>
      <c r="N123" s="1"/>
      <c r="O123" s="28"/>
      <c r="P123" s="1"/>
      <c r="Q123" s="3"/>
      <c r="R123" s="43"/>
      <c r="S123" s="3"/>
    </row>
    <row r="124" spans="2:73" x14ac:dyDescent="0.25">
      <c r="B124" s="1"/>
      <c r="C124" s="1"/>
      <c r="D124" s="1"/>
      <c r="E124" s="1"/>
      <c r="F124" s="1"/>
      <c r="G124" s="1"/>
      <c r="H124" s="1"/>
      <c r="I124" s="1"/>
      <c r="J124" s="1"/>
      <c r="K124" s="1"/>
      <c r="L124" s="1"/>
      <c r="M124" s="1"/>
      <c r="N124" s="1"/>
      <c r="O124" s="28"/>
      <c r="P124" s="1"/>
      <c r="Q124" s="3"/>
      <c r="R124" s="43"/>
      <c r="S124" s="3"/>
    </row>
    <row r="125" spans="2:73" x14ac:dyDescent="0.25">
      <c r="B125" s="1"/>
      <c r="C125" s="1"/>
      <c r="D125" s="1"/>
      <c r="E125" s="1"/>
      <c r="F125" s="1"/>
      <c r="G125" s="1"/>
      <c r="H125" s="1"/>
      <c r="I125" s="1"/>
      <c r="J125" s="1"/>
      <c r="K125" s="1"/>
      <c r="L125" s="1"/>
      <c r="M125" s="1"/>
      <c r="N125" s="1"/>
      <c r="O125" s="28"/>
      <c r="P125" s="1"/>
      <c r="Q125" s="3"/>
      <c r="R125" s="43"/>
      <c r="S125" s="3"/>
    </row>
    <row r="126" spans="2:73" x14ac:dyDescent="0.25">
      <c r="B126" s="1"/>
      <c r="C126" s="1"/>
      <c r="D126" s="1"/>
      <c r="E126" s="1"/>
      <c r="F126" s="1"/>
      <c r="G126" s="1"/>
      <c r="H126" s="1"/>
      <c r="I126" s="1"/>
      <c r="J126" s="1"/>
      <c r="K126" s="1"/>
      <c r="L126" s="1"/>
      <c r="M126" s="1"/>
      <c r="N126" s="1"/>
      <c r="O126" s="28"/>
      <c r="P126" s="1"/>
      <c r="Q126" s="3"/>
      <c r="R126" s="43"/>
      <c r="S126" s="3"/>
    </row>
    <row r="127" spans="2:73" s="34" customFormat="1" x14ac:dyDescent="0.25">
      <c r="O127" s="35"/>
      <c r="Q127" s="36"/>
      <c r="R127" s="44"/>
      <c r="S127" s="36"/>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c r="BU127" s="8"/>
    </row>
  </sheetData>
  <autoFilter ref="B4:S128" xr:uid="{AAB9DDBE-AE3F-41DB-A9D1-5A8974937C29}"/>
  <pageMargins left="0.70866141732283472" right="0.70866141732283472" top="0.74803149606299213" bottom="0.74803149606299213" header="0.31496062992125984" footer="0.31496062992125984"/>
  <pageSetup paperSize="9" scale="22" fitToHeight="20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12422-E145-44AD-ACF5-437D9628D0C4}">
  <dimension ref="B1:W902"/>
  <sheetViews>
    <sheetView zoomScale="90" zoomScaleNormal="90" workbookViewId="0">
      <pane ySplit="1" topLeftCell="A851" activePane="bottomLeft" state="frozen"/>
      <selection activeCell="K857" sqref="K857"/>
      <selection pane="bottomLeft" activeCell="E6" sqref="E6"/>
    </sheetView>
  </sheetViews>
  <sheetFormatPr defaultColWidth="4.28515625" defaultRowHeight="12" x14ac:dyDescent="0.25"/>
  <cols>
    <col min="1" max="1" width="4.28515625" style="8"/>
    <col min="2" max="2" width="8.7109375" style="51" bestFit="1" customWidth="1"/>
    <col min="3" max="3" width="10" style="52" bestFit="1" customWidth="1"/>
    <col min="4" max="4" width="13.42578125" style="58" bestFit="1" customWidth="1"/>
    <col min="5" max="5" width="18.5703125" style="54" bestFit="1" customWidth="1"/>
    <col min="6" max="6" width="18.28515625" style="54" bestFit="1" customWidth="1"/>
    <col min="7" max="7" width="14.42578125" style="8" bestFit="1" customWidth="1"/>
    <col min="8" max="8" width="20" style="8" bestFit="1" customWidth="1"/>
    <col min="9" max="9" width="18.7109375" style="8" bestFit="1" customWidth="1"/>
    <col min="10" max="10" width="24.42578125" style="8" bestFit="1" customWidth="1"/>
    <col min="11" max="11" width="13" style="54" customWidth="1"/>
    <col min="12" max="12" width="13.42578125" style="54" bestFit="1" customWidth="1"/>
    <col min="13" max="13" width="15.85546875" style="54" bestFit="1" customWidth="1"/>
    <col min="14" max="16384" width="4.28515625" style="8"/>
  </cols>
  <sheetData>
    <row r="1" spans="2:13" s="9" customFormat="1" x14ac:dyDescent="0.25">
      <c r="B1" s="46" t="s">
        <v>6989</v>
      </c>
      <c r="C1" s="47" t="s">
        <v>6990</v>
      </c>
      <c r="D1" s="48" t="s">
        <v>6991</v>
      </c>
      <c r="E1" s="49" t="s">
        <v>6992</v>
      </c>
      <c r="F1" s="49" t="s">
        <v>6993</v>
      </c>
      <c r="G1" s="9" t="s">
        <v>6994</v>
      </c>
      <c r="H1" s="9" t="s">
        <v>6995</v>
      </c>
      <c r="I1" s="9" t="s">
        <v>6996</v>
      </c>
      <c r="J1" s="9" t="s">
        <v>6997</v>
      </c>
      <c r="K1" s="47" t="s">
        <v>6998</v>
      </c>
      <c r="L1" s="47" t="s">
        <v>6999</v>
      </c>
      <c r="M1" s="50" t="s">
        <v>7000</v>
      </c>
    </row>
    <row r="2" spans="2:13" ht="24" x14ac:dyDescent="0.25">
      <c r="B2" s="51">
        <v>0</v>
      </c>
      <c r="C2" s="52">
        <v>43794</v>
      </c>
      <c r="D2" s="53">
        <f>+C2</f>
        <v>43794</v>
      </c>
      <c r="E2" s="54">
        <v>1</v>
      </c>
      <c r="F2" s="54">
        <v>48</v>
      </c>
      <c r="G2" s="8">
        <v>201912</v>
      </c>
      <c r="H2" s="8" t="s">
        <v>7001</v>
      </c>
      <c r="I2" s="8">
        <v>201912</v>
      </c>
      <c r="J2" s="8" t="s">
        <v>7001</v>
      </c>
      <c r="K2" s="52">
        <f>_xlfn.MINIFS($C$2:$C$890,$E$2:$E$890,E2)</f>
        <v>43794</v>
      </c>
      <c r="L2" s="52">
        <f>_xlfn.MAXIFS($C$2:$C$890,$E$2:$E$890,E2)</f>
        <v>43800</v>
      </c>
      <c r="M2" s="55" t="str">
        <f>CONCATENATE(TEXT(K2,"DD/MM/YY")," @ ",CHAR(10),TEXT(L2,"DD/MM/YY"))</f>
        <v>25/11/19 @ 
01/12/19</v>
      </c>
    </row>
    <row r="3" spans="2:13" ht="24" x14ac:dyDescent="0.25">
      <c r="B3" s="51">
        <v>1</v>
      </c>
      <c r="C3" s="52">
        <f>+C2+1</f>
        <v>43795</v>
      </c>
      <c r="D3" s="53">
        <f t="shared" ref="D3:D66" si="0">+C3</f>
        <v>43795</v>
      </c>
      <c r="E3" s="54">
        <v>1</v>
      </c>
      <c r="F3" s="54">
        <v>48</v>
      </c>
      <c r="G3" s="8">
        <v>201912</v>
      </c>
      <c r="H3" s="8" t="s">
        <v>7001</v>
      </c>
      <c r="I3" s="8">
        <v>201912</v>
      </c>
      <c r="J3" s="8" t="s">
        <v>7001</v>
      </c>
      <c r="K3" s="52">
        <f t="shared" ref="K3:K66" si="1">_xlfn.MINIFS($C$2:$C$890,$E$2:$E$890,E3)</f>
        <v>43794</v>
      </c>
      <c r="L3" s="52">
        <f t="shared" ref="L3:L66" si="2">_xlfn.MAXIFS($C$2:$C$890,$E$2:$E$890,E3)</f>
        <v>43800</v>
      </c>
      <c r="M3" s="55" t="str">
        <f t="shared" ref="M3:M66" si="3">CONCATENATE(TEXT(K3,"DD/MM/YY")," @ ",CHAR(10),TEXT(L3,"DD/MM/YY"))</f>
        <v>25/11/19 @ 
01/12/19</v>
      </c>
    </row>
    <row r="4" spans="2:13" ht="24" x14ac:dyDescent="0.25">
      <c r="B4" s="51">
        <f>+B3+1</f>
        <v>2</v>
      </c>
      <c r="C4" s="52">
        <f t="shared" ref="C4:C67" si="4">+C3+1</f>
        <v>43796</v>
      </c>
      <c r="D4" s="53">
        <f t="shared" si="0"/>
        <v>43796</v>
      </c>
      <c r="E4" s="54">
        <v>1</v>
      </c>
      <c r="F4" s="54">
        <v>48</v>
      </c>
      <c r="G4" s="8">
        <v>201912</v>
      </c>
      <c r="H4" s="8" t="s">
        <v>7001</v>
      </c>
      <c r="I4" s="8">
        <v>201912</v>
      </c>
      <c r="J4" s="8" t="s">
        <v>7001</v>
      </c>
      <c r="K4" s="52">
        <f t="shared" si="1"/>
        <v>43794</v>
      </c>
      <c r="L4" s="52">
        <f t="shared" si="2"/>
        <v>43800</v>
      </c>
      <c r="M4" s="55" t="str">
        <f t="shared" si="3"/>
        <v>25/11/19 @ 
01/12/19</v>
      </c>
    </row>
    <row r="5" spans="2:13" ht="24" x14ac:dyDescent="0.25">
      <c r="B5" s="51">
        <f t="shared" ref="B5:C68" si="5">+B4+1</f>
        <v>3</v>
      </c>
      <c r="C5" s="52">
        <f t="shared" si="4"/>
        <v>43797</v>
      </c>
      <c r="D5" s="53">
        <f t="shared" si="0"/>
        <v>43797</v>
      </c>
      <c r="E5" s="54">
        <v>1</v>
      </c>
      <c r="F5" s="54">
        <v>48</v>
      </c>
      <c r="G5" s="8">
        <v>201912</v>
      </c>
      <c r="H5" s="8" t="s">
        <v>7001</v>
      </c>
      <c r="I5" s="8">
        <v>201912</v>
      </c>
      <c r="J5" s="8" t="s">
        <v>7001</v>
      </c>
      <c r="K5" s="52">
        <f t="shared" si="1"/>
        <v>43794</v>
      </c>
      <c r="L5" s="52">
        <f t="shared" si="2"/>
        <v>43800</v>
      </c>
      <c r="M5" s="55" t="str">
        <f t="shared" si="3"/>
        <v>25/11/19 @ 
01/12/19</v>
      </c>
    </row>
    <row r="6" spans="2:13" ht="24" x14ac:dyDescent="0.25">
      <c r="B6" s="51">
        <f t="shared" si="5"/>
        <v>4</v>
      </c>
      <c r="C6" s="52">
        <f t="shared" si="4"/>
        <v>43798</v>
      </c>
      <c r="D6" s="53">
        <f t="shared" si="0"/>
        <v>43798</v>
      </c>
      <c r="E6" s="54">
        <v>1</v>
      </c>
      <c r="F6" s="54">
        <v>48</v>
      </c>
      <c r="G6" s="8">
        <v>201912</v>
      </c>
      <c r="H6" s="8" t="s">
        <v>7001</v>
      </c>
      <c r="I6" s="8">
        <v>201912</v>
      </c>
      <c r="J6" s="8" t="s">
        <v>7001</v>
      </c>
      <c r="K6" s="52">
        <f t="shared" si="1"/>
        <v>43794</v>
      </c>
      <c r="L6" s="52">
        <f t="shared" si="2"/>
        <v>43800</v>
      </c>
      <c r="M6" s="55" t="str">
        <f t="shared" si="3"/>
        <v>25/11/19 @ 
01/12/19</v>
      </c>
    </row>
    <row r="7" spans="2:13" ht="24" x14ac:dyDescent="0.25">
      <c r="B7" s="51">
        <f t="shared" si="5"/>
        <v>5</v>
      </c>
      <c r="C7" s="52">
        <f t="shared" si="4"/>
        <v>43799</v>
      </c>
      <c r="D7" s="53">
        <f t="shared" si="0"/>
        <v>43799</v>
      </c>
      <c r="E7" s="54">
        <v>1</v>
      </c>
      <c r="F7" s="54">
        <v>48</v>
      </c>
      <c r="G7" s="8">
        <v>201912</v>
      </c>
      <c r="H7" s="8" t="s">
        <v>7001</v>
      </c>
      <c r="I7" s="8">
        <v>201912</v>
      </c>
      <c r="J7" s="8" t="s">
        <v>7001</v>
      </c>
      <c r="K7" s="52">
        <f t="shared" si="1"/>
        <v>43794</v>
      </c>
      <c r="L7" s="52">
        <f t="shared" si="2"/>
        <v>43800</v>
      </c>
      <c r="M7" s="55" t="str">
        <f t="shared" si="3"/>
        <v>25/11/19 @ 
01/12/19</v>
      </c>
    </row>
    <row r="8" spans="2:13" ht="24" x14ac:dyDescent="0.25">
      <c r="B8" s="51">
        <f t="shared" si="5"/>
        <v>6</v>
      </c>
      <c r="C8" s="52">
        <f t="shared" si="4"/>
        <v>43800</v>
      </c>
      <c r="D8" s="53">
        <f t="shared" si="0"/>
        <v>43800</v>
      </c>
      <c r="E8" s="54">
        <v>1</v>
      </c>
      <c r="F8" s="54">
        <v>48</v>
      </c>
      <c r="G8" s="8">
        <v>201912</v>
      </c>
      <c r="H8" s="8" t="s">
        <v>7001</v>
      </c>
      <c r="I8" s="8">
        <v>201912</v>
      </c>
      <c r="J8" s="8" t="s">
        <v>7001</v>
      </c>
      <c r="K8" s="52">
        <f t="shared" si="1"/>
        <v>43794</v>
      </c>
      <c r="L8" s="52">
        <f t="shared" si="2"/>
        <v>43800</v>
      </c>
      <c r="M8" s="55" t="str">
        <f t="shared" si="3"/>
        <v>25/11/19 @ 
01/12/19</v>
      </c>
    </row>
    <row r="9" spans="2:13" ht="24" x14ac:dyDescent="0.25">
      <c r="B9" s="51">
        <f t="shared" si="5"/>
        <v>7</v>
      </c>
      <c r="C9" s="52">
        <f t="shared" si="4"/>
        <v>43801</v>
      </c>
      <c r="D9" s="53">
        <f t="shared" si="0"/>
        <v>43801</v>
      </c>
      <c r="E9" s="54">
        <f>+E2+1</f>
        <v>2</v>
      </c>
      <c r="F9" s="54">
        <f>+F2+1</f>
        <v>49</v>
      </c>
      <c r="G9" s="8">
        <v>201912</v>
      </c>
      <c r="H9" s="8" t="s">
        <v>7001</v>
      </c>
      <c r="I9" s="8">
        <v>201912</v>
      </c>
      <c r="J9" s="8" t="s">
        <v>7001</v>
      </c>
      <c r="K9" s="52">
        <f t="shared" si="1"/>
        <v>43801</v>
      </c>
      <c r="L9" s="52">
        <f t="shared" si="2"/>
        <v>43807</v>
      </c>
      <c r="M9" s="55" t="str">
        <f t="shared" si="3"/>
        <v>02/12/19 @ 
08/12/19</v>
      </c>
    </row>
    <row r="10" spans="2:13" ht="24" x14ac:dyDescent="0.25">
      <c r="B10" s="51">
        <f t="shared" si="5"/>
        <v>8</v>
      </c>
      <c r="C10" s="52">
        <f t="shared" si="4"/>
        <v>43802</v>
      </c>
      <c r="D10" s="53">
        <f t="shared" si="0"/>
        <v>43802</v>
      </c>
      <c r="E10" s="54">
        <f t="shared" ref="E10:F25" si="6">+E3+1</f>
        <v>2</v>
      </c>
      <c r="F10" s="54">
        <f t="shared" si="6"/>
        <v>49</v>
      </c>
      <c r="G10" s="8">
        <v>201912</v>
      </c>
      <c r="H10" s="8" t="s">
        <v>7001</v>
      </c>
      <c r="I10" s="8">
        <v>201912</v>
      </c>
      <c r="J10" s="8" t="s">
        <v>7001</v>
      </c>
      <c r="K10" s="52">
        <f t="shared" si="1"/>
        <v>43801</v>
      </c>
      <c r="L10" s="52">
        <f t="shared" si="2"/>
        <v>43807</v>
      </c>
      <c r="M10" s="55" t="str">
        <f t="shared" si="3"/>
        <v>02/12/19 @ 
08/12/19</v>
      </c>
    </row>
    <row r="11" spans="2:13" ht="24" x14ac:dyDescent="0.25">
      <c r="B11" s="51">
        <f t="shared" si="5"/>
        <v>9</v>
      </c>
      <c r="C11" s="52">
        <f t="shared" si="4"/>
        <v>43803</v>
      </c>
      <c r="D11" s="53">
        <f t="shared" si="0"/>
        <v>43803</v>
      </c>
      <c r="E11" s="54">
        <f t="shared" si="6"/>
        <v>2</v>
      </c>
      <c r="F11" s="54">
        <f t="shared" si="6"/>
        <v>49</v>
      </c>
      <c r="G11" s="8">
        <v>201912</v>
      </c>
      <c r="H11" s="8" t="s">
        <v>7001</v>
      </c>
      <c r="I11" s="8">
        <v>201912</v>
      </c>
      <c r="J11" s="8" t="s">
        <v>7001</v>
      </c>
      <c r="K11" s="52">
        <f t="shared" si="1"/>
        <v>43801</v>
      </c>
      <c r="L11" s="52">
        <f t="shared" si="2"/>
        <v>43807</v>
      </c>
      <c r="M11" s="55" t="str">
        <f t="shared" si="3"/>
        <v>02/12/19 @ 
08/12/19</v>
      </c>
    </row>
    <row r="12" spans="2:13" ht="24" x14ac:dyDescent="0.25">
      <c r="B12" s="51">
        <f t="shared" si="5"/>
        <v>10</v>
      </c>
      <c r="C12" s="52">
        <f t="shared" si="4"/>
        <v>43804</v>
      </c>
      <c r="D12" s="53">
        <f t="shared" si="0"/>
        <v>43804</v>
      </c>
      <c r="E12" s="54">
        <f t="shared" si="6"/>
        <v>2</v>
      </c>
      <c r="F12" s="54">
        <f t="shared" si="6"/>
        <v>49</v>
      </c>
      <c r="G12" s="8">
        <v>201912</v>
      </c>
      <c r="H12" s="8" t="s">
        <v>7001</v>
      </c>
      <c r="I12" s="8">
        <v>201912</v>
      </c>
      <c r="J12" s="8" t="s">
        <v>7001</v>
      </c>
      <c r="K12" s="52">
        <f t="shared" si="1"/>
        <v>43801</v>
      </c>
      <c r="L12" s="52">
        <f t="shared" si="2"/>
        <v>43807</v>
      </c>
      <c r="M12" s="55" t="str">
        <f t="shared" si="3"/>
        <v>02/12/19 @ 
08/12/19</v>
      </c>
    </row>
    <row r="13" spans="2:13" ht="24" x14ac:dyDescent="0.25">
      <c r="B13" s="51">
        <f t="shared" si="5"/>
        <v>11</v>
      </c>
      <c r="C13" s="52">
        <f t="shared" si="4"/>
        <v>43805</v>
      </c>
      <c r="D13" s="53">
        <f t="shared" si="0"/>
        <v>43805</v>
      </c>
      <c r="E13" s="54">
        <f t="shared" si="6"/>
        <v>2</v>
      </c>
      <c r="F13" s="54">
        <f t="shared" si="6"/>
        <v>49</v>
      </c>
      <c r="G13" s="8">
        <v>201912</v>
      </c>
      <c r="H13" s="8" t="s">
        <v>7001</v>
      </c>
      <c r="I13" s="8">
        <v>201912</v>
      </c>
      <c r="J13" s="8" t="s">
        <v>7001</v>
      </c>
      <c r="K13" s="52">
        <f t="shared" si="1"/>
        <v>43801</v>
      </c>
      <c r="L13" s="52">
        <f t="shared" si="2"/>
        <v>43807</v>
      </c>
      <c r="M13" s="55" t="str">
        <f t="shared" si="3"/>
        <v>02/12/19 @ 
08/12/19</v>
      </c>
    </row>
    <row r="14" spans="2:13" ht="24" x14ac:dyDescent="0.25">
      <c r="B14" s="51">
        <f t="shared" si="5"/>
        <v>12</v>
      </c>
      <c r="C14" s="52">
        <f t="shared" si="4"/>
        <v>43806</v>
      </c>
      <c r="D14" s="53">
        <f t="shared" si="0"/>
        <v>43806</v>
      </c>
      <c r="E14" s="54">
        <f t="shared" si="6"/>
        <v>2</v>
      </c>
      <c r="F14" s="54">
        <f t="shared" si="6"/>
        <v>49</v>
      </c>
      <c r="G14" s="8">
        <v>201912</v>
      </c>
      <c r="H14" s="8" t="s">
        <v>7001</v>
      </c>
      <c r="I14" s="8">
        <v>201912</v>
      </c>
      <c r="J14" s="8" t="s">
        <v>7001</v>
      </c>
      <c r="K14" s="52">
        <f t="shared" si="1"/>
        <v>43801</v>
      </c>
      <c r="L14" s="52">
        <f t="shared" si="2"/>
        <v>43807</v>
      </c>
      <c r="M14" s="55" t="str">
        <f t="shared" si="3"/>
        <v>02/12/19 @ 
08/12/19</v>
      </c>
    </row>
    <row r="15" spans="2:13" ht="24" x14ac:dyDescent="0.25">
      <c r="B15" s="51">
        <f t="shared" si="5"/>
        <v>13</v>
      </c>
      <c r="C15" s="52">
        <f t="shared" si="4"/>
        <v>43807</v>
      </c>
      <c r="D15" s="53">
        <f t="shared" si="0"/>
        <v>43807</v>
      </c>
      <c r="E15" s="54">
        <f t="shared" si="6"/>
        <v>2</v>
      </c>
      <c r="F15" s="54">
        <f t="shared" si="6"/>
        <v>49</v>
      </c>
      <c r="G15" s="8">
        <v>201912</v>
      </c>
      <c r="H15" s="8" t="s">
        <v>7001</v>
      </c>
      <c r="I15" s="8">
        <v>201912</v>
      </c>
      <c r="J15" s="8" t="s">
        <v>7001</v>
      </c>
      <c r="K15" s="52">
        <f t="shared" si="1"/>
        <v>43801</v>
      </c>
      <c r="L15" s="52">
        <f t="shared" si="2"/>
        <v>43807</v>
      </c>
      <c r="M15" s="55" t="str">
        <f t="shared" si="3"/>
        <v>02/12/19 @ 
08/12/19</v>
      </c>
    </row>
    <row r="16" spans="2:13" ht="24" x14ac:dyDescent="0.25">
      <c r="B16" s="51">
        <f t="shared" si="5"/>
        <v>14</v>
      </c>
      <c r="C16" s="52">
        <f t="shared" si="4"/>
        <v>43808</v>
      </c>
      <c r="D16" s="53">
        <f t="shared" si="0"/>
        <v>43808</v>
      </c>
      <c r="E16" s="54">
        <f t="shared" si="6"/>
        <v>3</v>
      </c>
      <c r="F16" s="54">
        <f t="shared" si="6"/>
        <v>50</v>
      </c>
      <c r="G16" s="8">
        <v>201912</v>
      </c>
      <c r="H16" s="8" t="s">
        <v>7001</v>
      </c>
      <c r="I16" s="8">
        <v>201912</v>
      </c>
      <c r="J16" s="8" t="s">
        <v>7001</v>
      </c>
      <c r="K16" s="52">
        <f t="shared" si="1"/>
        <v>43808</v>
      </c>
      <c r="L16" s="52">
        <f t="shared" si="2"/>
        <v>43814</v>
      </c>
      <c r="M16" s="55" t="str">
        <f t="shared" si="3"/>
        <v>09/12/19 @ 
15/12/19</v>
      </c>
    </row>
    <row r="17" spans="2:13" ht="24" x14ac:dyDescent="0.25">
      <c r="B17" s="51">
        <f t="shared" si="5"/>
        <v>15</v>
      </c>
      <c r="C17" s="52">
        <f t="shared" si="4"/>
        <v>43809</v>
      </c>
      <c r="D17" s="53">
        <f t="shared" si="0"/>
        <v>43809</v>
      </c>
      <c r="E17" s="54">
        <f t="shared" si="6"/>
        <v>3</v>
      </c>
      <c r="F17" s="54">
        <f t="shared" si="6"/>
        <v>50</v>
      </c>
      <c r="G17" s="8">
        <v>201912</v>
      </c>
      <c r="H17" s="8" t="s">
        <v>7001</v>
      </c>
      <c r="I17" s="8">
        <v>201912</v>
      </c>
      <c r="J17" s="8" t="s">
        <v>7001</v>
      </c>
      <c r="K17" s="52">
        <f t="shared" si="1"/>
        <v>43808</v>
      </c>
      <c r="L17" s="52">
        <f t="shared" si="2"/>
        <v>43814</v>
      </c>
      <c r="M17" s="55" t="str">
        <f t="shared" si="3"/>
        <v>09/12/19 @ 
15/12/19</v>
      </c>
    </row>
    <row r="18" spans="2:13" ht="24" x14ac:dyDescent="0.25">
      <c r="B18" s="51">
        <f t="shared" si="5"/>
        <v>16</v>
      </c>
      <c r="C18" s="52">
        <f t="shared" si="4"/>
        <v>43810</v>
      </c>
      <c r="D18" s="53">
        <f t="shared" si="0"/>
        <v>43810</v>
      </c>
      <c r="E18" s="54">
        <f t="shared" si="6"/>
        <v>3</v>
      </c>
      <c r="F18" s="54">
        <f t="shared" si="6"/>
        <v>50</v>
      </c>
      <c r="G18" s="8">
        <v>201912</v>
      </c>
      <c r="H18" s="8" t="s">
        <v>7001</v>
      </c>
      <c r="I18" s="8">
        <v>201912</v>
      </c>
      <c r="J18" s="8" t="s">
        <v>7001</v>
      </c>
      <c r="K18" s="52">
        <f t="shared" si="1"/>
        <v>43808</v>
      </c>
      <c r="L18" s="52">
        <f t="shared" si="2"/>
        <v>43814</v>
      </c>
      <c r="M18" s="55" t="str">
        <f t="shared" si="3"/>
        <v>09/12/19 @ 
15/12/19</v>
      </c>
    </row>
    <row r="19" spans="2:13" ht="24" x14ac:dyDescent="0.25">
      <c r="B19" s="51">
        <f t="shared" si="5"/>
        <v>17</v>
      </c>
      <c r="C19" s="52">
        <f t="shared" si="4"/>
        <v>43811</v>
      </c>
      <c r="D19" s="53">
        <f t="shared" si="0"/>
        <v>43811</v>
      </c>
      <c r="E19" s="54">
        <f t="shared" si="6"/>
        <v>3</v>
      </c>
      <c r="F19" s="54">
        <f t="shared" si="6"/>
        <v>50</v>
      </c>
      <c r="G19" s="8">
        <v>201912</v>
      </c>
      <c r="H19" s="8" t="s">
        <v>7001</v>
      </c>
      <c r="I19" s="8">
        <v>201912</v>
      </c>
      <c r="J19" s="8" t="s">
        <v>7001</v>
      </c>
      <c r="K19" s="52">
        <f t="shared" si="1"/>
        <v>43808</v>
      </c>
      <c r="L19" s="52">
        <f t="shared" si="2"/>
        <v>43814</v>
      </c>
      <c r="M19" s="55" t="str">
        <f t="shared" si="3"/>
        <v>09/12/19 @ 
15/12/19</v>
      </c>
    </row>
    <row r="20" spans="2:13" ht="24" x14ac:dyDescent="0.25">
      <c r="B20" s="51">
        <f t="shared" si="5"/>
        <v>18</v>
      </c>
      <c r="C20" s="52">
        <f t="shared" si="4"/>
        <v>43812</v>
      </c>
      <c r="D20" s="53">
        <f t="shared" si="0"/>
        <v>43812</v>
      </c>
      <c r="E20" s="54">
        <f t="shared" si="6"/>
        <v>3</v>
      </c>
      <c r="F20" s="54">
        <f t="shared" si="6"/>
        <v>50</v>
      </c>
      <c r="G20" s="8">
        <v>201912</v>
      </c>
      <c r="H20" s="8" t="s">
        <v>7001</v>
      </c>
      <c r="I20" s="8">
        <v>201912</v>
      </c>
      <c r="J20" s="8" t="s">
        <v>7001</v>
      </c>
      <c r="K20" s="52">
        <f t="shared" si="1"/>
        <v>43808</v>
      </c>
      <c r="L20" s="52">
        <f t="shared" si="2"/>
        <v>43814</v>
      </c>
      <c r="M20" s="55" t="str">
        <f t="shared" si="3"/>
        <v>09/12/19 @ 
15/12/19</v>
      </c>
    </row>
    <row r="21" spans="2:13" ht="24" x14ac:dyDescent="0.25">
      <c r="B21" s="51">
        <f t="shared" si="5"/>
        <v>19</v>
      </c>
      <c r="C21" s="52">
        <f t="shared" si="4"/>
        <v>43813</v>
      </c>
      <c r="D21" s="53">
        <f t="shared" si="0"/>
        <v>43813</v>
      </c>
      <c r="E21" s="54">
        <f t="shared" si="6"/>
        <v>3</v>
      </c>
      <c r="F21" s="54">
        <f t="shared" si="6"/>
        <v>50</v>
      </c>
      <c r="G21" s="8">
        <v>201912</v>
      </c>
      <c r="H21" s="8" t="s">
        <v>7001</v>
      </c>
      <c r="I21" s="8">
        <v>201912</v>
      </c>
      <c r="J21" s="8" t="s">
        <v>7001</v>
      </c>
      <c r="K21" s="52">
        <f t="shared" si="1"/>
        <v>43808</v>
      </c>
      <c r="L21" s="52">
        <f t="shared" si="2"/>
        <v>43814</v>
      </c>
      <c r="M21" s="55" t="str">
        <f t="shared" si="3"/>
        <v>09/12/19 @ 
15/12/19</v>
      </c>
    </row>
    <row r="22" spans="2:13" ht="24" x14ac:dyDescent="0.25">
      <c r="B22" s="51">
        <f t="shared" si="5"/>
        <v>20</v>
      </c>
      <c r="C22" s="52">
        <f t="shared" si="4"/>
        <v>43814</v>
      </c>
      <c r="D22" s="53">
        <f t="shared" si="0"/>
        <v>43814</v>
      </c>
      <c r="E22" s="54">
        <f t="shared" si="6"/>
        <v>3</v>
      </c>
      <c r="F22" s="54">
        <f t="shared" si="6"/>
        <v>50</v>
      </c>
      <c r="G22" s="8">
        <v>201912</v>
      </c>
      <c r="H22" s="8" t="s">
        <v>7001</v>
      </c>
      <c r="I22" s="8">
        <v>201912</v>
      </c>
      <c r="J22" s="8" t="s">
        <v>7001</v>
      </c>
      <c r="K22" s="52">
        <f t="shared" si="1"/>
        <v>43808</v>
      </c>
      <c r="L22" s="52">
        <f t="shared" si="2"/>
        <v>43814</v>
      </c>
      <c r="M22" s="55" t="str">
        <f t="shared" si="3"/>
        <v>09/12/19 @ 
15/12/19</v>
      </c>
    </row>
    <row r="23" spans="2:13" ht="24" x14ac:dyDescent="0.25">
      <c r="B23" s="51">
        <f t="shared" si="5"/>
        <v>21</v>
      </c>
      <c r="C23" s="52">
        <f t="shared" si="4"/>
        <v>43815</v>
      </c>
      <c r="D23" s="53">
        <f t="shared" si="0"/>
        <v>43815</v>
      </c>
      <c r="E23" s="54">
        <f t="shared" si="6"/>
        <v>4</v>
      </c>
      <c r="F23" s="54">
        <f t="shared" si="6"/>
        <v>51</v>
      </c>
      <c r="G23" s="8">
        <v>201912</v>
      </c>
      <c r="H23" s="8" t="s">
        <v>7001</v>
      </c>
      <c r="I23" s="8">
        <v>201912</v>
      </c>
      <c r="J23" s="8" t="s">
        <v>7001</v>
      </c>
      <c r="K23" s="52">
        <f t="shared" si="1"/>
        <v>43815</v>
      </c>
      <c r="L23" s="52">
        <f t="shared" si="2"/>
        <v>43821</v>
      </c>
      <c r="M23" s="55" t="str">
        <f t="shared" si="3"/>
        <v>16/12/19 @ 
22/12/19</v>
      </c>
    </row>
    <row r="24" spans="2:13" ht="24" x14ac:dyDescent="0.25">
      <c r="B24" s="51">
        <f t="shared" si="5"/>
        <v>22</v>
      </c>
      <c r="C24" s="52">
        <f t="shared" si="4"/>
        <v>43816</v>
      </c>
      <c r="D24" s="53">
        <f t="shared" si="0"/>
        <v>43816</v>
      </c>
      <c r="E24" s="54">
        <f t="shared" si="6"/>
        <v>4</v>
      </c>
      <c r="F24" s="54">
        <f t="shared" si="6"/>
        <v>51</v>
      </c>
      <c r="G24" s="8">
        <v>201912</v>
      </c>
      <c r="H24" s="8" t="s">
        <v>7001</v>
      </c>
      <c r="I24" s="8">
        <v>201912</v>
      </c>
      <c r="J24" s="8" t="s">
        <v>7001</v>
      </c>
      <c r="K24" s="52">
        <f t="shared" si="1"/>
        <v>43815</v>
      </c>
      <c r="L24" s="52">
        <f t="shared" si="2"/>
        <v>43821</v>
      </c>
      <c r="M24" s="55" t="str">
        <f t="shared" si="3"/>
        <v>16/12/19 @ 
22/12/19</v>
      </c>
    </row>
    <row r="25" spans="2:13" ht="24" x14ac:dyDescent="0.25">
      <c r="B25" s="51">
        <f t="shared" si="5"/>
        <v>23</v>
      </c>
      <c r="C25" s="52">
        <f t="shared" si="4"/>
        <v>43817</v>
      </c>
      <c r="D25" s="53">
        <f t="shared" si="0"/>
        <v>43817</v>
      </c>
      <c r="E25" s="54">
        <f t="shared" si="6"/>
        <v>4</v>
      </c>
      <c r="F25" s="54">
        <f t="shared" si="6"/>
        <v>51</v>
      </c>
      <c r="G25" s="8">
        <v>201912</v>
      </c>
      <c r="H25" s="8" t="s">
        <v>7001</v>
      </c>
      <c r="I25" s="8">
        <v>201912</v>
      </c>
      <c r="J25" s="8" t="s">
        <v>7001</v>
      </c>
      <c r="K25" s="52">
        <f t="shared" si="1"/>
        <v>43815</v>
      </c>
      <c r="L25" s="52">
        <f t="shared" si="2"/>
        <v>43821</v>
      </c>
      <c r="M25" s="55" t="str">
        <f t="shared" si="3"/>
        <v>16/12/19 @ 
22/12/19</v>
      </c>
    </row>
    <row r="26" spans="2:13" ht="24" x14ac:dyDescent="0.25">
      <c r="B26" s="51">
        <f t="shared" si="5"/>
        <v>24</v>
      </c>
      <c r="C26" s="52">
        <f t="shared" si="4"/>
        <v>43818</v>
      </c>
      <c r="D26" s="53">
        <f t="shared" si="0"/>
        <v>43818</v>
      </c>
      <c r="E26" s="54">
        <f t="shared" ref="E26:F41" si="7">+E19+1</f>
        <v>4</v>
      </c>
      <c r="F26" s="54">
        <f t="shared" si="7"/>
        <v>51</v>
      </c>
      <c r="G26" s="8">
        <v>201912</v>
      </c>
      <c r="H26" s="8" t="s">
        <v>7001</v>
      </c>
      <c r="I26" s="8">
        <v>201912</v>
      </c>
      <c r="J26" s="8" t="s">
        <v>7001</v>
      </c>
      <c r="K26" s="52">
        <f t="shared" si="1"/>
        <v>43815</v>
      </c>
      <c r="L26" s="52">
        <f t="shared" si="2"/>
        <v>43821</v>
      </c>
      <c r="M26" s="55" t="str">
        <f t="shared" si="3"/>
        <v>16/12/19 @ 
22/12/19</v>
      </c>
    </row>
    <row r="27" spans="2:13" ht="24" x14ac:dyDescent="0.25">
      <c r="B27" s="51">
        <f t="shared" si="5"/>
        <v>25</v>
      </c>
      <c r="C27" s="52">
        <f t="shared" si="4"/>
        <v>43819</v>
      </c>
      <c r="D27" s="53">
        <f t="shared" si="0"/>
        <v>43819</v>
      </c>
      <c r="E27" s="54">
        <f t="shared" si="7"/>
        <v>4</v>
      </c>
      <c r="F27" s="54">
        <f t="shared" si="7"/>
        <v>51</v>
      </c>
      <c r="G27" s="8">
        <v>201912</v>
      </c>
      <c r="H27" s="8" t="s">
        <v>7001</v>
      </c>
      <c r="I27" s="8">
        <v>201912</v>
      </c>
      <c r="J27" s="8" t="s">
        <v>7001</v>
      </c>
      <c r="K27" s="52">
        <f t="shared" si="1"/>
        <v>43815</v>
      </c>
      <c r="L27" s="52">
        <f t="shared" si="2"/>
        <v>43821</v>
      </c>
      <c r="M27" s="55" t="str">
        <f t="shared" si="3"/>
        <v>16/12/19 @ 
22/12/19</v>
      </c>
    </row>
    <row r="28" spans="2:13" ht="24" x14ac:dyDescent="0.25">
      <c r="B28" s="51">
        <f t="shared" si="5"/>
        <v>26</v>
      </c>
      <c r="C28" s="52">
        <f t="shared" si="4"/>
        <v>43820</v>
      </c>
      <c r="D28" s="53">
        <f t="shared" si="0"/>
        <v>43820</v>
      </c>
      <c r="E28" s="54">
        <f t="shared" si="7"/>
        <v>4</v>
      </c>
      <c r="F28" s="54">
        <f t="shared" si="7"/>
        <v>51</v>
      </c>
      <c r="G28" s="8">
        <v>201912</v>
      </c>
      <c r="H28" s="8" t="s">
        <v>7001</v>
      </c>
      <c r="I28" s="8">
        <v>202001</v>
      </c>
      <c r="J28" s="8" t="s">
        <v>7002</v>
      </c>
      <c r="K28" s="52">
        <f t="shared" si="1"/>
        <v>43815</v>
      </c>
      <c r="L28" s="52">
        <f t="shared" si="2"/>
        <v>43821</v>
      </c>
      <c r="M28" s="55" t="str">
        <f t="shared" si="3"/>
        <v>16/12/19 @ 
22/12/19</v>
      </c>
    </row>
    <row r="29" spans="2:13" ht="24" x14ac:dyDescent="0.25">
      <c r="B29" s="51">
        <f t="shared" si="5"/>
        <v>27</v>
      </c>
      <c r="C29" s="52">
        <f t="shared" si="4"/>
        <v>43821</v>
      </c>
      <c r="D29" s="53">
        <f t="shared" si="0"/>
        <v>43821</v>
      </c>
      <c r="E29" s="54">
        <f t="shared" si="7"/>
        <v>4</v>
      </c>
      <c r="F29" s="54">
        <f t="shared" si="7"/>
        <v>51</v>
      </c>
      <c r="G29" s="8">
        <v>201912</v>
      </c>
      <c r="H29" s="8" t="s">
        <v>7001</v>
      </c>
      <c r="I29" s="8">
        <v>202001</v>
      </c>
      <c r="J29" s="8" t="s">
        <v>7002</v>
      </c>
      <c r="K29" s="52">
        <f t="shared" si="1"/>
        <v>43815</v>
      </c>
      <c r="L29" s="52">
        <f t="shared" si="2"/>
        <v>43821</v>
      </c>
      <c r="M29" s="55" t="str">
        <f t="shared" si="3"/>
        <v>16/12/19 @ 
22/12/19</v>
      </c>
    </row>
    <row r="30" spans="2:13" ht="24" x14ac:dyDescent="0.25">
      <c r="B30" s="51">
        <f t="shared" si="5"/>
        <v>28</v>
      </c>
      <c r="C30" s="52">
        <f t="shared" si="4"/>
        <v>43822</v>
      </c>
      <c r="D30" s="53">
        <f t="shared" si="0"/>
        <v>43822</v>
      </c>
      <c r="E30" s="54">
        <f t="shared" si="7"/>
        <v>5</v>
      </c>
      <c r="F30" s="54">
        <f t="shared" si="7"/>
        <v>52</v>
      </c>
      <c r="G30" s="8">
        <v>201912</v>
      </c>
      <c r="H30" s="8" t="s">
        <v>7001</v>
      </c>
      <c r="I30" s="8">
        <v>202001</v>
      </c>
      <c r="J30" s="8" t="s">
        <v>7002</v>
      </c>
      <c r="K30" s="52">
        <f t="shared" si="1"/>
        <v>43822</v>
      </c>
      <c r="L30" s="52">
        <f t="shared" si="2"/>
        <v>43828</v>
      </c>
      <c r="M30" s="55" t="str">
        <f t="shared" si="3"/>
        <v>23/12/19 @ 
29/12/19</v>
      </c>
    </row>
    <row r="31" spans="2:13" ht="24" x14ac:dyDescent="0.25">
      <c r="B31" s="51">
        <f t="shared" si="5"/>
        <v>29</v>
      </c>
      <c r="C31" s="52">
        <f t="shared" si="4"/>
        <v>43823</v>
      </c>
      <c r="D31" s="53">
        <f t="shared" si="0"/>
        <v>43823</v>
      </c>
      <c r="E31" s="54">
        <f t="shared" si="7"/>
        <v>5</v>
      </c>
      <c r="F31" s="54">
        <f t="shared" si="7"/>
        <v>52</v>
      </c>
      <c r="G31" s="8">
        <v>201912</v>
      </c>
      <c r="H31" s="8" t="s">
        <v>7001</v>
      </c>
      <c r="I31" s="8">
        <v>202001</v>
      </c>
      <c r="J31" s="8" t="s">
        <v>7002</v>
      </c>
      <c r="K31" s="52">
        <f t="shared" si="1"/>
        <v>43822</v>
      </c>
      <c r="L31" s="52">
        <f t="shared" si="2"/>
        <v>43828</v>
      </c>
      <c r="M31" s="55" t="str">
        <f t="shared" si="3"/>
        <v>23/12/19 @ 
29/12/19</v>
      </c>
    </row>
    <row r="32" spans="2:13" ht="24" x14ac:dyDescent="0.25">
      <c r="B32" s="51">
        <f t="shared" si="5"/>
        <v>30</v>
      </c>
      <c r="C32" s="52">
        <f t="shared" si="4"/>
        <v>43824</v>
      </c>
      <c r="D32" s="53">
        <f t="shared" si="0"/>
        <v>43824</v>
      </c>
      <c r="E32" s="54">
        <f t="shared" si="7"/>
        <v>5</v>
      </c>
      <c r="F32" s="54">
        <f t="shared" si="7"/>
        <v>52</v>
      </c>
      <c r="G32" s="8">
        <v>201912</v>
      </c>
      <c r="H32" s="8" t="s">
        <v>7001</v>
      </c>
      <c r="I32" s="8">
        <v>202001</v>
      </c>
      <c r="J32" s="8" t="s">
        <v>7002</v>
      </c>
      <c r="K32" s="52">
        <f t="shared" si="1"/>
        <v>43822</v>
      </c>
      <c r="L32" s="52">
        <f t="shared" si="2"/>
        <v>43828</v>
      </c>
      <c r="M32" s="55" t="str">
        <f t="shared" si="3"/>
        <v>23/12/19 @ 
29/12/19</v>
      </c>
    </row>
    <row r="33" spans="2:13" ht="24" x14ac:dyDescent="0.25">
      <c r="B33" s="51">
        <f t="shared" si="5"/>
        <v>31</v>
      </c>
      <c r="C33" s="52">
        <f t="shared" si="4"/>
        <v>43825</v>
      </c>
      <c r="D33" s="53">
        <f t="shared" si="0"/>
        <v>43825</v>
      </c>
      <c r="E33" s="54">
        <f t="shared" si="7"/>
        <v>5</v>
      </c>
      <c r="F33" s="54">
        <f t="shared" si="7"/>
        <v>52</v>
      </c>
      <c r="G33" s="8">
        <v>201912</v>
      </c>
      <c r="H33" s="8" t="s">
        <v>7001</v>
      </c>
      <c r="I33" s="8">
        <v>202001</v>
      </c>
      <c r="J33" s="8" t="s">
        <v>7002</v>
      </c>
      <c r="K33" s="52">
        <f t="shared" si="1"/>
        <v>43822</v>
      </c>
      <c r="L33" s="52">
        <f t="shared" si="2"/>
        <v>43828</v>
      </c>
      <c r="M33" s="55" t="str">
        <f t="shared" si="3"/>
        <v>23/12/19 @ 
29/12/19</v>
      </c>
    </row>
    <row r="34" spans="2:13" ht="24" x14ac:dyDescent="0.25">
      <c r="B34" s="51">
        <f t="shared" si="5"/>
        <v>32</v>
      </c>
      <c r="C34" s="52">
        <f t="shared" si="4"/>
        <v>43826</v>
      </c>
      <c r="D34" s="53">
        <f t="shared" si="0"/>
        <v>43826</v>
      </c>
      <c r="E34" s="54">
        <f t="shared" si="7"/>
        <v>5</v>
      </c>
      <c r="F34" s="54">
        <f t="shared" si="7"/>
        <v>52</v>
      </c>
      <c r="G34" s="8">
        <v>201912</v>
      </c>
      <c r="H34" s="8" t="s">
        <v>7001</v>
      </c>
      <c r="I34" s="8">
        <v>202001</v>
      </c>
      <c r="J34" s="8" t="s">
        <v>7002</v>
      </c>
      <c r="K34" s="52">
        <f t="shared" si="1"/>
        <v>43822</v>
      </c>
      <c r="L34" s="52">
        <f t="shared" si="2"/>
        <v>43828</v>
      </c>
      <c r="M34" s="55" t="str">
        <f t="shared" si="3"/>
        <v>23/12/19 @ 
29/12/19</v>
      </c>
    </row>
    <row r="35" spans="2:13" ht="24" x14ac:dyDescent="0.25">
      <c r="B35" s="51">
        <f t="shared" si="5"/>
        <v>33</v>
      </c>
      <c r="C35" s="52">
        <f t="shared" si="4"/>
        <v>43827</v>
      </c>
      <c r="D35" s="53">
        <f t="shared" si="0"/>
        <v>43827</v>
      </c>
      <c r="E35" s="54">
        <f t="shared" si="7"/>
        <v>5</v>
      </c>
      <c r="F35" s="54">
        <f t="shared" si="7"/>
        <v>52</v>
      </c>
      <c r="G35" s="8">
        <v>201912</v>
      </c>
      <c r="H35" s="8" t="s">
        <v>7001</v>
      </c>
      <c r="I35" s="8">
        <v>202001</v>
      </c>
      <c r="J35" s="8" t="s">
        <v>7002</v>
      </c>
      <c r="K35" s="52">
        <f t="shared" si="1"/>
        <v>43822</v>
      </c>
      <c r="L35" s="52">
        <f t="shared" si="2"/>
        <v>43828</v>
      </c>
      <c r="M35" s="55" t="str">
        <f t="shared" si="3"/>
        <v>23/12/19 @ 
29/12/19</v>
      </c>
    </row>
    <row r="36" spans="2:13" ht="24" x14ac:dyDescent="0.25">
      <c r="B36" s="51">
        <f t="shared" si="5"/>
        <v>34</v>
      </c>
      <c r="C36" s="52">
        <f t="shared" si="4"/>
        <v>43828</v>
      </c>
      <c r="D36" s="53">
        <f t="shared" si="0"/>
        <v>43828</v>
      </c>
      <c r="E36" s="54">
        <f t="shared" si="7"/>
        <v>5</v>
      </c>
      <c r="F36" s="54">
        <f t="shared" si="7"/>
        <v>52</v>
      </c>
      <c r="G36" s="8">
        <v>201912</v>
      </c>
      <c r="H36" s="8" t="s">
        <v>7001</v>
      </c>
      <c r="I36" s="8">
        <v>202001</v>
      </c>
      <c r="J36" s="8" t="s">
        <v>7002</v>
      </c>
      <c r="K36" s="52">
        <f t="shared" si="1"/>
        <v>43822</v>
      </c>
      <c r="L36" s="52">
        <f t="shared" si="2"/>
        <v>43828</v>
      </c>
      <c r="M36" s="55" t="str">
        <f t="shared" si="3"/>
        <v>23/12/19 @ 
29/12/19</v>
      </c>
    </row>
    <row r="37" spans="2:13" ht="24" x14ac:dyDescent="0.25">
      <c r="B37" s="51">
        <f t="shared" si="5"/>
        <v>35</v>
      </c>
      <c r="C37" s="52">
        <f t="shared" si="4"/>
        <v>43829</v>
      </c>
      <c r="D37" s="53">
        <f t="shared" si="0"/>
        <v>43829</v>
      </c>
      <c r="E37" s="54">
        <f t="shared" si="7"/>
        <v>6</v>
      </c>
      <c r="F37" s="54">
        <v>1</v>
      </c>
      <c r="G37" s="8">
        <v>202001</v>
      </c>
      <c r="H37" s="8" t="s">
        <v>7002</v>
      </c>
      <c r="I37" s="8">
        <v>202001</v>
      </c>
      <c r="J37" s="8" t="s">
        <v>7002</v>
      </c>
      <c r="K37" s="52">
        <f t="shared" si="1"/>
        <v>43829</v>
      </c>
      <c r="L37" s="52">
        <f t="shared" si="2"/>
        <v>43835</v>
      </c>
      <c r="M37" s="55" t="str">
        <f t="shared" si="3"/>
        <v>30/12/19 @ 
05/01/20</v>
      </c>
    </row>
    <row r="38" spans="2:13" ht="24" x14ac:dyDescent="0.25">
      <c r="B38" s="51">
        <f t="shared" si="5"/>
        <v>36</v>
      </c>
      <c r="C38" s="52">
        <f t="shared" si="4"/>
        <v>43830</v>
      </c>
      <c r="D38" s="53">
        <f t="shared" si="0"/>
        <v>43830</v>
      </c>
      <c r="E38" s="54">
        <f t="shared" si="7"/>
        <v>6</v>
      </c>
      <c r="F38" s="54">
        <v>1</v>
      </c>
      <c r="G38" s="8">
        <v>202001</v>
      </c>
      <c r="H38" s="8" t="s">
        <v>7002</v>
      </c>
      <c r="I38" s="8">
        <v>202001</v>
      </c>
      <c r="J38" s="8" t="s">
        <v>7002</v>
      </c>
      <c r="K38" s="52">
        <f t="shared" si="1"/>
        <v>43829</v>
      </c>
      <c r="L38" s="52">
        <f t="shared" si="2"/>
        <v>43835</v>
      </c>
      <c r="M38" s="55" t="str">
        <f t="shared" si="3"/>
        <v>30/12/19 @ 
05/01/20</v>
      </c>
    </row>
    <row r="39" spans="2:13" ht="24" x14ac:dyDescent="0.25">
      <c r="B39" s="51">
        <f t="shared" si="5"/>
        <v>37</v>
      </c>
      <c r="C39" s="52">
        <f t="shared" si="4"/>
        <v>43831</v>
      </c>
      <c r="D39" s="53">
        <f t="shared" si="0"/>
        <v>43831</v>
      </c>
      <c r="E39" s="54">
        <f t="shared" si="7"/>
        <v>6</v>
      </c>
      <c r="F39" s="54">
        <v>1</v>
      </c>
      <c r="G39" s="8">
        <v>202001</v>
      </c>
      <c r="H39" s="8" t="s">
        <v>7002</v>
      </c>
      <c r="I39" s="8">
        <v>202001</v>
      </c>
      <c r="J39" s="8" t="s">
        <v>7002</v>
      </c>
      <c r="K39" s="52">
        <f t="shared" si="1"/>
        <v>43829</v>
      </c>
      <c r="L39" s="52">
        <f t="shared" si="2"/>
        <v>43835</v>
      </c>
      <c r="M39" s="55" t="str">
        <f t="shared" si="3"/>
        <v>30/12/19 @ 
05/01/20</v>
      </c>
    </row>
    <row r="40" spans="2:13" ht="24" x14ac:dyDescent="0.25">
      <c r="B40" s="51">
        <f t="shared" si="5"/>
        <v>38</v>
      </c>
      <c r="C40" s="52">
        <f t="shared" si="4"/>
        <v>43832</v>
      </c>
      <c r="D40" s="53">
        <f t="shared" si="0"/>
        <v>43832</v>
      </c>
      <c r="E40" s="54">
        <f t="shared" si="7"/>
        <v>6</v>
      </c>
      <c r="F40" s="54">
        <v>1</v>
      </c>
      <c r="G40" s="8">
        <v>202001</v>
      </c>
      <c r="H40" s="8" t="s">
        <v>7002</v>
      </c>
      <c r="I40" s="8">
        <v>202001</v>
      </c>
      <c r="J40" s="8" t="s">
        <v>7002</v>
      </c>
      <c r="K40" s="52">
        <f t="shared" si="1"/>
        <v>43829</v>
      </c>
      <c r="L40" s="52">
        <f t="shared" si="2"/>
        <v>43835</v>
      </c>
      <c r="M40" s="55" t="str">
        <f t="shared" si="3"/>
        <v>30/12/19 @ 
05/01/20</v>
      </c>
    </row>
    <row r="41" spans="2:13" ht="24" x14ac:dyDescent="0.25">
      <c r="B41" s="51">
        <f t="shared" si="5"/>
        <v>39</v>
      </c>
      <c r="C41" s="52">
        <f t="shared" si="4"/>
        <v>43833</v>
      </c>
      <c r="D41" s="53">
        <f t="shared" si="0"/>
        <v>43833</v>
      </c>
      <c r="E41" s="54">
        <f t="shared" si="7"/>
        <v>6</v>
      </c>
      <c r="F41" s="54">
        <v>1</v>
      </c>
      <c r="G41" s="8">
        <v>202001</v>
      </c>
      <c r="H41" s="8" t="s">
        <v>7002</v>
      </c>
      <c r="I41" s="8">
        <v>202001</v>
      </c>
      <c r="J41" s="8" t="s">
        <v>7002</v>
      </c>
      <c r="K41" s="52">
        <f t="shared" si="1"/>
        <v>43829</v>
      </c>
      <c r="L41" s="52">
        <f t="shared" si="2"/>
        <v>43835</v>
      </c>
      <c r="M41" s="55" t="str">
        <f t="shared" si="3"/>
        <v>30/12/19 @ 
05/01/20</v>
      </c>
    </row>
    <row r="42" spans="2:13" ht="24" x14ac:dyDescent="0.25">
      <c r="B42" s="51">
        <f t="shared" si="5"/>
        <v>40</v>
      </c>
      <c r="C42" s="52">
        <f t="shared" si="4"/>
        <v>43834</v>
      </c>
      <c r="D42" s="53">
        <f t="shared" si="0"/>
        <v>43834</v>
      </c>
      <c r="E42" s="54">
        <f t="shared" ref="E42:F57" si="8">+E35+1</f>
        <v>6</v>
      </c>
      <c r="F42" s="54">
        <v>1</v>
      </c>
      <c r="G42" s="8">
        <v>202001</v>
      </c>
      <c r="H42" s="8" t="s">
        <v>7002</v>
      </c>
      <c r="I42" s="8">
        <v>202001</v>
      </c>
      <c r="J42" s="8" t="s">
        <v>7002</v>
      </c>
      <c r="K42" s="52">
        <f t="shared" si="1"/>
        <v>43829</v>
      </c>
      <c r="L42" s="52">
        <f t="shared" si="2"/>
        <v>43835</v>
      </c>
      <c r="M42" s="55" t="str">
        <f t="shared" si="3"/>
        <v>30/12/19 @ 
05/01/20</v>
      </c>
    </row>
    <row r="43" spans="2:13" ht="24" x14ac:dyDescent="0.25">
      <c r="B43" s="51">
        <f t="shared" si="5"/>
        <v>41</v>
      </c>
      <c r="C43" s="52">
        <f t="shared" si="4"/>
        <v>43835</v>
      </c>
      <c r="D43" s="53">
        <f t="shared" si="0"/>
        <v>43835</v>
      </c>
      <c r="E43" s="54">
        <f t="shared" si="8"/>
        <v>6</v>
      </c>
      <c r="F43" s="54">
        <v>1</v>
      </c>
      <c r="G43" s="8">
        <v>202001</v>
      </c>
      <c r="H43" s="8" t="s">
        <v>7002</v>
      </c>
      <c r="I43" s="8">
        <v>202001</v>
      </c>
      <c r="J43" s="8" t="s">
        <v>7002</v>
      </c>
      <c r="K43" s="52">
        <f t="shared" si="1"/>
        <v>43829</v>
      </c>
      <c r="L43" s="52">
        <f t="shared" si="2"/>
        <v>43835</v>
      </c>
      <c r="M43" s="55" t="str">
        <f t="shared" si="3"/>
        <v>30/12/19 @ 
05/01/20</v>
      </c>
    </row>
    <row r="44" spans="2:13" ht="24" x14ac:dyDescent="0.25">
      <c r="B44" s="51">
        <f t="shared" si="5"/>
        <v>42</v>
      </c>
      <c r="C44" s="52">
        <f t="shared" si="4"/>
        <v>43836</v>
      </c>
      <c r="D44" s="53">
        <f t="shared" si="0"/>
        <v>43836</v>
      </c>
      <c r="E44" s="54">
        <f t="shared" si="8"/>
        <v>7</v>
      </c>
      <c r="F44" s="54">
        <f>+F37+1</f>
        <v>2</v>
      </c>
      <c r="G44" s="8">
        <v>202001</v>
      </c>
      <c r="H44" s="8" t="s">
        <v>7002</v>
      </c>
      <c r="I44" s="8">
        <v>202001</v>
      </c>
      <c r="J44" s="8" t="s">
        <v>7002</v>
      </c>
      <c r="K44" s="52">
        <f t="shared" si="1"/>
        <v>43836</v>
      </c>
      <c r="L44" s="52">
        <f t="shared" si="2"/>
        <v>43842</v>
      </c>
      <c r="M44" s="55" t="str">
        <f t="shared" si="3"/>
        <v>06/01/20 @ 
12/01/20</v>
      </c>
    </row>
    <row r="45" spans="2:13" ht="24" x14ac:dyDescent="0.25">
      <c r="B45" s="51">
        <f t="shared" si="5"/>
        <v>43</v>
      </c>
      <c r="C45" s="52">
        <f t="shared" si="4"/>
        <v>43837</v>
      </c>
      <c r="D45" s="53">
        <f t="shared" si="0"/>
        <v>43837</v>
      </c>
      <c r="E45" s="54">
        <f t="shared" si="8"/>
        <v>7</v>
      </c>
      <c r="F45" s="54">
        <f t="shared" si="8"/>
        <v>2</v>
      </c>
      <c r="G45" s="8">
        <v>202001</v>
      </c>
      <c r="H45" s="8" t="s">
        <v>7002</v>
      </c>
      <c r="I45" s="8">
        <v>202001</v>
      </c>
      <c r="J45" s="8" t="s">
        <v>7002</v>
      </c>
      <c r="K45" s="52">
        <f t="shared" si="1"/>
        <v>43836</v>
      </c>
      <c r="L45" s="52">
        <f t="shared" si="2"/>
        <v>43842</v>
      </c>
      <c r="M45" s="55" t="str">
        <f t="shared" si="3"/>
        <v>06/01/20 @ 
12/01/20</v>
      </c>
    </row>
    <row r="46" spans="2:13" ht="24" x14ac:dyDescent="0.25">
      <c r="B46" s="51">
        <f t="shared" si="5"/>
        <v>44</v>
      </c>
      <c r="C46" s="52">
        <f t="shared" si="4"/>
        <v>43838</v>
      </c>
      <c r="D46" s="53">
        <f t="shared" si="0"/>
        <v>43838</v>
      </c>
      <c r="E46" s="54">
        <f t="shared" si="8"/>
        <v>7</v>
      </c>
      <c r="F46" s="54">
        <f t="shared" si="8"/>
        <v>2</v>
      </c>
      <c r="G46" s="8">
        <v>202001</v>
      </c>
      <c r="H46" s="8" t="s">
        <v>7002</v>
      </c>
      <c r="I46" s="8">
        <v>202001</v>
      </c>
      <c r="J46" s="8" t="s">
        <v>7002</v>
      </c>
      <c r="K46" s="52">
        <f t="shared" si="1"/>
        <v>43836</v>
      </c>
      <c r="L46" s="52">
        <f t="shared" si="2"/>
        <v>43842</v>
      </c>
      <c r="M46" s="55" t="str">
        <f t="shared" si="3"/>
        <v>06/01/20 @ 
12/01/20</v>
      </c>
    </row>
    <row r="47" spans="2:13" ht="24" x14ac:dyDescent="0.25">
      <c r="B47" s="51">
        <f t="shared" si="5"/>
        <v>45</v>
      </c>
      <c r="C47" s="52">
        <f t="shared" si="4"/>
        <v>43839</v>
      </c>
      <c r="D47" s="53">
        <f t="shared" si="0"/>
        <v>43839</v>
      </c>
      <c r="E47" s="54">
        <f t="shared" si="8"/>
        <v>7</v>
      </c>
      <c r="F47" s="54">
        <f t="shared" si="8"/>
        <v>2</v>
      </c>
      <c r="G47" s="8">
        <v>202001</v>
      </c>
      <c r="H47" s="8" t="s">
        <v>7002</v>
      </c>
      <c r="I47" s="8">
        <v>202001</v>
      </c>
      <c r="J47" s="8" t="s">
        <v>7002</v>
      </c>
      <c r="K47" s="52">
        <f t="shared" si="1"/>
        <v>43836</v>
      </c>
      <c r="L47" s="52">
        <f t="shared" si="2"/>
        <v>43842</v>
      </c>
      <c r="M47" s="55" t="str">
        <f t="shared" si="3"/>
        <v>06/01/20 @ 
12/01/20</v>
      </c>
    </row>
    <row r="48" spans="2:13" ht="24" x14ac:dyDescent="0.25">
      <c r="B48" s="51">
        <f t="shared" si="5"/>
        <v>46</v>
      </c>
      <c r="C48" s="52">
        <f t="shared" si="4"/>
        <v>43840</v>
      </c>
      <c r="D48" s="53">
        <f t="shared" si="0"/>
        <v>43840</v>
      </c>
      <c r="E48" s="54">
        <f t="shared" si="8"/>
        <v>7</v>
      </c>
      <c r="F48" s="54">
        <f t="shared" si="8"/>
        <v>2</v>
      </c>
      <c r="G48" s="8">
        <v>202001</v>
      </c>
      <c r="H48" s="8" t="s">
        <v>7002</v>
      </c>
      <c r="I48" s="8">
        <v>202001</v>
      </c>
      <c r="J48" s="8" t="s">
        <v>7002</v>
      </c>
      <c r="K48" s="52">
        <f t="shared" si="1"/>
        <v>43836</v>
      </c>
      <c r="L48" s="52">
        <f t="shared" si="2"/>
        <v>43842</v>
      </c>
      <c r="M48" s="55" t="str">
        <f t="shared" si="3"/>
        <v>06/01/20 @ 
12/01/20</v>
      </c>
    </row>
    <row r="49" spans="2:13" ht="24" x14ac:dyDescent="0.25">
      <c r="B49" s="51">
        <f t="shared" si="5"/>
        <v>47</v>
      </c>
      <c r="C49" s="52">
        <f t="shared" si="4"/>
        <v>43841</v>
      </c>
      <c r="D49" s="53">
        <f t="shared" si="0"/>
        <v>43841</v>
      </c>
      <c r="E49" s="54">
        <f t="shared" si="8"/>
        <v>7</v>
      </c>
      <c r="F49" s="54">
        <f t="shared" si="8"/>
        <v>2</v>
      </c>
      <c r="G49" s="8">
        <v>202001</v>
      </c>
      <c r="H49" s="8" t="s">
        <v>7002</v>
      </c>
      <c r="I49" s="8">
        <v>202001</v>
      </c>
      <c r="J49" s="8" t="s">
        <v>7002</v>
      </c>
      <c r="K49" s="52">
        <f t="shared" si="1"/>
        <v>43836</v>
      </c>
      <c r="L49" s="52">
        <f t="shared" si="2"/>
        <v>43842</v>
      </c>
      <c r="M49" s="55" t="str">
        <f t="shared" si="3"/>
        <v>06/01/20 @ 
12/01/20</v>
      </c>
    </row>
    <row r="50" spans="2:13" ht="24" x14ac:dyDescent="0.25">
      <c r="B50" s="51">
        <f t="shared" si="5"/>
        <v>48</v>
      </c>
      <c r="C50" s="52">
        <f t="shared" si="4"/>
        <v>43842</v>
      </c>
      <c r="D50" s="53">
        <f t="shared" si="0"/>
        <v>43842</v>
      </c>
      <c r="E50" s="54">
        <f t="shared" si="8"/>
        <v>7</v>
      </c>
      <c r="F50" s="54">
        <f t="shared" si="8"/>
        <v>2</v>
      </c>
      <c r="G50" s="8">
        <v>202001</v>
      </c>
      <c r="H50" s="8" t="s">
        <v>7002</v>
      </c>
      <c r="I50" s="8">
        <v>202001</v>
      </c>
      <c r="J50" s="8" t="s">
        <v>7002</v>
      </c>
      <c r="K50" s="52">
        <f t="shared" si="1"/>
        <v>43836</v>
      </c>
      <c r="L50" s="52">
        <f t="shared" si="2"/>
        <v>43842</v>
      </c>
      <c r="M50" s="55" t="str">
        <f t="shared" si="3"/>
        <v>06/01/20 @ 
12/01/20</v>
      </c>
    </row>
    <row r="51" spans="2:13" ht="24" x14ac:dyDescent="0.25">
      <c r="B51" s="51">
        <f t="shared" si="5"/>
        <v>49</v>
      </c>
      <c r="C51" s="52">
        <f t="shared" si="4"/>
        <v>43843</v>
      </c>
      <c r="D51" s="53">
        <f t="shared" si="0"/>
        <v>43843</v>
      </c>
      <c r="E51" s="54">
        <f t="shared" si="8"/>
        <v>8</v>
      </c>
      <c r="F51" s="54">
        <f t="shared" si="8"/>
        <v>3</v>
      </c>
      <c r="G51" s="8">
        <v>202001</v>
      </c>
      <c r="H51" s="8" t="s">
        <v>7002</v>
      </c>
      <c r="I51" s="8">
        <v>202001</v>
      </c>
      <c r="J51" s="8" t="s">
        <v>7002</v>
      </c>
      <c r="K51" s="52">
        <f t="shared" si="1"/>
        <v>43843</v>
      </c>
      <c r="L51" s="52">
        <f t="shared" si="2"/>
        <v>43849</v>
      </c>
      <c r="M51" s="55" t="str">
        <f t="shared" si="3"/>
        <v>13/01/20 @ 
19/01/20</v>
      </c>
    </row>
    <row r="52" spans="2:13" ht="24" x14ac:dyDescent="0.25">
      <c r="B52" s="51">
        <f t="shared" si="5"/>
        <v>50</v>
      </c>
      <c r="C52" s="52">
        <f t="shared" si="4"/>
        <v>43844</v>
      </c>
      <c r="D52" s="53">
        <f t="shared" si="0"/>
        <v>43844</v>
      </c>
      <c r="E52" s="54">
        <f t="shared" si="8"/>
        <v>8</v>
      </c>
      <c r="F52" s="54">
        <f t="shared" si="8"/>
        <v>3</v>
      </c>
      <c r="G52" s="8">
        <v>202001</v>
      </c>
      <c r="H52" s="8" t="s">
        <v>7002</v>
      </c>
      <c r="I52" s="8">
        <v>202001</v>
      </c>
      <c r="J52" s="8" t="s">
        <v>7002</v>
      </c>
      <c r="K52" s="52">
        <f t="shared" si="1"/>
        <v>43843</v>
      </c>
      <c r="L52" s="52">
        <f t="shared" si="2"/>
        <v>43849</v>
      </c>
      <c r="M52" s="55" t="str">
        <f t="shared" si="3"/>
        <v>13/01/20 @ 
19/01/20</v>
      </c>
    </row>
    <row r="53" spans="2:13" ht="24" x14ac:dyDescent="0.25">
      <c r="B53" s="51">
        <f t="shared" si="5"/>
        <v>51</v>
      </c>
      <c r="C53" s="52">
        <f t="shared" si="4"/>
        <v>43845</v>
      </c>
      <c r="D53" s="53">
        <f t="shared" si="0"/>
        <v>43845</v>
      </c>
      <c r="E53" s="54">
        <f t="shared" si="8"/>
        <v>8</v>
      </c>
      <c r="F53" s="54">
        <f t="shared" si="8"/>
        <v>3</v>
      </c>
      <c r="G53" s="8">
        <v>202001</v>
      </c>
      <c r="H53" s="8" t="s">
        <v>7002</v>
      </c>
      <c r="I53" s="8">
        <v>202001</v>
      </c>
      <c r="J53" s="8" t="s">
        <v>7002</v>
      </c>
      <c r="K53" s="52">
        <f t="shared" si="1"/>
        <v>43843</v>
      </c>
      <c r="L53" s="52">
        <f t="shared" si="2"/>
        <v>43849</v>
      </c>
      <c r="M53" s="55" t="str">
        <f t="shared" si="3"/>
        <v>13/01/20 @ 
19/01/20</v>
      </c>
    </row>
    <row r="54" spans="2:13" ht="24" x14ac:dyDescent="0.25">
      <c r="B54" s="51">
        <f t="shared" si="5"/>
        <v>52</v>
      </c>
      <c r="C54" s="52">
        <f t="shared" si="4"/>
        <v>43846</v>
      </c>
      <c r="D54" s="53">
        <f t="shared" si="0"/>
        <v>43846</v>
      </c>
      <c r="E54" s="54">
        <f t="shared" si="8"/>
        <v>8</v>
      </c>
      <c r="F54" s="54">
        <f t="shared" si="8"/>
        <v>3</v>
      </c>
      <c r="G54" s="8">
        <v>202001</v>
      </c>
      <c r="H54" s="8" t="s">
        <v>7002</v>
      </c>
      <c r="I54" s="8">
        <v>202001</v>
      </c>
      <c r="J54" s="8" t="s">
        <v>7002</v>
      </c>
      <c r="K54" s="52">
        <f t="shared" si="1"/>
        <v>43843</v>
      </c>
      <c r="L54" s="52">
        <f t="shared" si="2"/>
        <v>43849</v>
      </c>
      <c r="M54" s="55" t="str">
        <f t="shared" si="3"/>
        <v>13/01/20 @ 
19/01/20</v>
      </c>
    </row>
    <row r="55" spans="2:13" ht="24" x14ac:dyDescent="0.25">
      <c r="B55" s="51">
        <f t="shared" si="5"/>
        <v>53</v>
      </c>
      <c r="C55" s="52">
        <f t="shared" si="4"/>
        <v>43847</v>
      </c>
      <c r="D55" s="53">
        <f t="shared" si="0"/>
        <v>43847</v>
      </c>
      <c r="E55" s="54">
        <f t="shared" si="8"/>
        <v>8</v>
      </c>
      <c r="F55" s="54">
        <f t="shared" si="8"/>
        <v>3</v>
      </c>
      <c r="G55" s="8">
        <v>202001</v>
      </c>
      <c r="H55" s="8" t="s">
        <v>7002</v>
      </c>
      <c r="I55" s="8">
        <v>202001</v>
      </c>
      <c r="J55" s="8" t="s">
        <v>7002</v>
      </c>
      <c r="K55" s="52">
        <f t="shared" si="1"/>
        <v>43843</v>
      </c>
      <c r="L55" s="52">
        <f t="shared" si="2"/>
        <v>43849</v>
      </c>
      <c r="M55" s="55" t="str">
        <f t="shared" si="3"/>
        <v>13/01/20 @ 
19/01/20</v>
      </c>
    </row>
    <row r="56" spans="2:13" ht="24" x14ac:dyDescent="0.25">
      <c r="B56" s="51">
        <f t="shared" si="5"/>
        <v>54</v>
      </c>
      <c r="C56" s="52">
        <f t="shared" si="4"/>
        <v>43848</v>
      </c>
      <c r="D56" s="53">
        <f t="shared" si="0"/>
        <v>43848</v>
      </c>
      <c r="E56" s="54">
        <f t="shared" si="8"/>
        <v>8</v>
      </c>
      <c r="F56" s="54">
        <f t="shared" si="8"/>
        <v>3</v>
      </c>
      <c r="G56" s="8">
        <v>202001</v>
      </c>
      <c r="H56" s="8" t="s">
        <v>7002</v>
      </c>
      <c r="I56" s="8">
        <v>202001</v>
      </c>
      <c r="J56" s="8" t="s">
        <v>7002</v>
      </c>
      <c r="K56" s="52">
        <f t="shared" si="1"/>
        <v>43843</v>
      </c>
      <c r="L56" s="52">
        <f t="shared" si="2"/>
        <v>43849</v>
      </c>
      <c r="M56" s="55" t="str">
        <f t="shared" si="3"/>
        <v>13/01/20 @ 
19/01/20</v>
      </c>
    </row>
    <row r="57" spans="2:13" ht="24" x14ac:dyDescent="0.25">
      <c r="B57" s="51">
        <f t="shared" si="5"/>
        <v>55</v>
      </c>
      <c r="C57" s="52">
        <f t="shared" si="4"/>
        <v>43849</v>
      </c>
      <c r="D57" s="53">
        <f t="shared" si="0"/>
        <v>43849</v>
      </c>
      <c r="E57" s="54">
        <f t="shared" si="8"/>
        <v>8</v>
      </c>
      <c r="F57" s="54">
        <f t="shared" si="8"/>
        <v>3</v>
      </c>
      <c r="G57" s="8">
        <v>202001</v>
      </c>
      <c r="H57" s="8" t="s">
        <v>7002</v>
      </c>
      <c r="I57" s="8">
        <v>202001</v>
      </c>
      <c r="J57" s="8" t="s">
        <v>7002</v>
      </c>
      <c r="K57" s="52">
        <f t="shared" si="1"/>
        <v>43843</v>
      </c>
      <c r="L57" s="52">
        <f t="shared" si="2"/>
        <v>43849</v>
      </c>
      <c r="M57" s="55" t="str">
        <f t="shared" si="3"/>
        <v>13/01/20 @ 
19/01/20</v>
      </c>
    </row>
    <row r="58" spans="2:13" ht="24" x14ac:dyDescent="0.25">
      <c r="B58" s="51">
        <f t="shared" si="5"/>
        <v>56</v>
      </c>
      <c r="C58" s="52">
        <f t="shared" si="4"/>
        <v>43850</v>
      </c>
      <c r="D58" s="53">
        <f t="shared" si="0"/>
        <v>43850</v>
      </c>
      <c r="E58" s="54">
        <f t="shared" ref="E58:F73" si="9">+E51+1</f>
        <v>9</v>
      </c>
      <c r="F58" s="54">
        <f t="shared" si="9"/>
        <v>4</v>
      </c>
      <c r="G58" s="8">
        <v>202001</v>
      </c>
      <c r="H58" s="8" t="s">
        <v>7002</v>
      </c>
      <c r="I58" s="8">
        <v>202001</v>
      </c>
      <c r="J58" s="8" t="s">
        <v>7002</v>
      </c>
      <c r="K58" s="52">
        <f t="shared" si="1"/>
        <v>43850</v>
      </c>
      <c r="L58" s="52">
        <f t="shared" si="2"/>
        <v>43856</v>
      </c>
      <c r="M58" s="55" t="str">
        <f t="shared" si="3"/>
        <v>20/01/20 @ 
26/01/20</v>
      </c>
    </row>
    <row r="59" spans="2:13" ht="24" x14ac:dyDescent="0.25">
      <c r="B59" s="51">
        <f t="shared" si="5"/>
        <v>57</v>
      </c>
      <c r="C59" s="52">
        <f t="shared" si="4"/>
        <v>43851</v>
      </c>
      <c r="D59" s="53">
        <f t="shared" si="0"/>
        <v>43851</v>
      </c>
      <c r="E59" s="54">
        <f t="shared" si="9"/>
        <v>9</v>
      </c>
      <c r="F59" s="54">
        <f t="shared" si="9"/>
        <v>4</v>
      </c>
      <c r="G59" s="8">
        <v>202001</v>
      </c>
      <c r="H59" s="8" t="s">
        <v>7002</v>
      </c>
      <c r="I59" s="8">
        <v>202002</v>
      </c>
      <c r="J59" s="8" t="s">
        <v>7003</v>
      </c>
      <c r="K59" s="52">
        <f t="shared" si="1"/>
        <v>43850</v>
      </c>
      <c r="L59" s="52">
        <f t="shared" si="2"/>
        <v>43856</v>
      </c>
      <c r="M59" s="55" t="str">
        <f t="shared" si="3"/>
        <v>20/01/20 @ 
26/01/20</v>
      </c>
    </row>
    <row r="60" spans="2:13" ht="24" x14ac:dyDescent="0.25">
      <c r="B60" s="51">
        <f t="shared" si="5"/>
        <v>58</v>
      </c>
      <c r="C60" s="52">
        <f t="shared" si="4"/>
        <v>43852</v>
      </c>
      <c r="D60" s="53">
        <f t="shared" si="0"/>
        <v>43852</v>
      </c>
      <c r="E60" s="54">
        <f t="shared" si="9"/>
        <v>9</v>
      </c>
      <c r="F60" s="54">
        <f t="shared" si="9"/>
        <v>4</v>
      </c>
      <c r="G60" s="8">
        <v>202001</v>
      </c>
      <c r="H60" s="8" t="s">
        <v>7002</v>
      </c>
      <c r="I60" s="8">
        <v>202002</v>
      </c>
      <c r="J60" s="8" t="s">
        <v>7003</v>
      </c>
      <c r="K60" s="52">
        <f t="shared" si="1"/>
        <v>43850</v>
      </c>
      <c r="L60" s="52">
        <f t="shared" si="2"/>
        <v>43856</v>
      </c>
      <c r="M60" s="55" t="str">
        <f t="shared" si="3"/>
        <v>20/01/20 @ 
26/01/20</v>
      </c>
    </row>
    <row r="61" spans="2:13" ht="24" x14ac:dyDescent="0.25">
      <c r="B61" s="51">
        <f t="shared" si="5"/>
        <v>59</v>
      </c>
      <c r="C61" s="52">
        <f t="shared" si="4"/>
        <v>43853</v>
      </c>
      <c r="D61" s="53">
        <f t="shared" si="0"/>
        <v>43853</v>
      </c>
      <c r="E61" s="54">
        <f t="shared" si="9"/>
        <v>9</v>
      </c>
      <c r="F61" s="54">
        <f t="shared" si="9"/>
        <v>4</v>
      </c>
      <c r="G61" s="8">
        <v>202001</v>
      </c>
      <c r="H61" s="8" t="s">
        <v>7002</v>
      </c>
      <c r="I61" s="8">
        <v>202002</v>
      </c>
      <c r="J61" s="8" t="s">
        <v>7003</v>
      </c>
      <c r="K61" s="52">
        <f t="shared" si="1"/>
        <v>43850</v>
      </c>
      <c r="L61" s="52">
        <f t="shared" si="2"/>
        <v>43856</v>
      </c>
      <c r="M61" s="55" t="str">
        <f t="shared" si="3"/>
        <v>20/01/20 @ 
26/01/20</v>
      </c>
    </row>
    <row r="62" spans="2:13" ht="24" x14ac:dyDescent="0.25">
      <c r="B62" s="51">
        <f t="shared" si="5"/>
        <v>60</v>
      </c>
      <c r="C62" s="52">
        <f t="shared" si="4"/>
        <v>43854</v>
      </c>
      <c r="D62" s="53">
        <f t="shared" si="0"/>
        <v>43854</v>
      </c>
      <c r="E62" s="54">
        <f t="shared" si="9"/>
        <v>9</v>
      </c>
      <c r="F62" s="54">
        <f t="shared" si="9"/>
        <v>4</v>
      </c>
      <c r="G62" s="8">
        <v>202001</v>
      </c>
      <c r="H62" s="8" t="s">
        <v>7002</v>
      </c>
      <c r="I62" s="8">
        <v>202002</v>
      </c>
      <c r="J62" s="8" t="s">
        <v>7003</v>
      </c>
      <c r="K62" s="52">
        <f t="shared" si="1"/>
        <v>43850</v>
      </c>
      <c r="L62" s="52">
        <f t="shared" si="2"/>
        <v>43856</v>
      </c>
      <c r="M62" s="55" t="str">
        <f t="shared" si="3"/>
        <v>20/01/20 @ 
26/01/20</v>
      </c>
    </row>
    <row r="63" spans="2:13" ht="24" x14ac:dyDescent="0.25">
      <c r="B63" s="51">
        <f t="shared" si="5"/>
        <v>61</v>
      </c>
      <c r="C63" s="52">
        <f t="shared" si="4"/>
        <v>43855</v>
      </c>
      <c r="D63" s="53">
        <f t="shared" si="0"/>
        <v>43855</v>
      </c>
      <c r="E63" s="54">
        <f t="shared" si="9"/>
        <v>9</v>
      </c>
      <c r="F63" s="54">
        <f t="shared" si="9"/>
        <v>4</v>
      </c>
      <c r="G63" s="8">
        <v>202001</v>
      </c>
      <c r="H63" s="8" t="s">
        <v>7002</v>
      </c>
      <c r="I63" s="8">
        <v>202002</v>
      </c>
      <c r="J63" s="8" t="s">
        <v>7003</v>
      </c>
      <c r="K63" s="52">
        <f t="shared" si="1"/>
        <v>43850</v>
      </c>
      <c r="L63" s="52">
        <f t="shared" si="2"/>
        <v>43856</v>
      </c>
      <c r="M63" s="55" t="str">
        <f t="shared" si="3"/>
        <v>20/01/20 @ 
26/01/20</v>
      </c>
    </row>
    <row r="64" spans="2:13" ht="24" x14ac:dyDescent="0.25">
      <c r="B64" s="51">
        <f t="shared" si="5"/>
        <v>62</v>
      </c>
      <c r="C64" s="52">
        <f t="shared" si="4"/>
        <v>43856</v>
      </c>
      <c r="D64" s="53">
        <f t="shared" si="0"/>
        <v>43856</v>
      </c>
      <c r="E64" s="54">
        <f t="shared" si="9"/>
        <v>9</v>
      </c>
      <c r="F64" s="54">
        <f t="shared" si="9"/>
        <v>4</v>
      </c>
      <c r="G64" s="8">
        <v>202001</v>
      </c>
      <c r="H64" s="8" t="s">
        <v>7002</v>
      </c>
      <c r="I64" s="8">
        <v>202002</v>
      </c>
      <c r="J64" s="8" t="s">
        <v>7003</v>
      </c>
      <c r="K64" s="52">
        <f t="shared" si="1"/>
        <v>43850</v>
      </c>
      <c r="L64" s="52">
        <f t="shared" si="2"/>
        <v>43856</v>
      </c>
      <c r="M64" s="55" t="str">
        <f t="shared" si="3"/>
        <v>20/01/20 @ 
26/01/20</v>
      </c>
    </row>
    <row r="65" spans="2:13" ht="24" x14ac:dyDescent="0.25">
      <c r="B65" s="51">
        <f t="shared" si="5"/>
        <v>63</v>
      </c>
      <c r="C65" s="52">
        <f t="shared" si="4"/>
        <v>43857</v>
      </c>
      <c r="D65" s="53">
        <f t="shared" si="0"/>
        <v>43857</v>
      </c>
      <c r="E65" s="54">
        <f t="shared" si="9"/>
        <v>10</v>
      </c>
      <c r="F65" s="54">
        <f t="shared" si="9"/>
        <v>5</v>
      </c>
      <c r="G65" s="8">
        <v>202001</v>
      </c>
      <c r="H65" s="8" t="s">
        <v>7003</v>
      </c>
      <c r="I65" s="8">
        <v>202002</v>
      </c>
      <c r="J65" s="8" t="s">
        <v>7003</v>
      </c>
      <c r="K65" s="52">
        <f t="shared" si="1"/>
        <v>43857</v>
      </c>
      <c r="L65" s="52">
        <f t="shared" si="2"/>
        <v>43863</v>
      </c>
      <c r="M65" s="55" t="str">
        <f t="shared" si="3"/>
        <v>27/01/20 @ 
02/02/20</v>
      </c>
    </row>
    <row r="66" spans="2:13" ht="24" x14ac:dyDescent="0.25">
      <c r="B66" s="51">
        <f t="shared" si="5"/>
        <v>64</v>
      </c>
      <c r="C66" s="52">
        <f t="shared" si="4"/>
        <v>43858</v>
      </c>
      <c r="D66" s="53">
        <f t="shared" si="0"/>
        <v>43858</v>
      </c>
      <c r="E66" s="54">
        <f t="shared" si="9"/>
        <v>10</v>
      </c>
      <c r="F66" s="54">
        <f t="shared" si="9"/>
        <v>5</v>
      </c>
      <c r="G66" s="8">
        <v>202001</v>
      </c>
      <c r="H66" s="8" t="s">
        <v>7003</v>
      </c>
      <c r="I66" s="8">
        <v>202002</v>
      </c>
      <c r="J66" s="8" t="s">
        <v>7003</v>
      </c>
      <c r="K66" s="52">
        <f t="shared" si="1"/>
        <v>43857</v>
      </c>
      <c r="L66" s="52">
        <f t="shared" si="2"/>
        <v>43863</v>
      </c>
      <c r="M66" s="55" t="str">
        <f t="shared" si="3"/>
        <v>27/01/20 @ 
02/02/20</v>
      </c>
    </row>
    <row r="67" spans="2:13" ht="24" x14ac:dyDescent="0.25">
      <c r="B67" s="51">
        <f t="shared" si="5"/>
        <v>65</v>
      </c>
      <c r="C67" s="52">
        <f t="shared" si="4"/>
        <v>43859</v>
      </c>
      <c r="D67" s="53">
        <f t="shared" ref="D67:D130" si="10">+C67</f>
        <v>43859</v>
      </c>
      <c r="E67" s="54">
        <f t="shared" si="9"/>
        <v>10</v>
      </c>
      <c r="F67" s="54">
        <f t="shared" si="9"/>
        <v>5</v>
      </c>
      <c r="G67" s="8">
        <v>202001</v>
      </c>
      <c r="H67" s="8" t="s">
        <v>7003</v>
      </c>
      <c r="I67" s="8">
        <v>202002</v>
      </c>
      <c r="J67" s="8" t="s">
        <v>7003</v>
      </c>
      <c r="K67" s="52">
        <f t="shared" ref="K67:K130" si="11">_xlfn.MINIFS($C$2:$C$890,$E$2:$E$890,E67)</f>
        <v>43857</v>
      </c>
      <c r="L67" s="52">
        <f t="shared" ref="L67:L130" si="12">_xlfn.MAXIFS($C$2:$C$890,$E$2:$E$890,E67)</f>
        <v>43863</v>
      </c>
      <c r="M67" s="55" t="str">
        <f t="shared" ref="M67:M130" si="13">CONCATENATE(TEXT(K67,"DD/MM/YY")," @ ",CHAR(10),TEXT(L67,"DD/MM/YY"))</f>
        <v>27/01/20 @ 
02/02/20</v>
      </c>
    </row>
    <row r="68" spans="2:13" ht="24" x14ac:dyDescent="0.25">
      <c r="B68" s="51">
        <f t="shared" si="5"/>
        <v>66</v>
      </c>
      <c r="C68" s="52">
        <f t="shared" si="5"/>
        <v>43860</v>
      </c>
      <c r="D68" s="53">
        <f t="shared" si="10"/>
        <v>43860</v>
      </c>
      <c r="E68" s="54">
        <f t="shared" si="9"/>
        <v>10</v>
      </c>
      <c r="F68" s="54">
        <f t="shared" si="9"/>
        <v>5</v>
      </c>
      <c r="G68" s="8">
        <v>202001</v>
      </c>
      <c r="H68" s="8" t="s">
        <v>7003</v>
      </c>
      <c r="I68" s="8">
        <v>202002</v>
      </c>
      <c r="J68" s="8" t="s">
        <v>7003</v>
      </c>
      <c r="K68" s="52">
        <f t="shared" si="11"/>
        <v>43857</v>
      </c>
      <c r="L68" s="52">
        <f t="shared" si="12"/>
        <v>43863</v>
      </c>
      <c r="M68" s="55" t="str">
        <f t="shared" si="13"/>
        <v>27/01/20 @ 
02/02/20</v>
      </c>
    </row>
    <row r="69" spans="2:13" ht="24" x14ac:dyDescent="0.25">
      <c r="B69" s="51">
        <f t="shared" ref="B69:C84" si="14">+B68+1</f>
        <v>67</v>
      </c>
      <c r="C69" s="52">
        <f t="shared" si="14"/>
        <v>43861</v>
      </c>
      <c r="D69" s="53">
        <f t="shared" si="10"/>
        <v>43861</v>
      </c>
      <c r="E69" s="54">
        <f t="shared" si="9"/>
        <v>10</v>
      </c>
      <c r="F69" s="54">
        <f t="shared" si="9"/>
        <v>5</v>
      </c>
      <c r="G69" s="8">
        <v>202001</v>
      </c>
      <c r="H69" s="8" t="s">
        <v>7003</v>
      </c>
      <c r="I69" s="8">
        <v>202002</v>
      </c>
      <c r="J69" s="8" t="s">
        <v>7003</v>
      </c>
      <c r="K69" s="52">
        <f t="shared" si="11"/>
        <v>43857</v>
      </c>
      <c r="L69" s="52">
        <f t="shared" si="12"/>
        <v>43863</v>
      </c>
      <c r="M69" s="55" t="str">
        <f t="shared" si="13"/>
        <v>27/01/20 @ 
02/02/20</v>
      </c>
    </row>
    <row r="70" spans="2:13" ht="24" x14ac:dyDescent="0.25">
      <c r="B70" s="51">
        <f t="shared" si="14"/>
        <v>68</v>
      </c>
      <c r="C70" s="52">
        <f t="shared" si="14"/>
        <v>43862</v>
      </c>
      <c r="D70" s="53">
        <f t="shared" si="10"/>
        <v>43862</v>
      </c>
      <c r="E70" s="54">
        <f t="shared" si="9"/>
        <v>10</v>
      </c>
      <c r="F70" s="54">
        <f t="shared" si="9"/>
        <v>5</v>
      </c>
      <c r="G70" s="8">
        <v>202001</v>
      </c>
      <c r="H70" s="8" t="s">
        <v>7003</v>
      </c>
      <c r="I70" s="8">
        <v>202002</v>
      </c>
      <c r="J70" s="8" t="s">
        <v>7003</v>
      </c>
      <c r="K70" s="52">
        <f t="shared" si="11"/>
        <v>43857</v>
      </c>
      <c r="L70" s="52">
        <f t="shared" si="12"/>
        <v>43863</v>
      </c>
      <c r="M70" s="55" t="str">
        <f t="shared" si="13"/>
        <v>27/01/20 @ 
02/02/20</v>
      </c>
    </row>
    <row r="71" spans="2:13" ht="24" x14ac:dyDescent="0.25">
      <c r="B71" s="51">
        <f t="shared" si="14"/>
        <v>69</v>
      </c>
      <c r="C71" s="52">
        <f t="shared" si="14"/>
        <v>43863</v>
      </c>
      <c r="D71" s="53">
        <f t="shared" si="10"/>
        <v>43863</v>
      </c>
      <c r="E71" s="54">
        <f t="shared" si="9"/>
        <v>10</v>
      </c>
      <c r="F71" s="54">
        <f t="shared" si="9"/>
        <v>5</v>
      </c>
      <c r="G71" s="8">
        <v>202001</v>
      </c>
      <c r="H71" s="8" t="s">
        <v>7003</v>
      </c>
      <c r="I71" s="8">
        <v>202002</v>
      </c>
      <c r="J71" s="8" t="s">
        <v>7003</v>
      </c>
      <c r="K71" s="52">
        <f t="shared" si="11"/>
        <v>43857</v>
      </c>
      <c r="L71" s="52">
        <f t="shared" si="12"/>
        <v>43863</v>
      </c>
      <c r="M71" s="55" t="str">
        <f t="shared" si="13"/>
        <v>27/01/20 @ 
02/02/20</v>
      </c>
    </row>
    <row r="72" spans="2:13" ht="24" x14ac:dyDescent="0.25">
      <c r="B72" s="51">
        <f t="shared" si="14"/>
        <v>70</v>
      </c>
      <c r="C72" s="52">
        <f t="shared" si="14"/>
        <v>43864</v>
      </c>
      <c r="D72" s="53">
        <f t="shared" si="10"/>
        <v>43864</v>
      </c>
      <c r="E72" s="54">
        <f t="shared" si="9"/>
        <v>11</v>
      </c>
      <c r="F72" s="54">
        <f t="shared" si="9"/>
        <v>6</v>
      </c>
      <c r="G72" s="8">
        <v>202002</v>
      </c>
      <c r="H72" s="8" t="s">
        <v>7003</v>
      </c>
      <c r="I72" s="8">
        <v>202002</v>
      </c>
      <c r="J72" s="8" t="s">
        <v>7003</v>
      </c>
      <c r="K72" s="52">
        <f t="shared" si="11"/>
        <v>43864</v>
      </c>
      <c r="L72" s="52">
        <f t="shared" si="12"/>
        <v>43870</v>
      </c>
      <c r="M72" s="55" t="str">
        <f t="shared" si="13"/>
        <v>03/02/20 @ 
09/02/20</v>
      </c>
    </row>
    <row r="73" spans="2:13" ht="24" x14ac:dyDescent="0.25">
      <c r="B73" s="51">
        <f t="shared" si="14"/>
        <v>71</v>
      </c>
      <c r="C73" s="52">
        <f t="shared" si="14"/>
        <v>43865</v>
      </c>
      <c r="D73" s="53">
        <f t="shared" si="10"/>
        <v>43865</v>
      </c>
      <c r="E73" s="54">
        <f t="shared" si="9"/>
        <v>11</v>
      </c>
      <c r="F73" s="54">
        <f t="shared" si="9"/>
        <v>6</v>
      </c>
      <c r="G73" s="8">
        <v>202002</v>
      </c>
      <c r="H73" s="8" t="s">
        <v>7003</v>
      </c>
      <c r="I73" s="8">
        <v>202002</v>
      </c>
      <c r="J73" s="8" t="s">
        <v>7003</v>
      </c>
      <c r="K73" s="52">
        <f t="shared" si="11"/>
        <v>43864</v>
      </c>
      <c r="L73" s="52">
        <f t="shared" si="12"/>
        <v>43870</v>
      </c>
      <c r="M73" s="55" t="str">
        <f t="shared" si="13"/>
        <v>03/02/20 @ 
09/02/20</v>
      </c>
    </row>
    <row r="74" spans="2:13" ht="24" x14ac:dyDescent="0.25">
      <c r="B74" s="51">
        <f t="shared" si="14"/>
        <v>72</v>
      </c>
      <c r="C74" s="52">
        <f t="shared" si="14"/>
        <v>43866</v>
      </c>
      <c r="D74" s="53">
        <f t="shared" si="10"/>
        <v>43866</v>
      </c>
      <c r="E74" s="54">
        <f t="shared" ref="E74:F89" si="15">+E67+1</f>
        <v>11</v>
      </c>
      <c r="F74" s="54">
        <f t="shared" si="15"/>
        <v>6</v>
      </c>
      <c r="G74" s="8">
        <v>202002</v>
      </c>
      <c r="H74" s="8" t="s">
        <v>7003</v>
      </c>
      <c r="I74" s="8">
        <v>202002</v>
      </c>
      <c r="J74" s="8" t="s">
        <v>7003</v>
      </c>
      <c r="K74" s="52">
        <f t="shared" si="11"/>
        <v>43864</v>
      </c>
      <c r="L74" s="52">
        <f t="shared" si="12"/>
        <v>43870</v>
      </c>
      <c r="M74" s="55" t="str">
        <f t="shared" si="13"/>
        <v>03/02/20 @ 
09/02/20</v>
      </c>
    </row>
    <row r="75" spans="2:13" ht="24" x14ac:dyDescent="0.25">
      <c r="B75" s="51">
        <f t="shared" si="14"/>
        <v>73</v>
      </c>
      <c r="C75" s="52">
        <f t="shared" si="14"/>
        <v>43867</v>
      </c>
      <c r="D75" s="53">
        <f t="shared" si="10"/>
        <v>43867</v>
      </c>
      <c r="E75" s="54">
        <f t="shared" si="15"/>
        <v>11</v>
      </c>
      <c r="F75" s="54">
        <f t="shared" si="15"/>
        <v>6</v>
      </c>
      <c r="G75" s="8">
        <v>202002</v>
      </c>
      <c r="H75" s="8" t="s">
        <v>7003</v>
      </c>
      <c r="I75" s="8">
        <v>202002</v>
      </c>
      <c r="J75" s="8" t="s">
        <v>7003</v>
      </c>
      <c r="K75" s="52">
        <f t="shared" si="11"/>
        <v>43864</v>
      </c>
      <c r="L75" s="52">
        <f t="shared" si="12"/>
        <v>43870</v>
      </c>
      <c r="M75" s="55" t="str">
        <f t="shared" si="13"/>
        <v>03/02/20 @ 
09/02/20</v>
      </c>
    </row>
    <row r="76" spans="2:13" ht="24" x14ac:dyDescent="0.25">
      <c r="B76" s="51">
        <f t="shared" si="14"/>
        <v>74</v>
      </c>
      <c r="C76" s="52">
        <f t="shared" si="14"/>
        <v>43868</v>
      </c>
      <c r="D76" s="53">
        <f t="shared" si="10"/>
        <v>43868</v>
      </c>
      <c r="E76" s="54">
        <f t="shared" si="15"/>
        <v>11</v>
      </c>
      <c r="F76" s="54">
        <f t="shared" si="15"/>
        <v>6</v>
      </c>
      <c r="G76" s="8">
        <v>202002</v>
      </c>
      <c r="H76" s="8" t="s">
        <v>7003</v>
      </c>
      <c r="I76" s="8">
        <v>202002</v>
      </c>
      <c r="J76" s="8" t="s">
        <v>7003</v>
      </c>
      <c r="K76" s="52">
        <f t="shared" si="11"/>
        <v>43864</v>
      </c>
      <c r="L76" s="52">
        <f t="shared" si="12"/>
        <v>43870</v>
      </c>
      <c r="M76" s="55" t="str">
        <f t="shared" si="13"/>
        <v>03/02/20 @ 
09/02/20</v>
      </c>
    </row>
    <row r="77" spans="2:13" ht="24" x14ac:dyDescent="0.25">
      <c r="B77" s="51">
        <f t="shared" si="14"/>
        <v>75</v>
      </c>
      <c r="C77" s="52">
        <f t="shared" si="14"/>
        <v>43869</v>
      </c>
      <c r="D77" s="53">
        <f t="shared" si="10"/>
        <v>43869</v>
      </c>
      <c r="E77" s="54">
        <f t="shared" si="15"/>
        <v>11</v>
      </c>
      <c r="F77" s="54">
        <f t="shared" si="15"/>
        <v>6</v>
      </c>
      <c r="G77" s="8">
        <v>202002</v>
      </c>
      <c r="H77" s="8" t="s">
        <v>7003</v>
      </c>
      <c r="I77" s="8">
        <v>202002</v>
      </c>
      <c r="J77" s="8" t="s">
        <v>7003</v>
      </c>
      <c r="K77" s="52">
        <f t="shared" si="11"/>
        <v>43864</v>
      </c>
      <c r="L77" s="52">
        <f t="shared" si="12"/>
        <v>43870</v>
      </c>
      <c r="M77" s="55" t="str">
        <f t="shared" si="13"/>
        <v>03/02/20 @ 
09/02/20</v>
      </c>
    </row>
    <row r="78" spans="2:13" ht="24" x14ac:dyDescent="0.25">
      <c r="B78" s="51">
        <f t="shared" si="14"/>
        <v>76</v>
      </c>
      <c r="C78" s="52">
        <f t="shared" si="14"/>
        <v>43870</v>
      </c>
      <c r="D78" s="53">
        <f t="shared" si="10"/>
        <v>43870</v>
      </c>
      <c r="E78" s="54">
        <f t="shared" si="15"/>
        <v>11</v>
      </c>
      <c r="F78" s="54">
        <f t="shared" si="15"/>
        <v>6</v>
      </c>
      <c r="G78" s="8">
        <v>202002</v>
      </c>
      <c r="H78" s="8" t="s">
        <v>7003</v>
      </c>
      <c r="I78" s="8">
        <v>202002</v>
      </c>
      <c r="J78" s="8" t="s">
        <v>7003</v>
      </c>
      <c r="K78" s="52">
        <f t="shared" si="11"/>
        <v>43864</v>
      </c>
      <c r="L78" s="52">
        <f t="shared" si="12"/>
        <v>43870</v>
      </c>
      <c r="M78" s="55" t="str">
        <f t="shared" si="13"/>
        <v>03/02/20 @ 
09/02/20</v>
      </c>
    </row>
    <row r="79" spans="2:13" ht="24" x14ac:dyDescent="0.25">
      <c r="B79" s="51">
        <f t="shared" si="14"/>
        <v>77</v>
      </c>
      <c r="C79" s="52">
        <f t="shared" si="14"/>
        <v>43871</v>
      </c>
      <c r="D79" s="53">
        <f t="shared" si="10"/>
        <v>43871</v>
      </c>
      <c r="E79" s="54">
        <f t="shared" si="15"/>
        <v>12</v>
      </c>
      <c r="F79" s="54">
        <f t="shared" si="15"/>
        <v>7</v>
      </c>
      <c r="G79" s="8">
        <v>202002</v>
      </c>
      <c r="H79" s="8" t="s">
        <v>7003</v>
      </c>
      <c r="I79" s="8">
        <v>202002</v>
      </c>
      <c r="J79" s="8" t="s">
        <v>7003</v>
      </c>
      <c r="K79" s="52">
        <f t="shared" si="11"/>
        <v>43871</v>
      </c>
      <c r="L79" s="52">
        <f t="shared" si="12"/>
        <v>43877</v>
      </c>
      <c r="M79" s="55" t="str">
        <f t="shared" si="13"/>
        <v>10/02/20 @ 
16/02/20</v>
      </c>
    </row>
    <row r="80" spans="2:13" ht="24" x14ac:dyDescent="0.25">
      <c r="B80" s="51">
        <f t="shared" si="14"/>
        <v>78</v>
      </c>
      <c r="C80" s="52">
        <f t="shared" si="14"/>
        <v>43872</v>
      </c>
      <c r="D80" s="53">
        <f t="shared" si="10"/>
        <v>43872</v>
      </c>
      <c r="E80" s="54">
        <f t="shared" si="15"/>
        <v>12</v>
      </c>
      <c r="F80" s="54">
        <f t="shared" si="15"/>
        <v>7</v>
      </c>
      <c r="G80" s="8">
        <v>202002</v>
      </c>
      <c r="H80" s="8" t="s">
        <v>7003</v>
      </c>
      <c r="I80" s="8">
        <v>202002</v>
      </c>
      <c r="J80" s="8" t="s">
        <v>7003</v>
      </c>
      <c r="K80" s="52">
        <f t="shared" si="11"/>
        <v>43871</v>
      </c>
      <c r="L80" s="52">
        <f t="shared" si="12"/>
        <v>43877</v>
      </c>
      <c r="M80" s="55" t="str">
        <f t="shared" si="13"/>
        <v>10/02/20 @ 
16/02/20</v>
      </c>
    </row>
    <row r="81" spans="2:13" ht="24" x14ac:dyDescent="0.25">
      <c r="B81" s="51">
        <f t="shared" si="14"/>
        <v>79</v>
      </c>
      <c r="C81" s="52">
        <f t="shared" si="14"/>
        <v>43873</v>
      </c>
      <c r="D81" s="53">
        <f t="shared" si="10"/>
        <v>43873</v>
      </c>
      <c r="E81" s="54">
        <f t="shared" si="15"/>
        <v>12</v>
      </c>
      <c r="F81" s="54">
        <f t="shared" si="15"/>
        <v>7</v>
      </c>
      <c r="G81" s="8">
        <v>202002</v>
      </c>
      <c r="H81" s="8" t="s">
        <v>7003</v>
      </c>
      <c r="I81" s="8">
        <v>202002</v>
      </c>
      <c r="J81" s="8" t="s">
        <v>7003</v>
      </c>
      <c r="K81" s="52">
        <f t="shared" si="11"/>
        <v>43871</v>
      </c>
      <c r="L81" s="52">
        <f t="shared" si="12"/>
        <v>43877</v>
      </c>
      <c r="M81" s="55" t="str">
        <f t="shared" si="13"/>
        <v>10/02/20 @ 
16/02/20</v>
      </c>
    </row>
    <row r="82" spans="2:13" ht="24" x14ac:dyDescent="0.25">
      <c r="B82" s="51">
        <f t="shared" si="14"/>
        <v>80</v>
      </c>
      <c r="C82" s="52">
        <f t="shared" si="14"/>
        <v>43874</v>
      </c>
      <c r="D82" s="53">
        <f t="shared" si="10"/>
        <v>43874</v>
      </c>
      <c r="E82" s="54">
        <f t="shared" si="15"/>
        <v>12</v>
      </c>
      <c r="F82" s="54">
        <f t="shared" si="15"/>
        <v>7</v>
      </c>
      <c r="G82" s="8">
        <v>202002</v>
      </c>
      <c r="H82" s="8" t="s">
        <v>7003</v>
      </c>
      <c r="I82" s="8">
        <v>202002</v>
      </c>
      <c r="J82" s="8" t="s">
        <v>7003</v>
      </c>
      <c r="K82" s="52">
        <f t="shared" si="11"/>
        <v>43871</v>
      </c>
      <c r="L82" s="52">
        <f t="shared" si="12"/>
        <v>43877</v>
      </c>
      <c r="M82" s="55" t="str">
        <f t="shared" si="13"/>
        <v>10/02/20 @ 
16/02/20</v>
      </c>
    </row>
    <row r="83" spans="2:13" ht="24" x14ac:dyDescent="0.25">
      <c r="B83" s="51">
        <f t="shared" si="14"/>
        <v>81</v>
      </c>
      <c r="C83" s="52">
        <f t="shared" si="14"/>
        <v>43875</v>
      </c>
      <c r="D83" s="53">
        <f t="shared" si="10"/>
        <v>43875</v>
      </c>
      <c r="E83" s="54">
        <f t="shared" si="15"/>
        <v>12</v>
      </c>
      <c r="F83" s="54">
        <f t="shared" si="15"/>
        <v>7</v>
      </c>
      <c r="G83" s="8">
        <v>202002</v>
      </c>
      <c r="H83" s="8" t="s">
        <v>7003</v>
      </c>
      <c r="I83" s="8">
        <v>202002</v>
      </c>
      <c r="J83" s="8" t="s">
        <v>7003</v>
      </c>
      <c r="K83" s="52">
        <f t="shared" si="11"/>
        <v>43871</v>
      </c>
      <c r="L83" s="52">
        <f t="shared" si="12"/>
        <v>43877</v>
      </c>
      <c r="M83" s="55" t="str">
        <f t="shared" si="13"/>
        <v>10/02/20 @ 
16/02/20</v>
      </c>
    </row>
    <row r="84" spans="2:13" ht="24" x14ac:dyDescent="0.25">
      <c r="B84" s="51">
        <f t="shared" si="14"/>
        <v>82</v>
      </c>
      <c r="C84" s="52">
        <f t="shared" si="14"/>
        <v>43876</v>
      </c>
      <c r="D84" s="53">
        <f t="shared" si="10"/>
        <v>43876</v>
      </c>
      <c r="E84" s="54">
        <f t="shared" si="15"/>
        <v>12</v>
      </c>
      <c r="F84" s="54">
        <f t="shared" si="15"/>
        <v>7</v>
      </c>
      <c r="G84" s="8">
        <v>202002</v>
      </c>
      <c r="H84" s="8" t="s">
        <v>7003</v>
      </c>
      <c r="I84" s="8">
        <v>202002</v>
      </c>
      <c r="J84" s="8" t="s">
        <v>7003</v>
      </c>
      <c r="K84" s="52">
        <f t="shared" si="11"/>
        <v>43871</v>
      </c>
      <c r="L84" s="52">
        <f t="shared" si="12"/>
        <v>43877</v>
      </c>
      <c r="M84" s="55" t="str">
        <f t="shared" si="13"/>
        <v>10/02/20 @ 
16/02/20</v>
      </c>
    </row>
    <row r="85" spans="2:13" ht="24" x14ac:dyDescent="0.25">
      <c r="B85" s="51">
        <f t="shared" ref="B85:C100" si="16">+B84+1</f>
        <v>83</v>
      </c>
      <c r="C85" s="52">
        <f t="shared" si="16"/>
        <v>43877</v>
      </c>
      <c r="D85" s="53">
        <f t="shared" si="10"/>
        <v>43877</v>
      </c>
      <c r="E85" s="54">
        <f t="shared" si="15"/>
        <v>12</v>
      </c>
      <c r="F85" s="54">
        <f t="shared" si="15"/>
        <v>7</v>
      </c>
      <c r="G85" s="8">
        <v>202002</v>
      </c>
      <c r="H85" s="8" t="s">
        <v>7003</v>
      </c>
      <c r="I85" s="8">
        <v>202002</v>
      </c>
      <c r="J85" s="8" t="s">
        <v>7003</v>
      </c>
      <c r="K85" s="52">
        <f t="shared" si="11"/>
        <v>43871</v>
      </c>
      <c r="L85" s="52">
        <f t="shared" si="12"/>
        <v>43877</v>
      </c>
      <c r="M85" s="55" t="str">
        <f t="shared" si="13"/>
        <v>10/02/20 @ 
16/02/20</v>
      </c>
    </row>
    <row r="86" spans="2:13" ht="24" x14ac:dyDescent="0.25">
      <c r="B86" s="51">
        <f t="shared" si="16"/>
        <v>84</v>
      </c>
      <c r="C86" s="52">
        <f t="shared" si="16"/>
        <v>43878</v>
      </c>
      <c r="D86" s="53">
        <f t="shared" si="10"/>
        <v>43878</v>
      </c>
      <c r="E86" s="54">
        <f t="shared" si="15"/>
        <v>13</v>
      </c>
      <c r="F86" s="54">
        <f t="shared" si="15"/>
        <v>8</v>
      </c>
      <c r="G86" s="8">
        <v>202002</v>
      </c>
      <c r="H86" s="8" t="s">
        <v>7003</v>
      </c>
      <c r="I86" s="8">
        <v>202002</v>
      </c>
      <c r="J86" s="8" t="s">
        <v>7003</v>
      </c>
      <c r="K86" s="52">
        <f t="shared" si="11"/>
        <v>43878</v>
      </c>
      <c r="L86" s="52">
        <f t="shared" si="12"/>
        <v>43884</v>
      </c>
      <c r="M86" s="55" t="str">
        <f t="shared" si="13"/>
        <v>17/02/20 @ 
23/02/20</v>
      </c>
    </row>
    <row r="87" spans="2:13" ht="24" x14ac:dyDescent="0.25">
      <c r="B87" s="51">
        <f t="shared" si="16"/>
        <v>85</v>
      </c>
      <c r="C87" s="52">
        <f t="shared" si="16"/>
        <v>43879</v>
      </c>
      <c r="D87" s="53">
        <f t="shared" si="10"/>
        <v>43879</v>
      </c>
      <c r="E87" s="54">
        <f t="shared" si="15"/>
        <v>13</v>
      </c>
      <c r="F87" s="54">
        <f t="shared" si="15"/>
        <v>8</v>
      </c>
      <c r="G87" s="8">
        <v>202002</v>
      </c>
      <c r="H87" s="8" t="s">
        <v>7003</v>
      </c>
      <c r="I87" s="8">
        <v>202002</v>
      </c>
      <c r="J87" s="8" t="s">
        <v>7003</v>
      </c>
      <c r="K87" s="52">
        <f t="shared" si="11"/>
        <v>43878</v>
      </c>
      <c r="L87" s="52">
        <f t="shared" si="12"/>
        <v>43884</v>
      </c>
      <c r="M87" s="55" t="str">
        <f t="shared" si="13"/>
        <v>17/02/20 @ 
23/02/20</v>
      </c>
    </row>
    <row r="88" spans="2:13" ht="24" x14ac:dyDescent="0.25">
      <c r="B88" s="51">
        <f t="shared" si="16"/>
        <v>86</v>
      </c>
      <c r="C88" s="52">
        <f t="shared" si="16"/>
        <v>43880</v>
      </c>
      <c r="D88" s="53">
        <f t="shared" si="10"/>
        <v>43880</v>
      </c>
      <c r="E88" s="54">
        <f t="shared" si="15"/>
        <v>13</v>
      </c>
      <c r="F88" s="54">
        <f t="shared" si="15"/>
        <v>8</v>
      </c>
      <c r="G88" s="8">
        <v>202002</v>
      </c>
      <c r="H88" s="8" t="s">
        <v>7003</v>
      </c>
      <c r="I88" s="8">
        <v>202002</v>
      </c>
      <c r="J88" s="8" t="s">
        <v>7003</v>
      </c>
      <c r="K88" s="52">
        <f t="shared" si="11"/>
        <v>43878</v>
      </c>
      <c r="L88" s="52">
        <f t="shared" si="12"/>
        <v>43884</v>
      </c>
      <c r="M88" s="55" t="str">
        <f t="shared" si="13"/>
        <v>17/02/20 @ 
23/02/20</v>
      </c>
    </row>
    <row r="89" spans="2:13" ht="24" x14ac:dyDescent="0.25">
      <c r="B89" s="51">
        <f t="shared" si="16"/>
        <v>87</v>
      </c>
      <c r="C89" s="52">
        <f t="shared" si="16"/>
        <v>43881</v>
      </c>
      <c r="D89" s="53">
        <f t="shared" si="10"/>
        <v>43881</v>
      </c>
      <c r="E89" s="54">
        <f t="shared" si="15"/>
        <v>13</v>
      </c>
      <c r="F89" s="54">
        <f t="shared" si="15"/>
        <v>8</v>
      </c>
      <c r="G89" s="8">
        <v>202002</v>
      </c>
      <c r="H89" s="8" t="s">
        <v>7003</v>
      </c>
      <c r="I89" s="8">
        <v>202002</v>
      </c>
      <c r="J89" s="8" t="s">
        <v>7003</v>
      </c>
      <c r="K89" s="52">
        <f t="shared" si="11"/>
        <v>43878</v>
      </c>
      <c r="L89" s="52">
        <f t="shared" si="12"/>
        <v>43884</v>
      </c>
      <c r="M89" s="55" t="str">
        <f t="shared" si="13"/>
        <v>17/02/20 @ 
23/02/20</v>
      </c>
    </row>
    <row r="90" spans="2:13" ht="24" x14ac:dyDescent="0.25">
      <c r="B90" s="51">
        <f t="shared" si="16"/>
        <v>88</v>
      </c>
      <c r="C90" s="52">
        <f t="shared" si="16"/>
        <v>43882</v>
      </c>
      <c r="D90" s="53">
        <f t="shared" si="10"/>
        <v>43882</v>
      </c>
      <c r="E90" s="54">
        <f t="shared" ref="E90:F105" si="17">+E83+1</f>
        <v>13</v>
      </c>
      <c r="F90" s="54">
        <f t="shared" si="17"/>
        <v>8</v>
      </c>
      <c r="G90" s="8">
        <v>202002</v>
      </c>
      <c r="H90" s="8" t="s">
        <v>7003</v>
      </c>
      <c r="I90" s="8">
        <v>202003</v>
      </c>
      <c r="J90" s="8" t="s">
        <v>7004</v>
      </c>
      <c r="K90" s="52">
        <f t="shared" si="11"/>
        <v>43878</v>
      </c>
      <c r="L90" s="52">
        <f t="shared" si="12"/>
        <v>43884</v>
      </c>
      <c r="M90" s="55" t="str">
        <f t="shared" si="13"/>
        <v>17/02/20 @ 
23/02/20</v>
      </c>
    </row>
    <row r="91" spans="2:13" ht="24" x14ac:dyDescent="0.25">
      <c r="B91" s="51">
        <f t="shared" si="16"/>
        <v>89</v>
      </c>
      <c r="C91" s="52">
        <f t="shared" si="16"/>
        <v>43883</v>
      </c>
      <c r="D91" s="53">
        <f t="shared" si="10"/>
        <v>43883</v>
      </c>
      <c r="E91" s="54">
        <f t="shared" si="17"/>
        <v>13</v>
      </c>
      <c r="F91" s="54">
        <f t="shared" si="17"/>
        <v>8</v>
      </c>
      <c r="G91" s="8">
        <v>202002</v>
      </c>
      <c r="H91" s="8" t="s">
        <v>7003</v>
      </c>
      <c r="I91" s="8">
        <v>202003</v>
      </c>
      <c r="J91" s="8" t="s">
        <v>7004</v>
      </c>
      <c r="K91" s="52">
        <f t="shared" si="11"/>
        <v>43878</v>
      </c>
      <c r="L91" s="52">
        <f t="shared" si="12"/>
        <v>43884</v>
      </c>
      <c r="M91" s="55" t="str">
        <f t="shared" si="13"/>
        <v>17/02/20 @ 
23/02/20</v>
      </c>
    </row>
    <row r="92" spans="2:13" ht="24" x14ac:dyDescent="0.25">
      <c r="B92" s="51">
        <f t="shared" si="16"/>
        <v>90</v>
      </c>
      <c r="C92" s="52">
        <f t="shared" si="16"/>
        <v>43884</v>
      </c>
      <c r="D92" s="53">
        <f t="shared" si="10"/>
        <v>43884</v>
      </c>
      <c r="E92" s="54">
        <f t="shared" si="17"/>
        <v>13</v>
      </c>
      <c r="F92" s="54">
        <f t="shared" si="17"/>
        <v>8</v>
      </c>
      <c r="G92" s="8">
        <v>202002</v>
      </c>
      <c r="H92" s="8" t="s">
        <v>7003</v>
      </c>
      <c r="I92" s="8">
        <v>202003</v>
      </c>
      <c r="J92" s="8" t="s">
        <v>7004</v>
      </c>
      <c r="K92" s="52">
        <f t="shared" si="11"/>
        <v>43878</v>
      </c>
      <c r="L92" s="52">
        <f t="shared" si="12"/>
        <v>43884</v>
      </c>
      <c r="M92" s="55" t="str">
        <f t="shared" si="13"/>
        <v>17/02/20 @ 
23/02/20</v>
      </c>
    </row>
    <row r="93" spans="2:13" ht="24" x14ac:dyDescent="0.25">
      <c r="B93" s="51">
        <f t="shared" si="16"/>
        <v>91</v>
      </c>
      <c r="C93" s="52">
        <f t="shared" si="16"/>
        <v>43885</v>
      </c>
      <c r="D93" s="53">
        <f t="shared" si="10"/>
        <v>43885</v>
      </c>
      <c r="E93" s="54">
        <f t="shared" si="17"/>
        <v>14</v>
      </c>
      <c r="F93" s="54">
        <f t="shared" si="17"/>
        <v>9</v>
      </c>
      <c r="G93" s="8">
        <v>202002</v>
      </c>
      <c r="H93" s="8" t="s">
        <v>7004</v>
      </c>
      <c r="I93" s="8">
        <v>202003</v>
      </c>
      <c r="J93" s="8" t="s">
        <v>7004</v>
      </c>
      <c r="K93" s="52">
        <f t="shared" si="11"/>
        <v>43885</v>
      </c>
      <c r="L93" s="52">
        <f t="shared" si="12"/>
        <v>43891</v>
      </c>
      <c r="M93" s="55" t="str">
        <f t="shared" si="13"/>
        <v>24/02/20 @ 
01/03/20</v>
      </c>
    </row>
    <row r="94" spans="2:13" ht="24" x14ac:dyDescent="0.25">
      <c r="B94" s="51">
        <f t="shared" si="16"/>
        <v>92</v>
      </c>
      <c r="C94" s="52">
        <f t="shared" si="16"/>
        <v>43886</v>
      </c>
      <c r="D94" s="53">
        <f t="shared" si="10"/>
        <v>43886</v>
      </c>
      <c r="E94" s="54">
        <f t="shared" si="17"/>
        <v>14</v>
      </c>
      <c r="F94" s="54">
        <f t="shared" si="17"/>
        <v>9</v>
      </c>
      <c r="G94" s="8">
        <v>202002</v>
      </c>
      <c r="H94" s="8" t="s">
        <v>7004</v>
      </c>
      <c r="I94" s="8">
        <v>202003</v>
      </c>
      <c r="J94" s="8" t="s">
        <v>7004</v>
      </c>
      <c r="K94" s="52">
        <f t="shared" si="11"/>
        <v>43885</v>
      </c>
      <c r="L94" s="52">
        <f t="shared" si="12"/>
        <v>43891</v>
      </c>
      <c r="M94" s="55" t="str">
        <f t="shared" si="13"/>
        <v>24/02/20 @ 
01/03/20</v>
      </c>
    </row>
    <row r="95" spans="2:13" ht="24" x14ac:dyDescent="0.25">
      <c r="B95" s="51">
        <f t="shared" si="16"/>
        <v>93</v>
      </c>
      <c r="C95" s="52">
        <f t="shared" si="16"/>
        <v>43887</v>
      </c>
      <c r="D95" s="53">
        <f t="shared" si="10"/>
        <v>43887</v>
      </c>
      <c r="E95" s="54">
        <f t="shared" si="17"/>
        <v>14</v>
      </c>
      <c r="F95" s="54">
        <f t="shared" si="17"/>
        <v>9</v>
      </c>
      <c r="G95" s="8">
        <v>202002</v>
      </c>
      <c r="H95" s="8" t="s">
        <v>7004</v>
      </c>
      <c r="I95" s="8">
        <v>202003</v>
      </c>
      <c r="J95" s="8" t="s">
        <v>7004</v>
      </c>
      <c r="K95" s="52">
        <f t="shared" si="11"/>
        <v>43885</v>
      </c>
      <c r="L95" s="52">
        <f t="shared" si="12"/>
        <v>43891</v>
      </c>
      <c r="M95" s="55" t="str">
        <f t="shared" si="13"/>
        <v>24/02/20 @ 
01/03/20</v>
      </c>
    </row>
    <row r="96" spans="2:13" ht="24" x14ac:dyDescent="0.25">
      <c r="B96" s="51">
        <f t="shared" si="16"/>
        <v>94</v>
      </c>
      <c r="C96" s="52">
        <f t="shared" si="16"/>
        <v>43888</v>
      </c>
      <c r="D96" s="53">
        <f t="shared" si="10"/>
        <v>43888</v>
      </c>
      <c r="E96" s="54">
        <f t="shared" si="17"/>
        <v>14</v>
      </c>
      <c r="F96" s="54">
        <f t="shared" si="17"/>
        <v>9</v>
      </c>
      <c r="G96" s="8">
        <v>202002</v>
      </c>
      <c r="H96" s="8" t="s">
        <v>7004</v>
      </c>
      <c r="I96" s="8">
        <v>202003</v>
      </c>
      <c r="J96" s="8" t="s">
        <v>7004</v>
      </c>
      <c r="K96" s="52">
        <f t="shared" si="11"/>
        <v>43885</v>
      </c>
      <c r="L96" s="52">
        <f t="shared" si="12"/>
        <v>43891</v>
      </c>
      <c r="M96" s="55" t="str">
        <f t="shared" si="13"/>
        <v>24/02/20 @ 
01/03/20</v>
      </c>
    </row>
    <row r="97" spans="2:13" ht="24" x14ac:dyDescent="0.25">
      <c r="B97" s="51">
        <f t="shared" si="16"/>
        <v>95</v>
      </c>
      <c r="C97" s="52">
        <f t="shared" si="16"/>
        <v>43889</v>
      </c>
      <c r="D97" s="53">
        <f t="shared" si="10"/>
        <v>43889</v>
      </c>
      <c r="E97" s="54">
        <f t="shared" si="17"/>
        <v>14</v>
      </c>
      <c r="F97" s="54">
        <f t="shared" si="17"/>
        <v>9</v>
      </c>
      <c r="G97" s="8">
        <v>202002</v>
      </c>
      <c r="H97" s="8" t="s">
        <v>7004</v>
      </c>
      <c r="I97" s="8">
        <v>202003</v>
      </c>
      <c r="J97" s="8" t="s">
        <v>7004</v>
      </c>
      <c r="K97" s="52">
        <f t="shared" si="11"/>
        <v>43885</v>
      </c>
      <c r="L97" s="52">
        <f t="shared" si="12"/>
        <v>43891</v>
      </c>
      <c r="M97" s="55" t="str">
        <f t="shared" si="13"/>
        <v>24/02/20 @ 
01/03/20</v>
      </c>
    </row>
    <row r="98" spans="2:13" ht="24" x14ac:dyDescent="0.25">
      <c r="B98" s="51">
        <f t="shared" si="16"/>
        <v>96</v>
      </c>
      <c r="C98" s="52">
        <f t="shared" si="16"/>
        <v>43890</v>
      </c>
      <c r="D98" s="53">
        <f t="shared" si="10"/>
        <v>43890</v>
      </c>
      <c r="E98" s="54">
        <f t="shared" si="17"/>
        <v>14</v>
      </c>
      <c r="F98" s="54">
        <f t="shared" si="17"/>
        <v>9</v>
      </c>
      <c r="G98" s="8">
        <v>202002</v>
      </c>
      <c r="H98" s="8" t="s">
        <v>7004</v>
      </c>
      <c r="I98" s="8">
        <v>202003</v>
      </c>
      <c r="J98" s="8" t="s">
        <v>7004</v>
      </c>
      <c r="K98" s="52">
        <f t="shared" si="11"/>
        <v>43885</v>
      </c>
      <c r="L98" s="52">
        <f t="shared" si="12"/>
        <v>43891</v>
      </c>
      <c r="M98" s="55" t="str">
        <f t="shared" si="13"/>
        <v>24/02/20 @ 
01/03/20</v>
      </c>
    </row>
    <row r="99" spans="2:13" ht="24" x14ac:dyDescent="0.25">
      <c r="B99" s="51">
        <f t="shared" si="16"/>
        <v>97</v>
      </c>
      <c r="C99" s="52">
        <f t="shared" si="16"/>
        <v>43891</v>
      </c>
      <c r="D99" s="53">
        <f t="shared" si="10"/>
        <v>43891</v>
      </c>
      <c r="E99" s="54">
        <f t="shared" si="17"/>
        <v>14</v>
      </c>
      <c r="F99" s="54">
        <f t="shared" si="17"/>
        <v>9</v>
      </c>
      <c r="G99" s="8">
        <v>202002</v>
      </c>
      <c r="H99" s="8" t="s">
        <v>7004</v>
      </c>
      <c r="I99" s="8">
        <v>202003</v>
      </c>
      <c r="J99" s="8" t="s">
        <v>7004</v>
      </c>
      <c r="K99" s="52">
        <f t="shared" si="11"/>
        <v>43885</v>
      </c>
      <c r="L99" s="52">
        <f t="shared" si="12"/>
        <v>43891</v>
      </c>
      <c r="M99" s="55" t="str">
        <f t="shared" si="13"/>
        <v>24/02/20 @ 
01/03/20</v>
      </c>
    </row>
    <row r="100" spans="2:13" ht="24" x14ac:dyDescent="0.25">
      <c r="B100" s="51">
        <f t="shared" si="16"/>
        <v>98</v>
      </c>
      <c r="C100" s="52">
        <f t="shared" si="16"/>
        <v>43892</v>
      </c>
      <c r="D100" s="53">
        <f t="shared" si="10"/>
        <v>43892</v>
      </c>
      <c r="E100" s="54">
        <f t="shared" si="17"/>
        <v>15</v>
      </c>
      <c r="F100" s="54">
        <f t="shared" si="17"/>
        <v>10</v>
      </c>
      <c r="G100" s="8">
        <v>202003</v>
      </c>
      <c r="H100" s="8" t="s">
        <v>7004</v>
      </c>
      <c r="I100" s="8">
        <v>202003</v>
      </c>
      <c r="J100" s="8" t="s">
        <v>7004</v>
      </c>
      <c r="K100" s="52">
        <f t="shared" si="11"/>
        <v>43892</v>
      </c>
      <c r="L100" s="52">
        <f t="shared" si="12"/>
        <v>43898</v>
      </c>
      <c r="M100" s="55" t="str">
        <f t="shared" si="13"/>
        <v>02/03/20 @ 
08/03/20</v>
      </c>
    </row>
    <row r="101" spans="2:13" ht="24" x14ac:dyDescent="0.25">
      <c r="B101" s="51">
        <f t="shared" ref="B101:C116" si="18">+B100+1</f>
        <v>99</v>
      </c>
      <c r="C101" s="52">
        <f t="shared" si="18"/>
        <v>43893</v>
      </c>
      <c r="D101" s="53">
        <f t="shared" si="10"/>
        <v>43893</v>
      </c>
      <c r="E101" s="54">
        <f t="shared" si="17"/>
        <v>15</v>
      </c>
      <c r="F101" s="54">
        <f t="shared" si="17"/>
        <v>10</v>
      </c>
      <c r="G101" s="8">
        <v>202003</v>
      </c>
      <c r="H101" s="8" t="s">
        <v>7004</v>
      </c>
      <c r="I101" s="8">
        <v>202003</v>
      </c>
      <c r="J101" s="8" t="s">
        <v>7004</v>
      </c>
      <c r="K101" s="52">
        <f t="shared" si="11"/>
        <v>43892</v>
      </c>
      <c r="L101" s="52">
        <f t="shared" si="12"/>
        <v>43898</v>
      </c>
      <c r="M101" s="55" t="str">
        <f t="shared" si="13"/>
        <v>02/03/20 @ 
08/03/20</v>
      </c>
    </row>
    <row r="102" spans="2:13" ht="24" x14ac:dyDescent="0.25">
      <c r="B102" s="51">
        <f t="shared" si="18"/>
        <v>100</v>
      </c>
      <c r="C102" s="52">
        <f t="shared" si="18"/>
        <v>43894</v>
      </c>
      <c r="D102" s="53">
        <f t="shared" si="10"/>
        <v>43894</v>
      </c>
      <c r="E102" s="54">
        <f t="shared" si="17"/>
        <v>15</v>
      </c>
      <c r="F102" s="54">
        <f t="shared" si="17"/>
        <v>10</v>
      </c>
      <c r="G102" s="8">
        <v>202003</v>
      </c>
      <c r="H102" s="8" t="s">
        <v>7004</v>
      </c>
      <c r="I102" s="8">
        <v>202003</v>
      </c>
      <c r="J102" s="8" t="s">
        <v>7004</v>
      </c>
      <c r="K102" s="52">
        <f t="shared" si="11"/>
        <v>43892</v>
      </c>
      <c r="L102" s="52">
        <f t="shared" si="12"/>
        <v>43898</v>
      </c>
      <c r="M102" s="55" t="str">
        <f t="shared" si="13"/>
        <v>02/03/20 @ 
08/03/20</v>
      </c>
    </row>
    <row r="103" spans="2:13" ht="24" x14ac:dyDescent="0.25">
      <c r="B103" s="51">
        <f t="shared" si="18"/>
        <v>101</v>
      </c>
      <c r="C103" s="52">
        <f t="shared" si="18"/>
        <v>43895</v>
      </c>
      <c r="D103" s="53">
        <f t="shared" si="10"/>
        <v>43895</v>
      </c>
      <c r="E103" s="54">
        <f t="shared" si="17"/>
        <v>15</v>
      </c>
      <c r="F103" s="54">
        <f t="shared" si="17"/>
        <v>10</v>
      </c>
      <c r="G103" s="8">
        <v>202003</v>
      </c>
      <c r="H103" s="8" t="s">
        <v>7004</v>
      </c>
      <c r="I103" s="8">
        <v>202003</v>
      </c>
      <c r="J103" s="8" t="s">
        <v>7004</v>
      </c>
      <c r="K103" s="52">
        <f t="shared" si="11"/>
        <v>43892</v>
      </c>
      <c r="L103" s="52">
        <f t="shared" si="12"/>
        <v>43898</v>
      </c>
      <c r="M103" s="55" t="str">
        <f t="shared" si="13"/>
        <v>02/03/20 @ 
08/03/20</v>
      </c>
    </row>
    <row r="104" spans="2:13" ht="24" x14ac:dyDescent="0.25">
      <c r="B104" s="51">
        <f t="shared" si="18"/>
        <v>102</v>
      </c>
      <c r="C104" s="52">
        <f t="shared" si="18"/>
        <v>43896</v>
      </c>
      <c r="D104" s="53">
        <f t="shared" si="10"/>
        <v>43896</v>
      </c>
      <c r="E104" s="54">
        <f t="shared" si="17"/>
        <v>15</v>
      </c>
      <c r="F104" s="54">
        <f t="shared" si="17"/>
        <v>10</v>
      </c>
      <c r="G104" s="8">
        <v>202003</v>
      </c>
      <c r="H104" s="8" t="s">
        <v>7004</v>
      </c>
      <c r="I104" s="8">
        <v>202003</v>
      </c>
      <c r="J104" s="8" t="s">
        <v>7004</v>
      </c>
      <c r="K104" s="52">
        <f t="shared" si="11"/>
        <v>43892</v>
      </c>
      <c r="L104" s="52">
        <f t="shared" si="12"/>
        <v>43898</v>
      </c>
      <c r="M104" s="55" t="str">
        <f t="shared" si="13"/>
        <v>02/03/20 @ 
08/03/20</v>
      </c>
    </row>
    <row r="105" spans="2:13" ht="24" x14ac:dyDescent="0.25">
      <c r="B105" s="51">
        <f t="shared" si="18"/>
        <v>103</v>
      </c>
      <c r="C105" s="52">
        <f t="shared" si="18"/>
        <v>43897</v>
      </c>
      <c r="D105" s="53">
        <f t="shared" si="10"/>
        <v>43897</v>
      </c>
      <c r="E105" s="54">
        <f t="shared" si="17"/>
        <v>15</v>
      </c>
      <c r="F105" s="54">
        <f t="shared" si="17"/>
        <v>10</v>
      </c>
      <c r="G105" s="8">
        <v>202003</v>
      </c>
      <c r="H105" s="8" t="s">
        <v>7004</v>
      </c>
      <c r="I105" s="8">
        <v>202003</v>
      </c>
      <c r="J105" s="8" t="s">
        <v>7004</v>
      </c>
      <c r="K105" s="52">
        <f t="shared" si="11"/>
        <v>43892</v>
      </c>
      <c r="L105" s="52">
        <f t="shared" si="12"/>
        <v>43898</v>
      </c>
      <c r="M105" s="55" t="str">
        <f t="shared" si="13"/>
        <v>02/03/20 @ 
08/03/20</v>
      </c>
    </row>
    <row r="106" spans="2:13" ht="24" x14ac:dyDescent="0.25">
      <c r="B106" s="51">
        <f t="shared" si="18"/>
        <v>104</v>
      </c>
      <c r="C106" s="52">
        <f t="shared" si="18"/>
        <v>43898</v>
      </c>
      <c r="D106" s="53">
        <f t="shared" si="10"/>
        <v>43898</v>
      </c>
      <c r="E106" s="54">
        <f t="shared" ref="E106:F121" si="19">+E99+1</f>
        <v>15</v>
      </c>
      <c r="F106" s="54">
        <f t="shared" si="19"/>
        <v>10</v>
      </c>
      <c r="G106" s="8">
        <v>202003</v>
      </c>
      <c r="H106" s="8" t="s">
        <v>7004</v>
      </c>
      <c r="I106" s="8">
        <v>202003</v>
      </c>
      <c r="J106" s="8" t="s">
        <v>7004</v>
      </c>
      <c r="K106" s="52">
        <f t="shared" si="11"/>
        <v>43892</v>
      </c>
      <c r="L106" s="52">
        <f t="shared" si="12"/>
        <v>43898</v>
      </c>
      <c r="M106" s="55" t="str">
        <f t="shared" si="13"/>
        <v>02/03/20 @ 
08/03/20</v>
      </c>
    </row>
    <row r="107" spans="2:13" ht="24" x14ac:dyDescent="0.25">
      <c r="B107" s="51">
        <f t="shared" si="18"/>
        <v>105</v>
      </c>
      <c r="C107" s="52">
        <f t="shared" si="18"/>
        <v>43899</v>
      </c>
      <c r="D107" s="53">
        <f t="shared" si="10"/>
        <v>43899</v>
      </c>
      <c r="E107" s="54">
        <f t="shared" si="19"/>
        <v>16</v>
      </c>
      <c r="F107" s="54">
        <f t="shared" si="19"/>
        <v>11</v>
      </c>
      <c r="G107" s="8">
        <v>202003</v>
      </c>
      <c r="H107" s="8" t="s">
        <v>7004</v>
      </c>
      <c r="I107" s="8">
        <v>202003</v>
      </c>
      <c r="J107" s="8" t="s">
        <v>7004</v>
      </c>
      <c r="K107" s="52">
        <f t="shared" si="11"/>
        <v>43899</v>
      </c>
      <c r="L107" s="52">
        <f t="shared" si="12"/>
        <v>43905</v>
      </c>
      <c r="M107" s="55" t="str">
        <f t="shared" si="13"/>
        <v>09/03/20 @ 
15/03/20</v>
      </c>
    </row>
    <row r="108" spans="2:13" ht="24" x14ac:dyDescent="0.25">
      <c r="B108" s="51">
        <f t="shared" si="18"/>
        <v>106</v>
      </c>
      <c r="C108" s="52">
        <f t="shared" si="18"/>
        <v>43900</v>
      </c>
      <c r="D108" s="53">
        <f t="shared" si="10"/>
        <v>43900</v>
      </c>
      <c r="E108" s="54">
        <f t="shared" si="19"/>
        <v>16</v>
      </c>
      <c r="F108" s="54">
        <f t="shared" si="19"/>
        <v>11</v>
      </c>
      <c r="G108" s="8">
        <v>202003</v>
      </c>
      <c r="H108" s="8" t="s">
        <v>7004</v>
      </c>
      <c r="I108" s="8">
        <v>202003</v>
      </c>
      <c r="J108" s="8" t="s">
        <v>7004</v>
      </c>
      <c r="K108" s="52">
        <f t="shared" si="11"/>
        <v>43899</v>
      </c>
      <c r="L108" s="52">
        <f t="shared" si="12"/>
        <v>43905</v>
      </c>
      <c r="M108" s="55" t="str">
        <f t="shared" si="13"/>
        <v>09/03/20 @ 
15/03/20</v>
      </c>
    </row>
    <row r="109" spans="2:13" ht="24" x14ac:dyDescent="0.25">
      <c r="B109" s="51">
        <f t="shared" si="18"/>
        <v>107</v>
      </c>
      <c r="C109" s="52">
        <f t="shared" si="18"/>
        <v>43901</v>
      </c>
      <c r="D109" s="53">
        <f t="shared" si="10"/>
        <v>43901</v>
      </c>
      <c r="E109" s="54">
        <f t="shared" si="19"/>
        <v>16</v>
      </c>
      <c r="F109" s="54">
        <f t="shared" si="19"/>
        <v>11</v>
      </c>
      <c r="G109" s="8">
        <v>202003</v>
      </c>
      <c r="H109" s="8" t="s">
        <v>7004</v>
      </c>
      <c r="I109" s="8">
        <v>202003</v>
      </c>
      <c r="J109" s="8" t="s">
        <v>7004</v>
      </c>
      <c r="K109" s="52">
        <f t="shared" si="11"/>
        <v>43899</v>
      </c>
      <c r="L109" s="52">
        <f t="shared" si="12"/>
        <v>43905</v>
      </c>
      <c r="M109" s="55" t="str">
        <f t="shared" si="13"/>
        <v>09/03/20 @ 
15/03/20</v>
      </c>
    </row>
    <row r="110" spans="2:13" ht="24" x14ac:dyDescent="0.25">
      <c r="B110" s="51">
        <f t="shared" si="18"/>
        <v>108</v>
      </c>
      <c r="C110" s="52">
        <f t="shared" si="18"/>
        <v>43902</v>
      </c>
      <c r="D110" s="53">
        <f t="shared" si="10"/>
        <v>43902</v>
      </c>
      <c r="E110" s="54">
        <f t="shared" si="19"/>
        <v>16</v>
      </c>
      <c r="F110" s="54">
        <f t="shared" si="19"/>
        <v>11</v>
      </c>
      <c r="G110" s="8">
        <v>202003</v>
      </c>
      <c r="H110" s="8" t="s">
        <v>7004</v>
      </c>
      <c r="I110" s="8">
        <v>202003</v>
      </c>
      <c r="J110" s="8" t="s">
        <v>7004</v>
      </c>
      <c r="K110" s="52">
        <f t="shared" si="11"/>
        <v>43899</v>
      </c>
      <c r="L110" s="52">
        <f t="shared" si="12"/>
        <v>43905</v>
      </c>
      <c r="M110" s="55" t="str">
        <f t="shared" si="13"/>
        <v>09/03/20 @ 
15/03/20</v>
      </c>
    </row>
    <row r="111" spans="2:13" ht="24" x14ac:dyDescent="0.25">
      <c r="B111" s="51">
        <f t="shared" si="18"/>
        <v>109</v>
      </c>
      <c r="C111" s="52">
        <f t="shared" si="18"/>
        <v>43903</v>
      </c>
      <c r="D111" s="53">
        <f t="shared" si="10"/>
        <v>43903</v>
      </c>
      <c r="E111" s="54">
        <f t="shared" si="19"/>
        <v>16</v>
      </c>
      <c r="F111" s="54">
        <f t="shared" si="19"/>
        <v>11</v>
      </c>
      <c r="G111" s="8">
        <v>202003</v>
      </c>
      <c r="H111" s="8" t="s">
        <v>7004</v>
      </c>
      <c r="I111" s="8">
        <v>202003</v>
      </c>
      <c r="J111" s="8" t="s">
        <v>7004</v>
      </c>
      <c r="K111" s="52">
        <f t="shared" si="11"/>
        <v>43899</v>
      </c>
      <c r="L111" s="52">
        <f t="shared" si="12"/>
        <v>43905</v>
      </c>
      <c r="M111" s="55" t="str">
        <f t="shared" si="13"/>
        <v>09/03/20 @ 
15/03/20</v>
      </c>
    </row>
    <row r="112" spans="2:13" ht="24" x14ac:dyDescent="0.25">
      <c r="B112" s="51">
        <f t="shared" si="18"/>
        <v>110</v>
      </c>
      <c r="C112" s="52">
        <f t="shared" si="18"/>
        <v>43904</v>
      </c>
      <c r="D112" s="53">
        <f t="shared" si="10"/>
        <v>43904</v>
      </c>
      <c r="E112" s="54">
        <f t="shared" si="19"/>
        <v>16</v>
      </c>
      <c r="F112" s="54">
        <f t="shared" si="19"/>
        <v>11</v>
      </c>
      <c r="G112" s="8">
        <v>202003</v>
      </c>
      <c r="H112" s="8" t="s">
        <v>7004</v>
      </c>
      <c r="I112" s="8">
        <v>202003</v>
      </c>
      <c r="J112" s="8" t="s">
        <v>7004</v>
      </c>
      <c r="K112" s="52">
        <f t="shared" si="11"/>
        <v>43899</v>
      </c>
      <c r="L112" s="52">
        <f t="shared" si="12"/>
        <v>43905</v>
      </c>
      <c r="M112" s="55" t="str">
        <f t="shared" si="13"/>
        <v>09/03/20 @ 
15/03/20</v>
      </c>
    </row>
    <row r="113" spans="2:13" ht="24" x14ac:dyDescent="0.25">
      <c r="B113" s="51">
        <f t="shared" si="18"/>
        <v>111</v>
      </c>
      <c r="C113" s="52">
        <f t="shared" si="18"/>
        <v>43905</v>
      </c>
      <c r="D113" s="53">
        <f t="shared" si="10"/>
        <v>43905</v>
      </c>
      <c r="E113" s="54">
        <f t="shared" si="19"/>
        <v>16</v>
      </c>
      <c r="F113" s="54">
        <f t="shared" si="19"/>
        <v>11</v>
      </c>
      <c r="G113" s="8">
        <v>202003</v>
      </c>
      <c r="H113" s="8" t="s">
        <v>7004</v>
      </c>
      <c r="I113" s="8">
        <v>202003</v>
      </c>
      <c r="J113" s="8" t="s">
        <v>7004</v>
      </c>
      <c r="K113" s="52">
        <f t="shared" si="11"/>
        <v>43899</v>
      </c>
      <c r="L113" s="52">
        <f t="shared" si="12"/>
        <v>43905</v>
      </c>
      <c r="M113" s="55" t="str">
        <f t="shared" si="13"/>
        <v>09/03/20 @ 
15/03/20</v>
      </c>
    </row>
    <row r="114" spans="2:13" ht="24" x14ac:dyDescent="0.25">
      <c r="B114" s="51">
        <f t="shared" si="18"/>
        <v>112</v>
      </c>
      <c r="C114" s="52">
        <f t="shared" si="18"/>
        <v>43906</v>
      </c>
      <c r="D114" s="53">
        <f t="shared" si="10"/>
        <v>43906</v>
      </c>
      <c r="E114" s="54">
        <f t="shared" si="19"/>
        <v>17</v>
      </c>
      <c r="F114" s="54">
        <f t="shared" si="19"/>
        <v>12</v>
      </c>
      <c r="G114" s="8">
        <v>202003</v>
      </c>
      <c r="H114" s="8" t="s">
        <v>7004</v>
      </c>
      <c r="I114" s="8">
        <v>202003</v>
      </c>
      <c r="J114" s="8" t="s">
        <v>7004</v>
      </c>
      <c r="K114" s="52">
        <f t="shared" si="11"/>
        <v>43906</v>
      </c>
      <c r="L114" s="52">
        <f t="shared" si="12"/>
        <v>43912</v>
      </c>
      <c r="M114" s="55" t="str">
        <f t="shared" si="13"/>
        <v>16/03/20 @ 
22/03/20</v>
      </c>
    </row>
    <row r="115" spans="2:13" ht="24" x14ac:dyDescent="0.25">
      <c r="B115" s="51">
        <f t="shared" si="18"/>
        <v>113</v>
      </c>
      <c r="C115" s="52">
        <f t="shared" si="18"/>
        <v>43907</v>
      </c>
      <c r="D115" s="53">
        <f t="shared" si="10"/>
        <v>43907</v>
      </c>
      <c r="E115" s="54">
        <f t="shared" si="19"/>
        <v>17</v>
      </c>
      <c r="F115" s="54">
        <f t="shared" si="19"/>
        <v>12</v>
      </c>
      <c r="G115" s="8">
        <v>202003</v>
      </c>
      <c r="H115" s="8" t="s">
        <v>7004</v>
      </c>
      <c r="I115" s="8">
        <v>202003</v>
      </c>
      <c r="J115" s="8" t="s">
        <v>7004</v>
      </c>
      <c r="K115" s="52">
        <f t="shared" si="11"/>
        <v>43906</v>
      </c>
      <c r="L115" s="52">
        <f t="shared" si="12"/>
        <v>43912</v>
      </c>
      <c r="M115" s="55" t="str">
        <f t="shared" si="13"/>
        <v>16/03/20 @ 
22/03/20</v>
      </c>
    </row>
    <row r="116" spans="2:13" ht="24" x14ac:dyDescent="0.25">
      <c r="B116" s="51">
        <f t="shared" si="18"/>
        <v>114</v>
      </c>
      <c r="C116" s="52">
        <f t="shared" si="18"/>
        <v>43908</v>
      </c>
      <c r="D116" s="53">
        <f t="shared" si="10"/>
        <v>43908</v>
      </c>
      <c r="E116" s="54">
        <f t="shared" si="19"/>
        <v>17</v>
      </c>
      <c r="F116" s="54">
        <f t="shared" si="19"/>
        <v>12</v>
      </c>
      <c r="G116" s="8">
        <v>202003</v>
      </c>
      <c r="H116" s="8" t="s">
        <v>7004</v>
      </c>
      <c r="I116" s="8">
        <v>202003</v>
      </c>
      <c r="J116" s="8" t="s">
        <v>7004</v>
      </c>
      <c r="K116" s="52">
        <f t="shared" si="11"/>
        <v>43906</v>
      </c>
      <c r="L116" s="52">
        <f t="shared" si="12"/>
        <v>43912</v>
      </c>
      <c r="M116" s="55" t="str">
        <f t="shared" si="13"/>
        <v>16/03/20 @ 
22/03/20</v>
      </c>
    </row>
    <row r="117" spans="2:13" ht="24" x14ac:dyDescent="0.25">
      <c r="B117" s="51">
        <f t="shared" ref="B117:C132" si="20">+B116+1</f>
        <v>115</v>
      </c>
      <c r="C117" s="52">
        <f t="shared" si="20"/>
        <v>43909</v>
      </c>
      <c r="D117" s="53">
        <f t="shared" si="10"/>
        <v>43909</v>
      </c>
      <c r="E117" s="54">
        <f t="shared" si="19"/>
        <v>17</v>
      </c>
      <c r="F117" s="54">
        <f t="shared" si="19"/>
        <v>12</v>
      </c>
      <c r="G117" s="8">
        <v>202003</v>
      </c>
      <c r="H117" s="8" t="s">
        <v>7004</v>
      </c>
      <c r="I117" s="8">
        <v>202003</v>
      </c>
      <c r="J117" s="8" t="s">
        <v>7004</v>
      </c>
      <c r="K117" s="52">
        <f t="shared" si="11"/>
        <v>43906</v>
      </c>
      <c r="L117" s="52">
        <f t="shared" si="12"/>
        <v>43912</v>
      </c>
      <c r="M117" s="55" t="str">
        <f t="shared" si="13"/>
        <v>16/03/20 @ 
22/03/20</v>
      </c>
    </row>
    <row r="118" spans="2:13" ht="24" x14ac:dyDescent="0.25">
      <c r="B118" s="51">
        <f t="shared" si="20"/>
        <v>116</v>
      </c>
      <c r="C118" s="52">
        <f t="shared" si="20"/>
        <v>43910</v>
      </c>
      <c r="D118" s="53">
        <f t="shared" si="10"/>
        <v>43910</v>
      </c>
      <c r="E118" s="54">
        <f t="shared" si="19"/>
        <v>17</v>
      </c>
      <c r="F118" s="54">
        <f t="shared" si="19"/>
        <v>12</v>
      </c>
      <c r="G118" s="8">
        <v>202003</v>
      </c>
      <c r="H118" s="8" t="s">
        <v>7004</v>
      </c>
      <c r="I118" s="8">
        <v>202003</v>
      </c>
      <c r="J118" s="8" t="s">
        <v>7004</v>
      </c>
      <c r="K118" s="52">
        <f t="shared" si="11"/>
        <v>43906</v>
      </c>
      <c r="L118" s="52">
        <f t="shared" si="12"/>
        <v>43912</v>
      </c>
      <c r="M118" s="55" t="str">
        <f t="shared" si="13"/>
        <v>16/03/20 @ 
22/03/20</v>
      </c>
    </row>
    <row r="119" spans="2:13" ht="24" x14ac:dyDescent="0.25">
      <c r="B119" s="51">
        <f t="shared" si="20"/>
        <v>117</v>
      </c>
      <c r="C119" s="52">
        <f t="shared" si="20"/>
        <v>43911</v>
      </c>
      <c r="D119" s="53">
        <f t="shared" si="10"/>
        <v>43911</v>
      </c>
      <c r="E119" s="54">
        <f t="shared" si="19"/>
        <v>17</v>
      </c>
      <c r="F119" s="54">
        <f t="shared" si="19"/>
        <v>12</v>
      </c>
      <c r="G119" s="8">
        <v>202003</v>
      </c>
      <c r="H119" s="8" t="s">
        <v>7004</v>
      </c>
      <c r="I119" s="8">
        <v>202004</v>
      </c>
      <c r="J119" s="8" t="s">
        <v>7005</v>
      </c>
      <c r="K119" s="52">
        <f t="shared" si="11"/>
        <v>43906</v>
      </c>
      <c r="L119" s="52">
        <f t="shared" si="12"/>
        <v>43912</v>
      </c>
      <c r="M119" s="55" t="str">
        <f t="shared" si="13"/>
        <v>16/03/20 @ 
22/03/20</v>
      </c>
    </row>
    <row r="120" spans="2:13" ht="24" x14ac:dyDescent="0.25">
      <c r="B120" s="51">
        <f t="shared" si="20"/>
        <v>118</v>
      </c>
      <c r="C120" s="52">
        <f t="shared" si="20"/>
        <v>43912</v>
      </c>
      <c r="D120" s="53">
        <f t="shared" si="10"/>
        <v>43912</v>
      </c>
      <c r="E120" s="54">
        <f t="shared" si="19"/>
        <v>17</v>
      </c>
      <c r="F120" s="54">
        <f t="shared" si="19"/>
        <v>12</v>
      </c>
      <c r="G120" s="8">
        <v>202003</v>
      </c>
      <c r="H120" s="8" t="s">
        <v>7004</v>
      </c>
      <c r="I120" s="8">
        <v>202004</v>
      </c>
      <c r="J120" s="8" t="s">
        <v>7005</v>
      </c>
      <c r="K120" s="52">
        <f t="shared" si="11"/>
        <v>43906</v>
      </c>
      <c r="L120" s="52">
        <f t="shared" si="12"/>
        <v>43912</v>
      </c>
      <c r="M120" s="55" t="str">
        <f t="shared" si="13"/>
        <v>16/03/20 @ 
22/03/20</v>
      </c>
    </row>
    <row r="121" spans="2:13" ht="24" x14ac:dyDescent="0.25">
      <c r="B121" s="51">
        <f t="shared" si="20"/>
        <v>119</v>
      </c>
      <c r="C121" s="52">
        <f t="shared" si="20"/>
        <v>43913</v>
      </c>
      <c r="D121" s="53">
        <f t="shared" si="10"/>
        <v>43913</v>
      </c>
      <c r="E121" s="54">
        <f t="shared" si="19"/>
        <v>18</v>
      </c>
      <c r="F121" s="54">
        <f t="shared" si="19"/>
        <v>13</v>
      </c>
      <c r="G121" s="8">
        <v>202003</v>
      </c>
      <c r="H121" s="8" t="s">
        <v>7004</v>
      </c>
      <c r="I121" s="8">
        <v>202004</v>
      </c>
      <c r="J121" s="8" t="s">
        <v>7005</v>
      </c>
      <c r="K121" s="52">
        <f t="shared" si="11"/>
        <v>43913</v>
      </c>
      <c r="L121" s="52">
        <f t="shared" si="12"/>
        <v>43919</v>
      </c>
      <c r="M121" s="55" t="str">
        <f t="shared" si="13"/>
        <v>23/03/20 @ 
29/03/20</v>
      </c>
    </row>
    <row r="122" spans="2:13" ht="24" x14ac:dyDescent="0.25">
      <c r="B122" s="51">
        <f t="shared" si="20"/>
        <v>120</v>
      </c>
      <c r="C122" s="52">
        <f t="shared" si="20"/>
        <v>43914</v>
      </c>
      <c r="D122" s="53">
        <f t="shared" si="10"/>
        <v>43914</v>
      </c>
      <c r="E122" s="54">
        <f t="shared" ref="E122:F137" si="21">+E115+1</f>
        <v>18</v>
      </c>
      <c r="F122" s="54">
        <f t="shared" si="21"/>
        <v>13</v>
      </c>
      <c r="G122" s="8">
        <v>202003</v>
      </c>
      <c r="H122" s="8" t="s">
        <v>7004</v>
      </c>
      <c r="I122" s="8">
        <v>202004</v>
      </c>
      <c r="J122" s="8" t="s">
        <v>7005</v>
      </c>
      <c r="K122" s="52">
        <f t="shared" si="11"/>
        <v>43913</v>
      </c>
      <c r="L122" s="52">
        <f t="shared" si="12"/>
        <v>43919</v>
      </c>
      <c r="M122" s="55" t="str">
        <f t="shared" si="13"/>
        <v>23/03/20 @ 
29/03/20</v>
      </c>
    </row>
    <row r="123" spans="2:13" ht="24" x14ac:dyDescent="0.25">
      <c r="B123" s="51">
        <f t="shared" si="20"/>
        <v>121</v>
      </c>
      <c r="C123" s="52">
        <f t="shared" si="20"/>
        <v>43915</v>
      </c>
      <c r="D123" s="53">
        <f t="shared" si="10"/>
        <v>43915</v>
      </c>
      <c r="E123" s="54">
        <f t="shared" si="21"/>
        <v>18</v>
      </c>
      <c r="F123" s="54">
        <f t="shared" si="21"/>
        <v>13</v>
      </c>
      <c r="G123" s="8">
        <v>202003</v>
      </c>
      <c r="H123" s="8" t="s">
        <v>7004</v>
      </c>
      <c r="I123" s="8">
        <v>202004</v>
      </c>
      <c r="J123" s="8" t="s">
        <v>7005</v>
      </c>
      <c r="K123" s="52">
        <f t="shared" si="11"/>
        <v>43913</v>
      </c>
      <c r="L123" s="52">
        <f t="shared" si="12"/>
        <v>43919</v>
      </c>
      <c r="M123" s="55" t="str">
        <f t="shared" si="13"/>
        <v>23/03/20 @ 
29/03/20</v>
      </c>
    </row>
    <row r="124" spans="2:13" ht="24" x14ac:dyDescent="0.25">
      <c r="B124" s="51">
        <f t="shared" si="20"/>
        <v>122</v>
      </c>
      <c r="C124" s="52">
        <f t="shared" si="20"/>
        <v>43916</v>
      </c>
      <c r="D124" s="53">
        <f t="shared" si="10"/>
        <v>43916</v>
      </c>
      <c r="E124" s="54">
        <f t="shared" si="21"/>
        <v>18</v>
      </c>
      <c r="F124" s="54">
        <f t="shared" si="21"/>
        <v>13</v>
      </c>
      <c r="G124" s="8">
        <v>202003</v>
      </c>
      <c r="H124" s="8" t="s">
        <v>7004</v>
      </c>
      <c r="I124" s="8">
        <v>202004</v>
      </c>
      <c r="J124" s="8" t="s">
        <v>7005</v>
      </c>
      <c r="K124" s="52">
        <f t="shared" si="11"/>
        <v>43913</v>
      </c>
      <c r="L124" s="52">
        <f t="shared" si="12"/>
        <v>43919</v>
      </c>
      <c r="M124" s="55" t="str">
        <f t="shared" si="13"/>
        <v>23/03/20 @ 
29/03/20</v>
      </c>
    </row>
    <row r="125" spans="2:13" ht="24" x14ac:dyDescent="0.25">
      <c r="B125" s="51">
        <f t="shared" si="20"/>
        <v>123</v>
      </c>
      <c r="C125" s="52">
        <f t="shared" si="20"/>
        <v>43917</v>
      </c>
      <c r="D125" s="53">
        <f t="shared" si="10"/>
        <v>43917</v>
      </c>
      <c r="E125" s="54">
        <f t="shared" si="21"/>
        <v>18</v>
      </c>
      <c r="F125" s="54">
        <f t="shared" si="21"/>
        <v>13</v>
      </c>
      <c r="G125" s="8">
        <v>202003</v>
      </c>
      <c r="H125" s="8" t="s">
        <v>7004</v>
      </c>
      <c r="I125" s="8">
        <v>202004</v>
      </c>
      <c r="J125" s="8" t="s">
        <v>7005</v>
      </c>
      <c r="K125" s="52">
        <f t="shared" si="11"/>
        <v>43913</v>
      </c>
      <c r="L125" s="52">
        <f t="shared" si="12"/>
        <v>43919</v>
      </c>
      <c r="M125" s="55" t="str">
        <f t="shared" si="13"/>
        <v>23/03/20 @ 
29/03/20</v>
      </c>
    </row>
    <row r="126" spans="2:13" ht="24" x14ac:dyDescent="0.25">
      <c r="B126" s="51">
        <f t="shared" si="20"/>
        <v>124</v>
      </c>
      <c r="C126" s="52">
        <f t="shared" si="20"/>
        <v>43918</v>
      </c>
      <c r="D126" s="53">
        <f t="shared" si="10"/>
        <v>43918</v>
      </c>
      <c r="E126" s="54">
        <f t="shared" si="21"/>
        <v>18</v>
      </c>
      <c r="F126" s="54">
        <f t="shared" si="21"/>
        <v>13</v>
      </c>
      <c r="G126" s="8">
        <v>202003</v>
      </c>
      <c r="H126" s="8" t="s">
        <v>7004</v>
      </c>
      <c r="I126" s="8">
        <v>202004</v>
      </c>
      <c r="J126" s="8" t="s">
        <v>7005</v>
      </c>
      <c r="K126" s="52">
        <f t="shared" si="11"/>
        <v>43913</v>
      </c>
      <c r="L126" s="52">
        <f t="shared" si="12"/>
        <v>43919</v>
      </c>
      <c r="M126" s="55" t="str">
        <f t="shared" si="13"/>
        <v>23/03/20 @ 
29/03/20</v>
      </c>
    </row>
    <row r="127" spans="2:13" ht="24" x14ac:dyDescent="0.25">
      <c r="B127" s="51">
        <f t="shared" si="20"/>
        <v>125</v>
      </c>
      <c r="C127" s="52">
        <f t="shared" si="20"/>
        <v>43919</v>
      </c>
      <c r="D127" s="53">
        <f t="shared" si="10"/>
        <v>43919</v>
      </c>
      <c r="E127" s="54">
        <f t="shared" si="21"/>
        <v>18</v>
      </c>
      <c r="F127" s="54">
        <f t="shared" si="21"/>
        <v>13</v>
      </c>
      <c r="G127" s="8">
        <v>202003</v>
      </c>
      <c r="H127" s="8" t="s">
        <v>7004</v>
      </c>
      <c r="I127" s="8">
        <v>202004</v>
      </c>
      <c r="J127" s="8" t="s">
        <v>7005</v>
      </c>
      <c r="K127" s="52">
        <f t="shared" si="11"/>
        <v>43913</v>
      </c>
      <c r="L127" s="52">
        <f t="shared" si="12"/>
        <v>43919</v>
      </c>
      <c r="M127" s="55" t="str">
        <f t="shared" si="13"/>
        <v>23/03/20 @ 
29/03/20</v>
      </c>
    </row>
    <row r="128" spans="2:13" ht="24" x14ac:dyDescent="0.25">
      <c r="B128" s="51">
        <f t="shared" si="20"/>
        <v>126</v>
      </c>
      <c r="C128" s="52">
        <f t="shared" si="20"/>
        <v>43920</v>
      </c>
      <c r="D128" s="53">
        <f t="shared" si="10"/>
        <v>43920</v>
      </c>
      <c r="E128" s="54">
        <f t="shared" si="21"/>
        <v>19</v>
      </c>
      <c r="F128" s="54">
        <f t="shared" si="21"/>
        <v>14</v>
      </c>
      <c r="G128" s="8">
        <v>202004</v>
      </c>
      <c r="H128" s="8" t="s">
        <v>7005</v>
      </c>
      <c r="I128" s="8">
        <v>202004</v>
      </c>
      <c r="J128" s="8" t="s">
        <v>7005</v>
      </c>
      <c r="K128" s="52">
        <f t="shared" si="11"/>
        <v>43920</v>
      </c>
      <c r="L128" s="52">
        <f t="shared" si="12"/>
        <v>43926</v>
      </c>
      <c r="M128" s="55" t="str">
        <f t="shared" si="13"/>
        <v>30/03/20 @ 
05/04/20</v>
      </c>
    </row>
    <row r="129" spans="2:13" ht="24" x14ac:dyDescent="0.25">
      <c r="B129" s="51">
        <f t="shared" si="20"/>
        <v>127</v>
      </c>
      <c r="C129" s="52">
        <f t="shared" si="20"/>
        <v>43921</v>
      </c>
      <c r="D129" s="53">
        <f t="shared" si="10"/>
        <v>43921</v>
      </c>
      <c r="E129" s="54">
        <f t="shared" si="21"/>
        <v>19</v>
      </c>
      <c r="F129" s="54">
        <f t="shared" si="21"/>
        <v>14</v>
      </c>
      <c r="G129" s="8">
        <v>202004</v>
      </c>
      <c r="H129" s="8" t="s">
        <v>7005</v>
      </c>
      <c r="I129" s="8">
        <v>202004</v>
      </c>
      <c r="J129" s="8" t="s">
        <v>7005</v>
      </c>
      <c r="K129" s="52">
        <f t="shared" si="11"/>
        <v>43920</v>
      </c>
      <c r="L129" s="52">
        <f t="shared" si="12"/>
        <v>43926</v>
      </c>
      <c r="M129" s="55" t="str">
        <f t="shared" si="13"/>
        <v>30/03/20 @ 
05/04/20</v>
      </c>
    </row>
    <row r="130" spans="2:13" ht="24" x14ac:dyDescent="0.25">
      <c r="B130" s="51">
        <f t="shared" si="20"/>
        <v>128</v>
      </c>
      <c r="C130" s="52">
        <f t="shared" si="20"/>
        <v>43922</v>
      </c>
      <c r="D130" s="53">
        <f t="shared" si="10"/>
        <v>43922</v>
      </c>
      <c r="E130" s="54">
        <f t="shared" si="21"/>
        <v>19</v>
      </c>
      <c r="F130" s="54">
        <f t="shared" si="21"/>
        <v>14</v>
      </c>
      <c r="G130" s="8">
        <v>202004</v>
      </c>
      <c r="H130" s="8" t="s">
        <v>7005</v>
      </c>
      <c r="I130" s="8">
        <v>202004</v>
      </c>
      <c r="J130" s="8" t="s">
        <v>7005</v>
      </c>
      <c r="K130" s="52">
        <f t="shared" si="11"/>
        <v>43920</v>
      </c>
      <c r="L130" s="52">
        <f t="shared" si="12"/>
        <v>43926</v>
      </c>
      <c r="M130" s="55" t="str">
        <f t="shared" si="13"/>
        <v>30/03/20 @ 
05/04/20</v>
      </c>
    </row>
    <row r="131" spans="2:13" ht="24" x14ac:dyDescent="0.25">
      <c r="B131" s="51">
        <f t="shared" si="20"/>
        <v>129</v>
      </c>
      <c r="C131" s="52">
        <f t="shared" si="20"/>
        <v>43923</v>
      </c>
      <c r="D131" s="53">
        <f t="shared" ref="D131:D194" si="22">+C131</f>
        <v>43923</v>
      </c>
      <c r="E131" s="54">
        <f t="shared" si="21"/>
        <v>19</v>
      </c>
      <c r="F131" s="54">
        <f t="shared" si="21"/>
        <v>14</v>
      </c>
      <c r="G131" s="8">
        <v>202004</v>
      </c>
      <c r="H131" s="8" t="s">
        <v>7005</v>
      </c>
      <c r="I131" s="8">
        <v>202004</v>
      </c>
      <c r="J131" s="8" t="s">
        <v>7005</v>
      </c>
      <c r="K131" s="52">
        <f t="shared" ref="K131:K194" si="23">_xlfn.MINIFS($C$2:$C$890,$E$2:$E$890,E131)</f>
        <v>43920</v>
      </c>
      <c r="L131" s="52">
        <f t="shared" ref="L131:L194" si="24">_xlfn.MAXIFS($C$2:$C$890,$E$2:$E$890,E131)</f>
        <v>43926</v>
      </c>
      <c r="M131" s="55" t="str">
        <f t="shared" ref="M131:M194" si="25">CONCATENATE(TEXT(K131,"DD/MM/YY")," @ ",CHAR(10),TEXT(L131,"DD/MM/YY"))</f>
        <v>30/03/20 @ 
05/04/20</v>
      </c>
    </row>
    <row r="132" spans="2:13" ht="24" x14ac:dyDescent="0.25">
      <c r="B132" s="51">
        <f t="shared" si="20"/>
        <v>130</v>
      </c>
      <c r="C132" s="52">
        <f t="shared" si="20"/>
        <v>43924</v>
      </c>
      <c r="D132" s="53">
        <f t="shared" si="22"/>
        <v>43924</v>
      </c>
      <c r="E132" s="54">
        <f t="shared" si="21"/>
        <v>19</v>
      </c>
      <c r="F132" s="54">
        <f t="shared" si="21"/>
        <v>14</v>
      </c>
      <c r="G132" s="8">
        <v>202004</v>
      </c>
      <c r="H132" s="8" t="s">
        <v>7005</v>
      </c>
      <c r="I132" s="8">
        <v>202004</v>
      </c>
      <c r="J132" s="8" t="s">
        <v>7005</v>
      </c>
      <c r="K132" s="52">
        <f t="shared" si="23"/>
        <v>43920</v>
      </c>
      <c r="L132" s="52">
        <f t="shared" si="24"/>
        <v>43926</v>
      </c>
      <c r="M132" s="55" t="str">
        <f t="shared" si="25"/>
        <v>30/03/20 @ 
05/04/20</v>
      </c>
    </row>
    <row r="133" spans="2:13" ht="24" x14ac:dyDescent="0.25">
      <c r="B133" s="51">
        <f t="shared" ref="B133:C148" si="26">+B132+1</f>
        <v>131</v>
      </c>
      <c r="C133" s="52">
        <f t="shared" si="26"/>
        <v>43925</v>
      </c>
      <c r="D133" s="53">
        <f t="shared" si="22"/>
        <v>43925</v>
      </c>
      <c r="E133" s="54">
        <f t="shared" si="21"/>
        <v>19</v>
      </c>
      <c r="F133" s="54">
        <f t="shared" si="21"/>
        <v>14</v>
      </c>
      <c r="G133" s="8">
        <v>202004</v>
      </c>
      <c r="H133" s="8" t="s">
        <v>7005</v>
      </c>
      <c r="I133" s="8">
        <v>202004</v>
      </c>
      <c r="J133" s="8" t="s">
        <v>7005</v>
      </c>
      <c r="K133" s="52">
        <f t="shared" si="23"/>
        <v>43920</v>
      </c>
      <c r="L133" s="52">
        <f t="shared" si="24"/>
        <v>43926</v>
      </c>
      <c r="M133" s="55" t="str">
        <f t="shared" si="25"/>
        <v>30/03/20 @ 
05/04/20</v>
      </c>
    </row>
    <row r="134" spans="2:13" ht="24" x14ac:dyDescent="0.25">
      <c r="B134" s="51">
        <f t="shared" si="26"/>
        <v>132</v>
      </c>
      <c r="C134" s="52">
        <f t="shared" si="26"/>
        <v>43926</v>
      </c>
      <c r="D134" s="53">
        <f t="shared" si="22"/>
        <v>43926</v>
      </c>
      <c r="E134" s="54">
        <f t="shared" si="21"/>
        <v>19</v>
      </c>
      <c r="F134" s="54">
        <f t="shared" si="21"/>
        <v>14</v>
      </c>
      <c r="G134" s="8">
        <v>202004</v>
      </c>
      <c r="H134" s="8" t="s">
        <v>7005</v>
      </c>
      <c r="I134" s="8">
        <v>202004</v>
      </c>
      <c r="J134" s="8" t="s">
        <v>7005</v>
      </c>
      <c r="K134" s="52">
        <f t="shared" si="23"/>
        <v>43920</v>
      </c>
      <c r="L134" s="52">
        <f t="shared" si="24"/>
        <v>43926</v>
      </c>
      <c r="M134" s="55" t="str">
        <f t="shared" si="25"/>
        <v>30/03/20 @ 
05/04/20</v>
      </c>
    </row>
    <row r="135" spans="2:13" ht="24" x14ac:dyDescent="0.25">
      <c r="B135" s="51">
        <f t="shared" si="26"/>
        <v>133</v>
      </c>
      <c r="C135" s="52">
        <f t="shared" si="26"/>
        <v>43927</v>
      </c>
      <c r="D135" s="53">
        <f t="shared" si="22"/>
        <v>43927</v>
      </c>
      <c r="E135" s="54">
        <f t="shared" si="21"/>
        <v>20</v>
      </c>
      <c r="F135" s="54">
        <f t="shared" si="21"/>
        <v>15</v>
      </c>
      <c r="G135" s="8">
        <v>202004</v>
      </c>
      <c r="H135" s="8" t="s">
        <v>7005</v>
      </c>
      <c r="I135" s="8">
        <v>202004</v>
      </c>
      <c r="J135" s="8" t="s">
        <v>7005</v>
      </c>
      <c r="K135" s="52">
        <f t="shared" si="23"/>
        <v>43927</v>
      </c>
      <c r="L135" s="52">
        <f t="shared" si="24"/>
        <v>43933</v>
      </c>
      <c r="M135" s="55" t="str">
        <f t="shared" si="25"/>
        <v>06/04/20 @ 
12/04/20</v>
      </c>
    </row>
    <row r="136" spans="2:13" ht="24" x14ac:dyDescent="0.25">
      <c r="B136" s="51">
        <f t="shared" si="26"/>
        <v>134</v>
      </c>
      <c r="C136" s="52">
        <f t="shared" si="26"/>
        <v>43928</v>
      </c>
      <c r="D136" s="53">
        <f t="shared" si="22"/>
        <v>43928</v>
      </c>
      <c r="E136" s="54">
        <f t="shared" si="21"/>
        <v>20</v>
      </c>
      <c r="F136" s="54">
        <f t="shared" si="21"/>
        <v>15</v>
      </c>
      <c r="G136" s="8">
        <v>202004</v>
      </c>
      <c r="H136" s="8" t="s">
        <v>7005</v>
      </c>
      <c r="I136" s="8">
        <v>202004</v>
      </c>
      <c r="J136" s="8" t="s">
        <v>7005</v>
      </c>
      <c r="K136" s="52">
        <f t="shared" si="23"/>
        <v>43927</v>
      </c>
      <c r="L136" s="52">
        <f t="shared" si="24"/>
        <v>43933</v>
      </c>
      <c r="M136" s="55" t="str">
        <f t="shared" si="25"/>
        <v>06/04/20 @ 
12/04/20</v>
      </c>
    </row>
    <row r="137" spans="2:13" ht="24" x14ac:dyDescent="0.25">
      <c r="B137" s="51">
        <f t="shared" si="26"/>
        <v>135</v>
      </c>
      <c r="C137" s="52">
        <f t="shared" si="26"/>
        <v>43929</v>
      </c>
      <c r="D137" s="53">
        <f t="shared" si="22"/>
        <v>43929</v>
      </c>
      <c r="E137" s="54">
        <f t="shared" si="21"/>
        <v>20</v>
      </c>
      <c r="F137" s="54">
        <f t="shared" si="21"/>
        <v>15</v>
      </c>
      <c r="G137" s="8">
        <v>202004</v>
      </c>
      <c r="H137" s="8" t="s">
        <v>7005</v>
      </c>
      <c r="I137" s="8">
        <v>202004</v>
      </c>
      <c r="J137" s="8" t="s">
        <v>7005</v>
      </c>
      <c r="K137" s="52">
        <f t="shared" si="23"/>
        <v>43927</v>
      </c>
      <c r="L137" s="52">
        <f t="shared" si="24"/>
        <v>43933</v>
      </c>
      <c r="M137" s="55" t="str">
        <f t="shared" si="25"/>
        <v>06/04/20 @ 
12/04/20</v>
      </c>
    </row>
    <row r="138" spans="2:13" ht="24" x14ac:dyDescent="0.25">
      <c r="B138" s="51">
        <f t="shared" si="26"/>
        <v>136</v>
      </c>
      <c r="C138" s="52">
        <f t="shared" si="26"/>
        <v>43930</v>
      </c>
      <c r="D138" s="53">
        <f t="shared" si="22"/>
        <v>43930</v>
      </c>
      <c r="E138" s="54">
        <f t="shared" ref="E138:F153" si="27">+E131+1</f>
        <v>20</v>
      </c>
      <c r="F138" s="54">
        <f t="shared" si="27"/>
        <v>15</v>
      </c>
      <c r="G138" s="8">
        <v>202004</v>
      </c>
      <c r="H138" s="8" t="s">
        <v>7005</v>
      </c>
      <c r="I138" s="8">
        <v>202004</v>
      </c>
      <c r="J138" s="8" t="s">
        <v>7005</v>
      </c>
      <c r="K138" s="52">
        <f t="shared" si="23"/>
        <v>43927</v>
      </c>
      <c r="L138" s="52">
        <f t="shared" si="24"/>
        <v>43933</v>
      </c>
      <c r="M138" s="55" t="str">
        <f t="shared" si="25"/>
        <v>06/04/20 @ 
12/04/20</v>
      </c>
    </row>
    <row r="139" spans="2:13" ht="24" x14ac:dyDescent="0.25">
      <c r="B139" s="51">
        <f t="shared" si="26"/>
        <v>137</v>
      </c>
      <c r="C139" s="52">
        <f t="shared" si="26"/>
        <v>43931</v>
      </c>
      <c r="D139" s="53">
        <f t="shared" si="22"/>
        <v>43931</v>
      </c>
      <c r="E139" s="54">
        <f t="shared" si="27"/>
        <v>20</v>
      </c>
      <c r="F139" s="54">
        <f t="shared" si="27"/>
        <v>15</v>
      </c>
      <c r="G139" s="8">
        <v>202004</v>
      </c>
      <c r="H139" s="8" t="s">
        <v>7005</v>
      </c>
      <c r="I139" s="8">
        <v>202004</v>
      </c>
      <c r="J139" s="8" t="s">
        <v>7005</v>
      </c>
      <c r="K139" s="52">
        <f t="shared" si="23"/>
        <v>43927</v>
      </c>
      <c r="L139" s="52">
        <f t="shared" si="24"/>
        <v>43933</v>
      </c>
      <c r="M139" s="55" t="str">
        <f t="shared" si="25"/>
        <v>06/04/20 @ 
12/04/20</v>
      </c>
    </row>
    <row r="140" spans="2:13" ht="24" x14ac:dyDescent="0.25">
      <c r="B140" s="51">
        <f t="shared" si="26"/>
        <v>138</v>
      </c>
      <c r="C140" s="52">
        <f t="shared" si="26"/>
        <v>43932</v>
      </c>
      <c r="D140" s="53">
        <f t="shared" si="22"/>
        <v>43932</v>
      </c>
      <c r="E140" s="54">
        <f t="shared" si="27"/>
        <v>20</v>
      </c>
      <c r="F140" s="54">
        <f t="shared" si="27"/>
        <v>15</v>
      </c>
      <c r="G140" s="8">
        <v>202004</v>
      </c>
      <c r="H140" s="8" t="s">
        <v>7005</v>
      </c>
      <c r="I140" s="8">
        <v>202004</v>
      </c>
      <c r="J140" s="8" t="s">
        <v>7005</v>
      </c>
      <c r="K140" s="52">
        <f t="shared" si="23"/>
        <v>43927</v>
      </c>
      <c r="L140" s="52">
        <f t="shared" si="24"/>
        <v>43933</v>
      </c>
      <c r="M140" s="55" t="str">
        <f t="shared" si="25"/>
        <v>06/04/20 @ 
12/04/20</v>
      </c>
    </row>
    <row r="141" spans="2:13" ht="24" x14ac:dyDescent="0.25">
      <c r="B141" s="51">
        <f t="shared" si="26"/>
        <v>139</v>
      </c>
      <c r="C141" s="52">
        <f t="shared" si="26"/>
        <v>43933</v>
      </c>
      <c r="D141" s="53">
        <f t="shared" si="22"/>
        <v>43933</v>
      </c>
      <c r="E141" s="54">
        <f t="shared" si="27"/>
        <v>20</v>
      </c>
      <c r="F141" s="54">
        <f t="shared" si="27"/>
        <v>15</v>
      </c>
      <c r="G141" s="8">
        <v>202004</v>
      </c>
      <c r="H141" s="8" t="s">
        <v>7005</v>
      </c>
      <c r="I141" s="8">
        <v>202004</v>
      </c>
      <c r="J141" s="8" t="s">
        <v>7005</v>
      </c>
      <c r="K141" s="52">
        <f t="shared" si="23"/>
        <v>43927</v>
      </c>
      <c r="L141" s="52">
        <f t="shared" si="24"/>
        <v>43933</v>
      </c>
      <c r="M141" s="55" t="str">
        <f t="shared" si="25"/>
        <v>06/04/20 @ 
12/04/20</v>
      </c>
    </row>
    <row r="142" spans="2:13" ht="24" x14ac:dyDescent="0.25">
      <c r="B142" s="51">
        <f t="shared" si="26"/>
        <v>140</v>
      </c>
      <c r="C142" s="52">
        <f t="shared" si="26"/>
        <v>43934</v>
      </c>
      <c r="D142" s="53">
        <f t="shared" si="22"/>
        <v>43934</v>
      </c>
      <c r="E142" s="54">
        <f t="shared" si="27"/>
        <v>21</v>
      </c>
      <c r="F142" s="54">
        <f t="shared" si="27"/>
        <v>16</v>
      </c>
      <c r="G142" s="8">
        <v>202004</v>
      </c>
      <c r="H142" s="8" t="s">
        <v>7005</v>
      </c>
      <c r="I142" s="8">
        <v>202004</v>
      </c>
      <c r="J142" s="8" t="s">
        <v>7005</v>
      </c>
      <c r="K142" s="52">
        <f t="shared" si="23"/>
        <v>43934</v>
      </c>
      <c r="L142" s="52">
        <f t="shared" si="24"/>
        <v>43940</v>
      </c>
      <c r="M142" s="55" t="str">
        <f t="shared" si="25"/>
        <v>13/04/20 @ 
19/04/20</v>
      </c>
    </row>
    <row r="143" spans="2:13" ht="24" x14ac:dyDescent="0.25">
      <c r="B143" s="51">
        <f t="shared" si="26"/>
        <v>141</v>
      </c>
      <c r="C143" s="52">
        <f t="shared" si="26"/>
        <v>43935</v>
      </c>
      <c r="D143" s="53">
        <f t="shared" si="22"/>
        <v>43935</v>
      </c>
      <c r="E143" s="54">
        <f t="shared" si="27"/>
        <v>21</v>
      </c>
      <c r="F143" s="54">
        <f t="shared" si="27"/>
        <v>16</v>
      </c>
      <c r="G143" s="8">
        <v>202004</v>
      </c>
      <c r="H143" s="8" t="s">
        <v>7005</v>
      </c>
      <c r="I143" s="8">
        <v>202004</v>
      </c>
      <c r="J143" s="8" t="s">
        <v>7005</v>
      </c>
      <c r="K143" s="52">
        <f t="shared" si="23"/>
        <v>43934</v>
      </c>
      <c r="L143" s="52">
        <f t="shared" si="24"/>
        <v>43940</v>
      </c>
      <c r="M143" s="55" t="str">
        <f t="shared" si="25"/>
        <v>13/04/20 @ 
19/04/20</v>
      </c>
    </row>
    <row r="144" spans="2:13" ht="24" x14ac:dyDescent="0.25">
      <c r="B144" s="51">
        <f t="shared" si="26"/>
        <v>142</v>
      </c>
      <c r="C144" s="52">
        <f t="shared" si="26"/>
        <v>43936</v>
      </c>
      <c r="D144" s="53">
        <f t="shared" si="22"/>
        <v>43936</v>
      </c>
      <c r="E144" s="54">
        <f t="shared" si="27"/>
        <v>21</v>
      </c>
      <c r="F144" s="54">
        <f t="shared" si="27"/>
        <v>16</v>
      </c>
      <c r="G144" s="8">
        <v>202004</v>
      </c>
      <c r="H144" s="8" t="s">
        <v>7005</v>
      </c>
      <c r="I144" s="8">
        <v>202004</v>
      </c>
      <c r="J144" s="8" t="s">
        <v>7005</v>
      </c>
      <c r="K144" s="52">
        <f t="shared" si="23"/>
        <v>43934</v>
      </c>
      <c r="L144" s="52">
        <f t="shared" si="24"/>
        <v>43940</v>
      </c>
      <c r="M144" s="55" t="str">
        <f t="shared" si="25"/>
        <v>13/04/20 @ 
19/04/20</v>
      </c>
    </row>
    <row r="145" spans="2:13" ht="24" x14ac:dyDescent="0.25">
      <c r="B145" s="51">
        <f t="shared" si="26"/>
        <v>143</v>
      </c>
      <c r="C145" s="52">
        <f t="shared" si="26"/>
        <v>43937</v>
      </c>
      <c r="D145" s="53">
        <f t="shared" si="22"/>
        <v>43937</v>
      </c>
      <c r="E145" s="54">
        <f t="shared" si="27"/>
        <v>21</v>
      </c>
      <c r="F145" s="54">
        <f t="shared" si="27"/>
        <v>16</v>
      </c>
      <c r="G145" s="8">
        <v>202004</v>
      </c>
      <c r="H145" s="8" t="s">
        <v>7005</v>
      </c>
      <c r="I145" s="8">
        <v>202004</v>
      </c>
      <c r="J145" s="8" t="s">
        <v>7005</v>
      </c>
      <c r="K145" s="52">
        <f t="shared" si="23"/>
        <v>43934</v>
      </c>
      <c r="L145" s="52">
        <f t="shared" si="24"/>
        <v>43940</v>
      </c>
      <c r="M145" s="55" t="str">
        <f t="shared" si="25"/>
        <v>13/04/20 @ 
19/04/20</v>
      </c>
    </row>
    <row r="146" spans="2:13" ht="24" x14ac:dyDescent="0.25">
      <c r="B146" s="51">
        <f t="shared" si="26"/>
        <v>144</v>
      </c>
      <c r="C146" s="52">
        <f t="shared" si="26"/>
        <v>43938</v>
      </c>
      <c r="D146" s="53">
        <f t="shared" si="22"/>
        <v>43938</v>
      </c>
      <c r="E146" s="54">
        <f t="shared" si="27"/>
        <v>21</v>
      </c>
      <c r="F146" s="54">
        <f t="shared" si="27"/>
        <v>16</v>
      </c>
      <c r="G146" s="8">
        <v>202004</v>
      </c>
      <c r="H146" s="8" t="s">
        <v>7005</v>
      </c>
      <c r="I146" s="8">
        <v>202004</v>
      </c>
      <c r="J146" s="8" t="s">
        <v>7005</v>
      </c>
      <c r="K146" s="52">
        <f t="shared" si="23"/>
        <v>43934</v>
      </c>
      <c r="L146" s="52">
        <f t="shared" si="24"/>
        <v>43940</v>
      </c>
      <c r="M146" s="55" t="str">
        <f t="shared" si="25"/>
        <v>13/04/20 @ 
19/04/20</v>
      </c>
    </row>
    <row r="147" spans="2:13" ht="24" x14ac:dyDescent="0.25">
      <c r="B147" s="51">
        <f t="shared" si="26"/>
        <v>145</v>
      </c>
      <c r="C147" s="52">
        <f t="shared" si="26"/>
        <v>43939</v>
      </c>
      <c r="D147" s="53">
        <f t="shared" si="22"/>
        <v>43939</v>
      </c>
      <c r="E147" s="54">
        <f t="shared" si="27"/>
        <v>21</v>
      </c>
      <c r="F147" s="54">
        <f t="shared" si="27"/>
        <v>16</v>
      </c>
      <c r="G147" s="8">
        <v>202004</v>
      </c>
      <c r="H147" s="8" t="s">
        <v>7005</v>
      </c>
      <c r="I147" s="8">
        <v>202004</v>
      </c>
      <c r="J147" s="8" t="s">
        <v>7005</v>
      </c>
      <c r="K147" s="52">
        <f t="shared" si="23"/>
        <v>43934</v>
      </c>
      <c r="L147" s="52">
        <f t="shared" si="24"/>
        <v>43940</v>
      </c>
      <c r="M147" s="55" t="str">
        <f t="shared" si="25"/>
        <v>13/04/20 @ 
19/04/20</v>
      </c>
    </row>
    <row r="148" spans="2:13" ht="24" x14ac:dyDescent="0.25">
      <c r="B148" s="51">
        <f t="shared" si="26"/>
        <v>146</v>
      </c>
      <c r="C148" s="52">
        <f t="shared" si="26"/>
        <v>43940</v>
      </c>
      <c r="D148" s="53">
        <f t="shared" si="22"/>
        <v>43940</v>
      </c>
      <c r="E148" s="54">
        <f t="shared" si="27"/>
        <v>21</v>
      </c>
      <c r="F148" s="54">
        <f t="shared" si="27"/>
        <v>16</v>
      </c>
      <c r="G148" s="8">
        <v>202004</v>
      </c>
      <c r="H148" s="8" t="s">
        <v>7005</v>
      </c>
      <c r="I148" s="8">
        <v>202004</v>
      </c>
      <c r="J148" s="8" t="s">
        <v>7005</v>
      </c>
      <c r="K148" s="52">
        <f t="shared" si="23"/>
        <v>43934</v>
      </c>
      <c r="L148" s="52">
        <f t="shared" si="24"/>
        <v>43940</v>
      </c>
      <c r="M148" s="55" t="str">
        <f t="shared" si="25"/>
        <v>13/04/20 @ 
19/04/20</v>
      </c>
    </row>
    <row r="149" spans="2:13" ht="24" x14ac:dyDescent="0.25">
      <c r="B149" s="51">
        <f t="shared" ref="B149:C164" si="28">+B148+1</f>
        <v>147</v>
      </c>
      <c r="C149" s="52">
        <f t="shared" si="28"/>
        <v>43941</v>
      </c>
      <c r="D149" s="53">
        <f t="shared" si="22"/>
        <v>43941</v>
      </c>
      <c r="E149" s="54">
        <f t="shared" si="27"/>
        <v>22</v>
      </c>
      <c r="F149" s="54">
        <f t="shared" si="27"/>
        <v>17</v>
      </c>
      <c r="G149" s="8">
        <v>202004</v>
      </c>
      <c r="H149" s="8" t="s">
        <v>7005</v>
      </c>
      <c r="I149" s="8">
        <v>202004</v>
      </c>
      <c r="J149" s="8" t="s">
        <v>7005</v>
      </c>
      <c r="K149" s="52">
        <f t="shared" si="23"/>
        <v>43941</v>
      </c>
      <c r="L149" s="52">
        <f t="shared" si="24"/>
        <v>43947</v>
      </c>
      <c r="M149" s="55" t="str">
        <f t="shared" si="25"/>
        <v>20/04/20 @ 
26/04/20</v>
      </c>
    </row>
    <row r="150" spans="2:13" ht="24" x14ac:dyDescent="0.25">
      <c r="B150" s="51">
        <f t="shared" si="28"/>
        <v>148</v>
      </c>
      <c r="C150" s="52">
        <f t="shared" si="28"/>
        <v>43942</v>
      </c>
      <c r="D150" s="53">
        <f t="shared" si="22"/>
        <v>43942</v>
      </c>
      <c r="E150" s="54">
        <f t="shared" si="27"/>
        <v>22</v>
      </c>
      <c r="F150" s="54">
        <f t="shared" si="27"/>
        <v>17</v>
      </c>
      <c r="G150" s="8">
        <v>202004</v>
      </c>
      <c r="H150" s="8" t="s">
        <v>7005</v>
      </c>
      <c r="I150" s="8">
        <v>202005</v>
      </c>
      <c r="J150" s="8" t="s">
        <v>7006</v>
      </c>
      <c r="K150" s="52">
        <f t="shared" si="23"/>
        <v>43941</v>
      </c>
      <c r="L150" s="52">
        <f t="shared" si="24"/>
        <v>43947</v>
      </c>
      <c r="M150" s="55" t="str">
        <f t="shared" si="25"/>
        <v>20/04/20 @ 
26/04/20</v>
      </c>
    </row>
    <row r="151" spans="2:13" ht="24" x14ac:dyDescent="0.25">
      <c r="B151" s="51">
        <f t="shared" si="28"/>
        <v>149</v>
      </c>
      <c r="C151" s="52">
        <f t="shared" si="28"/>
        <v>43943</v>
      </c>
      <c r="D151" s="53">
        <f t="shared" si="22"/>
        <v>43943</v>
      </c>
      <c r="E151" s="54">
        <f t="shared" si="27"/>
        <v>22</v>
      </c>
      <c r="F151" s="54">
        <f t="shared" si="27"/>
        <v>17</v>
      </c>
      <c r="G151" s="8">
        <v>202004</v>
      </c>
      <c r="H151" s="8" t="s">
        <v>7005</v>
      </c>
      <c r="I151" s="8">
        <v>202005</v>
      </c>
      <c r="J151" s="8" t="s">
        <v>7006</v>
      </c>
      <c r="K151" s="52">
        <f t="shared" si="23"/>
        <v>43941</v>
      </c>
      <c r="L151" s="52">
        <f t="shared" si="24"/>
        <v>43947</v>
      </c>
      <c r="M151" s="55" t="str">
        <f t="shared" si="25"/>
        <v>20/04/20 @ 
26/04/20</v>
      </c>
    </row>
    <row r="152" spans="2:13" ht="24" x14ac:dyDescent="0.25">
      <c r="B152" s="51">
        <f t="shared" si="28"/>
        <v>150</v>
      </c>
      <c r="C152" s="52">
        <f t="shared" si="28"/>
        <v>43944</v>
      </c>
      <c r="D152" s="53">
        <f t="shared" si="22"/>
        <v>43944</v>
      </c>
      <c r="E152" s="54">
        <f t="shared" si="27"/>
        <v>22</v>
      </c>
      <c r="F152" s="54">
        <f t="shared" si="27"/>
        <v>17</v>
      </c>
      <c r="G152" s="8">
        <v>202004</v>
      </c>
      <c r="H152" s="8" t="s">
        <v>7005</v>
      </c>
      <c r="I152" s="8">
        <v>202005</v>
      </c>
      <c r="J152" s="8" t="s">
        <v>7006</v>
      </c>
      <c r="K152" s="52">
        <f t="shared" si="23"/>
        <v>43941</v>
      </c>
      <c r="L152" s="52">
        <f t="shared" si="24"/>
        <v>43947</v>
      </c>
      <c r="M152" s="55" t="str">
        <f t="shared" si="25"/>
        <v>20/04/20 @ 
26/04/20</v>
      </c>
    </row>
    <row r="153" spans="2:13" ht="24" x14ac:dyDescent="0.25">
      <c r="B153" s="51">
        <f t="shared" si="28"/>
        <v>151</v>
      </c>
      <c r="C153" s="52">
        <f t="shared" si="28"/>
        <v>43945</v>
      </c>
      <c r="D153" s="53">
        <f t="shared" si="22"/>
        <v>43945</v>
      </c>
      <c r="E153" s="54">
        <f t="shared" si="27"/>
        <v>22</v>
      </c>
      <c r="F153" s="54">
        <f t="shared" si="27"/>
        <v>17</v>
      </c>
      <c r="G153" s="8">
        <v>202004</v>
      </c>
      <c r="H153" s="8" t="s">
        <v>7005</v>
      </c>
      <c r="I153" s="8">
        <v>202005</v>
      </c>
      <c r="J153" s="8" t="s">
        <v>7006</v>
      </c>
      <c r="K153" s="52">
        <f t="shared" si="23"/>
        <v>43941</v>
      </c>
      <c r="L153" s="52">
        <f t="shared" si="24"/>
        <v>43947</v>
      </c>
      <c r="M153" s="55" t="str">
        <f t="shared" si="25"/>
        <v>20/04/20 @ 
26/04/20</v>
      </c>
    </row>
    <row r="154" spans="2:13" ht="24" x14ac:dyDescent="0.25">
      <c r="B154" s="51">
        <f t="shared" si="28"/>
        <v>152</v>
      </c>
      <c r="C154" s="52">
        <f t="shared" si="28"/>
        <v>43946</v>
      </c>
      <c r="D154" s="53">
        <f t="shared" si="22"/>
        <v>43946</v>
      </c>
      <c r="E154" s="54">
        <f t="shared" ref="E154:F169" si="29">+E147+1</f>
        <v>22</v>
      </c>
      <c r="F154" s="54">
        <f t="shared" si="29"/>
        <v>17</v>
      </c>
      <c r="G154" s="8">
        <v>202004</v>
      </c>
      <c r="H154" s="8" t="s">
        <v>7005</v>
      </c>
      <c r="I154" s="8">
        <v>202005</v>
      </c>
      <c r="J154" s="8" t="s">
        <v>7006</v>
      </c>
      <c r="K154" s="52">
        <f t="shared" si="23"/>
        <v>43941</v>
      </c>
      <c r="L154" s="52">
        <f t="shared" si="24"/>
        <v>43947</v>
      </c>
      <c r="M154" s="55" t="str">
        <f t="shared" si="25"/>
        <v>20/04/20 @ 
26/04/20</v>
      </c>
    </row>
    <row r="155" spans="2:13" ht="24" x14ac:dyDescent="0.25">
      <c r="B155" s="51">
        <f t="shared" si="28"/>
        <v>153</v>
      </c>
      <c r="C155" s="52">
        <f t="shared" si="28"/>
        <v>43947</v>
      </c>
      <c r="D155" s="53">
        <f t="shared" si="22"/>
        <v>43947</v>
      </c>
      <c r="E155" s="54">
        <f t="shared" si="29"/>
        <v>22</v>
      </c>
      <c r="F155" s="54">
        <f t="shared" si="29"/>
        <v>17</v>
      </c>
      <c r="G155" s="8">
        <v>202004</v>
      </c>
      <c r="H155" s="8" t="s">
        <v>7005</v>
      </c>
      <c r="I155" s="8">
        <v>202005</v>
      </c>
      <c r="J155" s="8" t="s">
        <v>7006</v>
      </c>
      <c r="K155" s="52">
        <f t="shared" si="23"/>
        <v>43941</v>
      </c>
      <c r="L155" s="52">
        <f t="shared" si="24"/>
        <v>43947</v>
      </c>
      <c r="M155" s="55" t="str">
        <f t="shared" si="25"/>
        <v>20/04/20 @ 
26/04/20</v>
      </c>
    </row>
    <row r="156" spans="2:13" ht="24" x14ac:dyDescent="0.25">
      <c r="B156" s="51">
        <f t="shared" si="28"/>
        <v>154</v>
      </c>
      <c r="C156" s="52">
        <f t="shared" si="28"/>
        <v>43948</v>
      </c>
      <c r="D156" s="53">
        <f t="shared" si="22"/>
        <v>43948</v>
      </c>
      <c r="E156" s="54">
        <f t="shared" si="29"/>
        <v>23</v>
      </c>
      <c r="F156" s="54">
        <f t="shared" si="29"/>
        <v>18</v>
      </c>
      <c r="G156" s="8">
        <v>202005</v>
      </c>
      <c r="H156" s="8" t="s">
        <v>7006</v>
      </c>
      <c r="I156" s="8">
        <v>202005</v>
      </c>
      <c r="J156" s="8" t="s">
        <v>7006</v>
      </c>
      <c r="K156" s="52">
        <f t="shared" si="23"/>
        <v>43948</v>
      </c>
      <c r="L156" s="52">
        <f t="shared" si="24"/>
        <v>43954</v>
      </c>
      <c r="M156" s="55" t="str">
        <f t="shared" si="25"/>
        <v>27/04/20 @ 
03/05/20</v>
      </c>
    </row>
    <row r="157" spans="2:13" ht="24" x14ac:dyDescent="0.25">
      <c r="B157" s="51">
        <f t="shared" si="28"/>
        <v>155</v>
      </c>
      <c r="C157" s="52">
        <f t="shared" si="28"/>
        <v>43949</v>
      </c>
      <c r="D157" s="53">
        <f t="shared" si="22"/>
        <v>43949</v>
      </c>
      <c r="E157" s="54">
        <f t="shared" si="29"/>
        <v>23</v>
      </c>
      <c r="F157" s="54">
        <f t="shared" si="29"/>
        <v>18</v>
      </c>
      <c r="G157" s="8">
        <v>202005</v>
      </c>
      <c r="H157" s="8" t="s">
        <v>7006</v>
      </c>
      <c r="I157" s="8">
        <v>202005</v>
      </c>
      <c r="J157" s="8" t="s">
        <v>7006</v>
      </c>
      <c r="K157" s="52">
        <f t="shared" si="23"/>
        <v>43948</v>
      </c>
      <c r="L157" s="52">
        <f t="shared" si="24"/>
        <v>43954</v>
      </c>
      <c r="M157" s="55" t="str">
        <f t="shared" si="25"/>
        <v>27/04/20 @ 
03/05/20</v>
      </c>
    </row>
    <row r="158" spans="2:13" ht="24" x14ac:dyDescent="0.25">
      <c r="B158" s="51">
        <f t="shared" si="28"/>
        <v>156</v>
      </c>
      <c r="C158" s="52">
        <f t="shared" si="28"/>
        <v>43950</v>
      </c>
      <c r="D158" s="53">
        <f t="shared" si="22"/>
        <v>43950</v>
      </c>
      <c r="E158" s="54">
        <f t="shared" si="29"/>
        <v>23</v>
      </c>
      <c r="F158" s="54">
        <f t="shared" si="29"/>
        <v>18</v>
      </c>
      <c r="G158" s="8">
        <v>202005</v>
      </c>
      <c r="H158" s="8" t="s">
        <v>7006</v>
      </c>
      <c r="I158" s="8">
        <v>202005</v>
      </c>
      <c r="J158" s="8" t="s">
        <v>7006</v>
      </c>
      <c r="K158" s="52">
        <f t="shared" si="23"/>
        <v>43948</v>
      </c>
      <c r="L158" s="52">
        <f t="shared" si="24"/>
        <v>43954</v>
      </c>
      <c r="M158" s="55" t="str">
        <f t="shared" si="25"/>
        <v>27/04/20 @ 
03/05/20</v>
      </c>
    </row>
    <row r="159" spans="2:13" ht="24" x14ac:dyDescent="0.25">
      <c r="B159" s="51">
        <f t="shared" si="28"/>
        <v>157</v>
      </c>
      <c r="C159" s="52">
        <f t="shared" si="28"/>
        <v>43951</v>
      </c>
      <c r="D159" s="53">
        <f t="shared" si="22"/>
        <v>43951</v>
      </c>
      <c r="E159" s="54">
        <f t="shared" si="29"/>
        <v>23</v>
      </c>
      <c r="F159" s="54">
        <f t="shared" si="29"/>
        <v>18</v>
      </c>
      <c r="G159" s="8">
        <v>202005</v>
      </c>
      <c r="H159" s="8" t="s">
        <v>7006</v>
      </c>
      <c r="I159" s="8">
        <v>202005</v>
      </c>
      <c r="J159" s="8" t="s">
        <v>7006</v>
      </c>
      <c r="K159" s="52">
        <f t="shared" si="23"/>
        <v>43948</v>
      </c>
      <c r="L159" s="52">
        <f t="shared" si="24"/>
        <v>43954</v>
      </c>
      <c r="M159" s="55" t="str">
        <f t="shared" si="25"/>
        <v>27/04/20 @ 
03/05/20</v>
      </c>
    </row>
    <row r="160" spans="2:13" ht="24" x14ac:dyDescent="0.25">
      <c r="B160" s="51">
        <f t="shared" si="28"/>
        <v>158</v>
      </c>
      <c r="C160" s="52">
        <f t="shared" si="28"/>
        <v>43952</v>
      </c>
      <c r="D160" s="53">
        <f t="shared" si="22"/>
        <v>43952</v>
      </c>
      <c r="E160" s="54">
        <f t="shared" si="29"/>
        <v>23</v>
      </c>
      <c r="F160" s="54">
        <f t="shared" si="29"/>
        <v>18</v>
      </c>
      <c r="G160" s="8">
        <v>202005</v>
      </c>
      <c r="H160" s="8" t="s">
        <v>7006</v>
      </c>
      <c r="I160" s="8">
        <v>202005</v>
      </c>
      <c r="J160" s="8" t="s">
        <v>7006</v>
      </c>
      <c r="K160" s="52">
        <f t="shared" si="23"/>
        <v>43948</v>
      </c>
      <c r="L160" s="52">
        <f t="shared" si="24"/>
        <v>43954</v>
      </c>
      <c r="M160" s="55" t="str">
        <f t="shared" si="25"/>
        <v>27/04/20 @ 
03/05/20</v>
      </c>
    </row>
    <row r="161" spans="2:13" ht="24" x14ac:dyDescent="0.25">
      <c r="B161" s="51">
        <f t="shared" si="28"/>
        <v>159</v>
      </c>
      <c r="C161" s="52">
        <f t="shared" si="28"/>
        <v>43953</v>
      </c>
      <c r="D161" s="53">
        <f t="shared" si="22"/>
        <v>43953</v>
      </c>
      <c r="E161" s="54">
        <f t="shared" si="29"/>
        <v>23</v>
      </c>
      <c r="F161" s="54">
        <f t="shared" si="29"/>
        <v>18</v>
      </c>
      <c r="G161" s="8">
        <v>202005</v>
      </c>
      <c r="H161" s="8" t="s">
        <v>7006</v>
      </c>
      <c r="I161" s="8">
        <v>202005</v>
      </c>
      <c r="J161" s="8" t="s">
        <v>7006</v>
      </c>
      <c r="K161" s="52">
        <f t="shared" si="23"/>
        <v>43948</v>
      </c>
      <c r="L161" s="52">
        <f t="shared" si="24"/>
        <v>43954</v>
      </c>
      <c r="M161" s="55" t="str">
        <f t="shared" si="25"/>
        <v>27/04/20 @ 
03/05/20</v>
      </c>
    </row>
    <row r="162" spans="2:13" ht="24" x14ac:dyDescent="0.25">
      <c r="B162" s="51">
        <f t="shared" si="28"/>
        <v>160</v>
      </c>
      <c r="C162" s="52">
        <f t="shared" si="28"/>
        <v>43954</v>
      </c>
      <c r="D162" s="53">
        <f t="shared" si="22"/>
        <v>43954</v>
      </c>
      <c r="E162" s="54">
        <f t="shared" si="29"/>
        <v>23</v>
      </c>
      <c r="F162" s="54">
        <f t="shared" si="29"/>
        <v>18</v>
      </c>
      <c r="G162" s="8">
        <v>202005</v>
      </c>
      <c r="H162" s="8" t="s">
        <v>7006</v>
      </c>
      <c r="I162" s="8">
        <v>202005</v>
      </c>
      <c r="J162" s="8" t="s">
        <v>7006</v>
      </c>
      <c r="K162" s="52">
        <f t="shared" si="23"/>
        <v>43948</v>
      </c>
      <c r="L162" s="52">
        <f t="shared" si="24"/>
        <v>43954</v>
      </c>
      <c r="M162" s="55" t="str">
        <f t="shared" si="25"/>
        <v>27/04/20 @ 
03/05/20</v>
      </c>
    </row>
    <row r="163" spans="2:13" ht="24" x14ac:dyDescent="0.25">
      <c r="B163" s="51">
        <f t="shared" si="28"/>
        <v>161</v>
      </c>
      <c r="C163" s="52">
        <f t="shared" si="28"/>
        <v>43955</v>
      </c>
      <c r="D163" s="53">
        <f t="shared" si="22"/>
        <v>43955</v>
      </c>
      <c r="E163" s="54">
        <f t="shared" si="29"/>
        <v>24</v>
      </c>
      <c r="F163" s="54">
        <f t="shared" si="29"/>
        <v>19</v>
      </c>
      <c r="G163" s="8">
        <v>202005</v>
      </c>
      <c r="H163" s="8" t="s">
        <v>7006</v>
      </c>
      <c r="I163" s="8">
        <v>202005</v>
      </c>
      <c r="J163" s="8" t="s">
        <v>7006</v>
      </c>
      <c r="K163" s="52">
        <f t="shared" si="23"/>
        <v>43955</v>
      </c>
      <c r="L163" s="52">
        <f t="shared" si="24"/>
        <v>43961</v>
      </c>
      <c r="M163" s="55" t="str">
        <f t="shared" si="25"/>
        <v>04/05/20 @ 
10/05/20</v>
      </c>
    </row>
    <row r="164" spans="2:13" ht="24" x14ac:dyDescent="0.25">
      <c r="B164" s="51">
        <f t="shared" si="28"/>
        <v>162</v>
      </c>
      <c r="C164" s="52">
        <f t="shared" si="28"/>
        <v>43956</v>
      </c>
      <c r="D164" s="53">
        <f t="shared" si="22"/>
        <v>43956</v>
      </c>
      <c r="E164" s="54">
        <f t="shared" si="29"/>
        <v>24</v>
      </c>
      <c r="F164" s="54">
        <f t="shared" si="29"/>
        <v>19</v>
      </c>
      <c r="G164" s="8">
        <v>202005</v>
      </c>
      <c r="H164" s="8" t="s">
        <v>7006</v>
      </c>
      <c r="I164" s="8">
        <v>202005</v>
      </c>
      <c r="J164" s="8" t="s">
        <v>7006</v>
      </c>
      <c r="K164" s="52">
        <f t="shared" si="23"/>
        <v>43955</v>
      </c>
      <c r="L164" s="52">
        <f t="shared" si="24"/>
        <v>43961</v>
      </c>
      <c r="M164" s="55" t="str">
        <f t="shared" si="25"/>
        <v>04/05/20 @ 
10/05/20</v>
      </c>
    </row>
    <row r="165" spans="2:13" ht="24" x14ac:dyDescent="0.25">
      <c r="B165" s="51">
        <f t="shared" ref="B165:C180" si="30">+B164+1</f>
        <v>163</v>
      </c>
      <c r="C165" s="52">
        <f t="shared" si="30"/>
        <v>43957</v>
      </c>
      <c r="D165" s="53">
        <f t="shared" si="22"/>
        <v>43957</v>
      </c>
      <c r="E165" s="54">
        <f t="shared" si="29"/>
        <v>24</v>
      </c>
      <c r="F165" s="54">
        <f t="shared" si="29"/>
        <v>19</v>
      </c>
      <c r="G165" s="8">
        <v>202005</v>
      </c>
      <c r="H165" s="8" t="s">
        <v>7006</v>
      </c>
      <c r="I165" s="8">
        <v>202005</v>
      </c>
      <c r="J165" s="8" t="s">
        <v>7006</v>
      </c>
      <c r="K165" s="52">
        <f t="shared" si="23"/>
        <v>43955</v>
      </c>
      <c r="L165" s="52">
        <f t="shared" si="24"/>
        <v>43961</v>
      </c>
      <c r="M165" s="55" t="str">
        <f t="shared" si="25"/>
        <v>04/05/20 @ 
10/05/20</v>
      </c>
    </row>
    <row r="166" spans="2:13" ht="24" x14ac:dyDescent="0.25">
      <c r="B166" s="51">
        <f t="shared" si="30"/>
        <v>164</v>
      </c>
      <c r="C166" s="52">
        <f t="shared" si="30"/>
        <v>43958</v>
      </c>
      <c r="D166" s="53">
        <f t="shared" si="22"/>
        <v>43958</v>
      </c>
      <c r="E166" s="54">
        <f t="shared" si="29"/>
        <v>24</v>
      </c>
      <c r="F166" s="54">
        <f t="shared" si="29"/>
        <v>19</v>
      </c>
      <c r="G166" s="8">
        <v>202005</v>
      </c>
      <c r="H166" s="8" t="s">
        <v>7006</v>
      </c>
      <c r="I166" s="8">
        <v>202005</v>
      </c>
      <c r="J166" s="8" t="s">
        <v>7006</v>
      </c>
      <c r="K166" s="52">
        <f t="shared" si="23"/>
        <v>43955</v>
      </c>
      <c r="L166" s="52">
        <f t="shared" si="24"/>
        <v>43961</v>
      </c>
      <c r="M166" s="55" t="str">
        <f t="shared" si="25"/>
        <v>04/05/20 @ 
10/05/20</v>
      </c>
    </row>
    <row r="167" spans="2:13" ht="24" x14ac:dyDescent="0.25">
      <c r="B167" s="51">
        <f t="shared" si="30"/>
        <v>165</v>
      </c>
      <c r="C167" s="52">
        <f t="shared" si="30"/>
        <v>43959</v>
      </c>
      <c r="D167" s="53">
        <f t="shared" si="22"/>
        <v>43959</v>
      </c>
      <c r="E167" s="54">
        <f t="shared" si="29"/>
        <v>24</v>
      </c>
      <c r="F167" s="54">
        <f t="shared" si="29"/>
        <v>19</v>
      </c>
      <c r="G167" s="8">
        <v>202005</v>
      </c>
      <c r="H167" s="8" t="s">
        <v>7006</v>
      </c>
      <c r="I167" s="8">
        <v>202005</v>
      </c>
      <c r="J167" s="8" t="s">
        <v>7006</v>
      </c>
      <c r="K167" s="52">
        <f t="shared" si="23"/>
        <v>43955</v>
      </c>
      <c r="L167" s="52">
        <f t="shared" si="24"/>
        <v>43961</v>
      </c>
      <c r="M167" s="55" t="str">
        <f t="shared" si="25"/>
        <v>04/05/20 @ 
10/05/20</v>
      </c>
    </row>
    <row r="168" spans="2:13" ht="24" x14ac:dyDescent="0.25">
      <c r="B168" s="51">
        <f t="shared" si="30"/>
        <v>166</v>
      </c>
      <c r="C168" s="52">
        <f t="shared" si="30"/>
        <v>43960</v>
      </c>
      <c r="D168" s="53">
        <f t="shared" si="22"/>
        <v>43960</v>
      </c>
      <c r="E168" s="54">
        <f t="shared" si="29"/>
        <v>24</v>
      </c>
      <c r="F168" s="54">
        <f t="shared" si="29"/>
        <v>19</v>
      </c>
      <c r="G168" s="8">
        <v>202005</v>
      </c>
      <c r="H168" s="8" t="s">
        <v>7006</v>
      </c>
      <c r="I168" s="8">
        <v>202005</v>
      </c>
      <c r="J168" s="8" t="s">
        <v>7006</v>
      </c>
      <c r="K168" s="52">
        <f t="shared" si="23"/>
        <v>43955</v>
      </c>
      <c r="L168" s="52">
        <f t="shared" si="24"/>
        <v>43961</v>
      </c>
      <c r="M168" s="55" t="str">
        <f t="shared" si="25"/>
        <v>04/05/20 @ 
10/05/20</v>
      </c>
    </row>
    <row r="169" spans="2:13" ht="24" x14ac:dyDescent="0.25">
      <c r="B169" s="51">
        <f t="shared" si="30"/>
        <v>167</v>
      </c>
      <c r="C169" s="52">
        <f t="shared" si="30"/>
        <v>43961</v>
      </c>
      <c r="D169" s="53">
        <f t="shared" si="22"/>
        <v>43961</v>
      </c>
      <c r="E169" s="54">
        <f t="shared" si="29"/>
        <v>24</v>
      </c>
      <c r="F169" s="54">
        <f t="shared" si="29"/>
        <v>19</v>
      </c>
      <c r="G169" s="8">
        <v>202005</v>
      </c>
      <c r="H169" s="8" t="s">
        <v>7006</v>
      </c>
      <c r="I169" s="8">
        <v>202005</v>
      </c>
      <c r="J169" s="8" t="s">
        <v>7006</v>
      </c>
      <c r="K169" s="52">
        <f t="shared" si="23"/>
        <v>43955</v>
      </c>
      <c r="L169" s="52">
        <f t="shared" si="24"/>
        <v>43961</v>
      </c>
      <c r="M169" s="55" t="str">
        <f t="shared" si="25"/>
        <v>04/05/20 @ 
10/05/20</v>
      </c>
    </row>
    <row r="170" spans="2:13" ht="24" x14ac:dyDescent="0.25">
      <c r="B170" s="51">
        <f t="shared" si="30"/>
        <v>168</v>
      </c>
      <c r="C170" s="52">
        <f t="shared" si="30"/>
        <v>43962</v>
      </c>
      <c r="D170" s="53">
        <f t="shared" si="22"/>
        <v>43962</v>
      </c>
      <c r="E170" s="54">
        <f t="shared" ref="E170:F185" si="31">+E163+1</f>
        <v>25</v>
      </c>
      <c r="F170" s="54">
        <f t="shared" si="31"/>
        <v>20</v>
      </c>
      <c r="G170" s="8">
        <v>202005</v>
      </c>
      <c r="H170" s="8" t="s">
        <v>7006</v>
      </c>
      <c r="I170" s="8">
        <v>202005</v>
      </c>
      <c r="J170" s="8" t="s">
        <v>7006</v>
      </c>
      <c r="K170" s="52">
        <f t="shared" si="23"/>
        <v>43962</v>
      </c>
      <c r="L170" s="52">
        <f t="shared" si="24"/>
        <v>43968</v>
      </c>
      <c r="M170" s="55" t="str">
        <f t="shared" si="25"/>
        <v>11/05/20 @ 
17/05/20</v>
      </c>
    </row>
    <row r="171" spans="2:13" ht="24" x14ac:dyDescent="0.25">
      <c r="B171" s="51">
        <f t="shared" si="30"/>
        <v>169</v>
      </c>
      <c r="C171" s="52">
        <f t="shared" si="30"/>
        <v>43963</v>
      </c>
      <c r="D171" s="53">
        <f t="shared" si="22"/>
        <v>43963</v>
      </c>
      <c r="E171" s="54">
        <f t="shared" si="31"/>
        <v>25</v>
      </c>
      <c r="F171" s="54">
        <f t="shared" si="31"/>
        <v>20</v>
      </c>
      <c r="G171" s="8">
        <v>202005</v>
      </c>
      <c r="H171" s="8" t="s">
        <v>7006</v>
      </c>
      <c r="I171" s="8">
        <v>202005</v>
      </c>
      <c r="J171" s="8" t="s">
        <v>7006</v>
      </c>
      <c r="K171" s="52">
        <f t="shared" si="23"/>
        <v>43962</v>
      </c>
      <c r="L171" s="52">
        <f t="shared" si="24"/>
        <v>43968</v>
      </c>
      <c r="M171" s="55" t="str">
        <f t="shared" si="25"/>
        <v>11/05/20 @ 
17/05/20</v>
      </c>
    </row>
    <row r="172" spans="2:13" ht="24" x14ac:dyDescent="0.25">
      <c r="B172" s="51">
        <f t="shared" si="30"/>
        <v>170</v>
      </c>
      <c r="C172" s="52">
        <f t="shared" si="30"/>
        <v>43964</v>
      </c>
      <c r="D172" s="53">
        <f t="shared" si="22"/>
        <v>43964</v>
      </c>
      <c r="E172" s="54">
        <f t="shared" si="31"/>
        <v>25</v>
      </c>
      <c r="F172" s="54">
        <f t="shared" si="31"/>
        <v>20</v>
      </c>
      <c r="G172" s="8">
        <v>202005</v>
      </c>
      <c r="H172" s="8" t="s">
        <v>7006</v>
      </c>
      <c r="I172" s="8">
        <v>202005</v>
      </c>
      <c r="J172" s="8" t="s">
        <v>7006</v>
      </c>
      <c r="K172" s="52">
        <f t="shared" si="23"/>
        <v>43962</v>
      </c>
      <c r="L172" s="52">
        <f t="shared" si="24"/>
        <v>43968</v>
      </c>
      <c r="M172" s="55" t="str">
        <f t="shared" si="25"/>
        <v>11/05/20 @ 
17/05/20</v>
      </c>
    </row>
    <row r="173" spans="2:13" ht="24" x14ac:dyDescent="0.25">
      <c r="B173" s="51">
        <f t="shared" si="30"/>
        <v>171</v>
      </c>
      <c r="C173" s="52">
        <f t="shared" si="30"/>
        <v>43965</v>
      </c>
      <c r="D173" s="53">
        <f t="shared" si="22"/>
        <v>43965</v>
      </c>
      <c r="E173" s="54">
        <f t="shared" si="31"/>
        <v>25</v>
      </c>
      <c r="F173" s="54">
        <f t="shared" si="31"/>
        <v>20</v>
      </c>
      <c r="G173" s="8">
        <v>202005</v>
      </c>
      <c r="H173" s="8" t="s">
        <v>7006</v>
      </c>
      <c r="I173" s="8">
        <v>202005</v>
      </c>
      <c r="J173" s="8" t="s">
        <v>7006</v>
      </c>
      <c r="K173" s="52">
        <f t="shared" si="23"/>
        <v>43962</v>
      </c>
      <c r="L173" s="52">
        <f t="shared" si="24"/>
        <v>43968</v>
      </c>
      <c r="M173" s="55" t="str">
        <f t="shared" si="25"/>
        <v>11/05/20 @ 
17/05/20</v>
      </c>
    </row>
    <row r="174" spans="2:13" ht="24" x14ac:dyDescent="0.25">
      <c r="B174" s="51">
        <f t="shared" si="30"/>
        <v>172</v>
      </c>
      <c r="C174" s="52">
        <f t="shared" si="30"/>
        <v>43966</v>
      </c>
      <c r="D174" s="53">
        <f t="shared" si="22"/>
        <v>43966</v>
      </c>
      <c r="E174" s="54">
        <f t="shared" si="31"/>
        <v>25</v>
      </c>
      <c r="F174" s="54">
        <f t="shared" si="31"/>
        <v>20</v>
      </c>
      <c r="G174" s="8">
        <v>202005</v>
      </c>
      <c r="H174" s="8" t="s">
        <v>7006</v>
      </c>
      <c r="I174" s="8">
        <v>202005</v>
      </c>
      <c r="J174" s="8" t="s">
        <v>7006</v>
      </c>
      <c r="K174" s="52">
        <f t="shared" si="23"/>
        <v>43962</v>
      </c>
      <c r="L174" s="52">
        <f t="shared" si="24"/>
        <v>43968</v>
      </c>
      <c r="M174" s="55" t="str">
        <f t="shared" si="25"/>
        <v>11/05/20 @ 
17/05/20</v>
      </c>
    </row>
    <row r="175" spans="2:13" ht="24" x14ac:dyDescent="0.25">
      <c r="B175" s="51">
        <f t="shared" si="30"/>
        <v>173</v>
      </c>
      <c r="C175" s="52">
        <f t="shared" si="30"/>
        <v>43967</v>
      </c>
      <c r="D175" s="53">
        <f t="shared" si="22"/>
        <v>43967</v>
      </c>
      <c r="E175" s="54">
        <f t="shared" si="31"/>
        <v>25</v>
      </c>
      <c r="F175" s="54">
        <f t="shared" si="31"/>
        <v>20</v>
      </c>
      <c r="G175" s="8">
        <v>202005</v>
      </c>
      <c r="H175" s="8" t="s">
        <v>7006</v>
      </c>
      <c r="I175" s="8">
        <v>202005</v>
      </c>
      <c r="J175" s="8" t="s">
        <v>7006</v>
      </c>
      <c r="K175" s="52">
        <f t="shared" si="23"/>
        <v>43962</v>
      </c>
      <c r="L175" s="52">
        <f t="shared" si="24"/>
        <v>43968</v>
      </c>
      <c r="M175" s="55" t="str">
        <f t="shared" si="25"/>
        <v>11/05/20 @ 
17/05/20</v>
      </c>
    </row>
    <row r="176" spans="2:13" ht="24" x14ac:dyDescent="0.25">
      <c r="B176" s="51">
        <f t="shared" si="30"/>
        <v>174</v>
      </c>
      <c r="C176" s="52">
        <f t="shared" si="30"/>
        <v>43968</v>
      </c>
      <c r="D176" s="53">
        <f t="shared" si="22"/>
        <v>43968</v>
      </c>
      <c r="E176" s="54">
        <f t="shared" si="31"/>
        <v>25</v>
      </c>
      <c r="F176" s="54">
        <f t="shared" si="31"/>
        <v>20</v>
      </c>
      <c r="G176" s="8">
        <v>202005</v>
      </c>
      <c r="H176" s="8" t="s">
        <v>7006</v>
      </c>
      <c r="I176" s="8">
        <v>202005</v>
      </c>
      <c r="J176" s="8" t="s">
        <v>7006</v>
      </c>
      <c r="K176" s="52">
        <f t="shared" si="23"/>
        <v>43962</v>
      </c>
      <c r="L176" s="52">
        <f t="shared" si="24"/>
        <v>43968</v>
      </c>
      <c r="M176" s="55" t="str">
        <f t="shared" si="25"/>
        <v>11/05/20 @ 
17/05/20</v>
      </c>
    </row>
    <row r="177" spans="2:13" ht="24" x14ac:dyDescent="0.25">
      <c r="B177" s="51">
        <f t="shared" si="30"/>
        <v>175</v>
      </c>
      <c r="C177" s="52">
        <f t="shared" si="30"/>
        <v>43969</v>
      </c>
      <c r="D177" s="53">
        <f t="shared" si="22"/>
        <v>43969</v>
      </c>
      <c r="E177" s="54">
        <f t="shared" si="31"/>
        <v>26</v>
      </c>
      <c r="F177" s="54">
        <f t="shared" si="31"/>
        <v>21</v>
      </c>
      <c r="G177" s="8">
        <v>202005</v>
      </c>
      <c r="H177" s="8" t="s">
        <v>7006</v>
      </c>
      <c r="I177" s="8">
        <v>202005</v>
      </c>
      <c r="J177" s="8" t="s">
        <v>7006</v>
      </c>
      <c r="K177" s="52">
        <f t="shared" si="23"/>
        <v>43969</v>
      </c>
      <c r="L177" s="52">
        <f t="shared" si="24"/>
        <v>43975</v>
      </c>
      <c r="M177" s="55" t="str">
        <f t="shared" si="25"/>
        <v>18/05/20 @ 
24/05/20</v>
      </c>
    </row>
    <row r="178" spans="2:13" ht="24" x14ac:dyDescent="0.25">
      <c r="B178" s="51">
        <f t="shared" si="30"/>
        <v>176</v>
      </c>
      <c r="C178" s="52">
        <f t="shared" si="30"/>
        <v>43970</v>
      </c>
      <c r="D178" s="53">
        <f t="shared" si="22"/>
        <v>43970</v>
      </c>
      <c r="E178" s="54">
        <f t="shared" si="31"/>
        <v>26</v>
      </c>
      <c r="F178" s="54">
        <f t="shared" si="31"/>
        <v>21</v>
      </c>
      <c r="G178" s="8">
        <v>202005</v>
      </c>
      <c r="H178" s="8" t="s">
        <v>7006</v>
      </c>
      <c r="I178" s="8">
        <v>202005</v>
      </c>
      <c r="J178" s="8" t="s">
        <v>7006</v>
      </c>
      <c r="K178" s="52">
        <f t="shared" si="23"/>
        <v>43969</v>
      </c>
      <c r="L178" s="52">
        <f t="shared" si="24"/>
        <v>43975</v>
      </c>
      <c r="M178" s="55" t="str">
        <f t="shared" si="25"/>
        <v>18/05/20 @ 
24/05/20</v>
      </c>
    </row>
    <row r="179" spans="2:13" ht="24" x14ac:dyDescent="0.25">
      <c r="B179" s="51">
        <f t="shared" si="30"/>
        <v>177</v>
      </c>
      <c r="C179" s="52">
        <f t="shared" si="30"/>
        <v>43971</v>
      </c>
      <c r="D179" s="53">
        <f t="shared" si="22"/>
        <v>43971</v>
      </c>
      <c r="E179" s="54">
        <f t="shared" si="31"/>
        <v>26</v>
      </c>
      <c r="F179" s="54">
        <f t="shared" si="31"/>
        <v>21</v>
      </c>
      <c r="G179" s="8">
        <v>202005</v>
      </c>
      <c r="H179" s="8" t="s">
        <v>7006</v>
      </c>
      <c r="I179" s="8">
        <v>202005</v>
      </c>
      <c r="J179" s="8" t="s">
        <v>7006</v>
      </c>
      <c r="K179" s="52">
        <f t="shared" si="23"/>
        <v>43969</v>
      </c>
      <c r="L179" s="52">
        <f t="shared" si="24"/>
        <v>43975</v>
      </c>
      <c r="M179" s="55" t="str">
        <f t="shared" si="25"/>
        <v>18/05/20 @ 
24/05/20</v>
      </c>
    </row>
    <row r="180" spans="2:13" ht="24" x14ac:dyDescent="0.25">
      <c r="B180" s="51">
        <f t="shared" si="30"/>
        <v>178</v>
      </c>
      <c r="C180" s="52">
        <f t="shared" si="30"/>
        <v>43972</v>
      </c>
      <c r="D180" s="53">
        <f t="shared" si="22"/>
        <v>43972</v>
      </c>
      <c r="E180" s="54">
        <f t="shared" si="31"/>
        <v>26</v>
      </c>
      <c r="F180" s="54">
        <f t="shared" si="31"/>
        <v>21</v>
      </c>
      <c r="G180" s="8">
        <v>202005</v>
      </c>
      <c r="H180" s="8" t="s">
        <v>7006</v>
      </c>
      <c r="I180" s="8">
        <v>202006</v>
      </c>
      <c r="J180" s="8" t="s">
        <v>7007</v>
      </c>
      <c r="K180" s="52">
        <f t="shared" si="23"/>
        <v>43969</v>
      </c>
      <c r="L180" s="52">
        <f t="shared" si="24"/>
        <v>43975</v>
      </c>
      <c r="M180" s="55" t="str">
        <f t="shared" si="25"/>
        <v>18/05/20 @ 
24/05/20</v>
      </c>
    </row>
    <row r="181" spans="2:13" ht="24" x14ac:dyDescent="0.25">
      <c r="B181" s="51">
        <f t="shared" ref="B181:C196" si="32">+B180+1</f>
        <v>179</v>
      </c>
      <c r="C181" s="52">
        <f t="shared" si="32"/>
        <v>43973</v>
      </c>
      <c r="D181" s="53">
        <f t="shared" si="22"/>
        <v>43973</v>
      </c>
      <c r="E181" s="54">
        <f t="shared" si="31"/>
        <v>26</v>
      </c>
      <c r="F181" s="54">
        <f t="shared" si="31"/>
        <v>21</v>
      </c>
      <c r="G181" s="8">
        <v>202005</v>
      </c>
      <c r="H181" s="8" t="s">
        <v>7006</v>
      </c>
      <c r="I181" s="8">
        <v>202006</v>
      </c>
      <c r="J181" s="8" t="s">
        <v>7007</v>
      </c>
      <c r="K181" s="52">
        <f t="shared" si="23"/>
        <v>43969</v>
      </c>
      <c r="L181" s="52">
        <f t="shared" si="24"/>
        <v>43975</v>
      </c>
      <c r="M181" s="55" t="str">
        <f t="shared" si="25"/>
        <v>18/05/20 @ 
24/05/20</v>
      </c>
    </row>
    <row r="182" spans="2:13" ht="24" x14ac:dyDescent="0.25">
      <c r="B182" s="51">
        <f t="shared" si="32"/>
        <v>180</v>
      </c>
      <c r="C182" s="52">
        <f t="shared" si="32"/>
        <v>43974</v>
      </c>
      <c r="D182" s="53">
        <f t="shared" si="22"/>
        <v>43974</v>
      </c>
      <c r="E182" s="54">
        <f t="shared" si="31"/>
        <v>26</v>
      </c>
      <c r="F182" s="54">
        <f t="shared" si="31"/>
        <v>21</v>
      </c>
      <c r="G182" s="8">
        <v>202005</v>
      </c>
      <c r="H182" s="8" t="s">
        <v>7006</v>
      </c>
      <c r="I182" s="8">
        <v>202006</v>
      </c>
      <c r="J182" s="8" t="s">
        <v>7007</v>
      </c>
      <c r="K182" s="52">
        <f t="shared" si="23"/>
        <v>43969</v>
      </c>
      <c r="L182" s="52">
        <f t="shared" si="24"/>
        <v>43975</v>
      </c>
      <c r="M182" s="55" t="str">
        <f t="shared" si="25"/>
        <v>18/05/20 @ 
24/05/20</v>
      </c>
    </row>
    <row r="183" spans="2:13" ht="24" x14ac:dyDescent="0.25">
      <c r="B183" s="51">
        <f t="shared" si="32"/>
        <v>181</v>
      </c>
      <c r="C183" s="52">
        <f t="shared" si="32"/>
        <v>43975</v>
      </c>
      <c r="D183" s="53">
        <f t="shared" si="22"/>
        <v>43975</v>
      </c>
      <c r="E183" s="54">
        <f t="shared" si="31"/>
        <v>26</v>
      </c>
      <c r="F183" s="54">
        <f t="shared" si="31"/>
        <v>21</v>
      </c>
      <c r="G183" s="8">
        <v>202005</v>
      </c>
      <c r="H183" s="8" t="s">
        <v>7006</v>
      </c>
      <c r="I183" s="8">
        <v>202006</v>
      </c>
      <c r="J183" s="8" t="s">
        <v>7007</v>
      </c>
      <c r="K183" s="52">
        <f t="shared" si="23"/>
        <v>43969</v>
      </c>
      <c r="L183" s="52">
        <f t="shared" si="24"/>
        <v>43975</v>
      </c>
      <c r="M183" s="55" t="str">
        <f t="shared" si="25"/>
        <v>18/05/20 @ 
24/05/20</v>
      </c>
    </row>
    <row r="184" spans="2:13" ht="24" x14ac:dyDescent="0.25">
      <c r="B184" s="51">
        <f t="shared" si="32"/>
        <v>182</v>
      </c>
      <c r="C184" s="52">
        <f t="shared" si="32"/>
        <v>43976</v>
      </c>
      <c r="D184" s="53">
        <f t="shared" si="22"/>
        <v>43976</v>
      </c>
      <c r="E184" s="54">
        <f t="shared" si="31"/>
        <v>27</v>
      </c>
      <c r="F184" s="54">
        <f t="shared" si="31"/>
        <v>22</v>
      </c>
      <c r="G184" s="8">
        <v>202005</v>
      </c>
      <c r="H184" s="8" t="s">
        <v>7007</v>
      </c>
      <c r="I184" s="8">
        <v>202006</v>
      </c>
      <c r="J184" s="8" t="s">
        <v>7007</v>
      </c>
      <c r="K184" s="52">
        <f t="shared" si="23"/>
        <v>43976</v>
      </c>
      <c r="L184" s="52">
        <f t="shared" si="24"/>
        <v>43982</v>
      </c>
      <c r="M184" s="55" t="str">
        <f t="shared" si="25"/>
        <v>25/05/20 @ 
31/05/20</v>
      </c>
    </row>
    <row r="185" spans="2:13" ht="24" x14ac:dyDescent="0.25">
      <c r="B185" s="51">
        <f t="shared" si="32"/>
        <v>183</v>
      </c>
      <c r="C185" s="52">
        <f t="shared" si="32"/>
        <v>43977</v>
      </c>
      <c r="D185" s="53">
        <f t="shared" si="22"/>
        <v>43977</v>
      </c>
      <c r="E185" s="54">
        <f t="shared" si="31"/>
        <v>27</v>
      </c>
      <c r="F185" s="54">
        <f t="shared" si="31"/>
        <v>22</v>
      </c>
      <c r="G185" s="8">
        <v>202005</v>
      </c>
      <c r="H185" s="8" t="s">
        <v>7007</v>
      </c>
      <c r="I185" s="8">
        <v>202006</v>
      </c>
      <c r="J185" s="8" t="s">
        <v>7007</v>
      </c>
      <c r="K185" s="52">
        <f t="shared" si="23"/>
        <v>43976</v>
      </c>
      <c r="L185" s="52">
        <f t="shared" si="24"/>
        <v>43982</v>
      </c>
      <c r="M185" s="55" t="str">
        <f t="shared" si="25"/>
        <v>25/05/20 @ 
31/05/20</v>
      </c>
    </row>
    <row r="186" spans="2:13" ht="24" x14ac:dyDescent="0.25">
      <c r="B186" s="51">
        <f t="shared" si="32"/>
        <v>184</v>
      </c>
      <c r="C186" s="52">
        <f t="shared" si="32"/>
        <v>43978</v>
      </c>
      <c r="D186" s="53">
        <f t="shared" si="22"/>
        <v>43978</v>
      </c>
      <c r="E186" s="54">
        <f t="shared" ref="E186:F201" si="33">+E179+1</f>
        <v>27</v>
      </c>
      <c r="F186" s="54">
        <f t="shared" si="33"/>
        <v>22</v>
      </c>
      <c r="G186" s="8">
        <v>202005</v>
      </c>
      <c r="H186" s="8" t="s">
        <v>7007</v>
      </c>
      <c r="I186" s="8">
        <v>202006</v>
      </c>
      <c r="J186" s="8" t="s">
        <v>7007</v>
      </c>
      <c r="K186" s="52">
        <f t="shared" si="23"/>
        <v>43976</v>
      </c>
      <c r="L186" s="52">
        <f t="shared" si="24"/>
        <v>43982</v>
      </c>
      <c r="M186" s="55" t="str">
        <f t="shared" si="25"/>
        <v>25/05/20 @ 
31/05/20</v>
      </c>
    </row>
    <row r="187" spans="2:13" ht="24" x14ac:dyDescent="0.25">
      <c r="B187" s="51">
        <f t="shared" si="32"/>
        <v>185</v>
      </c>
      <c r="C187" s="52">
        <f t="shared" si="32"/>
        <v>43979</v>
      </c>
      <c r="D187" s="53">
        <f t="shared" si="22"/>
        <v>43979</v>
      </c>
      <c r="E187" s="54">
        <f t="shared" si="33"/>
        <v>27</v>
      </c>
      <c r="F187" s="54">
        <f t="shared" si="33"/>
        <v>22</v>
      </c>
      <c r="G187" s="8">
        <v>202005</v>
      </c>
      <c r="H187" s="8" t="s">
        <v>7007</v>
      </c>
      <c r="I187" s="8">
        <v>202006</v>
      </c>
      <c r="J187" s="8" t="s">
        <v>7007</v>
      </c>
      <c r="K187" s="52">
        <f t="shared" si="23"/>
        <v>43976</v>
      </c>
      <c r="L187" s="52">
        <f t="shared" si="24"/>
        <v>43982</v>
      </c>
      <c r="M187" s="55" t="str">
        <f t="shared" si="25"/>
        <v>25/05/20 @ 
31/05/20</v>
      </c>
    </row>
    <row r="188" spans="2:13" ht="24" x14ac:dyDescent="0.25">
      <c r="B188" s="51">
        <f t="shared" si="32"/>
        <v>186</v>
      </c>
      <c r="C188" s="52">
        <f t="shared" si="32"/>
        <v>43980</v>
      </c>
      <c r="D188" s="53">
        <f t="shared" si="22"/>
        <v>43980</v>
      </c>
      <c r="E188" s="54">
        <f t="shared" si="33"/>
        <v>27</v>
      </c>
      <c r="F188" s="54">
        <f t="shared" si="33"/>
        <v>22</v>
      </c>
      <c r="G188" s="8">
        <v>202005</v>
      </c>
      <c r="H188" s="8" t="s">
        <v>7007</v>
      </c>
      <c r="I188" s="8">
        <v>202006</v>
      </c>
      <c r="J188" s="8" t="s">
        <v>7007</v>
      </c>
      <c r="K188" s="52">
        <f t="shared" si="23"/>
        <v>43976</v>
      </c>
      <c r="L188" s="52">
        <f t="shared" si="24"/>
        <v>43982</v>
      </c>
      <c r="M188" s="55" t="str">
        <f t="shared" si="25"/>
        <v>25/05/20 @ 
31/05/20</v>
      </c>
    </row>
    <row r="189" spans="2:13" ht="24" x14ac:dyDescent="0.25">
      <c r="B189" s="51">
        <f t="shared" si="32"/>
        <v>187</v>
      </c>
      <c r="C189" s="52">
        <f t="shared" si="32"/>
        <v>43981</v>
      </c>
      <c r="D189" s="53">
        <f t="shared" si="22"/>
        <v>43981</v>
      </c>
      <c r="E189" s="54">
        <f t="shared" si="33"/>
        <v>27</v>
      </c>
      <c r="F189" s="54">
        <f t="shared" si="33"/>
        <v>22</v>
      </c>
      <c r="G189" s="8">
        <v>202005</v>
      </c>
      <c r="H189" s="8" t="s">
        <v>7007</v>
      </c>
      <c r="I189" s="8">
        <v>202006</v>
      </c>
      <c r="J189" s="8" t="s">
        <v>7007</v>
      </c>
      <c r="K189" s="52">
        <f t="shared" si="23"/>
        <v>43976</v>
      </c>
      <c r="L189" s="52">
        <f t="shared" si="24"/>
        <v>43982</v>
      </c>
      <c r="M189" s="55" t="str">
        <f t="shared" si="25"/>
        <v>25/05/20 @ 
31/05/20</v>
      </c>
    </row>
    <row r="190" spans="2:13" ht="24" x14ac:dyDescent="0.25">
      <c r="B190" s="51">
        <f t="shared" si="32"/>
        <v>188</v>
      </c>
      <c r="C190" s="52">
        <f t="shared" si="32"/>
        <v>43982</v>
      </c>
      <c r="D190" s="53">
        <f t="shared" si="22"/>
        <v>43982</v>
      </c>
      <c r="E190" s="54">
        <f t="shared" si="33"/>
        <v>27</v>
      </c>
      <c r="F190" s="54">
        <f t="shared" si="33"/>
        <v>22</v>
      </c>
      <c r="G190" s="8">
        <v>202005</v>
      </c>
      <c r="H190" s="8" t="s">
        <v>7007</v>
      </c>
      <c r="I190" s="8">
        <v>202006</v>
      </c>
      <c r="J190" s="8" t="s">
        <v>7007</v>
      </c>
      <c r="K190" s="52">
        <f t="shared" si="23"/>
        <v>43976</v>
      </c>
      <c r="L190" s="52">
        <f t="shared" si="24"/>
        <v>43982</v>
      </c>
      <c r="M190" s="55" t="str">
        <f t="shared" si="25"/>
        <v>25/05/20 @ 
31/05/20</v>
      </c>
    </row>
    <row r="191" spans="2:13" ht="24" x14ac:dyDescent="0.25">
      <c r="B191" s="51">
        <f t="shared" si="32"/>
        <v>189</v>
      </c>
      <c r="C191" s="52">
        <f t="shared" si="32"/>
        <v>43983</v>
      </c>
      <c r="D191" s="53">
        <f t="shared" si="22"/>
        <v>43983</v>
      </c>
      <c r="E191" s="54">
        <f t="shared" si="33"/>
        <v>28</v>
      </c>
      <c r="F191" s="54">
        <f t="shared" si="33"/>
        <v>23</v>
      </c>
      <c r="G191" s="8">
        <v>202006</v>
      </c>
      <c r="H191" s="8" t="s">
        <v>7007</v>
      </c>
      <c r="I191" s="8">
        <v>202006</v>
      </c>
      <c r="J191" s="8" t="s">
        <v>7007</v>
      </c>
      <c r="K191" s="52">
        <f t="shared" si="23"/>
        <v>43983</v>
      </c>
      <c r="L191" s="52">
        <f t="shared" si="24"/>
        <v>43989</v>
      </c>
      <c r="M191" s="55" t="str">
        <f t="shared" si="25"/>
        <v>01/06/20 @ 
07/06/20</v>
      </c>
    </row>
    <row r="192" spans="2:13" ht="24" x14ac:dyDescent="0.25">
      <c r="B192" s="51">
        <f t="shared" si="32"/>
        <v>190</v>
      </c>
      <c r="C192" s="52">
        <f t="shared" si="32"/>
        <v>43984</v>
      </c>
      <c r="D192" s="53">
        <f t="shared" si="22"/>
        <v>43984</v>
      </c>
      <c r="E192" s="54">
        <f t="shared" si="33"/>
        <v>28</v>
      </c>
      <c r="F192" s="54">
        <f t="shared" si="33"/>
        <v>23</v>
      </c>
      <c r="G192" s="8">
        <v>202006</v>
      </c>
      <c r="H192" s="8" t="s">
        <v>7007</v>
      </c>
      <c r="I192" s="8">
        <v>202006</v>
      </c>
      <c r="J192" s="8" t="s">
        <v>7007</v>
      </c>
      <c r="K192" s="52">
        <f t="shared" si="23"/>
        <v>43983</v>
      </c>
      <c r="L192" s="52">
        <f t="shared" si="24"/>
        <v>43989</v>
      </c>
      <c r="M192" s="55" t="str">
        <f t="shared" si="25"/>
        <v>01/06/20 @ 
07/06/20</v>
      </c>
    </row>
    <row r="193" spans="2:13" ht="24" x14ac:dyDescent="0.25">
      <c r="B193" s="51">
        <f t="shared" si="32"/>
        <v>191</v>
      </c>
      <c r="C193" s="52">
        <f t="shared" si="32"/>
        <v>43985</v>
      </c>
      <c r="D193" s="53">
        <f t="shared" si="22"/>
        <v>43985</v>
      </c>
      <c r="E193" s="54">
        <f t="shared" si="33"/>
        <v>28</v>
      </c>
      <c r="F193" s="54">
        <f t="shared" si="33"/>
        <v>23</v>
      </c>
      <c r="G193" s="8">
        <v>202006</v>
      </c>
      <c r="H193" s="8" t="s">
        <v>7007</v>
      </c>
      <c r="I193" s="8">
        <v>202006</v>
      </c>
      <c r="J193" s="8" t="s">
        <v>7007</v>
      </c>
      <c r="K193" s="52">
        <f t="shared" si="23"/>
        <v>43983</v>
      </c>
      <c r="L193" s="52">
        <f t="shared" si="24"/>
        <v>43989</v>
      </c>
      <c r="M193" s="55" t="str">
        <f t="shared" si="25"/>
        <v>01/06/20 @ 
07/06/20</v>
      </c>
    </row>
    <row r="194" spans="2:13" ht="24" x14ac:dyDescent="0.25">
      <c r="B194" s="51">
        <f t="shared" si="32"/>
        <v>192</v>
      </c>
      <c r="C194" s="52">
        <f t="shared" si="32"/>
        <v>43986</v>
      </c>
      <c r="D194" s="53">
        <f t="shared" si="22"/>
        <v>43986</v>
      </c>
      <c r="E194" s="54">
        <f t="shared" si="33"/>
        <v>28</v>
      </c>
      <c r="F194" s="54">
        <f t="shared" si="33"/>
        <v>23</v>
      </c>
      <c r="G194" s="8">
        <v>202006</v>
      </c>
      <c r="H194" s="8" t="s">
        <v>7007</v>
      </c>
      <c r="I194" s="8">
        <v>202006</v>
      </c>
      <c r="J194" s="8" t="s">
        <v>7007</v>
      </c>
      <c r="K194" s="52">
        <f t="shared" si="23"/>
        <v>43983</v>
      </c>
      <c r="L194" s="52">
        <f t="shared" si="24"/>
        <v>43989</v>
      </c>
      <c r="M194" s="55" t="str">
        <f t="shared" si="25"/>
        <v>01/06/20 @ 
07/06/20</v>
      </c>
    </row>
    <row r="195" spans="2:13" ht="24" x14ac:dyDescent="0.25">
      <c r="B195" s="51">
        <f t="shared" si="32"/>
        <v>193</v>
      </c>
      <c r="C195" s="52">
        <f t="shared" si="32"/>
        <v>43987</v>
      </c>
      <c r="D195" s="53">
        <f t="shared" ref="D195:D258" si="34">+C195</f>
        <v>43987</v>
      </c>
      <c r="E195" s="54">
        <f t="shared" si="33"/>
        <v>28</v>
      </c>
      <c r="F195" s="54">
        <f t="shared" si="33"/>
        <v>23</v>
      </c>
      <c r="G195" s="8">
        <v>202006</v>
      </c>
      <c r="H195" s="8" t="s">
        <v>7007</v>
      </c>
      <c r="I195" s="8">
        <v>202006</v>
      </c>
      <c r="J195" s="8" t="s">
        <v>7007</v>
      </c>
      <c r="K195" s="52">
        <f t="shared" ref="K195:K258" si="35">_xlfn.MINIFS($C$2:$C$890,$E$2:$E$890,E195)</f>
        <v>43983</v>
      </c>
      <c r="L195" s="52">
        <f t="shared" ref="L195:L258" si="36">_xlfn.MAXIFS($C$2:$C$890,$E$2:$E$890,E195)</f>
        <v>43989</v>
      </c>
      <c r="M195" s="55" t="str">
        <f t="shared" ref="M195:M258" si="37">CONCATENATE(TEXT(K195,"DD/MM/YY")," @ ",CHAR(10),TEXT(L195,"DD/MM/YY"))</f>
        <v>01/06/20 @ 
07/06/20</v>
      </c>
    </row>
    <row r="196" spans="2:13" ht="24" x14ac:dyDescent="0.25">
      <c r="B196" s="51">
        <f t="shared" si="32"/>
        <v>194</v>
      </c>
      <c r="C196" s="52">
        <f t="shared" si="32"/>
        <v>43988</v>
      </c>
      <c r="D196" s="53">
        <f t="shared" si="34"/>
        <v>43988</v>
      </c>
      <c r="E196" s="54">
        <f t="shared" si="33"/>
        <v>28</v>
      </c>
      <c r="F196" s="54">
        <f t="shared" si="33"/>
        <v>23</v>
      </c>
      <c r="G196" s="8">
        <v>202006</v>
      </c>
      <c r="H196" s="8" t="s">
        <v>7007</v>
      </c>
      <c r="I196" s="8">
        <v>202006</v>
      </c>
      <c r="J196" s="8" t="s">
        <v>7007</v>
      </c>
      <c r="K196" s="52">
        <f t="shared" si="35"/>
        <v>43983</v>
      </c>
      <c r="L196" s="52">
        <f t="shared" si="36"/>
        <v>43989</v>
      </c>
      <c r="M196" s="55" t="str">
        <f t="shared" si="37"/>
        <v>01/06/20 @ 
07/06/20</v>
      </c>
    </row>
    <row r="197" spans="2:13" ht="24" x14ac:dyDescent="0.25">
      <c r="B197" s="51">
        <f t="shared" ref="B197:C212" si="38">+B196+1</f>
        <v>195</v>
      </c>
      <c r="C197" s="52">
        <f t="shared" si="38"/>
        <v>43989</v>
      </c>
      <c r="D197" s="53">
        <f t="shared" si="34"/>
        <v>43989</v>
      </c>
      <c r="E197" s="54">
        <f t="shared" si="33"/>
        <v>28</v>
      </c>
      <c r="F197" s="54">
        <f t="shared" si="33"/>
        <v>23</v>
      </c>
      <c r="G197" s="8">
        <v>202006</v>
      </c>
      <c r="H197" s="8" t="s">
        <v>7007</v>
      </c>
      <c r="I197" s="8">
        <v>202006</v>
      </c>
      <c r="J197" s="8" t="s">
        <v>7007</v>
      </c>
      <c r="K197" s="52">
        <f t="shared" si="35"/>
        <v>43983</v>
      </c>
      <c r="L197" s="52">
        <f t="shared" si="36"/>
        <v>43989</v>
      </c>
      <c r="M197" s="55" t="str">
        <f t="shared" si="37"/>
        <v>01/06/20 @ 
07/06/20</v>
      </c>
    </row>
    <row r="198" spans="2:13" ht="24" x14ac:dyDescent="0.25">
      <c r="B198" s="51">
        <f t="shared" si="38"/>
        <v>196</v>
      </c>
      <c r="C198" s="52">
        <f t="shared" si="38"/>
        <v>43990</v>
      </c>
      <c r="D198" s="53">
        <f t="shared" si="34"/>
        <v>43990</v>
      </c>
      <c r="E198" s="54">
        <f t="shared" si="33"/>
        <v>29</v>
      </c>
      <c r="F198" s="54">
        <f t="shared" si="33"/>
        <v>24</v>
      </c>
      <c r="G198" s="8">
        <v>202006</v>
      </c>
      <c r="H198" s="8" t="s">
        <v>7007</v>
      </c>
      <c r="I198" s="8">
        <v>202006</v>
      </c>
      <c r="J198" s="8" t="s">
        <v>7007</v>
      </c>
      <c r="K198" s="52">
        <f t="shared" si="35"/>
        <v>43990</v>
      </c>
      <c r="L198" s="52">
        <f t="shared" si="36"/>
        <v>43996</v>
      </c>
      <c r="M198" s="55" t="str">
        <f t="shared" si="37"/>
        <v>08/06/20 @ 
14/06/20</v>
      </c>
    </row>
    <row r="199" spans="2:13" ht="24" x14ac:dyDescent="0.25">
      <c r="B199" s="51">
        <f t="shared" si="38"/>
        <v>197</v>
      </c>
      <c r="C199" s="52">
        <f t="shared" si="38"/>
        <v>43991</v>
      </c>
      <c r="D199" s="53">
        <f t="shared" si="34"/>
        <v>43991</v>
      </c>
      <c r="E199" s="54">
        <f t="shared" si="33"/>
        <v>29</v>
      </c>
      <c r="F199" s="54">
        <f t="shared" si="33"/>
        <v>24</v>
      </c>
      <c r="G199" s="8">
        <v>202006</v>
      </c>
      <c r="H199" s="8" t="s">
        <v>7007</v>
      </c>
      <c r="I199" s="8">
        <v>202006</v>
      </c>
      <c r="J199" s="8" t="s">
        <v>7007</v>
      </c>
      <c r="K199" s="52">
        <f t="shared" si="35"/>
        <v>43990</v>
      </c>
      <c r="L199" s="52">
        <f t="shared" si="36"/>
        <v>43996</v>
      </c>
      <c r="M199" s="55" t="str">
        <f t="shared" si="37"/>
        <v>08/06/20 @ 
14/06/20</v>
      </c>
    </row>
    <row r="200" spans="2:13" ht="24" x14ac:dyDescent="0.25">
      <c r="B200" s="51">
        <f t="shared" si="38"/>
        <v>198</v>
      </c>
      <c r="C200" s="52">
        <f t="shared" si="38"/>
        <v>43992</v>
      </c>
      <c r="D200" s="53">
        <f t="shared" si="34"/>
        <v>43992</v>
      </c>
      <c r="E200" s="54">
        <f t="shared" si="33"/>
        <v>29</v>
      </c>
      <c r="F200" s="54">
        <f t="shared" si="33"/>
        <v>24</v>
      </c>
      <c r="G200" s="8">
        <v>202006</v>
      </c>
      <c r="H200" s="8" t="s">
        <v>7007</v>
      </c>
      <c r="I200" s="8">
        <v>202006</v>
      </c>
      <c r="J200" s="8" t="s">
        <v>7007</v>
      </c>
      <c r="K200" s="52">
        <f t="shared" si="35"/>
        <v>43990</v>
      </c>
      <c r="L200" s="52">
        <f t="shared" si="36"/>
        <v>43996</v>
      </c>
      <c r="M200" s="55" t="str">
        <f t="shared" si="37"/>
        <v>08/06/20 @ 
14/06/20</v>
      </c>
    </row>
    <row r="201" spans="2:13" ht="24" x14ac:dyDescent="0.25">
      <c r="B201" s="51">
        <f t="shared" si="38"/>
        <v>199</v>
      </c>
      <c r="C201" s="52">
        <f t="shared" si="38"/>
        <v>43993</v>
      </c>
      <c r="D201" s="53">
        <f t="shared" si="34"/>
        <v>43993</v>
      </c>
      <c r="E201" s="54">
        <f t="shared" si="33"/>
        <v>29</v>
      </c>
      <c r="F201" s="54">
        <f t="shared" si="33"/>
        <v>24</v>
      </c>
      <c r="G201" s="8">
        <v>202006</v>
      </c>
      <c r="H201" s="8" t="s">
        <v>7007</v>
      </c>
      <c r="I201" s="8">
        <v>202006</v>
      </c>
      <c r="J201" s="8" t="s">
        <v>7007</v>
      </c>
      <c r="K201" s="52">
        <f t="shared" si="35"/>
        <v>43990</v>
      </c>
      <c r="L201" s="52">
        <f t="shared" si="36"/>
        <v>43996</v>
      </c>
      <c r="M201" s="55" t="str">
        <f t="shared" si="37"/>
        <v>08/06/20 @ 
14/06/20</v>
      </c>
    </row>
    <row r="202" spans="2:13" ht="24" x14ac:dyDescent="0.25">
      <c r="B202" s="51">
        <f t="shared" si="38"/>
        <v>200</v>
      </c>
      <c r="C202" s="52">
        <f t="shared" si="38"/>
        <v>43994</v>
      </c>
      <c r="D202" s="53">
        <f t="shared" si="34"/>
        <v>43994</v>
      </c>
      <c r="E202" s="54">
        <f t="shared" ref="E202:F217" si="39">+E195+1</f>
        <v>29</v>
      </c>
      <c r="F202" s="54">
        <f t="shared" si="39"/>
        <v>24</v>
      </c>
      <c r="G202" s="8">
        <v>202006</v>
      </c>
      <c r="H202" s="8" t="s">
        <v>7007</v>
      </c>
      <c r="I202" s="8">
        <v>202006</v>
      </c>
      <c r="J202" s="8" t="s">
        <v>7007</v>
      </c>
      <c r="K202" s="52">
        <f t="shared" si="35"/>
        <v>43990</v>
      </c>
      <c r="L202" s="52">
        <f t="shared" si="36"/>
        <v>43996</v>
      </c>
      <c r="M202" s="55" t="str">
        <f t="shared" si="37"/>
        <v>08/06/20 @ 
14/06/20</v>
      </c>
    </row>
    <row r="203" spans="2:13" ht="24" x14ac:dyDescent="0.25">
      <c r="B203" s="51">
        <f t="shared" si="38"/>
        <v>201</v>
      </c>
      <c r="C203" s="52">
        <f t="shared" si="38"/>
        <v>43995</v>
      </c>
      <c r="D203" s="53">
        <f t="shared" si="34"/>
        <v>43995</v>
      </c>
      <c r="E203" s="54">
        <f t="shared" si="39"/>
        <v>29</v>
      </c>
      <c r="F203" s="54">
        <f t="shared" si="39"/>
        <v>24</v>
      </c>
      <c r="G203" s="8">
        <v>202006</v>
      </c>
      <c r="H203" s="8" t="s">
        <v>7007</v>
      </c>
      <c r="I203" s="8">
        <v>202006</v>
      </c>
      <c r="J203" s="8" t="s">
        <v>7007</v>
      </c>
      <c r="K203" s="52">
        <f t="shared" si="35"/>
        <v>43990</v>
      </c>
      <c r="L203" s="52">
        <f t="shared" si="36"/>
        <v>43996</v>
      </c>
      <c r="M203" s="55" t="str">
        <f t="shared" si="37"/>
        <v>08/06/20 @ 
14/06/20</v>
      </c>
    </row>
    <row r="204" spans="2:13" ht="24" x14ac:dyDescent="0.25">
      <c r="B204" s="51">
        <f t="shared" si="38"/>
        <v>202</v>
      </c>
      <c r="C204" s="52">
        <f t="shared" si="38"/>
        <v>43996</v>
      </c>
      <c r="D204" s="53">
        <f t="shared" si="34"/>
        <v>43996</v>
      </c>
      <c r="E204" s="54">
        <f t="shared" si="39"/>
        <v>29</v>
      </c>
      <c r="F204" s="54">
        <f t="shared" si="39"/>
        <v>24</v>
      </c>
      <c r="G204" s="8">
        <v>202006</v>
      </c>
      <c r="H204" s="8" t="s">
        <v>7007</v>
      </c>
      <c r="I204" s="8">
        <v>202006</v>
      </c>
      <c r="J204" s="8" t="s">
        <v>7007</v>
      </c>
      <c r="K204" s="52">
        <f t="shared" si="35"/>
        <v>43990</v>
      </c>
      <c r="L204" s="52">
        <f t="shared" si="36"/>
        <v>43996</v>
      </c>
      <c r="M204" s="55" t="str">
        <f t="shared" si="37"/>
        <v>08/06/20 @ 
14/06/20</v>
      </c>
    </row>
    <row r="205" spans="2:13" ht="24" x14ac:dyDescent="0.25">
      <c r="B205" s="51">
        <f t="shared" si="38"/>
        <v>203</v>
      </c>
      <c r="C205" s="52">
        <f t="shared" si="38"/>
        <v>43997</v>
      </c>
      <c r="D205" s="53">
        <f t="shared" si="34"/>
        <v>43997</v>
      </c>
      <c r="E205" s="54">
        <f t="shared" si="39"/>
        <v>30</v>
      </c>
      <c r="F205" s="54">
        <f t="shared" si="39"/>
        <v>25</v>
      </c>
      <c r="G205" s="8">
        <v>202006</v>
      </c>
      <c r="H205" s="8" t="s">
        <v>7007</v>
      </c>
      <c r="I205" s="8">
        <v>202006</v>
      </c>
      <c r="J205" s="8" t="s">
        <v>7007</v>
      </c>
      <c r="K205" s="52">
        <f t="shared" si="35"/>
        <v>43997</v>
      </c>
      <c r="L205" s="52">
        <f t="shared" si="36"/>
        <v>44003</v>
      </c>
      <c r="M205" s="55" t="str">
        <f t="shared" si="37"/>
        <v>15/06/20 @ 
21/06/20</v>
      </c>
    </row>
    <row r="206" spans="2:13" ht="24" x14ac:dyDescent="0.25">
      <c r="B206" s="51">
        <f t="shared" si="38"/>
        <v>204</v>
      </c>
      <c r="C206" s="52">
        <f t="shared" si="38"/>
        <v>43998</v>
      </c>
      <c r="D206" s="53">
        <f t="shared" si="34"/>
        <v>43998</v>
      </c>
      <c r="E206" s="54">
        <f t="shared" si="39"/>
        <v>30</v>
      </c>
      <c r="F206" s="54">
        <f t="shared" si="39"/>
        <v>25</v>
      </c>
      <c r="G206" s="8">
        <v>202006</v>
      </c>
      <c r="H206" s="8" t="s">
        <v>7007</v>
      </c>
      <c r="I206" s="8">
        <v>202006</v>
      </c>
      <c r="J206" s="8" t="s">
        <v>7007</v>
      </c>
      <c r="K206" s="52">
        <f t="shared" si="35"/>
        <v>43997</v>
      </c>
      <c r="L206" s="52">
        <f t="shared" si="36"/>
        <v>44003</v>
      </c>
      <c r="M206" s="55" t="str">
        <f t="shared" si="37"/>
        <v>15/06/20 @ 
21/06/20</v>
      </c>
    </row>
    <row r="207" spans="2:13" ht="24" x14ac:dyDescent="0.25">
      <c r="B207" s="51">
        <f t="shared" si="38"/>
        <v>205</v>
      </c>
      <c r="C207" s="52">
        <f t="shared" si="38"/>
        <v>43999</v>
      </c>
      <c r="D207" s="53">
        <f t="shared" si="34"/>
        <v>43999</v>
      </c>
      <c r="E207" s="54">
        <f t="shared" si="39"/>
        <v>30</v>
      </c>
      <c r="F207" s="54">
        <f t="shared" si="39"/>
        <v>25</v>
      </c>
      <c r="G207" s="8">
        <v>202006</v>
      </c>
      <c r="H207" s="8" t="s">
        <v>7007</v>
      </c>
      <c r="I207" s="8">
        <v>202006</v>
      </c>
      <c r="J207" s="8" t="s">
        <v>7007</v>
      </c>
      <c r="K207" s="52">
        <f t="shared" si="35"/>
        <v>43997</v>
      </c>
      <c r="L207" s="52">
        <f t="shared" si="36"/>
        <v>44003</v>
      </c>
      <c r="M207" s="55" t="str">
        <f t="shared" si="37"/>
        <v>15/06/20 @ 
21/06/20</v>
      </c>
    </row>
    <row r="208" spans="2:13" ht="24" x14ac:dyDescent="0.25">
      <c r="B208" s="51">
        <f t="shared" si="38"/>
        <v>206</v>
      </c>
      <c r="C208" s="52">
        <f t="shared" si="38"/>
        <v>44000</v>
      </c>
      <c r="D208" s="53">
        <f t="shared" si="34"/>
        <v>44000</v>
      </c>
      <c r="E208" s="54">
        <f t="shared" si="39"/>
        <v>30</v>
      </c>
      <c r="F208" s="54">
        <f t="shared" si="39"/>
        <v>25</v>
      </c>
      <c r="G208" s="8">
        <v>202006</v>
      </c>
      <c r="H208" s="8" t="s">
        <v>7007</v>
      </c>
      <c r="I208" s="8">
        <v>202006</v>
      </c>
      <c r="J208" s="8" t="s">
        <v>7007</v>
      </c>
      <c r="K208" s="52">
        <f t="shared" si="35"/>
        <v>43997</v>
      </c>
      <c r="L208" s="52">
        <f t="shared" si="36"/>
        <v>44003</v>
      </c>
      <c r="M208" s="55" t="str">
        <f t="shared" si="37"/>
        <v>15/06/20 @ 
21/06/20</v>
      </c>
    </row>
    <row r="209" spans="2:13" ht="24" x14ac:dyDescent="0.25">
      <c r="B209" s="51">
        <f t="shared" si="38"/>
        <v>207</v>
      </c>
      <c r="C209" s="52">
        <f t="shared" si="38"/>
        <v>44001</v>
      </c>
      <c r="D209" s="53">
        <f t="shared" si="34"/>
        <v>44001</v>
      </c>
      <c r="E209" s="54">
        <f t="shared" si="39"/>
        <v>30</v>
      </c>
      <c r="F209" s="54">
        <f t="shared" si="39"/>
        <v>25</v>
      </c>
      <c r="G209" s="8">
        <v>202006</v>
      </c>
      <c r="H209" s="8" t="s">
        <v>7007</v>
      </c>
      <c r="I209" s="8">
        <v>202006</v>
      </c>
      <c r="J209" s="8" t="s">
        <v>7007</v>
      </c>
      <c r="K209" s="52">
        <f t="shared" si="35"/>
        <v>43997</v>
      </c>
      <c r="L209" s="52">
        <f t="shared" si="36"/>
        <v>44003</v>
      </c>
      <c r="M209" s="55" t="str">
        <f t="shared" si="37"/>
        <v>15/06/20 @ 
21/06/20</v>
      </c>
    </row>
    <row r="210" spans="2:13" ht="24" x14ac:dyDescent="0.25">
      <c r="B210" s="51">
        <f t="shared" si="38"/>
        <v>208</v>
      </c>
      <c r="C210" s="52">
        <f t="shared" si="38"/>
        <v>44002</v>
      </c>
      <c r="D210" s="53">
        <f t="shared" si="34"/>
        <v>44002</v>
      </c>
      <c r="E210" s="54">
        <f t="shared" si="39"/>
        <v>30</v>
      </c>
      <c r="F210" s="54">
        <f t="shared" si="39"/>
        <v>25</v>
      </c>
      <c r="G210" s="8">
        <v>202006</v>
      </c>
      <c r="H210" s="8" t="s">
        <v>7007</v>
      </c>
      <c r="I210" s="8">
        <v>202006</v>
      </c>
      <c r="J210" s="8" t="s">
        <v>7007</v>
      </c>
      <c r="K210" s="52">
        <f t="shared" si="35"/>
        <v>43997</v>
      </c>
      <c r="L210" s="52">
        <f t="shared" si="36"/>
        <v>44003</v>
      </c>
      <c r="M210" s="55" t="str">
        <f t="shared" si="37"/>
        <v>15/06/20 @ 
21/06/20</v>
      </c>
    </row>
    <row r="211" spans="2:13" ht="24" x14ac:dyDescent="0.25">
      <c r="B211" s="51">
        <f t="shared" si="38"/>
        <v>209</v>
      </c>
      <c r="C211" s="52">
        <f t="shared" si="38"/>
        <v>44003</v>
      </c>
      <c r="D211" s="53">
        <f t="shared" si="34"/>
        <v>44003</v>
      </c>
      <c r="E211" s="54">
        <f t="shared" si="39"/>
        <v>30</v>
      </c>
      <c r="F211" s="54">
        <f t="shared" si="39"/>
        <v>25</v>
      </c>
      <c r="G211" s="8">
        <v>202006</v>
      </c>
      <c r="H211" s="8" t="s">
        <v>7007</v>
      </c>
      <c r="I211" s="8">
        <v>202007</v>
      </c>
      <c r="J211" s="8" t="s">
        <v>7008</v>
      </c>
      <c r="K211" s="52">
        <f t="shared" si="35"/>
        <v>43997</v>
      </c>
      <c r="L211" s="52">
        <f t="shared" si="36"/>
        <v>44003</v>
      </c>
      <c r="M211" s="55" t="str">
        <f t="shared" si="37"/>
        <v>15/06/20 @ 
21/06/20</v>
      </c>
    </row>
    <row r="212" spans="2:13" ht="24" x14ac:dyDescent="0.25">
      <c r="B212" s="51">
        <f t="shared" si="38"/>
        <v>210</v>
      </c>
      <c r="C212" s="52">
        <f t="shared" si="38"/>
        <v>44004</v>
      </c>
      <c r="D212" s="53">
        <f t="shared" si="34"/>
        <v>44004</v>
      </c>
      <c r="E212" s="54">
        <f t="shared" si="39"/>
        <v>31</v>
      </c>
      <c r="F212" s="54">
        <f t="shared" si="39"/>
        <v>26</v>
      </c>
      <c r="G212" s="8">
        <v>202006</v>
      </c>
      <c r="H212" s="8" t="s">
        <v>7007</v>
      </c>
      <c r="I212" s="8">
        <v>202007</v>
      </c>
      <c r="J212" s="8" t="s">
        <v>7008</v>
      </c>
      <c r="K212" s="52">
        <f t="shared" si="35"/>
        <v>44004</v>
      </c>
      <c r="L212" s="52">
        <f t="shared" si="36"/>
        <v>44010</v>
      </c>
      <c r="M212" s="55" t="str">
        <f t="shared" si="37"/>
        <v>22/06/20 @ 
28/06/20</v>
      </c>
    </row>
    <row r="213" spans="2:13" ht="24" x14ac:dyDescent="0.25">
      <c r="B213" s="51">
        <f t="shared" ref="B213:C228" si="40">+B212+1</f>
        <v>211</v>
      </c>
      <c r="C213" s="52">
        <f t="shared" si="40"/>
        <v>44005</v>
      </c>
      <c r="D213" s="53">
        <f t="shared" si="34"/>
        <v>44005</v>
      </c>
      <c r="E213" s="54">
        <f t="shared" si="39"/>
        <v>31</v>
      </c>
      <c r="F213" s="54">
        <f t="shared" si="39"/>
        <v>26</v>
      </c>
      <c r="G213" s="8">
        <v>202006</v>
      </c>
      <c r="H213" s="8" t="s">
        <v>7007</v>
      </c>
      <c r="I213" s="8">
        <v>202007</v>
      </c>
      <c r="J213" s="8" t="s">
        <v>7008</v>
      </c>
      <c r="K213" s="52">
        <f t="shared" si="35"/>
        <v>44004</v>
      </c>
      <c r="L213" s="52">
        <f t="shared" si="36"/>
        <v>44010</v>
      </c>
      <c r="M213" s="55" t="str">
        <f t="shared" si="37"/>
        <v>22/06/20 @ 
28/06/20</v>
      </c>
    </row>
    <row r="214" spans="2:13" ht="24" x14ac:dyDescent="0.25">
      <c r="B214" s="51">
        <f t="shared" si="40"/>
        <v>212</v>
      </c>
      <c r="C214" s="52">
        <f t="shared" si="40"/>
        <v>44006</v>
      </c>
      <c r="D214" s="53">
        <f t="shared" si="34"/>
        <v>44006</v>
      </c>
      <c r="E214" s="54">
        <f t="shared" si="39"/>
        <v>31</v>
      </c>
      <c r="F214" s="54">
        <f t="shared" si="39"/>
        <v>26</v>
      </c>
      <c r="G214" s="8">
        <v>202006</v>
      </c>
      <c r="H214" s="8" t="s">
        <v>7007</v>
      </c>
      <c r="I214" s="8">
        <v>202007</v>
      </c>
      <c r="J214" s="8" t="s">
        <v>7008</v>
      </c>
      <c r="K214" s="52">
        <f t="shared" si="35"/>
        <v>44004</v>
      </c>
      <c r="L214" s="52">
        <f t="shared" si="36"/>
        <v>44010</v>
      </c>
      <c r="M214" s="55" t="str">
        <f t="shared" si="37"/>
        <v>22/06/20 @ 
28/06/20</v>
      </c>
    </row>
    <row r="215" spans="2:13" ht="24" x14ac:dyDescent="0.25">
      <c r="B215" s="51">
        <f t="shared" si="40"/>
        <v>213</v>
      </c>
      <c r="C215" s="52">
        <f t="shared" si="40"/>
        <v>44007</v>
      </c>
      <c r="D215" s="53">
        <f t="shared" si="34"/>
        <v>44007</v>
      </c>
      <c r="E215" s="54">
        <f t="shared" si="39"/>
        <v>31</v>
      </c>
      <c r="F215" s="54">
        <f t="shared" si="39"/>
        <v>26</v>
      </c>
      <c r="G215" s="8">
        <v>202006</v>
      </c>
      <c r="H215" s="8" t="s">
        <v>7007</v>
      </c>
      <c r="I215" s="8">
        <v>202007</v>
      </c>
      <c r="J215" s="8" t="s">
        <v>7008</v>
      </c>
      <c r="K215" s="52">
        <f t="shared" si="35"/>
        <v>44004</v>
      </c>
      <c r="L215" s="52">
        <f t="shared" si="36"/>
        <v>44010</v>
      </c>
      <c r="M215" s="55" t="str">
        <f t="shared" si="37"/>
        <v>22/06/20 @ 
28/06/20</v>
      </c>
    </row>
    <row r="216" spans="2:13" ht="24" x14ac:dyDescent="0.25">
      <c r="B216" s="51">
        <f t="shared" si="40"/>
        <v>214</v>
      </c>
      <c r="C216" s="52">
        <f t="shared" si="40"/>
        <v>44008</v>
      </c>
      <c r="D216" s="53">
        <f t="shared" si="34"/>
        <v>44008</v>
      </c>
      <c r="E216" s="54">
        <f t="shared" si="39"/>
        <v>31</v>
      </c>
      <c r="F216" s="54">
        <f t="shared" si="39"/>
        <v>26</v>
      </c>
      <c r="G216" s="8">
        <v>202006</v>
      </c>
      <c r="H216" s="8" t="s">
        <v>7007</v>
      </c>
      <c r="I216" s="8">
        <v>202007</v>
      </c>
      <c r="J216" s="8" t="s">
        <v>7008</v>
      </c>
      <c r="K216" s="52">
        <f t="shared" si="35"/>
        <v>44004</v>
      </c>
      <c r="L216" s="52">
        <f t="shared" si="36"/>
        <v>44010</v>
      </c>
      <c r="M216" s="55" t="str">
        <f t="shared" si="37"/>
        <v>22/06/20 @ 
28/06/20</v>
      </c>
    </row>
    <row r="217" spans="2:13" ht="24" x14ac:dyDescent="0.25">
      <c r="B217" s="51">
        <f t="shared" si="40"/>
        <v>215</v>
      </c>
      <c r="C217" s="52">
        <f t="shared" si="40"/>
        <v>44009</v>
      </c>
      <c r="D217" s="53">
        <f t="shared" si="34"/>
        <v>44009</v>
      </c>
      <c r="E217" s="54">
        <f t="shared" si="39"/>
        <v>31</v>
      </c>
      <c r="F217" s="54">
        <f t="shared" si="39"/>
        <v>26</v>
      </c>
      <c r="G217" s="8">
        <v>202006</v>
      </c>
      <c r="H217" s="8" t="s">
        <v>7007</v>
      </c>
      <c r="I217" s="8">
        <v>202007</v>
      </c>
      <c r="J217" s="8" t="s">
        <v>7008</v>
      </c>
      <c r="K217" s="52">
        <f t="shared" si="35"/>
        <v>44004</v>
      </c>
      <c r="L217" s="52">
        <f t="shared" si="36"/>
        <v>44010</v>
      </c>
      <c r="M217" s="55" t="str">
        <f t="shared" si="37"/>
        <v>22/06/20 @ 
28/06/20</v>
      </c>
    </row>
    <row r="218" spans="2:13" ht="24" x14ac:dyDescent="0.25">
      <c r="B218" s="51">
        <f t="shared" si="40"/>
        <v>216</v>
      </c>
      <c r="C218" s="52">
        <f t="shared" si="40"/>
        <v>44010</v>
      </c>
      <c r="D218" s="53">
        <f t="shared" si="34"/>
        <v>44010</v>
      </c>
      <c r="E218" s="54">
        <f t="shared" ref="E218:F233" si="41">+E211+1</f>
        <v>31</v>
      </c>
      <c r="F218" s="54">
        <f t="shared" si="41"/>
        <v>26</v>
      </c>
      <c r="G218" s="8">
        <v>202006</v>
      </c>
      <c r="H218" s="8" t="s">
        <v>7007</v>
      </c>
      <c r="I218" s="8">
        <v>202007</v>
      </c>
      <c r="J218" s="8" t="s">
        <v>7008</v>
      </c>
      <c r="K218" s="52">
        <f t="shared" si="35"/>
        <v>44004</v>
      </c>
      <c r="L218" s="52">
        <f t="shared" si="36"/>
        <v>44010</v>
      </c>
      <c r="M218" s="55" t="str">
        <f t="shared" si="37"/>
        <v>22/06/20 @ 
28/06/20</v>
      </c>
    </row>
    <row r="219" spans="2:13" ht="24" x14ac:dyDescent="0.25">
      <c r="B219" s="51">
        <f t="shared" si="40"/>
        <v>217</v>
      </c>
      <c r="C219" s="52">
        <f t="shared" si="40"/>
        <v>44011</v>
      </c>
      <c r="D219" s="53">
        <f t="shared" si="34"/>
        <v>44011</v>
      </c>
      <c r="E219" s="54">
        <f t="shared" si="41"/>
        <v>32</v>
      </c>
      <c r="F219" s="54">
        <f t="shared" si="41"/>
        <v>27</v>
      </c>
      <c r="G219" s="8">
        <v>202007</v>
      </c>
      <c r="H219" s="8" t="s">
        <v>7008</v>
      </c>
      <c r="I219" s="8">
        <v>202007</v>
      </c>
      <c r="J219" s="8" t="s">
        <v>7008</v>
      </c>
      <c r="K219" s="52">
        <f t="shared" si="35"/>
        <v>44011</v>
      </c>
      <c r="L219" s="52">
        <f t="shared" si="36"/>
        <v>44017</v>
      </c>
      <c r="M219" s="55" t="str">
        <f t="shared" si="37"/>
        <v>29/06/20 @ 
05/07/20</v>
      </c>
    </row>
    <row r="220" spans="2:13" ht="24" x14ac:dyDescent="0.25">
      <c r="B220" s="51">
        <f t="shared" si="40"/>
        <v>218</v>
      </c>
      <c r="C220" s="52">
        <f t="shared" si="40"/>
        <v>44012</v>
      </c>
      <c r="D220" s="53">
        <f t="shared" si="34"/>
        <v>44012</v>
      </c>
      <c r="E220" s="54">
        <f t="shared" si="41"/>
        <v>32</v>
      </c>
      <c r="F220" s="54">
        <f t="shared" si="41"/>
        <v>27</v>
      </c>
      <c r="G220" s="8">
        <v>202007</v>
      </c>
      <c r="H220" s="8" t="s">
        <v>7008</v>
      </c>
      <c r="I220" s="8">
        <v>202007</v>
      </c>
      <c r="J220" s="8" t="s">
        <v>7008</v>
      </c>
      <c r="K220" s="52">
        <f t="shared" si="35"/>
        <v>44011</v>
      </c>
      <c r="L220" s="52">
        <f t="shared" si="36"/>
        <v>44017</v>
      </c>
      <c r="M220" s="55" t="str">
        <f t="shared" si="37"/>
        <v>29/06/20 @ 
05/07/20</v>
      </c>
    </row>
    <row r="221" spans="2:13" ht="24" x14ac:dyDescent="0.25">
      <c r="B221" s="51">
        <f t="shared" si="40"/>
        <v>219</v>
      </c>
      <c r="C221" s="52">
        <f t="shared" si="40"/>
        <v>44013</v>
      </c>
      <c r="D221" s="53">
        <f t="shared" si="34"/>
        <v>44013</v>
      </c>
      <c r="E221" s="54">
        <f t="shared" si="41"/>
        <v>32</v>
      </c>
      <c r="F221" s="54">
        <f t="shared" si="41"/>
        <v>27</v>
      </c>
      <c r="G221" s="8">
        <v>202007</v>
      </c>
      <c r="H221" s="8" t="s">
        <v>7008</v>
      </c>
      <c r="I221" s="8">
        <v>202007</v>
      </c>
      <c r="J221" s="8" t="s">
        <v>7008</v>
      </c>
      <c r="K221" s="52">
        <f t="shared" si="35"/>
        <v>44011</v>
      </c>
      <c r="L221" s="52">
        <f t="shared" si="36"/>
        <v>44017</v>
      </c>
      <c r="M221" s="55" t="str">
        <f t="shared" si="37"/>
        <v>29/06/20 @ 
05/07/20</v>
      </c>
    </row>
    <row r="222" spans="2:13" ht="24" x14ac:dyDescent="0.25">
      <c r="B222" s="51">
        <f t="shared" si="40"/>
        <v>220</v>
      </c>
      <c r="C222" s="52">
        <f t="shared" si="40"/>
        <v>44014</v>
      </c>
      <c r="D222" s="53">
        <f t="shared" si="34"/>
        <v>44014</v>
      </c>
      <c r="E222" s="54">
        <f t="shared" si="41"/>
        <v>32</v>
      </c>
      <c r="F222" s="54">
        <f t="shared" si="41"/>
        <v>27</v>
      </c>
      <c r="G222" s="8">
        <v>202007</v>
      </c>
      <c r="H222" s="8" t="s">
        <v>7008</v>
      </c>
      <c r="I222" s="8">
        <v>202007</v>
      </c>
      <c r="J222" s="8" t="s">
        <v>7008</v>
      </c>
      <c r="K222" s="52">
        <f t="shared" si="35"/>
        <v>44011</v>
      </c>
      <c r="L222" s="52">
        <f t="shared" si="36"/>
        <v>44017</v>
      </c>
      <c r="M222" s="55" t="str">
        <f t="shared" si="37"/>
        <v>29/06/20 @ 
05/07/20</v>
      </c>
    </row>
    <row r="223" spans="2:13" ht="24" x14ac:dyDescent="0.25">
      <c r="B223" s="51">
        <f t="shared" si="40"/>
        <v>221</v>
      </c>
      <c r="C223" s="52">
        <f t="shared" si="40"/>
        <v>44015</v>
      </c>
      <c r="D223" s="53">
        <f t="shared" si="34"/>
        <v>44015</v>
      </c>
      <c r="E223" s="54">
        <f t="shared" si="41"/>
        <v>32</v>
      </c>
      <c r="F223" s="54">
        <f t="shared" si="41"/>
        <v>27</v>
      </c>
      <c r="G223" s="8">
        <v>202007</v>
      </c>
      <c r="H223" s="8" t="s">
        <v>7008</v>
      </c>
      <c r="I223" s="8">
        <v>202007</v>
      </c>
      <c r="J223" s="8" t="s">
        <v>7008</v>
      </c>
      <c r="K223" s="52">
        <f t="shared" si="35"/>
        <v>44011</v>
      </c>
      <c r="L223" s="52">
        <f t="shared" si="36"/>
        <v>44017</v>
      </c>
      <c r="M223" s="55" t="str">
        <f t="shared" si="37"/>
        <v>29/06/20 @ 
05/07/20</v>
      </c>
    </row>
    <row r="224" spans="2:13" ht="24" x14ac:dyDescent="0.25">
      <c r="B224" s="51">
        <f t="shared" si="40"/>
        <v>222</v>
      </c>
      <c r="C224" s="52">
        <f t="shared" si="40"/>
        <v>44016</v>
      </c>
      <c r="D224" s="53">
        <f t="shared" si="34"/>
        <v>44016</v>
      </c>
      <c r="E224" s="54">
        <f t="shared" si="41"/>
        <v>32</v>
      </c>
      <c r="F224" s="54">
        <f t="shared" si="41"/>
        <v>27</v>
      </c>
      <c r="G224" s="8">
        <v>202007</v>
      </c>
      <c r="H224" s="8" t="s">
        <v>7008</v>
      </c>
      <c r="I224" s="8">
        <v>202007</v>
      </c>
      <c r="J224" s="8" t="s">
        <v>7008</v>
      </c>
      <c r="K224" s="52">
        <f t="shared" si="35"/>
        <v>44011</v>
      </c>
      <c r="L224" s="52">
        <f t="shared" si="36"/>
        <v>44017</v>
      </c>
      <c r="M224" s="55" t="str">
        <f t="shared" si="37"/>
        <v>29/06/20 @ 
05/07/20</v>
      </c>
    </row>
    <row r="225" spans="2:13" ht="24" x14ac:dyDescent="0.25">
      <c r="B225" s="51">
        <f t="shared" si="40"/>
        <v>223</v>
      </c>
      <c r="C225" s="52">
        <f t="shared" si="40"/>
        <v>44017</v>
      </c>
      <c r="D225" s="53">
        <f t="shared" si="34"/>
        <v>44017</v>
      </c>
      <c r="E225" s="54">
        <f t="shared" si="41"/>
        <v>32</v>
      </c>
      <c r="F225" s="54">
        <f t="shared" si="41"/>
        <v>27</v>
      </c>
      <c r="G225" s="8">
        <v>202007</v>
      </c>
      <c r="H225" s="8" t="s">
        <v>7008</v>
      </c>
      <c r="I225" s="8">
        <v>202007</v>
      </c>
      <c r="J225" s="8" t="s">
        <v>7008</v>
      </c>
      <c r="K225" s="52">
        <f t="shared" si="35"/>
        <v>44011</v>
      </c>
      <c r="L225" s="52">
        <f t="shared" si="36"/>
        <v>44017</v>
      </c>
      <c r="M225" s="55" t="str">
        <f t="shared" si="37"/>
        <v>29/06/20 @ 
05/07/20</v>
      </c>
    </row>
    <row r="226" spans="2:13" ht="24" x14ac:dyDescent="0.25">
      <c r="B226" s="51">
        <f t="shared" si="40"/>
        <v>224</v>
      </c>
      <c r="C226" s="52">
        <f t="shared" si="40"/>
        <v>44018</v>
      </c>
      <c r="D226" s="53">
        <f t="shared" si="34"/>
        <v>44018</v>
      </c>
      <c r="E226" s="54">
        <f t="shared" si="41"/>
        <v>33</v>
      </c>
      <c r="F226" s="54">
        <f t="shared" si="41"/>
        <v>28</v>
      </c>
      <c r="G226" s="8">
        <v>202007</v>
      </c>
      <c r="H226" s="8" t="s">
        <v>7008</v>
      </c>
      <c r="I226" s="8">
        <v>202007</v>
      </c>
      <c r="J226" s="8" t="s">
        <v>7008</v>
      </c>
      <c r="K226" s="52">
        <f t="shared" si="35"/>
        <v>44018</v>
      </c>
      <c r="L226" s="52">
        <f t="shared" si="36"/>
        <v>44024</v>
      </c>
      <c r="M226" s="55" t="str">
        <f t="shared" si="37"/>
        <v>06/07/20 @ 
12/07/20</v>
      </c>
    </row>
    <row r="227" spans="2:13" ht="24" x14ac:dyDescent="0.25">
      <c r="B227" s="51">
        <f t="shared" si="40"/>
        <v>225</v>
      </c>
      <c r="C227" s="52">
        <f t="shared" si="40"/>
        <v>44019</v>
      </c>
      <c r="D227" s="53">
        <f t="shared" si="34"/>
        <v>44019</v>
      </c>
      <c r="E227" s="54">
        <f t="shared" si="41"/>
        <v>33</v>
      </c>
      <c r="F227" s="54">
        <f t="shared" si="41"/>
        <v>28</v>
      </c>
      <c r="G227" s="8">
        <v>202007</v>
      </c>
      <c r="H227" s="8" t="s">
        <v>7008</v>
      </c>
      <c r="I227" s="8">
        <v>202007</v>
      </c>
      <c r="J227" s="8" t="s">
        <v>7008</v>
      </c>
      <c r="K227" s="52">
        <f t="shared" si="35"/>
        <v>44018</v>
      </c>
      <c r="L227" s="52">
        <f t="shared" si="36"/>
        <v>44024</v>
      </c>
      <c r="M227" s="55" t="str">
        <f t="shared" si="37"/>
        <v>06/07/20 @ 
12/07/20</v>
      </c>
    </row>
    <row r="228" spans="2:13" ht="24" x14ac:dyDescent="0.25">
      <c r="B228" s="51">
        <f t="shared" si="40"/>
        <v>226</v>
      </c>
      <c r="C228" s="52">
        <f t="shared" si="40"/>
        <v>44020</v>
      </c>
      <c r="D228" s="53">
        <f t="shared" si="34"/>
        <v>44020</v>
      </c>
      <c r="E228" s="54">
        <f t="shared" si="41"/>
        <v>33</v>
      </c>
      <c r="F228" s="54">
        <f t="shared" si="41"/>
        <v>28</v>
      </c>
      <c r="G228" s="8">
        <v>202007</v>
      </c>
      <c r="H228" s="8" t="s">
        <v>7008</v>
      </c>
      <c r="I228" s="8">
        <v>202007</v>
      </c>
      <c r="J228" s="8" t="s">
        <v>7008</v>
      </c>
      <c r="K228" s="52">
        <f t="shared" si="35"/>
        <v>44018</v>
      </c>
      <c r="L228" s="52">
        <f t="shared" si="36"/>
        <v>44024</v>
      </c>
      <c r="M228" s="55" t="str">
        <f t="shared" si="37"/>
        <v>06/07/20 @ 
12/07/20</v>
      </c>
    </row>
    <row r="229" spans="2:13" ht="24" x14ac:dyDescent="0.25">
      <c r="B229" s="51">
        <f t="shared" ref="B229:C244" si="42">+B228+1</f>
        <v>227</v>
      </c>
      <c r="C229" s="52">
        <f t="shared" si="42"/>
        <v>44021</v>
      </c>
      <c r="D229" s="53">
        <f t="shared" si="34"/>
        <v>44021</v>
      </c>
      <c r="E229" s="54">
        <f t="shared" si="41"/>
        <v>33</v>
      </c>
      <c r="F229" s="54">
        <f t="shared" si="41"/>
        <v>28</v>
      </c>
      <c r="G229" s="8">
        <v>202007</v>
      </c>
      <c r="H229" s="8" t="s">
        <v>7008</v>
      </c>
      <c r="I229" s="8">
        <v>202007</v>
      </c>
      <c r="J229" s="8" t="s">
        <v>7008</v>
      </c>
      <c r="K229" s="52">
        <f t="shared" si="35"/>
        <v>44018</v>
      </c>
      <c r="L229" s="52">
        <f t="shared" si="36"/>
        <v>44024</v>
      </c>
      <c r="M229" s="55" t="str">
        <f t="shared" si="37"/>
        <v>06/07/20 @ 
12/07/20</v>
      </c>
    </row>
    <row r="230" spans="2:13" ht="24" x14ac:dyDescent="0.25">
      <c r="B230" s="51">
        <f t="shared" si="42"/>
        <v>228</v>
      </c>
      <c r="C230" s="52">
        <f t="shared" si="42"/>
        <v>44022</v>
      </c>
      <c r="D230" s="53">
        <f t="shared" si="34"/>
        <v>44022</v>
      </c>
      <c r="E230" s="54">
        <f t="shared" si="41"/>
        <v>33</v>
      </c>
      <c r="F230" s="54">
        <f t="shared" si="41"/>
        <v>28</v>
      </c>
      <c r="G230" s="8">
        <v>202007</v>
      </c>
      <c r="H230" s="8" t="s">
        <v>7008</v>
      </c>
      <c r="I230" s="8">
        <v>202007</v>
      </c>
      <c r="J230" s="8" t="s">
        <v>7008</v>
      </c>
      <c r="K230" s="52">
        <f t="shared" si="35"/>
        <v>44018</v>
      </c>
      <c r="L230" s="52">
        <f t="shared" si="36"/>
        <v>44024</v>
      </c>
      <c r="M230" s="55" t="str">
        <f t="shared" si="37"/>
        <v>06/07/20 @ 
12/07/20</v>
      </c>
    </row>
    <row r="231" spans="2:13" ht="24" x14ac:dyDescent="0.25">
      <c r="B231" s="51">
        <f t="shared" si="42"/>
        <v>229</v>
      </c>
      <c r="C231" s="52">
        <f t="shared" si="42"/>
        <v>44023</v>
      </c>
      <c r="D231" s="53">
        <f t="shared" si="34"/>
        <v>44023</v>
      </c>
      <c r="E231" s="54">
        <f t="shared" si="41"/>
        <v>33</v>
      </c>
      <c r="F231" s="54">
        <f t="shared" si="41"/>
        <v>28</v>
      </c>
      <c r="G231" s="8">
        <v>202007</v>
      </c>
      <c r="H231" s="8" t="s">
        <v>7008</v>
      </c>
      <c r="I231" s="8">
        <v>202007</v>
      </c>
      <c r="J231" s="8" t="s">
        <v>7008</v>
      </c>
      <c r="K231" s="52">
        <f t="shared" si="35"/>
        <v>44018</v>
      </c>
      <c r="L231" s="52">
        <f t="shared" si="36"/>
        <v>44024</v>
      </c>
      <c r="M231" s="55" t="str">
        <f t="shared" si="37"/>
        <v>06/07/20 @ 
12/07/20</v>
      </c>
    </row>
    <row r="232" spans="2:13" ht="24" x14ac:dyDescent="0.25">
      <c r="B232" s="51">
        <f t="shared" si="42"/>
        <v>230</v>
      </c>
      <c r="C232" s="52">
        <f t="shared" si="42"/>
        <v>44024</v>
      </c>
      <c r="D232" s="53">
        <f t="shared" si="34"/>
        <v>44024</v>
      </c>
      <c r="E232" s="54">
        <f t="shared" si="41"/>
        <v>33</v>
      </c>
      <c r="F232" s="54">
        <f t="shared" si="41"/>
        <v>28</v>
      </c>
      <c r="G232" s="8">
        <v>202007</v>
      </c>
      <c r="H232" s="8" t="s">
        <v>7008</v>
      </c>
      <c r="I232" s="8">
        <v>202007</v>
      </c>
      <c r="J232" s="8" t="s">
        <v>7008</v>
      </c>
      <c r="K232" s="52">
        <f t="shared" si="35"/>
        <v>44018</v>
      </c>
      <c r="L232" s="52">
        <f t="shared" si="36"/>
        <v>44024</v>
      </c>
      <c r="M232" s="55" t="str">
        <f t="shared" si="37"/>
        <v>06/07/20 @ 
12/07/20</v>
      </c>
    </row>
    <row r="233" spans="2:13" ht="24" x14ac:dyDescent="0.25">
      <c r="B233" s="51">
        <f t="shared" si="42"/>
        <v>231</v>
      </c>
      <c r="C233" s="52">
        <f t="shared" si="42"/>
        <v>44025</v>
      </c>
      <c r="D233" s="53">
        <f t="shared" si="34"/>
        <v>44025</v>
      </c>
      <c r="E233" s="54">
        <f t="shared" si="41"/>
        <v>34</v>
      </c>
      <c r="F233" s="54">
        <f t="shared" si="41"/>
        <v>29</v>
      </c>
      <c r="G233" s="8">
        <v>202007</v>
      </c>
      <c r="H233" s="8" t="s">
        <v>7008</v>
      </c>
      <c r="I233" s="8">
        <v>202007</v>
      </c>
      <c r="J233" s="8" t="s">
        <v>7008</v>
      </c>
      <c r="K233" s="52">
        <f t="shared" si="35"/>
        <v>44025</v>
      </c>
      <c r="L233" s="52">
        <f t="shared" si="36"/>
        <v>44031</v>
      </c>
      <c r="M233" s="55" t="str">
        <f t="shared" si="37"/>
        <v>13/07/20 @ 
19/07/20</v>
      </c>
    </row>
    <row r="234" spans="2:13" ht="24" x14ac:dyDescent="0.25">
      <c r="B234" s="51">
        <f t="shared" si="42"/>
        <v>232</v>
      </c>
      <c r="C234" s="52">
        <f t="shared" si="42"/>
        <v>44026</v>
      </c>
      <c r="D234" s="53">
        <f t="shared" si="34"/>
        <v>44026</v>
      </c>
      <c r="E234" s="54">
        <f t="shared" ref="E234:F249" si="43">+E227+1</f>
        <v>34</v>
      </c>
      <c r="F234" s="54">
        <f t="shared" si="43"/>
        <v>29</v>
      </c>
      <c r="G234" s="8">
        <v>202007</v>
      </c>
      <c r="H234" s="8" t="s">
        <v>7008</v>
      </c>
      <c r="I234" s="8">
        <v>202007</v>
      </c>
      <c r="J234" s="8" t="s">
        <v>7008</v>
      </c>
      <c r="K234" s="52">
        <f t="shared" si="35"/>
        <v>44025</v>
      </c>
      <c r="L234" s="52">
        <f t="shared" si="36"/>
        <v>44031</v>
      </c>
      <c r="M234" s="55" t="str">
        <f t="shared" si="37"/>
        <v>13/07/20 @ 
19/07/20</v>
      </c>
    </row>
    <row r="235" spans="2:13" ht="24" x14ac:dyDescent="0.25">
      <c r="B235" s="51">
        <f t="shared" si="42"/>
        <v>233</v>
      </c>
      <c r="C235" s="52">
        <f t="shared" si="42"/>
        <v>44027</v>
      </c>
      <c r="D235" s="53">
        <f t="shared" si="34"/>
        <v>44027</v>
      </c>
      <c r="E235" s="54">
        <f t="shared" si="43"/>
        <v>34</v>
      </c>
      <c r="F235" s="54">
        <f t="shared" si="43"/>
        <v>29</v>
      </c>
      <c r="G235" s="8">
        <v>202007</v>
      </c>
      <c r="H235" s="8" t="s">
        <v>7008</v>
      </c>
      <c r="I235" s="8">
        <v>202007</v>
      </c>
      <c r="J235" s="8" t="s">
        <v>7008</v>
      </c>
      <c r="K235" s="52">
        <f t="shared" si="35"/>
        <v>44025</v>
      </c>
      <c r="L235" s="52">
        <f t="shared" si="36"/>
        <v>44031</v>
      </c>
      <c r="M235" s="55" t="str">
        <f t="shared" si="37"/>
        <v>13/07/20 @ 
19/07/20</v>
      </c>
    </row>
    <row r="236" spans="2:13" ht="24" x14ac:dyDescent="0.25">
      <c r="B236" s="51">
        <f t="shared" si="42"/>
        <v>234</v>
      </c>
      <c r="C236" s="52">
        <f t="shared" si="42"/>
        <v>44028</v>
      </c>
      <c r="D236" s="53">
        <f t="shared" si="34"/>
        <v>44028</v>
      </c>
      <c r="E236" s="54">
        <f t="shared" si="43"/>
        <v>34</v>
      </c>
      <c r="F236" s="54">
        <f t="shared" si="43"/>
        <v>29</v>
      </c>
      <c r="G236" s="8">
        <v>202007</v>
      </c>
      <c r="H236" s="8" t="s">
        <v>7008</v>
      </c>
      <c r="I236" s="8">
        <v>202007</v>
      </c>
      <c r="J236" s="8" t="s">
        <v>7008</v>
      </c>
      <c r="K236" s="52">
        <f t="shared" si="35"/>
        <v>44025</v>
      </c>
      <c r="L236" s="52">
        <f t="shared" si="36"/>
        <v>44031</v>
      </c>
      <c r="M236" s="55" t="str">
        <f t="shared" si="37"/>
        <v>13/07/20 @ 
19/07/20</v>
      </c>
    </row>
    <row r="237" spans="2:13" ht="24" x14ac:dyDescent="0.25">
      <c r="B237" s="51">
        <f t="shared" si="42"/>
        <v>235</v>
      </c>
      <c r="C237" s="52">
        <f t="shared" si="42"/>
        <v>44029</v>
      </c>
      <c r="D237" s="53">
        <f t="shared" si="34"/>
        <v>44029</v>
      </c>
      <c r="E237" s="54">
        <f t="shared" si="43"/>
        <v>34</v>
      </c>
      <c r="F237" s="54">
        <f t="shared" si="43"/>
        <v>29</v>
      </c>
      <c r="G237" s="8">
        <v>202007</v>
      </c>
      <c r="H237" s="8" t="s">
        <v>7008</v>
      </c>
      <c r="I237" s="8">
        <v>202007</v>
      </c>
      <c r="J237" s="8" t="s">
        <v>7008</v>
      </c>
      <c r="K237" s="52">
        <f t="shared" si="35"/>
        <v>44025</v>
      </c>
      <c r="L237" s="52">
        <f t="shared" si="36"/>
        <v>44031</v>
      </c>
      <c r="M237" s="55" t="str">
        <f t="shared" si="37"/>
        <v>13/07/20 @ 
19/07/20</v>
      </c>
    </row>
    <row r="238" spans="2:13" ht="24" x14ac:dyDescent="0.25">
      <c r="B238" s="51">
        <f t="shared" si="42"/>
        <v>236</v>
      </c>
      <c r="C238" s="52">
        <f t="shared" si="42"/>
        <v>44030</v>
      </c>
      <c r="D238" s="53">
        <f t="shared" si="34"/>
        <v>44030</v>
      </c>
      <c r="E238" s="54">
        <f t="shared" si="43"/>
        <v>34</v>
      </c>
      <c r="F238" s="54">
        <f t="shared" si="43"/>
        <v>29</v>
      </c>
      <c r="G238" s="8">
        <v>202007</v>
      </c>
      <c r="H238" s="8" t="s">
        <v>7008</v>
      </c>
      <c r="I238" s="8">
        <v>202007</v>
      </c>
      <c r="J238" s="8" t="s">
        <v>7008</v>
      </c>
      <c r="K238" s="52">
        <f t="shared" si="35"/>
        <v>44025</v>
      </c>
      <c r="L238" s="52">
        <f t="shared" si="36"/>
        <v>44031</v>
      </c>
      <c r="M238" s="55" t="str">
        <f t="shared" si="37"/>
        <v>13/07/20 @ 
19/07/20</v>
      </c>
    </row>
    <row r="239" spans="2:13" ht="24" x14ac:dyDescent="0.25">
      <c r="B239" s="51">
        <f t="shared" si="42"/>
        <v>237</v>
      </c>
      <c r="C239" s="52">
        <f t="shared" si="42"/>
        <v>44031</v>
      </c>
      <c r="D239" s="53">
        <f t="shared" si="34"/>
        <v>44031</v>
      </c>
      <c r="E239" s="54">
        <f t="shared" si="43"/>
        <v>34</v>
      </c>
      <c r="F239" s="54">
        <f t="shared" si="43"/>
        <v>29</v>
      </c>
      <c r="G239" s="8">
        <v>202007</v>
      </c>
      <c r="H239" s="8" t="s">
        <v>7008</v>
      </c>
      <c r="I239" s="8">
        <v>202007</v>
      </c>
      <c r="J239" s="8" t="s">
        <v>7008</v>
      </c>
      <c r="K239" s="52">
        <f t="shared" si="35"/>
        <v>44025</v>
      </c>
      <c r="L239" s="52">
        <f t="shared" si="36"/>
        <v>44031</v>
      </c>
      <c r="M239" s="55" t="str">
        <f t="shared" si="37"/>
        <v>13/07/20 @ 
19/07/20</v>
      </c>
    </row>
    <row r="240" spans="2:13" ht="24" x14ac:dyDescent="0.25">
      <c r="B240" s="51">
        <f t="shared" si="42"/>
        <v>238</v>
      </c>
      <c r="C240" s="52">
        <f t="shared" si="42"/>
        <v>44032</v>
      </c>
      <c r="D240" s="53">
        <f t="shared" si="34"/>
        <v>44032</v>
      </c>
      <c r="E240" s="54">
        <f t="shared" si="43"/>
        <v>35</v>
      </c>
      <c r="F240" s="54">
        <f t="shared" si="43"/>
        <v>30</v>
      </c>
      <c r="G240" s="8">
        <v>202007</v>
      </c>
      <c r="H240" s="8" t="s">
        <v>7008</v>
      </c>
      <c r="I240" s="8">
        <v>202007</v>
      </c>
      <c r="J240" s="8" t="s">
        <v>7008</v>
      </c>
      <c r="K240" s="52">
        <f t="shared" si="35"/>
        <v>44032</v>
      </c>
      <c r="L240" s="52">
        <f t="shared" si="36"/>
        <v>44038</v>
      </c>
      <c r="M240" s="55" t="str">
        <f t="shared" si="37"/>
        <v>20/07/20 @ 
26/07/20</v>
      </c>
    </row>
    <row r="241" spans="2:23" ht="24" x14ac:dyDescent="0.25">
      <c r="B241" s="51">
        <f t="shared" si="42"/>
        <v>239</v>
      </c>
      <c r="C241" s="52">
        <f t="shared" si="42"/>
        <v>44033</v>
      </c>
      <c r="D241" s="53">
        <f t="shared" si="34"/>
        <v>44033</v>
      </c>
      <c r="E241" s="54">
        <f t="shared" si="43"/>
        <v>35</v>
      </c>
      <c r="F241" s="54">
        <f t="shared" si="43"/>
        <v>30</v>
      </c>
      <c r="G241" s="8">
        <v>202007</v>
      </c>
      <c r="H241" s="8" t="s">
        <v>7008</v>
      </c>
      <c r="I241" s="8">
        <v>202008</v>
      </c>
      <c r="J241" s="8" t="s">
        <v>7009</v>
      </c>
      <c r="K241" s="52">
        <f t="shared" si="35"/>
        <v>44032</v>
      </c>
      <c r="L241" s="52">
        <f t="shared" si="36"/>
        <v>44038</v>
      </c>
      <c r="M241" s="55" t="str">
        <f t="shared" si="37"/>
        <v>20/07/20 @ 
26/07/20</v>
      </c>
    </row>
    <row r="242" spans="2:23" ht="24" x14ac:dyDescent="0.25">
      <c r="B242" s="51">
        <f t="shared" si="42"/>
        <v>240</v>
      </c>
      <c r="C242" s="52">
        <f t="shared" si="42"/>
        <v>44034</v>
      </c>
      <c r="D242" s="53">
        <f t="shared" si="34"/>
        <v>44034</v>
      </c>
      <c r="E242" s="54">
        <f t="shared" si="43"/>
        <v>35</v>
      </c>
      <c r="F242" s="54">
        <f t="shared" si="43"/>
        <v>30</v>
      </c>
      <c r="G242" s="8">
        <v>202007</v>
      </c>
      <c r="H242" s="8" t="s">
        <v>7008</v>
      </c>
      <c r="I242" s="8">
        <v>202008</v>
      </c>
      <c r="J242" s="8" t="s">
        <v>7009</v>
      </c>
      <c r="K242" s="52">
        <f t="shared" si="35"/>
        <v>44032</v>
      </c>
      <c r="L242" s="52">
        <f t="shared" si="36"/>
        <v>44038</v>
      </c>
      <c r="M242" s="55" t="str">
        <f t="shared" si="37"/>
        <v>20/07/20 @ 
26/07/20</v>
      </c>
    </row>
    <row r="243" spans="2:23" ht="24" x14ac:dyDescent="0.25">
      <c r="B243" s="51">
        <f t="shared" si="42"/>
        <v>241</v>
      </c>
      <c r="C243" s="52">
        <f t="shared" si="42"/>
        <v>44035</v>
      </c>
      <c r="D243" s="53">
        <f t="shared" si="34"/>
        <v>44035</v>
      </c>
      <c r="E243" s="54">
        <f t="shared" si="43"/>
        <v>35</v>
      </c>
      <c r="F243" s="54">
        <f t="shared" si="43"/>
        <v>30</v>
      </c>
      <c r="G243" s="8">
        <v>202007</v>
      </c>
      <c r="H243" s="8" t="s">
        <v>7008</v>
      </c>
      <c r="I243" s="8">
        <v>202008</v>
      </c>
      <c r="J243" s="8" t="s">
        <v>7009</v>
      </c>
      <c r="K243" s="52">
        <f t="shared" si="35"/>
        <v>44032</v>
      </c>
      <c r="L243" s="52">
        <f t="shared" si="36"/>
        <v>44038</v>
      </c>
      <c r="M243" s="55" t="str">
        <f t="shared" si="37"/>
        <v>20/07/20 @ 
26/07/20</v>
      </c>
    </row>
    <row r="244" spans="2:23" ht="24" x14ac:dyDescent="0.25">
      <c r="B244" s="51">
        <f t="shared" si="42"/>
        <v>242</v>
      </c>
      <c r="C244" s="52">
        <f t="shared" si="42"/>
        <v>44036</v>
      </c>
      <c r="D244" s="53">
        <f t="shared" si="34"/>
        <v>44036</v>
      </c>
      <c r="E244" s="54">
        <f t="shared" si="43"/>
        <v>35</v>
      </c>
      <c r="F244" s="54">
        <f t="shared" si="43"/>
        <v>30</v>
      </c>
      <c r="G244" s="8">
        <v>202007</v>
      </c>
      <c r="H244" s="8" t="s">
        <v>7008</v>
      </c>
      <c r="I244" s="8">
        <v>202008</v>
      </c>
      <c r="J244" s="8" t="s">
        <v>7009</v>
      </c>
      <c r="K244" s="52">
        <f t="shared" si="35"/>
        <v>44032</v>
      </c>
      <c r="L244" s="52">
        <f t="shared" si="36"/>
        <v>44038</v>
      </c>
      <c r="M244" s="55" t="str">
        <f t="shared" si="37"/>
        <v>20/07/20 @ 
26/07/20</v>
      </c>
      <c r="S244" s="56">
        <v>0.6</v>
      </c>
      <c r="V244" s="57"/>
      <c r="W244" s="57"/>
    </row>
    <row r="245" spans="2:23" ht="24" x14ac:dyDescent="0.25">
      <c r="B245" s="51">
        <f t="shared" ref="B245:C260" si="44">+B244+1</f>
        <v>243</v>
      </c>
      <c r="C245" s="52">
        <f t="shared" si="44"/>
        <v>44037</v>
      </c>
      <c r="D245" s="53">
        <f t="shared" si="34"/>
        <v>44037</v>
      </c>
      <c r="E245" s="54">
        <f t="shared" si="43"/>
        <v>35</v>
      </c>
      <c r="F245" s="54">
        <f t="shared" si="43"/>
        <v>30</v>
      </c>
      <c r="G245" s="8">
        <v>202007</v>
      </c>
      <c r="H245" s="8" t="s">
        <v>7008</v>
      </c>
      <c r="I245" s="8">
        <v>202008</v>
      </c>
      <c r="J245" s="8" t="s">
        <v>7009</v>
      </c>
      <c r="K245" s="52">
        <f t="shared" si="35"/>
        <v>44032</v>
      </c>
      <c r="L245" s="52">
        <f t="shared" si="36"/>
        <v>44038</v>
      </c>
      <c r="M245" s="55" t="str">
        <f t="shared" si="37"/>
        <v>20/07/20 @ 
26/07/20</v>
      </c>
    </row>
    <row r="246" spans="2:23" ht="24" x14ac:dyDescent="0.25">
      <c r="B246" s="51">
        <f t="shared" si="44"/>
        <v>244</v>
      </c>
      <c r="C246" s="52">
        <f t="shared" si="44"/>
        <v>44038</v>
      </c>
      <c r="D246" s="53">
        <f t="shared" si="34"/>
        <v>44038</v>
      </c>
      <c r="E246" s="54">
        <f t="shared" si="43"/>
        <v>35</v>
      </c>
      <c r="F246" s="54">
        <f t="shared" si="43"/>
        <v>30</v>
      </c>
      <c r="G246" s="8">
        <v>202007</v>
      </c>
      <c r="H246" s="8" t="s">
        <v>7008</v>
      </c>
      <c r="I246" s="8">
        <v>202008</v>
      </c>
      <c r="J246" s="8" t="s">
        <v>7009</v>
      </c>
      <c r="K246" s="52">
        <f t="shared" si="35"/>
        <v>44032</v>
      </c>
      <c r="L246" s="52">
        <f t="shared" si="36"/>
        <v>44038</v>
      </c>
      <c r="M246" s="55" t="str">
        <f t="shared" si="37"/>
        <v>20/07/20 @ 
26/07/20</v>
      </c>
    </row>
    <row r="247" spans="2:23" ht="24" x14ac:dyDescent="0.25">
      <c r="B247" s="51">
        <f t="shared" si="44"/>
        <v>245</v>
      </c>
      <c r="C247" s="52">
        <f t="shared" si="44"/>
        <v>44039</v>
      </c>
      <c r="D247" s="53">
        <f t="shared" si="34"/>
        <v>44039</v>
      </c>
      <c r="E247" s="54">
        <f t="shared" si="43"/>
        <v>36</v>
      </c>
      <c r="F247" s="54">
        <f t="shared" si="43"/>
        <v>31</v>
      </c>
      <c r="G247" s="8">
        <v>202008</v>
      </c>
      <c r="H247" s="8" t="s">
        <v>7009</v>
      </c>
      <c r="I247" s="8">
        <v>202008</v>
      </c>
      <c r="J247" s="8" t="s">
        <v>7009</v>
      </c>
      <c r="K247" s="52">
        <f t="shared" si="35"/>
        <v>44039</v>
      </c>
      <c r="L247" s="52">
        <f t="shared" si="36"/>
        <v>44045</v>
      </c>
      <c r="M247" s="55" t="str">
        <f t="shared" si="37"/>
        <v>27/07/20 @ 
02/08/20</v>
      </c>
    </row>
    <row r="248" spans="2:23" ht="24" x14ac:dyDescent="0.25">
      <c r="B248" s="51">
        <f t="shared" si="44"/>
        <v>246</v>
      </c>
      <c r="C248" s="52">
        <f t="shared" si="44"/>
        <v>44040</v>
      </c>
      <c r="D248" s="53">
        <f t="shared" si="34"/>
        <v>44040</v>
      </c>
      <c r="E248" s="54">
        <f t="shared" si="43"/>
        <v>36</v>
      </c>
      <c r="F248" s="54">
        <f t="shared" si="43"/>
        <v>31</v>
      </c>
      <c r="G248" s="8">
        <v>202008</v>
      </c>
      <c r="H248" s="8" t="s">
        <v>7009</v>
      </c>
      <c r="I248" s="8">
        <v>202008</v>
      </c>
      <c r="J248" s="8" t="s">
        <v>7009</v>
      </c>
      <c r="K248" s="52">
        <f t="shared" si="35"/>
        <v>44039</v>
      </c>
      <c r="L248" s="52">
        <f t="shared" si="36"/>
        <v>44045</v>
      </c>
      <c r="M248" s="55" t="str">
        <f t="shared" si="37"/>
        <v>27/07/20 @ 
02/08/20</v>
      </c>
    </row>
    <row r="249" spans="2:23" ht="24" x14ac:dyDescent="0.25">
      <c r="B249" s="51">
        <f t="shared" si="44"/>
        <v>247</v>
      </c>
      <c r="C249" s="52">
        <f t="shared" si="44"/>
        <v>44041</v>
      </c>
      <c r="D249" s="53">
        <f t="shared" si="34"/>
        <v>44041</v>
      </c>
      <c r="E249" s="54">
        <f t="shared" si="43"/>
        <v>36</v>
      </c>
      <c r="F249" s="54">
        <f t="shared" si="43"/>
        <v>31</v>
      </c>
      <c r="G249" s="8">
        <v>202008</v>
      </c>
      <c r="H249" s="8" t="s">
        <v>7009</v>
      </c>
      <c r="I249" s="8">
        <v>202008</v>
      </c>
      <c r="J249" s="8" t="s">
        <v>7009</v>
      </c>
      <c r="K249" s="52">
        <f t="shared" si="35"/>
        <v>44039</v>
      </c>
      <c r="L249" s="52">
        <f t="shared" si="36"/>
        <v>44045</v>
      </c>
      <c r="M249" s="55" t="str">
        <f t="shared" si="37"/>
        <v>27/07/20 @ 
02/08/20</v>
      </c>
    </row>
    <row r="250" spans="2:23" ht="24" x14ac:dyDescent="0.25">
      <c r="B250" s="51">
        <f t="shared" si="44"/>
        <v>248</v>
      </c>
      <c r="C250" s="52">
        <f t="shared" si="44"/>
        <v>44042</v>
      </c>
      <c r="D250" s="53">
        <f t="shared" si="34"/>
        <v>44042</v>
      </c>
      <c r="E250" s="54">
        <f t="shared" ref="E250:F265" si="45">+E243+1</f>
        <v>36</v>
      </c>
      <c r="F250" s="54">
        <f t="shared" si="45"/>
        <v>31</v>
      </c>
      <c r="G250" s="8">
        <v>202008</v>
      </c>
      <c r="H250" s="8" t="s">
        <v>7009</v>
      </c>
      <c r="I250" s="8">
        <v>202008</v>
      </c>
      <c r="J250" s="8" t="s">
        <v>7009</v>
      </c>
      <c r="K250" s="52">
        <f t="shared" si="35"/>
        <v>44039</v>
      </c>
      <c r="L250" s="52">
        <f t="shared" si="36"/>
        <v>44045</v>
      </c>
      <c r="M250" s="55" t="str">
        <f t="shared" si="37"/>
        <v>27/07/20 @ 
02/08/20</v>
      </c>
    </row>
    <row r="251" spans="2:23" ht="24" x14ac:dyDescent="0.25">
      <c r="B251" s="51">
        <f t="shared" si="44"/>
        <v>249</v>
      </c>
      <c r="C251" s="52">
        <f t="shared" si="44"/>
        <v>44043</v>
      </c>
      <c r="D251" s="53">
        <f t="shared" si="34"/>
        <v>44043</v>
      </c>
      <c r="E251" s="54">
        <f t="shared" si="45"/>
        <v>36</v>
      </c>
      <c r="F251" s="54">
        <f t="shared" si="45"/>
        <v>31</v>
      </c>
      <c r="G251" s="8">
        <v>202008</v>
      </c>
      <c r="H251" s="8" t="s">
        <v>7009</v>
      </c>
      <c r="I251" s="8">
        <v>202008</v>
      </c>
      <c r="J251" s="8" t="s">
        <v>7009</v>
      </c>
      <c r="K251" s="52">
        <f t="shared" si="35"/>
        <v>44039</v>
      </c>
      <c r="L251" s="52">
        <f t="shared" si="36"/>
        <v>44045</v>
      </c>
      <c r="M251" s="55" t="str">
        <f t="shared" si="37"/>
        <v>27/07/20 @ 
02/08/20</v>
      </c>
    </row>
    <row r="252" spans="2:23" ht="24" x14ac:dyDescent="0.25">
      <c r="B252" s="51">
        <f t="shared" si="44"/>
        <v>250</v>
      </c>
      <c r="C252" s="52">
        <f t="shared" si="44"/>
        <v>44044</v>
      </c>
      <c r="D252" s="53">
        <f t="shared" si="34"/>
        <v>44044</v>
      </c>
      <c r="E252" s="54">
        <f t="shared" si="45"/>
        <v>36</v>
      </c>
      <c r="F252" s="54">
        <f t="shared" si="45"/>
        <v>31</v>
      </c>
      <c r="G252" s="8">
        <v>202008</v>
      </c>
      <c r="H252" s="8" t="s">
        <v>7009</v>
      </c>
      <c r="I252" s="8">
        <v>202008</v>
      </c>
      <c r="J252" s="8" t="s">
        <v>7009</v>
      </c>
      <c r="K252" s="52">
        <f t="shared" si="35"/>
        <v>44039</v>
      </c>
      <c r="L252" s="52">
        <f t="shared" si="36"/>
        <v>44045</v>
      </c>
      <c r="M252" s="55" t="str">
        <f t="shared" si="37"/>
        <v>27/07/20 @ 
02/08/20</v>
      </c>
    </row>
    <row r="253" spans="2:23" ht="24" x14ac:dyDescent="0.25">
      <c r="B253" s="51">
        <f t="shared" si="44"/>
        <v>251</v>
      </c>
      <c r="C253" s="52">
        <f t="shared" si="44"/>
        <v>44045</v>
      </c>
      <c r="D253" s="53">
        <f t="shared" si="34"/>
        <v>44045</v>
      </c>
      <c r="E253" s="54">
        <f t="shared" si="45"/>
        <v>36</v>
      </c>
      <c r="F253" s="54">
        <f t="shared" si="45"/>
        <v>31</v>
      </c>
      <c r="G253" s="8">
        <v>202008</v>
      </c>
      <c r="H253" s="8" t="s">
        <v>7009</v>
      </c>
      <c r="I253" s="8">
        <v>202008</v>
      </c>
      <c r="J253" s="8" t="s">
        <v>7009</v>
      </c>
      <c r="K253" s="52">
        <f t="shared" si="35"/>
        <v>44039</v>
      </c>
      <c r="L253" s="52">
        <f t="shared" si="36"/>
        <v>44045</v>
      </c>
      <c r="M253" s="55" t="str">
        <f t="shared" si="37"/>
        <v>27/07/20 @ 
02/08/20</v>
      </c>
    </row>
    <row r="254" spans="2:23" ht="24" x14ac:dyDescent="0.25">
      <c r="B254" s="51">
        <f t="shared" si="44"/>
        <v>252</v>
      </c>
      <c r="C254" s="52">
        <f t="shared" si="44"/>
        <v>44046</v>
      </c>
      <c r="D254" s="53">
        <f t="shared" si="34"/>
        <v>44046</v>
      </c>
      <c r="E254" s="54">
        <f t="shared" si="45"/>
        <v>37</v>
      </c>
      <c r="F254" s="54">
        <f t="shared" si="45"/>
        <v>32</v>
      </c>
      <c r="G254" s="8">
        <v>202008</v>
      </c>
      <c r="H254" s="8" t="s">
        <v>7009</v>
      </c>
      <c r="I254" s="8">
        <v>202008</v>
      </c>
      <c r="J254" s="8" t="s">
        <v>7009</v>
      </c>
      <c r="K254" s="52">
        <f t="shared" si="35"/>
        <v>44046</v>
      </c>
      <c r="L254" s="52">
        <f t="shared" si="36"/>
        <v>44052</v>
      </c>
      <c r="M254" s="55" t="str">
        <f t="shared" si="37"/>
        <v>03/08/20 @ 
09/08/20</v>
      </c>
    </row>
    <row r="255" spans="2:23" ht="24" x14ac:dyDescent="0.25">
      <c r="B255" s="51">
        <f t="shared" si="44"/>
        <v>253</v>
      </c>
      <c r="C255" s="52">
        <f t="shared" si="44"/>
        <v>44047</v>
      </c>
      <c r="D255" s="53">
        <f t="shared" si="34"/>
        <v>44047</v>
      </c>
      <c r="E255" s="54">
        <f t="shared" si="45"/>
        <v>37</v>
      </c>
      <c r="F255" s="54">
        <f t="shared" si="45"/>
        <v>32</v>
      </c>
      <c r="G255" s="8">
        <v>202008</v>
      </c>
      <c r="H255" s="8" t="s">
        <v>7009</v>
      </c>
      <c r="I255" s="8">
        <v>202008</v>
      </c>
      <c r="J255" s="8" t="s">
        <v>7009</v>
      </c>
      <c r="K255" s="52">
        <f t="shared" si="35"/>
        <v>44046</v>
      </c>
      <c r="L255" s="52">
        <f t="shared" si="36"/>
        <v>44052</v>
      </c>
      <c r="M255" s="55" t="str">
        <f t="shared" si="37"/>
        <v>03/08/20 @ 
09/08/20</v>
      </c>
    </row>
    <row r="256" spans="2:23" ht="24" x14ac:dyDescent="0.25">
      <c r="B256" s="51">
        <f t="shared" si="44"/>
        <v>254</v>
      </c>
      <c r="C256" s="52">
        <f t="shared" si="44"/>
        <v>44048</v>
      </c>
      <c r="D256" s="53">
        <f t="shared" si="34"/>
        <v>44048</v>
      </c>
      <c r="E256" s="54">
        <f t="shared" si="45"/>
        <v>37</v>
      </c>
      <c r="F256" s="54">
        <f t="shared" si="45"/>
        <v>32</v>
      </c>
      <c r="G256" s="8">
        <v>202008</v>
      </c>
      <c r="H256" s="8" t="s">
        <v>7009</v>
      </c>
      <c r="I256" s="8">
        <v>202008</v>
      </c>
      <c r="J256" s="8" t="s">
        <v>7009</v>
      </c>
      <c r="K256" s="52">
        <f t="shared" si="35"/>
        <v>44046</v>
      </c>
      <c r="L256" s="52">
        <f t="shared" si="36"/>
        <v>44052</v>
      </c>
      <c r="M256" s="55" t="str">
        <f t="shared" si="37"/>
        <v>03/08/20 @ 
09/08/20</v>
      </c>
    </row>
    <row r="257" spans="2:13" ht="24" x14ac:dyDescent="0.25">
      <c r="B257" s="51">
        <f t="shared" si="44"/>
        <v>255</v>
      </c>
      <c r="C257" s="52">
        <f t="shared" si="44"/>
        <v>44049</v>
      </c>
      <c r="D257" s="53">
        <f t="shared" si="34"/>
        <v>44049</v>
      </c>
      <c r="E257" s="54">
        <f t="shared" si="45"/>
        <v>37</v>
      </c>
      <c r="F257" s="54">
        <f t="shared" si="45"/>
        <v>32</v>
      </c>
      <c r="G257" s="8">
        <v>202008</v>
      </c>
      <c r="H257" s="8" t="s">
        <v>7009</v>
      </c>
      <c r="I257" s="8">
        <v>202008</v>
      </c>
      <c r="J257" s="8" t="s">
        <v>7009</v>
      </c>
      <c r="K257" s="52">
        <f t="shared" si="35"/>
        <v>44046</v>
      </c>
      <c r="L257" s="52">
        <f t="shared" si="36"/>
        <v>44052</v>
      </c>
      <c r="M257" s="55" t="str">
        <f t="shared" si="37"/>
        <v>03/08/20 @ 
09/08/20</v>
      </c>
    </row>
    <row r="258" spans="2:13" ht="24" x14ac:dyDescent="0.25">
      <c r="B258" s="51">
        <f t="shared" si="44"/>
        <v>256</v>
      </c>
      <c r="C258" s="52">
        <f t="shared" si="44"/>
        <v>44050</v>
      </c>
      <c r="D258" s="53">
        <f t="shared" si="34"/>
        <v>44050</v>
      </c>
      <c r="E258" s="54">
        <f t="shared" si="45"/>
        <v>37</v>
      </c>
      <c r="F258" s="54">
        <f t="shared" si="45"/>
        <v>32</v>
      </c>
      <c r="G258" s="8">
        <v>202008</v>
      </c>
      <c r="H258" s="8" t="s">
        <v>7009</v>
      </c>
      <c r="I258" s="8">
        <v>202008</v>
      </c>
      <c r="J258" s="8" t="s">
        <v>7009</v>
      </c>
      <c r="K258" s="52">
        <f t="shared" si="35"/>
        <v>44046</v>
      </c>
      <c r="L258" s="52">
        <f t="shared" si="36"/>
        <v>44052</v>
      </c>
      <c r="M258" s="55" t="str">
        <f t="shared" si="37"/>
        <v>03/08/20 @ 
09/08/20</v>
      </c>
    </row>
    <row r="259" spans="2:13" ht="24" x14ac:dyDescent="0.25">
      <c r="B259" s="51">
        <f t="shared" si="44"/>
        <v>257</v>
      </c>
      <c r="C259" s="52">
        <f t="shared" si="44"/>
        <v>44051</v>
      </c>
      <c r="D259" s="53">
        <f t="shared" ref="D259:D322" si="46">+C259</f>
        <v>44051</v>
      </c>
      <c r="E259" s="54">
        <f t="shared" si="45"/>
        <v>37</v>
      </c>
      <c r="F259" s="54">
        <f t="shared" si="45"/>
        <v>32</v>
      </c>
      <c r="G259" s="8">
        <v>202008</v>
      </c>
      <c r="H259" s="8" t="s">
        <v>7009</v>
      </c>
      <c r="I259" s="8">
        <v>202008</v>
      </c>
      <c r="J259" s="8" t="s">
        <v>7009</v>
      </c>
      <c r="K259" s="52">
        <f t="shared" ref="K259:K322" si="47">_xlfn.MINIFS($C$2:$C$890,$E$2:$E$890,E259)</f>
        <v>44046</v>
      </c>
      <c r="L259" s="52">
        <f t="shared" ref="L259:L322" si="48">_xlfn.MAXIFS($C$2:$C$890,$E$2:$E$890,E259)</f>
        <v>44052</v>
      </c>
      <c r="M259" s="55" t="str">
        <f t="shared" ref="M259:M322" si="49">CONCATENATE(TEXT(K259,"DD/MM/YY")," @ ",CHAR(10),TEXT(L259,"DD/MM/YY"))</f>
        <v>03/08/20 @ 
09/08/20</v>
      </c>
    </row>
    <row r="260" spans="2:13" ht="24" x14ac:dyDescent="0.25">
      <c r="B260" s="51">
        <f t="shared" si="44"/>
        <v>258</v>
      </c>
      <c r="C260" s="52">
        <f t="shared" si="44"/>
        <v>44052</v>
      </c>
      <c r="D260" s="53">
        <f t="shared" si="46"/>
        <v>44052</v>
      </c>
      <c r="E260" s="54">
        <f t="shared" si="45"/>
        <v>37</v>
      </c>
      <c r="F260" s="54">
        <f t="shared" si="45"/>
        <v>32</v>
      </c>
      <c r="G260" s="8">
        <v>202008</v>
      </c>
      <c r="H260" s="8" t="s">
        <v>7009</v>
      </c>
      <c r="I260" s="8">
        <v>202008</v>
      </c>
      <c r="J260" s="8" t="s">
        <v>7009</v>
      </c>
      <c r="K260" s="52">
        <f t="shared" si="47"/>
        <v>44046</v>
      </c>
      <c r="L260" s="52">
        <f t="shared" si="48"/>
        <v>44052</v>
      </c>
      <c r="M260" s="55" t="str">
        <f t="shared" si="49"/>
        <v>03/08/20 @ 
09/08/20</v>
      </c>
    </row>
    <row r="261" spans="2:13" ht="24" x14ac:dyDescent="0.25">
      <c r="B261" s="51">
        <f t="shared" ref="B261:C276" si="50">+B260+1</f>
        <v>259</v>
      </c>
      <c r="C261" s="52">
        <f t="shared" si="50"/>
        <v>44053</v>
      </c>
      <c r="D261" s="53">
        <f t="shared" si="46"/>
        <v>44053</v>
      </c>
      <c r="E261" s="54">
        <f t="shared" si="45"/>
        <v>38</v>
      </c>
      <c r="F261" s="54">
        <f t="shared" si="45"/>
        <v>33</v>
      </c>
      <c r="G261" s="8">
        <v>202008</v>
      </c>
      <c r="H261" s="8" t="s">
        <v>7009</v>
      </c>
      <c r="I261" s="8">
        <v>202008</v>
      </c>
      <c r="J261" s="8" t="s">
        <v>7009</v>
      </c>
      <c r="K261" s="52">
        <f t="shared" si="47"/>
        <v>44053</v>
      </c>
      <c r="L261" s="52">
        <f t="shared" si="48"/>
        <v>44059</v>
      </c>
      <c r="M261" s="55" t="str">
        <f t="shared" si="49"/>
        <v>10/08/20 @ 
16/08/20</v>
      </c>
    </row>
    <row r="262" spans="2:13" ht="24" x14ac:dyDescent="0.25">
      <c r="B262" s="51">
        <f t="shared" si="50"/>
        <v>260</v>
      </c>
      <c r="C262" s="52">
        <f t="shared" si="50"/>
        <v>44054</v>
      </c>
      <c r="D262" s="53">
        <f t="shared" si="46"/>
        <v>44054</v>
      </c>
      <c r="E262" s="54">
        <f t="shared" si="45"/>
        <v>38</v>
      </c>
      <c r="F262" s="54">
        <f t="shared" si="45"/>
        <v>33</v>
      </c>
      <c r="G262" s="8">
        <v>202008</v>
      </c>
      <c r="H262" s="8" t="s">
        <v>7009</v>
      </c>
      <c r="I262" s="8">
        <v>202008</v>
      </c>
      <c r="J262" s="8" t="s">
        <v>7009</v>
      </c>
      <c r="K262" s="52">
        <f t="shared" si="47"/>
        <v>44053</v>
      </c>
      <c r="L262" s="52">
        <f t="shared" si="48"/>
        <v>44059</v>
      </c>
      <c r="M262" s="55" t="str">
        <f t="shared" si="49"/>
        <v>10/08/20 @ 
16/08/20</v>
      </c>
    </row>
    <row r="263" spans="2:13" ht="24" x14ac:dyDescent="0.25">
      <c r="B263" s="51">
        <f t="shared" si="50"/>
        <v>261</v>
      </c>
      <c r="C263" s="52">
        <f t="shared" si="50"/>
        <v>44055</v>
      </c>
      <c r="D263" s="53">
        <f t="shared" si="46"/>
        <v>44055</v>
      </c>
      <c r="E263" s="54">
        <f t="shared" si="45"/>
        <v>38</v>
      </c>
      <c r="F263" s="54">
        <f t="shared" si="45"/>
        <v>33</v>
      </c>
      <c r="G263" s="8">
        <v>202008</v>
      </c>
      <c r="H263" s="8" t="s">
        <v>7009</v>
      </c>
      <c r="I263" s="8">
        <v>202008</v>
      </c>
      <c r="J263" s="8" t="s">
        <v>7009</v>
      </c>
      <c r="K263" s="52">
        <f t="shared" si="47"/>
        <v>44053</v>
      </c>
      <c r="L263" s="52">
        <f t="shared" si="48"/>
        <v>44059</v>
      </c>
      <c r="M263" s="55" t="str">
        <f t="shared" si="49"/>
        <v>10/08/20 @ 
16/08/20</v>
      </c>
    </row>
    <row r="264" spans="2:13" ht="24" x14ac:dyDescent="0.25">
      <c r="B264" s="51">
        <f t="shared" si="50"/>
        <v>262</v>
      </c>
      <c r="C264" s="52">
        <f t="shared" si="50"/>
        <v>44056</v>
      </c>
      <c r="D264" s="53">
        <f t="shared" si="46"/>
        <v>44056</v>
      </c>
      <c r="E264" s="54">
        <f t="shared" si="45"/>
        <v>38</v>
      </c>
      <c r="F264" s="54">
        <f t="shared" si="45"/>
        <v>33</v>
      </c>
      <c r="G264" s="8">
        <v>202008</v>
      </c>
      <c r="H264" s="8" t="s">
        <v>7009</v>
      </c>
      <c r="I264" s="8">
        <v>202008</v>
      </c>
      <c r="J264" s="8" t="s">
        <v>7009</v>
      </c>
      <c r="K264" s="52">
        <f t="shared" si="47"/>
        <v>44053</v>
      </c>
      <c r="L264" s="52">
        <f t="shared" si="48"/>
        <v>44059</v>
      </c>
      <c r="M264" s="55" t="str">
        <f t="shared" si="49"/>
        <v>10/08/20 @ 
16/08/20</v>
      </c>
    </row>
    <row r="265" spans="2:13" ht="24" x14ac:dyDescent="0.25">
      <c r="B265" s="51">
        <f t="shared" si="50"/>
        <v>263</v>
      </c>
      <c r="C265" s="52">
        <f t="shared" si="50"/>
        <v>44057</v>
      </c>
      <c r="D265" s="53">
        <f t="shared" si="46"/>
        <v>44057</v>
      </c>
      <c r="E265" s="54">
        <f t="shared" si="45"/>
        <v>38</v>
      </c>
      <c r="F265" s="54">
        <f t="shared" si="45"/>
        <v>33</v>
      </c>
      <c r="G265" s="8">
        <v>202008</v>
      </c>
      <c r="H265" s="8" t="s">
        <v>7009</v>
      </c>
      <c r="I265" s="8">
        <v>202008</v>
      </c>
      <c r="J265" s="8" t="s">
        <v>7009</v>
      </c>
      <c r="K265" s="52">
        <f t="shared" si="47"/>
        <v>44053</v>
      </c>
      <c r="L265" s="52">
        <f t="shared" si="48"/>
        <v>44059</v>
      </c>
      <c r="M265" s="55" t="str">
        <f t="shared" si="49"/>
        <v>10/08/20 @ 
16/08/20</v>
      </c>
    </row>
    <row r="266" spans="2:13" ht="24" x14ac:dyDescent="0.25">
      <c r="B266" s="51">
        <f t="shared" si="50"/>
        <v>264</v>
      </c>
      <c r="C266" s="52">
        <f t="shared" si="50"/>
        <v>44058</v>
      </c>
      <c r="D266" s="53">
        <f t="shared" si="46"/>
        <v>44058</v>
      </c>
      <c r="E266" s="54">
        <f t="shared" ref="E266:F281" si="51">+E259+1</f>
        <v>38</v>
      </c>
      <c r="F266" s="54">
        <f t="shared" si="51"/>
        <v>33</v>
      </c>
      <c r="G266" s="8">
        <v>202008</v>
      </c>
      <c r="H266" s="8" t="s">
        <v>7009</v>
      </c>
      <c r="I266" s="8">
        <v>202008</v>
      </c>
      <c r="J266" s="8" t="s">
        <v>7009</v>
      </c>
      <c r="K266" s="52">
        <f t="shared" si="47"/>
        <v>44053</v>
      </c>
      <c r="L266" s="52">
        <f t="shared" si="48"/>
        <v>44059</v>
      </c>
      <c r="M266" s="55" t="str">
        <f t="shared" si="49"/>
        <v>10/08/20 @ 
16/08/20</v>
      </c>
    </row>
    <row r="267" spans="2:13" ht="24" x14ac:dyDescent="0.25">
      <c r="B267" s="51">
        <f t="shared" si="50"/>
        <v>265</v>
      </c>
      <c r="C267" s="52">
        <f t="shared" si="50"/>
        <v>44059</v>
      </c>
      <c r="D267" s="53">
        <f t="shared" si="46"/>
        <v>44059</v>
      </c>
      <c r="E267" s="54">
        <f t="shared" si="51"/>
        <v>38</v>
      </c>
      <c r="F267" s="54">
        <f t="shared" si="51"/>
        <v>33</v>
      </c>
      <c r="G267" s="8">
        <v>202008</v>
      </c>
      <c r="H267" s="8" t="s">
        <v>7009</v>
      </c>
      <c r="I267" s="8">
        <v>202008</v>
      </c>
      <c r="J267" s="8" t="s">
        <v>7009</v>
      </c>
      <c r="K267" s="52">
        <f t="shared" si="47"/>
        <v>44053</v>
      </c>
      <c r="L267" s="52">
        <f t="shared" si="48"/>
        <v>44059</v>
      </c>
      <c r="M267" s="55" t="str">
        <f t="shared" si="49"/>
        <v>10/08/20 @ 
16/08/20</v>
      </c>
    </row>
    <row r="268" spans="2:13" ht="24" x14ac:dyDescent="0.25">
      <c r="B268" s="51">
        <f t="shared" si="50"/>
        <v>266</v>
      </c>
      <c r="C268" s="52">
        <f t="shared" si="50"/>
        <v>44060</v>
      </c>
      <c r="D268" s="53">
        <f t="shared" si="46"/>
        <v>44060</v>
      </c>
      <c r="E268" s="54">
        <f t="shared" si="51"/>
        <v>39</v>
      </c>
      <c r="F268" s="54">
        <f t="shared" si="51"/>
        <v>34</v>
      </c>
      <c r="G268" s="8">
        <v>202008</v>
      </c>
      <c r="H268" s="8" t="s">
        <v>7009</v>
      </c>
      <c r="I268" s="8">
        <v>202008</v>
      </c>
      <c r="J268" s="8" t="s">
        <v>7009</v>
      </c>
      <c r="K268" s="52">
        <f t="shared" si="47"/>
        <v>44060</v>
      </c>
      <c r="L268" s="52">
        <f t="shared" si="48"/>
        <v>44066</v>
      </c>
      <c r="M268" s="55" t="str">
        <f t="shared" si="49"/>
        <v>17/08/20 @ 
23/08/20</v>
      </c>
    </row>
    <row r="269" spans="2:13" ht="24" x14ac:dyDescent="0.25">
      <c r="B269" s="51">
        <f t="shared" si="50"/>
        <v>267</v>
      </c>
      <c r="C269" s="52">
        <f t="shared" si="50"/>
        <v>44061</v>
      </c>
      <c r="D269" s="53">
        <f t="shared" si="46"/>
        <v>44061</v>
      </c>
      <c r="E269" s="54">
        <f t="shared" si="51"/>
        <v>39</v>
      </c>
      <c r="F269" s="54">
        <f t="shared" si="51"/>
        <v>34</v>
      </c>
      <c r="G269" s="8">
        <v>202008</v>
      </c>
      <c r="H269" s="8" t="s">
        <v>7009</v>
      </c>
      <c r="I269" s="8">
        <v>202008</v>
      </c>
      <c r="J269" s="8" t="s">
        <v>7009</v>
      </c>
      <c r="K269" s="52">
        <f t="shared" si="47"/>
        <v>44060</v>
      </c>
      <c r="L269" s="52">
        <f t="shared" si="48"/>
        <v>44066</v>
      </c>
      <c r="M269" s="55" t="str">
        <f t="shared" si="49"/>
        <v>17/08/20 @ 
23/08/20</v>
      </c>
    </row>
    <row r="270" spans="2:13" ht="24" x14ac:dyDescent="0.25">
      <c r="B270" s="51">
        <f t="shared" si="50"/>
        <v>268</v>
      </c>
      <c r="C270" s="52">
        <f t="shared" si="50"/>
        <v>44062</v>
      </c>
      <c r="D270" s="53">
        <f t="shared" si="46"/>
        <v>44062</v>
      </c>
      <c r="E270" s="54">
        <f t="shared" si="51"/>
        <v>39</v>
      </c>
      <c r="F270" s="54">
        <f t="shared" si="51"/>
        <v>34</v>
      </c>
      <c r="G270" s="8">
        <v>202008</v>
      </c>
      <c r="H270" s="8" t="s">
        <v>7009</v>
      </c>
      <c r="I270" s="8">
        <v>202008</v>
      </c>
      <c r="J270" s="8" t="s">
        <v>7009</v>
      </c>
      <c r="K270" s="52">
        <f t="shared" si="47"/>
        <v>44060</v>
      </c>
      <c r="L270" s="52">
        <f t="shared" si="48"/>
        <v>44066</v>
      </c>
      <c r="M270" s="55" t="str">
        <f t="shared" si="49"/>
        <v>17/08/20 @ 
23/08/20</v>
      </c>
    </row>
    <row r="271" spans="2:13" ht="24" x14ac:dyDescent="0.25">
      <c r="B271" s="51">
        <f t="shared" si="50"/>
        <v>269</v>
      </c>
      <c r="C271" s="52">
        <f t="shared" si="50"/>
        <v>44063</v>
      </c>
      <c r="D271" s="53">
        <f t="shared" si="46"/>
        <v>44063</v>
      </c>
      <c r="E271" s="54">
        <f t="shared" si="51"/>
        <v>39</v>
      </c>
      <c r="F271" s="54">
        <f t="shared" si="51"/>
        <v>34</v>
      </c>
      <c r="G271" s="8">
        <v>202008</v>
      </c>
      <c r="H271" s="8" t="s">
        <v>7009</v>
      </c>
      <c r="I271" s="8">
        <v>202008</v>
      </c>
      <c r="J271" s="8" t="s">
        <v>7009</v>
      </c>
      <c r="K271" s="52">
        <f t="shared" si="47"/>
        <v>44060</v>
      </c>
      <c r="L271" s="52">
        <f t="shared" si="48"/>
        <v>44066</v>
      </c>
      <c r="M271" s="55" t="str">
        <f t="shared" si="49"/>
        <v>17/08/20 @ 
23/08/20</v>
      </c>
    </row>
    <row r="272" spans="2:13" ht="24" x14ac:dyDescent="0.25">
      <c r="B272" s="51">
        <f t="shared" si="50"/>
        <v>270</v>
      </c>
      <c r="C272" s="52">
        <f t="shared" si="50"/>
        <v>44064</v>
      </c>
      <c r="D272" s="53">
        <f t="shared" si="46"/>
        <v>44064</v>
      </c>
      <c r="E272" s="54">
        <f t="shared" si="51"/>
        <v>39</v>
      </c>
      <c r="F272" s="54">
        <f t="shared" si="51"/>
        <v>34</v>
      </c>
      <c r="G272" s="8">
        <v>202008</v>
      </c>
      <c r="H272" s="8" t="s">
        <v>7009</v>
      </c>
      <c r="I272" s="8">
        <v>202009</v>
      </c>
      <c r="J272" s="8" t="s">
        <v>7010</v>
      </c>
      <c r="K272" s="52">
        <f t="shared" si="47"/>
        <v>44060</v>
      </c>
      <c r="L272" s="52">
        <f t="shared" si="48"/>
        <v>44066</v>
      </c>
      <c r="M272" s="55" t="str">
        <f t="shared" si="49"/>
        <v>17/08/20 @ 
23/08/20</v>
      </c>
    </row>
    <row r="273" spans="2:13" ht="24" x14ac:dyDescent="0.25">
      <c r="B273" s="51">
        <f t="shared" si="50"/>
        <v>271</v>
      </c>
      <c r="C273" s="52">
        <f t="shared" si="50"/>
        <v>44065</v>
      </c>
      <c r="D273" s="53">
        <f t="shared" si="46"/>
        <v>44065</v>
      </c>
      <c r="E273" s="54">
        <f t="shared" si="51"/>
        <v>39</v>
      </c>
      <c r="F273" s="54">
        <f t="shared" si="51"/>
        <v>34</v>
      </c>
      <c r="G273" s="8">
        <v>202008</v>
      </c>
      <c r="H273" s="8" t="s">
        <v>7009</v>
      </c>
      <c r="I273" s="8">
        <v>202009</v>
      </c>
      <c r="J273" s="8" t="s">
        <v>7010</v>
      </c>
      <c r="K273" s="52">
        <f t="shared" si="47"/>
        <v>44060</v>
      </c>
      <c r="L273" s="52">
        <f t="shared" si="48"/>
        <v>44066</v>
      </c>
      <c r="M273" s="55" t="str">
        <f t="shared" si="49"/>
        <v>17/08/20 @ 
23/08/20</v>
      </c>
    </row>
    <row r="274" spans="2:13" ht="24" x14ac:dyDescent="0.25">
      <c r="B274" s="51">
        <f t="shared" si="50"/>
        <v>272</v>
      </c>
      <c r="C274" s="52">
        <f t="shared" si="50"/>
        <v>44066</v>
      </c>
      <c r="D274" s="53">
        <f t="shared" si="46"/>
        <v>44066</v>
      </c>
      <c r="E274" s="54">
        <f t="shared" si="51"/>
        <v>39</v>
      </c>
      <c r="F274" s="54">
        <f t="shared" si="51"/>
        <v>34</v>
      </c>
      <c r="G274" s="8">
        <v>202008</v>
      </c>
      <c r="H274" s="8" t="s">
        <v>7009</v>
      </c>
      <c r="I274" s="8">
        <v>202009</v>
      </c>
      <c r="J274" s="8" t="s">
        <v>7010</v>
      </c>
      <c r="K274" s="52">
        <f t="shared" si="47"/>
        <v>44060</v>
      </c>
      <c r="L274" s="52">
        <f t="shared" si="48"/>
        <v>44066</v>
      </c>
      <c r="M274" s="55" t="str">
        <f t="shared" si="49"/>
        <v>17/08/20 @ 
23/08/20</v>
      </c>
    </row>
    <row r="275" spans="2:13" ht="24" x14ac:dyDescent="0.25">
      <c r="B275" s="51">
        <f t="shared" si="50"/>
        <v>273</v>
      </c>
      <c r="C275" s="52">
        <f t="shared" si="50"/>
        <v>44067</v>
      </c>
      <c r="D275" s="53">
        <f t="shared" si="46"/>
        <v>44067</v>
      </c>
      <c r="E275" s="54">
        <f t="shared" si="51"/>
        <v>40</v>
      </c>
      <c r="F275" s="54">
        <f t="shared" si="51"/>
        <v>35</v>
      </c>
      <c r="G275" s="8">
        <v>202008</v>
      </c>
      <c r="H275" s="8" t="s">
        <v>7009</v>
      </c>
      <c r="I275" s="8">
        <v>202009</v>
      </c>
      <c r="J275" s="8" t="s">
        <v>7010</v>
      </c>
      <c r="K275" s="52">
        <f t="shared" si="47"/>
        <v>44067</v>
      </c>
      <c r="L275" s="52">
        <f t="shared" si="48"/>
        <v>44073</v>
      </c>
      <c r="M275" s="55" t="str">
        <f t="shared" si="49"/>
        <v>24/08/20 @ 
30/08/20</v>
      </c>
    </row>
    <row r="276" spans="2:13" ht="24" x14ac:dyDescent="0.25">
      <c r="B276" s="51">
        <f t="shared" si="50"/>
        <v>274</v>
      </c>
      <c r="C276" s="52">
        <f t="shared" si="50"/>
        <v>44068</v>
      </c>
      <c r="D276" s="53">
        <f t="shared" si="46"/>
        <v>44068</v>
      </c>
      <c r="E276" s="54">
        <f t="shared" si="51"/>
        <v>40</v>
      </c>
      <c r="F276" s="54">
        <f t="shared" si="51"/>
        <v>35</v>
      </c>
      <c r="G276" s="8">
        <v>202008</v>
      </c>
      <c r="H276" s="8" t="s">
        <v>7009</v>
      </c>
      <c r="I276" s="8">
        <v>202009</v>
      </c>
      <c r="J276" s="8" t="s">
        <v>7010</v>
      </c>
      <c r="K276" s="52">
        <f t="shared" si="47"/>
        <v>44067</v>
      </c>
      <c r="L276" s="52">
        <f t="shared" si="48"/>
        <v>44073</v>
      </c>
      <c r="M276" s="55" t="str">
        <f t="shared" si="49"/>
        <v>24/08/20 @ 
30/08/20</v>
      </c>
    </row>
    <row r="277" spans="2:13" ht="24" x14ac:dyDescent="0.25">
      <c r="B277" s="51">
        <f t="shared" ref="B277:C292" si="52">+B276+1</f>
        <v>275</v>
      </c>
      <c r="C277" s="52">
        <f t="shared" si="52"/>
        <v>44069</v>
      </c>
      <c r="D277" s="53">
        <f t="shared" si="46"/>
        <v>44069</v>
      </c>
      <c r="E277" s="54">
        <f t="shared" si="51"/>
        <v>40</v>
      </c>
      <c r="F277" s="54">
        <f t="shared" si="51"/>
        <v>35</v>
      </c>
      <c r="G277" s="8">
        <v>202008</v>
      </c>
      <c r="H277" s="8" t="s">
        <v>7009</v>
      </c>
      <c r="I277" s="8">
        <v>202009</v>
      </c>
      <c r="J277" s="8" t="s">
        <v>7010</v>
      </c>
      <c r="K277" s="52">
        <f t="shared" si="47"/>
        <v>44067</v>
      </c>
      <c r="L277" s="52">
        <f t="shared" si="48"/>
        <v>44073</v>
      </c>
      <c r="M277" s="55" t="str">
        <f t="shared" si="49"/>
        <v>24/08/20 @ 
30/08/20</v>
      </c>
    </row>
    <row r="278" spans="2:13" ht="24" x14ac:dyDescent="0.25">
      <c r="B278" s="51">
        <f t="shared" si="52"/>
        <v>276</v>
      </c>
      <c r="C278" s="52">
        <f t="shared" si="52"/>
        <v>44070</v>
      </c>
      <c r="D278" s="53">
        <f t="shared" si="46"/>
        <v>44070</v>
      </c>
      <c r="E278" s="54">
        <f t="shared" si="51"/>
        <v>40</v>
      </c>
      <c r="F278" s="54">
        <f t="shared" si="51"/>
        <v>35</v>
      </c>
      <c r="G278" s="8">
        <v>202008</v>
      </c>
      <c r="H278" s="8" t="s">
        <v>7009</v>
      </c>
      <c r="I278" s="8">
        <v>202009</v>
      </c>
      <c r="J278" s="8" t="s">
        <v>7010</v>
      </c>
      <c r="K278" s="52">
        <f t="shared" si="47"/>
        <v>44067</v>
      </c>
      <c r="L278" s="52">
        <f t="shared" si="48"/>
        <v>44073</v>
      </c>
      <c r="M278" s="55" t="str">
        <f t="shared" si="49"/>
        <v>24/08/20 @ 
30/08/20</v>
      </c>
    </row>
    <row r="279" spans="2:13" ht="24" x14ac:dyDescent="0.25">
      <c r="B279" s="51">
        <f t="shared" si="52"/>
        <v>277</v>
      </c>
      <c r="C279" s="52">
        <f t="shared" si="52"/>
        <v>44071</v>
      </c>
      <c r="D279" s="53">
        <f t="shared" si="46"/>
        <v>44071</v>
      </c>
      <c r="E279" s="54">
        <f t="shared" si="51"/>
        <v>40</v>
      </c>
      <c r="F279" s="54">
        <f t="shared" si="51"/>
        <v>35</v>
      </c>
      <c r="G279" s="8">
        <v>202008</v>
      </c>
      <c r="H279" s="8" t="s">
        <v>7009</v>
      </c>
      <c r="I279" s="8">
        <v>202009</v>
      </c>
      <c r="J279" s="8" t="s">
        <v>7010</v>
      </c>
      <c r="K279" s="52">
        <f t="shared" si="47"/>
        <v>44067</v>
      </c>
      <c r="L279" s="52">
        <f t="shared" si="48"/>
        <v>44073</v>
      </c>
      <c r="M279" s="55" t="str">
        <f t="shared" si="49"/>
        <v>24/08/20 @ 
30/08/20</v>
      </c>
    </row>
    <row r="280" spans="2:13" ht="24" x14ac:dyDescent="0.25">
      <c r="B280" s="51">
        <f t="shared" si="52"/>
        <v>278</v>
      </c>
      <c r="C280" s="52">
        <f t="shared" si="52"/>
        <v>44072</v>
      </c>
      <c r="D280" s="53">
        <f t="shared" si="46"/>
        <v>44072</v>
      </c>
      <c r="E280" s="54">
        <f t="shared" si="51"/>
        <v>40</v>
      </c>
      <c r="F280" s="54">
        <f t="shared" si="51"/>
        <v>35</v>
      </c>
      <c r="G280" s="8">
        <v>202008</v>
      </c>
      <c r="H280" s="8" t="s">
        <v>7009</v>
      </c>
      <c r="I280" s="8">
        <v>202009</v>
      </c>
      <c r="J280" s="8" t="s">
        <v>7010</v>
      </c>
      <c r="K280" s="52">
        <f t="shared" si="47"/>
        <v>44067</v>
      </c>
      <c r="L280" s="52">
        <f t="shared" si="48"/>
        <v>44073</v>
      </c>
      <c r="M280" s="55" t="str">
        <f t="shared" si="49"/>
        <v>24/08/20 @ 
30/08/20</v>
      </c>
    </row>
    <row r="281" spans="2:13" ht="24" x14ac:dyDescent="0.25">
      <c r="B281" s="51">
        <f t="shared" si="52"/>
        <v>279</v>
      </c>
      <c r="C281" s="52">
        <f t="shared" si="52"/>
        <v>44073</v>
      </c>
      <c r="D281" s="53">
        <f t="shared" si="46"/>
        <v>44073</v>
      </c>
      <c r="E281" s="54">
        <f t="shared" si="51"/>
        <v>40</v>
      </c>
      <c r="F281" s="54">
        <f t="shared" si="51"/>
        <v>35</v>
      </c>
      <c r="G281" s="8">
        <v>202008</v>
      </c>
      <c r="H281" s="8" t="s">
        <v>7009</v>
      </c>
      <c r="I281" s="8">
        <v>202009</v>
      </c>
      <c r="J281" s="8" t="s">
        <v>7010</v>
      </c>
      <c r="K281" s="52">
        <f t="shared" si="47"/>
        <v>44067</v>
      </c>
      <c r="L281" s="52">
        <f t="shared" si="48"/>
        <v>44073</v>
      </c>
      <c r="M281" s="55" t="str">
        <f t="shared" si="49"/>
        <v>24/08/20 @ 
30/08/20</v>
      </c>
    </row>
    <row r="282" spans="2:13" ht="24" x14ac:dyDescent="0.25">
      <c r="B282" s="51">
        <f t="shared" si="52"/>
        <v>280</v>
      </c>
      <c r="C282" s="52">
        <f t="shared" si="52"/>
        <v>44074</v>
      </c>
      <c r="D282" s="53">
        <f t="shared" si="46"/>
        <v>44074</v>
      </c>
      <c r="E282" s="54">
        <f t="shared" ref="E282:F297" si="53">+E275+1</f>
        <v>41</v>
      </c>
      <c r="F282" s="54">
        <f t="shared" si="53"/>
        <v>36</v>
      </c>
      <c r="G282" s="8">
        <v>202009</v>
      </c>
      <c r="H282" s="8" t="s">
        <v>7010</v>
      </c>
      <c r="I282" s="8">
        <v>202009</v>
      </c>
      <c r="J282" s="8" t="s">
        <v>7010</v>
      </c>
      <c r="K282" s="52">
        <f t="shared" si="47"/>
        <v>44074</v>
      </c>
      <c r="L282" s="52">
        <f t="shared" si="48"/>
        <v>44080</v>
      </c>
      <c r="M282" s="55" t="str">
        <f t="shared" si="49"/>
        <v>31/08/20 @ 
06/09/20</v>
      </c>
    </row>
    <row r="283" spans="2:13" ht="24" x14ac:dyDescent="0.25">
      <c r="B283" s="51">
        <f t="shared" si="52"/>
        <v>281</v>
      </c>
      <c r="C283" s="52">
        <f t="shared" si="52"/>
        <v>44075</v>
      </c>
      <c r="D283" s="53">
        <f t="shared" si="46"/>
        <v>44075</v>
      </c>
      <c r="E283" s="54">
        <f t="shared" si="53"/>
        <v>41</v>
      </c>
      <c r="F283" s="54">
        <f t="shared" si="53"/>
        <v>36</v>
      </c>
      <c r="G283" s="8">
        <v>202009</v>
      </c>
      <c r="H283" s="8" t="s">
        <v>7010</v>
      </c>
      <c r="I283" s="8">
        <v>202009</v>
      </c>
      <c r="J283" s="8" t="s">
        <v>7010</v>
      </c>
      <c r="K283" s="52">
        <f t="shared" si="47"/>
        <v>44074</v>
      </c>
      <c r="L283" s="52">
        <f t="shared" si="48"/>
        <v>44080</v>
      </c>
      <c r="M283" s="55" t="str">
        <f t="shared" si="49"/>
        <v>31/08/20 @ 
06/09/20</v>
      </c>
    </row>
    <row r="284" spans="2:13" ht="24" x14ac:dyDescent="0.25">
      <c r="B284" s="51">
        <f t="shared" si="52"/>
        <v>282</v>
      </c>
      <c r="C284" s="52">
        <f t="shared" si="52"/>
        <v>44076</v>
      </c>
      <c r="D284" s="53">
        <f t="shared" si="46"/>
        <v>44076</v>
      </c>
      <c r="E284" s="54">
        <f t="shared" si="53"/>
        <v>41</v>
      </c>
      <c r="F284" s="54">
        <f t="shared" si="53"/>
        <v>36</v>
      </c>
      <c r="G284" s="8">
        <v>202009</v>
      </c>
      <c r="H284" s="8" t="s">
        <v>7010</v>
      </c>
      <c r="I284" s="8">
        <v>202009</v>
      </c>
      <c r="J284" s="8" t="s">
        <v>7010</v>
      </c>
      <c r="K284" s="52">
        <f t="shared" si="47"/>
        <v>44074</v>
      </c>
      <c r="L284" s="52">
        <f t="shared" si="48"/>
        <v>44080</v>
      </c>
      <c r="M284" s="55" t="str">
        <f t="shared" si="49"/>
        <v>31/08/20 @ 
06/09/20</v>
      </c>
    </row>
    <row r="285" spans="2:13" ht="24" x14ac:dyDescent="0.25">
      <c r="B285" s="51">
        <f t="shared" si="52"/>
        <v>283</v>
      </c>
      <c r="C285" s="52">
        <f t="shared" si="52"/>
        <v>44077</v>
      </c>
      <c r="D285" s="53">
        <f t="shared" si="46"/>
        <v>44077</v>
      </c>
      <c r="E285" s="54">
        <f t="shared" si="53"/>
        <v>41</v>
      </c>
      <c r="F285" s="54">
        <f t="shared" si="53"/>
        <v>36</v>
      </c>
      <c r="G285" s="8">
        <v>202009</v>
      </c>
      <c r="H285" s="8" t="s">
        <v>7010</v>
      </c>
      <c r="I285" s="8">
        <v>202009</v>
      </c>
      <c r="J285" s="8" t="s">
        <v>7010</v>
      </c>
      <c r="K285" s="52">
        <f t="shared" si="47"/>
        <v>44074</v>
      </c>
      <c r="L285" s="52">
        <f t="shared" si="48"/>
        <v>44080</v>
      </c>
      <c r="M285" s="55" t="str">
        <f t="shared" si="49"/>
        <v>31/08/20 @ 
06/09/20</v>
      </c>
    </row>
    <row r="286" spans="2:13" ht="24" x14ac:dyDescent="0.25">
      <c r="B286" s="51">
        <f t="shared" si="52"/>
        <v>284</v>
      </c>
      <c r="C286" s="52">
        <f t="shared" si="52"/>
        <v>44078</v>
      </c>
      <c r="D286" s="53">
        <f t="shared" si="46"/>
        <v>44078</v>
      </c>
      <c r="E286" s="54">
        <f t="shared" si="53"/>
        <v>41</v>
      </c>
      <c r="F286" s="54">
        <f t="shared" si="53"/>
        <v>36</v>
      </c>
      <c r="G286" s="8">
        <v>202009</v>
      </c>
      <c r="H286" s="8" t="s">
        <v>7010</v>
      </c>
      <c r="I286" s="8">
        <v>202009</v>
      </c>
      <c r="J286" s="8" t="s">
        <v>7010</v>
      </c>
      <c r="K286" s="52">
        <f t="shared" si="47"/>
        <v>44074</v>
      </c>
      <c r="L286" s="52">
        <f t="shared" si="48"/>
        <v>44080</v>
      </c>
      <c r="M286" s="55" t="str">
        <f t="shared" si="49"/>
        <v>31/08/20 @ 
06/09/20</v>
      </c>
    </row>
    <row r="287" spans="2:13" ht="24" x14ac:dyDescent="0.25">
      <c r="B287" s="51">
        <f t="shared" si="52"/>
        <v>285</v>
      </c>
      <c r="C287" s="52">
        <f t="shared" si="52"/>
        <v>44079</v>
      </c>
      <c r="D287" s="53">
        <f t="shared" si="46"/>
        <v>44079</v>
      </c>
      <c r="E287" s="54">
        <f t="shared" si="53"/>
        <v>41</v>
      </c>
      <c r="F287" s="54">
        <f t="shared" si="53"/>
        <v>36</v>
      </c>
      <c r="G287" s="8">
        <v>202009</v>
      </c>
      <c r="H287" s="8" t="s">
        <v>7010</v>
      </c>
      <c r="I287" s="8">
        <v>202009</v>
      </c>
      <c r="J287" s="8" t="s">
        <v>7010</v>
      </c>
      <c r="K287" s="52">
        <f t="shared" si="47"/>
        <v>44074</v>
      </c>
      <c r="L287" s="52">
        <f t="shared" si="48"/>
        <v>44080</v>
      </c>
      <c r="M287" s="55" t="str">
        <f t="shared" si="49"/>
        <v>31/08/20 @ 
06/09/20</v>
      </c>
    </row>
    <row r="288" spans="2:13" ht="24" x14ac:dyDescent="0.25">
      <c r="B288" s="51">
        <f t="shared" si="52"/>
        <v>286</v>
      </c>
      <c r="C288" s="52">
        <f t="shared" si="52"/>
        <v>44080</v>
      </c>
      <c r="D288" s="53">
        <f t="shared" si="46"/>
        <v>44080</v>
      </c>
      <c r="E288" s="54">
        <f t="shared" si="53"/>
        <v>41</v>
      </c>
      <c r="F288" s="54">
        <f t="shared" si="53"/>
        <v>36</v>
      </c>
      <c r="G288" s="8">
        <v>202009</v>
      </c>
      <c r="H288" s="8" t="s">
        <v>7010</v>
      </c>
      <c r="I288" s="8">
        <v>202009</v>
      </c>
      <c r="J288" s="8" t="s">
        <v>7010</v>
      </c>
      <c r="K288" s="52">
        <f t="shared" si="47"/>
        <v>44074</v>
      </c>
      <c r="L288" s="52">
        <f t="shared" si="48"/>
        <v>44080</v>
      </c>
      <c r="M288" s="55" t="str">
        <f t="shared" si="49"/>
        <v>31/08/20 @ 
06/09/20</v>
      </c>
    </row>
    <row r="289" spans="2:13" ht="24" x14ac:dyDescent="0.25">
      <c r="B289" s="51">
        <f t="shared" si="52"/>
        <v>287</v>
      </c>
      <c r="C289" s="52">
        <f t="shared" si="52"/>
        <v>44081</v>
      </c>
      <c r="D289" s="53">
        <f t="shared" si="46"/>
        <v>44081</v>
      </c>
      <c r="E289" s="54">
        <f t="shared" si="53"/>
        <v>42</v>
      </c>
      <c r="F289" s="54">
        <f t="shared" si="53"/>
        <v>37</v>
      </c>
      <c r="G289" s="8">
        <v>202009</v>
      </c>
      <c r="H289" s="8" t="s">
        <v>7010</v>
      </c>
      <c r="I289" s="8">
        <v>202009</v>
      </c>
      <c r="J289" s="8" t="s">
        <v>7010</v>
      </c>
      <c r="K289" s="52">
        <f t="shared" si="47"/>
        <v>44081</v>
      </c>
      <c r="L289" s="52">
        <f t="shared" si="48"/>
        <v>44087</v>
      </c>
      <c r="M289" s="55" t="str">
        <f t="shared" si="49"/>
        <v>07/09/20 @ 
13/09/20</v>
      </c>
    </row>
    <row r="290" spans="2:13" ht="24" x14ac:dyDescent="0.25">
      <c r="B290" s="51">
        <f t="shared" si="52"/>
        <v>288</v>
      </c>
      <c r="C290" s="52">
        <f t="shared" si="52"/>
        <v>44082</v>
      </c>
      <c r="D290" s="53">
        <f t="shared" si="46"/>
        <v>44082</v>
      </c>
      <c r="E290" s="54">
        <f t="shared" si="53"/>
        <v>42</v>
      </c>
      <c r="F290" s="54">
        <f t="shared" si="53"/>
        <v>37</v>
      </c>
      <c r="G290" s="8">
        <v>202009</v>
      </c>
      <c r="H290" s="8" t="s">
        <v>7010</v>
      </c>
      <c r="I290" s="8">
        <v>202009</v>
      </c>
      <c r="J290" s="8" t="s">
        <v>7010</v>
      </c>
      <c r="K290" s="52">
        <f t="shared" si="47"/>
        <v>44081</v>
      </c>
      <c r="L290" s="52">
        <f t="shared" si="48"/>
        <v>44087</v>
      </c>
      <c r="M290" s="55" t="str">
        <f t="shared" si="49"/>
        <v>07/09/20 @ 
13/09/20</v>
      </c>
    </row>
    <row r="291" spans="2:13" ht="24" x14ac:dyDescent="0.25">
      <c r="B291" s="51">
        <f t="shared" si="52"/>
        <v>289</v>
      </c>
      <c r="C291" s="52">
        <f t="shared" si="52"/>
        <v>44083</v>
      </c>
      <c r="D291" s="53">
        <f t="shared" si="46"/>
        <v>44083</v>
      </c>
      <c r="E291" s="54">
        <f t="shared" si="53"/>
        <v>42</v>
      </c>
      <c r="F291" s="54">
        <f t="shared" si="53"/>
        <v>37</v>
      </c>
      <c r="G291" s="8">
        <v>202009</v>
      </c>
      <c r="H291" s="8" t="s">
        <v>7010</v>
      </c>
      <c r="I291" s="8">
        <v>202009</v>
      </c>
      <c r="J291" s="8" t="s">
        <v>7010</v>
      </c>
      <c r="K291" s="52">
        <f t="shared" si="47"/>
        <v>44081</v>
      </c>
      <c r="L291" s="52">
        <f t="shared" si="48"/>
        <v>44087</v>
      </c>
      <c r="M291" s="55" t="str">
        <f t="shared" si="49"/>
        <v>07/09/20 @ 
13/09/20</v>
      </c>
    </row>
    <row r="292" spans="2:13" ht="24" x14ac:dyDescent="0.25">
      <c r="B292" s="51">
        <f t="shared" si="52"/>
        <v>290</v>
      </c>
      <c r="C292" s="52">
        <f t="shared" si="52"/>
        <v>44084</v>
      </c>
      <c r="D292" s="53">
        <f t="shared" si="46"/>
        <v>44084</v>
      </c>
      <c r="E292" s="54">
        <f t="shared" si="53"/>
        <v>42</v>
      </c>
      <c r="F292" s="54">
        <f t="shared" si="53"/>
        <v>37</v>
      </c>
      <c r="G292" s="8">
        <v>202009</v>
      </c>
      <c r="H292" s="8" t="s">
        <v>7010</v>
      </c>
      <c r="I292" s="8">
        <v>202009</v>
      </c>
      <c r="J292" s="8" t="s">
        <v>7010</v>
      </c>
      <c r="K292" s="52">
        <f t="shared" si="47"/>
        <v>44081</v>
      </c>
      <c r="L292" s="52">
        <f t="shared" si="48"/>
        <v>44087</v>
      </c>
      <c r="M292" s="55" t="str">
        <f t="shared" si="49"/>
        <v>07/09/20 @ 
13/09/20</v>
      </c>
    </row>
    <row r="293" spans="2:13" ht="24" x14ac:dyDescent="0.25">
      <c r="B293" s="51">
        <f t="shared" ref="B293:C308" si="54">+B292+1</f>
        <v>291</v>
      </c>
      <c r="C293" s="52">
        <f t="shared" si="54"/>
        <v>44085</v>
      </c>
      <c r="D293" s="53">
        <f t="shared" si="46"/>
        <v>44085</v>
      </c>
      <c r="E293" s="54">
        <f t="shared" si="53"/>
        <v>42</v>
      </c>
      <c r="F293" s="54">
        <f t="shared" si="53"/>
        <v>37</v>
      </c>
      <c r="G293" s="8">
        <v>202009</v>
      </c>
      <c r="H293" s="8" t="s">
        <v>7010</v>
      </c>
      <c r="I293" s="8">
        <v>202009</v>
      </c>
      <c r="J293" s="8" t="s">
        <v>7010</v>
      </c>
      <c r="K293" s="52">
        <f t="shared" si="47"/>
        <v>44081</v>
      </c>
      <c r="L293" s="52">
        <f t="shared" si="48"/>
        <v>44087</v>
      </c>
      <c r="M293" s="55" t="str">
        <f t="shared" si="49"/>
        <v>07/09/20 @ 
13/09/20</v>
      </c>
    </row>
    <row r="294" spans="2:13" ht="24" x14ac:dyDescent="0.25">
      <c r="B294" s="51">
        <f t="shared" si="54"/>
        <v>292</v>
      </c>
      <c r="C294" s="52">
        <f t="shared" si="54"/>
        <v>44086</v>
      </c>
      <c r="D294" s="53">
        <f t="shared" si="46"/>
        <v>44086</v>
      </c>
      <c r="E294" s="54">
        <f t="shared" si="53"/>
        <v>42</v>
      </c>
      <c r="F294" s="54">
        <f t="shared" si="53"/>
        <v>37</v>
      </c>
      <c r="G294" s="8">
        <v>202009</v>
      </c>
      <c r="H294" s="8" t="s">
        <v>7010</v>
      </c>
      <c r="I294" s="8">
        <v>202009</v>
      </c>
      <c r="J294" s="8" t="s">
        <v>7010</v>
      </c>
      <c r="K294" s="52">
        <f t="shared" si="47"/>
        <v>44081</v>
      </c>
      <c r="L294" s="52">
        <f t="shared" si="48"/>
        <v>44087</v>
      </c>
      <c r="M294" s="55" t="str">
        <f t="shared" si="49"/>
        <v>07/09/20 @ 
13/09/20</v>
      </c>
    </row>
    <row r="295" spans="2:13" ht="24" x14ac:dyDescent="0.25">
      <c r="B295" s="51">
        <f t="shared" si="54"/>
        <v>293</v>
      </c>
      <c r="C295" s="52">
        <f t="shared" si="54"/>
        <v>44087</v>
      </c>
      <c r="D295" s="53">
        <f t="shared" si="46"/>
        <v>44087</v>
      </c>
      <c r="E295" s="54">
        <f t="shared" si="53"/>
        <v>42</v>
      </c>
      <c r="F295" s="54">
        <f t="shared" si="53"/>
        <v>37</v>
      </c>
      <c r="G295" s="8">
        <v>202009</v>
      </c>
      <c r="H295" s="8" t="s">
        <v>7010</v>
      </c>
      <c r="I295" s="8">
        <v>202009</v>
      </c>
      <c r="J295" s="8" t="s">
        <v>7010</v>
      </c>
      <c r="K295" s="52">
        <f t="shared" si="47"/>
        <v>44081</v>
      </c>
      <c r="L295" s="52">
        <f t="shared" si="48"/>
        <v>44087</v>
      </c>
      <c r="M295" s="55" t="str">
        <f t="shared" si="49"/>
        <v>07/09/20 @ 
13/09/20</v>
      </c>
    </row>
    <row r="296" spans="2:13" ht="24" x14ac:dyDescent="0.25">
      <c r="B296" s="51">
        <f t="shared" si="54"/>
        <v>294</v>
      </c>
      <c r="C296" s="52">
        <f t="shared" si="54"/>
        <v>44088</v>
      </c>
      <c r="D296" s="53">
        <f t="shared" si="46"/>
        <v>44088</v>
      </c>
      <c r="E296" s="54">
        <f t="shared" si="53"/>
        <v>43</v>
      </c>
      <c r="F296" s="54">
        <f t="shared" si="53"/>
        <v>38</v>
      </c>
      <c r="G296" s="8">
        <v>202009</v>
      </c>
      <c r="H296" s="8" t="s">
        <v>7010</v>
      </c>
      <c r="I296" s="8">
        <v>202009</v>
      </c>
      <c r="J296" s="8" t="s">
        <v>7010</v>
      </c>
      <c r="K296" s="52">
        <f t="shared" si="47"/>
        <v>44088</v>
      </c>
      <c r="L296" s="52">
        <f t="shared" si="48"/>
        <v>44094</v>
      </c>
      <c r="M296" s="55" t="str">
        <f t="shared" si="49"/>
        <v>14/09/20 @ 
20/09/20</v>
      </c>
    </row>
    <row r="297" spans="2:13" ht="24" x14ac:dyDescent="0.25">
      <c r="B297" s="51">
        <f t="shared" si="54"/>
        <v>295</v>
      </c>
      <c r="C297" s="52">
        <f t="shared" si="54"/>
        <v>44089</v>
      </c>
      <c r="D297" s="53">
        <f t="shared" si="46"/>
        <v>44089</v>
      </c>
      <c r="E297" s="54">
        <f t="shared" si="53"/>
        <v>43</v>
      </c>
      <c r="F297" s="54">
        <f t="shared" si="53"/>
        <v>38</v>
      </c>
      <c r="G297" s="8">
        <v>202009</v>
      </c>
      <c r="H297" s="8" t="s">
        <v>7010</v>
      </c>
      <c r="I297" s="8">
        <v>202009</v>
      </c>
      <c r="J297" s="8" t="s">
        <v>7010</v>
      </c>
      <c r="K297" s="52">
        <f t="shared" si="47"/>
        <v>44088</v>
      </c>
      <c r="L297" s="52">
        <f t="shared" si="48"/>
        <v>44094</v>
      </c>
      <c r="M297" s="55" t="str">
        <f t="shared" si="49"/>
        <v>14/09/20 @ 
20/09/20</v>
      </c>
    </row>
    <row r="298" spans="2:13" ht="24" x14ac:dyDescent="0.25">
      <c r="B298" s="51">
        <f t="shared" si="54"/>
        <v>296</v>
      </c>
      <c r="C298" s="52">
        <f t="shared" si="54"/>
        <v>44090</v>
      </c>
      <c r="D298" s="53">
        <f t="shared" si="46"/>
        <v>44090</v>
      </c>
      <c r="E298" s="54">
        <f t="shared" ref="E298:F313" si="55">+E291+1</f>
        <v>43</v>
      </c>
      <c r="F298" s="54">
        <f t="shared" si="55"/>
        <v>38</v>
      </c>
      <c r="G298" s="8">
        <v>202009</v>
      </c>
      <c r="H298" s="8" t="s">
        <v>7010</v>
      </c>
      <c r="I298" s="8">
        <v>202009</v>
      </c>
      <c r="J298" s="8" t="s">
        <v>7010</v>
      </c>
      <c r="K298" s="52">
        <f t="shared" si="47"/>
        <v>44088</v>
      </c>
      <c r="L298" s="52">
        <f t="shared" si="48"/>
        <v>44094</v>
      </c>
      <c r="M298" s="55" t="str">
        <f t="shared" si="49"/>
        <v>14/09/20 @ 
20/09/20</v>
      </c>
    </row>
    <row r="299" spans="2:13" ht="24" x14ac:dyDescent="0.25">
      <c r="B299" s="51">
        <f t="shared" si="54"/>
        <v>297</v>
      </c>
      <c r="C299" s="52">
        <f t="shared" si="54"/>
        <v>44091</v>
      </c>
      <c r="D299" s="53">
        <f t="shared" si="46"/>
        <v>44091</v>
      </c>
      <c r="E299" s="54">
        <f t="shared" si="55"/>
        <v>43</v>
      </c>
      <c r="F299" s="54">
        <f t="shared" si="55"/>
        <v>38</v>
      </c>
      <c r="G299" s="8">
        <v>202009</v>
      </c>
      <c r="H299" s="8" t="s">
        <v>7010</v>
      </c>
      <c r="I299" s="8">
        <v>202009</v>
      </c>
      <c r="J299" s="8" t="s">
        <v>7010</v>
      </c>
      <c r="K299" s="52">
        <f t="shared" si="47"/>
        <v>44088</v>
      </c>
      <c r="L299" s="52">
        <f t="shared" si="48"/>
        <v>44094</v>
      </c>
      <c r="M299" s="55" t="str">
        <f t="shared" si="49"/>
        <v>14/09/20 @ 
20/09/20</v>
      </c>
    </row>
    <row r="300" spans="2:13" ht="24" x14ac:dyDescent="0.25">
      <c r="B300" s="51">
        <f t="shared" si="54"/>
        <v>298</v>
      </c>
      <c r="C300" s="52">
        <f t="shared" si="54"/>
        <v>44092</v>
      </c>
      <c r="D300" s="53">
        <f t="shared" si="46"/>
        <v>44092</v>
      </c>
      <c r="E300" s="54">
        <f t="shared" si="55"/>
        <v>43</v>
      </c>
      <c r="F300" s="54">
        <f t="shared" si="55"/>
        <v>38</v>
      </c>
      <c r="G300" s="8">
        <v>202009</v>
      </c>
      <c r="H300" s="8" t="s">
        <v>7010</v>
      </c>
      <c r="I300" s="8">
        <v>202009</v>
      </c>
      <c r="J300" s="8" t="s">
        <v>7010</v>
      </c>
      <c r="K300" s="52">
        <f t="shared" si="47"/>
        <v>44088</v>
      </c>
      <c r="L300" s="52">
        <f t="shared" si="48"/>
        <v>44094</v>
      </c>
      <c r="M300" s="55" t="str">
        <f t="shared" si="49"/>
        <v>14/09/20 @ 
20/09/20</v>
      </c>
    </row>
    <row r="301" spans="2:13" ht="24" x14ac:dyDescent="0.25">
      <c r="B301" s="51">
        <f t="shared" si="54"/>
        <v>299</v>
      </c>
      <c r="C301" s="52">
        <f t="shared" si="54"/>
        <v>44093</v>
      </c>
      <c r="D301" s="53">
        <f t="shared" si="46"/>
        <v>44093</v>
      </c>
      <c r="E301" s="54">
        <f t="shared" si="55"/>
        <v>43</v>
      </c>
      <c r="F301" s="54">
        <f t="shared" si="55"/>
        <v>38</v>
      </c>
      <c r="G301" s="8">
        <v>202009</v>
      </c>
      <c r="H301" s="8" t="s">
        <v>7010</v>
      </c>
      <c r="I301" s="8">
        <v>202009</v>
      </c>
      <c r="J301" s="8" t="s">
        <v>7010</v>
      </c>
      <c r="K301" s="52">
        <f t="shared" si="47"/>
        <v>44088</v>
      </c>
      <c r="L301" s="52">
        <f t="shared" si="48"/>
        <v>44094</v>
      </c>
      <c r="M301" s="55" t="str">
        <f t="shared" si="49"/>
        <v>14/09/20 @ 
20/09/20</v>
      </c>
    </row>
    <row r="302" spans="2:13" ht="24" x14ac:dyDescent="0.25">
      <c r="B302" s="51">
        <f t="shared" si="54"/>
        <v>300</v>
      </c>
      <c r="C302" s="52">
        <f t="shared" si="54"/>
        <v>44094</v>
      </c>
      <c r="D302" s="53">
        <f t="shared" si="46"/>
        <v>44094</v>
      </c>
      <c r="E302" s="54">
        <f t="shared" si="55"/>
        <v>43</v>
      </c>
      <c r="F302" s="54">
        <f t="shared" si="55"/>
        <v>38</v>
      </c>
      <c r="G302" s="8">
        <v>202009</v>
      </c>
      <c r="H302" s="8" t="s">
        <v>7010</v>
      </c>
      <c r="I302" s="8">
        <v>202009</v>
      </c>
      <c r="J302" s="8" t="s">
        <v>7010</v>
      </c>
      <c r="K302" s="52">
        <f t="shared" si="47"/>
        <v>44088</v>
      </c>
      <c r="L302" s="52">
        <f t="shared" si="48"/>
        <v>44094</v>
      </c>
      <c r="M302" s="55" t="str">
        <f t="shared" si="49"/>
        <v>14/09/20 @ 
20/09/20</v>
      </c>
    </row>
    <row r="303" spans="2:13" ht="24" x14ac:dyDescent="0.25">
      <c r="B303" s="51">
        <f t="shared" si="54"/>
        <v>301</v>
      </c>
      <c r="C303" s="52">
        <f t="shared" si="54"/>
        <v>44095</v>
      </c>
      <c r="D303" s="53">
        <f t="shared" si="46"/>
        <v>44095</v>
      </c>
      <c r="E303" s="54">
        <f t="shared" si="55"/>
        <v>44</v>
      </c>
      <c r="F303" s="54">
        <f t="shared" si="55"/>
        <v>39</v>
      </c>
      <c r="G303" s="8">
        <v>202009</v>
      </c>
      <c r="H303" s="8" t="s">
        <v>7010</v>
      </c>
      <c r="I303" s="8">
        <v>202010</v>
      </c>
      <c r="J303" s="8" t="s">
        <v>7011</v>
      </c>
      <c r="K303" s="52">
        <f t="shared" si="47"/>
        <v>44095</v>
      </c>
      <c r="L303" s="52">
        <f t="shared" si="48"/>
        <v>44101</v>
      </c>
      <c r="M303" s="55" t="str">
        <f t="shared" si="49"/>
        <v>21/09/20 @ 
27/09/20</v>
      </c>
    </row>
    <row r="304" spans="2:13" ht="24" x14ac:dyDescent="0.25">
      <c r="B304" s="51">
        <f t="shared" si="54"/>
        <v>302</v>
      </c>
      <c r="C304" s="52">
        <f t="shared" si="54"/>
        <v>44096</v>
      </c>
      <c r="D304" s="53">
        <f t="shared" si="46"/>
        <v>44096</v>
      </c>
      <c r="E304" s="54">
        <f t="shared" si="55"/>
        <v>44</v>
      </c>
      <c r="F304" s="54">
        <f t="shared" si="55"/>
        <v>39</v>
      </c>
      <c r="G304" s="8">
        <v>202009</v>
      </c>
      <c r="H304" s="8" t="s">
        <v>7010</v>
      </c>
      <c r="I304" s="8">
        <v>202010</v>
      </c>
      <c r="J304" s="8" t="s">
        <v>7011</v>
      </c>
      <c r="K304" s="52">
        <f t="shared" si="47"/>
        <v>44095</v>
      </c>
      <c r="L304" s="52">
        <f t="shared" si="48"/>
        <v>44101</v>
      </c>
      <c r="M304" s="55" t="str">
        <f t="shared" si="49"/>
        <v>21/09/20 @ 
27/09/20</v>
      </c>
    </row>
    <row r="305" spans="2:13" ht="24" x14ac:dyDescent="0.25">
      <c r="B305" s="51">
        <f t="shared" si="54"/>
        <v>303</v>
      </c>
      <c r="C305" s="52">
        <f t="shared" si="54"/>
        <v>44097</v>
      </c>
      <c r="D305" s="53">
        <f t="shared" si="46"/>
        <v>44097</v>
      </c>
      <c r="E305" s="54">
        <f t="shared" si="55"/>
        <v>44</v>
      </c>
      <c r="F305" s="54">
        <f t="shared" si="55"/>
        <v>39</v>
      </c>
      <c r="G305" s="8">
        <v>202009</v>
      </c>
      <c r="H305" s="8" t="s">
        <v>7010</v>
      </c>
      <c r="I305" s="8">
        <v>202010</v>
      </c>
      <c r="J305" s="8" t="s">
        <v>7011</v>
      </c>
      <c r="K305" s="52">
        <f t="shared" si="47"/>
        <v>44095</v>
      </c>
      <c r="L305" s="52">
        <f t="shared" si="48"/>
        <v>44101</v>
      </c>
      <c r="M305" s="55" t="str">
        <f t="shared" si="49"/>
        <v>21/09/20 @ 
27/09/20</v>
      </c>
    </row>
    <row r="306" spans="2:13" ht="24" x14ac:dyDescent="0.25">
      <c r="B306" s="51">
        <f t="shared" si="54"/>
        <v>304</v>
      </c>
      <c r="C306" s="52">
        <f t="shared" si="54"/>
        <v>44098</v>
      </c>
      <c r="D306" s="53">
        <f t="shared" si="46"/>
        <v>44098</v>
      </c>
      <c r="E306" s="54">
        <f t="shared" si="55"/>
        <v>44</v>
      </c>
      <c r="F306" s="54">
        <f t="shared" si="55"/>
        <v>39</v>
      </c>
      <c r="G306" s="8">
        <v>202009</v>
      </c>
      <c r="H306" s="8" t="s">
        <v>7010</v>
      </c>
      <c r="I306" s="8">
        <v>202010</v>
      </c>
      <c r="J306" s="8" t="s">
        <v>7011</v>
      </c>
      <c r="K306" s="52">
        <f t="shared" si="47"/>
        <v>44095</v>
      </c>
      <c r="L306" s="52">
        <f t="shared" si="48"/>
        <v>44101</v>
      </c>
      <c r="M306" s="55" t="str">
        <f t="shared" si="49"/>
        <v>21/09/20 @ 
27/09/20</v>
      </c>
    </row>
    <row r="307" spans="2:13" ht="24" x14ac:dyDescent="0.25">
      <c r="B307" s="51">
        <f t="shared" si="54"/>
        <v>305</v>
      </c>
      <c r="C307" s="52">
        <f t="shared" si="54"/>
        <v>44099</v>
      </c>
      <c r="D307" s="53">
        <f t="shared" si="46"/>
        <v>44099</v>
      </c>
      <c r="E307" s="54">
        <f t="shared" si="55"/>
        <v>44</v>
      </c>
      <c r="F307" s="54">
        <f t="shared" si="55"/>
        <v>39</v>
      </c>
      <c r="G307" s="8">
        <v>202009</v>
      </c>
      <c r="H307" s="8" t="s">
        <v>7010</v>
      </c>
      <c r="I307" s="8">
        <v>202010</v>
      </c>
      <c r="J307" s="8" t="s">
        <v>7011</v>
      </c>
      <c r="K307" s="52">
        <f t="shared" si="47"/>
        <v>44095</v>
      </c>
      <c r="L307" s="52">
        <f t="shared" si="48"/>
        <v>44101</v>
      </c>
      <c r="M307" s="55" t="str">
        <f t="shared" si="49"/>
        <v>21/09/20 @ 
27/09/20</v>
      </c>
    </row>
    <row r="308" spans="2:13" ht="24" x14ac:dyDescent="0.25">
      <c r="B308" s="51">
        <f t="shared" si="54"/>
        <v>306</v>
      </c>
      <c r="C308" s="52">
        <f t="shared" si="54"/>
        <v>44100</v>
      </c>
      <c r="D308" s="53">
        <f t="shared" si="46"/>
        <v>44100</v>
      </c>
      <c r="E308" s="54">
        <f t="shared" si="55"/>
        <v>44</v>
      </c>
      <c r="F308" s="54">
        <f t="shared" si="55"/>
        <v>39</v>
      </c>
      <c r="G308" s="8">
        <v>202009</v>
      </c>
      <c r="H308" s="8" t="s">
        <v>7010</v>
      </c>
      <c r="I308" s="8">
        <v>202010</v>
      </c>
      <c r="J308" s="8" t="s">
        <v>7011</v>
      </c>
      <c r="K308" s="52">
        <f t="shared" si="47"/>
        <v>44095</v>
      </c>
      <c r="L308" s="52">
        <f t="shared" si="48"/>
        <v>44101</v>
      </c>
      <c r="M308" s="55" t="str">
        <f t="shared" si="49"/>
        <v>21/09/20 @ 
27/09/20</v>
      </c>
    </row>
    <row r="309" spans="2:13" ht="24" x14ac:dyDescent="0.25">
      <c r="B309" s="51">
        <f t="shared" ref="B309:C324" si="56">+B308+1</f>
        <v>307</v>
      </c>
      <c r="C309" s="52">
        <f t="shared" si="56"/>
        <v>44101</v>
      </c>
      <c r="D309" s="53">
        <f t="shared" si="46"/>
        <v>44101</v>
      </c>
      <c r="E309" s="54">
        <f t="shared" si="55"/>
        <v>44</v>
      </c>
      <c r="F309" s="54">
        <f t="shared" si="55"/>
        <v>39</v>
      </c>
      <c r="G309" s="8">
        <v>202009</v>
      </c>
      <c r="H309" s="8" t="s">
        <v>7010</v>
      </c>
      <c r="I309" s="8">
        <v>202010</v>
      </c>
      <c r="J309" s="8" t="s">
        <v>7011</v>
      </c>
      <c r="K309" s="52">
        <f t="shared" si="47"/>
        <v>44095</v>
      </c>
      <c r="L309" s="52">
        <f t="shared" si="48"/>
        <v>44101</v>
      </c>
      <c r="M309" s="55" t="str">
        <f t="shared" si="49"/>
        <v>21/09/20 @ 
27/09/20</v>
      </c>
    </row>
    <row r="310" spans="2:13" ht="24" x14ac:dyDescent="0.25">
      <c r="B310" s="51">
        <f t="shared" si="56"/>
        <v>308</v>
      </c>
      <c r="C310" s="52">
        <f t="shared" si="56"/>
        <v>44102</v>
      </c>
      <c r="D310" s="53">
        <f t="shared" si="46"/>
        <v>44102</v>
      </c>
      <c r="E310" s="54">
        <f t="shared" si="55"/>
        <v>45</v>
      </c>
      <c r="F310" s="54">
        <f t="shared" si="55"/>
        <v>40</v>
      </c>
      <c r="G310" s="8">
        <v>202010</v>
      </c>
      <c r="H310" s="8" t="s">
        <v>7011</v>
      </c>
      <c r="I310" s="8">
        <v>202010</v>
      </c>
      <c r="J310" s="8" t="s">
        <v>7011</v>
      </c>
      <c r="K310" s="52">
        <f t="shared" si="47"/>
        <v>44102</v>
      </c>
      <c r="L310" s="52">
        <f t="shared" si="48"/>
        <v>44108</v>
      </c>
      <c r="M310" s="55" t="str">
        <f t="shared" si="49"/>
        <v>28/09/20 @ 
04/10/20</v>
      </c>
    </row>
    <row r="311" spans="2:13" ht="24" x14ac:dyDescent="0.25">
      <c r="B311" s="51">
        <f t="shared" si="56"/>
        <v>309</v>
      </c>
      <c r="C311" s="52">
        <f t="shared" si="56"/>
        <v>44103</v>
      </c>
      <c r="D311" s="53">
        <f t="shared" si="46"/>
        <v>44103</v>
      </c>
      <c r="E311" s="54">
        <f t="shared" si="55"/>
        <v>45</v>
      </c>
      <c r="F311" s="54">
        <f t="shared" si="55"/>
        <v>40</v>
      </c>
      <c r="G311" s="8">
        <v>202010</v>
      </c>
      <c r="H311" s="8" t="s">
        <v>7011</v>
      </c>
      <c r="I311" s="8">
        <v>202010</v>
      </c>
      <c r="J311" s="8" t="s">
        <v>7011</v>
      </c>
      <c r="K311" s="52">
        <f t="shared" si="47"/>
        <v>44102</v>
      </c>
      <c r="L311" s="52">
        <f t="shared" si="48"/>
        <v>44108</v>
      </c>
      <c r="M311" s="55" t="str">
        <f t="shared" si="49"/>
        <v>28/09/20 @ 
04/10/20</v>
      </c>
    </row>
    <row r="312" spans="2:13" ht="24" x14ac:dyDescent="0.25">
      <c r="B312" s="51">
        <f t="shared" si="56"/>
        <v>310</v>
      </c>
      <c r="C312" s="52">
        <f t="shared" si="56"/>
        <v>44104</v>
      </c>
      <c r="D312" s="53">
        <f t="shared" si="46"/>
        <v>44104</v>
      </c>
      <c r="E312" s="54">
        <f t="shared" si="55"/>
        <v>45</v>
      </c>
      <c r="F312" s="54">
        <f t="shared" si="55"/>
        <v>40</v>
      </c>
      <c r="G312" s="8">
        <v>202010</v>
      </c>
      <c r="H312" s="8" t="s">
        <v>7011</v>
      </c>
      <c r="I312" s="8">
        <v>202010</v>
      </c>
      <c r="J312" s="8" t="s">
        <v>7011</v>
      </c>
      <c r="K312" s="52">
        <f t="shared" si="47"/>
        <v>44102</v>
      </c>
      <c r="L312" s="52">
        <f t="shared" si="48"/>
        <v>44108</v>
      </c>
      <c r="M312" s="55" t="str">
        <f t="shared" si="49"/>
        <v>28/09/20 @ 
04/10/20</v>
      </c>
    </row>
    <row r="313" spans="2:13" ht="24" x14ac:dyDescent="0.25">
      <c r="B313" s="51">
        <f t="shared" si="56"/>
        <v>311</v>
      </c>
      <c r="C313" s="52">
        <f t="shared" si="56"/>
        <v>44105</v>
      </c>
      <c r="D313" s="53">
        <f t="shared" si="46"/>
        <v>44105</v>
      </c>
      <c r="E313" s="54">
        <f t="shared" si="55"/>
        <v>45</v>
      </c>
      <c r="F313" s="54">
        <f t="shared" si="55"/>
        <v>40</v>
      </c>
      <c r="G313" s="8">
        <v>202010</v>
      </c>
      <c r="H313" s="8" t="s">
        <v>7011</v>
      </c>
      <c r="I313" s="8">
        <v>202010</v>
      </c>
      <c r="J313" s="8" t="s">
        <v>7011</v>
      </c>
      <c r="K313" s="52">
        <f t="shared" si="47"/>
        <v>44102</v>
      </c>
      <c r="L313" s="52">
        <f t="shared" si="48"/>
        <v>44108</v>
      </c>
      <c r="M313" s="55" t="str">
        <f t="shared" si="49"/>
        <v>28/09/20 @ 
04/10/20</v>
      </c>
    </row>
    <row r="314" spans="2:13" ht="24" x14ac:dyDescent="0.25">
      <c r="B314" s="51">
        <f t="shared" si="56"/>
        <v>312</v>
      </c>
      <c r="C314" s="52">
        <f t="shared" si="56"/>
        <v>44106</v>
      </c>
      <c r="D314" s="53">
        <f t="shared" si="46"/>
        <v>44106</v>
      </c>
      <c r="E314" s="54">
        <f t="shared" ref="E314:F329" si="57">+E307+1</f>
        <v>45</v>
      </c>
      <c r="F314" s="54">
        <f t="shared" si="57"/>
        <v>40</v>
      </c>
      <c r="G314" s="8">
        <v>202010</v>
      </c>
      <c r="H314" s="8" t="s">
        <v>7011</v>
      </c>
      <c r="I314" s="8">
        <v>202010</v>
      </c>
      <c r="J314" s="8" t="s">
        <v>7011</v>
      </c>
      <c r="K314" s="52">
        <f t="shared" si="47"/>
        <v>44102</v>
      </c>
      <c r="L314" s="52">
        <f t="shared" si="48"/>
        <v>44108</v>
      </c>
      <c r="M314" s="55" t="str">
        <f t="shared" si="49"/>
        <v>28/09/20 @ 
04/10/20</v>
      </c>
    </row>
    <row r="315" spans="2:13" ht="24" x14ac:dyDescent="0.25">
      <c r="B315" s="51">
        <f t="shared" si="56"/>
        <v>313</v>
      </c>
      <c r="C315" s="52">
        <f t="shared" si="56"/>
        <v>44107</v>
      </c>
      <c r="D315" s="53">
        <f t="shared" si="46"/>
        <v>44107</v>
      </c>
      <c r="E315" s="54">
        <f t="shared" si="57"/>
        <v>45</v>
      </c>
      <c r="F315" s="54">
        <f t="shared" si="57"/>
        <v>40</v>
      </c>
      <c r="G315" s="8">
        <v>202010</v>
      </c>
      <c r="H315" s="8" t="s">
        <v>7011</v>
      </c>
      <c r="I315" s="8">
        <v>202010</v>
      </c>
      <c r="J315" s="8" t="s">
        <v>7011</v>
      </c>
      <c r="K315" s="52">
        <f t="shared" si="47"/>
        <v>44102</v>
      </c>
      <c r="L315" s="52">
        <f t="shared" si="48"/>
        <v>44108</v>
      </c>
      <c r="M315" s="55" t="str">
        <f t="shared" si="49"/>
        <v>28/09/20 @ 
04/10/20</v>
      </c>
    </row>
    <row r="316" spans="2:13" ht="24" x14ac:dyDescent="0.25">
      <c r="B316" s="51">
        <f t="shared" si="56"/>
        <v>314</v>
      </c>
      <c r="C316" s="52">
        <f t="shared" si="56"/>
        <v>44108</v>
      </c>
      <c r="D316" s="53">
        <f t="shared" si="46"/>
        <v>44108</v>
      </c>
      <c r="E316" s="54">
        <f t="shared" si="57"/>
        <v>45</v>
      </c>
      <c r="F316" s="54">
        <f t="shared" si="57"/>
        <v>40</v>
      </c>
      <c r="G316" s="8">
        <v>202010</v>
      </c>
      <c r="H316" s="8" t="s">
        <v>7011</v>
      </c>
      <c r="I316" s="8">
        <v>202010</v>
      </c>
      <c r="J316" s="8" t="s">
        <v>7011</v>
      </c>
      <c r="K316" s="52">
        <f t="shared" si="47"/>
        <v>44102</v>
      </c>
      <c r="L316" s="52">
        <f t="shared" si="48"/>
        <v>44108</v>
      </c>
      <c r="M316" s="55" t="str">
        <f t="shared" si="49"/>
        <v>28/09/20 @ 
04/10/20</v>
      </c>
    </row>
    <row r="317" spans="2:13" ht="24" x14ac:dyDescent="0.25">
      <c r="B317" s="51">
        <f t="shared" si="56"/>
        <v>315</v>
      </c>
      <c r="C317" s="52">
        <f t="shared" si="56"/>
        <v>44109</v>
      </c>
      <c r="D317" s="53">
        <f t="shared" si="46"/>
        <v>44109</v>
      </c>
      <c r="E317" s="54">
        <f t="shared" si="57"/>
        <v>46</v>
      </c>
      <c r="F317" s="54">
        <f t="shared" si="57"/>
        <v>41</v>
      </c>
      <c r="G317" s="8">
        <v>202010</v>
      </c>
      <c r="H317" s="8" t="s">
        <v>7011</v>
      </c>
      <c r="I317" s="8">
        <v>202010</v>
      </c>
      <c r="J317" s="8" t="s">
        <v>7011</v>
      </c>
      <c r="K317" s="52">
        <f t="shared" si="47"/>
        <v>44109</v>
      </c>
      <c r="L317" s="52">
        <f t="shared" si="48"/>
        <v>44115</v>
      </c>
      <c r="M317" s="55" t="str">
        <f t="shared" si="49"/>
        <v>05/10/20 @ 
11/10/20</v>
      </c>
    </row>
    <row r="318" spans="2:13" ht="24" x14ac:dyDescent="0.25">
      <c r="B318" s="51">
        <f t="shared" si="56"/>
        <v>316</v>
      </c>
      <c r="C318" s="52">
        <f t="shared" si="56"/>
        <v>44110</v>
      </c>
      <c r="D318" s="53">
        <f t="shared" si="46"/>
        <v>44110</v>
      </c>
      <c r="E318" s="54">
        <f t="shared" si="57"/>
        <v>46</v>
      </c>
      <c r="F318" s="54">
        <f t="shared" si="57"/>
        <v>41</v>
      </c>
      <c r="G318" s="8">
        <v>202010</v>
      </c>
      <c r="H318" s="8" t="s">
        <v>7011</v>
      </c>
      <c r="I318" s="8">
        <v>202010</v>
      </c>
      <c r="J318" s="8" t="s">
        <v>7011</v>
      </c>
      <c r="K318" s="52">
        <f t="shared" si="47"/>
        <v>44109</v>
      </c>
      <c r="L318" s="52">
        <f t="shared" si="48"/>
        <v>44115</v>
      </c>
      <c r="M318" s="55" t="str">
        <f t="shared" si="49"/>
        <v>05/10/20 @ 
11/10/20</v>
      </c>
    </row>
    <row r="319" spans="2:13" ht="24" x14ac:dyDescent="0.25">
      <c r="B319" s="51">
        <f t="shared" si="56"/>
        <v>317</v>
      </c>
      <c r="C319" s="52">
        <f t="shared" si="56"/>
        <v>44111</v>
      </c>
      <c r="D319" s="53">
        <f t="shared" si="46"/>
        <v>44111</v>
      </c>
      <c r="E319" s="54">
        <f t="shared" si="57"/>
        <v>46</v>
      </c>
      <c r="F319" s="54">
        <f t="shared" si="57"/>
        <v>41</v>
      </c>
      <c r="G319" s="8">
        <v>202010</v>
      </c>
      <c r="H319" s="8" t="s">
        <v>7011</v>
      </c>
      <c r="I319" s="8">
        <v>202010</v>
      </c>
      <c r="J319" s="8" t="s">
        <v>7011</v>
      </c>
      <c r="K319" s="52">
        <f t="shared" si="47"/>
        <v>44109</v>
      </c>
      <c r="L319" s="52">
        <f t="shared" si="48"/>
        <v>44115</v>
      </c>
      <c r="M319" s="55" t="str">
        <f t="shared" si="49"/>
        <v>05/10/20 @ 
11/10/20</v>
      </c>
    </row>
    <row r="320" spans="2:13" ht="24" x14ac:dyDescent="0.25">
      <c r="B320" s="51">
        <f t="shared" si="56"/>
        <v>318</v>
      </c>
      <c r="C320" s="52">
        <f t="shared" si="56"/>
        <v>44112</v>
      </c>
      <c r="D320" s="53">
        <f t="shared" si="46"/>
        <v>44112</v>
      </c>
      <c r="E320" s="54">
        <f t="shared" si="57"/>
        <v>46</v>
      </c>
      <c r="F320" s="54">
        <f t="shared" si="57"/>
        <v>41</v>
      </c>
      <c r="G320" s="8">
        <v>202010</v>
      </c>
      <c r="H320" s="8" t="s">
        <v>7011</v>
      </c>
      <c r="I320" s="8">
        <v>202010</v>
      </c>
      <c r="J320" s="8" t="s">
        <v>7011</v>
      </c>
      <c r="K320" s="52">
        <f t="shared" si="47"/>
        <v>44109</v>
      </c>
      <c r="L320" s="52">
        <f t="shared" si="48"/>
        <v>44115</v>
      </c>
      <c r="M320" s="55" t="str">
        <f t="shared" si="49"/>
        <v>05/10/20 @ 
11/10/20</v>
      </c>
    </row>
    <row r="321" spans="2:13" ht="24" x14ac:dyDescent="0.25">
      <c r="B321" s="51">
        <f t="shared" si="56"/>
        <v>319</v>
      </c>
      <c r="C321" s="52">
        <f t="shared" si="56"/>
        <v>44113</v>
      </c>
      <c r="D321" s="53">
        <f t="shared" si="46"/>
        <v>44113</v>
      </c>
      <c r="E321" s="54">
        <f t="shared" si="57"/>
        <v>46</v>
      </c>
      <c r="F321" s="54">
        <f t="shared" si="57"/>
        <v>41</v>
      </c>
      <c r="G321" s="8">
        <v>202010</v>
      </c>
      <c r="H321" s="8" t="s">
        <v>7011</v>
      </c>
      <c r="I321" s="8">
        <v>202010</v>
      </c>
      <c r="J321" s="8" t="s">
        <v>7011</v>
      </c>
      <c r="K321" s="52">
        <f t="shared" si="47"/>
        <v>44109</v>
      </c>
      <c r="L321" s="52">
        <f t="shared" si="48"/>
        <v>44115</v>
      </c>
      <c r="M321" s="55" t="str">
        <f t="shared" si="49"/>
        <v>05/10/20 @ 
11/10/20</v>
      </c>
    </row>
    <row r="322" spans="2:13" ht="24" x14ac:dyDescent="0.25">
      <c r="B322" s="51">
        <f t="shared" si="56"/>
        <v>320</v>
      </c>
      <c r="C322" s="52">
        <f t="shared" si="56"/>
        <v>44114</v>
      </c>
      <c r="D322" s="53">
        <f t="shared" si="46"/>
        <v>44114</v>
      </c>
      <c r="E322" s="54">
        <f t="shared" si="57"/>
        <v>46</v>
      </c>
      <c r="F322" s="54">
        <f t="shared" si="57"/>
        <v>41</v>
      </c>
      <c r="G322" s="8">
        <v>202010</v>
      </c>
      <c r="H322" s="8" t="s">
        <v>7011</v>
      </c>
      <c r="I322" s="8">
        <v>202010</v>
      </c>
      <c r="J322" s="8" t="s">
        <v>7011</v>
      </c>
      <c r="K322" s="52">
        <f t="shared" si="47"/>
        <v>44109</v>
      </c>
      <c r="L322" s="52">
        <f t="shared" si="48"/>
        <v>44115</v>
      </c>
      <c r="M322" s="55" t="str">
        <f t="shared" si="49"/>
        <v>05/10/20 @ 
11/10/20</v>
      </c>
    </row>
    <row r="323" spans="2:13" ht="24" x14ac:dyDescent="0.25">
      <c r="B323" s="51">
        <f t="shared" si="56"/>
        <v>321</v>
      </c>
      <c r="C323" s="52">
        <f t="shared" si="56"/>
        <v>44115</v>
      </c>
      <c r="D323" s="53">
        <f t="shared" ref="D323:D386" si="58">+C323</f>
        <v>44115</v>
      </c>
      <c r="E323" s="54">
        <f t="shared" si="57"/>
        <v>46</v>
      </c>
      <c r="F323" s="54">
        <f t="shared" si="57"/>
        <v>41</v>
      </c>
      <c r="G323" s="8">
        <v>202010</v>
      </c>
      <c r="H323" s="8" t="s">
        <v>7011</v>
      </c>
      <c r="I323" s="8">
        <v>202010</v>
      </c>
      <c r="J323" s="8" t="s">
        <v>7011</v>
      </c>
      <c r="K323" s="52">
        <f t="shared" ref="K323:K386" si="59">_xlfn.MINIFS($C$2:$C$890,$E$2:$E$890,E323)</f>
        <v>44109</v>
      </c>
      <c r="L323" s="52">
        <f t="shared" ref="L323:L386" si="60">_xlfn.MAXIFS($C$2:$C$890,$E$2:$E$890,E323)</f>
        <v>44115</v>
      </c>
      <c r="M323" s="55" t="str">
        <f t="shared" ref="M323:M386" si="61">CONCATENATE(TEXT(K323,"DD/MM/YY")," @ ",CHAR(10),TEXT(L323,"DD/MM/YY"))</f>
        <v>05/10/20 @ 
11/10/20</v>
      </c>
    </row>
    <row r="324" spans="2:13" ht="24" x14ac:dyDescent="0.25">
      <c r="B324" s="51">
        <f t="shared" si="56"/>
        <v>322</v>
      </c>
      <c r="C324" s="52">
        <f t="shared" si="56"/>
        <v>44116</v>
      </c>
      <c r="D324" s="53">
        <f t="shared" si="58"/>
        <v>44116</v>
      </c>
      <c r="E324" s="54">
        <f t="shared" si="57"/>
        <v>47</v>
      </c>
      <c r="F324" s="54">
        <f t="shared" si="57"/>
        <v>42</v>
      </c>
      <c r="G324" s="8">
        <v>202010</v>
      </c>
      <c r="H324" s="8" t="s">
        <v>7011</v>
      </c>
      <c r="I324" s="8">
        <v>202010</v>
      </c>
      <c r="J324" s="8" t="s">
        <v>7011</v>
      </c>
      <c r="K324" s="52">
        <f t="shared" si="59"/>
        <v>44116</v>
      </c>
      <c r="L324" s="52">
        <f t="shared" si="60"/>
        <v>44122</v>
      </c>
      <c r="M324" s="55" t="str">
        <f t="shared" si="61"/>
        <v>12/10/20 @ 
18/10/20</v>
      </c>
    </row>
    <row r="325" spans="2:13" ht="24" x14ac:dyDescent="0.25">
      <c r="B325" s="51">
        <f t="shared" ref="B325:C340" si="62">+B324+1</f>
        <v>323</v>
      </c>
      <c r="C325" s="52">
        <f t="shared" si="62"/>
        <v>44117</v>
      </c>
      <c r="D325" s="53">
        <f t="shared" si="58"/>
        <v>44117</v>
      </c>
      <c r="E325" s="54">
        <f t="shared" si="57"/>
        <v>47</v>
      </c>
      <c r="F325" s="54">
        <f t="shared" si="57"/>
        <v>42</v>
      </c>
      <c r="G325" s="8">
        <v>202010</v>
      </c>
      <c r="H325" s="8" t="s">
        <v>7011</v>
      </c>
      <c r="I325" s="8">
        <v>202010</v>
      </c>
      <c r="J325" s="8" t="s">
        <v>7011</v>
      </c>
      <c r="K325" s="52">
        <f t="shared" si="59"/>
        <v>44116</v>
      </c>
      <c r="L325" s="52">
        <f t="shared" si="60"/>
        <v>44122</v>
      </c>
      <c r="M325" s="55" t="str">
        <f t="shared" si="61"/>
        <v>12/10/20 @ 
18/10/20</v>
      </c>
    </row>
    <row r="326" spans="2:13" ht="24" x14ac:dyDescent="0.25">
      <c r="B326" s="51">
        <f t="shared" si="62"/>
        <v>324</v>
      </c>
      <c r="C326" s="52">
        <f t="shared" si="62"/>
        <v>44118</v>
      </c>
      <c r="D326" s="53">
        <f t="shared" si="58"/>
        <v>44118</v>
      </c>
      <c r="E326" s="54">
        <f t="shared" si="57"/>
        <v>47</v>
      </c>
      <c r="F326" s="54">
        <f t="shared" si="57"/>
        <v>42</v>
      </c>
      <c r="G326" s="8">
        <v>202010</v>
      </c>
      <c r="H326" s="8" t="s">
        <v>7011</v>
      </c>
      <c r="I326" s="8">
        <v>202010</v>
      </c>
      <c r="J326" s="8" t="s">
        <v>7011</v>
      </c>
      <c r="K326" s="52">
        <f t="shared" si="59"/>
        <v>44116</v>
      </c>
      <c r="L326" s="52">
        <f t="shared" si="60"/>
        <v>44122</v>
      </c>
      <c r="M326" s="55" t="str">
        <f t="shared" si="61"/>
        <v>12/10/20 @ 
18/10/20</v>
      </c>
    </row>
    <row r="327" spans="2:13" ht="24" x14ac:dyDescent="0.25">
      <c r="B327" s="51">
        <f t="shared" si="62"/>
        <v>325</v>
      </c>
      <c r="C327" s="52">
        <f t="shared" si="62"/>
        <v>44119</v>
      </c>
      <c r="D327" s="53">
        <f t="shared" si="58"/>
        <v>44119</v>
      </c>
      <c r="E327" s="54">
        <f t="shared" si="57"/>
        <v>47</v>
      </c>
      <c r="F327" s="54">
        <f t="shared" si="57"/>
        <v>42</v>
      </c>
      <c r="G327" s="8">
        <v>202010</v>
      </c>
      <c r="H327" s="8" t="s">
        <v>7011</v>
      </c>
      <c r="I327" s="8">
        <v>202010</v>
      </c>
      <c r="J327" s="8" t="s">
        <v>7011</v>
      </c>
      <c r="K327" s="52">
        <f t="shared" si="59"/>
        <v>44116</v>
      </c>
      <c r="L327" s="52">
        <f t="shared" si="60"/>
        <v>44122</v>
      </c>
      <c r="M327" s="55" t="str">
        <f t="shared" si="61"/>
        <v>12/10/20 @ 
18/10/20</v>
      </c>
    </row>
    <row r="328" spans="2:13" ht="24" x14ac:dyDescent="0.25">
      <c r="B328" s="51">
        <f t="shared" si="62"/>
        <v>326</v>
      </c>
      <c r="C328" s="52">
        <f t="shared" si="62"/>
        <v>44120</v>
      </c>
      <c r="D328" s="53">
        <f t="shared" si="58"/>
        <v>44120</v>
      </c>
      <c r="E328" s="54">
        <f t="shared" si="57"/>
        <v>47</v>
      </c>
      <c r="F328" s="54">
        <f t="shared" si="57"/>
        <v>42</v>
      </c>
      <c r="G328" s="8">
        <v>202010</v>
      </c>
      <c r="H328" s="8" t="s">
        <v>7011</v>
      </c>
      <c r="I328" s="8">
        <v>202010</v>
      </c>
      <c r="J328" s="8" t="s">
        <v>7011</v>
      </c>
      <c r="K328" s="52">
        <f t="shared" si="59"/>
        <v>44116</v>
      </c>
      <c r="L328" s="52">
        <f t="shared" si="60"/>
        <v>44122</v>
      </c>
      <c r="M328" s="55" t="str">
        <f t="shared" si="61"/>
        <v>12/10/20 @ 
18/10/20</v>
      </c>
    </row>
    <row r="329" spans="2:13" ht="24" x14ac:dyDescent="0.25">
      <c r="B329" s="51">
        <f t="shared" si="62"/>
        <v>327</v>
      </c>
      <c r="C329" s="52">
        <f t="shared" si="62"/>
        <v>44121</v>
      </c>
      <c r="D329" s="53">
        <f t="shared" si="58"/>
        <v>44121</v>
      </c>
      <c r="E329" s="54">
        <f t="shared" si="57"/>
        <v>47</v>
      </c>
      <c r="F329" s="54">
        <f t="shared" si="57"/>
        <v>42</v>
      </c>
      <c r="G329" s="8">
        <v>202010</v>
      </c>
      <c r="H329" s="8" t="s">
        <v>7011</v>
      </c>
      <c r="I329" s="8">
        <v>202010</v>
      </c>
      <c r="J329" s="8" t="s">
        <v>7011</v>
      </c>
      <c r="K329" s="52">
        <f t="shared" si="59"/>
        <v>44116</v>
      </c>
      <c r="L329" s="52">
        <f t="shared" si="60"/>
        <v>44122</v>
      </c>
      <c r="M329" s="55" t="str">
        <f t="shared" si="61"/>
        <v>12/10/20 @ 
18/10/20</v>
      </c>
    </row>
    <row r="330" spans="2:13" ht="24" x14ac:dyDescent="0.25">
      <c r="B330" s="51">
        <f t="shared" si="62"/>
        <v>328</v>
      </c>
      <c r="C330" s="52">
        <f t="shared" si="62"/>
        <v>44122</v>
      </c>
      <c r="D330" s="53">
        <f t="shared" si="58"/>
        <v>44122</v>
      </c>
      <c r="E330" s="54">
        <f t="shared" ref="E330:F345" si="63">+E323+1</f>
        <v>47</v>
      </c>
      <c r="F330" s="54">
        <f t="shared" si="63"/>
        <v>42</v>
      </c>
      <c r="G330" s="8">
        <v>202010</v>
      </c>
      <c r="H330" s="8" t="s">
        <v>7011</v>
      </c>
      <c r="I330" s="8">
        <v>202010</v>
      </c>
      <c r="J330" s="8" t="s">
        <v>7011</v>
      </c>
      <c r="K330" s="52">
        <f t="shared" si="59"/>
        <v>44116</v>
      </c>
      <c r="L330" s="52">
        <f t="shared" si="60"/>
        <v>44122</v>
      </c>
      <c r="M330" s="55" t="str">
        <f t="shared" si="61"/>
        <v>12/10/20 @ 
18/10/20</v>
      </c>
    </row>
    <row r="331" spans="2:13" ht="24" x14ac:dyDescent="0.25">
      <c r="B331" s="51">
        <f t="shared" si="62"/>
        <v>329</v>
      </c>
      <c r="C331" s="52">
        <f t="shared" si="62"/>
        <v>44123</v>
      </c>
      <c r="D331" s="53">
        <f t="shared" si="58"/>
        <v>44123</v>
      </c>
      <c r="E331" s="54">
        <f t="shared" si="63"/>
        <v>48</v>
      </c>
      <c r="F331" s="54">
        <f t="shared" si="63"/>
        <v>43</v>
      </c>
      <c r="G331" s="8">
        <v>202010</v>
      </c>
      <c r="H331" s="8" t="s">
        <v>7011</v>
      </c>
      <c r="I331" s="8">
        <v>202010</v>
      </c>
      <c r="J331" s="8" t="s">
        <v>7011</v>
      </c>
      <c r="K331" s="52">
        <f t="shared" si="59"/>
        <v>44123</v>
      </c>
      <c r="L331" s="52">
        <f t="shared" si="60"/>
        <v>44129</v>
      </c>
      <c r="M331" s="55" t="str">
        <f t="shared" si="61"/>
        <v>19/10/20 @ 
25/10/20</v>
      </c>
    </row>
    <row r="332" spans="2:13" ht="24" x14ac:dyDescent="0.25">
      <c r="B332" s="51">
        <f t="shared" si="62"/>
        <v>330</v>
      </c>
      <c r="C332" s="52">
        <f t="shared" si="62"/>
        <v>44124</v>
      </c>
      <c r="D332" s="53">
        <f t="shared" si="58"/>
        <v>44124</v>
      </c>
      <c r="E332" s="54">
        <f t="shared" si="63"/>
        <v>48</v>
      </c>
      <c r="F332" s="54">
        <f t="shared" si="63"/>
        <v>43</v>
      </c>
      <c r="G332" s="8">
        <v>202010</v>
      </c>
      <c r="H332" s="8" t="s">
        <v>7011</v>
      </c>
      <c r="I332" s="8">
        <v>202010</v>
      </c>
      <c r="J332" s="8" t="s">
        <v>7011</v>
      </c>
      <c r="K332" s="52">
        <f t="shared" si="59"/>
        <v>44123</v>
      </c>
      <c r="L332" s="52">
        <f t="shared" si="60"/>
        <v>44129</v>
      </c>
      <c r="M332" s="55" t="str">
        <f t="shared" si="61"/>
        <v>19/10/20 @ 
25/10/20</v>
      </c>
    </row>
    <row r="333" spans="2:13" ht="24" x14ac:dyDescent="0.25">
      <c r="B333" s="51">
        <f t="shared" si="62"/>
        <v>331</v>
      </c>
      <c r="C333" s="52">
        <f t="shared" si="62"/>
        <v>44125</v>
      </c>
      <c r="D333" s="53">
        <f t="shared" si="58"/>
        <v>44125</v>
      </c>
      <c r="E333" s="54">
        <f t="shared" si="63"/>
        <v>48</v>
      </c>
      <c r="F333" s="54">
        <f t="shared" si="63"/>
        <v>43</v>
      </c>
      <c r="G333" s="8">
        <v>202010</v>
      </c>
      <c r="H333" s="8" t="s">
        <v>7011</v>
      </c>
      <c r="I333" s="8">
        <v>202011</v>
      </c>
      <c r="J333" s="8" t="s">
        <v>7012</v>
      </c>
      <c r="K333" s="52">
        <f t="shared" si="59"/>
        <v>44123</v>
      </c>
      <c r="L333" s="52">
        <f t="shared" si="60"/>
        <v>44129</v>
      </c>
      <c r="M333" s="55" t="str">
        <f t="shared" si="61"/>
        <v>19/10/20 @ 
25/10/20</v>
      </c>
    </row>
    <row r="334" spans="2:13" ht="24" x14ac:dyDescent="0.25">
      <c r="B334" s="51">
        <f t="shared" si="62"/>
        <v>332</v>
      </c>
      <c r="C334" s="52">
        <f t="shared" si="62"/>
        <v>44126</v>
      </c>
      <c r="D334" s="53">
        <f t="shared" si="58"/>
        <v>44126</v>
      </c>
      <c r="E334" s="54">
        <f t="shared" si="63"/>
        <v>48</v>
      </c>
      <c r="F334" s="54">
        <f t="shared" si="63"/>
        <v>43</v>
      </c>
      <c r="G334" s="8">
        <v>202010</v>
      </c>
      <c r="H334" s="8" t="s">
        <v>7011</v>
      </c>
      <c r="I334" s="8">
        <v>202011</v>
      </c>
      <c r="J334" s="8" t="s">
        <v>7012</v>
      </c>
      <c r="K334" s="52">
        <f t="shared" si="59"/>
        <v>44123</v>
      </c>
      <c r="L334" s="52">
        <f t="shared" si="60"/>
        <v>44129</v>
      </c>
      <c r="M334" s="55" t="str">
        <f t="shared" si="61"/>
        <v>19/10/20 @ 
25/10/20</v>
      </c>
    </row>
    <row r="335" spans="2:13" ht="24" x14ac:dyDescent="0.25">
      <c r="B335" s="51">
        <f t="shared" si="62"/>
        <v>333</v>
      </c>
      <c r="C335" s="52">
        <f t="shared" si="62"/>
        <v>44127</v>
      </c>
      <c r="D335" s="53">
        <f t="shared" si="58"/>
        <v>44127</v>
      </c>
      <c r="E335" s="54">
        <f t="shared" si="63"/>
        <v>48</v>
      </c>
      <c r="F335" s="54">
        <f t="shared" si="63"/>
        <v>43</v>
      </c>
      <c r="G335" s="8">
        <v>202010</v>
      </c>
      <c r="H335" s="8" t="s">
        <v>7011</v>
      </c>
      <c r="I335" s="8">
        <v>202011</v>
      </c>
      <c r="J335" s="8" t="s">
        <v>7012</v>
      </c>
      <c r="K335" s="52">
        <f t="shared" si="59"/>
        <v>44123</v>
      </c>
      <c r="L335" s="52">
        <f t="shared" si="60"/>
        <v>44129</v>
      </c>
      <c r="M335" s="55" t="str">
        <f t="shared" si="61"/>
        <v>19/10/20 @ 
25/10/20</v>
      </c>
    </row>
    <row r="336" spans="2:13" ht="24" x14ac:dyDescent="0.25">
      <c r="B336" s="51">
        <f t="shared" si="62"/>
        <v>334</v>
      </c>
      <c r="C336" s="52">
        <f t="shared" si="62"/>
        <v>44128</v>
      </c>
      <c r="D336" s="53">
        <f t="shared" si="58"/>
        <v>44128</v>
      </c>
      <c r="E336" s="54">
        <f t="shared" si="63"/>
        <v>48</v>
      </c>
      <c r="F336" s="54">
        <f t="shared" si="63"/>
        <v>43</v>
      </c>
      <c r="G336" s="8">
        <v>202010</v>
      </c>
      <c r="H336" s="8" t="s">
        <v>7011</v>
      </c>
      <c r="I336" s="8">
        <v>202011</v>
      </c>
      <c r="J336" s="8" t="s">
        <v>7012</v>
      </c>
      <c r="K336" s="52">
        <f t="shared" si="59"/>
        <v>44123</v>
      </c>
      <c r="L336" s="52">
        <f t="shared" si="60"/>
        <v>44129</v>
      </c>
      <c r="M336" s="55" t="str">
        <f t="shared" si="61"/>
        <v>19/10/20 @ 
25/10/20</v>
      </c>
    </row>
    <row r="337" spans="2:13" ht="24" x14ac:dyDescent="0.25">
      <c r="B337" s="51">
        <f t="shared" si="62"/>
        <v>335</v>
      </c>
      <c r="C337" s="52">
        <f t="shared" si="62"/>
        <v>44129</v>
      </c>
      <c r="D337" s="53">
        <f t="shared" si="58"/>
        <v>44129</v>
      </c>
      <c r="E337" s="54">
        <f t="shared" si="63"/>
        <v>48</v>
      </c>
      <c r="F337" s="54">
        <f t="shared" si="63"/>
        <v>43</v>
      </c>
      <c r="G337" s="8">
        <v>202010</v>
      </c>
      <c r="H337" s="8" t="s">
        <v>7011</v>
      </c>
      <c r="I337" s="8">
        <v>202011</v>
      </c>
      <c r="J337" s="8" t="s">
        <v>7012</v>
      </c>
      <c r="K337" s="52">
        <f t="shared" si="59"/>
        <v>44123</v>
      </c>
      <c r="L337" s="52">
        <f t="shared" si="60"/>
        <v>44129</v>
      </c>
      <c r="M337" s="55" t="str">
        <f t="shared" si="61"/>
        <v>19/10/20 @ 
25/10/20</v>
      </c>
    </row>
    <row r="338" spans="2:13" ht="24" x14ac:dyDescent="0.25">
      <c r="B338" s="51">
        <f t="shared" si="62"/>
        <v>336</v>
      </c>
      <c r="C338" s="52">
        <f t="shared" si="62"/>
        <v>44130</v>
      </c>
      <c r="D338" s="53">
        <f t="shared" si="58"/>
        <v>44130</v>
      </c>
      <c r="E338" s="54">
        <f t="shared" si="63"/>
        <v>49</v>
      </c>
      <c r="F338" s="54">
        <f t="shared" si="63"/>
        <v>44</v>
      </c>
      <c r="G338" s="8">
        <v>202010</v>
      </c>
      <c r="H338" s="8" t="s">
        <v>7011</v>
      </c>
      <c r="I338" s="8">
        <v>202011</v>
      </c>
      <c r="J338" s="8" t="s">
        <v>7012</v>
      </c>
      <c r="K338" s="52">
        <f t="shared" si="59"/>
        <v>44130</v>
      </c>
      <c r="L338" s="52">
        <f t="shared" si="60"/>
        <v>44136</v>
      </c>
      <c r="M338" s="55" t="str">
        <f t="shared" si="61"/>
        <v>26/10/20 @ 
01/11/20</v>
      </c>
    </row>
    <row r="339" spans="2:13" ht="24" x14ac:dyDescent="0.25">
      <c r="B339" s="51">
        <f t="shared" si="62"/>
        <v>337</v>
      </c>
      <c r="C339" s="52">
        <f t="shared" si="62"/>
        <v>44131</v>
      </c>
      <c r="D339" s="53">
        <f t="shared" si="58"/>
        <v>44131</v>
      </c>
      <c r="E339" s="54">
        <f t="shared" si="63"/>
        <v>49</v>
      </c>
      <c r="F339" s="54">
        <f t="shared" si="63"/>
        <v>44</v>
      </c>
      <c r="G339" s="8">
        <v>202010</v>
      </c>
      <c r="H339" s="8" t="s">
        <v>7011</v>
      </c>
      <c r="I339" s="8">
        <v>202011</v>
      </c>
      <c r="J339" s="8" t="s">
        <v>7012</v>
      </c>
      <c r="K339" s="52">
        <f t="shared" si="59"/>
        <v>44130</v>
      </c>
      <c r="L339" s="52">
        <f t="shared" si="60"/>
        <v>44136</v>
      </c>
      <c r="M339" s="55" t="str">
        <f t="shared" si="61"/>
        <v>26/10/20 @ 
01/11/20</v>
      </c>
    </row>
    <row r="340" spans="2:13" ht="24" x14ac:dyDescent="0.25">
      <c r="B340" s="51">
        <f t="shared" si="62"/>
        <v>338</v>
      </c>
      <c r="C340" s="52">
        <f t="shared" si="62"/>
        <v>44132</v>
      </c>
      <c r="D340" s="53">
        <f t="shared" si="58"/>
        <v>44132</v>
      </c>
      <c r="E340" s="54">
        <f t="shared" si="63"/>
        <v>49</v>
      </c>
      <c r="F340" s="54">
        <f t="shared" si="63"/>
        <v>44</v>
      </c>
      <c r="G340" s="8">
        <v>202010</v>
      </c>
      <c r="H340" s="8" t="s">
        <v>7011</v>
      </c>
      <c r="I340" s="8">
        <v>202011</v>
      </c>
      <c r="J340" s="8" t="s">
        <v>7012</v>
      </c>
      <c r="K340" s="52">
        <f t="shared" si="59"/>
        <v>44130</v>
      </c>
      <c r="L340" s="52">
        <f t="shared" si="60"/>
        <v>44136</v>
      </c>
      <c r="M340" s="55" t="str">
        <f t="shared" si="61"/>
        <v>26/10/20 @ 
01/11/20</v>
      </c>
    </row>
    <row r="341" spans="2:13" ht="24" x14ac:dyDescent="0.25">
      <c r="B341" s="51">
        <f t="shared" ref="B341:C356" si="64">+B340+1</f>
        <v>339</v>
      </c>
      <c r="C341" s="52">
        <f t="shared" si="64"/>
        <v>44133</v>
      </c>
      <c r="D341" s="53">
        <f t="shared" si="58"/>
        <v>44133</v>
      </c>
      <c r="E341" s="54">
        <f t="shared" si="63"/>
        <v>49</v>
      </c>
      <c r="F341" s="54">
        <f t="shared" si="63"/>
        <v>44</v>
      </c>
      <c r="G341" s="8">
        <v>202010</v>
      </c>
      <c r="H341" s="8" t="s">
        <v>7011</v>
      </c>
      <c r="I341" s="8">
        <v>202011</v>
      </c>
      <c r="J341" s="8" t="s">
        <v>7012</v>
      </c>
      <c r="K341" s="52">
        <f t="shared" si="59"/>
        <v>44130</v>
      </c>
      <c r="L341" s="52">
        <f t="shared" si="60"/>
        <v>44136</v>
      </c>
      <c r="M341" s="55" t="str">
        <f t="shared" si="61"/>
        <v>26/10/20 @ 
01/11/20</v>
      </c>
    </row>
    <row r="342" spans="2:13" ht="24" x14ac:dyDescent="0.25">
      <c r="B342" s="51">
        <f t="shared" si="64"/>
        <v>340</v>
      </c>
      <c r="C342" s="52">
        <f t="shared" si="64"/>
        <v>44134</v>
      </c>
      <c r="D342" s="53">
        <f t="shared" si="58"/>
        <v>44134</v>
      </c>
      <c r="E342" s="54">
        <f t="shared" si="63"/>
        <v>49</v>
      </c>
      <c r="F342" s="54">
        <f t="shared" si="63"/>
        <v>44</v>
      </c>
      <c r="G342" s="8">
        <v>202010</v>
      </c>
      <c r="H342" s="8" t="s">
        <v>7011</v>
      </c>
      <c r="I342" s="8">
        <v>202011</v>
      </c>
      <c r="J342" s="8" t="s">
        <v>7012</v>
      </c>
      <c r="K342" s="52">
        <f t="shared" si="59"/>
        <v>44130</v>
      </c>
      <c r="L342" s="52">
        <f t="shared" si="60"/>
        <v>44136</v>
      </c>
      <c r="M342" s="55" t="str">
        <f t="shared" si="61"/>
        <v>26/10/20 @ 
01/11/20</v>
      </c>
    </row>
    <row r="343" spans="2:13" ht="24" x14ac:dyDescent="0.25">
      <c r="B343" s="51">
        <f t="shared" si="64"/>
        <v>341</v>
      </c>
      <c r="C343" s="52">
        <f t="shared" si="64"/>
        <v>44135</v>
      </c>
      <c r="D343" s="53">
        <f t="shared" si="58"/>
        <v>44135</v>
      </c>
      <c r="E343" s="54">
        <f t="shared" si="63"/>
        <v>49</v>
      </c>
      <c r="F343" s="54">
        <f t="shared" si="63"/>
        <v>44</v>
      </c>
      <c r="G343" s="8">
        <v>202010</v>
      </c>
      <c r="H343" s="8" t="s">
        <v>7011</v>
      </c>
      <c r="I343" s="8">
        <v>202011</v>
      </c>
      <c r="J343" s="8" t="s">
        <v>7012</v>
      </c>
      <c r="K343" s="52">
        <f t="shared" si="59"/>
        <v>44130</v>
      </c>
      <c r="L343" s="52">
        <f t="shared" si="60"/>
        <v>44136</v>
      </c>
      <c r="M343" s="55" t="str">
        <f t="shared" si="61"/>
        <v>26/10/20 @ 
01/11/20</v>
      </c>
    </row>
    <row r="344" spans="2:13" ht="24" x14ac:dyDescent="0.25">
      <c r="B344" s="51">
        <f t="shared" si="64"/>
        <v>342</v>
      </c>
      <c r="C344" s="52">
        <f t="shared" si="64"/>
        <v>44136</v>
      </c>
      <c r="D344" s="53">
        <f t="shared" si="58"/>
        <v>44136</v>
      </c>
      <c r="E344" s="54">
        <f t="shared" si="63"/>
        <v>49</v>
      </c>
      <c r="F344" s="54">
        <f t="shared" si="63"/>
        <v>44</v>
      </c>
      <c r="G344" s="8">
        <v>202010</v>
      </c>
      <c r="H344" s="8" t="s">
        <v>7011</v>
      </c>
      <c r="I344" s="8">
        <v>202011</v>
      </c>
      <c r="J344" s="8" t="s">
        <v>7012</v>
      </c>
      <c r="K344" s="52">
        <f t="shared" si="59"/>
        <v>44130</v>
      </c>
      <c r="L344" s="52">
        <f t="shared" si="60"/>
        <v>44136</v>
      </c>
      <c r="M344" s="55" t="str">
        <f t="shared" si="61"/>
        <v>26/10/20 @ 
01/11/20</v>
      </c>
    </row>
    <row r="345" spans="2:13" ht="24" x14ac:dyDescent="0.25">
      <c r="B345" s="51">
        <f t="shared" si="64"/>
        <v>343</v>
      </c>
      <c r="C345" s="52">
        <f t="shared" si="64"/>
        <v>44137</v>
      </c>
      <c r="D345" s="53">
        <f t="shared" si="58"/>
        <v>44137</v>
      </c>
      <c r="E345" s="54">
        <f t="shared" si="63"/>
        <v>50</v>
      </c>
      <c r="F345" s="54">
        <f t="shared" si="63"/>
        <v>45</v>
      </c>
      <c r="G345" s="8">
        <v>202011</v>
      </c>
      <c r="H345" s="8" t="s">
        <v>7012</v>
      </c>
      <c r="I345" s="8">
        <v>202011</v>
      </c>
      <c r="J345" s="8" t="s">
        <v>7012</v>
      </c>
      <c r="K345" s="52">
        <f t="shared" si="59"/>
        <v>44137</v>
      </c>
      <c r="L345" s="52">
        <f t="shared" si="60"/>
        <v>44143</v>
      </c>
      <c r="M345" s="55" t="str">
        <f t="shared" si="61"/>
        <v>02/11/20 @ 
08/11/20</v>
      </c>
    </row>
    <row r="346" spans="2:13" ht="24" x14ac:dyDescent="0.25">
      <c r="B346" s="51">
        <f t="shared" si="64"/>
        <v>344</v>
      </c>
      <c r="C346" s="52">
        <f t="shared" si="64"/>
        <v>44138</v>
      </c>
      <c r="D346" s="53">
        <f t="shared" si="58"/>
        <v>44138</v>
      </c>
      <c r="E346" s="54">
        <f t="shared" ref="E346:F361" si="65">+E339+1</f>
        <v>50</v>
      </c>
      <c r="F346" s="54">
        <f t="shared" si="65"/>
        <v>45</v>
      </c>
      <c r="G346" s="8">
        <v>202011</v>
      </c>
      <c r="H346" s="8" t="s">
        <v>7012</v>
      </c>
      <c r="I346" s="8">
        <v>202011</v>
      </c>
      <c r="J346" s="8" t="s">
        <v>7012</v>
      </c>
      <c r="K346" s="52">
        <f t="shared" si="59"/>
        <v>44137</v>
      </c>
      <c r="L346" s="52">
        <f t="shared" si="60"/>
        <v>44143</v>
      </c>
      <c r="M346" s="55" t="str">
        <f t="shared" si="61"/>
        <v>02/11/20 @ 
08/11/20</v>
      </c>
    </row>
    <row r="347" spans="2:13" ht="24" x14ac:dyDescent="0.25">
      <c r="B347" s="51">
        <f t="shared" si="64"/>
        <v>345</v>
      </c>
      <c r="C347" s="52">
        <f t="shared" si="64"/>
        <v>44139</v>
      </c>
      <c r="D347" s="53">
        <f t="shared" si="58"/>
        <v>44139</v>
      </c>
      <c r="E347" s="54">
        <f t="shared" si="65"/>
        <v>50</v>
      </c>
      <c r="F347" s="54">
        <f t="shared" si="65"/>
        <v>45</v>
      </c>
      <c r="G347" s="8">
        <v>202011</v>
      </c>
      <c r="H347" s="8" t="s">
        <v>7012</v>
      </c>
      <c r="I347" s="8">
        <v>202011</v>
      </c>
      <c r="J347" s="8" t="s">
        <v>7012</v>
      </c>
      <c r="K347" s="52">
        <f t="shared" si="59"/>
        <v>44137</v>
      </c>
      <c r="L347" s="52">
        <f t="shared" si="60"/>
        <v>44143</v>
      </c>
      <c r="M347" s="55" t="str">
        <f t="shared" si="61"/>
        <v>02/11/20 @ 
08/11/20</v>
      </c>
    </row>
    <row r="348" spans="2:13" ht="24" x14ac:dyDescent="0.25">
      <c r="B348" s="51">
        <f t="shared" si="64"/>
        <v>346</v>
      </c>
      <c r="C348" s="52">
        <f t="shared" si="64"/>
        <v>44140</v>
      </c>
      <c r="D348" s="53">
        <f t="shared" si="58"/>
        <v>44140</v>
      </c>
      <c r="E348" s="54">
        <f t="shared" si="65"/>
        <v>50</v>
      </c>
      <c r="F348" s="54">
        <f t="shared" si="65"/>
        <v>45</v>
      </c>
      <c r="G348" s="8">
        <v>202011</v>
      </c>
      <c r="H348" s="8" t="s">
        <v>7012</v>
      </c>
      <c r="I348" s="8">
        <v>202011</v>
      </c>
      <c r="J348" s="8" t="s">
        <v>7012</v>
      </c>
      <c r="K348" s="52">
        <f t="shared" si="59"/>
        <v>44137</v>
      </c>
      <c r="L348" s="52">
        <f t="shared" si="60"/>
        <v>44143</v>
      </c>
      <c r="M348" s="55" t="str">
        <f t="shared" si="61"/>
        <v>02/11/20 @ 
08/11/20</v>
      </c>
    </row>
    <row r="349" spans="2:13" ht="24" x14ac:dyDescent="0.25">
      <c r="B349" s="51">
        <f t="shared" si="64"/>
        <v>347</v>
      </c>
      <c r="C349" s="52">
        <f t="shared" si="64"/>
        <v>44141</v>
      </c>
      <c r="D349" s="53">
        <f t="shared" si="58"/>
        <v>44141</v>
      </c>
      <c r="E349" s="54">
        <f t="shared" si="65"/>
        <v>50</v>
      </c>
      <c r="F349" s="54">
        <f t="shared" si="65"/>
        <v>45</v>
      </c>
      <c r="G349" s="8">
        <v>202011</v>
      </c>
      <c r="H349" s="8" t="s">
        <v>7012</v>
      </c>
      <c r="I349" s="8">
        <v>202011</v>
      </c>
      <c r="J349" s="8" t="s">
        <v>7012</v>
      </c>
      <c r="K349" s="52">
        <f t="shared" si="59"/>
        <v>44137</v>
      </c>
      <c r="L349" s="52">
        <f t="shared" si="60"/>
        <v>44143</v>
      </c>
      <c r="M349" s="55" t="str">
        <f t="shared" si="61"/>
        <v>02/11/20 @ 
08/11/20</v>
      </c>
    </row>
    <row r="350" spans="2:13" ht="24" x14ac:dyDescent="0.25">
      <c r="B350" s="51">
        <f t="shared" si="64"/>
        <v>348</v>
      </c>
      <c r="C350" s="52">
        <f t="shared" si="64"/>
        <v>44142</v>
      </c>
      <c r="D350" s="53">
        <f t="shared" si="58"/>
        <v>44142</v>
      </c>
      <c r="E350" s="54">
        <f t="shared" si="65"/>
        <v>50</v>
      </c>
      <c r="F350" s="54">
        <f t="shared" si="65"/>
        <v>45</v>
      </c>
      <c r="G350" s="8">
        <v>202011</v>
      </c>
      <c r="H350" s="8" t="s">
        <v>7012</v>
      </c>
      <c r="I350" s="8">
        <v>202011</v>
      </c>
      <c r="J350" s="8" t="s">
        <v>7012</v>
      </c>
      <c r="K350" s="52">
        <f t="shared" si="59"/>
        <v>44137</v>
      </c>
      <c r="L350" s="52">
        <f t="shared" si="60"/>
        <v>44143</v>
      </c>
      <c r="M350" s="55" t="str">
        <f t="shared" si="61"/>
        <v>02/11/20 @ 
08/11/20</v>
      </c>
    </row>
    <row r="351" spans="2:13" ht="24" x14ac:dyDescent="0.25">
      <c r="B351" s="51">
        <f t="shared" si="64"/>
        <v>349</v>
      </c>
      <c r="C351" s="52">
        <f t="shared" si="64"/>
        <v>44143</v>
      </c>
      <c r="D351" s="53">
        <f t="shared" si="58"/>
        <v>44143</v>
      </c>
      <c r="E351" s="54">
        <f t="shared" si="65"/>
        <v>50</v>
      </c>
      <c r="F351" s="54">
        <f t="shared" si="65"/>
        <v>45</v>
      </c>
      <c r="G351" s="8">
        <v>202011</v>
      </c>
      <c r="H351" s="8" t="s">
        <v>7012</v>
      </c>
      <c r="I351" s="8">
        <v>202011</v>
      </c>
      <c r="J351" s="8" t="s">
        <v>7012</v>
      </c>
      <c r="K351" s="52">
        <f t="shared" si="59"/>
        <v>44137</v>
      </c>
      <c r="L351" s="52">
        <f t="shared" si="60"/>
        <v>44143</v>
      </c>
      <c r="M351" s="55" t="str">
        <f t="shared" si="61"/>
        <v>02/11/20 @ 
08/11/20</v>
      </c>
    </row>
    <row r="352" spans="2:13" ht="24" x14ac:dyDescent="0.25">
      <c r="B352" s="51">
        <f t="shared" si="64"/>
        <v>350</v>
      </c>
      <c r="C352" s="52">
        <f t="shared" si="64"/>
        <v>44144</v>
      </c>
      <c r="D352" s="53">
        <f t="shared" si="58"/>
        <v>44144</v>
      </c>
      <c r="E352" s="54">
        <f t="shared" si="65"/>
        <v>51</v>
      </c>
      <c r="F352" s="54">
        <f t="shared" si="65"/>
        <v>46</v>
      </c>
      <c r="G352" s="8">
        <v>202011</v>
      </c>
      <c r="H352" s="8" t="s">
        <v>7012</v>
      </c>
      <c r="I352" s="8">
        <v>202011</v>
      </c>
      <c r="J352" s="8" t="s">
        <v>7012</v>
      </c>
      <c r="K352" s="52">
        <f t="shared" si="59"/>
        <v>44144</v>
      </c>
      <c r="L352" s="52">
        <f t="shared" si="60"/>
        <v>44150</v>
      </c>
      <c r="M352" s="55" t="str">
        <f t="shared" si="61"/>
        <v>09/11/20 @ 
15/11/20</v>
      </c>
    </row>
    <row r="353" spans="2:13" ht="24" x14ac:dyDescent="0.25">
      <c r="B353" s="51">
        <f t="shared" si="64"/>
        <v>351</v>
      </c>
      <c r="C353" s="52">
        <f t="shared" si="64"/>
        <v>44145</v>
      </c>
      <c r="D353" s="53">
        <f t="shared" si="58"/>
        <v>44145</v>
      </c>
      <c r="E353" s="54">
        <f t="shared" si="65"/>
        <v>51</v>
      </c>
      <c r="F353" s="54">
        <f t="shared" si="65"/>
        <v>46</v>
      </c>
      <c r="G353" s="8">
        <v>202011</v>
      </c>
      <c r="H353" s="8" t="s">
        <v>7012</v>
      </c>
      <c r="I353" s="8">
        <v>202011</v>
      </c>
      <c r="J353" s="8" t="s">
        <v>7012</v>
      </c>
      <c r="K353" s="52">
        <f t="shared" si="59"/>
        <v>44144</v>
      </c>
      <c r="L353" s="52">
        <f t="shared" si="60"/>
        <v>44150</v>
      </c>
      <c r="M353" s="55" t="str">
        <f t="shared" si="61"/>
        <v>09/11/20 @ 
15/11/20</v>
      </c>
    </row>
    <row r="354" spans="2:13" ht="24" x14ac:dyDescent="0.25">
      <c r="B354" s="51">
        <f t="shared" si="64"/>
        <v>352</v>
      </c>
      <c r="C354" s="52">
        <f t="shared" si="64"/>
        <v>44146</v>
      </c>
      <c r="D354" s="53">
        <f t="shared" si="58"/>
        <v>44146</v>
      </c>
      <c r="E354" s="54">
        <f t="shared" si="65"/>
        <v>51</v>
      </c>
      <c r="F354" s="54">
        <f t="shared" si="65"/>
        <v>46</v>
      </c>
      <c r="G354" s="8">
        <v>202011</v>
      </c>
      <c r="H354" s="8" t="s">
        <v>7012</v>
      </c>
      <c r="I354" s="8">
        <v>202011</v>
      </c>
      <c r="J354" s="8" t="s">
        <v>7012</v>
      </c>
      <c r="K354" s="52">
        <f t="shared" si="59"/>
        <v>44144</v>
      </c>
      <c r="L354" s="52">
        <f t="shared" si="60"/>
        <v>44150</v>
      </c>
      <c r="M354" s="55" t="str">
        <f t="shared" si="61"/>
        <v>09/11/20 @ 
15/11/20</v>
      </c>
    </row>
    <row r="355" spans="2:13" ht="24" x14ac:dyDescent="0.25">
      <c r="B355" s="51">
        <f t="shared" si="64"/>
        <v>353</v>
      </c>
      <c r="C355" s="52">
        <f t="shared" si="64"/>
        <v>44147</v>
      </c>
      <c r="D355" s="53">
        <f t="shared" si="58"/>
        <v>44147</v>
      </c>
      <c r="E355" s="54">
        <f t="shared" si="65"/>
        <v>51</v>
      </c>
      <c r="F355" s="54">
        <f t="shared" si="65"/>
        <v>46</v>
      </c>
      <c r="G355" s="8">
        <v>202011</v>
      </c>
      <c r="H355" s="8" t="s">
        <v>7012</v>
      </c>
      <c r="I355" s="8">
        <v>202011</v>
      </c>
      <c r="J355" s="8" t="s">
        <v>7012</v>
      </c>
      <c r="K355" s="52">
        <f t="shared" si="59"/>
        <v>44144</v>
      </c>
      <c r="L355" s="52">
        <f t="shared" si="60"/>
        <v>44150</v>
      </c>
      <c r="M355" s="55" t="str">
        <f t="shared" si="61"/>
        <v>09/11/20 @ 
15/11/20</v>
      </c>
    </row>
    <row r="356" spans="2:13" ht="24" x14ac:dyDescent="0.25">
      <c r="B356" s="51">
        <f t="shared" si="64"/>
        <v>354</v>
      </c>
      <c r="C356" s="52">
        <f t="shared" si="64"/>
        <v>44148</v>
      </c>
      <c r="D356" s="53">
        <f t="shared" si="58"/>
        <v>44148</v>
      </c>
      <c r="E356" s="54">
        <f t="shared" si="65"/>
        <v>51</v>
      </c>
      <c r="F356" s="54">
        <f t="shared" si="65"/>
        <v>46</v>
      </c>
      <c r="G356" s="8">
        <v>202011</v>
      </c>
      <c r="H356" s="8" t="s">
        <v>7012</v>
      </c>
      <c r="I356" s="8">
        <v>202011</v>
      </c>
      <c r="J356" s="8" t="s">
        <v>7012</v>
      </c>
      <c r="K356" s="52">
        <f t="shared" si="59"/>
        <v>44144</v>
      </c>
      <c r="L356" s="52">
        <f t="shared" si="60"/>
        <v>44150</v>
      </c>
      <c r="M356" s="55" t="str">
        <f t="shared" si="61"/>
        <v>09/11/20 @ 
15/11/20</v>
      </c>
    </row>
    <row r="357" spans="2:13" ht="24" x14ac:dyDescent="0.25">
      <c r="B357" s="51">
        <f t="shared" ref="B357:C372" si="66">+B356+1</f>
        <v>355</v>
      </c>
      <c r="C357" s="52">
        <f t="shared" si="66"/>
        <v>44149</v>
      </c>
      <c r="D357" s="53">
        <f t="shared" si="58"/>
        <v>44149</v>
      </c>
      <c r="E357" s="54">
        <f t="shared" si="65"/>
        <v>51</v>
      </c>
      <c r="F357" s="54">
        <f t="shared" si="65"/>
        <v>46</v>
      </c>
      <c r="G357" s="8">
        <v>202011</v>
      </c>
      <c r="H357" s="8" t="s">
        <v>7012</v>
      </c>
      <c r="I357" s="8">
        <v>202011</v>
      </c>
      <c r="J357" s="8" t="s">
        <v>7012</v>
      </c>
      <c r="K357" s="52">
        <f t="shared" si="59"/>
        <v>44144</v>
      </c>
      <c r="L357" s="52">
        <f t="shared" si="60"/>
        <v>44150</v>
      </c>
      <c r="M357" s="55" t="str">
        <f t="shared" si="61"/>
        <v>09/11/20 @ 
15/11/20</v>
      </c>
    </row>
    <row r="358" spans="2:13" ht="24" x14ac:dyDescent="0.25">
      <c r="B358" s="51">
        <f t="shared" si="66"/>
        <v>356</v>
      </c>
      <c r="C358" s="52">
        <f t="shared" si="66"/>
        <v>44150</v>
      </c>
      <c r="D358" s="53">
        <f t="shared" si="58"/>
        <v>44150</v>
      </c>
      <c r="E358" s="54">
        <f t="shared" si="65"/>
        <v>51</v>
      </c>
      <c r="F358" s="54">
        <f t="shared" si="65"/>
        <v>46</v>
      </c>
      <c r="G358" s="8">
        <v>202011</v>
      </c>
      <c r="H358" s="8" t="s">
        <v>7012</v>
      </c>
      <c r="I358" s="8">
        <v>202011</v>
      </c>
      <c r="J358" s="8" t="s">
        <v>7012</v>
      </c>
      <c r="K358" s="52">
        <f t="shared" si="59"/>
        <v>44144</v>
      </c>
      <c r="L358" s="52">
        <f t="shared" si="60"/>
        <v>44150</v>
      </c>
      <c r="M358" s="55" t="str">
        <f t="shared" si="61"/>
        <v>09/11/20 @ 
15/11/20</v>
      </c>
    </row>
    <row r="359" spans="2:13" ht="24" x14ac:dyDescent="0.25">
      <c r="B359" s="51">
        <f t="shared" si="66"/>
        <v>357</v>
      </c>
      <c r="C359" s="52">
        <f t="shared" si="66"/>
        <v>44151</v>
      </c>
      <c r="D359" s="53">
        <f t="shared" si="58"/>
        <v>44151</v>
      </c>
      <c r="E359" s="54">
        <f t="shared" si="65"/>
        <v>52</v>
      </c>
      <c r="F359" s="54">
        <f t="shared" si="65"/>
        <v>47</v>
      </c>
      <c r="G359" s="8">
        <v>202011</v>
      </c>
      <c r="H359" s="8" t="s">
        <v>7012</v>
      </c>
      <c r="I359" s="8">
        <v>202011</v>
      </c>
      <c r="J359" s="8" t="s">
        <v>7012</v>
      </c>
      <c r="K359" s="52">
        <f t="shared" si="59"/>
        <v>44151</v>
      </c>
      <c r="L359" s="52">
        <f t="shared" si="60"/>
        <v>44157</v>
      </c>
      <c r="M359" s="55" t="str">
        <f t="shared" si="61"/>
        <v>16/11/20 @ 
22/11/20</v>
      </c>
    </row>
    <row r="360" spans="2:13" ht="24" x14ac:dyDescent="0.25">
      <c r="B360" s="51">
        <f t="shared" si="66"/>
        <v>358</v>
      </c>
      <c r="C360" s="52">
        <f t="shared" si="66"/>
        <v>44152</v>
      </c>
      <c r="D360" s="53">
        <f t="shared" si="58"/>
        <v>44152</v>
      </c>
      <c r="E360" s="54">
        <f t="shared" si="65"/>
        <v>52</v>
      </c>
      <c r="F360" s="54">
        <f t="shared" si="65"/>
        <v>47</v>
      </c>
      <c r="G360" s="8">
        <v>202011</v>
      </c>
      <c r="H360" s="8" t="s">
        <v>7012</v>
      </c>
      <c r="I360" s="8">
        <v>202011</v>
      </c>
      <c r="J360" s="8" t="s">
        <v>7012</v>
      </c>
      <c r="K360" s="52">
        <f t="shared" si="59"/>
        <v>44151</v>
      </c>
      <c r="L360" s="52">
        <f t="shared" si="60"/>
        <v>44157</v>
      </c>
      <c r="M360" s="55" t="str">
        <f t="shared" si="61"/>
        <v>16/11/20 @ 
22/11/20</v>
      </c>
    </row>
    <row r="361" spans="2:13" ht="24" x14ac:dyDescent="0.25">
      <c r="B361" s="51">
        <f t="shared" si="66"/>
        <v>359</v>
      </c>
      <c r="C361" s="52">
        <f t="shared" si="66"/>
        <v>44153</v>
      </c>
      <c r="D361" s="53">
        <f t="shared" si="58"/>
        <v>44153</v>
      </c>
      <c r="E361" s="54">
        <f t="shared" si="65"/>
        <v>52</v>
      </c>
      <c r="F361" s="54">
        <f t="shared" si="65"/>
        <v>47</v>
      </c>
      <c r="G361" s="8">
        <v>202011</v>
      </c>
      <c r="H361" s="8" t="s">
        <v>7012</v>
      </c>
      <c r="I361" s="8">
        <v>202011</v>
      </c>
      <c r="J361" s="8" t="s">
        <v>7012</v>
      </c>
      <c r="K361" s="52">
        <f t="shared" si="59"/>
        <v>44151</v>
      </c>
      <c r="L361" s="52">
        <f t="shared" si="60"/>
        <v>44157</v>
      </c>
      <c r="M361" s="55" t="str">
        <f t="shared" si="61"/>
        <v>16/11/20 @ 
22/11/20</v>
      </c>
    </row>
    <row r="362" spans="2:13" ht="24" x14ac:dyDescent="0.25">
      <c r="B362" s="51">
        <f t="shared" si="66"/>
        <v>360</v>
      </c>
      <c r="C362" s="52">
        <f t="shared" si="66"/>
        <v>44154</v>
      </c>
      <c r="D362" s="53">
        <f t="shared" si="58"/>
        <v>44154</v>
      </c>
      <c r="E362" s="54">
        <f t="shared" ref="E362:F377" si="67">+E355+1</f>
        <v>52</v>
      </c>
      <c r="F362" s="54">
        <f t="shared" si="67"/>
        <v>47</v>
      </c>
      <c r="G362" s="8">
        <v>202011</v>
      </c>
      <c r="H362" s="8" t="s">
        <v>7012</v>
      </c>
      <c r="I362" s="8">
        <v>202011</v>
      </c>
      <c r="J362" s="8" t="s">
        <v>7012</v>
      </c>
      <c r="K362" s="52">
        <f t="shared" si="59"/>
        <v>44151</v>
      </c>
      <c r="L362" s="52">
        <f t="shared" si="60"/>
        <v>44157</v>
      </c>
      <c r="M362" s="55" t="str">
        <f t="shared" si="61"/>
        <v>16/11/20 @ 
22/11/20</v>
      </c>
    </row>
    <row r="363" spans="2:13" ht="24" x14ac:dyDescent="0.25">
      <c r="B363" s="51">
        <f t="shared" si="66"/>
        <v>361</v>
      </c>
      <c r="C363" s="52">
        <f t="shared" si="66"/>
        <v>44155</v>
      </c>
      <c r="D363" s="53">
        <f t="shared" si="58"/>
        <v>44155</v>
      </c>
      <c r="E363" s="54">
        <f t="shared" si="67"/>
        <v>52</v>
      </c>
      <c r="F363" s="54">
        <f t="shared" si="67"/>
        <v>47</v>
      </c>
      <c r="G363" s="8">
        <v>202011</v>
      </c>
      <c r="H363" s="8" t="s">
        <v>7012</v>
      </c>
      <c r="I363" s="8">
        <v>202011</v>
      </c>
      <c r="J363" s="8" t="s">
        <v>7012</v>
      </c>
      <c r="K363" s="52">
        <f t="shared" si="59"/>
        <v>44151</v>
      </c>
      <c r="L363" s="52">
        <f t="shared" si="60"/>
        <v>44157</v>
      </c>
      <c r="M363" s="55" t="str">
        <f t="shared" si="61"/>
        <v>16/11/20 @ 
22/11/20</v>
      </c>
    </row>
    <row r="364" spans="2:13" ht="24" x14ac:dyDescent="0.25">
      <c r="B364" s="51">
        <f t="shared" si="66"/>
        <v>362</v>
      </c>
      <c r="C364" s="52">
        <f t="shared" si="66"/>
        <v>44156</v>
      </c>
      <c r="D364" s="53">
        <f t="shared" si="58"/>
        <v>44156</v>
      </c>
      <c r="E364" s="54">
        <f t="shared" si="67"/>
        <v>52</v>
      </c>
      <c r="F364" s="54">
        <f t="shared" si="67"/>
        <v>47</v>
      </c>
      <c r="G364" s="8">
        <v>202011</v>
      </c>
      <c r="H364" s="8" t="s">
        <v>7012</v>
      </c>
      <c r="I364" s="8">
        <v>202012</v>
      </c>
      <c r="J364" s="8" t="s">
        <v>7013</v>
      </c>
      <c r="K364" s="52">
        <f t="shared" si="59"/>
        <v>44151</v>
      </c>
      <c r="L364" s="52">
        <f t="shared" si="60"/>
        <v>44157</v>
      </c>
      <c r="M364" s="55" t="str">
        <f t="shared" si="61"/>
        <v>16/11/20 @ 
22/11/20</v>
      </c>
    </row>
    <row r="365" spans="2:13" ht="24" x14ac:dyDescent="0.25">
      <c r="B365" s="51">
        <f t="shared" si="66"/>
        <v>363</v>
      </c>
      <c r="C365" s="52">
        <f t="shared" si="66"/>
        <v>44157</v>
      </c>
      <c r="D365" s="53">
        <f t="shared" si="58"/>
        <v>44157</v>
      </c>
      <c r="E365" s="54">
        <f t="shared" si="67"/>
        <v>52</v>
      </c>
      <c r="F365" s="54">
        <f t="shared" si="67"/>
        <v>47</v>
      </c>
      <c r="G365" s="8">
        <v>202011</v>
      </c>
      <c r="H365" s="8" t="s">
        <v>7012</v>
      </c>
      <c r="I365" s="8">
        <v>202012</v>
      </c>
      <c r="J365" s="8" t="s">
        <v>7013</v>
      </c>
      <c r="K365" s="52">
        <f t="shared" si="59"/>
        <v>44151</v>
      </c>
      <c r="L365" s="52">
        <f t="shared" si="60"/>
        <v>44157</v>
      </c>
      <c r="M365" s="55" t="str">
        <f t="shared" si="61"/>
        <v>16/11/20 @ 
22/11/20</v>
      </c>
    </row>
    <row r="366" spans="2:13" ht="24" x14ac:dyDescent="0.25">
      <c r="B366" s="51">
        <f t="shared" si="66"/>
        <v>364</v>
      </c>
      <c r="C366" s="52">
        <f t="shared" si="66"/>
        <v>44158</v>
      </c>
      <c r="D366" s="53">
        <f t="shared" si="58"/>
        <v>44158</v>
      </c>
      <c r="E366" s="54">
        <f t="shared" si="67"/>
        <v>53</v>
      </c>
      <c r="F366" s="54">
        <f t="shared" si="67"/>
        <v>48</v>
      </c>
      <c r="G366" s="8">
        <v>202011</v>
      </c>
      <c r="H366" s="8" t="s">
        <v>7012</v>
      </c>
      <c r="I366" s="8">
        <v>202012</v>
      </c>
      <c r="J366" s="8" t="s">
        <v>7013</v>
      </c>
      <c r="K366" s="52">
        <f t="shared" si="59"/>
        <v>44158</v>
      </c>
      <c r="L366" s="52">
        <f t="shared" si="60"/>
        <v>44164</v>
      </c>
      <c r="M366" s="55" t="str">
        <f t="shared" si="61"/>
        <v>23/11/20 @ 
29/11/20</v>
      </c>
    </row>
    <row r="367" spans="2:13" ht="24" x14ac:dyDescent="0.25">
      <c r="B367" s="51">
        <f t="shared" si="66"/>
        <v>365</v>
      </c>
      <c r="C367" s="52">
        <f t="shared" si="66"/>
        <v>44159</v>
      </c>
      <c r="D367" s="53">
        <f t="shared" si="58"/>
        <v>44159</v>
      </c>
      <c r="E367" s="54">
        <f t="shared" si="67"/>
        <v>53</v>
      </c>
      <c r="F367" s="54">
        <f t="shared" si="67"/>
        <v>48</v>
      </c>
      <c r="G367" s="8">
        <v>202011</v>
      </c>
      <c r="H367" s="8" t="s">
        <v>7012</v>
      </c>
      <c r="I367" s="8">
        <v>202012</v>
      </c>
      <c r="J367" s="8" t="s">
        <v>7013</v>
      </c>
      <c r="K367" s="52">
        <f t="shared" si="59"/>
        <v>44158</v>
      </c>
      <c r="L367" s="52">
        <f t="shared" si="60"/>
        <v>44164</v>
      </c>
      <c r="M367" s="55" t="str">
        <f t="shared" si="61"/>
        <v>23/11/20 @ 
29/11/20</v>
      </c>
    </row>
    <row r="368" spans="2:13" ht="24" x14ac:dyDescent="0.25">
      <c r="B368" s="51">
        <f t="shared" si="66"/>
        <v>366</v>
      </c>
      <c r="C368" s="52">
        <f t="shared" si="66"/>
        <v>44160</v>
      </c>
      <c r="D368" s="53">
        <f t="shared" si="58"/>
        <v>44160</v>
      </c>
      <c r="E368" s="54">
        <f t="shared" si="67"/>
        <v>53</v>
      </c>
      <c r="F368" s="54">
        <f t="shared" si="67"/>
        <v>48</v>
      </c>
      <c r="G368" s="8">
        <v>202011</v>
      </c>
      <c r="H368" s="8" t="s">
        <v>7012</v>
      </c>
      <c r="I368" s="8">
        <v>202012</v>
      </c>
      <c r="J368" s="8" t="s">
        <v>7013</v>
      </c>
      <c r="K368" s="52">
        <f t="shared" si="59"/>
        <v>44158</v>
      </c>
      <c r="L368" s="52">
        <f t="shared" si="60"/>
        <v>44164</v>
      </c>
      <c r="M368" s="55" t="str">
        <f t="shared" si="61"/>
        <v>23/11/20 @ 
29/11/20</v>
      </c>
    </row>
    <row r="369" spans="2:13" ht="24" x14ac:dyDescent="0.25">
      <c r="B369" s="51">
        <f t="shared" si="66"/>
        <v>367</v>
      </c>
      <c r="C369" s="52">
        <f t="shared" si="66"/>
        <v>44161</v>
      </c>
      <c r="D369" s="53">
        <f t="shared" si="58"/>
        <v>44161</v>
      </c>
      <c r="E369" s="54">
        <f t="shared" si="67"/>
        <v>53</v>
      </c>
      <c r="F369" s="54">
        <f t="shared" si="67"/>
        <v>48</v>
      </c>
      <c r="G369" s="8">
        <v>202011</v>
      </c>
      <c r="H369" s="8" t="s">
        <v>7012</v>
      </c>
      <c r="I369" s="8">
        <v>202012</v>
      </c>
      <c r="J369" s="8" t="s">
        <v>7013</v>
      </c>
      <c r="K369" s="52">
        <f t="shared" si="59"/>
        <v>44158</v>
      </c>
      <c r="L369" s="52">
        <f t="shared" si="60"/>
        <v>44164</v>
      </c>
      <c r="M369" s="55" t="str">
        <f t="shared" si="61"/>
        <v>23/11/20 @ 
29/11/20</v>
      </c>
    </row>
    <row r="370" spans="2:13" ht="24" x14ac:dyDescent="0.25">
      <c r="B370" s="51">
        <f t="shared" si="66"/>
        <v>368</v>
      </c>
      <c r="C370" s="52">
        <f t="shared" si="66"/>
        <v>44162</v>
      </c>
      <c r="D370" s="53">
        <f t="shared" si="58"/>
        <v>44162</v>
      </c>
      <c r="E370" s="54">
        <f t="shared" si="67"/>
        <v>53</v>
      </c>
      <c r="F370" s="54">
        <f t="shared" si="67"/>
        <v>48</v>
      </c>
      <c r="G370" s="8">
        <v>202011</v>
      </c>
      <c r="H370" s="8" t="s">
        <v>7012</v>
      </c>
      <c r="I370" s="8">
        <v>202012</v>
      </c>
      <c r="J370" s="8" t="s">
        <v>7013</v>
      </c>
      <c r="K370" s="52">
        <f t="shared" si="59"/>
        <v>44158</v>
      </c>
      <c r="L370" s="52">
        <f t="shared" si="60"/>
        <v>44164</v>
      </c>
      <c r="M370" s="55" t="str">
        <f t="shared" si="61"/>
        <v>23/11/20 @ 
29/11/20</v>
      </c>
    </row>
    <row r="371" spans="2:13" ht="24" x14ac:dyDescent="0.25">
      <c r="B371" s="51">
        <f t="shared" si="66"/>
        <v>369</v>
      </c>
      <c r="C371" s="52">
        <f t="shared" si="66"/>
        <v>44163</v>
      </c>
      <c r="D371" s="53">
        <f t="shared" si="58"/>
        <v>44163</v>
      </c>
      <c r="E371" s="54">
        <f t="shared" si="67"/>
        <v>53</v>
      </c>
      <c r="F371" s="54">
        <f t="shared" si="67"/>
        <v>48</v>
      </c>
      <c r="G371" s="8">
        <v>202011</v>
      </c>
      <c r="H371" s="8" t="s">
        <v>7012</v>
      </c>
      <c r="I371" s="8">
        <v>202012</v>
      </c>
      <c r="J371" s="8" t="s">
        <v>7013</v>
      </c>
      <c r="K371" s="52">
        <f t="shared" si="59"/>
        <v>44158</v>
      </c>
      <c r="L371" s="52">
        <f t="shared" si="60"/>
        <v>44164</v>
      </c>
      <c r="M371" s="55" t="str">
        <f t="shared" si="61"/>
        <v>23/11/20 @ 
29/11/20</v>
      </c>
    </row>
    <row r="372" spans="2:13" ht="24" x14ac:dyDescent="0.25">
      <c r="B372" s="51">
        <f t="shared" si="66"/>
        <v>370</v>
      </c>
      <c r="C372" s="52">
        <f t="shared" si="66"/>
        <v>44164</v>
      </c>
      <c r="D372" s="53">
        <f t="shared" si="58"/>
        <v>44164</v>
      </c>
      <c r="E372" s="54">
        <f t="shared" si="67"/>
        <v>53</v>
      </c>
      <c r="F372" s="54">
        <f t="shared" si="67"/>
        <v>48</v>
      </c>
      <c r="G372" s="8">
        <v>202011</v>
      </c>
      <c r="H372" s="8" t="s">
        <v>7012</v>
      </c>
      <c r="I372" s="8">
        <v>202012</v>
      </c>
      <c r="J372" s="8" t="s">
        <v>7013</v>
      </c>
      <c r="K372" s="52">
        <f t="shared" si="59"/>
        <v>44158</v>
      </c>
      <c r="L372" s="52">
        <f t="shared" si="60"/>
        <v>44164</v>
      </c>
      <c r="M372" s="55" t="str">
        <f t="shared" si="61"/>
        <v>23/11/20 @ 
29/11/20</v>
      </c>
    </row>
    <row r="373" spans="2:13" ht="24" x14ac:dyDescent="0.25">
      <c r="B373" s="51">
        <f t="shared" ref="B373:C388" si="68">+B372+1</f>
        <v>371</v>
      </c>
      <c r="C373" s="52">
        <f t="shared" si="68"/>
        <v>44165</v>
      </c>
      <c r="D373" s="53">
        <f t="shared" si="58"/>
        <v>44165</v>
      </c>
      <c r="E373" s="54">
        <f t="shared" si="67"/>
        <v>54</v>
      </c>
      <c r="F373" s="54">
        <f t="shared" si="67"/>
        <v>49</v>
      </c>
      <c r="G373" s="8">
        <v>202012</v>
      </c>
      <c r="H373" s="8" t="s">
        <v>7013</v>
      </c>
      <c r="I373" s="8">
        <v>202012</v>
      </c>
      <c r="J373" s="8" t="s">
        <v>7013</v>
      </c>
      <c r="K373" s="52">
        <f t="shared" si="59"/>
        <v>44165</v>
      </c>
      <c r="L373" s="52">
        <f t="shared" si="60"/>
        <v>44171</v>
      </c>
      <c r="M373" s="55" t="str">
        <f t="shared" si="61"/>
        <v>30/11/20 @ 
06/12/20</v>
      </c>
    </row>
    <row r="374" spans="2:13" ht="24" x14ac:dyDescent="0.25">
      <c r="B374" s="51">
        <f t="shared" si="68"/>
        <v>372</v>
      </c>
      <c r="C374" s="52">
        <f t="shared" si="68"/>
        <v>44166</v>
      </c>
      <c r="D374" s="53">
        <f t="shared" si="58"/>
        <v>44166</v>
      </c>
      <c r="E374" s="54">
        <f t="shared" si="67"/>
        <v>54</v>
      </c>
      <c r="F374" s="54">
        <f t="shared" si="67"/>
        <v>49</v>
      </c>
      <c r="G374" s="8">
        <v>202012</v>
      </c>
      <c r="H374" s="8" t="s">
        <v>7013</v>
      </c>
      <c r="I374" s="8">
        <v>202012</v>
      </c>
      <c r="J374" s="8" t="s">
        <v>7013</v>
      </c>
      <c r="K374" s="52">
        <f t="shared" si="59"/>
        <v>44165</v>
      </c>
      <c r="L374" s="52">
        <f t="shared" si="60"/>
        <v>44171</v>
      </c>
      <c r="M374" s="55" t="str">
        <f t="shared" si="61"/>
        <v>30/11/20 @ 
06/12/20</v>
      </c>
    </row>
    <row r="375" spans="2:13" ht="24" x14ac:dyDescent="0.25">
      <c r="B375" s="51">
        <f t="shared" si="68"/>
        <v>373</v>
      </c>
      <c r="C375" s="52">
        <f t="shared" si="68"/>
        <v>44167</v>
      </c>
      <c r="D375" s="53">
        <f t="shared" si="58"/>
        <v>44167</v>
      </c>
      <c r="E375" s="54">
        <f t="shared" si="67"/>
        <v>54</v>
      </c>
      <c r="F375" s="54">
        <f t="shared" si="67"/>
        <v>49</v>
      </c>
      <c r="G375" s="8">
        <v>202012</v>
      </c>
      <c r="H375" s="8" t="s">
        <v>7013</v>
      </c>
      <c r="I375" s="8">
        <v>202012</v>
      </c>
      <c r="J375" s="8" t="s">
        <v>7013</v>
      </c>
      <c r="K375" s="52">
        <f t="shared" si="59"/>
        <v>44165</v>
      </c>
      <c r="L375" s="52">
        <f t="shared" si="60"/>
        <v>44171</v>
      </c>
      <c r="M375" s="55" t="str">
        <f t="shared" si="61"/>
        <v>30/11/20 @ 
06/12/20</v>
      </c>
    </row>
    <row r="376" spans="2:13" ht="24" x14ac:dyDescent="0.25">
      <c r="B376" s="51">
        <f t="shared" si="68"/>
        <v>374</v>
      </c>
      <c r="C376" s="52">
        <f t="shared" si="68"/>
        <v>44168</v>
      </c>
      <c r="D376" s="53">
        <f t="shared" si="58"/>
        <v>44168</v>
      </c>
      <c r="E376" s="54">
        <f t="shared" si="67"/>
        <v>54</v>
      </c>
      <c r="F376" s="54">
        <f t="shared" si="67"/>
        <v>49</v>
      </c>
      <c r="G376" s="8">
        <v>202012</v>
      </c>
      <c r="H376" s="8" t="s">
        <v>7013</v>
      </c>
      <c r="I376" s="8">
        <v>202012</v>
      </c>
      <c r="J376" s="8" t="s">
        <v>7013</v>
      </c>
      <c r="K376" s="52">
        <f t="shared" si="59"/>
        <v>44165</v>
      </c>
      <c r="L376" s="52">
        <f t="shared" si="60"/>
        <v>44171</v>
      </c>
      <c r="M376" s="55" t="str">
        <f t="shared" si="61"/>
        <v>30/11/20 @ 
06/12/20</v>
      </c>
    </row>
    <row r="377" spans="2:13" ht="24" x14ac:dyDescent="0.25">
      <c r="B377" s="51">
        <f t="shared" si="68"/>
        <v>375</v>
      </c>
      <c r="C377" s="52">
        <f t="shared" si="68"/>
        <v>44169</v>
      </c>
      <c r="D377" s="53">
        <f t="shared" si="58"/>
        <v>44169</v>
      </c>
      <c r="E377" s="54">
        <f t="shared" si="67"/>
        <v>54</v>
      </c>
      <c r="F377" s="54">
        <f t="shared" si="67"/>
        <v>49</v>
      </c>
      <c r="G377" s="8">
        <v>202012</v>
      </c>
      <c r="H377" s="8" t="s">
        <v>7013</v>
      </c>
      <c r="I377" s="8">
        <v>202012</v>
      </c>
      <c r="J377" s="8" t="s">
        <v>7013</v>
      </c>
      <c r="K377" s="52">
        <f t="shared" si="59"/>
        <v>44165</v>
      </c>
      <c r="L377" s="52">
        <f t="shared" si="60"/>
        <v>44171</v>
      </c>
      <c r="M377" s="55" t="str">
        <f t="shared" si="61"/>
        <v>30/11/20 @ 
06/12/20</v>
      </c>
    </row>
    <row r="378" spans="2:13" ht="24" x14ac:dyDescent="0.25">
      <c r="B378" s="51">
        <f t="shared" si="68"/>
        <v>376</v>
      </c>
      <c r="C378" s="52">
        <f t="shared" si="68"/>
        <v>44170</v>
      </c>
      <c r="D378" s="53">
        <f t="shared" si="58"/>
        <v>44170</v>
      </c>
      <c r="E378" s="54">
        <f t="shared" ref="E378:F393" si="69">+E371+1</f>
        <v>54</v>
      </c>
      <c r="F378" s="54">
        <f t="shared" si="69"/>
        <v>49</v>
      </c>
      <c r="G378" s="8">
        <v>202012</v>
      </c>
      <c r="H378" s="8" t="s">
        <v>7013</v>
      </c>
      <c r="I378" s="8">
        <v>202012</v>
      </c>
      <c r="J378" s="8" t="s">
        <v>7013</v>
      </c>
      <c r="K378" s="52">
        <f t="shared" si="59"/>
        <v>44165</v>
      </c>
      <c r="L378" s="52">
        <f t="shared" si="60"/>
        <v>44171</v>
      </c>
      <c r="M378" s="55" t="str">
        <f t="shared" si="61"/>
        <v>30/11/20 @ 
06/12/20</v>
      </c>
    </row>
    <row r="379" spans="2:13" ht="24" x14ac:dyDescent="0.25">
      <c r="B379" s="51">
        <f t="shared" si="68"/>
        <v>377</v>
      </c>
      <c r="C379" s="52">
        <f t="shared" si="68"/>
        <v>44171</v>
      </c>
      <c r="D379" s="53">
        <f t="shared" si="58"/>
        <v>44171</v>
      </c>
      <c r="E379" s="54">
        <f t="shared" si="69"/>
        <v>54</v>
      </c>
      <c r="F379" s="54">
        <f t="shared" si="69"/>
        <v>49</v>
      </c>
      <c r="G379" s="8">
        <v>202012</v>
      </c>
      <c r="H379" s="8" t="s">
        <v>7013</v>
      </c>
      <c r="I379" s="8">
        <v>202012</v>
      </c>
      <c r="J379" s="8" t="s">
        <v>7013</v>
      </c>
      <c r="K379" s="52">
        <f t="shared" si="59"/>
        <v>44165</v>
      </c>
      <c r="L379" s="52">
        <f t="shared" si="60"/>
        <v>44171</v>
      </c>
      <c r="M379" s="55" t="str">
        <f t="shared" si="61"/>
        <v>30/11/20 @ 
06/12/20</v>
      </c>
    </row>
    <row r="380" spans="2:13" ht="24" x14ac:dyDescent="0.25">
      <c r="B380" s="51">
        <f t="shared" si="68"/>
        <v>378</v>
      </c>
      <c r="C380" s="52">
        <f t="shared" si="68"/>
        <v>44172</v>
      </c>
      <c r="D380" s="53">
        <f t="shared" si="58"/>
        <v>44172</v>
      </c>
      <c r="E380" s="54">
        <f t="shared" si="69"/>
        <v>55</v>
      </c>
      <c r="F380" s="54">
        <f t="shared" si="69"/>
        <v>50</v>
      </c>
      <c r="G380" s="8">
        <v>202012</v>
      </c>
      <c r="H380" s="8" t="s">
        <v>7013</v>
      </c>
      <c r="I380" s="8">
        <v>202012</v>
      </c>
      <c r="J380" s="8" t="s">
        <v>7013</v>
      </c>
      <c r="K380" s="52">
        <f t="shared" si="59"/>
        <v>44172</v>
      </c>
      <c r="L380" s="52">
        <f t="shared" si="60"/>
        <v>44178</v>
      </c>
      <c r="M380" s="55" t="str">
        <f t="shared" si="61"/>
        <v>07/12/20 @ 
13/12/20</v>
      </c>
    </row>
    <row r="381" spans="2:13" ht="24" x14ac:dyDescent="0.25">
      <c r="B381" s="51">
        <f t="shared" si="68"/>
        <v>379</v>
      </c>
      <c r="C381" s="52">
        <f t="shared" si="68"/>
        <v>44173</v>
      </c>
      <c r="D381" s="53">
        <f t="shared" si="58"/>
        <v>44173</v>
      </c>
      <c r="E381" s="54">
        <f t="shared" si="69"/>
        <v>55</v>
      </c>
      <c r="F381" s="54">
        <f t="shared" si="69"/>
        <v>50</v>
      </c>
      <c r="G381" s="8">
        <v>202012</v>
      </c>
      <c r="H381" s="8" t="s">
        <v>7013</v>
      </c>
      <c r="I381" s="8">
        <v>202012</v>
      </c>
      <c r="J381" s="8" t="s">
        <v>7013</v>
      </c>
      <c r="K381" s="52">
        <f t="shared" si="59"/>
        <v>44172</v>
      </c>
      <c r="L381" s="52">
        <f t="shared" si="60"/>
        <v>44178</v>
      </c>
      <c r="M381" s="55" t="str">
        <f t="shared" si="61"/>
        <v>07/12/20 @ 
13/12/20</v>
      </c>
    </row>
    <row r="382" spans="2:13" ht="24" x14ac:dyDescent="0.25">
      <c r="B382" s="51">
        <f t="shared" si="68"/>
        <v>380</v>
      </c>
      <c r="C382" s="52">
        <f t="shared" si="68"/>
        <v>44174</v>
      </c>
      <c r="D382" s="53">
        <f t="shared" si="58"/>
        <v>44174</v>
      </c>
      <c r="E382" s="54">
        <f t="shared" si="69"/>
        <v>55</v>
      </c>
      <c r="F382" s="54">
        <f t="shared" si="69"/>
        <v>50</v>
      </c>
      <c r="G382" s="8">
        <v>202012</v>
      </c>
      <c r="H382" s="8" t="s">
        <v>7013</v>
      </c>
      <c r="I382" s="8">
        <v>202012</v>
      </c>
      <c r="J382" s="8" t="s">
        <v>7013</v>
      </c>
      <c r="K382" s="52">
        <f t="shared" si="59"/>
        <v>44172</v>
      </c>
      <c r="L382" s="52">
        <f t="shared" si="60"/>
        <v>44178</v>
      </c>
      <c r="M382" s="55" t="str">
        <f t="shared" si="61"/>
        <v>07/12/20 @ 
13/12/20</v>
      </c>
    </row>
    <row r="383" spans="2:13" ht="24" x14ac:dyDescent="0.25">
      <c r="B383" s="51">
        <f t="shared" si="68"/>
        <v>381</v>
      </c>
      <c r="C383" s="52">
        <f t="shared" si="68"/>
        <v>44175</v>
      </c>
      <c r="D383" s="53">
        <f t="shared" si="58"/>
        <v>44175</v>
      </c>
      <c r="E383" s="54">
        <f t="shared" si="69"/>
        <v>55</v>
      </c>
      <c r="F383" s="54">
        <f t="shared" si="69"/>
        <v>50</v>
      </c>
      <c r="G383" s="8">
        <v>202012</v>
      </c>
      <c r="H383" s="8" t="s">
        <v>7013</v>
      </c>
      <c r="I383" s="8">
        <v>202012</v>
      </c>
      <c r="J383" s="8" t="s">
        <v>7013</v>
      </c>
      <c r="K383" s="52">
        <f t="shared" si="59"/>
        <v>44172</v>
      </c>
      <c r="L383" s="52">
        <f t="shared" si="60"/>
        <v>44178</v>
      </c>
      <c r="M383" s="55" t="str">
        <f t="shared" si="61"/>
        <v>07/12/20 @ 
13/12/20</v>
      </c>
    </row>
    <row r="384" spans="2:13" ht="24" x14ac:dyDescent="0.25">
      <c r="B384" s="51">
        <f t="shared" si="68"/>
        <v>382</v>
      </c>
      <c r="C384" s="52">
        <f t="shared" si="68"/>
        <v>44176</v>
      </c>
      <c r="D384" s="53">
        <f t="shared" si="58"/>
        <v>44176</v>
      </c>
      <c r="E384" s="54">
        <f t="shared" si="69"/>
        <v>55</v>
      </c>
      <c r="F384" s="54">
        <f t="shared" si="69"/>
        <v>50</v>
      </c>
      <c r="G384" s="8">
        <v>202012</v>
      </c>
      <c r="H384" s="8" t="s">
        <v>7013</v>
      </c>
      <c r="I384" s="8">
        <v>202012</v>
      </c>
      <c r="J384" s="8" t="s">
        <v>7013</v>
      </c>
      <c r="K384" s="52">
        <f t="shared" si="59"/>
        <v>44172</v>
      </c>
      <c r="L384" s="52">
        <f t="shared" si="60"/>
        <v>44178</v>
      </c>
      <c r="M384" s="55" t="str">
        <f t="shared" si="61"/>
        <v>07/12/20 @ 
13/12/20</v>
      </c>
    </row>
    <row r="385" spans="2:13" ht="24" x14ac:dyDescent="0.25">
      <c r="B385" s="51">
        <f t="shared" si="68"/>
        <v>383</v>
      </c>
      <c r="C385" s="52">
        <f t="shared" si="68"/>
        <v>44177</v>
      </c>
      <c r="D385" s="53">
        <f t="shared" si="58"/>
        <v>44177</v>
      </c>
      <c r="E385" s="54">
        <f t="shared" si="69"/>
        <v>55</v>
      </c>
      <c r="F385" s="54">
        <f t="shared" si="69"/>
        <v>50</v>
      </c>
      <c r="G385" s="8">
        <v>202012</v>
      </c>
      <c r="H385" s="8" t="s">
        <v>7013</v>
      </c>
      <c r="I385" s="8">
        <v>202012</v>
      </c>
      <c r="J385" s="8" t="s">
        <v>7013</v>
      </c>
      <c r="K385" s="52">
        <f t="shared" si="59"/>
        <v>44172</v>
      </c>
      <c r="L385" s="52">
        <f t="shared" si="60"/>
        <v>44178</v>
      </c>
      <c r="M385" s="55" t="str">
        <f t="shared" si="61"/>
        <v>07/12/20 @ 
13/12/20</v>
      </c>
    </row>
    <row r="386" spans="2:13" ht="24" x14ac:dyDescent="0.25">
      <c r="B386" s="51">
        <f t="shared" si="68"/>
        <v>384</v>
      </c>
      <c r="C386" s="52">
        <f t="shared" si="68"/>
        <v>44178</v>
      </c>
      <c r="D386" s="53">
        <f t="shared" si="58"/>
        <v>44178</v>
      </c>
      <c r="E386" s="54">
        <f t="shared" si="69"/>
        <v>55</v>
      </c>
      <c r="F386" s="54">
        <f t="shared" si="69"/>
        <v>50</v>
      </c>
      <c r="G386" s="8">
        <v>202012</v>
      </c>
      <c r="H386" s="8" t="s">
        <v>7013</v>
      </c>
      <c r="I386" s="8">
        <v>202012</v>
      </c>
      <c r="J386" s="8" t="s">
        <v>7013</v>
      </c>
      <c r="K386" s="52">
        <f t="shared" si="59"/>
        <v>44172</v>
      </c>
      <c r="L386" s="52">
        <f t="shared" si="60"/>
        <v>44178</v>
      </c>
      <c r="M386" s="55" t="str">
        <f t="shared" si="61"/>
        <v>07/12/20 @ 
13/12/20</v>
      </c>
    </row>
    <row r="387" spans="2:13" ht="24" x14ac:dyDescent="0.25">
      <c r="B387" s="51">
        <f t="shared" si="68"/>
        <v>385</v>
      </c>
      <c r="C387" s="52">
        <f t="shared" si="68"/>
        <v>44179</v>
      </c>
      <c r="D387" s="53">
        <f t="shared" ref="D387:D450" si="70">+C387</f>
        <v>44179</v>
      </c>
      <c r="E387" s="54">
        <f t="shared" si="69"/>
        <v>56</v>
      </c>
      <c r="F387" s="54">
        <f t="shared" si="69"/>
        <v>51</v>
      </c>
      <c r="G387" s="8">
        <v>202012</v>
      </c>
      <c r="H387" s="8" t="s">
        <v>7013</v>
      </c>
      <c r="I387" s="8">
        <v>202012</v>
      </c>
      <c r="J387" s="8" t="s">
        <v>7013</v>
      </c>
      <c r="K387" s="52">
        <f t="shared" ref="K387:K450" si="71">_xlfn.MINIFS($C$2:$C$890,$E$2:$E$890,E387)</f>
        <v>44179</v>
      </c>
      <c r="L387" s="52">
        <f t="shared" ref="L387:L450" si="72">_xlfn.MAXIFS($C$2:$C$890,$E$2:$E$890,E387)</f>
        <v>44185</v>
      </c>
      <c r="M387" s="55" t="str">
        <f t="shared" ref="M387:M450" si="73">CONCATENATE(TEXT(K387,"DD/MM/YY")," @ ",CHAR(10),TEXT(L387,"DD/MM/YY"))</f>
        <v>14/12/20 @ 
20/12/20</v>
      </c>
    </row>
    <row r="388" spans="2:13" ht="24" x14ac:dyDescent="0.25">
      <c r="B388" s="51">
        <f t="shared" si="68"/>
        <v>386</v>
      </c>
      <c r="C388" s="52">
        <f t="shared" si="68"/>
        <v>44180</v>
      </c>
      <c r="D388" s="53">
        <f t="shared" si="70"/>
        <v>44180</v>
      </c>
      <c r="E388" s="54">
        <f t="shared" si="69"/>
        <v>56</v>
      </c>
      <c r="F388" s="54">
        <f t="shared" si="69"/>
        <v>51</v>
      </c>
      <c r="G388" s="8">
        <v>202012</v>
      </c>
      <c r="H388" s="8" t="s">
        <v>7013</v>
      </c>
      <c r="I388" s="8">
        <v>202012</v>
      </c>
      <c r="J388" s="8" t="s">
        <v>7013</v>
      </c>
      <c r="K388" s="52">
        <f t="shared" si="71"/>
        <v>44179</v>
      </c>
      <c r="L388" s="52">
        <f t="shared" si="72"/>
        <v>44185</v>
      </c>
      <c r="M388" s="55" t="str">
        <f t="shared" si="73"/>
        <v>14/12/20 @ 
20/12/20</v>
      </c>
    </row>
    <row r="389" spans="2:13" ht="24" x14ac:dyDescent="0.25">
      <c r="B389" s="51">
        <f t="shared" ref="B389:C404" si="74">+B388+1</f>
        <v>387</v>
      </c>
      <c r="C389" s="52">
        <f t="shared" si="74"/>
        <v>44181</v>
      </c>
      <c r="D389" s="53">
        <f t="shared" si="70"/>
        <v>44181</v>
      </c>
      <c r="E389" s="54">
        <f t="shared" si="69"/>
        <v>56</v>
      </c>
      <c r="F389" s="54">
        <f t="shared" si="69"/>
        <v>51</v>
      </c>
      <c r="G389" s="8">
        <v>202012</v>
      </c>
      <c r="H389" s="8" t="s">
        <v>7013</v>
      </c>
      <c r="I389" s="8">
        <v>202012</v>
      </c>
      <c r="J389" s="8" t="s">
        <v>7013</v>
      </c>
      <c r="K389" s="52">
        <f t="shared" si="71"/>
        <v>44179</v>
      </c>
      <c r="L389" s="52">
        <f t="shared" si="72"/>
        <v>44185</v>
      </c>
      <c r="M389" s="55" t="str">
        <f t="shared" si="73"/>
        <v>14/12/20 @ 
20/12/20</v>
      </c>
    </row>
    <row r="390" spans="2:13" ht="24" x14ac:dyDescent="0.25">
      <c r="B390" s="51">
        <f t="shared" si="74"/>
        <v>388</v>
      </c>
      <c r="C390" s="52">
        <f t="shared" si="74"/>
        <v>44182</v>
      </c>
      <c r="D390" s="53">
        <f t="shared" si="70"/>
        <v>44182</v>
      </c>
      <c r="E390" s="54">
        <f t="shared" si="69"/>
        <v>56</v>
      </c>
      <c r="F390" s="54">
        <f t="shared" si="69"/>
        <v>51</v>
      </c>
      <c r="G390" s="8">
        <v>202012</v>
      </c>
      <c r="H390" s="8" t="s">
        <v>7013</v>
      </c>
      <c r="I390" s="8">
        <v>202012</v>
      </c>
      <c r="J390" s="8" t="s">
        <v>7013</v>
      </c>
      <c r="K390" s="52">
        <f t="shared" si="71"/>
        <v>44179</v>
      </c>
      <c r="L390" s="52">
        <f t="shared" si="72"/>
        <v>44185</v>
      </c>
      <c r="M390" s="55" t="str">
        <f t="shared" si="73"/>
        <v>14/12/20 @ 
20/12/20</v>
      </c>
    </row>
    <row r="391" spans="2:13" ht="24" x14ac:dyDescent="0.25">
      <c r="B391" s="51">
        <f t="shared" si="74"/>
        <v>389</v>
      </c>
      <c r="C391" s="52">
        <f t="shared" si="74"/>
        <v>44183</v>
      </c>
      <c r="D391" s="53">
        <f t="shared" si="70"/>
        <v>44183</v>
      </c>
      <c r="E391" s="54">
        <f t="shared" si="69"/>
        <v>56</v>
      </c>
      <c r="F391" s="54">
        <f t="shared" si="69"/>
        <v>51</v>
      </c>
      <c r="G391" s="8">
        <v>202012</v>
      </c>
      <c r="H391" s="8" t="s">
        <v>7013</v>
      </c>
      <c r="I391" s="8">
        <v>202012</v>
      </c>
      <c r="J391" s="8" t="s">
        <v>7013</v>
      </c>
      <c r="K391" s="52">
        <f t="shared" si="71"/>
        <v>44179</v>
      </c>
      <c r="L391" s="52">
        <f t="shared" si="72"/>
        <v>44185</v>
      </c>
      <c r="M391" s="55" t="str">
        <f t="shared" si="73"/>
        <v>14/12/20 @ 
20/12/20</v>
      </c>
    </row>
    <row r="392" spans="2:13" ht="24" x14ac:dyDescent="0.25">
      <c r="B392" s="51">
        <f t="shared" si="74"/>
        <v>390</v>
      </c>
      <c r="C392" s="52">
        <f t="shared" si="74"/>
        <v>44184</v>
      </c>
      <c r="D392" s="53">
        <f t="shared" si="70"/>
        <v>44184</v>
      </c>
      <c r="E392" s="54">
        <f t="shared" si="69"/>
        <v>56</v>
      </c>
      <c r="F392" s="54">
        <f t="shared" si="69"/>
        <v>51</v>
      </c>
      <c r="G392" s="8">
        <v>202012</v>
      </c>
      <c r="H392" s="8" t="s">
        <v>7013</v>
      </c>
      <c r="I392" s="8">
        <v>202012</v>
      </c>
      <c r="J392" s="8" t="s">
        <v>7013</v>
      </c>
      <c r="K392" s="52">
        <f t="shared" si="71"/>
        <v>44179</v>
      </c>
      <c r="L392" s="52">
        <f t="shared" si="72"/>
        <v>44185</v>
      </c>
      <c r="M392" s="55" t="str">
        <f t="shared" si="73"/>
        <v>14/12/20 @ 
20/12/20</v>
      </c>
    </row>
    <row r="393" spans="2:13" ht="24" x14ac:dyDescent="0.25">
      <c r="B393" s="51">
        <f t="shared" si="74"/>
        <v>391</v>
      </c>
      <c r="C393" s="52">
        <f t="shared" si="74"/>
        <v>44185</v>
      </c>
      <c r="D393" s="53">
        <f t="shared" si="70"/>
        <v>44185</v>
      </c>
      <c r="E393" s="54">
        <f t="shared" si="69"/>
        <v>56</v>
      </c>
      <c r="F393" s="54">
        <f t="shared" si="69"/>
        <v>51</v>
      </c>
      <c r="G393" s="8">
        <v>202012</v>
      </c>
      <c r="H393" s="8" t="s">
        <v>7013</v>
      </c>
      <c r="I393" s="8">
        <v>202012</v>
      </c>
      <c r="J393" s="8" t="s">
        <v>7013</v>
      </c>
      <c r="K393" s="52">
        <f t="shared" si="71"/>
        <v>44179</v>
      </c>
      <c r="L393" s="52">
        <f t="shared" si="72"/>
        <v>44185</v>
      </c>
      <c r="M393" s="55" t="str">
        <f t="shared" si="73"/>
        <v>14/12/20 @ 
20/12/20</v>
      </c>
    </row>
    <row r="394" spans="2:13" ht="24" x14ac:dyDescent="0.25">
      <c r="B394" s="51">
        <f t="shared" si="74"/>
        <v>392</v>
      </c>
      <c r="C394" s="52">
        <f t="shared" si="74"/>
        <v>44186</v>
      </c>
      <c r="D394" s="53">
        <f t="shared" si="70"/>
        <v>44186</v>
      </c>
      <c r="E394" s="54">
        <f t="shared" ref="E394:F409" si="75">+E387+1</f>
        <v>57</v>
      </c>
      <c r="F394" s="54">
        <f t="shared" si="75"/>
        <v>52</v>
      </c>
      <c r="G394" s="8">
        <v>202012</v>
      </c>
      <c r="H394" s="8" t="s">
        <v>7013</v>
      </c>
      <c r="I394" s="8">
        <v>202101</v>
      </c>
      <c r="J394" s="8" t="s">
        <v>7014</v>
      </c>
      <c r="K394" s="52">
        <f t="shared" si="71"/>
        <v>44186</v>
      </c>
      <c r="L394" s="52">
        <f t="shared" si="72"/>
        <v>44192</v>
      </c>
      <c r="M394" s="55" t="str">
        <f t="shared" si="73"/>
        <v>21/12/20 @ 
27/12/20</v>
      </c>
    </row>
    <row r="395" spans="2:13" ht="24" x14ac:dyDescent="0.25">
      <c r="B395" s="51">
        <f t="shared" si="74"/>
        <v>393</v>
      </c>
      <c r="C395" s="52">
        <f t="shared" si="74"/>
        <v>44187</v>
      </c>
      <c r="D395" s="53">
        <f t="shared" si="70"/>
        <v>44187</v>
      </c>
      <c r="E395" s="54">
        <f t="shared" si="75"/>
        <v>57</v>
      </c>
      <c r="F395" s="54">
        <f t="shared" si="75"/>
        <v>52</v>
      </c>
      <c r="G395" s="8">
        <v>202012</v>
      </c>
      <c r="H395" s="8" t="s">
        <v>7013</v>
      </c>
      <c r="I395" s="8">
        <v>202101</v>
      </c>
      <c r="J395" s="8" t="s">
        <v>7014</v>
      </c>
      <c r="K395" s="52">
        <f t="shared" si="71"/>
        <v>44186</v>
      </c>
      <c r="L395" s="52">
        <f t="shared" si="72"/>
        <v>44192</v>
      </c>
      <c r="M395" s="55" t="str">
        <f t="shared" si="73"/>
        <v>21/12/20 @ 
27/12/20</v>
      </c>
    </row>
    <row r="396" spans="2:13" ht="24" x14ac:dyDescent="0.25">
      <c r="B396" s="51">
        <f t="shared" si="74"/>
        <v>394</v>
      </c>
      <c r="C396" s="52">
        <f t="shared" si="74"/>
        <v>44188</v>
      </c>
      <c r="D396" s="53">
        <f t="shared" si="70"/>
        <v>44188</v>
      </c>
      <c r="E396" s="54">
        <f t="shared" si="75"/>
        <v>57</v>
      </c>
      <c r="F396" s="54">
        <f t="shared" si="75"/>
        <v>52</v>
      </c>
      <c r="G396" s="8">
        <v>202012</v>
      </c>
      <c r="H396" s="8" t="s">
        <v>7013</v>
      </c>
      <c r="I396" s="8">
        <v>202101</v>
      </c>
      <c r="J396" s="8" t="s">
        <v>7014</v>
      </c>
      <c r="K396" s="52">
        <f t="shared" si="71"/>
        <v>44186</v>
      </c>
      <c r="L396" s="52">
        <f t="shared" si="72"/>
        <v>44192</v>
      </c>
      <c r="M396" s="55" t="str">
        <f t="shared" si="73"/>
        <v>21/12/20 @ 
27/12/20</v>
      </c>
    </row>
    <row r="397" spans="2:13" ht="24" x14ac:dyDescent="0.25">
      <c r="B397" s="51">
        <f t="shared" si="74"/>
        <v>395</v>
      </c>
      <c r="C397" s="52">
        <f t="shared" si="74"/>
        <v>44189</v>
      </c>
      <c r="D397" s="53">
        <f t="shared" si="70"/>
        <v>44189</v>
      </c>
      <c r="E397" s="54">
        <f t="shared" si="75"/>
        <v>57</v>
      </c>
      <c r="F397" s="54">
        <f t="shared" si="75"/>
        <v>52</v>
      </c>
      <c r="G397" s="8">
        <v>202012</v>
      </c>
      <c r="H397" s="8" t="s">
        <v>7013</v>
      </c>
      <c r="I397" s="8">
        <v>202101</v>
      </c>
      <c r="J397" s="8" t="s">
        <v>7014</v>
      </c>
      <c r="K397" s="52">
        <f t="shared" si="71"/>
        <v>44186</v>
      </c>
      <c r="L397" s="52">
        <f t="shared" si="72"/>
        <v>44192</v>
      </c>
      <c r="M397" s="55" t="str">
        <f t="shared" si="73"/>
        <v>21/12/20 @ 
27/12/20</v>
      </c>
    </row>
    <row r="398" spans="2:13" ht="24" x14ac:dyDescent="0.25">
      <c r="B398" s="51">
        <f t="shared" si="74"/>
        <v>396</v>
      </c>
      <c r="C398" s="52">
        <f t="shared" si="74"/>
        <v>44190</v>
      </c>
      <c r="D398" s="53">
        <f t="shared" si="70"/>
        <v>44190</v>
      </c>
      <c r="E398" s="54">
        <f t="shared" si="75"/>
        <v>57</v>
      </c>
      <c r="F398" s="54">
        <f t="shared" si="75"/>
        <v>52</v>
      </c>
      <c r="G398" s="8">
        <v>202012</v>
      </c>
      <c r="H398" s="8" t="s">
        <v>7013</v>
      </c>
      <c r="I398" s="8">
        <v>202101</v>
      </c>
      <c r="J398" s="8" t="s">
        <v>7014</v>
      </c>
      <c r="K398" s="52">
        <f t="shared" si="71"/>
        <v>44186</v>
      </c>
      <c r="L398" s="52">
        <f t="shared" si="72"/>
        <v>44192</v>
      </c>
      <c r="M398" s="55" t="str">
        <f t="shared" si="73"/>
        <v>21/12/20 @ 
27/12/20</v>
      </c>
    </row>
    <row r="399" spans="2:13" ht="24" x14ac:dyDescent="0.25">
      <c r="B399" s="51">
        <f t="shared" si="74"/>
        <v>397</v>
      </c>
      <c r="C399" s="52">
        <f t="shared" si="74"/>
        <v>44191</v>
      </c>
      <c r="D399" s="53">
        <f t="shared" si="70"/>
        <v>44191</v>
      </c>
      <c r="E399" s="54">
        <f t="shared" si="75"/>
        <v>57</v>
      </c>
      <c r="F399" s="54">
        <f t="shared" si="75"/>
        <v>52</v>
      </c>
      <c r="G399" s="8">
        <v>202012</v>
      </c>
      <c r="H399" s="8" t="s">
        <v>7013</v>
      </c>
      <c r="I399" s="8">
        <v>202101</v>
      </c>
      <c r="J399" s="8" t="s">
        <v>7014</v>
      </c>
      <c r="K399" s="52">
        <f t="shared" si="71"/>
        <v>44186</v>
      </c>
      <c r="L399" s="52">
        <f t="shared" si="72"/>
        <v>44192</v>
      </c>
      <c r="M399" s="55" t="str">
        <f t="shared" si="73"/>
        <v>21/12/20 @ 
27/12/20</v>
      </c>
    </row>
    <row r="400" spans="2:13" ht="24" x14ac:dyDescent="0.25">
      <c r="B400" s="51">
        <f t="shared" si="74"/>
        <v>398</v>
      </c>
      <c r="C400" s="52">
        <f t="shared" si="74"/>
        <v>44192</v>
      </c>
      <c r="D400" s="53">
        <f t="shared" si="70"/>
        <v>44192</v>
      </c>
      <c r="E400" s="54">
        <f t="shared" si="75"/>
        <v>57</v>
      </c>
      <c r="F400" s="54">
        <f t="shared" si="75"/>
        <v>52</v>
      </c>
      <c r="G400" s="8">
        <v>202012</v>
      </c>
      <c r="H400" s="8" t="s">
        <v>7013</v>
      </c>
      <c r="I400" s="8">
        <v>202101</v>
      </c>
      <c r="J400" s="8" t="s">
        <v>7014</v>
      </c>
      <c r="K400" s="52">
        <f t="shared" si="71"/>
        <v>44186</v>
      </c>
      <c r="L400" s="52">
        <f t="shared" si="72"/>
        <v>44192</v>
      </c>
      <c r="M400" s="55" t="str">
        <f t="shared" si="73"/>
        <v>21/12/20 @ 
27/12/20</v>
      </c>
    </row>
    <row r="401" spans="2:13" ht="24" x14ac:dyDescent="0.25">
      <c r="B401" s="51">
        <f t="shared" si="74"/>
        <v>399</v>
      </c>
      <c r="C401" s="52">
        <f t="shared" si="74"/>
        <v>44193</v>
      </c>
      <c r="D401" s="53">
        <f t="shared" si="70"/>
        <v>44193</v>
      </c>
      <c r="E401" s="54">
        <f t="shared" si="75"/>
        <v>58</v>
      </c>
      <c r="F401" s="54">
        <v>1</v>
      </c>
      <c r="G401" s="8">
        <v>202012</v>
      </c>
      <c r="H401" s="8" t="s">
        <v>7014</v>
      </c>
      <c r="I401" s="8">
        <v>202101</v>
      </c>
      <c r="J401" s="8" t="s">
        <v>7014</v>
      </c>
      <c r="K401" s="52">
        <f t="shared" si="71"/>
        <v>44193</v>
      </c>
      <c r="L401" s="52">
        <f t="shared" si="72"/>
        <v>44199</v>
      </c>
      <c r="M401" s="55" t="str">
        <f t="shared" si="73"/>
        <v>28/12/20 @ 
03/01/21</v>
      </c>
    </row>
    <row r="402" spans="2:13" ht="24" x14ac:dyDescent="0.25">
      <c r="B402" s="51">
        <f t="shared" si="74"/>
        <v>400</v>
      </c>
      <c r="C402" s="52">
        <f t="shared" si="74"/>
        <v>44194</v>
      </c>
      <c r="D402" s="53">
        <f t="shared" si="70"/>
        <v>44194</v>
      </c>
      <c r="E402" s="54">
        <f t="shared" si="75"/>
        <v>58</v>
      </c>
      <c r="F402" s="54">
        <v>1</v>
      </c>
      <c r="G402" s="8">
        <v>202012</v>
      </c>
      <c r="H402" s="8" t="s">
        <v>7014</v>
      </c>
      <c r="I402" s="8">
        <v>202101</v>
      </c>
      <c r="J402" s="8" t="s">
        <v>7014</v>
      </c>
      <c r="K402" s="52">
        <f t="shared" si="71"/>
        <v>44193</v>
      </c>
      <c r="L402" s="52">
        <f t="shared" si="72"/>
        <v>44199</v>
      </c>
      <c r="M402" s="55" t="str">
        <f t="shared" si="73"/>
        <v>28/12/20 @ 
03/01/21</v>
      </c>
    </row>
    <row r="403" spans="2:13" ht="24" x14ac:dyDescent="0.25">
      <c r="B403" s="51">
        <f t="shared" si="74"/>
        <v>401</v>
      </c>
      <c r="C403" s="52">
        <f t="shared" si="74"/>
        <v>44195</v>
      </c>
      <c r="D403" s="53">
        <f t="shared" si="70"/>
        <v>44195</v>
      </c>
      <c r="E403" s="54">
        <f t="shared" si="75"/>
        <v>58</v>
      </c>
      <c r="F403" s="54">
        <v>1</v>
      </c>
      <c r="G403" s="8">
        <v>202012</v>
      </c>
      <c r="H403" s="8" t="s">
        <v>7014</v>
      </c>
      <c r="I403" s="8">
        <v>202101</v>
      </c>
      <c r="J403" s="8" t="s">
        <v>7014</v>
      </c>
      <c r="K403" s="52">
        <f t="shared" si="71"/>
        <v>44193</v>
      </c>
      <c r="L403" s="52">
        <f t="shared" si="72"/>
        <v>44199</v>
      </c>
      <c r="M403" s="55" t="str">
        <f t="shared" si="73"/>
        <v>28/12/20 @ 
03/01/21</v>
      </c>
    </row>
    <row r="404" spans="2:13" ht="24" x14ac:dyDescent="0.25">
      <c r="B404" s="51">
        <f t="shared" si="74"/>
        <v>402</v>
      </c>
      <c r="C404" s="52">
        <f t="shared" si="74"/>
        <v>44196</v>
      </c>
      <c r="D404" s="53">
        <f t="shared" si="70"/>
        <v>44196</v>
      </c>
      <c r="E404" s="54">
        <f t="shared" si="75"/>
        <v>58</v>
      </c>
      <c r="F404" s="54">
        <v>1</v>
      </c>
      <c r="G404" s="8">
        <v>202012</v>
      </c>
      <c r="H404" s="8" t="s">
        <v>7014</v>
      </c>
      <c r="I404" s="8">
        <v>202101</v>
      </c>
      <c r="J404" s="8" t="s">
        <v>7014</v>
      </c>
      <c r="K404" s="52">
        <f t="shared" si="71"/>
        <v>44193</v>
      </c>
      <c r="L404" s="52">
        <f t="shared" si="72"/>
        <v>44199</v>
      </c>
      <c r="M404" s="55" t="str">
        <f t="shared" si="73"/>
        <v>28/12/20 @ 
03/01/21</v>
      </c>
    </row>
    <row r="405" spans="2:13" ht="24" x14ac:dyDescent="0.25">
      <c r="B405" s="51">
        <f t="shared" ref="B405:C420" si="76">+B404+1</f>
        <v>403</v>
      </c>
      <c r="C405" s="52">
        <f t="shared" si="76"/>
        <v>44197</v>
      </c>
      <c r="D405" s="53">
        <f t="shared" si="70"/>
        <v>44197</v>
      </c>
      <c r="E405" s="54">
        <f t="shared" si="75"/>
        <v>58</v>
      </c>
      <c r="F405" s="54">
        <v>1</v>
      </c>
      <c r="G405" s="8">
        <v>202012</v>
      </c>
      <c r="H405" s="8" t="s">
        <v>7014</v>
      </c>
      <c r="I405" s="8">
        <v>202101</v>
      </c>
      <c r="J405" s="8" t="s">
        <v>7014</v>
      </c>
      <c r="K405" s="52">
        <f t="shared" si="71"/>
        <v>44193</v>
      </c>
      <c r="L405" s="52">
        <f t="shared" si="72"/>
        <v>44199</v>
      </c>
      <c r="M405" s="55" t="str">
        <f t="shared" si="73"/>
        <v>28/12/20 @ 
03/01/21</v>
      </c>
    </row>
    <row r="406" spans="2:13" ht="24" x14ac:dyDescent="0.25">
      <c r="B406" s="51">
        <f t="shared" si="76"/>
        <v>404</v>
      </c>
      <c r="C406" s="52">
        <f t="shared" si="76"/>
        <v>44198</v>
      </c>
      <c r="D406" s="53">
        <f t="shared" si="70"/>
        <v>44198</v>
      </c>
      <c r="E406" s="54">
        <f t="shared" si="75"/>
        <v>58</v>
      </c>
      <c r="F406" s="54">
        <v>1</v>
      </c>
      <c r="G406" s="8">
        <v>202012</v>
      </c>
      <c r="H406" s="8" t="s">
        <v>7014</v>
      </c>
      <c r="I406" s="8">
        <v>202101</v>
      </c>
      <c r="J406" s="8" t="s">
        <v>7014</v>
      </c>
      <c r="K406" s="52">
        <f t="shared" si="71"/>
        <v>44193</v>
      </c>
      <c r="L406" s="52">
        <f t="shared" si="72"/>
        <v>44199</v>
      </c>
      <c r="M406" s="55" t="str">
        <f t="shared" si="73"/>
        <v>28/12/20 @ 
03/01/21</v>
      </c>
    </row>
    <row r="407" spans="2:13" ht="24" x14ac:dyDescent="0.25">
      <c r="B407" s="51">
        <f t="shared" si="76"/>
        <v>405</v>
      </c>
      <c r="C407" s="52">
        <f t="shared" si="76"/>
        <v>44199</v>
      </c>
      <c r="D407" s="53">
        <f t="shared" si="70"/>
        <v>44199</v>
      </c>
      <c r="E407" s="54">
        <f t="shared" si="75"/>
        <v>58</v>
      </c>
      <c r="F407" s="54">
        <v>1</v>
      </c>
      <c r="G407" s="8">
        <v>202012</v>
      </c>
      <c r="H407" s="8" t="s">
        <v>7014</v>
      </c>
      <c r="I407" s="8">
        <v>202101</v>
      </c>
      <c r="J407" s="8" t="s">
        <v>7014</v>
      </c>
      <c r="K407" s="52">
        <f t="shared" si="71"/>
        <v>44193</v>
      </c>
      <c r="L407" s="52">
        <f t="shared" si="72"/>
        <v>44199</v>
      </c>
      <c r="M407" s="55" t="str">
        <f t="shared" si="73"/>
        <v>28/12/20 @ 
03/01/21</v>
      </c>
    </row>
    <row r="408" spans="2:13" ht="24" x14ac:dyDescent="0.25">
      <c r="B408" s="51">
        <f t="shared" si="76"/>
        <v>406</v>
      </c>
      <c r="C408" s="52">
        <f t="shared" si="76"/>
        <v>44200</v>
      </c>
      <c r="D408" s="53">
        <f t="shared" si="70"/>
        <v>44200</v>
      </c>
      <c r="E408" s="54">
        <f t="shared" si="75"/>
        <v>59</v>
      </c>
      <c r="F408" s="54">
        <f>+F401+1</f>
        <v>2</v>
      </c>
      <c r="G408" s="8">
        <v>202101</v>
      </c>
      <c r="H408" s="8" t="s">
        <v>7014</v>
      </c>
      <c r="I408" s="8">
        <v>202101</v>
      </c>
      <c r="J408" s="8" t="s">
        <v>7014</v>
      </c>
      <c r="K408" s="52">
        <f t="shared" si="71"/>
        <v>44200</v>
      </c>
      <c r="L408" s="52">
        <f t="shared" si="72"/>
        <v>44206</v>
      </c>
      <c r="M408" s="55" t="str">
        <f t="shared" si="73"/>
        <v>04/01/21 @ 
10/01/21</v>
      </c>
    </row>
    <row r="409" spans="2:13" ht="24" x14ac:dyDescent="0.25">
      <c r="B409" s="51">
        <f t="shared" si="76"/>
        <v>407</v>
      </c>
      <c r="C409" s="52">
        <f t="shared" si="76"/>
        <v>44201</v>
      </c>
      <c r="D409" s="53">
        <f t="shared" si="70"/>
        <v>44201</v>
      </c>
      <c r="E409" s="54">
        <f t="shared" si="75"/>
        <v>59</v>
      </c>
      <c r="F409" s="54">
        <f t="shared" si="75"/>
        <v>2</v>
      </c>
      <c r="G409" s="8">
        <v>202101</v>
      </c>
      <c r="H409" s="8" t="s">
        <v>7014</v>
      </c>
      <c r="I409" s="8">
        <v>202101</v>
      </c>
      <c r="J409" s="8" t="s">
        <v>7014</v>
      </c>
      <c r="K409" s="52">
        <f t="shared" si="71"/>
        <v>44200</v>
      </c>
      <c r="L409" s="52">
        <f t="shared" si="72"/>
        <v>44206</v>
      </c>
      <c r="M409" s="55" t="str">
        <f t="shared" si="73"/>
        <v>04/01/21 @ 
10/01/21</v>
      </c>
    </row>
    <row r="410" spans="2:13" ht="24" x14ac:dyDescent="0.25">
      <c r="B410" s="51">
        <f t="shared" si="76"/>
        <v>408</v>
      </c>
      <c r="C410" s="52">
        <f t="shared" si="76"/>
        <v>44202</v>
      </c>
      <c r="D410" s="53">
        <f t="shared" si="70"/>
        <v>44202</v>
      </c>
      <c r="E410" s="54">
        <f t="shared" ref="E410:F425" si="77">+E403+1</f>
        <v>59</v>
      </c>
      <c r="F410" s="54">
        <f t="shared" si="77"/>
        <v>2</v>
      </c>
      <c r="G410" s="8">
        <v>202101</v>
      </c>
      <c r="H410" s="8" t="s">
        <v>7014</v>
      </c>
      <c r="I410" s="8">
        <v>202101</v>
      </c>
      <c r="J410" s="8" t="s">
        <v>7014</v>
      </c>
      <c r="K410" s="52">
        <f t="shared" si="71"/>
        <v>44200</v>
      </c>
      <c r="L410" s="52">
        <f t="shared" si="72"/>
        <v>44206</v>
      </c>
      <c r="M410" s="55" t="str">
        <f t="shared" si="73"/>
        <v>04/01/21 @ 
10/01/21</v>
      </c>
    </row>
    <row r="411" spans="2:13" ht="24" x14ac:dyDescent="0.25">
      <c r="B411" s="51">
        <f t="shared" si="76"/>
        <v>409</v>
      </c>
      <c r="C411" s="52">
        <f t="shared" si="76"/>
        <v>44203</v>
      </c>
      <c r="D411" s="53">
        <f t="shared" si="70"/>
        <v>44203</v>
      </c>
      <c r="E411" s="54">
        <f t="shared" si="77"/>
        <v>59</v>
      </c>
      <c r="F411" s="54">
        <f t="shared" si="77"/>
        <v>2</v>
      </c>
      <c r="G411" s="8">
        <v>202101</v>
      </c>
      <c r="H411" s="8" t="s">
        <v>7014</v>
      </c>
      <c r="I411" s="8">
        <v>202101</v>
      </c>
      <c r="J411" s="8" t="s">
        <v>7014</v>
      </c>
      <c r="K411" s="52">
        <f t="shared" si="71"/>
        <v>44200</v>
      </c>
      <c r="L411" s="52">
        <f t="shared" si="72"/>
        <v>44206</v>
      </c>
      <c r="M411" s="55" t="str">
        <f t="shared" si="73"/>
        <v>04/01/21 @ 
10/01/21</v>
      </c>
    </row>
    <row r="412" spans="2:13" ht="24" x14ac:dyDescent="0.25">
      <c r="B412" s="51">
        <f t="shared" si="76"/>
        <v>410</v>
      </c>
      <c r="C412" s="52">
        <f t="shared" si="76"/>
        <v>44204</v>
      </c>
      <c r="D412" s="53">
        <f t="shared" si="70"/>
        <v>44204</v>
      </c>
      <c r="E412" s="54">
        <f t="shared" si="77"/>
        <v>59</v>
      </c>
      <c r="F412" s="54">
        <f t="shared" si="77"/>
        <v>2</v>
      </c>
      <c r="G412" s="8">
        <v>202101</v>
      </c>
      <c r="H412" s="8" t="s">
        <v>7014</v>
      </c>
      <c r="I412" s="8">
        <v>202101</v>
      </c>
      <c r="J412" s="8" t="s">
        <v>7014</v>
      </c>
      <c r="K412" s="52">
        <f t="shared" si="71"/>
        <v>44200</v>
      </c>
      <c r="L412" s="52">
        <f t="shared" si="72"/>
        <v>44206</v>
      </c>
      <c r="M412" s="55" t="str">
        <f t="shared" si="73"/>
        <v>04/01/21 @ 
10/01/21</v>
      </c>
    </row>
    <row r="413" spans="2:13" ht="24" x14ac:dyDescent="0.25">
      <c r="B413" s="51">
        <f t="shared" si="76"/>
        <v>411</v>
      </c>
      <c r="C413" s="52">
        <f t="shared" si="76"/>
        <v>44205</v>
      </c>
      <c r="D413" s="53">
        <f t="shared" si="70"/>
        <v>44205</v>
      </c>
      <c r="E413" s="54">
        <f t="shared" si="77"/>
        <v>59</v>
      </c>
      <c r="F413" s="54">
        <f t="shared" si="77"/>
        <v>2</v>
      </c>
      <c r="G413" s="8">
        <v>202101</v>
      </c>
      <c r="H413" s="8" t="s">
        <v>7014</v>
      </c>
      <c r="I413" s="8">
        <v>202101</v>
      </c>
      <c r="J413" s="8" t="s">
        <v>7014</v>
      </c>
      <c r="K413" s="52">
        <f t="shared" si="71"/>
        <v>44200</v>
      </c>
      <c r="L413" s="52">
        <f t="shared" si="72"/>
        <v>44206</v>
      </c>
      <c r="M413" s="55" t="str">
        <f t="shared" si="73"/>
        <v>04/01/21 @ 
10/01/21</v>
      </c>
    </row>
    <row r="414" spans="2:13" ht="24" x14ac:dyDescent="0.25">
      <c r="B414" s="51">
        <f t="shared" si="76"/>
        <v>412</v>
      </c>
      <c r="C414" s="52">
        <f t="shared" si="76"/>
        <v>44206</v>
      </c>
      <c r="D414" s="53">
        <f t="shared" si="70"/>
        <v>44206</v>
      </c>
      <c r="E414" s="54">
        <f t="shared" si="77"/>
        <v>59</v>
      </c>
      <c r="F414" s="54">
        <f t="shared" si="77"/>
        <v>2</v>
      </c>
      <c r="G414" s="8">
        <v>202101</v>
      </c>
      <c r="H414" s="8" t="s">
        <v>7014</v>
      </c>
      <c r="I414" s="8">
        <v>202101</v>
      </c>
      <c r="J414" s="8" t="s">
        <v>7014</v>
      </c>
      <c r="K414" s="52">
        <f t="shared" si="71"/>
        <v>44200</v>
      </c>
      <c r="L414" s="52">
        <f t="shared" si="72"/>
        <v>44206</v>
      </c>
      <c r="M414" s="55" t="str">
        <f t="shared" si="73"/>
        <v>04/01/21 @ 
10/01/21</v>
      </c>
    </row>
    <row r="415" spans="2:13" ht="24" x14ac:dyDescent="0.25">
      <c r="B415" s="51">
        <f t="shared" si="76"/>
        <v>413</v>
      </c>
      <c r="C415" s="52">
        <f t="shared" si="76"/>
        <v>44207</v>
      </c>
      <c r="D415" s="53">
        <f t="shared" si="70"/>
        <v>44207</v>
      </c>
      <c r="E415" s="54">
        <f t="shared" si="77"/>
        <v>60</v>
      </c>
      <c r="F415" s="54">
        <f t="shared" si="77"/>
        <v>3</v>
      </c>
      <c r="G415" s="8">
        <v>202101</v>
      </c>
      <c r="H415" s="8" t="s">
        <v>7014</v>
      </c>
      <c r="I415" s="8">
        <v>202101</v>
      </c>
      <c r="J415" s="8" t="s">
        <v>7014</v>
      </c>
      <c r="K415" s="52">
        <f t="shared" si="71"/>
        <v>44207</v>
      </c>
      <c r="L415" s="52">
        <f t="shared" si="72"/>
        <v>44213</v>
      </c>
      <c r="M415" s="55" t="str">
        <f t="shared" si="73"/>
        <v>11/01/21 @ 
17/01/21</v>
      </c>
    </row>
    <row r="416" spans="2:13" ht="24" x14ac:dyDescent="0.25">
      <c r="B416" s="51">
        <f t="shared" si="76"/>
        <v>414</v>
      </c>
      <c r="C416" s="52">
        <f t="shared" si="76"/>
        <v>44208</v>
      </c>
      <c r="D416" s="53">
        <f t="shared" si="70"/>
        <v>44208</v>
      </c>
      <c r="E416" s="54">
        <f t="shared" si="77"/>
        <v>60</v>
      </c>
      <c r="F416" s="54">
        <f t="shared" si="77"/>
        <v>3</v>
      </c>
      <c r="G416" s="8">
        <v>202101</v>
      </c>
      <c r="H416" s="8" t="s">
        <v>7014</v>
      </c>
      <c r="I416" s="8">
        <v>202101</v>
      </c>
      <c r="J416" s="8" t="s">
        <v>7014</v>
      </c>
      <c r="K416" s="52">
        <f t="shared" si="71"/>
        <v>44207</v>
      </c>
      <c r="L416" s="52">
        <f t="shared" si="72"/>
        <v>44213</v>
      </c>
      <c r="M416" s="55" t="str">
        <f t="shared" si="73"/>
        <v>11/01/21 @ 
17/01/21</v>
      </c>
    </row>
    <row r="417" spans="2:13" ht="24" x14ac:dyDescent="0.25">
      <c r="B417" s="51">
        <f t="shared" si="76"/>
        <v>415</v>
      </c>
      <c r="C417" s="52">
        <f t="shared" si="76"/>
        <v>44209</v>
      </c>
      <c r="D417" s="53">
        <f t="shared" si="70"/>
        <v>44209</v>
      </c>
      <c r="E417" s="54">
        <f t="shared" si="77"/>
        <v>60</v>
      </c>
      <c r="F417" s="54">
        <f t="shared" si="77"/>
        <v>3</v>
      </c>
      <c r="G417" s="8">
        <v>202101</v>
      </c>
      <c r="H417" s="8" t="s">
        <v>7014</v>
      </c>
      <c r="I417" s="8">
        <v>202101</v>
      </c>
      <c r="J417" s="8" t="s">
        <v>7014</v>
      </c>
      <c r="K417" s="52">
        <f t="shared" si="71"/>
        <v>44207</v>
      </c>
      <c r="L417" s="52">
        <f t="shared" si="72"/>
        <v>44213</v>
      </c>
      <c r="M417" s="55" t="str">
        <f t="shared" si="73"/>
        <v>11/01/21 @ 
17/01/21</v>
      </c>
    </row>
    <row r="418" spans="2:13" ht="24" x14ac:dyDescent="0.25">
      <c r="B418" s="51">
        <f t="shared" si="76"/>
        <v>416</v>
      </c>
      <c r="C418" s="52">
        <f t="shared" si="76"/>
        <v>44210</v>
      </c>
      <c r="D418" s="53">
        <f t="shared" si="70"/>
        <v>44210</v>
      </c>
      <c r="E418" s="54">
        <f t="shared" si="77"/>
        <v>60</v>
      </c>
      <c r="F418" s="54">
        <f t="shared" si="77"/>
        <v>3</v>
      </c>
      <c r="G418" s="8">
        <v>202101</v>
      </c>
      <c r="H418" s="8" t="s">
        <v>7014</v>
      </c>
      <c r="I418" s="8">
        <v>202101</v>
      </c>
      <c r="J418" s="8" t="s">
        <v>7014</v>
      </c>
      <c r="K418" s="52">
        <f t="shared" si="71"/>
        <v>44207</v>
      </c>
      <c r="L418" s="52">
        <f t="shared" si="72"/>
        <v>44213</v>
      </c>
      <c r="M418" s="55" t="str">
        <f t="shared" si="73"/>
        <v>11/01/21 @ 
17/01/21</v>
      </c>
    </row>
    <row r="419" spans="2:13" ht="24" x14ac:dyDescent="0.25">
      <c r="B419" s="51">
        <f t="shared" si="76"/>
        <v>417</v>
      </c>
      <c r="C419" s="52">
        <f t="shared" si="76"/>
        <v>44211</v>
      </c>
      <c r="D419" s="53">
        <f t="shared" si="70"/>
        <v>44211</v>
      </c>
      <c r="E419" s="54">
        <f t="shared" si="77"/>
        <v>60</v>
      </c>
      <c r="F419" s="54">
        <f t="shared" si="77"/>
        <v>3</v>
      </c>
      <c r="G419" s="8">
        <v>202101</v>
      </c>
      <c r="H419" s="8" t="s">
        <v>7014</v>
      </c>
      <c r="I419" s="8">
        <v>202101</v>
      </c>
      <c r="J419" s="8" t="s">
        <v>7014</v>
      </c>
      <c r="K419" s="52">
        <f t="shared" si="71"/>
        <v>44207</v>
      </c>
      <c r="L419" s="52">
        <f t="shared" si="72"/>
        <v>44213</v>
      </c>
      <c r="M419" s="55" t="str">
        <f t="shared" si="73"/>
        <v>11/01/21 @ 
17/01/21</v>
      </c>
    </row>
    <row r="420" spans="2:13" ht="24" x14ac:dyDescent="0.25">
      <c r="B420" s="51">
        <f t="shared" si="76"/>
        <v>418</v>
      </c>
      <c r="C420" s="52">
        <f t="shared" si="76"/>
        <v>44212</v>
      </c>
      <c r="D420" s="53">
        <f t="shared" si="70"/>
        <v>44212</v>
      </c>
      <c r="E420" s="54">
        <f t="shared" si="77"/>
        <v>60</v>
      </c>
      <c r="F420" s="54">
        <f t="shared" si="77"/>
        <v>3</v>
      </c>
      <c r="G420" s="8">
        <v>202101</v>
      </c>
      <c r="H420" s="8" t="s">
        <v>7014</v>
      </c>
      <c r="I420" s="8">
        <v>202101</v>
      </c>
      <c r="J420" s="8" t="s">
        <v>7014</v>
      </c>
      <c r="K420" s="52">
        <f t="shared" si="71"/>
        <v>44207</v>
      </c>
      <c r="L420" s="52">
        <f t="shared" si="72"/>
        <v>44213</v>
      </c>
      <c r="M420" s="55" t="str">
        <f t="shared" si="73"/>
        <v>11/01/21 @ 
17/01/21</v>
      </c>
    </row>
    <row r="421" spans="2:13" ht="24" x14ac:dyDescent="0.25">
      <c r="B421" s="51">
        <f t="shared" ref="B421:C436" si="78">+B420+1</f>
        <v>419</v>
      </c>
      <c r="C421" s="52">
        <f t="shared" si="78"/>
        <v>44213</v>
      </c>
      <c r="D421" s="53">
        <f t="shared" si="70"/>
        <v>44213</v>
      </c>
      <c r="E421" s="54">
        <f t="shared" si="77"/>
        <v>60</v>
      </c>
      <c r="F421" s="54">
        <f t="shared" si="77"/>
        <v>3</v>
      </c>
      <c r="G421" s="8">
        <v>202101</v>
      </c>
      <c r="H421" s="8" t="s">
        <v>7014</v>
      </c>
      <c r="I421" s="8">
        <v>202101</v>
      </c>
      <c r="J421" s="8" t="s">
        <v>7014</v>
      </c>
      <c r="K421" s="52">
        <f t="shared" si="71"/>
        <v>44207</v>
      </c>
      <c r="L421" s="52">
        <f t="shared" si="72"/>
        <v>44213</v>
      </c>
      <c r="M421" s="55" t="str">
        <f t="shared" si="73"/>
        <v>11/01/21 @ 
17/01/21</v>
      </c>
    </row>
    <row r="422" spans="2:13" ht="24" x14ac:dyDescent="0.25">
      <c r="B422" s="51">
        <f t="shared" si="78"/>
        <v>420</v>
      </c>
      <c r="C422" s="52">
        <f t="shared" si="78"/>
        <v>44214</v>
      </c>
      <c r="D422" s="53">
        <f t="shared" si="70"/>
        <v>44214</v>
      </c>
      <c r="E422" s="54">
        <f t="shared" si="77"/>
        <v>61</v>
      </c>
      <c r="F422" s="54">
        <f t="shared" si="77"/>
        <v>4</v>
      </c>
      <c r="G422" s="8">
        <v>202101</v>
      </c>
      <c r="H422" s="8" t="s">
        <v>7014</v>
      </c>
      <c r="I422" s="8">
        <v>202101</v>
      </c>
      <c r="J422" s="8" t="s">
        <v>7014</v>
      </c>
      <c r="K422" s="52">
        <f t="shared" si="71"/>
        <v>44214</v>
      </c>
      <c r="L422" s="52">
        <f t="shared" si="72"/>
        <v>44220</v>
      </c>
      <c r="M422" s="55" t="str">
        <f t="shared" si="73"/>
        <v>18/01/21 @ 
24/01/21</v>
      </c>
    </row>
    <row r="423" spans="2:13" ht="24" x14ac:dyDescent="0.25">
      <c r="B423" s="51">
        <f t="shared" si="78"/>
        <v>421</v>
      </c>
      <c r="C423" s="52">
        <f t="shared" si="78"/>
        <v>44215</v>
      </c>
      <c r="D423" s="53">
        <f t="shared" si="70"/>
        <v>44215</v>
      </c>
      <c r="E423" s="54">
        <f t="shared" si="77"/>
        <v>61</v>
      </c>
      <c r="F423" s="54">
        <f t="shared" si="77"/>
        <v>4</v>
      </c>
      <c r="G423" s="8">
        <v>202101</v>
      </c>
      <c r="H423" s="8" t="s">
        <v>7014</v>
      </c>
      <c r="I423" s="8">
        <v>202101</v>
      </c>
      <c r="J423" s="8" t="s">
        <v>7014</v>
      </c>
      <c r="K423" s="52">
        <f t="shared" si="71"/>
        <v>44214</v>
      </c>
      <c r="L423" s="52">
        <f t="shared" si="72"/>
        <v>44220</v>
      </c>
      <c r="M423" s="55" t="str">
        <f t="shared" si="73"/>
        <v>18/01/21 @ 
24/01/21</v>
      </c>
    </row>
    <row r="424" spans="2:13" ht="24" x14ac:dyDescent="0.25">
      <c r="B424" s="51">
        <f t="shared" si="78"/>
        <v>422</v>
      </c>
      <c r="C424" s="52">
        <f t="shared" si="78"/>
        <v>44216</v>
      </c>
      <c r="D424" s="53">
        <f t="shared" si="70"/>
        <v>44216</v>
      </c>
      <c r="E424" s="54">
        <f t="shared" si="77"/>
        <v>61</v>
      </c>
      <c r="F424" s="54">
        <f t="shared" si="77"/>
        <v>4</v>
      </c>
      <c r="G424" s="8">
        <v>202101</v>
      </c>
      <c r="H424" s="8" t="s">
        <v>7014</v>
      </c>
      <c r="I424" s="8">
        <v>202101</v>
      </c>
      <c r="J424" s="8" t="s">
        <v>7014</v>
      </c>
      <c r="K424" s="52">
        <f t="shared" si="71"/>
        <v>44214</v>
      </c>
      <c r="L424" s="52">
        <f t="shared" si="72"/>
        <v>44220</v>
      </c>
      <c r="M424" s="55" t="str">
        <f t="shared" si="73"/>
        <v>18/01/21 @ 
24/01/21</v>
      </c>
    </row>
    <row r="425" spans="2:13" ht="24" x14ac:dyDescent="0.25">
      <c r="B425" s="51">
        <f t="shared" si="78"/>
        <v>423</v>
      </c>
      <c r="C425" s="52">
        <f t="shared" si="78"/>
        <v>44217</v>
      </c>
      <c r="D425" s="53">
        <f t="shared" si="70"/>
        <v>44217</v>
      </c>
      <c r="E425" s="54">
        <f t="shared" si="77"/>
        <v>61</v>
      </c>
      <c r="F425" s="54">
        <f t="shared" si="77"/>
        <v>4</v>
      </c>
      <c r="G425" s="8">
        <v>202101</v>
      </c>
      <c r="H425" s="8" t="s">
        <v>7014</v>
      </c>
      <c r="I425" s="8">
        <v>202102</v>
      </c>
      <c r="J425" s="8" t="s">
        <v>7015</v>
      </c>
      <c r="K425" s="52">
        <f t="shared" si="71"/>
        <v>44214</v>
      </c>
      <c r="L425" s="52">
        <f t="shared" si="72"/>
        <v>44220</v>
      </c>
      <c r="M425" s="55" t="str">
        <f t="shared" si="73"/>
        <v>18/01/21 @ 
24/01/21</v>
      </c>
    </row>
    <row r="426" spans="2:13" ht="24" x14ac:dyDescent="0.25">
      <c r="B426" s="51">
        <f t="shared" si="78"/>
        <v>424</v>
      </c>
      <c r="C426" s="52">
        <f t="shared" si="78"/>
        <v>44218</v>
      </c>
      <c r="D426" s="53">
        <f t="shared" si="70"/>
        <v>44218</v>
      </c>
      <c r="E426" s="54">
        <f t="shared" ref="E426:F441" si="79">+E419+1</f>
        <v>61</v>
      </c>
      <c r="F426" s="54">
        <f t="shared" si="79"/>
        <v>4</v>
      </c>
      <c r="G426" s="8">
        <v>202101</v>
      </c>
      <c r="H426" s="8" t="s">
        <v>7014</v>
      </c>
      <c r="I426" s="8">
        <v>202102</v>
      </c>
      <c r="J426" s="8" t="s">
        <v>7015</v>
      </c>
      <c r="K426" s="52">
        <f t="shared" si="71"/>
        <v>44214</v>
      </c>
      <c r="L426" s="52">
        <f t="shared" si="72"/>
        <v>44220</v>
      </c>
      <c r="M426" s="55" t="str">
        <f t="shared" si="73"/>
        <v>18/01/21 @ 
24/01/21</v>
      </c>
    </row>
    <row r="427" spans="2:13" ht="24" x14ac:dyDescent="0.25">
      <c r="B427" s="51">
        <f t="shared" si="78"/>
        <v>425</v>
      </c>
      <c r="C427" s="52">
        <f t="shared" si="78"/>
        <v>44219</v>
      </c>
      <c r="D427" s="53">
        <f t="shared" si="70"/>
        <v>44219</v>
      </c>
      <c r="E427" s="54">
        <f t="shared" si="79"/>
        <v>61</v>
      </c>
      <c r="F427" s="54">
        <f t="shared" si="79"/>
        <v>4</v>
      </c>
      <c r="G427" s="8">
        <v>202101</v>
      </c>
      <c r="H427" s="8" t="s">
        <v>7014</v>
      </c>
      <c r="I427" s="8">
        <v>202102</v>
      </c>
      <c r="J427" s="8" t="s">
        <v>7015</v>
      </c>
      <c r="K427" s="52">
        <f t="shared" si="71"/>
        <v>44214</v>
      </c>
      <c r="L427" s="52">
        <f t="shared" si="72"/>
        <v>44220</v>
      </c>
      <c r="M427" s="55" t="str">
        <f t="shared" si="73"/>
        <v>18/01/21 @ 
24/01/21</v>
      </c>
    </row>
    <row r="428" spans="2:13" ht="24" x14ac:dyDescent="0.25">
      <c r="B428" s="51">
        <f t="shared" si="78"/>
        <v>426</v>
      </c>
      <c r="C428" s="52">
        <f t="shared" si="78"/>
        <v>44220</v>
      </c>
      <c r="D428" s="53">
        <f t="shared" si="70"/>
        <v>44220</v>
      </c>
      <c r="E428" s="54">
        <f t="shared" si="79"/>
        <v>61</v>
      </c>
      <c r="F428" s="54">
        <f t="shared" si="79"/>
        <v>4</v>
      </c>
      <c r="G428" s="8">
        <v>202101</v>
      </c>
      <c r="H428" s="8" t="s">
        <v>7014</v>
      </c>
      <c r="I428" s="8">
        <v>202102</v>
      </c>
      <c r="J428" s="8" t="s">
        <v>7015</v>
      </c>
      <c r="K428" s="52">
        <f t="shared" si="71"/>
        <v>44214</v>
      </c>
      <c r="L428" s="52">
        <f t="shared" si="72"/>
        <v>44220</v>
      </c>
      <c r="M428" s="55" t="str">
        <f t="shared" si="73"/>
        <v>18/01/21 @ 
24/01/21</v>
      </c>
    </row>
    <row r="429" spans="2:13" ht="24" x14ac:dyDescent="0.25">
      <c r="B429" s="51">
        <f t="shared" si="78"/>
        <v>427</v>
      </c>
      <c r="C429" s="52">
        <f t="shared" si="78"/>
        <v>44221</v>
      </c>
      <c r="D429" s="53">
        <f t="shared" si="70"/>
        <v>44221</v>
      </c>
      <c r="E429" s="54">
        <f t="shared" si="79"/>
        <v>62</v>
      </c>
      <c r="F429" s="54">
        <f t="shared" si="79"/>
        <v>5</v>
      </c>
      <c r="G429" s="8">
        <v>202101</v>
      </c>
      <c r="H429" s="8" t="s">
        <v>7014</v>
      </c>
      <c r="I429" s="8">
        <v>202102</v>
      </c>
      <c r="J429" s="8" t="s">
        <v>7015</v>
      </c>
      <c r="K429" s="52">
        <f t="shared" si="71"/>
        <v>44221</v>
      </c>
      <c r="L429" s="52">
        <f t="shared" si="72"/>
        <v>44227</v>
      </c>
      <c r="M429" s="55" t="str">
        <f t="shared" si="73"/>
        <v>25/01/21 @ 
31/01/21</v>
      </c>
    </row>
    <row r="430" spans="2:13" ht="24" x14ac:dyDescent="0.25">
      <c r="B430" s="51">
        <f t="shared" si="78"/>
        <v>428</v>
      </c>
      <c r="C430" s="52">
        <f t="shared" si="78"/>
        <v>44222</v>
      </c>
      <c r="D430" s="53">
        <f t="shared" si="70"/>
        <v>44222</v>
      </c>
      <c r="E430" s="54">
        <f t="shared" si="79"/>
        <v>62</v>
      </c>
      <c r="F430" s="54">
        <f t="shared" si="79"/>
        <v>5</v>
      </c>
      <c r="G430" s="8">
        <v>202101</v>
      </c>
      <c r="H430" s="8" t="s">
        <v>7014</v>
      </c>
      <c r="I430" s="8">
        <v>202102</v>
      </c>
      <c r="J430" s="8" t="s">
        <v>7015</v>
      </c>
      <c r="K430" s="52">
        <f t="shared" si="71"/>
        <v>44221</v>
      </c>
      <c r="L430" s="52">
        <f t="shared" si="72"/>
        <v>44227</v>
      </c>
      <c r="M430" s="55" t="str">
        <f t="shared" si="73"/>
        <v>25/01/21 @ 
31/01/21</v>
      </c>
    </row>
    <row r="431" spans="2:13" ht="24" x14ac:dyDescent="0.25">
      <c r="B431" s="51">
        <f t="shared" si="78"/>
        <v>429</v>
      </c>
      <c r="C431" s="52">
        <f t="shared" si="78"/>
        <v>44223</v>
      </c>
      <c r="D431" s="53">
        <f t="shared" si="70"/>
        <v>44223</v>
      </c>
      <c r="E431" s="54">
        <f t="shared" si="79"/>
        <v>62</v>
      </c>
      <c r="F431" s="54">
        <f t="shared" si="79"/>
        <v>5</v>
      </c>
      <c r="G431" s="8">
        <v>202101</v>
      </c>
      <c r="H431" s="8" t="s">
        <v>7014</v>
      </c>
      <c r="I431" s="8">
        <v>202102</v>
      </c>
      <c r="J431" s="8" t="s">
        <v>7015</v>
      </c>
      <c r="K431" s="52">
        <f t="shared" si="71"/>
        <v>44221</v>
      </c>
      <c r="L431" s="52">
        <f t="shared" si="72"/>
        <v>44227</v>
      </c>
      <c r="M431" s="55" t="str">
        <f t="shared" si="73"/>
        <v>25/01/21 @ 
31/01/21</v>
      </c>
    </row>
    <row r="432" spans="2:13" ht="24" x14ac:dyDescent="0.25">
      <c r="B432" s="51">
        <f t="shared" si="78"/>
        <v>430</v>
      </c>
      <c r="C432" s="52">
        <f t="shared" si="78"/>
        <v>44224</v>
      </c>
      <c r="D432" s="53">
        <f t="shared" si="70"/>
        <v>44224</v>
      </c>
      <c r="E432" s="54">
        <f t="shared" si="79"/>
        <v>62</v>
      </c>
      <c r="F432" s="54">
        <f t="shared" si="79"/>
        <v>5</v>
      </c>
      <c r="G432" s="8">
        <v>202101</v>
      </c>
      <c r="H432" s="8" t="s">
        <v>7014</v>
      </c>
      <c r="I432" s="8">
        <v>202102</v>
      </c>
      <c r="J432" s="8" t="s">
        <v>7015</v>
      </c>
      <c r="K432" s="52">
        <f t="shared" si="71"/>
        <v>44221</v>
      </c>
      <c r="L432" s="52">
        <f t="shared" si="72"/>
        <v>44227</v>
      </c>
      <c r="M432" s="55" t="str">
        <f t="shared" si="73"/>
        <v>25/01/21 @ 
31/01/21</v>
      </c>
    </row>
    <row r="433" spans="2:13" ht="24" x14ac:dyDescent="0.25">
      <c r="B433" s="51">
        <f t="shared" si="78"/>
        <v>431</v>
      </c>
      <c r="C433" s="52">
        <f t="shared" si="78"/>
        <v>44225</v>
      </c>
      <c r="D433" s="53">
        <f t="shared" si="70"/>
        <v>44225</v>
      </c>
      <c r="E433" s="54">
        <f t="shared" si="79"/>
        <v>62</v>
      </c>
      <c r="F433" s="54">
        <f t="shared" si="79"/>
        <v>5</v>
      </c>
      <c r="G433" s="8">
        <v>202101</v>
      </c>
      <c r="H433" s="8" t="s">
        <v>7014</v>
      </c>
      <c r="I433" s="8">
        <v>202102</v>
      </c>
      <c r="J433" s="8" t="s">
        <v>7015</v>
      </c>
      <c r="K433" s="52">
        <f t="shared" si="71"/>
        <v>44221</v>
      </c>
      <c r="L433" s="52">
        <f t="shared" si="72"/>
        <v>44227</v>
      </c>
      <c r="M433" s="55" t="str">
        <f t="shared" si="73"/>
        <v>25/01/21 @ 
31/01/21</v>
      </c>
    </row>
    <row r="434" spans="2:13" ht="24" x14ac:dyDescent="0.25">
      <c r="B434" s="51">
        <f t="shared" si="78"/>
        <v>432</v>
      </c>
      <c r="C434" s="52">
        <f t="shared" si="78"/>
        <v>44226</v>
      </c>
      <c r="D434" s="53">
        <f t="shared" si="70"/>
        <v>44226</v>
      </c>
      <c r="E434" s="54">
        <f t="shared" si="79"/>
        <v>62</v>
      </c>
      <c r="F434" s="54">
        <f t="shared" si="79"/>
        <v>5</v>
      </c>
      <c r="G434" s="8">
        <v>202101</v>
      </c>
      <c r="H434" s="8" t="s">
        <v>7014</v>
      </c>
      <c r="I434" s="8">
        <v>202102</v>
      </c>
      <c r="J434" s="8" t="s">
        <v>7015</v>
      </c>
      <c r="K434" s="52">
        <f t="shared" si="71"/>
        <v>44221</v>
      </c>
      <c r="L434" s="52">
        <f t="shared" si="72"/>
        <v>44227</v>
      </c>
      <c r="M434" s="55" t="str">
        <f t="shared" si="73"/>
        <v>25/01/21 @ 
31/01/21</v>
      </c>
    </row>
    <row r="435" spans="2:13" ht="24" x14ac:dyDescent="0.25">
      <c r="B435" s="51">
        <f t="shared" si="78"/>
        <v>433</v>
      </c>
      <c r="C435" s="52">
        <f t="shared" si="78"/>
        <v>44227</v>
      </c>
      <c r="D435" s="53">
        <f t="shared" si="70"/>
        <v>44227</v>
      </c>
      <c r="E435" s="54">
        <f t="shared" si="79"/>
        <v>62</v>
      </c>
      <c r="F435" s="54">
        <f t="shared" si="79"/>
        <v>5</v>
      </c>
      <c r="G435" s="8">
        <v>202101</v>
      </c>
      <c r="H435" s="8" t="s">
        <v>7014</v>
      </c>
      <c r="I435" s="8">
        <v>202102</v>
      </c>
      <c r="J435" s="8" t="s">
        <v>7015</v>
      </c>
      <c r="K435" s="52">
        <f t="shared" si="71"/>
        <v>44221</v>
      </c>
      <c r="L435" s="52">
        <f t="shared" si="72"/>
        <v>44227</v>
      </c>
      <c r="M435" s="55" t="str">
        <f t="shared" si="73"/>
        <v>25/01/21 @ 
31/01/21</v>
      </c>
    </row>
    <row r="436" spans="2:13" ht="24" x14ac:dyDescent="0.25">
      <c r="B436" s="51">
        <f t="shared" si="78"/>
        <v>434</v>
      </c>
      <c r="C436" s="52">
        <f t="shared" si="78"/>
        <v>44228</v>
      </c>
      <c r="D436" s="53">
        <f t="shared" si="70"/>
        <v>44228</v>
      </c>
      <c r="E436" s="54">
        <f t="shared" si="79"/>
        <v>63</v>
      </c>
      <c r="F436" s="54">
        <f t="shared" si="79"/>
        <v>6</v>
      </c>
      <c r="G436" s="8">
        <v>202102</v>
      </c>
      <c r="H436" s="8" t="s">
        <v>7015</v>
      </c>
      <c r="I436" s="8">
        <v>202102</v>
      </c>
      <c r="J436" s="8" t="s">
        <v>7015</v>
      </c>
      <c r="K436" s="52">
        <f t="shared" si="71"/>
        <v>44228</v>
      </c>
      <c r="L436" s="52">
        <f t="shared" si="72"/>
        <v>44234</v>
      </c>
      <c r="M436" s="55" t="str">
        <f t="shared" si="73"/>
        <v>01/02/21 @ 
07/02/21</v>
      </c>
    </row>
    <row r="437" spans="2:13" ht="24" x14ac:dyDescent="0.25">
      <c r="B437" s="51">
        <f t="shared" ref="B437:C452" si="80">+B436+1</f>
        <v>435</v>
      </c>
      <c r="C437" s="52">
        <f t="shared" si="80"/>
        <v>44229</v>
      </c>
      <c r="D437" s="53">
        <f t="shared" si="70"/>
        <v>44229</v>
      </c>
      <c r="E437" s="54">
        <f t="shared" si="79"/>
        <v>63</v>
      </c>
      <c r="F437" s="54">
        <f t="shared" si="79"/>
        <v>6</v>
      </c>
      <c r="G437" s="8">
        <v>202102</v>
      </c>
      <c r="H437" s="8" t="s">
        <v>7015</v>
      </c>
      <c r="I437" s="8">
        <v>202102</v>
      </c>
      <c r="J437" s="8" t="s">
        <v>7015</v>
      </c>
      <c r="K437" s="52">
        <f t="shared" si="71"/>
        <v>44228</v>
      </c>
      <c r="L437" s="52">
        <f t="shared" si="72"/>
        <v>44234</v>
      </c>
      <c r="M437" s="55" t="str">
        <f t="shared" si="73"/>
        <v>01/02/21 @ 
07/02/21</v>
      </c>
    </row>
    <row r="438" spans="2:13" ht="24" x14ac:dyDescent="0.25">
      <c r="B438" s="51">
        <f t="shared" si="80"/>
        <v>436</v>
      </c>
      <c r="C438" s="52">
        <f t="shared" si="80"/>
        <v>44230</v>
      </c>
      <c r="D438" s="53">
        <f t="shared" si="70"/>
        <v>44230</v>
      </c>
      <c r="E438" s="54">
        <f t="shared" si="79"/>
        <v>63</v>
      </c>
      <c r="F438" s="54">
        <f t="shared" si="79"/>
        <v>6</v>
      </c>
      <c r="G438" s="8">
        <v>202102</v>
      </c>
      <c r="H438" s="8" t="s">
        <v>7015</v>
      </c>
      <c r="I438" s="8">
        <v>202102</v>
      </c>
      <c r="J438" s="8" t="s">
        <v>7015</v>
      </c>
      <c r="K438" s="52">
        <f t="shared" si="71"/>
        <v>44228</v>
      </c>
      <c r="L438" s="52">
        <f t="shared" si="72"/>
        <v>44234</v>
      </c>
      <c r="M438" s="55" t="str">
        <f t="shared" si="73"/>
        <v>01/02/21 @ 
07/02/21</v>
      </c>
    </row>
    <row r="439" spans="2:13" ht="24" x14ac:dyDescent="0.25">
      <c r="B439" s="51">
        <f t="shared" si="80"/>
        <v>437</v>
      </c>
      <c r="C439" s="52">
        <f t="shared" si="80"/>
        <v>44231</v>
      </c>
      <c r="D439" s="53">
        <f t="shared" si="70"/>
        <v>44231</v>
      </c>
      <c r="E439" s="54">
        <f t="shared" si="79"/>
        <v>63</v>
      </c>
      <c r="F439" s="54">
        <f t="shared" si="79"/>
        <v>6</v>
      </c>
      <c r="G439" s="8">
        <v>202102</v>
      </c>
      <c r="H439" s="8" t="s">
        <v>7015</v>
      </c>
      <c r="I439" s="8">
        <v>202102</v>
      </c>
      <c r="J439" s="8" t="s">
        <v>7015</v>
      </c>
      <c r="K439" s="52">
        <f t="shared" si="71"/>
        <v>44228</v>
      </c>
      <c r="L439" s="52">
        <f t="shared" si="72"/>
        <v>44234</v>
      </c>
      <c r="M439" s="55" t="str">
        <f t="shared" si="73"/>
        <v>01/02/21 @ 
07/02/21</v>
      </c>
    </row>
    <row r="440" spans="2:13" ht="24" x14ac:dyDescent="0.25">
      <c r="B440" s="51">
        <f t="shared" si="80"/>
        <v>438</v>
      </c>
      <c r="C440" s="52">
        <f t="shared" si="80"/>
        <v>44232</v>
      </c>
      <c r="D440" s="53">
        <f t="shared" si="70"/>
        <v>44232</v>
      </c>
      <c r="E440" s="54">
        <f t="shared" si="79"/>
        <v>63</v>
      </c>
      <c r="F440" s="54">
        <f t="shared" si="79"/>
        <v>6</v>
      </c>
      <c r="G440" s="8">
        <v>202102</v>
      </c>
      <c r="H440" s="8" t="s">
        <v>7015</v>
      </c>
      <c r="I440" s="8">
        <v>202102</v>
      </c>
      <c r="J440" s="8" t="s">
        <v>7015</v>
      </c>
      <c r="K440" s="52">
        <f t="shared" si="71"/>
        <v>44228</v>
      </c>
      <c r="L440" s="52">
        <f t="shared" si="72"/>
        <v>44234</v>
      </c>
      <c r="M440" s="55" t="str">
        <f t="shared" si="73"/>
        <v>01/02/21 @ 
07/02/21</v>
      </c>
    </row>
    <row r="441" spans="2:13" ht="24" x14ac:dyDescent="0.25">
      <c r="B441" s="51">
        <f t="shared" si="80"/>
        <v>439</v>
      </c>
      <c r="C441" s="52">
        <f t="shared" si="80"/>
        <v>44233</v>
      </c>
      <c r="D441" s="53">
        <f t="shared" si="70"/>
        <v>44233</v>
      </c>
      <c r="E441" s="54">
        <f t="shared" si="79"/>
        <v>63</v>
      </c>
      <c r="F441" s="54">
        <f t="shared" si="79"/>
        <v>6</v>
      </c>
      <c r="G441" s="8">
        <v>202102</v>
      </c>
      <c r="H441" s="8" t="s">
        <v>7015</v>
      </c>
      <c r="I441" s="8">
        <v>202102</v>
      </c>
      <c r="J441" s="8" t="s">
        <v>7015</v>
      </c>
      <c r="K441" s="52">
        <f t="shared" si="71"/>
        <v>44228</v>
      </c>
      <c r="L441" s="52">
        <f t="shared" si="72"/>
        <v>44234</v>
      </c>
      <c r="M441" s="55" t="str">
        <f t="shared" si="73"/>
        <v>01/02/21 @ 
07/02/21</v>
      </c>
    </row>
    <row r="442" spans="2:13" ht="24" x14ac:dyDescent="0.25">
      <c r="B442" s="51">
        <f t="shared" si="80"/>
        <v>440</v>
      </c>
      <c r="C442" s="52">
        <f t="shared" si="80"/>
        <v>44234</v>
      </c>
      <c r="D442" s="53">
        <f t="shared" si="70"/>
        <v>44234</v>
      </c>
      <c r="E442" s="54">
        <f t="shared" ref="E442:F457" si="81">+E435+1</f>
        <v>63</v>
      </c>
      <c r="F442" s="54">
        <f t="shared" si="81"/>
        <v>6</v>
      </c>
      <c r="G442" s="8">
        <v>202102</v>
      </c>
      <c r="H442" s="8" t="s">
        <v>7015</v>
      </c>
      <c r="I442" s="8">
        <v>202102</v>
      </c>
      <c r="J442" s="8" t="s">
        <v>7015</v>
      </c>
      <c r="K442" s="52">
        <f t="shared" si="71"/>
        <v>44228</v>
      </c>
      <c r="L442" s="52">
        <f t="shared" si="72"/>
        <v>44234</v>
      </c>
      <c r="M442" s="55" t="str">
        <f t="shared" si="73"/>
        <v>01/02/21 @ 
07/02/21</v>
      </c>
    </row>
    <row r="443" spans="2:13" ht="24" x14ac:dyDescent="0.25">
      <c r="B443" s="51">
        <f t="shared" si="80"/>
        <v>441</v>
      </c>
      <c r="C443" s="52">
        <f t="shared" si="80"/>
        <v>44235</v>
      </c>
      <c r="D443" s="53">
        <f t="shared" si="70"/>
        <v>44235</v>
      </c>
      <c r="E443" s="54">
        <f t="shared" si="81"/>
        <v>64</v>
      </c>
      <c r="F443" s="54">
        <f t="shared" si="81"/>
        <v>7</v>
      </c>
      <c r="G443" s="8">
        <v>202102</v>
      </c>
      <c r="H443" s="8" t="s">
        <v>7015</v>
      </c>
      <c r="I443" s="8">
        <v>202102</v>
      </c>
      <c r="J443" s="8" t="s">
        <v>7015</v>
      </c>
      <c r="K443" s="52">
        <f t="shared" si="71"/>
        <v>44235</v>
      </c>
      <c r="L443" s="52">
        <f t="shared" si="72"/>
        <v>44241</v>
      </c>
      <c r="M443" s="55" t="str">
        <f t="shared" si="73"/>
        <v>08/02/21 @ 
14/02/21</v>
      </c>
    </row>
    <row r="444" spans="2:13" ht="24" x14ac:dyDescent="0.25">
      <c r="B444" s="51">
        <f t="shared" si="80"/>
        <v>442</v>
      </c>
      <c r="C444" s="52">
        <f t="shared" si="80"/>
        <v>44236</v>
      </c>
      <c r="D444" s="53">
        <f t="shared" si="70"/>
        <v>44236</v>
      </c>
      <c r="E444" s="54">
        <f t="shared" si="81"/>
        <v>64</v>
      </c>
      <c r="F444" s="54">
        <f t="shared" si="81"/>
        <v>7</v>
      </c>
      <c r="G444" s="8">
        <v>202102</v>
      </c>
      <c r="H444" s="8" t="s">
        <v>7015</v>
      </c>
      <c r="I444" s="8">
        <v>202102</v>
      </c>
      <c r="J444" s="8" t="s">
        <v>7015</v>
      </c>
      <c r="K444" s="52">
        <f t="shared" si="71"/>
        <v>44235</v>
      </c>
      <c r="L444" s="52">
        <f t="shared" si="72"/>
        <v>44241</v>
      </c>
      <c r="M444" s="55" t="str">
        <f t="shared" si="73"/>
        <v>08/02/21 @ 
14/02/21</v>
      </c>
    </row>
    <row r="445" spans="2:13" ht="24" x14ac:dyDescent="0.25">
      <c r="B445" s="51">
        <f t="shared" si="80"/>
        <v>443</v>
      </c>
      <c r="C445" s="52">
        <f t="shared" si="80"/>
        <v>44237</v>
      </c>
      <c r="D445" s="53">
        <f t="shared" si="70"/>
        <v>44237</v>
      </c>
      <c r="E445" s="54">
        <f t="shared" si="81"/>
        <v>64</v>
      </c>
      <c r="F445" s="54">
        <f t="shared" si="81"/>
        <v>7</v>
      </c>
      <c r="G445" s="8">
        <v>202102</v>
      </c>
      <c r="H445" s="8" t="s">
        <v>7015</v>
      </c>
      <c r="I445" s="8">
        <v>202102</v>
      </c>
      <c r="J445" s="8" t="s">
        <v>7015</v>
      </c>
      <c r="K445" s="52">
        <f t="shared" si="71"/>
        <v>44235</v>
      </c>
      <c r="L445" s="52">
        <f t="shared" si="72"/>
        <v>44241</v>
      </c>
      <c r="M445" s="55" t="str">
        <f t="shared" si="73"/>
        <v>08/02/21 @ 
14/02/21</v>
      </c>
    </row>
    <row r="446" spans="2:13" ht="24" x14ac:dyDescent="0.25">
      <c r="B446" s="51">
        <f t="shared" si="80"/>
        <v>444</v>
      </c>
      <c r="C446" s="52">
        <f t="shared" si="80"/>
        <v>44238</v>
      </c>
      <c r="D446" s="53">
        <f t="shared" si="70"/>
        <v>44238</v>
      </c>
      <c r="E446" s="54">
        <f t="shared" si="81"/>
        <v>64</v>
      </c>
      <c r="F446" s="54">
        <f t="shared" si="81"/>
        <v>7</v>
      </c>
      <c r="G446" s="8">
        <v>202102</v>
      </c>
      <c r="H446" s="8" t="s">
        <v>7015</v>
      </c>
      <c r="I446" s="8">
        <v>202102</v>
      </c>
      <c r="J446" s="8" t="s">
        <v>7015</v>
      </c>
      <c r="K446" s="52">
        <f t="shared" si="71"/>
        <v>44235</v>
      </c>
      <c r="L446" s="52">
        <f t="shared" si="72"/>
        <v>44241</v>
      </c>
      <c r="M446" s="55" t="str">
        <f t="shared" si="73"/>
        <v>08/02/21 @ 
14/02/21</v>
      </c>
    </row>
    <row r="447" spans="2:13" ht="24" x14ac:dyDescent="0.25">
      <c r="B447" s="51">
        <f t="shared" si="80"/>
        <v>445</v>
      </c>
      <c r="C447" s="52">
        <f t="shared" si="80"/>
        <v>44239</v>
      </c>
      <c r="D447" s="53">
        <f t="shared" si="70"/>
        <v>44239</v>
      </c>
      <c r="E447" s="54">
        <f t="shared" si="81"/>
        <v>64</v>
      </c>
      <c r="F447" s="54">
        <f t="shared" si="81"/>
        <v>7</v>
      </c>
      <c r="G447" s="8">
        <v>202102</v>
      </c>
      <c r="H447" s="8" t="s">
        <v>7015</v>
      </c>
      <c r="I447" s="8">
        <v>202102</v>
      </c>
      <c r="J447" s="8" t="s">
        <v>7015</v>
      </c>
      <c r="K447" s="52">
        <f t="shared" si="71"/>
        <v>44235</v>
      </c>
      <c r="L447" s="52">
        <f t="shared" si="72"/>
        <v>44241</v>
      </c>
      <c r="M447" s="55" t="str">
        <f t="shared" si="73"/>
        <v>08/02/21 @ 
14/02/21</v>
      </c>
    </row>
    <row r="448" spans="2:13" ht="24" x14ac:dyDescent="0.25">
      <c r="B448" s="51">
        <f t="shared" si="80"/>
        <v>446</v>
      </c>
      <c r="C448" s="52">
        <f t="shared" si="80"/>
        <v>44240</v>
      </c>
      <c r="D448" s="53">
        <f t="shared" si="70"/>
        <v>44240</v>
      </c>
      <c r="E448" s="54">
        <f t="shared" si="81"/>
        <v>64</v>
      </c>
      <c r="F448" s="54">
        <f t="shared" si="81"/>
        <v>7</v>
      </c>
      <c r="G448" s="8">
        <v>202102</v>
      </c>
      <c r="H448" s="8" t="s">
        <v>7015</v>
      </c>
      <c r="I448" s="8">
        <v>202102</v>
      </c>
      <c r="J448" s="8" t="s">
        <v>7015</v>
      </c>
      <c r="K448" s="52">
        <f t="shared" si="71"/>
        <v>44235</v>
      </c>
      <c r="L448" s="52">
        <f t="shared" si="72"/>
        <v>44241</v>
      </c>
      <c r="M448" s="55" t="str">
        <f t="shared" si="73"/>
        <v>08/02/21 @ 
14/02/21</v>
      </c>
    </row>
    <row r="449" spans="2:13" ht="24" x14ac:dyDescent="0.25">
      <c r="B449" s="51">
        <f t="shared" si="80"/>
        <v>447</v>
      </c>
      <c r="C449" s="52">
        <f t="shared" si="80"/>
        <v>44241</v>
      </c>
      <c r="D449" s="53">
        <f t="shared" si="70"/>
        <v>44241</v>
      </c>
      <c r="E449" s="54">
        <f t="shared" si="81"/>
        <v>64</v>
      </c>
      <c r="F449" s="54">
        <f t="shared" si="81"/>
        <v>7</v>
      </c>
      <c r="G449" s="8">
        <v>202102</v>
      </c>
      <c r="H449" s="8" t="s">
        <v>7015</v>
      </c>
      <c r="I449" s="8">
        <v>202102</v>
      </c>
      <c r="J449" s="8" t="s">
        <v>7015</v>
      </c>
      <c r="K449" s="52">
        <f t="shared" si="71"/>
        <v>44235</v>
      </c>
      <c r="L449" s="52">
        <f t="shared" si="72"/>
        <v>44241</v>
      </c>
      <c r="M449" s="55" t="str">
        <f t="shared" si="73"/>
        <v>08/02/21 @ 
14/02/21</v>
      </c>
    </row>
    <row r="450" spans="2:13" ht="24" x14ac:dyDescent="0.25">
      <c r="B450" s="51">
        <f t="shared" si="80"/>
        <v>448</v>
      </c>
      <c r="C450" s="52">
        <f t="shared" si="80"/>
        <v>44242</v>
      </c>
      <c r="D450" s="53">
        <f t="shared" si="70"/>
        <v>44242</v>
      </c>
      <c r="E450" s="54">
        <f t="shared" si="81"/>
        <v>65</v>
      </c>
      <c r="F450" s="54">
        <f t="shared" si="81"/>
        <v>8</v>
      </c>
      <c r="G450" s="8">
        <v>202102</v>
      </c>
      <c r="H450" s="8" t="s">
        <v>7015</v>
      </c>
      <c r="I450" s="8">
        <v>202102</v>
      </c>
      <c r="J450" s="8" t="s">
        <v>7015</v>
      </c>
      <c r="K450" s="52">
        <f t="shared" si="71"/>
        <v>44242</v>
      </c>
      <c r="L450" s="52">
        <f t="shared" si="72"/>
        <v>44248</v>
      </c>
      <c r="M450" s="55" t="str">
        <f t="shared" si="73"/>
        <v>15/02/21 @ 
21/02/21</v>
      </c>
    </row>
    <row r="451" spans="2:13" ht="24" x14ac:dyDescent="0.25">
      <c r="B451" s="51">
        <f t="shared" si="80"/>
        <v>449</v>
      </c>
      <c r="C451" s="52">
        <f t="shared" si="80"/>
        <v>44243</v>
      </c>
      <c r="D451" s="53">
        <f t="shared" ref="D451:D514" si="82">+C451</f>
        <v>44243</v>
      </c>
      <c r="E451" s="54">
        <f t="shared" si="81"/>
        <v>65</v>
      </c>
      <c r="F451" s="54">
        <f t="shared" si="81"/>
        <v>8</v>
      </c>
      <c r="G451" s="8">
        <v>202102</v>
      </c>
      <c r="H451" s="8" t="s">
        <v>7015</v>
      </c>
      <c r="I451" s="8">
        <v>202102</v>
      </c>
      <c r="J451" s="8" t="s">
        <v>7015</v>
      </c>
      <c r="K451" s="52">
        <f t="shared" ref="K451:K514" si="83">_xlfn.MINIFS($C$2:$C$890,$E$2:$E$890,E451)</f>
        <v>44242</v>
      </c>
      <c r="L451" s="52">
        <f t="shared" ref="L451:L514" si="84">_xlfn.MAXIFS($C$2:$C$890,$E$2:$E$890,E451)</f>
        <v>44248</v>
      </c>
      <c r="M451" s="55" t="str">
        <f t="shared" ref="M451:M514" si="85">CONCATENATE(TEXT(K451,"DD/MM/YY")," @ ",CHAR(10),TEXT(L451,"DD/MM/YY"))</f>
        <v>15/02/21 @ 
21/02/21</v>
      </c>
    </row>
    <row r="452" spans="2:13" ht="24" x14ac:dyDescent="0.25">
      <c r="B452" s="51">
        <f t="shared" si="80"/>
        <v>450</v>
      </c>
      <c r="C452" s="52">
        <f t="shared" si="80"/>
        <v>44244</v>
      </c>
      <c r="D452" s="53">
        <f t="shared" si="82"/>
        <v>44244</v>
      </c>
      <c r="E452" s="54">
        <f t="shared" si="81"/>
        <v>65</v>
      </c>
      <c r="F452" s="54">
        <f t="shared" si="81"/>
        <v>8</v>
      </c>
      <c r="G452" s="8">
        <v>202102</v>
      </c>
      <c r="H452" s="8" t="s">
        <v>7015</v>
      </c>
      <c r="I452" s="8">
        <v>202102</v>
      </c>
      <c r="J452" s="8" t="s">
        <v>7015</v>
      </c>
      <c r="K452" s="52">
        <f t="shared" si="83"/>
        <v>44242</v>
      </c>
      <c r="L452" s="52">
        <f t="shared" si="84"/>
        <v>44248</v>
      </c>
      <c r="M452" s="55" t="str">
        <f t="shared" si="85"/>
        <v>15/02/21 @ 
21/02/21</v>
      </c>
    </row>
    <row r="453" spans="2:13" ht="24" x14ac:dyDescent="0.25">
      <c r="B453" s="51">
        <f t="shared" ref="B453:C468" si="86">+B452+1</f>
        <v>451</v>
      </c>
      <c r="C453" s="52">
        <f t="shared" si="86"/>
        <v>44245</v>
      </c>
      <c r="D453" s="53">
        <f t="shared" si="82"/>
        <v>44245</v>
      </c>
      <c r="E453" s="54">
        <f t="shared" si="81"/>
        <v>65</v>
      </c>
      <c r="F453" s="54">
        <f t="shared" si="81"/>
        <v>8</v>
      </c>
      <c r="G453" s="8">
        <v>202102</v>
      </c>
      <c r="H453" s="8" t="s">
        <v>7015</v>
      </c>
      <c r="I453" s="8">
        <v>202102</v>
      </c>
      <c r="J453" s="8" t="s">
        <v>7015</v>
      </c>
      <c r="K453" s="52">
        <f t="shared" si="83"/>
        <v>44242</v>
      </c>
      <c r="L453" s="52">
        <f t="shared" si="84"/>
        <v>44248</v>
      </c>
      <c r="M453" s="55" t="str">
        <f t="shared" si="85"/>
        <v>15/02/21 @ 
21/02/21</v>
      </c>
    </row>
    <row r="454" spans="2:13" ht="24" x14ac:dyDescent="0.25">
      <c r="B454" s="51">
        <f t="shared" si="86"/>
        <v>452</v>
      </c>
      <c r="C454" s="52">
        <f t="shared" si="86"/>
        <v>44246</v>
      </c>
      <c r="D454" s="53">
        <f t="shared" si="82"/>
        <v>44246</v>
      </c>
      <c r="E454" s="54">
        <f t="shared" si="81"/>
        <v>65</v>
      </c>
      <c r="F454" s="54">
        <f t="shared" si="81"/>
        <v>8</v>
      </c>
      <c r="G454" s="8">
        <v>202102</v>
      </c>
      <c r="H454" s="8" t="s">
        <v>7015</v>
      </c>
      <c r="I454" s="8">
        <v>202102</v>
      </c>
      <c r="J454" s="8" t="s">
        <v>7015</v>
      </c>
      <c r="K454" s="52">
        <f t="shared" si="83"/>
        <v>44242</v>
      </c>
      <c r="L454" s="52">
        <f t="shared" si="84"/>
        <v>44248</v>
      </c>
      <c r="M454" s="55" t="str">
        <f t="shared" si="85"/>
        <v>15/02/21 @ 
21/02/21</v>
      </c>
    </row>
    <row r="455" spans="2:13" ht="24" x14ac:dyDescent="0.25">
      <c r="B455" s="51">
        <f t="shared" si="86"/>
        <v>453</v>
      </c>
      <c r="C455" s="52">
        <f t="shared" si="86"/>
        <v>44247</v>
      </c>
      <c r="D455" s="53">
        <f t="shared" si="82"/>
        <v>44247</v>
      </c>
      <c r="E455" s="54">
        <f t="shared" si="81"/>
        <v>65</v>
      </c>
      <c r="F455" s="54">
        <f t="shared" si="81"/>
        <v>8</v>
      </c>
      <c r="G455" s="8">
        <v>202102</v>
      </c>
      <c r="H455" s="8" t="s">
        <v>7015</v>
      </c>
      <c r="I455" s="8">
        <v>202102</v>
      </c>
      <c r="J455" s="8" t="s">
        <v>7015</v>
      </c>
      <c r="K455" s="52">
        <f t="shared" si="83"/>
        <v>44242</v>
      </c>
      <c r="L455" s="52">
        <f t="shared" si="84"/>
        <v>44248</v>
      </c>
      <c r="M455" s="55" t="str">
        <f t="shared" si="85"/>
        <v>15/02/21 @ 
21/02/21</v>
      </c>
    </row>
    <row r="456" spans="2:13" ht="24" x14ac:dyDescent="0.25">
      <c r="B456" s="51">
        <f t="shared" si="86"/>
        <v>454</v>
      </c>
      <c r="C456" s="52">
        <f t="shared" si="86"/>
        <v>44248</v>
      </c>
      <c r="D456" s="53">
        <f t="shared" si="82"/>
        <v>44248</v>
      </c>
      <c r="E456" s="54">
        <f t="shared" si="81"/>
        <v>65</v>
      </c>
      <c r="F456" s="54">
        <f t="shared" si="81"/>
        <v>8</v>
      </c>
      <c r="G456" s="8">
        <v>202102</v>
      </c>
      <c r="H456" s="8" t="s">
        <v>7015</v>
      </c>
      <c r="I456" s="8">
        <v>202103</v>
      </c>
      <c r="J456" s="8" t="s">
        <v>7016</v>
      </c>
      <c r="K456" s="52">
        <f t="shared" si="83"/>
        <v>44242</v>
      </c>
      <c r="L456" s="52">
        <f t="shared" si="84"/>
        <v>44248</v>
      </c>
      <c r="M456" s="55" t="str">
        <f t="shared" si="85"/>
        <v>15/02/21 @ 
21/02/21</v>
      </c>
    </row>
    <row r="457" spans="2:13" ht="24" x14ac:dyDescent="0.25">
      <c r="B457" s="51">
        <f t="shared" si="86"/>
        <v>455</v>
      </c>
      <c r="C457" s="52">
        <f t="shared" si="86"/>
        <v>44249</v>
      </c>
      <c r="D457" s="53">
        <f t="shared" si="82"/>
        <v>44249</v>
      </c>
      <c r="E457" s="54">
        <f t="shared" si="81"/>
        <v>66</v>
      </c>
      <c r="F457" s="54">
        <f t="shared" si="81"/>
        <v>9</v>
      </c>
      <c r="G457" s="8">
        <v>202102</v>
      </c>
      <c r="H457" s="8" t="s">
        <v>7015</v>
      </c>
      <c r="I457" s="8">
        <v>202103</v>
      </c>
      <c r="J457" s="8" t="s">
        <v>7016</v>
      </c>
      <c r="K457" s="52">
        <f t="shared" si="83"/>
        <v>44249</v>
      </c>
      <c r="L457" s="52">
        <f t="shared" si="84"/>
        <v>44255</v>
      </c>
      <c r="M457" s="55" t="str">
        <f t="shared" si="85"/>
        <v>22/02/21 @ 
28/02/21</v>
      </c>
    </row>
    <row r="458" spans="2:13" ht="24" x14ac:dyDescent="0.25">
      <c r="B458" s="51">
        <f t="shared" si="86"/>
        <v>456</v>
      </c>
      <c r="C458" s="52">
        <f t="shared" si="86"/>
        <v>44250</v>
      </c>
      <c r="D458" s="53">
        <f t="shared" si="82"/>
        <v>44250</v>
      </c>
      <c r="E458" s="54">
        <f t="shared" ref="E458:F473" si="87">+E451+1</f>
        <v>66</v>
      </c>
      <c r="F458" s="54">
        <f t="shared" si="87"/>
        <v>9</v>
      </c>
      <c r="G458" s="8">
        <v>202102</v>
      </c>
      <c r="H458" s="8" t="s">
        <v>7015</v>
      </c>
      <c r="I458" s="8">
        <v>202103</v>
      </c>
      <c r="J458" s="8" t="s">
        <v>7016</v>
      </c>
      <c r="K458" s="52">
        <f t="shared" si="83"/>
        <v>44249</v>
      </c>
      <c r="L458" s="52">
        <f t="shared" si="84"/>
        <v>44255</v>
      </c>
      <c r="M458" s="55" t="str">
        <f t="shared" si="85"/>
        <v>22/02/21 @ 
28/02/21</v>
      </c>
    </row>
    <row r="459" spans="2:13" ht="24" x14ac:dyDescent="0.25">
      <c r="B459" s="51">
        <f t="shared" si="86"/>
        <v>457</v>
      </c>
      <c r="C459" s="52">
        <f t="shared" si="86"/>
        <v>44251</v>
      </c>
      <c r="D459" s="53">
        <f t="shared" si="82"/>
        <v>44251</v>
      </c>
      <c r="E459" s="54">
        <f t="shared" si="87"/>
        <v>66</v>
      </c>
      <c r="F459" s="54">
        <f t="shared" si="87"/>
        <v>9</v>
      </c>
      <c r="G459" s="8">
        <v>202102</v>
      </c>
      <c r="H459" s="8" t="s">
        <v>7015</v>
      </c>
      <c r="I459" s="8">
        <v>202103</v>
      </c>
      <c r="J459" s="8" t="s">
        <v>7016</v>
      </c>
      <c r="K459" s="52">
        <f t="shared" si="83"/>
        <v>44249</v>
      </c>
      <c r="L459" s="52">
        <f t="shared" si="84"/>
        <v>44255</v>
      </c>
      <c r="M459" s="55" t="str">
        <f t="shared" si="85"/>
        <v>22/02/21 @ 
28/02/21</v>
      </c>
    </row>
    <row r="460" spans="2:13" ht="24" x14ac:dyDescent="0.25">
      <c r="B460" s="51">
        <f t="shared" si="86"/>
        <v>458</v>
      </c>
      <c r="C460" s="52">
        <f t="shared" si="86"/>
        <v>44252</v>
      </c>
      <c r="D460" s="53">
        <f t="shared" si="82"/>
        <v>44252</v>
      </c>
      <c r="E460" s="54">
        <f t="shared" si="87"/>
        <v>66</v>
      </c>
      <c r="F460" s="54">
        <f t="shared" si="87"/>
        <v>9</v>
      </c>
      <c r="G460" s="8">
        <v>202102</v>
      </c>
      <c r="H460" s="8" t="s">
        <v>7015</v>
      </c>
      <c r="I460" s="8">
        <v>202103</v>
      </c>
      <c r="J460" s="8" t="s">
        <v>7016</v>
      </c>
      <c r="K460" s="52">
        <f t="shared" si="83"/>
        <v>44249</v>
      </c>
      <c r="L460" s="52">
        <f t="shared" si="84"/>
        <v>44255</v>
      </c>
      <c r="M460" s="55" t="str">
        <f t="shared" si="85"/>
        <v>22/02/21 @ 
28/02/21</v>
      </c>
    </row>
    <row r="461" spans="2:13" ht="24" x14ac:dyDescent="0.25">
      <c r="B461" s="51">
        <f t="shared" si="86"/>
        <v>459</v>
      </c>
      <c r="C461" s="52">
        <f t="shared" si="86"/>
        <v>44253</v>
      </c>
      <c r="D461" s="53">
        <f t="shared" si="82"/>
        <v>44253</v>
      </c>
      <c r="E461" s="54">
        <f t="shared" si="87"/>
        <v>66</v>
      </c>
      <c r="F461" s="54">
        <f t="shared" si="87"/>
        <v>9</v>
      </c>
      <c r="G461" s="8">
        <v>202102</v>
      </c>
      <c r="H461" s="8" t="s">
        <v>7015</v>
      </c>
      <c r="I461" s="8">
        <v>202103</v>
      </c>
      <c r="J461" s="8" t="s">
        <v>7016</v>
      </c>
      <c r="K461" s="52">
        <f t="shared" si="83"/>
        <v>44249</v>
      </c>
      <c r="L461" s="52">
        <f t="shared" si="84"/>
        <v>44255</v>
      </c>
      <c r="M461" s="55" t="str">
        <f t="shared" si="85"/>
        <v>22/02/21 @ 
28/02/21</v>
      </c>
    </row>
    <row r="462" spans="2:13" ht="24" x14ac:dyDescent="0.25">
      <c r="B462" s="51">
        <f t="shared" si="86"/>
        <v>460</v>
      </c>
      <c r="C462" s="52">
        <f t="shared" si="86"/>
        <v>44254</v>
      </c>
      <c r="D462" s="53">
        <f t="shared" si="82"/>
        <v>44254</v>
      </c>
      <c r="E462" s="54">
        <f t="shared" si="87"/>
        <v>66</v>
      </c>
      <c r="F462" s="54">
        <f t="shared" si="87"/>
        <v>9</v>
      </c>
      <c r="G462" s="8">
        <v>202102</v>
      </c>
      <c r="H462" s="8" t="s">
        <v>7015</v>
      </c>
      <c r="I462" s="8">
        <v>202103</v>
      </c>
      <c r="J462" s="8" t="s">
        <v>7016</v>
      </c>
      <c r="K462" s="52">
        <f t="shared" si="83"/>
        <v>44249</v>
      </c>
      <c r="L462" s="52">
        <f t="shared" si="84"/>
        <v>44255</v>
      </c>
      <c r="M462" s="55" t="str">
        <f t="shared" si="85"/>
        <v>22/02/21 @ 
28/02/21</v>
      </c>
    </row>
    <row r="463" spans="2:13" ht="24" x14ac:dyDescent="0.25">
      <c r="B463" s="51">
        <f t="shared" si="86"/>
        <v>461</v>
      </c>
      <c r="C463" s="52">
        <f t="shared" si="86"/>
        <v>44255</v>
      </c>
      <c r="D463" s="53">
        <f t="shared" si="82"/>
        <v>44255</v>
      </c>
      <c r="E463" s="54">
        <f t="shared" si="87"/>
        <v>66</v>
      </c>
      <c r="F463" s="54">
        <f t="shared" si="87"/>
        <v>9</v>
      </c>
      <c r="G463" s="8">
        <v>202102</v>
      </c>
      <c r="H463" s="8" t="s">
        <v>7015</v>
      </c>
      <c r="I463" s="8">
        <v>202103</v>
      </c>
      <c r="J463" s="8" t="s">
        <v>7016</v>
      </c>
      <c r="K463" s="52">
        <f t="shared" si="83"/>
        <v>44249</v>
      </c>
      <c r="L463" s="52">
        <f t="shared" si="84"/>
        <v>44255</v>
      </c>
      <c r="M463" s="55" t="str">
        <f t="shared" si="85"/>
        <v>22/02/21 @ 
28/02/21</v>
      </c>
    </row>
    <row r="464" spans="2:13" ht="24" x14ac:dyDescent="0.25">
      <c r="B464" s="51">
        <f t="shared" si="86"/>
        <v>462</v>
      </c>
      <c r="C464" s="52">
        <f t="shared" si="86"/>
        <v>44256</v>
      </c>
      <c r="D464" s="53">
        <f t="shared" si="82"/>
        <v>44256</v>
      </c>
      <c r="E464" s="54">
        <f t="shared" si="87"/>
        <v>67</v>
      </c>
      <c r="F464" s="54">
        <f t="shared" si="87"/>
        <v>10</v>
      </c>
      <c r="G464" s="8">
        <v>202103</v>
      </c>
      <c r="H464" s="8" t="s">
        <v>7016</v>
      </c>
      <c r="I464" s="8">
        <v>202103</v>
      </c>
      <c r="J464" s="8" t="s">
        <v>7016</v>
      </c>
      <c r="K464" s="52">
        <f t="shared" si="83"/>
        <v>44256</v>
      </c>
      <c r="L464" s="52">
        <f t="shared" si="84"/>
        <v>44262</v>
      </c>
      <c r="M464" s="55" t="str">
        <f t="shared" si="85"/>
        <v>01/03/21 @ 
07/03/21</v>
      </c>
    </row>
    <row r="465" spans="2:13" ht="24" x14ac:dyDescent="0.25">
      <c r="B465" s="51">
        <f t="shared" si="86"/>
        <v>463</v>
      </c>
      <c r="C465" s="52">
        <f t="shared" si="86"/>
        <v>44257</v>
      </c>
      <c r="D465" s="53">
        <f t="shared" si="82"/>
        <v>44257</v>
      </c>
      <c r="E465" s="54">
        <f t="shared" si="87"/>
        <v>67</v>
      </c>
      <c r="F465" s="54">
        <f t="shared" si="87"/>
        <v>10</v>
      </c>
      <c r="G465" s="8">
        <v>202103</v>
      </c>
      <c r="H465" s="8" t="s">
        <v>7016</v>
      </c>
      <c r="I465" s="8">
        <v>202103</v>
      </c>
      <c r="J465" s="8" t="s">
        <v>7016</v>
      </c>
      <c r="K465" s="52">
        <f t="shared" si="83"/>
        <v>44256</v>
      </c>
      <c r="L465" s="52">
        <f t="shared" si="84"/>
        <v>44262</v>
      </c>
      <c r="M465" s="55" t="str">
        <f t="shared" si="85"/>
        <v>01/03/21 @ 
07/03/21</v>
      </c>
    </row>
    <row r="466" spans="2:13" ht="24" x14ac:dyDescent="0.25">
      <c r="B466" s="51">
        <f t="shared" si="86"/>
        <v>464</v>
      </c>
      <c r="C466" s="52">
        <f t="shared" si="86"/>
        <v>44258</v>
      </c>
      <c r="D466" s="53">
        <f t="shared" si="82"/>
        <v>44258</v>
      </c>
      <c r="E466" s="54">
        <f t="shared" si="87"/>
        <v>67</v>
      </c>
      <c r="F466" s="54">
        <f t="shared" si="87"/>
        <v>10</v>
      </c>
      <c r="G466" s="8">
        <v>202103</v>
      </c>
      <c r="H466" s="8" t="s">
        <v>7016</v>
      </c>
      <c r="I466" s="8">
        <v>202103</v>
      </c>
      <c r="J466" s="8" t="s">
        <v>7016</v>
      </c>
      <c r="K466" s="52">
        <f t="shared" si="83"/>
        <v>44256</v>
      </c>
      <c r="L466" s="52">
        <f t="shared" si="84"/>
        <v>44262</v>
      </c>
      <c r="M466" s="55" t="str">
        <f t="shared" si="85"/>
        <v>01/03/21 @ 
07/03/21</v>
      </c>
    </row>
    <row r="467" spans="2:13" ht="24" x14ac:dyDescent="0.25">
      <c r="B467" s="51">
        <f t="shared" si="86"/>
        <v>465</v>
      </c>
      <c r="C467" s="52">
        <f t="shared" si="86"/>
        <v>44259</v>
      </c>
      <c r="D467" s="53">
        <f t="shared" si="82"/>
        <v>44259</v>
      </c>
      <c r="E467" s="54">
        <f t="shared" si="87"/>
        <v>67</v>
      </c>
      <c r="F467" s="54">
        <f t="shared" si="87"/>
        <v>10</v>
      </c>
      <c r="G467" s="8">
        <v>202103</v>
      </c>
      <c r="H467" s="8" t="s">
        <v>7016</v>
      </c>
      <c r="I467" s="8">
        <v>202103</v>
      </c>
      <c r="J467" s="8" t="s">
        <v>7016</v>
      </c>
      <c r="K467" s="52">
        <f t="shared" si="83"/>
        <v>44256</v>
      </c>
      <c r="L467" s="52">
        <f t="shared" si="84"/>
        <v>44262</v>
      </c>
      <c r="M467" s="55" t="str">
        <f t="shared" si="85"/>
        <v>01/03/21 @ 
07/03/21</v>
      </c>
    </row>
    <row r="468" spans="2:13" ht="24" x14ac:dyDescent="0.25">
      <c r="B468" s="51">
        <f t="shared" si="86"/>
        <v>466</v>
      </c>
      <c r="C468" s="52">
        <f t="shared" si="86"/>
        <v>44260</v>
      </c>
      <c r="D468" s="53">
        <f t="shared" si="82"/>
        <v>44260</v>
      </c>
      <c r="E468" s="54">
        <f t="shared" si="87"/>
        <v>67</v>
      </c>
      <c r="F468" s="54">
        <f t="shared" si="87"/>
        <v>10</v>
      </c>
      <c r="G468" s="8">
        <v>202103</v>
      </c>
      <c r="H468" s="8" t="s">
        <v>7016</v>
      </c>
      <c r="I468" s="8">
        <v>202103</v>
      </c>
      <c r="J468" s="8" t="s">
        <v>7016</v>
      </c>
      <c r="K468" s="52">
        <f t="shared" si="83"/>
        <v>44256</v>
      </c>
      <c r="L468" s="52">
        <f t="shared" si="84"/>
        <v>44262</v>
      </c>
      <c r="M468" s="55" t="str">
        <f t="shared" si="85"/>
        <v>01/03/21 @ 
07/03/21</v>
      </c>
    </row>
    <row r="469" spans="2:13" ht="24" x14ac:dyDescent="0.25">
      <c r="B469" s="51">
        <f t="shared" ref="B469:C484" si="88">+B468+1</f>
        <v>467</v>
      </c>
      <c r="C469" s="52">
        <f t="shared" si="88"/>
        <v>44261</v>
      </c>
      <c r="D469" s="53">
        <f t="shared" si="82"/>
        <v>44261</v>
      </c>
      <c r="E469" s="54">
        <f t="shared" si="87"/>
        <v>67</v>
      </c>
      <c r="F469" s="54">
        <f t="shared" si="87"/>
        <v>10</v>
      </c>
      <c r="G469" s="8">
        <v>202103</v>
      </c>
      <c r="H469" s="8" t="s">
        <v>7016</v>
      </c>
      <c r="I469" s="8">
        <v>202103</v>
      </c>
      <c r="J469" s="8" t="s">
        <v>7016</v>
      </c>
      <c r="K469" s="52">
        <f t="shared" si="83"/>
        <v>44256</v>
      </c>
      <c r="L469" s="52">
        <f t="shared" si="84"/>
        <v>44262</v>
      </c>
      <c r="M469" s="55" t="str">
        <f t="shared" si="85"/>
        <v>01/03/21 @ 
07/03/21</v>
      </c>
    </row>
    <row r="470" spans="2:13" ht="24" x14ac:dyDescent="0.25">
      <c r="B470" s="51">
        <f t="shared" si="88"/>
        <v>468</v>
      </c>
      <c r="C470" s="52">
        <f t="shared" si="88"/>
        <v>44262</v>
      </c>
      <c r="D470" s="53">
        <f t="shared" si="82"/>
        <v>44262</v>
      </c>
      <c r="E470" s="54">
        <f t="shared" si="87"/>
        <v>67</v>
      </c>
      <c r="F470" s="54">
        <f t="shared" si="87"/>
        <v>10</v>
      </c>
      <c r="G470" s="8">
        <v>202103</v>
      </c>
      <c r="H470" s="8" t="s">
        <v>7016</v>
      </c>
      <c r="I470" s="8">
        <v>202103</v>
      </c>
      <c r="J470" s="8" t="s">
        <v>7016</v>
      </c>
      <c r="K470" s="52">
        <f t="shared" si="83"/>
        <v>44256</v>
      </c>
      <c r="L470" s="52">
        <f t="shared" si="84"/>
        <v>44262</v>
      </c>
      <c r="M470" s="55" t="str">
        <f t="shared" si="85"/>
        <v>01/03/21 @ 
07/03/21</v>
      </c>
    </row>
    <row r="471" spans="2:13" ht="24" x14ac:dyDescent="0.25">
      <c r="B471" s="51">
        <f t="shared" si="88"/>
        <v>469</v>
      </c>
      <c r="C471" s="52">
        <f t="shared" si="88"/>
        <v>44263</v>
      </c>
      <c r="D471" s="53">
        <f t="shared" si="82"/>
        <v>44263</v>
      </c>
      <c r="E471" s="54">
        <f t="shared" si="87"/>
        <v>68</v>
      </c>
      <c r="F471" s="54">
        <f t="shared" si="87"/>
        <v>11</v>
      </c>
      <c r="G471" s="8">
        <v>202103</v>
      </c>
      <c r="H471" s="8" t="s">
        <v>7016</v>
      </c>
      <c r="I471" s="8">
        <v>202103</v>
      </c>
      <c r="J471" s="8" t="s">
        <v>7016</v>
      </c>
      <c r="K471" s="52">
        <f t="shared" si="83"/>
        <v>44263</v>
      </c>
      <c r="L471" s="52">
        <f t="shared" si="84"/>
        <v>44269</v>
      </c>
      <c r="M471" s="55" t="str">
        <f t="shared" si="85"/>
        <v>08/03/21 @ 
14/03/21</v>
      </c>
    </row>
    <row r="472" spans="2:13" ht="24" x14ac:dyDescent="0.25">
      <c r="B472" s="51">
        <f t="shared" si="88"/>
        <v>470</v>
      </c>
      <c r="C472" s="52">
        <f t="shared" si="88"/>
        <v>44264</v>
      </c>
      <c r="D472" s="53">
        <f t="shared" si="82"/>
        <v>44264</v>
      </c>
      <c r="E472" s="54">
        <f t="shared" si="87"/>
        <v>68</v>
      </c>
      <c r="F472" s="54">
        <f t="shared" si="87"/>
        <v>11</v>
      </c>
      <c r="G472" s="8">
        <v>202103</v>
      </c>
      <c r="H472" s="8" t="s">
        <v>7016</v>
      </c>
      <c r="I472" s="8">
        <v>202103</v>
      </c>
      <c r="J472" s="8" t="s">
        <v>7016</v>
      </c>
      <c r="K472" s="52">
        <f t="shared" si="83"/>
        <v>44263</v>
      </c>
      <c r="L472" s="52">
        <f t="shared" si="84"/>
        <v>44269</v>
      </c>
      <c r="M472" s="55" t="str">
        <f t="shared" si="85"/>
        <v>08/03/21 @ 
14/03/21</v>
      </c>
    </row>
    <row r="473" spans="2:13" ht="24" x14ac:dyDescent="0.25">
      <c r="B473" s="51">
        <f t="shared" si="88"/>
        <v>471</v>
      </c>
      <c r="C473" s="52">
        <f t="shared" si="88"/>
        <v>44265</v>
      </c>
      <c r="D473" s="53">
        <f t="shared" si="82"/>
        <v>44265</v>
      </c>
      <c r="E473" s="54">
        <f t="shared" si="87"/>
        <v>68</v>
      </c>
      <c r="F473" s="54">
        <f t="shared" si="87"/>
        <v>11</v>
      </c>
      <c r="G473" s="8">
        <v>202103</v>
      </c>
      <c r="H473" s="8" t="s">
        <v>7016</v>
      </c>
      <c r="I473" s="8">
        <v>202103</v>
      </c>
      <c r="J473" s="8" t="s">
        <v>7016</v>
      </c>
      <c r="K473" s="52">
        <f t="shared" si="83"/>
        <v>44263</v>
      </c>
      <c r="L473" s="52">
        <f t="shared" si="84"/>
        <v>44269</v>
      </c>
      <c r="M473" s="55" t="str">
        <f t="shared" si="85"/>
        <v>08/03/21 @ 
14/03/21</v>
      </c>
    </row>
    <row r="474" spans="2:13" ht="24" x14ac:dyDescent="0.25">
      <c r="B474" s="51">
        <f t="shared" si="88"/>
        <v>472</v>
      </c>
      <c r="C474" s="52">
        <f t="shared" si="88"/>
        <v>44266</v>
      </c>
      <c r="D474" s="53">
        <f t="shared" si="82"/>
        <v>44266</v>
      </c>
      <c r="E474" s="54">
        <f t="shared" ref="E474:F489" si="89">+E467+1</f>
        <v>68</v>
      </c>
      <c r="F474" s="54">
        <f t="shared" si="89"/>
        <v>11</v>
      </c>
      <c r="G474" s="8">
        <v>202103</v>
      </c>
      <c r="H474" s="8" t="s">
        <v>7016</v>
      </c>
      <c r="I474" s="8">
        <v>202103</v>
      </c>
      <c r="J474" s="8" t="s">
        <v>7016</v>
      </c>
      <c r="K474" s="52">
        <f t="shared" si="83"/>
        <v>44263</v>
      </c>
      <c r="L474" s="52">
        <f t="shared" si="84"/>
        <v>44269</v>
      </c>
      <c r="M474" s="55" t="str">
        <f t="shared" si="85"/>
        <v>08/03/21 @ 
14/03/21</v>
      </c>
    </row>
    <row r="475" spans="2:13" ht="24" x14ac:dyDescent="0.25">
      <c r="B475" s="51">
        <f t="shared" si="88"/>
        <v>473</v>
      </c>
      <c r="C475" s="52">
        <f t="shared" si="88"/>
        <v>44267</v>
      </c>
      <c r="D475" s="53">
        <f t="shared" si="82"/>
        <v>44267</v>
      </c>
      <c r="E475" s="54">
        <f t="shared" si="89"/>
        <v>68</v>
      </c>
      <c r="F475" s="54">
        <f t="shared" si="89"/>
        <v>11</v>
      </c>
      <c r="G475" s="8">
        <v>202103</v>
      </c>
      <c r="H475" s="8" t="s">
        <v>7016</v>
      </c>
      <c r="I475" s="8">
        <v>202103</v>
      </c>
      <c r="J475" s="8" t="s">
        <v>7016</v>
      </c>
      <c r="K475" s="52">
        <f t="shared" si="83"/>
        <v>44263</v>
      </c>
      <c r="L475" s="52">
        <f t="shared" si="84"/>
        <v>44269</v>
      </c>
      <c r="M475" s="55" t="str">
        <f t="shared" si="85"/>
        <v>08/03/21 @ 
14/03/21</v>
      </c>
    </row>
    <row r="476" spans="2:13" ht="24" x14ac:dyDescent="0.25">
      <c r="B476" s="51">
        <f t="shared" si="88"/>
        <v>474</v>
      </c>
      <c r="C476" s="52">
        <f t="shared" si="88"/>
        <v>44268</v>
      </c>
      <c r="D476" s="53">
        <f t="shared" si="82"/>
        <v>44268</v>
      </c>
      <c r="E476" s="54">
        <f t="shared" si="89"/>
        <v>68</v>
      </c>
      <c r="F476" s="54">
        <f t="shared" si="89"/>
        <v>11</v>
      </c>
      <c r="G476" s="8">
        <v>202103</v>
      </c>
      <c r="H476" s="8" t="s">
        <v>7016</v>
      </c>
      <c r="I476" s="8">
        <v>202103</v>
      </c>
      <c r="J476" s="8" t="s">
        <v>7016</v>
      </c>
      <c r="K476" s="52">
        <f t="shared" si="83"/>
        <v>44263</v>
      </c>
      <c r="L476" s="52">
        <f t="shared" si="84"/>
        <v>44269</v>
      </c>
      <c r="M476" s="55" t="str">
        <f t="shared" si="85"/>
        <v>08/03/21 @ 
14/03/21</v>
      </c>
    </row>
    <row r="477" spans="2:13" ht="24" x14ac:dyDescent="0.25">
      <c r="B477" s="51">
        <f t="shared" si="88"/>
        <v>475</v>
      </c>
      <c r="C477" s="52">
        <f t="shared" si="88"/>
        <v>44269</v>
      </c>
      <c r="D477" s="53">
        <f t="shared" si="82"/>
        <v>44269</v>
      </c>
      <c r="E477" s="54">
        <f t="shared" si="89"/>
        <v>68</v>
      </c>
      <c r="F477" s="54">
        <f t="shared" si="89"/>
        <v>11</v>
      </c>
      <c r="G477" s="8">
        <v>202103</v>
      </c>
      <c r="H477" s="8" t="s">
        <v>7016</v>
      </c>
      <c r="I477" s="8">
        <v>202103</v>
      </c>
      <c r="J477" s="8" t="s">
        <v>7016</v>
      </c>
      <c r="K477" s="52">
        <f t="shared" si="83"/>
        <v>44263</v>
      </c>
      <c r="L477" s="52">
        <f t="shared" si="84"/>
        <v>44269</v>
      </c>
      <c r="M477" s="55" t="str">
        <f t="shared" si="85"/>
        <v>08/03/21 @ 
14/03/21</v>
      </c>
    </row>
    <row r="478" spans="2:13" ht="24" x14ac:dyDescent="0.25">
      <c r="B478" s="51">
        <f t="shared" si="88"/>
        <v>476</v>
      </c>
      <c r="C478" s="52">
        <f t="shared" si="88"/>
        <v>44270</v>
      </c>
      <c r="D478" s="53">
        <f t="shared" si="82"/>
        <v>44270</v>
      </c>
      <c r="E478" s="54">
        <f t="shared" si="89"/>
        <v>69</v>
      </c>
      <c r="F478" s="54">
        <f t="shared" si="89"/>
        <v>12</v>
      </c>
      <c r="G478" s="8">
        <v>202103</v>
      </c>
      <c r="H478" s="8" t="s">
        <v>7016</v>
      </c>
      <c r="I478" s="8">
        <v>202103</v>
      </c>
      <c r="J478" s="8" t="s">
        <v>7016</v>
      </c>
      <c r="K478" s="52">
        <f t="shared" si="83"/>
        <v>44270</v>
      </c>
      <c r="L478" s="52">
        <f t="shared" si="84"/>
        <v>44276</v>
      </c>
      <c r="M478" s="55" t="str">
        <f t="shared" si="85"/>
        <v>15/03/21 @ 
21/03/21</v>
      </c>
    </row>
    <row r="479" spans="2:13" ht="24" x14ac:dyDescent="0.25">
      <c r="B479" s="51">
        <f t="shared" si="88"/>
        <v>477</v>
      </c>
      <c r="C479" s="52">
        <f t="shared" si="88"/>
        <v>44271</v>
      </c>
      <c r="D479" s="53">
        <f t="shared" si="82"/>
        <v>44271</v>
      </c>
      <c r="E479" s="54">
        <f t="shared" si="89"/>
        <v>69</v>
      </c>
      <c r="F479" s="54">
        <f t="shared" si="89"/>
        <v>12</v>
      </c>
      <c r="G479" s="8">
        <v>202103</v>
      </c>
      <c r="H479" s="8" t="s">
        <v>7016</v>
      </c>
      <c r="I479" s="8">
        <v>202103</v>
      </c>
      <c r="J479" s="8" t="s">
        <v>7016</v>
      </c>
      <c r="K479" s="52">
        <f t="shared" si="83"/>
        <v>44270</v>
      </c>
      <c r="L479" s="52">
        <f t="shared" si="84"/>
        <v>44276</v>
      </c>
      <c r="M479" s="55" t="str">
        <f t="shared" si="85"/>
        <v>15/03/21 @ 
21/03/21</v>
      </c>
    </row>
    <row r="480" spans="2:13" ht="24" x14ac:dyDescent="0.25">
      <c r="B480" s="51">
        <f t="shared" si="88"/>
        <v>478</v>
      </c>
      <c r="C480" s="52">
        <f t="shared" si="88"/>
        <v>44272</v>
      </c>
      <c r="D480" s="53">
        <f t="shared" si="82"/>
        <v>44272</v>
      </c>
      <c r="E480" s="54">
        <f t="shared" si="89"/>
        <v>69</v>
      </c>
      <c r="F480" s="54">
        <f t="shared" si="89"/>
        <v>12</v>
      </c>
      <c r="G480" s="8">
        <v>202103</v>
      </c>
      <c r="H480" s="8" t="s">
        <v>7016</v>
      </c>
      <c r="I480" s="8">
        <v>202103</v>
      </c>
      <c r="J480" s="8" t="s">
        <v>7016</v>
      </c>
      <c r="K480" s="52">
        <f t="shared" si="83"/>
        <v>44270</v>
      </c>
      <c r="L480" s="52">
        <f t="shared" si="84"/>
        <v>44276</v>
      </c>
      <c r="M480" s="55" t="str">
        <f t="shared" si="85"/>
        <v>15/03/21 @ 
21/03/21</v>
      </c>
    </row>
    <row r="481" spans="2:13" ht="24" x14ac:dyDescent="0.25">
      <c r="B481" s="51">
        <f t="shared" si="88"/>
        <v>479</v>
      </c>
      <c r="C481" s="52">
        <f t="shared" si="88"/>
        <v>44273</v>
      </c>
      <c r="D481" s="53">
        <f t="shared" si="82"/>
        <v>44273</v>
      </c>
      <c r="E481" s="54">
        <f t="shared" si="89"/>
        <v>69</v>
      </c>
      <c r="F481" s="54">
        <f t="shared" si="89"/>
        <v>12</v>
      </c>
      <c r="G481" s="8">
        <v>202103</v>
      </c>
      <c r="H481" s="8" t="s">
        <v>7016</v>
      </c>
      <c r="I481" s="8">
        <v>202103</v>
      </c>
      <c r="J481" s="8" t="s">
        <v>7016</v>
      </c>
      <c r="K481" s="52">
        <f t="shared" si="83"/>
        <v>44270</v>
      </c>
      <c r="L481" s="52">
        <f t="shared" si="84"/>
        <v>44276</v>
      </c>
      <c r="M481" s="55" t="str">
        <f t="shared" si="85"/>
        <v>15/03/21 @ 
21/03/21</v>
      </c>
    </row>
    <row r="482" spans="2:13" ht="24" x14ac:dyDescent="0.25">
      <c r="B482" s="51">
        <f t="shared" si="88"/>
        <v>480</v>
      </c>
      <c r="C482" s="52">
        <f t="shared" si="88"/>
        <v>44274</v>
      </c>
      <c r="D482" s="53">
        <f t="shared" si="82"/>
        <v>44274</v>
      </c>
      <c r="E482" s="54">
        <f t="shared" si="89"/>
        <v>69</v>
      </c>
      <c r="F482" s="54">
        <f t="shared" si="89"/>
        <v>12</v>
      </c>
      <c r="G482" s="8">
        <v>202103</v>
      </c>
      <c r="H482" s="8" t="s">
        <v>7016</v>
      </c>
      <c r="I482" s="8">
        <v>202103</v>
      </c>
      <c r="J482" s="8" t="s">
        <v>7016</v>
      </c>
      <c r="K482" s="52">
        <f t="shared" si="83"/>
        <v>44270</v>
      </c>
      <c r="L482" s="52">
        <f t="shared" si="84"/>
        <v>44276</v>
      </c>
      <c r="M482" s="55" t="str">
        <f t="shared" si="85"/>
        <v>15/03/21 @ 
21/03/21</v>
      </c>
    </row>
    <row r="483" spans="2:13" ht="24" x14ac:dyDescent="0.25">
      <c r="B483" s="51">
        <f t="shared" si="88"/>
        <v>481</v>
      </c>
      <c r="C483" s="52">
        <f t="shared" si="88"/>
        <v>44275</v>
      </c>
      <c r="D483" s="53">
        <f t="shared" si="82"/>
        <v>44275</v>
      </c>
      <c r="E483" s="54">
        <f t="shared" si="89"/>
        <v>69</v>
      </c>
      <c r="F483" s="54">
        <f t="shared" si="89"/>
        <v>12</v>
      </c>
      <c r="G483" s="8">
        <v>202103</v>
      </c>
      <c r="H483" s="8" t="s">
        <v>7016</v>
      </c>
      <c r="I483" s="8">
        <v>202103</v>
      </c>
      <c r="J483" s="8" t="s">
        <v>7016</v>
      </c>
      <c r="K483" s="52">
        <f t="shared" si="83"/>
        <v>44270</v>
      </c>
      <c r="L483" s="52">
        <f t="shared" si="84"/>
        <v>44276</v>
      </c>
      <c r="M483" s="55" t="str">
        <f t="shared" si="85"/>
        <v>15/03/21 @ 
21/03/21</v>
      </c>
    </row>
    <row r="484" spans="2:13" ht="24" x14ac:dyDescent="0.25">
      <c r="B484" s="51">
        <f t="shared" si="88"/>
        <v>482</v>
      </c>
      <c r="C484" s="52">
        <f t="shared" si="88"/>
        <v>44276</v>
      </c>
      <c r="D484" s="53">
        <f t="shared" si="82"/>
        <v>44276</v>
      </c>
      <c r="E484" s="54">
        <f t="shared" si="89"/>
        <v>69</v>
      </c>
      <c r="F484" s="54">
        <f t="shared" si="89"/>
        <v>12</v>
      </c>
      <c r="G484" s="8">
        <v>202103</v>
      </c>
      <c r="H484" s="8" t="s">
        <v>7016</v>
      </c>
      <c r="I484" s="8">
        <v>202104</v>
      </c>
      <c r="J484" s="8" t="s">
        <v>7017</v>
      </c>
      <c r="K484" s="52">
        <f t="shared" si="83"/>
        <v>44270</v>
      </c>
      <c r="L484" s="52">
        <f t="shared" si="84"/>
        <v>44276</v>
      </c>
      <c r="M484" s="55" t="str">
        <f t="shared" si="85"/>
        <v>15/03/21 @ 
21/03/21</v>
      </c>
    </row>
    <row r="485" spans="2:13" ht="24" x14ac:dyDescent="0.25">
      <c r="B485" s="51">
        <f t="shared" ref="B485:C500" si="90">+B484+1</f>
        <v>483</v>
      </c>
      <c r="C485" s="52">
        <f t="shared" si="90"/>
        <v>44277</v>
      </c>
      <c r="D485" s="53">
        <f t="shared" si="82"/>
        <v>44277</v>
      </c>
      <c r="E485" s="54">
        <f t="shared" si="89"/>
        <v>70</v>
      </c>
      <c r="F485" s="54">
        <f t="shared" si="89"/>
        <v>13</v>
      </c>
      <c r="G485" s="8">
        <v>202103</v>
      </c>
      <c r="H485" s="8" t="s">
        <v>7016</v>
      </c>
      <c r="I485" s="8">
        <v>202104</v>
      </c>
      <c r="J485" s="8" t="s">
        <v>7017</v>
      </c>
      <c r="K485" s="52">
        <f t="shared" si="83"/>
        <v>44277</v>
      </c>
      <c r="L485" s="52">
        <f t="shared" si="84"/>
        <v>44283</v>
      </c>
      <c r="M485" s="55" t="str">
        <f t="shared" si="85"/>
        <v>22/03/21 @ 
28/03/21</v>
      </c>
    </row>
    <row r="486" spans="2:13" ht="24" x14ac:dyDescent="0.25">
      <c r="B486" s="51">
        <f t="shared" si="90"/>
        <v>484</v>
      </c>
      <c r="C486" s="52">
        <f t="shared" si="90"/>
        <v>44278</v>
      </c>
      <c r="D486" s="53">
        <f t="shared" si="82"/>
        <v>44278</v>
      </c>
      <c r="E486" s="54">
        <f t="shared" si="89"/>
        <v>70</v>
      </c>
      <c r="F486" s="54">
        <f t="shared" si="89"/>
        <v>13</v>
      </c>
      <c r="G486" s="8">
        <v>202103</v>
      </c>
      <c r="H486" s="8" t="s">
        <v>7016</v>
      </c>
      <c r="I486" s="8">
        <v>202104</v>
      </c>
      <c r="J486" s="8" t="s">
        <v>7017</v>
      </c>
      <c r="K486" s="52">
        <f t="shared" si="83"/>
        <v>44277</v>
      </c>
      <c r="L486" s="52">
        <f t="shared" si="84"/>
        <v>44283</v>
      </c>
      <c r="M486" s="55" t="str">
        <f t="shared" si="85"/>
        <v>22/03/21 @ 
28/03/21</v>
      </c>
    </row>
    <row r="487" spans="2:13" ht="24" x14ac:dyDescent="0.25">
      <c r="B487" s="51">
        <f t="shared" si="90"/>
        <v>485</v>
      </c>
      <c r="C487" s="52">
        <f t="shared" si="90"/>
        <v>44279</v>
      </c>
      <c r="D487" s="53">
        <f t="shared" si="82"/>
        <v>44279</v>
      </c>
      <c r="E487" s="54">
        <f t="shared" si="89"/>
        <v>70</v>
      </c>
      <c r="F487" s="54">
        <f t="shared" si="89"/>
        <v>13</v>
      </c>
      <c r="G487" s="8">
        <v>202103</v>
      </c>
      <c r="H487" s="8" t="s">
        <v>7016</v>
      </c>
      <c r="I487" s="8">
        <v>202104</v>
      </c>
      <c r="J487" s="8" t="s">
        <v>7017</v>
      </c>
      <c r="K487" s="52">
        <f t="shared" si="83"/>
        <v>44277</v>
      </c>
      <c r="L487" s="52">
        <f t="shared" si="84"/>
        <v>44283</v>
      </c>
      <c r="M487" s="55" t="str">
        <f t="shared" si="85"/>
        <v>22/03/21 @ 
28/03/21</v>
      </c>
    </row>
    <row r="488" spans="2:13" ht="24" x14ac:dyDescent="0.25">
      <c r="B488" s="51">
        <f t="shared" si="90"/>
        <v>486</v>
      </c>
      <c r="C488" s="52">
        <f t="shared" si="90"/>
        <v>44280</v>
      </c>
      <c r="D488" s="53">
        <f t="shared" si="82"/>
        <v>44280</v>
      </c>
      <c r="E488" s="54">
        <f t="shared" si="89"/>
        <v>70</v>
      </c>
      <c r="F488" s="54">
        <f t="shared" si="89"/>
        <v>13</v>
      </c>
      <c r="G488" s="8">
        <v>202103</v>
      </c>
      <c r="H488" s="8" t="s">
        <v>7016</v>
      </c>
      <c r="I488" s="8">
        <v>202104</v>
      </c>
      <c r="J488" s="8" t="s">
        <v>7017</v>
      </c>
      <c r="K488" s="52">
        <f t="shared" si="83"/>
        <v>44277</v>
      </c>
      <c r="L488" s="52">
        <f t="shared" si="84"/>
        <v>44283</v>
      </c>
      <c r="M488" s="55" t="str">
        <f t="shared" si="85"/>
        <v>22/03/21 @ 
28/03/21</v>
      </c>
    </row>
    <row r="489" spans="2:13" ht="24" x14ac:dyDescent="0.25">
      <c r="B489" s="51">
        <f t="shared" si="90"/>
        <v>487</v>
      </c>
      <c r="C489" s="52">
        <f t="shared" si="90"/>
        <v>44281</v>
      </c>
      <c r="D489" s="53">
        <f t="shared" si="82"/>
        <v>44281</v>
      </c>
      <c r="E489" s="54">
        <f t="shared" si="89"/>
        <v>70</v>
      </c>
      <c r="F489" s="54">
        <f t="shared" si="89"/>
        <v>13</v>
      </c>
      <c r="G489" s="8">
        <v>202103</v>
      </c>
      <c r="H489" s="8" t="s">
        <v>7016</v>
      </c>
      <c r="I489" s="8">
        <v>202104</v>
      </c>
      <c r="J489" s="8" t="s">
        <v>7017</v>
      </c>
      <c r="K489" s="52">
        <f t="shared" si="83"/>
        <v>44277</v>
      </c>
      <c r="L489" s="52">
        <f t="shared" si="84"/>
        <v>44283</v>
      </c>
      <c r="M489" s="55" t="str">
        <f t="shared" si="85"/>
        <v>22/03/21 @ 
28/03/21</v>
      </c>
    </row>
    <row r="490" spans="2:13" ht="24" x14ac:dyDescent="0.25">
      <c r="B490" s="51">
        <f t="shared" si="90"/>
        <v>488</v>
      </c>
      <c r="C490" s="52">
        <f t="shared" si="90"/>
        <v>44282</v>
      </c>
      <c r="D490" s="53">
        <f t="shared" si="82"/>
        <v>44282</v>
      </c>
      <c r="E490" s="54">
        <f t="shared" ref="E490:F505" si="91">+E483+1</f>
        <v>70</v>
      </c>
      <c r="F490" s="54">
        <f t="shared" si="91"/>
        <v>13</v>
      </c>
      <c r="G490" s="8">
        <v>202103</v>
      </c>
      <c r="H490" s="8" t="s">
        <v>7016</v>
      </c>
      <c r="I490" s="8">
        <v>202104</v>
      </c>
      <c r="J490" s="8" t="s">
        <v>7017</v>
      </c>
      <c r="K490" s="52">
        <f t="shared" si="83"/>
        <v>44277</v>
      </c>
      <c r="L490" s="52">
        <f t="shared" si="84"/>
        <v>44283</v>
      </c>
      <c r="M490" s="55" t="str">
        <f t="shared" si="85"/>
        <v>22/03/21 @ 
28/03/21</v>
      </c>
    </row>
    <row r="491" spans="2:13" ht="24" x14ac:dyDescent="0.25">
      <c r="B491" s="51">
        <f t="shared" si="90"/>
        <v>489</v>
      </c>
      <c r="C491" s="52">
        <f t="shared" si="90"/>
        <v>44283</v>
      </c>
      <c r="D491" s="53">
        <f t="shared" si="82"/>
        <v>44283</v>
      </c>
      <c r="E491" s="54">
        <f t="shared" si="91"/>
        <v>70</v>
      </c>
      <c r="F491" s="54">
        <f t="shared" si="91"/>
        <v>13</v>
      </c>
      <c r="G491" s="8">
        <v>202103</v>
      </c>
      <c r="H491" s="8" t="s">
        <v>7016</v>
      </c>
      <c r="I491" s="8">
        <v>202104</v>
      </c>
      <c r="J491" s="8" t="s">
        <v>7017</v>
      </c>
      <c r="K491" s="52">
        <f t="shared" si="83"/>
        <v>44277</v>
      </c>
      <c r="L491" s="52">
        <f t="shared" si="84"/>
        <v>44283</v>
      </c>
      <c r="M491" s="55" t="str">
        <f t="shared" si="85"/>
        <v>22/03/21 @ 
28/03/21</v>
      </c>
    </row>
    <row r="492" spans="2:13" ht="24" x14ac:dyDescent="0.25">
      <c r="B492" s="51">
        <f t="shared" si="90"/>
        <v>490</v>
      </c>
      <c r="C492" s="52">
        <f t="shared" si="90"/>
        <v>44284</v>
      </c>
      <c r="D492" s="53">
        <f t="shared" si="82"/>
        <v>44284</v>
      </c>
      <c r="E492" s="54">
        <f t="shared" si="91"/>
        <v>71</v>
      </c>
      <c r="F492" s="54">
        <f t="shared" si="91"/>
        <v>14</v>
      </c>
      <c r="G492" s="8">
        <v>202104</v>
      </c>
      <c r="H492" s="8" t="s">
        <v>7017</v>
      </c>
      <c r="I492" s="8">
        <v>202104</v>
      </c>
      <c r="J492" s="8" t="s">
        <v>7017</v>
      </c>
      <c r="K492" s="52">
        <f t="shared" si="83"/>
        <v>44284</v>
      </c>
      <c r="L492" s="52">
        <f t="shared" si="84"/>
        <v>44290</v>
      </c>
      <c r="M492" s="55" t="str">
        <f t="shared" si="85"/>
        <v>29/03/21 @ 
04/04/21</v>
      </c>
    </row>
    <row r="493" spans="2:13" ht="24" x14ac:dyDescent="0.25">
      <c r="B493" s="51">
        <f t="shared" si="90"/>
        <v>491</v>
      </c>
      <c r="C493" s="52">
        <f t="shared" si="90"/>
        <v>44285</v>
      </c>
      <c r="D493" s="53">
        <f t="shared" si="82"/>
        <v>44285</v>
      </c>
      <c r="E493" s="54">
        <f t="shared" si="91"/>
        <v>71</v>
      </c>
      <c r="F493" s="54">
        <f t="shared" si="91"/>
        <v>14</v>
      </c>
      <c r="G493" s="8">
        <v>202104</v>
      </c>
      <c r="H493" s="8" t="s">
        <v>7017</v>
      </c>
      <c r="I493" s="8">
        <v>202104</v>
      </c>
      <c r="J493" s="8" t="s">
        <v>7017</v>
      </c>
      <c r="K493" s="52">
        <f t="shared" si="83"/>
        <v>44284</v>
      </c>
      <c r="L493" s="52">
        <f t="shared" si="84"/>
        <v>44290</v>
      </c>
      <c r="M493" s="55" t="str">
        <f t="shared" si="85"/>
        <v>29/03/21 @ 
04/04/21</v>
      </c>
    </row>
    <row r="494" spans="2:13" ht="24" x14ac:dyDescent="0.25">
      <c r="B494" s="51">
        <f t="shared" si="90"/>
        <v>492</v>
      </c>
      <c r="C494" s="52">
        <f t="shared" si="90"/>
        <v>44286</v>
      </c>
      <c r="D494" s="53">
        <f t="shared" si="82"/>
        <v>44286</v>
      </c>
      <c r="E494" s="54">
        <f t="shared" si="91"/>
        <v>71</v>
      </c>
      <c r="F494" s="54">
        <f t="shared" si="91"/>
        <v>14</v>
      </c>
      <c r="G494" s="8">
        <v>202104</v>
      </c>
      <c r="H494" s="8" t="s">
        <v>7017</v>
      </c>
      <c r="I494" s="8">
        <v>202104</v>
      </c>
      <c r="J494" s="8" t="s">
        <v>7017</v>
      </c>
      <c r="K494" s="52">
        <f t="shared" si="83"/>
        <v>44284</v>
      </c>
      <c r="L494" s="52">
        <f t="shared" si="84"/>
        <v>44290</v>
      </c>
      <c r="M494" s="55" t="str">
        <f t="shared" si="85"/>
        <v>29/03/21 @ 
04/04/21</v>
      </c>
    </row>
    <row r="495" spans="2:13" ht="24" x14ac:dyDescent="0.25">
      <c r="B495" s="51">
        <f t="shared" si="90"/>
        <v>493</v>
      </c>
      <c r="C495" s="52">
        <f t="shared" si="90"/>
        <v>44287</v>
      </c>
      <c r="D495" s="53">
        <f t="shared" si="82"/>
        <v>44287</v>
      </c>
      <c r="E495" s="54">
        <f t="shared" si="91"/>
        <v>71</v>
      </c>
      <c r="F495" s="54">
        <f t="shared" si="91"/>
        <v>14</v>
      </c>
      <c r="G495" s="8">
        <v>202104</v>
      </c>
      <c r="H495" s="8" t="s">
        <v>7017</v>
      </c>
      <c r="I495" s="8">
        <v>202104</v>
      </c>
      <c r="J495" s="8" t="s">
        <v>7017</v>
      </c>
      <c r="K495" s="52">
        <f t="shared" si="83"/>
        <v>44284</v>
      </c>
      <c r="L495" s="52">
        <f t="shared" si="84"/>
        <v>44290</v>
      </c>
      <c r="M495" s="55" t="str">
        <f t="shared" si="85"/>
        <v>29/03/21 @ 
04/04/21</v>
      </c>
    </row>
    <row r="496" spans="2:13" ht="24" x14ac:dyDescent="0.25">
      <c r="B496" s="51">
        <f t="shared" si="90"/>
        <v>494</v>
      </c>
      <c r="C496" s="52">
        <f t="shared" si="90"/>
        <v>44288</v>
      </c>
      <c r="D496" s="53">
        <f t="shared" si="82"/>
        <v>44288</v>
      </c>
      <c r="E496" s="54">
        <f t="shared" si="91"/>
        <v>71</v>
      </c>
      <c r="F496" s="54">
        <f t="shared" si="91"/>
        <v>14</v>
      </c>
      <c r="G496" s="8">
        <v>202104</v>
      </c>
      <c r="H496" s="8" t="s">
        <v>7017</v>
      </c>
      <c r="I496" s="8">
        <v>202104</v>
      </c>
      <c r="J496" s="8" t="s">
        <v>7017</v>
      </c>
      <c r="K496" s="52">
        <f t="shared" si="83"/>
        <v>44284</v>
      </c>
      <c r="L496" s="52">
        <f t="shared" si="84"/>
        <v>44290</v>
      </c>
      <c r="M496" s="55" t="str">
        <f t="shared" si="85"/>
        <v>29/03/21 @ 
04/04/21</v>
      </c>
    </row>
    <row r="497" spans="2:13" ht="24" x14ac:dyDescent="0.25">
      <c r="B497" s="51">
        <f t="shared" si="90"/>
        <v>495</v>
      </c>
      <c r="C497" s="52">
        <f t="shared" si="90"/>
        <v>44289</v>
      </c>
      <c r="D497" s="53">
        <f t="shared" si="82"/>
        <v>44289</v>
      </c>
      <c r="E497" s="54">
        <f t="shared" si="91"/>
        <v>71</v>
      </c>
      <c r="F497" s="54">
        <f t="shared" si="91"/>
        <v>14</v>
      </c>
      <c r="G497" s="8">
        <v>202104</v>
      </c>
      <c r="H497" s="8" t="s">
        <v>7017</v>
      </c>
      <c r="I497" s="8">
        <v>202104</v>
      </c>
      <c r="J497" s="8" t="s">
        <v>7017</v>
      </c>
      <c r="K497" s="52">
        <f t="shared" si="83"/>
        <v>44284</v>
      </c>
      <c r="L497" s="52">
        <f t="shared" si="84"/>
        <v>44290</v>
      </c>
      <c r="M497" s="55" t="str">
        <f t="shared" si="85"/>
        <v>29/03/21 @ 
04/04/21</v>
      </c>
    </row>
    <row r="498" spans="2:13" ht="24" x14ac:dyDescent="0.25">
      <c r="B498" s="51">
        <f t="shared" si="90"/>
        <v>496</v>
      </c>
      <c r="C498" s="52">
        <f t="shared" si="90"/>
        <v>44290</v>
      </c>
      <c r="D498" s="53">
        <f t="shared" si="82"/>
        <v>44290</v>
      </c>
      <c r="E498" s="54">
        <f t="shared" si="91"/>
        <v>71</v>
      </c>
      <c r="F498" s="54">
        <f t="shared" si="91"/>
        <v>14</v>
      </c>
      <c r="G498" s="8">
        <v>202104</v>
      </c>
      <c r="H498" s="8" t="s">
        <v>7017</v>
      </c>
      <c r="I498" s="8">
        <v>202104</v>
      </c>
      <c r="J498" s="8" t="s">
        <v>7017</v>
      </c>
      <c r="K498" s="52">
        <f t="shared" si="83"/>
        <v>44284</v>
      </c>
      <c r="L498" s="52">
        <f t="shared" si="84"/>
        <v>44290</v>
      </c>
      <c r="M498" s="55" t="str">
        <f t="shared" si="85"/>
        <v>29/03/21 @ 
04/04/21</v>
      </c>
    </row>
    <row r="499" spans="2:13" ht="24" x14ac:dyDescent="0.25">
      <c r="B499" s="51">
        <f t="shared" si="90"/>
        <v>497</v>
      </c>
      <c r="C499" s="52">
        <f t="shared" si="90"/>
        <v>44291</v>
      </c>
      <c r="D499" s="53">
        <f t="shared" si="82"/>
        <v>44291</v>
      </c>
      <c r="E499" s="54">
        <f t="shared" si="91"/>
        <v>72</v>
      </c>
      <c r="F499" s="54">
        <f t="shared" si="91"/>
        <v>15</v>
      </c>
      <c r="G499" s="8">
        <v>202104</v>
      </c>
      <c r="H499" s="8" t="s">
        <v>7017</v>
      </c>
      <c r="I499" s="8">
        <v>202104</v>
      </c>
      <c r="J499" s="8" t="s">
        <v>7017</v>
      </c>
      <c r="K499" s="52">
        <f t="shared" si="83"/>
        <v>44291</v>
      </c>
      <c r="L499" s="52">
        <f t="shared" si="84"/>
        <v>44297</v>
      </c>
      <c r="M499" s="55" t="str">
        <f t="shared" si="85"/>
        <v>05/04/21 @ 
11/04/21</v>
      </c>
    </row>
    <row r="500" spans="2:13" ht="24" x14ac:dyDescent="0.25">
      <c r="B500" s="51">
        <f t="shared" si="90"/>
        <v>498</v>
      </c>
      <c r="C500" s="52">
        <f t="shared" si="90"/>
        <v>44292</v>
      </c>
      <c r="D500" s="53">
        <f t="shared" si="82"/>
        <v>44292</v>
      </c>
      <c r="E500" s="54">
        <f t="shared" si="91"/>
        <v>72</v>
      </c>
      <c r="F500" s="54">
        <f t="shared" si="91"/>
        <v>15</v>
      </c>
      <c r="G500" s="8">
        <v>202104</v>
      </c>
      <c r="H500" s="8" t="s">
        <v>7017</v>
      </c>
      <c r="I500" s="8">
        <v>202104</v>
      </c>
      <c r="J500" s="8" t="s">
        <v>7017</v>
      </c>
      <c r="K500" s="52">
        <f t="shared" si="83"/>
        <v>44291</v>
      </c>
      <c r="L500" s="52">
        <f t="shared" si="84"/>
        <v>44297</v>
      </c>
      <c r="M500" s="55" t="str">
        <f t="shared" si="85"/>
        <v>05/04/21 @ 
11/04/21</v>
      </c>
    </row>
    <row r="501" spans="2:13" ht="24" x14ac:dyDescent="0.25">
      <c r="B501" s="51">
        <f t="shared" ref="B501:C516" si="92">+B500+1</f>
        <v>499</v>
      </c>
      <c r="C501" s="52">
        <f t="shared" si="92"/>
        <v>44293</v>
      </c>
      <c r="D501" s="53">
        <f t="shared" si="82"/>
        <v>44293</v>
      </c>
      <c r="E501" s="54">
        <f t="shared" si="91"/>
        <v>72</v>
      </c>
      <c r="F501" s="54">
        <f t="shared" si="91"/>
        <v>15</v>
      </c>
      <c r="G501" s="8">
        <v>202104</v>
      </c>
      <c r="H501" s="8" t="s">
        <v>7017</v>
      </c>
      <c r="I501" s="8">
        <v>202104</v>
      </c>
      <c r="J501" s="8" t="s">
        <v>7017</v>
      </c>
      <c r="K501" s="52">
        <f t="shared" si="83"/>
        <v>44291</v>
      </c>
      <c r="L501" s="52">
        <f t="shared" si="84"/>
        <v>44297</v>
      </c>
      <c r="M501" s="55" t="str">
        <f t="shared" si="85"/>
        <v>05/04/21 @ 
11/04/21</v>
      </c>
    </row>
    <row r="502" spans="2:13" ht="24" x14ac:dyDescent="0.25">
      <c r="B502" s="51">
        <f t="shared" si="92"/>
        <v>500</v>
      </c>
      <c r="C502" s="52">
        <f t="shared" si="92"/>
        <v>44294</v>
      </c>
      <c r="D502" s="53">
        <f t="shared" si="82"/>
        <v>44294</v>
      </c>
      <c r="E502" s="54">
        <f t="shared" si="91"/>
        <v>72</v>
      </c>
      <c r="F502" s="54">
        <f t="shared" si="91"/>
        <v>15</v>
      </c>
      <c r="G502" s="8">
        <v>202104</v>
      </c>
      <c r="H502" s="8" t="s">
        <v>7017</v>
      </c>
      <c r="I502" s="8">
        <v>202104</v>
      </c>
      <c r="J502" s="8" t="s">
        <v>7017</v>
      </c>
      <c r="K502" s="52">
        <f t="shared" si="83"/>
        <v>44291</v>
      </c>
      <c r="L502" s="52">
        <f t="shared" si="84"/>
        <v>44297</v>
      </c>
      <c r="M502" s="55" t="str">
        <f t="shared" si="85"/>
        <v>05/04/21 @ 
11/04/21</v>
      </c>
    </row>
    <row r="503" spans="2:13" ht="24" x14ac:dyDescent="0.25">
      <c r="B503" s="51">
        <f t="shared" si="92"/>
        <v>501</v>
      </c>
      <c r="C503" s="52">
        <f t="shared" si="92"/>
        <v>44295</v>
      </c>
      <c r="D503" s="53">
        <f t="shared" si="82"/>
        <v>44295</v>
      </c>
      <c r="E503" s="54">
        <f t="shared" si="91"/>
        <v>72</v>
      </c>
      <c r="F503" s="54">
        <f t="shared" si="91"/>
        <v>15</v>
      </c>
      <c r="G503" s="8">
        <v>202104</v>
      </c>
      <c r="H503" s="8" t="s">
        <v>7017</v>
      </c>
      <c r="I503" s="8">
        <v>202104</v>
      </c>
      <c r="J503" s="8" t="s">
        <v>7017</v>
      </c>
      <c r="K503" s="52">
        <f t="shared" si="83"/>
        <v>44291</v>
      </c>
      <c r="L503" s="52">
        <f t="shared" si="84"/>
        <v>44297</v>
      </c>
      <c r="M503" s="55" t="str">
        <f t="shared" si="85"/>
        <v>05/04/21 @ 
11/04/21</v>
      </c>
    </row>
    <row r="504" spans="2:13" ht="24" x14ac:dyDescent="0.25">
      <c r="B504" s="51">
        <f t="shared" si="92"/>
        <v>502</v>
      </c>
      <c r="C504" s="52">
        <f t="shared" si="92"/>
        <v>44296</v>
      </c>
      <c r="D504" s="53">
        <f t="shared" si="82"/>
        <v>44296</v>
      </c>
      <c r="E504" s="54">
        <f t="shared" si="91"/>
        <v>72</v>
      </c>
      <c r="F504" s="54">
        <f t="shared" si="91"/>
        <v>15</v>
      </c>
      <c r="G504" s="8">
        <v>202104</v>
      </c>
      <c r="H504" s="8" t="s">
        <v>7017</v>
      </c>
      <c r="I504" s="8">
        <v>202104</v>
      </c>
      <c r="J504" s="8" t="s">
        <v>7017</v>
      </c>
      <c r="K504" s="52">
        <f t="shared" si="83"/>
        <v>44291</v>
      </c>
      <c r="L504" s="52">
        <f t="shared" si="84"/>
        <v>44297</v>
      </c>
      <c r="M504" s="55" t="str">
        <f t="shared" si="85"/>
        <v>05/04/21 @ 
11/04/21</v>
      </c>
    </row>
    <row r="505" spans="2:13" ht="24" x14ac:dyDescent="0.25">
      <c r="B505" s="51">
        <f t="shared" si="92"/>
        <v>503</v>
      </c>
      <c r="C505" s="52">
        <f t="shared" si="92"/>
        <v>44297</v>
      </c>
      <c r="D505" s="53">
        <f t="shared" si="82"/>
        <v>44297</v>
      </c>
      <c r="E505" s="54">
        <f t="shared" si="91"/>
        <v>72</v>
      </c>
      <c r="F505" s="54">
        <f t="shared" si="91"/>
        <v>15</v>
      </c>
      <c r="G505" s="8">
        <v>202104</v>
      </c>
      <c r="H505" s="8" t="s">
        <v>7017</v>
      </c>
      <c r="I505" s="8">
        <v>202104</v>
      </c>
      <c r="J505" s="8" t="s">
        <v>7017</v>
      </c>
      <c r="K505" s="52">
        <f t="shared" si="83"/>
        <v>44291</v>
      </c>
      <c r="L505" s="52">
        <f t="shared" si="84"/>
        <v>44297</v>
      </c>
      <c r="M505" s="55" t="str">
        <f t="shared" si="85"/>
        <v>05/04/21 @ 
11/04/21</v>
      </c>
    </row>
    <row r="506" spans="2:13" ht="24" x14ac:dyDescent="0.25">
      <c r="B506" s="51">
        <f t="shared" si="92"/>
        <v>504</v>
      </c>
      <c r="C506" s="52">
        <f t="shared" si="92"/>
        <v>44298</v>
      </c>
      <c r="D506" s="53">
        <f t="shared" si="82"/>
        <v>44298</v>
      </c>
      <c r="E506" s="54">
        <f t="shared" ref="E506:F521" si="93">+E499+1</f>
        <v>73</v>
      </c>
      <c r="F506" s="54">
        <f t="shared" si="93"/>
        <v>16</v>
      </c>
      <c r="G506" s="8">
        <v>202104</v>
      </c>
      <c r="H506" s="8" t="s">
        <v>7017</v>
      </c>
      <c r="I506" s="8">
        <v>202104</v>
      </c>
      <c r="J506" s="8" t="s">
        <v>7017</v>
      </c>
      <c r="K506" s="52">
        <f t="shared" si="83"/>
        <v>44298</v>
      </c>
      <c r="L506" s="52">
        <f t="shared" si="84"/>
        <v>44304</v>
      </c>
      <c r="M506" s="55" t="str">
        <f t="shared" si="85"/>
        <v>12/04/21 @ 
18/04/21</v>
      </c>
    </row>
    <row r="507" spans="2:13" ht="24" x14ac:dyDescent="0.25">
      <c r="B507" s="51">
        <f t="shared" si="92"/>
        <v>505</v>
      </c>
      <c r="C507" s="52">
        <f t="shared" si="92"/>
        <v>44299</v>
      </c>
      <c r="D507" s="53">
        <f t="shared" si="82"/>
        <v>44299</v>
      </c>
      <c r="E507" s="54">
        <f t="shared" si="93"/>
        <v>73</v>
      </c>
      <c r="F507" s="54">
        <f t="shared" si="93"/>
        <v>16</v>
      </c>
      <c r="G507" s="8">
        <v>202104</v>
      </c>
      <c r="H507" s="8" t="s">
        <v>7017</v>
      </c>
      <c r="I507" s="8">
        <v>202104</v>
      </c>
      <c r="J507" s="8" t="s">
        <v>7017</v>
      </c>
      <c r="K507" s="52">
        <f t="shared" si="83"/>
        <v>44298</v>
      </c>
      <c r="L507" s="52">
        <f t="shared" si="84"/>
        <v>44304</v>
      </c>
      <c r="M507" s="55" t="str">
        <f t="shared" si="85"/>
        <v>12/04/21 @ 
18/04/21</v>
      </c>
    </row>
    <row r="508" spans="2:13" ht="24" x14ac:dyDescent="0.25">
      <c r="B508" s="51">
        <f t="shared" si="92"/>
        <v>506</v>
      </c>
      <c r="C508" s="52">
        <f t="shared" si="92"/>
        <v>44300</v>
      </c>
      <c r="D508" s="53">
        <f t="shared" si="82"/>
        <v>44300</v>
      </c>
      <c r="E508" s="54">
        <f t="shared" si="93"/>
        <v>73</v>
      </c>
      <c r="F508" s="54">
        <f t="shared" si="93"/>
        <v>16</v>
      </c>
      <c r="G508" s="8">
        <v>202104</v>
      </c>
      <c r="H508" s="8" t="s">
        <v>7017</v>
      </c>
      <c r="I508" s="8">
        <v>202104</v>
      </c>
      <c r="J508" s="8" t="s">
        <v>7017</v>
      </c>
      <c r="K508" s="52">
        <f t="shared" si="83"/>
        <v>44298</v>
      </c>
      <c r="L508" s="52">
        <f t="shared" si="84"/>
        <v>44304</v>
      </c>
      <c r="M508" s="55" t="str">
        <f t="shared" si="85"/>
        <v>12/04/21 @ 
18/04/21</v>
      </c>
    </row>
    <row r="509" spans="2:13" ht="24" x14ac:dyDescent="0.25">
      <c r="B509" s="51">
        <f t="shared" si="92"/>
        <v>507</v>
      </c>
      <c r="C509" s="52">
        <f t="shared" si="92"/>
        <v>44301</v>
      </c>
      <c r="D509" s="53">
        <f t="shared" si="82"/>
        <v>44301</v>
      </c>
      <c r="E509" s="54">
        <f t="shared" si="93"/>
        <v>73</v>
      </c>
      <c r="F509" s="54">
        <f t="shared" si="93"/>
        <v>16</v>
      </c>
      <c r="G509" s="8">
        <v>202104</v>
      </c>
      <c r="H509" s="8" t="s">
        <v>7017</v>
      </c>
      <c r="I509" s="8">
        <v>202104</v>
      </c>
      <c r="J509" s="8" t="s">
        <v>7017</v>
      </c>
      <c r="K509" s="52">
        <f t="shared" si="83"/>
        <v>44298</v>
      </c>
      <c r="L509" s="52">
        <f t="shared" si="84"/>
        <v>44304</v>
      </c>
      <c r="M509" s="55" t="str">
        <f t="shared" si="85"/>
        <v>12/04/21 @ 
18/04/21</v>
      </c>
    </row>
    <row r="510" spans="2:13" ht="24" x14ac:dyDescent="0.25">
      <c r="B510" s="51">
        <f t="shared" si="92"/>
        <v>508</v>
      </c>
      <c r="C510" s="52">
        <f t="shared" si="92"/>
        <v>44302</v>
      </c>
      <c r="D510" s="53">
        <f t="shared" si="82"/>
        <v>44302</v>
      </c>
      <c r="E510" s="54">
        <f t="shared" si="93"/>
        <v>73</v>
      </c>
      <c r="F510" s="54">
        <f t="shared" si="93"/>
        <v>16</v>
      </c>
      <c r="G510" s="8">
        <v>202104</v>
      </c>
      <c r="H510" s="8" t="s">
        <v>7017</v>
      </c>
      <c r="I510" s="8">
        <v>202104</v>
      </c>
      <c r="J510" s="8" t="s">
        <v>7017</v>
      </c>
      <c r="K510" s="52">
        <f t="shared" si="83"/>
        <v>44298</v>
      </c>
      <c r="L510" s="52">
        <f t="shared" si="84"/>
        <v>44304</v>
      </c>
      <c r="M510" s="55" t="str">
        <f t="shared" si="85"/>
        <v>12/04/21 @ 
18/04/21</v>
      </c>
    </row>
    <row r="511" spans="2:13" ht="24" x14ac:dyDescent="0.25">
      <c r="B511" s="51">
        <f t="shared" si="92"/>
        <v>509</v>
      </c>
      <c r="C511" s="52">
        <f t="shared" si="92"/>
        <v>44303</v>
      </c>
      <c r="D511" s="53">
        <f t="shared" si="82"/>
        <v>44303</v>
      </c>
      <c r="E511" s="54">
        <f t="shared" si="93"/>
        <v>73</v>
      </c>
      <c r="F511" s="54">
        <f t="shared" si="93"/>
        <v>16</v>
      </c>
      <c r="G511" s="8">
        <v>202104</v>
      </c>
      <c r="H511" s="8" t="s">
        <v>7017</v>
      </c>
      <c r="I511" s="8">
        <v>202104</v>
      </c>
      <c r="J511" s="8" t="s">
        <v>7017</v>
      </c>
      <c r="K511" s="52">
        <f t="shared" si="83"/>
        <v>44298</v>
      </c>
      <c r="L511" s="52">
        <f t="shared" si="84"/>
        <v>44304</v>
      </c>
      <c r="M511" s="55" t="str">
        <f t="shared" si="85"/>
        <v>12/04/21 @ 
18/04/21</v>
      </c>
    </row>
    <row r="512" spans="2:13" ht="24" x14ac:dyDescent="0.25">
      <c r="B512" s="51">
        <f t="shared" si="92"/>
        <v>510</v>
      </c>
      <c r="C512" s="52">
        <f t="shared" si="92"/>
        <v>44304</v>
      </c>
      <c r="D512" s="53">
        <f t="shared" si="82"/>
        <v>44304</v>
      </c>
      <c r="E512" s="54">
        <f t="shared" si="93"/>
        <v>73</v>
      </c>
      <c r="F512" s="54">
        <f t="shared" si="93"/>
        <v>16</v>
      </c>
      <c r="G512" s="8">
        <v>202104</v>
      </c>
      <c r="H512" s="8" t="s">
        <v>7017</v>
      </c>
      <c r="I512" s="8">
        <v>202104</v>
      </c>
      <c r="J512" s="8" t="s">
        <v>7017</v>
      </c>
      <c r="K512" s="52">
        <f t="shared" si="83"/>
        <v>44298</v>
      </c>
      <c r="L512" s="52">
        <f t="shared" si="84"/>
        <v>44304</v>
      </c>
      <c r="M512" s="55" t="str">
        <f t="shared" si="85"/>
        <v>12/04/21 @ 
18/04/21</v>
      </c>
    </row>
    <row r="513" spans="2:13" ht="24" x14ac:dyDescent="0.25">
      <c r="B513" s="51">
        <f t="shared" si="92"/>
        <v>511</v>
      </c>
      <c r="C513" s="52">
        <f t="shared" si="92"/>
        <v>44305</v>
      </c>
      <c r="D513" s="53">
        <f t="shared" si="82"/>
        <v>44305</v>
      </c>
      <c r="E513" s="54">
        <f t="shared" si="93"/>
        <v>74</v>
      </c>
      <c r="F513" s="54">
        <f t="shared" si="93"/>
        <v>17</v>
      </c>
      <c r="G513" s="8">
        <v>202104</v>
      </c>
      <c r="H513" s="8" t="s">
        <v>7017</v>
      </c>
      <c r="I513" s="8">
        <v>202104</v>
      </c>
      <c r="J513" s="8" t="s">
        <v>7017</v>
      </c>
      <c r="K513" s="52">
        <f t="shared" si="83"/>
        <v>44305</v>
      </c>
      <c r="L513" s="52">
        <f t="shared" si="84"/>
        <v>44311</v>
      </c>
      <c r="M513" s="55" t="str">
        <f t="shared" si="85"/>
        <v>19/04/21 @ 
25/04/21</v>
      </c>
    </row>
    <row r="514" spans="2:13" ht="24" x14ac:dyDescent="0.25">
      <c r="B514" s="51">
        <f t="shared" si="92"/>
        <v>512</v>
      </c>
      <c r="C514" s="52">
        <f t="shared" si="92"/>
        <v>44306</v>
      </c>
      <c r="D514" s="53">
        <f t="shared" si="82"/>
        <v>44306</v>
      </c>
      <c r="E514" s="54">
        <f t="shared" si="93"/>
        <v>74</v>
      </c>
      <c r="F514" s="54">
        <f t="shared" si="93"/>
        <v>17</v>
      </c>
      <c r="G514" s="8">
        <v>202104</v>
      </c>
      <c r="H514" s="8" t="s">
        <v>7017</v>
      </c>
      <c r="I514" s="8">
        <v>202104</v>
      </c>
      <c r="J514" s="8" t="s">
        <v>7017</v>
      </c>
      <c r="K514" s="52">
        <f t="shared" si="83"/>
        <v>44305</v>
      </c>
      <c r="L514" s="52">
        <f t="shared" si="84"/>
        <v>44311</v>
      </c>
      <c r="M514" s="55" t="str">
        <f t="shared" si="85"/>
        <v>19/04/21 @ 
25/04/21</v>
      </c>
    </row>
    <row r="515" spans="2:13" ht="24" x14ac:dyDescent="0.25">
      <c r="B515" s="51">
        <f t="shared" si="92"/>
        <v>513</v>
      </c>
      <c r="C515" s="52">
        <f t="shared" si="92"/>
        <v>44307</v>
      </c>
      <c r="D515" s="53">
        <f t="shared" ref="D515:D578" si="94">+C515</f>
        <v>44307</v>
      </c>
      <c r="E515" s="54">
        <f t="shared" si="93"/>
        <v>74</v>
      </c>
      <c r="F515" s="54">
        <f t="shared" si="93"/>
        <v>17</v>
      </c>
      <c r="G515" s="8">
        <v>202104</v>
      </c>
      <c r="H515" s="8" t="s">
        <v>7017</v>
      </c>
      <c r="I515" s="8">
        <v>202105</v>
      </c>
      <c r="J515" s="8" t="s">
        <v>7018</v>
      </c>
      <c r="K515" s="52">
        <f t="shared" ref="K515:K578" si="95">_xlfn.MINIFS($C$2:$C$890,$E$2:$E$890,E515)</f>
        <v>44305</v>
      </c>
      <c r="L515" s="52">
        <f t="shared" ref="L515:L578" si="96">_xlfn.MAXIFS($C$2:$C$890,$E$2:$E$890,E515)</f>
        <v>44311</v>
      </c>
      <c r="M515" s="55" t="str">
        <f t="shared" ref="M515:M578" si="97">CONCATENATE(TEXT(K515,"DD/MM/YY")," @ ",CHAR(10),TEXT(L515,"DD/MM/YY"))</f>
        <v>19/04/21 @ 
25/04/21</v>
      </c>
    </row>
    <row r="516" spans="2:13" ht="24" x14ac:dyDescent="0.25">
      <c r="B516" s="51">
        <f t="shared" si="92"/>
        <v>514</v>
      </c>
      <c r="C516" s="52">
        <f t="shared" si="92"/>
        <v>44308</v>
      </c>
      <c r="D516" s="53">
        <f t="shared" si="94"/>
        <v>44308</v>
      </c>
      <c r="E516" s="54">
        <f t="shared" si="93"/>
        <v>74</v>
      </c>
      <c r="F516" s="54">
        <f t="shared" si="93"/>
        <v>17</v>
      </c>
      <c r="G516" s="8">
        <v>202104</v>
      </c>
      <c r="H516" s="8" t="s">
        <v>7017</v>
      </c>
      <c r="I516" s="8">
        <v>202105</v>
      </c>
      <c r="J516" s="8" t="s">
        <v>7018</v>
      </c>
      <c r="K516" s="52">
        <f t="shared" si="95"/>
        <v>44305</v>
      </c>
      <c r="L516" s="52">
        <f t="shared" si="96"/>
        <v>44311</v>
      </c>
      <c r="M516" s="55" t="str">
        <f t="shared" si="97"/>
        <v>19/04/21 @ 
25/04/21</v>
      </c>
    </row>
    <row r="517" spans="2:13" ht="24" x14ac:dyDescent="0.25">
      <c r="B517" s="51">
        <f t="shared" ref="B517:C532" si="98">+B516+1</f>
        <v>515</v>
      </c>
      <c r="C517" s="52">
        <f t="shared" si="98"/>
        <v>44309</v>
      </c>
      <c r="D517" s="53">
        <f t="shared" si="94"/>
        <v>44309</v>
      </c>
      <c r="E517" s="54">
        <f t="shared" si="93"/>
        <v>74</v>
      </c>
      <c r="F517" s="54">
        <f t="shared" si="93"/>
        <v>17</v>
      </c>
      <c r="G517" s="8">
        <v>202104</v>
      </c>
      <c r="H517" s="8" t="s">
        <v>7017</v>
      </c>
      <c r="I517" s="8">
        <v>202105</v>
      </c>
      <c r="J517" s="8" t="s">
        <v>7018</v>
      </c>
      <c r="K517" s="52">
        <f t="shared" si="95"/>
        <v>44305</v>
      </c>
      <c r="L517" s="52">
        <f t="shared" si="96"/>
        <v>44311</v>
      </c>
      <c r="M517" s="55" t="str">
        <f t="shared" si="97"/>
        <v>19/04/21 @ 
25/04/21</v>
      </c>
    </row>
    <row r="518" spans="2:13" ht="24" x14ac:dyDescent="0.25">
      <c r="B518" s="51">
        <f t="shared" si="98"/>
        <v>516</v>
      </c>
      <c r="C518" s="52">
        <f t="shared" si="98"/>
        <v>44310</v>
      </c>
      <c r="D518" s="53">
        <f t="shared" si="94"/>
        <v>44310</v>
      </c>
      <c r="E518" s="54">
        <f t="shared" si="93"/>
        <v>74</v>
      </c>
      <c r="F518" s="54">
        <f t="shared" si="93"/>
        <v>17</v>
      </c>
      <c r="G518" s="8">
        <v>202104</v>
      </c>
      <c r="H518" s="8" t="s">
        <v>7017</v>
      </c>
      <c r="I518" s="8">
        <v>202105</v>
      </c>
      <c r="J518" s="8" t="s">
        <v>7018</v>
      </c>
      <c r="K518" s="52">
        <f t="shared" si="95"/>
        <v>44305</v>
      </c>
      <c r="L518" s="52">
        <f t="shared" si="96"/>
        <v>44311</v>
      </c>
      <c r="M518" s="55" t="str">
        <f t="shared" si="97"/>
        <v>19/04/21 @ 
25/04/21</v>
      </c>
    </row>
    <row r="519" spans="2:13" ht="24" x14ac:dyDescent="0.25">
      <c r="B519" s="51">
        <f t="shared" si="98"/>
        <v>517</v>
      </c>
      <c r="C519" s="52">
        <f t="shared" si="98"/>
        <v>44311</v>
      </c>
      <c r="D519" s="53">
        <f t="shared" si="94"/>
        <v>44311</v>
      </c>
      <c r="E519" s="54">
        <f t="shared" si="93"/>
        <v>74</v>
      </c>
      <c r="F519" s="54">
        <f t="shared" si="93"/>
        <v>17</v>
      </c>
      <c r="G519" s="8">
        <v>202104</v>
      </c>
      <c r="H519" s="8" t="s">
        <v>7017</v>
      </c>
      <c r="I519" s="8">
        <v>202105</v>
      </c>
      <c r="J519" s="8" t="s">
        <v>7018</v>
      </c>
      <c r="K519" s="52">
        <f t="shared" si="95"/>
        <v>44305</v>
      </c>
      <c r="L519" s="52">
        <f t="shared" si="96"/>
        <v>44311</v>
      </c>
      <c r="M519" s="55" t="str">
        <f t="shared" si="97"/>
        <v>19/04/21 @ 
25/04/21</v>
      </c>
    </row>
    <row r="520" spans="2:13" ht="24" x14ac:dyDescent="0.25">
      <c r="B520" s="51">
        <f t="shared" si="98"/>
        <v>518</v>
      </c>
      <c r="C520" s="52">
        <f t="shared" si="98"/>
        <v>44312</v>
      </c>
      <c r="D520" s="53">
        <f t="shared" si="94"/>
        <v>44312</v>
      </c>
      <c r="E520" s="54">
        <f t="shared" si="93"/>
        <v>75</v>
      </c>
      <c r="F520" s="54">
        <f t="shared" si="93"/>
        <v>18</v>
      </c>
      <c r="G520" s="8">
        <v>202104</v>
      </c>
      <c r="H520" s="8" t="s">
        <v>7018</v>
      </c>
      <c r="I520" s="8">
        <v>202105</v>
      </c>
      <c r="J520" s="8" t="s">
        <v>7018</v>
      </c>
      <c r="K520" s="52">
        <f t="shared" si="95"/>
        <v>44312</v>
      </c>
      <c r="L520" s="52">
        <f t="shared" si="96"/>
        <v>44318</v>
      </c>
      <c r="M520" s="55" t="str">
        <f t="shared" si="97"/>
        <v>26/04/21 @ 
02/05/21</v>
      </c>
    </row>
    <row r="521" spans="2:13" ht="24" x14ac:dyDescent="0.25">
      <c r="B521" s="51">
        <f t="shared" si="98"/>
        <v>519</v>
      </c>
      <c r="C521" s="52">
        <f t="shared" si="98"/>
        <v>44313</v>
      </c>
      <c r="D521" s="53">
        <f t="shared" si="94"/>
        <v>44313</v>
      </c>
      <c r="E521" s="54">
        <f t="shared" si="93"/>
        <v>75</v>
      </c>
      <c r="F521" s="54">
        <f t="shared" si="93"/>
        <v>18</v>
      </c>
      <c r="G521" s="8">
        <v>202104</v>
      </c>
      <c r="H521" s="8" t="s">
        <v>7018</v>
      </c>
      <c r="I521" s="8">
        <v>202105</v>
      </c>
      <c r="J521" s="8" t="s">
        <v>7018</v>
      </c>
      <c r="K521" s="52">
        <f t="shared" si="95"/>
        <v>44312</v>
      </c>
      <c r="L521" s="52">
        <f t="shared" si="96"/>
        <v>44318</v>
      </c>
      <c r="M521" s="55" t="str">
        <f t="shared" si="97"/>
        <v>26/04/21 @ 
02/05/21</v>
      </c>
    </row>
    <row r="522" spans="2:13" ht="24" x14ac:dyDescent="0.25">
      <c r="B522" s="51">
        <f t="shared" si="98"/>
        <v>520</v>
      </c>
      <c r="C522" s="52">
        <f t="shared" si="98"/>
        <v>44314</v>
      </c>
      <c r="D522" s="53">
        <f t="shared" si="94"/>
        <v>44314</v>
      </c>
      <c r="E522" s="54">
        <f t="shared" ref="E522:F537" si="99">+E515+1</f>
        <v>75</v>
      </c>
      <c r="F522" s="54">
        <f t="shared" si="99"/>
        <v>18</v>
      </c>
      <c r="G522" s="8">
        <v>202104</v>
      </c>
      <c r="H522" s="8" t="s">
        <v>7018</v>
      </c>
      <c r="I522" s="8">
        <v>202105</v>
      </c>
      <c r="J522" s="8" t="s">
        <v>7018</v>
      </c>
      <c r="K522" s="52">
        <f t="shared" si="95"/>
        <v>44312</v>
      </c>
      <c r="L522" s="52">
        <f t="shared" si="96"/>
        <v>44318</v>
      </c>
      <c r="M522" s="55" t="str">
        <f t="shared" si="97"/>
        <v>26/04/21 @ 
02/05/21</v>
      </c>
    </row>
    <row r="523" spans="2:13" ht="24" x14ac:dyDescent="0.25">
      <c r="B523" s="51">
        <f t="shared" si="98"/>
        <v>521</v>
      </c>
      <c r="C523" s="52">
        <f t="shared" si="98"/>
        <v>44315</v>
      </c>
      <c r="D523" s="53">
        <f t="shared" si="94"/>
        <v>44315</v>
      </c>
      <c r="E523" s="54">
        <f t="shared" si="99"/>
        <v>75</v>
      </c>
      <c r="F523" s="54">
        <f t="shared" si="99"/>
        <v>18</v>
      </c>
      <c r="G523" s="8">
        <v>202104</v>
      </c>
      <c r="H523" s="8" t="s">
        <v>7018</v>
      </c>
      <c r="I523" s="8">
        <v>202105</v>
      </c>
      <c r="J523" s="8" t="s">
        <v>7018</v>
      </c>
      <c r="K523" s="52">
        <f t="shared" si="95"/>
        <v>44312</v>
      </c>
      <c r="L523" s="52">
        <f t="shared" si="96"/>
        <v>44318</v>
      </c>
      <c r="M523" s="55" t="str">
        <f t="shared" si="97"/>
        <v>26/04/21 @ 
02/05/21</v>
      </c>
    </row>
    <row r="524" spans="2:13" ht="24" x14ac:dyDescent="0.25">
      <c r="B524" s="51">
        <f t="shared" si="98"/>
        <v>522</v>
      </c>
      <c r="C524" s="52">
        <f t="shared" si="98"/>
        <v>44316</v>
      </c>
      <c r="D524" s="53">
        <f t="shared" si="94"/>
        <v>44316</v>
      </c>
      <c r="E524" s="54">
        <f t="shared" si="99"/>
        <v>75</v>
      </c>
      <c r="F524" s="54">
        <f t="shared" si="99"/>
        <v>18</v>
      </c>
      <c r="G524" s="8">
        <v>202104</v>
      </c>
      <c r="H524" s="8" t="s">
        <v>7018</v>
      </c>
      <c r="I524" s="8">
        <v>202105</v>
      </c>
      <c r="J524" s="8" t="s">
        <v>7018</v>
      </c>
      <c r="K524" s="52">
        <f t="shared" si="95"/>
        <v>44312</v>
      </c>
      <c r="L524" s="52">
        <f t="shared" si="96"/>
        <v>44318</v>
      </c>
      <c r="M524" s="55" t="str">
        <f t="shared" si="97"/>
        <v>26/04/21 @ 
02/05/21</v>
      </c>
    </row>
    <row r="525" spans="2:13" ht="24" x14ac:dyDescent="0.25">
      <c r="B525" s="51">
        <f t="shared" si="98"/>
        <v>523</v>
      </c>
      <c r="C525" s="52">
        <f t="shared" si="98"/>
        <v>44317</v>
      </c>
      <c r="D525" s="53">
        <f t="shared" si="94"/>
        <v>44317</v>
      </c>
      <c r="E525" s="54">
        <f t="shared" si="99"/>
        <v>75</v>
      </c>
      <c r="F525" s="54">
        <f t="shared" si="99"/>
        <v>18</v>
      </c>
      <c r="G525" s="8">
        <v>202104</v>
      </c>
      <c r="H525" s="8" t="s">
        <v>7018</v>
      </c>
      <c r="I525" s="8">
        <v>202105</v>
      </c>
      <c r="J525" s="8" t="s">
        <v>7018</v>
      </c>
      <c r="K525" s="52">
        <f t="shared" si="95"/>
        <v>44312</v>
      </c>
      <c r="L525" s="52">
        <f t="shared" si="96"/>
        <v>44318</v>
      </c>
      <c r="M525" s="55" t="str">
        <f t="shared" si="97"/>
        <v>26/04/21 @ 
02/05/21</v>
      </c>
    </row>
    <row r="526" spans="2:13" ht="24" x14ac:dyDescent="0.25">
      <c r="B526" s="51">
        <f t="shared" si="98"/>
        <v>524</v>
      </c>
      <c r="C526" s="52">
        <f t="shared" si="98"/>
        <v>44318</v>
      </c>
      <c r="D526" s="53">
        <f t="shared" si="94"/>
        <v>44318</v>
      </c>
      <c r="E526" s="54">
        <f t="shared" si="99"/>
        <v>75</v>
      </c>
      <c r="F526" s="54">
        <f t="shared" si="99"/>
        <v>18</v>
      </c>
      <c r="G526" s="8">
        <v>202104</v>
      </c>
      <c r="H526" s="8" t="s">
        <v>7018</v>
      </c>
      <c r="I526" s="8">
        <v>202105</v>
      </c>
      <c r="J526" s="8" t="s">
        <v>7018</v>
      </c>
      <c r="K526" s="52">
        <f t="shared" si="95"/>
        <v>44312</v>
      </c>
      <c r="L526" s="52">
        <f t="shared" si="96"/>
        <v>44318</v>
      </c>
      <c r="M526" s="55" t="str">
        <f t="shared" si="97"/>
        <v>26/04/21 @ 
02/05/21</v>
      </c>
    </row>
    <row r="527" spans="2:13" ht="24" x14ac:dyDescent="0.25">
      <c r="B527" s="51">
        <f t="shared" si="98"/>
        <v>525</v>
      </c>
      <c r="C527" s="52">
        <f t="shared" si="98"/>
        <v>44319</v>
      </c>
      <c r="D527" s="53">
        <f t="shared" si="94"/>
        <v>44319</v>
      </c>
      <c r="E527" s="54">
        <f t="shared" si="99"/>
        <v>76</v>
      </c>
      <c r="F527" s="54">
        <f t="shared" si="99"/>
        <v>19</v>
      </c>
      <c r="G527" s="8">
        <v>202105</v>
      </c>
      <c r="H527" s="8" t="s">
        <v>7018</v>
      </c>
      <c r="I527" s="8">
        <v>202105</v>
      </c>
      <c r="J527" s="8" t="s">
        <v>7018</v>
      </c>
      <c r="K527" s="52">
        <f t="shared" si="95"/>
        <v>44319</v>
      </c>
      <c r="L527" s="52">
        <f t="shared" si="96"/>
        <v>44325</v>
      </c>
      <c r="M527" s="55" t="str">
        <f t="shared" si="97"/>
        <v>03/05/21 @ 
09/05/21</v>
      </c>
    </row>
    <row r="528" spans="2:13" ht="24" x14ac:dyDescent="0.25">
      <c r="B528" s="51">
        <f t="shared" si="98"/>
        <v>526</v>
      </c>
      <c r="C528" s="52">
        <f t="shared" si="98"/>
        <v>44320</v>
      </c>
      <c r="D528" s="53">
        <f t="shared" si="94"/>
        <v>44320</v>
      </c>
      <c r="E528" s="54">
        <f t="shared" si="99"/>
        <v>76</v>
      </c>
      <c r="F528" s="54">
        <f t="shared" si="99"/>
        <v>19</v>
      </c>
      <c r="G528" s="8">
        <v>202105</v>
      </c>
      <c r="H528" s="8" t="s">
        <v>7018</v>
      </c>
      <c r="I528" s="8">
        <v>202105</v>
      </c>
      <c r="J528" s="8" t="s">
        <v>7018</v>
      </c>
      <c r="K528" s="52">
        <f t="shared" si="95"/>
        <v>44319</v>
      </c>
      <c r="L528" s="52">
        <f t="shared" si="96"/>
        <v>44325</v>
      </c>
      <c r="M528" s="55" t="str">
        <f t="shared" si="97"/>
        <v>03/05/21 @ 
09/05/21</v>
      </c>
    </row>
    <row r="529" spans="2:13" ht="24" x14ac:dyDescent="0.25">
      <c r="B529" s="51">
        <f t="shared" si="98"/>
        <v>527</v>
      </c>
      <c r="C529" s="52">
        <f t="shared" si="98"/>
        <v>44321</v>
      </c>
      <c r="D529" s="53">
        <f t="shared" si="94"/>
        <v>44321</v>
      </c>
      <c r="E529" s="54">
        <f t="shared" si="99"/>
        <v>76</v>
      </c>
      <c r="F529" s="54">
        <f t="shared" si="99"/>
        <v>19</v>
      </c>
      <c r="G529" s="8">
        <v>202105</v>
      </c>
      <c r="H529" s="8" t="s">
        <v>7018</v>
      </c>
      <c r="I529" s="8">
        <v>202105</v>
      </c>
      <c r="J529" s="8" t="s">
        <v>7018</v>
      </c>
      <c r="K529" s="52">
        <f t="shared" si="95"/>
        <v>44319</v>
      </c>
      <c r="L529" s="52">
        <f t="shared" si="96"/>
        <v>44325</v>
      </c>
      <c r="M529" s="55" t="str">
        <f t="shared" si="97"/>
        <v>03/05/21 @ 
09/05/21</v>
      </c>
    </row>
    <row r="530" spans="2:13" ht="24" x14ac:dyDescent="0.25">
      <c r="B530" s="51">
        <f t="shared" si="98"/>
        <v>528</v>
      </c>
      <c r="C530" s="52">
        <f t="shared" si="98"/>
        <v>44322</v>
      </c>
      <c r="D530" s="53">
        <f t="shared" si="94"/>
        <v>44322</v>
      </c>
      <c r="E530" s="54">
        <f t="shared" si="99"/>
        <v>76</v>
      </c>
      <c r="F530" s="54">
        <f t="shared" si="99"/>
        <v>19</v>
      </c>
      <c r="G530" s="8">
        <v>202105</v>
      </c>
      <c r="H530" s="8" t="s">
        <v>7018</v>
      </c>
      <c r="I530" s="8">
        <v>202105</v>
      </c>
      <c r="J530" s="8" t="s">
        <v>7018</v>
      </c>
      <c r="K530" s="52">
        <f t="shared" si="95"/>
        <v>44319</v>
      </c>
      <c r="L530" s="52">
        <f t="shared" si="96"/>
        <v>44325</v>
      </c>
      <c r="M530" s="55" t="str">
        <f t="shared" si="97"/>
        <v>03/05/21 @ 
09/05/21</v>
      </c>
    </row>
    <row r="531" spans="2:13" ht="24" x14ac:dyDescent="0.25">
      <c r="B531" s="51">
        <f t="shared" si="98"/>
        <v>529</v>
      </c>
      <c r="C531" s="52">
        <f t="shared" si="98"/>
        <v>44323</v>
      </c>
      <c r="D531" s="53">
        <f t="shared" si="94"/>
        <v>44323</v>
      </c>
      <c r="E531" s="54">
        <f t="shared" si="99"/>
        <v>76</v>
      </c>
      <c r="F531" s="54">
        <f t="shared" si="99"/>
        <v>19</v>
      </c>
      <c r="G531" s="8">
        <v>202105</v>
      </c>
      <c r="H531" s="8" t="s">
        <v>7018</v>
      </c>
      <c r="I531" s="8">
        <v>202105</v>
      </c>
      <c r="J531" s="8" t="s">
        <v>7018</v>
      </c>
      <c r="K531" s="52">
        <f t="shared" si="95"/>
        <v>44319</v>
      </c>
      <c r="L531" s="52">
        <f t="shared" si="96"/>
        <v>44325</v>
      </c>
      <c r="M531" s="55" t="str">
        <f t="shared" si="97"/>
        <v>03/05/21 @ 
09/05/21</v>
      </c>
    </row>
    <row r="532" spans="2:13" ht="24" x14ac:dyDescent="0.25">
      <c r="B532" s="51">
        <f t="shared" si="98"/>
        <v>530</v>
      </c>
      <c r="C532" s="52">
        <f t="shared" si="98"/>
        <v>44324</v>
      </c>
      <c r="D532" s="53">
        <f t="shared" si="94"/>
        <v>44324</v>
      </c>
      <c r="E532" s="54">
        <f t="shared" si="99"/>
        <v>76</v>
      </c>
      <c r="F532" s="54">
        <f t="shared" si="99"/>
        <v>19</v>
      </c>
      <c r="G532" s="8">
        <v>202105</v>
      </c>
      <c r="H532" s="8" t="s">
        <v>7018</v>
      </c>
      <c r="I532" s="8">
        <v>202105</v>
      </c>
      <c r="J532" s="8" t="s">
        <v>7018</v>
      </c>
      <c r="K532" s="52">
        <f t="shared" si="95"/>
        <v>44319</v>
      </c>
      <c r="L532" s="52">
        <f t="shared" si="96"/>
        <v>44325</v>
      </c>
      <c r="M532" s="55" t="str">
        <f t="shared" si="97"/>
        <v>03/05/21 @ 
09/05/21</v>
      </c>
    </row>
    <row r="533" spans="2:13" ht="24" x14ac:dyDescent="0.25">
      <c r="B533" s="51">
        <f t="shared" ref="B533:C548" si="100">+B532+1</f>
        <v>531</v>
      </c>
      <c r="C533" s="52">
        <f t="shared" si="100"/>
        <v>44325</v>
      </c>
      <c r="D533" s="53">
        <f t="shared" si="94"/>
        <v>44325</v>
      </c>
      <c r="E533" s="54">
        <f t="shared" si="99"/>
        <v>76</v>
      </c>
      <c r="F533" s="54">
        <f t="shared" si="99"/>
        <v>19</v>
      </c>
      <c r="G533" s="8">
        <v>202105</v>
      </c>
      <c r="H533" s="8" t="s">
        <v>7018</v>
      </c>
      <c r="I533" s="8">
        <v>202105</v>
      </c>
      <c r="J533" s="8" t="s">
        <v>7018</v>
      </c>
      <c r="K533" s="52">
        <f t="shared" si="95"/>
        <v>44319</v>
      </c>
      <c r="L533" s="52">
        <f t="shared" si="96"/>
        <v>44325</v>
      </c>
      <c r="M533" s="55" t="str">
        <f t="shared" si="97"/>
        <v>03/05/21 @ 
09/05/21</v>
      </c>
    </row>
    <row r="534" spans="2:13" ht="24" x14ac:dyDescent="0.25">
      <c r="B534" s="51">
        <f t="shared" si="100"/>
        <v>532</v>
      </c>
      <c r="C534" s="52">
        <f t="shared" si="100"/>
        <v>44326</v>
      </c>
      <c r="D534" s="53">
        <f t="shared" si="94"/>
        <v>44326</v>
      </c>
      <c r="E534" s="54">
        <f t="shared" si="99"/>
        <v>77</v>
      </c>
      <c r="F534" s="54">
        <f t="shared" si="99"/>
        <v>20</v>
      </c>
      <c r="G534" s="8">
        <v>202105</v>
      </c>
      <c r="H534" s="8" t="s">
        <v>7018</v>
      </c>
      <c r="I534" s="8">
        <v>202105</v>
      </c>
      <c r="J534" s="8" t="s">
        <v>7018</v>
      </c>
      <c r="K534" s="52">
        <f t="shared" si="95"/>
        <v>44326</v>
      </c>
      <c r="L534" s="52">
        <f t="shared" si="96"/>
        <v>44332</v>
      </c>
      <c r="M534" s="55" t="str">
        <f t="shared" si="97"/>
        <v>10/05/21 @ 
16/05/21</v>
      </c>
    </row>
    <row r="535" spans="2:13" ht="24" x14ac:dyDescent="0.25">
      <c r="B535" s="51">
        <f t="shared" si="100"/>
        <v>533</v>
      </c>
      <c r="C535" s="52">
        <f t="shared" si="100"/>
        <v>44327</v>
      </c>
      <c r="D535" s="53">
        <f t="shared" si="94"/>
        <v>44327</v>
      </c>
      <c r="E535" s="54">
        <f t="shared" si="99"/>
        <v>77</v>
      </c>
      <c r="F535" s="54">
        <f t="shared" si="99"/>
        <v>20</v>
      </c>
      <c r="G535" s="8">
        <v>202105</v>
      </c>
      <c r="H535" s="8" t="s">
        <v>7018</v>
      </c>
      <c r="I535" s="8">
        <v>202105</v>
      </c>
      <c r="J535" s="8" t="s">
        <v>7018</v>
      </c>
      <c r="K535" s="52">
        <f t="shared" si="95"/>
        <v>44326</v>
      </c>
      <c r="L535" s="52">
        <f t="shared" si="96"/>
        <v>44332</v>
      </c>
      <c r="M535" s="55" t="str">
        <f t="shared" si="97"/>
        <v>10/05/21 @ 
16/05/21</v>
      </c>
    </row>
    <row r="536" spans="2:13" ht="24" x14ac:dyDescent="0.25">
      <c r="B536" s="51">
        <f t="shared" si="100"/>
        <v>534</v>
      </c>
      <c r="C536" s="52">
        <f t="shared" si="100"/>
        <v>44328</v>
      </c>
      <c r="D536" s="53">
        <f t="shared" si="94"/>
        <v>44328</v>
      </c>
      <c r="E536" s="54">
        <f t="shared" si="99"/>
        <v>77</v>
      </c>
      <c r="F536" s="54">
        <f t="shared" si="99"/>
        <v>20</v>
      </c>
      <c r="G536" s="8">
        <v>202105</v>
      </c>
      <c r="H536" s="8" t="s">
        <v>7018</v>
      </c>
      <c r="I536" s="8">
        <v>202105</v>
      </c>
      <c r="J536" s="8" t="s">
        <v>7018</v>
      </c>
      <c r="K536" s="52">
        <f t="shared" si="95"/>
        <v>44326</v>
      </c>
      <c r="L536" s="52">
        <f t="shared" si="96"/>
        <v>44332</v>
      </c>
      <c r="M536" s="55" t="str">
        <f t="shared" si="97"/>
        <v>10/05/21 @ 
16/05/21</v>
      </c>
    </row>
    <row r="537" spans="2:13" ht="24" x14ac:dyDescent="0.25">
      <c r="B537" s="51">
        <f t="shared" si="100"/>
        <v>535</v>
      </c>
      <c r="C537" s="52">
        <f t="shared" si="100"/>
        <v>44329</v>
      </c>
      <c r="D537" s="53">
        <f t="shared" si="94"/>
        <v>44329</v>
      </c>
      <c r="E537" s="54">
        <f t="shared" si="99"/>
        <v>77</v>
      </c>
      <c r="F537" s="54">
        <f t="shared" si="99"/>
        <v>20</v>
      </c>
      <c r="G537" s="8">
        <v>202105</v>
      </c>
      <c r="H537" s="8" t="s">
        <v>7018</v>
      </c>
      <c r="I537" s="8">
        <v>202105</v>
      </c>
      <c r="J537" s="8" t="s">
        <v>7018</v>
      </c>
      <c r="K537" s="52">
        <f t="shared" si="95"/>
        <v>44326</v>
      </c>
      <c r="L537" s="52">
        <f t="shared" si="96"/>
        <v>44332</v>
      </c>
      <c r="M537" s="55" t="str">
        <f t="shared" si="97"/>
        <v>10/05/21 @ 
16/05/21</v>
      </c>
    </row>
    <row r="538" spans="2:13" ht="24" x14ac:dyDescent="0.25">
      <c r="B538" s="51">
        <f t="shared" si="100"/>
        <v>536</v>
      </c>
      <c r="C538" s="52">
        <f t="shared" si="100"/>
        <v>44330</v>
      </c>
      <c r="D538" s="53">
        <f t="shared" si="94"/>
        <v>44330</v>
      </c>
      <c r="E538" s="54">
        <f t="shared" ref="E538:F553" si="101">+E531+1</f>
        <v>77</v>
      </c>
      <c r="F538" s="54">
        <f t="shared" si="101"/>
        <v>20</v>
      </c>
      <c r="G538" s="8">
        <v>202105</v>
      </c>
      <c r="H538" s="8" t="s">
        <v>7018</v>
      </c>
      <c r="I538" s="8">
        <v>202105</v>
      </c>
      <c r="J538" s="8" t="s">
        <v>7018</v>
      </c>
      <c r="K538" s="52">
        <f t="shared" si="95"/>
        <v>44326</v>
      </c>
      <c r="L538" s="52">
        <f t="shared" si="96"/>
        <v>44332</v>
      </c>
      <c r="M538" s="55" t="str">
        <f t="shared" si="97"/>
        <v>10/05/21 @ 
16/05/21</v>
      </c>
    </row>
    <row r="539" spans="2:13" ht="24" x14ac:dyDescent="0.25">
      <c r="B539" s="51">
        <f t="shared" si="100"/>
        <v>537</v>
      </c>
      <c r="C539" s="52">
        <f t="shared" si="100"/>
        <v>44331</v>
      </c>
      <c r="D539" s="53">
        <f t="shared" si="94"/>
        <v>44331</v>
      </c>
      <c r="E539" s="54">
        <f t="shared" si="101"/>
        <v>77</v>
      </c>
      <c r="F539" s="54">
        <f t="shared" si="101"/>
        <v>20</v>
      </c>
      <c r="G539" s="8">
        <v>202105</v>
      </c>
      <c r="H539" s="8" t="s">
        <v>7018</v>
      </c>
      <c r="I539" s="8">
        <v>202105</v>
      </c>
      <c r="J539" s="8" t="s">
        <v>7018</v>
      </c>
      <c r="K539" s="52">
        <f t="shared" si="95"/>
        <v>44326</v>
      </c>
      <c r="L539" s="52">
        <f t="shared" si="96"/>
        <v>44332</v>
      </c>
      <c r="M539" s="55" t="str">
        <f t="shared" si="97"/>
        <v>10/05/21 @ 
16/05/21</v>
      </c>
    </row>
    <row r="540" spans="2:13" ht="24" x14ac:dyDescent="0.25">
      <c r="B540" s="51">
        <f t="shared" si="100"/>
        <v>538</v>
      </c>
      <c r="C540" s="52">
        <f t="shared" si="100"/>
        <v>44332</v>
      </c>
      <c r="D540" s="53">
        <f t="shared" si="94"/>
        <v>44332</v>
      </c>
      <c r="E540" s="54">
        <f t="shared" si="101"/>
        <v>77</v>
      </c>
      <c r="F540" s="54">
        <f t="shared" si="101"/>
        <v>20</v>
      </c>
      <c r="G540" s="8">
        <v>202105</v>
      </c>
      <c r="H540" s="8" t="s">
        <v>7018</v>
      </c>
      <c r="I540" s="8">
        <v>202105</v>
      </c>
      <c r="J540" s="8" t="s">
        <v>7018</v>
      </c>
      <c r="K540" s="52">
        <f t="shared" si="95"/>
        <v>44326</v>
      </c>
      <c r="L540" s="52">
        <f t="shared" si="96"/>
        <v>44332</v>
      </c>
      <c r="M540" s="55" t="str">
        <f t="shared" si="97"/>
        <v>10/05/21 @ 
16/05/21</v>
      </c>
    </row>
    <row r="541" spans="2:13" ht="24" x14ac:dyDescent="0.25">
      <c r="B541" s="51">
        <f t="shared" si="100"/>
        <v>539</v>
      </c>
      <c r="C541" s="52">
        <f t="shared" si="100"/>
        <v>44333</v>
      </c>
      <c r="D541" s="53">
        <f t="shared" si="94"/>
        <v>44333</v>
      </c>
      <c r="E541" s="54">
        <f t="shared" si="101"/>
        <v>78</v>
      </c>
      <c r="F541" s="54">
        <f t="shared" si="101"/>
        <v>21</v>
      </c>
      <c r="G541" s="8">
        <v>202105</v>
      </c>
      <c r="H541" s="8" t="s">
        <v>7018</v>
      </c>
      <c r="I541" s="8">
        <v>202105</v>
      </c>
      <c r="J541" s="8" t="s">
        <v>7018</v>
      </c>
      <c r="K541" s="52">
        <f t="shared" si="95"/>
        <v>44333</v>
      </c>
      <c r="L541" s="52">
        <f t="shared" si="96"/>
        <v>44339</v>
      </c>
      <c r="M541" s="55" t="str">
        <f t="shared" si="97"/>
        <v>17/05/21 @ 
23/05/21</v>
      </c>
    </row>
    <row r="542" spans="2:13" ht="24" x14ac:dyDescent="0.25">
      <c r="B542" s="51">
        <f t="shared" si="100"/>
        <v>540</v>
      </c>
      <c r="C542" s="52">
        <f t="shared" si="100"/>
        <v>44334</v>
      </c>
      <c r="D542" s="53">
        <f t="shared" si="94"/>
        <v>44334</v>
      </c>
      <c r="E542" s="54">
        <f t="shared" si="101"/>
        <v>78</v>
      </c>
      <c r="F542" s="54">
        <f t="shared" si="101"/>
        <v>21</v>
      </c>
      <c r="G542" s="8">
        <v>202105</v>
      </c>
      <c r="H542" s="8" t="s">
        <v>7018</v>
      </c>
      <c r="I542" s="8">
        <v>202105</v>
      </c>
      <c r="J542" s="8" t="s">
        <v>7018</v>
      </c>
      <c r="K542" s="52">
        <f t="shared" si="95"/>
        <v>44333</v>
      </c>
      <c r="L542" s="52">
        <f t="shared" si="96"/>
        <v>44339</v>
      </c>
      <c r="M542" s="55" t="str">
        <f t="shared" si="97"/>
        <v>17/05/21 @ 
23/05/21</v>
      </c>
    </row>
    <row r="543" spans="2:13" ht="24" x14ac:dyDescent="0.25">
      <c r="B543" s="51">
        <f t="shared" si="100"/>
        <v>541</v>
      </c>
      <c r="C543" s="52">
        <f t="shared" si="100"/>
        <v>44335</v>
      </c>
      <c r="D543" s="53">
        <f t="shared" si="94"/>
        <v>44335</v>
      </c>
      <c r="E543" s="54">
        <f t="shared" si="101"/>
        <v>78</v>
      </c>
      <c r="F543" s="54">
        <f t="shared" si="101"/>
        <v>21</v>
      </c>
      <c r="G543" s="8">
        <v>202105</v>
      </c>
      <c r="H543" s="8" t="s">
        <v>7018</v>
      </c>
      <c r="I543" s="8">
        <v>202105</v>
      </c>
      <c r="J543" s="8" t="s">
        <v>7018</v>
      </c>
      <c r="K543" s="52">
        <f t="shared" si="95"/>
        <v>44333</v>
      </c>
      <c r="L543" s="52">
        <f t="shared" si="96"/>
        <v>44339</v>
      </c>
      <c r="M543" s="55" t="str">
        <f t="shared" si="97"/>
        <v>17/05/21 @ 
23/05/21</v>
      </c>
    </row>
    <row r="544" spans="2:13" ht="24" x14ac:dyDescent="0.25">
      <c r="B544" s="51">
        <f t="shared" si="100"/>
        <v>542</v>
      </c>
      <c r="C544" s="52">
        <f t="shared" si="100"/>
        <v>44336</v>
      </c>
      <c r="D544" s="53">
        <f t="shared" si="94"/>
        <v>44336</v>
      </c>
      <c r="E544" s="54">
        <f t="shared" si="101"/>
        <v>78</v>
      </c>
      <c r="F544" s="54">
        <f t="shared" si="101"/>
        <v>21</v>
      </c>
      <c r="G544" s="8">
        <v>202105</v>
      </c>
      <c r="H544" s="8" t="s">
        <v>7018</v>
      </c>
      <c r="I544" s="8">
        <v>202105</v>
      </c>
      <c r="J544" s="8" t="s">
        <v>7018</v>
      </c>
      <c r="K544" s="52">
        <f t="shared" si="95"/>
        <v>44333</v>
      </c>
      <c r="L544" s="52">
        <f t="shared" si="96"/>
        <v>44339</v>
      </c>
      <c r="M544" s="55" t="str">
        <f t="shared" si="97"/>
        <v>17/05/21 @ 
23/05/21</v>
      </c>
    </row>
    <row r="545" spans="2:13" ht="24" x14ac:dyDescent="0.25">
      <c r="B545" s="51">
        <f t="shared" si="100"/>
        <v>543</v>
      </c>
      <c r="C545" s="52">
        <f t="shared" si="100"/>
        <v>44337</v>
      </c>
      <c r="D545" s="53">
        <f t="shared" si="94"/>
        <v>44337</v>
      </c>
      <c r="E545" s="54">
        <f t="shared" si="101"/>
        <v>78</v>
      </c>
      <c r="F545" s="54">
        <f t="shared" si="101"/>
        <v>21</v>
      </c>
      <c r="G545" s="8">
        <v>202105</v>
      </c>
      <c r="H545" s="8" t="s">
        <v>7018</v>
      </c>
      <c r="I545" s="8">
        <v>202106</v>
      </c>
      <c r="J545" s="8" t="s">
        <v>7019</v>
      </c>
      <c r="K545" s="52">
        <f t="shared" si="95"/>
        <v>44333</v>
      </c>
      <c r="L545" s="52">
        <f t="shared" si="96"/>
        <v>44339</v>
      </c>
      <c r="M545" s="55" t="str">
        <f t="shared" si="97"/>
        <v>17/05/21 @ 
23/05/21</v>
      </c>
    </row>
    <row r="546" spans="2:13" ht="24" x14ac:dyDescent="0.25">
      <c r="B546" s="51">
        <f t="shared" si="100"/>
        <v>544</v>
      </c>
      <c r="C546" s="52">
        <f t="shared" si="100"/>
        <v>44338</v>
      </c>
      <c r="D546" s="53">
        <f t="shared" si="94"/>
        <v>44338</v>
      </c>
      <c r="E546" s="54">
        <f t="shared" si="101"/>
        <v>78</v>
      </c>
      <c r="F546" s="54">
        <f t="shared" si="101"/>
        <v>21</v>
      </c>
      <c r="G546" s="8">
        <v>202105</v>
      </c>
      <c r="H546" s="8" t="s">
        <v>7018</v>
      </c>
      <c r="I546" s="8">
        <v>202106</v>
      </c>
      <c r="J546" s="8" t="s">
        <v>7019</v>
      </c>
      <c r="K546" s="52">
        <f t="shared" si="95"/>
        <v>44333</v>
      </c>
      <c r="L546" s="52">
        <f t="shared" si="96"/>
        <v>44339</v>
      </c>
      <c r="M546" s="55" t="str">
        <f t="shared" si="97"/>
        <v>17/05/21 @ 
23/05/21</v>
      </c>
    </row>
    <row r="547" spans="2:13" ht="24" x14ac:dyDescent="0.25">
      <c r="B547" s="51">
        <f t="shared" si="100"/>
        <v>545</v>
      </c>
      <c r="C547" s="52">
        <f t="shared" si="100"/>
        <v>44339</v>
      </c>
      <c r="D547" s="53">
        <f t="shared" si="94"/>
        <v>44339</v>
      </c>
      <c r="E547" s="54">
        <f t="shared" si="101"/>
        <v>78</v>
      </c>
      <c r="F547" s="54">
        <f t="shared" si="101"/>
        <v>21</v>
      </c>
      <c r="G547" s="8">
        <v>202105</v>
      </c>
      <c r="H547" s="8" t="s">
        <v>7018</v>
      </c>
      <c r="I547" s="8">
        <v>202106</v>
      </c>
      <c r="J547" s="8" t="s">
        <v>7019</v>
      </c>
      <c r="K547" s="52">
        <f t="shared" si="95"/>
        <v>44333</v>
      </c>
      <c r="L547" s="52">
        <f t="shared" si="96"/>
        <v>44339</v>
      </c>
      <c r="M547" s="55" t="str">
        <f t="shared" si="97"/>
        <v>17/05/21 @ 
23/05/21</v>
      </c>
    </row>
    <row r="548" spans="2:13" ht="24" x14ac:dyDescent="0.25">
      <c r="B548" s="51">
        <f t="shared" si="100"/>
        <v>546</v>
      </c>
      <c r="C548" s="52">
        <f t="shared" si="100"/>
        <v>44340</v>
      </c>
      <c r="D548" s="53">
        <f t="shared" si="94"/>
        <v>44340</v>
      </c>
      <c r="E548" s="54">
        <f t="shared" si="101"/>
        <v>79</v>
      </c>
      <c r="F548" s="54">
        <f t="shared" si="101"/>
        <v>22</v>
      </c>
      <c r="G548" s="8">
        <v>202105</v>
      </c>
      <c r="H548" s="8" t="s">
        <v>7018</v>
      </c>
      <c r="I548" s="8">
        <v>202106</v>
      </c>
      <c r="J548" s="8" t="s">
        <v>7019</v>
      </c>
      <c r="K548" s="52">
        <f t="shared" si="95"/>
        <v>44340</v>
      </c>
      <c r="L548" s="52">
        <f t="shared" si="96"/>
        <v>44346</v>
      </c>
      <c r="M548" s="55" t="str">
        <f t="shared" si="97"/>
        <v>24/05/21 @ 
30/05/21</v>
      </c>
    </row>
    <row r="549" spans="2:13" ht="24" x14ac:dyDescent="0.25">
      <c r="B549" s="51">
        <f t="shared" ref="B549:C564" si="102">+B548+1</f>
        <v>547</v>
      </c>
      <c r="C549" s="52">
        <f t="shared" si="102"/>
        <v>44341</v>
      </c>
      <c r="D549" s="53">
        <f t="shared" si="94"/>
        <v>44341</v>
      </c>
      <c r="E549" s="54">
        <f t="shared" si="101"/>
        <v>79</v>
      </c>
      <c r="F549" s="54">
        <f t="shared" si="101"/>
        <v>22</v>
      </c>
      <c r="G549" s="8">
        <v>202105</v>
      </c>
      <c r="H549" s="8" t="s">
        <v>7018</v>
      </c>
      <c r="I549" s="8">
        <v>202106</v>
      </c>
      <c r="J549" s="8" t="s">
        <v>7019</v>
      </c>
      <c r="K549" s="52">
        <f t="shared" si="95"/>
        <v>44340</v>
      </c>
      <c r="L549" s="52">
        <f t="shared" si="96"/>
        <v>44346</v>
      </c>
      <c r="M549" s="55" t="str">
        <f t="shared" si="97"/>
        <v>24/05/21 @ 
30/05/21</v>
      </c>
    </row>
    <row r="550" spans="2:13" ht="24" x14ac:dyDescent="0.25">
      <c r="B550" s="51">
        <f t="shared" si="102"/>
        <v>548</v>
      </c>
      <c r="C550" s="52">
        <f t="shared" si="102"/>
        <v>44342</v>
      </c>
      <c r="D550" s="53">
        <f t="shared" si="94"/>
        <v>44342</v>
      </c>
      <c r="E550" s="54">
        <f t="shared" si="101"/>
        <v>79</v>
      </c>
      <c r="F550" s="54">
        <f t="shared" si="101"/>
        <v>22</v>
      </c>
      <c r="G550" s="8">
        <v>202105</v>
      </c>
      <c r="H550" s="8" t="s">
        <v>7018</v>
      </c>
      <c r="I550" s="8">
        <v>202106</v>
      </c>
      <c r="J550" s="8" t="s">
        <v>7019</v>
      </c>
      <c r="K550" s="52">
        <f t="shared" si="95"/>
        <v>44340</v>
      </c>
      <c r="L550" s="52">
        <f t="shared" si="96"/>
        <v>44346</v>
      </c>
      <c r="M550" s="55" t="str">
        <f t="shared" si="97"/>
        <v>24/05/21 @ 
30/05/21</v>
      </c>
    </row>
    <row r="551" spans="2:13" ht="24" x14ac:dyDescent="0.25">
      <c r="B551" s="51">
        <f t="shared" si="102"/>
        <v>549</v>
      </c>
      <c r="C551" s="52">
        <f t="shared" si="102"/>
        <v>44343</v>
      </c>
      <c r="D551" s="53">
        <f t="shared" si="94"/>
        <v>44343</v>
      </c>
      <c r="E551" s="54">
        <f t="shared" si="101"/>
        <v>79</v>
      </c>
      <c r="F551" s="54">
        <f t="shared" si="101"/>
        <v>22</v>
      </c>
      <c r="G551" s="8">
        <v>202105</v>
      </c>
      <c r="H551" s="8" t="s">
        <v>7018</v>
      </c>
      <c r="I551" s="8">
        <v>202106</v>
      </c>
      <c r="J551" s="8" t="s">
        <v>7019</v>
      </c>
      <c r="K551" s="52">
        <f t="shared" si="95"/>
        <v>44340</v>
      </c>
      <c r="L551" s="52">
        <f t="shared" si="96"/>
        <v>44346</v>
      </c>
      <c r="M551" s="55" t="str">
        <f t="shared" si="97"/>
        <v>24/05/21 @ 
30/05/21</v>
      </c>
    </row>
    <row r="552" spans="2:13" ht="24" x14ac:dyDescent="0.25">
      <c r="B552" s="51">
        <f t="shared" si="102"/>
        <v>550</v>
      </c>
      <c r="C552" s="52">
        <f t="shared" si="102"/>
        <v>44344</v>
      </c>
      <c r="D552" s="53">
        <f t="shared" si="94"/>
        <v>44344</v>
      </c>
      <c r="E552" s="54">
        <f t="shared" si="101"/>
        <v>79</v>
      </c>
      <c r="F552" s="54">
        <f t="shared" si="101"/>
        <v>22</v>
      </c>
      <c r="G552" s="8">
        <v>202105</v>
      </c>
      <c r="H552" s="8" t="s">
        <v>7018</v>
      </c>
      <c r="I552" s="8">
        <v>202106</v>
      </c>
      <c r="J552" s="8" t="s">
        <v>7019</v>
      </c>
      <c r="K552" s="52">
        <f t="shared" si="95"/>
        <v>44340</v>
      </c>
      <c r="L552" s="52">
        <f t="shared" si="96"/>
        <v>44346</v>
      </c>
      <c r="M552" s="55" t="str">
        <f t="shared" si="97"/>
        <v>24/05/21 @ 
30/05/21</v>
      </c>
    </row>
    <row r="553" spans="2:13" ht="24" x14ac:dyDescent="0.25">
      <c r="B553" s="51">
        <f t="shared" si="102"/>
        <v>551</v>
      </c>
      <c r="C553" s="52">
        <f t="shared" si="102"/>
        <v>44345</v>
      </c>
      <c r="D553" s="53">
        <f t="shared" si="94"/>
        <v>44345</v>
      </c>
      <c r="E553" s="54">
        <f t="shared" si="101"/>
        <v>79</v>
      </c>
      <c r="F553" s="54">
        <f t="shared" si="101"/>
        <v>22</v>
      </c>
      <c r="G553" s="8">
        <v>202105</v>
      </c>
      <c r="H553" s="8" t="s">
        <v>7018</v>
      </c>
      <c r="I553" s="8">
        <v>202106</v>
      </c>
      <c r="J553" s="8" t="s">
        <v>7019</v>
      </c>
      <c r="K553" s="52">
        <f t="shared" si="95"/>
        <v>44340</v>
      </c>
      <c r="L553" s="52">
        <f t="shared" si="96"/>
        <v>44346</v>
      </c>
      <c r="M553" s="55" t="str">
        <f t="shared" si="97"/>
        <v>24/05/21 @ 
30/05/21</v>
      </c>
    </row>
    <row r="554" spans="2:13" ht="24" x14ac:dyDescent="0.25">
      <c r="B554" s="51">
        <f t="shared" si="102"/>
        <v>552</v>
      </c>
      <c r="C554" s="52">
        <f t="shared" si="102"/>
        <v>44346</v>
      </c>
      <c r="D554" s="53">
        <f t="shared" si="94"/>
        <v>44346</v>
      </c>
      <c r="E554" s="54">
        <f t="shared" ref="E554:F569" si="103">+E547+1</f>
        <v>79</v>
      </c>
      <c r="F554" s="54">
        <f t="shared" si="103"/>
        <v>22</v>
      </c>
      <c r="G554" s="8">
        <v>202105</v>
      </c>
      <c r="H554" s="8" t="s">
        <v>7018</v>
      </c>
      <c r="I554" s="8">
        <v>202106</v>
      </c>
      <c r="J554" s="8" t="s">
        <v>7019</v>
      </c>
      <c r="K554" s="52">
        <f t="shared" si="95"/>
        <v>44340</v>
      </c>
      <c r="L554" s="52">
        <f t="shared" si="96"/>
        <v>44346</v>
      </c>
      <c r="M554" s="55" t="str">
        <f t="shared" si="97"/>
        <v>24/05/21 @ 
30/05/21</v>
      </c>
    </row>
    <row r="555" spans="2:13" ht="24" x14ac:dyDescent="0.25">
      <c r="B555" s="51">
        <f t="shared" si="102"/>
        <v>553</v>
      </c>
      <c r="C555" s="52">
        <f t="shared" si="102"/>
        <v>44347</v>
      </c>
      <c r="D555" s="53">
        <f t="shared" si="94"/>
        <v>44347</v>
      </c>
      <c r="E555" s="54">
        <f t="shared" si="103"/>
        <v>80</v>
      </c>
      <c r="F555" s="54">
        <f t="shared" si="103"/>
        <v>23</v>
      </c>
      <c r="G555" s="8">
        <v>202106</v>
      </c>
      <c r="H555" s="8" t="s">
        <v>7019</v>
      </c>
      <c r="I555" s="8">
        <v>202106</v>
      </c>
      <c r="J555" s="8" t="s">
        <v>7019</v>
      </c>
      <c r="K555" s="52">
        <f t="shared" si="95"/>
        <v>44347</v>
      </c>
      <c r="L555" s="52">
        <f t="shared" si="96"/>
        <v>44353</v>
      </c>
      <c r="M555" s="55" t="str">
        <f t="shared" si="97"/>
        <v>31/05/21 @ 
06/06/21</v>
      </c>
    </row>
    <row r="556" spans="2:13" ht="24" x14ac:dyDescent="0.25">
      <c r="B556" s="51">
        <f t="shared" si="102"/>
        <v>554</v>
      </c>
      <c r="C556" s="52">
        <f t="shared" si="102"/>
        <v>44348</v>
      </c>
      <c r="D556" s="53">
        <f t="shared" si="94"/>
        <v>44348</v>
      </c>
      <c r="E556" s="54">
        <f t="shared" si="103"/>
        <v>80</v>
      </c>
      <c r="F556" s="54">
        <f t="shared" si="103"/>
        <v>23</v>
      </c>
      <c r="G556" s="8">
        <v>202106</v>
      </c>
      <c r="H556" s="8" t="s">
        <v>7019</v>
      </c>
      <c r="I556" s="8">
        <v>202106</v>
      </c>
      <c r="J556" s="8" t="s">
        <v>7019</v>
      </c>
      <c r="K556" s="52">
        <f t="shared" si="95"/>
        <v>44347</v>
      </c>
      <c r="L556" s="52">
        <f t="shared" si="96"/>
        <v>44353</v>
      </c>
      <c r="M556" s="55" t="str">
        <f t="shared" si="97"/>
        <v>31/05/21 @ 
06/06/21</v>
      </c>
    </row>
    <row r="557" spans="2:13" ht="24" x14ac:dyDescent="0.25">
      <c r="B557" s="51">
        <f t="shared" si="102"/>
        <v>555</v>
      </c>
      <c r="C557" s="52">
        <f t="shared" si="102"/>
        <v>44349</v>
      </c>
      <c r="D557" s="53">
        <f t="shared" si="94"/>
        <v>44349</v>
      </c>
      <c r="E557" s="54">
        <f t="shared" si="103"/>
        <v>80</v>
      </c>
      <c r="F557" s="54">
        <f t="shared" si="103"/>
        <v>23</v>
      </c>
      <c r="G557" s="8">
        <v>202106</v>
      </c>
      <c r="H557" s="8" t="s">
        <v>7019</v>
      </c>
      <c r="I557" s="8">
        <v>202106</v>
      </c>
      <c r="J557" s="8" t="s">
        <v>7019</v>
      </c>
      <c r="K557" s="52">
        <f t="shared" si="95"/>
        <v>44347</v>
      </c>
      <c r="L557" s="52">
        <f t="shared" si="96"/>
        <v>44353</v>
      </c>
      <c r="M557" s="55" t="str">
        <f t="shared" si="97"/>
        <v>31/05/21 @ 
06/06/21</v>
      </c>
    </row>
    <row r="558" spans="2:13" ht="24" x14ac:dyDescent="0.25">
      <c r="B558" s="51">
        <f t="shared" si="102"/>
        <v>556</v>
      </c>
      <c r="C558" s="52">
        <f t="shared" si="102"/>
        <v>44350</v>
      </c>
      <c r="D558" s="53">
        <f t="shared" si="94"/>
        <v>44350</v>
      </c>
      <c r="E558" s="54">
        <f t="shared" si="103"/>
        <v>80</v>
      </c>
      <c r="F558" s="54">
        <f t="shared" si="103"/>
        <v>23</v>
      </c>
      <c r="G558" s="8">
        <v>202106</v>
      </c>
      <c r="H558" s="8" t="s">
        <v>7019</v>
      </c>
      <c r="I558" s="8">
        <v>202106</v>
      </c>
      <c r="J558" s="8" t="s">
        <v>7019</v>
      </c>
      <c r="K558" s="52">
        <f t="shared" si="95"/>
        <v>44347</v>
      </c>
      <c r="L558" s="52">
        <f t="shared" si="96"/>
        <v>44353</v>
      </c>
      <c r="M558" s="55" t="str">
        <f t="shared" si="97"/>
        <v>31/05/21 @ 
06/06/21</v>
      </c>
    </row>
    <row r="559" spans="2:13" ht="24" x14ac:dyDescent="0.25">
      <c r="B559" s="51">
        <f t="shared" si="102"/>
        <v>557</v>
      </c>
      <c r="C559" s="52">
        <f t="shared" si="102"/>
        <v>44351</v>
      </c>
      <c r="D559" s="53">
        <f t="shared" si="94"/>
        <v>44351</v>
      </c>
      <c r="E559" s="54">
        <f t="shared" si="103"/>
        <v>80</v>
      </c>
      <c r="F559" s="54">
        <f t="shared" si="103"/>
        <v>23</v>
      </c>
      <c r="G559" s="8">
        <v>202106</v>
      </c>
      <c r="H559" s="8" t="s">
        <v>7019</v>
      </c>
      <c r="I559" s="8">
        <v>202106</v>
      </c>
      <c r="J559" s="8" t="s">
        <v>7019</v>
      </c>
      <c r="K559" s="52">
        <f t="shared" si="95"/>
        <v>44347</v>
      </c>
      <c r="L559" s="52">
        <f t="shared" si="96"/>
        <v>44353</v>
      </c>
      <c r="M559" s="55" t="str">
        <f t="shared" si="97"/>
        <v>31/05/21 @ 
06/06/21</v>
      </c>
    </row>
    <row r="560" spans="2:13" ht="24" x14ac:dyDescent="0.25">
      <c r="B560" s="51">
        <f t="shared" si="102"/>
        <v>558</v>
      </c>
      <c r="C560" s="52">
        <f t="shared" si="102"/>
        <v>44352</v>
      </c>
      <c r="D560" s="53">
        <f t="shared" si="94"/>
        <v>44352</v>
      </c>
      <c r="E560" s="54">
        <f t="shared" si="103"/>
        <v>80</v>
      </c>
      <c r="F560" s="54">
        <f t="shared" si="103"/>
        <v>23</v>
      </c>
      <c r="G560" s="8">
        <v>202106</v>
      </c>
      <c r="H560" s="8" t="s">
        <v>7019</v>
      </c>
      <c r="I560" s="8">
        <v>202106</v>
      </c>
      <c r="J560" s="8" t="s">
        <v>7019</v>
      </c>
      <c r="K560" s="52">
        <f t="shared" si="95"/>
        <v>44347</v>
      </c>
      <c r="L560" s="52">
        <f t="shared" si="96"/>
        <v>44353</v>
      </c>
      <c r="M560" s="55" t="str">
        <f t="shared" si="97"/>
        <v>31/05/21 @ 
06/06/21</v>
      </c>
    </row>
    <row r="561" spans="2:22" ht="24" x14ac:dyDescent="0.25">
      <c r="B561" s="51">
        <f t="shared" si="102"/>
        <v>559</v>
      </c>
      <c r="C561" s="52">
        <f t="shared" si="102"/>
        <v>44353</v>
      </c>
      <c r="D561" s="53">
        <f t="shared" si="94"/>
        <v>44353</v>
      </c>
      <c r="E561" s="54">
        <f t="shared" si="103"/>
        <v>80</v>
      </c>
      <c r="F561" s="54">
        <f t="shared" si="103"/>
        <v>23</v>
      </c>
      <c r="G561" s="8">
        <v>202106</v>
      </c>
      <c r="H561" s="8" t="s">
        <v>7019</v>
      </c>
      <c r="I561" s="8">
        <v>202106</v>
      </c>
      <c r="J561" s="8" t="s">
        <v>7019</v>
      </c>
      <c r="K561" s="52">
        <f t="shared" si="95"/>
        <v>44347</v>
      </c>
      <c r="L561" s="52">
        <f t="shared" si="96"/>
        <v>44353</v>
      </c>
      <c r="M561" s="55" t="str">
        <f t="shared" si="97"/>
        <v>31/05/21 @ 
06/06/21</v>
      </c>
    </row>
    <row r="562" spans="2:22" ht="24" x14ac:dyDescent="0.25">
      <c r="B562" s="51">
        <f t="shared" si="102"/>
        <v>560</v>
      </c>
      <c r="C562" s="52">
        <f t="shared" si="102"/>
        <v>44354</v>
      </c>
      <c r="D562" s="53">
        <f t="shared" si="94"/>
        <v>44354</v>
      </c>
      <c r="E562" s="54">
        <f t="shared" si="103"/>
        <v>81</v>
      </c>
      <c r="F562" s="54">
        <f t="shared" si="103"/>
        <v>24</v>
      </c>
      <c r="G562" s="8">
        <v>202106</v>
      </c>
      <c r="H562" s="8" t="s">
        <v>7019</v>
      </c>
      <c r="I562" s="8">
        <v>202106</v>
      </c>
      <c r="J562" s="8" t="s">
        <v>7019</v>
      </c>
      <c r="K562" s="52">
        <f t="shared" si="95"/>
        <v>44354</v>
      </c>
      <c r="L562" s="52">
        <f t="shared" si="96"/>
        <v>44360</v>
      </c>
      <c r="M562" s="55" t="str">
        <f t="shared" si="97"/>
        <v>07/06/21 @ 
13/06/21</v>
      </c>
    </row>
    <row r="563" spans="2:22" ht="24" x14ac:dyDescent="0.25">
      <c r="B563" s="51">
        <f t="shared" si="102"/>
        <v>561</v>
      </c>
      <c r="C563" s="52">
        <f t="shared" si="102"/>
        <v>44355</v>
      </c>
      <c r="D563" s="53">
        <f t="shared" si="94"/>
        <v>44355</v>
      </c>
      <c r="E563" s="54">
        <f t="shared" si="103"/>
        <v>81</v>
      </c>
      <c r="F563" s="54">
        <f t="shared" si="103"/>
        <v>24</v>
      </c>
      <c r="G563" s="8">
        <v>202106</v>
      </c>
      <c r="H563" s="8" t="s">
        <v>7019</v>
      </c>
      <c r="I563" s="8">
        <v>202106</v>
      </c>
      <c r="J563" s="8" t="s">
        <v>7019</v>
      </c>
      <c r="K563" s="52">
        <f t="shared" si="95"/>
        <v>44354</v>
      </c>
      <c r="L563" s="52">
        <f t="shared" si="96"/>
        <v>44360</v>
      </c>
      <c r="M563" s="55" t="str">
        <f t="shared" si="97"/>
        <v>07/06/21 @ 
13/06/21</v>
      </c>
    </row>
    <row r="564" spans="2:22" ht="24" x14ac:dyDescent="0.25">
      <c r="B564" s="51">
        <f t="shared" si="102"/>
        <v>562</v>
      </c>
      <c r="C564" s="52">
        <f t="shared" si="102"/>
        <v>44356</v>
      </c>
      <c r="D564" s="53">
        <f t="shared" si="94"/>
        <v>44356</v>
      </c>
      <c r="E564" s="54">
        <f t="shared" si="103"/>
        <v>81</v>
      </c>
      <c r="F564" s="54">
        <f t="shared" si="103"/>
        <v>24</v>
      </c>
      <c r="G564" s="8">
        <v>202106</v>
      </c>
      <c r="H564" s="8" t="s">
        <v>7019</v>
      </c>
      <c r="I564" s="8">
        <v>202106</v>
      </c>
      <c r="J564" s="8" t="s">
        <v>7019</v>
      </c>
      <c r="K564" s="52">
        <f t="shared" si="95"/>
        <v>44354</v>
      </c>
      <c r="L564" s="52">
        <f t="shared" si="96"/>
        <v>44360</v>
      </c>
      <c r="M564" s="55" t="str">
        <f t="shared" si="97"/>
        <v>07/06/21 @ 
13/06/21</v>
      </c>
    </row>
    <row r="565" spans="2:22" ht="24" x14ac:dyDescent="0.25">
      <c r="B565" s="51">
        <f t="shared" ref="B565:C580" si="104">+B564+1</f>
        <v>563</v>
      </c>
      <c r="C565" s="52">
        <f t="shared" si="104"/>
        <v>44357</v>
      </c>
      <c r="D565" s="53">
        <f t="shared" si="94"/>
        <v>44357</v>
      </c>
      <c r="E565" s="54">
        <f t="shared" si="103"/>
        <v>81</v>
      </c>
      <c r="F565" s="54">
        <f t="shared" si="103"/>
        <v>24</v>
      </c>
      <c r="G565" s="8">
        <v>202106</v>
      </c>
      <c r="H565" s="8" t="s">
        <v>7019</v>
      </c>
      <c r="I565" s="8">
        <v>202106</v>
      </c>
      <c r="J565" s="8" t="s">
        <v>7019</v>
      </c>
      <c r="K565" s="52">
        <f t="shared" si="95"/>
        <v>44354</v>
      </c>
      <c r="L565" s="52">
        <f t="shared" si="96"/>
        <v>44360</v>
      </c>
      <c r="M565" s="55" t="str">
        <f t="shared" si="97"/>
        <v>07/06/21 @ 
13/06/21</v>
      </c>
    </row>
    <row r="566" spans="2:22" ht="24" x14ac:dyDescent="0.25">
      <c r="B566" s="51">
        <f t="shared" si="104"/>
        <v>564</v>
      </c>
      <c r="C566" s="52">
        <f t="shared" si="104"/>
        <v>44358</v>
      </c>
      <c r="D566" s="53">
        <f t="shared" si="94"/>
        <v>44358</v>
      </c>
      <c r="E566" s="54">
        <f t="shared" si="103"/>
        <v>81</v>
      </c>
      <c r="F566" s="54">
        <f t="shared" si="103"/>
        <v>24</v>
      </c>
      <c r="G566" s="8">
        <v>202106</v>
      </c>
      <c r="H566" s="8" t="s">
        <v>7019</v>
      </c>
      <c r="I566" s="8">
        <v>202106</v>
      </c>
      <c r="J566" s="8" t="s">
        <v>7019</v>
      </c>
      <c r="K566" s="52">
        <f t="shared" si="95"/>
        <v>44354</v>
      </c>
      <c r="L566" s="52">
        <f t="shared" si="96"/>
        <v>44360</v>
      </c>
      <c r="M566" s="55" t="str">
        <f t="shared" si="97"/>
        <v>07/06/21 @ 
13/06/21</v>
      </c>
    </row>
    <row r="567" spans="2:22" ht="24" x14ac:dyDescent="0.25">
      <c r="B567" s="51">
        <f t="shared" si="104"/>
        <v>565</v>
      </c>
      <c r="C567" s="52">
        <f t="shared" si="104"/>
        <v>44359</v>
      </c>
      <c r="D567" s="53">
        <f t="shared" si="94"/>
        <v>44359</v>
      </c>
      <c r="E567" s="54">
        <f t="shared" si="103"/>
        <v>81</v>
      </c>
      <c r="F567" s="54">
        <f t="shared" si="103"/>
        <v>24</v>
      </c>
      <c r="G567" s="8">
        <v>202106</v>
      </c>
      <c r="H567" s="8" t="s">
        <v>7019</v>
      </c>
      <c r="I567" s="8">
        <v>202106</v>
      </c>
      <c r="J567" s="8" t="s">
        <v>7019</v>
      </c>
      <c r="K567" s="52">
        <f t="shared" si="95"/>
        <v>44354</v>
      </c>
      <c r="L567" s="52">
        <f t="shared" si="96"/>
        <v>44360</v>
      </c>
      <c r="M567" s="55" t="str">
        <f t="shared" si="97"/>
        <v>07/06/21 @ 
13/06/21</v>
      </c>
    </row>
    <row r="568" spans="2:22" ht="24" x14ac:dyDescent="0.25">
      <c r="B568" s="51">
        <f t="shared" si="104"/>
        <v>566</v>
      </c>
      <c r="C568" s="52">
        <f t="shared" si="104"/>
        <v>44360</v>
      </c>
      <c r="D568" s="53">
        <f t="shared" si="94"/>
        <v>44360</v>
      </c>
      <c r="E568" s="54">
        <f t="shared" si="103"/>
        <v>81</v>
      </c>
      <c r="F568" s="54">
        <f t="shared" si="103"/>
        <v>24</v>
      </c>
      <c r="G568" s="8">
        <v>202106</v>
      </c>
      <c r="H568" s="8" t="s">
        <v>7019</v>
      </c>
      <c r="I568" s="8">
        <v>202106</v>
      </c>
      <c r="J568" s="8" t="s">
        <v>7019</v>
      </c>
      <c r="K568" s="52">
        <f t="shared" si="95"/>
        <v>44354</v>
      </c>
      <c r="L568" s="52">
        <f t="shared" si="96"/>
        <v>44360</v>
      </c>
      <c r="M568" s="55" t="str">
        <f t="shared" si="97"/>
        <v>07/06/21 @ 
13/06/21</v>
      </c>
    </row>
    <row r="569" spans="2:22" ht="24" x14ac:dyDescent="0.25">
      <c r="B569" s="51">
        <f t="shared" si="104"/>
        <v>567</v>
      </c>
      <c r="C569" s="52">
        <f t="shared" si="104"/>
        <v>44361</v>
      </c>
      <c r="D569" s="53">
        <f t="shared" si="94"/>
        <v>44361</v>
      </c>
      <c r="E569" s="54">
        <f t="shared" si="103"/>
        <v>82</v>
      </c>
      <c r="F569" s="54">
        <f t="shared" si="103"/>
        <v>25</v>
      </c>
      <c r="G569" s="8">
        <v>202106</v>
      </c>
      <c r="H569" s="8" t="s">
        <v>7019</v>
      </c>
      <c r="I569" s="8">
        <v>202106</v>
      </c>
      <c r="J569" s="8" t="s">
        <v>7019</v>
      </c>
      <c r="K569" s="52">
        <f t="shared" si="95"/>
        <v>44361</v>
      </c>
      <c r="L569" s="52">
        <f t="shared" si="96"/>
        <v>44367</v>
      </c>
      <c r="M569" s="55" t="str">
        <f t="shared" si="97"/>
        <v>14/06/21 @ 
20/06/21</v>
      </c>
    </row>
    <row r="570" spans="2:22" ht="24" x14ac:dyDescent="0.25">
      <c r="B570" s="51">
        <f t="shared" si="104"/>
        <v>568</v>
      </c>
      <c r="C570" s="52">
        <f t="shared" si="104"/>
        <v>44362</v>
      </c>
      <c r="D570" s="53">
        <f t="shared" si="94"/>
        <v>44362</v>
      </c>
      <c r="E570" s="54">
        <f t="shared" ref="E570:F585" si="105">+E563+1</f>
        <v>82</v>
      </c>
      <c r="F570" s="54">
        <f t="shared" si="105"/>
        <v>25</v>
      </c>
      <c r="G570" s="8">
        <v>202106</v>
      </c>
      <c r="H570" s="8" t="s">
        <v>7019</v>
      </c>
      <c r="I570" s="8">
        <v>202106</v>
      </c>
      <c r="J570" s="8" t="s">
        <v>7019</v>
      </c>
      <c r="K570" s="52">
        <f t="shared" si="95"/>
        <v>44361</v>
      </c>
      <c r="L570" s="52">
        <f t="shared" si="96"/>
        <v>44367</v>
      </c>
      <c r="M570" s="55" t="str">
        <f t="shared" si="97"/>
        <v>14/06/21 @ 
20/06/21</v>
      </c>
    </row>
    <row r="571" spans="2:22" ht="24" x14ac:dyDescent="0.25">
      <c r="B571" s="51">
        <f t="shared" si="104"/>
        <v>569</v>
      </c>
      <c r="C571" s="52">
        <f t="shared" si="104"/>
        <v>44363</v>
      </c>
      <c r="D571" s="53">
        <f t="shared" si="94"/>
        <v>44363</v>
      </c>
      <c r="E571" s="54">
        <f t="shared" si="105"/>
        <v>82</v>
      </c>
      <c r="F571" s="54">
        <f t="shared" si="105"/>
        <v>25</v>
      </c>
      <c r="G571" s="8">
        <v>202106</v>
      </c>
      <c r="H571" s="8" t="s">
        <v>7019</v>
      </c>
      <c r="I571" s="8">
        <v>202106</v>
      </c>
      <c r="J571" s="8" t="s">
        <v>7019</v>
      </c>
      <c r="K571" s="52">
        <f t="shared" si="95"/>
        <v>44361</v>
      </c>
      <c r="L571" s="52">
        <f t="shared" si="96"/>
        <v>44367</v>
      </c>
      <c r="M571" s="55" t="str">
        <f t="shared" si="97"/>
        <v>14/06/21 @ 
20/06/21</v>
      </c>
    </row>
    <row r="572" spans="2:22" ht="24" x14ac:dyDescent="0.25">
      <c r="B572" s="51">
        <f t="shared" si="104"/>
        <v>570</v>
      </c>
      <c r="C572" s="52">
        <f t="shared" si="104"/>
        <v>44364</v>
      </c>
      <c r="D572" s="53">
        <f t="shared" si="94"/>
        <v>44364</v>
      </c>
      <c r="E572" s="54">
        <f t="shared" si="105"/>
        <v>82</v>
      </c>
      <c r="F572" s="54">
        <f t="shared" si="105"/>
        <v>25</v>
      </c>
      <c r="G572" s="8">
        <v>202106</v>
      </c>
      <c r="H572" s="8" t="s">
        <v>7019</v>
      </c>
      <c r="I572" s="8">
        <v>202106</v>
      </c>
      <c r="J572" s="8" t="s">
        <v>7019</v>
      </c>
      <c r="K572" s="52">
        <f t="shared" si="95"/>
        <v>44361</v>
      </c>
      <c r="L572" s="52">
        <f t="shared" si="96"/>
        <v>44367</v>
      </c>
      <c r="M572" s="55" t="str">
        <f t="shared" si="97"/>
        <v>14/06/21 @ 
20/06/21</v>
      </c>
    </row>
    <row r="573" spans="2:22" ht="24" x14ac:dyDescent="0.25">
      <c r="B573" s="51">
        <f t="shared" si="104"/>
        <v>571</v>
      </c>
      <c r="C573" s="52">
        <f t="shared" si="104"/>
        <v>44365</v>
      </c>
      <c r="D573" s="53">
        <f t="shared" si="94"/>
        <v>44365</v>
      </c>
      <c r="E573" s="54">
        <f t="shared" si="105"/>
        <v>82</v>
      </c>
      <c r="F573" s="54">
        <f t="shared" si="105"/>
        <v>25</v>
      </c>
      <c r="G573" s="8">
        <v>202106</v>
      </c>
      <c r="H573" s="8" t="s">
        <v>7019</v>
      </c>
      <c r="I573" s="8">
        <v>202106</v>
      </c>
      <c r="J573" s="8" t="s">
        <v>7019</v>
      </c>
      <c r="K573" s="52">
        <f t="shared" si="95"/>
        <v>44361</v>
      </c>
      <c r="L573" s="52">
        <f t="shared" si="96"/>
        <v>44367</v>
      </c>
      <c r="M573" s="55" t="str">
        <f t="shared" si="97"/>
        <v>14/06/21 @ 
20/06/21</v>
      </c>
      <c r="S573" s="56">
        <v>0.35</v>
      </c>
      <c r="V573" s="57"/>
    </row>
    <row r="574" spans="2:22" ht="24" x14ac:dyDescent="0.25">
      <c r="B574" s="51">
        <f t="shared" si="104"/>
        <v>572</v>
      </c>
      <c r="C574" s="52">
        <f t="shared" si="104"/>
        <v>44366</v>
      </c>
      <c r="D574" s="53">
        <f t="shared" si="94"/>
        <v>44366</v>
      </c>
      <c r="E574" s="54">
        <f t="shared" si="105"/>
        <v>82</v>
      </c>
      <c r="F574" s="54">
        <f t="shared" si="105"/>
        <v>25</v>
      </c>
      <c r="G574" s="8">
        <v>202106</v>
      </c>
      <c r="H574" s="8" t="s">
        <v>7019</v>
      </c>
      <c r="I574" s="8">
        <v>202106</v>
      </c>
      <c r="J574" s="8" t="s">
        <v>7019</v>
      </c>
      <c r="K574" s="52">
        <f t="shared" si="95"/>
        <v>44361</v>
      </c>
      <c r="L574" s="52">
        <f t="shared" si="96"/>
        <v>44367</v>
      </c>
      <c r="M574" s="55" t="str">
        <f t="shared" si="97"/>
        <v>14/06/21 @ 
20/06/21</v>
      </c>
    </row>
    <row r="575" spans="2:22" ht="24" x14ac:dyDescent="0.25">
      <c r="B575" s="51">
        <f t="shared" si="104"/>
        <v>573</v>
      </c>
      <c r="C575" s="52">
        <f t="shared" si="104"/>
        <v>44367</v>
      </c>
      <c r="D575" s="53">
        <f t="shared" si="94"/>
        <v>44367</v>
      </c>
      <c r="E575" s="54">
        <f t="shared" si="105"/>
        <v>82</v>
      </c>
      <c r="F575" s="54">
        <f t="shared" si="105"/>
        <v>25</v>
      </c>
      <c r="G575" s="8">
        <v>202106</v>
      </c>
      <c r="H575" s="8" t="s">
        <v>7019</v>
      </c>
      <c r="I575" s="8">
        <v>202106</v>
      </c>
      <c r="J575" s="8" t="s">
        <v>7019</v>
      </c>
      <c r="K575" s="52">
        <f t="shared" si="95"/>
        <v>44361</v>
      </c>
      <c r="L575" s="52">
        <f t="shared" si="96"/>
        <v>44367</v>
      </c>
      <c r="M575" s="55" t="str">
        <f t="shared" si="97"/>
        <v>14/06/21 @ 
20/06/21</v>
      </c>
    </row>
    <row r="576" spans="2:22" ht="24" x14ac:dyDescent="0.25">
      <c r="B576" s="51">
        <f t="shared" si="104"/>
        <v>574</v>
      </c>
      <c r="C576" s="52">
        <f t="shared" si="104"/>
        <v>44368</v>
      </c>
      <c r="D576" s="53">
        <f t="shared" si="94"/>
        <v>44368</v>
      </c>
      <c r="E576" s="54">
        <f t="shared" si="105"/>
        <v>83</v>
      </c>
      <c r="F576" s="54">
        <f t="shared" si="105"/>
        <v>26</v>
      </c>
      <c r="G576" s="8">
        <v>202106</v>
      </c>
      <c r="H576" s="8" t="s">
        <v>7019</v>
      </c>
      <c r="I576" s="8">
        <v>202107</v>
      </c>
      <c r="J576" s="8" t="s">
        <v>7020</v>
      </c>
      <c r="K576" s="52">
        <f t="shared" si="95"/>
        <v>44368</v>
      </c>
      <c r="L576" s="52">
        <f t="shared" si="96"/>
        <v>44374</v>
      </c>
      <c r="M576" s="55" t="str">
        <f t="shared" si="97"/>
        <v>21/06/21 @ 
27/06/21</v>
      </c>
    </row>
    <row r="577" spans="2:13" ht="24" x14ac:dyDescent="0.25">
      <c r="B577" s="51">
        <f t="shared" si="104"/>
        <v>575</v>
      </c>
      <c r="C577" s="52">
        <f t="shared" si="104"/>
        <v>44369</v>
      </c>
      <c r="D577" s="53">
        <f t="shared" si="94"/>
        <v>44369</v>
      </c>
      <c r="E577" s="54">
        <f t="shared" si="105"/>
        <v>83</v>
      </c>
      <c r="F577" s="54">
        <f t="shared" si="105"/>
        <v>26</v>
      </c>
      <c r="G577" s="8">
        <v>202106</v>
      </c>
      <c r="H577" s="8" t="s">
        <v>7019</v>
      </c>
      <c r="I577" s="8">
        <v>202107</v>
      </c>
      <c r="J577" s="8" t="s">
        <v>7020</v>
      </c>
      <c r="K577" s="52">
        <f t="shared" si="95"/>
        <v>44368</v>
      </c>
      <c r="L577" s="52">
        <f t="shared" si="96"/>
        <v>44374</v>
      </c>
      <c r="M577" s="55" t="str">
        <f t="shared" si="97"/>
        <v>21/06/21 @ 
27/06/21</v>
      </c>
    </row>
    <row r="578" spans="2:13" ht="24" x14ac:dyDescent="0.25">
      <c r="B578" s="51">
        <f t="shared" si="104"/>
        <v>576</v>
      </c>
      <c r="C578" s="52">
        <f t="shared" si="104"/>
        <v>44370</v>
      </c>
      <c r="D578" s="53">
        <f t="shared" si="94"/>
        <v>44370</v>
      </c>
      <c r="E578" s="54">
        <f t="shared" si="105"/>
        <v>83</v>
      </c>
      <c r="F578" s="54">
        <f t="shared" si="105"/>
        <v>26</v>
      </c>
      <c r="G578" s="8">
        <v>202106</v>
      </c>
      <c r="H578" s="8" t="s">
        <v>7019</v>
      </c>
      <c r="I578" s="8">
        <v>202107</v>
      </c>
      <c r="J578" s="8" t="s">
        <v>7020</v>
      </c>
      <c r="K578" s="52">
        <f t="shared" si="95"/>
        <v>44368</v>
      </c>
      <c r="L578" s="52">
        <f t="shared" si="96"/>
        <v>44374</v>
      </c>
      <c r="M578" s="55" t="str">
        <f t="shared" si="97"/>
        <v>21/06/21 @ 
27/06/21</v>
      </c>
    </row>
    <row r="579" spans="2:13" ht="24" x14ac:dyDescent="0.25">
      <c r="B579" s="51">
        <f t="shared" si="104"/>
        <v>577</v>
      </c>
      <c r="C579" s="52">
        <f t="shared" si="104"/>
        <v>44371</v>
      </c>
      <c r="D579" s="53">
        <f t="shared" ref="D579:D642" si="106">+C579</f>
        <v>44371</v>
      </c>
      <c r="E579" s="54">
        <f t="shared" si="105"/>
        <v>83</v>
      </c>
      <c r="F579" s="54">
        <f t="shared" si="105"/>
        <v>26</v>
      </c>
      <c r="G579" s="8">
        <v>202106</v>
      </c>
      <c r="H579" s="8" t="s">
        <v>7019</v>
      </c>
      <c r="I579" s="8">
        <v>202107</v>
      </c>
      <c r="J579" s="8" t="s">
        <v>7020</v>
      </c>
      <c r="K579" s="52">
        <f t="shared" ref="K579:K642" si="107">_xlfn.MINIFS($C$2:$C$890,$E$2:$E$890,E579)</f>
        <v>44368</v>
      </c>
      <c r="L579" s="52">
        <f t="shared" ref="L579:L642" si="108">_xlfn.MAXIFS($C$2:$C$890,$E$2:$E$890,E579)</f>
        <v>44374</v>
      </c>
      <c r="M579" s="55" t="str">
        <f t="shared" ref="M579:M642" si="109">CONCATENATE(TEXT(K579,"DD/MM/YY")," @ ",CHAR(10),TEXT(L579,"DD/MM/YY"))</f>
        <v>21/06/21 @ 
27/06/21</v>
      </c>
    </row>
    <row r="580" spans="2:13" ht="24" x14ac:dyDescent="0.25">
      <c r="B580" s="51">
        <f t="shared" si="104"/>
        <v>578</v>
      </c>
      <c r="C580" s="52">
        <f t="shared" si="104"/>
        <v>44372</v>
      </c>
      <c r="D580" s="53">
        <f t="shared" si="106"/>
        <v>44372</v>
      </c>
      <c r="E580" s="54">
        <f t="shared" si="105"/>
        <v>83</v>
      </c>
      <c r="F580" s="54">
        <f t="shared" si="105"/>
        <v>26</v>
      </c>
      <c r="G580" s="8">
        <v>202106</v>
      </c>
      <c r="H580" s="8" t="s">
        <v>7019</v>
      </c>
      <c r="I580" s="8">
        <v>202107</v>
      </c>
      <c r="J580" s="8" t="s">
        <v>7020</v>
      </c>
      <c r="K580" s="52">
        <f t="shared" si="107"/>
        <v>44368</v>
      </c>
      <c r="L580" s="52">
        <f t="shared" si="108"/>
        <v>44374</v>
      </c>
      <c r="M580" s="55" t="str">
        <f t="shared" si="109"/>
        <v>21/06/21 @ 
27/06/21</v>
      </c>
    </row>
    <row r="581" spans="2:13" ht="24" x14ac:dyDescent="0.25">
      <c r="B581" s="51">
        <f t="shared" ref="B581:C596" si="110">+B580+1</f>
        <v>579</v>
      </c>
      <c r="C581" s="52">
        <f t="shared" si="110"/>
        <v>44373</v>
      </c>
      <c r="D581" s="53">
        <f t="shared" si="106"/>
        <v>44373</v>
      </c>
      <c r="E581" s="54">
        <f t="shared" si="105"/>
        <v>83</v>
      </c>
      <c r="F581" s="54">
        <f t="shared" si="105"/>
        <v>26</v>
      </c>
      <c r="G581" s="8">
        <v>202106</v>
      </c>
      <c r="H581" s="8" t="s">
        <v>7019</v>
      </c>
      <c r="I581" s="8">
        <v>202107</v>
      </c>
      <c r="J581" s="8" t="s">
        <v>7020</v>
      </c>
      <c r="K581" s="52">
        <f t="shared" si="107"/>
        <v>44368</v>
      </c>
      <c r="L581" s="52">
        <f t="shared" si="108"/>
        <v>44374</v>
      </c>
      <c r="M581" s="55" t="str">
        <f t="shared" si="109"/>
        <v>21/06/21 @ 
27/06/21</v>
      </c>
    </row>
    <row r="582" spans="2:13" ht="24" x14ac:dyDescent="0.25">
      <c r="B582" s="51">
        <f t="shared" si="110"/>
        <v>580</v>
      </c>
      <c r="C582" s="52">
        <f t="shared" si="110"/>
        <v>44374</v>
      </c>
      <c r="D582" s="53">
        <f t="shared" si="106"/>
        <v>44374</v>
      </c>
      <c r="E582" s="54">
        <f t="shared" si="105"/>
        <v>83</v>
      </c>
      <c r="F582" s="54">
        <f t="shared" si="105"/>
        <v>26</v>
      </c>
      <c r="G582" s="8">
        <v>202106</v>
      </c>
      <c r="H582" s="8" t="s">
        <v>7019</v>
      </c>
      <c r="I582" s="8">
        <v>202107</v>
      </c>
      <c r="J582" s="8" t="s">
        <v>7020</v>
      </c>
      <c r="K582" s="52">
        <f t="shared" si="107"/>
        <v>44368</v>
      </c>
      <c r="L582" s="52">
        <f t="shared" si="108"/>
        <v>44374</v>
      </c>
      <c r="M582" s="55" t="str">
        <f t="shared" si="109"/>
        <v>21/06/21 @ 
27/06/21</v>
      </c>
    </row>
    <row r="583" spans="2:13" ht="24" x14ac:dyDescent="0.25">
      <c r="B583" s="51">
        <f t="shared" si="110"/>
        <v>581</v>
      </c>
      <c r="C583" s="52">
        <f t="shared" si="110"/>
        <v>44375</v>
      </c>
      <c r="D583" s="53">
        <f t="shared" si="106"/>
        <v>44375</v>
      </c>
      <c r="E583" s="54">
        <f t="shared" si="105"/>
        <v>84</v>
      </c>
      <c r="F583" s="54">
        <f t="shared" si="105"/>
        <v>27</v>
      </c>
      <c r="G583" s="8">
        <v>202107</v>
      </c>
      <c r="H583" s="8" t="s">
        <v>7020</v>
      </c>
      <c r="I583" s="8">
        <v>202107</v>
      </c>
      <c r="J583" s="8" t="s">
        <v>7020</v>
      </c>
      <c r="K583" s="52">
        <f t="shared" si="107"/>
        <v>44375</v>
      </c>
      <c r="L583" s="52">
        <f t="shared" si="108"/>
        <v>44381</v>
      </c>
      <c r="M583" s="55" t="str">
        <f t="shared" si="109"/>
        <v>28/06/21 @ 
04/07/21</v>
      </c>
    </row>
    <row r="584" spans="2:13" ht="24" x14ac:dyDescent="0.25">
      <c r="B584" s="51">
        <f t="shared" si="110"/>
        <v>582</v>
      </c>
      <c r="C584" s="52">
        <f t="shared" si="110"/>
        <v>44376</v>
      </c>
      <c r="D584" s="53">
        <f t="shared" si="106"/>
        <v>44376</v>
      </c>
      <c r="E584" s="54">
        <f t="shared" si="105"/>
        <v>84</v>
      </c>
      <c r="F584" s="54">
        <f t="shared" si="105"/>
        <v>27</v>
      </c>
      <c r="G584" s="8">
        <v>202107</v>
      </c>
      <c r="H584" s="8" t="s">
        <v>7020</v>
      </c>
      <c r="I584" s="8">
        <v>202107</v>
      </c>
      <c r="J584" s="8" t="s">
        <v>7020</v>
      </c>
      <c r="K584" s="52">
        <f t="shared" si="107"/>
        <v>44375</v>
      </c>
      <c r="L584" s="52">
        <f t="shared" si="108"/>
        <v>44381</v>
      </c>
      <c r="M584" s="55" t="str">
        <f t="shared" si="109"/>
        <v>28/06/21 @ 
04/07/21</v>
      </c>
    </row>
    <row r="585" spans="2:13" ht="24" x14ac:dyDescent="0.25">
      <c r="B585" s="51">
        <f t="shared" si="110"/>
        <v>583</v>
      </c>
      <c r="C585" s="52">
        <f t="shared" si="110"/>
        <v>44377</v>
      </c>
      <c r="D585" s="53">
        <f t="shared" si="106"/>
        <v>44377</v>
      </c>
      <c r="E585" s="54">
        <f t="shared" si="105"/>
        <v>84</v>
      </c>
      <c r="F585" s="54">
        <f t="shared" si="105"/>
        <v>27</v>
      </c>
      <c r="G585" s="8">
        <v>202107</v>
      </c>
      <c r="H585" s="8" t="s">
        <v>7020</v>
      </c>
      <c r="I585" s="8">
        <v>202107</v>
      </c>
      <c r="J585" s="8" t="s">
        <v>7020</v>
      </c>
      <c r="K585" s="52">
        <f t="shared" si="107"/>
        <v>44375</v>
      </c>
      <c r="L585" s="52">
        <f t="shared" si="108"/>
        <v>44381</v>
      </c>
      <c r="M585" s="55" t="str">
        <f t="shared" si="109"/>
        <v>28/06/21 @ 
04/07/21</v>
      </c>
    </row>
    <row r="586" spans="2:13" ht="24" x14ac:dyDescent="0.25">
      <c r="B586" s="51">
        <f t="shared" si="110"/>
        <v>584</v>
      </c>
      <c r="C586" s="52">
        <f t="shared" si="110"/>
        <v>44378</v>
      </c>
      <c r="D586" s="53">
        <f t="shared" si="106"/>
        <v>44378</v>
      </c>
      <c r="E586" s="54">
        <f t="shared" ref="E586:F601" si="111">+E579+1</f>
        <v>84</v>
      </c>
      <c r="F586" s="54">
        <f t="shared" si="111"/>
        <v>27</v>
      </c>
      <c r="G586" s="8">
        <v>202107</v>
      </c>
      <c r="H586" s="8" t="s">
        <v>7020</v>
      </c>
      <c r="I586" s="8">
        <v>202107</v>
      </c>
      <c r="J586" s="8" t="s">
        <v>7020</v>
      </c>
      <c r="K586" s="52">
        <f t="shared" si="107"/>
        <v>44375</v>
      </c>
      <c r="L586" s="52">
        <f t="shared" si="108"/>
        <v>44381</v>
      </c>
      <c r="M586" s="55" t="str">
        <f t="shared" si="109"/>
        <v>28/06/21 @ 
04/07/21</v>
      </c>
    </row>
    <row r="587" spans="2:13" ht="24" x14ac:dyDescent="0.25">
      <c r="B587" s="51">
        <f t="shared" si="110"/>
        <v>585</v>
      </c>
      <c r="C587" s="52">
        <f t="shared" si="110"/>
        <v>44379</v>
      </c>
      <c r="D587" s="53">
        <f t="shared" si="106"/>
        <v>44379</v>
      </c>
      <c r="E587" s="54">
        <f t="shared" si="111"/>
        <v>84</v>
      </c>
      <c r="F587" s="54">
        <f t="shared" si="111"/>
        <v>27</v>
      </c>
      <c r="G587" s="8">
        <v>202107</v>
      </c>
      <c r="H587" s="8" t="s">
        <v>7020</v>
      </c>
      <c r="I587" s="8">
        <v>202107</v>
      </c>
      <c r="J587" s="8" t="s">
        <v>7020</v>
      </c>
      <c r="K587" s="52">
        <f t="shared" si="107"/>
        <v>44375</v>
      </c>
      <c r="L587" s="52">
        <f t="shared" si="108"/>
        <v>44381</v>
      </c>
      <c r="M587" s="55" t="str">
        <f t="shared" si="109"/>
        <v>28/06/21 @ 
04/07/21</v>
      </c>
    </row>
    <row r="588" spans="2:13" ht="24" x14ac:dyDescent="0.25">
      <c r="B588" s="51">
        <f t="shared" si="110"/>
        <v>586</v>
      </c>
      <c r="C588" s="52">
        <f t="shared" si="110"/>
        <v>44380</v>
      </c>
      <c r="D588" s="53">
        <f t="shared" si="106"/>
        <v>44380</v>
      </c>
      <c r="E588" s="54">
        <f t="shared" si="111"/>
        <v>84</v>
      </c>
      <c r="F588" s="54">
        <f t="shared" si="111"/>
        <v>27</v>
      </c>
      <c r="G588" s="8">
        <v>202107</v>
      </c>
      <c r="H588" s="8" t="s">
        <v>7020</v>
      </c>
      <c r="I588" s="8">
        <v>202107</v>
      </c>
      <c r="J588" s="8" t="s">
        <v>7020</v>
      </c>
      <c r="K588" s="52">
        <f t="shared" si="107"/>
        <v>44375</v>
      </c>
      <c r="L588" s="52">
        <f t="shared" si="108"/>
        <v>44381</v>
      </c>
      <c r="M588" s="55" t="str">
        <f t="shared" si="109"/>
        <v>28/06/21 @ 
04/07/21</v>
      </c>
    </row>
    <row r="589" spans="2:13" ht="24" x14ac:dyDescent="0.25">
      <c r="B589" s="51">
        <f t="shared" si="110"/>
        <v>587</v>
      </c>
      <c r="C589" s="52">
        <f t="shared" si="110"/>
        <v>44381</v>
      </c>
      <c r="D589" s="53">
        <f t="shared" si="106"/>
        <v>44381</v>
      </c>
      <c r="E589" s="54">
        <f t="shared" si="111"/>
        <v>84</v>
      </c>
      <c r="F589" s="54">
        <f t="shared" si="111"/>
        <v>27</v>
      </c>
      <c r="G589" s="8">
        <v>202107</v>
      </c>
      <c r="H589" s="8" t="s">
        <v>7020</v>
      </c>
      <c r="I589" s="8">
        <v>202107</v>
      </c>
      <c r="J589" s="8" t="s">
        <v>7020</v>
      </c>
      <c r="K589" s="52">
        <f t="shared" si="107"/>
        <v>44375</v>
      </c>
      <c r="L589" s="52">
        <f t="shared" si="108"/>
        <v>44381</v>
      </c>
      <c r="M589" s="55" t="str">
        <f t="shared" si="109"/>
        <v>28/06/21 @ 
04/07/21</v>
      </c>
    </row>
    <row r="590" spans="2:13" ht="24" x14ac:dyDescent="0.25">
      <c r="B590" s="51">
        <f t="shared" si="110"/>
        <v>588</v>
      </c>
      <c r="C590" s="52">
        <f t="shared" si="110"/>
        <v>44382</v>
      </c>
      <c r="D590" s="53">
        <f t="shared" si="106"/>
        <v>44382</v>
      </c>
      <c r="E590" s="54">
        <f t="shared" si="111"/>
        <v>85</v>
      </c>
      <c r="F590" s="54">
        <f t="shared" si="111"/>
        <v>28</v>
      </c>
      <c r="G590" s="8">
        <v>202107</v>
      </c>
      <c r="H590" s="8" t="s">
        <v>7020</v>
      </c>
      <c r="I590" s="8">
        <v>202107</v>
      </c>
      <c r="J590" s="8" t="s">
        <v>7020</v>
      </c>
      <c r="K590" s="52">
        <f t="shared" si="107"/>
        <v>44382</v>
      </c>
      <c r="L590" s="52">
        <f t="shared" si="108"/>
        <v>44388</v>
      </c>
      <c r="M590" s="55" t="str">
        <f t="shared" si="109"/>
        <v>05/07/21 @ 
11/07/21</v>
      </c>
    </row>
    <row r="591" spans="2:13" ht="24" x14ac:dyDescent="0.25">
      <c r="B591" s="51">
        <f t="shared" si="110"/>
        <v>589</v>
      </c>
      <c r="C591" s="52">
        <f t="shared" si="110"/>
        <v>44383</v>
      </c>
      <c r="D591" s="53">
        <f t="shared" si="106"/>
        <v>44383</v>
      </c>
      <c r="E591" s="54">
        <f t="shared" si="111"/>
        <v>85</v>
      </c>
      <c r="F591" s="54">
        <f t="shared" si="111"/>
        <v>28</v>
      </c>
      <c r="G591" s="8">
        <v>202107</v>
      </c>
      <c r="H591" s="8" t="s">
        <v>7020</v>
      </c>
      <c r="I591" s="8">
        <v>202107</v>
      </c>
      <c r="J591" s="8" t="s">
        <v>7020</v>
      </c>
      <c r="K591" s="52">
        <f t="shared" si="107"/>
        <v>44382</v>
      </c>
      <c r="L591" s="52">
        <f t="shared" si="108"/>
        <v>44388</v>
      </c>
      <c r="M591" s="55" t="str">
        <f t="shared" si="109"/>
        <v>05/07/21 @ 
11/07/21</v>
      </c>
    </row>
    <row r="592" spans="2:13" ht="24" x14ac:dyDescent="0.25">
      <c r="B592" s="51">
        <f t="shared" si="110"/>
        <v>590</v>
      </c>
      <c r="C592" s="52">
        <f t="shared" si="110"/>
        <v>44384</v>
      </c>
      <c r="D592" s="53">
        <f t="shared" si="106"/>
        <v>44384</v>
      </c>
      <c r="E592" s="54">
        <f t="shared" si="111"/>
        <v>85</v>
      </c>
      <c r="F592" s="54">
        <f t="shared" si="111"/>
        <v>28</v>
      </c>
      <c r="G592" s="8">
        <v>202107</v>
      </c>
      <c r="H592" s="8" t="s">
        <v>7020</v>
      </c>
      <c r="I592" s="8">
        <v>202107</v>
      </c>
      <c r="J592" s="8" t="s">
        <v>7020</v>
      </c>
      <c r="K592" s="52">
        <f t="shared" si="107"/>
        <v>44382</v>
      </c>
      <c r="L592" s="52">
        <f t="shared" si="108"/>
        <v>44388</v>
      </c>
      <c r="M592" s="55" t="str">
        <f t="shared" si="109"/>
        <v>05/07/21 @ 
11/07/21</v>
      </c>
    </row>
    <row r="593" spans="2:13" ht="24" x14ac:dyDescent="0.25">
      <c r="B593" s="51">
        <f t="shared" si="110"/>
        <v>591</v>
      </c>
      <c r="C593" s="52">
        <f t="shared" si="110"/>
        <v>44385</v>
      </c>
      <c r="D593" s="53">
        <f t="shared" si="106"/>
        <v>44385</v>
      </c>
      <c r="E593" s="54">
        <f t="shared" si="111"/>
        <v>85</v>
      </c>
      <c r="F593" s="54">
        <f t="shared" si="111"/>
        <v>28</v>
      </c>
      <c r="G593" s="8">
        <v>202107</v>
      </c>
      <c r="H593" s="8" t="s">
        <v>7020</v>
      </c>
      <c r="I593" s="8">
        <v>202107</v>
      </c>
      <c r="J593" s="8" t="s">
        <v>7020</v>
      </c>
      <c r="K593" s="52">
        <f t="shared" si="107"/>
        <v>44382</v>
      </c>
      <c r="L593" s="52">
        <f t="shared" si="108"/>
        <v>44388</v>
      </c>
      <c r="M593" s="55" t="str">
        <f t="shared" si="109"/>
        <v>05/07/21 @ 
11/07/21</v>
      </c>
    </row>
    <row r="594" spans="2:13" ht="24" x14ac:dyDescent="0.25">
      <c r="B594" s="51">
        <f t="shared" si="110"/>
        <v>592</v>
      </c>
      <c r="C594" s="52">
        <f t="shared" si="110"/>
        <v>44386</v>
      </c>
      <c r="D594" s="53">
        <f t="shared" si="106"/>
        <v>44386</v>
      </c>
      <c r="E594" s="54">
        <f t="shared" si="111"/>
        <v>85</v>
      </c>
      <c r="F594" s="54">
        <f t="shared" si="111"/>
        <v>28</v>
      </c>
      <c r="G594" s="8">
        <v>202107</v>
      </c>
      <c r="H594" s="8" t="s">
        <v>7020</v>
      </c>
      <c r="I594" s="8">
        <v>202107</v>
      </c>
      <c r="J594" s="8" t="s">
        <v>7020</v>
      </c>
      <c r="K594" s="52">
        <f t="shared" si="107"/>
        <v>44382</v>
      </c>
      <c r="L594" s="52">
        <f t="shared" si="108"/>
        <v>44388</v>
      </c>
      <c r="M594" s="55" t="str">
        <f t="shared" si="109"/>
        <v>05/07/21 @ 
11/07/21</v>
      </c>
    </row>
    <row r="595" spans="2:13" ht="24" x14ac:dyDescent="0.25">
      <c r="B595" s="51">
        <f t="shared" si="110"/>
        <v>593</v>
      </c>
      <c r="C595" s="52">
        <f t="shared" si="110"/>
        <v>44387</v>
      </c>
      <c r="D595" s="53">
        <f t="shared" si="106"/>
        <v>44387</v>
      </c>
      <c r="E595" s="54">
        <f t="shared" si="111"/>
        <v>85</v>
      </c>
      <c r="F595" s="54">
        <f t="shared" si="111"/>
        <v>28</v>
      </c>
      <c r="G595" s="8">
        <v>202107</v>
      </c>
      <c r="H595" s="8" t="s">
        <v>7020</v>
      </c>
      <c r="I595" s="8">
        <v>202107</v>
      </c>
      <c r="J595" s="8" t="s">
        <v>7020</v>
      </c>
      <c r="K595" s="52">
        <f t="shared" si="107"/>
        <v>44382</v>
      </c>
      <c r="L595" s="52">
        <f t="shared" si="108"/>
        <v>44388</v>
      </c>
      <c r="M595" s="55" t="str">
        <f t="shared" si="109"/>
        <v>05/07/21 @ 
11/07/21</v>
      </c>
    </row>
    <row r="596" spans="2:13" ht="24" x14ac:dyDescent="0.25">
      <c r="B596" s="51">
        <f t="shared" si="110"/>
        <v>594</v>
      </c>
      <c r="C596" s="52">
        <f t="shared" si="110"/>
        <v>44388</v>
      </c>
      <c r="D596" s="53">
        <f t="shared" si="106"/>
        <v>44388</v>
      </c>
      <c r="E596" s="54">
        <f t="shared" si="111"/>
        <v>85</v>
      </c>
      <c r="F596" s="54">
        <f t="shared" si="111"/>
        <v>28</v>
      </c>
      <c r="G596" s="8">
        <v>202107</v>
      </c>
      <c r="H596" s="8" t="s">
        <v>7020</v>
      </c>
      <c r="I596" s="8">
        <v>202107</v>
      </c>
      <c r="J596" s="8" t="s">
        <v>7020</v>
      </c>
      <c r="K596" s="52">
        <f t="shared" si="107"/>
        <v>44382</v>
      </c>
      <c r="L596" s="52">
        <f t="shared" si="108"/>
        <v>44388</v>
      </c>
      <c r="M596" s="55" t="str">
        <f t="shared" si="109"/>
        <v>05/07/21 @ 
11/07/21</v>
      </c>
    </row>
    <row r="597" spans="2:13" ht="24" x14ac:dyDescent="0.25">
      <c r="B597" s="51">
        <f t="shared" ref="B597:C612" si="112">+B596+1</f>
        <v>595</v>
      </c>
      <c r="C597" s="52">
        <f t="shared" si="112"/>
        <v>44389</v>
      </c>
      <c r="D597" s="53">
        <f t="shared" si="106"/>
        <v>44389</v>
      </c>
      <c r="E597" s="54">
        <f t="shared" si="111"/>
        <v>86</v>
      </c>
      <c r="F597" s="54">
        <f t="shared" si="111"/>
        <v>29</v>
      </c>
      <c r="G597" s="8">
        <v>202107</v>
      </c>
      <c r="H597" s="8" t="s">
        <v>7020</v>
      </c>
      <c r="I597" s="8">
        <v>202107</v>
      </c>
      <c r="J597" s="8" t="s">
        <v>7020</v>
      </c>
      <c r="K597" s="52">
        <f t="shared" si="107"/>
        <v>44389</v>
      </c>
      <c r="L597" s="52">
        <f t="shared" si="108"/>
        <v>44395</v>
      </c>
      <c r="M597" s="55" t="str">
        <f t="shared" si="109"/>
        <v>12/07/21 @ 
18/07/21</v>
      </c>
    </row>
    <row r="598" spans="2:13" ht="24" x14ac:dyDescent="0.25">
      <c r="B598" s="51">
        <f t="shared" si="112"/>
        <v>596</v>
      </c>
      <c r="C598" s="52">
        <f t="shared" si="112"/>
        <v>44390</v>
      </c>
      <c r="D598" s="53">
        <f t="shared" si="106"/>
        <v>44390</v>
      </c>
      <c r="E598" s="54">
        <f t="shared" si="111"/>
        <v>86</v>
      </c>
      <c r="F598" s="54">
        <f t="shared" si="111"/>
        <v>29</v>
      </c>
      <c r="G598" s="8">
        <v>202107</v>
      </c>
      <c r="H598" s="8" t="s">
        <v>7020</v>
      </c>
      <c r="I598" s="8">
        <v>202107</v>
      </c>
      <c r="J598" s="8" t="s">
        <v>7020</v>
      </c>
      <c r="K598" s="52">
        <f t="shared" si="107"/>
        <v>44389</v>
      </c>
      <c r="L598" s="52">
        <f t="shared" si="108"/>
        <v>44395</v>
      </c>
      <c r="M598" s="55" t="str">
        <f t="shared" si="109"/>
        <v>12/07/21 @ 
18/07/21</v>
      </c>
    </row>
    <row r="599" spans="2:13" ht="24" x14ac:dyDescent="0.25">
      <c r="B599" s="51">
        <f t="shared" si="112"/>
        <v>597</v>
      </c>
      <c r="C599" s="52">
        <f t="shared" si="112"/>
        <v>44391</v>
      </c>
      <c r="D599" s="53">
        <f t="shared" si="106"/>
        <v>44391</v>
      </c>
      <c r="E599" s="54">
        <f t="shared" si="111"/>
        <v>86</v>
      </c>
      <c r="F599" s="54">
        <f t="shared" si="111"/>
        <v>29</v>
      </c>
      <c r="G599" s="8">
        <v>202107</v>
      </c>
      <c r="H599" s="8" t="s">
        <v>7020</v>
      </c>
      <c r="I599" s="8">
        <v>202107</v>
      </c>
      <c r="J599" s="8" t="s">
        <v>7020</v>
      </c>
      <c r="K599" s="52">
        <f t="shared" si="107"/>
        <v>44389</v>
      </c>
      <c r="L599" s="52">
        <f t="shared" si="108"/>
        <v>44395</v>
      </c>
      <c r="M599" s="55" t="str">
        <f t="shared" si="109"/>
        <v>12/07/21 @ 
18/07/21</v>
      </c>
    </row>
    <row r="600" spans="2:13" ht="24" x14ac:dyDescent="0.25">
      <c r="B600" s="51">
        <f t="shared" si="112"/>
        <v>598</v>
      </c>
      <c r="C600" s="52">
        <f t="shared" si="112"/>
        <v>44392</v>
      </c>
      <c r="D600" s="53">
        <f t="shared" si="106"/>
        <v>44392</v>
      </c>
      <c r="E600" s="54">
        <f t="shared" si="111"/>
        <v>86</v>
      </c>
      <c r="F600" s="54">
        <f t="shared" si="111"/>
        <v>29</v>
      </c>
      <c r="G600" s="8">
        <v>202107</v>
      </c>
      <c r="H600" s="8" t="s">
        <v>7020</v>
      </c>
      <c r="I600" s="8">
        <v>202107</v>
      </c>
      <c r="J600" s="8" t="s">
        <v>7020</v>
      </c>
      <c r="K600" s="52">
        <f t="shared" si="107"/>
        <v>44389</v>
      </c>
      <c r="L600" s="52">
        <f t="shared" si="108"/>
        <v>44395</v>
      </c>
      <c r="M600" s="55" t="str">
        <f t="shared" si="109"/>
        <v>12/07/21 @ 
18/07/21</v>
      </c>
    </row>
    <row r="601" spans="2:13" ht="24" x14ac:dyDescent="0.25">
      <c r="B601" s="51">
        <f t="shared" si="112"/>
        <v>599</v>
      </c>
      <c r="C601" s="52">
        <f t="shared" si="112"/>
        <v>44393</v>
      </c>
      <c r="D601" s="53">
        <f t="shared" si="106"/>
        <v>44393</v>
      </c>
      <c r="E601" s="54">
        <f t="shared" si="111"/>
        <v>86</v>
      </c>
      <c r="F601" s="54">
        <f t="shared" si="111"/>
        <v>29</v>
      </c>
      <c r="G601" s="8">
        <v>202107</v>
      </c>
      <c r="H601" s="8" t="s">
        <v>7020</v>
      </c>
      <c r="I601" s="8">
        <v>202107</v>
      </c>
      <c r="J601" s="8" t="s">
        <v>7020</v>
      </c>
      <c r="K601" s="52">
        <f t="shared" si="107"/>
        <v>44389</v>
      </c>
      <c r="L601" s="52">
        <f t="shared" si="108"/>
        <v>44395</v>
      </c>
      <c r="M601" s="55" t="str">
        <f t="shared" si="109"/>
        <v>12/07/21 @ 
18/07/21</v>
      </c>
    </row>
    <row r="602" spans="2:13" ht="24" x14ac:dyDescent="0.25">
      <c r="B602" s="51">
        <f t="shared" si="112"/>
        <v>600</v>
      </c>
      <c r="C602" s="52">
        <f t="shared" si="112"/>
        <v>44394</v>
      </c>
      <c r="D602" s="53">
        <f t="shared" si="106"/>
        <v>44394</v>
      </c>
      <c r="E602" s="54">
        <f t="shared" ref="E602:F617" si="113">+E595+1</f>
        <v>86</v>
      </c>
      <c r="F602" s="54">
        <f t="shared" si="113"/>
        <v>29</v>
      </c>
      <c r="G602" s="8">
        <v>202107</v>
      </c>
      <c r="H602" s="8" t="s">
        <v>7020</v>
      </c>
      <c r="I602" s="8">
        <v>202107</v>
      </c>
      <c r="J602" s="8" t="s">
        <v>7020</v>
      </c>
      <c r="K602" s="52">
        <f t="shared" si="107"/>
        <v>44389</v>
      </c>
      <c r="L602" s="52">
        <f t="shared" si="108"/>
        <v>44395</v>
      </c>
      <c r="M602" s="55" t="str">
        <f t="shared" si="109"/>
        <v>12/07/21 @ 
18/07/21</v>
      </c>
    </row>
    <row r="603" spans="2:13" ht="24" x14ac:dyDescent="0.25">
      <c r="B603" s="51">
        <f t="shared" si="112"/>
        <v>601</v>
      </c>
      <c r="C603" s="52">
        <f t="shared" si="112"/>
        <v>44395</v>
      </c>
      <c r="D603" s="53">
        <f t="shared" si="106"/>
        <v>44395</v>
      </c>
      <c r="E603" s="54">
        <f t="shared" si="113"/>
        <v>86</v>
      </c>
      <c r="F603" s="54">
        <f t="shared" si="113"/>
        <v>29</v>
      </c>
      <c r="G603" s="8">
        <v>202107</v>
      </c>
      <c r="H603" s="8" t="s">
        <v>7020</v>
      </c>
      <c r="I603" s="8">
        <v>202107</v>
      </c>
      <c r="J603" s="8" t="s">
        <v>7020</v>
      </c>
      <c r="K603" s="52">
        <f t="shared" si="107"/>
        <v>44389</v>
      </c>
      <c r="L603" s="52">
        <f t="shared" si="108"/>
        <v>44395</v>
      </c>
      <c r="M603" s="55" t="str">
        <f t="shared" si="109"/>
        <v>12/07/21 @ 
18/07/21</v>
      </c>
    </row>
    <row r="604" spans="2:13" ht="24" x14ac:dyDescent="0.25">
      <c r="B604" s="51">
        <f t="shared" si="112"/>
        <v>602</v>
      </c>
      <c r="C604" s="52">
        <f t="shared" si="112"/>
        <v>44396</v>
      </c>
      <c r="D604" s="53">
        <f t="shared" si="106"/>
        <v>44396</v>
      </c>
      <c r="E604" s="54">
        <f t="shared" si="113"/>
        <v>87</v>
      </c>
      <c r="F604" s="54">
        <f t="shared" si="113"/>
        <v>30</v>
      </c>
      <c r="G604" s="8">
        <v>202107</v>
      </c>
      <c r="H604" s="8" t="s">
        <v>7020</v>
      </c>
      <c r="I604" s="8">
        <v>202107</v>
      </c>
      <c r="J604" s="8" t="s">
        <v>7020</v>
      </c>
      <c r="K604" s="52">
        <f t="shared" si="107"/>
        <v>44396</v>
      </c>
      <c r="L604" s="52">
        <f t="shared" si="108"/>
        <v>44402</v>
      </c>
      <c r="M604" s="55" t="str">
        <f t="shared" si="109"/>
        <v>19/07/21 @ 
25/07/21</v>
      </c>
    </row>
    <row r="605" spans="2:13" ht="24" x14ac:dyDescent="0.25">
      <c r="B605" s="51">
        <f t="shared" si="112"/>
        <v>603</v>
      </c>
      <c r="C605" s="52">
        <f t="shared" si="112"/>
        <v>44397</v>
      </c>
      <c r="D605" s="53">
        <f t="shared" si="106"/>
        <v>44397</v>
      </c>
      <c r="E605" s="54">
        <f t="shared" si="113"/>
        <v>87</v>
      </c>
      <c r="F605" s="54">
        <f t="shared" si="113"/>
        <v>30</v>
      </c>
      <c r="G605" s="8">
        <v>202107</v>
      </c>
      <c r="H605" s="8" t="s">
        <v>7020</v>
      </c>
      <c r="I605" s="8">
        <v>202107</v>
      </c>
      <c r="J605" s="8" t="s">
        <v>7020</v>
      </c>
      <c r="K605" s="52">
        <f t="shared" si="107"/>
        <v>44396</v>
      </c>
      <c r="L605" s="52">
        <f t="shared" si="108"/>
        <v>44402</v>
      </c>
      <c r="M605" s="55" t="str">
        <f t="shared" si="109"/>
        <v>19/07/21 @ 
25/07/21</v>
      </c>
    </row>
    <row r="606" spans="2:13" ht="24" x14ac:dyDescent="0.25">
      <c r="B606" s="51">
        <f t="shared" si="112"/>
        <v>604</v>
      </c>
      <c r="C606" s="52">
        <f t="shared" si="112"/>
        <v>44398</v>
      </c>
      <c r="D606" s="53">
        <f t="shared" si="106"/>
        <v>44398</v>
      </c>
      <c r="E606" s="54">
        <f t="shared" si="113"/>
        <v>87</v>
      </c>
      <c r="F606" s="54">
        <f t="shared" si="113"/>
        <v>30</v>
      </c>
      <c r="G606" s="8">
        <v>202107</v>
      </c>
      <c r="H606" s="8" t="s">
        <v>7020</v>
      </c>
      <c r="I606" s="8">
        <v>202108</v>
      </c>
      <c r="J606" s="8" t="s">
        <v>7021</v>
      </c>
      <c r="K606" s="52">
        <f t="shared" si="107"/>
        <v>44396</v>
      </c>
      <c r="L606" s="52">
        <f t="shared" si="108"/>
        <v>44402</v>
      </c>
      <c r="M606" s="55" t="str">
        <f t="shared" si="109"/>
        <v>19/07/21 @ 
25/07/21</v>
      </c>
    </row>
    <row r="607" spans="2:13" ht="24" x14ac:dyDescent="0.25">
      <c r="B607" s="51">
        <f t="shared" si="112"/>
        <v>605</v>
      </c>
      <c r="C607" s="52">
        <f t="shared" si="112"/>
        <v>44399</v>
      </c>
      <c r="D607" s="53">
        <f t="shared" si="106"/>
        <v>44399</v>
      </c>
      <c r="E607" s="54">
        <f t="shared" si="113"/>
        <v>87</v>
      </c>
      <c r="F607" s="54">
        <f t="shared" si="113"/>
        <v>30</v>
      </c>
      <c r="G607" s="8">
        <v>202107</v>
      </c>
      <c r="H607" s="8" t="s">
        <v>7020</v>
      </c>
      <c r="I607" s="8">
        <v>202108</v>
      </c>
      <c r="J607" s="8" t="s">
        <v>7021</v>
      </c>
      <c r="K607" s="52">
        <f t="shared" si="107"/>
        <v>44396</v>
      </c>
      <c r="L607" s="52">
        <f t="shared" si="108"/>
        <v>44402</v>
      </c>
      <c r="M607" s="55" t="str">
        <f t="shared" si="109"/>
        <v>19/07/21 @ 
25/07/21</v>
      </c>
    </row>
    <row r="608" spans="2:13" ht="24" x14ac:dyDescent="0.25">
      <c r="B608" s="51">
        <f t="shared" si="112"/>
        <v>606</v>
      </c>
      <c r="C608" s="52">
        <f t="shared" si="112"/>
        <v>44400</v>
      </c>
      <c r="D608" s="53">
        <f t="shared" si="106"/>
        <v>44400</v>
      </c>
      <c r="E608" s="54">
        <f t="shared" si="113"/>
        <v>87</v>
      </c>
      <c r="F608" s="54">
        <f t="shared" si="113"/>
        <v>30</v>
      </c>
      <c r="G608" s="8">
        <v>202107</v>
      </c>
      <c r="H608" s="8" t="s">
        <v>7020</v>
      </c>
      <c r="I608" s="8">
        <v>202108</v>
      </c>
      <c r="J608" s="8" t="s">
        <v>7021</v>
      </c>
      <c r="K608" s="52">
        <f t="shared" si="107"/>
        <v>44396</v>
      </c>
      <c r="L608" s="52">
        <f t="shared" si="108"/>
        <v>44402</v>
      </c>
      <c r="M608" s="55" t="str">
        <f t="shared" si="109"/>
        <v>19/07/21 @ 
25/07/21</v>
      </c>
    </row>
    <row r="609" spans="2:13" ht="24" x14ac:dyDescent="0.25">
      <c r="B609" s="51">
        <f t="shared" si="112"/>
        <v>607</v>
      </c>
      <c r="C609" s="52">
        <f t="shared" si="112"/>
        <v>44401</v>
      </c>
      <c r="D609" s="53">
        <f t="shared" si="106"/>
        <v>44401</v>
      </c>
      <c r="E609" s="54">
        <f t="shared" si="113"/>
        <v>87</v>
      </c>
      <c r="F609" s="54">
        <f t="shared" si="113"/>
        <v>30</v>
      </c>
      <c r="G609" s="8">
        <v>202107</v>
      </c>
      <c r="H609" s="8" t="s">
        <v>7020</v>
      </c>
      <c r="I609" s="8">
        <v>202108</v>
      </c>
      <c r="J609" s="8" t="s">
        <v>7021</v>
      </c>
      <c r="K609" s="52">
        <f t="shared" si="107"/>
        <v>44396</v>
      </c>
      <c r="L609" s="52">
        <f t="shared" si="108"/>
        <v>44402</v>
      </c>
      <c r="M609" s="55" t="str">
        <f t="shared" si="109"/>
        <v>19/07/21 @ 
25/07/21</v>
      </c>
    </row>
    <row r="610" spans="2:13" ht="24" x14ac:dyDescent="0.25">
      <c r="B610" s="51">
        <f t="shared" si="112"/>
        <v>608</v>
      </c>
      <c r="C610" s="52">
        <f t="shared" si="112"/>
        <v>44402</v>
      </c>
      <c r="D610" s="53">
        <f t="shared" si="106"/>
        <v>44402</v>
      </c>
      <c r="E610" s="54">
        <f t="shared" si="113"/>
        <v>87</v>
      </c>
      <c r="F610" s="54">
        <f t="shared" si="113"/>
        <v>30</v>
      </c>
      <c r="G610" s="8">
        <v>202107</v>
      </c>
      <c r="H610" s="8" t="s">
        <v>7020</v>
      </c>
      <c r="I610" s="8">
        <v>202108</v>
      </c>
      <c r="J610" s="8" t="s">
        <v>7021</v>
      </c>
      <c r="K610" s="52">
        <f t="shared" si="107"/>
        <v>44396</v>
      </c>
      <c r="L610" s="52">
        <f t="shared" si="108"/>
        <v>44402</v>
      </c>
      <c r="M610" s="55" t="str">
        <f t="shared" si="109"/>
        <v>19/07/21 @ 
25/07/21</v>
      </c>
    </row>
    <row r="611" spans="2:13" ht="24" x14ac:dyDescent="0.25">
      <c r="B611" s="51">
        <f t="shared" si="112"/>
        <v>609</v>
      </c>
      <c r="C611" s="52">
        <f t="shared" si="112"/>
        <v>44403</v>
      </c>
      <c r="D611" s="53">
        <f t="shared" si="106"/>
        <v>44403</v>
      </c>
      <c r="E611" s="54">
        <f t="shared" si="113"/>
        <v>88</v>
      </c>
      <c r="F611" s="54">
        <f t="shared" si="113"/>
        <v>31</v>
      </c>
      <c r="G611" s="8">
        <v>202107</v>
      </c>
      <c r="H611" s="8" t="s">
        <v>7021</v>
      </c>
      <c r="I611" s="8">
        <v>202108</v>
      </c>
      <c r="J611" s="8" t="s">
        <v>7021</v>
      </c>
      <c r="K611" s="52">
        <f t="shared" si="107"/>
        <v>44403</v>
      </c>
      <c r="L611" s="52">
        <f t="shared" si="108"/>
        <v>44409</v>
      </c>
      <c r="M611" s="55" t="str">
        <f t="shared" si="109"/>
        <v>26/07/21 @ 
01/08/21</v>
      </c>
    </row>
    <row r="612" spans="2:13" ht="24" x14ac:dyDescent="0.25">
      <c r="B612" s="51">
        <f t="shared" si="112"/>
        <v>610</v>
      </c>
      <c r="C612" s="52">
        <f t="shared" si="112"/>
        <v>44404</v>
      </c>
      <c r="D612" s="53">
        <f t="shared" si="106"/>
        <v>44404</v>
      </c>
      <c r="E612" s="54">
        <f t="shared" si="113"/>
        <v>88</v>
      </c>
      <c r="F612" s="54">
        <f t="shared" si="113"/>
        <v>31</v>
      </c>
      <c r="G612" s="8">
        <v>202107</v>
      </c>
      <c r="H612" s="8" t="s">
        <v>7021</v>
      </c>
      <c r="I612" s="8">
        <v>202108</v>
      </c>
      <c r="J612" s="8" t="s">
        <v>7021</v>
      </c>
      <c r="K612" s="52">
        <f t="shared" si="107"/>
        <v>44403</v>
      </c>
      <c r="L612" s="52">
        <f t="shared" si="108"/>
        <v>44409</v>
      </c>
      <c r="M612" s="55" t="str">
        <f t="shared" si="109"/>
        <v>26/07/21 @ 
01/08/21</v>
      </c>
    </row>
    <row r="613" spans="2:13" ht="24" x14ac:dyDescent="0.25">
      <c r="B613" s="51">
        <f t="shared" ref="B613:C628" si="114">+B612+1</f>
        <v>611</v>
      </c>
      <c r="C613" s="52">
        <f t="shared" si="114"/>
        <v>44405</v>
      </c>
      <c r="D613" s="53">
        <f t="shared" si="106"/>
        <v>44405</v>
      </c>
      <c r="E613" s="54">
        <f t="shared" si="113"/>
        <v>88</v>
      </c>
      <c r="F613" s="54">
        <f t="shared" si="113"/>
        <v>31</v>
      </c>
      <c r="G613" s="8">
        <v>202107</v>
      </c>
      <c r="H613" s="8" t="s">
        <v>7021</v>
      </c>
      <c r="I613" s="8">
        <v>202108</v>
      </c>
      <c r="J613" s="8" t="s">
        <v>7021</v>
      </c>
      <c r="K613" s="52">
        <f t="shared" si="107"/>
        <v>44403</v>
      </c>
      <c r="L613" s="52">
        <f t="shared" si="108"/>
        <v>44409</v>
      </c>
      <c r="M613" s="55" t="str">
        <f t="shared" si="109"/>
        <v>26/07/21 @ 
01/08/21</v>
      </c>
    </row>
    <row r="614" spans="2:13" ht="24" x14ac:dyDescent="0.25">
      <c r="B614" s="51">
        <f t="shared" si="114"/>
        <v>612</v>
      </c>
      <c r="C614" s="52">
        <f t="shared" si="114"/>
        <v>44406</v>
      </c>
      <c r="D614" s="53">
        <f t="shared" si="106"/>
        <v>44406</v>
      </c>
      <c r="E614" s="54">
        <f t="shared" si="113"/>
        <v>88</v>
      </c>
      <c r="F614" s="54">
        <f t="shared" si="113"/>
        <v>31</v>
      </c>
      <c r="G614" s="8">
        <v>202107</v>
      </c>
      <c r="H614" s="8" t="s">
        <v>7021</v>
      </c>
      <c r="I614" s="8">
        <v>202108</v>
      </c>
      <c r="J614" s="8" t="s">
        <v>7021</v>
      </c>
      <c r="K614" s="52">
        <f t="shared" si="107"/>
        <v>44403</v>
      </c>
      <c r="L614" s="52">
        <f t="shared" si="108"/>
        <v>44409</v>
      </c>
      <c r="M614" s="55" t="str">
        <f t="shared" si="109"/>
        <v>26/07/21 @ 
01/08/21</v>
      </c>
    </row>
    <row r="615" spans="2:13" ht="24" x14ac:dyDescent="0.25">
      <c r="B615" s="51">
        <f t="shared" si="114"/>
        <v>613</v>
      </c>
      <c r="C615" s="52">
        <f t="shared" si="114"/>
        <v>44407</v>
      </c>
      <c r="D615" s="53">
        <f t="shared" si="106"/>
        <v>44407</v>
      </c>
      <c r="E615" s="54">
        <f t="shared" si="113"/>
        <v>88</v>
      </c>
      <c r="F615" s="54">
        <f t="shared" si="113"/>
        <v>31</v>
      </c>
      <c r="G615" s="8">
        <v>202107</v>
      </c>
      <c r="H615" s="8" t="s">
        <v>7021</v>
      </c>
      <c r="I615" s="8">
        <v>202108</v>
      </c>
      <c r="J615" s="8" t="s">
        <v>7021</v>
      </c>
      <c r="K615" s="52">
        <f t="shared" si="107"/>
        <v>44403</v>
      </c>
      <c r="L615" s="52">
        <f t="shared" si="108"/>
        <v>44409</v>
      </c>
      <c r="M615" s="55" t="str">
        <f t="shared" si="109"/>
        <v>26/07/21 @ 
01/08/21</v>
      </c>
    </row>
    <row r="616" spans="2:13" ht="24" x14ac:dyDescent="0.25">
      <c r="B616" s="51">
        <f t="shared" si="114"/>
        <v>614</v>
      </c>
      <c r="C616" s="52">
        <f t="shared" si="114"/>
        <v>44408</v>
      </c>
      <c r="D616" s="53">
        <f t="shared" si="106"/>
        <v>44408</v>
      </c>
      <c r="E616" s="54">
        <f t="shared" si="113"/>
        <v>88</v>
      </c>
      <c r="F616" s="54">
        <f t="shared" si="113"/>
        <v>31</v>
      </c>
      <c r="G616" s="8">
        <v>202107</v>
      </c>
      <c r="H616" s="8" t="s">
        <v>7021</v>
      </c>
      <c r="I616" s="8">
        <v>202108</v>
      </c>
      <c r="J616" s="8" t="s">
        <v>7021</v>
      </c>
      <c r="K616" s="52">
        <f t="shared" si="107"/>
        <v>44403</v>
      </c>
      <c r="L616" s="52">
        <f t="shared" si="108"/>
        <v>44409</v>
      </c>
      <c r="M616" s="55" t="str">
        <f t="shared" si="109"/>
        <v>26/07/21 @ 
01/08/21</v>
      </c>
    </row>
    <row r="617" spans="2:13" ht="24" x14ac:dyDescent="0.25">
      <c r="B617" s="51">
        <f t="shared" si="114"/>
        <v>615</v>
      </c>
      <c r="C617" s="52">
        <f t="shared" si="114"/>
        <v>44409</v>
      </c>
      <c r="D617" s="53">
        <f t="shared" si="106"/>
        <v>44409</v>
      </c>
      <c r="E617" s="54">
        <f t="shared" si="113"/>
        <v>88</v>
      </c>
      <c r="F617" s="54">
        <f t="shared" si="113"/>
        <v>31</v>
      </c>
      <c r="G617" s="8">
        <v>202107</v>
      </c>
      <c r="H617" s="8" t="s">
        <v>7021</v>
      </c>
      <c r="I617" s="8">
        <v>202108</v>
      </c>
      <c r="J617" s="8" t="s">
        <v>7021</v>
      </c>
      <c r="K617" s="52">
        <f t="shared" si="107"/>
        <v>44403</v>
      </c>
      <c r="L617" s="52">
        <f t="shared" si="108"/>
        <v>44409</v>
      </c>
      <c r="M617" s="55" t="str">
        <f t="shared" si="109"/>
        <v>26/07/21 @ 
01/08/21</v>
      </c>
    </row>
    <row r="618" spans="2:13" ht="24" x14ac:dyDescent="0.25">
      <c r="B618" s="51">
        <f t="shared" si="114"/>
        <v>616</v>
      </c>
      <c r="C618" s="52">
        <f t="shared" si="114"/>
        <v>44410</v>
      </c>
      <c r="D618" s="53">
        <f t="shared" si="106"/>
        <v>44410</v>
      </c>
      <c r="E618" s="54">
        <f t="shared" ref="E618:F633" si="115">+E611+1</f>
        <v>89</v>
      </c>
      <c r="F618" s="54">
        <f t="shared" si="115"/>
        <v>32</v>
      </c>
      <c r="G618" s="8">
        <v>202107</v>
      </c>
      <c r="H618" s="8" t="s">
        <v>7021</v>
      </c>
      <c r="I618" s="8">
        <v>202108</v>
      </c>
      <c r="J618" s="8" t="s">
        <v>7021</v>
      </c>
      <c r="K618" s="52">
        <f t="shared" si="107"/>
        <v>44410</v>
      </c>
      <c r="L618" s="52">
        <f t="shared" si="108"/>
        <v>44416</v>
      </c>
      <c r="M618" s="55" t="str">
        <f t="shared" si="109"/>
        <v>02/08/21 @ 
08/08/21</v>
      </c>
    </row>
    <row r="619" spans="2:13" ht="24" x14ac:dyDescent="0.25">
      <c r="B619" s="51">
        <f t="shared" si="114"/>
        <v>617</v>
      </c>
      <c r="C619" s="52">
        <f t="shared" si="114"/>
        <v>44411</v>
      </c>
      <c r="D619" s="53">
        <f t="shared" si="106"/>
        <v>44411</v>
      </c>
      <c r="E619" s="54">
        <f t="shared" si="115"/>
        <v>89</v>
      </c>
      <c r="F619" s="54">
        <f t="shared" si="115"/>
        <v>32</v>
      </c>
      <c r="G619" s="8">
        <v>202108</v>
      </c>
      <c r="H619" s="8" t="s">
        <v>7021</v>
      </c>
      <c r="I619" s="8">
        <v>202108</v>
      </c>
      <c r="J619" s="8" t="s">
        <v>7021</v>
      </c>
      <c r="K619" s="52">
        <f t="shared" si="107"/>
        <v>44410</v>
      </c>
      <c r="L619" s="52">
        <f t="shared" si="108"/>
        <v>44416</v>
      </c>
      <c r="M619" s="55" t="str">
        <f t="shared" si="109"/>
        <v>02/08/21 @ 
08/08/21</v>
      </c>
    </row>
    <row r="620" spans="2:13" ht="24" x14ac:dyDescent="0.25">
      <c r="B620" s="51">
        <f t="shared" si="114"/>
        <v>618</v>
      </c>
      <c r="C620" s="52">
        <f t="shared" si="114"/>
        <v>44412</v>
      </c>
      <c r="D620" s="53">
        <f t="shared" si="106"/>
        <v>44412</v>
      </c>
      <c r="E620" s="54">
        <f t="shared" si="115"/>
        <v>89</v>
      </c>
      <c r="F620" s="54">
        <f t="shared" si="115"/>
        <v>32</v>
      </c>
      <c r="G620" s="8">
        <v>202108</v>
      </c>
      <c r="H620" s="8" t="s">
        <v>7021</v>
      </c>
      <c r="I620" s="8">
        <v>202108</v>
      </c>
      <c r="J620" s="8" t="s">
        <v>7021</v>
      </c>
      <c r="K620" s="52">
        <f t="shared" si="107"/>
        <v>44410</v>
      </c>
      <c r="L620" s="52">
        <f t="shared" si="108"/>
        <v>44416</v>
      </c>
      <c r="M620" s="55" t="str">
        <f t="shared" si="109"/>
        <v>02/08/21 @ 
08/08/21</v>
      </c>
    </row>
    <row r="621" spans="2:13" ht="24" x14ac:dyDescent="0.25">
      <c r="B621" s="51">
        <f t="shared" si="114"/>
        <v>619</v>
      </c>
      <c r="C621" s="52">
        <f t="shared" si="114"/>
        <v>44413</v>
      </c>
      <c r="D621" s="53">
        <f t="shared" si="106"/>
        <v>44413</v>
      </c>
      <c r="E621" s="54">
        <f t="shared" si="115"/>
        <v>89</v>
      </c>
      <c r="F621" s="54">
        <f t="shared" si="115"/>
        <v>32</v>
      </c>
      <c r="G621" s="8">
        <v>202108</v>
      </c>
      <c r="H621" s="8" t="s">
        <v>7021</v>
      </c>
      <c r="I621" s="8">
        <v>202108</v>
      </c>
      <c r="J621" s="8" t="s">
        <v>7021</v>
      </c>
      <c r="K621" s="52">
        <f t="shared" si="107"/>
        <v>44410</v>
      </c>
      <c r="L621" s="52">
        <f t="shared" si="108"/>
        <v>44416</v>
      </c>
      <c r="M621" s="55" t="str">
        <f t="shared" si="109"/>
        <v>02/08/21 @ 
08/08/21</v>
      </c>
    </row>
    <row r="622" spans="2:13" ht="24" x14ac:dyDescent="0.25">
      <c r="B622" s="51">
        <f t="shared" si="114"/>
        <v>620</v>
      </c>
      <c r="C622" s="52">
        <f t="shared" si="114"/>
        <v>44414</v>
      </c>
      <c r="D622" s="53">
        <f t="shared" si="106"/>
        <v>44414</v>
      </c>
      <c r="E622" s="54">
        <f t="shared" si="115"/>
        <v>89</v>
      </c>
      <c r="F622" s="54">
        <f t="shared" si="115"/>
        <v>32</v>
      </c>
      <c r="G622" s="8">
        <v>202108</v>
      </c>
      <c r="H622" s="8" t="s">
        <v>7021</v>
      </c>
      <c r="I622" s="8">
        <v>202108</v>
      </c>
      <c r="J622" s="8" t="s">
        <v>7021</v>
      </c>
      <c r="K622" s="52">
        <f t="shared" si="107"/>
        <v>44410</v>
      </c>
      <c r="L622" s="52">
        <f t="shared" si="108"/>
        <v>44416</v>
      </c>
      <c r="M622" s="55" t="str">
        <f t="shared" si="109"/>
        <v>02/08/21 @ 
08/08/21</v>
      </c>
    </row>
    <row r="623" spans="2:13" ht="24" x14ac:dyDescent="0.25">
      <c r="B623" s="51">
        <f t="shared" si="114"/>
        <v>621</v>
      </c>
      <c r="C623" s="52">
        <f t="shared" si="114"/>
        <v>44415</v>
      </c>
      <c r="D623" s="53">
        <f t="shared" si="106"/>
        <v>44415</v>
      </c>
      <c r="E623" s="54">
        <f t="shared" si="115"/>
        <v>89</v>
      </c>
      <c r="F623" s="54">
        <f t="shared" si="115"/>
        <v>32</v>
      </c>
      <c r="G623" s="8">
        <v>202108</v>
      </c>
      <c r="H623" s="8" t="s">
        <v>7021</v>
      </c>
      <c r="I623" s="8">
        <v>202108</v>
      </c>
      <c r="J623" s="8" t="s">
        <v>7021</v>
      </c>
      <c r="K623" s="52">
        <f t="shared" si="107"/>
        <v>44410</v>
      </c>
      <c r="L623" s="52">
        <f t="shared" si="108"/>
        <v>44416</v>
      </c>
      <c r="M623" s="55" t="str">
        <f t="shared" si="109"/>
        <v>02/08/21 @ 
08/08/21</v>
      </c>
    </row>
    <row r="624" spans="2:13" ht="24" x14ac:dyDescent="0.25">
      <c r="B624" s="51">
        <f t="shared" si="114"/>
        <v>622</v>
      </c>
      <c r="C624" s="52">
        <f t="shared" si="114"/>
        <v>44416</v>
      </c>
      <c r="D624" s="53">
        <f t="shared" si="106"/>
        <v>44416</v>
      </c>
      <c r="E624" s="54">
        <f t="shared" si="115"/>
        <v>89</v>
      </c>
      <c r="F624" s="54">
        <f t="shared" si="115"/>
        <v>32</v>
      </c>
      <c r="G624" s="8">
        <v>202108</v>
      </c>
      <c r="H624" s="8" t="s">
        <v>7021</v>
      </c>
      <c r="I624" s="8">
        <v>202108</v>
      </c>
      <c r="J624" s="8" t="s">
        <v>7021</v>
      </c>
      <c r="K624" s="52">
        <f t="shared" si="107"/>
        <v>44410</v>
      </c>
      <c r="L624" s="52">
        <f t="shared" si="108"/>
        <v>44416</v>
      </c>
      <c r="M624" s="55" t="str">
        <f t="shared" si="109"/>
        <v>02/08/21 @ 
08/08/21</v>
      </c>
    </row>
    <row r="625" spans="2:13" ht="24" x14ac:dyDescent="0.25">
      <c r="B625" s="51">
        <f t="shared" si="114"/>
        <v>623</v>
      </c>
      <c r="C625" s="52">
        <f t="shared" si="114"/>
        <v>44417</v>
      </c>
      <c r="D625" s="53">
        <f t="shared" si="106"/>
        <v>44417</v>
      </c>
      <c r="E625" s="54">
        <f t="shared" si="115"/>
        <v>90</v>
      </c>
      <c r="F625" s="54">
        <f t="shared" si="115"/>
        <v>33</v>
      </c>
      <c r="G625" s="8">
        <v>202108</v>
      </c>
      <c r="H625" s="8" t="s">
        <v>7021</v>
      </c>
      <c r="I625" s="8">
        <v>202108</v>
      </c>
      <c r="J625" s="8" t="s">
        <v>7021</v>
      </c>
      <c r="K625" s="52">
        <f t="shared" si="107"/>
        <v>44417</v>
      </c>
      <c r="L625" s="52">
        <f t="shared" si="108"/>
        <v>44423</v>
      </c>
      <c r="M625" s="55" t="str">
        <f t="shared" si="109"/>
        <v>09/08/21 @ 
15/08/21</v>
      </c>
    </row>
    <row r="626" spans="2:13" ht="24" x14ac:dyDescent="0.25">
      <c r="B626" s="51">
        <f t="shared" si="114"/>
        <v>624</v>
      </c>
      <c r="C626" s="52">
        <f t="shared" si="114"/>
        <v>44418</v>
      </c>
      <c r="D626" s="53">
        <f t="shared" si="106"/>
        <v>44418</v>
      </c>
      <c r="E626" s="54">
        <f t="shared" si="115"/>
        <v>90</v>
      </c>
      <c r="F626" s="54">
        <f t="shared" si="115"/>
        <v>33</v>
      </c>
      <c r="G626" s="8">
        <v>202108</v>
      </c>
      <c r="H626" s="8" t="s">
        <v>7021</v>
      </c>
      <c r="I626" s="8">
        <v>202108</v>
      </c>
      <c r="J626" s="8" t="s">
        <v>7021</v>
      </c>
      <c r="K626" s="52">
        <f t="shared" si="107"/>
        <v>44417</v>
      </c>
      <c r="L626" s="52">
        <f t="shared" si="108"/>
        <v>44423</v>
      </c>
      <c r="M626" s="55" t="str">
        <f t="shared" si="109"/>
        <v>09/08/21 @ 
15/08/21</v>
      </c>
    </row>
    <row r="627" spans="2:13" ht="24" x14ac:dyDescent="0.25">
      <c r="B627" s="51">
        <f t="shared" si="114"/>
        <v>625</v>
      </c>
      <c r="C627" s="52">
        <f t="shared" si="114"/>
        <v>44419</v>
      </c>
      <c r="D627" s="53">
        <f t="shared" si="106"/>
        <v>44419</v>
      </c>
      <c r="E627" s="54">
        <f t="shared" si="115"/>
        <v>90</v>
      </c>
      <c r="F627" s="54">
        <f t="shared" si="115"/>
        <v>33</v>
      </c>
      <c r="G627" s="8">
        <v>202108</v>
      </c>
      <c r="H627" s="8" t="s">
        <v>7021</v>
      </c>
      <c r="I627" s="8">
        <v>202108</v>
      </c>
      <c r="J627" s="8" t="s">
        <v>7021</v>
      </c>
      <c r="K627" s="52">
        <f t="shared" si="107"/>
        <v>44417</v>
      </c>
      <c r="L627" s="52">
        <f t="shared" si="108"/>
        <v>44423</v>
      </c>
      <c r="M627" s="55" t="str">
        <f t="shared" si="109"/>
        <v>09/08/21 @ 
15/08/21</v>
      </c>
    </row>
    <row r="628" spans="2:13" ht="24" x14ac:dyDescent="0.25">
      <c r="B628" s="51">
        <f t="shared" si="114"/>
        <v>626</v>
      </c>
      <c r="C628" s="52">
        <f t="shared" si="114"/>
        <v>44420</v>
      </c>
      <c r="D628" s="53">
        <f t="shared" si="106"/>
        <v>44420</v>
      </c>
      <c r="E628" s="54">
        <f t="shared" si="115"/>
        <v>90</v>
      </c>
      <c r="F628" s="54">
        <f t="shared" si="115"/>
        <v>33</v>
      </c>
      <c r="G628" s="8">
        <v>202108</v>
      </c>
      <c r="H628" s="8" t="s">
        <v>7021</v>
      </c>
      <c r="I628" s="8">
        <v>202108</v>
      </c>
      <c r="J628" s="8" t="s">
        <v>7021</v>
      </c>
      <c r="K628" s="52">
        <f t="shared" si="107"/>
        <v>44417</v>
      </c>
      <c r="L628" s="52">
        <f t="shared" si="108"/>
        <v>44423</v>
      </c>
      <c r="M628" s="55" t="str">
        <f t="shared" si="109"/>
        <v>09/08/21 @ 
15/08/21</v>
      </c>
    </row>
    <row r="629" spans="2:13" ht="24" x14ac:dyDescent="0.25">
      <c r="B629" s="51">
        <f t="shared" ref="B629:C644" si="116">+B628+1</f>
        <v>627</v>
      </c>
      <c r="C629" s="52">
        <f t="shared" si="116"/>
        <v>44421</v>
      </c>
      <c r="D629" s="53">
        <f t="shared" si="106"/>
        <v>44421</v>
      </c>
      <c r="E629" s="54">
        <f t="shared" si="115"/>
        <v>90</v>
      </c>
      <c r="F629" s="54">
        <f t="shared" si="115"/>
        <v>33</v>
      </c>
      <c r="G629" s="8">
        <v>202108</v>
      </c>
      <c r="H629" s="8" t="s">
        <v>7021</v>
      </c>
      <c r="I629" s="8">
        <v>202108</v>
      </c>
      <c r="J629" s="8" t="s">
        <v>7021</v>
      </c>
      <c r="K629" s="52">
        <f t="shared" si="107"/>
        <v>44417</v>
      </c>
      <c r="L629" s="52">
        <f t="shared" si="108"/>
        <v>44423</v>
      </c>
      <c r="M629" s="55" t="str">
        <f t="shared" si="109"/>
        <v>09/08/21 @ 
15/08/21</v>
      </c>
    </row>
    <row r="630" spans="2:13" ht="24" x14ac:dyDescent="0.25">
      <c r="B630" s="51">
        <f t="shared" si="116"/>
        <v>628</v>
      </c>
      <c r="C630" s="52">
        <f t="shared" si="116"/>
        <v>44422</v>
      </c>
      <c r="D630" s="53">
        <f t="shared" si="106"/>
        <v>44422</v>
      </c>
      <c r="E630" s="54">
        <f t="shared" si="115"/>
        <v>90</v>
      </c>
      <c r="F630" s="54">
        <f t="shared" si="115"/>
        <v>33</v>
      </c>
      <c r="G630" s="8">
        <v>202108</v>
      </c>
      <c r="H630" s="8" t="s">
        <v>7021</v>
      </c>
      <c r="I630" s="8">
        <v>202108</v>
      </c>
      <c r="J630" s="8" t="s">
        <v>7021</v>
      </c>
      <c r="K630" s="52">
        <f t="shared" si="107"/>
        <v>44417</v>
      </c>
      <c r="L630" s="52">
        <f t="shared" si="108"/>
        <v>44423</v>
      </c>
      <c r="M630" s="55" t="str">
        <f t="shared" si="109"/>
        <v>09/08/21 @ 
15/08/21</v>
      </c>
    </row>
    <row r="631" spans="2:13" ht="24" x14ac:dyDescent="0.25">
      <c r="B631" s="51">
        <f t="shared" si="116"/>
        <v>629</v>
      </c>
      <c r="C631" s="52">
        <f t="shared" si="116"/>
        <v>44423</v>
      </c>
      <c r="D631" s="53">
        <f t="shared" si="106"/>
        <v>44423</v>
      </c>
      <c r="E631" s="54">
        <f t="shared" si="115"/>
        <v>90</v>
      </c>
      <c r="F631" s="54">
        <f t="shared" si="115"/>
        <v>33</v>
      </c>
      <c r="G631" s="8">
        <v>202108</v>
      </c>
      <c r="H631" s="8" t="s">
        <v>7021</v>
      </c>
      <c r="I631" s="8">
        <v>202108</v>
      </c>
      <c r="J631" s="8" t="s">
        <v>7021</v>
      </c>
      <c r="K631" s="52">
        <f t="shared" si="107"/>
        <v>44417</v>
      </c>
      <c r="L631" s="52">
        <f t="shared" si="108"/>
        <v>44423</v>
      </c>
      <c r="M631" s="55" t="str">
        <f t="shared" si="109"/>
        <v>09/08/21 @ 
15/08/21</v>
      </c>
    </row>
    <row r="632" spans="2:13" ht="24" x14ac:dyDescent="0.25">
      <c r="B632" s="51">
        <f t="shared" si="116"/>
        <v>630</v>
      </c>
      <c r="C632" s="52">
        <f t="shared" si="116"/>
        <v>44424</v>
      </c>
      <c r="D632" s="53">
        <f t="shared" si="106"/>
        <v>44424</v>
      </c>
      <c r="E632" s="54">
        <f t="shared" si="115"/>
        <v>91</v>
      </c>
      <c r="F632" s="54">
        <f t="shared" si="115"/>
        <v>34</v>
      </c>
      <c r="G632" s="8">
        <v>202108</v>
      </c>
      <c r="H632" s="8" t="s">
        <v>7021</v>
      </c>
      <c r="I632" s="8">
        <v>202108</v>
      </c>
      <c r="J632" s="8" t="s">
        <v>7021</v>
      </c>
      <c r="K632" s="52">
        <f t="shared" si="107"/>
        <v>44424</v>
      </c>
      <c r="L632" s="52">
        <f t="shared" si="108"/>
        <v>44430</v>
      </c>
      <c r="M632" s="55" t="str">
        <f t="shared" si="109"/>
        <v>16/08/21 @ 
22/08/21</v>
      </c>
    </row>
    <row r="633" spans="2:13" ht="24" x14ac:dyDescent="0.25">
      <c r="B633" s="51">
        <f t="shared" si="116"/>
        <v>631</v>
      </c>
      <c r="C633" s="52">
        <f t="shared" si="116"/>
        <v>44425</v>
      </c>
      <c r="D633" s="53">
        <f t="shared" si="106"/>
        <v>44425</v>
      </c>
      <c r="E633" s="54">
        <f t="shared" si="115"/>
        <v>91</v>
      </c>
      <c r="F633" s="54">
        <f t="shared" si="115"/>
        <v>34</v>
      </c>
      <c r="G633" s="8">
        <v>202108</v>
      </c>
      <c r="H633" s="8" t="s">
        <v>7021</v>
      </c>
      <c r="I633" s="8">
        <v>202108</v>
      </c>
      <c r="J633" s="8" t="s">
        <v>7021</v>
      </c>
      <c r="K633" s="52">
        <f t="shared" si="107"/>
        <v>44424</v>
      </c>
      <c r="L633" s="52">
        <f t="shared" si="108"/>
        <v>44430</v>
      </c>
      <c r="M633" s="55" t="str">
        <f t="shared" si="109"/>
        <v>16/08/21 @ 
22/08/21</v>
      </c>
    </row>
    <row r="634" spans="2:13" ht="24" x14ac:dyDescent="0.25">
      <c r="B634" s="51">
        <f t="shared" si="116"/>
        <v>632</v>
      </c>
      <c r="C634" s="52">
        <f t="shared" si="116"/>
        <v>44426</v>
      </c>
      <c r="D634" s="53">
        <f t="shared" si="106"/>
        <v>44426</v>
      </c>
      <c r="E634" s="54">
        <f t="shared" ref="E634:F649" si="117">+E627+1</f>
        <v>91</v>
      </c>
      <c r="F634" s="54">
        <f t="shared" si="117"/>
        <v>34</v>
      </c>
      <c r="G634" s="8">
        <v>202108</v>
      </c>
      <c r="H634" s="8" t="s">
        <v>7021</v>
      </c>
      <c r="I634" s="8">
        <v>202108</v>
      </c>
      <c r="J634" s="8" t="s">
        <v>7021</v>
      </c>
      <c r="K634" s="52">
        <f t="shared" si="107"/>
        <v>44424</v>
      </c>
      <c r="L634" s="52">
        <f t="shared" si="108"/>
        <v>44430</v>
      </c>
      <c r="M634" s="55" t="str">
        <f t="shared" si="109"/>
        <v>16/08/21 @ 
22/08/21</v>
      </c>
    </row>
    <row r="635" spans="2:13" ht="24" x14ac:dyDescent="0.25">
      <c r="B635" s="51">
        <f t="shared" si="116"/>
        <v>633</v>
      </c>
      <c r="C635" s="52">
        <f t="shared" si="116"/>
        <v>44427</v>
      </c>
      <c r="D635" s="53">
        <f t="shared" si="106"/>
        <v>44427</v>
      </c>
      <c r="E635" s="54">
        <f t="shared" si="117"/>
        <v>91</v>
      </c>
      <c r="F635" s="54">
        <f t="shared" si="117"/>
        <v>34</v>
      </c>
      <c r="G635" s="8">
        <v>202108</v>
      </c>
      <c r="H635" s="8" t="s">
        <v>7021</v>
      </c>
      <c r="I635" s="8">
        <v>202108</v>
      </c>
      <c r="J635" s="8" t="s">
        <v>7021</v>
      </c>
      <c r="K635" s="52">
        <f t="shared" si="107"/>
        <v>44424</v>
      </c>
      <c r="L635" s="52">
        <f t="shared" si="108"/>
        <v>44430</v>
      </c>
      <c r="M635" s="55" t="str">
        <f t="shared" si="109"/>
        <v>16/08/21 @ 
22/08/21</v>
      </c>
    </row>
    <row r="636" spans="2:13" ht="24" x14ac:dyDescent="0.25">
      <c r="B636" s="51">
        <f t="shared" si="116"/>
        <v>634</v>
      </c>
      <c r="C636" s="52">
        <f t="shared" si="116"/>
        <v>44428</v>
      </c>
      <c r="D636" s="53">
        <f t="shared" si="106"/>
        <v>44428</v>
      </c>
      <c r="E636" s="54">
        <f t="shared" si="117"/>
        <v>91</v>
      </c>
      <c r="F636" s="54">
        <f t="shared" si="117"/>
        <v>34</v>
      </c>
      <c r="G636" s="8">
        <v>202108</v>
      </c>
      <c r="H636" s="8" t="s">
        <v>7021</v>
      </c>
      <c r="I636" s="8">
        <v>202108</v>
      </c>
      <c r="J636" s="8" t="s">
        <v>7021</v>
      </c>
      <c r="K636" s="52">
        <f t="shared" si="107"/>
        <v>44424</v>
      </c>
      <c r="L636" s="52">
        <f t="shared" si="108"/>
        <v>44430</v>
      </c>
      <c r="M636" s="55" t="str">
        <f t="shared" si="109"/>
        <v>16/08/21 @ 
22/08/21</v>
      </c>
    </row>
    <row r="637" spans="2:13" ht="24" x14ac:dyDescent="0.25">
      <c r="B637" s="51">
        <f t="shared" si="116"/>
        <v>635</v>
      </c>
      <c r="C637" s="52">
        <f t="shared" si="116"/>
        <v>44429</v>
      </c>
      <c r="D637" s="53">
        <f t="shared" si="106"/>
        <v>44429</v>
      </c>
      <c r="E637" s="54">
        <f t="shared" si="117"/>
        <v>91</v>
      </c>
      <c r="F637" s="54">
        <f t="shared" si="117"/>
        <v>34</v>
      </c>
      <c r="G637" s="8">
        <v>202108</v>
      </c>
      <c r="H637" s="8" t="s">
        <v>7021</v>
      </c>
      <c r="I637" s="8">
        <v>202109</v>
      </c>
      <c r="J637" s="8" t="s">
        <v>7022</v>
      </c>
      <c r="K637" s="52">
        <f t="shared" si="107"/>
        <v>44424</v>
      </c>
      <c r="L637" s="52">
        <f t="shared" si="108"/>
        <v>44430</v>
      </c>
      <c r="M637" s="55" t="str">
        <f t="shared" si="109"/>
        <v>16/08/21 @ 
22/08/21</v>
      </c>
    </row>
    <row r="638" spans="2:13" ht="24" x14ac:dyDescent="0.25">
      <c r="B638" s="51">
        <f t="shared" si="116"/>
        <v>636</v>
      </c>
      <c r="C638" s="52">
        <f t="shared" si="116"/>
        <v>44430</v>
      </c>
      <c r="D638" s="53">
        <f t="shared" si="106"/>
        <v>44430</v>
      </c>
      <c r="E638" s="54">
        <f t="shared" si="117"/>
        <v>91</v>
      </c>
      <c r="F638" s="54">
        <f t="shared" si="117"/>
        <v>34</v>
      </c>
      <c r="G638" s="8">
        <v>202108</v>
      </c>
      <c r="H638" s="8" t="s">
        <v>7021</v>
      </c>
      <c r="I638" s="8">
        <v>202109</v>
      </c>
      <c r="J638" s="8" t="s">
        <v>7022</v>
      </c>
      <c r="K638" s="52">
        <f t="shared" si="107"/>
        <v>44424</v>
      </c>
      <c r="L638" s="52">
        <f t="shared" si="108"/>
        <v>44430</v>
      </c>
      <c r="M638" s="55" t="str">
        <f t="shared" si="109"/>
        <v>16/08/21 @ 
22/08/21</v>
      </c>
    </row>
    <row r="639" spans="2:13" ht="24" x14ac:dyDescent="0.25">
      <c r="B639" s="51">
        <f t="shared" si="116"/>
        <v>637</v>
      </c>
      <c r="C639" s="52">
        <f t="shared" si="116"/>
        <v>44431</v>
      </c>
      <c r="D639" s="53">
        <f t="shared" si="106"/>
        <v>44431</v>
      </c>
      <c r="E639" s="54">
        <f t="shared" si="117"/>
        <v>92</v>
      </c>
      <c r="F639" s="54">
        <f t="shared" si="117"/>
        <v>35</v>
      </c>
      <c r="G639" s="8">
        <v>202108</v>
      </c>
      <c r="H639" s="8" t="s">
        <v>7021</v>
      </c>
      <c r="I639" s="8">
        <v>202109</v>
      </c>
      <c r="J639" s="8" t="s">
        <v>7022</v>
      </c>
      <c r="K639" s="52">
        <f t="shared" si="107"/>
        <v>44431</v>
      </c>
      <c r="L639" s="52">
        <f t="shared" si="108"/>
        <v>44437</v>
      </c>
      <c r="M639" s="55" t="str">
        <f t="shared" si="109"/>
        <v>23/08/21 @ 
29/08/21</v>
      </c>
    </row>
    <row r="640" spans="2:13" ht="24" x14ac:dyDescent="0.25">
      <c r="B640" s="51">
        <f t="shared" si="116"/>
        <v>638</v>
      </c>
      <c r="C640" s="52">
        <f t="shared" si="116"/>
        <v>44432</v>
      </c>
      <c r="D640" s="53">
        <f t="shared" si="106"/>
        <v>44432</v>
      </c>
      <c r="E640" s="54">
        <f t="shared" si="117"/>
        <v>92</v>
      </c>
      <c r="F640" s="54">
        <f t="shared" si="117"/>
        <v>35</v>
      </c>
      <c r="G640" s="8">
        <v>202108</v>
      </c>
      <c r="H640" s="8" t="s">
        <v>7021</v>
      </c>
      <c r="I640" s="8">
        <v>202109</v>
      </c>
      <c r="J640" s="8" t="s">
        <v>7022</v>
      </c>
      <c r="K640" s="52">
        <f t="shared" si="107"/>
        <v>44431</v>
      </c>
      <c r="L640" s="52">
        <f t="shared" si="108"/>
        <v>44437</v>
      </c>
      <c r="M640" s="55" t="str">
        <f t="shared" si="109"/>
        <v>23/08/21 @ 
29/08/21</v>
      </c>
    </row>
    <row r="641" spans="2:13" ht="24" x14ac:dyDescent="0.25">
      <c r="B641" s="51">
        <f t="shared" si="116"/>
        <v>639</v>
      </c>
      <c r="C641" s="52">
        <f t="shared" si="116"/>
        <v>44433</v>
      </c>
      <c r="D641" s="53">
        <f t="shared" si="106"/>
        <v>44433</v>
      </c>
      <c r="E641" s="54">
        <f t="shared" si="117"/>
        <v>92</v>
      </c>
      <c r="F641" s="54">
        <f t="shared" si="117"/>
        <v>35</v>
      </c>
      <c r="G641" s="8">
        <v>202108</v>
      </c>
      <c r="H641" s="8" t="s">
        <v>7021</v>
      </c>
      <c r="I641" s="8">
        <v>202109</v>
      </c>
      <c r="J641" s="8" t="s">
        <v>7022</v>
      </c>
      <c r="K641" s="52">
        <f t="shared" si="107"/>
        <v>44431</v>
      </c>
      <c r="L641" s="52">
        <f t="shared" si="108"/>
        <v>44437</v>
      </c>
      <c r="M641" s="55" t="str">
        <f t="shared" si="109"/>
        <v>23/08/21 @ 
29/08/21</v>
      </c>
    </row>
    <row r="642" spans="2:13" ht="24" x14ac:dyDescent="0.25">
      <c r="B642" s="51">
        <f t="shared" si="116"/>
        <v>640</v>
      </c>
      <c r="C642" s="52">
        <f t="shared" si="116"/>
        <v>44434</v>
      </c>
      <c r="D642" s="53">
        <f t="shared" si="106"/>
        <v>44434</v>
      </c>
      <c r="E642" s="54">
        <f t="shared" si="117"/>
        <v>92</v>
      </c>
      <c r="F642" s="54">
        <f t="shared" si="117"/>
        <v>35</v>
      </c>
      <c r="G642" s="8">
        <v>202108</v>
      </c>
      <c r="H642" s="8" t="s">
        <v>7021</v>
      </c>
      <c r="I642" s="8">
        <v>202109</v>
      </c>
      <c r="J642" s="8" t="s">
        <v>7022</v>
      </c>
      <c r="K642" s="52">
        <f t="shared" si="107"/>
        <v>44431</v>
      </c>
      <c r="L642" s="52">
        <f t="shared" si="108"/>
        <v>44437</v>
      </c>
      <c r="M642" s="55" t="str">
        <f t="shared" si="109"/>
        <v>23/08/21 @ 
29/08/21</v>
      </c>
    </row>
    <row r="643" spans="2:13" ht="24" x14ac:dyDescent="0.25">
      <c r="B643" s="51">
        <f t="shared" si="116"/>
        <v>641</v>
      </c>
      <c r="C643" s="52">
        <f t="shared" si="116"/>
        <v>44435</v>
      </c>
      <c r="D643" s="53">
        <f t="shared" ref="D643:D706" si="118">+C643</f>
        <v>44435</v>
      </c>
      <c r="E643" s="54">
        <f t="shared" si="117"/>
        <v>92</v>
      </c>
      <c r="F643" s="54">
        <f t="shared" si="117"/>
        <v>35</v>
      </c>
      <c r="G643" s="8">
        <v>202108</v>
      </c>
      <c r="H643" s="8" t="s">
        <v>7021</v>
      </c>
      <c r="I643" s="8">
        <v>202109</v>
      </c>
      <c r="J643" s="8" t="s">
        <v>7022</v>
      </c>
      <c r="K643" s="52">
        <f t="shared" ref="K643:K706" si="119">_xlfn.MINIFS($C$2:$C$890,$E$2:$E$890,E643)</f>
        <v>44431</v>
      </c>
      <c r="L643" s="52">
        <f t="shared" ref="L643:L706" si="120">_xlfn.MAXIFS($C$2:$C$890,$E$2:$E$890,E643)</f>
        <v>44437</v>
      </c>
      <c r="M643" s="55" t="str">
        <f t="shared" ref="M643:M706" si="121">CONCATENATE(TEXT(K643,"DD/MM/YY")," @ ",CHAR(10),TEXT(L643,"DD/MM/YY"))</f>
        <v>23/08/21 @ 
29/08/21</v>
      </c>
    </row>
    <row r="644" spans="2:13" ht="24" x14ac:dyDescent="0.25">
      <c r="B644" s="51">
        <f t="shared" si="116"/>
        <v>642</v>
      </c>
      <c r="C644" s="52">
        <f t="shared" si="116"/>
        <v>44436</v>
      </c>
      <c r="D644" s="53">
        <f t="shared" si="118"/>
        <v>44436</v>
      </c>
      <c r="E644" s="54">
        <f t="shared" si="117"/>
        <v>92</v>
      </c>
      <c r="F644" s="54">
        <f t="shared" si="117"/>
        <v>35</v>
      </c>
      <c r="G644" s="8">
        <v>202108</v>
      </c>
      <c r="H644" s="8" t="s">
        <v>7021</v>
      </c>
      <c r="I644" s="8">
        <v>202109</v>
      </c>
      <c r="J644" s="8" t="s">
        <v>7022</v>
      </c>
      <c r="K644" s="52">
        <f t="shared" si="119"/>
        <v>44431</v>
      </c>
      <c r="L644" s="52">
        <f t="shared" si="120"/>
        <v>44437</v>
      </c>
      <c r="M644" s="55" t="str">
        <f t="shared" si="121"/>
        <v>23/08/21 @ 
29/08/21</v>
      </c>
    </row>
    <row r="645" spans="2:13" ht="24" x14ac:dyDescent="0.25">
      <c r="B645" s="51">
        <f t="shared" ref="B645:C660" si="122">+B644+1</f>
        <v>643</v>
      </c>
      <c r="C645" s="52">
        <f t="shared" si="122"/>
        <v>44437</v>
      </c>
      <c r="D645" s="53">
        <f t="shared" si="118"/>
        <v>44437</v>
      </c>
      <c r="E645" s="54">
        <f t="shared" si="117"/>
        <v>92</v>
      </c>
      <c r="F645" s="54">
        <f t="shared" si="117"/>
        <v>35</v>
      </c>
      <c r="G645" s="8">
        <v>202108</v>
      </c>
      <c r="H645" s="8" t="s">
        <v>7021</v>
      </c>
      <c r="I645" s="8">
        <v>202109</v>
      </c>
      <c r="J645" s="8" t="s">
        <v>7022</v>
      </c>
      <c r="K645" s="52">
        <f t="shared" si="119"/>
        <v>44431</v>
      </c>
      <c r="L645" s="52">
        <f t="shared" si="120"/>
        <v>44437</v>
      </c>
      <c r="M645" s="55" t="str">
        <f t="shared" si="121"/>
        <v>23/08/21 @ 
29/08/21</v>
      </c>
    </row>
    <row r="646" spans="2:13" ht="24" x14ac:dyDescent="0.25">
      <c r="B646" s="51">
        <f t="shared" si="122"/>
        <v>644</v>
      </c>
      <c r="C646" s="52">
        <f t="shared" si="122"/>
        <v>44438</v>
      </c>
      <c r="D646" s="53">
        <f t="shared" si="118"/>
        <v>44438</v>
      </c>
      <c r="E646" s="54">
        <f t="shared" si="117"/>
        <v>93</v>
      </c>
      <c r="F646" s="54">
        <f t="shared" si="117"/>
        <v>36</v>
      </c>
      <c r="G646" s="8">
        <v>202109</v>
      </c>
      <c r="H646" s="8" t="s">
        <v>7022</v>
      </c>
      <c r="I646" s="8">
        <v>202109</v>
      </c>
      <c r="J646" s="8" t="s">
        <v>7022</v>
      </c>
      <c r="K646" s="52">
        <f t="shared" si="119"/>
        <v>44438</v>
      </c>
      <c r="L646" s="52">
        <f t="shared" si="120"/>
        <v>44444</v>
      </c>
      <c r="M646" s="55" t="str">
        <f t="shared" si="121"/>
        <v>30/08/21 @ 
05/09/21</v>
      </c>
    </row>
    <row r="647" spans="2:13" ht="24" x14ac:dyDescent="0.25">
      <c r="B647" s="51">
        <f t="shared" si="122"/>
        <v>645</v>
      </c>
      <c r="C647" s="52">
        <f t="shared" si="122"/>
        <v>44439</v>
      </c>
      <c r="D647" s="53">
        <f t="shared" si="118"/>
        <v>44439</v>
      </c>
      <c r="E647" s="54">
        <f t="shared" si="117"/>
        <v>93</v>
      </c>
      <c r="F647" s="54">
        <f t="shared" si="117"/>
        <v>36</v>
      </c>
      <c r="G647" s="8">
        <v>202109</v>
      </c>
      <c r="H647" s="8" t="s">
        <v>7022</v>
      </c>
      <c r="I647" s="8">
        <v>202109</v>
      </c>
      <c r="J647" s="8" t="s">
        <v>7022</v>
      </c>
      <c r="K647" s="52">
        <f t="shared" si="119"/>
        <v>44438</v>
      </c>
      <c r="L647" s="52">
        <f t="shared" si="120"/>
        <v>44444</v>
      </c>
      <c r="M647" s="55" t="str">
        <f t="shared" si="121"/>
        <v>30/08/21 @ 
05/09/21</v>
      </c>
    </row>
    <row r="648" spans="2:13" ht="24" x14ac:dyDescent="0.25">
      <c r="B648" s="51">
        <f t="shared" si="122"/>
        <v>646</v>
      </c>
      <c r="C648" s="52">
        <f t="shared" si="122"/>
        <v>44440</v>
      </c>
      <c r="D648" s="53">
        <f t="shared" si="118"/>
        <v>44440</v>
      </c>
      <c r="E648" s="54">
        <f t="shared" si="117"/>
        <v>93</v>
      </c>
      <c r="F648" s="54">
        <f t="shared" si="117"/>
        <v>36</v>
      </c>
      <c r="G648" s="8">
        <v>202109</v>
      </c>
      <c r="H648" s="8" t="s">
        <v>7022</v>
      </c>
      <c r="I648" s="8">
        <v>202109</v>
      </c>
      <c r="J648" s="8" t="s">
        <v>7022</v>
      </c>
      <c r="K648" s="52">
        <f t="shared" si="119"/>
        <v>44438</v>
      </c>
      <c r="L648" s="52">
        <f t="shared" si="120"/>
        <v>44444</v>
      </c>
      <c r="M648" s="55" t="str">
        <f t="shared" si="121"/>
        <v>30/08/21 @ 
05/09/21</v>
      </c>
    </row>
    <row r="649" spans="2:13" ht="24" x14ac:dyDescent="0.25">
      <c r="B649" s="51">
        <f t="shared" si="122"/>
        <v>647</v>
      </c>
      <c r="C649" s="52">
        <f t="shared" si="122"/>
        <v>44441</v>
      </c>
      <c r="D649" s="53">
        <f t="shared" si="118"/>
        <v>44441</v>
      </c>
      <c r="E649" s="54">
        <f t="shared" si="117"/>
        <v>93</v>
      </c>
      <c r="F649" s="54">
        <f t="shared" si="117"/>
        <v>36</v>
      </c>
      <c r="G649" s="8">
        <v>202109</v>
      </c>
      <c r="H649" s="8" t="s">
        <v>7022</v>
      </c>
      <c r="I649" s="8">
        <v>202109</v>
      </c>
      <c r="J649" s="8" t="s">
        <v>7022</v>
      </c>
      <c r="K649" s="52">
        <f t="shared" si="119"/>
        <v>44438</v>
      </c>
      <c r="L649" s="52">
        <f t="shared" si="120"/>
        <v>44444</v>
      </c>
      <c r="M649" s="55" t="str">
        <f t="shared" si="121"/>
        <v>30/08/21 @ 
05/09/21</v>
      </c>
    </row>
    <row r="650" spans="2:13" ht="24" x14ac:dyDescent="0.25">
      <c r="B650" s="51">
        <f t="shared" si="122"/>
        <v>648</v>
      </c>
      <c r="C650" s="52">
        <f t="shared" si="122"/>
        <v>44442</v>
      </c>
      <c r="D650" s="53">
        <f t="shared" si="118"/>
        <v>44442</v>
      </c>
      <c r="E650" s="54">
        <f t="shared" ref="E650:F665" si="123">+E643+1</f>
        <v>93</v>
      </c>
      <c r="F650" s="54">
        <f t="shared" si="123"/>
        <v>36</v>
      </c>
      <c r="G650" s="8">
        <v>202109</v>
      </c>
      <c r="H650" s="8" t="s">
        <v>7022</v>
      </c>
      <c r="I650" s="8">
        <v>202109</v>
      </c>
      <c r="J650" s="8" t="s">
        <v>7022</v>
      </c>
      <c r="K650" s="52">
        <f t="shared" si="119"/>
        <v>44438</v>
      </c>
      <c r="L650" s="52">
        <f t="shared" si="120"/>
        <v>44444</v>
      </c>
      <c r="M650" s="55" t="str">
        <f t="shared" si="121"/>
        <v>30/08/21 @ 
05/09/21</v>
      </c>
    </row>
    <row r="651" spans="2:13" ht="24" x14ac:dyDescent="0.25">
      <c r="B651" s="51">
        <f t="shared" si="122"/>
        <v>649</v>
      </c>
      <c r="C651" s="52">
        <f t="shared" si="122"/>
        <v>44443</v>
      </c>
      <c r="D651" s="53">
        <f t="shared" si="118"/>
        <v>44443</v>
      </c>
      <c r="E651" s="54">
        <f t="shared" si="123"/>
        <v>93</v>
      </c>
      <c r="F651" s="54">
        <f t="shared" si="123"/>
        <v>36</v>
      </c>
      <c r="G651" s="8">
        <v>202109</v>
      </c>
      <c r="H651" s="8" t="s">
        <v>7022</v>
      </c>
      <c r="I651" s="8">
        <v>202109</v>
      </c>
      <c r="J651" s="8" t="s">
        <v>7022</v>
      </c>
      <c r="K651" s="52">
        <f t="shared" si="119"/>
        <v>44438</v>
      </c>
      <c r="L651" s="52">
        <f t="shared" si="120"/>
        <v>44444</v>
      </c>
      <c r="M651" s="55" t="str">
        <f t="shared" si="121"/>
        <v>30/08/21 @ 
05/09/21</v>
      </c>
    </row>
    <row r="652" spans="2:13" ht="24" x14ac:dyDescent="0.25">
      <c r="B652" s="51">
        <f t="shared" si="122"/>
        <v>650</v>
      </c>
      <c r="C652" s="52">
        <f t="shared" si="122"/>
        <v>44444</v>
      </c>
      <c r="D652" s="53">
        <f t="shared" si="118"/>
        <v>44444</v>
      </c>
      <c r="E652" s="54">
        <f t="shared" si="123"/>
        <v>93</v>
      </c>
      <c r="F652" s="54">
        <f t="shared" si="123"/>
        <v>36</v>
      </c>
      <c r="G652" s="8">
        <v>202109</v>
      </c>
      <c r="H652" s="8" t="s">
        <v>7022</v>
      </c>
      <c r="I652" s="8">
        <v>202109</v>
      </c>
      <c r="J652" s="8" t="s">
        <v>7022</v>
      </c>
      <c r="K652" s="52">
        <f t="shared" si="119"/>
        <v>44438</v>
      </c>
      <c r="L652" s="52">
        <f t="shared" si="120"/>
        <v>44444</v>
      </c>
      <c r="M652" s="55" t="str">
        <f t="shared" si="121"/>
        <v>30/08/21 @ 
05/09/21</v>
      </c>
    </row>
    <row r="653" spans="2:13" ht="24" x14ac:dyDescent="0.25">
      <c r="B653" s="51">
        <f t="shared" si="122"/>
        <v>651</v>
      </c>
      <c r="C653" s="52">
        <f t="shared" si="122"/>
        <v>44445</v>
      </c>
      <c r="D653" s="53">
        <f t="shared" si="118"/>
        <v>44445</v>
      </c>
      <c r="E653" s="54">
        <f t="shared" si="123"/>
        <v>94</v>
      </c>
      <c r="F653" s="54">
        <f t="shared" si="123"/>
        <v>37</v>
      </c>
      <c r="G653" s="8">
        <v>202109</v>
      </c>
      <c r="H653" s="8" t="s">
        <v>7022</v>
      </c>
      <c r="I653" s="8">
        <v>202109</v>
      </c>
      <c r="J653" s="8" t="s">
        <v>7022</v>
      </c>
      <c r="K653" s="52">
        <f t="shared" si="119"/>
        <v>44445</v>
      </c>
      <c r="L653" s="52">
        <f t="shared" si="120"/>
        <v>44451</v>
      </c>
      <c r="M653" s="55" t="str">
        <f t="shared" si="121"/>
        <v>06/09/21 @ 
12/09/21</v>
      </c>
    </row>
    <row r="654" spans="2:13" ht="24" x14ac:dyDescent="0.25">
      <c r="B654" s="51">
        <f t="shared" si="122"/>
        <v>652</v>
      </c>
      <c r="C654" s="52">
        <f t="shared" si="122"/>
        <v>44446</v>
      </c>
      <c r="D654" s="53">
        <f t="shared" si="118"/>
        <v>44446</v>
      </c>
      <c r="E654" s="54">
        <f t="shared" si="123"/>
        <v>94</v>
      </c>
      <c r="F654" s="54">
        <f t="shared" si="123"/>
        <v>37</v>
      </c>
      <c r="G654" s="8">
        <v>202109</v>
      </c>
      <c r="H654" s="8" t="s">
        <v>7022</v>
      </c>
      <c r="I654" s="8">
        <v>202109</v>
      </c>
      <c r="J654" s="8" t="s">
        <v>7022</v>
      </c>
      <c r="K654" s="52">
        <f t="shared" si="119"/>
        <v>44445</v>
      </c>
      <c r="L654" s="52">
        <f t="shared" si="120"/>
        <v>44451</v>
      </c>
      <c r="M654" s="55" t="str">
        <f t="shared" si="121"/>
        <v>06/09/21 @ 
12/09/21</v>
      </c>
    </row>
    <row r="655" spans="2:13" ht="24" x14ac:dyDescent="0.25">
      <c r="B655" s="51">
        <f t="shared" si="122"/>
        <v>653</v>
      </c>
      <c r="C655" s="52">
        <f t="shared" si="122"/>
        <v>44447</v>
      </c>
      <c r="D655" s="53">
        <f t="shared" si="118"/>
        <v>44447</v>
      </c>
      <c r="E655" s="54">
        <f t="shared" si="123"/>
        <v>94</v>
      </c>
      <c r="F655" s="54">
        <f t="shared" si="123"/>
        <v>37</v>
      </c>
      <c r="G655" s="8">
        <v>202109</v>
      </c>
      <c r="H655" s="8" t="s">
        <v>7022</v>
      </c>
      <c r="I655" s="8">
        <v>202109</v>
      </c>
      <c r="J655" s="8" t="s">
        <v>7022</v>
      </c>
      <c r="K655" s="52">
        <f t="shared" si="119"/>
        <v>44445</v>
      </c>
      <c r="L655" s="52">
        <f t="shared" si="120"/>
        <v>44451</v>
      </c>
      <c r="M655" s="55" t="str">
        <f t="shared" si="121"/>
        <v>06/09/21 @ 
12/09/21</v>
      </c>
    </row>
    <row r="656" spans="2:13" ht="24" x14ac:dyDescent="0.25">
      <c r="B656" s="51">
        <f t="shared" si="122"/>
        <v>654</v>
      </c>
      <c r="C656" s="52">
        <f t="shared" si="122"/>
        <v>44448</v>
      </c>
      <c r="D656" s="53">
        <f t="shared" si="118"/>
        <v>44448</v>
      </c>
      <c r="E656" s="54">
        <f t="shared" si="123"/>
        <v>94</v>
      </c>
      <c r="F656" s="54">
        <f t="shared" si="123"/>
        <v>37</v>
      </c>
      <c r="G656" s="8">
        <v>202109</v>
      </c>
      <c r="H656" s="8" t="s">
        <v>7022</v>
      </c>
      <c r="I656" s="8">
        <v>202109</v>
      </c>
      <c r="J656" s="8" t="s">
        <v>7022</v>
      </c>
      <c r="K656" s="52">
        <f t="shared" si="119"/>
        <v>44445</v>
      </c>
      <c r="L656" s="52">
        <f t="shared" si="120"/>
        <v>44451</v>
      </c>
      <c r="M656" s="55" t="str">
        <f t="shared" si="121"/>
        <v>06/09/21 @ 
12/09/21</v>
      </c>
    </row>
    <row r="657" spans="2:13" ht="24" x14ac:dyDescent="0.25">
      <c r="B657" s="51">
        <f t="shared" si="122"/>
        <v>655</v>
      </c>
      <c r="C657" s="52">
        <f t="shared" si="122"/>
        <v>44449</v>
      </c>
      <c r="D657" s="53">
        <f t="shared" si="118"/>
        <v>44449</v>
      </c>
      <c r="E657" s="54">
        <f t="shared" si="123"/>
        <v>94</v>
      </c>
      <c r="F657" s="54">
        <f t="shared" si="123"/>
        <v>37</v>
      </c>
      <c r="G657" s="8">
        <v>202109</v>
      </c>
      <c r="H657" s="8" t="s">
        <v>7022</v>
      </c>
      <c r="I657" s="8">
        <v>202109</v>
      </c>
      <c r="J657" s="8" t="s">
        <v>7022</v>
      </c>
      <c r="K657" s="52">
        <f t="shared" si="119"/>
        <v>44445</v>
      </c>
      <c r="L657" s="52">
        <f t="shared" si="120"/>
        <v>44451</v>
      </c>
      <c r="M657" s="55" t="str">
        <f t="shared" si="121"/>
        <v>06/09/21 @ 
12/09/21</v>
      </c>
    </row>
    <row r="658" spans="2:13" ht="24" x14ac:dyDescent="0.25">
      <c r="B658" s="51">
        <f t="shared" si="122"/>
        <v>656</v>
      </c>
      <c r="C658" s="52">
        <f t="shared" si="122"/>
        <v>44450</v>
      </c>
      <c r="D658" s="53">
        <f t="shared" si="118"/>
        <v>44450</v>
      </c>
      <c r="E658" s="54">
        <f t="shared" si="123"/>
        <v>94</v>
      </c>
      <c r="F658" s="54">
        <f t="shared" si="123"/>
        <v>37</v>
      </c>
      <c r="G658" s="8">
        <v>202109</v>
      </c>
      <c r="H658" s="8" t="s">
        <v>7022</v>
      </c>
      <c r="I658" s="8">
        <v>202109</v>
      </c>
      <c r="J658" s="8" t="s">
        <v>7022</v>
      </c>
      <c r="K658" s="52">
        <f t="shared" si="119"/>
        <v>44445</v>
      </c>
      <c r="L658" s="52">
        <f t="shared" si="120"/>
        <v>44451</v>
      </c>
      <c r="M658" s="55" t="str">
        <f t="shared" si="121"/>
        <v>06/09/21 @ 
12/09/21</v>
      </c>
    </row>
    <row r="659" spans="2:13" ht="24" x14ac:dyDescent="0.25">
      <c r="B659" s="51">
        <f t="shared" si="122"/>
        <v>657</v>
      </c>
      <c r="C659" s="52">
        <f t="shared" si="122"/>
        <v>44451</v>
      </c>
      <c r="D659" s="53">
        <f t="shared" si="118"/>
        <v>44451</v>
      </c>
      <c r="E659" s="54">
        <f t="shared" si="123"/>
        <v>94</v>
      </c>
      <c r="F659" s="54">
        <f t="shared" si="123"/>
        <v>37</v>
      </c>
      <c r="G659" s="8">
        <v>202109</v>
      </c>
      <c r="H659" s="8" t="s">
        <v>7022</v>
      </c>
      <c r="I659" s="8">
        <v>202109</v>
      </c>
      <c r="J659" s="8" t="s">
        <v>7022</v>
      </c>
      <c r="K659" s="52">
        <f t="shared" si="119"/>
        <v>44445</v>
      </c>
      <c r="L659" s="52">
        <f t="shared" si="120"/>
        <v>44451</v>
      </c>
      <c r="M659" s="55" t="str">
        <f t="shared" si="121"/>
        <v>06/09/21 @ 
12/09/21</v>
      </c>
    </row>
    <row r="660" spans="2:13" ht="24" x14ac:dyDescent="0.25">
      <c r="B660" s="51">
        <f t="shared" si="122"/>
        <v>658</v>
      </c>
      <c r="C660" s="52">
        <f t="shared" si="122"/>
        <v>44452</v>
      </c>
      <c r="D660" s="53">
        <f t="shared" si="118"/>
        <v>44452</v>
      </c>
      <c r="E660" s="54">
        <f t="shared" si="123"/>
        <v>95</v>
      </c>
      <c r="F660" s="54">
        <f t="shared" si="123"/>
        <v>38</v>
      </c>
      <c r="G660" s="8">
        <v>202109</v>
      </c>
      <c r="H660" s="8" t="s">
        <v>7022</v>
      </c>
      <c r="I660" s="8">
        <v>202109</v>
      </c>
      <c r="J660" s="8" t="s">
        <v>7022</v>
      </c>
      <c r="K660" s="52">
        <f t="shared" si="119"/>
        <v>44452</v>
      </c>
      <c r="L660" s="52">
        <f t="shared" si="120"/>
        <v>44458</v>
      </c>
      <c r="M660" s="55" t="str">
        <f t="shared" si="121"/>
        <v>13/09/21 @ 
19/09/21</v>
      </c>
    </row>
    <row r="661" spans="2:13" ht="24" x14ac:dyDescent="0.25">
      <c r="B661" s="51">
        <f t="shared" ref="B661:C676" si="124">+B660+1</f>
        <v>659</v>
      </c>
      <c r="C661" s="52">
        <f t="shared" si="124"/>
        <v>44453</v>
      </c>
      <c r="D661" s="53">
        <f t="shared" si="118"/>
        <v>44453</v>
      </c>
      <c r="E661" s="54">
        <f t="shared" si="123"/>
        <v>95</v>
      </c>
      <c r="F661" s="54">
        <f t="shared" si="123"/>
        <v>38</v>
      </c>
      <c r="G661" s="8">
        <v>202109</v>
      </c>
      <c r="H661" s="8" t="s">
        <v>7022</v>
      </c>
      <c r="I661" s="8">
        <v>202109</v>
      </c>
      <c r="J661" s="8" t="s">
        <v>7022</v>
      </c>
      <c r="K661" s="52">
        <f t="shared" si="119"/>
        <v>44452</v>
      </c>
      <c r="L661" s="52">
        <f t="shared" si="120"/>
        <v>44458</v>
      </c>
      <c r="M661" s="55" t="str">
        <f t="shared" si="121"/>
        <v>13/09/21 @ 
19/09/21</v>
      </c>
    </row>
    <row r="662" spans="2:13" ht="24" x14ac:dyDescent="0.25">
      <c r="B662" s="51">
        <f t="shared" si="124"/>
        <v>660</v>
      </c>
      <c r="C662" s="52">
        <f t="shared" si="124"/>
        <v>44454</v>
      </c>
      <c r="D662" s="53">
        <f t="shared" si="118"/>
        <v>44454</v>
      </c>
      <c r="E662" s="54">
        <f t="shared" si="123"/>
        <v>95</v>
      </c>
      <c r="F662" s="54">
        <f t="shared" si="123"/>
        <v>38</v>
      </c>
      <c r="G662" s="8">
        <v>202109</v>
      </c>
      <c r="H662" s="8" t="s">
        <v>7022</v>
      </c>
      <c r="I662" s="8">
        <v>202109</v>
      </c>
      <c r="J662" s="8" t="s">
        <v>7022</v>
      </c>
      <c r="K662" s="52">
        <f t="shared" si="119"/>
        <v>44452</v>
      </c>
      <c r="L662" s="52">
        <f t="shared" si="120"/>
        <v>44458</v>
      </c>
      <c r="M662" s="55" t="str">
        <f t="shared" si="121"/>
        <v>13/09/21 @ 
19/09/21</v>
      </c>
    </row>
    <row r="663" spans="2:13" ht="24" x14ac:dyDescent="0.25">
      <c r="B663" s="51">
        <f t="shared" si="124"/>
        <v>661</v>
      </c>
      <c r="C663" s="52">
        <f t="shared" si="124"/>
        <v>44455</v>
      </c>
      <c r="D663" s="53">
        <f t="shared" si="118"/>
        <v>44455</v>
      </c>
      <c r="E663" s="54">
        <f t="shared" si="123"/>
        <v>95</v>
      </c>
      <c r="F663" s="54">
        <f t="shared" si="123"/>
        <v>38</v>
      </c>
      <c r="G663" s="8">
        <v>202109</v>
      </c>
      <c r="H663" s="8" t="s">
        <v>7022</v>
      </c>
      <c r="I663" s="8">
        <v>202109</v>
      </c>
      <c r="J663" s="8" t="s">
        <v>7022</v>
      </c>
      <c r="K663" s="52">
        <f t="shared" si="119"/>
        <v>44452</v>
      </c>
      <c r="L663" s="52">
        <f t="shared" si="120"/>
        <v>44458</v>
      </c>
      <c r="M663" s="55" t="str">
        <f t="shared" si="121"/>
        <v>13/09/21 @ 
19/09/21</v>
      </c>
    </row>
    <row r="664" spans="2:13" ht="24" x14ac:dyDescent="0.25">
      <c r="B664" s="51">
        <f t="shared" si="124"/>
        <v>662</v>
      </c>
      <c r="C664" s="52">
        <f t="shared" si="124"/>
        <v>44456</v>
      </c>
      <c r="D664" s="53">
        <f t="shared" si="118"/>
        <v>44456</v>
      </c>
      <c r="E664" s="54">
        <f t="shared" si="123"/>
        <v>95</v>
      </c>
      <c r="F664" s="54">
        <f t="shared" si="123"/>
        <v>38</v>
      </c>
      <c r="G664" s="8">
        <v>202109</v>
      </c>
      <c r="H664" s="8" t="s">
        <v>7022</v>
      </c>
      <c r="I664" s="8">
        <v>202109</v>
      </c>
      <c r="J664" s="8" t="s">
        <v>7022</v>
      </c>
      <c r="K664" s="52">
        <f t="shared" si="119"/>
        <v>44452</v>
      </c>
      <c r="L664" s="52">
        <f t="shared" si="120"/>
        <v>44458</v>
      </c>
      <c r="M664" s="55" t="str">
        <f t="shared" si="121"/>
        <v>13/09/21 @ 
19/09/21</v>
      </c>
    </row>
    <row r="665" spans="2:13" ht="24" x14ac:dyDescent="0.25">
      <c r="B665" s="51">
        <f t="shared" si="124"/>
        <v>663</v>
      </c>
      <c r="C665" s="52">
        <f t="shared" si="124"/>
        <v>44457</v>
      </c>
      <c r="D665" s="53">
        <f t="shared" si="118"/>
        <v>44457</v>
      </c>
      <c r="E665" s="54">
        <f t="shared" si="123"/>
        <v>95</v>
      </c>
      <c r="F665" s="54">
        <f t="shared" si="123"/>
        <v>38</v>
      </c>
      <c r="G665" s="8">
        <v>202109</v>
      </c>
      <c r="H665" s="8" t="s">
        <v>7022</v>
      </c>
      <c r="I665" s="8">
        <v>202109</v>
      </c>
      <c r="J665" s="8" t="s">
        <v>7022</v>
      </c>
      <c r="K665" s="52">
        <f t="shared" si="119"/>
        <v>44452</v>
      </c>
      <c r="L665" s="52">
        <f t="shared" si="120"/>
        <v>44458</v>
      </c>
      <c r="M665" s="55" t="str">
        <f t="shared" si="121"/>
        <v>13/09/21 @ 
19/09/21</v>
      </c>
    </row>
    <row r="666" spans="2:13" ht="24" x14ac:dyDescent="0.25">
      <c r="B666" s="51">
        <f t="shared" si="124"/>
        <v>664</v>
      </c>
      <c r="C666" s="52">
        <f t="shared" si="124"/>
        <v>44458</v>
      </c>
      <c r="D666" s="53">
        <f t="shared" si="118"/>
        <v>44458</v>
      </c>
      <c r="E666" s="54">
        <f t="shared" ref="E666:F681" si="125">+E659+1</f>
        <v>95</v>
      </c>
      <c r="F666" s="54">
        <f t="shared" si="125"/>
        <v>38</v>
      </c>
      <c r="G666" s="8">
        <v>202109</v>
      </c>
      <c r="H666" s="8" t="s">
        <v>7022</v>
      </c>
      <c r="I666" s="8">
        <v>202109</v>
      </c>
      <c r="J666" s="8" t="s">
        <v>7022</v>
      </c>
      <c r="K666" s="52">
        <f t="shared" si="119"/>
        <v>44452</v>
      </c>
      <c r="L666" s="52">
        <f t="shared" si="120"/>
        <v>44458</v>
      </c>
      <c r="M666" s="55" t="str">
        <f t="shared" si="121"/>
        <v>13/09/21 @ 
19/09/21</v>
      </c>
    </row>
    <row r="667" spans="2:13" ht="24" x14ac:dyDescent="0.25">
      <c r="B667" s="51">
        <f t="shared" si="124"/>
        <v>665</v>
      </c>
      <c r="C667" s="52">
        <f t="shared" si="124"/>
        <v>44459</v>
      </c>
      <c r="D667" s="53">
        <f t="shared" si="118"/>
        <v>44459</v>
      </c>
      <c r="E667" s="54">
        <f t="shared" si="125"/>
        <v>96</v>
      </c>
      <c r="F667" s="54">
        <f t="shared" si="125"/>
        <v>39</v>
      </c>
      <c r="G667" s="8">
        <v>202109</v>
      </c>
      <c r="H667" s="8" t="s">
        <v>7022</v>
      </c>
      <c r="I667" s="8">
        <v>202109</v>
      </c>
      <c r="J667" s="8" t="s">
        <v>7022</v>
      </c>
      <c r="K667" s="52">
        <f t="shared" si="119"/>
        <v>44459</v>
      </c>
      <c r="L667" s="52">
        <f t="shared" si="120"/>
        <v>44465</v>
      </c>
      <c r="M667" s="55" t="str">
        <f t="shared" si="121"/>
        <v>20/09/21 @ 
26/09/21</v>
      </c>
    </row>
    <row r="668" spans="2:13" ht="24" x14ac:dyDescent="0.25">
      <c r="B668" s="51">
        <f t="shared" si="124"/>
        <v>666</v>
      </c>
      <c r="C668" s="52">
        <f t="shared" si="124"/>
        <v>44460</v>
      </c>
      <c r="D668" s="53">
        <f t="shared" si="118"/>
        <v>44460</v>
      </c>
      <c r="E668" s="54">
        <f t="shared" si="125"/>
        <v>96</v>
      </c>
      <c r="F668" s="54">
        <f t="shared" si="125"/>
        <v>39</v>
      </c>
      <c r="G668" s="8">
        <v>202109</v>
      </c>
      <c r="H668" s="8" t="s">
        <v>7022</v>
      </c>
      <c r="I668" s="8">
        <v>202110</v>
      </c>
      <c r="J668" s="8" t="s">
        <v>7023</v>
      </c>
      <c r="K668" s="52">
        <f t="shared" si="119"/>
        <v>44459</v>
      </c>
      <c r="L668" s="52">
        <f t="shared" si="120"/>
        <v>44465</v>
      </c>
      <c r="M668" s="55" t="str">
        <f t="shared" si="121"/>
        <v>20/09/21 @ 
26/09/21</v>
      </c>
    </row>
    <row r="669" spans="2:13" ht="24" x14ac:dyDescent="0.25">
      <c r="B669" s="51">
        <f t="shared" si="124"/>
        <v>667</v>
      </c>
      <c r="C669" s="52">
        <f t="shared" si="124"/>
        <v>44461</v>
      </c>
      <c r="D669" s="53">
        <f t="shared" si="118"/>
        <v>44461</v>
      </c>
      <c r="E669" s="54">
        <f t="shared" si="125"/>
        <v>96</v>
      </c>
      <c r="F669" s="54">
        <f t="shared" si="125"/>
        <v>39</v>
      </c>
      <c r="G669" s="8">
        <v>202109</v>
      </c>
      <c r="H669" s="8" t="s">
        <v>7022</v>
      </c>
      <c r="I669" s="8">
        <v>202110</v>
      </c>
      <c r="J669" s="8" t="s">
        <v>7023</v>
      </c>
      <c r="K669" s="52">
        <f t="shared" si="119"/>
        <v>44459</v>
      </c>
      <c r="L669" s="52">
        <f t="shared" si="120"/>
        <v>44465</v>
      </c>
      <c r="M669" s="55" t="str">
        <f t="shared" si="121"/>
        <v>20/09/21 @ 
26/09/21</v>
      </c>
    </row>
    <row r="670" spans="2:13" ht="24" x14ac:dyDescent="0.25">
      <c r="B670" s="51">
        <f t="shared" si="124"/>
        <v>668</v>
      </c>
      <c r="C670" s="52">
        <f t="shared" si="124"/>
        <v>44462</v>
      </c>
      <c r="D670" s="53">
        <f t="shared" si="118"/>
        <v>44462</v>
      </c>
      <c r="E670" s="54">
        <f t="shared" si="125"/>
        <v>96</v>
      </c>
      <c r="F670" s="54">
        <f t="shared" si="125"/>
        <v>39</v>
      </c>
      <c r="G670" s="8">
        <v>202109</v>
      </c>
      <c r="H670" s="8" t="s">
        <v>7022</v>
      </c>
      <c r="I670" s="8">
        <v>202110</v>
      </c>
      <c r="J670" s="8" t="s">
        <v>7023</v>
      </c>
      <c r="K670" s="52">
        <f t="shared" si="119"/>
        <v>44459</v>
      </c>
      <c r="L670" s="52">
        <f t="shared" si="120"/>
        <v>44465</v>
      </c>
      <c r="M670" s="55" t="str">
        <f t="shared" si="121"/>
        <v>20/09/21 @ 
26/09/21</v>
      </c>
    </row>
    <row r="671" spans="2:13" ht="24" x14ac:dyDescent="0.25">
      <c r="B671" s="51">
        <f t="shared" si="124"/>
        <v>669</v>
      </c>
      <c r="C671" s="52">
        <f t="shared" si="124"/>
        <v>44463</v>
      </c>
      <c r="D671" s="53">
        <f t="shared" si="118"/>
        <v>44463</v>
      </c>
      <c r="E671" s="54">
        <f t="shared" si="125"/>
        <v>96</v>
      </c>
      <c r="F671" s="54">
        <f t="shared" si="125"/>
        <v>39</v>
      </c>
      <c r="G671" s="8">
        <v>202109</v>
      </c>
      <c r="H671" s="8" t="s">
        <v>7022</v>
      </c>
      <c r="I671" s="8">
        <v>202110</v>
      </c>
      <c r="J671" s="8" t="s">
        <v>7023</v>
      </c>
      <c r="K671" s="52">
        <f t="shared" si="119"/>
        <v>44459</v>
      </c>
      <c r="L671" s="52">
        <f t="shared" si="120"/>
        <v>44465</v>
      </c>
      <c r="M671" s="55" t="str">
        <f t="shared" si="121"/>
        <v>20/09/21 @ 
26/09/21</v>
      </c>
    </row>
    <row r="672" spans="2:13" ht="24" x14ac:dyDescent="0.25">
      <c r="B672" s="51">
        <f t="shared" si="124"/>
        <v>670</v>
      </c>
      <c r="C672" s="52">
        <f t="shared" si="124"/>
        <v>44464</v>
      </c>
      <c r="D672" s="53">
        <f t="shared" si="118"/>
        <v>44464</v>
      </c>
      <c r="E672" s="54">
        <f t="shared" si="125"/>
        <v>96</v>
      </c>
      <c r="F672" s="54">
        <f t="shared" si="125"/>
        <v>39</v>
      </c>
      <c r="G672" s="8">
        <v>202109</v>
      </c>
      <c r="H672" s="8" t="s">
        <v>7022</v>
      </c>
      <c r="I672" s="8">
        <v>202110</v>
      </c>
      <c r="J672" s="8" t="s">
        <v>7023</v>
      </c>
      <c r="K672" s="52">
        <f t="shared" si="119"/>
        <v>44459</v>
      </c>
      <c r="L672" s="52">
        <f t="shared" si="120"/>
        <v>44465</v>
      </c>
      <c r="M672" s="55" t="str">
        <f t="shared" si="121"/>
        <v>20/09/21 @ 
26/09/21</v>
      </c>
    </row>
    <row r="673" spans="2:13" ht="24" x14ac:dyDescent="0.25">
      <c r="B673" s="51">
        <f t="shared" si="124"/>
        <v>671</v>
      </c>
      <c r="C673" s="52">
        <f t="shared" si="124"/>
        <v>44465</v>
      </c>
      <c r="D673" s="53">
        <f t="shared" si="118"/>
        <v>44465</v>
      </c>
      <c r="E673" s="54">
        <f t="shared" si="125"/>
        <v>96</v>
      </c>
      <c r="F673" s="54">
        <f t="shared" si="125"/>
        <v>39</v>
      </c>
      <c r="G673" s="8">
        <v>202109</v>
      </c>
      <c r="H673" s="8" t="s">
        <v>7022</v>
      </c>
      <c r="I673" s="8">
        <v>202110</v>
      </c>
      <c r="J673" s="8" t="s">
        <v>7023</v>
      </c>
      <c r="K673" s="52">
        <f t="shared" si="119"/>
        <v>44459</v>
      </c>
      <c r="L673" s="52">
        <f t="shared" si="120"/>
        <v>44465</v>
      </c>
      <c r="M673" s="55" t="str">
        <f t="shared" si="121"/>
        <v>20/09/21 @ 
26/09/21</v>
      </c>
    </row>
    <row r="674" spans="2:13" ht="24" x14ac:dyDescent="0.25">
      <c r="B674" s="51">
        <f t="shared" si="124"/>
        <v>672</v>
      </c>
      <c r="C674" s="52">
        <f t="shared" si="124"/>
        <v>44466</v>
      </c>
      <c r="D674" s="53">
        <f t="shared" si="118"/>
        <v>44466</v>
      </c>
      <c r="E674" s="54">
        <f t="shared" si="125"/>
        <v>97</v>
      </c>
      <c r="F674" s="54">
        <f t="shared" si="125"/>
        <v>40</v>
      </c>
      <c r="G674" s="8">
        <v>202110</v>
      </c>
      <c r="H674" s="8" t="s">
        <v>7023</v>
      </c>
      <c r="I674" s="8">
        <v>202110</v>
      </c>
      <c r="J674" s="8" t="s">
        <v>7023</v>
      </c>
      <c r="K674" s="52">
        <f t="shared" si="119"/>
        <v>44466</v>
      </c>
      <c r="L674" s="52">
        <f t="shared" si="120"/>
        <v>44472</v>
      </c>
      <c r="M674" s="55" t="str">
        <f t="shared" si="121"/>
        <v>27/09/21 @ 
03/10/21</v>
      </c>
    </row>
    <row r="675" spans="2:13" ht="24" x14ac:dyDescent="0.25">
      <c r="B675" s="51">
        <f t="shared" si="124"/>
        <v>673</v>
      </c>
      <c r="C675" s="52">
        <f t="shared" si="124"/>
        <v>44467</v>
      </c>
      <c r="D675" s="53">
        <f t="shared" si="118"/>
        <v>44467</v>
      </c>
      <c r="E675" s="54">
        <f t="shared" si="125"/>
        <v>97</v>
      </c>
      <c r="F675" s="54">
        <f t="shared" si="125"/>
        <v>40</v>
      </c>
      <c r="G675" s="8">
        <v>202110</v>
      </c>
      <c r="H675" s="8" t="s">
        <v>7023</v>
      </c>
      <c r="I675" s="8">
        <v>202110</v>
      </c>
      <c r="J675" s="8" t="s">
        <v>7023</v>
      </c>
      <c r="K675" s="52">
        <f t="shared" si="119"/>
        <v>44466</v>
      </c>
      <c r="L675" s="52">
        <f t="shared" si="120"/>
        <v>44472</v>
      </c>
      <c r="M675" s="55" t="str">
        <f t="shared" si="121"/>
        <v>27/09/21 @ 
03/10/21</v>
      </c>
    </row>
    <row r="676" spans="2:13" ht="24" x14ac:dyDescent="0.25">
      <c r="B676" s="51">
        <f t="shared" si="124"/>
        <v>674</v>
      </c>
      <c r="C676" s="52">
        <f t="shared" si="124"/>
        <v>44468</v>
      </c>
      <c r="D676" s="53">
        <f t="shared" si="118"/>
        <v>44468</v>
      </c>
      <c r="E676" s="54">
        <f t="shared" si="125"/>
        <v>97</v>
      </c>
      <c r="F676" s="54">
        <f t="shared" si="125"/>
        <v>40</v>
      </c>
      <c r="G676" s="8">
        <v>202110</v>
      </c>
      <c r="H676" s="8" t="s">
        <v>7023</v>
      </c>
      <c r="I676" s="8">
        <v>202110</v>
      </c>
      <c r="J676" s="8" t="s">
        <v>7023</v>
      </c>
      <c r="K676" s="52">
        <f t="shared" si="119"/>
        <v>44466</v>
      </c>
      <c r="L676" s="52">
        <f t="shared" si="120"/>
        <v>44472</v>
      </c>
      <c r="M676" s="55" t="str">
        <f t="shared" si="121"/>
        <v>27/09/21 @ 
03/10/21</v>
      </c>
    </row>
    <row r="677" spans="2:13" ht="24" x14ac:dyDescent="0.25">
      <c r="B677" s="51">
        <f t="shared" ref="B677:C692" si="126">+B676+1</f>
        <v>675</v>
      </c>
      <c r="C677" s="52">
        <f t="shared" si="126"/>
        <v>44469</v>
      </c>
      <c r="D677" s="53">
        <f t="shared" si="118"/>
        <v>44469</v>
      </c>
      <c r="E677" s="54">
        <f t="shared" si="125"/>
        <v>97</v>
      </c>
      <c r="F677" s="54">
        <f t="shared" si="125"/>
        <v>40</v>
      </c>
      <c r="G677" s="8">
        <v>202110</v>
      </c>
      <c r="H677" s="8" t="s">
        <v>7023</v>
      </c>
      <c r="I677" s="8">
        <v>202110</v>
      </c>
      <c r="J677" s="8" t="s">
        <v>7023</v>
      </c>
      <c r="K677" s="52">
        <f t="shared" si="119"/>
        <v>44466</v>
      </c>
      <c r="L677" s="52">
        <f t="shared" si="120"/>
        <v>44472</v>
      </c>
      <c r="M677" s="55" t="str">
        <f t="shared" si="121"/>
        <v>27/09/21 @ 
03/10/21</v>
      </c>
    </row>
    <row r="678" spans="2:13" ht="24" x14ac:dyDescent="0.25">
      <c r="B678" s="51">
        <f t="shared" si="126"/>
        <v>676</v>
      </c>
      <c r="C678" s="52">
        <f t="shared" si="126"/>
        <v>44470</v>
      </c>
      <c r="D678" s="53">
        <f t="shared" si="118"/>
        <v>44470</v>
      </c>
      <c r="E678" s="54">
        <f t="shared" si="125"/>
        <v>97</v>
      </c>
      <c r="F678" s="54">
        <f t="shared" si="125"/>
        <v>40</v>
      </c>
      <c r="G678" s="8">
        <v>202110</v>
      </c>
      <c r="H678" s="8" t="s">
        <v>7023</v>
      </c>
      <c r="I678" s="8">
        <v>202110</v>
      </c>
      <c r="J678" s="8" t="s">
        <v>7023</v>
      </c>
      <c r="K678" s="52">
        <f t="shared" si="119"/>
        <v>44466</v>
      </c>
      <c r="L678" s="52">
        <f t="shared" si="120"/>
        <v>44472</v>
      </c>
      <c r="M678" s="55" t="str">
        <f t="shared" si="121"/>
        <v>27/09/21 @ 
03/10/21</v>
      </c>
    </row>
    <row r="679" spans="2:13" ht="24" x14ac:dyDescent="0.25">
      <c r="B679" s="51">
        <f t="shared" si="126"/>
        <v>677</v>
      </c>
      <c r="C679" s="52">
        <f t="shared" si="126"/>
        <v>44471</v>
      </c>
      <c r="D679" s="53">
        <f t="shared" si="118"/>
        <v>44471</v>
      </c>
      <c r="E679" s="54">
        <f t="shared" si="125"/>
        <v>97</v>
      </c>
      <c r="F679" s="54">
        <f t="shared" si="125"/>
        <v>40</v>
      </c>
      <c r="G679" s="8">
        <v>202110</v>
      </c>
      <c r="H679" s="8" t="s">
        <v>7023</v>
      </c>
      <c r="I679" s="8">
        <v>202110</v>
      </c>
      <c r="J679" s="8" t="s">
        <v>7023</v>
      </c>
      <c r="K679" s="52">
        <f t="shared" si="119"/>
        <v>44466</v>
      </c>
      <c r="L679" s="52">
        <f t="shared" si="120"/>
        <v>44472</v>
      </c>
      <c r="M679" s="55" t="str">
        <f t="shared" si="121"/>
        <v>27/09/21 @ 
03/10/21</v>
      </c>
    </row>
    <row r="680" spans="2:13" ht="24" x14ac:dyDescent="0.25">
      <c r="B680" s="51">
        <f t="shared" si="126"/>
        <v>678</v>
      </c>
      <c r="C680" s="52">
        <f t="shared" si="126"/>
        <v>44472</v>
      </c>
      <c r="D680" s="53">
        <f t="shared" si="118"/>
        <v>44472</v>
      </c>
      <c r="E680" s="54">
        <f t="shared" si="125"/>
        <v>97</v>
      </c>
      <c r="F680" s="54">
        <f t="shared" si="125"/>
        <v>40</v>
      </c>
      <c r="G680" s="8">
        <v>202110</v>
      </c>
      <c r="H680" s="8" t="s">
        <v>7023</v>
      </c>
      <c r="I680" s="8">
        <v>202110</v>
      </c>
      <c r="J680" s="8" t="s">
        <v>7023</v>
      </c>
      <c r="K680" s="52">
        <f t="shared" si="119"/>
        <v>44466</v>
      </c>
      <c r="L680" s="52">
        <f t="shared" si="120"/>
        <v>44472</v>
      </c>
      <c r="M680" s="55" t="str">
        <f t="shared" si="121"/>
        <v>27/09/21 @ 
03/10/21</v>
      </c>
    </row>
    <row r="681" spans="2:13" ht="24" x14ac:dyDescent="0.25">
      <c r="B681" s="51">
        <f t="shared" si="126"/>
        <v>679</v>
      </c>
      <c r="C681" s="52">
        <f t="shared" si="126"/>
        <v>44473</v>
      </c>
      <c r="D681" s="53">
        <f t="shared" si="118"/>
        <v>44473</v>
      </c>
      <c r="E681" s="54">
        <f t="shared" si="125"/>
        <v>98</v>
      </c>
      <c r="F681" s="54">
        <f t="shared" si="125"/>
        <v>41</v>
      </c>
      <c r="G681" s="8">
        <v>202110</v>
      </c>
      <c r="H681" s="8" t="s">
        <v>7023</v>
      </c>
      <c r="I681" s="8">
        <v>202110</v>
      </c>
      <c r="J681" s="8" t="s">
        <v>7023</v>
      </c>
      <c r="K681" s="52">
        <f t="shared" si="119"/>
        <v>44473</v>
      </c>
      <c r="L681" s="52">
        <f t="shared" si="120"/>
        <v>44479</v>
      </c>
      <c r="M681" s="55" t="str">
        <f t="shared" si="121"/>
        <v>04/10/21 @ 
10/10/21</v>
      </c>
    </row>
    <row r="682" spans="2:13" ht="24" x14ac:dyDescent="0.25">
      <c r="B682" s="51">
        <f t="shared" si="126"/>
        <v>680</v>
      </c>
      <c r="C682" s="52">
        <f t="shared" si="126"/>
        <v>44474</v>
      </c>
      <c r="D682" s="53">
        <f t="shared" si="118"/>
        <v>44474</v>
      </c>
      <c r="E682" s="54">
        <f t="shared" ref="E682:F697" si="127">+E675+1</f>
        <v>98</v>
      </c>
      <c r="F682" s="54">
        <f t="shared" si="127"/>
        <v>41</v>
      </c>
      <c r="G682" s="8">
        <v>202110</v>
      </c>
      <c r="H682" s="8" t="s">
        <v>7023</v>
      </c>
      <c r="I682" s="8">
        <v>202110</v>
      </c>
      <c r="J682" s="8" t="s">
        <v>7023</v>
      </c>
      <c r="K682" s="52">
        <f t="shared" si="119"/>
        <v>44473</v>
      </c>
      <c r="L682" s="52">
        <f t="shared" si="120"/>
        <v>44479</v>
      </c>
      <c r="M682" s="55" t="str">
        <f t="shared" si="121"/>
        <v>04/10/21 @ 
10/10/21</v>
      </c>
    </row>
    <row r="683" spans="2:13" ht="24" x14ac:dyDescent="0.25">
      <c r="B683" s="51">
        <f t="shared" si="126"/>
        <v>681</v>
      </c>
      <c r="C683" s="52">
        <f t="shared" si="126"/>
        <v>44475</v>
      </c>
      <c r="D683" s="53">
        <f t="shared" si="118"/>
        <v>44475</v>
      </c>
      <c r="E683" s="54">
        <f t="shared" si="127"/>
        <v>98</v>
      </c>
      <c r="F683" s="54">
        <f t="shared" si="127"/>
        <v>41</v>
      </c>
      <c r="G683" s="8">
        <v>202110</v>
      </c>
      <c r="H683" s="8" t="s">
        <v>7023</v>
      </c>
      <c r="I683" s="8">
        <v>202110</v>
      </c>
      <c r="J683" s="8" t="s">
        <v>7023</v>
      </c>
      <c r="K683" s="52">
        <f t="shared" si="119"/>
        <v>44473</v>
      </c>
      <c r="L683" s="52">
        <f t="shared" si="120"/>
        <v>44479</v>
      </c>
      <c r="M683" s="55" t="str">
        <f t="shared" si="121"/>
        <v>04/10/21 @ 
10/10/21</v>
      </c>
    </row>
    <row r="684" spans="2:13" ht="24" x14ac:dyDescent="0.25">
      <c r="B684" s="51">
        <f t="shared" si="126"/>
        <v>682</v>
      </c>
      <c r="C684" s="52">
        <f t="shared" si="126"/>
        <v>44476</v>
      </c>
      <c r="D684" s="53">
        <f t="shared" si="118"/>
        <v>44476</v>
      </c>
      <c r="E684" s="54">
        <f t="shared" si="127"/>
        <v>98</v>
      </c>
      <c r="F684" s="54">
        <f t="shared" si="127"/>
        <v>41</v>
      </c>
      <c r="G684" s="8">
        <v>202110</v>
      </c>
      <c r="H684" s="8" t="s">
        <v>7023</v>
      </c>
      <c r="I684" s="8">
        <v>202110</v>
      </c>
      <c r="J684" s="8" t="s">
        <v>7023</v>
      </c>
      <c r="K684" s="52">
        <f t="shared" si="119"/>
        <v>44473</v>
      </c>
      <c r="L684" s="52">
        <f t="shared" si="120"/>
        <v>44479</v>
      </c>
      <c r="M684" s="55" t="str">
        <f t="shared" si="121"/>
        <v>04/10/21 @ 
10/10/21</v>
      </c>
    </row>
    <row r="685" spans="2:13" ht="24" x14ac:dyDescent="0.25">
      <c r="B685" s="51">
        <f t="shared" si="126"/>
        <v>683</v>
      </c>
      <c r="C685" s="52">
        <f t="shared" si="126"/>
        <v>44477</v>
      </c>
      <c r="D685" s="53">
        <f t="shared" si="118"/>
        <v>44477</v>
      </c>
      <c r="E685" s="54">
        <f t="shared" si="127"/>
        <v>98</v>
      </c>
      <c r="F685" s="54">
        <f t="shared" si="127"/>
        <v>41</v>
      </c>
      <c r="G685" s="8">
        <v>202110</v>
      </c>
      <c r="H685" s="8" t="s">
        <v>7023</v>
      </c>
      <c r="I685" s="8">
        <v>202110</v>
      </c>
      <c r="J685" s="8" t="s">
        <v>7023</v>
      </c>
      <c r="K685" s="52">
        <f t="shared" si="119"/>
        <v>44473</v>
      </c>
      <c r="L685" s="52">
        <f t="shared" si="120"/>
        <v>44479</v>
      </c>
      <c r="M685" s="55" t="str">
        <f t="shared" si="121"/>
        <v>04/10/21 @ 
10/10/21</v>
      </c>
    </row>
    <row r="686" spans="2:13" ht="24" x14ac:dyDescent="0.25">
      <c r="B686" s="51">
        <f t="shared" si="126"/>
        <v>684</v>
      </c>
      <c r="C686" s="52">
        <f t="shared" si="126"/>
        <v>44478</v>
      </c>
      <c r="D686" s="53">
        <f t="shared" si="118"/>
        <v>44478</v>
      </c>
      <c r="E686" s="54">
        <f t="shared" si="127"/>
        <v>98</v>
      </c>
      <c r="F686" s="54">
        <f t="shared" si="127"/>
        <v>41</v>
      </c>
      <c r="G686" s="8">
        <v>202110</v>
      </c>
      <c r="H686" s="8" t="s">
        <v>7023</v>
      </c>
      <c r="I686" s="8">
        <v>202110</v>
      </c>
      <c r="J686" s="8" t="s">
        <v>7023</v>
      </c>
      <c r="K686" s="52">
        <f t="shared" si="119"/>
        <v>44473</v>
      </c>
      <c r="L686" s="52">
        <f t="shared" si="120"/>
        <v>44479</v>
      </c>
      <c r="M686" s="55" t="str">
        <f t="shared" si="121"/>
        <v>04/10/21 @ 
10/10/21</v>
      </c>
    </row>
    <row r="687" spans="2:13" ht="24" x14ac:dyDescent="0.25">
      <c r="B687" s="51">
        <f t="shared" si="126"/>
        <v>685</v>
      </c>
      <c r="C687" s="52">
        <f t="shared" si="126"/>
        <v>44479</v>
      </c>
      <c r="D687" s="53">
        <f t="shared" si="118"/>
        <v>44479</v>
      </c>
      <c r="E687" s="54">
        <f t="shared" si="127"/>
        <v>98</v>
      </c>
      <c r="F687" s="54">
        <f t="shared" si="127"/>
        <v>41</v>
      </c>
      <c r="G687" s="8">
        <v>202110</v>
      </c>
      <c r="H687" s="8" t="s">
        <v>7023</v>
      </c>
      <c r="I687" s="8">
        <v>202110</v>
      </c>
      <c r="J687" s="8" t="s">
        <v>7023</v>
      </c>
      <c r="K687" s="52">
        <f t="shared" si="119"/>
        <v>44473</v>
      </c>
      <c r="L687" s="52">
        <f t="shared" si="120"/>
        <v>44479</v>
      </c>
      <c r="M687" s="55" t="str">
        <f t="shared" si="121"/>
        <v>04/10/21 @ 
10/10/21</v>
      </c>
    </row>
    <row r="688" spans="2:13" ht="24" x14ac:dyDescent="0.25">
      <c r="B688" s="51">
        <f t="shared" si="126"/>
        <v>686</v>
      </c>
      <c r="C688" s="52">
        <f t="shared" si="126"/>
        <v>44480</v>
      </c>
      <c r="D688" s="53">
        <f t="shared" si="118"/>
        <v>44480</v>
      </c>
      <c r="E688" s="54">
        <f t="shared" si="127"/>
        <v>99</v>
      </c>
      <c r="F688" s="54">
        <f t="shared" si="127"/>
        <v>42</v>
      </c>
      <c r="G688" s="8">
        <v>202110</v>
      </c>
      <c r="H688" s="8" t="s">
        <v>7023</v>
      </c>
      <c r="I688" s="8">
        <v>202110</v>
      </c>
      <c r="J688" s="8" t="s">
        <v>7023</v>
      </c>
      <c r="K688" s="52">
        <f t="shared" si="119"/>
        <v>44480</v>
      </c>
      <c r="L688" s="52">
        <f t="shared" si="120"/>
        <v>44486</v>
      </c>
      <c r="M688" s="55" t="str">
        <f t="shared" si="121"/>
        <v>11/10/21 @ 
17/10/21</v>
      </c>
    </row>
    <row r="689" spans="2:13" ht="24" x14ac:dyDescent="0.25">
      <c r="B689" s="51">
        <f t="shared" si="126"/>
        <v>687</v>
      </c>
      <c r="C689" s="52">
        <f t="shared" si="126"/>
        <v>44481</v>
      </c>
      <c r="D689" s="53">
        <f t="shared" si="118"/>
        <v>44481</v>
      </c>
      <c r="E689" s="54">
        <f t="shared" si="127"/>
        <v>99</v>
      </c>
      <c r="F689" s="54">
        <f t="shared" si="127"/>
        <v>42</v>
      </c>
      <c r="G689" s="8">
        <v>202110</v>
      </c>
      <c r="H689" s="8" t="s">
        <v>7023</v>
      </c>
      <c r="I689" s="8">
        <v>202110</v>
      </c>
      <c r="J689" s="8" t="s">
        <v>7023</v>
      </c>
      <c r="K689" s="52">
        <f t="shared" si="119"/>
        <v>44480</v>
      </c>
      <c r="L689" s="52">
        <f t="shared" si="120"/>
        <v>44486</v>
      </c>
      <c r="M689" s="55" t="str">
        <f t="shared" si="121"/>
        <v>11/10/21 @ 
17/10/21</v>
      </c>
    </row>
    <row r="690" spans="2:13" ht="24" x14ac:dyDescent="0.25">
      <c r="B690" s="51">
        <f t="shared" si="126"/>
        <v>688</v>
      </c>
      <c r="C690" s="52">
        <f t="shared" si="126"/>
        <v>44482</v>
      </c>
      <c r="D690" s="53">
        <f t="shared" si="118"/>
        <v>44482</v>
      </c>
      <c r="E690" s="54">
        <f t="shared" si="127"/>
        <v>99</v>
      </c>
      <c r="F690" s="54">
        <f t="shared" si="127"/>
        <v>42</v>
      </c>
      <c r="G690" s="8">
        <v>202110</v>
      </c>
      <c r="H690" s="8" t="s">
        <v>7023</v>
      </c>
      <c r="I690" s="8">
        <v>202110</v>
      </c>
      <c r="J690" s="8" t="s">
        <v>7023</v>
      </c>
      <c r="K690" s="52">
        <f t="shared" si="119"/>
        <v>44480</v>
      </c>
      <c r="L690" s="52">
        <f t="shared" si="120"/>
        <v>44486</v>
      </c>
      <c r="M690" s="55" t="str">
        <f t="shared" si="121"/>
        <v>11/10/21 @ 
17/10/21</v>
      </c>
    </row>
    <row r="691" spans="2:13" ht="24" x14ac:dyDescent="0.25">
      <c r="B691" s="51">
        <f t="shared" si="126"/>
        <v>689</v>
      </c>
      <c r="C691" s="52">
        <f t="shared" si="126"/>
        <v>44483</v>
      </c>
      <c r="D691" s="53">
        <f t="shared" si="118"/>
        <v>44483</v>
      </c>
      <c r="E691" s="54">
        <f t="shared" si="127"/>
        <v>99</v>
      </c>
      <c r="F691" s="54">
        <f t="shared" si="127"/>
        <v>42</v>
      </c>
      <c r="G691" s="8">
        <v>202110</v>
      </c>
      <c r="H691" s="8" t="s">
        <v>7023</v>
      </c>
      <c r="I691" s="8">
        <v>202110</v>
      </c>
      <c r="J691" s="8" t="s">
        <v>7023</v>
      </c>
      <c r="K691" s="52">
        <f t="shared" si="119"/>
        <v>44480</v>
      </c>
      <c r="L691" s="52">
        <f t="shared" si="120"/>
        <v>44486</v>
      </c>
      <c r="M691" s="55" t="str">
        <f t="shared" si="121"/>
        <v>11/10/21 @ 
17/10/21</v>
      </c>
    </row>
    <row r="692" spans="2:13" ht="24" x14ac:dyDescent="0.25">
      <c r="B692" s="51">
        <f t="shared" si="126"/>
        <v>690</v>
      </c>
      <c r="C692" s="52">
        <f t="shared" si="126"/>
        <v>44484</v>
      </c>
      <c r="D692" s="53">
        <f t="shared" si="118"/>
        <v>44484</v>
      </c>
      <c r="E692" s="54">
        <f t="shared" si="127"/>
        <v>99</v>
      </c>
      <c r="F692" s="54">
        <f t="shared" si="127"/>
        <v>42</v>
      </c>
      <c r="G692" s="8">
        <v>202110</v>
      </c>
      <c r="H692" s="8" t="s">
        <v>7023</v>
      </c>
      <c r="I692" s="8">
        <v>202110</v>
      </c>
      <c r="J692" s="8" t="s">
        <v>7023</v>
      </c>
      <c r="K692" s="52">
        <f t="shared" si="119"/>
        <v>44480</v>
      </c>
      <c r="L692" s="52">
        <f t="shared" si="120"/>
        <v>44486</v>
      </c>
      <c r="M692" s="55" t="str">
        <f t="shared" si="121"/>
        <v>11/10/21 @ 
17/10/21</v>
      </c>
    </row>
    <row r="693" spans="2:13" ht="24" x14ac:dyDescent="0.25">
      <c r="B693" s="51">
        <f t="shared" ref="B693:C708" si="128">+B692+1</f>
        <v>691</v>
      </c>
      <c r="C693" s="52">
        <f t="shared" si="128"/>
        <v>44485</v>
      </c>
      <c r="D693" s="53">
        <f t="shared" si="118"/>
        <v>44485</v>
      </c>
      <c r="E693" s="54">
        <f t="shared" si="127"/>
        <v>99</v>
      </c>
      <c r="F693" s="54">
        <f t="shared" si="127"/>
        <v>42</v>
      </c>
      <c r="G693" s="8">
        <v>202110</v>
      </c>
      <c r="H693" s="8" t="s">
        <v>7023</v>
      </c>
      <c r="I693" s="8">
        <v>202110</v>
      </c>
      <c r="J693" s="8" t="s">
        <v>7023</v>
      </c>
      <c r="K693" s="52">
        <f t="shared" si="119"/>
        <v>44480</v>
      </c>
      <c r="L693" s="52">
        <f t="shared" si="120"/>
        <v>44486</v>
      </c>
      <c r="M693" s="55" t="str">
        <f t="shared" si="121"/>
        <v>11/10/21 @ 
17/10/21</v>
      </c>
    </row>
    <row r="694" spans="2:13" ht="24" x14ac:dyDescent="0.25">
      <c r="B694" s="51">
        <f t="shared" si="128"/>
        <v>692</v>
      </c>
      <c r="C694" s="52">
        <f t="shared" si="128"/>
        <v>44486</v>
      </c>
      <c r="D694" s="53">
        <f t="shared" si="118"/>
        <v>44486</v>
      </c>
      <c r="E694" s="54">
        <f t="shared" si="127"/>
        <v>99</v>
      </c>
      <c r="F694" s="54">
        <f t="shared" si="127"/>
        <v>42</v>
      </c>
      <c r="G694" s="8">
        <v>202110</v>
      </c>
      <c r="H694" s="8" t="s">
        <v>7023</v>
      </c>
      <c r="I694" s="8">
        <v>202110</v>
      </c>
      <c r="J694" s="8" t="s">
        <v>7023</v>
      </c>
      <c r="K694" s="52">
        <f t="shared" si="119"/>
        <v>44480</v>
      </c>
      <c r="L694" s="52">
        <f t="shared" si="120"/>
        <v>44486</v>
      </c>
      <c r="M694" s="55" t="str">
        <f t="shared" si="121"/>
        <v>11/10/21 @ 
17/10/21</v>
      </c>
    </row>
    <row r="695" spans="2:13" ht="24" x14ac:dyDescent="0.25">
      <c r="B695" s="51">
        <f t="shared" si="128"/>
        <v>693</v>
      </c>
      <c r="C695" s="52">
        <f t="shared" si="128"/>
        <v>44487</v>
      </c>
      <c r="D695" s="53">
        <f t="shared" si="118"/>
        <v>44487</v>
      </c>
      <c r="E695" s="54">
        <f t="shared" si="127"/>
        <v>100</v>
      </c>
      <c r="F695" s="54">
        <f t="shared" si="127"/>
        <v>43</v>
      </c>
      <c r="G695" s="8">
        <v>202110</v>
      </c>
      <c r="H695" s="8" t="s">
        <v>7023</v>
      </c>
      <c r="I695" s="8">
        <v>202110</v>
      </c>
      <c r="J695" s="8" t="s">
        <v>7023</v>
      </c>
      <c r="K695" s="52">
        <f t="shared" si="119"/>
        <v>44487</v>
      </c>
      <c r="L695" s="52">
        <f t="shared" si="120"/>
        <v>44493</v>
      </c>
      <c r="M695" s="55" t="str">
        <f t="shared" si="121"/>
        <v>18/10/21 @ 
24/10/21</v>
      </c>
    </row>
    <row r="696" spans="2:13" ht="24" x14ac:dyDescent="0.25">
      <c r="B696" s="51">
        <f t="shared" si="128"/>
        <v>694</v>
      </c>
      <c r="C696" s="52">
        <f t="shared" si="128"/>
        <v>44488</v>
      </c>
      <c r="D696" s="53">
        <f t="shared" si="118"/>
        <v>44488</v>
      </c>
      <c r="E696" s="54">
        <f t="shared" si="127"/>
        <v>100</v>
      </c>
      <c r="F696" s="54">
        <f t="shared" si="127"/>
        <v>43</v>
      </c>
      <c r="G696" s="8">
        <v>202110</v>
      </c>
      <c r="H696" s="8" t="s">
        <v>7023</v>
      </c>
      <c r="I696" s="8">
        <v>202110</v>
      </c>
      <c r="J696" s="8" t="s">
        <v>7023</v>
      </c>
      <c r="K696" s="52">
        <f t="shared" si="119"/>
        <v>44487</v>
      </c>
      <c r="L696" s="52">
        <f t="shared" si="120"/>
        <v>44493</v>
      </c>
      <c r="M696" s="55" t="str">
        <f t="shared" si="121"/>
        <v>18/10/21 @ 
24/10/21</v>
      </c>
    </row>
    <row r="697" spans="2:13" ht="24" x14ac:dyDescent="0.25">
      <c r="B697" s="51">
        <f t="shared" si="128"/>
        <v>695</v>
      </c>
      <c r="C697" s="52">
        <f t="shared" si="128"/>
        <v>44489</v>
      </c>
      <c r="D697" s="53">
        <f t="shared" si="118"/>
        <v>44489</v>
      </c>
      <c r="E697" s="54">
        <f t="shared" si="127"/>
        <v>100</v>
      </c>
      <c r="F697" s="54">
        <f t="shared" si="127"/>
        <v>43</v>
      </c>
      <c r="G697" s="8">
        <v>202110</v>
      </c>
      <c r="H697" s="8" t="s">
        <v>7023</v>
      </c>
      <c r="I697" s="8">
        <v>202110</v>
      </c>
      <c r="J697" s="8" t="s">
        <v>7023</v>
      </c>
      <c r="K697" s="52">
        <f t="shared" si="119"/>
        <v>44487</v>
      </c>
      <c r="L697" s="52">
        <f t="shared" si="120"/>
        <v>44493</v>
      </c>
      <c r="M697" s="55" t="str">
        <f t="shared" si="121"/>
        <v>18/10/21 @ 
24/10/21</v>
      </c>
    </row>
    <row r="698" spans="2:13" ht="24" x14ac:dyDescent="0.25">
      <c r="B698" s="51">
        <f t="shared" si="128"/>
        <v>696</v>
      </c>
      <c r="C698" s="52">
        <f t="shared" si="128"/>
        <v>44490</v>
      </c>
      <c r="D698" s="53">
        <f t="shared" si="118"/>
        <v>44490</v>
      </c>
      <c r="E698" s="54">
        <f t="shared" ref="E698:F713" si="129">+E691+1</f>
        <v>100</v>
      </c>
      <c r="F698" s="54">
        <f t="shared" si="129"/>
        <v>43</v>
      </c>
      <c r="G698" s="8">
        <v>202110</v>
      </c>
      <c r="H698" s="8" t="s">
        <v>7023</v>
      </c>
      <c r="I698" s="8">
        <v>202111</v>
      </c>
      <c r="J698" s="8" t="s">
        <v>7024</v>
      </c>
      <c r="K698" s="52">
        <f t="shared" si="119"/>
        <v>44487</v>
      </c>
      <c r="L698" s="52">
        <f t="shared" si="120"/>
        <v>44493</v>
      </c>
      <c r="M698" s="55" t="str">
        <f t="shared" si="121"/>
        <v>18/10/21 @ 
24/10/21</v>
      </c>
    </row>
    <row r="699" spans="2:13" ht="24" x14ac:dyDescent="0.25">
      <c r="B699" s="51">
        <f t="shared" si="128"/>
        <v>697</v>
      </c>
      <c r="C699" s="52">
        <f t="shared" si="128"/>
        <v>44491</v>
      </c>
      <c r="D699" s="53">
        <f t="shared" si="118"/>
        <v>44491</v>
      </c>
      <c r="E699" s="54">
        <f t="shared" si="129"/>
        <v>100</v>
      </c>
      <c r="F699" s="54">
        <f t="shared" si="129"/>
        <v>43</v>
      </c>
      <c r="G699" s="8">
        <v>202110</v>
      </c>
      <c r="H699" s="8" t="s">
        <v>7023</v>
      </c>
      <c r="I699" s="8">
        <v>202111</v>
      </c>
      <c r="J699" s="8" t="s">
        <v>7024</v>
      </c>
      <c r="K699" s="52">
        <f t="shared" si="119"/>
        <v>44487</v>
      </c>
      <c r="L699" s="52">
        <f t="shared" si="120"/>
        <v>44493</v>
      </c>
      <c r="M699" s="55" t="str">
        <f t="shared" si="121"/>
        <v>18/10/21 @ 
24/10/21</v>
      </c>
    </row>
    <row r="700" spans="2:13" ht="24" x14ac:dyDescent="0.25">
      <c r="B700" s="51">
        <f t="shared" si="128"/>
        <v>698</v>
      </c>
      <c r="C700" s="52">
        <f t="shared" si="128"/>
        <v>44492</v>
      </c>
      <c r="D700" s="53">
        <f t="shared" si="118"/>
        <v>44492</v>
      </c>
      <c r="E700" s="54">
        <f t="shared" si="129"/>
        <v>100</v>
      </c>
      <c r="F700" s="54">
        <f t="shared" si="129"/>
        <v>43</v>
      </c>
      <c r="G700" s="8">
        <v>202110</v>
      </c>
      <c r="H700" s="8" t="s">
        <v>7023</v>
      </c>
      <c r="I700" s="8">
        <v>202111</v>
      </c>
      <c r="J700" s="8" t="s">
        <v>7024</v>
      </c>
      <c r="K700" s="52">
        <f t="shared" si="119"/>
        <v>44487</v>
      </c>
      <c r="L700" s="52">
        <f t="shared" si="120"/>
        <v>44493</v>
      </c>
      <c r="M700" s="55" t="str">
        <f t="shared" si="121"/>
        <v>18/10/21 @ 
24/10/21</v>
      </c>
    </row>
    <row r="701" spans="2:13" ht="24" x14ac:dyDescent="0.25">
      <c r="B701" s="51">
        <f t="shared" si="128"/>
        <v>699</v>
      </c>
      <c r="C701" s="52">
        <f t="shared" si="128"/>
        <v>44493</v>
      </c>
      <c r="D701" s="53">
        <f t="shared" si="118"/>
        <v>44493</v>
      </c>
      <c r="E701" s="54">
        <f t="shared" si="129"/>
        <v>100</v>
      </c>
      <c r="F701" s="54">
        <f t="shared" si="129"/>
        <v>43</v>
      </c>
      <c r="G701" s="8">
        <v>202110</v>
      </c>
      <c r="H701" s="8" t="s">
        <v>7023</v>
      </c>
      <c r="I701" s="8">
        <v>202111</v>
      </c>
      <c r="J701" s="8" t="s">
        <v>7024</v>
      </c>
      <c r="K701" s="52">
        <f t="shared" si="119"/>
        <v>44487</v>
      </c>
      <c r="L701" s="52">
        <f t="shared" si="120"/>
        <v>44493</v>
      </c>
      <c r="M701" s="55" t="str">
        <f t="shared" si="121"/>
        <v>18/10/21 @ 
24/10/21</v>
      </c>
    </row>
    <row r="702" spans="2:13" ht="24" x14ac:dyDescent="0.25">
      <c r="B702" s="51">
        <f t="shared" si="128"/>
        <v>700</v>
      </c>
      <c r="C702" s="52">
        <f t="shared" si="128"/>
        <v>44494</v>
      </c>
      <c r="D702" s="53">
        <f t="shared" si="118"/>
        <v>44494</v>
      </c>
      <c r="E702" s="54">
        <f t="shared" si="129"/>
        <v>101</v>
      </c>
      <c r="F702" s="54">
        <f t="shared" si="129"/>
        <v>44</v>
      </c>
      <c r="G702" s="8">
        <v>202110</v>
      </c>
      <c r="H702" s="8" t="s">
        <v>7024</v>
      </c>
      <c r="I702" s="8">
        <v>202111</v>
      </c>
      <c r="J702" s="8" t="s">
        <v>7024</v>
      </c>
      <c r="K702" s="52">
        <f t="shared" si="119"/>
        <v>44494</v>
      </c>
      <c r="L702" s="52">
        <f t="shared" si="120"/>
        <v>44500</v>
      </c>
      <c r="M702" s="55" t="str">
        <f t="shared" si="121"/>
        <v>25/10/21 @ 
31/10/21</v>
      </c>
    </row>
    <row r="703" spans="2:13" ht="24" x14ac:dyDescent="0.25">
      <c r="B703" s="51">
        <f t="shared" si="128"/>
        <v>701</v>
      </c>
      <c r="C703" s="52">
        <f t="shared" si="128"/>
        <v>44495</v>
      </c>
      <c r="D703" s="53">
        <f t="shared" si="118"/>
        <v>44495</v>
      </c>
      <c r="E703" s="54">
        <f t="shared" si="129"/>
        <v>101</v>
      </c>
      <c r="F703" s="54">
        <f t="shared" si="129"/>
        <v>44</v>
      </c>
      <c r="G703" s="8">
        <v>202110</v>
      </c>
      <c r="H703" s="8" t="s">
        <v>7024</v>
      </c>
      <c r="I703" s="8">
        <v>202111</v>
      </c>
      <c r="J703" s="8" t="s">
        <v>7024</v>
      </c>
      <c r="K703" s="52">
        <f t="shared" si="119"/>
        <v>44494</v>
      </c>
      <c r="L703" s="52">
        <f t="shared" si="120"/>
        <v>44500</v>
      </c>
      <c r="M703" s="55" t="str">
        <f t="shared" si="121"/>
        <v>25/10/21 @ 
31/10/21</v>
      </c>
    </row>
    <row r="704" spans="2:13" ht="24" x14ac:dyDescent="0.25">
      <c r="B704" s="51">
        <f t="shared" si="128"/>
        <v>702</v>
      </c>
      <c r="C704" s="52">
        <f t="shared" si="128"/>
        <v>44496</v>
      </c>
      <c r="D704" s="53">
        <f t="shared" si="118"/>
        <v>44496</v>
      </c>
      <c r="E704" s="54">
        <f t="shared" si="129"/>
        <v>101</v>
      </c>
      <c r="F704" s="54">
        <f t="shared" si="129"/>
        <v>44</v>
      </c>
      <c r="G704" s="8">
        <v>202110</v>
      </c>
      <c r="H704" s="8" t="s">
        <v>7024</v>
      </c>
      <c r="I704" s="8">
        <v>202111</v>
      </c>
      <c r="J704" s="8" t="s">
        <v>7024</v>
      </c>
      <c r="K704" s="52">
        <f t="shared" si="119"/>
        <v>44494</v>
      </c>
      <c r="L704" s="52">
        <f t="shared" si="120"/>
        <v>44500</v>
      </c>
      <c r="M704" s="55" t="str">
        <f t="shared" si="121"/>
        <v>25/10/21 @ 
31/10/21</v>
      </c>
    </row>
    <row r="705" spans="2:13" ht="24" x14ac:dyDescent="0.25">
      <c r="B705" s="51">
        <f t="shared" si="128"/>
        <v>703</v>
      </c>
      <c r="C705" s="52">
        <f t="shared" si="128"/>
        <v>44497</v>
      </c>
      <c r="D705" s="53">
        <f t="shared" si="118"/>
        <v>44497</v>
      </c>
      <c r="E705" s="54">
        <f t="shared" si="129"/>
        <v>101</v>
      </c>
      <c r="F705" s="54">
        <f t="shared" si="129"/>
        <v>44</v>
      </c>
      <c r="G705" s="8">
        <v>202110</v>
      </c>
      <c r="H705" s="8" t="s">
        <v>7024</v>
      </c>
      <c r="I705" s="8">
        <v>202111</v>
      </c>
      <c r="J705" s="8" t="s">
        <v>7024</v>
      </c>
      <c r="K705" s="52">
        <f t="shared" si="119"/>
        <v>44494</v>
      </c>
      <c r="L705" s="52">
        <f t="shared" si="120"/>
        <v>44500</v>
      </c>
      <c r="M705" s="55" t="str">
        <f t="shared" si="121"/>
        <v>25/10/21 @ 
31/10/21</v>
      </c>
    </row>
    <row r="706" spans="2:13" ht="24" x14ac:dyDescent="0.25">
      <c r="B706" s="51">
        <f t="shared" si="128"/>
        <v>704</v>
      </c>
      <c r="C706" s="52">
        <f t="shared" si="128"/>
        <v>44498</v>
      </c>
      <c r="D706" s="53">
        <f t="shared" si="118"/>
        <v>44498</v>
      </c>
      <c r="E706" s="54">
        <f t="shared" si="129"/>
        <v>101</v>
      </c>
      <c r="F706" s="54">
        <f t="shared" si="129"/>
        <v>44</v>
      </c>
      <c r="G706" s="8">
        <v>202110</v>
      </c>
      <c r="H706" s="8" t="s">
        <v>7024</v>
      </c>
      <c r="I706" s="8">
        <v>202111</v>
      </c>
      <c r="J706" s="8" t="s">
        <v>7024</v>
      </c>
      <c r="K706" s="52">
        <f t="shared" si="119"/>
        <v>44494</v>
      </c>
      <c r="L706" s="52">
        <f t="shared" si="120"/>
        <v>44500</v>
      </c>
      <c r="M706" s="55" t="str">
        <f t="shared" si="121"/>
        <v>25/10/21 @ 
31/10/21</v>
      </c>
    </row>
    <row r="707" spans="2:13" ht="24" x14ac:dyDescent="0.25">
      <c r="B707" s="51">
        <f t="shared" si="128"/>
        <v>705</v>
      </c>
      <c r="C707" s="52">
        <f t="shared" si="128"/>
        <v>44499</v>
      </c>
      <c r="D707" s="53">
        <f t="shared" ref="D707:D770" si="130">+C707</f>
        <v>44499</v>
      </c>
      <c r="E707" s="54">
        <f t="shared" si="129"/>
        <v>101</v>
      </c>
      <c r="F707" s="54">
        <f t="shared" si="129"/>
        <v>44</v>
      </c>
      <c r="G707" s="8">
        <v>202110</v>
      </c>
      <c r="H707" s="8" t="s">
        <v>7024</v>
      </c>
      <c r="I707" s="8">
        <v>202111</v>
      </c>
      <c r="J707" s="8" t="s">
        <v>7024</v>
      </c>
      <c r="K707" s="52">
        <f t="shared" ref="K707:K770" si="131">_xlfn.MINIFS($C$2:$C$890,$E$2:$E$890,E707)</f>
        <v>44494</v>
      </c>
      <c r="L707" s="52">
        <f t="shared" ref="L707:L770" si="132">_xlfn.MAXIFS($C$2:$C$890,$E$2:$E$890,E707)</f>
        <v>44500</v>
      </c>
      <c r="M707" s="55" t="str">
        <f t="shared" ref="M707:M770" si="133">CONCATENATE(TEXT(K707,"DD/MM/YY")," @ ",CHAR(10),TEXT(L707,"DD/MM/YY"))</f>
        <v>25/10/21 @ 
31/10/21</v>
      </c>
    </row>
    <row r="708" spans="2:13" ht="24" x14ac:dyDescent="0.25">
      <c r="B708" s="51">
        <f t="shared" si="128"/>
        <v>706</v>
      </c>
      <c r="C708" s="52">
        <f t="shared" si="128"/>
        <v>44500</v>
      </c>
      <c r="D708" s="53">
        <f t="shared" si="130"/>
        <v>44500</v>
      </c>
      <c r="E708" s="54">
        <f t="shared" si="129"/>
        <v>101</v>
      </c>
      <c r="F708" s="54">
        <f t="shared" si="129"/>
        <v>44</v>
      </c>
      <c r="G708" s="8">
        <v>202110</v>
      </c>
      <c r="H708" s="8" t="s">
        <v>7024</v>
      </c>
      <c r="I708" s="8">
        <v>202111</v>
      </c>
      <c r="J708" s="8" t="s">
        <v>7024</v>
      </c>
      <c r="K708" s="52">
        <f t="shared" si="131"/>
        <v>44494</v>
      </c>
      <c r="L708" s="52">
        <f t="shared" si="132"/>
        <v>44500</v>
      </c>
      <c r="M708" s="55" t="str">
        <f t="shared" si="133"/>
        <v>25/10/21 @ 
31/10/21</v>
      </c>
    </row>
    <row r="709" spans="2:13" ht="24" x14ac:dyDescent="0.25">
      <c r="B709" s="51">
        <f t="shared" ref="B709:C724" si="134">+B708+1</f>
        <v>707</v>
      </c>
      <c r="C709" s="52">
        <f t="shared" si="134"/>
        <v>44501</v>
      </c>
      <c r="D709" s="53">
        <f t="shared" si="130"/>
        <v>44501</v>
      </c>
      <c r="E709" s="54">
        <f t="shared" si="129"/>
        <v>102</v>
      </c>
      <c r="F709" s="54">
        <f t="shared" si="129"/>
        <v>45</v>
      </c>
      <c r="G709" s="8">
        <v>202111</v>
      </c>
      <c r="H709" s="8" t="s">
        <v>7024</v>
      </c>
      <c r="I709" s="8">
        <v>202111</v>
      </c>
      <c r="J709" s="8" t="s">
        <v>7024</v>
      </c>
      <c r="K709" s="52">
        <f t="shared" si="131"/>
        <v>44501</v>
      </c>
      <c r="L709" s="52">
        <f t="shared" si="132"/>
        <v>44507</v>
      </c>
      <c r="M709" s="55" t="str">
        <f t="shared" si="133"/>
        <v>01/11/21 @ 
07/11/21</v>
      </c>
    </row>
    <row r="710" spans="2:13" ht="24" x14ac:dyDescent="0.25">
      <c r="B710" s="51">
        <f t="shared" si="134"/>
        <v>708</v>
      </c>
      <c r="C710" s="52">
        <f t="shared" si="134"/>
        <v>44502</v>
      </c>
      <c r="D710" s="53">
        <f t="shared" si="130"/>
        <v>44502</v>
      </c>
      <c r="E710" s="54">
        <f t="shared" si="129"/>
        <v>102</v>
      </c>
      <c r="F710" s="54">
        <f t="shared" si="129"/>
        <v>45</v>
      </c>
      <c r="G710" s="8">
        <v>202111</v>
      </c>
      <c r="H710" s="8" t="s">
        <v>7024</v>
      </c>
      <c r="I710" s="8">
        <v>202111</v>
      </c>
      <c r="J710" s="8" t="s">
        <v>7024</v>
      </c>
      <c r="K710" s="52">
        <f t="shared" si="131"/>
        <v>44501</v>
      </c>
      <c r="L710" s="52">
        <f t="shared" si="132"/>
        <v>44507</v>
      </c>
      <c r="M710" s="55" t="str">
        <f t="shared" si="133"/>
        <v>01/11/21 @ 
07/11/21</v>
      </c>
    </row>
    <row r="711" spans="2:13" ht="24" x14ac:dyDescent="0.25">
      <c r="B711" s="51">
        <f t="shared" si="134"/>
        <v>709</v>
      </c>
      <c r="C711" s="52">
        <f t="shared" si="134"/>
        <v>44503</v>
      </c>
      <c r="D711" s="53">
        <f t="shared" si="130"/>
        <v>44503</v>
      </c>
      <c r="E711" s="54">
        <f t="shared" si="129"/>
        <v>102</v>
      </c>
      <c r="F711" s="54">
        <f t="shared" si="129"/>
        <v>45</v>
      </c>
      <c r="G711" s="8">
        <v>202111</v>
      </c>
      <c r="H711" s="8" t="s">
        <v>7024</v>
      </c>
      <c r="I711" s="8">
        <v>202111</v>
      </c>
      <c r="J711" s="8" t="s">
        <v>7024</v>
      </c>
      <c r="K711" s="52">
        <f t="shared" si="131"/>
        <v>44501</v>
      </c>
      <c r="L711" s="52">
        <f t="shared" si="132"/>
        <v>44507</v>
      </c>
      <c r="M711" s="55" t="str">
        <f t="shared" si="133"/>
        <v>01/11/21 @ 
07/11/21</v>
      </c>
    </row>
    <row r="712" spans="2:13" ht="24" x14ac:dyDescent="0.25">
      <c r="B712" s="51">
        <f t="shared" si="134"/>
        <v>710</v>
      </c>
      <c r="C712" s="52">
        <f t="shared" si="134"/>
        <v>44504</v>
      </c>
      <c r="D712" s="53">
        <f t="shared" si="130"/>
        <v>44504</v>
      </c>
      <c r="E712" s="54">
        <f t="shared" si="129"/>
        <v>102</v>
      </c>
      <c r="F712" s="54">
        <f t="shared" si="129"/>
        <v>45</v>
      </c>
      <c r="G712" s="8">
        <v>202111</v>
      </c>
      <c r="H712" s="8" t="s">
        <v>7024</v>
      </c>
      <c r="I712" s="8">
        <v>202111</v>
      </c>
      <c r="J712" s="8" t="s">
        <v>7024</v>
      </c>
      <c r="K712" s="52">
        <f t="shared" si="131"/>
        <v>44501</v>
      </c>
      <c r="L712" s="52">
        <f t="shared" si="132"/>
        <v>44507</v>
      </c>
      <c r="M712" s="55" t="str">
        <f t="shared" si="133"/>
        <v>01/11/21 @ 
07/11/21</v>
      </c>
    </row>
    <row r="713" spans="2:13" ht="24" x14ac:dyDescent="0.25">
      <c r="B713" s="51">
        <f t="shared" si="134"/>
        <v>711</v>
      </c>
      <c r="C713" s="52">
        <f t="shared" si="134"/>
        <v>44505</v>
      </c>
      <c r="D713" s="53">
        <f t="shared" si="130"/>
        <v>44505</v>
      </c>
      <c r="E713" s="54">
        <f t="shared" si="129"/>
        <v>102</v>
      </c>
      <c r="F713" s="54">
        <f t="shared" si="129"/>
        <v>45</v>
      </c>
      <c r="G713" s="8">
        <v>202111</v>
      </c>
      <c r="H713" s="8" t="s">
        <v>7024</v>
      </c>
      <c r="I713" s="8">
        <v>202111</v>
      </c>
      <c r="J713" s="8" t="s">
        <v>7024</v>
      </c>
      <c r="K713" s="52">
        <f t="shared" si="131"/>
        <v>44501</v>
      </c>
      <c r="L713" s="52">
        <f t="shared" si="132"/>
        <v>44507</v>
      </c>
      <c r="M713" s="55" t="str">
        <f t="shared" si="133"/>
        <v>01/11/21 @ 
07/11/21</v>
      </c>
    </row>
    <row r="714" spans="2:13" ht="24" x14ac:dyDescent="0.25">
      <c r="B714" s="51">
        <f t="shared" si="134"/>
        <v>712</v>
      </c>
      <c r="C714" s="52">
        <f t="shared" si="134"/>
        <v>44506</v>
      </c>
      <c r="D714" s="53">
        <f t="shared" si="130"/>
        <v>44506</v>
      </c>
      <c r="E714" s="54">
        <f t="shared" ref="E714:F729" si="135">+E707+1</f>
        <v>102</v>
      </c>
      <c r="F714" s="54">
        <f t="shared" si="135"/>
        <v>45</v>
      </c>
      <c r="G714" s="8">
        <v>202111</v>
      </c>
      <c r="H714" s="8" t="s">
        <v>7024</v>
      </c>
      <c r="I714" s="8">
        <v>202111</v>
      </c>
      <c r="J714" s="8" t="s">
        <v>7024</v>
      </c>
      <c r="K714" s="52">
        <f t="shared" si="131"/>
        <v>44501</v>
      </c>
      <c r="L714" s="52">
        <f t="shared" si="132"/>
        <v>44507</v>
      </c>
      <c r="M714" s="55" t="str">
        <f t="shared" si="133"/>
        <v>01/11/21 @ 
07/11/21</v>
      </c>
    </row>
    <row r="715" spans="2:13" ht="24" x14ac:dyDescent="0.25">
      <c r="B715" s="51">
        <f t="shared" si="134"/>
        <v>713</v>
      </c>
      <c r="C715" s="52">
        <f t="shared" si="134"/>
        <v>44507</v>
      </c>
      <c r="D715" s="53">
        <f t="shared" si="130"/>
        <v>44507</v>
      </c>
      <c r="E715" s="54">
        <f t="shared" si="135"/>
        <v>102</v>
      </c>
      <c r="F715" s="54">
        <f t="shared" si="135"/>
        <v>45</v>
      </c>
      <c r="G715" s="8">
        <v>202111</v>
      </c>
      <c r="H715" s="8" t="s">
        <v>7024</v>
      </c>
      <c r="I715" s="8">
        <v>202111</v>
      </c>
      <c r="J715" s="8" t="s">
        <v>7024</v>
      </c>
      <c r="K715" s="52">
        <f t="shared" si="131"/>
        <v>44501</v>
      </c>
      <c r="L715" s="52">
        <f t="shared" si="132"/>
        <v>44507</v>
      </c>
      <c r="M715" s="55" t="str">
        <f t="shared" si="133"/>
        <v>01/11/21 @ 
07/11/21</v>
      </c>
    </row>
    <row r="716" spans="2:13" ht="24" x14ac:dyDescent="0.25">
      <c r="B716" s="51">
        <f t="shared" si="134"/>
        <v>714</v>
      </c>
      <c r="C716" s="52">
        <f t="shared" si="134"/>
        <v>44508</v>
      </c>
      <c r="D716" s="53">
        <f t="shared" si="130"/>
        <v>44508</v>
      </c>
      <c r="E716" s="54">
        <f t="shared" si="135"/>
        <v>103</v>
      </c>
      <c r="F716" s="54">
        <f t="shared" si="135"/>
        <v>46</v>
      </c>
      <c r="G716" s="8">
        <v>202111</v>
      </c>
      <c r="H716" s="8" t="s">
        <v>7024</v>
      </c>
      <c r="I716" s="8">
        <v>202111</v>
      </c>
      <c r="J716" s="8" t="s">
        <v>7024</v>
      </c>
      <c r="K716" s="52">
        <f t="shared" si="131"/>
        <v>44508</v>
      </c>
      <c r="L716" s="52">
        <f t="shared" si="132"/>
        <v>44514</v>
      </c>
      <c r="M716" s="55" t="str">
        <f t="shared" si="133"/>
        <v>08/11/21 @ 
14/11/21</v>
      </c>
    </row>
    <row r="717" spans="2:13" ht="24" x14ac:dyDescent="0.25">
      <c r="B717" s="51">
        <f t="shared" si="134"/>
        <v>715</v>
      </c>
      <c r="C717" s="52">
        <f t="shared" si="134"/>
        <v>44509</v>
      </c>
      <c r="D717" s="53">
        <f t="shared" si="130"/>
        <v>44509</v>
      </c>
      <c r="E717" s="54">
        <f t="shared" si="135"/>
        <v>103</v>
      </c>
      <c r="F717" s="54">
        <f t="shared" si="135"/>
        <v>46</v>
      </c>
      <c r="G717" s="8">
        <v>202111</v>
      </c>
      <c r="H717" s="8" t="s">
        <v>7024</v>
      </c>
      <c r="I717" s="8">
        <v>202111</v>
      </c>
      <c r="J717" s="8" t="s">
        <v>7024</v>
      </c>
      <c r="K717" s="52">
        <f t="shared" si="131"/>
        <v>44508</v>
      </c>
      <c r="L717" s="52">
        <f t="shared" si="132"/>
        <v>44514</v>
      </c>
      <c r="M717" s="55" t="str">
        <f t="shared" si="133"/>
        <v>08/11/21 @ 
14/11/21</v>
      </c>
    </row>
    <row r="718" spans="2:13" ht="24" x14ac:dyDescent="0.25">
      <c r="B718" s="51">
        <f t="shared" si="134"/>
        <v>716</v>
      </c>
      <c r="C718" s="52">
        <f t="shared" si="134"/>
        <v>44510</v>
      </c>
      <c r="D718" s="53">
        <f t="shared" si="130"/>
        <v>44510</v>
      </c>
      <c r="E718" s="54">
        <f t="shared" si="135"/>
        <v>103</v>
      </c>
      <c r="F718" s="54">
        <f t="shared" si="135"/>
        <v>46</v>
      </c>
      <c r="G718" s="8">
        <v>202111</v>
      </c>
      <c r="H718" s="8" t="s">
        <v>7024</v>
      </c>
      <c r="I718" s="8">
        <v>202111</v>
      </c>
      <c r="J718" s="8" t="s">
        <v>7024</v>
      </c>
      <c r="K718" s="52">
        <f t="shared" si="131"/>
        <v>44508</v>
      </c>
      <c r="L718" s="52">
        <f t="shared" si="132"/>
        <v>44514</v>
      </c>
      <c r="M718" s="55" t="str">
        <f t="shared" si="133"/>
        <v>08/11/21 @ 
14/11/21</v>
      </c>
    </row>
    <row r="719" spans="2:13" ht="24" x14ac:dyDescent="0.25">
      <c r="B719" s="51">
        <f t="shared" si="134"/>
        <v>717</v>
      </c>
      <c r="C719" s="52">
        <f t="shared" si="134"/>
        <v>44511</v>
      </c>
      <c r="D719" s="53">
        <f t="shared" si="130"/>
        <v>44511</v>
      </c>
      <c r="E719" s="54">
        <f t="shared" si="135"/>
        <v>103</v>
      </c>
      <c r="F719" s="54">
        <f t="shared" si="135"/>
        <v>46</v>
      </c>
      <c r="G719" s="8">
        <v>202111</v>
      </c>
      <c r="H719" s="8" t="s">
        <v>7024</v>
      </c>
      <c r="I719" s="8">
        <v>202111</v>
      </c>
      <c r="J719" s="8" t="s">
        <v>7024</v>
      </c>
      <c r="K719" s="52">
        <f t="shared" si="131"/>
        <v>44508</v>
      </c>
      <c r="L719" s="52">
        <f t="shared" si="132"/>
        <v>44514</v>
      </c>
      <c r="M719" s="55" t="str">
        <f t="shared" si="133"/>
        <v>08/11/21 @ 
14/11/21</v>
      </c>
    </row>
    <row r="720" spans="2:13" ht="24" x14ac:dyDescent="0.25">
      <c r="B720" s="51">
        <f t="shared" si="134"/>
        <v>718</v>
      </c>
      <c r="C720" s="52">
        <f t="shared" si="134"/>
        <v>44512</v>
      </c>
      <c r="D720" s="53">
        <f t="shared" si="130"/>
        <v>44512</v>
      </c>
      <c r="E720" s="54">
        <f t="shared" si="135"/>
        <v>103</v>
      </c>
      <c r="F720" s="54">
        <f t="shared" si="135"/>
        <v>46</v>
      </c>
      <c r="G720" s="8">
        <v>202111</v>
      </c>
      <c r="H720" s="8" t="s">
        <v>7024</v>
      </c>
      <c r="I720" s="8">
        <v>202111</v>
      </c>
      <c r="J720" s="8" t="s">
        <v>7024</v>
      </c>
      <c r="K720" s="52">
        <f t="shared" si="131"/>
        <v>44508</v>
      </c>
      <c r="L720" s="52">
        <f t="shared" si="132"/>
        <v>44514</v>
      </c>
      <c r="M720" s="55" t="str">
        <f t="shared" si="133"/>
        <v>08/11/21 @ 
14/11/21</v>
      </c>
    </row>
    <row r="721" spans="2:13" ht="24" x14ac:dyDescent="0.25">
      <c r="B721" s="51">
        <f t="shared" si="134"/>
        <v>719</v>
      </c>
      <c r="C721" s="52">
        <f t="shared" si="134"/>
        <v>44513</v>
      </c>
      <c r="D721" s="53">
        <f t="shared" si="130"/>
        <v>44513</v>
      </c>
      <c r="E721" s="54">
        <f t="shared" si="135"/>
        <v>103</v>
      </c>
      <c r="F721" s="54">
        <f t="shared" si="135"/>
        <v>46</v>
      </c>
      <c r="G721" s="8">
        <v>202111</v>
      </c>
      <c r="H721" s="8" t="s">
        <v>7024</v>
      </c>
      <c r="I721" s="8">
        <v>202111</v>
      </c>
      <c r="J721" s="8" t="s">
        <v>7024</v>
      </c>
      <c r="K721" s="52">
        <f t="shared" si="131"/>
        <v>44508</v>
      </c>
      <c r="L721" s="52">
        <f t="shared" si="132"/>
        <v>44514</v>
      </c>
      <c r="M721" s="55" t="str">
        <f t="shared" si="133"/>
        <v>08/11/21 @ 
14/11/21</v>
      </c>
    </row>
    <row r="722" spans="2:13" ht="24" x14ac:dyDescent="0.25">
      <c r="B722" s="51">
        <f t="shared" si="134"/>
        <v>720</v>
      </c>
      <c r="C722" s="52">
        <f t="shared" si="134"/>
        <v>44514</v>
      </c>
      <c r="D722" s="53">
        <f t="shared" si="130"/>
        <v>44514</v>
      </c>
      <c r="E722" s="54">
        <f t="shared" si="135"/>
        <v>103</v>
      </c>
      <c r="F722" s="54">
        <f t="shared" si="135"/>
        <v>46</v>
      </c>
      <c r="G722" s="8">
        <v>202111</v>
      </c>
      <c r="H722" s="8" t="s">
        <v>7024</v>
      </c>
      <c r="I722" s="8">
        <v>202111</v>
      </c>
      <c r="J722" s="8" t="s">
        <v>7024</v>
      </c>
      <c r="K722" s="52">
        <f t="shared" si="131"/>
        <v>44508</v>
      </c>
      <c r="L722" s="52">
        <f t="shared" si="132"/>
        <v>44514</v>
      </c>
      <c r="M722" s="55" t="str">
        <f t="shared" si="133"/>
        <v>08/11/21 @ 
14/11/21</v>
      </c>
    </row>
    <row r="723" spans="2:13" ht="24" x14ac:dyDescent="0.25">
      <c r="B723" s="51">
        <f t="shared" si="134"/>
        <v>721</v>
      </c>
      <c r="C723" s="52">
        <f t="shared" si="134"/>
        <v>44515</v>
      </c>
      <c r="D723" s="53">
        <f t="shared" si="130"/>
        <v>44515</v>
      </c>
      <c r="E723" s="54">
        <f t="shared" si="135"/>
        <v>104</v>
      </c>
      <c r="F723" s="54">
        <f t="shared" si="135"/>
        <v>47</v>
      </c>
      <c r="G723" s="8">
        <v>202111</v>
      </c>
      <c r="H723" s="8" t="s">
        <v>7024</v>
      </c>
      <c r="I723" s="8">
        <v>202111</v>
      </c>
      <c r="J723" s="8" t="s">
        <v>7024</v>
      </c>
      <c r="K723" s="52">
        <f t="shared" si="131"/>
        <v>44515</v>
      </c>
      <c r="L723" s="52">
        <f t="shared" si="132"/>
        <v>44521</v>
      </c>
      <c r="M723" s="55" t="str">
        <f t="shared" si="133"/>
        <v>15/11/21 @ 
21/11/21</v>
      </c>
    </row>
    <row r="724" spans="2:13" ht="24" x14ac:dyDescent="0.25">
      <c r="B724" s="51">
        <f t="shared" si="134"/>
        <v>722</v>
      </c>
      <c r="C724" s="52">
        <f t="shared" si="134"/>
        <v>44516</v>
      </c>
      <c r="D724" s="53">
        <f t="shared" si="130"/>
        <v>44516</v>
      </c>
      <c r="E724" s="54">
        <f t="shared" si="135"/>
        <v>104</v>
      </c>
      <c r="F724" s="54">
        <f t="shared" si="135"/>
        <v>47</v>
      </c>
      <c r="G724" s="8">
        <v>202111</v>
      </c>
      <c r="H724" s="8" t="s">
        <v>7024</v>
      </c>
      <c r="I724" s="8">
        <v>202111</v>
      </c>
      <c r="J724" s="8" t="s">
        <v>7024</v>
      </c>
      <c r="K724" s="52">
        <f t="shared" si="131"/>
        <v>44515</v>
      </c>
      <c r="L724" s="52">
        <f t="shared" si="132"/>
        <v>44521</v>
      </c>
      <c r="M724" s="55" t="str">
        <f t="shared" si="133"/>
        <v>15/11/21 @ 
21/11/21</v>
      </c>
    </row>
    <row r="725" spans="2:13" ht="24" x14ac:dyDescent="0.25">
      <c r="B725" s="51">
        <f t="shared" ref="B725:C740" si="136">+B724+1</f>
        <v>723</v>
      </c>
      <c r="C725" s="52">
        <f t="shared" si="136"/>
        <v>44517</v>
      </c>
      <c r="D725" s="53">
        <f t="shared" si="130"/>
        <v>44517</v>
      </c>
      <c r="E725" s="54">
        <f t="shared" si="135"/>
        <v>104</v>
      </c>
      <c r="F725" s="54">
        <f t="shared" si="135"/>
        <v>47</v>
      </c>
      <c r="G725" s="8">
        <v>202111</v>
      </c>
      <c r="H725" s="8" t="s">
        <v>7024</v>
      </c>
      <c r="I725" s="8">
        <v>202111</v>
      </c>
      <c r="J725" s="8" t="s">
        <v>7024</v>
      </c>
      <c r="K725" s="52">
        <f t="shared" si="131"/>
        <v>44515</v>
      </c>
      <c r="L725" s="52">
        <f t="shared" si="132"/>
        <v>44521</v>
      </c>
      <c r="M725" s="55" t="str">
        <f t="shared" si="133"/>
        <v>15/11/21 @ 
21/11/21</v>
      </c>
    </row>
    <row r="726" spans="2:13" ht="24" x14ac:dyDescent="0.25">
      <c r="B726" s="51">
        <f t="shared" si="136"/>
        <v>724</v>
      </c>
      <c r="C726" s="52">
        <f t="shared" si="136"/>
        <v>44518</v>
      </c>
      <c r="D726" s="53">
        <f t="shared" si="130"/>
        <v>44518</v>
      </c>
      <c r="E726" s="54">
        <f t="shared" si="135"/>
        <v>104</v>
      </c>
      <c r="F726" s="54">
        <f t="shared" si="135"/>
        <v>47</v>
      </c>
      <c r="G726" s="8">
        <v>202111</v>
      </c>
      <c r="H726" s="8" t="s">
        <v>7024</v>
      </c>
      <c r="I726" s="8">
        <v>202111</v>
      </c>
      <c r="J726" s="8" t="s">
        <v>7024</v>
      </c>
      <c r="K726" s="52">
        <f t="shared" si="131"/>
        <v>44515</v>
      </c>
      <c r="L726" s="52">
        <f t="shared" si="132"/>
        <v>44521</v>
      </c>
      <c r="M726" s="55" t="str">
        <f t="shared" si="133"/>
        <v>15/11/21 @ 
21/11/21</v>
      </c>
    </row>
    <row r="727" spans="2:13" ht="24" x14ac:dyDescent="0.25">
      <c r="B727" s="51">
        <f t="shared" si="136"/>
        <v>725</v>
      </c>
      <c r="C727" s="52">
        <f t="shared" si="136"/>
        <v>44519</v>
      </c>
      <c r="D727" s="53">
        <f t="shared" si="130"/>
        <v>44519</v>
      </c>
      <c r="E727" s="54">
        <f t="shared" si="135"/>
        <v>104</v>
      </c>
      <c r="F727" s="54">
        <f t="shared" si="135"/>
        <v>47</v>
      </c>
      <c r="G727" s="8">
        <v>202111</v>
      </c>
      <c r="H727" s="8" t="s">
        <v>7024</v>
      </c>
      <c r="I727" s="8">
        <v>202111</v>
      </c>
      <c r="J727" s="8" t="s">
        <v>7024</v>
      </c>
      <c r="K727" s="52">
        <f t="shared" si="131"/>
        <v>44515</v>
      </c>
      <c r="L727" s="52">
        <f t="shared" si="132"/>
        <v>44521</v>
      </c>
      <c r="M727" s="55" t="str">
        <f t="shared" si="133"/>
        <v>15/11/21 @ 
21/11/21</v>
      </c>
    </row>
    <row r="728" spans="2:13" ht="24" x14ac:dyDescent="0.25">
      <c r="B728" s="51">
        <f t="shared" si="136"/>
        <v>726</v>
      </c>
      <c r="C728" s="52">
        <f t="shared" si="136"/>
        <v>44520</v>
      </c>
      <c r="D728" s="53">
        <f t="shared" si="130"/>
        <v>44520</v>
      </c>
      <c r="E728" s="54">
        <f t="shared" si="135"/>
        <v>104</v>
      </c>
      <c r="F728" s="54">
        <f t="shared" si="135"/>
        <v>47</v>
      </c>
      <c r="G728" s="8">
        <v>202111</v>
      </c>
      <c r="H728" s="8" t="s">
        <v>7024</v>
      </c>
      <c r="I728" s="8">
        <v>202111</v>
      </c>
      <c r="J728" s="8" t="s">
        <v>7024</v>
      </c>
      <c r="K728" s="52">
        <f t="shared" si="131"/>
        <v>44515</v>
      </c>
      <c r="L728" s="52">
        <f t="shared" si="132"/>
        <v>44521</v>
      </c>
      <c r="M728" s="55" t="str">
        <f t="shared" si="133"/>
        <v>15/11/21 @ 
21/11/21</v>
      </c>
    </row>
    <row r="729" spans="2:13" ht="24" x14ac:dyDescent="0.25">
      <c r="B729" s="51">
        <f t="shared" si="136"/>
        <v>727</v>
      </c>
      <c r="C729" s="52">
        <f t="shared" si="136"/>
        <v>44521</v>
      </c>
      <c r="D729" s="53">
        <f t="shared" si="130"/>
        <v>44521</v>
      </c>
      <c r="E729" s="54">
        <f t="shared" si="135"/>
        <v>104</v>
      </c>
      <c r="F729" s="54">
        <f t="shared" si="135"/>
        <v>47</v>
      </c>
      <c r="G729" s="8">
        <v>202111</v>
      </c>
      <c r="H729" s="8" t="s">
        <v>7024</v>
      </c>
      <c r="I729" s="8">
        <v>202112</v>
      </c>
      <c r="J729" s="8" t="s">
        <v>7025</v>
      </c>
      <c r="K729" s="52">
        <f t="shared" si="131"/>
        <v>44515</v>
      </c>
      <c r="L729" s="52">
        <f t="shared" si="132"/>
        <v>44521</v>
      </c>
      <c r="M729" s="55" t="str">
        <f t="shared" si="133"/>
        <v>15/11/21 @ 
21/11/21</v>
      </c>
    </row>
    <row r="730" spans="2:13" ht="24" x14ac:dyDescent="0.25">
      <c r="B730" s="51">
        <f t="shared" si="136"/>
        <v>728</v>
      </c>
      <c r="C730" s="52">
        <f t="shared" si="136"/>
        <v>44522</v>
      </c>
      <c r="D730" s="53">
        <f t="shared" si="130"/>
        <v>44522</v>
      </c>
      <c r="E730" s="54">
        <f t="shared" ref="E730:F745" si="137">+E723+1</f>
        <v>105</v>
      </c>
      <c r="F730" s="54">
        <f t="shared" si="137"/>
        <v>48</v>
      </c>
      <c r="G730" s="8">
        <v>202111</v>
      </c>
      <c r="H730" s="8" t="s">
        <v>7024</v>
      </c>
      <c r="I730" s="8">
        <v>202112</v>
      </c>
      <c r="J730" s="8" t="s">
        <v>7025</v>
      </c>
      <c r="K730" s="52">
        <f t="shared" si="131"/>
        <v>44522</v>
      </c>
      <c r="L730" s="52">
        <f t="shared" si="132"/>
        <v>44528</v>
      </c>
      <c r="M730" s="55" t="str">
        <f t="shared" si="133"/>
        <v>22/11/21 @ 
28/11/21</v>
      </c>
    </row>
    <row r="731" spans="2:13" ht="24" x14ac:dyDescent="0.25">
      <c r="B731" s="51">
        <f t="shared" si="136"/>
        <v>729</v>
      </c>
      <c r="C731" s="52">
        <f t="shared" si="136"/>
        <v>44523</v>
      </c>
      <c r="D731" s="53">
        <f t="shared" si="130"/>
        <v>44523</v>
      </c>
      <c r="E731" s="54">
        <f t="shared" si="137"/>
        <v>105</v>
      </c>
      <c r="F731" s="54">
        <f t="shared" si="137"/>
        <v>48</v>
      </c>
      <c r="G731" s="8">
        <v>202111</v>
      </c>
      <c r="H731" s="8" t="s">
        <v>7024</v>
      </c>
      <c r="I731" s="8">
        <v>202112</v>
      </c>
      <c r="J731" s="8" t="s">
        <v>7025</v>
      </c>
      <c r="K731" s="52">
        <f t="shared" si="131"/>
        <v>44522</v>
      </c>
      <c r="L731" s="52">
        <f t="shared" si="132"/>
        <v>44528</v>
      </c>
      <c r="M731" s="55" t="str">
        <f t="shared" si="133"/>
        <v>22/11/21 @ 
28/11/21</v>
      </c>
    </row>
    <row r="732" spans="2:13" ht="24" x14ac:dyDescent="0.25">
      <c r="B732" s="51">
        <f t="shared" si="136"/>
        <v>730</v>
      </c>
      <c r="C732" s="52">
        <f t="shared" si="136"/>
        <v>44524</v>
      </c>
      <c r="D732" s="53">
        <f t="shared" si="130"/>
        <v>44524</v>
      </c>
      <c r="E732" s="54">
        <f t="shared" si="137"/>
        <v>105</v>
      </c>
      <c r="F732" s="54">
        <f t="shared" si="137"/>
        <v>48</v>
      </c>
      <c r="G732" s="8">
        <v>202111</v>
      </c>
      <c r="H732" s="8" t="s">
        <v>7024</v>
      </c>
      <c r="I732" s="8">
        <v>202112</v>
      </c>
      <c r="J732" s="8" t="s">
        <v>7025</v>
      </c>
      <c r="K732" s="52">
        <f t="shared" si="131"/>
        <v>44522</v>
      </c>
      <c r="L732" s="52">
        <f t="shared" si="132"/>
        <v>44528</v>
      </c>
      <c r="M732" s="55" t="str">
        <f t="shared" si="133"/>
        <v>22/11/21 @ 
28/11/21</v>
      </c>
    </row>
    <row r="733" spans="2:13" ht="24" x14ac:dyDescent="0.25">
      <c r="B733" s="51">
        <f t="shared" si="136"/>
        <v>731</v>
      </c>
      <c r="C733" s="52">
        <f t="shared" si="136"/>
        <v>44525</v>
      </c>
      <c r="D733" s="53">
        <f t="shared" si="130"/>
        <v>44525</v>
      </c>
      <c r="E733" s="54">
        <f t="shared" si="137"/>
        <v>105</v>
      </c>
      <c r="F733" s="54">
        <f t="shared" si="137"/>
        <v>48</v>
      </c>
      <c r="G733" s="8">
        <v>202111</v>
      </c>
      <c r="H733" s="8" t="s">
        <v>7024</v>
      </c>
      <c r="I733" s="8">
        <v>202112</v>
      </c>
      <c r="J733" s="8" t="s">
        <v>7025</v>
      </c>
      <c r="K733" s="52">
        <f t="shared" si="131"/>
        <v>44522</v>
      </c>
      <c r="L733" s="52">
        <f t="shared" si="132"/>
        <v>44528</v>
      </c>
      <c r="M733" s="55" t="str">
        <f t="shared" si="133"/>
        <v>22/11/21 @ 
28/11/21</v>
      </c>
    </row>
    <row r="734" spans="2:13" ht="24" x14ac:dyDescent="0.25">
      <c r="B734" s="51">
        <f t="shared" si="136"/>
        <v>732</v>
      </c>
      <c r="C734" s="52">
        <f t="shared" si="136"/>
        <v>44526</v>
      </c>
      <c r="D734" s="53">
        <f t="shared" si="130"/>
        <v>44526</v>
      </c>
      <c r="E734" s="54">
        <f t="shared" si="137"/>
        <v>105</v>
      </c>
      <c r="F734" s="54">
        <f t="shared" si="137"/>
        <v>48</v>
      </c>
      <c r="G734" s="8">
        <v>202111</v>
      </c>
      <c r="H734" s="8" t="s">
        <v>7024</v>
      </c>
      <c r="I734" s="8">
        <v>202112</v>
      </c>
      <c r="J734" s="8" t="s">
        <v>7025</v>
      </c>
      <c r="K734" s="52">
        <f t="shared" si="131"/>
        <v>44522</v>
      </c>
      <c r="L734" s="52">
        <f t="shared" si="132"/>
        <v>44528</v>
      </c>
      <c r="M734" s="55" t="str">
        <f t="shared" si="133"/>
        <v>22/11/21 @ 
28/11/21</v>
      </c>
    </row>
    <row r="735" spans="2:13" ht="24" x14ac:dyDescent="0.25">
      <c r="B735" s="51">
        <f t="shared" si="136"/>
        <v>733</v>
      </c>
      <c r="C735" s="52">
        <f t="shared" si="136"/>
        <v>44527</v>
      </c>
      <c r="D735" s="53">
        <f t="shared" si="130"/>
        <v>44527</v>
      </c>
      <c r="E735" s="54">
        <f t="shared" si="137"/>
        <v>105</v>
      </c>
      <c r="F735" s="54">
        <f t="shared" si="137"/>
        <v>48</v>
      </c>
      <c r="G735" s="8">
        <v>202111</v>
      </c>
      <c r="H735" s="8" t="s">
        <v>7024</v>
      </c>
      <c r="I735" s="8">
        <v>202112</v>
      </c>
      <c r="J735" s="8" t="s">
        <v>7025</v>
      </c>
      <c r="K735" s="52">
        <f t="shared" si="131"/>
        <v>44522</v>
      </c>
      <c r="L735" s="52">
        <f t="shared" si="132"/>
        <v>44528</v>
      </c>
      <c r="M735" s="55" t="str">
        <f t="shared" si="133"/>
        <v>22/11/21 @ 
28/11/21</v>
      </c>
    </row>
    <row r="736" spans="2:13" ht="24" x14ac:dyDescent="0.25">
      <c r="B736" s="51">
        <f t="shared" si="136"/>
        <v>734</v>
      </c>
      <c r="C736" s="52">
        <f t="shared" si="136"/>
        <v>44528</v>
      </c>
      <c r="D736" s="53">
        <f t="shared" si="130"/>
        <v>44528</v>
      </c>
      <c r="E736" s="54">
        <f t="shared" si="137"/>
        <v>105</v>
      </c>
      <c r="F736" s="54">
        <f t="shared" si="137"/>
        <v>48</v>
      </c>
      <c r="G736" s="8">
        <v>202111</v>
      </c>
      <c r="H736" s="8" t="s">
        <v>7024</v>
      </c>
      <c r="I736" s="8">
        <v>202112</v>
      </c>
      <c r="J736" s="8" t="s">
        <v>7025</v>
      </c>
      <c r="K736" s="52">
        <f t="shared" si="131"/>
        <v>44522</v>
      </c>
      <c r="L736" s="52">
        <f t="shared" si="132"/>
        <v>44528</v>
      </c>
      <c r="M736" s="55" t="str">
        <f t="shared" si="133"/>
        <v>22/11/21 @ 
28/11/21</v>
      </c>
    </row>
    <row r="737" spans="2:13" ht="24" x14ac:dyDescent="0.25">
      <c r="B737" s="51">
        <f t="shared" si="136"/>
        <v>735</v>
      </c>
      <c r="C737" s="52">
        <f t="shared" si="136"/>
        <v>44529</v>
      </c>
      <c r="D737" s="53">
        <f t="shared" si="130"/>
        <v>44529</v>
      </c>
      <c r="E737" s="54">
        <f t="shared" si="137"/>
        <v>106</v>
      </c>
      <c r="F737" s="54">
        <f t="shared" si="137"/>
        <v>49</v>
      </c>
      <c r="G737" s="8">
        <v>202112</v>
      </c>
      <c r="H737" s="8" t="s">
        <v>7025</v>
      </c>
      <c r="I737" s="8">
        <v>202112</v>
      </c>
      <c r="J737" s="8" t="s">
        <v>7025</v>
      </c>
      <c r="K737" s="52">
        <f t="shared" si="131"/>
        <v>44529</v>
      </c>
      <c r="L737" s="52">
        <f t="shared" si="132"/>
        <v>44535</v>
      </c>
      <c r="M737" s="55" t="str">
        <f t="shared" si="133"/>
        <v>29/11/21 @ 
05/12/21</v>
      </c>
    </row>
    <row r="738" spans="2:13" ht="24" x14ac:dyDescent="0.25">
      <c r="B738" s="51">
        <f t="shared" si="136"/>
        <v>736</v>
      </c>
      <c r="C738" s="52">
        <f t="shared" si="136"/>
        <v>44530</v>
      </c>
      <c r="D738" s="53">
        <f t="shared" si="130"/>
        <v>44530</v>
      </c>
      <c r="E738" s="54">
        <f t="shared" si="137"/>
        <v>106</v>
      </c>
      <c r="F738" s="54">
        <f t="shared" si="137"/>
        <v>49</v>
      </c>
      <c r="G738" s="8">
        <v>202112</v>
      </c>
      <c r="H738" s="8" t="s">
        <v>7025</v>
      </c>
      <c r="I738" s="8">
        <v>202112</v>
      </c>
      <c r="J738" s="8" t="s">
        <v>7025</v>
      </c>
      <c r="K738" s="52">
        <f t="shared" si="131"/>
        <v>44529</v>
      </c>
      <c r="L738" s="52">
        <f t="shared" si="132"/>
        <v>44535</v>
      </c>
      <c r="M738" s="55" t="str">
        <f t="shared" si="133"/>
        <v>29/11/21 @ 
05/12/21</v>
      </c>
    </row>
    <row r="739" spans="2:13" ht="24" x14ac:dyDescent="0.25">
      <c r="B739" s="51">
        <f t="shared" si="136"/>
        <v>737</v>
      </c>
      <c r="C739" s="52">
        <f t="shared" si="136"/>
        <v>44531</v>
      </c>
      <c r="D739" s="53">
        <f t="shared" si="130"/>
        <v>44531</v>
      </c>
      <c r="E739" s="54">
        <f t="shared" si="137"/>
        <v>106</v>
      </c>
      <c r="F739" s="54">
        <f t="shared" si="137"/>
        <v>49</v>
      </c>
      <c r="G739" s="8">
        <v>202112</v>
      </c>
      <c r="H739" s="8" t="s">
        <v>7025</v>
      </c>
      <c r="I739" s="8">
        <v>202112</v>
      </c>
      <c r="J739" s="8" t="s">
        <v>7025</v>
      </c>
      <c r="K739" s="52">
        <f t="shared" si="131"/>
        <v>44529</v>
      </c>
      <c r="L739" s="52">
        <f t="shared" si="132"/>
        <v>44535</v>
      </c>
      <c r="M739" s="55" t="str">
        <f t="shared" si="133"/>
        <v>29/11/21 @ 
05/12/21</v>
      </c>
    </row>
    <row r="740" spans="2:13" ht="24" x14ac:dyDescent="0.25">
      <c r="B740" s="51">
        <f t="shared" si="136"/>
        <v>738</v>
      </c>
      <c r="C740" s="52">
        <f t="shared" si="136"/>
        <v>44532</v>
      </c>
      <c r="D740" s="53">
        <f t="shared" si="130"/>
        <v>44532</v>
      </c>
      <c r="E740" s="54">
        <f t="shared" si="137"/>
        <v>106</v>
      </c>
      <c r="F740" s="54">
        <f t="shared" si="137"/>
        <v>49</v>
      </c>
      <c r="G740" s="8">
        <v>202112</v>
      </c>
      <c r="H740" s="8" t="s">
        <v>7025</v>
      </c>
      <c r="I740" s="8">
        <v>202112</v>
      </c>
      <c r="J740" s="8" t="s">
        <v>7025</v>
      </c>
      <c r="K740" s="52">
        <f t="shared" si="131"/>
        <v>44529</v>
      </c>
      <c r="L740" s="52">
        <f t="shared" si="132"/>
        <v>44535</v>
      </c>
      <c r="M740" s="55" t="str">
        <f t="shared" si="133"/>
        <v>29/11/21 @ 
05/12/21</v>
      </c>
    </row>
    <row r="741" spans="2:13" ht="24" x14ac:dyDescent="0.25">
      <c r="B741" s="51">
        <f t="shared" ref="B741:C756" si="138">+B740+1</f>
        <v>739</v>
      </c>
      <c r="C741" s="52">
        <f t="shared" si="138"/>
        <v>44533</v>
      </c>
      <c r="D741" s="53">
        <f t="shared" si="130"/>
        <v>44533</v>
      </c>
      <c r="E741" s="54">
        <f t="shared" si="137"/>
        <v>106</v>
      </c>
      <c r="F741" s="54">
        <f t="shared" si="137"/>
        <v>49</v>
      </c>
      <c r="G741" s="8">
        <v>202112</v>
      </c>
      <c r="H741" s="8" t="s">
        <v>7025</v>
      </c>
      <c r="I741" s="8">
        <v>202112</v>
      </c>
      <c r="J741" s="8" t="s">
        <v>7025</v>
      </c>
      <c r="K741" s="52">
        <f t="shared" si="131"/>
        <v>44529</v>
      </c>
      <c r="L741" s="52">
        <f t="shared" si="132"/>
        <v>44535</v>
      </c>
      <c r="M741" s="55" t="str">
        <f t="shared" si="133"/>
        <v>29/11/21 @ 
05/12/21</v>
      </c>
    </row>
    <row r="742" spans="2:13" ht="24" x14ac:dyDescent="0.25">
      <c r="B742" s="51">
        <f t="shared" si="138"/>
        <v>740</v>
      </c>
      <c r="C742" s="52">
        <f t="shared" si="138"/>
        <v>44534</v>
      </c>
      <c r="D742" s="53">
        <f t="shared" si="130"/>
        <v>44534</v>
      </c>
      <c r="E742" s="54">
        <f t="shared" si="137"/>
        <v>106</v>
      </c>
      <c r="F742" s="54">
        <f t="shared" si="137"/>
        <v>49</v>
      </c>
      <c r="G742" s="8">
        <v>202112</v>
      </c>
      <c r="H742" s="8" t="s">
        <v>7025</v>
      </c>
      <c r="I742" s="8">
        <v>202112</v>
      </c>
      <c r="J742" s="8" t="s">
        <v>7025</v>
      </c>
      <c r="K742" s="52">
        <f t="shared" si="131"/>
        <v>44529</v>
      </c>
      <c r="L742" s="52">
        <f t="shared" si="132"/>
        <v>44535</v>
      </c>
      <c r="M742" s="55" t="str">
        <f t="shared" si="133"/>
        <v>29/11/21 @ 
05/12/21</v>
      </c>
    </row>
    <row r="743" spans="2:13" ht="24" x14ac:dyDescent="0.25">
      <c r="B743" s="51">
        <f t="shared" si="138"/>
        <v>741</v>
      </c>
      <c r="C743" s="52">
        <f t="shared" si="138"/>
        <v>44535</v>
      </c>
      <c r="D743" s="53">
        <f t="shared" si="130"/>
        <v>44535</v>
      </c>
      <c r="E743" s="54">
        <f t="shared" si="137"/>
        <v>106</v>
      </c>
      <c r="F743" s="54">
        <f t="shared" si="137"/>
        <v>49</v>
      </c>
      <c r="G743" s="8">
        <v>202112</v>
      </c>
      <c r="H743" s="8" t="s">
        <v>7025</v>
      </c>
      <c r="I743" s="8">
        <v>202112</v>
      </c>
      <c r="J743" s="8" t="s">
        <v>7025</v>
      </c>
      <c r="K743" s="52">
        <f t="shared" si="131"/>
        <v>44529</v>
      </c>
      <c r="L743" s="52">
        <f t="shared" si="132"/>
        <v>44535</v>
      </c>
      <c r="M743" s="55" t="str">
        <f t="shared" si="133"/>
        <v>29/11/21 @ 
05/12/21</v>
      </c>
    </row>
    <row r="744" spans="2:13" ht="24" x14ac:dyDescent="0.25">
      <c r="B744" s="51">
        <f t="shared" si="138"/>
        <v>742</v>
      </c>
      <c r="C744" s="52">
        <f t="shared" si="138"/>
        <v>44536</v>
      </c>
      <c r="D744" s="53">
        <f t="shared" si="130"/>
        <v>44536</v>
      </c>
      <c r="E744" s="54">
        <f t="shared" si="137"/>
        <v>107</v>
      </c>
      <c r="F744" s="54">
        <f t="shared" si="137"/>
        <v>50</v>
      </c>
      <c r="G744" s="8">
        <v>202112</v>
      </c>
      <c r="H744" s="8" t="s">
        <v>7025</v>
      </c>
      <c r="I744" s="8">
        <v>202112</v>
      </c>
      <c r="J744" s="8" t="s">
        <v>7025</v>
      </c>
      <c r="K744" s="52">
        <f t="shared" si="131"/>
        <v>44536</v>
      </c>
      <c r="L744" s="52">
        <f t="shared" si="132"/>
        <v>44542</v>
      </c>
      <c r="M744" s="55" t="str">
        <f t="shared" si="133"/>
        <v>06/12/21 @ 
12/12/21</v>
      </c>
    </row>
    <row r="745" spans="2:13" ht="24" x14ac:dyDescent="0.25">
      <c r="B745" s="51">
        <f t="shared" si="138"/>
        <v>743</v>
      </c>
      <c r="C745" s="52">
        <f t="shared" si="138"/>
        <v>44537</v>
      </c>
      <c r="D745" s="53">
        <f t="shared" si="130"/>
        <v>44537</v>
      </c>
      <c r="E745" s="54">
        <f t="shared" si="137"/>
        <v>107</v>
      </c>
      <c r="F745" s="54">
        <f t="shared" si="137"/>
        <v>50</v>
      </c>
      <c r="G745" s="8">
        <v>202112</v>
      </c>
      <c r="H745" s="8" t="s">
        <v>7025</v>
      </c>
      <c r="I745" s="8">
        <v>202112</v>
      </c>
      <c r="J745" s="8" t="s">
        <v>7025</v>
      </c>
      <c r="K745" s="52">
        <f t="shared" si="131"/>
        <v>44536</v>
      </c>
      <c r="L745" s="52">
        <f t="shared" si="132"/>
        <v>44542</v>
      </c>
      <c r="M745" s="55" t="str">
        <f t="shared" si="133"/>
        <v>06/12/21 @ 
12/12/21</v>
      </c>
    </row>
    <row r="746" spans="2:13" ht="24" x14ac:dyDescent="0.25">
      <c r="B746" s="51">
        <f t="shared" si="138"/>
        <v>744</v>
      </c>
      <c r="C746" s="52">
        <f t="shared" si="138"/>
        <v>44538</v>
      </c>
      <c r="D746" s="53">
        <f t="shared" si="130"/>
        <v>44538</v>
      </c>
      <c r="E746" s="54">
        <f t="shared" ref="E746:F761" si="139">+E739+1</f>
        <v>107</v>
      </c>
      <c r="F746" s="54">
        <f t="shared" si="139"/>
        <v>50</v>
      </c>
      <c r="G746" s="8">
        <v>202112</v>
      </c>
      <c r="H746" s="8" t="s">
        <v>7025</v>
      </c>
      <c r="I746" s="8">
        <v>202112</v>
      </c>
      <c r="J746" s="8" t="s">
        <v>7025</v>
      </c>
      <c r="K746" s="52">
        <f t="shared" si="131"/>
        <v>44536</v>
      </c>
      <c r="L746" s="52">
        <f t="shared" si="132"/>
        <v>44542</v>
      </c>
      <c r="M746" s="55" t="str">
        <f t="shared" si="133"/>
        <v>06/12/21 @ 
12/12/21</v>
      </c>
    </row>
    <row r="747" spans="2:13" ht="24" x14ac:dyDescent="0.25">
      <c r="B747" s="51">
        <f t="shared" si="138"/>
        <v>745</v>
      </c>
      <c r="C747" s="52">
        <f t="shared" si="138"/>
        <v>44539</v>
      </c>
      <c r="D747" s="53">
        <f t="shared" si="130"/>
        <v>44539</v>
      </c>
      <c r="E747" s="54">
        <f t="shared" si="139"/>
        <v>107</v>
      </c>
      <c r="F747" s="54">
        <f t="shared" si="139"/>
        <v>50</v>
      </c>
      <c r="G747" s="8">
        <v>202112</v>
      </c>
      <c r="H747" s="8" t="s">
        <v>7025</v>
      </c>
      <c r="I747" s="8">
        <v>202112</v>
      </c>
      <c r="J747" s="8" t="s">
        <v>7025</v>
      </c>
      <c r="K747" s="52">
        <f t="shared" si="131"/>
        <v>44536</v>
      </c>
      <c r="L747" s="52">
        <f t="shared" si="132"/>
        <v>44542</v>
      </c>
      <c r="M747" s="55" t="str">
        <f t="shared" si="133"/>
        <v>06/12/21 @ 
12/12/21</v>
      </c>
    </row>
    <row r="748" spans="2:13" ht="24" x14ac:dyDescent="0.25">
      <c r="B748" s="51">
        <f t="shared" si="138"/>
        <v>746</v>
      </c>
      <c r="C748" s="52">
        <f t="shared" si="138"/>
        <v>44540</v>
      </c>
      <c r="D748" s="53">
        <f t="shared" si="130"/>
        <v>44540</v>
      </c>
      <c r="E748" s="54">
        <f t="shared" si="139"/>
        <v>107</v>
      </c>
      <c r="F748" s="54">
        <f t="shared" si="139"/>
        <v>50</v>
      </c>
      <c r="G748" s="8">
        <v>202112</v>
      </c>
      <c r="H748" s="8" t="s">
        <v>7025</v>
      </c>
      <c r="I748" s="8">
        <v>202112</v>
      </c>
      <c r="J748" s="8" t="s">
        <v>7025</v>
      </c>
      <c r="K748" s="52">
        <f t="shared" si="131"/>
        <v>44536</v>
      </c>
      <c r="L748" s="52">
        <f t="shared" si="132"/>
        <v>44542</v>
      </c>
      <c r="M748" s="55" t="str">
        <f t="shared" si="133"/>
        <v>06/12/21 @ 
12/12/21</v>
      </c>
    </row>
    <row r="749" spans="2:13" ht="24" x14ac:dyDescent="0.25">
      <c r="B749" s="51">
        <f t="shared" si="138"/>
        <v>747</v>
      </c>
      <c r="C749" s="52">
        <f t="shared" si="138"/>
        <v>44541</v>
      </c>
      <c r="D749" s="53">
        <f t="shared" si="130"/>
        <v>44541</v>
      </c>
      <c r="E749" s="54">
        <f t="shared" si="139"/>
        <v>107</v>
      </c>
      <c r="F749" s="54">
        <f t="shared" si="139"/>
        <v>50</v>
      </c>
      <c r="G749" s="8">
        <v>202112</v>
      </c>
      <c r="H749" s="8" t="s">
        <v>7025</v>
      </c>
      <c r="I749" s="8">
        <v>202112</v>
      </c>
      <c r="J749" s="8" t="s">
        <v>7025</v>
      </c>
      <c r="K749" s="52">
        <f t="shared" si="131"/>
        <v>44536</v>
      </c>
      <c r="L749" s="52">
        <f t="shared" si="132"/>
        <v>44542</v>
      </c>
      <c r="M749" s="55" t="str">
        <f t="shared" si="133"/>
        <v>06/12/21 @ 
12/12/21</v>
      </c>
    </row>
    <row r="750" spans="2:13" ht="24" x14ac:dyDescent="0.25">
      <c r="B750" s="51">
        <f t="shared" si="138"/>
        <v>748</v>
      </c>
      <c r="C750" s="52">
        <f t="shared" si="138"/>
        <v>44542</v>
      </c>
      <c r="D750" s="53">
        <f t="shared" si="130"/>
        <v>44542</v>
      </c>
      <c r="E750" s="54">
        <f t="shared" si="139"/>
        <v>107</v>
      </c>
      <c r="F750" s="54">
        <f t="shared" si="139"/>
        <v>50</v>
      </c>
      <c r="G750" s="8">
        <v>202112</v>
      </c>
      <c r="H750" s="8" t="s">
        <v>7025</v>
      </c>
      <c r="I750" s="8">
        <v>202112</v>
      </c>
      <c r="J750" s="8" t="s">
        <v>7025</v>
      </c>
      <c r="K750" s="52">
        <f t="shared" si="131"/>
        <v>44536</v>
      </c>
      <c r="L750" s="52">
        <f t="shared" si="132"/>
        <v>44542</v>
      </c>
      <c r="M750" s="55" t="str">
        <f t="shared" si="133"/>
        <v>06/12/21 @ 
12/12/21</v>
      </c>
    </row>
    <row r="751" spans="2:13" ht="24" x14ac:dyDescent="0.25">
      <c r="B751" s="51">
        <f t="shared" si="138"/>
        <v>749</v>
      </c>
      <c r="C751" s="52">
        <f t="shared" si="138"/>
        <v>44543</v>
      </c>
      <c r="D751" s="53">
        <f t="shared" si="130"/>
        <v>44543</v>
      </c>
      <c r="E751" s="54">
        <f t="shared" si="139"/>
        <v>108</v>
      </c>
      <c r="F751" s="54">
        <f t="shared" si="139"/>
        <v>51</v>
      </c>
      <c r="G751" s="8">
        <v>202112</v>
      </c>
      <c r="H751" s="8" t="s">
        <v>7025</v>
      </c>
      <c r="I751" s="8">
        <v>202112</v>
      </c>
      <c r="J751" s="8" t="s">
        <v>7025</v>
      </c>
      <c r="K751" s="52">
        <f t="shared" si="131"/>
        <v>44543</v>
      </c>
      <c r="L751" s="52">
        <f t="shared" si="132"/>
        <v>44549</v>
      </c>
      <c r="M751" s="55" t="str">
        <f t="shared" si="133"/>
        <v>13/12/21 @ 
19/12/21</v>
      </c>
    </row>
    <row r="752" spans="2:13" ht="24" x14ac:dyDescent="0.25">
      <c r="B752" s="51">
        <f t="shared" si="138"/>
        <v>750</v>
      </c>
      <c r="C752" s="52">
        <f t="shared" si="138"/>
        <v>44544</v>
      </c>
      <c r="D752" s="53">
        <f t="shared" si="130"/>
        <v>44544</v>
      </c>
      <c r="E752" s="54">
        <f t="shared" si="139"/>
        <v>108</v>
      </c>
      <c r="F752" s="54">
        <f t="shared" si="139"/>
        <v>51</v>
      </c>
      <c r="G752" s="8">
        <v>202112</v>
      </c>
      <c r="H752" s="8" t="s">
        <v>7025</v>
      </c>
      <c r="I752" s="8">
        <v>202112</v>
      </c>
      <c r="J752" s="8" t="s">
        <v>7025</v>
      </c>
      <c r="K752" s="52">
        <f t="shared" si="131"/>
        <v>44543</v>
      </c>
      <c r="L752" s="52">
        <f t="shared" si="132"/>
        <v>44549</v>
      </c>
      <c r="M752" s="55" t="str">
        <f t="shared" si="133"/>
        <v>13/12/21 @ 
19/12/21</v>
      </c>
    </row>
    <row r="753" spans="2:13" ht="24" x14ac:dyDescent="0.25">
      <c r="B753" s="51">
        <f t="shared" si="138"/>
        <v>751</v>
      </c>
      <c r="C753" s="52">
        <f t="shared" si="138"/>
        <v>44545</v>
      </c>
      <c r="D753" s="53">
        <f t="shared" si="130"/>
        <v>44545</v>
      </c>
      <c r="E753" s="54">
        <f t="shared" si="139"/>
        <v>108</v>
      </c>
      <c r="F753" s="54">
        <f t="shared" si="139"/>
        <v>51</v>
      </c>
      <c r="G753" s="8">
        <v>202112</v>
      </c>
      <c r="H753" s="8" t="s">
        <v>7025</v>
      </c>
      <c r="I753" s="8">
        <v>202112</v>
      </c>
      <c r="J753" s="8" t="s">
        <v>7025</v>
      </c>
      <c r="K753" s="52">
        <f t="shared" si="131"/>
        <v>44543</v>
      </c>
      <c r="L753" s="52">
        <f t="shared" si="132"/>
        <v>44549</v>
      </c>
      <c r="M753" s="55" t="str">
        <f t="shared" si="133"/>
        <v>13/12/21 @ 
19/12/21</v>
      </c>
    </row>
    <row r="754" spans="2:13" ht="24" x14ac:dyDescent="0.25">
      <c r="B754" s="51">
        <f t="shared" si="138"/>
        <v>752</v>
      </c>
      <c r="C754" s="52">
        <f t="shared" si="138"/>
        <v>44546</v>
      </c>
      <c r="D754" s="53">
        <f t="shared" si="130"/>
        <v>44546</v>
      </c>
      <c r="E754" s="54">
        <f t="shared" si="139"/>
        <v>108</v>
      </c>
      <c r="F754" s="54">
        <f t="shared" si="139"/>
        <v>51</v>
      </c>
      <c r="G754" s="8">
        <v>202112</v>
      </c>
      <c r="H754" s="8" t="s">
        <v>7025</v>
      </c>
      <c r="I754" s="8">
        <v>202112</v>
      </c>
      <c r="J754" s="8" t="s">
        <v>7025</v>
      </c>
      <c r="K754" s="52">
        <f t="shared" si="131"/>
        <v>44543</v>
      </c>
      <c r="L754" s="52">
        <f t="shared" si="132"/>
        <v>44549</v>
      </c>
      <c r="M754" s="55" t="str">
        <f t="shared" si="133"/>
        <v>13/12/21 @ 
19/12/21</v>
      </c>
    </row>
    <row r="755" spans="2:13" ht="24" x14ac:dyDescent="0.25">
      <c r="B755" s="51">
        <f t="shared" si="138"/>
        <v>753</v>
      </c>
      <c r="C755" s="52">
        <f t="shared" si="138"/>
        <v>44547</v>
      </c>
      <c r="D755" s="53">
        <f t="shared" si="130"/>
        <v>44547</v>
      </c>
      <c r="E755" s="54">
        <f t="shared" si="139"/>
        <v>108</v>
      </c>
      <c r="F755" s="54">
        <f t="shared" si="139"/>
        <v>51</v>
      </c>
      <c r="G755" s="8">
        <v>202112</v>
      </c>
      <c r="H755" s="8" t="s">
        <v>7025</v>
      </c>
      <c r="I755" s="8">
        <v>202112</v>
      </c>
      <c r="J755" s="8" t="s">
        <v>7025</v>
      </c>
      <c r="K755" s="52">
        <f t="shared" si="131"/>
        <v>44543</v>
      </c>
      <c r="L755" s="52">
        <f t="shared" si="132"/>
        <v>44549</v>
      </c>
      <c r="M755" s="55" t="str">
        <f t="shared" si="133"/>
        <v>13/12/21 @ 
19/12/21</v>
      </c>
    </row>
    <row r="756" spans="2:13" ht="24" x14ac:dyDescent="0.25">
      <c r="B756" s="51">
        <f t="shared" si="138"/>
        <v>754</v>
      </c>
      <c r="C756" s="52">
        <f t="shared" si="138"/>
        <v>44548</v>
      </c>
      <c r="D756" s="53">
        <f t="shared" si="130"/>
        <v>44548</v>
      </c>
      <c r="E756" s="54">
        <f t="shared" si="139"/>
        <v>108</v>
      </c>
      <c r="F756" s="54">
        <f t="shared" si="139"/>
        <v>51</v>
      </c>
      <c r="G756" s="8">
        <v>202112</v>
      </c>
      <c r="H756" s="8" t="s">
        <v>7025</v>
      </c>
      <c r="I756" s="8">
        <v>202112</v>
      </c>
      <c r="J756" s="8" t="s">
        <v>7025</v>
      </c>
      <c r="K756" s="52">
        <f t="shared" si="131"/>
        <v>44543</v>
      </c>
      <c r="L756" s="52">
        <f t="shared" si="132"/>
        <v>44549</v>
      </c>
      <c r="M756" s="55" t="str">
        <f t="shared" si="133"/>
        <v>13/12/21 @ 
19/12/21</v>
      </c>
    </row>
    <row r="757" spans="2:13" ht="24" x14ac:dyDescent="0.25">
      <c r="B757" s="51">
        <f t="shared" ref="B757:C772" si="140">+B756+1</f>
        <v>755</v>
      </c>
      <c r="C757" s="52">
        <f t="shared" si="140"/>
        <v>44549</v>
      </c>
      <c r="D757" s="53">
        <f t="shared" si="130"/>
        <v>44549</v>
      </c>
      <c r="E757" s="54">
        <f t="shared" si="139"/>
        <v>108</v>
      </c>
      <c r="F757" s="54">
        <f t="shared" si="139"/>
        <v>51</v>
      </c>
      <c r="G757" s="8">
        <v>202112</v>
      </c>
      <c r="H757" s="8" t="s">
        <v>7025</v>
      </c>
      <c r="I757" s="8">
        <v>202112</v>
      </c>
      <c r="J757" s="8" t="s">
        <v>7025</v>
      </c>
      <c r="K757" s="52">
        <f t="shared" si="131"/>
        <v>44543</v>
      </c>
      <c r="L757" s="52">
        <f t="shared" si="132"/>
        <v>44549</v>
      </c>
      <c r="M757" s="55" t="str">
        <f t="shared" si="133"/>
        <v>13/12/21 @ 
19/12/21</v>
      </c>
    </row>
    <row r="758" spans="2:13" ht="24" x14ac:dyDescent="0.25">
      <c r="B758" s="51">
        <f t="shared" si="140"/>
        <v>756</v>
      </c>
      <c r="C758" s="52">
        <f t="shared" si="140"/>
        <v>44550</v>
      </c>
      <c r="D758" s="53">
        <f t="shared" si="130"/>
        <v>44550</v>
      </c>
      <c r="E758" s="54">
        <f t="shared" si="139"/>
        <v>109</v>
      </c>
      <c r="F758" s="54">
        <f t="shared" si="139"/>
        <v>52</v>
      </c>
      <c r="G758" s="8">
        <v>202112</v>
      </c>
      <c r="H758" s="8" t="s">
        <v>7025</v>
      </c>
      <c r="I758" s="8">
        <v>202112</v>
      </c>
      <c r="J758" s="8" t="s">
        <v>7025</v>
      </c>
      <c r="K758" s="52">
        <f t="shared" si="131"/>
        <v>44550</v>
      </c>
      <c r="L758" s="52">
        <f t="shared" si="132"/>
        <v>44556</v>
      </c>
      <c r="M758" s="55" t="str">
        <f t="shared" si="133"/>
        <v>20/12/21 @ 
26/12/21</v>
      </c>
    </row>
    <row r="759" spans="2:13" ht="24" x14ac:dyDescent="0.25">
      <c r="B759" s="51">
        <f t="shared" si="140"/>
        <v>757</v>
      </c>
      <c r="C759" s="52">
        <f t="shared" si="140"/>
        <v>44551</v>
      </c>
      <c r="D759" s="53">
        <f t="shared" si="130"/>
        <v>44551</v>
      </c>
      <c r="E759" s="54">
        <f t="shared" si="139"/>
        <v>109</v>
      </c>
      <c r="F759" s="54">
        <f t="shared" si="139"/>
        <v>52</v>
      </c>
      <c r="G759" s="8">
        <v>202112</v>
      </c>
      <c r="H759" s="8" t="s">
        <v>7025</v>
      </c>
      <c r="K759" s="52">
        <f t="shared" si="131"/>
        <v>44550</v>
      </c>
      <c r="L759" s="52">
        <f t="shared" si="132"/>
        <v>44556</v>
      </c>
      <c r="M759" s="55" t="str">
        <f t="shared" si="133"/>
        <v>20/12/21 @ 
26/12/21</v>
      </c>
    </row>
    <row r="760" spans="2:13" ht="24" x14ac:dyDescent="0.25">
      <c r="B760" s="51">
        <f t="shared" si="140"/>
        <v>758</v>
      </c>
      <c r="C760" s="52">
        <f t="shared" si="140"/>
        <v>44552</v>
      </c>
      <c r="D760" s="53">
        <f t="shared" si="130"/>
        <v>44552</v>
      </c>
      <c r="E760" s="54">
        <f t="shared" si="139"/>
        <v>109</v>
      </c>
      <c r="F760" s="54">
        <f t="shared" si="139"/>
        <v>52</v>
      </c>
      <c r="G760" s="8">
        <v>202112</v>
      </c>
      <c r="H760" s="8" t="s">
        <v>7025</v>
      </c>
      <c r="K760" s="52">
        <f t="shared" si="131"/>
        <v>44550</v>
      </c>
      <c r="L760" s="52">
        <f t="shared" si="132"/>
        <v>44556</v>
      </c>
      <c r="M760" s="55" t="str">
        <f t="shared" si="133"/>
        <v>20/12/21 @ 
26/12/21</v>
      </c>
    </row>
    <row r="761" spans="2:13" ht="24" x14ac:dyDescent="0.25">
      <c r="B761" s="51">
        <f t="shared" si="140"/>
        <v>759</v>
      </c>
      <c r="C761" s="52">
        <f t="shared" si="140"/>
        <v>44553</v>
      </c>
      <c r="D761" s="53">
        <f t="shared" si="130"/>
        <v>44553</v>
      </c>
      <c r="E761" s="54">
        <f t="shared" si="139"/>
        <v>109</v>
      </c>
      <c r="F761" s="54">
        <f t="shared" si="139"/>
        <v>52</v>
      </c>
      <c r="G761" s="8">
        <v>202112</v>
      </c>
      <c r="H761" s="8" t="s">
        <v>7025</v>
      </c>
      <c r="K761" s="52">
        <f t="shared" si="131"/>
        <v>44550</v>
      </c>
      <c r="L761" s="52">
        <f t="shared" si="132"/>
        <v>44556</v>
      </c>
      <c r="M761" s="55" t="str">
        <f t="shared" si="133"/>
        <v>20/12/21 @ 
26/12/21</v>
      </c>
    </row>
    <row r="762" spans="2:13" ht="24" x14ac:dyDescent="0.25">
      <c r="B762" s="51">
        <f t="shared" si="140"/>
        <v>760</v>
      </c>
      <c r="C762" s="52">
        <f t="shared" si="140"/>
        <v>44554</v>
      </c>
      <c r="D762" s="53">
        <f t="shared" si="130"/>
        <v>44554</v>
      </c>
      <c r="E762" s="54">
        <f t="shared" ref="E762:F777" si="141">+E755+1</f>
        <v>109</v>
      </c>
      <c r="F762" s="54">
        <f t="shared" si="141"/>
        <v>52</v>
      </c>
      <c r="G762" s="8">
        <v>202112</v>
      </c>
      <c r="H762" s="8" t="s">
        <v>7025</v>
      </c>
      <c r="K762" s="52">
        <f t="shared" si="131"/>
        <v>44550</v>
      </c>
      <c r="L762" s="52">
        <f t="shared" si="132"/>
        <v>44556</v>
      </c>
      <c r="M762" s="55" t="str">
        <f t="shared" si="133"/>
        <v>20/12/21 @ 
26/12/21</v>
      </c>
    </row>
    <row r="763" spans="2:13" ht="24" x14ac:dyDescent="0.25">
      <c r="B763" s="51">
        <f t="shared" si="140"/>
        <v>761</v>
      </c>
      <c r="C763" s="52">
        <f t="shared" si="140"/>
        <v>44555</v>
      </c>
      <c r="D763" s="53">
        <f t="shared" si="130"/>
        <v>44555</v>
      </c>
      <c r="E763" s="54">
        <f t="shared" si="141"/>
        <v>109</v>
      </c>
      <c r="F763" s="54">
        <f t="shared" si="141"/>
        <v>52</v>
      </c>
      <c r="G763" s="8">
        <v>202112</v>
      </c>
      <c r="H763" s="8" t="s">
        <v>7025</v>
      </c>
      <c r="K763" s="52">
        <f t="shared" si="131"/>
        <v>44550</v>
      </c>
      <c r="L763" s="52">
        <f t="shared" si="132"/>
        <v>44556</v>
      </c>
      <c r="M763" s="55" t="str">
        <f t="shared" si="133"/>
        <v>20/12/21 @ 
26/12/21</v>
      </c>
    </row>
    <row r="764" spans="2:13" ht="24" x14ac:dyDescent="0.25">
      <c r="B764" s="51">
        <f t="shared" si="140"/>
        <v>762</v>
      </c>
      <c r="C764" s="52">
        <f t="shared" si="140"/>
        <v>44556</v>
      </c>
      <c r="D764" s="53">
        <f t="shared" si="130"/>
        <v>44556</v>
      </c>
      <c r="E764" s="54">
        <f t="shared" si="141"/>
        <v>109</v>
      </c>
      <c r="F764" s="54">
        <f t="shared" si="141"/>
        <v>52</v>
      </c>
      <c r="G764" s="8">
        <v>202112</v>
      </c>
      <c r="H764" s="8" t="s">
        <v>7025</v>
      </c>
      <c r="K764" s="52">
        <f t="shared" si="131"/>
        <v>44550</v>
      </c>
      <c r="L764" s="52">
        <f t="shared" si="132"/>
        <v>44556</v>
      </c>
      <c r="M764" s="55" t="str">
        <f t="shared" si="133"/>
        <v>20/12/21 @ 
26/12/21</v>
      </c>
    </row>
    <row r="765" spans="2:13" ht="24" x14ac:dyDescent="0.25">
      <c r="B765" s="51">
        <f t="shared" si="140"/>
        <v>763</v>
      </c>
      <c r="C765" s="52">
        <f t="shared" si="140"/>
        <v>44557</v>
      </c>
      <c r="D765" s="53">
        <f t="shared" si="130"/>
        <v>44557</v>
      </c>
      <c r="E765" s="54">
        <f t="shared" si="141"/>
        <v>110</v>
      </c>
      <c r="G765" s="8">
        <v>202112</v>
      </c>
      <c r="K765" s="52">
        <f t="shared" si="131"/>
        <v>44557</v>
      </c>
      <c r="L765" s="52">
        <f t="shared" si="132"/>
        <v>44563</v>
      </c>
      <c r="M765" s="55" t="str">
        <f t="shared" si="133"/>
        <v>27/12/21 @ 
02/01/22</v>
      </c>
    </row>
    <row r="766" spans="2:13" ht="24" x14ac:dyDescent="0.25">
      <c r="B766" s="51">
        <f t="shared" si="140"/>
        <v>764</v>
      </c>
      <c r="C766" s="52">
        <f t="shared" si="140"/>
        <v>44558</v>
      </c>
      <c r="D766" s="53">
        <f t="shared" si="130"/>
        <v>44558</v>
      </c>
      <c r="E766" s="54">
        <f t="shared" si="141"/>
        <v>110</v>
      </c>
      <c r="G766" s="8">
        <v>202112</v>
      </c>
      <c r="K766" s="52">
        <f t="shared" si="131"/>
        <v>44557</v>
      </c>
      <c r="L766" s="52">
        <f t="shared" si="132"/>
        <v>44563</v>
      </c>
      <c r="M766" s="55" t="str">
        <f t="shared" si="133"/>
        <v>27/12/21 @ 
02/01/22</v>
      </c>
    </row>
    <row r="767" spans="2:13" ht="24" x14ac:dyDescent="0.25">
      <c r="B767" s="51">
        <f t="shared" si="140"/>
        <v>765</v>
      </c>
      <c r="C767" s="52">
        <f t="shared" si="140"/>
        <v>44559</v>
      </c>
      <c r="D767" s="53">
        <f t="shared" si="130"/>
        <v>44559</v>
      </c>
      <c r="E767" s="54">
        <f t="shared" si="141"/>
        <v>110</v>
      </c>
      <c r="G767" s="8">
        <v>202112</v>
      </c>
      <c r="K767" s="52">
        <f t="shared" si="131"/>
        <v>44557</v>
      </c>
      <c r="L767" s="52">
        <f t="shared" si="132"/>
        <v>44563</v>
      </c>
      <c r="M767" s="55" t="str">
        <f t="shared" si="133"/>
        <v>27/12/21 @ 
02/01/22</v>
      </c>
    </row>
    <row r="768" spans="2:13" ht="24" x14ac:dyDescent="0.25">
      <c r="B768" s="51">
        <f t="shared" si="140"/>
        <v>766</v>
      </c>
      <c r="C768" s="52">
        <f t="shared" si="140"/>
        <v>44560</v>
      </c>
      <c r="D768" s="53">
        <f t="shared" si="130"/>
        <v>44560</v>
      </c>
      <c r="E768" s="54">
        <f t="shared" si="141"/>
        <v>110</v>
      </c>
      <c r="G768" s="8">
        <v>202112</v>
      </c>
      <c r="K768" s="52">
        <f t="shared" si="131"/>
        <v>44557</v>
      </c>
      <c r="L768" s="52">
        <f t="shared" si="132"/>
        <v>44563</v>
      </c>
      <c r="M768" s="55" t="str">
        <f t="shared" si="133"/>
        <v>27/12/21 @ 
02/01/22</v>
      </c>
    </row>
    <row r="769" spans="2:13" ht="24" x14ac:dyDescent="0.25">
      <c r="B769" s="51">
        <f t="shared" si="140"/>
        <v>767</v>
      </c>
      <c r="C769" s="52">
        <f t="shared" si="140"/>
        <v>44561</v>
      </c>
      <c r="D769" s="53">
        <f t="shared" si="130"/>
        <v>44561</v>
      </c>
      <c r="E769" s="54">
        <f t="shared" si="141"/>
        <v>110</v>
      </c>
      <c r="G769" s="8">
        <v>202112</v>
      </c>
      <c r="K769" s="52">
        <f t="shared" si="131"/>
        <v>44557</v>
      </c>
      <c r="L769" s="52">
        <f t="shared" si="132"/>
        <v>44563</v>
      </c>
      <c r="M769" s="55" t="str">
        <f t="shared" si="133"/>
        <v>27/12/21 @ 
02/01/22</v>
      </c>
    </row>
    <row r="770" spans="2:13" ht="24" x14ac:dyDescent="0.25">
      <c r="B770" s="51">
        <f t="shared" si="140"/>
        <v>768</v>
      </c>
      <c r="C770" s="52">
        <f t="shared" si="140"/>
        <v>44562</v>
      </c>
      <c r="D770" s="53">
        <f t="shared" si="130"/>
        <v>44562</v>
      </c>
      <c r="E770" s="54">
        <f t="shared" si="141"/>
        <v>110</v>
      </c>
      <c r="G770" s="8">
        <v>202112</v>
      </c>
      <c r="K770" s="52">
        <f t="shared" si="131"/>
        <v>44557</v>
      </c>
      <c r="L770" s="52">
        <f t="shared" si="132"/>
        <v>44563</v>
      </c>
      <c r="M770" s="55" t="str">
        <f t="shared" si="133"/>
        <v>27/12/21 @ 
02/01/22</v>
      </c>
    </row>
    <row r="771" spans="2:13" ht="24" x14ac:dyDescent="0.25">
      <c r="B771" s="51">
        <f t="shared" si="140"/>
        <v>769</v>
      </c>
      <c r="C771" s="52">
        <f t="shared" si="140"/>
        <v>44563</v>
      </c>
      <c r="D771" s="53">
        <f t="shared" ref="D771:D834" si="142">+C771</f>
        <v>44563</v>
      </c>
      <c r="E771" s="54">
        <f t="shared" si="141"/>
        <v>110</v>
      </c>
      <c r="G771" s="8">
        <v>202112</v>
      </c>
      <c r="K771" s="52">
        <f t="shared" ref="K771:K834" si="143">_xlfn.MINIFS($C$2:$C$890,$E$2:$E$890,E771)</f>
        <v>44557</v>
      </c>
      <c r="L771" s="52">
        <f t="shared" ref="L771:L834" si="144">_xlfn.MAXIFS($C$2:$C$890,$E$2:$E$890,E771)</f>
        <v>44563</v>
      </c>
      <c r="M771" s="55" t="str">
        <f t="shared" ref="M771:M834" si="145">CONCATENATE(TEXT(K771,"DD/MM/YY")," @ ",CHAR(10),TEXT(L771,"DD/MM/YY"))</f>
        <v>27/12/21 @ 
02/01/22</v>
      </c>
    </row>
    <row r="772" spans="2:13" ht="24" x14ac:dyDescent="0.25">
      <c r="B772" s="51">
        <f t="shared" si="140"/>
        <v>770</v>
      </c>
      <c r="C772" s="52">
        <f t="shared" si="140"/>
        <v>44564</v>
      </c>
      <c r="D772" s="53">
        <f t="shared" si="142"/>
        <v>44564</v>
      </c>
      <c r="E772" s="54">
        <f t="shared" si="141"/>
        <v>111</v>
      </c>
      <c r="G772" s="8">
        <v>202201</v>
      </c>
      <c r="K772" s="52">
        <f t="shared" si="143"/>
        <v>44564</v>
      </c>
      <c r="L772" s="52">
        <f t="shared" si="144"/>
        <v>44570</v>
      </c>
      <c r="M772" s="55" t="str">
        <f t="shared" si="145"/>
        <v>03/01/22 @ 
09/01/22</v>
      </c>
    </row>
    <row r="773" spans="2:13" ht="24" x14ac:dyDescent="0.25">
      <c r="B773" s="51">
        <f t="shared" ref="B773:C788" si="146">+B772+1</f>
        <v>771</v>
      </c>
      <c r="C773" s="52">
        <f t="shared" si="146"/>
        <v>44565</v>
      </c>
      <c r="D773" s="53">
        <f t="shared" si="142"/>
        <v>44565</v>
      </c>
      <c r="E773" s="54">
        <f t="shared" si="141"/>
        <v>111</v>
      </c>
      <c r="G773" s="8">
        <v>202201</v>
      </c>
      <c r="K773" s="52">
        <f t="shared" si="143"/>
        <v>44564</v>
      </c>
      <c r="L773" s="52">
        <f t="shared" si="144"/>
        <v>44570</v>
      </c>
      <c r="M773" s="55" t="str">
        <f t="shared" si="145"/>
        <v>03/01/22 @ 
09/01/22</v>
      </c>
    </row>
    <row r="774" spans="2:13" ht="24" x14ac:dyDescent="0.25">
      <c r="B774" s="51">
        <f t="shared" si="146"/>
        <v>772</v>
      </c>
      <c r="C774" s="52">
        <f t="shared" si="146"/>
        <v>44566</v>
      </c>
      <c r="D774" s="53">
        <f t="shared" si="142"/>
        <v>44566</v>
      </c>
      <c r="E774" s="54">
        <f t="shared" si="141"/>
        <v>111</v>
      </c>
      <c r="G774" s="8">
        <v>202201</v>
      </c>
      <c r="K774" s="52">
        <f t="shared" si="143"/>
        <v>44564</v>
      </c>
      <c r="L774" s="52">
        <f t="shared" si="144"/>
        <v>44570</v>
      </c>
      <c r="M774" s="55" t="str">
        <f t="shared" si="145"/>
        <v>03/01/22 @ 
09/01/22</v>
      </c>
    </row>
    <row r="775" spans="2:13" ht="24" x14ac:dyDescent="0.25">
      <c r="B775" s="51">
        <f t="shared" si="146"/>
        <v>773</v>
      </c>
      <c r="C775" s="52">
        <f t="shared" si="146"/>
        <v>44567</v>
      </c>
      <c r="D775" s="53">
        <f t="shared" si="142"/>
        <v>44567</v>
      </c>
      <c r="E775" s="54">
        <f t="shared" si="141"/>
        <v>111</v>
      </c>
      <c r="G775" s="8">
        <v>202201</v>
      </c>
      <c r="K775" s="52">
        <f t="shared" si="143"/>
        <v>44564</v>
      </c>
      <c r="L775" s="52">
        <f t="shared" si="144"/>
        <v>44570</v>
      </c>
      <c r="M775" s="55" t="str">
        <f t="shared" si="145"/>
        <v>03/01/22 @ 
09/01/22</v>
      </c>
    </row>
    <row r="776" spans="2:13" ht="24" x14ac:dyDescent="0.25">
      <c r="B776" s="51">
        <f t="shared" si="146"/>
        <v>774</v>
      </c>
      <c r="C776" s="52">
        <f t="shared" si="146"/>
        <v>44568</v>
      </c>
      <c r="D776" s="53">
        <f t="shared" si="142"/>
        <v>44568</v>
      </c>
      <c r="E776" s="54">
        <f t="shared" si="141"/>
        <v>111</v>
      </c>
      <c r="G776" s="8">
        <v>202201</v>
      </c>
      <c r="K776" s="52">
        <f t="shared" si="143"/>
        <v>44564</v>
      </c>
      <c r="L776" s="52">
        <f t="shared" si="144"/>
        <v>44570</v>
      </c>
      <c r="M776" s="55" t="str">
        <f t="shared" si="145"/>
        <v>03/01/22 @ 
09/01/22</v>
      </c>
    </row>
    <row r="777" spans="2:13" ht="24" x14ac:dyDescent="0.25">
      <c r="B777" s="51">
        <f t="shared" si="146"/>
        <v>775</v>
      </c>
      <c r="C777" s="52">
        <f t="shared" si="146"/>
        <v>44569</v>
      </c>
      <c r="D777" s="53">
        <f t="shared" si="142"/>
        <v>44569</v>
      </c>
      <c r="E777" s="54">
        <f t="shared" si="141"/>
        <v>111</v>
      </c>
      <c r="G777" s="8">
        <v>202201</v>
      </c>
      <c r="K777" s="52">
        <f t="shared" si="143"/>
        <v>44564</v>
      </c>
      <c r="L777" s="52">
        <f t="shared" si="144"/>
        <v>44570</v>
      </c>
      <c r="M777" s="55" t="str">
        <f t="shared" si="145"/>
        <v>03/01/22 @ 
09/01/22</v>
      </c>
    </row>
    <row r="778" spans="2:13" ht="24" x14ac:dyDescent="0.25">
      <c r="B778" s="51">
        <f t="shared" si="146"/>
        <v>776</v>
      </c>
      <c r="C778" s="52">
        <f t="shared" si="146"/>
        <v>44570</v>
      </c>
      <c r="D778" s="53">
        <f t="shared" si="142"/>
        <v>44570</v>
      </c>
      <c r="E778" s="54">
        <f t="shared" ref="E778:E841" si="147">+E771+1</f>
        <v>111</v>
      </c>
      <c r="G778" s="8">
        <v>202201</v>
      </c>
      <c r="K778" s="52">
        <f t="shared" si="143"/>
        <v>44564</v>
      </c>
      <c r="L778" s="52">
        <f t="shared" si="144"/>
        <v>44570</v>
      </c>
      <c r="M778" s="55" t="str">
        <f t="shared" si="145"/>
        <v>03/01/22 @ 
09/01/22</v>
      </c>
    </row>
    <row r="779" spans="2:13" ht="24" x14ac:dyDescent="0.25">
      <c r="B779" s="51">
        <f t="shared" si="146"/>
        <v>777</v>
      </c>
      <c r="C779" s="52">
        <f t="shared" si="146"/>
        <v>44571</v>
      </c>
      <c r="D779" s="53">
        <f t="shared" si="142"/>
        <v>44571</v>
      </c>
      <c r="E779" s="54">
        <f t="shared" si="147"/>
        <v>112</v>
      </c>
      <c r="G779" s="8">
        <v>202201</v>
      </c>
      <c r="K779" s="52">
        <f t="shared" si="143"/>
        <v>44571</v>
      </c>
      <c r="L779" s="52">
        <f t="shared" si="144"/>
        <v>44577</v>
      </c>
      <c r="M779" s="55" t="str">
        <f t="shared" si="145"/>
        <v>10/01/22 @ 
16/01/22</v>
      </c>
    </row>
    <row r="780" spans="2:13" ht="24" x14ac:dyDescent="0.25">
      <c r="B780" s="51">
        <f t="shared" si="146"/>
        <v>778</v>
      </c>
      <c r="C780" s="52">
        <f t="shared" si="146"/>
        <v>44572</v>
      </c>
      <c r="D780" s="53">
        <f t="shared" si="142"/>
        <v>44572</v>
      </c>
      <c r="E780" s="54">
        <f t="shared" si="147"/>
        <v>112</v>
      </c>
      <c r="G780" s="8">
        <v>202201</v>
      </c>
      <c r="K780" s="52">
        <f t="shared" si="143"/>
        <v>44571</v>
      </c>
      <c r="L780" s="52">
        <f t="shared" si="144"/>
        <v>44577</v>
      </c>
      <c r="M780" s="55" t="str">
        <f t="shared" si="145"/>
        <v>10/01/22 @ 
16/01/22</v>
      </c>
    </row>
    <row r="781" spans="2:13" ht="24" x14ac:dyDescent="0.25">
      <c r="B781" s="51">
        <f t="shared" si="146"/>
        <v>779</v>
      </c>
      <c r="C781" s="52">
        <f t="shared" si="146"/>
        <v>44573</v>
      </c>
      <c r="D781" s="53">
        <f t="shared" si="142"/>
        <v>44573</v>
      </c>
      <c r="E781" s="54">
        <f t="shared" si="147"/>
        <v>112</v>
      </c>
      <c r="G781" s="8">
        <v>202201</v>
      </c>
      <c r="K781" s="52">
        <f t="shared" si="143"/>
        <v>44571</v>
      </c>
      <c r="L781" s="52">
        <f t="shared" si="144"/>
        <v>44577</v>
      </c>
      <c r="M781" s="55" t="str">
        <f t="shared" si="145"/>
        <v>10/01/22 @ 
16/01/22</v>
      </c>
    </row>
    <row r="782" spans="2:13" ht="24" x14ac:dyDescent="0.25">
      <c r="B782" s="51">
        <f t="shared" si="146"/>
        <v>780</v>
      </c>
      <c r="C782" s="52">
        <f t="shared" si="146"/>
        <v>44574</v>
      </c>
      <c r="D782" s="53">
        <f t="shared" si="142"/>
        <v>44574</v>
      </c>
      <c r="E782" s="54">
        <f t="shared" si="147"/>
        <v>112</v>
      </c>
      <c r="G782" s="8">
        <v>202201</v>
      </c>
      <c r="K782" s="52">
        <f t="shared" si="143"/>
        <v>44571</v>
      </c>
      <c r="L782" s="52">
        <f t="shared" si="144"/>
        <v>44577</v>
      </c>
      <c r="M782" s="55" t="str">
        <f t="shared" si="145"/>
        <v>10/01/22 @ 
16/01/22</v>
      </c>
    </row>
    <row r="783" spans="2:13" ht="24" x14ac:dyDescent="0.25">
      <c r="B783" s="51">
        <f t="shared" si="146"/>
        <v>781</v>
      </c>
      <c r="C783" s="52">
        <f t="shared" si="146"/>
        <v>44575</v>
      </c>
      <c r="D783" s="53">
        <f t="shared" si="142"/>
        <v>44575</v>
      </c>
      <c r="E783" s="54">
        <f t="shared" si="147"/>
        <v>112</v>
      </c>
      <c r="G783" s="8">
        <v>202201</v>
      </c>
      <c r="K783" s="52">
        <f t="shared" si="143"/>
        <v>44571</v>
      </c>
      <c r="L783" s="52">
        <f t="shared" si="144"/>
        <v>44577</v>
      </c>
      <c r="M783" s="55" t="str">
        <f t="shared" si="145"/>
        <v>10/01/22 @ 
16/01/22</v>
      </c>
    </row>
    <row r="784" spans="2:13" ht="24" x14ac:dyDescent="0.25">
      <c r="B784" s="51">
        <f t="shared" si="146"/>
        <v>782</v>
      </c>
      <c r="C784" s="52">
        <f t="shared" si="146"/>
        <v>44576</v>
      </c>
      <c r="D784" s="53">
        <f t="shared" si="142"/>
        <v>44576</v>
      </c>
      <c r="E784" s="54">
        <f t="shared" si="147"/>
        <v>112</v>
      </c>
      <c r="G784" s="8">
        <v>202201</v>
      </c>
      <c r="K784" s="52">
        <f t="shared" si="143"/>
        <v>44571</v>
      </c>
      <c r="L784" s="52">
        <f t="shared" si="144"/>
        <v>44577</v>
      </c>
      <c r="M784" s="55" t="str">
        <f t="shared" si="145"/>
        <v>10/01/22 @ 
16/01/22</v>
      </c>
    </row>
    <row r="785" spans="2:13" ht="24" x14ac:dyDescent="0.25">
      <c r="B785" s="51">
        <f t="shared" si="146"/>
        <v>783</v>
      </c>
      <c r="C785" s="52">
        <f t="shared" si="146"/>
        <v>44577</v>
      </c>
      <c r="D785" s="53">
        <f t="shared" si="142"/>
        <v>44577</v>
      </c>
      <c r="E785" s="54">
        <f t="shared" si="147"/>
        <v>112</v>
      </c>
      <c r="G785" s="8">
        <v>202201</v>
      </c>
      <c r="K785" s="52">
        <f t="shared" si="143"/>
        <v>44571</v>
      </c>
      <c r="L785" s="52">
        <f t="shared" si="144"/>
        <v>44577</v>
      </c>
      <c r="M785" s="55" t="str">
        <f t="shared" si="145"/>
        <v>10/01/22 @ 
16/01/22</v>
      </c>
    </row>
    <row r="786" spans="2:13" ht="24" x14ac:dyDescent="0.25">
      <c r="B786" s="51">
        <f t="shared" si="146"/>
        <v>784</v>
      </c>
      <c r="C786" s="52">
        <f t="shared" si="146"/>
        <v>44578</v>
      </c>
      <c r="D786" s="53">
        <f t="shared" si="142"/>
        <v>44578</v>
      </c>
      <c r="E786" s="54">
        <f t="shared" si="147"/>
        <v>113</v>
      </c>
      <c r="G786" s="8">
        <v>202201</v>
      </c>
      <c r="K786" s="52">
        <f t="shared" si="143"/>
        <v>44578</v>
      </c>
      <c r="L786" s="52">
        <f t="shared" si="144"/>
        <v>44584</v>
      </c>
      <c r="M786" s="55" t="str">
        <f t="shared" si="145"/>
        <v>17/01/22 @ 
23/01/22</v>
      </c>
    </row>
    <row r="787" spans="2:13" ht="24" x14ac:dyDescent="0.25">
      <c r="B787" s="51">
        <f t="shared" si="146"/>
        <v>785</v>
      </c>
      <c r="C787" s="52">
        <f t="shared" si="146"/>
        <v>44579</v>
      </c>
      <c r="D787" s="53">
        <f t="shared" si="142"/>
        <v>44579</v>
      </c>
      <c r="E787" s="54">
        <f t="shared" si="147"/>
        <v>113</v>
      </c>
      <c r="G787" s="8">
        <v>202201</v>
      </c>
      <c r="K787" s="52">
        <f t="shared" si="143"/>
        <v>44578</v>
      </c>
      <c r="L787" s="52">
        <f t="shared" si="144"/>
        <v>44584</v>
      </c>
      <c r="M787" s="55" t="str">
        <f t="shared" si="145"/>
        <v>17/01/22 @ 
23/01/22</v>
      </c>
    </row>
    <row r="788" spans="2:13" ht="24" x14ac:dyDescent="0.25">
      <c r="B788" s="51">
        <f t="shared" si="146"/>
        <v>786</v>
      </c>
      <c r="C788" s="52">
        <f t="shared" si="146"/>
        <v>44580</v>
      </c>
      <c r="D788" s="53">
        <f t="shared" si="142"/>
        <v>44580</v>
      </c>
      <c r="E788" s="54">
        <f t="shared" si="147"/>
        <v>113</v>
      </c>
      <c r="G788" s="8">
        <v>202201</v>
      </c>
      <c r="K788" s="52">
        <f t="shared" si="143"/>
        <v>44578</v>
      </c>
      <c r="L788" s="52">
        <f t="shared" si="144"/>
        <v>44584</v>
      </c>
      <c r="M788" s="55" t="str">
        <f t="shared" si="145"/>
        <v>17/01/22 @ 
23/01/22</v>
      </c>
    </row>
    <row r="789" spans="2:13" ht="24" x14ac:dyDescent="0.25">
      <c r="B789" s="51">
        <f t="shared" ref="B789:C804" si="148">+B788+1</f>
        <v>787</v>
      </c>
      <c r="C789" s="52">
        <f t="shared" si="148"/>
        <v>44581</v>
      </c>
      <c r="D789" s="53">
        <f t="shared" si="142"/>
        <v>44581</v>
      </c>
      <c r="E789" s="54">
        <f t="shared" si="147"/>
        <v>113</v>
      </c>
      <c r="G789" s="8">
        <v>202201</v>
      </c>
      <c r="K789" s="52">
        <f t="shared" si="143"/>
        <v>44578</v>
      </c>
      <c r="L789" s="52">
        <f t="shared" si="144"/>
        <v>44584</v>
      </c>
      <c r="M789" s="55" t="str">
        <f t="shared" si="145"/>
        <v>17/01/22 @ 
23/01/22</v>
      </c>
    </row>
    <row r="790" spans="2:13" ht="24" x14ac:dyDescent="0.25">
      <c r="B790" s="51">
        <f t="shared" si="148"/>
        <v>788</v>
      </c>
      <c r="C790" s="52">
        <f t="shared" si="148"/>
        <v>44582</v>
      </c>
      <c r="D790" s="53">
        <f t="shared" si="142"/>
        <v>44582</v>
      </c>
      <c r="E790" s="54">
        <f t="shared" si="147"/>
        <v>113</v>
      </c>
      <c r="G790" s="8">
        <v>202201</v>
      </c>
      <c r="K790" s="52">
        <f t="shared" si="143"/>
        <v>44578</v>
      </c>
      <c r="L790" s="52">
        <f t="shared" si="144"/>
        <v>44584</v>
      </c>
      <c r="M790" s="55" t="str">
        <f t="shared" si="145"/>
        <v>17/01/22 @ 
23/01/22</v>
      </c>
    </row>
    <row r="791" spans="2:13" ht="24" x14ac:dyDescent="0.25">
      <c r="B791" s="51">
        <f t="shared" si="148"/>
        <v>789</v>
      </c>
      <c r="C791" s="52">
        <f t="shared" si="148"/>
        <v>44583</v>
      </c>
      <c r="D791" s="53">
        <f t="shared" si="142"/>
        <v>44583</v>
      </c>
      <c r="E791" s="54">
        <f t="shared" si="147"/>
        <v>113</v>
      </c>
      <c r="G791" s="8">
        <v>202201</v>
      </c>
      <c r="K791" s="52">
        <f t="shared" si="143"/>
        <v>44578</v>
      </c>
      <c r="L791" s="52">
        <f t="shared" si="144"/>
        <v>44584</v>
      </c>
      <c r="M791" s="55" t="str">
        <f t="shared" si="145"/>
        <v>17/01/22 @ 
23/01/22</v>
      </c>
    </row>
    <row r="792" spans="2:13" ht="24" x14ac:dyDescent="0.25">
      <c r="B792" s="51">
        <f t="shared" si="148"/>
        <v>790</v>
      </c>
      <c r="C792" s="52">
        <f t="shared" si="148"/>
        <v>44584</v>
      </c>
      <c r="D792" s="53">
        <f t="shared" si="142"/>
        <v>44584</v>
      </c>
      <c r="E792" s="54">
        <f t="shared" si="147"/>
        <v>113</v>
      </c>
      <c r="G792" s="8">
        <v>202201</v>
      </c>
      <c r="K792" s="52">
        <f t="shared" si="143"/>
        <v>44578</v>
      </c>
      <c r="L792" s="52">
        <f t="shared" si="144"/>
        <v>44584</v>
      </c>
      <c r="M792" s="55" t="str">
        <f t="shared" si="145"/>
        <v>17/01/22 @ 
23/01/22</v>
      </c>
    </row>
    <row r="793" spans="2:13" ht="24" x14ac:dyDescent="0.25">
      <c r="B793" s="51">
        <f t="shared" si="148"/>
        <v>791</v>
      </c>
      <c r="C793" s="52">
        <f t="shared" si="148"/>
        <v>44585</v>
      </c>
      <c r="D793" s="53">
        <f t="shared" si="142"/>
        <v>44585</v>
      </c>
      <c r="E793" s="54">
        <f t="shared" si="147"/>
        <v>114</v>
      </c>
      <c r="G793" s="8">
        <v>202201</v>
      </c>
      <c r="K793" s="52">
        <f t="shared" si="143"/>
        <v>44585</v>
      </c>
      <c r="L793" s="52">
        <f t="shared" si="144"/>
        <v>44591</v>
      </c>
      <c r="M793" s="55" t="str">
        <f t="shared" si="145"/>
        <v>24/01/22 @ 
30/01/22</v>
      </c>
    </row>
    <row r="794" spans="2:13" ht="24" x14ac:dyDescent="0.25">
      <c r="B794" s="51">
        <f t="shared" si="148"/>
        <v>792</v>
      </c>
      <c r="C794" s="52">
        <f t="shared" si="148"/>
        <v>44586</v>
      </c>
      <c r="D794" s="53">
        <f t="shared" si="142"/>
        <v>44586</v>
      </c>
      <c r="E794" s="54">
        <f t="shared" si="147"/>
        <v>114</v>
      </c>
      <c r="G794" s="8">
        <v>202201</v>
      </c>
      <c r="K794" s="52">
        <f t="shared" si="143"/>
        <v>44585</v>
      </c>
      <c r="L794" s="52">
        <f t="shared" si="144"/>
        <v>44591</v>
      </c>
      <c r="M794" s="55" t="str">
        <f t="shared" si="145"/>
        <v>24/01/22 @ 
30/01/22</v>
      </c>
    </row>
    <row r="795" spans="2:13" ht="24" x14ac:dyDescent="0.25">
      <c r="B795" s="51">
        <f t="shared" si="148"/>
        <v>793</v>
      </c>
      <c r="C795" s="52">
        <f t="shared" si="148"/>
        <v>44587</v>
      </c>
      <c r="D795" s="53">
        <f t="shared" si="142"/>
        <v>44587</v>
      </c>
      <c r="E795" s="54">
        <f t="shared" si="147"/>
        <v>114</v>
      </c>
      <c r="G795" s="8">
        <v>202201</v>
      </c>
      <c r="K795" s="52">
        <f t="shared" si="143"/>
        <v>44585</v>
      </c>
      <c r="L795" s="52">
        <f t="shared" si="144"/>
        <v>44591</v>
      </c>
      <c r="M795" s="55" t="str">
        <f t="shared" si="145"/>
        <v>24/01/22 @ 
30/01/22</v>
      </c>
    </row>
    <row r="796" spans="2:13" ht="24" x14ac:dyDescent="0.25">
      <c r="B796" s="51">
        <f t="shared" si="148"/>
        <v>794</v>
      </c>
      <c r="C796" s="52">
        <f t="shared" si="148"/>
        <v>44588</v>
      </c>
      <c r="D796" s="53">
        <f t="shared" si="142"/>
        <v>44588</v>
      </c>
      <c r="E796" s="54">
        <f t="shared" si="147"/>
        <v>114</v>
      </c>
      <c r="G796" s="8">
        <v>202201</v>
      </c>
      <c r="K796" s="52">
        <f t="shared" si="143"/>
        <v>44585</v>
      </c>
      <c r="L796" s="52">
        <f t="shared" si="144"/>
        <v>44591</v>
      </c>
      <c r="M796" s="55" t="str">
        <f t="shared" si="145"/>
        <v>24/01/22 @ 
30/01/22</v>
      </c>
    </row>
    <row r="797" spans="2:13" ht="24" x14ac:dyDescent="0.25">
      <c r="B797" s="51">
        <f t="shared" si="148"/>
        <v>795</v>
      </c>
      <c r="C797" s="52">
        <f t="shared" si="148"/>
        <v>44589</v>
      </c>
      <c r="D797" s="53">
        <f t="shared" si="142"/>
        <v>44589</v>
      </c>
      <c r="E797" s="54">
        <f t="shared" si="147"/>
        <v>114</v>
      </c>
      <c r="G797" s="8">
        <v>202201</v>
      </c>
      <c r="K797" s="52">
        <f t="shared" si="143"/>
        <v>44585</v>
      </c>
      <c r="L797" s="52">
        <f t="shared" si="144"/>
        <v>44591</v>
      </c>
      <c r="M797" s="55" t="str">
        <f t="shared" si="145"/>
        <v>24/01/22 @ 
30/01/22</v>
      </c>
    </row>
    <row r="798" spans="2:13" ht="24" x14ac:dyDescent="0.25">
      <c r="B798" s="51">
        <f t="shared" si="148"/>
        <v>796</v>
      </c>
      <c r="C798" s="52">
        <f t="shared" si="148"/>
        <v>44590</v>
      </c>
      <c r="D798" s="53">
        <f t="shared" si="142"/>
        <v>44590</v>
      </c>
      <c r="E798" s="54">
        <f t="shared" si="147"/>
        <v>114</v>
      </c>
      <c r="G798" s="8">
        <v>202201</v>
      </c>
      <c r="K798" s="52">
        <f t="shared" si="143"/>
        <v>44585</v>
      </c>
      <c r="L798" s="52">
        <f t="shared" si="144"/>
        <v>44591</v>
      </c>
      <c r="M798" s="55" t="str">
        <f t="shared" si="145"/>
        <v>24/01/22 @ 
30/01/22</v>
      </c>
    </row>
    <row r="799" spans="2:13" ht="24" x14ac:dyDescent="0.25">
      <c r="B799" s="51">
        <f t="shared" si="148"/>
        <v>797</v>
      </c>
      <c r="C799" s="52">
        <f t="shared" si="148"/>
        <v>44591</v>
      </c>
      <c r="D799" s="53">
        <f t="shared" si="142"/>
        <v>44591</v>
      </c>
      <c r="E799" s="54">
        <f t="shared" si="147"/>
        <v>114</v>
      </c>
      <c r="G799" s="8">
        <v>202201</v>
      </c>
      <c r="K799" s="52">
        <f t="shared" si="143"/>
        <v>44585</v>
      </c>
      <c r="L799" s="52">
        <f t="shared" si="144"/>
        <v>44591</v>
      </c>
      <c r="M799" s="55" t="str">
        <f t="shared" si="145"/>
        <v>24/01/22 @ 
30/01/22</v>
      </c>
    </row>
    <row r="800" spans="2:13" ht="24" x14ac:dyDescent="0.25">
      <c r="B800" s="51">
        <f t="shared" si="148"/>
        <v>798</v>
      </c>
      <c r="C800" s="52">
        <f t="shared" si="148"/>
        <v>44592</v>
      </c>
      <c r="D800" s="53">
        <f t="shared" si="142"/>
        <v>44592</v>
      </c>
      <c r="E800" s="54">
        <f t="shared" si="147"/>
        <v>115</v>
      </c>
      <c r="G800" s="8">
        <v>202202</v>
      </c>
      <c r="K800" s="52">
        <f t="shared" si="143"/>
        <v>44592</v>
      </c>
      <c r="L800" s="52">
        <f t="shared" si="144"/>
        <v>44598</v>
      </c>
      <c r="M800" s="55" t="str">
        <f t="shared" si="145"/>
        <v>31/01/22 @ 
06/02/22</v>
      </c>
    </row>
    <row r="801" spans="2:13" ht="24" x14ac:dyDescent="0.25">
      <c r="B801" s="51">
        <f t="shared" si="148"/>
        <v>799</v>
      </c>
      <c r="C801" s="52">
        <f t="shared" si="148"/>
        <v>44593</v>
      </c>
      <c r="D801" s="53">
        <f t="shared" si="142"/>
        <v>44593</v>
      </c>
      <c r="E801" s="54">
        <f t="shared" si="147"/>
        <v>115</v>
      </c>
      <c r="G801" s="8">
        <v>202202</v>
      </c>
      <c r="K801" s="52">
        <f t="shared" si="143"/>
        <v>44592</v>
      </c>
      <c r="L801" s="52">
        <f t="shared" si="144"/>
        <v>44598</v>
      </c>
      <c r="M801" s="55" t="str">
        <f t="shared" si="145"/>
        <v>31/01/22 @ 
06/02/22</v>
      </c>
    </row>
    <row r="802" spans="2:13" ht="24" x14ac:dyDescent="0.25">
      <c r="B802" s="51">
        <f t="shared" si="148"/>
        <v>800</v>
      </c>
      <c r="C802" s="52">
        <f t="shared" si="148"/>
        <v>44594</v>
      </c>
      <c r="D802" s="53">
        <f t="shared" si="142"/>
        <v>44594</v>
      </c>
      <c r="E802" s="54">
        <f t="shared" si="147"/>
        <v>115</v>
      </c>
      <c r="G802" s="8">
        <v>202202</v>
      </c>
      <c r="K802" s="52">
        <f t="shared" si="143"/>
        <v>44592</v>
      </c>
      <c r="L802" s="52">
        <f t="shared" si="144"/>
        <v>44598</v>
      </c>
      <c r="M802" s="55" t="str">
        <f t="shared" si="145"/>
        <v>31/01/22 @ 
06/02/22</v>
      </c>
    </row>
    <row r="803" spans="2:13" ht="24" x14ac:dyDescent="0.25">
      <c r="B803" s="51">
        <f t="shared" si="148"/>
        <v>801</v>
      </c>
      <c r="C803" s="52">
        <f t="shared" si="148"/>
        <v>44595</v>
      </c>
      <c r="D803" s="53">
        <f t="shared" si="142"/>
        <v>44595</v>
      </c>
      <c r="E803" s="54">
        <f t="shared" si="147"/>
        <v>115</v>
      </c>
      <c r="G803" s="8">
        <v>202202</v>
      </c>
      <c r="K803" s="52">
        <f t="shared" si="143"/>
        <v>44592</v>
      </c>
      <c r="L803" s="52">
        <f t="shared" si="144"/>
        <v>44598</v>
      </c>
      <c r="M803" s="55" t="str">
        <f t="shared" si="145"/>
        <v>31/01/22 @ 
06/02/22</v>
      </c>
    </row>
    <row r="804" spans="2:13" ht="24" x14ac:dyDescent="0.25">
      <c r="B804" s="51">
        <f t="shared" si="148"/>
        <v>802</v>
      </c>
      <c r="C804" s="52">
        <f t="shared" si="148"/>
        <v>44596</v>
      </c>
      <c r="D804" s="53">
        <f t="shared" si="142"/>
        <v>44596</v>
      </c>
      <c r="E804" s="54">
        <f t="shared" si="147"/>
        <v>115</v>
      </c>
      <c r="G804" s="8">
        <v>202202</v>
      </c>
      <c r="K804" s="52">
        <f t="shared" si="143"/>
        <v>44592</v>
      </c>
      <c r="L804" s="52">
        <f t="shared" si="144"/>
        <v>44598</v>
      </c>
      <c r="M804" s="55" t="str">
        <f t="shared" si="145"/>
        <v>31/01/22 @ 
06/02/22</v>
      </c>
    </row>
    <row r="805" spans="2:13" ht="24" x14ac:dyDescent="0.25">
      <c r="B805" s="51">
        <f t="shared" ref="B805:C820" si="149">+B804+1</f>
        <v>803</v>
      </c>
      <c r="C805" s="52">
        <f t="shared" si="149"/>
        <v>44597</v>
      </c>
      <c r="D805" s="53">
        <f t="shared" si="142"/>
        <v>44597</v>
      </c>
      <c r="E805" s="54">
        <f t="shared" si="147"/>
        <v>115</v>
      </c>
      <c r="G805" s="8">
        <v>202202</v>
      </c>
      <c r="K805" s="52">
        <f t="shared" si="143"/>
        <v>44592</v>
      </c>
      <c r="L805" s="52">
        <f t="shared" si="144"/>
        <v>44598</v>
      </c>
      <c r="M805" s="55" t="str">
        <f t="shared" si="145"/>
        <v>31/01/22 @ 
06/02/22</v>
      </c>
    </row>
    <row r="806" spans="2:13" ht="24" x14ac:dyDescent="0.25">
      <c r="B806" s="51">
        <f t="shared" si="149"/>
        <v>804</v>
      </c>
      <c r="C806" s="52">
        <f t="shared" si="149"/>
        <v>44598</v>
      </c>
      <c r="D806" s="53">
        <f t="shared" si="142"/>
        <v>44598</v>
      </c>
      <c r="E806" s="54">
        <f t="shared" si="147"/>
        <v>115</v>
      </c>
      <c r="G806" s="8">
        <v>202202</v>
      </c>
      <c r="K806" s="52">
        <f t="shared" si="143"/>
        <v>44592</v>
      </c>
      <c r="L806" s="52">
        <f t="shared" si="144"/>
        <v>44598</v>
      </c>
      <c r="M806" s="55" t="str">
        <f t="shared" si="145"/>
        <v>31/01/22 @ 
06/02/22</v>
      </c>
    </row>
    <row r="807" spans="2:13" ht="24" x14ac:dyDescent="0.25">
      <c r="B807" s="51">
        <f t="shared" si="149"/>
        <v>805</v>
      </c>
      <c r="C807" s="52">
        <f t="shared" si="149"/>
        <v>44599</v>
      </c>
      <c r="D807" s="53">
        <f t="shared" si="142"/>
        <v>44599</v>
      </c>
      <c r="E807" s="54">
        <f t="shared" si="147"/>
        <v>116</v>
      </c>
      <c r="G807" s="8">
        <v>202202</v>
      </c>
      <c r="K807" s="52">
        <f t="shared" si="143"/>
        <v>44599</v>
      </c>
      <c r="L807" s="52">
        <f t="shared" si="144"/>
        <v>44605</v>
      </c>
      <c r="M807" s="55" t="str">
        <f t="shared" si="145"/>
        <v>07/02/22 @ 
13/02/22</v>
      </c>
    </row>
    <row r="808" spans="2:13" ht="24" x14ac:dyDescent="0.25">
      <c r="B808" s="51">
        <f t="shared" si="149"/>
        <v>806</v>
      </c>
      <c r="C808" s="52">
        <f t="shared" si="149"/>
        <v>44600</v>
      </c>
      <c r="D808" s="53">
        <f t="shared" si="142"/>
        <v>44600</v>
      </c>
      <c r="E808" s="54">
        <f t="shared" si="147"/>
        <v>116</v>
      </c>
      <c r="G808" s="8">
        <v>202202</v>
      </c>
      <c r="K808" s="52">
        <f t="shared" si="143"/>
        <v>44599</v>
      </c>
      <c r="L808" s="52">
        <f t="shared" si="144"/>
        <v>44605</v>
      </c>
      <c r="M808" s="55" t="str">
        <f t="shared" si="145"/>
        <v>07/02/22 @ 
13/02/22</v>
      </c>
    </row>
    <row r="809" spans="2:13" ht="24" x14ac:dyDescent="0.25">
      <c r="B809" s="51">
        <f t="shared" si="149"/>
        <v>807</v>
      </c>
      <c r="C809" s="52">
        <f t="shared" si="149"/>
        <v>44601</v>
      </c>
      <c r="D809" s="53">
        <f t="shared" si="142"/>
        <v>44601</v>
      </c>
      <c r="E809" s="54">
        <f t="shared" si="147"/>
        <v>116</v>
      </c>
      <c r="G809" s="8">
        <v>202202</v>
      </c>
      <c r="K809" s="52">
        <f t="shared" si="143"/>
        <v>44599</v>
      </c>
      <c r="L809" s="52">
        <f t="shared" si="144"/>
        <v>44605</v>
      </c>
      <c r="M809" s="55" t="str">
        <f t="shared" si="145"/>
        <v>07/02/22 @ 
13/02/22</v>
      </c>
    </row>
    <row r="810" spans="2:13" ht="24" x14ac:dyDescent="0.25">
      <c r="B810" s="51">
        <f t="shared" si="149"/>
        <v>808</v>
      </c>
      <c r="C810" s="52">
        <f t="shared" si="149"/>
        <v>44602</v>
      </c>
      <c r="D810" s="53">
        <f t="shared" si="142"/>
        <v>44602</v>
      </c>
      <c r="E810" s="54">
        <f t="shared" si="147"/>
        <v>116</v>
      </c>
      <c r="G810" s="8">
        <v>202202</v>
      </c>
      <c r="K810" s="52">
        <f t="shared" si="143"/>
        <v>44599</v>
      </c>
      <c r="L810" s="52">
        <f t="shared" si="144"/>
        <v>44605</v>
      </c>
      <c r="M810" s="55" t="str">
        <f t="shared" si="145"/>
        <v>07/02/22 @ 
13/02/22</v>
      </c>
    </row>
    <row r="811" spans="2:13" ht="24" x14ac:dyDescent="0.25">
      <c r="B811" s="51">
        <f t="shared" si="149"/>
        <v>809</v>
      </c>
      <c r="C811" s="52">
        <f t="shared" si="149"/>
        <v>44603</v>
      </c>
      <c r="D811" s="53">
        <f t="shared" si="142"/>
        <v>44603</v>
      </c>
      <c r="E811" s="54">
        <f t="shared" si="147"/>
        <v>116</v>
      </c>
      <c r="G811" s="8">
        <v>202202</v>
      </c>
      <c r="K811" s="52">
        <f t="shared" si="143"/>
        <v>44599</v>
      </c>
      <c r="L811" s="52">
        <f t="shared" si="144"/>
        <v>44605</v>
      </c>
      <c r="M811" s="55" t="str">
        <f t="shared" si="145"/>
        <v>07/02/22 @ 
13/02/22</v>
      </c>
    </row>
    <row r="812" spans="2:13" ht="24" x14ac:dyDescent="0.25">
      <c r="B812" s="51">
        <f t="shared" si="149"/>
        <v>810</v>
      </c>
      <c r="C812" s="52">
        <f t="shared" si="149"/>
        <v>44604</v>
      </c>
      <c r="D812" s="53">
        <f t="shared" si="142"/>
        <v>44604</v>
      </c>
      <c r="E812" s="54">
        <f t="shared" si="147"/>
        <v>116</v>
      </c>
      <c r="G812" s="8">
        <v>202202</v>
      </c>
      <c r="K812" s="52">
        <f t="shared" si="143"/>
        <v>44599</v>
      </c>
      <c r="L812" s="52">
        <f t="shared" si="144"/>
        <v>44605</v>
      </c>
      <c r="M812" s="55" t="str">
        <f t="shared" si="145"/>
        <v>07/02/22 @ 
13/02/22</v>
      </c>
    </row>
    <row r="813" spans="2:13" ht="24" x14ac:dyDescent="0.25">
      <c r="B813" s="51">
        <f t="shared" si="149"/>
        <v>811</v>
      </c>
      <c r="C813" s="52">
        <f t="shared" si="149"/>
        <v>44605</v>
      </c>
      <c r="D813" s="53">
        <f t="shared" si="142"/>
        <v>44605</v>
      </c>
      <c r="E813" s="54">
        <f t="shared" si="147"/>
        <v>116</v>
      </c>
      <c r="G813" s="8">
        <v>202202</v>
      </c>
      <c r="K813" s="52">
        <f t="shared" si="143"/>
        <v>44599</v>
      </c>
      <c r="L813" s="52">
        <f t="shared" si="144"/>
        <v>44605</v>
      </c>
      <c r="M813" s="55" t="str">
        <f t="shared" si="145"/>
        <v>07/02/22 @ 
13/02/22</v>
      </c>
    </row>
    <row r="814" spans="2:13" ht="24" x14ac:dyDescent="0.25">
      <c r="B814" s="51">
        <f t="shared" si="149"/>
        <v>812</v>
      </c>
      <c r="C814" s="52">
        <f t="shared" si="149"/>
        <v>44606</v>
      </c>
      <c r="D814" s="53">
        <f t="shared" si="142"/>
        <v>44606</v>
      </c>
      <c r="E814" s="54">
        <f t="shared" si="147"/>
        <v>117</v>
      </c>
      <c r="G814" s="8">
        <v>202202</v>
      </c>
      <c r="K814" s="52">
        <f t="shared" si="143"/>
        <v>44606</v>
      </c>
      <c r="L814" s="52">
        <f t="shared" si="144"/>
        <v>44612</v>
      </c>
      <c r="M814" s="55" t="str">
        <f t="shared" si="145"/>
        <v>14/02/22 @ 
20/02/22</v>
      </c>
    </row>
    <row r="815" spans="2:13" ht="24" x14ac:dyDescent="0.25">
      <c r="B815" s="51">
        <f t="shared" si="149"/>
        <v>813</v>
      </c>
      <c r="C815" s="52">
        <f t="shared" si="149"/>
        <v>44607</v>
      </c>
      <c r="D815" s="53">
        <f t="shared" si="142"/>
        <v>44607</v>
      </c>
      <c r="E815" s="54">
        <f t="shared" si="147"/>
        <v>117</v>
      </c>
      <c r="G815" s="8">
        <v>202202</v>
      </c>
      <c r="K815" s="52">
        <f t="shared" si="143"/>
        <v>44606</v>
      </c>
      <c r="L815" s="52">
        <f t="shared" si="144"/>
        <v>44612</v>
      </c>
      <c r="M815" s="55" t="str">
        <f t="shared" si="145"/>
        <v>14/02/22 @ 
20/02/22</v>
      </c>
    </row>
    <row r="816" spans="2:13" ht="24" x14ac:dyDescent="0.25">
      <c r="B816" s="51">
        <f t="shared" si="149"/>
        <v>814</v>
      </c>
      <c r="C816" s="52">
        <f t="shared" si="149"/>
        <v>44608</v>
      </c>
      <c r="D816" s="53">
        <f t="shared" si="142"/>
        <v>44608</v>
      </c>
      <c r="E816" s="54">
        <f t="shared" si="147"/>
        <v>117</v>
      </c>
      <c r="G816" s="8">
        <v>202202</v>
      </c>
      <c r="K816" s="52">
        <f t="shared" si="143"/>
        <v>44606</v>
      </c>
      <c r="L816" s="52">
        <f t="shared" si="144"/>
        <v>44612</v>
      </c>
      <c r="M816" s="55" t="str">
        <f t="shared" si="145"/>
        <v>14/02/22 @ 
20/02/22</v>
      </c>
    </row>
    <row r="817" spans="2:13" ht="24" x14ac:dyDescent="0.25">
      <c r="B817" s="51">
        <f t="shared" si="149"/>
        <v>815</v>
      </c>
      <c r="C817" s="52">
        <f t="shared" si="149"/>
        <v>44609</v>
      </c>
      <c r="D817" s="53">
        <f t="shared" si="142"/>
        <v>44609</v>
      </c>
      <c r="E817" s="54">
        <f t="shared" si="147"/>
        <v>117</v>
      </c>
      <c r="G817" s="8">
        <v>202202</v>
      </c>
      <c r="K817" s="52">
        <f t="shared" si="143"/>
        <v>44606</v>
      </c>
      <c r="L817" s="52">
        <f t="shared" si="144"/>
        <v>44612</v>
      </c>
      <c r="M817" s="55" t="str">
        <f t="shared" si="145"/>
        <v>14/02/22 @ 
20/02/22</v>
      </c>
    </row>
    <row r="818" spans="2:13" ht="24" x14ac:dyDescent="0.25">
      <c r="B818" s="51">
        <f t="shared" si="149"/>
        <v>816</v>
      </c>
      <c r="C818" s="52">
        <f t="shared" si="149"/>
        <v>44610</v>
      </c>
      <c r="D818" s="53">
        <f t="shared" si="142"/>
        <v>44610</v>
      </c>
      <c r="E818" s="54">
        <f t="shared" si="147"/>
        <v>117</v>
      </c>
      <c r="G818" s="8">
        <v>202202</v>
      </c>
      <c r="K818" s="52">
        <f t="shared" si="143"/>
        <v>44606</v>
      </c>
      <c r="L818" s="52">
        <f t="shared" si="144"/>
        <v>44612</v>
      </c>
      <c r="M818" s="55" t="str">
        <f t="shared" si="145"/>
        <v>14/02/22 @ 
20/02/22</v>
      </c>
    </row>
    <row r="819" spans="2:13" ht="24" x14ac:dyDescent="0.25">
      <c r="B819" s="51">
        <f t="shared" si="149"/>
        <v>817</v>
      </c>
      <c r="C819" s="52">
        <f t="shared" si="149"/>
        <v>44611</v>
      </c>
      <c r="D819" s="53">
        <f t="shared" si="142"/>
        <v>44611</v>
      </c>
      <c r="E819" s="54">
        <f t="shared" si="147"/>
        <v>117</v>
      </c>
      <c r="G819" s="8">
        <v>202202</v>
      </c>
      <c r="K819" s="52">
        <f t="shared" si="143"/>
        <v>44606</v>
      </c>
      <c r="L819" s="52">
        <f t="shared" si="144"/>
        <v>44612</v>
      </c>
      <c r="M819" s="55" t="str">
        <f t="shared" si="145"/>
        <v>14/02/22 @ 
20/02/22</v>
      </c>
    </row>
    <row r="820" spans="2:13" ht="24" x14ac:dyDescent="0.25">
      <c r="B820" s="51">
        <f t="shared" si="149"/>
        <v>818</v>
      </c>
      <c r="C820" s="52">
        <f t="shared" si="149"/>
        <v>44612</v>
      </c>
      <c r="D820" s="53">
        <f t="shared" si="142"/>
        <v>44612</v>
      </c>
      <c r="E820" s="54">
        <f t="shared" si="147"/>
        <v>117</v>
      </c>
      <c r="G820" s="8">
        <v>202202</v>
      </c>
      <c r="K820" s="52">
        <f t="shared" si="143"/>
        <v>44606</v>
      </c>
      <c r="L820" s="52">
        <f t="shared" si="144"/>
        <v>44612</v>
      </c>
      <c r="M820" s="55" t="str">
        <f t="shared" si="145"/>
        <v>14/02/22 @ 
20/02/22</v>
      </c>
    </row>
    <row r="821" spans="2:13" ht="24" x14ac:dyDescent="0.25">
      <c r="B821" s="51">
        <f t="shared" ref="B821:C836" si="150">+B820+1</f>
        <v>819</v>
      </c>
      <c r="C821" s="52">
        <f t="shared" si="150"/>
        <v>44613</v>
      </c>
      <c r="D821" s="53">
        <f t="shared" si="142"/>
        <v>44613</v>
      </c>
      <c r="E821" s="54">
        <f t="shared" si="147"/>
        <v>118</v>
      </c>
      <c r="G821" s="8">
        <v>202202</v>
      </c>
      <c r="K821" s="52">
        <f t="shared" si="143"/>
        <v>44613</v>
      </c>
      <c r="L821" s="52">
        <f t="shared" si="144"/>
        <v>44619</v>
      </c>
      <c r="M821" s="55" t="str">
        <f t="shared" si="145"/>
        <v>21/02/22 @ 
27/02/22</v>
      </c>
    </row>
    <row r="822" spans="2:13" ht="24" x14ac:dyDescent="0.25">
      <c r="B822" s="51">
        <f t="shared" si="150"/>
        <v>820</v>
      </c>
      <c r="C822" s="52">
        <f t="shared" si="150"/>
        <v>44614</v>
      </c>
      <c r="D822" s="53">
        <f t="shared" si="142"/>
        <v>44614</v>
      </c>
      <c r="E822" s="54">
        <f t="shared" si="147"/>
        <v>118</v>
      </c>
      <c r="G822" s="8">
        <v>202202</v>
      </c>
      <c r="K822" s="52">
        <f t="shared" si="143"/>
        <v>44613</v>
      </c>
      <c r="L822" s="52">
        <f t="shared" si="144"/>
        <v>44619</v>
      </c>
      <c r="M822" s="55" t="str">
        <f t="shared" si="145"/>
        <v>21/02/22 @ 
27/02/22</v>
      </c>
    </row>
    <row r="823" spans="2:13" ht="24" x14ac:dyDescent="0.25">
      <c r="B823" s="51">
        <f t="shared" si="150"/>
        <v>821</v>
      </c>
      <c r="C823" s="52">
        <f t="shared" si="150"/>
        <v>44615</v>
      </c>
      <c r="D823" s="53">
        <f t="shared" si="142"/>
        <v>44615</v>
      </c>
      <c r="E823" s="54">
        <f t="shared" si="147"/>
        <v>118</v>
      </c>
      <c r="G823" s="8">
        <v>202202</v>
      </c>
      <c r="K823" s="52">
        <f t="shared" si="143"/>
        <v>44613</v>
      </c>
      <c r="L823" s="52">
        <f t="shared" si="144"/>
        <v>44619</v>
      </c>
      <c r="M823" s="55" t="str">
        <f t="shared" si="145"/>
        <v>21/02/22 @ 
27/02/22</v>
      </c>
    </row>
    <row r="824" spans="2:13" ht="24" x14ac:dyDescent="0.25">
      <c r="B824" s="51">
        <f t="shared" si="150"/>
        <v>822</v>
      </c>
      <c r="C824" s="52">
        <f t="shared" si="150"/>
        <v>44616</v>
      </c>
      <c r="D824" s="53">
        <f t="shared" si="142"/>
        <v>44616</v>
      </c>
      <c r="E824" s="54">
        <f t="shared" si="147"/>
        <v>118</v>
      </c>
      <c r="G824" s="8">
        <v>202202</v>
      </c>
      <c r="K824" s="52">
        <f t="shared" si="143"/>
        <v>44613</v>
      </c>
      <c r="L824" s="52">
        <f t="shared" si="144"/>
        <v>44619</v>
      </c>
      <c r="M824" s="55" t="str">
        <f t="shared" si="145"/>
        <v>21/02/22 @ 
27/02/22</v>
      </c>
    </row>
    <row r="825" spans="2:13" ht="24" x14ac:dyDescent="0.25">
      <c r="B825" s="51">
        <f t="shared" si="150"/>
        <v>823</v>
      </c>
      <c r="C825" s="52">
        <f t="shared" si="150"/>
        <v>44617</v>
      </c>
      <c r="D825" s="53">
        <f t="shared" si="142"/>
        <v>44617</v>
      </c>
      <c r="E825" s="54">
        <f t="shared" si="147"/>
        <v>118</v>
      </c>
      <c r="G825" s="8">
        <v>202202</v>
      </c>
      <c r="K825" s="52">
        <f t="shared" si="143"/>
        <v>44613</v>
      </c>
      <c r="L825" s="52">
        <f t="shared" si="144"/>
        <v>44619</v>
      </c>
      <c r="M825" s="55" t="str">
        <f t="shared" si="145"/>
        <v>21/02/22 @ 
27/02/22</v>
      </c>
    </row>
    <row r="826" spans="2:13" ht="24" x14ac:dyDescent="0.25">
      <c r="B826" s="51">
        <f t="shared" si="150"/>
        <v>824</v>
      </c>
      <c r="C826" s="52">
        <f t="shared" si="150"/>
        <v>44618</v>
      </c>
      <c r="D826" s="53">
        <f t="shared" si="142"/>
        <v>44618</v>
      </c>
      <c r="E826" s="54">
        <f t="shared" si="147"/>
        <v>118</v>
      </c>
      <c r="G826" s="8">
        <v>202202</v>
      </c>
      <c r="K826" s="52">
        <f t="shared" si="143"/>
        <v>44613</v>
      </c>
      <c r="L826" s="52">
        <f t="shared" si="144"/>
        <v>44619</v>
      </c>
      <c r="M826" s="55" t="str">
        <f t="shared" si="145"/>
        <v>21/02/22 @ 
27/02/22</v>
      </c>
    </row>
    <row r="827" spans="2:13" ht="24" x14ac:dyDescent="0.25">
      <c r="B827" s="51">
        <f t="shared" si="150"/>
        <v>825</v>
      </c>
      <c r="C827" s="52">
        <f t="shared" si="150"/>
        <v>44619</v>
      </c>
      <c r="D827" s="53">
        <f t="shared" si="142"/>
        <v>44619</v>
      </c>
      <c r="E827" s="54">
        <f t="shared" si="147"/>
        <v>118</v>
      </c>
      <c r="G827" s="8">
        <v>202202</v>
      </c>
      <c r="K827" s="52">
        <f t="shared" si="143"/>
        <v>44613</v>
      </c>
      <c r="L827" s="52">
        <f t="shared" si="144"/>
        <v>44619</v>
      </c>
      <c r="M827" s="55" t="str">
        <f t="shared" si="145"/>
        <v>21/02/22 @ 
27/02/22</v>
      </c>
    </row>
    <row r="828" spans="2:13" ht="24" x14ac:dyDescent="0.25">
      <c r="B828" s="51">
        <f t="shared" si="150"/>
        <v>826</v>
      </c>
      <c r="C828" s="52">
        <f t="shared" si="150"/>
        <v>44620</v>
      </c>
      <c r="D828" s="53">
        <f t="shared" si="142"/>
        <v>44620</v>
      </c>
      <c r="E828" s="54">
        <f t="shared" si="147"/>
        <v>119</v>
      </c>
      <c r="G828" s="8">
        <v>202203</v>
      </c>
      <c r="K828" s="52">
        <f t="shared" si="143"/>
        <v>44620</v>
      </c>
      <c r="L828" s="52">
        <f t="shared" si="144"/>
        <v>44626</v>
      </c>
      <c r="M828" s="55" t="str">
        <f t="shared" si="145"/>
        <v>28/02/22 @ 
06/03/22</v>
      </c>
    </row>
    <row r="829" spans="2:13" ht="24" x14ac:dyDescent="0.25">
      <c r="B829" s="51">
        <f t="shared" si="150"/>
        <v>827</v>
      </c>
      <c r="C829" s="52">
        <f t="shared" si="150"/>
        <v>44621</v>
      </c>
      <c r="D829" s="53">
        <f t="shared" si="142"/>
        <v>44621</v>
      </c>
      <c r="E829" s="54">
        <f t="shared" si="147"/>
        <v>119</v>
      </c>
      <c r="G829" s="8">
        <v>202203</v>
      </c>
      <c r="K829" s="52">
        <f t="shared" si="143"/>
        <v>44620</v>
      </c>
      <c r="L829" s="52">
        <f t="shared" si="144"/>
        <v>44626</v>
      </c>
      <c r="M829" s="55" t="str">
        <f t="shared" si="145"/>
        <v>28/02/22 @ 
06/03/22</v>
      </c>
    </row>
    <row r="830" spans="2:13" ht="24" x14ac:dyDescent="0.25">
      <c r="B830" s="51">
        <f t="shared" si="150"/>
        <v>828</v>
      </c>
      <c r="C830" s="52">
        <f t="shared" si="150"/>
        <v>44622</v>
      </c>
      <c r="D830" s="53">
        <f t="shared" si="142"/>
        <v>44622</v>
      </c>
      <c r="E830" s="54">
        <f t="shared" si="147"/>
        <v>119</v>
      </c>
      <c r="G830" s="8">
        <v>202203</v>
      </c>
      <c r="K830" s="52">
        <f t="shared" si="143"/>
        <v>44620</v>
      </c>
      <c r="L830" s="52">
        <f t="shared" si="144"/>
        <v>44626</v>
      </c>
      <c r="M830" s="55" t="str">
        <f t="shared" si="145"/>
        <v>28/02/22 @ 
06/03/22</v>
      </c>
    </row>
    <row r="831" spans="2:13" ht="24" x14ac:dyDescent="0.25">
      <c r="B831" s="51">
        <f t="shared" si="150"/>
        <v>829</v>
      </c>
      <c r="C831" s="52">
        <f t="shared" si="150"/>
        <v>44623</v>
      </c>
      <c r="D831" s="53">
        <f t="shared" si="142"/>
        <v>44623</v>
      </c>
      <c r="E831" s="54">
        <f t="shared" si="147"/>
        <v>119</v>
      </c>
      <c r="G831" s="8">
        <v>202203</v>
      </c>
      <c r="K831" s="52">
        <f t="shared" si="143"/>
        <v>44620</v>
      </c>
      <c r="L831" s="52">
        <f t="shared" si="144"/>
        <v>44626</v>
      </c>
      <c r="M831" s="55" t="str">
        <f t="shared" si="145"/>
        <v>28/02/22 @ 
06/03/22</v>
      </c>
    </row>
    <row r="832" spans="2:13" ht="24" x14ac:dyDescent="0.25">
      <c r="B832" s="51">
        <f t="shared" si="150"/>
        <v>830</v>
      </c>
      <c r="C832" s="52">
        <f t="shared" si="150"/>
        <v>44624</v>
      </c>
      <c r="D832" s="53">
        <f t="shared" si="142"/>
        <v>44624</v>
      </c>
      <c r="E832" s="54">
        <f t="shared" si="147"/>
        <v>119</v>
      </c>
      <c r="G832" s="8">
        <v>202203</v>
      </c>
      <c r="K832" s="52">
        <f t="shared" si="143"/>
        <v>44620</v>
      </c>
      <c r="L832" s="52">
        <f t="shared" si="144"/>
        <v>44626</v>
      </c>
      <c r="M832" s="55" t="str">
        <f t="shared" si="145"/>
        <v>28/02/22 @ 
06/03/22</v>
      </c>
    </row>
    <row r="833" spans="2:13" ht="24" x14ac:dyDescent="0.25">
      <c r="B833" s="51">
        <f t="shared" si="150"/>
        <v>831</v>
      </c>
      <c r="C833" s="52">
        <f t="shared" si="150"/>
        <v>44625</v>
      </c>
      <c r="D833" s="53">
        <f t="shared" si="142"/>
        <v>44625</v>
      </c>
      <c r="E833" s="54">
        <f t="shared" si="147"/>
        <v>119</v>
      </c>
      <c r="G833" s="8">
        <v>202203</v>
      </c>
      <c r="K833" s="52">
        <f t="shared" si="143"/>
        <v>44620</v>
      </c>
      <c r="L833" s="52">
        <f t="shared" si="144"/>
        <v>44626</v>
      </c>
      <c r="M833" s="55" t="str">
        <f t="shared" si="145"/>
        <v>28/02/22 @ 
06/03/22</v>
      </c>
    </row>
    <row r="834" spans="2:13" ht="24" x14ac:dyDescent="0.25">
      <c r="B834" s="51">
        <f t="shared" si="150"/>
        <v>832</v>
      </c>
      <c r="C834" s="52">
        <f t="shared" si="150"/>
        <v>44626</v>
      </c>
      <c r="D834" s="53">
        <f t="shared" si="142"/>
        <v>44626</v>
      </c>
      <c r="E834" s="54">
        <f t="shared" si="147"/>
        <v>119</v>
      </c>
      <c r="G834" s="8">
        <v>202203</v>
      </c>
      <c r="K834" s="52">
        <f t="shared" si="143"/>
        <v>44620</v>
      </c>
      <c r="L834" s="52">
        <f t="shared" si="144"/>
        <v>44626</v>
      </c>
      <c r="M834" s="55" t="str">
        <f t="shared" si="145"/>
        <v>28/02/22 @ 
06/03/22</v>
      </c>
    </row>
    <row r="835" spans="2:13" ht="24" x14ac:dyDescent="0.25">
      <c r="B835" s="51">
        <f t="shared" si="150"/>
        <v>833</v>
      </c>
      <c r="C835" s="52">
        <f t="shared" si="150"/>
        <v>44627</v>
      </c>
      <c r="D835" s="53">
        <f t="shared" ref="D835:D890" si="151">+C835</f>
        <v>44627</v>
      </c>
      <c r="E835" s="54">
        <f t="shared" si="147"/>
        <v>120</v>
      </c>
      <c r="G835" s="8">
        <v>202203</v>
      </c>
      <c r="K835" s="52">
        <f t="shared" ref="K835:K890" si="152">_xlfn.MINIFS($C$2:$C$890,$E$2:$E$890,E835)</f>
        <v>44627</v>
      </c>
      <c r="L835" s="52">
        <f t="shared" ref="L835:L890" si="153">_xlfn.MAXIFS($C$2:$C$890,$E$2:$E$890,E835)</f>
        <v>44633</v>
      </c>
      <c r="M835" s="55" t="str">
        <f t="shared" ref="M835:M890" si="154">CONCATENATE(TEXT(K835,"DD/MM/YY")," @ ",CHAR(10),TEXT(L835,"DD/MM/YY"))</f>
        <v>07/03/22 @ 
13/03/22</v>
      </c>
    </row>
    <row r="836" spans="2:13" ht="24" x14ac:dyDescent="0.25">
      <c r="B836" s="51">
        <f t="shared" si="150"/>
        <v>834</v>
      </c>
      <c r="C836" s="52">
        <f t="shared" si="150"/>
        <v>44628</v>
      </c>
      <c r="D836" s="53">
        <f t="shared" si="151"/>
        <v>44628</v>
      </c>
      <c r="E836" s="54">
        <f t="shared" si="147"/>
        <v>120</v>
      </c>
      <c r="G836" s="8">
        <v>202203</v>
      </c>
      <c r="K836" s="52">
        <f t="shared" si="152"/>
        <v>44627</v>
      </c>
      <c r="L836" s="52">
        <f t="shared" si="153"/>
        <v>44633</v>
      </c>
      <c r="M836" s="55" t="str">
        <f t="shared" si="154"/>
        <v>07/03/22 @ 
13/03/22</v>
      </c>
    </row>
    <row r="837" spans="2:13" ht="24" x14ac:dyDescent="0.25">
      <c r="B837" s="51">
        <f t="shared" ref="B837:C852" si="155">+B836+1</f>
        <v>835</v>
      </c>
      <c r="C837" s="52">
        <f t="shared" si="155"/>
        <v>44629</v>
      </c>
      <c r="D837" s="53">
        <f t="shared" si="151"/>
        <v>44629</v>
      </c>
      <c r="E837" s="54">
        <f t="shared" si="147"/>
        <v>120</v>
      </c>
      <c r="G837" s="8">
        <v>202203</v>
      </c>
      <c r="K837" s="52">
        <f t="shared" si="152"/>
        <v>44627</v>
      </c>
      <c r="L837" s="52">
        <f t="shared" si="153"/>
        <v>44633</v>
      </c>
      <c r="M837" s="55" t="str">
        <f t="shared" si="154"/>
        <v>07/03/22 @ 
13/03/22</v>
      </c>
    </row>
    <row r="838" spans="2:13" ht="24" x14ac:dyDescent="0.25">
      <c r="B838" s="51">
        <f t="shared" si="155"/>
        <v>836</v>
      </c>
      <c r="C838" s="52">
        <f t="shared" si="155"/>
        <v>44630</v>
      </c>
      <c r="D838" s="53">
        <f t="shared" si="151"/>
        <v>44630</v>
      </c>
      <c r="E838" s="54">
        <f t="shared" si="147"/>
        <v>120</v>
      </c>
      <c r="G838" s="8">
        <v>202203</v>
      </c>
      <c r="K838" s="52">
        <f t="shared" si="152"/>
        <v>44627</v>
      </c>
      <c r="L838" s="52">
        <f t="shared" si="153"/>
        <v>44633</v>
      </c>
      <c r="M838" s="55" t="str">
        <f t="shared" si="154"/>
        <v>07/03/22 @ 
13/03/22</v>
      </c>
    </row>
    <row r="839" spans="2:13" ht="24" x14ac:dyDescent="0.25">
      <c r="B839" s="51">
        <f t="shared" si="155"/>
        <v>837</v>
      </c>
      <c r="C839" s="52">
        <f t="shared" si="155"/>
        <v>44631</v>
      </c>
      <c r="D839" s="53">
        <f t="shared" si="151"/>
        <v>44631</v>
      </c>
      <c r="E839" s="54">
        <f t="shared" si="147"/>
        <v>120</v>
      </c>
      <c r="G839" s="8">
        <v>202203</v>
      </c>
      <c r="K839" s="52">
        <f t="shared" si="152"/>
        <v>44627</v>
      </c>
      <c r="L839" s="52">
        <f t="shared" si="153"/>
        <v>44633</v>
      </c>
      <c r="M839" s="55" t="str">
        <f t="shared" si="154"/>
        <v>07/03/22 @ 
13/03/22</v>
      </c>
    </row>
    <row r="840" spans="2:13" ht="24" x14ac:dyDescent="0.25">
      <c r="B840" s="51">
        <f t="shared" si="155"/>
        <v>838</v>
      </c>
      <c r="C840" s="52">
        <f t="shared" si="155"/>
        <v>44632</v>
      </c>
      <c r="D840" s="53">
        <f t="shared" si="151"/>
        <v>44632</v>
      </c>
      <c r="E840" s="54">
        <f t="shared" si="147"/>
        <v>120</v>
      </c>
      <c r="G840" s="8">
        <v>202203</v>
      </c>
      <c r="K840" s="52">
        <f t="shared" si="152"/>
        <v>44627</v>
      </c>
      <c r="L840" s="52">
        <f t="shared" si="153"/>
        <v>44633</v>
      </c>
      <c r="M840" s="55" t="str">
        <f t="shared" si="154"/>
        <v>07/03/22 @ 
13/03/22</v>
      </c>
    </row>
    <row r="841" spans="2:13" ht="24" x14ac:dyDescent="0.25">
      <c r="B841" s="51">
        <f t="shared" si="155"/>
        <v>839</v>
      </c>
      <c r="C841" s="52">
        <f t="shared" si="155"/>
        <v>44633</v>
      </c>
      <c r="D841" s="53">
        <f t="shared" si="151"/>
        <v>44633</v>
      </c>
      <c r="E841" s="54">
        <f t="shared" si="147"/>
        <v>120</v>
      </c>
      <c r="G841" s="8">
        <v>202203</v>
      </c>
      <c r="K841" s="52">
        <f t="shared" si="152"/>
        <v>44627</v>
      </c>
      <c r="L841" s="52">
        <f t="shared" si="153"/>
        <v>44633</v>
      </c>
      <c r="M841" s="55" t="str">
        <f t="shared" si="154"/>
        <v>07/03/22 @ 
13/03/22</v>
      </c>
    </row>
    <row r="842" spans="2:13" ht="24" x14ac:dyDescent="0.25">
      <c r="B842" s="51">
        <f t="shared" si="155"/>
        <v>840</v>
      </c>
      <c r="C842" s="52">
        <f t="shared" si="155"/>
        <v>44634</v>
      </c>
      <c r="D842" s="53">
        <f t="shared" si="151"/>
        <v>44634</v>
      </c>
      <c r="E842" s="54">
        <f t="shared" ref="E842:E890" si="156">+E835+1</f>
        <v>121</v>
      </c>
      <c r="G842" s="8">
        <v>202203</v>
      </c>
      <c r="K842" s="52">
        <f t="shared" si="152"/>
        <v>44634</v>
      </c>
      <c r="L842" s="52">
        <f t="shared" si="153"/>
        <v>44640</v>
      </c>
      <c r="M842" s="55" t="str">
        <f t="shared" si="154"/>
        <v>14/03/22 @ 
20/03/22</v>
      </c>
    </row>
    <row r="843" spans="2:13" ht="24" x14ac:dyDescent="0.25">
      <c r="B843" s="51">
        <f t="shared" si="155"/>
        <v>841</v>
      </c>
      <c r="C843" s="52">
        <f t="shared" si="155"/>
        <v>44635</v>
      </c>
      <c r="D843" s="53">
        <f t="shared" si="151"/>
        <v>44635</v>
      </c>
      <c r="E843" s="54">
        <f t="shared" si="156"/>
        <v>121</v>
      </c>
      <c r="G843" s="8">
        <v>202203</v>
      </c>
      <c r="K843" s="52">
        <f t="shared" si="152"/>
        <v>44634</v>
      </c>
      <c r="L843" s="52">
        <f t="shared" si="153"/>
        <v>44640</v>
      </c>
      <c r="M843" s="55" t="str">
        <f t="shared" si="154"/>
        <v>14/03/22 @ 
20/03/22</v>
      </c>
    </row>
    <row r="844" spans="2:13" ht="24" x14ac:dyDescent="0.25">
      <c r="B844" s="51">
        <f t="shared" si="155"/>
        <v>842</v>
      </c>
      <c r="C844" s="52">
        <f t="shared" si="155"/>
        <v>44636</v>
      </c>
      <c r="D844" s="53">
        <f t="shared" si="151"/>
        <v>44636</v>
      </c>
      <c r="E844" s="54">
        <f t="shared" si="156"/>
        <v>121</v>
      </c>
      <c r="G844" s="8">
        <v>202203</v>
      </c>
      <c r="K844" s="52">
        <f t="shared" si="152"/>
        <v>44634</v>
      </c>
      <c r="L844" s="52">
        <f t="shared" si="153"/>
        <v>44640</v>
      </c>
      <c r="M844" s="55" t="str">
        <f t="shared" si="154"/>
        <v>14/03/22 @ 
20/03/22</v>
      </c>
    </row>
    <row r="845" spans="2:13" ht="24" x14ac:dyDescent="0.25">
      <c r="B845" s="51">
        <f t="shared" si="155"/>
        <v>843</v>
      </c>
      <c r="C845" s="52">
        <f t="shared" si="155"/>
        <v>44637</v>
      </c>
      <c r="D845" s="53">
        <f t="shared" si="151"/>
        <v>44637</v>
      </c>
      <c r="E845" s="54">
        <f t="shared" si="156"/>
        <v>121</v>
      </c>
      <c r="G845" s="8">
        <v>202203</v>
      </c>
      <c r="K845" s="52">
        <f t="shared" si="152"/>
        <v>44634</v>
      </c>
      <c r="L845" s="52">
        <f t="shared" si="153"/>
        <v>44640</v>
      </c>
      <c r="M845" s="55" t="str">
        <f t="shared" si="154"/>
        <v>14/03/22 @ 
20/03/22</v>
      </c>
    </row>
    <row r="846" spans="2:13" ht="24" x14ac:dyDescent="0.25">
      <c r="B846" s="51">
        <f t="shared" si="155"/>
        <v>844</v>
      </c>
      <c r="C846" s="52">
        <f t="shared" si="155"/>
        <v>44638</v>
      </c>
      <c r="D846" s="53">
        <f t="shared" si="151"/>
        <v>44638</v>
      </c>
      <c r="E846" s="54">
        <f t="shared" si="156"/>
        <v>121</v>
      </c>
      <c r="G846" s="8">
        <v>202203</v>
      </c>
      <c r="K846" s="52">
        <f t="shared" si="152"/>
        <v>44634</v>
      </c>
      <c r="L846" s="52">
        <f t="shared" si="153"/>
        <v>44640</v>
      </c>
      <c r="M846" s="55" t="str">
        <f t="shared" si="154"/>
        <v>14/03/22 @ 
20/03/22</v>
      </c>
    </row>
    <row r="847" spans="2:13" ht="24" x14ac:dyDescent="0.25">
      <c r="B847" s="51">
        <f t="shared" si="155"/>
        <v>845</v>
      </c>
      <c r="C847" s="52">
        <f t="shared" si="155"/>
        <v>44639</v>
      </c>
      <c r="D847" s="53">
        <f t="shared" si="151"/>
        <v>44639</v>
      </c>
      <c r="E847" s="54">
        <f t="shared" si="156"/>
        <v>121</v>
      </c>
      <c r="G847" s="8">
        <v>202203</v>
      </c>
      <c r="K847" s="52">
        <f t="shared" si="152"/>
        <v>44634</v>
      </c>
      <c r="L847" s="52">
        <f t="shared" si="153"/>
        <v>44640</v>
      </c>
      <c r="M847" s="55" t="str">
        <f t="shared" si="154"/>
        <v>14/03/22 @ 
20/03/22</v>
      </c>
    </row>
    <row r="848" spans="2:13" ht="24" x14ac:dyDescent="0.25">
      <c r="B848" s="51">
        <f t="shared" si="155"/>
        <v>846</v>
      </c>
      <c r="C848" s="52">
        <f t="shared" si="155"/>
        <v>44640</v>
      </c>
      <c r="D848" s="53">
        <f t="shared" si="151"/>
        <v>44640</v>
      </c>
      <c r="E848" s="54">
        <f t="shared" si="156"/>
        <v>121</v>
      </c>
      <c r="G848" s="8">
        <v>202203</v>
      </c>
      <c r="K848" s="52">
        <f t="shared" si="152"/>
        <v>44634</v>
      </c>
      <c r="L848" s="52">
        <f t="shared" si="153"/>
        <v>44640</v>
      </c>
      <c r="M848" s="55" t="str">
        <f t="shared" si="154"/>
        <v>14/03/22 @ 
20/03/22</v>
      </c>
    </row>
    <row r="849" spans="2:13" ht="24" x14ac:dyDescent="0.25">
      <c r="B849" s="51">
        <f t="shared" si="155"/>
        <v>847</v>
      </c>
      <c r="C849" s="52">
        <f t="shared" si="155"/>
        <v>44641</v>
      </c>
      <c r="D849" s="53">
        <f t="shared" si="151"/>
        <v>44641</v>
      </c>
      <c r="E849" s="54">
        <f t="shared" si="156"/>
        <v>122</v>
      </c>
      <c r="G849" s="8">
        <v>202203</v>
      </c>
      <c r="K849" s="52">
        <f t="shared" si="152"/>
        <v>44641</v>
      </c>
      <c r="L849" s="52">
        <f t="shared" si="153"/>
        <v>44647</v>
      </c>
      <c r="M849" s="55" t="str">
        <f t="shared" si="154"/>
        <v>21/03/22 @ 
27/03/22</v>
      </c>
    </row>
    <row r="850" spans="2:13" ht="24" x14ac:dyDescent="0.25">
      <c r="B850" s="51">
        <f t="shared" si="155"/>
        <v>848</v>
      </c>
      <c r="C850" s="52">
        <f t="shared" si="155"/>
        <v>44642</v>
      </c>
      <c r="D850" s="53">
        <f t="shared" si="151"/>
        <v>44642</v>
      </c>
      <c r="E850" s="54">
        <f t="shared" si="156"/>
        <v>122</v>
      </c>
      <c r="G850" s="8">
        <v>202203</v>
      </c>
      <c r="K850" s="52">
        <f t="shared" si="152"/>
        <v>44641</v>
      </c>
      <c r="L850" s="52">
        <f t="shared" si="153"/>
        <v>44647</v>
      </c>
      <c r="M850" s="55" t="str">
        <f t="shared" si="154"/>
        <v>21/03/22 @ 
27/03/22</v>
      </c>
    </row>
    <row r="851" spans="2:13" ht="24" x14ac:dyDescent="0.25">
      <c r="B851" s="51">
        <f t="shared" si="155"/>
        <v>849</v>
      </c>
      <c r="C851" s="52">
        <f t="shared" si="155"/>
        <v>44643</v>
      </c>
      <c r="D851" s="53">
        <f t="shared" si="151"/>
        <v>44643</v>
      </c>
      <c r="E851" s="54">
        <f t="shared" si="156"/>
        <v>122</v>
      </c>
      <c r="G851" s="8">
        <v>202203</v>
      </c>
      <c r="K851" s="52">
        <f t="shared" si="152"/>
        <v>44641</v>
      </c>
      <c r="L851" s="52">
        <f t="shared" si="153"/>
        <v>44647</v>
      </c>
      <c r="M851" s="55" t="str">
        <f t="shared" si="154"/>
        <v>21/03/22 @ 
27/03/22</v>
      </c>
    </row>
    <row r="852" spans="2:13" ht="24" x14ac:dyDescent="0.25">
      <c r="B852" s="51">
        <f t="shared" si="155"/>
        <v>850</v>
      </c>
      <c r="C852" s="52">
        <f t="shared" si="155"/>
        <v>44644</v>
      </c>
      <c r="D852" s="53">
        <f t="shared" si="151"/>
        <v>44644</v>
      </c>
      <c r="E852" s="54">
        <f t="shared" si="156"/>
        <v>122</v>
      </c>
      <c r="G852" s="8">
        <v>202203</v>
      </c>
      <c r="K852" s="52">
        <f t="shared" si="152"/>
        <v>44641</v>
      </c>
      <c r="L852" s="52">
        <f t="shared" si="153"/>
        <v>44647</v>
      </c>
      <c r="M852" s="55" t="str">
        <f t="shared" si="154"/>
        <v>21/03/22 @ 
27/03/22</v>
      </c>
    </row>
    <row r="853" spans="2:13" ht="24" x14ac:dyDescent="0.25">
      <c r="B853" s="51">
        <f t="shared" ref="B853:C868" si="157">+B852+1</f>
        <v>851</v>
      </c>
      <c r="C853" s="52">
        <f t="shared" si="157"/>
        <v>44645</v>
      </c>
      <c r="D853" s="53">
        <f t="shared" si="151"/>
        <v>44645</v>
      </c>
      <c r="E853" s="54">
        <f t="shared" si="156"/>
        <v>122</v>
      </c>
      <c r="G853" s="8">
        <v>202203</v>
      </c>
      <c r="K853" s="52">
        <f t="shared" si="152"/>
        <v>44641</v>
      </c>
      <c r="L853" s="52">
        <f t="shared" si="153"/>
        <v>44647</v>
      </c>
      <c r="M853" s="55" t="str">
        <f t="shared" si="154"/>
        <v>21/03/22 @ 
27/03/22</v>
      </c>
    </row>
    <row r="854" spans="2:13" ht="24" x14ac:dyDescent="0.25">
      <c r="B854" s="51">
        <f t="shared" si="157"/>
        <v>852</v>
      </c>
      <c r="C854" s="52">
        <f t="shared" si="157"/>
        <v>44646</v>
      </c>
      <c r="D854" s="53">
        <f t="shared" si="151"/>
        <v>44646</v>
      </c>
      <c r="E854" s="54">
        <f t="shared" si="156"/>
        <v>122</v>
      </c>
      <c r="G854" s="8">
        <v>202203</v>
      </c>
      <c r="K854" s="52">
        <f t="shared" si="152"/>
        <v>44641</v>
      </c>
      <c r="L854" s="52">
        <f t="shared" si="153"/>
        <v>44647</v>
      </c>
      <c r="M854" s="55" t="str">
        <f t="shared" si="154"/>
        <v>21/03/22 @ 
27/03/22</v>
      </c>
    </row>
    <row r="855" spans="2:13" ht="24" x14ac:dyDescent="0.25">
      <c r="B855" s="51">
        <f t="shared" si="157"/>
        <v>853</v>
      </c>
      <c r="C855" s="52">
        <f t="shared" si="157"/>
        <v>44647</v>
      </c>
      <c r="D855" s="53">
        <f t="shared" si="151"/>
        <v>44647</v>
      </c>
      <c r="E855" s="54">
        <f t="shared" si="156"/>
        <v>122</v>
      </c>
      <c r="G855" s="8">
        <v>202203</v>
      </c>
      <c r="K855" s="52">
        <f t="shared" si="152"/>
        <v>44641</v>
      </c>
      <c r="L855" s="52">
        <f t="shared" si="153"/>
        <v>44647</v>
      </c>
      <c r="M855" s="55" t="str">
        <f t="shared" si="154"/>
        <v>21/03/22 @ 
27/03/22</v>
      </c>
    </row>
    <row r="856" spans="2:13" ht="24" x14ac:dyDescent="0.25">
      <c r="B856" s="51">
        <f t="shared" si="157"/>
        <v>854</v>
      </c>
      <c r="C856" s="52">
        <f t="shared" si="157"/>
        <v>44648</v>
      </c>
      <c r="D856" s="53">
        <f t="shared" si="151"/>
        <v>44648</v>
      </c>
      <c r="E856" s="54">
        <f t="shared" si="156"/>
        <v>123</v>
      </c>
      <c r="G856" s="8">
        <v>202204</v>
      </c>
      <c r="K856" s="52">
        <f t="shared" si="152"/>
        <v>44648</v>
      </c>
      <c r="L856" s="52">
        <f t="shared" si="153"/>
        <v>44654</v>
      </c>
      <c r="M856" s="55" t="str">
        <f t="shared" si="154"/>
        <v>28/03/22 @ 
03/04/22</v>
      </c>
    </row>
    <row r="857" spans="2:13" ht="24" x14ac:dyDescent="0.25">
      <c r="B857" s="51">
        <f t="shared" si="157"/>
        <v>855</v>
      </c>
      <c r="C857" s="52">
        <f t="shared" si="157"/>
        <v>44649</v>
      </c>
      <c r="D857" s="53">
        <f t="shared" si="151"/>
        <v>44649</v>
      </c>
      <c r="E857" s="54">
        <f t="shared" si="156"/>
        <v>123</v>
      </c>
      <c r="G857" s="8">
        <v>202204</v>
      </c>
      <c r="K857" s="52">
        <f t="shared" si="152"/>
        <v>44648</v>
      </c>
      <c r="L857" s="52">
        <f t="shared" si="153"/>
        <v>44654</v>
      </c>
      <c r="M857" s="55" t="str">
        <f t="shared" si="154"/>
        <v>28/03/22 @ 
03/04/22</v>
      </c>
    </row>
    <row r="858" spans="2:13" ht="24" x14ac:dyDescent="0.25">
      <c r="B858" s="51">
        <f t="shared" si="157"/>
        <v>856</v>
      </c>
      <c r="C858" s="52">
        <f t="shared" si="157"/>
        <v>44650</v>
      </c>
      <c r="D858" s="53">
        <f t="shared" si="151"/>
        <v>44650</v>
      </c>
      <c r="E858" s="54">
        <f t="shared" si="156"/>
        <v>123</v>
      </c>
      <c r="G858" s="8">
        <v>202204</v>
      </c>
      <c r="K858" s="52">
        <f t="shared" si="152"/>
        <v>44648</v>
      </c>
      <c r="L858" s="52">
        <f t="shared" si="153"/>
        <v>44654</v>
      </c>
      <c r="M858" s="55" t="str">
        <f t="shared" si="154"/>
        <v>28/03/22 @ 
03/04/22</v>
      </c>
    </row>
    <row r="859" spans="2:13" ht="24" x14ac:dyDescent="0.25">
      <c r="B859" s="51">
        <f t="shared" si="157"/>
        <v>857</v>
      </c>
      <c r="C859" s="52">
        <f t="shared" si="157"/>
        <v>44651</v>
      </c>
      <c r="D859" s="53">
        <f t="shared" si="151"/>
        <v>44651</v>
      </c>
      <c r="E859" s="54">
        <f t="shared" si="156"/>
        <v>123</v>
      </c>
      <c r="G859" s="8">
        <v>202204</v>
      </c>
      <c r="K859" s="52">
        <f t="shared" si="152"/>
        <v>44648</v>
      </c>
      <c r="L859" s="52">
        <f t="shared" si="153"/>
        <v>44654</v>
      </c>
      <c r="M859" s="55" t="str">
        <f t="shared" si="154"/>
        <v>28/03/22 @ 
03/04/22</v>
      </c>
    </row>
    <row r="860" spans="2:13" ht="24" x14ac:dyDescent="0.25">
      <c r="B860" s="51">
        <f t="shared" si="157"/>
        <v>858</v>
      </c>
      <c r="C860" s="52">
        <f t="shared" si="157"/>
        <v>44652</v>
      </c>
      <c r="D860" s="53">
        <f t="shared" si="151"/>
        <v>44652</v>
      </c>
      <c r="E860" s="54">
        <f t="shared" si="156"/>
        <v>123</v>
      </c>
      <c r="G860" s="8">
        <v>202204</v>
      </c>
      <c r="K860" s="52">
        <f t="shared" si="152"/>
        <v>44648</v>
      </c>
      <c r="L860" s="52">
        <f t="shared" si="153"/>
        <v>44654</v>
      </c>
      <c r="M860" s="55" t="str">
        <f t="shared" si="154"/>
        <v>28/03/22 @ 
03/04/22</v>
      </c>
    </row>
    <row r="861" spans="2:13" ht="24" x14ac:dyDescent="0.25">
      <c r="B861" s="51">
        <f t="shared" si="157"/>
        <v>859</v>
      </c>
      <c r="C861" s="52">
        <f t="shared" si="157"/>
        <v>44653</v>
      </c>
      <c r="D861" s="53">
        <f t="shared" si="151"/>
        <v>44653</v>
      </c>
      <c r="E861" s="54">
        <f t="shared" si="156"/>
        <v>123</v>
      </c>
      <c r="G861" s="8">
        <v>202204</v>
      </c>
      <c r="K861" s="52">
        <f t="shared" si="152"/>
        <v>44648</v>
      </c>
      <c r="L861" s="52">
        <f t="shared" si="153"/>
        <v>44654</v>
      </c>
      <c r="M861" s="55" t="str">
        <f t="shared" si="154"/>
        <v>28/03/22 @ 
03/04/22</v>
      </c>
    </row>
    <row r="862" spans="2:13" ht="24" x14ac:dyDescent="0.25">
      <c r="B862" s="51">
        <f t="shared" si="157"/>
        <v>860</v>
      </c>
      <c r="C862" s="52">
        <f t="shared" si="157"/>
        <v>44654</v>
      </c>
      <c r="D862" s="53">
        <f t="shared" si="151"/>
        <v>44654</v>
      </c>
      <c r="E862" s="54">
        <f t="shared" si="156"/>
        <v>123</v>
      </c>
      <c r="G862" s="8">
        <v>202204</v>
      </c>
      <c r="K862" s="52">
        <f t="shared" si="152"/>
        <v>44648</v>
      </c>
      <c r="L862" s="52">
        <f t="shared" si="153"/>
        <v>44654</v>
      </c>
      <c r="M862" s="55" t="str">
        <f t="shared" si="154"/>
        <v>28/03/22 @ 
03/04/22</v>
      </c>
    </row>
    <row r="863" spans="2:13" ht="24" x14ac:dyDescent="0.25">
      <c r="B863" s="51">
        <f t="shared" si="157"/>
        <v>861</v>
      </c>
      <c r="C863" s="52">
        <f t="shared" si="157"/>
        <v>44655</v>
      </c>
      <c r="D863" s="53">
        <f t="shared" si="151"/>
        <v>44655</v>
      </c>
      <c r="E863" s="54">
        <f t="shared" si="156"/>
        <v>124</v>
      </c>
      <c r="G863" s="8">
        <v>202204</v>
      </c>
      <c r="K863" s="52">
        <f t="shared" si="152"/>
        <v>44655</v>
      </c>
      <c r="L863" s="52">
        <f t="shared" si="153"/>
        <v>44661</v>
      </c>
      <c r="M863" s="55" t="str">
        <f t="shared" si="154"/>
        <v>04/04/22 @ 
10/04/22</v>
      </c>
    </row>
    <row r="864" spans="2:13" ht="24" x14ac:dyDescent="0.25">
      <c r="B864" s="51">
        <f t="shared" si="157"/>
        <v>862</v>
      </c>
      <c r="C864" s="52">
        <f t="shared" si="157"/>
        <v>44656</v>
      </c>
      <c r="D864" s="53">
        <f t="shared" si="151"/>
        <v>44656</v>
      </c>
      <c r="E864" s="54">
        <f t="shared" si="156"/>
        <v>124</v>
      </c>
      <c r="G864" s="8">
        <v>202204</v>
      </c>
      <c r="K864" s="52">
        <f t="shared" si="152"/>
        <v>44655</v>
      </c>
      <c r="L864" s="52">
        <f t="shared" si="153"/>
        <v>44661</v>
      </c>
      <c r="M864" s="55" t="str">
        <f t="shared" si="154"/>
        <v>04/04/22 @ 
10/04/22</v>
      </c>
    </row>
    <row r="865" spans="2:13" ht="24" x14ac:dyDescent="0.25">
      <c r="B865" s="51">
        <f t="shared" si="157"/>
        <v>863</v>
      </c>
      <c r="C865" s="52">
        <f t="shared" si="157"/>
        <v>44657</v>
      </c>
      <c r="D865" s="53">
        <f t="shared" si="151"/>
        <v>44657</v>
      </c>
      <c r="E865" s="54">
        <f t="shared" si="156"/>
        <v>124</v>
      </c>
      <c r="G865" s="8">
        <v>202204</v>
      </c>
      <c r="K865" s="52">
        <f t="shared" si="152"/>
        <v>44655</v>
      </c>
      <c r="L865" s="52">
        <f t="shared" si="153"/>
        <v>44661</v>
      </c>
      <c r="M865" s="55" t="str">
        <f t="shared" si="154"/>
        <v>04/04/22 @ 
10/04/22</v>
      </c>
    </row>
    <row r="866" spans="2:13" ht="24" x14ac:dyDescent="0.25">
      <c r="B866" s="51">
        <f t="shared" si="157"/>
        <v>864</v>
      </c>
      <c r="C866" s="52">
        <f t="shared" si="157"/>
        <v>44658</v>
      </c>
      <c r="D866" s="53">
        <f t="shared" si="151"/>
        <v>44658</v>
      </c>
      <c r="E866" s="54">
        <f t="shared" si="156"/>
        <v>124</v>
      </c>
      <c r="G866" s="8">
        <v>202204</v>
      </c>
      <c r="K866" s="52">
        <f t="shared" si="152"/>
        <v>44655</v>
      </c>
      <c r="L866" s="52">
        <f t="shared" si="153"/>
        <v>44661</v>
      </c>
      <c r="M866" s="55" t="str">
        <f t="shared" si="154"/>
        <v>04/04/22 @ 
10/04/22</v>
      </c>
    </row>
    <row r="867" spans="2:13" ht="24" x14ac:dyDescent="0.25">
      <c r="B867" s="51">
        <f t="shared" si="157"/>
        <v>865</v>
      </c>
      <c r="C867" s="52">
        <f t="shared" si="157"/>
        <v>44659</v>
      </c>
      <c r="D867" s="53">
        <f t="shared" si="151"/>
        <v>44659</v>
      </c>
      <c r="E867" s="54">
        <f t="shared" si="156"/>
        <v>124</v>
      </c>
      <c r="G867" s="8">
        <v>202204</v>
      </c>
      <c r="K867" s="52">
        <f t="shared" si="152"/>
        <v>44655</v>
      </c>
      <c r="L867" s="52">
        <f t="shared" si="153"/>
        <v>44661</v>
      </c>
      <c r="M867" s="55" t="str">
        <f t="shared" si="154"/>
        <v>04/04/22 @ 
10/04/22</v>
      </c>
    </row>
    <row r="868" spans="2:13" ht="24" x14ac:dyDescent="0.25">
      <c r="B868" s="51">
        <f t="shared" si="157"/>
        <v>866</v>
      </c>
      <c r="C868" s="52">
        <f t="shared" si="157"/>
        <v>44660</v>
      </c>
      <c r="D868" s="53">
        <f t="shared" si="151"/>
        <v>44660</v>
      </c>
      <c r="E868" s="54">
        <f t="shared" si="156"/>
        <v>124</v>
      </c>
      <c r="G868" s="8">
        <v>202204</v>
      </c>
      <c r="K868" s="52">
        <f t="shared" si="152"/>
        <v>44655</v>
      </c>
      <c r="L868" s="52">
        <f t="shared" si="153"/>
        <v>44661</v>
      </c>
      <c r="M868" s="55" t="str">
        <f t="shared" si="154"/>
        <v>04/04/22 @ 
10/04/22</v>
      </c>
    </row>
    <row r="869" spans="2:13" ht="24" x14ac:dyDescent="0.25">
      <c r="B869" s="51">
        <f t="shared" ref="B869:C884" si="158">+B868+1</f>
        <v>867</v>
      </c>
      <c r="C869" s="52">
        <f t="shared" si="158"/>
        <v>44661</v>
      </c>
      <c r="D869" s="53">
        <f t="shared" si="151"/>
        <v>44661</v>
      </c>
      <c r="E869" s="54">
        <f t="shared" si="156"/>
        <v>124</v>
      </c>
      <c r="G869" s="8">
        <v>202204</v>
      </c>
      <c r="K869" s="52">
        <f t="shared" si="152"/>
        <v>44655</v>
      </c>
      <c r="L869" s="52">
        <f t="shared" si="153"/>
        <v>44661</v>
      </c>
      <c r="M869" s="55" t="str">
        <f t="shared" si="154"/>
        <v>04/04/22 @ 
10/04/22</v>
      </c>
    </row>
    <row r="870" spans="2:13" ht="24" x14ac:dyDescent="0.25">
      <c r="B870" s="51">
        <f t="shared" si="158"/>
        <v>868</v>
      </c>
      <c r="C870" s="52">
        <f t="shared" si="158"/>
        <v>44662</v>
      </c>
      <c r="D870" s="53">
        <f t="shared" si="151"/>
        <v>44662</v>
      </c>
      <c r="E870" s="54">
        <f t="shared" si="156"/>
        <v>125</v>
      </c>
      <c r="G870" s="8">
        <v>202204</v>
      </c>
      <c r="K870" s="52">
        <f t="shared" si="152"/>
        <v>44662</v>
      </c>
      <c r="L870" s="52">
        <f t="shared" si="153"/>
        <v>44668</v>
      </c>
      <c r="M870" s="55" t="str">
        <f t="shared" si="154"/>
        <v>11/04/22 @ 
17/04/22</v>
      </c>
    </row>
    <row r="871" spans="2:13" ht="24" x14ac:dyDescent="0.25">
      <c r="B871" s="51">
        <f t="shared" si="158"/>
        <v>869</v>
      </c>
      <c r="C871" s="52">
        <f t="shared" si="158"/>
        <v>44663</v>
      </c>
      <c r="D871" s="53">
        <f t="shared" si="151"/>
        <v>44663</v>
      </c>
      <c r="E871" s="54">
        <f t="shared" si="156"/>
        <v>125</v>
      </c>
      <c r="G871" s="8">
        <v>202204</v>
      </c>
      <c r="K871" s="52">
        <f t="shared" si="152"/>
        <v>44662</v>
      </c>
      <c r="L871" s="52">
        <f t="shared" si="153"/>
        <v>44668</v>
      </c>
      <c r="M871" s="55" t="str">
        <f t="shared" si="154"/>
        <v>11/04/22 @ 
17/04/22</v>
      </c>
    </row>
    <row r="872" spans="2:13" ht="24" x14ac:dyDescent="0.25">
      <c r="B872" s="51">
        <f t="shared" si="158"/>
        <v>870</v>
      </c>
      <c r="C872" s="52">
        <f t="shared" si="158"/>
        <v>44664</v>
      </c>
      <c r="D872" s="53">
        <f t="shared" si="151"/>
        <v>44664</v>
      </c>
      <c r="E872" s="54">
        <f t="shared" si="156"/>
        <v>125</v>
      </c>
      <c r="G872" s="8">
        <v>202204</v>
      </c>
      <c r="K872" s="52">
        <f t="shared" si="152"/>
        <v>44662</v>
      </c>
      <c r="L872" s="52">
        <f t="shared" si="153"/>
        <v>44668</v>
      </c>
      <c r="M872" s="55" t="str">
        <f t="shared" si="154"/>
        <v>11/04/22 @ 
17/04/22</v>
      </c>
    </row>
    <row r="873" spans="2:13" ht="24" x14ac:dyDescent="0.25">
      <c r="B873" s="51">
        <f t="shared" si="158"/>
        <v>871</v>
      </c>
      <c r="C873" s="52">
        <f t="shared" si="158"/>
        <v>44665</v>
      </c>
      <c r="D873" s="53">
        <f t="shared" si="151"/>
        <v>44665</v>
      </c>
      <c r="E873" s="54">
        <f t="shared" si="156"/>
        <v>125</v>
      </c>
      <c r="G873" s="8">
        <v>202204</v>
      </c>
      <c r="K873" s="52">
        <f t="shared" si="152"/>
        <v>44662</v>
      </c>
      <c r="L873" s="52">
        <f t="shared" si="153"/>
        <v>44668</v>
      </c>
      <c r="M873" s="55" t="str">
        <f t="shared" si="154"/>
        <v>11/04/22 @ 
17/04/22</v>
      </c>
    </row>
    <row r="874" spans="2:13" ht="24" x14ac:dyDescent="0.25">
      <c r="B874" s="51">
        <f t="shared" si="158"/>
        <v>872</v>
      </c>
      <c r="C874" s="52">
        <f t="shared" si="158"/>
        <v>44666</v>
      </c>
      <c r="D874" s="53">
        <f t="shared" si="151"/>
        <v>44666</v>
      </c>
      <c r="E874" s="54">
        <f t="shared" si="156"/>
        <v>125</v>
      </c>
      <c r="G874" s="8">
        <v>202204</v>
      </c>
      <c r="K874" s="52">
        <f t="shared" si="152"/>
        <v>44662</v>
      </c>
      <c r="L874" s="52">
        <f t="shared" si="153"/>
        <v>44668</v>
      </c>
      <c r="M874" s="55" t="str">
        <f t="shared" si="154"/>
        <v>11/04/22 @ 
17/04/22</v>
      </c>
    </row>
    <row r="875" spans="2:13" ht="24" x14ac:dyDescent="0.25">
      <c r="B875" s="51">
        <f t="shared" si="158"/>
        <v>873</v>
      </c>
      <c r="C875" s="52">
        <f t="shared" si="158"/>
        <v>44667</v>
      </c>
      <c r="D875" s="53">
        <f t="shared" si="151"/>
        <v>44667</v>
      </c>
      <c r="E875" s="54">
        <f t="shared" si="156"/>
        <v>125</v>
      </c>
      <c r="G875" s="8">
        <v>202204</v>
      </c>
      <c r="K875" s="52">
        <f t="shared" si="152"/>
        <v>44662</v>
      </c>
      <c r="L875" s="52">
        <f t="shared" si="153"/>
        <v>44668</v>
      </c>
      <c r="M875" s="55" t="str">
        <f t="shared" si="154"/>
        <v>11/04/22 @ 
17/04/22</v>
      </c>
    </row>
    <row r="876" spans="2:13" ht="24" x14ac:dyDescent="0.25">
      <c r="B876" s="51">
        <f t="shared" si="158"/>
        <v>874</v>
      </c>
      <c r="C876" s="52">
        <f t="shared" si="158"/>
        <v>44668</v>
      </c>
      <c r="D876" s="53">
        <f t="shared" si="151"/>
        <v>44668</v>
      </c>
      <c r="E876" s="54">
        <f t="shared" si="156"/>
        <v>125</v>
      </c>
      <c r="G876" s="8">
        <v>202204</v>
      </c>
      <c r="K876" s="52">
        <f t="shared" si="152"/>
        <v>44662</v>
      </c>
      <c r="L876" s="52">
        <f t="shared" si="153"/>
        <v>44668</v>
      </c>
      <c r="M876" s="55" t="str">
        <f t="shared" si="154"/>
        <v>11/04/22 @ 
17/04/22</v>
      </c>
    </row>
    <row r="877" spans="2:13" ht="24" x14ac:dyDescent="0.25">
      <c r="B877" s="51">
        <f t="shared" si="158"/>
        <v>875</v>
      </c>
      <c r="C877" s="52">
        <f t="shared" si="158"/>
        <v>44669</v>
      </c>
      <c r="D877" s="53">
        <f t="shared" si="151"/>
        <v>44669</v>
      </c>
      <c r="E877" s="54">
        <f t="shared" si="156"/>
        <v>126</v>
      </c>
      <c r="G877" s="8">
        <v>202204</v>
      </c>
      <c r="K877" s="52">
        <f t="shared" si="152"/>
        <v>44669</v>
      </c>
      <c r="L877" s="52">
        <f t="shared" si="153"/>
        <v>44675</v>
      </c>
      <c r="M877" s="55" t="str">
        <f t="shared" si="154"/>
        <v>18/04/22 @ 
24/04/22</v>
      </c>
    </row>
    <row r="878" spans="2:13" ht="24" x14ac:dyDescent="0.25">
      <c r="B878" s="51">
        <f t="shared" si="158"/>
        <v>876</v>
      </c>
      <c r="C878" s="52">
        <f t="shared" si="158"/>
        <v>44670</v>
      </c>
      <c r="D878" s="53">
        <f t="shared" si="151"/>
        <v>44670</v>
      </c>
      <c r="E878" s="54">
        <f t="shared" si="156"/>
        <v>126</v>
      </c>
      <c r="G878" s="8">
        <v>202204</v>
      </c>
      <c r="K878" s="52">
        <f t="shared" si="152"/>
        <v>44669</v>
      </c>
      <c r="L878" s="52">
        <f t="shared" si="153"/>
        <v>44675</v>
      </c>
      <c r="M878" s="55" t="str">
        <f t="shared" si="154"/>
        <v>18/04/22 @ 
24/04/22</v>
      </c>
    </row>
    <row r="879" spans="2:13" ht="24" x14ac:dyDescent="0.25">
      <c r="B879" s="51">
        <f t="shared" si="158"/>
        <v>877</v>
      </c>
      <c r="C879" s="52">
        <f t="shared" si="158"/>
        <v>44671</v>
      </c>
      <c r="D879" s="53">
        <f t="shared" si="151"/>
        <v>44671</v>
      </c>
      <c r="E879" s="54">
        <f t="shared" si="156"/>
        <v>126</v>
      </c>
      <c r="G879" s="8">
        <v>202204</v>
      </c>
      <c r="K879" s="52">
        <f t="shared" si="152"/>
        <v>44669</v>
      </c>
      <c r="L879" s="52">
        <f t="shared" si="153"/>
        <v>44675</v>
      </c>
      <c r="M879" s="55" t="str">
        <f t="shared" si="154"/>
        <v>18/04/22 @ 
24/04/22</v>
      </c>
    </row>
    <row r="880" spans="2:13" ht="24" x14ac:dyDescent="0.25">
      <c r="B880" s="51">
        <f t="shared" si="158"/>
        <v>878</v>
      </c>
      <c r="C880" s="52">
        <f t="shared" si="158"/>
        <v>44672</v>
      </c>
      <c r="D880" s="53">
        <f t="shared" si="151"/>
        <v>44672</v>
      </c>
      <c r="E880" s="54">
        <f t="shared" si="156"/>
        <v>126</v>
      </c>
      <c r="G880" s="8">
        <v>202204</v>
      </c>
      <c r="K880" s="52">
        <f t="shared" si="152"/>
        <v>44669</v>
      </c>
      <c r="L880" s="52">
        <f t="shared" si="153"/>
        <v>44675</v>
      </c>
      <c r="M880" s="55" t="str">
        <f t="shared" si="154"/>
        <v>18/04/22 @ 
24/04/22</v>
      </c>
    </row>
    <row r="881" spans="2:13" ht="24" x14ac:dyDescent="0.25">
      <c r="B881" s="51">
        <f t="shared" si="158"/>
        <v>879</v>
      </c>
      <c r="C881" s="52">
        <f t="shared" si="158"/>
        <v>44673</v>
      </c>
      <c r="D881" s="53">
        <f t="shared" si="151"/>
        <v>44673</v>
      </c>
      <c r="E881" s="54">
        <f t="shared" si="156"/>
        <v>126</v>
      </c>
      <c r="G881" s="8">
        <v>202204</v>
      </c>
      <c r="K881" s="52">
        <f t="shared" si="152"/>
        <v>44669</v>
      </c>
      <c r="L881" s="52">
        <f t="shared" si="153"/>
        <v>44675</v>
      </c>
      <c r="M881" s="55" t="str">
        <f t="shared" si="154"/>
        <v>18/04/22 @ 
24/04/22</v>
      </c>
    </row>
    <row r="882" spans="2:13" ht="24" x14ac:dyDescent="0.25">
      <c r="B882" s="51">
        <f t="shared" si="158"/>
        <v>880</v>
      </c>
      <c r="C882" s="52">
        <f t="shared" si="158"/>
        <v>44674</v>
      </c>
      <c r="D882" s="53">
        <f t="shared" si="151"/>
        <v>44674</v>
      </c>
      <c r="E882" s="54">
        <f t="shared" si="156"/>
        <v>126</v>
      </c>
      <c r="G882" s="8">
        <v>202204</v>
      </c>
      <c r="K882" s="52">
        <f t="shared" si="152"/>
        <v>44669</v>
      </c>
      <c r="L882" s="52">
        <f t="shared" si="153"/>
        <v>44675</v>
      </c>
      <c r="M882" s="55" t="str">
        <f t="shared" si="154"/>
        <v>18/04/22 @ 
24/04/22</v>
      </c>
    </row>
    <row r="883" spans="2:13" ht="24" x14ac:dyDescent="0.25">
      <c r="B883" s="51">
        <f t="shared" si="158"/>
        <v>881</v>
      </c>
      <c r="C883" s="52">
        <f t="shared" si="158"/>
        <v>44675</v>
      </c>
      <c r="D883" s="53">
        <f t="shared" si="151"/>
        <v>44675</v>
      </c>
      <c r="E883" s="54">
        <f t="shared" si="156"/>
        <v>126</v>
      </c>
      <c r="G883" s="8">
        <v>202204</v>
      </c>
      <c r="K883" s="52">
        <f t="shared" si="152"/>
        <v>44669</v>
      </c>
      <c r="L883" s="52">
        <f t="shared" si="153"/>
        <v>44675</v>
      </c>
      <c r="M883" s="55" t="str">
        <f t="shared" si="154"/>
        <v>18/04/22 @ 
24/04/22</v>
      </c>
    </row>
    <row r="884" spans="2:13" ht="24" x14ac:dyDescent="0.25">
      <c r="B884" s="51">
        <f t="shared" si="158"/>
        <v>882</v>
      </c>
      <c r="C884" s="52">
        <f t="shared" si="158"/>
        <v>44676</v>
      </c>
      <c r="D884" s="53">
        <f t="shared" si="151"/>
        <v>44676</v>
      </c>
      <c r="E884" s="54">
        <f t="shared" si="156"/>
        <v>127</v>
      </c>
      <c r="G884" s="8">
        <v>202204</v>
      </c>
      <c r="K884" s="52">
        <f t="shared" si="152"/>
        <v>44676</v>
      </c>
      <c r="L884" s="52">
        <f t="shared" si="153"/>
        <v>44682</v>
      </c>
      <c r="M884" s="55" t="str">
        <f t="shared" si="154"/>
        <v>25/04/22 @ 
01/05/22</v>
      </c>
    </row>
    <row r="885" spans="2:13" ht="24" x14ac:dyDescent="0.25">
      <c r="B885" s="51">
        <f t="shared" ref="B885:C890" si="159">+B884+1</f>
        <v>883</v>
      </c>
      <c r="C885" s="52">
        <f t="shared" si="159"/>
        <v>44677</v>
      </c>
      <c r="D885" s="53">
        <f t="shared" si="151"/>
        <v>44677</v>
      </c>
      <c r="E885" s="54">
        <f t="shared" si="156"/>
        <v>127</v>
      </c>
      <c r="G885" s="8">
        <v>202204</v>
      </c>
      <c r="K885" s="52">
        <f t="shared" si="152"/>
        <v>44676</v>
      </c>
      <c r="L885" s="52">
        <f t="shared" si="153"/>
        <v>44682</v>
      </c>
      <c r="M885" s="55" t="str">
        <f t="shared" si="154"/>
        <v>25/04/22 @ 
01/05/22</v>
      </c>
    </row>
    <row r="886" spans="2:13" ht="24" x14ac:dyDescent="0.25">
      <c r="B886" s="51">
        <f t="shared" si="159"/>
        <v>884</v>
      </c>
      <c r="C886" s="52">
        <f t="shared" si="159"/>
        <v>44678</v>
      </c>
      <c r="D886" s="53">
        <f t="shared" si="151"/>
        <v>44678</v>
      </c>
      <c r="E886" s="54">
        <f t="shared" si="156"/>
        <v>127</v>
      </c>
      <c r="G886" s="8">
        <v>202204</v>
      </c>
      <c r="K886" s="52">
        <f t="shared" si="152"/>
        <v>44676</v>
      </c>
      <c r="L886" s="52">
        <f t="shared" si="153"/>
        <v>44682</v>
      </c>
      <c r="M886" s="55" t="str">
        <f t="shared" si="154"/>
        <v>25/04/22 @ 
01/05/22</v>
      </c>
    </row>
    <row r="887" spans="2:13" ht="24" x14ac:dyDescent="0.25">
      <c r="B887" s="51">
        <f t="shared" si="159"/>
        <v>885</v>
      </c>
      <c r="C887" s="52">
        <f t="shared" si="159"/>
        <v>44679</v>
      </c>
      <c r="D887" s="53">
        <f t="shared" si="151"/>
        <v>44679</v>
      </c>
      <c r="E887" s="54">
        <f t="shared" si="156"/>
        <v>127</v>
      </c>
      <c r="G887" s="8">
        <v>202204</v>
      </c>
      <c r="K887" s="52">
        <f t="shared" si="152"/>
        <v>44676</v>
      </c>
      <c r="L887" s="52">
        <f t="shared" si="153"/>
        <v>44682</v>
      </c>
      <c r="M887" s="55" t="str">
        <f t="shared" si="154"/>
        <v>25/04/22 @ 
01/05/22</v>
      </c>
    </row>
    <row r="888" spans="2:13" ht="24" x14ac:dyDescent="0.25">
      <c r="B888" s="51">
        <f t="shared" si="159"/>
        <v>886</v>
      </c>
      <c r="C888" s="52">
        <f t="shared" si="159"/>
        <v>44680</v>
      </c>
      <c r="D888" s="53">
        <f t="shared" si="151"/>
        <v>44680</v>
      </c>
      <c r="E888" s="54">
        <f t="shared" si="156"/>
        <v>127</v>
      </c>
      <c r="G888" s="8">
        <v>202204</v>
      </c>
      <c r="K888" s="52">
        <f t="shared" si="152"/>
        <v>44676</v>
      </c>
      <c r="L888" s="52">
        <f t="shared" si="153"/>
        <v>44682</v>
      </c>
      <c r="M888" s="55" t="str">
        <f t="shared" si="154"/>
        <v>25/04/22 @ 
01/05/22</v>
      </c>
    </row>
    <row r="889" spans="2:13" ht="24" x14ac:dyDescent="0.25">
      <c r="B889" s="51">
        <f t="shared" si="159"/>
        <v>887</v>
      </c>
      <c r="C889" s="52">
        <f t="shared" si="159"/>
        <v>44681</v>
      </c>
      <c r="D889" s="53">
        <f t="shared" si="151"/>
        <v>44681</v>
      </c>
      <c r="E889" s="54">
        <f t="shared" si="156"/>
        <v>127</v>
      </c>
      <c r="G889" s="8">
        <v>202204</v>
      </c>
      <c r="K889" s="52">
        <f t="shared" si="152"/>
        <v>44676</v>
      </c>
      <c r="L889" s="52">
        <f t="shared" si="153"/>
        <v>44682</v>
      </c>
      <c r="M889" s="55" t="str">
        <f t="shared" si="154"/>
        <v>25/04/22 @ 
01/05/22</v>
      </c>
    </row>
    <row r="890" spans="2:13" ht="24" x14ac:dyDescent="0.25">
      <c r="B890" s="51">
        <f t="shared" si="159"/>
        <v>888</v>
      </c>
      <c r="C890" s="52">
        <f t="shared" si="159"/>
        <v>44682</v>
      </c>
      <c r="D890" s="53">
        <f t="shared" si="151"/>
        <v>44682</v>
      </c>
      <c r="E890" s="54">
        <f t="shared" si="156"/>
        <v>127</v>
      </c>
      <c r="G890" s="8">
        <v>202204</v>
      </c>
      <c r="K890" s="52">
        <f t="shared" si="152"/>
        <v>44676</v>
      </c>
      <c r="L890" s="52">
        <f t="shared" si="153"/>
        <v>44682</v>
      </c>
      <c r="M890" s="55" t="str">
        <f t="shared" si="154"/>
        <v>25/04/22 @ 
01/05/22</v>
      </c>
    </row>
    <row r="891" spans="2:13" x14ac:dyDescent="0.25">
      <c r="D891" s="53"/>
    </row>
    <row r="892" spans="2:13" x14ac:dyDescent="0.25">
      <c r="D892" s="53"/>
    </row>
    <row r="893" spans="2:13" x14ac:dyDescent="0.25">
      <c r="D893" s="53"/>
    </row>
    <row r="894" spans="2:13" x14ac:dyDescent="0.25">
      <c r="D894" s="53"/>
    </row>
    <row r="895" spans="2:13" x14ac:dyDescent="0.25">
      <c r="D895" s="53"/>
    </row>
    <row r="896" spans="2:13" x14ac:dyDescent="0.25">
      <c r="D896" s="53"/>
    </row>
    <row r="897" spans="4:4" x14ac:dyDescent="0.25">
      <c r="D897" s="53"/>
    </row>
    <row r="898" spans="4:4" x14ac:dyDescent="0.25">
      <c r="D898" s="53"/>
    </row>
    <row r="899" spans="4:4" x14ac:dyDescent="0.25">
      <c r="D899" s="53"/>
    </row>
    <row r="900" spans="4:4" x14ac:dyDescent="0.25">
      <c r="D900" s="53"/>
    </row>
    <row r="901" spans="4:4" x14ac:dyDescent="0.25">
      <c r="D901" s="53"/>
    </row>
    <row r="902" spans="4:4" x14ac:dyDescent="0.25">
      <c r="D902" s="53"/>
    </row>
  </sheetData>
  <autoFilter ref="B1:M903" xr:uid="{00000000-0009-0000-0000-000002000000}"/>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6C45E879D777742A28B4B4313ED2110" ma:contentTypeVersion="4" ma:contentTypeDescription="Create a new document." ma:contentTypeScope="" ma:versionID="446d0aeb5f3932902199aebfe7476e43">
  <xsd:schema xmlns:xsd="http://www.w3.org/2001/XMLSchema" xmlns:xs="http://www.w3.org/2001/XMLSchema" xmlns:p="http://schemas.microsoft.com/office/2006/metadata/properties" xmlns:ns2="b35f92d5-ab25-45cd-91f5-56a2e9ba47ee" targetNamespace="http://schemas.microsoft.com/office/2006/metadata/properties" ma:root="true" ma:fieldsID="33d89609d45725c13b11597e0a42f90a" ns2:_="">
    <xsd:import namespace="b35f92d5-ab25-45cd-91f5-56a2e9ba47ee"/>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35f92d5-ab25-45cd-91f5-56a2e9ba47e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563048E-68E5-4B8D-974E-0AB64058676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35f92d5-ab25-45cd-91f5-56a2e9ba47e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19A7ED5-A617-416C-A045-D4AF82835F38}">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E3CFB62B-65AD-434A-A65D-00910668558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12</vt:i4>
      </vt:variant>
      <vt:variant>
        <vt:lpstr>Intervalos Nomeados</vt:lpstr>
      </vt:variant>
      <vt:variant>
        <vt:i4>3</vt:i4>
      </vt:variant>
    </vt:vector>
  </HeadingPairs>
  <TitlesOfParts>
    <vt:vector size="15" baseType="lpstr">
      <vt:lpstr>PQ</vt:lpstr>
      <vt:lpstr>ITEM PQ</vt:lpstr>
      <vt:lpstr>CMS</vt:lpstr>
      <vt:lpstr>FAM 12-06</vt:lpstr>
      <vt:lpstr>DASHBOARD</vt:lpstr>
      <vt:lpstr>DADOS</vt:lpstr>
      <vt:lpstr>MAPA DE SUPORTE</vt:lpstr>
      <vt:lpstr>Planilha3</vt:lpstr>
      <vt:lpstr>Planilha1</vt:lpstr>
      <vt:lpstr>Planilha2</vt:lpstr>
      <vt:lpstr>MAPA DE THALES</vt:lpstr>
      <vt:lpstr>CALENDARIO</vt:lpstr>
      <vt:lpstr>PQ!Area_de_impressao</vt:lpstr>
      <vt:lpstr>'MAPA DE SUPORTE'!Titulos_de_impressao</vt:lpstr>
      <vt:lpstr>PQ!Titulos_de_impressao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Gino Fernando Rojas Levano</dc:creator>
  <cp:lastModifiedBy>Junior Silva - Milplan Engª.</cp:lastModifiedBy>
  <cp:lastPrinted>2021-09-22T19:52:27Z</cp:lastPrinted>
  <dcterms:created xsi:type="dcterms:W3CDTF">2015-06-05T18:19:34Z</dcterms:created>
  <dcterms:modified xsi:type="dcterms:W3CDTF">2025-12-23T19:34:26Z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0x01010016C45E879D777742A28B4B4313ED2110</vt:lpwstr>
  </property>
</Properties>
</file>